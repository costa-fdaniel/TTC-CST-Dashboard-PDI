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Projetos" sheetId="1" r:id="rId5"/>
    <sheet state="visible" name="RESUMO" sheetId="2" r:id="rId6"/>
    <sheet state="hidden" name="PROJETO" sheetId="3" r:id="rId7"/>
    <sheet state="hidden" name="CHECKLIST" sheetId="4" r:id="rId8"/>
    <sheet state="visible" name="PESSOAL" sheetId="5" r:id="rId9"/>
    <sheet state="visible" name="TERCEIROS" sheetId="6" r:id="rId10"/>
    <sheet state="visible" name="TIMESHEET" sheetId="7" r:id="rId11"/>
    <sheet state="visible" name="Tabela dinâmica 2" sheetId="8" r:id="rId12"/>
    <sheet state="visible" name="MILESTONES" sheetId="9" r:id="rId13"/>
    <sheet state="visible" name="#verificação RH" sheetId="10" r:id="rId14"/>
    <sheet state="visible" name="#verificação horas por projeto" sheetId="11" r:id="rId15"/>
    <sheet state="visible" name="INOV00001" sheetId="12" r:id="rId16"/>
    <sheet state="visible" name="INOV00004" sheetId="13" r:id="rId17"/>
    <sheet state="visible" name="INOV00006" sheetId="14" r:id="rId18"/>
    <sheet state="hidden" name="INOV00010" sheetId="15" r:id="rId19"/>
    <sheet state="visible" name="INOV00013" sheetId="16" r:id="rId20"/>
    <sheet state="visible" name="INOV00014" sheetId="17" r:id="rId21"/>
    <sheet state="visible" name="INOV00016" sheetId="18" r:id="rId22"/>
    <sheet state="visible" name="INOV00017" sheetId="19" r:id="rId23"/>
    <sheet state="visible" name="INOV00020" sheetId="20" r:id="rId24"/>
    <sheet state="visible" name="INOV00022" sheetId="21" r:id="rId25"/>
    <sheet state="visible" name="INOV00023" sheetId="22" r:id="rId26"/>
    <sheet state="visible" name="INOV00024" sheetId="23" r:id="rId27"/>
    <sheet state="visible" name="INOV00025" sheetId="24" r:id="rId28"/>
    <sheet state="visible" name="INOV00027" sheetId="25" r:id="rId29"/>
    <sheet state="visible" name="INOV00029" sheetId="26" r:id="rId30"/>
    <sheet state="visible" name="INOV00032" sheetId="27" r:id="rId31"/>
    <sheet state="visible" name="INOV00035" sheetId="28" r:id="rId32"/>
    <sheet state="visible" name="INOV00036" sheetId="29" r:id="rId33"/>
    <sheet state="visible" name="INOV00037" sheetId="30" r:id="rId34"/>
    <sheet state="hidden" name="INOV00038" sheetId="31" r:id="rId35"/>
    <sheet state="visible" name="INOV00039" sheetId="32" r:id="rId36"/>
    <sheet state="visible" name="INOV00041" sheetId="33" r:id="rId37"/>
    <sheet state="visible" name="INOV00046" sheetId="34" r:id="rId38"/>
    <sheet state="visible" name="INOV00047" sheetId="35" r:id="rId39"/>
    <sheet state="visible" name="INOV00049" sheetId="36" r:id="rId40"/>
    <sheet state="visible" name="INOV00050" sheetId="37" r:id="rId41"/>
    <sheet state="visible" name="INOV00051" sheetId="38" r:id="rId42"/>
    <sheet state="visible" name="INOV00052" sheetId="39" r:id="rId43"/>
  </sheets>
  <definedNames>
    <definedName hidden="1" localSheetId="5" name="_xlnm._FilterDatabase">TERCEIROS!$A$11:$BE$135</definedName>
    <definedName hidden="1" localSheetId="6" name="_xlnm._FilterDatabase">TIMESHEET!$B$11:$Q$1897</definedName>
    <definedName hidden="1" localSheetId="8" name="_xlnm._FilterDatabase">MILESTONES!$B$11:$H$294</definedName>
    <definedName hidden="1" localSheetId="6" name="Z_7BB10F69_FF41_4D25_A2E2_4FD050C1D4EE_.wvu.FilterData">TIMESHEET!$A$11:$Q$1510</definedName>
  </definedNames>
  <calcPr/>
  <customWorkbookViews>
    <customWorkbookView activeSheetId="0" maximized="1" windowHeight="0" windowWidth="0" guid="{7BB10F69-FF41-4D25-A2E2-4FD050C1D4EE}" name="Filtro 1"/>
  </customWorkbookViews>
  <pivotCaches>
    <pivotCache cacheId="0" r:id="rId4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2">
      <text>
        <t xml:space="preserve">Investigação científica: mediante trabalhos experimentais ou teóricos desenvolvidos principalmente com a finalidade de adquirir novos conhecimentos sobre fundamentos de fenômenos e fatos observáveis, mesmo que ainda não haja uma aplicação já definida</t>
      </text>
    </comment>
    <comment authorId="0" ref="M13">
      <text>
        <t xml:space="preserve">Pesquisa aplicada: são os procedimentos realizados para determinar as possíveis (novas) utilizações de conhecimentos obtidos por meio de pesquisa básica</t>
      </text>
    </comment>
    <comment authorId="0" ref="M14">
      <text>
        <t xml:space="preserve">Desenvolvimento experimental: consiste na realização de trabalhos sistemáticos fundamentados em conhecimentos pré-existentes, para criar ou aperfeiçoar consideravelmente: materiais, produtos, dispositivos, processos ou serviços</t>
      </text>
    </comment>
    <comment authorId="0" ref="M16">
      <text>
        <t xml:space="preserve">Inovação tecnológica de produto:   caracterizada quando objetiva-se em resultar:
- produto tecnologicamente novo, ou 
- produto tecnologicamente aprimorado</t>
      </text>
    </comment>
    <comment authorId="0" ref="M17">
      <text>
        <t xml:space="preserve">Inovação tecnológica de processo: caracteriza-se pela concepção de uma nova tecnologia de produção, seus equipamentos associados e até softwares com impacto nas atividades de suporte à produção.</t>
      </text>
    </comment>
    <comment authorId="0" ref="M18">
      <text>
        <t xml:space="preserve">Inovação tecnológica de serviços: desenvolvimento de software tecnologicamente novo ou tecnologicamente aprimorado, ou outros serviços que envolvam riscos tecnológicos</t>
      </text>
    </comment>
    <comment authorId="0" ref="M20">
      <text>
        <t xml:space="preserve">Inovador para a empresa: quando a empresa não tem acesso e isso representa um passo tecnológico científico para sua equipe, apesar de não ser algo novo para o mundo.</t>
      </text>
    </comment>
    <comment authorId="0" ref="M21">
      <text>
        <t xml:space="preserve">Inovador para o Brasil: quando o objetivo do projeto já foi alcançado em outro país, mas realizá-lo aqui representa um passo tecnológico científico para o cenário brasileiro</t>
      </text>
    </comment>
    <comment authorId="0" ref="M22">
      <text>
        <t xml:space="preserve">Inovador para o Mundo: quando há o desenvolvimento de algo efetivamente novo</t>
      </text>
    </comment>
    <comment authorId="0" ref="H27">
      <text>
        <t xml:space="preserve">Para que as atividades desenvolvidas por um membro da equipe de PD&amp;I possam ser incentivadas pela Lei do Bem, seu contrato de trabalho deve mencionar a realização desse tipo de atividade, mesmo que parcialmente</t>
      </text>
    </comment>
    <comment authorId="0" ref="M28">
      <text>
        <t xml:space="preserve">Técnico: é todo profissional que tenha as qualificações para as atividades reconhecidas pela empresa, obtidas em cursos livres, curso técnico, cursos internos, ou experiência de trabalho mas, que não possua graduação acadêmica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1">
      <text>
        <t xml:space="preserve">- BC = Business Case
- EC = Estudo de caso
- EE = Estudo de estabilidade
- ET = Especificação técnica do produto acabado
- HH = Dieta hipercalórica e hiperproteica
- MF = Master file (arquivo base para desenvolver as fórmulas dos produtos)
- MP = Matéria-prima
- TB = Teste de bancada
- TI = Teste Industrial
- TP = Teste Piloto</t>
      </text>
    </comment>
  </commentList>
</comments>
</file>

<file path=xl/sharedStrings.xml><?xml version="1.0" encoding="utf-8"?>
<sst xmlns="http://schemas.openxmlformats.org/spreadsheetml/2006/main" count="9569" uniqueCount="1651">
  <si>
    <t>Incentivado pela Lei do Bem</t>
  </si>
  <si>
    <t>Objetiva tornar-se um Ativo</t>
  </si>
  <si>
    <t>Objetiva gerar patente/registro</t>
  </si>
  <si>
    <t>INOV00001</t>
  </si>
  <si>
    <t>INOV00004</t>
  </si>
  <si>
    <t>INOV00006</t>
  </si>
  <si>
    <t>INOV00010</t>
  </si>
  <si>
    <t>INOV00013</t>
  </si>
  <si>
    <t>INOV00014</t>
  </si>
  <si>
    <t>INOV00016</t>
  </si>
  <si>
    <t>INOV00017</t>
  </si>
  <si>
    <t>INOV00020</t>
  </si>
  <si>
    <t>INOV00022</t>
  </si>
  <si>
    <t>INOV00023</t>
  </si>
  <si>
    <t>INOV00024</t>
  </si>
  <si>
    <t>INOV00025</t>
  </si>
  <si>
    <t>New</t>
  </si>
  <si>
    <t>Tampa</t>
  </si>
  <si>
    <t>INOV00027</t>
  </si>
  <si>
    <t>INOV00029</t>
  </si>
  <si>
    <t>(Pesquisa)</t>
  </si>
  <si>
    <t>INOV00032</t>
  </si>
  <si>
    <t>(Spray)</t>
  </si>
  <si>
    <t>INOV00035</t>
  </si>
  <si>
    <t>INOV00036</t>
  </si>
  <si>
    <t>INOV00037</t>
  </si>
  <si>
    <t>INOV00038</t>
  </si>
  <si>
    <t>INOV00039</t>
  </si>
  <si>
    <t>INOV00041</t>
  </si>
  <si>
    <t>INOV00046</t>
  </si>
  <si>
    <t>Perguntar</t>
  </si>
  <si>
    <t>aguardando resposta</t>
  </si>
  <si>
    <t>INOV00047</t>
  </si>
  <si>
    <t>iguais</t>
  </si>
  <si>
    <t>INOV00048</t>
  </si>
  <si>
    <t>INOV00049</t>
  </si>
  <si>
    <t>INOV00050</t>
  </si>
  <si>
    <t>INOV00051</t>
  </si>
  <si>
    <t>INOV00052</t>
  </si>
  <si>
    <t>Solicitar</t>
  </si>
  <si>
    <t>Resumo dos investimentos</t>
  </si>
  <si>
    <t>BENEFÍCIO FISCAL DE PD&amp;I 2024</t>
  </si>
  <si>
    <t>PRODIET NUTRIÇÃO CLINICA LTDA</t>
  </si>
  <si>
    <t>CNPJ 08.183.359/0001-53</t>
  </si>
  <si>
    <t>2019-088 PRODIET</t>
  </si>
  <si>
    <t>Rua General Potiguara, 1428, Lotes 20 e 21, Novo Mundo - PR - SUL - CURITIBA - CEP 81.050-500 - fone: (41) 3342-2825</t>
  </si>
  <si>
    <t>Natureza</t>
  </si>
  <si>
    <t>1º Trimestre</t>
  </si>
  <si>
    <t>2º Trimestre</t>
  </si>
  <si>
    <t>3º Trimestre</t>
  </si>
  <si>
    <t>4º Trimestre</t>
  </si>
  <si>
    <t>TOTAL</t>
  </si>
  <si>
    <t>Material</t>
  </si>
  <si>
    <t>-</t>
  </si>
  <si>
    <t>Terceiros</t>
  </si>
  <si>
    <r>
      <rPr>
        <rFont val="Cairo"/>
        <color rgb="FF000000"/>
        <sz val="10.0"/>
      </rPr>
      <t>RH (</t>
    </r>
    <r>
      <rPr>
        <rFont val="Cairo"/>
        <i/>
        <color rgb="FF000000"/>
        <sz val="10.0"/>
      </rPr>
      <t>Parcial inovação</t>
    </r>
    <r>
      <rPr>
        <rFont val="Cairo"/>
        <color rgb="FF000000"/>
        <sz val="10.0"/>
      </rPr>
      <t>)</t>
    </r>
  </si>
  <si>
    <r>
      <rPr>
        <rFont val="Cairo"/>
        <color rgb="FF000000"/>
        <sz val="10.0"/>
      </rPr>
      <t>RH (</t>
    </r>
    <r>
      <rPr>
        <rFont val="Cairo"/>
        <i/>
        <color rgb="FF000000"/>
        <sz val="10.0"/>
      </rPr>
      <t>Exclusivo inovação</t>
    </r>
    <r>
      <rPr>
        <rFont val="Cairo"/>
        <color rgb="FF000000"/>
        <sz val="10.0"/>
      </rPr>
      <t>)</t>
    </r>
  </si>
  <si>
    <t>Total 1</t>
  </si>
  <si>
    <t>Percentual Exclusão</t>
  </si>
  <si>
    <t>Exclusão da Base de cálculo do IRPJ e CSLL</t>
  </si>
  <si>
    <r>
      <rPr>
        <rFont val="Cairo"/>
        <b/>
        <color rgb="FFFFFFFF"/>
        <sz val="10.0"/>
      </rPr>
      <t>Economia Estimada [</t>
    </r>
    <r>
      <rPr>
        <rFont val="Cairo"/>
        <b/>
        <color rgb="FFFFFFFF"/>
        <sz val="10.0"/>
      </rPr>
      <t>34%</t>
    </r>
    <r>
      <rPr>
        <rFont val="Cairo"/>
        <b/>
        <color rgb="FFFFFFFF"/>
        <sz val="10.0"/>
      </rPr>
      <t>]</t>
    </r>
  </si>
  <si>
    <t>Comissão McBenner</t>
  </si>
  <si>
    <t>Observações:</t>
  </si>
  <si>
    <t>1. Os dispêndios devem ser registrados na contabilidade em conta específica</t>
  </si>
  <si>
    <t>2. O benefício deve ser aproveitado na ECF do respectivo ano/competência</t>
  </si>
  <si>
    <r>
      <rPr>
        <rFont val="Cairo"/>
        <color rgb="FF000000"/>
        <sz val="10.0"/>
      </rPr>
      <t xml:space="preserve">3. O formulário do MCTIC (governo) deve ser enviado até fim de </t>
    </r>
    <r>
      <rPr>
        <rFont val="Cairo"/>
        <b/>
        <color rgb="FF000000"/>
        <sz val="10.0"/>
      </rPr>
      <t>Julho/2025</t>
    </r>
  </si>
  <si>
    <t>4. Os projetos estão descritos em arquivo a parte a ser anexado no FORM PD&amp;I</t>
  </si>
  <si>
    <t>5. Alguns benefícios previstos na Lei do Bem não foram utilizados:</t>
  </si>
  <si>
    <t>--- 5.1. Depreciação acelerada</t>
  </si>
  <si>
    <t>--- 5.2. Redução de IPI na aquisição de equipamento para PD&amp;I</t>
  </si>
  <si>
    <t>Equipe de PD&amp;I</t>
  </si>
  <si>
    <t>Quadro de resumo</t>
  </si>
  <si>
    <t>Dedicação Parcial</t>
  </si>
  <si>
    <t>Dedicação Exclusiva</t>
  </si>
  <si>
    <t>Qtd</t>
  </si>
  <si>
    <t>Valor gasto</t>
  </si>
  <si>
    <t>Horas</t>
  </si>
  <si>
    <t>Técnico</t>
  </si>
  <si>
    <t>Tecnologo</t>
  </si>
  <si>
    <t>Graduação</t>
  </si>
  <si>
    <t>Pós graduado</t>
  </si>
  <si>
    <t>Mestrado</t>
  </si>
  <si>
    <t>Doutorado</t>
  </si>
  <si>
    <t>Valores por projeto de PD&amp;I</t>
  </si>
  <si>
    <t>Projetos</t>
  </si>
  <si>
    <t>Vlr materiais</t>
  </si>
  <si>
    <t>Vlr terceiros</t>
  </si>
  <si>
    <t>Vlr Rh parcial</t>
  </si>
  <si>
    <t>Vlr exclusivos</t>
  </si>
  <si>
    <t>PRODIET</t>
  </si>
  <si>
    <t>Pesquisa, Desenvolvimento &amp; Inovação</t>
  </si>
  <si>
    <t>Formulário de PD&amp;I - Ano 2024</t>
  </si>
  <si>
    <t>- preencher somente os campos sombreados (cinza) e 
- adicionar cronograma no formato de imagem ao fim do formulário
- preencher um deste para cada projeto de PD&amp;I</t>
  </si>
  <si>
    <t>Dossiêdoprojeto</t>
  </si>
  <si>
    <t>DadosgeraisparaidentificaçãoevalidaçãodoprojetodePD&amp;I</t>
  </si>
  <si>
    <t>Nome do projeto</t>
  </si>
  <si>
    <t>Pesquisa básica</t>
  </si>
  <si>
    <t>📑</t>
  </si>
  <si>
    <t>Classificação do projeto</t>
  </si>
  <si>
    <t>Pesquisa aplicada</t>
  </si>
  <si>
    <t>Desenvolvimento experimental</t>
  </si>
  <si>
    <t>Objetivos do projeto</t>
  </si>
  <si>
    <t>Inovação tecnológica de produto</t>
  </si>
  <si>
    <t>Tipo de inovação</t>
  </si>
  <si>
    <t>Inovação tecnológica de processo</t>
  </si>
  <si>
    <t>Inovação tecnológica de serviços</t>
  </si>
  <si>
    <t>Elemento inovador</t>
  </si>
  <si>
    <t xml:space="preserve">- Não podem ser consideradas as inovações organizacionais, comerciais e de marketing
</t>
  </si>
  <si>
    <t>Empresa ou segmento regional</t>
  </si>
  <si>
    <t>Nível de inovação</t>
  </si>
  <si>
    <t>Inovador para o Brasil</t>
  </si>
  <si>
    <t>Inovador para o Mundo</t>
  </si>
  <si>
    <t>Risco tecnológico</t>
  </si>
  <si>
    <t>Metodologias</t>
  </si>
  <si>
    <t>Equipe</t>
  </si>
  <si>
    <t>NomeCompleto</t>
  </si>
  <si>
    <t>Cargo|Função</t>
  </si>
  <si>
    <t>Qualificação</t>
  </si>
  <si>
    <t>!</t>
  </si>
  <si>
    <t>Lizianne Angelica Shmeil</t>
  </si>
  <si>
    <t>Analista de P&amp;D</t>
  </si>
  <si>
    <t>Pós-graduação</t>
  </si>
  <si>
    <t>Ana Paula Celes</t>
  </si>
  <si>
    <t>Diretora Técnica</t>
  </si>
  <si>
    <t>Luciana Dutra</t>
  </si>
  <si>
    <t>Gerente Técnica</t>
  </si>
  <si>
    <t>Gabriela Faria de Oliveira</t>
  </si>
  <si>
    <t>Analista Científico</t>
  </si>
  <si>
    <t>Rafael Parreira Lorini</t>
  </si>
  <si>
    <t>Hellin dos Santos</t>
  </si>
  <si>
    <t>Gerente Científico</t>
  </si>
  <si>
    <t>Camila Mendes Pereira</t>
  </si>
  <si>
    <t>Ana Claudia Zanini</t>
  </si>
  <si>
    <t>Analista cientifico</t>
  </si>
  <si>
    <t>Juliana Lamas Roberto</t>
  </si>
  <si>
    <t>Especialista de Estudo de Estabilidade</t>
  </si>
  <si>
    <t>Márcio Henrique Nogueira</t>
  </si>
  <si>
    <t>Tahuany Caetano</t>
  </si>
  <si>
    <t>Analista MKT</t>
  </si>
  <si>
    <t>Arianna Schreiber</t>
  </si>
  <si>
    <t>MARKETING</t>
  </si>
  <si>
    <t>Mihaela Theer Moura</t>
  </si>
  <si>
    <t>Tahuany Leite</t>
  </si>
  <si>
    <t>Vaneisse Cristina Lima Monteiro</t>
  </si>
  <si>
    <t>Ana Paula Biz</t>
  </si>
  <si>
    <t>Raissa Bellotti</t>
  </si>
  <si>
    <t>Alyne Alves Nunes Oliveira</t>
  </si>
  <si>
    <t>Cronograma</t>
  </si>
  <si>
    <t>[anexarimagem-preferencialmenteGantt]</t>
  </si>
  <si>
    <t>Pesquisa ,Desenvolvimento &amp; Inovação</t>
  </si>
  <si>
    <r>
      <rPr>
        <rFont val="Source Sans Pro"/>
        <color rgb="FF666666"/>
        <sz val="10.0"/>
      </rPr>
      <t xml:space="preserve">Formulário de PD&amp;I - </t>
    </r>
    <r>
      <rPr>
        <rFont val="Source Sans Pro"/>
        <b/>
        <color rgb="FF666666"/>
        <sz val="10.0"/>
      </rPr>
      <t>Ano2024</t>
    </r>
  </si>
  <si>
    <t>-preencher somente os campos sombreados (cinza)</t>
  </si>
  <si>
    <t>Dossiê do projeto</t>
  </si>
  <si>
    <t>Checklist - outras informações</t>
  </si>
  <si>
    <t>Área</t>
  </si>
  <si>
    <t>Item</t>
  </si>
  <si>
    <t>Descrição</t>
  </si>
  <si>
    <t>Status</t>
  </si>
  <si>
    <t>Comentáriocliente</t>
  </si>
  <si>
    <t>ComentárioMcBenner</t>
  </si>
  <si>
    <r>
      <rPr>
        <rFont val="Source Sans Pro"/>
        <color rgb="FF666666"/>
        <sz val="10.0"/>
      </rPr>
      <t xml:space="preserve">Formulário de PD&amp;I - </t>
    </r>
    <r>
      <rPr>
        <rFont val="Source Sans Pro"/>
        <b/>
        <color rgb="FF666666"/>
        <sz val="10.0"/>
      </rPr>
      <t>Ano2024</t>
    </r>
  </si>
  <si>
    <t>Cálculo de custo - Pessoal</t>
  </si>
  <si>
    <t>Salário bruto</t>
  </si>
  <si>
    <t>Nome Completo</t>
  </si>
  <si>
    <t>CPF</t>
  </si>
  <si>
    <t>notas</t>
  </si>
  <si>
    <t>Cargo/função</t>
  </si>
  <si>
    <t>Formação</t>
  </si>
  <si>
    <t>Attachments</t>
  </si>
  <si>
    <t>Salário 01</t>
  </si>
  <si>
    <t>Salário 02</t>
  </si>
  <si>
    <t>Salário 03</t>
  </si>
  <si>
    <t>Salário 04</t>
  </si>
  <si>
    <t>Salário 05</t>
  </si>
  <si>
    <t>Salário 06</t>
  </si>
  <si>
    <t>Salário 07</t>
  </si>
  <si>
    <t>Salário 08</t>
  </si>
  <si>
    <t>Salário 09</t>
  </si>
  <si>
    <t>Salário 10</t>
  </si>
  <si>
    <t>Salário 11</t>
  </si>
  <si>
    <t>Salário 12</t>
  </si>
  <si>
    <t>PD&amp;I time</t>
  </si>
  <si>
    <t>PD&amp;I (%)</t>
  </si>
  <si>
    <t>Classificação</t>
  </si>
  <si>
    <t>Pesquisador</t>
  </si>
  <si>
    <t>129.307.117-01</t>
  </si>
  <si>
    <t>Especialista de P&amp;D</t>
  </si>
  <si>
    <t>CLT</t>
  </si>
  <si>
    <t>076.046.519-33</t>
  </si>
  <si>
    <t>Analista Científico SR</t>
  </si>
  <si>
    <t>071.847.899-11</t>
  </si>
  <si>
    <t>Analista de P&amp;D Pleno</t>
  </si>
  <si>
    <t>759.837.297-72</t>
  </si>
  <si>
    <t>Pós Graduado</t>
  </si>
  <si>
    <t>PJ</t>
  </si>
  <si>
    <t>083.832.289-10</t>
  </si>
  <si>
    <t>087.823.469-17</t>
  </si>
  <si>
    <t>317.875.738-42</t>
  </si>
  <si>
    <t>Coordenadora de P&amp;D</t>
  </si>
  <si>
    <t>430.604.838-17</t>
  </si>
  <si>
    <t>Analista Científico Jr</t>
  </si>
  <si>
    <t>Cálculo do custo/hora</t>
  </si>
  <si>
    <t>Encargos sobre folha</t>
  </si>
  <si>
    <t>INSS</t>
  </si>
  <si>
    <t>Patronal</t>
  </si>
  <si>
    <t>FGTS</t>
  </si>
  <si>
    <t>Férias</t>
  </si>
  <si>
    <t>13º</t>
  </si>
  <si>
    <t>Total</t>
  </si>
  <si>
    <t>RAT</t>
  </si>
  <si>
    <t>PD&amp;I R$</t>
  </si>
  <si>
    <t>Aprovado R$</t>
  </si>
  <si>
    <t>Parcial</t>
  </si>
  <si>
    <t>Feriados</t>
  </si>
  <si>
    <t>Ano Novo</t>
  </si>
  <si>
    <t>Carnaval</t>
  </si>
  <si>
    <t>4ª feira de Cinzas (trabalhamos somente a partir das 13h)</t>
  </si>
  <si>
    <t>Sexta-feira Santa</t>
  </si>
  <si>
    <t>Páscoa</t>
  </si>
  <si>
    <t>Corpus Christi</t>
  </si>
  <si>
    <t>Feriado Municipal</t>
  </si>
  <si>
    <t>Consciência Negra</t>
  </si>
  <si>
    <t>Natal</t>
  </si>
  <si>
    <r>
      <rPr>
        <rFont val="Source Sans Pro"/>
        <color rgb="FF666666"/>
        <sz val="10.0"/>
      </rPr>
      <t xml:space="preserve">Formulário de PD&amp;I - </t>
    </r>
    <r>
      <rPr>
        <rFont val="Source Sans Pro"/>
        <b/>
        <color rgb="FF666666"/>
        <sz val="10.0"/>
      </rPr>
      <t>Ano2024</t>
    </r>
  </si>
  <si>
    <t>Rateio</t>
  </si>
  <si>
    <t>Investimentos com terceiros</t>
  </si>
  <si>
    <t>Diferença</t>
  </si>
  <si>
    <t>Projeto</t>
  </si>
  <si>
    <t>Etapa</t>
  </si>
  <si>
    <t>Fornecedor</t>
  </si>
  <si>
    <t>CNPJ</t>
  </si>
  <si>
    <t>Notafiscal</t>
  </si>
  <si>
    <t>Valor</t>
  </si>
  <si>
    <t>Data</t>
  </si>
  <si>
    <t>Descrição da Atividade</t>
  </si>
  <si>
    <t>Objetivo do gasto e eventual info de rateio</t>
  </si>
  <si>
    <t>Incentivado?</t>
  </si>
  <si>
    <t>Valor incentivado</t>
  </si>
  <si>
    <t>Conf. val. rateio</t>
  </si>
  <si>
    <t>Count</t>
  </si>
  <si>
    <t>INOV00003</t>
  </si>
  <si>
    <t>INOV00012</t>
  </si>
  <si>
    <t>INOV00015</t>
  </si>
  <si>
    <t>INOV00018</t>
  </si>
  <si>
    <t>INOV00019</t>
  </si>
  <si>
    <t>INOV00021</t>
  </si>
  <si>
    <t>INOV00026</t>
  </si>
  <si>
    <t>INOV00028</t>
  </si>
  <si>
    <t>INOV00030</t>
  </si>
  <si>
    <t>INOV00031</t>
  </si>
  <si>
    <t>INOV00034</t>
  </si>
  <si>
    <t>INOV00040</t>
  </si>
  <si>
    <t>Eurofins do Brasil Análise de Alimentos Ltda.</t>
  </si>
  <si>
    <t>04.329.668/0001-38</t>
  </si>
  <si>
    <t>Análise de vitaminas, minerais e macronutrientes.</t>
  </si>
  <si>
    <t>Fundação de apoio à Pesquisa</t>
  </si>
  <si>
    <t>50.276.237/0001-78</t>
  </si>
  <si>
    <t>Análise de PL.</t>
  </si>
  <si>
    <t>PRODIET NUTRICAO CLINICA LTDA</t>
  </si>
  <si>
    <t>08.183.359/0003-15</t>
  </si>
  <si>
    <t>Doação de Produto Immax para Pesquisa Clinica</t>
  </si>
  <si>
    <t>Análise de Vitamina C.</t>
  </si>
  <si>
    <t>J&amp;J Serviços de Entregas Ltda - ME</t>
  </si>
  <si>
    <t>20.618.029/0001-49</t>
  </si>
  <si>
    <t>Envio para análise.</t>
  </si>
  <si>
    <t>Fundação de Desenvolvimento da Pesquisa do Agronegocio</t>
  </si>
  <si>
    <t>RaiaDrogasil S/A</t>
  </si>
  <si>
    <t>61.585.865/3103-47</t>
  </si>
  <si>
    <t>Doação de sensores para Pesquisa Clínica</t>
  </si>
  <si>
    <t>Fundação de Apoio à Universidade de São Paulo</t>
  </si>
  <si>
    <t>68.314.830/0001-27</t>
  </si>
  <si>
    <t>Análise de distribuição de partículas</t>
  </si>
  <si>
    <t>Tetra Pak Ltda</t>
  </si>
  <si>
    <t>61.528.030/0001-60</t>
  </si>
  <si>
    <t>Custo do aluguel da planta para teste piloto.</t>
  </si>
  <si>
    <t xml:space="preserve">Fundação Arthur Bernardes	</t>
  </si>
  <si>
    <t>20.320.503/0001-51</t>
  </si>
  <si>
    <t>01/03 parcela contrato Embrapa FUNARBE de R$26895,48 (Convênio 16369)</t>
  </si>
  <si>
    <t>Laboratório ALAC</t>
  </si>
  <si>
    <t>94.088.952/0001-52</t>
  </si>
  <si>
    <t>Análise de Glúten</t>
  </si>
  <si>
    <t>00.799.205/0001-89</t>
  </si>
  <si>
    <t>INOV00017|INOV00004</t>
  </si>
  <si>
    <t>Perfil de Açúcares</t>
  </si>
  <si>
    <t>02/03 parcela contrato Embrapa FUNARBE de R$26895,48 (Convênio 16369)</t>
  </si>
  <si>
    <t>LATCO BEVERAGES IND. E COM. DE BEB. E ALIM. IMP. E EXP. LTDA.</t>
  </si>
  <si>
    <t>01.046.213/0002-06</t>
  </si>
  <si>
    <t>003/2024</t>
  </si>
  <si>
    <t>Aquisição de hidróxido de potássio</t>
  </si>
  <si>
    <t>Análise de vitaminas, minerais.</t>
  </si>
  <si>
    <t>61.585.865/0300-69</t>
  </si>
  <si>
    <t>Perfil de aminoácidos e proteína</t>
  </si>
  <si>
    <t>Labor Três Laboratórios e Consultoria Técnica Ltda.</t>
  </si>
  <si>
    <t>02.021.076/0001-29</t>
  </si>
  <si>
    <t>Bacillus cereus no pó e no produto diluído.</t>
  </si>
  <si>
    <t>03/03 parcela contrato Embrapa FUNARBE de R$26895,48 (Convênio 16369)</t>
  </si>
  <si>
    <t>Reanálise de ácido fólico</t>
  </si>
  <si>
    <t>Análise de esterilidade comercial.</t>
  </si>
  <si>
    <t>Clínica Cicatripelli</t>
  </si>
  <si>
    <t>25.128.189/0001-23</t>
  </si>
  <si>
    <t>Relato de caso e participação em simpósio</t>
  </si>
  <si>
    <t>INOV00001|INOV00016</t>
  </si>
  <si>
    <t>61.585.865/1879-87</t>
  </si>
  <si>
    <t>Doação de sensores para Relato de caso</t>
  </si>
  <si>
    <t>Macronutrientes e aminograma T0</t>
  </si>
  <si>
    <t>Análise de distribuição de partículas no NN e NHcF do TP realizado na EMBRAPA 05/2024.</t>
  </si>
  <si>
    <t>Macronutrientes, vitaminas e minerais T24.</t>
  </si>
  <si>
    <t>INOV00028|INOV00040</t>
  </si>
  <si>
    <t>Envio para análise</t>
  </si>
  <si>
    <t>Fundação de desenv. da pesquisa do agronegócio - FUNDEPAG</t>
  </si>
  <si>
    <t>Análise de perfil lipídico T24.</t>
  </si>
  <si>
    <t>Esterilidade comercial após TI Latco.</t>
  </si>
  <si>
    <t>007/2024</t>
  </si>
  <si>
    <t>Aluguel da planta piloto para TI - LATCO.</t>
  </si>
  <si>
    <t>Análise de perfil lipídico T0.</t>
  </si>
  <si>
    <t>Análise de distribuição de partículas no DiamaxIG RTH do TI da LATCO.</t>
  </si>
  <si>
    <t>Análise de perfil de tocoferol para fechar T0 - Agrupamento.</t>
  </si>
  <si>
    <t>INOV00001|INOV00028</t>
  </si>
  <si>
    <t>Análise de macronutrientes, vitaminas e minerais do Retort NN (T0) e aminograma e proteína do Trophic Basic L.</t>
  </si>
  <si>
    <t>Análise de aminograma e proteína em T0.</t>
  </si>
  <si>
    <t>Análise de perfil lipídico T12.</t>
  </si>
  <si>
    <t>Análise de perfil de tocoferol para fechar T0 - Agrupamento, reanálise de cromo e ácido pantotênico.</t>
  </si>
  <si>
    <t>Análise de macronutrientes, vitaminas e minerais T0.</t>
  </si>
  <si>
    <t>Análise de fibras e perfil de tocoferol para fechar T0.</t>
  </si>
  <si>
    <t>Análise de vitaminas no DiamaxIG RTH do TI da Latco.</t>
  </si>
  <si>
    <t>Análise de macronutrientes T0 - Agrupamento</t>
  </si>
  <si>
    <t>Análise de distribuição de partículas no Retorts HH, HNcF e NHcF do TI Latco.</t>
  </si>
  <si>
    <t>Envio para análise para a LCT e ITAL.</t>
  </si>
  <si>
    <t>Doação de Correctmax para execução de relato de caso</t>
  </si>
  <si>
    <t>RNC MEDICOS INTENSIVISTAS LTDA</t>
  </si>
  <si>
    <t>26.528.525/0001-98</t>
  </si>
  <si>
    <t>Consultoria para Pesquisa de aplicação ProteinPT Liquid</t>
  </si>
  <si>
    <t>Análise de vitaminas (após TI LATCO).</t>
  </si>
  <si>
    <t>Envio para análise de PL no ITAL.</t>
  </si>
  <si>
    <t>Análise de gorduras</t>
  </si>
  <si>
    <t>Análise de selênio para fechar T12.</t>
  </si>
  <si>
    <t>Análise de perfil lipídico.</t>
  </si>
  <si>
    <t>NP Analytical Laboratories</t>
  </si>
  <si>
    <t>NA</t>
  </si>
  <si>
    <t>1-20240919-05236</t>
  </si>
  <si>
    <t>Análise de perfil de aminoácidos e proteína</t>
  </si>
  <si>
    <t>LSD serviços de tradução LTDA</t>
  </si>
  <si>
    <t>43503492/0001-40</t>
  </si>
  <si>
    <t>K2A1U10P</t>
  </si>
  <si>
    <t>Tradução escrita artigo para ingles</t>
  </si>
  <si>
    <t>Análise de Vitamina A Retort NN - reanálise T0</t>
  </si>
  <si>
    <t>Análise de cromo e ácido pantotênico T3</t>
  </si>
  <si>
    <t>INOV00001|INOV00014</t>
  </si>
  <si>
    <t>Envio para análise microbiológicas na Labor3 e para PL no ITAL - análises de T0.</t>
  </si>
  <si>
    <t>Análise de minerais e vitamina A - T0</t>
  </si>
  <si>
    <t>Análise de distribuição de partículas após TI LATCO</t>
  </si>
  <si>
    <t>Análises de vitaminas e minerais</t>
  </si>
  <si>
    <r>
      <rPr>
        <rFont val="Source Sans Pro"/>
        <color rgb="FF666666"/>
        <sz val="10.0"/>
      </rPr>
      <t xml:space="preserve">Formulário de PD&amp;I - </t>
    </r>
    <r>
      <rPr>
        <rFont val="Source Sans Pro"/>
        <b/>
        <color rgb="FF666666"/>
        <sz val="10.0"/>
      </rPr>
      <t>Ano2024</t>
    </r>
  </si>
  <si>
    <t>Treinamento</t>
  </si>
  <si>
    <t>Pesquisa</t>
  </si>
  <si>
    <t>→ Estudo, pesquisa, prospecção, contato com fornecedor, etc.</t>
  </si>
  <si>
    <t>Desenvolvimento</t>
  </si>
  <si>
    <t>→ Análise, Teste, Formulação, etc.</t>
  </si>
  <si>
    <t>Atividades de Pesquisa, Desenvolvimento e Inovação</t>
  </si>
  <si>
    <t>Gestão e outros</t>
  </si>
  <si>
    <t>→ Contagem, reunião diretoria, controles financeiros, etc.</t>
  </si>
  <si>
    <t>RowID</t>
  </si>
  <si>
    <t>Colaborador</t>
  </si>
  <si>
    <t>Tempo(h)</t>
  </si>
  <si>
    <t>Classificação PRODIET</t>
  </si>
  <si>
    <t>Classificação MCBENNER</t>
  </si>
  <si>
    <t xml:space="preserve"> </t>
  </si>
  <si>
    <t>Descrição da atividade e observações</t>
  </si>
  <si>
    <t>Revisão McBenner</t>
  </si>
  <si>
    <t>Custo</t>
  </si>
  <si>
    <t>Atividade incentiv.</t>
  </si>
  <si>
    <t>Projeto incentiv.</t>
  </si>
  <si>
    <t>Pesquisa sobre metodologia de análise para quantificar o TGF beta 2 em produtos.</t>
  </si>
  <si>
    <t>2023 - PEPTIMAX IBD</t>
  </si>
  <si>
    <t>INOV00044</t>
  </si>
  <si>
    <t>Tradução, revisão e conferência do Estudo de Estabilidade.</t>
  </si>
  <si>
    <t>2023 - MIXME MS+PIRAMAL</t>
  </si>
  <si>
    <t>Conferência de NF de análise do produto.</t>
  </si>
  <si>
    <t>2021 - Sachê a vácuo</t>
  </si>
  <si>
    <t>2019 - Artesanal</t>
  </si>
  <si>
    <t>INOV00045</t>
  </si>
  <si>
    <t>Reunião com potencial fornecedor sobre CoA e monografias.</t>
  </si>
  <si>
    <t>2023 - PROJETOS PREMIX IN HOUSE</t>
  </si>
  <si>
    <t>Análise de dados e elaboração do relatório de EE.</t>
  </si>
  <si>
    <t>2021 - Energyzip Sênior</t>
  </si>
  <si>
    <t>Revisão do relatório de EE.</t>
  </si>
  <si>
    <t>2018 - Retort</t>
  </si>
  <si>
    <t>Apresentação dos dados do EE dos produtos DiamaxIG RTH e Trophic Soya RTH.</t>
  </si>
  <si>
    <t>Acompanhamento teste industrial.</t>
  </si>
  <si>
    <t>2020 - Linha Trophic Soya Pó</t>
  </si>
  <si>
    <t>Alinhamento dos Conceitos de comunicação</t>
  </si>
  <si>
    <t>Diretrizes para compor informações com a nova envasadora</t>
  </si>
  <si>
    <t>Direcionais de rotulagem</t>
  </si>
  <si>
    <t>Atualização das fórmulas e concentrações</t>
  </si>
  <si>
    <t>Direcionais para realização teste validação tremica</t>
  </si>
  <si>
    <t>Definição de liderança ao projeto</t>
  </si>
  <si>
    <t>Gestão de marcas</t>
  </si>
  <si>
    <t>2019 - Cicatrização</t>
  </si>
  <si>
    <t>Discussão das exigências Anvisa</t>
  </si>
  <si>
    <t>Alinhamentos de insumos +TGF beta</t>
  </si>
  <si>
    <t>Estudo de validação e penetração termica</t>
  </si>
  <si>
    <t>Estudo de WPH resistência termica</t>
  </si>
  <si>
    <t>Primárias dos resultados dos testes acima</t>
  </si>
  <si>
    <t>Contato fornecedor de embalagens</t>
  </si>
  <si>
    <t>Envio de amostras para análise externa</t>
  </si>
  <si>
    <t>Avaliação de nova MP para teste piloto</t>
  </si>
  <si>
    <t>Pesquisa de artigos para descobrir a ausência de vit C na dieta retort UTI</t>
  </si>
  <si>
    <t>Estudo de formulação de proteína líquida</t>
  </si>
  <si>
    <t>2023 - PROTEÍNA LÍQUIDA</t>
  </si>
  <si>
    <t>Deslocamento (Rio - Curitiba) para teste de bancada</t>
  </si>
  <si>
    <t>2018 - Linha Trophic Soya Líquido</t>
  </si>
  <si>
    <t>Treinamento simulador de custos</t>
  </si>
  <si>
    <t>Contato fornecedor: entendimento estabilidade proteína</t>
  </si>
  <si>
    <t>Análises bancada Trophic Soya 1.5 Fiber</t>
  </si>
  <si>
    <t>Deslocamento : retorno  Curitiba - Rio</t>
  </si>
  <si>
    <t>Planejamento teste industrial Latco</t>
  </si>
  <si>
    <t>Definição próximas etapas do projeto</t>
  </si>
  <si>
    <t>Deslocamento teste industrial Latco: Rio - Paraná</t>
  </si>
  <si>
    <t>Teste Industrial Latco - dieta HH</t>
  </si>
  <si>
    <t>Teste Industrial Latco - validação térmica autoclave</t>
  </si>
  <si>
    <t>Deslocamento teste industrial Latco: Paraná - Rio</t>
  </si>
  <si>
    <t>Relatório teste industrial Latco</t>
  </si>
  <si>
    <t>Envio de amostra para análise externa</t>
  </si>
  <si>
    <t>Alinhamento teste industrial Latco - validação térmica</t>
  </si>
  <si>
    <t>Desenvolvimento de novo produto - análise nutricional</t>
  </si>
  <si>
    <t>Desenvolvimento de desenho de pesquisa clínica para novo produto</t>
  </si>
  <si>
    <t>2023 - PESQUISA CLÍNICA - CICATRIZAÇÃO</t>
  </si>
  <si>
    <t>Prospecção de novos estudos com produtos de portfólio</t>
  </si>
  <si>
    <t>2021 - Estudo de Caso</t>
  </si>
  <si>
    <t>Desenvolvimento de novo produto - análise de novo ingrediente</t>
  </si>
  <si>
    <t>Desenvolvimento de material de comunicação a partir de resultado de pesquisa</t>
  </si>
  <si>
    <t>2021 - Pesquisa Clínica - Hdmax</t>
  </si>
  <si>
    <t>Desenvolvimento de cálculo para normalização de resultados analíticos, a fim de definir se o resultado obtido em análise pode ser considerado como representativo.</t>
  </si>
  <si>
    <t>2021 - Pesquisa Aplicada - Resultados P&amp;D</t>
  </si>
  <si>
    <t>Aplicação de critérios de seleção em novas metodologias de análise</t>
  </si>
  <si>
    <t>Aplicação de critérios de aceitação para definição de isenção de glúten no produto</t>
  </si>
  <si>
    <t>Condução em teste piloto UHT para obtenção de produtos após reformulação do pré mix de minerais</t>
  </si>
  <si>
    <t>Análise sensorial dos produtos obtidos em teste piloto e seleção de análises para verificação da eficiência do teste</t>
  </si>
  <si>
    <t>Avaliação de documentação necessária para submissão do produto a processo de licitação e treinamento de colaborador nos documentos existentes</t>
  </si>
  <si>
    <t>Verificação de medidas necessárias para viabilidade de teste industrial, que será realizado em copacker</t>
  </si>
  <si>
    <t>Verificação de medidas necessparias para seguimento do projeto</t>
  </si>
  <si>
    <t>2021 - Energyzip 25%</t>
  </si>
  <si>
    <t>Elaboração de fluxograma para teste industrial</t>
  </si>
  <si>
    <t>Levantamento de dados para resposta a exigência Anvisa em processo de registro das fórmulas HH, HN e Diamax RTH.</t>
  </si>
  <si>
    <t>Aplicação de critérios de aceitação para alteração de fórmula da dieta UTI</t>
  </si>
  <si>
    <t>Levantamento de dados para estudo de viabilidade do projeto</t>
  </si>
  <si>
    <t>Avaliação de resultados analíticos do tempo final do estudo de estabilidade e avaliação de viabilidade de extensão de prazo de validade</t>
  </si>
  <si>
    <t>Avaliação crítica de exigência Anvisa e levantamento de documentação necessária para respost</t>
  </si>
  <si>
    <t>Elaboração de documento para cumprimento da exigência da Anvisa para registro dos produtos HH, HN e Diamax RTH</t>
  </si>
  <si>
    <t>Pesquisa sobre atuação de hidrocoloides na manutenção da viscosidade do produto</t>
  </si>
  <si>
    <t>Elaboração de documento esclarecendo as fontes de nutrientes utilizadas e Estudo de estabilidade conduzidos, para recurso em pregão do ministério da saúde</t>
  </si>
  <si>
    <t>Deslocamento para Cruzeiro do Oesta para realização de testes industriais em autoclave</t>
  </si>
  <si>
    <t>Preparo da dieta HH nas instalações Latco, para validação térmica da autoclave</t>
  </si>
  <si>
    <t>Estudo de distribuição térmica para validação da autoclave</t>
  </si>
  <si>
    <t>Estudo de penetração térmica para validação da autoclave</t>
  </si>
  <si>
    <t>Deslocamento de Cruzeiro do Oesta, onde foram realizados  testes industriais em autoclave</t>
  </si>
  <si>
    <t>Pesquisa básica para desenvolvimento do produto</t>
  </si>
  <si>
    <t>2022 - Peptimax Júnior</t>
  </si>
  <si>
    <t>Desenvolvimento de escrita para apresentação de pesquisa - aspen</t>
  </si>
  <si>
    <t>Prospecção de novos estudos</t>
  </si>
  <si>
    <t>Desenvolvimento novo produto - análise aminograma MP</t>
  </si>
  <si>
    <t>Alinhamento de desenvolvimento de estudo de caso com profissionais</t>
  </si>
  <si>
    <t>Organização das amostras do teste industrial para início de EE.</t>
  </si>
  <si>
    <t>Conferência de NF de análise de produto.</t>
  </si>
  <si>
    <t>Avaliaçao de tendência da concentração dos premixes ao longo do estudo de estabilidade.</t>
  </si>
  <si>
    <t>Análise dos resultados laboratoriais do produto em T0.</t>
  </si>
  <si>
    <t>Análise de dados para responder exigência do HN.</t>
  </si>
  <si>
    <t>Determinação da IN do CorrectMax</t>
  </si>
  <si>
    <t>Determinação de métodos analíticos para quantificar TGF beta2.</t>
  </si>
  <si>
    <t>Preparação e análise da exigência da HN para construção da resposta.</t>
  </si>
  <si>
    <t>Avaliação física das embalagens e produto após TP.</t>
  </si>
  <si>
    <t>Deslocamento para TP Retort - RJ</t>
  </si>
  <si>
    <t>Teste Piloto EMBRAPA RJ</t>
  </si>
  <si>
    <t>Deslocamento retorno TP Retort - RJ</t>
  </si>
  <si>
    <t>Double check MP (vitaminas + minerais) para TP EMBRPA - RJ</t>
  </si>
  <si>
    <t>Avaliação físico química dos retorts do teste piloto realizado na EMBRAPA (viscosidade, pH e administração)</t>
  </si>
  <si>
    <t>Análise de dados e construção de resposta para Exigência do HN.</t>
  </si>
  <si>
    <t>Análise e discussão de relatório do teste Latco</t>
  </si>
  <si>
    <t>Monitormento da qualidade do produto</t>
  </si>
  <si>
    <t>Alinhamento teste industrial Latco - relatório final da validação térmica</t>
  </si>
  <si>
    <t>Planejamento teste piloto Embrapa - levantamento de MP</t>
  </si>
  <si>
    <t>Estudo de novas MP's + contato fornecedores</t>
  </si>
  <si>
    <t>Planejamento teste piloto Embrapa - disponibilidade de MP</t>
  </si>
  <si>
    <t>Planejamento teste piloto Embrapa - envio da formulação para pesagem</t>
  </si>
  <si>
    <t>Planejamento testes industriais Latco -</t>
  </si>
  <si>
    <t>Trâmites fiscais para envio da MP para Embrapa</t>
  </si>
  <si>
    <t>Separação MP's teste piloto Embrapa</t>
  </si>
  <si>
    <t>Teste de bancada novo caseinato de cálcio</t>
  </si>
  <si>
    <t>Planejamento teste piloto Embrapa - formulação proteína líquida</t>
  </si>
  <si>
    <t>Teste piloto Embrapa - dieta UTI e NHcF</t>
  </si>
  <si>
    <t>Teste piloto Embrapa - dieta NN e proteína líquida</t>
  </si>
  <si>
    <t>Relatório teste piloto Embrapa</t>
  </si>
  <si>
    <t>Coordenação retorno dos materiais teste Embrapa</t>
  </si>
  <si>
    <t>Alinhamento técnico estrutura pouch</t>
  </si>
  <si>
    <t>Trâmites fiscais para envio de amostra para análise externa</t>
  </si>
  <si>
    <t>Planjemaneto Teste Industrial Latco</t>
  </si>
  <si>
    <t>Trâmites fiscais - NFs contrato Embrapa</t>
  </si>
  <si>
    <t>Pesquisa básica de MP junto ao fornecedor - Ácido Cítrico</t>
  </si>
  <si>
    <t>Aplicação e preparo de amostras para envio à Seochang (Pouches)</t>
  </si>
  <si>
    <t>Pesquisa básica de MP junto ao fornecedor - CasNa</t>
  </si>
  <si>
    <t>Pesquisa básica de MP junto ao fornecedor - Carragena</t>
  </si>
  <si>
    <t>Atualização de cronograma</t>
  </si>
  <si>
    <t>Teste Industrial Latco - DiamaxIG</t>
  </si>
  <si>
    <t>Teste Industrial Latco - Trophic 1.5 RTH</t>
  </si>
  <si>
    <t>Elaboração relatório Teste Industrial Latco</t>
  </si>
  <si>
    <t>Pesquisa básica - Revisão de literatura sobre de desfechos de estudos</t>
  </si>
  <si>
    <t>2021 - Pesquisa Clínica - Instanth Neo</t>
  </si>
  <si>
    <t>Pesquisa Clínica - Análise de resultados obtidos com o uso do produto em população específica</t>
  </si>
  <si>
    <t>2023 - PESQUISA CLÍNICA - IMMAX</t>
  </si>
  <si>
    <t>Pesquisa básica para produção de material cientifico</t>
  </si>
  <si>
    <t>2021 - Pesquisa Clínica - Diamax IG</t>
  </si>
  <si>
    <t>2023 - PESQUISA APLICADA - ARTESANAL</t>
  </si>
  <si>
    <t>Pesquisa básica para desenvolvimento de protocolo de estudo de caso</t>
  </si>
  <si>
    <t>Pesquisa básica para desenvolvimento de protocolo de pesquisa de aplicaçao</t>
  </si>
  <si>
    <t>2024 - PESQUISA DE APLICAÇÃO MICROBIOLOGIA</t>
  </si>
  <si>
    <t>2024 - PESQUISA DE APLICAÇÃO TROPHIC RTH</t>
  </si>
  <si>
    <t>2023 - PESQUISA ÍNDICE GLICÊMICO - DIAMAX IN / SF UTI</t>
  </si>
  <si>
    <t>Pesquisa básica para desenvolvimento de protocolo de pesquisa clinica</t>
  </si>
  <si>
    <t>Pesquisa básica para desenvolvimento de novo produto</t>
  </si>
  <si>
    <t>2024 - DIAMAX 1.5</t>
  </si>
  <si>
    <t>congresso Ganepão - atualizações paciente UTI, Oncologia, Pesquisa clínica e estudos de casos</t>
  </si>
  <si>
    <t>Innovation day - tendência de proteína no mercado</t>
  </si>
  <si>
    <t>Innovation day - tecnologia de proteínas vegetais</t>
  </si>
  <si>
    <t>Treinamento sobre Gestão de Projetos com a FIEP</t>
  </si>
  <si>
    <t>Participação banca avaliação do projeto em Business Case (mercado, embalagem )</t>
  </si>
  <si>
    <t>Discussão sobre buscas de matérias primas com Supply</t>
  </si>
  <si>
    <t>Discussão do projeto com Manutenção, Qualidade, Produção e Marketing</t>
  </si>
  <si>
    <t>Testes laboratoriais de bancada para avaliação sabor, odor, administração, osmolalidade de lote produzido em Teste Industrial - Soya pó</t>
  </si>
  <si>
    <t>Testes laboratoriais de bancada para avaliação sabor, odor, administração, osmolalidade de lote produzido em Teste Industrial - Soya Fiber pó</t>
  </si>
  <si>
    <t>INOV00042</t>
  </si>
  <si>
    <t>Determinação peso colher dosadora</t>
  </si>
  <si>
    <t>2023 - PROTEINPT WHEY LATA</t>
  </si>
  <si>
    <t>Avaliação de aspecto, solubilidade e sabor fórmula com matéria prima Cenoura reformulada pelo fabricante</t>
  </si>
  <si>
    <t>Avaliação dos tópicos do contrato consultoria PUC-PR Prof Alvaro</t>
  </si>
  <si>
    <t>2022 - Spray dryer</t>
  </si>
  <si>
    <t>Discussão sobre versão 3 da proposta de trabalho</t>
  </si>
  <si>
    <t>Discussão sobre presença de verniz nova lata litografada</t>
  </si>
  <si>
    <t>Discussão sobre embalagem com Produção e Manutenção</t>
  </si>
  <si>
    <t>Alinhamento projeto</t>
  </si>
  <si>
    <t>Alinhamento fornecimento matéria prima e análises microbiológicas fornecedor da proteína de ervilha</t>
  </si>
  <si>
    <t>Discussão sobre execução de análises para pesquisa e obtenção de resultados de TGF-beta2 nas matérias primas</t>
  </si>
  <si>
    <t>Discussão sobre insights obtidos na feira NIS</t>
  </si>
  <si>
    <t>Alinhamento próximos passos e atividades projeto Gestão de Projetos</t>
  </si>
  <si>
    <t>Teste para obtenção do peso da colher de sopa/dose de produto</t>
  </si>
  <si>
    <t>Preparo de amostra com nova matéria prima alternativa (nova oopção de fornecedor) para envio para análise de aminoácidos em laboratório externo</t>
  </si>
  <si>
    <t>Execução análise de osmolalidade</t>
  </si>
  <si>
    <t>Teste de bancada em fórmula com aplicação de novo fornecedor de Cacau para avaliação de sabor, solubilidade como critério de aprovação de matéria prima alternativa</t>
  </si>
  <si>
    <t>2023 – SUSTENLAC</t>
  </si>
  <si>
    <t>Teste de bancada em fórmula com aplicação de novo fornecedor de PIS para avaliação de sabor, solubilidade como critério de aprovação de matéria prima alternativa</t>
  </si>
  <si>
    <t>Discussão sobre Briefing do projeto</t>
  </si>
  <si>
    <t>Discussão sobre parâmetros de selagem embalagem</t>
  </si>
  <si>
    <t>Pesquisa com fornecedores sobre estabilidade do produto e embalagem</t>
  </si>
  <si>
    <t>Avaliação de ficha técnica de matéria prima</t>
  </si>
  <si>
    <t>Avaliação de ficha técnica de embalagem pote novo fornecedor</t>
  </si>
  <si>
    <t>Avaliação de ficha técnica de embalagem lata litografada e atendimento de legislações</t>
  </si>
  <si>
    <t>Teste de rotulagem em embalagem pote novo fornecedor</t>
  </si>
  <si>
    <t>Avaliação do perfil peptídico de matéria prima</t>
  </si>
  <si>
    <t>Definição da especificação interna Prodiet para embalagem lata litografada</t>
  </si>
  <si>
    <t>Definição da especificação interna Prodiet para aroma natural</t>
  </si>
  <si>
    <t>Inscrição curso Nutrição e Qualidade Nutricional Alimentos</t>
  </si>
  <si>
    <t>Análise de estabilidade da fórmula com 24 meses após produção: administração produto por sonda, análise de osmolalidade, sabor, odor (análises laboratoriais físico químicas)</t>
  </si>
  <si>
    <t>Análise de estabilidade da fórmula com 12 meses após produção: degustação, análises de sabor, odor (análises laboratoriais físico químicas)</t>
  </si>
  <si>
    <t>Avaliação do produto com nova matéria prima alternativa (novo fornecedor) em comparação ao produto padrão. Análises físico quimicas de solubilidade, aspecto pó, aspecto diluído, sabor, odor, colher medida</t>
  </si>
  <si>
    <t>Desenvolvimento de novo produto - análise de mercado</t>
  </si>
  <si>
    <t>Desenvolvimento de novo produto - análise regulatória</t>
  </si>
  <si>
    <t>Desenvolvimento de pesquisa com o uso do produto Prodiet</t>
  </si>
  <si>
    <t>Desenvolvimento de pesquisa com o uso do produto para cicatrização</t>
  </si>
  <si>
    <t>Desenvolvimento de pesquisa aplicada com o uso do produto Prodiet</t>
  </si>
  <si>
    <t>Desenvolvimento de novo produto - análise do projeto</t>
  </si>
  <si>
    <t>Desenvolvimento de novo produto - análise de material</t>
  </si>
  <si>
    <t>Teste piloto para defenição de estabilizante adequado para a fórmula</t>
  </si>
  <si>
    <t>Avaliação de parâmetros que afetam estabilidade proteica</t>
  </si>
  <si>
    <t>Avaliação de resultados analíticos de D+15 de teste piloto</t>
  </si>
  <si>
    <t>Deslocamento para execução de teste piloto</t>
  </si>
  <si>
    <t>Execução de teste piloto, realizado na EMBRAPA - RJ</t>
  </si>
  <si>
    <t>Realização de teste de bancada em planta UHT para avaliação da concentração ótima de carragena</t>
  </si>
  <si>
    <t>Aplicação de avaliação sensorial ao produto obtido no teste de bancada em planta UHT</t>
  </si>
  <si>
    <t>Deslocamento para Cruzeiro do Oeste para realização de teste industrial</t>
  </si>
  <si>
    <t>Preparo da dieta Diamax IG RTH em escala industrial para avaliação do comportamento da fórmula</t>
  </si>
  <si>
    <t>Envase e esterelização da dieta Diamax IG RTH para avaliação do compormtamento da fórmula.</t>
  </si>
  <si>
    <t>Preparo da dieta Trophic 1.5 RTH em escala industrial para avaliação do comportamento da fórmula</t>
  </si>
  <si>
    <t>Envase e esterelização da dieta Trophic 1.5 RTH para avaliação do compormtamento da fórmula.</t>
  </si>
  <si>
    <t>Deslocamento de Cruzeiro do Oeste para realização de teste industrial</t>
  </si>
  <si>
    <t>Desenvolvimento de escrita e aprofundamento científico da pesquisa de aplicação</t>
  </si>
  <si>
    <t>2024 - PEPTÍDICA JUNIOR LÍQUIDA</t>
  </si>
  <si>
    <t>Prospecção de novos estudos com produtos do portifólio</t>
  </si>
  <si>
    <t>Desenvolvimento de novo produto - análise nutricional de matéria prima</t>
  </si>
  <si>
    <t>2024 - TROPHIC JUNIOR LÍQUIDO</t>
  </si>
  <si>
    <t>Levantamento científico para escrita da pesquisa</t>
  </si>
  <si>
    <t>Prospecção de centros para execução da pesquisa</t>
  </si>
  <si>
    <t>Desenvolvimento de novo produto - pesquisa aprofundada recomendações nutricionais</t>
  </si>
  <si>
    <t>Estudo estatísitico para escrita resultados pesquisa</t>
  </si>
  <si>
    <t>Desenvolvimento de escrita científica das características do produto e público</t>
  </si>
  <si>
    <t>Desenvolvimento de ficha de aplicação para execução de pesquisa</t>
  </si>
  <si>
    <t>Prospecção de nova pesquisa com produto do portifólio</t>
  </si>
  <si>
    <t>2023 - PESQUISA CLÍNICA - CARBOCH</t>
  </si>
  <si>
    <t>2024 - PESQUISA CLÍNICA - PROTEIN PT WHEY</t>
  </si>
  <si>
    <t>Levantamento revistas publicação pesquisa</t>
  </si>
  <si>
    <t>Análise de resultados e escrita da pesquisa</t>
  </si>
  <si>
    <t>Desenvolvimento de pesquisa</t>
  </si>
  <si>
    <t>Desenvolvimento de briefing</t>
  </si>
  <si>
    <t>Prospecção  de novos estudos com produtos do portifólio</t>
  </si>
  <si>
    <t>Deslocamento para RJ - teste piloto EMBRAPA.</t>
  </si>
  <si>
    <t>Teste piloto EMBRAPA RJ</t>
  </si>
  <si>
    <t>Teste Piloto - EMBRAPA RJ</t>
  </si>
  <si>
    <t>Deslocamento para Curitiba - após teste piloto EMBRAPA RJ.</t>
  </si>
  <si>
    <t>Double check das matérias-primas para o teste piloto - EMBRAPA RJ</t>
  </si>
  <si>
    <t>Análise de dados e construção de relatório de EE para o CorrectMax.</t>
  </si>
  <si>
    <t>Análise de dados e construção de relatório para inclusão de fabricante - Retort.</t>
  </si>
  <si>
    <t>Análise de dados para definição da informação nutricional do PA.</t>
  </si>
  <si>
    <t>Análise dos resultados dos nutrientes para T24.</t>
  </si>
  <si>
    <t>Definição da IN do Trophic Soya Pó</t>
  </si>
  <si>
    <t>Análise de dados de estudo de estabilidade para construção de informação nutricional.</t>
  </si>
  <si>
    <t>Análise de dados de estudo de estabilidade e elaboração de relatório de estudo de estabilidade.</t>
  </si>
  <si>
    <t>Avaliação de amostras sobre a qualidade e tipo de bico em pouch retort.</t>
  </si>
  <si>
    <t>Elaboração do relatório sobre a qualidade da embalagem e bico do pouch retort.</t>
  </si>
  <si>
    <t>Elaboração do relatório de estudo de estabilidade.</t>
  </si>
  <si>
    <t>Realização de análise de densidade e osmolalidade e preenchimento do estudo de estabilidade.</t>
  </si>
  <si>
    <t>Pesquisa na literatura científca sobre o comportamentos de minerais.</t>
  </si>
  <si>
    <t>Análise de resultados de análise.</t>
  </si>
  <si>
    <t>Pesquisa na literatura científca sobre o comportamentos das vitaminas.</t>
  </si>
  <si>
    <t>Análise dos resultados dos nutrientes para T12.</t>
  </si>
  <si>
    <t>Alinhamento técnico nova envasadora para fábrica Prodiet</t>
  </si>
  <si>
    <t>Avaliação dos resultados - análise de distribuição de partículas DiamaxIG</t>
  </si>
  <si>
    <t>Elaboração de relatório - de pouches delaminados - e envio para o fornecedor</t>
  </si>
  <si>
    <t>Alinhamento técnico - tempos de processo Latco</t>
  </si>
  <si>
    <t>Alinhamento técnico - fluxo de processo Latco</t>
  </si>
  <si>
    <t>Planejamento teste industrial Latco - formulações HH e HNcF</t>
  </si>
  <si>
    <t>Elaboração do cronograma teste industrial Latco</t>
  </si>
  <si>
    <t>Estudo fórmula UTI  - ajuste de viscosidade e premix de vitaminas</t>
  </si>
  <si>
    <t>Estudo fórmula HN - ajuste de aditivos</t>
  </si>
  <si>
    <t>Pesquisa básica de nova MP junto a fornecedores</t>
  </si>
  <si>
    <t>Planejamento teste piloto Embrapa - fórmulas UTI e HN</t>
  </si>
  <si>
    <t>Pesquisa básica de MP junto ao fornecedor - Celulose Microcristalina</t>
  </si>
  <si>
    <t>Planejamento teste piloto: disponibilidade de MP</t>
  </si>
  <si>
    <t>Atualização das especificações das MPs</t>
  </si>
  <si>
    <t>Alinhamento com a equipe teste Latco</t>
  </si>
  <si>
    <t>Trâmites logísticos teste industrial Latco</t>
  </si>
  <si>
    <t>Teste industrial Latco</t>
  </si>
  <si>
    <t>Ajuste de formulação dieta UTI - melhoria de viscosidade</t>
  </si>
  <si>
    <t>Teste industrial Latco: dieta HH</t>
  </si>
  <si>
    <t>Teste industrial Latco: dieta HNcF</t>
  </si>
  <si>
    <t>Teste piloto embrapa: HN e UTI</t>
  </si>
  <si>
    <t>Trâmites logísticos teste piloto Embrapa</t>
  </si>
  <si>
    <t>Teste piloto Embrapa</t>
  </si>
  <si>
    <t>Elaboração relatório teste piloto Embrapa</t>
  </si>
  <si>
    <t>Avaliação dos resultados de T0 das vitaminas da dieta HNcF (Teste Industrial)</t>
  </si>
  <si>
    <t>Estudo de novas MP + contato fornecedores</t>
  </si>
  <si>
    <t>Alinhamento teste piloto Embrapa</t>
  </si>
  <si>
    <t>Avaliação dos resultados de análise de distribuição de partículas das dietas HNcF e HH</t>
  </si>
  <si>
    <t>Contato com fornecedor entendimento composição de proteína alternativa para o retort</t>
  </si>
  <si>
    <t>Ajuste de formulação diet HN: estabilização da fórmula</t>
  </si>
  <si>
    <t>Pesquisa básica para desenvolvimento de protocolo de série de casos</t>
  </si>
  <si>
    <t>Pesquisa básica para escrita de artigo científico</t>
  </si>
  <si>
    <t>Desenvolvimento científico de novo produto</t>
  </si>
  <si>
    <t>Desenvolvimento de pesquisa com uso de novo produto</t>
  </si>
  <si>
    <t>Pesquisa de determinação de índice glicêmico</t>
  </si>
  <si>
    <t>2019 - Sarcopenia</t>
  </si>
  <si>
    <t>Levantamento e fichamento para desenvolvimento de escrita</t>
  </si>
  <si>
    <t>Alinhamento de desenvolvimento de pesquisa com profissionais</t>
  </si>
  <si>
    <t>Desenvolvimento de escrita da pesquisa</t>
  </si>
  <si>
    <t>Prospecção de profissional para pesquisa com produto prodiet</t>
  </si>
  <si>
    <t>Desenvolvimento de novo produto - resultados aprofundamento recomendações nutricionais</t>
  </si>
  <si>
    <t>Desenvolvimento de novo produto - apresentação resultados aprofundamento recomendações nutricionais</t>
  </si>
  <si>
    <t>Alinhamento de desenvolvimento de pesquisa</t>
  </si>
  <si>
    <t>Prospecção de locais para pesquisa com novo produto Prodiet</t>
  </si>
  <si>
    <t>Desenvolvimento de novo produto - elaboração briefing</t>
  </si>
  <si>
    <t>Desenvolvimento de novo produto - briefing</t>
  </si>
  <si>
    <t>Alinhamento de desenvolvimento de pesquisa com profissionais -</t>
  </si>
  <si>
    <t>Revisão escrita artigo</t>
  </si>
  <si>
    <t>Desenvolvimento de novo produto - aprofundamento recomendações nutricionais</t>
  </si>
  <si>
    <t>Aprofundamento recomendações nutricionais</t>
  </si>
  <si>
    <t>Desenvolvimento de novo produto - construção de briefing</t>
  </si>
  <si>
    <t>Desenvolvimento de escrita para artigo - revisão</t>
  </si>
  <si>
    <t>Escrita estudo de caso</t>
  </si>
  <si>
    <t>Pesquisa e prospecção de profissionais para pesquisa com novo produto Prodiet</t>
  </si>
  <si>
    <t>Treinamento equipe sobre produto prodiet</t>
  </si>
  <si>
    <t>Levantamento científico para desenvolvimento de pesquisa com novo produto prodiet</t>
  </si>
  <si>
    <t>Levantamento científico para escrita artigo</t>
  </si>
  <si>
    <t>Análise de dados e contrução de relatório de EE do CorrectMax.</t>
  </si>
  <si>
    <t>Análise de dados para resposta a exigência da ANVISA</t>
  </si>
  <si>
    <t>Avaliação de tendência dos nutrientes para o Peptimax Júnior Pó.</t>
  </si>
  <si>
    <t>Análise de dados, pesquisa na literatura científica para construção do artigo de EE.</t>
  </si>
  <si>
    <t>Avaliação de nova matéria-prima para o retort</t>
  </si>
  <si>
    <t>Avaliação e análise da tendência de comportamento dos nutrientes ao longo do shelf life.</t>
  </si>
  <si>
    <t>Análise de dados e definição de IN proposta para o Trophic Soya_WPI.</t>
  </si>
  <si>
    <t>Preparo de amostras para envio à análise externa.</t>
  </si>
  <si>
    <t>Avaliação dos métodos de análise.</t>
  </si>
  <si>
    <t>Levantamento de detalhes e definições sobre o projeto.</t>
  </si>
  <si>
    <t>Solicitação de análise de macro e micronutrientes.</t>
  </si>
  <si>
    <t>Organização e solicitação de análise de macro nutrientes.</t>
  </si>
  <si>
    <t>Avaliação de métodos de análise.</t>
  </si>
  <si>
    <t>Análise de dados e redação do relatório de EE.</t>
  </si>
  <si>
    <t>Coleta de dados para preenchimento da matriz regulatória.</t>
  </si>
  <si>
    <t>Análise de dados para construção da IN Provisória.</t>
  </si>
  <si>
    <t>Organização e preenchimento de solicitação de análise para as amostras do retort.</t>
  </si>
  <si>
    <t>Solicitação de análise para as amostras do retort</t>
  </si>
  <si>
    <t>Avaliação da concentração dos nutrientes do premix de vit e minerais para aplicação no produto UHT.</t>
  </si>
  <si>
    <t>2024 - TROPHIC JUNIOR LÍQUIDA</t>
  </si>
  <si>
    <t>Pesquisa e construção do projeto Mix Colina.</t>
  </si>
  <si>
    <t>Avaliação dos resultados de vitaminas e minerais do PA.</t>
  </si>
  <si>
    <t>Elaboração relatório Embrapa</t>
  </si>
  <si>
    <t>Preparação de teste piloto Embrapa</t>
  </si>
  <si>
    <t>Avaliação dos resultados de T0 das vitaminas da dieta HH do teste industrial</t>
  </si>
  <si>
    <t>Planejamento teste industrial Latco: dieta NN</t>
  </si>
  <si>
    <t>Planejamento teste industrial Latco: dieta NHcF</t>
  </si>
  <si>
    <t>Contato fornecedor nova MP: óleo de peixe para dieta UTI</t>
  </si>
  <si>
    <t>Contato fornecedor: carragena</t>
  </si>
  <si>
    <t>Estudo de nova MP alternativa: Caseinato de Sódio</t>
  </si>
  <si>
    <t>Avaliação de levantamento de dados para inclusção da Coman Latco como fabricante dos produtos retort</t>
  </si>
  <si>
    <t>Avaliação de formulação de pré mix para confirmação de atendimento ao target solicitado em edital do MS</t>
  </si>
  <si>
    <t>Definilção de tamanho de lote e quantidade necessária de matéria prima necessária para excecução de teste piloto</t>
  </si>
  <si>
    <t>Deslocamaneto para Cruzeiro do Oeste para realização de testes industrias nos produtos retort</t>
  </si>
  <si>
    <t>Preparação para testes industriais nos produtos retort</t>
  </si>
  <si>
    <t>Teste industrial Latco: dieta Trophic Soya RTH (NN)</t>
  </si>
  <si>
    <t>Teste industrial Latco: dieta Trophic 1.5 (HN)</t>
  </si>
  <si>
    <t>Teste industrial Latco: dieta Trophic PTN Fiber (NHcF)</t>
  </si>
  <si>
    <t>Aplicação de testes de aceitação em informação nutricional proposta.</t>
  </si>
  <si>
    <t>Avaliação de informação nutricional do produto, considerando formulação teórica e resultado analítico</t>
  </si>
  <si>
    <t>Levantamento de dados para avaliação de possíveis causas para abertura da tampa da embalagem durante tratamento térmico</t>
  </si>
  <si>
    <t>Avaliação de resultados analíticos, de vitaminas, minerais e reologia do produto no saber chocolate.</t>
  </si>
  <si>
    <t>Análise de sabor e odor no lote de grão de bico recebido para teste industrial</t>
  </si>
  <si>
    <t>Levantamento com demais setores sobre recebimento de matérias primas para teste industrial</t>
  </si>
  <si>
    <t>Avaliação de ficha técnica novo fornecedr cloreto de sódio</t>
  </si>
  <si>
    <t>Desenvolvimento teórico da formulação</t>
  </si>
  <si>
    <t>Discussão técnica sobre formulação teórica com Coordenação</t>
  </si>
  <si>
    <t>Ajustes de fórmula teórica para retirada de aminoácino Glutamina</t>
  </si>
  <si>
    <t>Discussão área técnica sobre tendências ESPEN</t>
  </si>
  <si>
    <t>Atualização de custo da fórmula</t>
  </si>
  <si>
    <t>Dia de laboratório, avaliação em bancada formulação inicial: MP WPH isolado e sensorial mistura fórmula 01</t>
  </si>
  <si>
    <t>Criação de cadastros</t>
  </si>
  <si>
    <t>Avaliação de ficha técnica Cenoura em pH, formação divergente entre aprovação MP x homologação</t>
  </si>
  <si>
    <t>Discussão sobre Business Case e teste industrial</t>
  </si>
  <si>
    <t>Alinhamento com Suprimentos sobre mais compra de MP para teste industrial</t>
  </si>
  <si>
    <t>Discussões sobre volume e amostras teste industrial</t>
  </si>
  <si>
    <t>Dia de laboratório: teste de sabo e odor para redução de sacarose, inclusão de WPH com maior teor de lactose, avaliação de aromatizante</t>
  </si>
  <si>
    <t>Discussão com setor industrial sobre execução do teste industrial</t>
  </si>
  <si>
    <t>Elaboração de relatório com resultados dos testes de bancada</t>
  </si>
  <si>
    <t>Primeiro encontro após evento Innovation Week: discussões de projetos, ideias, protótipos</t>
  </si>
  <si>
    <t>Revisão de proposta e objetivos projetos com Mauá, USP e PUCPR</t>
  </si>
  <si>
    <t>Alinhamento sobre levantamento científico para pesquisa com novo produto prodiet</t>
  </si>
  <si>
    <t>Alinhamento desenho estudo de caso com produto prodiet.</t>
  </si>
  <si>
    <t>Desenvolvimento escrita do artigo - revisão</t>
  </si>
  <si>
    <t>2024 - PESQUISA APLICAÇÃO MICROBIOLOGIA</t>
  </si>
  <si>
    <t>Desenvolvimento de novo produto - revisão de briefing e elaboração apresentação</t>
  </si>
  <si>
    <t>Envio e produtos para pesquisa</t>
  </si>
  <si>
    <t>Desenvolvimento de novo produto - revisão de briefing</t>
  </si>
  <si>
    <t>Aprofundamento aminograma e possibilidades de composição</t>
  </si>
  <si>
    <t>Alinhamento com equipe sobre pesquisa aplicação a realizar com produto prodiet</t>
  </si>
  <si>
    <t>2024 - PESQUISA APLICAÇÃO TROPHIC RTH</t>
  </si>
  <si>
    <t>Prospecção profissional para desenvolvimento de pesquisa com novo produto prodiet</t>
  </si>
  <si>
    <t>Alinhamento e discussão científica para desenho de pesquisa com novo produto prodiet.</t>
  </si>
  <si>
    <t>Desenvolvimento de novo produto - revisão de briefing e apresentação para equipe</t>
  </si>
  <si>
    <t>INOV00053</t>
  </si>
  <si>
    <t>Desenvolvimento da escrita de briefing para pesquisa prodiet science</t>
  </si>
  <si>
    <t>2024 - PROJETOS PRODIET SCIENCE</t>
  </si>
  <si>
    <t>Alinhamento e planilhar resultados pesquisa</t>
  </si>
  <si>
    <t>Alinhamento resultados de estudo de caso com produto prodiet</t>
  </si>
  <si>
    <t>Elaboração apresentação do aprofundamento científico para novo produto</t>
  </si>
  <si>
    <t>Revisão tradução da escrita do artigo para publicação</t>
  </si>
  <si>
    <t>Escrita relatório de prospecções de pesquisas com novos produtos prodiet</t>
  </si>
  <si>
    <t>Calculos de aminograma para possibilidades de composição para produto</t>
  </si>
  <si>
    <t>Alinhamento briefing de pesquisa para prodiet science</t>
  </si>
  <si>
    <t>Análise científica de composição da fórmula conforme briefing.</t>
  </si>
  <si>
    <t>Alinhamentos e retornos de prospecções + desenho de pesquisa</t>
  </si>
  <si>
    <t>Submissão artigo em revista</t>
  </si>
  <si>
    <t>Escrita de estudo de caso para publicação do artigo.</t>
  </si>
  <si>
    <t>Apresentação aprofundamento científico para equipe e definição de desenho da fórmula</t>
  </si>
  <si>
    <t>Prospecções de profissionais para pesquisa + alinhamento desenho pesquisa com aprofundamento científico</t>
  </si>
  <si>
    <t>Aprofundamento científico para busca de tendências nutricionais, análise de portifólio e proposta de pipeline.</t>
  </si>
  <si>
    <t>Aprofundamento científico para desenho de projeto de pesquisa + prospecção local para pesquisa</t>
  </si>
  <si>
    <t>Aprofundamento científico para revisão de briefing</t>
  </si>
  <si>
    <t>Escrita e elaboração de briefing</t>
  </si>
  <si>
    <t>Aprofundamento científico e pesquisa para projeto lançamento SF</t>
  </si>
  <si>
    <t>Elaboração conteúdo científico</t>
  </si>
  <si>
    <t>Alinhamento de desenho estudo para continuidade de pesquisa</t>
  </si>
  <si>
    <t>Aprofundamento científico e escrita da revisão de briefing</t>
  </si>
  <si>
    <t>SUM de Tempo(h)</t>
  </si>
  <si>
    <t>SUM de Custo</t>
  </si>
  <si>
    <t>Alyne Alves Nunes Oliveira Total</t>
  </si>
  <si>
    <t>Ok</t>
  </si>
  <si>
    <t>Ana Claudia Zanini Total</t>
  </si>
  <si>
    <t>Ana Paula Biz Total</t>
  </si>
  <si>
    <t>Ana Paula Celes Total</t>
  </si>
  <si>
    <t>Camila Mendes Pereira Total</t>
  </si>
  <si>
    <t>Juliana Lamas Roberto Total</t>
  </si>
  <si>
    <t>Raissa Bellotti Total</t>
  </si>
  <si>
    <t>INOV00001 Total</t>
  </si>
  <si>
    <t>Gabriela Faria de Oliveira Total</t>
  </si>
  <si>
    <t>INOV00004 Total</t>
  </si>
  <si>
    <t>INOV00006 Total</t>
  </si>
  <si>
    <t>INOV00013 Total</t>
  </si>
  <si>
    <t>INOV00014 Total</t>
  </si>
  <si>
    <t>INOV00016 Total</t>
  </si>
  <si>
    <t>INOV00017 Total</t>
  </si>
  <si>
    <t>INOV00022 Total</t>
  </si>
  <si>
    <t>INOV00023 Total</t>
  </si>
  <si>
    <t>INOV00024 Total</t>
  </si>
  <si>
    <t>INOV00029 Total</t>
  </si>
  <si>
    <t>INOV00032 Total</t>
  </si>
  <si>
    <t>INOV00035 Total</t>
  </si>
  <si>
    <t>INOV00036 Total</t>
  </si>
  <si>
    <t>INOV00037 Total</t>
  </si>
  <si>
    <t>INOV00039 Total</t>
  </si>
  <si>
    <t>INOV00041 Total</t>
  </si>
  <si>
    <t>Total geral</t>
  </si>
  <si>
    <r>
      <rPr>
        <rFont val="Source Sans Pro"/>
        <color rgb="FF666666"/>
        <sz val="10.0"/>
      </rPr>
      <t xml:space="preserve">Formulário de PD&amp;I - </t>
    </r>
    <r>
      <rPr>
        <rFont val="Source Sans Pro"/>
        <b/>
        <color rgb="FF666666"/>
        <sz val="10.0"/>
      </rPr>
      <t>Ano2024</t>
    </r>
  </si>
  <si>
    <t>Durante esta etapa, é importante definir um objetivo a ser alcançado. 
(i) É possível ter vários objetivos em cada etapa. 
(ii) É recomendável descrevê-la com o máximo de detalhes possível.</t>
  </si>
  <si>
    <r>
      <rPr>
        <rFont val="Source Sans Pro"/>
        <color rgb="FF666666"/>
        <sz val="8.0"/>
      </rPr>
      <t xml:space="preserve">Uma </t>
    </r>
    <r>
      <rPr>
        <rFont val="Source Sans Pro"/>
        <b/>
        <color rgb="FF666666"/>
        <sz val="8.0"/>
      </rPr>
      <t xml:space="preserve">data </t>
    </r>
    <r>
      <rPr>
        <rFont val="Source Sans Pro"/>
        <color rgb="FF666666"/>
        <sz val="8.0"/>
      </rPr>
      <t xml:space="preserve">estimada que atualizará após etapa concluída. Não utilizar:
- Atual, em andamento ou qualquer outra observação; 
(i) precisamos de números (datas) que comprovem o andamento ou não projeto.
(ii) </t>
    </r>
    <r>
      <rPr>
        <rFont val="Source Sans Pro"/>
        <b/>
        <color rgb="FF666666"/>
        <sz val="8.0"/>
      </rPr>
      <t xml:space="preserve">utilizar a coluna Histórico </t>
    </r>
    <r>
      <rPr>
        <rFont val="Source Sans Pro"/>
        <color rgb="FF666666"/>
        <sz val="8.0"/>
      </rPr>
      <t xml:space="preserve">para acrescentar informações dos motivos para tal data. </t>
    </r>
  </si>
  <si>
    <t>Etapas e Milestones</t>
  </si>
  <si>
    <t>Principais atividades</t>
  </si>
  <si>
    <t>Milestones</t>
  </si>
  <si>
    <t>Data inicial</t>
  </si>
  <si>
    <t>Data conclusão</t>
  </si>
  <si>
    <t>Histórico e observações do gestor</t>
  </si>
  <si>
    <t>Spray dryer</t>
  </si>
  <si>
    <t>Pesquisa de Copacker</t>
  </si>
  <si>
    <t>Buscar parceiros que possam tercerizar a produção de um blend de Pt+Gord+Ch com a finalidade de reduzir custo de gordura em pó, e melhorar solubilidade da dieta.</t>
  </si>
  <si>
    <t>Parceiro demostrar interesse na parceria e disponibilidade para testes pilotos</t>
  </si>
  <si>
    <t>Autorização da diretoria</t>
  </si>
  <si>
    <t>Apresentar objetivo do projeto para diretoria</t>
  </si>
  <si>
    <t>Ter autorização extra budget para seguir com o projeto ainda em 2022</t>
  </si>
  <si>
    <t>Realizar teste de bancada</t>
  </si>
  <si>
    <t>Realizar testes de bancada junto com o fornecedor</t>
  </si>
  <si>
    <t>Obter bons resultados nos testes de bancada</t>
  </si>
  <si>
    <t>Realizar teste industrial</t>
  </si>
  <si>
    <t>Realizar testes industriais junto com o fornecedor</t>
  </si>
  <si>
    <t>Garantir no mínimo os bons resultados obtido em testes de bancada</t>
  </si>
  <si>
    <t>Teste de bancada</t>
  </si>
  <si>
    <t>Aplicar o blend obtido no teste piloto nos produtos Trophic Fiber e Basic Enteral em escala laboratorial</t>
  </si>
  <si>
    <t>Obter umproduto final com pó fluido, boa dissolução, sem alteração sensorial e com melhora de passagem pelo equipo</t>
  </si>
  <si>
    <t>Avaliação de custos</t>
  </si>
  <si>
    <t>Incluir todos os custos no Simulador</t>
  </si>
  <si>
    <t>Obter resultados favoráveis a redução de custos</t>
  </si>
  <si>
    <t>Custo de industrialização inviabilizou o projeto</t>
  </si>
  <si>
    <t>Business case</t>
  </si>
  <si>
    <t>Apresentar o projeto para Banca Business case</t>
  </si>
  <si>
    <t>Stand by</t>
  </si>
  <si>
    <t>Produção</t>
  </si>
  <si>
    <t>Aplicar o projeto em escala de produção</t>
  </si>
  <si>
    <t>Prospecção de novos parceiros</t>
  </si>
  <si>
    <t>Retomar a busca por parceiros, fornecedores, Universidades que tornem o projeto viável</t>
  </si>
  <si>
    <t>Desenvolver protocolo de pesquisa junto com Professor Alvaro/PUCPR</t>
  </si>
  <si>
    <t>Em andamento</t>
  </si>
  <si>
    <t>Em dez/23 foi apontado melhorias no contrato. Assinatura do contrato está em andamento, aguardando ajustes mencionados</t>
  </si>
  <si>
    <t>TETRA PAK SF</t>
  </si>
  <si>
    <t>Desenvolvimento da tampa</t>
  </si>
  <si>
    <t>Testes de bancada utilizando diferentes tampas conectadas à embalagem cartonada de 1L para verificar a possibilidade de administração</t>
  </si>
  <si>
    <t>Verificado que todas as tampas tiveram vazamento do produto e não foi possível realizar a administração</t>
  </si>
  <si>
    <t>Teste de bancada utilizando diferentes tampas e com selos de vedação, para evitar vazamento</t>
  </si>
  <si>
    <t>Modelo da tampa Biomédica/Nutrimed não apresentou vazamento com o selo da Gerladiscos de 2 mm</t>
  </si>
  <si>
    <t>Testes de Hanger</t>
  </si>
  <si>
    <t>Testes em laboratório com diferentes fornecedores de Hang Tabs para embalagem de 1L</t>
  </si>
  <si>
    <t>Avaliação de Hang-Tabs após testes. Aprovação de Hang-Tab da NeoBrasil</t>
  </si>
  <si>
    <t>Testes de Aplicação</t>
  </si>
  <si>
    <t>Testes de aplicação em linha industrial de tampas TetraPak, sem cutter, de diferentes fornecedores. Testes realizados na DAUS/GO</t>
  </si>
  <si>
    <t>2 Fornecedores aprovados. 1 Fornecedor reprovado, por obstruir a canaleta de aplicação</t>
  </si>
  <si>
    <t>Testes em laboratório de administração de produto utilizando tampas sem cutter, tampa impressa 3D e adaptador Biomédica com selo</t>
  </si>
  <si>
    <t>Tampa impressa e modelos de tampas sem cutter tiveram vazamentos (Esses modelos serão revistos). Adaptador Biomédica com selo de vedação administrou o produto sem vazamentos (Aprovado para próximas etapas).</t>
  </si>
  <si>
    <t>Testes em laboratório de administração de produto com Hang-Tab NeoBrasil, gravitacional e utilizando Bomba de Infusão</t>
  </si>
  <si>
    <t>Hang-Tab aprovado após testes de aplicação</t>
  </si>
  <si>
    <t>Bico/ventosa adaptadora</t>
  </si>
  <si>
    <t>Avaliação de viabilidade de aplicação de um bico diretamente a embalagem TetraPak sem tampa, para SF Verdadeiro</t>
  </si>
  <si>
    <t>Aguardando chegada de amostras</t>
  </si>
  <si>
    <t>em andamento</t>
  </si>
  <si>
    <t>Aceitação comercial</t>
  </si>
  <si>
    <t>Avaliação de aceitabilidade técnica e comercial do adaptador Biomédica com selo em aplicação real (Ibranutro)</t>
  </si>
  <si>
    <t>Compra de insumos em quantidade para teste realizada. Aguardando montagem de adaptador + selo</t>
  </si>
  <si>
    <t>Material de comunicação Científica</t>
  </si>
  <si>
    <t>Pesquisa científica para desenvolvimento do material 
de comunicação científico</t>
  </si>
  <si>
    <t>Enviado para MKT</t>
  </si>
  <si>
    <t>PEPTIMAX JUNIOR</t>
  </si>
  <si>
    <t>Pesquisa Científica e desenvolvimento</t>
  </si>
  <si>
    <t>Levantamento de editais de licitação; concorrentes mercado</t>
  </si>
  <si>
    <t>Buscar materias de consulta em  editais de licitação e concorrentes para desenvolvimento do Briefing</t>
  </si>
  <si>
    <t>Levantamento de literatura/artigos/Guidelines</t>
  </si>
  <si>
    <t>Buscar materias de consulta em guidelines e diretrizes nacionais e internacionais para desenvolvimento do Briefing</t>
  </si>
  <si>
    <t>Rounds Científicos</t>
  </si>
  <si>
    <t>Definição da formulação nutricional</t>
  </si>
  <si>
    <t>Kick off</t>
  </si>
  <si>
    <t>Kick off com toda equipe técnica, comercial e marketing, para considerações no Briefing</t>
  </si>
  <si>
    <t>Fechamento do Briefing</t>
  </si>
  <si>
    <t>Desenvolvimento da formulação</t>
  </si>
  <si>
    <t>Elaboração de formulações variadas para teste de bancada</t>
  </si>
  <si>
    <t>Seguindo o briefing do Científico foram formuladas algumas opções para seguir para TB</t>
  </si>
  <si>
    <t>Permanece em andamento devido a avaliação de diferentes fornecedores de WPH</t>
  </si>
  <si>
    <t>Busca de WPH com baixo teor de lactose</t>
  </si>
  <si>
    <t>Contato com fornecedores para prospectar a nova MP</t>
  </si>
  <si>
    <t>Em dez/23 a propscção e avaliação de fornecedores e MPs permanece em andmaneto, aguardando amostras para execução dos testes de bancada</t>
  </si>
  <si>
    <t>PEPTIMAX IBD</t>
  </si>
  <si>
    <t>Pesquisa científica e desenvolvimento</t>
  </si>
  <si>
    <t>Levantamento de descritivos de editais, levantamentos de referências sobre a composição nutricional, entendimento das MPs necessárias e de indicação de uso do produto</t>
  </si>
  <si>
    <t>Compreender as exigências de composição nutricional dos descritivos de licitações correlacionando com o desenho nutricional de acordo com estudos e recomendações</t>
  </si>
  <si>
    <t>Proteína Líquida</t>
  </si>
  <si>
    <t>Levantamento de literatura/artigos/Guidelines; concorrentes mercado</t>
  </si>
  <si>
    <t>Buscar materias de consulta em guidelines e diretrizes nacionais e internacionais, bm como concorrentes para desenvolvimento do Briefing</t>
  </si>
  <si>
    <t>Definir a formulação nutricional após discussões cientificas</t>
  </si>
  <si>
    <t>Elaborar briefing após considerações da area tecnica</t>
  </si>
  <si>
    <t>Estudo sobre a estabilidade de emulsões proteicas</t>
  </si>
  <si>
    <t>Verificado que aminoácidos podem contribuir para a estabilidade da formulação</t>
  </si>
  <si>
    <t>Testes de bancada utilizando a autoclave do Controle de Qualidade</t>
  </si>
  <si>
    <t>Os resultados apresentados permitiram ter uma boa noção de como seguir para TP</t>
  </si>
  <si>
    <t>Teste piloto</t>
  </si>
  <si>
    <t>Testar as formulações escolhidas após TB, utilizando todos os equipamentos necessários para o processo industrial regular</t>
  </si>
  <si>
    <t>Formulações não desestabilzaram, porém, ficaram com alta viscosidade</t>
  </si>
  <si>
    <t>Uso da nova MP CanolaPro</t>
  </si>
  <si>
    <t>Dieta desestabilizou</t>
  </si>
  <si>
    <t>Uso da nova MP MiWhey</t>
  </si>
  <si>
    <t>NI</t>
  </si>
  <si>
    <t>PESQUISA ÍNDICE GLICÊMICO - DIAMAX IN / SF UTI</t>
  </si>
  <si>
    <t>Prospecção e definição de parceria</t>
  </si>
  <si>
    <t>Contato com pesquisadora para solicitação de orçamento</t>
  </si>
  <si>
    <t>Solicitar orçamento para realização de pesquisa clinica</t>
  </si>
  <si>
    <t>2/28/2023</t>
  </si>
  <si>
    <t>Definição protocolo</t>
  </si>
  <si>
    <t>Definição de protocolo de pesquisa e discussão com pesquisadores</t>
  </si>
  <si>
    <t>Estabelecer e discutir o protocolo de pesquisa com os pesquisadores</t>
  </si>
  <si>
    <t>Escrita do protocolo de pesquisa</t>
  </si>
  <si>
    <t>Levantamento de artigos científicos com produtos especializados para controle glicêmico para escrita da metodologia cientifica</t>
  </si>
  <si>
    <t>Realizar análise de metodologia de artigos cientificos; Escrever protocolo de pesquisa para sumissão ao CEP</t>
  </si>
  <si>
    <t>10/20/2023</t>
  </si>
  <si>
    <t>Submissão e acompanhamento - CEP</t>
  </si>
  <si>
    <t>Submissão do projeto de pesquisa para avaliação do Comitê de Ética em Pesquisa (CEP) da universidade</t>
  </si>
  <si>
    <t>Acompanhar o processo de submissão do projeto de pesquisa ao CEP</t>
  </si>
  <si>
    <t>10/25/2023</t>
  </si>
  <si>
    <t>11/30/2023</t>
  </si>
  <si>
    <t>PESQUISA CLÍNICA - IMMAX</t>
  </si>
  <si>
    <t>Análise de curriculum Lattes e contato com profissional após congresso da BRASPEN</t>
  </si>
  <si>
    <t>Buscar centros de referência em pesquisa com diabetes</t>
  </si>
  <si>
    <t>Levantamento de artigos científicos com produtos especializados para oncologia e manutenção da massa muscular para analise de protocolo de pesquisa e discussão com pesquisadores</t>
  </si>
  <si>
    <t>Realizar análise de metodologia de artigos cientificos; Estabelecer e discutir o protocolo de pesquisa com os pesquisadores</t>
  </si>
  <si>
    <t>Projeto submetido ao CEP em 28/04/23. Resposta as exigencias enviadas. Aprovação do CEP em Jul/23</t>
  </si>
  <si>
    <t>Recrutamento e randomização</t>
  </si>
  <si>
    <t>Recrutamento de participantes elegíveis para a pesquisa clínica e randomização entre os grupos controle e intervenção</t>
  </si>
  <si>
    <t>Acompanhar processo de recrutamento e randomização dos participantes</t>
  </si>
  <si>
    <t>Coleta de dados</t>
  </si>
  <si>
    <t>Aplicação da interveção proposta nos participantes elegíveis</t>
  </si>
  <si>
    <t>Acompanhar a aplicação da intervenção</t>
  </si>
  <si>
    <t>Pesquisa aplicada - ARTS</t>
  </si>
  <si>
    <t>Desenvolvimento de desenho de pesquisa</t>
  </si>
  <si>
    <t>Buscar em literatura referências para a elaboração de pesquisa de composição nutricional com novo produto artesanal</t>
  </si>
  <si>
    <t>Busca de referências; análise de receitas de dietas artesanais; análise de composição nutricional complementar; análise de interações de nutrientes para administração enteral</t>
  </si>
  <si>
    <t>INOV000035 (2023 - PESQUISA CLÍNICA - CICATRIZAÇÃO)</t>
  </si>
  <si>
    <t>Prospeção</t>
  </si>
  <si>
    <t>Conversa com pesquisadores sobre possibilidade de parceria para pesquisa clínica e série de casos</t>
  </si>
  <si>
    <t>Acordo para parceria de Pesquisa</t>
  </si>
  <si>
    <t>Levantamento para protocolo</t>
  </si>
  <si>
    <t>Fichamento de artigos científicos, pesquisa científica sobre o tema para definição de desfechos e metodologia</t>
  </si>
  <si>
    <t>Fichamento</t>
  </si>
  <si>
    <t>Estatística</t>
  </si>
  <si>
    <t>Alinhamento com estatístico sobre número de amostra para pesquisa</t>
  </si>
  <si>
    <t>Viabilidade da pesquisa com Dante Pazzanese</t>
  </si>
  <si>
    <t>Projeto avaliado como inviável com este contato. Prospectando novos contatos</t>
  </si>
  <si>
    <t>PESQUISA CLÍNICA - HDMAX</t>
  </si>
  <si>
    <t>Contatar profissionais pesquisadores e compreender possibilidade de parceria</t>
  </si>
  <si>
    <t>Enviado e-mail para pesquisadora Vanessa e Adriano, pesquisadores na Universidade de Passo Fundo. Alinhado a possibilidade de pesquisa clínica mediante a doação de produto. Realizada doação de HDmax</t>
  </si>
  <si>
    <t>Definição de protocolo</t>
  </si>
  <si>
    <t>Compreender quais as possibilidade de protocolo de pesquisa - métodos mais eficientes e condizentes com a pesquisa</t>
  </si>
  <si>
    <t>Realizado reuniões com pesquisadores para compreender o desenho de pesquisa desejado e o protocolo de pesquisa a ser realizado.</t>
  </si>
  <si>
    <t>Submissão e acompanhamento ao CEP</t>
  </si>
  <si>
    <t>Submeter o projeto de pesquisa ao comitê de ética e pesquisa da insituição onde a pesquisa é realizada.</t>
  </si>
  <si>
    <t>Avaliado projeto de pesquisa e termo de consentimento livre e esclarecido que foram submetidos ao comitê.</t>
  </si>
  <si>
    <t>Realizar a aplicação da intervenção proposta e avaliar pré e pós intervenção</t>
  </si>
  <si>
    <t>Realizada avaliação prévia a intervenção, aplicada a suplementação intradialítica durante 3 meses e realizada nova avaliação pós intervenção imediata e pós intervenção pós 6 meses.</t>
  </si>
  <si>
    <t>Análise de dados</t>
  </si>
  <si>
    <t>Analisar os dados obtidos pré e pós intervenção</t>
  </si>
  <si>
    <t>Análise em andamento - averiguado efeitos positivos da suplementação em estado nutricional e outros parâmetros como força muscular.</t>
  </si>
  <si>
    <t>Elaboração de artigo</t>
  </si>
  <si>
    <t>Desenvolver artigo para publicação em revista científica</t>
  </si>
  <si>
    <t>Escrita de artigo cientifico</t>
  </si>
  <si>
    <t>Elaboração de resumo cientifico</t>
  </si>
  <si>
    <t>Desenvolver resumo para apresentação em congresso científica</t>
  </si>
  <si>
    <t>Escrita de resumo  para apresentação em congresso cientifico</t>
  </si>
  <si>
    <t>ASPEN</t>
  </si>
  <si>
    <t>Participação em congresso</t>
  </si>
  <si>
    <t>Participação em congresso e apresentação de pesquisa</t>
  </si>
  <si>
    <t>Participação em congresso, apresentação de pesquisa, elaboração de relatório e apresentação para equipe com sugestões de aplicação do novo conhecimento adquirido, alinhando à novos produtos e à possibilidades de melhorias e inovação.</t>
  </si>
  <si>
    <t>10/21</t>
  </si>
  <si>
    <t>05/22</t>
  </si>
  <si>
    <t>GANEPÃO</t>
  </si>
  <si>
    <t>03/22</t>
  </si>
  <si>
    <t>09/22</t>
  </si>
  <si>
    <t>ESPEN</t>
  </si>
  <si>
    <t>Participação em congresso, apresentação de pesquisa,
 elaboração de relatório e apresentação para equipe 
com sugestões de aplicação do novo conhecimento adquirido, 
alinhando à novos produtos e à possibilidades de melhorias e inovação.</t>
  </si>
  <si>
    <t>06/22</t>
  </si>
  <si>
    <t>11/22</t>
  </si>
  <si>
    <t>BRASPEN</t>
  </si>
  <si>
    <t>12/22</t>
  </si>
  <si>
    <t>10/22</t>
  </si>
  <si>
    <t>05/23</t>
  </si>
  <si>
    <t>03/23</t>
  </si>
  <si>
    <t>08/23</t>
  </si>
  <si>
    <t>06/23</t>
  </si>
  <si>
    <t>12/23</t>
  </si>
  <si>
    <t>ESTUDO DE CASO</t>
  </si>
  <si>
    <t>Prospecção e definição de parceria com profissionais da saúde</t>
  </si>
  <si>
    <t>Aplicação de Trophic EP para pacientes oncológicos</t>
  </si>
  <si>
    <t>Desenho de relato de caso prospetivo de pacientes que usam Trophic EP - definir pacientes para estudo e dados antropométricos e bioquímicos</t>
  </si>
  <si>
    <t>Submissão ao congresso GANEPÃO/23</t>
  </si>
  <si>
    <t>Elaboração de resumo para submissão ao GANEPÃO/23</t>
  </si>
  <si>
    <t>Organizar os dados coletados em pesquisa de aplicação interna realizada em 2021/2022 e elaborar resumo para congresso</t>
  </si>
  <si>
    <t>3/14/2023</t>
  </si>
  <si>
    <t>Tema livre sobre teor de sódio do Instanth Clear versus outras opções do mercado e correlação da quantidade de sódio consumida pelos pacientes</t>
  </si>
  <si>
    <t>Apresentação  do resumo em congresso Ganepão 2023</t>
  </si>
  <si>
    <t>Apresentação  do resumo elaborado no congresso da Ganepão 2023 com publicação nos anais de congressos</t>
  </si>
  <si>
    <t>Apresentar resumo em congresso</t>
  </si>
  <si>
    <t>6/14/2023</t>
  </si>
  <si>
    <t>PESQUISA CLÍNICA - DIAMAX IG</t>
  </si>
  <si>
    <t>Análise de curriculum Lattes e contato com profissionais que realizem pesquisa clínica com diabetes</t>
  </si>
  <si>
    <t>Retorno e possível parceira com UFPA. 10/21: Parceria com UFPA não foi possível devido ao perfil dos alunos que ingressaram no mestrado. EC será executado na instituição. Retomada a busca por novas parcerias de pesquisa. Estebelecido parceria com a UFG.</t>
  </si>
  <si>
    <t>Levantamento de artigos científicos com produtos especializados para controle glicêmico para analise de protocolo de pesquisa e discussão com pesquisadores</t>
  </si>
  <si>
    <t>Projeto aprovado no CEP/UFG em 15/08/2022.</t>
  </si>
  <si>
    <t>Recrutamento</t>
  </si>
  <si>
    <t>Recrutamento de participantes elegíveis para a pesquisa clínica</t>
  </si>
  <si>
    <t>Acompanhar processo de recrutamento de participantes</t>
  </si>
  <si>
    <t>Tabulação de dados</t>
  </si>
  <si>
    <t>Tabulação de dados coletados da pesquisa</t>
  </si>
  <si>
    <t>Acompanhar processo de tabulação de dados</t>
  </si>
  <si>
    <t>Análise parcial de resultados</t>
  </si>
  <si>
    <t>Análise parcial dos dados coletados da pesquisa clinica e escreita de resumo cientifico para submissão em congresso nacional</t>
  </si>
  <si>
    <t>Analisar dados paciais da pesquisa e escrever resumo cientifico</t>
  </si>
  <si>
    <t>Instanth Neo - Pesquisa Clínica UNIFESP</t>
  </si>
  <si>
    <t>Escrita protocolo</t>
  </si>
  <si>
    <t>Pesquisa básica para desenho da pesquisa</t>
  </si>
  <si>
    <t>submissão protocolo CEP</t>
  </si>
  <si>
    <t>Submissão CEP</t>
  </si>
  <si>
    <t>Submissão e acompanhamento para pendências CEP</t>
  </si>
  <si>
    <t>aprovação CEP</t>
  </si>
  <si>
    <t>PROJETO REPROVADO</t>
  </si>
  <si>
    <t>Pesquisa básica para desenho e reescrita do protocolo de pesquisa com base nas pendências CEP</t>
  </si>
  <si>
    <t>Reescrever protocolo de pesquisa com foco em série de casos</t>
  </si>
  <si>
    <t>Exigências tornaram projeto inviável dentro do orçamento proposto. Alternativas foram evantadas e por enquanto o projeto está em stand by aguardando criação do ambulatório de CCL da UNIFESP. 05/23: Ambulatorio criado e reescrita do protocolo retomada. Aguardando avaliação dos pesquisadores para submissão do projeto ao CEP</t>
  </si>
  <si>
    <t>Linha Trophic Soya pó</t>
  </si>
  <si>
    <t>Desenvolvimento de Masterfile</t>
  </si>
  <si>
    <t>Elaborar o primeiro Masterfile (MF) teórico 100% Proteína Isolada da Soja (PIS)</t>
  </si>
  <si>
    <t>Desenvolver, a partir da composição do produto, o pré mix de vitaminas e minerais específico para a linha Soya pó</t>
  </si>
  <si>
    <t>Desenvolvimento de aromas</t>
  </si>
  <si>
    <t>Solicitar aos fornecedores Duas Rodas e IFF opções de aromas</t>
  </si>
  <si>
    <t>Embora o objetivo principal do produto seja uso via tubo, o produto deve atingir sensorial palatável, por este motivo buscou-se opções de aromas que mascarem a PIS</t>
  </si>
  <si>
    <t>Elaborar segunda versão do Masterfile teórico com 20% de proteína láctea e 80% PIS e realizar a degustação</t>
  </si>
  <si>
    <t>Encontrar melhor opção de mix proteico, de forma que o produto não contenha lactose e possua baixo custo. Análise sensorial em bancada foi realizado para definição da proteína láctea</t>
  </si>
  <si>
    <t>Desenvolvimento pré mix micronutrientes</t>
  </si>
  <si>
    <t>Elaborar documento de desenvolvimento do pre mix com base na composição do produto, encaminhar ao fornecedor DSM para criação</t>
  </si>
  <si>
    <t>Receber toda a documentação relacionada ao novo pre mix desenvolvido, de forma que atenda ao solicitado e promova uma informação nutricional adequada e esperada ao produto, conforme target definido pelo Científico</t>
  </si>
  <si>
    <t>Pre mix criado com a descrição 11599A25 (vitaminas) e 11696A25 (minerais)</t>
  </si>
  <si>
    <t>Testes de bancada para avaliação da fórmula</t>
  </si>
  <si>
    <t>Realizar os testes de bancada com aplicação dos aromas, mix e todos os ingredientes</t>
  </si>
  <si>
    <t>Avaliar todos os critérios importantes para a fórmula: solubilidade, método de preparo, definição de aromas, aprovação sensorial e desta forma, definir a formulação final</t>
  </si>
  <si>
    <t>Avaliação sensorial multidisciplicar</t>
  </si>
  <si>
    <t>Encaminhar amostras aos participantes da avaliação sensorial, dos setores de P&amp;D, AR e Diretoria,  e realizar um encontro online para degustação do produto final em conjunto</t>
  </si>
  <si>
    <t>Obter diferentes opiniões e comentários sobre melhorias da formulação para atingir a aprovação final</t>
  </si>
  <si>
    <t>Ajuste de fórmula</t>
  </si>
  <si>
    <t>Teste de bancada para ajustes quanto estabilidade da fórmula com a possibilidade de retirada de lecitina de soja e melhoria de viscosidade com redução de goma xantana</t>
  </si>
  <si>
    <t>Obter dose adequada de lecitina de soja de maneira que a fórmula se mantenha estável. Reduzir a viscosidade da fórmula, principalmente quando preparado com liquidificador</t>
  </si>
  <si>
    <t>Avaliação de custo</t>
  </si>
  <si>
    <t>Avaliar através do Simulador de custos de P&amp;D, o custo do produto e alteranativas de redução de custo</t>
  </si>
  <si>
    <t>Obter custo viável e mais vantajoso (com diferença significativa) comercialmente em relação ao Trophic Basic e Trophic Fiber, ambos pó.</t>
  </si>
  <si>
    <t>Publicação MF em Sharepoint</t>
  </si>
  <si>
    <t>Compartilhar o MF com os setores de Assusntos Regulatórios e Científico</t>
  </si>
  <si>
    <t>Avaliação final da composição e IN teórica pelos demais setores, quanto ao atendimento do briefing e legislação</t>
  </si>
  <si>
    <t>Reformulação de mix</t>
  </si>
  <si>
    <t>Após teste industrial da fórmula líquida em que é compartilhado o mesmo mix, detectou-se a necessidade de reformular o mix de minerais para redução de pH</t>
  </si>
  <si>
    <t>Alterar a fonte de Magnésio por opção que promovo um pH mais ácido a formulação</t>
  </si>
  <si>
    <t>Em fevereiro de 2022, de modo a atender diretriz internas, foi otado por iniciar o desenvolvimento de pré-mixes que atendam vários produtos. Com isto, não foi seguido com o ajuste do pré-mix FS11696A25</t>
  </si>
  <si>
    <t>Reformulação de mix - padrão PIS</t>
  </si>
  <si>
    <t>Desenvolver novo pre mix de minerais dedicado para produtos com alto teor de PIS</t>
  </si>
  <si>
    <t>O projeto está mantido em stand by</t>
  </si>
  <si>
    <t>Projeto permanecerá em stand by até que seja encontrada uma alternativa para redução de custo</t>
  </si>
  <si>
    <t>Revisão de fórmula</t>
  </si>
  <si>
    <t>Encontrar alternativa de alteração de fórmula que reduza o custo</t>
  </si>
  <si>
    <t>Busca por matéria prima proteica de fonte láctea com menor custo que Caseinato de Cálcio, contatado fornecedores</t>
  </si>
  <si>
    <t>Desenvolvimento de fórmula teórico</t>
  </si>
  <si>
    <t>Desenvolvido fórmula teórica com substituição do Caseinato de Cálcio por WPC de meneira que o produto possua 20% de proteína lactea e isento de lactose segundo legislação vigente</t>
  </si>
  <si>
    <t>Produzir protótipo da fórmula em laboratório para avaliação das características e aprovação</t>
  </si>
  <si>
    <t>Avaliar todos os critérios importantes para a fórmula: solubilidade, método de preparo, aprovação sensorial, passagem pela sonda</t>
  </si>
  <si>
    <t>Análise de lactose</t>
  </si>
  <si>
    <t>Encaminhar para análise de lactose em laboratório externo</t>
  </si>
  <si>
    <t>Obter resultado do teor real de lactose na fórmula para confirmação de ausência e assim definir como fórmula final</t>
  </si>
  <si>
    <t>Encaminhar para análise de perfil lipídico em laboratório externo</t>
  </si>
  <si>
    <t>Obter resultado do teor real do perfil lipídico da fórmula para definição de fórmula final</t>
  </si>
  <si>
    <t>Business Case</t>
  </si>
  <si>
    <t>Elaborar a primeira versão do Business Case</t>
  </si>
  <si>
    <t>Coletar informação dos demais setores como Comercial, International Business e Marketing sobre custo e venda do porduto para aprovação do projeto</t>
  </si>
  <si>
    <t>Aguardando atualização de custo da fórmula conforme definição do perfil lipídico</t>
  </si>
  <si>
    <t>Desenvolver opções de fórmulas teóricas com óleo de girassol e redistribuição dos macronutrientes (distribuição calórica)</t>
  </si>
  <si>
    <t>Opter fórmulas que atendam a legislação RDC 21 em relação ao perfil lipídico</t>
  </si>
  <si>
    <t>Dez/23 reformulação ainda não definida. Será aguardado resposta da Anvisa para a revalidação do T. Fiber e apartir desta análise será definido quais medidas tomar com a linha Soya no quesito perfil lipidico nutricional</t>
  </si>
  <si>
    <t>TROPHIC SOYA 1.5 FIBER</t>
  </si>
  <si>
    <t>Desenvolvimento do produto</t>
  </si>
  <si>
    <t>Início do desenvolvimento de novo produto</t>
  </si>
  <si>
    <t>Iniciado o MasterFile para produto de incremento de da Linha Soya.</t>
  </si>
  <si>
    <t>Teste Piloto</t>
  </si>
  <si>
    <t>Teste Piloto após desenvolvimento do MasterFile</t>
  </si>
  <si>
    <t>Teste Piloto realizado na Castrolanda. Após análises externas verificou-se erro na formulação ou processo (macronutrientes abaixo do esperado)</t>
  </si>
  <si>
    <t>Modificações de processo (tratamento térmico da PIS, mudança de posição de inserção da carragena) e de formulação (substituição da lecitina em pó pela liquida)</t>
  </si>
  <si>
    <t>Teste Piloto na IFF-Dupont para avaliação da nova fórmula</t>
  </si>
  <si>
    <t>Estudo para verificação de estabilidade da fórmula e dos níveis de vitaminas</t>
  </si>
  <si>
    <t>Teste Piloto na TetraPak para Estudo de Estabilidade. Estudo cancelado pois os valores de nutrientes deram abaixo do esperado</t>
  </si>
  <si>
    <t>Desenvolvimento de novo premix</t>
  </si>
  <si>
    <t>Desenvolvimento de novo premix de vitaminas e de minerais para produtos da Linha Soya, baseado em target nutricional sugerido pelo Científico</t>
  </si>
  <si>
    <t>Estudo de vitaminas e minerais para produtos UHT, avaliando sobredosagem e estabilidade para IN</t>
  </si>
  <si>
    <t>Banca de avaliação do produto para viabilidade comercial</t>
  </si>
  <si>
    <t>Aprovação do Business Case</t>
  </si>
  <si>
    <t>Teste Piloto após o desenvolvimento de novo premix de vitaminas para Estudo de Estabilidade</t>
  </si>
  <si>
    <t>Teste Piloto na TetraPak previsto para agosto/22, para novo Estudo de Estabilidade.</t>
  </si>
  <si>
    <t>ENERGYZIP 25%</t>
  </si>
  <si>
    <t>Pesquisa Científica</t>
  </si>
  <si>
    <t>Levantamento de literatura/artigos/Guidelines e editais de licitação</t>
  </si>
  <si>
    <t>Buscar materias de consulta e editais de licitação para desenvolvimento do Briefing</t>
  </si>
  <si>
    <t>Briefing</t>
  </si>
  <si>
    <t>Elaborar e publicar o Briefing Científico</t>
  </si>
  <si>
    <t>Desenvolver documento com os objetivos estratégicos e características do produto, como perfil nutricional, claim etc.</t>
  </si>
  <si>
    <t>Análise regulatória</t>
  </si>
  <si>
    <t>Análise de atendimento da legislação da categoria do produto (suplemento alimentar)</t>
  </si>
  <si>
    <t>Analisar o briefing em relação a legislação e apontar possíveis riscos</t>
  </si>
  <si>
    <t>Elaborar o primeiro Masterfile (MF) teórico</t>
  </si>
  <si>
    <t>Desenvolver, a partir da composição do produto estabelecida em briefing, o primeiro masterfile com análise de opções de macronutrientes, flavorizantes e aditivos e análise de custos</t>
  </si>
  <si>
    <t>Desenvolvimento de pré mix de micronutrientes</t>
  </si>
  <si>
    <t>Elaborar documento de desenvolvimento do pre mix com base na composição do produto, após os testes de bancada para definição da fonte proteica e,  encaminhar ao fornecedor DSM para criação</t>
  </si>
  <si>
    <t>Elaborar a IN do mix com base na composição do produto, encaminhar ao fornecedor para criação e receber toda a documentação relacionada ao novo pre mix desenvolvido, de forma que atenda ao solicitado e promova uma informação nutricional adequada e esperada ao produto, conforme target definido pelo Científico</t>
  </si>
  <si>
    <t>1º Teste Piloto UHT</t>
  </si>
  <si>
    <t>Realizar teste em planta piloto</t>
  </si>
  <si>
    <t>Avaliar o comportamento de envase e possíveis empecilhos de processo;</t>
  </si>
  <si>
    <t>Ajuste e Definição de MF</t>
  </si>
  <si>
    <t>Ajustar MF teórico</t>
  </si>
  <si>
    <t>Realizar ajustes MF conforme avaliação de Assuntos regulatórios e Científico, bem como corrigir formulação com base no resultado do primeiro teste piloto</t>
  </si>
  <si>
    <t>2º Teste Piloto UHT</t>
  </si>
  <si>
    <t>Realizar teste em planta piloto após modificações ajuste de MF</t>
  </si>
  <si>
    <t>Estudo de Estabilidade</t>
  </si>
  <si>
    <t>Executar o estudo de prazo de validade do produto</t>
  </si>
  <si>
    <t>Realizar análises fisico quimicas, macronutrientes e micronutrientes para definição da Informação Nutricional e prazo de validade, ao longo dos meses após produção (T0, T12 e T18)</t>
  </si>
  <si>
    <t>Suspenso</t>
  </si>
  <si>
    <t>3º Teste Piloto UHT</t>
  </si>
  <si>
    <t>Sachê a vácuo</t>
  </si>
  <si>
    <t>Desenvolvimento de embalagem do tipo a vácuo</t>
  </si>
  <si>
    <t>Estudo das camadas necessárias para manter o vácuo e prospecção de fornecedores de embalagens</t>
  </si>
  <si>
    <t>Contato com 11 fornecedores de embalagens - estruturas de embalagens flexíveis (camadas versus barreiras, bem como custos do uso de embalagens pré-formadas versus em bobina), com o intuito de conseguir amostras para realizar um 1º piloto.</t>
  </si>
  <si>
    <t>Estudo envasadora a vácuo</t>
  </si>
  <si>
    <t>Entendimento sobre o equipamento necessário para realizar TP.</t>
  </si>
  <si>
    <t>Compra de uma seladora a vácuo manual para utilização nos TP Prodiet, bem como para no futuro, iniciar a produção efetiva.</t>
  </si>
  <si>
    <t>TP para validar os parâmetros de processo do equipamento.</t>
  </si>
  <si>
    <t>Teste realizado seguindo as indicações de configuração do equipamento d próprio fabricante. Os parâmetros foram sendo modificados ao longo do teste, tendo em vista se o produto foi aspirado no momento de aplicação do vácuo, bem como considerando se a solda foi realizada e, em caso positivo, avaliando a qualidade dessa solda.</t>
  </si>
  <si>
    <t>Verificação que o nicho do equipamento deveria ser maior, para acomodar o produto de forma mais adequada, além de suprir a questão estética, com a embalagem ficando no formato de tijolo sem rugosidades.</t>
  </si>
  <si>
    <t>TP para validar o dimensional e estrutura das embalagens a vácuo.</t>
  </si>
  <si>
    <t>Testadas 13 embalagens de diferentes estruturas.</t>
  </si>
  <si>
    <t>Filtrados 2 tipos de embalagens, de dois fornecedores, para seguir para o próximo TP.</t>
  </si>
  <si>
    <t>Com base nos parâmetros da primeira rodada de testes, seguiu-se para novas configurações. O nível de vácuo foi verificado e anotado para todas as simulações.</t>
  </si>
  <si>
    <t>Percebeu-se que havia uma oportunidade para otimizar o dimensional da altura embalagem, de forma a não haver tanta sobra sem conter o produto. Além disso, ajustar o dimensional do nicho.</t>
  </si>
  <si>
    <t>Testada uma estrutura de embalagem, de um fornecedor.</t>
  </si>
  <si>
    <t>Selagem adequada e que promoveu a formação do vácuo conforme o esperado. Necessita de ajustes quanto ao formato do tijolo.</t>
  </si>
  <si>
    <t>Realizada a confecção de novo nicho da envasadora (maior).</t>
  </si>
  <si>
    <t>Validação dos parâmetros, tendo por base: (i) vácuo ter resultado em um tijolo bem firme e (ii) selagem estar apropriada tanto funcional quanto esteticamente.</t>
  </si>
  <si>
    <t>TP para validar o dimensional das embalagens a vácuo.</t>
  </si>
  <si>
    <t>Teste com a embalagem com altura segundo solicitado pela Prodiet, com a estrutura validada previamente.</t>
  </si>
  <si>
    <t>Validação do dimensional da embalagem, tendo por base: (i) vácuo ter resultado em um tijolo bem firme e (ii) selagem estar apropriada tanto funcional quanto esteticamente.</t>
  </si>
  <si>
    <t>TP em fornecedor de equipamento a vácuo</t>
  </si>
  <si>
    <t>Teste com o produto Prodiet e embalagem do tipo bobina, utilizando o equipamento de um fornecedor para simular o processo sequencial industrial.</t>
  </si>
  <si>
    <t>O teste de envase não demonstra efetividade na manutenção do vácuo/selagem dos pouchs. Em poucas semanas, as amostras perderam suas características de vácuo. Também não foi fornecido o detalhamento das estruturas das embalagens. Dessa forma, considerando os testes realizados até então pela Abis Machines, não há visibilidade de evolução do projeto na concepção de bobina aberta.</t>
  </si>
  <si>
    <t>Teste com o produto Prodiet e embalagem pré-formada, utilizando o equipamento de um fornecedor para simular o processo sequencial industrial.</t>
  </si>
  <si>
    <t>Validação do equipamento para o processo Prodiet, onde o produto ficou bem acondicionado e com o vácuo adequado.</t>
  </si>
  <si>
    <t>Desenvolvimento de um sistema de fechamento pós abertura da embalagem.</t>
  </si>
  <si>
    <t>Solicitação ao fornecedor do dosador para desenvolver uma espécie de "grampo" que seja destacado do próprio cabo da colher-medida.</t>
  </si>
  <si>
    <t>Recebido o orçamento do molde, em valor iiviável para dar continuidade no desenvolvimento do dosador/grampo</t>
  </si>
  <si>
    <t>Teste piloto Prodiet</t>
  </si>
  <si>
    <t>Piloto realizado de forma manual, com a seladora a vácuo Prodiet para os produtos entrarem em EE</t>
  </si>
  <si>
    <t>Produtos iniciaram o EE</t>
  </si>
  <si>
    <t>Layout de embalagem</t>
  </si>
  <si>
    <t>Marketing conduzindo junto ao fornecedor</t>
  </si>
  <si>
    <t>Definição de layout de embalagem</t>
  </si>
  <si>
    <t>Equipamentos</t>
  </si>
  <si>
    <t>Prospecção e definição dos novos equipamentos</t>
  </si>
  <si>
    <t>Equipamento chinês. Especificação em mãos e prospectado mini layout da estrutura.</t>
  </si>
  <si>
    <t>jul/202</t>
  </si>
  <si>
    <t>Avaliação das especificações técnicas dos equipamentos</t>
  </si>
  <si>
    <t>Compra dos equipamentos</t>
  </si>
  <si>
    <t>Validação do equipamento pelo fabricante</t>
  </si>
  <si>
    <t>Fábrica Prodiet</t>
  </si>
  <si>
    <t>Adequação das instalações</t>
  </si>
  <si>
    <t>Ajustes de paredes, piso, elétrica e hidráulica.</t>
  </si>
  <si>
    <t>Validação do equipamento/processo</t>
  </si>
  <si>
    <t>Testes de P&amp;D e Industrial para validar o tamanho da embalagem</t>
  </si>
  <si>
    <t>Validação da linha de produção</t>
  </si>
  <si>
    <t>Testes de P&amp;D em linha para validar o vácuo e fechamento do pouch</t>
  </si>
  <si>
    <t>Não foi possível executar no dia 19/10 devido a falta de ar comprimido. Teste executado no final de novembro.</t>
  </si>
  <si>
    <t>Montagem de linha</t>
  </si>
  <si>
    <t>Elaborar dossiê com fluxo de processo, MPs e pessos, bem como o layout do processo. Preparar a linha para que o processo esteja apto para produção</t>
  </si>
  <si>
    <t>Definiar arte e dimensionais embalagens</t>
  </si>
  <si>
    <t>Elaborar a arte/embalagem que constará o display do produto</t>
  </si>
  <si>
    <t>Amostras do sachê foram entregues ao MKT para desenvolvimento do dimensional do sachê e Display e elaboração da arte final</t>
  </si>
  <si>
    <t>CICA</t>
  </si>
  <si>
    <t>Pesquisa Científica e de mercado</t>
  </si>
  <si>
    <t>Levantamento de pesquisas, diretrizes, guidelines, consultoria profissional e busca em editais de licitação.</t>
  </si>
  <si>
    <t>Analisados editais de licitação durante 2 anos seguidos  realizado acompanhamento de pesquisas publicadas nos últimos anos sobre nutrição e cicatrização</t>
  </si>
  <si>
    <t>Apresentação de Protótipo de produto</t>
  </si>
  <si>
    <t>Compilar dados de produtos concorrentes e elaboração de briefing de novo produto</t>
  </si>
  <si>
    <t>Tabela comparativa de produtos desenvolvida. Briefing realizado e compartilhado com equipe técnica e de marketing</t>
  </si>
  <si>
    <t>Ingredientes e aditivos</t>
  </si>
  <si>
    <t>Busca por fornecedores e analisar amostras de produtos. Definição de sabor de novo produto.</t>
  </si>
  <si>
    <t>Realizar testes de bancada e análises com as matérias primas selecionadas para definição de fornecedores</t>
  </si>
  <si>
    <t>Desenvolvimento da fórmula</t>
  </si>
  <si>
    <t>Elaboração de primeira Receita</t>
  </si>
  <si>
    <t>Desenvolver, a partir da composição do produto estabelecida em briefing, a primeira Receita com análise de opções de macronutrientes, flavorizantes e aditivos</t>
  </si>
  <si>
    <t>Desenvolvimento de pré-mix de micronutrientes</t>
  </si>
  <si>
    <t>Elaborar documento de desenvolvimento do pre mix com base na composição do produto e  encaminhar aos fornecedores DSM e MCassab para criação</t>
  </si>
  <si>
    <t>Elaborar a IN do mix com base na composição do produto, encaminhar ao fornecedor para criação e receber toda a documentação relacionada ao novo pre mix desenvolvido, de forma que atenda ao solicitado e promova uma informação nutricional adequada e esperada ao produto, conforme target para suplementos definido pelo Científico</t>
  </si>
  <si>
    <t>Testes sensoriais</t>
  </si>
  <si>
    <t>Definições de sabores. Ajustes de dosagem dos aromas</t>
  </si>
  <si>
    <t>Avaliação de sabores diferentes. Definições de dosagens de aromas e aditivos. Avaliações de aromas preferidos</t>
  </si>
  <si>
    <t>Apresentação da fórmula</t>
  </si>
  <si>
    <t>Apresentação de 3 sabores e formulação final para avaliação da Gerência Técnica</t>
  </si>
  <si>
    <t>Ajustes sensoriais em bancada. Aplicação de corantes</t>
  </si>
  <si>
    <t>Aprovação da Gerência de 2 sabores</t>
  </si>
  <si>
    <t>Avaliação do produto em banca multissetorial para viabilidade de comercialização do produto</t>
  </si>
  <si>
    <t>Aprovado</t>
  </si>
  <si>
    <t>Qualificação de MP</t>
  </si>
  <si>
    <t>Qualificação das novas matérias-primas</t>
  </si>
  <si>
    <t>Análise Nutricional Nova MP (colágeno)</t>
  </si>
  <si>
    <t>Análise do aminograma, teor de aminoácidos específicos</t>
  </si>
  <si>
    <t>Aprovada do ponto de vista nutricional, mas atenção ao novo alergênico: peixe.</t>
  </si>
  <si>
    <t>Qualificação de novos aromas para atender aos requisitos de qualidade</t>
  </si>
  <si>
    <t>Teste piloto de produção e envase em sacheteira</t>
  </si>
  <si>
    <t>Retort</t>
  </si>
  <si>
    <t>Análise dos descritivos de licitação</t>
  </si>
  <si>
    <t>Pesquisa sobre a demanda por dietas em SF em editais de licitação</t>
  </si>
  <si>
    <t>Correlacionar as principais dietas demandadas em processos de licitação.</t>
  </si>
  <si>
    <t>Atual</t>
  </si>
  <si>
    <t>Pesquisa microrganismos Trophic EP pela Labtermo.</t>
  </si>
  <si>
    <t>Estudo sobre a cinética dos microrganismos no Trophic EP através da análise das principais MP's que o compóem, a fim de se verificar qual seria o melhor binômio de tempo x temperatura a ser usado nos testes.</t>
  </si>
  <si>
    <t>Processos sugeridos para serem aplicados foram: F130°C = 10,09min
ou F123°C = 41,55min.</t>
  </si>
  <si>
    <t>Consultoria (formulações)</t>
  </si>
  <si>
    <t>Estudo junto à consultoria sobre MP'se aplicações em testes piloto.</t>
  </si>
  <si>
    <t>Teste piloto com o Trophic EP na Embrapa Agroindústria de Alimentos – Rio de Janeiro/RJ no final de maio de 2018. Foram testadas formulações diferenciadas no equipamento Retort rotativo, utilizando embalagens de vidro (mai/2018).</t>
  </si>
  <si>
    <t>TP Embrapa/RJ para avaliar 3 novas formulações do Trophic Protein Energy sem WPI, com bags plásticos flexíveis (jul/2018).</t>
  </si>
  <si>
    <t>TP em escala indutrial na Latco Alimento, em Cruzeiro do Oeste/PR, a fim de se avaliar o comportamento de 2 formulações no equipamento retort e validar um possível parceiro para realizar a terceirização das dietas (jan/2019).</t>
  </si>
  <si>
    <t>TP Embrapa/RJ para realizar 5 formulações na tecnologia retort para iniciar o estudo de estabilidade de cada produto (mar/2019). Nesse momento foi possível validar 2 formulações.</t>
  </si>
  <si>
    <t>TP Embrapa/RJ com o objetivo de atingir a estabilidade das 3 formulações previamente testadas, realizando ajustes diversos em cada uma delas (mai/2019). Finalidade não foi atingida.</t>
  </si>
  <si>
    <t>Otimização da capacidade da autoclave da Embrapa/RJ</t>
  </si>
  <si>
    <t>Confecção de bandejas exclusivas para a autoclave utilizada nos TP Embrapa/RJ.</t>
  </si>
  <si>
    <t>Bags melhor distribuídos nas bandejas, facilitando a troca de calor.</t>
  </si>
  <si>
    <t>TP Embrapa/RJ, repetindo o teste anteior (ago/2019). Os resultados mostraram evolução nas formulações, porém ainda não estando completamente homogêneas, o que desencadeou novos estudos para o próximo teste.</t>
  </si>
  <si>
    <t>TP na Lactalis em Carambeí/PR, a fim de se observar o comportamento da dieta hipercalórica e hiperprotéica (HH) na autoclave industrial, partindo do princípio de se fazer uma possível parceria com a fábrica para a produção efetiva dos produtos (o produto foi envasado nas garrafas de 200mL de Chocomilk) (set/2019).</t>
  </si>
  <si>
    <t>TP para EE</t>
  </si>
  <si>
    <t>Estudo para ajustes nas formulações (nível aditivos, tempos de mistura, melhorias de processo)</t>
  </si>
  <si>
    <t>TP Embrapa/RJ, buscando a estabilidade das formulações (fev/2020). Foi possível estabilizar três dietas que entraram para Estudo de Estabilidade.</t>
  </si>
  <si>
    <t>TP Embrapa/RJ (out/2020) com ajustes nos aditivos das formulações, para melhorar o comportamento das dietas previamente testadas e testar os produtos NHcF e HNcF. Além disso, foi realizado um lote para fazer um estudo junto ao laboratório Alac-Eurofins, a fim de validar a metodologia utilizada nas análises de vitaminas e minerais.</t>
  </si>
  <si>
    <t>TP Embrapa/RJ (abr/2021) com o objetivo de atingir a homogeneidade e estabilidade das formulações HN, HH, NHcF e HNcF para início dos EE’s, com o uso dos novos premixes; produzir um novo lote das formulações IG e NN com o uso dos novos premixes, para entrada em um novo EE</t>
  </si>
  <si>
    <t>TP Embrapa/RJ para validar os novos premixes de minerais (duas novas opções) - mai e jun/2021</t>
  </si>
  <si>
    <t>jun/021</t>
  </si>
  <si>
    <t>TP Embrapa/RJ (ago/2021) para dar entrada em 5 novos EE’s fazendo o uso do premix de minerais previamente desenvolvido. Entretanto, as dietas HH, NHcF e NN tiveram desestabilização da fórmula durante o momento da realização dos testes.</t>
  </si>
  <si>
    <t>TP Embrapa/RJ (set/2021) para dar entrada em 5 novos EE’s. Apesar do teste ter tido resultados dentro do esperado, com as formulações IG, NN, HH, HN e NHcF tendo atingido as suas estabilidades, com as análises de T0 foi possível  identificar um erro de formulação, no nível de uso do premix de vitaminas.</t>
  </si>
  <si>
    <t>TP Embrapa/RJ (out/2021) para dar entrada em 5 novos EE’s. Houve sucesso nas 5 dietas.</t>
  </si>
  <si>
    <t>Desenvolvimento de embalagens</t>
  </si>
  <si>
    <t>Estudo sobre os materiais, prospecção de fornecedores e testes piloto.</t>
  </si>
  <si>
    <t>Estudo sobre os diferentes materiais que compõem as camadas das embalagens laminadas flexíveis para uso em autoclave, com aplicação no TP Embrapa/RJ em jul/2018.</t>
  </si>
  <si>
    <t>Prospecção de um novo fornecedor de embalagens, com estrutura diferente da utilizada no TP Embrapa/RJ (jul/2018), com diferente tipo de enchimento (pelo bocal)  - jan/2019</t>
  </si>
  <si>
    <t>Estudo das camadas e dimensionais da embalagem, para otimizar a capacidade dos produtos da autoclave. Um pouch exclusivo com as dimensões Prodiet foi confeccionado pelo fornecedor "padrão", o qual foi testado em TP Embrapa/RJ em fev/2020. O resultado foi positivo (próxima etapa será testar na envasadora retort).</t>
  </si>
  <si>
    <t>A envasadora somente chegou na Prodiet em fev/2022, momento no qual seguiu-se com os teste com a bag transparente com o dimensional exclusivo Prodiet. Os resultados foram satisfatórios, mas ainda se estuda um ajuste no tamanho da embalagem.</t>
  </si>
  <si>
    <t>Desenvolvimento de embalagens - bico Enplus</t>
  </si>
  <si>
    <t>Prospecção de fornecedores do bico Enplus, específico para retort</t>
  </si>
  <si>
    <t>Identificado um possível fornecedor (Alemanha). Testes serão conduzidos.</t>
  </si>
  <si>
    <t>Cancelado</t>
  </si>
  <si>
    <t>Desenvolvimento de novo premix de vitaminas</t>
  </si>
  <si>
    <t>Estudo acerca da sobredosagem e IN das vitaminas.</t>
  </si>
  <si>
    <t>Novo premix de vitaminas com SD ajustadas para uso no próximo TP.</t>
  </si>
  <si>
    <t>Chegada de equipamentos Prodiet</t>
  </si>
  <si>
    <t>Acompanhamento da chegada do equipamento</t>
  </si>
  <si>
    <t>Chegada da envasadora nas instalações Prodiet</t>
  </si>
  <si>
    <t>Fornecedor alemão realizando testes com o pouch Prodiet, para aplicação do bico Enplus</t>
  </si>
  <si>
    <t>TP envasadora Prodiet</t>
  </si>
  <si>
    <t>Envase utilizando produtos UHT para validar o dimensional do pouch Prodiet</t>
  </si>
  <si>
    <t>Embalagem transparente leva muito tempo para envasar, devido ao pequeno head-space</t>
  </si>
  <si>
    <t>Fornecedores brasileiros prospectados com diferente dimensional do pouch.</t>
  </si>
  <si>
    <t>TP em possível copacker</t>
  </si>
  <si>
    <t>Visita técnica com Qualidade e Manutenção + Piloto com a etapa de mistura</t>
  </si>
  <si>
    <t>Validação microbiológica da mistura em tanque resfriado pré-envase + validação pela equipe das instalações/equipamentos</t>
  </si>
  <si>
    <t>Modificação do premix de vitaminas</t>
  </si>
  <si>
    <t>TP Embrapa/RJ (jun/2022) para dar entrada em 3 novos EE’s.</t>
  </si>
  <si>
    <t>Utilização da nova envasadora</t>
  </si>
  <si>
    <t>Selagem permitindo aproveitamento 100%</t>
  </si>
  <si>
    <t>Chegada da autoclave nas instalações Prodiet</t>
  </si>
  <si>
    <t>Modificação do premix de vitaminas + Nova fórmula (UTI)</t>
  </si>
  <si>
    <t>TP Embrapa/RJ (set/2022) para dar entrada em 3 novos EE’s.</t>
  </si>
  <si>
    <t>Selagem comprometida (muitas perdas), sendo necessário novo TP</t>
  </si>
  <si>
    <t>Validação de nova fórmula (UTI)</t>
  </si>
  <si>
    <t>Fórmula com alta viscosidade &gt; será necessário ajuste</t>
  </si>
  <si>
    <t>Definição de copacker</t>
  </si>
  <si>
    <t>Assinatura de contrato junto ao novo copacker</t>
  </si>
  <si>
    <t>Local para produção efetiva</t>
  </si>
  <si>
    <t>Envio de equipamento para novo copacker</t>
  </si>
  <si>
    <t>Chegada da autoclave nas instalações do novo copacker</t>
  </si>
  <si>
    <t>Prospecção de fornecedores</t>
  </si>
  <si>
    <t>Retomada do contato com um fornecedor italiano, pois o copacker possui uma envasadora específica</t>
  </si>
  <si>
    <t>Realizado novo TP com o ajuste de viscosidade na formulação</t>
  </si>
  <si>
    <t>Dieta perdeu a estabilidade, devido à falha na caldeira durante a sua produção na Embrapa/RJ</t>
  </si>
  <si>
    <t>Validação do pouch</t>
  </si>
  <si>
    <t>Elaboração do desenho técnico da embalagem</t>
  </si>
  <si>
    <t>Validação da régua de adminstração para Arte Final</t>
  </si>
  <si>
    <t>Adequação copacker</t>
  </si>
  <si>
    <t>Instalação da autoclave no novo copacker</t>
  </si>
  <si>
    <t>Validação pela consultoria de engenharia</t>
  </si>
  <si>
    <t>Compra de nova envasadora</t>
  </si>
  <si>
    <t>Suporte para a compra da nova envasadora</t>
  </si>
  <si>
    <t>Avaliação do equipamento segundo informações do fornecedor</t>
  </si>
  <si>
    <t>EE em andamento</t>
  </si>
  <si>
    <t>Teste industrial Latco - start linha Prodiet</t>
  </si>
  <si>
    <t>Monitoramento da chegada dos cestos/bandejas da autclave</t>
  </si>
  <si>
    <t>Chegada das bandejas/cestos na Latco</t>
  </si>
  <si>
    <t>Monitoramento da chegada dos pouches</t>
  </si>
  <si>
    <t>Chegada dos pouches na Latco</t>
  </si>
  <si>
    <t>Agendamento treinamento Surdry - start autoclave</t>
  </si>
  <si>
    <t>Equipe treinada para uso do equipamento</t>
  </si>
  <si>
    <t>Teste estava previsto para novembro/2023, mas foi cancelado, pois as bandejas/cestos e pouches não chegaram a tempo</t>
  </si>
  <si>
    <t>Validação térmica da autoclave</t>
  </si>
  <si>
    <t>Contratação fornecedor para fazer a validação</t>
  </si>
  <si>
    <t>Autoclave validada para uso efetivo em TI's e produção</t>
  </si>
  <si>
    <t>Treinamento Surdry - start autoclave</t>
  </si>
  <si>
    <t>Treinamento da equipe Prodiet (qualidade, manutenção e P&amp;D) para uso da autoclave</t>
  </si>
  <si>
    <t>Validação térmica do equipamento</t>
  </si>
  <si>
    <t xml:space="preserve">Modificação do premix de minerais (NHcF) + alteração do aminograma (NN) + validação nova fórmula UTI (ajuste de premix de vitaminas e viscosidade) </t>
  </si>
  <si>
    <t>Realizado novo TP com o ajuste de formulação</t>
  </si>
  <si>
    <t>PESQUISA APLICAÇÃO
MICROBIOLOGIA</t>
  </si>
  <si>
    <t>ESCRITA PROTOCOLO</t>
  </si>
  <si>
    <t>Entrega do desenho da pesquisa</t>
  </si>
  <si>
    <t>Teste administração e coleta de dados</t>
  </si>
  <si>
    <t>Admnistração da dieta, coleta de amostras microbiológicas, realizadas por execução de P&amp;D e Qualidade.</t>
  </si>
  <si>
    <t>Dados para análise de resultados</t>
  </si>
  <si>
    <t>Análise dos dados para escrita de resumo</t>
  </si>
  <si>
    <t>Materiais necessários para a escrita de resumo ao Ganepão</t>
  </si>
  <si>
    <t>Submissão ao congresso</t>
  </si>
  <si>
    <t>Escrita do resumo e submissão ao congresso</t>
  </si>
  <si>
    <t>Aguardar aceite do congresso</t>
  </si>
  <si>
    <t>Análise final</t>
  </si>
  <si>
    <t>Avaliação estatística, busca de revista e adequação da demonstração dos dados e resultados para apresentação em revista de publicação.</t>
  </si>
  <si>
    <t>Análise dos resultados para escrita de artigo</t>
  </si>
  <si>
    <t>Elaboração do artigo</t>
  </si>
  <si>
    <t>Escrita do artigo para publicação à revista internacional</t>
  </si>
  <si>
    <t>Submissão à revista</t>
  </si>
  <si>
    <t>Em desenvolvimento</t>
  </si>
  <si>
    <t>PESQUISA APLICAÇÃO
TROPHIC RTH</t>
  </si>
  <si>
    <t>Definição de centros de aplicação</t>
  </si>
  <si>
    <t>Busca por locais que executem teste de aplicação na prática.</t>
  </si>
  <si>
    <t>Dados para resultados da pesquisa</t>
  </si>
  <si>
    <t>Teste em hospitais</t>
  </si>
  <si>
    <t>Aplicação do produto e preenchimento da ficha de questionário para avaliar aceitação</t>
  </si>
  <si>
    <t>PEPTIMAX JUNIOR LÍQUIDA</t>
  </si>
  <si>
    <t>Análise suporte</t>
  </si>
  <si>
    <t>Avaliação de doação de produtos</t>
  </si>
  <si>
    <t>Início da pesquisa</t>
  </si>
  <si>
    <t>Apresentação protocolo à diretoria</t>
  </si>
  <si>
    <t>ARTESANAL</t>
  </si>
  <si>
    <t>Pesquisa Científica e Desenvolvimento</t>
  </si>
  <si>
    <t>Levantamento de prescrições de dietas artesanais, levantamento de pesquisas sobre dietas artesanais, análise regulatória inicial do produto</t>
  </si>
  <si>
    <t>Correlacionar principais deficiências nutricionais em dietas artesanais e possíveis ingredientes que podem complementar estas deficiências</t>
  </si>
  <si>
    <t>Apresentação de Protótipo de Produto</t>
  </si>
  <si>
    <t>Elaboração e ajustes de briefing</t>
  </si>
  <si>
    <t>Análise por assuntos regulatórios, marketing, pesquisa e desenvolvimento.</t>
  </si>
  <si>
    <t>Desenvolvimento do 1° MasterFile</t>
  </si>
  <si>
    <t>Análise e selação de matérias primas e testes de bancada</t>
  </si>
  <si>
    <t>Análise de opções de macronutrientes, flavorizantes e aditivos e análise de custos</t>
  </si>
  <si>
    <t>Análise Regulatória</t>
  </si>
  <si>
    <t>Atendimento à legislação de categoria do produto</t>
  </si>
  <si>
    <t>Entendimento de possibilidades de comunicação, uso de claims e aplicação do produto pelo consumidor</t>
  </si>
  <si>
    <t>Teste de Bancada</t>
  </si>
  <si>
    <t>Solubilidade, sensorial preliminar e análise funcional do produto</t>
  </si>
  <si>
    <t>A formulação solicitada em briefing foi testada em bancada. No entanto, os testes sensoriais foram insatisfatórios, necessitando de novas análises para definir a formulação. Em processo de análise de fatores antinutricionais do produto.</t>
  </si>
  <si>
    <t>Solubilidade, definição de dose e administração</t>
  </si>
  <si>
    <t>Teste de bancada para avaliar formulação quanto a solubilidade e administração</t>
  </si>
  <si>
    <t>Protocolo Teste de Aplicação</t>
  </si>
  <si>
    <t>Lentamento da literatura; levantamento de receitas de dietas artesanais; cálculo teórico</t>
  </si>
  <si>
    <t>Definição de receita artesanal a ser utilizada, na complementação com fórmula ARTS, para seguir com análise de macro e micronutrientes.</t>
  </si>
  <si>
    <t>ATESANAL</t>
  </si>
  <si>
    <t>Busca por fornecedores/proteína alternativa</t>
  </si>
  <si>
    <t>Fornecedor de grão de bico informou que descontinuou a matéria prima, com isso foi necessário buscar novas opções de fonte proteica e de fibras</t>
  </si>
  <si>
    <t>Encontrar matéria prima para substituição do grão de bico, com valor significativo de proteína e fibra, boa solubilidade e baixo custo</t>
  </si>
  <si>
    <t>Ajuste de formulação</t>
  </si>
  <si>
    <t>Desenvolver formulação teórica com nova fonte de proteína e fibra substituta do grão de bico</t>
  </si>
  <si>
    <t>Desenvolvido fórmula teórico com feijão, com menor custo</t>
  </si>
  <si>
    <t>Solubilidade, degustação, definição de dose e administração</t>
  </si>
  <si>
    <t>Teste de bancada para avaliar formulação quanto a solubilidade, sabor e administração após reformulação com feijão Univar Solutions</t>
  </si>
  <si>
    <t>Feijão reprovado devido a solubilidade</t>
  </si>
  <si>
    <t>Teste de bancada para avaliar formulação quanto a solubilidade, sabor e administração com grão de bico Maçca</t>
  </si>
  <si>
    <t>Em jun/24 a propscção e avaliação de fornecedores e MPs permanece em andmaneto, aguardando amostras para execução dos testes de bancada</t>
  </si>
  <si>
    <t>Organizar documentos para submissão do projeto ao comite de ética em pesquisa</t>
  </si>
  <si>
    <t>Análise de dados parcial 1</t>
  </si>
  <si>
    <t>Análise parcial para submissão de resumo no congresso Ganepão</t>
  </si>
  <si>
    <t>Análise de dados parcial 2</t>
  </si>
  <si>
    <t>Análise parcial para submissão de resumo no congresso ESPEN 2024</t>
  </si>
  <si>
    <t>ESTUDO DE CASO (retrospectivo)</t>
  </si>
  <si>
    <t>Submissão ao congresso BRASPEN/23</t>
  </si>
  <si>
    <t>Elaboração de resumo do EC para submissão à BRASPEN/23</t>
  </si>
  <si>
    <t>Organizar os dados enviados pela profissional e elaborar resumo para congresso</t>
  </si>
  <si>
    <t>Relato de caso de paciente com fraqueza adquirida na Unidade de Terapia Intensiva (FAUTI) em uso de Energyzip</t>
  </si>
  <si>
    <t>Apresentação  do resumo em congresso BRASPEN 2023</t>
  </si>
  <si>
    <t>Apresentação  do resumo elaborado no congresso da BRASPEN 2023 com publicação nos anais de congressos</t>
  </si>
  <si>
    <t>Contato com profissionais que atendem  público alvo dos produtos a serem estudados</t>
  </si>
  <si>
    <t>Buscar profissionais para executar os EC</t>
  </si>
  <si>
    <t>Doação de produtos</t>
  </si>
  <si>
    <t>Doação de produto para realização de estudo de caso</t>
  </si>
  <si>
    <t>Doar produtos para realização de estudo de caso</t>
  </si>
  <si>
    <t>Levantamento de artigos científicos com produtos semelhantes aos produtos Prodiet para analise de avaliações e discussão com profissionais que irão realizar o EC</t>
  </si>
  <si>
    <t>Realizar análise de metodologia de artigos cientificos; Estabelecer e discutir as avaliações a serem realizadas do EC com os profissionais</t>
  </si>
  <si>
    <t>Intervenção</t>
  </si>
  <si>
    <t>Aplicação do suplemento em paciente elegíveis conforme critérios estabelecidos pelos profissionais</t>
  </si>
  <si>
    <t>Acompanhar resultados obtidos em relação à cognição e correlacionar com a suplementação ofertada</t>
  </si>
  <si>
    <t>Organizar os dados coletados em pesquisa e elaborar resumo para congresso</t>
  </si>
  <si>
    <t>Relato de caso de paciente idosa longeva desnutrida com doença de Alzheimer em uso de Energyzip Senior</t>
  </si>
  <si>
    <t>Relato de caso suspenso, pois participante retirou o consentimento para uso dos dados</t>
  </si>
  <si>
    <t>Aplicação de Immax para pacientes oncológicos com desnutrição</t>
  </si>
  <si>
    <t>Desenho de relato de caso prospectivo de pacietnes que usarão Immax - definir pacientes</t>
  </si>
  <si>
    <t>Aplicação do suplemento durante o tratamento dialítico</t>
  </si>
  <si>
    <t>Acompanhar resultados obtidos em relação ao estado nutricional e à lesão e correlacionar com a suplementação ofertada</t>
  </si>
  <si>
    <t>Submissão ao congresso BRASPEN/22</t>
  </si>
  <si>
    <t>Elaboração de resumo do EC para submissão à BRASPEN/22</t>
  </si>
  <si>
    <t>Relato de caso de paciente em diálise com úlcera venosa em uso de Hdmax</t>
  </si>
  <si>
    <t>Submissão ao congresso ASPEN/23</t>
  </si>
  <si>
    <t>Elaboração de resumo do EC para submissão à ASPEN/23</t>
  </si>
  <si>
    <t>Relato de caso de paciente em diálise praticante de atividade fisica em uso de Hdmax</t>
  </si>
  <si>
    <t>Submissão ao congresso Ganepão/23</t>
  </si>
  <si>
    <t>Elaboração de resumo do EC para submissão à Ganepão/23</t>
  </si>
  <si>
    <t>Relato de caso de paciente em diálise após COVID-19 em uso de Hdmax+DiamaxIG</t>
  </si>
  <si>
    <t>Apresentação  do resumo em congresso Ganepão/23</t>
  </si>
  <si>
    <t>Elaboração de EC</t>
  </si>
  <si>
    <t>Organização de dados prospectivos e elaboração de resumo de estudo de caso</t>
  </si>
  <si>
    <t>Desenvolver discussão e resultados, vinculando dados do estudo com a formulação</t>
  </si>
  <si>
    <t>Submissão do projeto do EC para avaliação do Comitê de Ética em Pesquisa (CEP) da institução pertinente</t>
  </si>
  <si>
    <t>Acompanhar o processo de submissão do projeto do EC ao CEP</t>
  </si>
  <si>
    <t>Submissão ao congresso ASPEN</t>
  </si>
  <si>
    <t>Elaboração de resumo do EC para submissão à ASPEN/22</t>
  </si>
  <si>
    <t>Relato de caso de paciente oncológico com diarréia cronica em uso de Peptimax</t>
  </si>
  <si>
    <t>Submissão ao congresso BRASPEN</t>
  </si>
  <si>
    <t>Levantamento de artigos científicos com produtos semelhantes aos produtos Prodiet para analise de protocolo de pesquisa e discussão com profissionais que irão realizar o EC</t>
  </si>
  <si>
    <t>Realizar análise de metodologia de artigos cientificos; Estabelecer e discutir o protocolo do EC com os profissionais</t>
  </si>
  <si>
    <t>Projeto finalizado. Sem dados para realizar a análise</t>
  </si>
  <si>
    <t>Aplicação do suplemento enterfiber</t>
  </si>
  <si>
    <t>Acompanhar resultados obtidos em relação ao débito da ileostomia e qualidade de vida intestinal</t>
  </si>
  <si>
    <t>Aplicação do suplemento peptimax</t>
  </si>
  <si>
    <t>Acompanhar resultados obtidos em relação ao débito da ileostomia e de avaliação nutricional (antropometria) e exames.</t>
  </si>
  <si>
    <t>Análise de resultados</t>
  </si>
  <si>
    <t>Análise de resultados encaminhados pela profissional</t>
  </si>
  <si>
    <t>Organizar os dados coletados em pesquisa e elaborar resumo</t>
  </si>
  <si>
    <t>Aplicação do suplemento Trophic Infant</t>
  </si>
  <si>
    <t>Acompanhar evolução nutricional (antropométricos e
exames) da paciente.</t>
  </si>
  <si>
    <t>Análise centesimal</t>
  </si>
  <si>
    <t>Preparo de amostra e envio para análise em laboratório externo. Análise de  macronutrientes e vit. E min. sinalizadas em Briefing. Validar o resultado em comparação com o esperado.</t>
  </si>
  <si>
    <t>Resultados obtidos devem estar condizntes com o teórico desenhado</t>
  </si>
  <si>
    <t>1º trimestre</t>
  </si>
  <si>
    <t>2º trimestre</t>
  </si>
  <si>
    <t>3º trimestre</t>
  </si>
  <si>
    <t>4º trimestre</t>
  </si>
  <si>
    <t>Código Protheus</t>
  </si>
  <si>
    <t>Vigente</t>
  </si>
  <si>
    <t>Stand-by</t>
  </si>
  <si>
    <t>2021 - Diamax pó</t>
  </si>
  <si>
    <t>2021 - Marca própria</t>
  </si>
  <si>
    <t>2018 - Trophic Júnior 1.5 Líq</t>
  </si>
  <si>
    <t>2021 - Energyzip Pó</t>
  </si>
  <si>
    <t>2022 - Sobremesa</t>
  </si>
  <si>
    <t>2022 - Tetra Pak SF</t>
  </si>
  <si>
    <t>2022 - Projeto Hydra</t>
  </si>
  <si>
    <t>2022 - Projeto Pesquisa Básica</t>
  </si>
  <si>
    <t>2021 - Trophic Dose Única</t>
  </si>
  <si>
    <t>2022 - NADA-KSA</t>
  </si>
  <si>
    <t>INOV00033</t>
  </si>
  <si>
    <t>2023 - PESQUISA CLÍNICA - PEPTIMAX</t>
  </si>
  <si>
    <t>2023 - HDMAX CONSERVADOR</t>
  </si>
  <si>
    <t>INOV00043</t>
  </si>
  <si>
    <r>
      <rPr>
        <rFont val="Source Sans Pro"/>
        <color rgb="FF666666"/>
        <sz val="10.0"/>
      </rPr>
      <t xml:space="preserve">Formulário de PD&amp;I - </t>
    </r>
    <r>
      <rPr>
        <rFont val="Source Sans Pro"/>
        <b/>
        <color rgb="FF666666"/>
        <sz val="10.0"/>
      </rPr>
      <t>Ano 2024</t>
    </r>
  </si>
  <si>
    <t>- preencher somente os campos sombreados (cinza) e
- adicionar cronograma no formato de imagem ao fim do formulário
- preencher um deste para cada projeto de PD&amp;I</t>
  </si>
  <si>
    <t>Dados gerais para identificação e validação do projeto de PD&amp;I</t>
  </si>
  <si>
    <t>INOV000001 (2018 - RETORT)</t>
  </si>
  <si>
    <t xml:space="preserve">O objetivo é atuar num mercado que demanda 50% da Nutrição Enteral, mercado este que a Prodiet não atende com sua linha atual. </t>
  </si>
  <si>
    <t>Atualmente a Prodiet somente comercializa produtos em pó ou líquidos UHT, portanto, a tecnologia de processo de tratamento térmico em autoclave se mostra como um elemento inovador.</t>
  </si>
  <si>
    <t>O principal desafio do projeto Retort é entender uma tecnologia diferenciada e implantar uma área fabril do zero, garantindo a estabilidade e esterilidade comercial do produto durante toda sua vida de prateleira, após aplicação de temperaturas mais brandas (em comparação ao processo UHT), conciliada com maiores tempos de permanência durante o tratamento térmico e correlacionando com a tecnologia de embalagens (também sendo inovação para a Prodiet). Concomitante a isso, buscar e desenvolver um possível copacker para otimizar o tempo de lançamento dos produtos.</t>
  </si>
  <si>
    <t>Por meio de consultorias e estudos, a Prodiet for e continua em busca do conhecimento para implantar uma nova estrutura para Sistema Fechado. O objetivo da consultoria para as formulações foi trazer as pesquisas sobre possibilidades de locais para realização dos teste em planta piloto, expôr seu conhecimento e prática a este processo e contatar fornecedores de embalagens/prestadores de serviços relacionados ao projeto. Simultaneamente, foram e estão sendo realizados estudos aprofundados sobre a nova tecnologia (tanto no quesito produto, quanto processo, equipamentos e embalagem), em conjunto com as diversas áreas da empresa, como Científico, Assuntos Regulatórios, Qualidade, Manutenção e Produção. Além disso, a partir de 2020 foi contratada uma consultoria para a parte de Engenharia, que está auxiliando com os estudos na implantação da nova fábrica (estrutural e de equipamentos/processos).</t>
  </si>
  <si>
    <t>Cargo/Função</t>
  </si>
  <si>
    <t>Head de P&amp;D</t>
  </si>
  <si>
    <t>Juliana Lamas</t>
  </si>
  <si>
    <t>Alyne Oliveira</t>
  </si>
  <si>
    <t>[anexar imagem - preferencialmente Gantt]</t>
  </si>
  <si>
    <r>
      <rPr>
        <rFont val="Source Sans Pro"/>
        <color rgb="FF666666"/>
        <sz val="10.0"/>
      </rPr>
      <t xml:space="preserve">Formulário de PD&amp;I - </t>
    </r>
    <r>
      <rPr>
        <rFont val="Source Sans Pro"/>
        <b/>
        <color rgb="FF666666"/>
        <sz val="10.0"/>
      </rPr>
      <t>Ano 2024</t>
    </r>
  </si>
  <si>
    <t>INOV000004 (2019 - CICATRIZAÇÃO)</t>
  </si>
  <si>
    <t>Produto voltado para cicatrização, desde pós-operatórios, como prevenção ou tratamento de lesões por pressão.</t>
  </si>
  <si>
    <t>A fórmula para cicatrização tem como objetivo oferecer uma combinação de nutrientes inovadora para cicatrização. Os produtos usualmente indicados no ambiente hospitalar são produtos líquidos, e nós desenvolvemos um produto na versão pó com o intuito de melhor o custo-benefício aos pacientes.</t>
  </si>
  <si>
    <t>O desafio neste caso é desenvolver um produto que apresente sensorial agradável considerando a combinação de nutrientes com alto residual como aminoácidos isolados presentes no produto bem como o colágeno hidrolisado. Dentre os vários nutrientes avaliados a preocupação era encontrar um ingrediente que apresentasse estabilidade no processamento térmico, e que pudesse ser submetido ao processo UHT.</t>
  </si>
  <si>
    <t>Por meio de pesquisa e de contatos com profissionais, a Prodiet tem buscado realizar o desenvolvimento de uma fórmula viável e que atenda aos requisitos nutricionais e sensoriais desejados. O contato com fornecedores a fim de compreender o comportamento das matérias primas selecionadas, o conhecimento de estudos já realizados com estas matérias primas.</t>
  </si>
  <si>
    <r>
      <rPr>
        <rFont val="Source Sans Pro"/>
        <color rgb="FF666666"/>
        <sz val="10.0"/>
      </rPr>
      <t xml:space="preserve">Formulário de PD&amp;I - </t>
    </r>
    <r>
      <rPr>
        <rFont val="Source Sans Pro"/>
        <b/>
        <color rgb="FF666666"/>
        <sz val="10.0"/>
      </rPr>
      <t>Ano 2024</t>
    </r>
  </si>
  <si>
    <t>INOV000006 (2019 - ARTESANAL)</t>
  </si>
  <si>
    <t xml:space="preserve">Desenvolver um produto inovador no mercado brasileiro, visto que não há produto semelhante, com o objetivo de complementar a dieta enteral artesanal, com ótima relação custo/benefício. </t>
  </si>
  <si>
    <t>O desenvolvimento de uma fórmula com alimentos e que atendam uma demanda específica que ainda não é atendida no mercado brasileiro. O elemento inovador é uma proposta (formulação) totalmente inovadora.</t>
  </si>
  <si>
    <t xml:space="preserve">Os desafios são as novas matérias primas, que são alimentos liofilizados, até então não trabalhados previamente, que apresentam uma composição nutricional muito variável, dificultanto assim a seleção de MPs que correspondam ao desenho nutricional desejado. Além disso, o desenvolvimento de um produto que atenda a demanda nutricional do público em uso de nutrição enteral artesanal, com sensorial final neutro, com solubilidade adequada para nutrição enteral, também são barreiras para este desenvolvimento. </t>
  </si>
  <si>
    <t xml:space="preserve">Foi realizado estudo com os principais nutrientes deficientes na dieta artesanal ofertada aos indivíduos em uso de nutrição enteral artesanal. Além disso, foi realizada análise da composição de produtos com ingredientes in natura, bem como análise sensorial. O estudo de novas MP’s foi conduzidos por Científico e P&amp;D, mas os primeiros testes de bancada não foram satisfatórios com relação à presença de grânulos e à neutralidade de sabor, apresentando sabor residual desagradável. No momento, P&amp;D está realizando novos estudos de MP’s em parceria com os fornecedores.
</t>
  </si>
  <si>
    <r>
      <rPr>
        <rFont val="Source Sans Pro"/>
        <color rgb="FF666666"/>
        <sz val="10.0"/>
      </rPr>
      <t xml:space="preserve">Formulário de PD&amp;I - </t>
    </r>
    <r>
      <rPr>
        <rFont val="Source Sans Pro"/>
        <b/>
        <color rgb="FF666666"/>
        <sz val="10.0"/>
      </rPr>
      <t>Ano 2024</t>
    </r>
  </si>
  <si>
    <r>
      <rPr>
        <rFont val="Source Sans Pro"/>
        <color rgb="FF666666"/>
        <sz val="10.0"/>
      </rPr>
      <t xml:space="preserve">Formulário de PD&amp;I - </t>
    </r>
    <r>
      <rPr>
        <rFont val="Source Sans Pro"/>
        <b/>
        <color rgb="FF666666"/>
        <sz val="10.0"/>
      </rPr>
      <t>Ano 2024</t>
    </r>
  </si>
  <si>
    <t>INOV000013 (2021 - SACHÊ A VÁCUO)</t>
  </si>
  <si>
    <t xml:space="preserve">Aplicar o uso do vácuo no envase dos produtos em pó do portfólio atual Prodiet, com o intuito de estudar se a embalagem mantém o vácuo ao longo do shelf-life, bem como auxiliar a manter as suas características nutricionais e sensoriais, em comparação às embalagens atuais (potes e latas). </t>
  </si>
  <si>
    <t>Nos dias atuais, os produtos em pó são fabricados em embalagens plásticas rígidas (potes), latas de alumínio e embalagens plásticas flexíveis (sachês). A embalagem a vácuo não é utilizada para o envase de nutrição enteral no mercado nacional.</t>
  </si>
  <si>
    <t>O principal desafio é entender como o mercado nacional irá reagir ao novo tipo de embalagem para Nutrição Enteral. Além disso, atender à limitação fabril, considerando o investimento em novos equipamentos e em uma nova linha de processo, bem como atender ao preço de venda competitivo.</t>
  </si>
  <si>
    <t>Busca de fornecedores de embalagens que suportem o vácuo, e de fornecedores de equipamentos com a tecnologia adequada para o envase e selagem dos produtos a vácuo. Realização de um piloto industrial em fornecedor parceiro.</t>
  </si>
  <si>
    <t>Lizianne Shmeil</t>
  </si>
  <si>
    <r>
      <rPr>
        <rFont val="Source Sans Pro"/>
        <color rgb="FF666666"/>
        <sz val="10.0"/>
      </rPr>
      <t xml:space="preserve">Formulário de PD&amp;I - </t>
    </r>
    <r>
      <rPr>
        <rFont val="Source Sans Pro"/>
        <b/>
        <color rgb="FF666666"/>
        <sz val="10.0"/>
      </rPr>
      <t>Ano 2024</t>
    </r>
  </si>
  <si>
    <t>INOV000014 (2021 - ENERGYZIP 25%)</t>
  </si>
  <si>
    <t>O projeto visa permitir maior abertura para Prodiet no mercado público e privado.
Desenvolver suplemento hipercalórico e hiperproteico líquido, uma vez que hoje não há este produto em portfolio e existe demanda cada vez maior por suplementos hiperproteicos no mercado. 
Acompanhar o lançamento da linha de sistema fechado, tendo um produto que acompanha um mix de vendas para hospitais. 
Produto que seja competitivo também para processos públicos, bem como para o mercado internacional.</t>
  </si>
  <si>
    <t>A inovação desse produto é, justamente, o aumento no teor de proteína em relação ao produto de linha. A produção desse produto possibilitará um ganho de mercado, tanto em relação a competição com alguns suplementos, quanto para fórmulas enterais que necessitem de um aporte mais expressivo de proteínas.</t>
  </si>
  <si>
    <t>O principal desafio no desenvolvimento dessa fórmula está na estabilização proteica/estrutural da fórmula. O aumento do teor de proteína acarreta um aumento expressivo da viscosidade. A viscosidade alta em fórmulas enterais é responsável por dificuldades de administração.</t>
  </si>
  <si>
    <t>Testar desenvolvimento de fórmula com maior teor de proteínas em teste piloto.</t>
  </si>
  <si>
    <t>Analista Cientifico</t>
  </si>
  <si>
    <t>Gerente cientifico</t>
  </si>
  <si>
    <r>
      <rPr>
        <rFont val="Source Sans Pro"/>
        <color rgb="FF666666"/>
        <sz val="10.0"/>
      </rPr>
      <t xml:space="preserve">Formulário de PD&amp;I - </t>
    </r>
    <r>
      <rPr>
        <rFont val="Source Sans Pro"/>
        <b/>
        <color rgb="FF666666"/>
        <sz val="10.0"/>
      </rPr>
      <t>Ano 2024</t>
    </r>
  </si>
  <si>
    <t>INOV000016 (2018 - LINHA TROPHIC SOYA LÍQUIDO)</t>
  </si>
  <si>
    <t>Este projeto tem como objetivo aumentar o portfólio da linha 100% Soja, com produto de maior perfil proteico e fibras, atendendo a consumidores com alergias alimentares às protéinas do leite.</t>
  </si>
  <si>
    <t>Produto de alto teo proteico e adição de fibras sem proteínas de leite.</t>
  </si>
  <si>
    <t>O desafio principal deste desenvolvimento é a estabilização da fórmula, devido ao aumento no teor de proteína para 1.5 kcal/mL e acréscimo de Fibras, o que acarretam em uma alta viscosidade do produto, responsável por dificuldades de administração do mesmo.</t>
  </si>
  <si>
    <t>Realização de Testes Pilotos UHT e Avaliação de Estudos de Estabilidade da fórmula para que o produto atinja os parâmetros necessários para a comercialização</t>
  </si>
  <si>
    <t>Rafael Lorini</t>
  </si>
  <si>
    <r>
      <rPr>
        <rFont val="Source Sans Pro"/>
        <color rgb="FF666666"/>
        <sz val="10.0"/>
      </rPr>
      <t xml:space="preserve">Formulário de PD&amp;I - </t>
    </r>
    <r>
      <rPr>
        <rFont val="Source Sans Pro"/>
        <b/>
        <color rgb="FF666666"/>
        <sz val="10.0"/>
      </rPr>
      <t>Ano 2024</t>
    </r>
  </si>
  <si>
    <t>INOV000017 (2020 - LINHA TROPHIC SOYA PÓ)</t>
  </si>
  <si>
    <t xml:space="preserve">O objetivo é expandir a linha guarda-chuva Soya, desenvolvendo produtos em pó para nutrição enteral e oral para público adulto, com foco em editais de licitação. </t>
  </si>
  <si>
    <t>Até o momento, a linha Soya foi desenvolvida somente para produtos líquidos. Diferente dos demais produtos pó do portfólio Prodiet, a Linha Soya pó possuirá 80% das proteínas de origem vegetal (soja) e somente 20% proteína animal.</t>
  </si>
  <si>
    <t>Devido a composição dos produtos Linha Soya conterem 80% de proteína de soja, MP com sabor residual bastante presente, o maior desafio é desenvolver um produto de administração enteral mas também oral, com sabor agradável, palatável, aplicando aromas com função satisfatória de mascarar a proteína e economicamente viável. Por ser um produto para licitação, o maior desafio é o custo competitivo do produto, que por possui óleos em pó apresenta custo elevado.</t>
  </si>
  <si>
    <t xml:space="preserve">Atualmente as gorduras tem maior impacto no custo do produto, desta forma estão sendo buscadas alternativas para alteração de gorduras em pó, como óleo líquido que possui menor valor. Para melhor solubilidade, aspecto e sabor do produto, a possibilidade junto a fornecedor parceiro, é de realizar uma mistura de proteínas+carboidrato+óleo liquido obtidas por spray dryer. Também estão sendo realizados testes de bancada de adsorção do óleo líquido através da maltodextrina de tapioca, ainda a terceira opção é revisão da fórmula e substituição da proteína láctea por fonte mais barata. </t>
  </si>
  <si>
    <t>Aanalista de P&amp;D</t>
  </si>
  <si>
    <r>
      <rPr>
        <rFont val="Source Sans Pro"/>
        <color rgb="FF666666"/>
        <sz val="10.0"/>
      </rPr>
      <t xml:space="preserve">Formulário de PD&amp;I - </t>
    </r>
    <r>
      <rPr>
        <rFont val="Source Sans Pro"/>
        <b/>
        <color rgb="FF666666"/>
        <sz val="10.0"/>
      </rPr>
      <t>Ano 2024</t>
    </r>
  </si>
  <si>
    <t>INOV000020 (2022 - PEPTIMAX JUNIOR)</t>
  </si>
  <si>
    <t>Desenvolver produto pediatrico para atender mercado de fórmulas especializadas</t>
  </si>
  <si>
    <t>A inovação desse produto é aumentar a linha de produtos pediátricos, para o mercado de 1-10 anos, desta vez com uma fórmula especializada.</t>
  </si>
  <si>
    <t xml:space="preserve">Desenvolver produto pediátrico com proteína hidrolisada com sensorial ideal para aceitação do publico. </t>
  </si>
  <si>
    <t>Seguir o padrão de desenvolvimento do produto Peptimax que apresenta boa aceitação</t>
  </si>
  <si>
    <t>Vaneisse C L Monteiro</t>
  </si>
  <si>
    <r>
      <rPr>
        <rFont val="Source Sans Pro"/>
        <color rgb="FF666666"/>
        <sz val="10.0"/>
      </rPr>
      <t xml:space="preserve">Formulário de PD&amp;I - </t>
    </r>
    <r>
      <rPr>
        <rFont val="Source Sans Pro"/>
        <b/>
        <color rgb="FF666666"/>
        <sz val="10.0"/>
      </rPr>
      <t>Ano 2024</t>
    </r>
  </si>
  <si>
    <t>INOV000022 (2021 - PESQUISA CLÍNICA - INSTANTH NEO)</t>
  </si>
  <si>
    <t>Determinar se o uso de Instanth Neo por 6 meses em pacientes acima dos 60 anos, com diagnóstico de CCL por DA é capaz de interferir no desempenho cognitivo, medido por testes neuropsicológicos.</t>
  </si>
  <si>
    <t xml:space="preserve">Suplemento alimentar com combinação patenteada de nutrientes: ácido cáprico, caprílico, fosfatidilserina, DHA e vitaminas e minerais. A patente foi concedida para esta combinação visando a suplementação na doença de Alzheimer, o qual é objetivo das pesquisas em andamento. </t>
  </si>
  <si>
    <t xml:space="preserve">- Com relação ao produto Instanth Neo: Instanth Neo por sua especificidade da composição (90% lipídios) necessita o envase com nitrogênio, a fim de evitar a oxidação da formulação. Desta forma, será envasado em um terceiro. Este é um dos desafios tecnológicos na produção do Instanth Neo (seja para pesquisa, seja para produção comercial). 
- Com relação as pesquisas: O principal desafio é o cenário atual, da pandemia, que está atrasando consideravelmente o andamento da pesquisa clínica, que estava prevista para iniciar em 2021. 
Ainda, o protocolo do estudo é robusto e requer parcerias dentro da universidade para que o desenho do estudo aconteça de forma satisfatória. 
</t>
  </si>
  <si>
    <t>Parceria UNIFESP: Eficácia do produto AZ2021 no desfecho cognitivo de pacientes com Comprometimento Cognitivo Leve por provável Doença de Alzheimer: estudo randomizado duplo cego controlado por placebo.</t>
  </si>
  <si>
    <r>
      <rPr>
        <rFont val="Source Sans Pro"/>
        <color rgb="FF666666"/>
        <sz val="10.0"/>
      </rPr>
      <t xml:space="preserve">Formulário de PD&amp;I - </t>
    </r>
    <r>
      <rPr>
        <rFont val="Source Sans Pro"/>
        <b/>
        <color rgb="FF666666"/>
        <sz val="10.0"/>
      </rPr>
      <t>Ano 2024</t>
    </r>
  </si>
  <si>
    <t>INOV000023 (2021 - PESQUISA CLÍNICA - DIAMAX IG)</t>
  </si>
  <si>
    <t xml:space="preserve">Comprovar os benefícios e segurança de uso do produto DiamaxIG em amostra com Diabetes Mellitus tipo 2 e apresentar os resultados encontrados em forma de abstracts em congressos e artigos científicos. </t>
  </si>
  <si>
    <t>O uso de fórmula especializada para controle glicêmico pode reduzir a variabilidade glicêmica, principal objetivo das pesquisas atualmente pelo grande impacto na saúde de pessoas com diabetes.</t>
  </si>
  <si>
    <t>Risco da pesquisa não apresentar resultados satisfatórios no quesito redução da variabilidade glicêmica em indivíduos com diabetes mellitus tipo 2.</t>
  </si>
  <si>
    <t>Controlar possíveis vieses de pesquisa por meio de protocolo bem estabelecido.  A variabilidade glicemica será avaliada por meio de sensor de monitoramento continuo de glicose, o mais atual método de quantificação.</t>
  </si>
  <si>
    <t xml:space="preserve">Analista Científico </t>
  </si>
  <si>
    <t xml:space="preserve">Hellin dos Santos </t>
  </si>
  <si>
    <t xml:space="preserve">Gerente Científico </t>
  </si>
  <si>
    <r>
      <rPr>
        <rFont val="Source Sans Pro"/>
        <color rgb="FF666666"/>
        <sz val="10.0"/>
      </rPr>
      <t xml:space="preserve">Formulário de PD&amp;I - </t>
    </r>
    <r>
      <rPr>
        <rFont val="Source Sans Pro"/>
        <b/>
        <color rgb="FF666666"/>
        <sz val="10.0"/>
      </rPr>
      <t>Ano 2024</t>
    </r>
  </si>
  <si>
    <t>INOV000024 (2021 - ESTUDO DE CASO)</t>
  </si>
  <si>
    <t xml:space="preserve">A realização de estudos de caso (EC) permite à empresa comprovar os benefícios e segurança de uso dos produtos, agregar maior participação na comunidade cientifica pela parceria com os profissionais, além apresentar os resultados encontrados em forma de abstracts em congressos e/ou artigos científicos. </t>
  </si>
  <si>
    <t>Os estudos de caso permitem que tenhamos resultados clínicos divulgados de maneira cientifica (divulgação em congressos de peso na área de nutrição enteral) com um menor investimento financeiro e maior agilidade</t>
  </si>
  <si>
    <t>O principal risco dos estudos de caso prospectivos, quando o estudo ainda irá ocorrer, se dá pela possibilidade de não obter o resultado esperado na conduta clínica, por não haver tantos controles de vieses e o risco de não ser aceito para publicação e/ou apresentação pelo menor peso cientifico, sendo este também aplicável para os estudos retrospectivos.</t>
  </si>
  <si>
    <t xml:space="preserve">A publicação de um relato de caso é a escrita de um caso clínico e evolução sobre o uso de determinado produto do portifolio conforme interesse manisfastado pelo profissional que o acompanha e a empresa. Os estudos de caso podem ser realizados de forma prospectiva, por meio da doação de produtos à profissionais ou de maneira retrospectiva, por levantamento de dados de um caso já finalizado. </t>
  </si>
  <si>
    <t>Gabriela Faria de Oliveria</t>
  </si>
  <si>
    <t>Gerente Cientifico</t>
  </si>
  <si>
    <r>
      <rPr>
        <rFont val="Source Sans Pro"/>
        <color rgb="FF666666"/>
        <sz val="10.0"/>
      </rPr>
      <t xml:space="preserve">Formulário de PD&amp;I - </t>
    </r>
    <r>
      <rPr>
        <rFont val="Source Sans Pro"/>
        <b/>
        <color rgb="FF666666"/>
        <sz val="10.0"/>
      </rPr>
      <t>Ano 2024</t>
    </r>
  </si>
  <si>
    <t>INOV000025 (2022 - TETRA PAK SF)</t>
  </si>
  <si>
    <t>Comercializar a atual embalagem cartonada no uso de Sistema Fechado, sem haver a necessidade de transferência para o frasco de administração</t>
  </si>
  <si>
    <t>Tampa da embalagem cartonada deve ser adaptada para que o equipo possa ser conectado.</t>
  </si>
  <si>
    <t>Aceitação do mercado, tendo em vista que a embalagem cartonada não possui uma janela para controle da administração.</t>
  </si>
  <si>
    <t xml:space="preserve">Desenvolver junto ao marketing uma tampa específica para a embalagem cartonada que permita que o equipo seja fixado conforme no frasco. </t>
  </si>
  <si>
    <t>Analista de P&amp;D Sênior</t>
  </si>
  <si>
    <t>Analista de P&amp;D Júnior</t>
  </si>
  <si>
    <t>Head de P&amp;D e AR</t>
  </si>
  <si>
    <t>Analista de Mkt</t>
  </si>
  <si>
    <r>
      <rPr>
        <rFont val="Source Sans Pro"/>
        <color rgb="FF666666"/>
        <sz val="10.0"/>
      </rPr>
      <t xml:space="preserve">Formulário de PD&amp;I - </t>
    </r>
    <r>
      <rPr>
        <rFont val="Source Sans Pro"/>
        <b/>
        <color rgb="FF666666"/>
        <sz val="10.0"/>
      </rPr>
      <t>Ano 2024</t>
    </r>
  </si>
  <si>
    <t>INOV000027 (2022 - PROJETO PESQUISA BÁSICA)</t>
  </si>
  <si>
    <t xml:space="preserve">A realização de pesquisas clínicas permite à empresa comprovar os benefícios e segurança de uso dos produtos, agregar maior participação na comunidade cientifica pela parceria com as universidades, além apresentar os resultados encontrados em forma de abstracts em congressos e/ou artigos científicos. </t>
  </si>
  <si>
    <t>A participação em congressos com estudos científicos bem como o entendimento dos conteúdos e pesquisas recentes sobre possibilidades de intervenções nutricionais nos permitem a avaliação de possibilidades de desenvolvimento de novos produtos, embasando a inovação.</t>
  </si>
  <si>
    <t>Há congressos nacionais  internacionais com diversos temas, sendo uma das barreiras o entendimento e alinhamento dos conteúdos que possam embasar as inovações que desejamos. Além disso, a participação com pesquisas em congressos é um dos objeivos da Prodiet, contribuindo sempre para a inovação e possibilidades de melhoria de produtos.</t>
  </si>
  <si>
    <t>O planejamento e entendimento das palestras/estudos e conteúdos compartilhados é uma das estratégias para se obter o acesso às pesquisas com maior assertividade. Além disso, a programação prévia das nossas pesquisas para os congressos nacionais e internacionais, tendo em vista as datas limites para submissão à congresso são estratégias.</t>
  </si>
  <si>
    <t>Ana Cláudia Zanini</t>
  </si>
  <si>
    <t>Ana Paula M Celes</t>
  </si>
  <si>
    <r>
      <rPr>
        <rFont val="Source Sans Pro"/>
        <color rgb="FF666666"/>
        <sz val="10.0"/>
      </rPr>
      <t xml:space="preserve">Formulário de PD&amp;I - </t>
    </r>
    <r>
      <rPr>
        <rFont val="Source Sans Pro"/>
        <b/>
        <color rgb="FF666666"/>
        <sz val="10.0"/>
      </rPr>
      <t>Ano 2024</t>
    </r>
  </si>
  <si>
    <t>INOV000029 (2021 - PESQUISA CLÍNICA - HDMAX)</t>
  </si>
  <si>
    <t>Agregar à comunidade científica conhecimento sobre os efeitos da suplementação especializada em pacientes dialíticos</t>
  </si>
  <si>
    <t>Esta pesquisa clínica tem como inovação a avaliação de parâmetros de composição corporal, funcionalidade e qualidade de vida entre pacientes idosos em hemodiálise suplementados durante a diálise. A inovação está nos parâmetros a serem avaliados e no público de avaliação.</t>
  </si>
  <si>
    <t>A impossibilidade de conduzir uma pesquisa que envolvesse este público, considerando todos os processos requeridos para uma pesquisa.</t>
  </si>
  <si>
    <t xml:space="preserve">O contato com profissionais que atuam na área de pesquisa com pacientes em hemodiálise é a principal metodologia para lidar com a barreira da pesquisa. </t>
  </si>
  <si>
    <r>
      <rPr>
        <rFont val="Arial"/>
        <color rgb="FF666666"/>
        <sz val="10.0"/>
      </rPr>
      <t xml:space="preserve">Formulário de PD&amp;I - </t>
    </r>
    <r>
      <rPr>
        <rFont val="Source Sans Pro"/>
        <b/>
        <color rgb="FF666666"/>
        <sz val="10.0"/>
      </rPr>
      <t>Ano 2024</t>
    </r>
  </si>
  <si>
    <t>INOV000032 (2022 – SPRAY DRYER)</t>
  </si>
  <si>
    <t>Redução de custo de fórmula em pó pela adição de um blend de matérias primas (proteína, carboidrato, gordura) obtidas por Spray Dryer, com custos similares ou menores que a aquisição de gordura em pó.</t>
  </si>
  <si>
    <t>Inovação tecnologica com melhoria em padrão microbiológico, físico-quimico e redução de custo. Novo processo de produtivo com inclusão de uma nova etapa que é a secagem por pulverização Spray dryer</t>
  </si>
  <si>
    <t>Atualmente a fábrica da prodiet não possui equipamento de secagem Spray Dryer, portanto o projeto envolve a produção terceirizada do blend, a barreira é o custo final do produto ficar maior que o  custo atual.</t>
  </si>
  <si>
    <t>Mistura de água e matérias primas fonte de carboidratos, proteína e gordura líquida, submetidas ao processo de secagem em Spray Dryer para obtenção de um blend em pó que compõe uma matéria prima única, a ser adicionada posteriormente aos demais ingredientes para a fabricação do produto, substituido a necessidade de adição de gordura em pó que contribui com custo significativo das fórmulas Prodiet. Teste piloto de produção do blend, executado em fornecedor parceiro, e posterior aplicação laboratorial do blend nos produtos Trophic Basic Enteral e Trophic Fiber para avaliação do aspecto do produto, diluição, características sensoriais, degustação, passagem pela sonda etc. Segunda etapa consiste em conhecer a fundo a tecnologia Spray Dryer para aplicar em produção própria.</t>
  </si>
  <si>
    <t>Head de AR e P&amp;D</t>
  </si>
  <si>
    <r>
      <rPr>
        <rFont val="Source Sans Pro"/>
        <color rgb="FF666666"/>
        <sz val="10.0"/>
      </rPr>
      <t xml:space="preserve">Formulário de PD&amp;I - </t>
    </r>
    <r>
      <rPr>
        <rFont val="Source Sans Pro"/>
        <b/>
        <color rgb="FF666666"/>
        <sz val="10.0"/>
      </rPr>
      <t>Ano 2024</t>
    </r>
  </si>
  <si>
    <t>Avaliar o impacto do uso do suplemento em pó para cicatrização no tempo de cicatrização e evolução da ferida.</t>
  </si>
  <si>
    <t>Combinação de peptidios de colageno, arginina, a micronutrientes chave para cicatrização, e isomaltulose para controle glicêmico.</t>
  </si>
  <si>
    <t>Possibilidade de não obter o resultado esperado na conduta clínica.</t>
  </si>
  <si>
    <t>Doação de produto investigacional, consultoria técnica, análise de biomarcadores e escalas clínicas.</t>
  </si>
  <si>
    <r>
      <rPr>
        <rFont val="Source Sans Pro"/>
        <color rgb="FF666666"/>
        <sz val="10.0"/>
      </rPr>
      <t xml:space="preserve">Formulário de PD&amp;I - </t>
    </r>
    <r>
      <rPr>
        <rFont val="Source Sans Pro"/>
        <b/>
        <color rgb="FF666666"/>
        <sz val="10.0"/>
      </rPr>
      <t>Ano 2024</t>
    </r>
  </si>
  <si>
    <t>INOV000036 (2023 - PESQUISA APLICADA - ARTESANAL)</t>
  </si>
  <si>
    <t>Avaliar composição físico-químicas de dietas enterais artesanais com e sem uso de suplementação específica, por meio de análises laboratoriais</t>
  </si>
  <si>
    <t xml:space="preserve">Utilização de elementos presentes em dietas artesanais com oferta de micronutrietes e segurança  </t>
  </si>
  <si>
    <t>Não observar diferenças significativas na composição físico-química de dietas enterais artesanais com e sem uso de suplementação específica.</t>
  </si>
  <si>
    <t>Análise química de calorias, proteínas, carboidratos, gorduras, fibras, ferro, cobre, cromo, ácido fólico, ácido pantotênico e colina</t>
  </si>
  <si>
    <r>
      <rPr>
        <rFont val="Source Sans Pro"/>
        <color rgb="FF666666"/>
        <sz val="10.0"/>
      </rPr>
      <t xml:space="preserve">Formulário de PD&amp;I - </t>
    </r>
    <r>
      <rPr>
        <rFont val="Source Sans Pro"/>
        <b/>
        <color rgb="FF666666"/>
        <sz val="10.0"/>
      </rPr>
      <t>Ano 2024</t>
    </r>
  </si>
  <si>
    <t>INOV000037 (2023 - PESQUISA CLÍNICA - IMMAX)</t>
  </si>
  <si>
    <t xml:space="preserve">Comprovar os benefícios e segurança de uso do produto Immax em amostra de indivíduos com câncer colorretal e apresentar os resultados encontrados em forma de abstracts em congressos e artigos científicos. </t>
  </si>
  <si>
    <t>O uso de fórmula especializada para pacientes oncológicos  pode reduzir a perda e/ou estimular o aumento de massa muscular , principal objetivo das pesquisas atualmente pelo grande impacto na saúde e qualidade de vida de pessoas com câncer.</t>
  </si>
  <si>
    <t>Risco da pesquisa não apresentar resultados satisfatórios no quesito redução da perda e/ou aumento de massa muscular em indivíduos com cancer colorretal.</t>
  </si>
  <si>
    <t>Controlar possíveis vieses de pesquisa por meio de protocolo bem estabelecido.  A massa muscular será avaliada por meio de densitometria óssea, um dos mlhores métodos de quantificação sem exposição à radiação.</t>
  </si>
  <si>
    <r>
      <rPr>
        <rFont val="Source Sans Pro"/>
        <color rgb="FF666666"/>
        <sz val="10.0"/>
      </rPr>
      <t xml:space="preserve">Formulário de PD&amp;I - </t>
    </r>
    <r>
      <rPr>
        <rFont val="Source Sans Pro"/>
        <b/>
        <color rgb="FF666666"/>
        <sz val="10.0"/>
      </rPr>
      <t>Ano 2024</t>
    </r>
  </si>
  <si>
    <r>
      <rPr>
        <rFont val="Source Sans Pro"/>
        <color rgb="FF666666"/>
        <sz val="10.0"/>
      </rPr>
      <t xml:space="preserve">Formulário de PD&amp;I - </t>
    </r>
    <r>
      <rPr>
        <rFont val="Source Sans Pro"/>
        <b/>
        <color rgb="FF666666"/>
        <sz val="10.0"/>
      </rPr>
      <t>Ano 2024</t>
    </r>
  </si>
  <si>
    <t>INOV000039 (2023 - PESQUISA ÍNDICE GLICÊMICO - DIAMAX IN / SF UTI)</t>
  </si>
  <si>
    <t xml:space="preserve">Determinar o Indice glicemico de 2 fórmulas especializadas </t>
  </si>
  <si>
    <t>Fórmulas especializadas com baixo indice glicemico apresentam beneficios para pacientes com diabetes melittus e hiperglicemia por estresse. A comprovação do baixo indice glicemico destas formulas embasaria a prescrição para estes grupos populacionais.</t>
  </si>
  <si>
    <t>Risco das fórmulas não apresentarem resultados satisfatórios de baixo indice glicemico</t>
  </si>
  <si>
    <t>Controlar possíveis vieses de pesquisa por meio de protocolo bem estabelecido.  Adeterminação do indice glicemico será relizada no centro de referência no Brasil para este tipo de pesquisa e seguirá os protocolos recomendados na literatura.</t>
  </si>
  <si>
    <r>
      <rPr>
        <rFont val="Source Sans Pro"/>
        <color rgb="FF666666"/>
        <sz val="10.0"/>
      </rPr>
      <t xml:space="preserve">Formulário de PD&amp;I - </t>
    </r>
    <r>
      <rPr>
        <rFont val="Source Sans Pro"/>
        <b/>
        <color rgb="FF666666"/>
        <sz val="10.0"/>
      </rPr>
      <t>Ano 2024</t>
    </r>
  </si>
  <si>
    <t>INOV000041 (2023 - PROTEÍNA LÍQUIDA)</t>
  </si>
  <si>
    <t>Desenvolver módulo de proteína líquido para produção própria, em processo retort, que forneça o mínimo de aminoácidos segundo a RDC 21/2015, com menor volume, para uso em hospitais.</t>
  </si>
  <si>
    <t>Módulo líquido próprio, inovador para o mercado brasileiro, na categoria de Nutrição Enteral.</t>
  </si>
  <si>
    <t>Não atingimento da estabilidade da formulação, devido ao tratamento térmico agressivo em autoclave. Se atingida a estabilidade: desestabilização da formulação ao longo do shelf-life, devido à alta concentração proteica em baixo volume.</t>
  </si>
  <si>
    <t>Estudo da estabilidade de emulsões de proteínas, para fazer a combinação que atenda ao perfil de aminoácidos conforme o direcinal do Briefing do Científico. Aplicação das formulações com tratamento térmico em autoclave.</t>
  </si>
  <si>
    <r>
      <rPr>
        <rFont val="Source Sans Pro"/>
        <color rgb="FF666666"/>
        <sz val="10.0"/>
      </rPr>
      <t xml:space="preserve">Formulário de PD&amp;I - </t>
    </r>
    <r>
      <rPr>
        <rFont val="Source Sans Pro"/>
        <b/>
        <color rgb="FF666666"/>
        <sz val="10.0"/>
      </rPr>
      <t>Ano 2024</t>
    </r>
  </si>
  <si>
    <t xml:space="preserve">Este projeto visa o desenvolvimento de um novo suplemento nutricional especializado no tratamento da inflamação intestinal (Doenças Inflamatórias Intestinais - IBD), que combina o fator bioativo TGF beta-2 (Transforming Growth Factor beta-2), com uma mistura inovadora de aminoácidos livres e proteínas hidrolisadas. O foco está em desenvolver uma fórmula que seja capaz de preservar a bioatividade do TGF beta-2 ao longo do processo de fabricação industrial e, simultaneamente, minimizar os impactos sensoriais adversos (como o sabor amargo) típicos das proteínas hidrolisadas. O objetivo científico central é superar os desafios de formulação, mantendo a eficácia biológica e melhorando a palatabilidade.
</t>
  </si>
  <si>
    <t xml:space="preserve">A inovação reside na integração de TGF beta-2, um fator bioativo que desempenha um papel essencial na regulação da resposta imunológica intestinal, ao suplemento nutricional, o que é algo inédito no mercado de nutrição para IBD. O desafio técnico central é garantir que o TGF beta-2 mantenha sua estrutura e funcionalidade durante processos como aquecimento, secagem e armazenamento. Além disso, a combinação com proteínas hidrolisadas de alto valor biológico apresenta uma nova abordagem para melhorar a absorção e biodisponibilidade dos nutrientes, ao mesmo tempo em que atenua o impacto sensorial negativo através de processos avançados de reformulação sensorial.
</t>
  </si>
  <si>
    <t>Degradação do TGF beta-2: A integridade do TGF beta-2 pode ser comprometida durante processos industriais como aquecimento ou pressão, afetando sua eficácia biológica. A necessidade de estabilização desse componente é um risco significativo.
Desafios Sensoriais: As proteínas hidrolisadas são reconhecidas por seu amargor e, sem uma reformulação adequada, há o risco de baixa aceitação pelo consumidor.
Escalonamento Industrial: O escalonamento do processo, passando de ambiente laboratorial para produção industrial, apresenta o risco de perda de controle sobre as variáveis críticas, como a manutenção da bioatividade e as características sensoriais do produto.</t>
  </si>
  <si>
    <t>Estudos de Estabilidade: Testes laboratoriais para avaliar a estabilidade e bioatividade do TGF beta-2 após diferentes fases de produção (microencapsulamento, liofilização, spray drying). Serão utilizadas técnicas como cromatografia líquida de alta eficiência (HPLC) e ensaios de atividade biológica (ELISA).
Análises Sensoriais Avançadas: Parcerias com indústrias especializadas em sabores para testar soluções inovadoras de encapsulamento de proteínas hidrolisadas, visando atenuar o amargor. Testes sensoriais cegos com grupos de consumidores também serão realizados para medir a aceitação.
Simulação de Processos Industriais: A produção em escala piloto será utilizada para simular o processo completo e garantir a viabilidade da transferência de tecnologia para uma linha de produção industrial.</t>
  </si>
  <si>
    <t>Gerente Head de P&amp;D e AR</t>
  </si>
  <si>
    <r>
      <rPr>
        <rFont val="Source Sans Pro"/>
        <color rgb="FF666666"/>
        <sz val="10.0"/>
      </rPr>
      <t xml:space="preserve">Formulário de PD&amp;I - </t>
    </r>
    <r>
      <rPr>
        <rFont val="Source Sans Pro"/>
        <b/>
        <color rgb="FF666666"/>
        <sz val="10.0"/>
      </rPr>
      <t>Ano 2022</t>
    </r>
  </si>
  <si>
    <t>PEPTIMAX JUNIOR LÍQUIDO</t>
  </si>
  <si>
    <t>Desenvolver uma fórmula oligomérica para pediatria (1 a 10 anos), líquida. Competitivo com mercado nacional e internacional.</t>
  </si>
  <si>
    <t>A inovação desse produto é construir uma linha para o mercado de 1-10 anos com diversidade de apresentação e fórmula.</t>
  </si>
  <si>
    <t>Desenvolver produto pediátrico com proteína hidrolisada com sensorial ideal para aceitação do publico e/ou que apresente boa resistência térmica, garantindo estabilização proteica e estrutura da fórmula</t>
  </si>
  <si>
    <t>Testar desenvolvimento de fórmula com estabilidade proteica.</t>
  </si>
  <si>
    <t>Raissa Leonello Bellotti</t>
  </si>
  <si>
    <r>
      <rPr>
        <rFont val="Source Sans Pro"/>
        <color rgb="FF666666"/>
        <sz val="10.0"/>
      </rPr>
      <t xml:space="preserve">Formulário de PD&amp;I - </t>
    </r>
    <r>
      <rPr>
        <rFont val="Source Sans Pro"/>
        <b/>
        <color rgb="FF666666"/>
        <sz val="10.0"/>
      </rPr>
      <t>Ano 2022</t>
    </r>
  </si>
  <si>
    <t>PESQUISA CLÍNICA PROTEIN PT WHEY</t>
  </si>
  <si>
    <t xml:space="preserve">Este projeto busca avaliar os efeitos da suplementação com whey protein isolado em mulheres obesas submetidas a quimioterapia, com foco em melhorar a massa muscular e reduzir os efeitos colaterais relacionados à perda de peso e catabolismo muscular induzido pelo tratamento. O objetivo científico é explorar a eficácia de uma suplementação proteica no suporte nutricional durante tratamentos agressivos, onde a deterioração da condição corporal é comum.
</t>
  </si>
  <si>
    <t xml:space="preserve">O diferencial deste projeto reside na análise dos efeitos do whey protein isolado em uma população vulnerável e pouco estudada (mulheres obesas em tratamento quimioterápico). A inovação está em avaliar se a suplementação pode não apenas prevenir a perda muscular, mas também melhorar a resposta ao tratamento, fornecendo uma estratégia nutricional complementar.
</t>
  </si>
  <si>
    <t xml:space="preserve">Os principais riscos estão associados à falta de resultados clínicos positivos, dada a natureza complexa do metabolismo durante a quimioterapia e a resposta variada à suplementação proteica em indivíduos obesos. Há também incertezas sobre os potenciais efeitos adversos da suplementação, como o impacto na função renal ou outros efeitos não previstos.
</t>
  </si>
  <si>
    <t>Divisão em Grupos Controle e Experimental: Pacientes serão divididos em dois grupos, sendo um suplementado com whey protein isolado e outro recebendo placebo.
Avaliação de Biomarcadores Nutricionais e Musculares: Serão monitorados marcadores bioquímicos de estado nutricional (proteínas séricas, albumina) e de inflamação (citocinas), além de medidas de massa muscular por bioimpedância e tomografia computadorizada.
Monitoramento de Efeitos Adversos: A pesquisa incluirá acompanhamento de potenciais efeitos adversos à suplementação por meio de análises regulares de função renal e hepática.</t>
  </si>
  <si>
    <r>
      <rPr>
        <rFont val="Source Sans Pro"/>
        <color rgb="FF666666"/>
        <sz val="10.0"/>
      </rPr>
      <t xml:space="preserve">Formulário de PD&amp;I - </t>
    </r>
    <r>
      <rPr>
        <rFont val="Source Sans Pro"/>
        <b/>
        <color rgb="FF666666"/>
        <sz val="10.0"/>
      </rPr>
      <t>Ano 2022</t>
    </r>
  </si>
  <si>
    <t>PESQUISA APLICAÇÃO MICROBIOLOGIA</t>
  </si>
  <si>
    <t xml:space="preserve">Este projeto objetiva avaliar o comportamento microbiológico de produtos nutricionais administrados em sistemas abertos e fechados em ambientes hospitalares. A pesquisa focará na segurança microbiológica durante o uso clínico prolongado e a viabilidade de sistemas que ofereçam maior proteção contra contaminações durante o uso.
</t>
  </si>
  <si>
    <t xml:space="preserve">A inovação está no desenvolvimento de um sistema de administração hospitalar de nutrição clínica que seja mais seguro em termos microbiológicos, minimizando o risco de contaminação cruzada, principalmente em sistemas abertos. A introdução de um sistema de administração fechado e controlado será investigada como uma solução potencialmente mais segura, sendo algo relativamente inexplorado em termos de nutrição clínica.
</t>
  </si>
  <si>
    <t xml:space="preserve">Os riscos incluem a aceitação hospitalar dos novos sistemas, especialmente no que se refere à usabilidade e à ausência de uma janela de visualização durante a administração, o que pode gerar resistência por parte de profissionais de saúde.
</t>
  </si>
  <si>
    <t>Testes Microbiológicos Simulados: Os produtos serão testados em condições simuladas de uso hospitalar, onde serão introduzidas diferentes cepas bacterianas para avaliar a taxa de contaminação nos dois sistemas (aberto e fechado). Serão utilizados métodos de cultura microbiológica e PCR para quantificar e identificar microorganismos.
Avaliação em Ambientes Controlados: Testes serão conduzidos em diferentes hospitais para avaliar a eficácia microbiológica do sistema de administração fechado, monitorando parâmetros como contaminação cruzada e durabilidade do sistema.</t>
  </si>
  <si>
    <t>Analista P&amp;D</t>
  </si>
  <si>
    <t>Denise Barros Ferreira</t>
  </si>
  <si>
    <t>Coordenadora de controle de qualidade</t>
  </si>
  <si>
    <r>
      <rPr>
        <rFont val="Source Sans Pro"/>
        <color rgb="FF666666"/>
        <sz val="10.0"/>
      </rPr>
      <t xml:space="preserve">Formulário de PD&amp;I - </t>
    </r>
    <r>
      <rPr>
        <rFont val="Source Sans Pro"/>
        <b/>
        <color rgb="FF666666"/>
        <sz val="10.0"/>
      </rPr>
      <t>Ano 2022</t>
    </r>
  </si>
  <si>
    <t>PESQUISA APLICAÇÃO TROPHIC RTH</t>
  </si>
  <si>
    <t xml:space="preserve">O projeto visa a avaliação da viabilidade técnica e operacional de um novo sistema de administração para a linha Trophic®, destinada à nutrição clínica hospitalar. O foco é aprimorar a praticidade e segurança microbiológica, além de avaliar a resistência das embalagens utilizadas.
</t>
  </si>
  <si>
    <t xml:space="preserve">A inovação reside no sistema de administração direto ao equipo, eliminando etapas intermediárias de manuseio e, portanto, reduzindo o risco de contaminação microbiológica. Além disso, o sistema de embalagem cartonada oferece vantagens em termos de custo e resistência, mas precisa ser avaliado em relação à sua aceitação e eficácia operacional.
</t>
  </si>
  <si>
    <t xml:space="preserve">O maior risco está relacionado à aceitação hospitalar do novo sistema, que não inclui mecanismos de monitoramento visual (sem janela), o que pode gerar resistência por parte dos usuários e profissionais de saúde, comprometendo a adoção em larga escala.
</t>
  </si>
  <si>
    <t>Testes de Desempenho em Ambientes Reais: O sistema será testado em ambientes hospitalares controlados, simulando diferentes condições de uso. Serão monitorados aspectos como praticidade no manuseio, durabilidade da embalagem e taxas de contaminação.
Análises de Segurança Microbiológica: Testes microbiológicos serão conduzidos para verificar a eficácia da vedação e a resistência do sistema de administração ao longo do uso, utilizando métodos de cultura microbiológica e PCR para identificar potenciais contaminantes.</t>
  </si>
  <si>
    <r>
      <rPr>
        <rFont val="Source Sans Pro"/>
        <color rgb="FF666666"/>
        <sz val="10.0"/>
      </rPr>
      <t xml:space="preserve">Formulário de PD&amp;I - </t>
    </r>
    <r>
      <rPr>
        <rFont val="Source Sans Pro"/>
        <b/>
        <color rgb="FF666666"/>
        <sz val="10.0"/>
      </rPr>
      <t>Ano 2024</t>
    </r>
  </si>
  <si>
    <t>Avaliar o comportamento microbiológico dos produtos da Prodiet Medical Nutrition, durante a administração em sistema aberto e sistema com adaptador de conexão direta ao equipo</t>
  </si>
  <si>
    <t>Avaliar segurança microbiológica em produto com sistema de admnistração inovador.</t>
  </si>
  <si>
    <t>Aceitação do mercado, tendo em vista que a embalagem cartonada não possui uma janela para controle da administração e não conformidade microbiológica.</t>
  </si>
  <si>
    <t>Estudo em laboratório de qualidade.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</si>
</sst>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 &quot;mmmm&quot; de &quot;yyyy"/>
    <numFmt numFmtId="165" formatCode="#,##0.00;(#,##0.00)"/>
    <numFmt numFmtId="166" formatCode="_-* #,##0.00_-;\-* #,##0.00_-;_-* &quot;-&quot;??_-;_-@"/>
    <numFmt numFmtId="167" formatCode="0.0000%"/>
    <numFmt numFmtId="168" formatCode="dd/mm/yyyy"/>
    <numFmt numFmtId="169" formatCode="d/m/yyyy"/>
    <numFmt numFmtId="170" formatCode="dd/MM/yyyy"/>
    <numFmt numFmtId="171" formatCode="mmm/yyyy"/>
  </numFmts>
  <fonts count="56">
    <font>
      <sz val="10.0"/>
      <color rgb="FF000000"/>
      <name val="Arial"/>
      <scheme val="minor"/>
    </font>
    <font>
      <color theme="1"/>
      <name val="Arial"/>
    </font>
    <font>
      <b/>
      <color rgb="FF666666"/>
      <name val="&quot;Source Sans Pro&quot;"/>
    </font>
    <font>
      <color rgb="FF666666"/>
      <name val="&quot;Source Sans Pro&quot;"/>
    </font>
    <font>
      <color theme="1"/>
      <name val="Arial"/>
      <scheme val="minor"/>
    </font>
    <font>
      <b/>
      <sz val="10.0"/>
      <color rgb="FF000000"/>
      <name val="Cairo"/>
    </font>
    <font>
      <sz val="10.0"/>
      <color rgb="FF000000"/>
      <name val="Cairo"/>
    </font>
    <font>
      <sz val="20.0"/>
      <color rgb="FF000000"/>
      <name val="Cairo"/>
    </font>
    <font>
      <sz val="11.0"/>
      <color rgb="FF000000"/>
      <name val="Cairo"/>
    </font>
    <font>
      <b/>
      <sz val="11.0"/>
      <color rgb="FF000000"/>
      <name val="Cairo"/>
    </font>
    <font>
      <sz val="8.0"/>
      <color rgb="FF000000"/>
      <name val="Cairo"/>
    </font>
    <font>
      <i/>
      <sz val="10.0"/>
      <color rgb="FF000000"/>
      <name val="Cairo"/>
    </font>
    <font>
      <b/>
      <sz val="10.0"/>
      <color rgb="FFFFFFFF"/>
      <name val="Cairo"/>
    </font>
    <font>
      <b/>
      <color rgb="FF000000"/>
      <name val="&quot;Source Sans Pro&quot;"/>
    </font>
    <font>
      <color rgb="FF000000"/>
      <name val="&quot;Source Sans Pro&quot;"/>
    </font>
    <font>
      <i/>
      <color rgb="FF000000"/>
      <name val="&quot;Source Sans Pro&quot;"/>
    </font>
    <font>
      <color theme="1"/>
      <name val="Cairo"/>
    </font>
    <font>
      <b/>
      <sz val="12.0"/>
      <color rgb="FF000000"/>
      <name val="Cairo"/>
    </font>
    <font>
      <sz val="10.0"/>
      <color rgb="FF666666"/>
      <name val="Source Sans Pro"/>
    </font>
    <font>
      <b/>
      <sz val="12.0"/>
      <color rgb="FF666666"/>
      <name val="Source Sans Pro"/>
    </font>
    <font>
      <b/>
      <sz val="10.0"/>
      <color rgb="FF999999"/>
      <name val="Source Sans Pro"/>
    </font>
    <font>
      <sz val="8.0"/>
      <color rgb="FF666666"/>
      <name val="Source Sans Pro"/>
    </font>
    <font>
      <b/>
      <sz val="10.0"/>
      <color rgb="FF666666"/>
      <name val="Source Sans Pro"/>
    </font>
    <font>
      <i/>
      <sz val="10.0"/>
      <color rgb="FF666666"/>
      <name val="Source Sans Pro"/>
    </font>
    <font>
      <sz val="8.0"/>
      <color rgb="FF666666"/>
      <name val="&quot;Segoe UI Emoji&quot;"/>
    </font>
    <font>
      <color rgb="FF666666"/>
      <name val="Arial"/>
      <scheme val="minor"/>
    </font>
    <font>
      <sz val="8.0"/>
      <color rgb="FF666666"/>
      <name val="Arial"/>
      <scheme val="minor"/>
    </font>
    <font>
      <i/>
      <sz val="8.0"/>
      <color rgb="FF666666"/>
      <name val="Source Sans Pro"/>
    </font>
    <font>
      <sz val="7.0"/>
      <color rgb="FF666666"/>
      <name val="Source Sans Pro"/>
    </font>
    <font/>
    <font>
      <color rgb="FF666666"/>
      <name val="Source Sans Pro"/>
    </font>
    <font>
      <color theme="1"/>
      <name val="Source Sans Pro"/>
    </font>
    <font>
      <b/>
      <sz val="8.0"/>
      <color rgb="FF666666"/>
      <name val="Source Sans Pro"/>
    </font>
    <font>
      <b/>
      <color theme="1"/>
      <name val="Source Sans Pro"/>
    </font>
    <font>
      <b/>
      <color rgb="FFFF0000"/>
      <name val="Source Sans Pro"/>
    </font>
    <font>
      <b/>
      <color theme="1"/>
      <name val="Arial"/>
    </font>
    <font>
      <b/>
      <color rgb="FF666666"/>
      <name val="Source Sans Pro"/>
    </font>
    <font>
      <color rgb="FFFFFFFF"/>
      <name val="Source Sans Pro"/>
    </font>
    <font>
      <b/>
      <sz val="8.0"/>
      <color rgb="FFFFFFFF"/>
      <name val="Source Sans Pro"/>
    </font>
    <font>
      <sz val="8.0"/>
      <color rgb="FFFFFFFF"/>
      <name val="Arial"/>
      <scheme val="minor"/>
    </font>
    <font>
      <sz val="8.0"/>
      <color rgb="FFFFFFFF"/>
      <name val="Source Sans Pro"/>
    </font>
    <font>
      <sz val="9.0"/>
      <color rgb="FF000000"/>
      <name val="&quot;Google Sans Mono&quot;"/>
    </font>
    <font>
      <sz val="8.0"/>
      <color rgb="FF666666"/>
      <name val="&quot;source sans pro&quot;"/>
    </font>
    <font>
      <sz val="8.0"/>
      <color rgb="FF666666"/>
      <name val="&quot;Source Sans Pro&quot;"/>
    </font>
    <font>
      <b/>
      <color theme="1"/>
      <name val="Arial"/>
      <scheme val="minor"/>
    </font>
    <font>
      <b/>
      <color rgb="FF000000"/>
      <name val="Arial"/>
      <scheme val="minor"/>
    </font>
    <font>
      <i/>
      <color rgb="FF666666"/>
      <name val="&quot;source sans pro&quot;"/>
    </font>
    <font>
      <sz val="8.0"/>
      <color rgb="FF666666"/>
      <name val="&quot;Quattrocento Sans&quot;"/>
    </font>
    <font>
      <sz val="10.0"/>
      <color rgb="FF666666"/>
      <name val="Arial"/>
    </font>
    <font>
      <sz val="7.0"/>
      <color rgb="FF666666"/>
      <name val="&quot;source sans pro&quot;"/>
    </font>
    <font>
      <color rgb="FF666666"/>
      <name val="&quot;source sans pro&quot;"/>
    </font>
    <font>
      <i/>
      <color rgb="FF666666"/>
      <name val="Arial"/>
    </font>
    <font>
      <sz val="8.0"/>
      <color rgb="FF666666"/>
      <name val="Quattrocento Sans"/>
    </font>
    <font>
      <sz val="8.0"/>
      <color rgb="FF666666"/>
      <name val="Arial"/>
    </font>
    <font>
      <i/>
      <color rgb="FF666666"/>
      <name val="&quot;Source Sans Pro&quot;"/>
    </font>
    <font>
      <sz val="7.0"/>
      <color rgb="FF666666"/>
      <name val="&quot;Source Sans Pro&quot;"/>
    </font>
  </fonts>
  <fills count="14">
    <fill>
      <patternFill patternType="none"/>
    </fill>
    <fill>
      <patternFill patternType="lightGray"/>
    </fill>
    <fill>
      <patternFill patternType="solid">
        <fgColor rgb="FFD9EAD3"/>
        <bgColor rgb="FFD9EAD3"/>
      </patternFill>
    </fill>
    <fill>
      <patternFill patternType="solid">
        <fgColor rgb="FF496C60"/>
        <bgColor rgb="FF496C60"/>
      </patternFill>
    </fill>
    <fill>
      <patternFill patternType="solid">
        <fgColor rgb="FF8B8D8E"/>
        <bgColor rgb="FF8B8D8E"/>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FBFBF"/>
        <bgColor rgb="FFBFBFBF"/>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E5E5E5"/>
        <bgColor rgb="FFE5E5E5"/>
      </patternFill>
    </fill>
    <fill>
      <patternFill patternType="solid">
        <fgColor rgb="FFFFD966"/>
        <bgColor rgb="FFFFD966"/>
      </patternFill>
    </fill>
  </fills>
  <borders count="29">
    <border/>
    <border>
      <top style="dotted">
        <color rgb="FF8B8D8E"/>
      </top>
    </border>
    <border>
      <bottom style="dotted">
        <color rgb="FF8B8D8E"/>
      </bottom>
    </border>
    <border>
      <bottom style="thin">
        <color rgb="FF434343"/>
      </bottom>
    </border>
    <border>
      <left/>
      <right/>
      <top style="thin">
        <color rgb="FF000000"/>
      </top>
      <bottom style="thin">
        <color rgb="FF000000"/>
      </bottom>
    </border>
    <border>
      <left style="thin">
        <color rgb="FF999999"/>
      </left>
    </border>
    <border>
      <left style="dotted">
        <color rgb="FF000000"/>
      </lef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border>
    <border>
      <top style="thin">
        <color rgb="FF666666"/>
      </top>
      <bottom style="thin">
        <color rgb="FF666666"/>
      </bottom>
    </border>
    <border>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666666"/>
      </left>
    </border>
    <border>
      <top style="thin">
        <color rgb="FF666666"/>
      </top>
    </border>
    <border>
      <top style="thin">
        <color rgb="FF000000"/>
      </top>
      <bottom style="thin">
        <color rgb="FF000000"/>
      </bottom>
    </border>
    <border>
      <bottom/>
    </border>
    <border>
      <right/>
      <bottom/>
    </border>
    <border>
      <right style="thin">
        <color rgb="FF999999"/>
      </right>
    </border>
    <border>
      <bottom style="dotted">
        <color rgb="FF000000"/>
      </bottom>
    </border>
    <border>
      <right style="dotted">
        <color rgb="FF000000"/>
      </right>
    </border>
    <border>
      <right style="dotted">
        <color rgb="FF000000"/>
      </right>
      <bottom style="dotted">
        <color rgb="FF000000"/>
      </bottom>
    </border>
    <border>
      <left/>
      <top/>
      <bottom/>
    </border>
    <border>
      <top/>
      <bottom/>
    </border>
    <border>
      <right/>
      <top/>
      <bottom/>
    </border>
    <border>
      <left/>
      <right/>
      <top/>
      <bottom/>
    </border>
    <border>
      <left style="dotted">
        <color rgb="FF000000"/>
      </left>
      <right style="dotted">
        <color rgb="FF000000"/>
      </right>
      <top/>
      <bottom/>
    </border>
  </borders>
  <cellStyleXfs count="1">
    <xf borderId="0" fillId="0" fontId="0" numFmtId="0" applyAlignment="1" applyFont="1"/>
  </cellStyleXfs>
  <cellXfs count="34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1" numFmtId="0" xfId="0" applyAlignment="1" applyFont="1">
      <alignment horizontal="center"/>
    </xf>
    <xf borderId="0" fillId="0" fontId="1" numFmtId="0" xfId="0" applyAlignment="1" applyFont="1">
      <alignment horizontal="center" readingOrder="0"/>
    </xf>
    <xf borderId="0" fillId="0" fontId="3" numFmtId="0" xfId="0" applyAlignment="1" applyFont="1">
      <alignment readingOrder="0" vertical="bottom"/>
    </xf>
    <xf borderId="0" fillId="2" fontId="3" numFmtId="0" xfId="0" applyAlignment="1" applyFill="1" applyFont="1">
      <alignment readingOrder="0"/>
    </xf>
    <xf borderId="0" fillId="0" fontId="4" numFmtId="0" xfId="0" applyAlignment="1" applyFont="1">
      <alignment readingOrder="0"/>
    </xf>
    <xf borderId="0" fillId="2" fontId="3" numFmtId="0" xfId="0" applyAlignment="1" applyFont="1">
      <alignment readingOrder="0" vertical="bottom"/>
    </xf>
    <xf borderId="0" fillId="0" fontId="3" numFmtId="0" xfId="0" applyFont="1"/>
    <xf borderId="0" fillId="0" fontId="3" numFmtId="0" xfId="0" applyAlignment="1" applyFont="1">
      <alignment readingOrder="0"/>
    </xf>
    <xf borderId="0" fillId="3" fontId="5" numFmtId="0" xfId="0" applyAlignment="1" applyFill="1" applyFont="1">
      <alignment vertical="center"/>
    </xf>
    <xf borderId="0" fillId="3" fontId="6" numFmtId="0" xfId="0" applyAlignment="1" applyFont="1">
      <alignment vertical="center"/>
    </xf>
    <xf borderId="0" fillId="0" fontId="7" numFmtId="0" xfId="0" applyAlignment="1" applyFont="1">
      <alignment readingOrder="0" vertical="center"/>
    </xf>
    <xf borderId="0" fillId="0" fontId="8" numFmtId="0" xfId="0" applyAlignment="1" applyFont="1">
      <alignment vertical="center"/>
    </xf>
    <xf borderId="0" fillId="0" fontId="9" numFmtId="0" xfId="0" applyAlignment="1" applyFont="1">
      <alignment readingOrder="0" vertical="center"/>
    </xf>
    <xf borderId="0" fillId="0" fontId="6" numFmtId="0" xfId="0" applyAlignment="1" applyFont="1">
      <alignment vertical="center"/>
    </xf>
    <xf borderId="0" fillId="0" fontId="6" numFmtId="0" xfId="0" applyAlignment="1" applyFont="1">
      <alignment readingOrder="0" vertical="bottom"/>
    </xf>
    <xf borderId="1" fillId="0" fontId="6" numFmtId="0" xfId="0" applyAlignment="1" applyBorder="1" applyFont="1">
      <alignment readingOrder="0" vertical="bottom"/>
    </xf>
    <xf borderId="1" fillId="0" fontId="6" numFmtId="0" xfId="0" applyAlignment="1" applyBorder="1" applyFont="1">
      <alignment vertical="bottom"/>
    </xf>
    <xf borderId="1" fillId="0" fontId="6" numFmtId="0" xfId="0" applyAlignment="1" applyBorder="1" applyFont="1">
      <alignment horizontal="right" readingOrder="0" vertical="bottom"/>
    </xf>
    <xf borderId="0" fillId="0" fontId="10" numFmtId="0" xfId="0" applyAlignment="1" applyFont="1">
      <alignment horizontal="right" readingOrder="0" vertical="center"/>
    </xf>
    <xf borderId="0" fillId="0" fontId="11" numFmtId="0" xfId="0" applyAlignment="1" applyFont="1">
      <alignment readingOrder="0" vertical="top"/>
    </xf>
    <xf borderId="2" fillId="0" fontId="11" numFmtId="0" xfId="0" applyAlignment="1" applyBorder="1" applyFont="1">
      <alignment readingOrder="0" vertical="top"/>
    </xf>
    <xf borderId="2" fillId="0" fontId="6" numFmtId="0" xfId="0" applyAlignment="1" applyBorder="1" applyFont="1">
      <alignment vertical="top"/>
    </xf>
    <xf borderId="0" fillId="0" fontId="10" numFmtId="164" xfId="0" applyAlignment="1" applyFont="1" applyNumberFormat="1">
      <alignment horizontal="right" readingOrder="0" vertical="top"/>
    </xf>
    <xf borderId="0" fillId="4" fontId="12" numFmtId="0" xfId="0" applyAlignment="1" applyFill="1" applyFont="1">
      <alignment vertical="center"/>
    </xf>
    <xf borderId="0" fillId="4" fontId="12" numFmtId="0" xfId="0" applyAlignment="1" applyFont="1">
      <alignment horizontal="right" readingOrder="0" vertical="center"/>
    </xf>
    <xf borderId="3" fillId="0" fontId="1" numFmtId="0" xfId="0" applyAlignment="1" applyBorder="1" applyFont="1">
      <alignment vertical="bottom"/>
    </xf>
    <xf borderId="3" fillId="5" fontId="13" numFmtId="0" xfId="0" applyAlignment="1" applyBorder="1" applyFill="1" applyFont="1">
      <alignment horizontal="right"/>
    </xf>
    <xf borderId="0" fillId="0" fontId="6" numFmtId="165" xfId="0" applyAlignment="1" applyFont="1" applyNumberFormat="1">
      <alignment horizontal="right" vertical="center"/>
    </xf>
    <xf borderId="0" fillId="0" fontId="6" numFmtId="165" xfId="0" applyAlignment="1" applyFont="1" applyNumberFormat="1">
      <alignment horizontal="right" readingOrder="0" vertical="center"/>
    </xf>
    <xf borderId="0" fillId="0" fontId="1" numFmtId="165" xfId="0" applyAlignment="1" applyFont="1" applyNumberFormat="1">
      <alignment vertical="bottom"/>
    </xf>
    <xf borderId="0" fillId="5" fontId="14" numFmtId="165" xfId="0" applyAlignment="1" applyFont="1" applyNumberFormat="1">
      <alignment horizontal="right"/>
    </xf>
    <xf borderId="0" fillId="3" fontId="12" numFmtId="0" xfId="0" applyAlignment="1" applyFont="1">
      <alignment readingOrder="0" vertical="center"/>
    </xf>
    <xf borderId="4" fillId="3" fontId="12" numFmtId="0" xfId="0" applyAlignment="1" applyBorder="1" applyFont="1">
      <alignment readingOrder="0" vertical="center"/>
    </xf>
    <xf borderId="4" fillId="3" fontId="12" numFmtId="165" xfId="0" applyAlignment="1" applyBorder="1" applyFont="1" applyNumberFormat="1">
      <alignment horizontal="right" vertical="center"/>
    </xf>
    <xf borderId="3" fillId="0" fontId="1" numFmtId="165" xfId="0" applyAlignment="1" applyBorder="1" applyFont="1" applyNumberFormat="1">
      <alignment vertical="bottom"/>
    </xf>
    <xf borderId="3" fillId="5" fontId="13" numFmtId="165" xfId="0" applyAlignment="1" applyBorder="1" applyFont="1" applyNumberFormat="1">
      <alignment horizontal="right"/>
    </xf>
    <xf borderId="0" fillId="6" fontId="11" numFmtId="0" xfId="0" applyAlignment="1" applyFill="1" applyFont="1">
      <alignment vertical="center"/>
    </xf>
    <xf borderId="0" fillId="6" fontId="11" numFmtId="9" xfId="0" applyAlignment="1" applyFont="1" applyNumberFormat="1">
      <alignment horizontal="right" readingOrder="0" vertical="center"/>
    </xf>
    <xf borderId="0" fillId="0" fontId="1" numFmtId="0" xfId="0" applyAlignment="1" applyFont="1">
      <alignment vertical="bottom"/>
    </xf>
    <xf borderId="0" fillId="5" fontId="15" numFmtId="9" xfId="0" applyAlignment="1" applyFont="1" applyNumberFormat="1">
      <alignment horizontal="right" readingOrder="0"/>
    </xf>
    <xf borderId="0" fillId="3" fontId="12" numFmtId="0" xfId="0" applyAlignment="1" applyFont="1">
      <alignment vertical="center"/>
    </xf>
    <xf borderId="4" fillId="3" fontId="12" numFmtId="0" xfId="0" applyAlignment="1" applyBorder="1" applyFont="1">
      <alignment vertical="center"/>
    </xf>
    <xf borderId="0" fillId="0" fontId="10" numFmtId="0" xfId="0" applyAlignment="1" applyFont="1">
      <alignment readingOrder="0" vertical="center"/>
    </xf>
    <xf borderId="0" fillId="0" fontId="10" numFmtId="165" xfId="0" applyAlignment="1" applyFont="1" applyNumberFormat="1">
      <alignment vertical="center"/>
    </xf>
    <xf borderId="0" fillId="0" fontId="16" numFmtId="0" xfId="0" applyFont="1"/>
    <xf borderId="0" fillId="0" fontId="16" numFmtId="165" xfId="0" applyFont="1" applyNumberFormat="1"/>
    <xf borderId="0" fillId="0" fontId="6" numFmtId="165" xfId="0" applyAlignment="1" applyFont="1" applyNumberFormat="1">
      <alignment vertical="center"/>
    </xf>
    <xf borderId="0" fillId="4" fontId="12" numFmtId="0" xfId="0" applyAlignment="1" applyFont="1">
      <alignment readingOrder="0" vertical="top"/>
    </xf>
    <xf borderId="2" fillId="0" fontId="6" numFmtId="0" xfId="0" applyAlignment="1" applyBorder="1" applyFont="1">
      <alignment vertical="center"/>
    </xf>
    <xf borderId="0" fillId="0" fontId="6" numFmtId="0" xfId="0" applyAlignment="1" applyFont="1">
      <alignment readingOrder="0" vertical="center"/>
    </xf>
    <xf borderId="0" fillId="0" fontId="6" numFmtId="0" xfId="0" applyAlignment="1" applyFont="1">
      <alignment horizontal="right" vertical="center"/>
    </xf>
    <xf borderId="0" fillId="0" fontId="11" numFmtId="0" xfId="0" applyAlignment="1" applyFont="1">
      <alignment readingOrder="0" vertical="center"/>
    </xf>
    <xf quotePrefix="1" borderId="0" fillId="0" fontId="11" numFmtId="0" xfId="0" applyAlignment="1" applyFont="1">
      <alignment readingOrder="0" vertical="center"/>
    </xf>
    <xf borderId="0" fillId="0" fontId="17" numFmtId="0" xfId="0" applyAlignment="1" applyFont="1">
      <alignment readingOrder="0" vertical="center"/>
    </xf>
    <xf borderId="0" fillId="0" fontId="6" numFmtId="0" xfId="0" applyFont="1"/>
    <xf borderId="0" fillId="5" fontId="5" numFmtId="0" xfId="0" applyAlignment="1" applyFont="1">
      <alignment horizontal="center" readingOrder="0" vertical="center"/>
    </xf>
    <xf borderId="0" fillId="7" fontId="5" numFmtId="0" xfId="0" applyAlignment="1" applyFill="1" applyFont="1">
      <alignment horizontal="center" readingOrder="0" vertical="center"/>
    </xf>
    <xf borderId="0" fillId="4" fontId="12" numFmtId="0" xfId="0" applyAlignment="1" applyFont="1">
      <alignment horizontal="center" readingOrder="0" vertical="center"/>
    </xf>
    <xf borderId="0" fillId="0" fontId="6" numFmtId="49" xfId="0" applyAlignment="1" applyFont="1" applyNumberFormat="1">
      <alignment horizontal="left" vertical="center"/>
    </xf>
    <xf borderId="0" fillId="0" fontId="6" numFmtId="0" xfId="0" applyAlignment="1" applyFont="1">
      <alignment horizontal="center" readingOrder="0" vertical="center"/>
    </xf>
    <xf borderId="0" fillId="0" fontId="6" numFmtId="49" xfId="0" applyAlignment="1" applyFont="1" applyNumberFormat="1">
      <alignment horizontal="left" readingOrder="0" vertical="center"/>
    </xf>
    <xf borderId="0" fillId="0" fontId="6" numFmtId="0" xfId="0" applyAlignment="1" applyFont="1">
      <alignment horizontal="left" readingOrder="0" vertical="center"/>
    </xf>
    <xf borderId="0" fillId="0" fontId="6" numFmtId="49" xfId="0" applyAlignment="1" applyFont="1" applyNumberFormat="1">
      <alignment readingOrder="0" vertical="center"/>
    </xf>
    <xf borderId="0" fillId="3" fontId="12" numFmtId="166" xfId="0" applyAlignment="1" applyFont="1" applyNumberFormat="1">
      <alignment readingOrder="0" vertical="center"/>
    </xf>
    <xf borderId="4" fillId="3" fontId="12" numFmtId="166" xfId="0" applyAlignment="1" applyBorder="1" applyFont="1" applyNumberFormat="1">
      <alignment readingOrder="0" vertical="center"/>
    </xf>
    <xf borderId="4" fillId="3" fontId="12" numFmtId="0" xfId="0" applyAlignment="1" applyBorder="1" applyFont="1">
      <alignment horizontal="center" vertical="center"/>
    </xf>
    <xf borderId="4" fillId="3" fontId="12" numFmtId="165" xfId="0" applyAlignment="1" applyBorder="1" applyFont="1" applyNumberFormat="1">
      <alignment vertical="center"/>
    </xf>
    <xf borderId="0" fillId="4" fontId="12" numFmtId="0" xfId="0" applyAlignment="1" applyFont="1">
      <alignment readingOrder="0" vertical="center"/>
    </xf>
    <xf borderId="0" fillId="4" fontId="12" numFmtId="165" xfId="0" applyAlignment="1" applyFont="1" applyNumberFormat="1">
      <alignment horizontal="right" readingOrder="0" vertical="center"/>
    </xf>
    <xf borderId="0" fillId="4" fontId="12" numFmtId="165" xfId="0" applyAlignment="1" applyFont="1" applyNumberFormat="1">
      <alignment readingOrder="0" vertical="center"/>
    </xf>
    <xf borderId="0" fillId="0" fontId="5" numFmtId="165" xfId="0" applyAlignment="1" applyFont="1" applyNumberFormat="1">
      <alignment horizontal="right" vertical="center"/>
    </xf>
    <xf borderId="0" fillId="0" fontId="8" numFmtId="165" xfId="0" applyAlignment="1" applyFont="1" applyNumberFormat="1">
      <alignment readingOrder="0" vertical="center"/>
    </xf>
    <xf borderId="0" fillId="0" fontId="8" numFmtId="165" xfId="0" applyAlignment="1" applyFont="1" applyNumberFormat="1">
      <alignment vertical="center"/>
    </xf>
    <xf borderId="0" fillId="3" fontId="12" numFmtId="165" xfId="0" applyAlignment="1" applyFont="1" applyNumberFormat="1">
      <alignment horizontal="right" readingOrder="0" vertical="center"/>
    </xf>
    <xf borderId="0" fillId="3" fontId="12" numFmtId="165" xfId="0" applyAlignment="1" applyFont="1" applyNumberFormat="1">
      <alignment readingOrder="0" vertical="center"/>
    </xf>
    <xf borderId="0" fillId="0" fontId="18" numFmtId="0" xfId="0" applyAlignment="1" applyFont="1">
      <alignment vertical="center"/>
    </xf>
    <xf borderId="0" fillId="0" fontId="19" numFmtId="0" xfId="0" applyAlignment="1" applyFont="1">
      <alignment readingOrder="0" vertical="center"/>
    </xf>
    <xf borderId="0" fillId="0" fontId="20" numFmtId="0" xfId="0" applyAlignment="1" applyFont="1">
      <alignment readingOrder="0" vertical="center"/>
    </xf>
    <xf borderId="0" fillId="0" fontId="18" numFmtId="0" xfId="0" applyAlignment="1" applyFont="1">
      <alignment readingOrder="0" vertical="center"/>
    </xf>
    <xf borderId="5" fillId="0" fontId="18" numFmtId="0" xfId="0" applyAlignment="1" applyBorder="1" applyFont="1">
      <alignment vertical="center"/>
    </xf>
    <xf borderId="0" fillId="0" fontId="21" numFmtId="0" xfId="0" applyAlignment="1" applyFont="1">
      <alignment readingOrder="0" vertical="center"/>
    </xf>
    <xf borderId="0" fillId="6" fontId="18" numFmtId="0" xfId="0" applyAlignment="1" applyFont="1">
      <alignment readingOrder="0" vertical="center"/>
    </xf>
    <xf borderId="0" fillId="0" fontId="21" numFmtId="0" xfId="0" applyAlignment="1" applyFont="1">
      <alignment readingOrder="0" shrinkToFit="0" vertical="top" wrapText="1"/>
    </xf>
    <xf borderId="0" fillId="0" fontId="22" numFmtId="0" xfId="0" applyAlignment="1" applyFont="1">
      <alignment readingOrder="0" vertical="center"/>
    </xf>
    <xf borderId="0" fillId="6" fontId="23" numFmtId="0" xfId="0" applyAlignment="1" applyFont="1">
      <alignment readingOrder="0" shrinkToFit="0" vertical="center" wrapText="1"/>
    </xf>
    <xf borderId="0" fillId="0" fontId="21" numFmtId="0" xfId="0" applyAlignment="1" applyFont="1">
      <alignment vertical="center"/>
    </xf>
    <xf borderId="0" fillId="0" fontId="24" numFmtId="0" xfId="0" applyAlignment="1" applyFont="1">
      <alignment readingOrder="0" vertical="center"/>
    </xf>
    <xf borderId="0" fillId="6" fontId="23" numFmtId="0" xfId="0" applyAlignment="1" applyFont="1">
      <alignment readingOrder="0" vertical="center"/>
    </xf>
    <xf borderId="0" fillId="0" fontId="23" numFmtId="0" xfId="0" applyAlignment="1" applyFont="1">
      <alignment readingOrder="0" vertical="center"/>
    </xf>
    <xf borderId="0" fillId="0" fontId="25" numFmtId="0" xfId="0" applyAlignment="1" applyFont="1">
      <alignment vertical="center"/>
    </xf>
    <xf borderId="0" fillId="0" fontId="26" numFmtId="0" xfId="0" applyAlignment="1" applyFont="1">
      <alignment vertical="center"/>
    </xf>
    <xf borderId="0" fillId="0" fontId="25" numFmtId="0" xfId="0" applyFont="1"/>
    <xf borderId="0" fillId="0" fontId="27" numFmtId="0" xfId="0" applyAlignment="1" applyFont="1">
      <alignment readingOrder="0" shrinkToFit="0" vertical="center" wrapText="0"/>
    </xf>
    <xf borderId="0" fillId="0" fontId="21" numFmtId="0" xfId="0" applyAlignment="1" applyFont="1">
      <alignment readingOrder="0" vertical="top"/>
    </xf>
    <xf borderId="0" fillId="0" fontId="21" numFmtId="0" xfId="0" applyAlignment="1" applyFont="1">
      <alignment vertical="top"/>
    </xf>
    <xf borderId="0" fillId="0" fontId="24" numFmtId="0" xfId="0" applyAlignment="1" applyFont="1">
      <alignment readingOrder="0" vertical="top"/>
    </xf>
    <xf borderId="0" fillId="0" fontId="28" numFmtId="0" xfId="0" applyAlignment="1" applyFont="1">
      <alignment readingOrder="0" shrinkToFit="0" vertical="center" wrapText="1"/>
    </xf>
    <xf borderId="6" fillId="0" fontId="18" numFmtId="0" xfId="0" applyAlignment="1" applyBorder="1" applyFont="1">
      <alignment readingOrder="0" vertical="center"/>
    </xf>
    <xf borderId="7" fillId="0" fontId="18" numFmtId="0" xfId="0" applyAlignment="1" applyBorder="1" applyFont="1">
      <alignment readingOrder="0" vertical="center"/>
    </xf>
    <xf borderId="6" fillId="0" fontId="18" numFmtId="0" xfId="0" applyAlignment="1" applyBorder="1" applyFont="1">
      <alignment horizontal="center" readingOrder="0" vertical="center"/>
    </xf>
    <xf borderId="8" fillId="0" fontId="29" numFmtId="0" xfId="0" applyBorder="1" applyFont="1"/>
    <xf borderId="0" fillId="0" fontId="28" numFmtId="0" xfId="0" applyAlignment="1" applyFont="1">
      <alignment readingOrder="0" shrinkToFit="0" vertical="top" wrapText="1"/>
    </xf>
    <xf borderId="9" fillId="6" fontId="23" numFmtId="0" xfId="0" applyAlignment="1" applyBorder="1" applyFont="1">
      <alignment readingOrder="0" vertical="center"/>
    </xf>
    <xf borderId="0" fillId="6" fontId="21" numFmtId="0" xfId="0" applyAlignment="1" applyFont="1">
      <alignment readingOrder="0" vertical="center"/>
    </xf>
    <xf borderId="0" fillId="0" fontId="30" numFmtId="0" xfId="0" applyAlignment="1" applyFont="1">
      <alignment vertical="center"/>
    </xf>
    <xf borderId="0" fillId="0" fontId="30" numFmtId="0" xfId="0" applyAlignment="1" applyFont="1">
      <alignment horizontal="center" vertical="center"/>
    </xf>
    <xf borderId="0" fillId="0" fontId="18" numFmtId="0" xfId="0" applyAlignment="1" applyFont="1">
      <alignment horizontal="center" vertical="center"/>
    </xf>
    <xf borderId="0" fillId="0" fontId="21" numFmtId="0" xfId="0" applyAlignment="1" applyFont="1">
      <alignment readingOrder="0" shrinkToFit="0" vertical="center" wrapText="1"/>
    </xf>
    <xf borderId="10" fillId="0" fontId="22" numFmtId="0" xfId="0" applyAlignment="1" applyBorder="1" applyFont="1">
      <alignment readingOrder="0" vertical="center"/>
    </xf>
    <xf borderId="10" fillId="0" fontId="22" numFmtId="0" xfId="0" applyAlignment="1" applyBorder="1" applyFont="1">
      <alignment horizontal="center" readingOrder="0" vertical="center"/>
    </xf>
    <xf borderId="0" fillId="0" fontId="21" numFmtId="0" xfId="0" applyAlignment="1" applyFont="1">
      <alignment horizontal="center" readingOrder="0" vertical="center"/>
    </xf>
    <xf borderId="0" fillId="6" fontId="21" numFmtId="0" xfId="0" applyAlignment="1" applyFont="1">
      <alignment readingOrder="0" shrinkToFit="0" vertical="center" wrapText="1"/>
    </xf>
    <xf borderId="0" fillId="0" fontId="30" numFmtId="0" xfId="0" applyAlignment="1" applyFont="1">
      <alignment horizontal="left" vertical="center"/>
    </xf>
    <xf borderId="0" fillId="0" fontId="18" numFmtId="0" xfId="0" applyAlignment="1" applyFont="1">
      <alignment horizontal="left" vertical="center"/>
    </xf>
    <xf borderId="0" fillId="0" fontId="18" numFmtId="0" xfId="0" applyAlignment="1" applyFont="1">
      <alignment horizontal="left" vertical="center"/>
    </xf>
    <xf borderId="0" fillId="0" fontId="30" numFmtId="0" xfId="0" applyAlignment="1" applyFont="1">
      <alignment readingOrder="0" vertical="center"/>
    </xf>
    <xf borderId="0" fillId="0" fontId="30" numFmtId="165" xfId="0" applyAlignment="1" applyFont="1" applyNumberFormat="1">
      <alignment readingOrder="0" vertical="center"/>
    </xf>
    <xf borderId="0" fillId="0" fontId="18" numFmtId="0" xfId="0" applyAlignment="1" applyFont="1">
      <alignment horizontal="left" readingOrder="0" vertical="center"/>
    </xf>
    <xf borderId="0" fillId="0" fontId="21" numFmtId="0" xfId="0" applyAlignment="1" applyFont="1">
      <alignment horizontal="left" readingOrder="0" shrinkToFit="0" vertical="center" wrapText="1"/>
    </xf>
    <xf borderId="0" fillId="0" fontId="21" numFmtId="0" xfId="0" applyAlignment="1" applyFont="1">
      <alignment horizontal="left" shrinkToFit="0" vertical="center" wrapText="1"/>
    </xf>
    <xf borderId="0" fillId="0" fontId="21" numFmtId="4" xfId="0" applyAlignment="1" applyFont="1" applyNumberFormat="1">
      <alignment horizontal="right" vertical="center"/>
    </xf>
    <xf borderId="0" fillId="0" fontId="21" numFmtId="46" xfId="0" applyAlignment="1" applyFont="1" applyNumberFormat="1">
      <alignment horizontal="right" vertical="center"/>
    </xf>
    <xf borderId="10" fillId="0" fontId="22" numFmtId="0" xfId="0" applyAlignment="1" applyBorder="1" applyFont="1">
      <alignment horizontal="left" readingOrder="0" vertical="center"/>
    </xf>
    <xf borderId="10" fillId="0" fontId="22" numFmtId="165" xfId="0" applyAlignment="1" applyBorder="1" applyFont="1" applyNumberFormat="1">
      <alignment horizontal="right" readingOrder="0" vertical="center"/>
    </xf>
    <xf borderId="0" fillId="6" fontId="21" numFmtId="0" xfId="0" applyAlignment="1" applyFont="1">
      <alignment vertical="center"/>
    </xf>
    <xf borderId="0" fillId="6" fontId="21" numFmtId="0" xfId="0" applyAlignment="1" applyFont="1">
      <alignment horizontal="left" readingOrder="0" vertical="center"/>
    </xf>
    <xf borderId="0" fillId="6" fontId="21" numFmtId="0" xfId="0" applyAlignment="1" applyFont="1">
      <alignment horizontal="left" readingOrder="0" shrinkToFit="0" vertical="center" wrapText="1"/>
    </xf>
    <xf borderId="0" fillId="6" fontId="21" numFmtId="165" xfId="0" applyAlignment="1" applyFont="1" applyNumberFormat="1">
      <alignment horizontal="right" readingOrder="0" vertical="center"/>
    </xf>
    <xf borderId="0" fillId="0" fontId="21" numFmtId="10" xfId="0" applyAlignment="1" applyFont="1" applyNumberFormat="1">
      <alignment horizontal="right" vertical="center"/>
    </xf>
    <xf borderId="0" fillId="0" fontId="21" numFmtId="165" xfId="0" applyAlignment="1" applyFont="1" applyNumberFormat="1">
      <alignment horizontal="right" vertical="center"/>
    </xf>
    <xf borderId="0" fillId="0" fontId="31" numFmtId="165" xfId="0" applyAlignment="1" applyFont="1" applyNumberFormat="1">
      <alignment vertical="center"/>
    </xf>
    <xf borderId="0" fillId="0" fontId="4" numFmtId="0" xfId="0" applyAlignment="1" applyFont="1">
      <alignment vertical="center"/>
    </xf>
    <xf borderId="0" fillId="0" fontId="21" numFmtId="0" xfId="0" applyAlignment="1" applyFont="1">
      <alignment horizontal="left" readingOrder="0" vertical="center"/>
    </xf>
    <xf borderId="0" fillId="0" fontId="21" numFmtId="165" xfId="0" applyAlignment="1" applyFont="1" applyNumberFormat="1">
      <alignment horizontal="right" readingOrder="0" vertical="center"/>
    </xf>
    <xf borderId="0" fillId="0" fontId="32" numFmtId="0" xfId="0" applyAlignment="1" applyFont="1">
      <alignment shrinkToFit="0" vertical="center" wrapText="0"/>
    </xf>
    <xf borderId="0" fillId="0" fontId="21" numFmtId="0" xfId="0" applyAlignment="1" applyFont="1">
      <alignment vertical="center"/>
    </xf>
    <xf borderId="0" fillId="0" fontId="21" numFmtId="165" xfId="0" applyAlignment="1" applyFont="1" applyNumberFormat="1">
      <alignment vertical="center"/>
    </xf>
    <xf borderId="11" fillId="0" fontId="21" numFmtId="0" xfId="0" applyAlignment="1" applyBorder="1" applyFont="1">
      <alignment vertical="center"/>
    </xf>
    <xf borderId="11" fillId="0" fontId="21" numFmtId="165" xfId="0" applyAlignment="1" applyBorder="1" applyFont="1" applyNumberFormat="1">
      <alignment vertical="center"/>
    </xf>
    <xf borderId="12" fillId="0" fontId="32" numFmtId="0" xfId="0" applyAlignment="1" applyBorder="1" applyFont="1">
      <alignment horizontal="center" vertical="center"/>
    </xf>
    <xf borderId="11" fillId="0" fontId="29" numFmtId="0" xfId="0" applyBorder="1" applyFont="1"/>
    <xf borderId="13" fillId="0" fontId="29" numFmtId="0" xfId="0" applyBorder="1" applyFont="1"/>
    <xf borderId="14" fillId="0" fontId="21" numFmtId="165" xfId="0" applyAlignment="1" applyBorder="1" applyFont="1" applyNumberFormat="1">
      <alignment vertical="center"/>
    </xf>
    <xf borderId="0" fillId="0" fontId="32" numFmtId="165" xfId="0" applyAlignment="1" applyFont="1" applyNumberFormat="1">
      <alignment horizontal="center" vertical="center"/>
    </xf>
    <xf borderId="11" fillId="8" fontId="32" numFmtId="165" xfId="0" applyAlignment="1" applyBorder="1" applyFill="1" applyFont="1" applyNumberFormat="1">
      <alignment vertical="center"/>
    </xf>
    <xf borderId="13" fillId="0" fontId="21" numFmtId="10" xfId="0" applyAlignment="1" applyBorder="1" applyFont="1" applyNumberFormat="1">
      <alignment horizontal="right" readingOrder="0" vertical="center"/>
    </xf>
    <xf borderId="12" fillId="8" fontId="32" numFmtId="0" xfId="0" applyAlignment="1" applyBorder="1" applyFont="1">
      <alignment horizontal="right" vertical="center"/>
    </xf>
    <xf borderId="11" fillId="8" fontId="32" numFmtId="0" xfId="0" applyAlignment="1" applyBorder="1" applyFont="1">
      <alignment horizontal="right" vertical="center"/>
    </xf>
    <xf borderId="13" fillId="8" fontId="32" numFmtId="0" xfId="0" applyAlignment="1" applyBorder="1" applyFont="1">
      <alignment horizontal="right" vertical="center"/>
    </xf>
    <xf borderId="0" fillId="0" fontId="21" numFmtId="9" xfId="0" applyAlignment="1" applyFont="1" applyNumberFormat="1">
      <alignment vertical="center"/>
    </xf>
    <xf borderId="0" fillId="0" fontId="21" numFmtId="167" xfId="0" applyAlignment="1" applyFont="1" applyNumberFormat="1">
      <alignment horizontal="right" vertical="center"/>
    </xf>
    <xf borderId="0" fillId="0" fontId="21" numFmtId="167" xfId="0" applyAlignment="1" applyFont="1" applyNumberFormat="1">
      <alignment horizontal="right" readingOrder="0" vertical="center"/>
    </xf>
    <xf borderId="0" fillId="0" fontId="32" numFmtId="167" xfId="0" applyAlignment="1" applyFont="1" applyNumberFormat="1">
      <alignment horizontal="right" vertical="center"/>
    </xf>
    <xf borderId="0" fillId="0" fontId="31" numFmtId="167" xfId="0" applyAlignment="1" applyFont="1" applyNumberFormat="1">
      <alignment horizontal="right" vertical="center"/>
    </xf>
    <xf borderId="0" fillId="0" fontId="31" numFmtId="167" xfId="0" applyAlignment="1" applyFont="1" applyNumberFormat="1">
      <alignment horizontal="right" readingOrder="0" vertical="center"/>
    </xf>
    <xf borderId="0" fillId="0" fontId="33" numFmtId="167" xfId="0" applyAlignment="1" applyFont="1" applyNumberFormat="1">
      <alignment horizontal="right" vertical="center"/>
    </xf>
    <xf borderId="0" fillId="0" fontId="31" numFmtId="0" xfId="0" applyAlignment="1" applyFont="1">
      <alignment vertical="center"/>
    </xf>
    <xf borderId="0" fillId="0" fontId="34" numFmtId="165" xfId="0" applyAlignment="1" applyFont="1" applyNumberFormat="1">
      <alignment horizontal="center" vertical="center"/>
    </xf>
    <xf borderId="0" fillId="0" fontId="33" numFmtId="165" xfId="0" applyAlignment="1" applyFont="1" applyNumberFormat="1">
      <alignment vertical="center"/>
    </xf>
    <xf borderId="0" fillId="0" fontId="31" numFmtId="10" xfId="0" applyAlignment="1" applyFont="1" applyNumberFormat="1">
      <alignment horizontal="right" vertical="center"/>
    </xf>
    <xf borderId="0" fillId="0" fontId="21" numFmtId="0" xfId="0" applyAlignment="1" applyFont="1">
      <alignment horizontal="right" vertical="center"/>
    </xf>
    <xf borderId="10" fillId="0" fontId="22" numFmtId="168" xfId="0" applyAlignment="1" applyBorder="1" applyFont="1" applyNumberFormat="1">
      <alignment horizontal="right" readingOrder="0" vertical="center"/>
    </xf>
    <xf borderId="10" fillId="0" fontId="22" numFmtId="169" xfId="0" applyAlignment="1" applyBorder="1" applyFont="1" applyNumberFormat="1">
      <alignment horizontal="right" readingOrder="0" vertical="center"/>
    </xf>
    <xf borderId="0" fillId="0" fontId="21" numFmtId="165" xfId="0" applyAlignment="1" applyFont="1" applyNumberFormat="1">
      <alignment horizontal="left" readingOrder="0" vertical="center"/>
    </xf>
    <xf borderId="0" fillId="9" fontId="35" numFmtId="0" xfId="0" applyAlignment="1" applyFill="1" applyFont="1">
      <alignment vertical="center"/>
    </xf>
    <xf borderId="0" fillId="9" fontId="32" numFmtId="0" xfId="0" applyAlignment="1" applyFont="1">
      <alignment vertical="center"/>
    </xf>
    <xf borderId="0" fillId="9" fontId="35" numFmtId="0" xfId="0" applyAlignment="1" applyFont="1">
      <alignment vertical="center"/>
    </xf>
    <xf borderId="0" fillId="9" fontId="32" numFmtId="165" xfId="0" applyAlignment="1" applyFont="1" applyNumberFormat="1">
      <alignment vertical="center"/>
    </xf>
    <xf borderId="0" fillId="9" fontId="32" numFmtId="0" xfId="0" applyAlignment="1" applyFont="1">
      <alignment shrinkToFit="0" vertical="center" wrapText="1"/>
    </xf>
    <xf borderId="0" fillId="9" fontId="32" numFmtId="165" xfId="0" applyAlignment="1" applyFont="1" applyNumberFormat="1">
      <alignment horizontal="right" vertical="center"/>
    </xf>
    <xf borderId="0" fillId="9" fontId="33" numFmtId="165" xfId="0" applyAlignment="1" applyFont="1" applyNumberFormat="1">
      <alignment horizontal="center" vertical="center"/>
    </xf>
    <xf borderId="0" fillId="9" fontId="35" numFmtId="165" xfId="0" applyAlignment="1" applyFont="1" applyNumberFormat="1">
      <alignment vertical="center"/>
    </xf>
    <xf borderId="0" fillId="0" fontId="31" numFmtId="165" xfId="0" applyAlignment="1" applyFont="1" applyNumberFormat="1">
      <alignment readingOrder="0" vertical="center"/>
    </xf>
    <xf borderId="0" fillId="0" fontId="33" numFmtId="0" xfId="0" applyAlignment="1" applyFont="1">
      <alignment vertical="center"/>
    </xf>
    <xf borderId="0" fillId="6" fontId="21" numFmtId="170" xfId="0" applyAlignment="1" applyFont="1" applyNumberFormat="1">
      <alignment horizontal="left" readingOrder="0" vertical="center"/>
    </xf>
    <xf borderId="0" fillId="6" fontId="21" numFmtId="0" xfId="0" applyAlignment="1" applyFont="1">
      <alignment horizontal="left" vertical="center"/>
    </xf>
    <xf borderId="0" fillId="6" fontId="21" numFmtId="0" xfId="0" applyAlignment="1" applyFont="1">
      <alignment horizontal="left" shrinkToFit="0" vertical="center" wrapText="0"/>
    </xf>
    <xf borderId="0" fillId="6" fontId="21" numFmtId="0" xfId="0" applyAlignment="1" applyFont="1">
      <alignment horizontal="left" readingOrder="0" shrinkToFit="0" vertical="center" wrapText="0"/>
    </xf>
    <xf borderId="0" fillId="0" fontId="30" numFmtId="170" xfId="0" applyAlignment="1" applyFont="1" applyNumberFormat="1">
      <alignment horizontal="center" vertical="center"/>
    </xf>
    <xf borderId="0" fillId="0" fontId="30" numFmtId="49" xfId="0" applyAlignment="1" applyFont="1" applyNumberFormat="1">
      <alignment vertical="center"/>
    </xf>
    <xf borderId="0" fillId="0" fontId="21" numFmtId="0" xfId="0" applyAlignment="1" applyFont="1">
      <alignment horizontal="center" vertical="center"/>
    </xf>
    <xf borderId="0" fillId="0" fontId="18" numFmtId="170" xfId="0" applyAlignment="1" applyFont="1" applyNumberFormat="1">
      <alignment horizontal="center" vertical="center"/>
    </xf>
    <xf borderId="0" fillId="0" fontId="30" numFmtId="4" xfId="0" applyAlignment="1" applyFont="1" applyNumberFormat="1">
      <alignment horizontal="center" vertical="center"/>
    </xf>
    <xf borderId="0" fillId="0" fontId="36" numFmtId="0" xfId="0" applyAlignment="1" applyFont="1">
      <alignment readingOrder="0" vertical="center"/>
    </xf>
    <xf borderId="0" fillId="0" fontId="30" numFmtId="4" xfId="0" applyAlignment="1" applyFont="1" applyNumberFormat="1">
      <alignment horizontal="center" readingOrder="0" vertical="center"/>
    </xf>
    <xf borderId="0" fillId="0" fontId="21" numFmtId="0" xfId="0" applyAlignment="1" applyFont="1">
      <alignment horizontal="right" readingOrder="0" vertical="center"/>
    </xf>
    <xf borderId="0" fillId="0" fontId="21" numFmtId="49" xfId="0" applyAlignment="1" applyFont="1" applyNumberFormat="1">
      <alignment horizontal="right" readingOrder="0" vertical="center"/>
    </xf>
    <xf borderId="0" fillId="0" fontId="37" numFmtId="0" xfId="0" applyAlignment="1" applyFont="1">
      <alignment vertical="center"/>
    </xf>
    <xf borderId="0" fillId="0" fontId="37" numFmtId="4" xfId="0" applyAlignment="1" applyFont="1" applyNumberFormat="1">
      <alignment horizontal="center" vertical="center"/>
    </xf>
    <xf borderId="0" fillId="3" fontId="38" numFmtId="4" xfId="0" applyAlignment="1" applyFont="1" applyNumberFormat="1">
      <alignment horizontal="right" vertical="center"/>
    </xf>
    <xf borderId="0" fillId="0" fontId="37" numFmtId="49" xfId="0" applyAlignment="1" applyFont="1" applyNumberFormat="1">
      <alignment vertical="center"/>
    </xf>
    <xf borderId="0" fillId="3" fontId="38" numFmtId="165" xfId="0" applyAlignment="1" applyFont="1" applyNumberFormat="1">
      <alignment horizontal="center" vertical="center"/>
    </xf>
    <xf borderId="0" fillId="0" fontId="39" numFmtId="0" xfId="0" applyAlignment="1" applyFont="1">
      <alignment horizontal="center"/>
    </xf>
    <xf borderId="0" fillId="3" fontId="40" numFmtId="165" xfId="0" applyAlignment="1" applyFont="1" applyNumberFormat="1">
      <alignment vertical="center"/>
    </xf>
    <xf borderId="10" fillId="0" fontId="22" numFmtId="49" xfId="0" applyAlignment="1" applyBorder="1" applyFont="1" applyNumberFormat="1">
      <alignment readingOrder="0" vertical="center"/>
    </xf>
    <xf borderId="10" fillId="0" fontId="21" numFmtId="0" xfId="0" applyAlignment="1" applyBorder="1" applyFont="1">
      <alignment horizontal="center" readingOrder="0" vertical="center"/>
    </xf>
    <xf borderId="10" fillId="0" fontId="21" numFmtId="0" xfId="0" applyBorder="1" applyFont="1"/>
    <xf borderId="10" fillId="0" fontId="21" numFmtId="0" xfId="0" applyAlignment="1" applyBorder="1" applyFont="1">
      <alignment readingOrder="0"/>
    </xf>
    <xf borderId="0" fillId="6" fontId="21" numFmtId="0" xfId="0" applyAlignment="1" applyFont="1">
      <alignment vertical="center"/>
    </xf>
    <xf borderId="0" fillId="9" fontId="21" numFmtId="0" xfId="0" applyAlignment="1" applyFont="1">
      <alignment horizontal="center" readingOrder="0" vertical="center"/>
    </xf>
    <xf borderId="0" fillId="6" fontId="21" numFmtId="165" xfId="0" applyAlignment="1" applyFont="1" applyNumberFormat="1">
      <alignment readingOrder="0" vertical="center"/>
    </xf>
    <xf borderId="0" fillId="6" fontId="21" numFmtId="168" xfId="0" applyAlignment="1" applyFont="1" applyNumberFormat="1">
      <alignment horizontal="center" readingOrder="0" vertical="center"/>
    </xf>
    <xf borderId="0" fillId="6" fontId="21" numFmtId="49" xfId="0" applyAlignment="1" applyFont="1" applyNumberFormat="1">
      <alignment readingOrder="0" vertical="center"/>
    </xf>
    <xf borderId="0" fillId="10" fontId="41" numFmtId="0" xfId="0" applyFill="1" applyFont="1"/>
    <xf borderId="0" fillId="6" fontId="21" numFmtId="0" xfId="0" applyAlignment="1" applyFont="1">
      <alignment horizontal="center" readingOrder="0" vertical="center"/>
    </xf>
    <xf borderId="0" fillId="6" fontId="21" numFmtId="3" xfId="0" applyAlignment="1" applyFont="1" applyNumberFormat="1">
      <alignment horizontal="center" readingOrder="0" vertical="center"/>
    </xf>
    <xf borderId="0" fillId="11" fontId="21" numFmtId="165" xfId="0" applyAlignment="1" applyFill="1" applyFont="1" applyNumberFormat="1">
      <alignment readingOrder="0" vertical="center"/>
    </xf>
    <xf borderId="0" fillId="6" fontId="21" numFmtId="170" xfId="0" applyAlignment="1" applyFont="1" applyNumberFormat="1">
      <alignment horizontal="center" readingOrder="0" vertical="center"/>
    </xf>
    <xf borderId="0" fillId="0" fontId="30" numFmtId="46" xfId="0" applyAlignment="1" applyFont="1" applyNumberFormat="1">
      <alignment horizontal="center" vertical="center"/>
    </xf>
    <xf borderId="0" fillId="0" fontId="21" numFmtId="4" xfId="0" applyAlignment="1" applyFont="1" applyNumberFormat="1">
      <alignment readingOrder="0" vertical="center"/>
    </xf>
    <xf borderId="15" fillId="0" fontId="21" numFmtId="0" xfId="0" applyAlignment="1" applyBorder="1" applyFont="1">
      <alignment readingOrder="0" vertical="center"/>
    </xf>
    <xf borderId="15" fillId="0" fontId="30" numFmtId="0" xfId="0" applyAlignment="1" applyBorder="1" applyFont="1">
      <alignment vertical="center"/>
    </xf>
    <xf borderId="0" fillId="0" fontId="32" numFmtId="165" xfId="0" applyAlignment="1" applyFont="1" applyNumberFormat="1">
      <alignment horizontal="right" vertical="center"/>
    </xf>
    <xf borderId="10" fillId="0" fontId="22" numFmtId="170" xfId="0" applyAlignment="1" applyBorder="1" applyFont="1" applyNumberFormat="1">
      <alignment horizontal="center" readingOrder="0" vertical="center"/>
    </xf>
    <xf borderId="10" fillId="0" fontId="22" numFmtId="46" xfId="0" applyAlignment="1" applyBorder="1" applyFont="1" applyNumberFormat="1">
      <alignment horizontal="center" readingOrder="0" vertical="center"/>
    </xf>
    <xf borderId="10" fillId="0" fontId="22" numFmtId="0" xfId="0" applyAlignment="1" applyBorder="1" applyFont="1">
      <alignment readingOrder="0" shrinkToFit="0" vertical="center" wrapText="1"/>
    </xf>
    <xf borderId="10" fillId="11" fontId="22" numFmtId="0" xfId="0" applyAlignment="1" applyBorder="1" applyFont="1">
      <alignment readingOrder="0" shrinkToFit="0" vertical="center" wrapText="1"/>
    </xf>
    <xf borderId="10" fillId="11" fontId="22" numFmtId="0" xfId="0" applyAlignment="1" applyBorder="1" applyFont="1">
      <alignment horizontal="center" readingOrder="0" vertical="center"/>
    </xf>
    <xf borderId="10" fillId="11" fontId="22" numFmtId="0" xfId="0" applyAlignment="1" applyBorder="1" applyFont="1">
      <alignment readingOrder="0" vertical="center"/>
    </xf>
    <xf borderId="10" fillId="0" fontId="36" numFmtId="0" xfId="0" applyAlignment="1" applyBorder="1" applyFont="1">
      <alignment vertical="center"/>
    </xf>
    <xf borderId="0" fillId="0" fontId="32" numFmtId="165" xfId="0" applyAlignment="1" applyFont="1" applyNumberFormat="1">
      <alignment horizontal="right" readingOrder="0" vertical="center"/>
    </xf>
    <xf borderId="0" fillId="0" fontId="32" numFmtId="0" xfId="0" applyAlignment="1" applyFont="1">
      <alignment horizontal="center" readingOrder="0" vertical="center"/>
    </xf>
    <xf borderId="0" fillId="6" fontId="21" numFmtId="46" xfId="0" applyAlignment="1" applyFont="1" applyNumberFormat="1">
      <alignment horizontal="center" readingOrder="0" vertical="center"/>
    </xf>
    <xf borderId="0" fillId="11" fontId="21" numFmtId="0" xfId="0" applyAlignment="1" applyFont="1">
      <alignment readingOrder="0" vertical="center"/>
    </xf>
    <xf borderId="0" fillId="11" fontId="21" numFmtId="0" xfId="0" applyAlignment="1" applyFont="1">
      <alignment readingOrder="0" shrinkToFit="0" vertical="center" wrapText="1"/>
    </xf>
    <xf borderId="0" fillId="11" fontId="21" numFmtId="165" xfId="0" applyAlignment="1" applyFont="1" applyNumberFormat="1">
      <alignment horizontal="right" readingOrder="0" vertical="center"/>
    </xf>
    <xf borderId="0" fillId="12" fontId="41" numFmtId="0" xfId="0" applyFill="1" applyFont="1"/>
    <xf borderId="0" fillId="0" fontId="4" numFmtId="0" xfId="0" applyFont="1"/>
    <xf borderId="0" fillId="0" fontId="4" numFmtId="46" xfId="0" applyFont="1" applyNumberFormat="1"/>
    <xf borderId="0" fillId="0" fontId="4" numFmtId="165" xfId="0" applyFont="1" applyNumberFormat="1"/>
    <xf borderId="0" fillId="0" fontId="4" numFmtId="46" xfId="0" applyAlignment="1" applyFont="1" applyNumberFormat="1">
      <alignment readingOrder="0"/>
    </xf>
    <xf borderId="15" fillId="0" fontId="21" numFmtId="4" xfId="0" applyAlignment="1" applyBorder="1" applyFont="1" applyNumberFormat="1">
      <alignment horizontal="left" readingOrder="0" shrinkToFit="0" vertical="center" wrapText="0"/>
    </xf>
    <xf borderId="15" fillId="0" fontId="21" numFmtId="4" xfId="0" applyAlignment="1" applyBorder="1" applyFont="1" applyNumberFormat="1">
      <alignment horizontal="left" readingOrder="0" shrinkToFit="0" vertical="center" wrapText="1"/>
    </xf>
    <xf borderId="15" fillId="0" fontId="30" numFmtId="4" xfId="0" applyAlignment="1" applyBorder="1" applyFont="1" applyNumberFormat="1">
      <alignment horizontal="center" vertical="center"/>
    </xf>
    <xf borderId="10" fillId="0" fontId="30" numFmtId="0" xfId="0" applyAlignment="1" applyBorder="1" applyFont="1">
      <alignment vertical="center"/>
    </xf>
    <xf borderId="0" fillId="6" fontId="21" numFmtId="0" xfId="0" applyAlignment="1" applyFont="1">
      <alignment shrinkToFit="0" vertical="center" wrapText="1"/>
    </xf>
    <xf borderId="16" fillId="6" fontId="42" numFmtId="0" xfId="0" applyBorder="1" applyFont="1"/>
    <xf borderId="16" fillId="6" fontId="42" numFmtId="0" xfId="0" applyAlignment="1" applyBorder="1" applyFont="1">
      <alignment shrinkToFit="0" wrapText="1"/>
    </xf>
    <xf borderId="16" fillId="6" fontId="42" numFmtId="170" xfId="0" applyAlignment="1" applyBorder="1" applyFont="1" applyNumberFormat="1">
      <alignment horizontal="center"/>
    </xf>
    <xf borderId="16" fillId="6" fontId="1" numFmtId="0" xfId="0" applyBorder="1" applyFont="1"/>
    <xf borderId="0" fillId="9" fontId="30" numFmtId="0" xfId="0" applyAlignment="1" applyFont="1">
      <alignment vertical="center"/>
    </xf>
    <xf borderId="0" fillId="6" fontId="21" numFmtId="171" xfId="0" applyAlignment="1" applyFont="1" applyNumberFormat="1">
      <alignment readingOrder="0" shrinkToFit="0" vertical="center" wrapText="1"/>
    </xf>
    <xf borderId="0" fillId="6" fontId="43" numFmtId="0" xfId="0" applyFont="1"/>
    <xf borderId="0" fillId="6" fontId="43" numFmtId="0" xfId="0" applyAlignment="1" applyFont="1">
      <alignment shrinkToFit="0" wrapText="1"/>
    </xf>
    <xf borderId="0" fillId="6" fontId="43" numFmtId="170" xfId="0" applyAlignment="1" applyFont="1" applyNumberFormat="1">
      <alignment horizontal="center"/>
    </xf>
    <xf borderId="0" fillId="6" fontId="1" numFmtId="0" xfId="0" applyFont="1"/>
    <xf borderId="0" fillId="13" fontId="21" numFmtId="0" xfId="0" applyAlignment="1" applyFill="1" applyFont="1">
      <alignment readingOrder="0" vertical="center"/>
    </xf>
    <xf borderId="0" fillId="13" fontId="21" numFmtId="0" xfId="0" applyAlignment="1" applyFont="1">
      <alignment readingOrder="0" shrinkToFit="0" vertical="center" wrapText="1"/>
    </xf>
    <xf borderId="0" fillId="13" fontId="21" numFmtId="170" xfId="0" applyAlignment="1" applyFont="1" applyNumberFormat="1">
      <alignment horizontal="center" readingOrder="0" vertical="center"/>
    </xf>
    <xf borderId="0" fillId="13" fontId="21" numFmtId="0" xfId="0" applyAlignment="1" applyFont="1">
      <alignment shrinkToFit="0" vertical="center" wrapText="1"/>
    </xf>
    <xf borderId="0" fillId="13" fontId="21" numFmtId="0" xfId="0" applyAlignment="1" applyFont="1">
      <alignment horizontal="center" readingOrder="0" vertical="center"/>
    </xf>
    <xf borderId="0" fillId="13" fontId="21" numFmtId="171" xfId="0" applyAlignment="1" applyFont="1" applyNumberFormat="1">
      <alignment horizontal="center" readingOrder="0" vertical="center"/>
    </xf>
    <xf borderId="0" fillId="6" fontId="21" numFmtId="171" xfId="0" applyAlignment="1" applyFont="1" applyNumberFormat="1">
      <alignment horizontal="center" readingOrder="0" vertical="center"/>
    </xf>
    <xf borderId="0" fillId="0" fontId="44" numFmtId="0" xfId="0" applyAlignment="1" applyFont="1">
      <alignment readingOrder="0"/>
    </xf>
    <xf borderId="0" fillId="0" fontId="44" numFmtId="165" xfId="0" applyAlignment="1" applyFont="1" applyNumberFormat="1">
      <alignment horizontal="right" readingOrder="0"/>
    </xf>
    <xf borderId="0" fillId="0" fontId="44" numFmtId="165" xfId="0" applyAlignment="1" applyFont="1" applyNumberFormat="1">
      <alignment horizontal="right"/>
    </xf>
    <xf borderId="17" fillId="0" fontId="45" numFmtId="0" xfId="0" applyBorder="1" applyFont="1"/>
    <xf borderId="17" fillId="0" fontId="45" numFmtId="0" xfId="0" applyAlignment="1" applyBorder="1" applyFont="1">
      <alignment horizontal="right" readingOrder="0"/>
    </xf>
    <xf borderId="0" fillId="0" fontId="4" numFmtId="0" xfId="0" applyFont="1"/>
    <xf borderId="0" fillId="0" fontId="4" numFmtId="165" xfId="0" applyAlignment="1" applyFont="1" applyNumberFormat="1">
      <alignment horizontal="right"/>
    </xf>
    <xf borderId="0" fillId="0" fontId="44" numFmtId="165" xfId="0" applyAlignment="1" applyFont="1" applyNumberFormat="1">
      <alignment horizontal="right"/>
    </xf>
    <xf borderId="0" fillId="0" fontId="4" numFmtId="0" xfId="0" applyAlignment="1" applyFont="1">
      <alignment readingOrder="0"/>
    </xf>
    <xf borderId="0" fillId="0" fontId="4" numFmtId="0" xfId="0" applyAlignment="1" applyFont="1">
      <alignment horizontal="right"/>
    </xf>
    <xf borderId="0" fillId="0" fontId="18" numFmtId="0" xfId="0" applyAlignment="1" applyFont="1">
      <alignment vertical="center"/>
    </xf>
    <xf borderId="0" fillId="0" fontId="19" numFmtId="0" xfId="0" applyAlignment="1" applyFont="1">
      <alignment vertical="center"/>
    </xf>
    <xf borderId="0" fillId="0" fontId="20" numFmtId="0" xfId="0" applyAlignment="1" applyFont="1">
      <alignment vertical="center"/>
    </xf>
    <xf borderId="5" fillId="0" fontId="18" numFmtId="0" xfId="0" applyAlignment="1" applyBorder="1" applyFont="1">
      <alignment vertical="center"/>
    </xf>
    <xf borderId="0" fillId="0" fontId="21" numFmtId="0" xfId="0" applyAlignment="1" applyFont="1">
      <alignment vertical="center"/>
    </xf>
    <xf quotePrefix="1" borderId="0" fillId="0" fontId="21" numFmtId="0" xfId="0" applyAlignment="1" applyFont="1">
      <alignment shrinkToFit="0" vertical="top" wrapText="1"/>
    </xf>
    <xf borderId="0" fillId="0" fontId="22" numFmtId="0" xfId="0" applyAlignment="1" applyFont="1">
      <alignment vertical="center"/>
    </xf>
    <xf borderId="18" fillId="6" fontId="46" numFmtId="0" xfId="0" applyAlignment="1" applyBorder="1" applyFont="1">
      <alignment shrinkToFit="0" wrapText="1"/>
    </xf>
    <xf borderId="18" fillId="0" fontId="29" numFmtId="0" xfId="0" applyBorder="1" applyFont="1"/>
    <xf borderId="19" fillId="0" fontId="29" numFmtId="0" xfId="0" applyBorder="1" applyFont="1"/>
    <xf borderId="0" fillId="0" fontId="1" numFmtId="0" xfId="0" applyFont="1"/>
    <xf borderId="20" fillId="0" fontId="1" numFmtId="0" xfId="0" applyBorder="1" applyFont="1"/>
    <xf borderId="0" fillId="0" fontId="42" numFmtId="0" xfId="0" applyAlignment="1" applyFont="1">
      <alignment shrinkToFit="0" wrapText="0"/>
    </xf>
    <xf borderId="0" fillId="0" fontId="47" numFmtId="0" xfId="0" applyFont="1"/>
    <xf borderId="0" fillId="0" fontId="48" numFmtId="0" xfId="0" applyFont="1"/>
    <xf borderId="0" fillId="0" fontId="27" numFmtId="0" xfId="0" applyAlignment="1" applyFont="1">
      <alignment vertical="center"/>
    </xf>
    <xf borderId="0" fillId="0" fontId="42" numFmtId="0" xfId="0" applyAlignment="1" applyFont="1">
      <alignment shrinkToFit="0" vertical="top" wrapText="0"/>
    </xf>
    <xf borderId="0" fillId="0" fontId="1" numFmtId="0" xfId="0" applyAlignment="1" applyFont="1">
      <alignment vertical="top"/>
    </xf>
    <xf borderId="0" fillId="0" fontId="47" numFmtId="0" xfId="0" applyAlignment="1" applyFont="1">
      <alignment vertical="top"/>
    </xf>
    <xf borderId="0" fillId="0" fontId="49" numFmtId="0" xfId="0" applyFont="1"/>
    <xf borderId="18" fillId="6" fontId="46" numFmtId="0" xfId="0" applyAlignment="1" applyBorder="1" applyFont="1">
      <alignment shrinkToFit="0" vertical="center" wrapText="1"/>
    </xf>
    <xf borderId="21" fillId="0" fontId="1" numFmtId="0" xfId="0" applyBorder="1" applyFont="1"/>
    <xf borderId="9" fillId="0" fontId="50" numFmtId="0" xfId="0" applyBorder="1" applyFont="1"/>
    <xf borderId="22" fillId="0" fontId="50" numFmtId="0" xfId="0" applyBorder="1" applyFont="1"/>
    <xf borderId="21" fillId="0" fontId="50" numFmtId="0" xfId="0" applyAlignment="1" applyBorder="1" applyFont="1">
      <alignment horizontal="center"/>
    </xf>
    <xf borderId="23" fillId="0" fontId="29" numFmtId="0" xfId="0" applyBorder="1" applyFont="1"/>
    <xf borderId="0" fillId="0" fontId="1" numFmtId="0" xfId="0" applyAlignment="1" applyFont="1">
      <alignment vertical="bottom"/>
    </xf>
    <xf borderId="0" fillId="0" fontId="28" numFmtId="0" xfId="0" applyAlignment="1" applyFont="1">
      <alignment shrinkToFit="0" vertical="top" wrapText="1"/>
    </xf>
    <xf borderId="0" fillId="6" fontId="46" numFmtId="0" xfId="0" applyFont="1"/>
    <xf borderId="22" fillId="6" fontId="46" numFmtId="0" xfId="0" applyBorder="1" applyFont="1"/>
    <xf borderId="18" fillId="6" fontId="1" numFmtId="0" xfId="0" applyBorder="1" applyFont="1"/>
    <xf borderId="20" fillId="0" fontId="1" numFmtId="0" xfId="0" applyAlignment="1" applyBorder="1" applyFont="1">
      <alignment vertical="bottom"/>
    </xf>
    <xf borderId="0" fillId="0" fontId="42" numFmtId="0" xfId="0" applyFont="1"/>
    <xf borderId="0" fillId="6" fontId="1" numFmtId="0" xfId="0" applyFont="1"/>
    <xf borderId="22" fillId="6" fontId="1" numFmtId="0" xfId="0" applyBorder="1" applyFont="1"/>
    <xf borderId="18" fillId="6" fontId="51" numFmtId="0" xfId="0" applyAlignment="1" applyBorder="1" applyFont="1">
      <alignment readingOrder="0" shrinkToFit="0" wrapText="1"/>
    </xf>
    <xf borderId="24" fillId="6" fontId="23" numFmtId="0" xfId="0" applyAlignment="1" applyBorder="1" applyFont="1">
      <alignment shrinkToFit="0" vertical="center" wrapText="1"/>
    </xf>
    <xf borderId="25" fillId="0" fontId="29" numFmtId="0" xfId="0" applyBorder="1" applyFont="1"/>
    <xf borderId="26" fillId="0" fontId="29" numFmtId="0" xfId="0" applyBorder="1" applyFont="1"/>
    <xf borderId="0" fillId="0" fontId="52" numFmtId="0" xfId="0" applyAlignment="1" applyFont="1">
      <alignment vertical="center"/>
    </xf>
    <xf borderId="0" fillId="0" fontId="23" numFmtId="0" xfId="0" applyAlignment="1" applyFont="1">
      <alignment vertical="center"/>
    </xf>
    <xf borderId="0" fillId="0" fontId="48" numFmtId="0" xfId="0" applyAlignment="1" applyFont="1">
      <alignment vertical="center"/>
    </xf>
    <xf borderId="0" fillId="0" fontId="53" numFmtId="0" xfId="0" applyAlignment="1" applyFont="1">
      <alignment vertical="center"/>
    </xf>
    <xf borderId="0" fillId="0" fontId="21" numFmtId="0" xfId="0" applyAlignment="1" applyFont="1">
      <alignment vertical="top"/>
    </xf>
    <xf borderId="0" fillId="0" fontId="52" numFmtId="0" xfId="0" applyAlignment="1" applyFont="1">
      <alignment vertical="top"/>
    </xf>
    <xf borderId="0" fillId="0" fontId="28" numFmtId="0" xfId="0" applyAlignment="1" applyFont="1">
      <alignment vertical="center"/>
    </xf>
    <xf borderId="6" fillId="0" fontId="18" numFmtId="0" xfId="0" applyAlignment="1" applyBorder="1" applyFont="1">
      <alignment vertical="center"/>
    </xf>
    <xf borderId="7" fillId="0" fontId="18" numFmtId="0" xfId="0" applyAlignment="1" applyBorder="1" applyFont="1">
      <alignment vertical="center"/>
    </xf>
    <xf borderId="6" fillId="0" fontId="18" numFmtId="0" xfId="0" applyAlignment="1" applyBorder="1" applyFont="1">
      <alignment horizontal="center" vertical="center"/>
    </xf>
    <xf borderId="27" fillId="6" fontId="23" numFmtId="0" xfId="0" applyAlignment="1" applyBorder="1" applyFont="1">
      <alignment vertical="center"/>
    </xf>
    <xf borderId="28" fillId="6" fontId="23" numFmtId="0" xfId="0" applyAlignment="1" applyBorder="1" applyFont="1">
      <alignment vertical="center"/>
    </xf>
    <xf borderId="24" fillId="6" fontId="21" numFmtId="0" xfId="0" applyAlignment="1" applyBorder="1" applyFont="1">
      <alignment vertical="center"/>
    </xf>
    <xf borderId="28" fillId="6" fontId="23" numFmtId="0" xfId="0" applyAlignment="1" applyBorder="1" applyFont="1">
      <alignment shrinkToFit="0" vertical="center" wrapText="1"/>
    </xf>
    <xf borderId="18" fillId="6" fontId="51" numFmtId="0" xfId="0" applyAlignment="1" applyBorder="1" applyFont="1">
      <alignment shrinkToFit="0" wrapText="1"/>
    </xf>
    <xf borderId="22" fillId="6" fontId="46" numFmtId="0" xfId="0" applyAlignment="1" applyBorder="1" applyFont="1">
      <alignment shrinkToFit="0" wrapText="1"/>
    </xf>
    <xf borderId="18" fillId="6" fontId="46" numFmtId="0" xfId="0" applyAlignment="1" applyBorder="1" applyFont="1">
      <alignment shrinkToFit="0" wrapText="1"/>
    </xf>
    <xf borderId="18" fillId="0" fontId="1" numFmtId="0" xfId="0" applyAlignment="1" applyBorder="1" applyFont="1">
      <alignment shrinkToFit="0" vertical="bottom" wrapText="1"/>
    </xf>
    <xf borderId="0" fillId="0" fontId="50" numFmtId="0" xfId="0" applyAlignment="1" applyFont="1">
      <alignment horizontal="center"/>
    </xf>
    <xf borderId="22" fillId="0" fontId="29" numFmtId="0" xfId="0" applyBorder="1" applyFont="1"/>
    <xf borderId="24" fillId="6" fontId="23" numFmtId="0" xfId="0" applyAlignment="1" applyBorder="1" applyFont="1">
      <alignment readingOrder="0" shrinkToFit="0" vertical="center" wrapText="1"/>
    </xf>
    <xf borderId="18" fillId="6" fontId="46" numFmtId="0" xfId="0" applyAlignment="1" applyBorder="1" applyFont="1">
      <alignment shrinkToFit="0" vertical="top" wrapText="1"/>
    </xf>
    <xf borderId="0" fillId="6" fontId="46" numFmtId="0" xfId="0" applyFont="1"/>
    <xf borderId="22" fillId="6" fontId="46" numFmtId="0" xfId="0" applyBorder="1" applyFont="1"/>
    <xf borderId="22" fillId="6" fontId="46" numFmtId="0" xfId="0" applyAlignment="1" applyBorder="1" applyFont="1">
      <alignment shrinkToFit="0" wrapText="1"/>
    </xf>
    <xf borderId="27" fillId="6" fontId="18" numFmtId="0" xfId="0" applyAlignment="1" applyBorder="1" applyFont="1">
      <alignment vertical="center"/>
    </xf>
    <xf borderId="27" fillId="6" fontId="18" numFmtId="0" xfId="0" applyAlignment="1" applyBorder="1" applyFont="1">
      <alignment readingOrder="0" vertical="center"/>
    </xf>
    <xf borderId="18" fillId="6" fontId="54" numFmtId="0" xfId="0" applyAlignment="1" applyBorder="1" applyFont="1">
      <alignment shrinkToFit="0" wrapText="1"/>
    </xf>
    <xf borderId="0" fillId="0" fontId="43" numFmtId="0" xfId="0" applyAlignment="1" applyFont="1">
      <alignment shrinkToFit="0" wrapText="0"/>
    </xf>
    <xf borderId="18" fillId="6" fontId="54" numFmtId="0" xfId="0" applyAlignment="1" applyBorder="1" applyFont="1">
      <alignment shrinkToFit="0" wrapText="1"/>
    </xf>
    <xf borderId="0" fillId="0" fontId="43" numFmtId="0" xfId="0" applyAlignment="1" applyFont="1">
      <alignment shrinkToFit="0" vertical="top" wrapText="0"/>
    </xf>
    <xf borderId="0" fillId="0" fontId="55" numFmtId="0" xfId="0" applyFont="1"/>
    <xf borderId="9" fillId="0" fontId="3" numFmtId="0" xfId="0" applyBorder="1" applyFont="1"/>
    <xf borderId="22" fillId="0" fontId="3" numFmtId="0" xfId="0" applyBorder="1" applyFont="1"/>
    <xf borderId="21" fillId="0" fontId="3" numFmtId="0" xfId="0" applyAlignment="1" applyBorder="1" applyFont="1">
      <alignment horizontal="center"/>
    </xf>
    <xf borderId="0" fillId="6" fontId="54" numFmtId="0" xfId="0" applyFont="1"/>
    <xf borderId="22" fillId="6" fontId="54" numFmtId="0" xfId="0" applyBorder="1" applyFont="1"/>
    <xf borderId="0" fillId="0" fontId="43" numFmtId="0" xfId="0" applyFont="1"/>
    <xf borderId="0" fillId="6" fontId="1" numFmtId="0" xfId="0" applyFont="1"/>
    <xf borderId="22" fillId="6" fontId="1" numFmtId="0" xfId="0" applyBorder="1" applyFont="1"/>
  </cellXfs>
  <cellStyles count="1">
    <cellStyle xfId="0" name="Normal" builtinId="0"/>
  </cellStyles>
  <dxfs count="7">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verificação RH-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pivotCacheDefinition" Target="pivotCache/pivotCacheDefinition1.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RESUMO!$C$8</c:f>
            </c:strRef>
          </c:tx>
          <c:dPt>
            <c:idx val="0"/>
            <c:explosion val="0"/>
            <c:spPr>
              <a:solidFill>
                <a:srgbClr val="94DCC3"/>
              </a:solidFill>
            </c:spPr>
          </c:dPt>
          <c:dPt>
            <c:idx val="1"/>
            <c:spPr>
              <a:solidFill>
                <a:srgbClr val="496C60"/>
              </a:solidFill>
            </c:spPr>
          </c:dPt>
          <c:dPt>
            <c:idx val="2"/>
            <c:spPr>
              <a:solidFill>
                <a:srgbClr val="999999"/>
              </a:solidFill>
            </c:spPr>
          </c:dPt>
          <c:dPt>
            <c:idx val="3"/>
            <c:spPr>
              <a:solidFill>
                <a:srgbClr val="D9D9D9"/>
              </a:solidFill>
            </c:spPr>
          </c:dPt>
          <c:dLbls>
            <c:showLegendKey val="0"/>
            <c:showVal val="0"/>
            <c:showCatName val="0"/>
            <c:showSerName val="0"/>
            <c:showPercent val="0"/>
            <c:showBubbleSize val="0"/>
            <c:showLeaderLines val="1"/>
          </c:dLbls>
          <c:cat>
            <c:strRef>
              <c:f>RESUMO!$B$9:$B$12</c:f>
            </c:strRef>
          </c:cat>
          <c:val>
            <c:numRef>
              <c:f>RESUMO!$C$9:$C$12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1" i="1" sz="1200">
              <a:solidFill>
                <a:srgbClr val="1A1A1A"/>
              </a:solidFill>
              <a:latin typeface="Arial Narrow"/>
            </a:defRPr>
          </a:pPr>
        </a:p>
      </c:txPr>
    </c:legend>
    <c:plotVisOnly val="1"/>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1.png"/><Relationship Id="rId3" Type="http://schemas.openxmlformats.org/officeDocument/2006/relationships/image" Target="../media/image25.png"/><Relationship Id="rId4" Type="http://schemas.openxmlformats.org/officeDocument/2006/relationships/image" Target="../media/image22.png"/><Relationship Id="rId11" Type="http://schemas.openxmlformats.org/officeDocument/2006/relationships/image" Target="../media/image26.png"/><Relationship Id="rId10" Type="http://schemas.openxmlformats.org/officeDocument/2006/relationships/image" Target="../media/image20.png"/><Relationship Id="rId12" Type="http://schemas.openxmlformats.org/officeDocument/2006/relationships/image" Target="../media/image30.png"/><Relationship Id="rId9" Type="http://schemas.openxmlformats.org/officeDocument/2006/relationships/image" Target="../media/image15.png"/><Relationship Id="rId5" Type="http://schemas.openxmlformats.org/officeDocument/2006/relationships/image" Target="../media/image10.png"/><Relationship Id="rId6" Type="http://schemas.openxmlformats.org/officeDocument/2006/relationships/image" Target="../media/image23.png"/><Relationship Id="rId7" Type="http://schemas.openxmlformats.org/officeDocument/2006/relationships/image" Target="../media/image5.png"/><Relationship Id="rId8" Type="http://schemas.openxmlformats.org/officeDocument/2006/relationships/image" Target="../media/image9.png"/></Relationships>
</file>

<file path=xl/drawings/_rels/drawing3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 Id="rId3" Type="http://schemas.openxmlformats.org/officeDocument/2006/relationships/image" Target="../media/image15.png"/><Relationship Id="rId4" Type="http://schemas.openxmlformats.org/officeDocument/2006/relationships/image" Target="../media/image20.png"/><Relationship Id="rId5" Type="http://schemas.openxmlformats.org/officeDocument/2006/relationships/image" Target="../media/image26.png"/><Relationship Id="rId6" Type="http://schemas.openxmlformats.org/officeDocument/2006/relationships/image" Target="../media/image30.png"/><Relationship Id="rId7" Type="http://schemas.openxmlformats.org/officeDocument/2006/relationships/image" Target="../media/image16.png"/><Relationship Id="rId8" Type="http://schemas.openxmlformats.org/officeDocument/2006/relationships/image" Target="../media/image2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 Id="rId3" Type="http://schemas.openxmlformats.org/officeDocument/2006/relationships/image" Target="../media/image15.png"/><Relationship Id="rId4" Type="http://schemas.openxmlformats.org/officeDocument/2006/relationships/image" Target="../media/image20.png"/><Relationship Id="rId5" Type="http://schemas.openxmlformats.org/officeDocument/2006/relationships/image" Target="../media/image26.png"/><Relationship Id="rId6" Type="http://schemas.openxmlformats.org/officeDocument/2006/relationships/image" Target="../media/image30.png"/><Relationship Id="rId7" Type="http://schemas.openxmlformats.org/officeDocument/2006/relationships/image" Target="../media/image3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 Id="rId3" Type="http://schemas.openxmlformats.org/officeDocument/2006/relationships/image" Target="../media/image15.png"/><Relationship Id="rId4" Type="http://schemas.openxmlformats.org/officeDocument/2006/relationships/image" Target="../media/image20.png"/><Relationship Id="rId5" Type="http://schemas.openxmlformats.org/officeDocument/2006/relationships/image" Target="../media/image26.png"/><Relationship Id="rId6" Type="http://schemas.openxmlformats.org/officeDocument/2006/relationships/image" Target="../media/image30.png"/><Relationship Id="rId7"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485775</xdr:colOff>
      <xdr:row>18</xdr:row>
      <xdr:rowOff>228600</xdr:rowOff>
    </xdr:from>
    <xdr:ext cx="3333750" cy="1876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0</xdr:colOff>
      <xdr:row>1</xdr:row>
      <xdr:rowOff>0</xdr:rowOff>
    </xdr:from>
    <xdr:ext cx="96202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36</xdr:row>
      <xdr:rowOff>190500</xdr:rowOff>
    </xdr:from>
    <xdr:ext cx="14249400" cy="3895725"/>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114300</xdr:colOff>
      <xdr:row>56</xdr:row>
      <xdr:rowOff>95250</xdr:rowOff>
    </xdr:from>
    <xdr:ext cx="14230350" cy="3724275"/>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123825</xdr:colOff>
      <xdr:row>75</xdr:row>
      <xdr:rowOff>0</xdr:rowOff>
    </xdr:from>
    <xdr:ext cx="14249400" cy="1133475"/>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447675</xdr:colOff>
      <xdr:row>39</xdr:row>
      <xdr:rowOff>123825</xdr:rowOff>
    </xdr:from>
    <xdr:ext cx="11106150" cy="3371850"/>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457200</xdr:colOff>
      <xdr:row>56</xdr:row>
      <xdr:rowOff>66675</xdr:rowOff>
    </xdr:from>
    <xdr:ext cx="11039475" cy="3686175"/>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485775</xdr:colOff>
      <xdr:row>74</xdr:row>
      <xdr:rowOff>152400</xdr:rowOff>
    </xdr:from>
    <xdr:ext cx="11096625" cy="92392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29</xdr:col>
      <xdr:colOff>609600</xdr:colOff>
      <xdr:row>39</xdr:row>
      <xdr:rowOff>57150</xdr:rowOff>
    </xdr:from>
    <xdr:ext cx="11134725" cy="34575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29</xdr:col>
      <xdr:colOff>628650</xdr:colOff>
      <xdr:row>56</xdr:row>
      <xdr:rowOff>114300</xdr:rowOff>
    </xdr:from>
    <xdr:ext cx="11163300" cy="3600450"/>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29</xdr:col>
      <xdr:colOff>638175</xdr:colOff>
      <xdr:row>74</xdr:row>
      <xdr:rowOff>104775</xdr:rowOff>
    </xdr:from>
    <xdr:ext cx="11087100" cy="962025"/>
    <xdr:pic>
      <xdr:nvPicPr>
        <xdr:cNvPr id="0" name="image15.png"/>
        <xdr:cNvPicPr preferRelativeResize="0"/>
      </xdr:nvPicPr>
      <xdr:blipFill>
        <a:blip cstate="print" r:embed="rId9"/>
        <a:stretch>
          <a:fillRect/>
        </a:stretch>
      </xdr:blipFill>
      <xdr:spPr>
        <a:prstGeom prst="rect">
          <a:avLst/>
        </a:prstGeom>
        <a:noFill/>
      </xdr:spPr>
    </xdr:pic>
    <xdr:clientData fLocksWithSheet="0"/>
  </xdr:oneCellAnchor>
  <xdr:oneCellAnchor>
    <xdr:from>
      <xdr:col>39</xdr:col>
      <xdr:colOff>723900</xdr:colOff>
      <xdr:row>39</xdr:row>
      <xdr:rowOff>152400</xdr:rowOff>
    </xdr:from>
    <xdr:ext cx="5476875" cy="3790950"/>
    <xdr:pic>
      <xdr:nvPicPr>
        <xdr:cNvPr id="0" name="image20.png"/>
        <xdr:cNvPicPr preferRelativeResize="0"/>
      </xdr:nvPicPr>
      <xdr:blipFill>
        <a:blip cstate="print" r:embed="rId10"/>
        <a:stretch>
          <a:fillRect/>
        </a:stretch>
      </xdr:blipFill>
      <xdr:spPr>
        <a:prstGeom prst="rect">
          <a:avLst/>
        </a:prstGeom>
        <a:noFill/>
      </xdr:spPr>
    </xdr:pic>
    <xdr:clientData fLocksWithSheet="0"/>
  </xdr:oneCellAnchor>
  <xdr:oneCellAnchor>
    <xdr:from>
      <xdr:col>39</xdr:col>
      <xdr:colOff>723900</xdr:colOff>
      <xdr:row>56</xdr:row>
      <xdr:rowOff>104775</xdr:rowOff>
    </xdr:from>
    <xdr:ext cx="5448300" cy="3609975"/>
    <xdr:pic>
      <xdr:nvPicPr>
        <xdr:cNvPr id="0" name="image26.png"/>
        <xdr:cNvPicPr preferRelativeResize="0"/>
      </xdr:nvPicPr>
      <xdr:blipFill>
        <a:blip cstate="print" r:embed="rId11"/>
        <a:stretch>
          <a:fillRect/>
        </a:stretch>
      </xdr:blipFill>
      <xdr:spPr>
        <a:prstGeom prst="rect">
          <a:avLst/>
        </a:prstGeom>
        <a:noFill/>
      </xdr:spPr>
    </xdr:pic>
    <xdr:clientData fLocksWithSheet="0"/>
  </xdr:oneCellAnchor>
  <xdr:oneCellAnchor>
    <xdr:from>
      <xdr:col>39</xdr:col>
      <xdr:colOff>714375</xdr:colOff>
      <xdr:row>74</xdr:row>
      <xdr:rowOff>114300</xdr:rowOff>
    </xdr:from>
    <xdr:ext cx="5486400" cy="1000125"/>
    <xdr:pic>
      <xdr:nvPicPr>
        <xdr:cNvPr id="0" name="image30.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609600</xdr:colOff>
      <xdr:row>39</xdr:row>
      <xdr:rowOff>57150</xdr:rowOff>
    </xdr:from>
    <xdr:ext cx="11134725" cy="3457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628650</xdr:colOff>
      <xdr:row>56</xdr:row>
      <xdr:rowOff>114300</xdr:rowOff>
    </xdr:from>
    <xdr:ext cx="11163300" cy="3600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638175</xdr:colOff>
      <xdr:row>74</xdr:row>
      <xdr:rowOff>104775</xdr:rowOff>
    </xdr:from>
    <xdr:ext cx="11087100" cy="962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723900</xdr:colOff>
      <xdr:row>39</xdr:row>
      <xdr:rowOff>152400</xdr:rowOff>
    </xdr:from>
    <xdr:ext cx="5476875" cy="379095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39</xdr:col>
      <xdr:colOff>723900</xdr:colOff>
      <xdr:row>56</xdr:row>
      <xdr:rowOff>104775</xdr:rowOff>
    </xdr:from>
    <xdr:ext cx="5448300" cy="3609975"/>
    <xdr:pic>
      <xdr:nvPicPr>
        <xdr:cNvPr id="0" name="image29.png"/>
        <xdr:cNvPicPr preferRelativeResize="0"/>
      </xdr:nvPicPr>
      <xdr:blipFill>
        <a:blip cstate="print" r:embed="rId5"/>
        <a:stretch>
          <a:fillRect/>
        </a:stretch>
      </xdr:blipFill>
      <xdr:spPr>
        <a:prstGeom prst="rect">
          <a:avLst/>
        </a:prstGeom>
        <a:noFill/>
      </xdr:spPr>
    </xdr:pic>
    <xdr:clientData fLocksWithSheet="0"/>
  </xdr:oneCellAnchor>
  <xdr:oneCellAnchor>
    <xdr:from>
      <xdr:col>39</xdr:col>
      <xdr:colOff>714375</xdr:colOff>
      <xdr:row>74</xdr:row>
      <xdr:rowOff>114300</xdr:rowOff>
    </xdr:from>
    <xdr:ext cx="5486400" cy="1000125"/>
    <xdr:pic>
      <xdr:nvPicPr>
        <xdr:cNvPr id="0" name="image3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56</xdr:row>
      <xdr:rowOff>171450</xdr:rowOff>
    </xdr:from>
    <xdr:ext cx="13277850" cy="1819275"/>
    <xdr:pic>
      <xdr:nvPicPr>
        <xdr:cNvPr id="0" name="image16.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36</xdr:row>
      <xdr:rowOff>0</xdr:rowOff>
    </xdr:from>
    <xdr:ext cx="13287375" cy="4171950"/>
    <xdr:pic>
      <xdr:nvPicPr>
        <xdr:cNvPr id="0" name="image24.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609600</xdr:colOff>
      <xdr:row>39</xdr:row>
      <xdr:rowOff>57150</xdr:rowOff>
    </xdr:from>
    <xdr:ext cx="11134725" cy="345757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628650</xdr:colOff>
      <xdr:row>56</xdr:row>
      <xdr:rowOff>114300</xdr:rowOff>
    </xdr:from>
    <xdr:ext cx="11163300" cy="36004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638175</xdr:colOff>
      <xdr:row>74</xdr:row>
      <xdr:rowOff>104775</xdr:rowOff>
    </xdr:from>
    <xdr:ext cx="11087100" cy="962025"/>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723900</xdr:colOff>
      <xdr:row>39</xdr:row>
      <xdr:rowOff>152400</xdr:rowOff>
    </xdr:from>
    <xdr:ext cx="5476875" cy="3790950"/>
    <xdr:pic>
      <xdr:nvPicPr>
        <xdr:cNvPr id="0" name="image21.png"/>
        <xdr:cNvPicPr preferRelativeResize="0"/>
      </xdr:nvPicPr>
      <xdr:blipFill>
        <a:blip cstate="print" r:embed="rId4"/>
        <a:stretch>
          <a:fillRect/>
        </a:stretch>
      </xdr:blipFill>
      <xdr:spPr>
        <a:prstGeom prst="rect">
          <a:avLst/>
        </a:prstGeom>
        <a:noFill/>
      </xdr:spPr>
    </xdr:pic>
    <xdr:clientData fLocksWithSheet="0"/>
  </xdr:oneCellAnchor>
  <xdr:oneCellAnchor>
    <xdr:from>
      <xdr:col>39</xdr:col>
      <xdr:colOff>723900</xdr:colOff>
      <xdr:row>56</xdr:row>
      <xdr:rowOff>104775</xdr:rowOff>
    </xdr:from>
    <xdr:ext cx="5448300" cy="3609975"/>
    <xdr:pic>
      <xdr:nvPicPr>
        <xdr:cNvPr id="0" name="image27.png"/>
        <xdr:cNvPicPr preferRelativeResize="0"/>
      </xdr:nvPicPr>
      <xdr:blipFill>
        <a:blip cstate="print" r:embed="rId5"/>
        <a:stretch>
          <a:fillRect/>
        </a:stretch>
      </xdr:blipFill>
      <xdr:spPr>
        <a:prstGeom prst="rect">
          <a:avLst/>
        </a:prstGeom>
        <a:noFill/>
      </xdr:spPr>
    </xdr:pic>
    <xdr:clientData fLocksWithSheet="0"/>
  </xdr:oneCellAnchor>
  <xdr:oneCellAnchor>
    <xdr:from>
      <xdr:col>39</xdr:col>
      <xdr:colOff>714375</xdr:colOff>
      <xdr:row>74</xdr:row>
      <xdr:rowOff>114300</xdr:rowOff>
    </xdr:from>
    <xdr:ext cx="5486400" cy="1000125"/>
    <xdr:pic>
      <xdr:nvPicPr>
        <xdr:cNvPr id="0" name="image34.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36</xdr:row>
      <xdr:rowOff>0</xdr:rowOff>
    </xdr:from>
    <xdr:ext cx="13535025" cy="4305300"/>
    <xdr:pic>
      <xdr:nvPicPr>
        <xdr:cNvPr id="0" name="image33.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609600</xdr:colOff>
      <xdr:row>39</xdr:row>
      <xdr:rowOff>57150</xdr:rowOff>
    </xdr:from>
    <xdr:ext cx="11134725" cy="34575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628650</xdr:colOff>
      <xdr:row>56</xdr:row>
      <xdr:rowOff>114300</xdr:rowOff>
    </xdr:from>
    <xdr:ext cx="11163300" cy="3600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638175</xdr:colOff>
      <xdr:row>74</xdr:row>
      <xdr:rowOff>104775</xdr:rowOff>
    </xdr:from>
    <xdr:ext cx="11087100" cy="9620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oneCellAnchor>
    <xdr:from>
      <xdr:col>39</xdr:col>
      <xdr:colOff>723900</xdr:colOff>
      <xdr:row>39</xdr:row>
      <xdr:rowOff>152400</xdr:rowOff>
    </xdr:from>
    <xdr:ext cx="5476875" cy="3790950"/>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39</xdr:col>
      <xdr:colOff>723900</xdr:colOff>
      <xdr:row>56</xdr:row>
      <xdr:rowOff>104775</xdr:rowOff>
    </xdr:from>
    <xdr:ext cx="5448300" cy="3609975"/>
    <xdr:pic>
      <xdr:nvPicPr>
        <xdr:cNvPr id="0" name="image28.png"/>
        <xdr:cNvPicPr preferRelativeResize="0"/>
      </xdr:nvPicPr>
      <xdr:blipFill>
        <a:blip cstate="print" r:embed="rId5"/>
        <a:stretch>
          <a:fillRect/>
        </a:stretch>
      </xdr:blipFill>
      <xdr:spPr>
        <a:prstGeom prst="rect">
          <a:avLst/>
        </a:prstGeom>
        <a:noFill/>
      </xdr:spPr>
    </xdr:pic>
    <xdr:clientData fLocksWithSheet="0"/>
  </xdr:oneCellAnchor>
  <xdr:oneCellAnchor>
    <xdr:from>
      <xdr:col>39</xdr:col>
      <xdr:colOff>714375</xdr:colOff>
      <xdr:row>74</xdr:row>
      <xdr:rowOff>114300</xdr:rowOff>
    </xdr:from>
    <xdr:ext cx="5486400" cy="1000125"/>
    <xdr:pic>
      <xdr:nvPicPr>
        <xdr:cNvPr id="0" name="image31.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36</xdr:row>
      <xdr:rowOff>0</xdr:rowOff>
    </xdr:from>
    <xdr:ext cx="12068175" cy="3524250"/>
    <xdr:pic>
      <xdr:nvPicPr>
        <xdr:cNvPr id="0" name="image35.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1:P1897" sheet="TIMESHEET"/>
  </cacheSource>
  <cacheFields>
    <cacheField name="Projeto" numFmtId="0">
      <sharedItems>
        <s v="INOV00046"/>
        <s v="INOV00044"/>
        <s v="INOV00013"/>
        <s v="INOV00006"/>
        <s v="INOV00045"/>
        <s v="INOV00031"/>
        <s v="INOV00001"/>
        <s v="INOV00017"/>
        <s v="INOV00004"/>
        <s v="INOV00041"/>
        <s v="INOV00016"/>
        <s v="INOV00035"/>
        <s v="INOV00024"/>
        <s v="INOV00029"/>
        <s v="INOV00028"/>
        <s v="INOV00014"/>
        <s v="INOV00020"/>
        <s v="INOV00022"/>
        <s v="INOV00037"/>
        <s v="INOV00023"/>
        <s v="INOV00036"/>
        <e v="#N/A"/>
        <s v="INOV00039"/>
        <s v="INOV00042"/>
        <s v="INOV00032"/>
        <s v="INOV00040"/>
        <s v="INOV00047"/>
        <s v="INOV00048"/>
        <s v="INOV00034"/>
        <s v="INOV00049"/>
        <s v="INOV00003"/>
        <s v="INOV00050"/>
        <s v="INOV00051"/>
        <s v="INOV00053"/>
      </sharedItems>
    </cacheField>
    <cacheField name="Etapa" numFmtId="0">
      <sharedItems containsBlank="1">
        <s v="INOV00046"/>
        <s v="INOV00044"/>
        <s v="INOV00013"/>
        <s v="INOV00006"/>
        <s v="INOV00045"/>
        <s v="INOV00031"/>
        <s v="INOV00001"/>
        <s v="INOV00017"/>
        <s v="INOV00004"/>
        <s v="INOV00041"/>
        <s v="INOV00016"/>
        <s v="INOV00035"/>
        <s v="INOV00024"/>
        <s v="INOV00029"/>
        <s v="INOV00028"/>
        <s v="INOV00014"/>
        <s v="INOV00020"/>
        <s v="INOV00022"/>
        <s v="INOV00037"/>
        <s v="INOV00023"/>
        <s v="INOV00036"/>
        <s v="INOV00050"/>
        <s v="INOV00051"/>
        <s v="INOV00039"/>
        <s v="INOV00052"/>
        <s v="INOV00042"/>
        <s v="INOV00032"/>
        <s v="INOV00040"/>
        <s v="INOV00047"/>
        <s v="INOV00048"/>
        <s v="INOV00034"/>
        <s v="INOV00049"/>
        <s v="INOV00003"/>
        <s v="INOV00053"/>
        <m/>
      </sharedItems>
    </cacheField>
    <cacheField name="Colaborador" numFmtId="0">
      <sharedItems containsBlank="1">
        <s v="Ana Paula Biz"/>
        <s v="Ana Paula Celes"/>
        <s v="Alyne Alves Nunes Oliveira"/>
        <s v="Gabriela Faria de Oliveira"/>
        <s v="Juliana Lamas Roberto"/>
        <s v="Raissa Bellotti"/>
        <s v="Ana Claudia Zanini"/>
        <s v="Camila Mendes Pereira"/>
        <m/>
      </sharedItems>
    </cacheField>
    <cacheField name="Data" numFmtId="170">
      <sharedItems containsDate="1" containsString="0" containsBlank="1">
        <d v="2024-01-02T00:00:00Z"/>
        <d v="2024-01-15T00:00:00Z"/>
        <d v="2024-01-18T00:00:00Z"/>
        <d v="2024-02-08T00:00:00Z"/>
        <d v="2024-03-22T00:00:00Z"/>
        <d v="2024-03-25T00:00:00Z"/>
        <d v="2024-03-06T00:00:00Z"/>
        <d v="2024-03-28T00:00:00Z"/>
        <d v="2024-01-08T00:00:00Z"/>
        <d v="2024-01-11T00:00:00Z"/>
        <d v="2024-01-17T00:00:00Z"/>
        <d v="2024-02-01T00:00:00Z"/>
        <d v="2024-02-02T00:00:00Z"/>
        <d v="2024-02-07T00:00:00Z"/>
        <d v="2024-02-21T00:00:00Z"/>
        <d v="2024-02-29T00:00:00Z"/>
        <d v="2024-03-04T00:00:00Z"/>
        <d v="2024-03-14T00:00:00Z"/>
        <d v="2024-01-05T00:00:00Z"/>
        <d v="2024-01-10T00:00:00Z"/>
        <d v="2024-01-19T00:00:00Z"/>
        <d v="2024-01-24T00:00:00Z"/>
        <d v="2024-01-31T00:00:00Z"/>
        <d v="2024-02-19T00:00:00Z"/>
        <d v="2024-02-26T00:00:00Z"/>
        <d v="2024-02-27T00:00:00Z"/>
        <d v="2024-02-28T00:00:00Z"/>
        <d v="2024-03-01T00:00:00Z"/>
        <d v="2024-03-05T00:00:00Z"/>
        <d v="2024-01-03T00:00:00Z"/>
        <d v="2024-01-04T00:00:00Z"/>
        <d v="2024-01-09T00:00:00Z"/>
        <d v="2024-01-16T00:00:00Z"/>
        <d v="2024-01-20T00:00:00Z"/>
        <d v="2024-01-22T00:00:00Z"/>
        <d v="2024-01-23T00:00:00Z"/>
        <d v="2024-01-26T00:00:00Z"/>
        <d v="2024-01-27T00:00:00Z"/>
        <d v="2024-01-29T00:00:00Z"/>
        <d v="2024-01-30T00:00:00Z"/>
        <d v="2024-02-05T00:00:00Z"/>
        <d v="2024-02-09T00:00:00Z"/>
        <d v="2024-02-25T00:00:00Z"/>
        <d v="2024-04-01T00:00:00Z"/>
        <d v="2024-04-18T00:00:00Z"/>
        <d v="2024-05-07T00:00:00Z"/>
        <d v="2024-05-31T00:00:00Z"/>
        <d v="2024-05-09T00:00:00Z"/>
        <d v="2024-05-10T00:00:00Z"/>
        <d v="2024-05-13T00:00:00Z"/>
        <d v="2024-05-15T00:00:00Z"/>
        <d v="2024-05-29T00:00:00Z"/>
        <d v="2024-05-21T00:00:00Z"/>
        <d v="2024-05-22T00:00:00Z"/>
        <d v="2024-05-23T00:00:00Z"/>
        <d v="2024-05-24T00:00:00Z"/>
        <d v="2024-05-20T00:00:00Z"/>
        <d v="2024-06-03T00:00:00Z"/>
        <d v="2024-06-04T00:00:00Z"/>
        <d v="2024-04-05T00:00:00Z"/>
        <d v="2024-04-15T00:00:00Z"/>
        <d v="2024-04-03T00:00:00Z"/>
        <d v="2024-05-02T00:00:00Z"/>
        <d v="2024-05-16T00:00:00Z"/>
        <d v="2024-05-27T00:00:00Z"/>
        <d v="2024-05-28T00:00:00Z"/>
        <d v="2024-06-06T00:00:00Z"/>
        <d v="2024-06-10T00:00:00Z"/>
        <d v="2024-06-11T00:00:00Z"/>
        <d v="2024-06-18T00:00:00Z"/>
        <d v="2024-06-20T00:00:00Z"/>
        <d v="2024-06-25T00:00:00Z"/>
        <d v="2024-06-26T00:00:00Z"/>
        <d v="2024-06-27T00:00:00Z"/>
        <d v="2024-06-28T00:00:00Z"/>
        <d v="2024-05-08T00:00:00Z"/>
        <d v="2024-05-12T00:00:00Z"/>
        <d v="2024-05-18T00:00:00Z"/>
        <d v="2024-04-29T00:00:00Z"/>
        <d v="2024-05-03T00:00:00Z"/>
        <d v="2024-05-14T00:00:00Z"/>
        <d v="2024-05-25T00:00:00Z"/>
        <d v="2024-06-05T00:00:00Z"/>
        <d v="2024-06-07T00:00:00Z"/>
        <d v="2024-06-12T00:00:00Z"/>
        <d v="2024-06-13T00:00:00Z"/>
        <d v="2024-06-14T00:00:00Z"/>
        <d v="2024-06-15T00:00:00Z"/>
        <d v="2024-06-19T00:00:00Z"/>
        <d v="2024-06-24T00:00:00Z"/>
        <d v="2024-04-09T00:00:00Z"/>
        <d v="2024-04-16T00:00:00Z"/>
        <d v="2024-04-22T00:00:00Z"/>
        <d v="2024-04-24T00:00:00Z"/>
        <d v="2024-05-17T00:00:00Z"/>
        <d v="2024-04-04T00:00:00Z"/>
        <d v="2024-04-12T00:00:00Z"/>
        <d v="2024-04-17T00:00:00Z"/>
        <d v="2024-04-23T00:00:00Z"/>
        <d v="2024-04-30T00:00:00Z"/>
        <d v="2024-05-06T00:00:00Z"/>
        <d v="2024-04-02T00:00:00Z"/>
        <d v="2024-04-08T00:00:00Z"/>
        <d v="2024-04-11T00:00:00Z"/>
        <d v="2024-06-17T00:00:00Z"/>
        <d v="2024-09-23T00:00:00Z"/>
        <d v="2024-09-24T00:00:00Z"/>
        <d v="2024-09-25T00:00:00Z"/>
        <d v="2024-09-26T00:00:00Z"/>
        <d v="2024-09-13T00:00:00Z"/>
        <d v="2024-09-30T00:00:00Z"/>
        <d v="2024-09-27T00:00:00Z"/>
        <d v="2024-07-04T00:00:00Z"/>
        <d v="2024-07-02T00:00:00Z"/>
        <d v="2024-07-09T00:00:00Z"/>
        <d v="2024-07-10T00:00:00Z"/>
        <d v="2024-07-11T00:00:00Z"/>
        <d v="2024-07-15T00:00:00Z"/>
        <d v="2024-07-16T00:00:00Z"/>
        <d v="2024-07-17T00:00:00Z"/>
        <d v="2024-07-18T00:00:00Z"/>
        <d v="2024-07-22T00:00:00Z"/>
        <d v="2024-07-31T00:00:00Z"/>
        <d v="2024-07-05T00:00:00Z"/>
        <d v="2024-07-08T00:00:00Z"/>
        <d v="2024-07-12T00:00:00Z"/>
        <d v="2024-07-19T00:00:00Z"/>
        <d v="2024-07-23T00:00:00Z"/>
        <d v="2024-08-06T00:00:00Z"/>
        <d v="2024-08-07T00:00:00Z"/>
        <d v="2024-08-14T00:00:00Z"/>
        <d v="2024-08-15T00:00:00Z"/>
        <d v="2024-08-16T00:00:00Z"/>
        <d v="2024-08-20T00:00:00Z"/>
        <d v="2024-08-21T00:00:00Z"/>
        <d v="2024-08-22T00:00:00Z"/>
        <d v="2024-09-17T00:00:00Z"/>
        <d v="2024-09-10T00:00:00Z"/>
        <d v="2024-09-03T00:00:00Z"/>
        <d v="2024-09-18T00:00:00Z"/>
        <d v="2024-09-05T00:00:00Z"/>
        <d v="2024-07-01T00:00:00Z"/>
        <d v="2024-07-03T00:00:00Z"/>
        <d v="2024-07-24T00:00:00Z"/>
        <d v="2024-07-25T00:00:00Z"/>
        <d v="2024-08-05T00:00:00Z"/>
        <d v="2024-08-08T00:00:00Z"/>
        <d v="2024-08-09T00:00:00Z"/>
        <d v="2024-08-12T00:00:00Z"/>
        <d v="2024-08-19T00:00:00Z"/>
        <d v="2024-08-23T00:00:00Z"/>
        <d v="2024-09-16T00:00:00Z"/>
        <d v="2024-09-19T00:00:00Z"/>
        <d v="2024-09-20T00:00:00Z"/>
        <d v="2024-07-26T00:00:00Z"/>
        <d v="2024-07-29T00:00:00Z"/>
        <d v="2024-07-30T00:00:00Z"/>
        <d v="2024-08-01T00:00:00Z"/>
        <d v="2024-08-02T00:00:00Z"/>
        <d v="2024-08-13T00:00:00Z"/>
        <d v="2024-08-26T00:00:00Z"/>
        <d v="2024-08-28T00:00:00Z"/>
        <d v="2024-08-29T00:00:00Z"/>
        <d v="2024-08-30T00:00:00Z"/>
        <d v="2024-09-04T00:00:00Z"/>
        <d v="2024-09-07T00:00:00Z"/>
        <d v="2024-09-08T00:00:00Z"/>
        <d v="2024-09-09T00:00:00Z"/>
        <d v="2024-09-02T00:00:00Z"/>
        <d v="2024-09-11T00:00:00Z"/>
        <d v="2024-09-12T00:00:00Z"/>
        <d v="2024-10-01T00:00:00Z"/>
        <d v="2024-10-02T00:00:00Z"/>
        <d v="2024-10-03T00:00:00Z"/>
        <d v="2024-10-22T00:00:00Z"/>
        <d v="2024-10-23T00:00:00Z"/>
        <d v="2024-10-24T00:00:00Z"/>
        <d v="2024-10-25T00:00:00Z"/>
        <d v="2024-10-28T00:00:00Z"/>
        <d v="2024-10-29T00:00:00Z"/>
        <d v="2024-10-30T00:00:00Z"/>
        <d v="2024-10-31T00:00:00Z"/>
        <d v="2024-11-05T00:00:00Z"/>
        <d v="2024-11-06T00:00:00Z"/>
        <d v="2024-11-18T00:00:00Z"/>
        <d v="2024-11-19T00:00:00Z"/>
        <d v="2024-11-21T00:00:00Z"/>
        <d v="2024-11-14T00:00:00Z"/>
        <d v="2024-11-25T00:00:00Z"/>
        <d v="2024-11-29T00:00:00Z"/>
        <d v="2024-12-02T00:00:00Z"/>
        <d v="2024-12-03T00:00:00Z"/>
        <d v="2024-12-17T00:00:00Z"/>
        <d v="2024-12-06T00:00:00Z"/>
        <d v="2024-12-18T00:00:00Z"/>
        <d v="2024-12-19T00:00:00Z"/>
        <d v="2024-10-04T00:00:00Z"/>
        <d v="2024-10-09T00:00:00Z"/>
        <d v="2024-10-10T00:00:00Z"/>
        <d v="2024-10-08T00:00:00Z"/>
        <d v="2024-11-04T00:00:00Z"/>
        <d v="2024-11-07T00:00:00Z"/>
        <d v="2024-12-04T00:00:00Z"/>
        <d v="2024-10-14T00:00:00Z"/>
        <d v="2024-10-16T00:00:00Z"/>
        <d v="2024-10-17T00:00:00Z"/>
        <d v="2024-10-18T00:00:00Z"/>
        <d v="2024-10-21T00:00:00Z"/>
        <d v="2024-11-01T00:00:00Z"/>
        <d v="2024-10-11T00:00:00Z"/>
        <d v="2024-10-15T00:00:00Z"/>
        <d v="2024-11-08T00:00:00Z"/>
        <d v="2024-11-11T00:00:00Z"/>
        <d v="2024-11-12T00:00:00Z"/>
        <d v="2024-11-13T00:00:00Z"/>
        <d v="2024-11-15T00:00:00Z"/>
        <d v="2024-12-05T00:00:00Z"/>
        <d v="2024-12-09T00:00:00Z"/>
        <d v="2024-12-10T00:00:00Z"/>
        <d v="2024-12-13T00:00:00Z"/>
        <d v="2024-12-16T00:00:00Z"/>
        <d v="2024-12-20T00:00:00Z"/>
        <d v="2024-12-23T00:00:00Z"/>
        <d v="2024-12-26T00:00:00Z"/>
        <m/>
      </sharedItems>
    </cacheField>
    <cacheField name="Tempo(h)" numFmtId="46">
      <sharedItems containsDate="1" containsString="0" containsBlank="1">
        <d v="1899-12-30T01:20:00Z"/>
        <d v="1899-12-30T02:40:00Z"/>
        <d v="1899-12-30T00:15:00Z"/>
        <d v="1899-12-30T00:10:00Z"/>
        <d v="1899-12-30T00:25:00Z"/>
        <d v="1899-12-30T03:00:00Z"/>
        <d v="1899-12-30T00:55:00Z"/>
        <d v="1899-12-30T02:15:00Z"/>
        <d v="1899-12-30T01:10:00Z"/>
        <d v="1899-12-30T00:20:00Z"/>
        <d v="1899-12-30T01:15:00Z"/>
        <d v="1899-12-30T01:00:00Z"/>
        <d v="1899-12-30T00:30:00Z"/>
        <d v="1899-12-30T01:30:00Z"/>
        <d v="1899-12-30T00:45:00Z"/>
        <d v="1899-12-30T07:30:00Z"/>
        <d v="1899-12-30T05:00:00Z"/>
        <d v="1899-12-30T12:30:00Z"/>
        <d v="1899-12-30T10:30:00Z"/>
        <d v="1899-12-30T15:30:00Z"/>
        <d v="1899-12-30T08:00:00Z"/>
        <d v="1899-12-30T11:00:00Z"/>
        <d v="1899-12-30T06:00:00Z"/>
        <d v="1899-12-30T04:00:00Z"/>
        <d v="1899-12-30T02:00:00Z"/>
        <d v="1899-12-30T09:45:00Z"/>
        <d v="1899-12-30T03:30:00Z"/>
        <d v="1899-12-30T01:35:00Z"/>
        <d v="1899-12-30T01:25:00Z"/>
        <d v="1899-12-30T02:30:00Z"/>
        <d v="1899-12-30T04:45:00Z"/>
        <d v="1899-12-30T05:30:00Z"/>
        <d v="1899-12-30T04:30:00Z"/>
        <d v="1899-12-30T05:45:00Z"/>
        <d v="1899-12-30T05:32:00Z"/>
        <d v="1899-12-30T05:44:00Z"/>
        <d v="1899-12-30T08:28:00Z"/>
        <d v="1899-12-30T05:28:00Z"/>
        <d v="1899-12-30T02:37:00Z"/>
        <d v="1899-12-30T01:40:00Z"/>
        <d v="1899-12-30T01:45:00Z"/>
        <d v="1899-12-30T02:20:00Z"/>
        <d v="1899-12-30T00:50:00Z"/>
        <d v="1899-12-30T06:45:00Z"/>
        <d v="1899-12-30T10:20:00Z"/>
        <d v="1899-12-30T05:50:00Z"/>
        <d v="1899-12-30T02:35:00Z"/>
        <d v="1899-12-30T00:40:00Z"/>
        <d v="1899-12-30T09:00:00Z"/>
        <d v="1899-12-30T10:00:00Z"/>
        <d v="1899-12-30T03:45:00Z"/>
        <d v="1899-12-30T07:52:00Z"/>
        <d v="1899-12-30T06:30:00Z"/>
        <d v="1899-12-30T07:00:00Z"/>
        <d v="1899-12-30T03:15:00Z"/>
        <d v="1899-12-30T08:15:00Z"/>
        <d v="1899-12-30T09:15:00Z"/>
        <d v="1899-12-30T16:00:00Z"/>
        <d v="1899-12-30T13:30:00Z"/>
        <d v="1899-12-30T14:00:00Z"/>
        <d v="1899-12-30T01:50:00Z"/>
        <d v="1899-12-30T15:00:00Z"/>
        <d v="1899-12-30T16:30:00Z"/>
        <d v="1899-12-30T17:00:00Z"/>
        <d v="1899-12-30T02:26:00Z"/>
        <d v="1899-12-30T01:34:00Z"/>
        <d v="1899-12-30T03:40:00Z"/>
        <d v="1899-12-30T02:10:00Z"/>
        <d v="1899-12-30T01:05:00Z"/>
        <d v="1899-12-30T01:02:00Z"/>
        <d v="1899-12-30T00:41:00Z"/>
        <d v="1899-12-30T09:30:00Z"/>
        <m/>
      </sharedItems>
    </cacheField>
    <cacheField name="Classificação PRODIET" numFmtId="0">
      <sharedItems containsBlank="1">
        <s v="Pesquisa"/>
        <s v="Gestão e outros"/>
        <s v="Desenvolvimento"/>
        <s v="Treinamento"/>
        <m/>
      </sharedItems>
    </cacheField>
    <cacheField name="Classificação MCBENNER" numFmtId="0">
      <sharedItems containsBlank="1">
        <s v="Pesquisa"/>
        <s v="Gestão e outros"/>
        <s v="Desenvolvimento"/>
        <s v="Treinamento"/>
        <m/>
      </sharedItems>
    </cacheField>
    <cacheField name=" " numFmtId="0">
      <sharedItems containsString="0" containsBlank="1">
        <m/>
      </sharedItems>
    </cacheField>
    <cacheField name="Descrição da atividade e observações" numFmtId="0">
      <sharedItems containsBlank="1">
        <s v="Pesquisa sobre metodologia de análise para quantificar o TGF beta 2 em produtos."/>
        <s v="Tradução, revisão e conferência do Estudo de Estabilidade."/>
        <s v="Conferência de NF de análise do produto."/>
        <s v="Reunião com potencial fornecedor sobre CoA e monografias."/>
        <s v="Análise de dados e elaboração do relatório de EE."/>
        <s v="Revisão do relatório de EE."/>
        <s v="Apresentação dos dados do EE dos produtos DiamaxIG RTH e Trophic Soya RTH."/>
        <s v="Acompanhamento teste industrial."/>
        <s v="Alinhamento dos Conceitos de comunicação"/>
        <s v="Diretrizes para compor informações com a nova envasadora"/>
        <s v="Direcionais de rotulagem"/>
        <s v="Atualização das fórmulas e concentrações"/>
        <s v="Direcionais para realização teste validação tremica"/>
        <s v="Definição de liderança ao projeto"/>
        <s v="Gestão de marcas"/>
        <s v="Discussão das exigências Anvisa"/>
        <s v="Alinhamentos de insumos +TGF beta"/>
        <s v="Estudo de validação e penetração termica"/>
        <s v="Estudo de WPH resistência termica"/>
        <s v="Primárias dos resultados dos testes acima"/>
        <s v="Contato fornecedor de embalagens"/>
        <s v="Envio de amostras para análise externa"/>
        <s v="Avaliação de nova MP para teste piloto"/>
        <s v="Pesquisa de artigos para descobrir a ausência de vit C na dieta retort UTI"/>
        <s v="Estudo de formulação de proteína líquida"/>
        <s v="Deslocamento (Rio - Curitiba) para teste de bancada"/>
        <s v="Treinamento simulador de custos"/>
        <s v="Contato fornecedor: entendimento estabilidade proteína"/>
        <s v="Análises bancada Trophic Soya 1.5 Fiber"/>
        <s v="Deslocamento : retorno  Curitiba - Rio"/>
        <s v="Planejamento teste industrial Latco"/>
        <s v="Definição próximas etapas do projeto"/>
        <m/>
        <s v="Deslocamento teste industrial Latco: Rio - Paraná"/>
        <s v="Teste Industrial Latco - dieta HH"/>
        <s v="Teste Industrial Latco - validação térmica autoclave"/>
        <s v="Deslocamento teste industrial Latco: Paraná - Rio"/>
        <s v="Relatório teste industrial Latco"/>
        <s v="Envio de amostra para análise externa"/>
        <s v="Alinhamento teste industrial Latco - validação térmica"/>
        <s v="Desenvolvimento de novo produto - análise nutricional"/>
        <s v="Desenvolvimento de desenho de pesquisa clínica para novo produto"/>
        <s v="Prospecção de novos estudos com produtos de portfólio"/>
        <s v="Desenvolvimento de novo produto - análise de novo ingrediente"/>
        <s v="Desenvolvimento de material de comunicação a partir de resultado de pesquisa"/>
        <s v="Desenvolvimento de cálculo para normalização de resultados analíticos, a fim de definir se o resultado obtido em análise pode ser considerado como representativo."/>
        <s v="Aplicação de critérios de seleção em novas metodologias de análise"/>
        <s v="Aplicação de critérios de aceitação para definição de isenção de glúten no produto"/>
        <s v="Condução em teste piloto UHT para obtenção de produtos após reformulação do pré mix de minerais"/>
        <s v="Análise sensorial dos produtos obtidos em teste piloto e seleção de análises para verificação da eficiência do teste"/>
        <s v="Avaliação de documentação necessária para submissão do produto a processo de licitação e treinamento de colaborador nos documentos existentes"/>
        <s v="Verificação de medidas necessárias para viabilidade de teste industrial, que será realizado em copacker"/>
        <s v="Verificação de medidas necessparias para seguimento do projeto"/>
        <s v="Elaboração de fluxograma para teste industrial"/>
        <s v="Levantamento de dados para resposta a exigência Anvisa em processo de registro das fórmulas HH, HN e Diamax RTH."/>
        <s v="Aplicação de critérios de aceitação para alteração de fórmula da dieta UTI"/>
        <s v="Levantamento de dados para estudo de viabilidade do projeto"/>
        <s v="Avaliação de resultados analíticos do tempo final do estudo de estabilidade e avaliação de viabilidade de extensão de prazo de validade"/>
        <s v="Avaliação crítica de exigência Anvisa e levantamento de documentação necessária para respost"/>
        <s v="Elaboração de documento para cumprimento da exigência da Anvisa para registro dos produtos HH, HN e Diamax RTH"/>
        <s v="Pesquisa sobre atuação de hidrocoloides na manutenção da viscosidade do produto"/>
        <s v="Elaboração de documento esclarecendo as fontes de nutrientes utilizadas e Estudo de estabilidade conduzidos, para recurso em pregão do ministério da saúde"/>
        <s v="Deslocamento para Cruzeiro do Oesta para realização de testes industriais em autoclave"/>
        <s v="Preparo da dieta HH nas instalações Latco, para validação térmica da autoclave"/>
        <s v="Estudo de distribuição térmica para validação da autoclave"/>
        <s v="Estudo de penetração térmica para validação da autoclave"/>
        <s v="Deslocamento de Cruzeiro do Oesta, onde foram realizados  testes industriais em autoclave"/>
        <s v="Pesquisa básica para desenvolvimento do produto"/>
        <s v="Desenvolvimento de escrita para apresentação de pesquisa - aspen"/>
        <s v="Prospecção de novos estudos"/>
        <s v="Desenvolvimento novo produto - análise aminograma MP"/>
        <s v="Alinhamento de desenvolvimento de estudo de caso com profissionais"/>
        <s v="Organização das amostras do teste industrial para início de EE."/>
        <s v="Conferência de NF de análise de produto."/>
        <s v="Avaliaçao de tendência da concentração dos premixes ao longo do estudo de estabilidade."/>
        <s v="Análise dos resultados laboratoriais do produto em T0."/>
        <s v="Análise de dados para responder exigência do HN."/>
        <s v="Determinação da IN do CorrectMax"/>
        <s v="Determinação de métodos analíticos para quantificar TGF beta2."/>
        <s v="Preparação e análise da exigência da HN para construção da resposta."/>
        <s v="Avaliação física das embalagens e produto após TP."/>
        <s v="Deslocamento para TP Retort - RJ"/>
        <s v="Teste Piloto EMBRAPA RJ"/>
        <s v="Deslocamento retorno TP Retort - RJ"/>
        <s v="Double check MP (vitaminas + minerais) para TP EMBRPA - RJ"/>
        <s v="Avaliação físico química dos retorts do teste piloto realizado na EMBRAPA (viscosidade, pH e administração)"/>
        <s v="Análise de dados e construção de resposta para Exigência do HN."/>
        <s v="Análise e discussão de relatório do teste Latco"/>
        <s v="Monitormento da qualidade do produto"/>
        <s v="Alinhamento teste industrial Latco - relatório final da validação térmica"/>
        <s v="Planejamento teste piloto Embrapa - levantamento de MP"/>
        <s v="Estudo de novas MP's + contato fornecedores"/>
        <s v="Planejamento teste piloto Embrapa - disponibilidade de MP"/>
        <s v="Planejamento teste piloto Embrapa - envio da formulação para pesagem"/>
        <s v="Planejamento testes industriais Latco -"/>
        <s v="Trâmites fiscais para envio da MP para Embrapa"/>
        <s v="Separação MP's teste piloto Embrapa"/>
        <s v="Teste de bancada novo caseinato de cálcio"/>
        <s v="Planejamento teste piloto Embrapa - formulação proteína líquida"/>
        <s v="Teste piloto Embrapa - dieta UTI e NHcF"/>
        <s v="Teste piloto Embrapa - dieta NN e proteína líquida"/>
        <s v="Relatório teste piloto Embrapa"/>
        <s v="Coordenação retorno dos materiais teste Embrapa"/>
        <s v="Alinhamento técnico estrutura pouch"/>
        <s v="Trâmites fiscais para envio de amostra para análise externa"/>
        <s v="Planjemaneto Teste Industrial Latco"/>
        <s v="Trâmites fiscais - NFs contrato Embrapa"/>
        <s v="Pesquisa básica de MP junto ao fornecedor - Ácido Cítrico"/>
        <s v="Aplicação e preparo de amostras para envio à Seochang (Pouches)"/>
        <s v="Pesquisa básica de MP junto ao fornecedor - CasNa"/>
        <s v="Pesquisa básica de MP junto ao fornecedor - Carragena"/>
        <s v="Atualização de cronograma"/>
        <s v="Teste Industrial Latco - DiamaxIG"/>
        <s v="Teste Industrial Latco - Trophic 1.5 RTH"/>
        <s v="Elaboração relatório Teste Industrial Latco"/>
        <s v="Pesquisa básica - Revisão de literatura sobre de desfechos de estudos"/>
        <s v="Pesquisa Clínica - Análise de resultados obtidos com o uso do produto em população específica"/>
        <s v="Pesquisa básica para produção de material cientifico"/>
        <s v="Pesquisa básica para desenvolvimento de protocolo de estudo de caso"/>
        <s v="Pesquisa básica para desenvolvimento de protocolo de pesquisa de aplicaçao"/>
        <s v="Pesquisa básica para desenvolvimento de protocolo de pesquisa clinica"/>
        <s v="Pesquisa básica para desenvolvimento de novo produto"/>
        <s v="congresso Ganepão - atualizações paciente UTI, Oncologia, Pesquisa clínica e estudos de casos"/>
        <s v="Innovation day - tendência de proteína no mercado"/>
        <s v="Innovation day - tecnologia de proteínas vegetais"/>
        <s v="Treinamento sobre Gestão de Projetos com a FIEP"/>
        <s v="Participação banca avaliação do projeto em Business Case (mercado, embalagem )"/>
        <s v="Discussão sobre buscas de matérias primas com Supply"/>
        <s v="Discussão do projeto com Manutenção, Qualidade, Produção e Marketing"/>
        <s v="Testes laboratoriais de bancada para avaliação sabor, odor, administração, osmolalidade de lote produzido em Teste Industrial - Soya pó"/>
        <s v="Testes laboratoriais de bancada para avaliação sabor, odor, administração, osmolalidade de lote produzido em Teste Industrial - Soya Fiber pó"/>
        <s v="Determinação peso colher dosadora"/>
        <s v="Avaliação de aspecto, solubilidade e sabor fórmula com matéria prima Cenoura reformulada pelo fabricante"/>
        <s v="Avaliação dos tópicos do contrato consultoria PUC-PR Prof Alvaro"/>
        <s v="Discussão sobre versão 3 da proposta de trabalho"/>
        <s v="Discussão sobre presença de verniz nova lata litografada"/>
        <s v="Discussão sobre embalagem com Produção e Manutenção"/>
        <s v="Alinhamento projeto"/>
        <s v="Alinhamento fornecimento matéria prima e análises microbiológicas fornecedor da proteína de ervilha"/>
        <s v="Discussão sobre execução de análises para pesquisa e obtenção de resultados de TGF-beta2 nas matérias primas"/>
        <s v="Discussão sobre insights obtidos na feira NIS"/>
        <s v="Alinhamento próximos passos e atividades projeto Gestão de Projetos"/>
        <s v="Teste para obtenção do peso da colher de sopa/dose de produto"/>
        <s v="Preparo de amostra com nova matéria prima alternativa (nova oopção de fornecedor) para envio para análise de aminoácidos em laboratório externo"/>
        <s v="Execução análise de osmolalidade"/>
        <s v="Teste de bancada em fórmula com aplicação de novo fornecedor de Cacau para avaliação de sabor, solubilidade como critério de aprovação de matéria prima alternativa"/>
        <s v="Teste de bancada em fórmula com aplicação de novo fornecedor de PIS para avaliação de sabor, solubilidade como critério de aprovação de matéria prima alternativa"/>
        <s v="Discussão sobre Briefing do projeto"/>
        <s v="Discussão sobre parâmetros de selagem embalagem"/>
        <s v="Pesquisa com fornecedores sobre estabilidade do produto e embalagem"/>
        <s v="Avaliação de ficha técnica de matéria prima"/>
        <s v="Avaliação de ficha técnica de embalagem pote novo fornecedor"/>
        <s v="Avaliação de ficha técnica de embalagem lata litografada e atendimento de legislações"/>
        <s v="Teste de rotulagem em embalagem pote novo fornecedor"/>
        <s v="Avaliação do perfil peptídico de matéria prima"/>
        <s v="Definição da especificação interna Prodiet para embalagem lata litografada"/>
        <s v="Definição da especificação interna Prodiet para aroma natural"/>
        <s v="Inscrição curso Nutrição e Qualidade Nutricional Alimentos"/>
        <s v="Análise de estabilidade da fórmula com 24 meses após produção: administração produto por sonda, análise de osmolalidade, sabor, odor (análises laboratoriais físico químicas)"/>
        <s v="Análise de estabilidade da fórmula com 12 meses após produção: degustação, análises de sabor, odor (análises laboratoriais físico químicas)"/>
        <s v="Avaliação do produto com nova matéria prima alternativa (novo fornecedor) em comparação ao produto padrão. Análises físico quimicas de solubilidade, aspecto pó, aspecto diluído, sabor, odor, colher medida"/>
        <s v="Desenvolvimento de novo produto - análise de mercado"/>
        <s v="Desenvolvimento de novo produto - análise regulatória"/>
        <s v="Desenvolvimento de pesquisa com o uso do produto Prodiet"/>
        <s v="Desenvolvimento de pesquisa com o uso do produto para cicatrização"/>
        <s v="Desenvolvimento de pesquisa aplicada com o uso do produto Prodiet"/>
        <s v="Desenvolvimento de novo produto - análise do projeto"/>
        <s v="Desenvolvimento de novo produto - análise de material"/>
        <s v="Teste piloto para defenição de estabilizante adequado para a fórmula"/>
        <s v="Avaliação de parâmetros que afetam estabilidade proteica"/>
        <s v="Avaliação de resultados analíticos de D+15 de teste piloto"/>
        <s v="Deslocamento para execução de teste piloto"/>
        <s v="Execução de teste piloto, realizado na EMBRAPA - RJ"/>
        <s v="Realização de teste de bancada em planta UHT para avaliação da concentração ótima de carragena"/>
        <s v="Aplicação de avaliação sensorial ao produto obtido no teste de bancada em planta UHT"/>
        <s v="Deslocamento para Cruzeiro do Oeste para realização de teste industrial"/>
        <s v="Preparo da dieta Diamax IG RTH em escala industrial para avaliação do comportamento da fórmula"/>
        <s v="Envase e esterelização da dieta Diamax IG RTH para avaliação do compormtamento da fórmula."/>
        <s v="Preparo da dieta Trophic 1.5 RTH em escala industrial para avaliação do comportamento da fórmula"/>
        <s v="Envase e esterelização da dieta Trophic 1.5 RTH para avaliação do compormtamento da fórmula."/>
        <s v="Deslocamento de Cruzeiro do Oeste para realização de teste industrial"/>
        <s v="Desenvolvimento de escrita e aprofundamento científico da pesquisa de aplicação"/>
        <s v="Prospecção de novos estudos com produtos do portifólio"/>
        <s v="Desenvolvimento de novo produto - análise nutricional de matéria prima"/>
        <s v="Levantamento científico para escrita da pesquisa"/>
        <s v="Prospecção de centros para execução da pesquisa"/>
        <s v="Desenvolvimento de novo produto - pesquisa aprofundada recomendações nutricionais"/>
        <s v="Estudo estatísitico para escrita resultados pesquisa"/>
        <s v="Desenvolvimento de escrita científica das características do produto e público"/>
        <s v="Desenvolvimento de ficha de aplicação para execução de pesquisa"/>
        <s v="Prospecção de nova pesquisa com produto do portifólio"/>
        <s v="Levantamento revistas publicação pesquisa"/>
        <s v="Análise de resultados e escrita da pesquisa"/>
        <s v="Desenvolvimento de pesquisa"/>
        <s v="Desenvolvimento de briefing"/>
        <s v="Prospecção  de novos estudos com produtos do portifólio"/>
        <s v="Deslocamento para RJ - teste piloto EMBRAPA."/>
        <s v="Teste Piloto - EMBRAPA RJ"/>
        <s v="Deslocamento para Curitiba - após teste piloto EMBRAPA RJ."/>
        <s v="Double check das matérias-primas para o teste piloto - EMBRAPA RJ"/>
        <s v="Análise de dados e construção de relatório de EE para o CorrectMax."/>
        <s v="Análise de dados e construção de relatório para inclusão de fabricante - Retort."/>
        <s v="Análise de dados para definição da informação nutricional do PA."/>
        <s v="Análise dos resultados dos nutrientes para T24."/>
        <s v="Definição da IN do Trophic Soya Pó"/>
        <s v="Análise de dados de estudo de estabilidade para construção de informação nutricional."/>
        <s v="Análise de dados de estudo de estabilidade e elaboração de relatório de estudo de estabilidade."/>
        <s v="Avaliação de amostras sobre a qualidade e tipo de bico em pouch retort."/>
        <s v="Elaboração do relatório sobre a qualidade da embalagem e bico do pouch retort."/>
        <s v="Elaboração do relatório de estudo de estabilidade."/>
        <s v="Realização de análise de densidade e osmolalidade e preenchimento do estudo de estabilidade."/>
        <s v="Pesquisa na literatura científca sobre o comportamentos de minerais."/>
        <s v="Análise de resultados de análise."/>
        <s v="Pesquisa na literatura científca sobre o comportamentos das vitaminas."/>
        <s v="Análise dos resultados dos nutrientes para T12."/>
        <s v="Alinhamento técnico nova envasadora para fábrica Prodiet"/>
        <s v="Avaliação dos resultados - análise de distribuição de partículas DiamaxIG"/>
        <s v="Elaboração de relatório - de pouches delaminados - e envio para o fornecedor"/>
        <s v="Alinhamento técnico - tempos de processo Latco"/>
        <s v="Alinhamento técnico - fluxo de processo Latco"/>
        <s v="Planejamento teste industrial Latco - formulações HH e HNcF"/>
        <s v="Elaboração do cronograma teste industrial Latco"/>
        <s v="Estudo fórmula UTI  - ajuste de viscosidade e premix de vitaminas"/>
        <s v="Estudo fórmula HN - ajuste de aditivos"/>
        <s v="Pesquisa básica de nova MP junto a fornecedores"/>
        <s v="Planejamento teste piloto Embrapa - fórmulas UTI e HN"/>
        <s v="Pesquisa básica de MP junto ao fornecedor - Celulose Microcristalina"/>
        <s v="Planejamento teste piloto: disponibilidade de MP"/>
        <s v="Atualização das especificações das MPs"/>
        <s v="Alinhamento com a equipe teste Latco"/>
        <s v="Trâmites logísticos teste industrial Latco"/>
        <s v="Ajuste de formulação dieta UTI - melhoria de viscosidade"/>
        <s v="Teste industrial Latco: dieta HH"/>
        <s v="Teste industrial Latco: dieta HNcF"/>
        <s v="Teste piloto embrapa: HN e UTI"/>
        <s v="Trâmites logísticos teste piloto Embrapa"/>
        <s v="Elaboração relatório teste piloto Embrapa"/>
        <s v="Avaliação dos resultados de T0 das vitaminas da dieta HNcF (Teste Industrial)"/>
        <s v="Estudo de novas MP + contato fornecedores"/>
        <s v="Alinhamento teste piloto Embrapa"/>
        <s v="Avaliação dos resultados de análise de distribuição de partículas das dietas HNcF e HH"/>
        <s v="Contato com fornecedor entendimento composição de proteína alternativa para o retort"/>
        <s v="Ajuste de formulação diet HN: estabilização da fórmula"/>
        <s v="Pesquisa básica para desenvolvimento de protocolo de série de casos"/>
        <s v="Pesquisa básica para escrita de artigo científico"/>
        <s v="Desenvolvimento científico de novo produto"/>
        <s v="Desenvolvimento de pesquisa com uso de novo produto"/>
        <s v="Pesquisa de determinação de índice glicêmico"/>
        <s v="Levantamento e fichamento para desenvolvimento de escrita"/>
        <s v="Alinhamento de desenvolvimento de pesquisa com profissionais"/>
        <s v="Desenvolvimento de escrita da pesquisa"/>
        <s v="Prospecção de profissional para pesquisa com produto prodiet"/>
        <s v="Desenvolvimento de novo produto - resultados aprofundamento recomendações nutricionais"/>
        <s v="Desenvolvimento de novo produto - apresentação resultados aprofundamento recomendações nutricionais"/>
        <s v="Alinhamento de desenvolvimento de pesquisa"/>
        <s v="Prospecção de locais para pesquisa com novo produto Prodiet"/>
        <s v="Desenvolvimento de novo produto - elaboração briefing"/>
        <s v="Alinhamento de desenvolvimento de pesquisa com profissionais -"/>
        <s v="Revisão escrita artigo"/>
        <s v="Desenvolvimento de novo produto - aprofundamento recomendações nutricionais"/>
        <s v="Desenvolvimento de novo produto - construção de briefing"/>
        <s v="Desenvolvimento de escrita para artigo - revisão"/>
        <s v="Escrita estudo de caso"/>
        <s v="Pesquisa e prospecção de profissionais para pesquisa com novo produto Prodiet"/>
        <s v="Treinamento equipe sobre produto prodiet"/>
        <s v="Levantamento científico para desenvolvimento de pesquisa com novo produto prodiet"/>
        <s v="Levantamento científico para escrita artigo"/>
        <s v="Análise de dados e contrução de relatório de EE do CorrectMax."/>
        <s v="Análise de dados para resposta a exigência da ANVISA"/>
        <s v="Avaliação de tendência dos nutrientes para o Peptimax Júnior Pó."/>
        <s v="Análise de dados, pesquisa na literatura científica para construção do artigo de EE."/>
        <s v="Avaliação de nova matéria-prima para o retort"/>
        <s v="Avaliação e análise da tendência de comportamento dos nutrientes ao longo do shelf life."/>
        <s v="Análise de dados e definição de IN proposta para o Trophic Soya_WPI."/>
        <s v="Preparo de amostras para envio à análise externa."/>
        <s v="Avaliação dos métodos de análise."/>
        <s v="Levantamento de detalhes e definições sobre o projeto."/>
        <s v="Solicitação de análise de macro e micronutrientes."/>
        <s v="Organização e solicitação de análise de macro nutrientes."/>
        <s v="Avaliação de métodos de análise."/>
        <s v="Análise de dados e redação do relatório de EE."/>
        <s v="Coleta de dados para preenchimento da matriz regulatória."/>
        <s v="Análise de dados para construção da IN Provisória."/>
        <s v="Organização e preenchimento de solicitação de análise para as amostras do retort."/>
        <s v="Avaliação da concentração dos nutrientes do premix de vit e minerais para aplicação no produto UHT."/>
        <s v="Pesquisa e construção do projeto Mix Colina."/>
        <s v="Avaliação dos resultados de vitaminas e minerais do PA."/>
        <s v="Elaboração relatório Embrapa"/>
        <s v="Avaliação dos resultados de T0 das vitaminas da dieta HH do teste industrial"/>
        <s v="Planejamento teste industrial Latco: dieta NN"/>
        <s v="Planejamento teste industrial Latco: dieta NHcF"/>
        <s v="Contato fornecedor nova MP: óleo de peixe para dieta UTI"/>
        <s v="Contato fornecedor: carragena"/>
        <s v="Estudo de nova MP alternativa: Caseinato de Sódio"/>
        <s v="Avaliação de levantamento de dados para inclusção da Coman Latco como fabricante dos produtos retort"/>
        <s v="Avaliação de formulação de pré mix para confirmação de atendimento ao target solicitado em edital do MS"/>
        <s v="Definilção de tamanho de lote e quantidade necessária de matéria prima necessária para excecução de teste piloto"/>
        <s v="Deslocamaneto para Cruzeiro do Oeste para realização de testes industrias nos produtos retort"/>
        <s v="Teste industrial Latco: dieta Trophic Soya RTH (NN)"/>
        <s v="Teste industrial Latco: dieta Trophic 1.5 (HN)"/>
        <s v="Teste industrial Latco: dieta Trophic PTN Fiber (NHcF)"/>
        <s v="Aplicação de testes de aceitação em informação nutricional proposta."/>
        <s v="Avaliação de informação nutricional do produto, considerando formulação teórica e resultado analítico"/>
        <s v="Levantamento de dados para avaliação de possíveis causas para abertura da tampa da embalagem durante tratamento térmico"/>
        <s v="Avaliação de resultados analíticos, de vitaminas, minerais e reologia do produto no saber chocolate."/>
        <s v="Análise de sabor e odor no lote de grão de bico recebido para teste industrial"/>
        <s v="Levantamento com demais setores sobre recebimento de matérias primas para teste industrial"/>
        <s v="Avaliação de ficha técnica novo fornecedr cloreto de sódio"/>
        <s v="Desenvolvimento teórico da formulação"/>
        <s v="Discussão técnica sobre formulação teórica com Coordenação"/>
        <s v="Ajustes de fórmula teórica para retirada de aminoácino Glutamina"/>
        <s v="Discussão área técnica sobre tendências ESPEN"/>
        <s v="Atualização de custo da fórmula"/>
        <s v="Dia de laboratório, avaliação em bancada formulação inicial: MP WPH isolado e sensorial mistura fórmula 01"/>
        <s v="Criação de cadastros"/>
        <s v="Avaliação de ficha técnica Cenoura em pH, formação divergente entre aprovação MP x homologação"/>
        <s v="Discussão sobre Business Case e teste industrial"/>
        <s v="Alinhamento com Suprimentos sobre mais compra de MP para teste industrial"/>
        <s v="Discussões sobre volume e amostras teste industrial"/>
        <s v="Dia de laboratório: teste de sabo e odor para redução de sacarose, inclusão de WPH com maior teor de lactose, avaliação de aromatizante"/>
        <s v="Discussão com setor industrial sobre execução do teste industrial"/>
        <s v="Elaboração de relatório com resultados dos testes de bancada"/>
        <s v="Primeiro encontro após evento Innovation Week: discussões de projetos, ideias, protótipos"/>
        <s v="Revisão de proposta e objetivos projetos com Mauá, USP e PUCPR"/>
        <s v="Alinhamento sobre levantamento científico para pesquisa com novo produto prodiet"/>
        <s v="Alinhamento desenho estudo de caso com produto prodiet."/>
        <s v="Desenvolvimento escrita do artigo - revisão"/>
        <s v="Desenvolvimento de novo produto - revisão de briefing e elaboração apresentação"/>
        <s v="Envio e produtos para pesquisa"/>
        <s v="Desenvolvimento de novo produto - revisão de briefing"/>
        <s v="Aprofundamento aminograma e possibilidades de composição"/>
        <s v="Alinhamento com equipe sobre pesquisa aplicação a realizar com produto prodiet"/>
        <s v="Prospecção profissional para desenvolvimento de pesquisa com novo produto prodiet"/>
        <s v="Alinhamento e discussão científica para desenho de pesquisa com novo produto prodiet."/>
        <s v="Desenvolvimento de novo produto - revisão de briefing e apresentação para equipe"/>
        <s v="Desenvolvimento da escrita de briefing para pesquisa prodiet science"/>
        <s v="Alinhamento e planilhar resultados pesquisa"/>
        <s v="Alinhamento resultados de estudo de caso com produto prodiet"/>
        <s v="Elaboração apresentação do aprofundamento científico para novo produto"/>
        <s v="Revisão tradução da escrita do artigo para publicação"/>
        <s v="Escrita relatório de prospecções de pesquisas com novos produtos prodiet"/>
        <s v="Calculos de aminograma para possibilidades de composição para produto"/>
        <s v="Alinhamento briefing de pesquisa para prodiet science"/>
        <s v="Análise científica de composição da fórmula conforme briefing."/>
        <s v="Alinhamentos e retornos de prospecções + desenho de pesquisa"/>
        <s v="Submissão artigo em revista"/>
        <s v="Escrita de estudo de caso para publicação do artigo."/>
        <s v="Apresentação aprofundamento científico para equipe e definição de desenho da fórmula"/>
        <s v="Prospecções de profissionais para pesquisa + alinhamento desenho pesquisa com aprofundamento científico"/>
        <s v="Aprofundamento científico para busca de tendências nutricionais, análise de portifólio e proposta de pipeline."/>
        <s v="Aprofundamento científico para desenho de projeto de pesquisa + prospecção local para pesquisa"/>
        <s v="Aprofundamento científico para revisão de briefing"/>
        <s v="Escrita e elaboração de briefing"/>
        <s v="Aprofundamento científico e pesquisa para projeto lançamento SF"/>
        <s v="Elaboração conteúdo científico"/>
        <s v="Alinhamento de desenho estudo para continuidade de pesquisa"/>
        <s v="Aprofundamento científico e escrita da revisão de briefing"/>
      </sharedItems>
    </cacheField>
    <cacheField name="Revisão McBenner" numFmtId="0">
      <sharedItems containsBlank="1">
        <m/>
        <s v="Teste piloto EMBRAPA RJ"/>
        <s v="Teste industrial Latco"/>
        <s v="Teste piloto Embrapa"/>
        <s v="Desenvolvimento de novo produto - briefing"/>
        <s v="Aprofundamento recomendações nutricionais"/>
        <s v="Solicitação de análise para as amostras do retort"/>
        <s v="Preparação de teste piloto Embrapa"/>
        <s v="Preparação para testes industriais nos produtos retort"/>
      </sharedItems>
    </cacheField>
    <cacheField name="projeto2" numFmtId="0">
      <sharedItems containsBlank="1">
        <s v="2023 - PEPTIMAX IBD"/>
        <s v="2023 - MIXME MS+PIRAMAL"/>
        <s v="2021 - Sachê a vácuo"/>
        <s v="2019 - Artesanal"/>
        <s v="2023 - PROJETOS PREMIX IN HOUSE"/>
        <s v="2021 - Energyzip Sênior"/>
        <s v="2018 - Retort"/>
        <s v="2020 - Linha Trophic Soya Pó"/>
        <s v="2019 - Cicatrização"/>
        <s v="2023 - PROTEÍNA LÍQUIDA"/>
        <s v="2018 - Linha Trophic Soya Líquido"/>
        <s v="2023 - PESQUISA CLÍNICA - CICATRIZAÇÃO"/>
        <s v="2021 - Estudo de Caso"/>
        <s v="2021 - Pesquisa Clínica - Hdmax"/>
        <s v="2021 - Pesquisa Aplicada - Resultados P&amp;D"/>
        <s v="2021 - Energyzip 25%"/>
        <s v="2022 - Peptimax Júnior"/>
        <s v="2021 - Pesquisa Clínica - Instanth Neo"/>
        <s v="2023 - PESQUISA CLÍNICA - IMMAX"/>
        <s v="2021 - Pesquisa Clínica - Diamax IG"/>
        <s v="2023 - PESQUISA APLICADA - ARTESANAL"/>
        <s v="2024 - PESQUISA DE APLICAÇÃO MICROBIOLOGIA"/>
        <s v="2024 - PESQUISA DE APLICAÇÃO TROPHIC RTH"/>
        <s v="2023 - PESQUISA ÍNDICE GLICÊMICO - DIAMAX IN / SF UTI"/>
        <s v="2024 - DIAMAX 1.5"/>
        <s v="2023 - PROTEINPT WHEY LATA"/>
        <s v="2022 - Spray dryer"/>
        <s v="2023 – SUSTENLAC"/>
        <s v="2024 - PEPTÍDICA JUNIOR LÍQUIDA"/>
        <s v="2024 - TROPHIC JUNIOR LÍQUIDO"/>
        <s v="2023 - PESQUISA CLÍNICA - CARBOCH"/>
        <s v="2024 - PESQUISA CLÍNICA - PROTEIN PT WHEY"/>
        <s v="2019 - Sarcopenia"/>
        <s v="2024 - TROPHIC JUNIOR LÍQUIDA"/>
        <s v="2024 - PESQUISA APLICAÇÃO MICROBIOLOGIA"/>
        <s v="2024 - PESQUISA APLICAÇÃO TROPHIC RTH"/>
        <s v="2024 - PROJETOS PRODIET SCIENCE"/>
        <m/>
      </sharedItems>
    </cacheField>
    <cacheField name="Custo" numFmtId="165">
      <sharedItems containsSemiMixedTypes="0" containsString="0" containsNumber="1">
        <n v="0.0"/>
        <n v="80.89"/>
        <n v="41.94"/>
        <n v="44.94"/>
        <n v="195.02"/>
        <n v="338.72"/>
        <n v="169.36"/>
        <n v="214.52"/>
        <n v="321.78"/>
        <n v="51.47"/>
        <n v="137.24"/>
        <n v="77.2"/>
        <n v="25.73"/>
        <n v="38.6"/>
        <n v="154.4"/>
        <n v="29.8"/>
        <n v="625.71"/>
        <n v="923.67"/>
        <n v="476.73"/>
        <n v="339.67"/>
        <n v="56.61"/>
        <n v="84.92"/>
        <n v="163.42"/>
        <n v="81.71"/>
        <n v="40.86"/>
        <n v="122.57"/>
        <n v="204.28"/>
        <n v="778.57"/>
        <n v="279.49"/>
        <n v="159.71"/>
        <n v="39.93"/>
        <n v="239.56"/>
        <n v="184.92"/>
        <n v="138.69"/>
        <n v="146.4"/>
        <n v="130.99"/>
        <n v="231.16"/>
        <n v="508.54"/>
        <n v="462.31"/>
        <n v="416.08"/>
        <n v="531.66"/>
        <n v="511.62"/>
        <n v="530.12"/>
        <n v="782.85"/>
        <n v="119.02"/>
        <n v="51.01"/>
        <n v="34.01"/>
        <n v="44.74303954387627"/>
        <n v="63.918627919823244"/>
        <n v="47.93897093986743"/>
        <n v="67.1145593158144"/>
        <n v="89.48607908775254"/>
        <n v="31.959313959911622"/>
        <n v="19.175588375946973"/>
        <n v="57.52676512784092"/>
        <n v="258.87044307528413"/>
        <n v="396.2954931029041"/>
        <n v="223.7151977193813"/>
        <n v="51.13490233585859"/>
        <n v="108.98126060329867"/>
        <n v="63.27944164062502"/>
        <n v="102.26980467171718"/>
        <n v="195.01895661157022"/>
        <n v="30.19630004734848"/>
        <n v="120.78520018939392"/>
        <n v="90.58890014204545"/>
        <n v="60.39260009469696"/>
        <n v="181.1778002840909"/>
        <n v="588.8278509232954"/>
        <n v="33.21593005208334"/>
        <n v="44.28790673611111"/>
        <n v="66.43186010416667"/>
        <n v="99.64779015625001"/>
        <n v="49.823895078125005"/>
        <n v="597.8867409375"/>
        <n v="132.86372020833335"/>
        <n v="205.1310602272727"/>
        <n v="256.41382528409093"/>
        <n v="102.56553011363636"/>
        <n v="153.84829517045455"/>
        <n v="169.23312468750004"/>
        <n v="112.822083125"/>
        <n v="225.64416625"/>
        <n v="282.05520781250004"/>
        <n v="564.1104156250001"/>
        <n v="91.31805757575756"/>
        <n v="182.63611515151513"/>
        <n v="45.65902878787878"/>
        <n v="228.29514393939394"/>
        <n v="22.82951439393939"/>
        <n v="136.97708636363637"/>
        <n v="25.11246583333334"/>
        <n v="37.668698750000004"/>
        <n v="50.22493166666668"/>
        <n v="100.44986333333335"/>
        <n v="191.76798768939392"/>
        <n v="47.94199692234848"/>
        <n v="143.82599076704543"/>
        <n v="95.88399384469696"/>
        <n v="239.7099846117424"/>
        <n v="158.20858984375002"/>
        <n v="105.47239322916667"/>
        <n v="210.94478645833334"/>
        <n v="1030.7563145833333"/>
        <n v="351.3941981534091"/>
        <n v="93.70511950757574"/>
        <n v="421.6730377840908"/>
        <n v="968.2862349116161"/>
        <n v="737.1469401262625"/>
        <n v="927.6806831250001"/>
        <n v="103.07563145833333"/>
        <n v="773.0672359375"/>
        <n v="824.6050516666667"/>
        <n v="515.3781572916666"/>
        <n v="669.9916044791667"/>
        <n v="592.6848808854166"/>
        <n v="99.7618425662879"/>
        <n v="79.8094740530303"/>
        <n v="39.90473702651515"/>
        <n v="159.6189481060606"/>
        <n v="119.71421107954546"/>
        <n v="29.928552769886366"/>
        <n v="139.66657959280306"/>
        <n v="65.84281609375002"/>
        <n v="43.89521072916668"/>
        <n v="390.2235874627976"/>
        <n v="295.30433645833335"/>
        <n v="242.57141923363093"/>
        <n v="421.86333779761907"/>
        <n v="674.9813404761904"/>
        <n v="569.5155060267857"/>
        <n v="379.67700401785714"/>
        <n v="590.6086729166667"/>
        <n v="91.70933571105074"/>
        <n v="18.34186714221015"/>
        <n v="24.4558228562802"/>
        <n v="27.512800713315222"/>
        <n v="146.7349371376812"/>
        <n v="110.05120285326089"/>
        <n v="64.19653499773553"/>
        <n v="51.968623569595415"/>
        <n v="36.6837342844203"/>
        <n v="55.025601426630445"/>
        <n v="45.85466785552537"/>
        <n v="42.79768999849035"/>
        <n v="57.7668348731884"/>
        <n v="86.65025230978262"/>
        <n v="115.5336697463768"/>
        <n v="231.0673394927536"/>
        <n v="202.18392205615942"/>
        <n v="67.39464068538648"/>
        <n v="697.5346229166666"/>
        <n v="951.1835767045454"/>
        <n v="1046.301934375"/>
        <n v="634.122384469697"/>
        <n v="1078.0080535984848"/>
        <n v="664.3186884920635"/>
        <n v="548.0629180059524"/>
        <n v="116.25577048611113"/>
        <n v="132.8637376984127"/>
        <n v="33.21593442460318"/>
        <n v="66.43186884920635"/>
        <n v="99.64780327380953"/>
        <n v="196.2123184782609"/>
        <n v="147.1592388586957"/>
        <n v="245.26539809782614"/>
        <n v="171.6857786684783"/>
        <n v="254.22560170454545"/>
        <n v="190.6692012784091"/>
        <n v="127.11280085227273"/>
        <n v="266.3315827380953"/>
        <n v="133.16579136904764"/>
        <n v="199.74868705357147"/>
        <n v="332.91447842261914"/>
        <n v="98.10615923913045"/>
        <n v="241.57040037878784"/>
        <n v="301.96300047348484"/>
        <n v="189.8053145833333"/>
        <n v="632.6843819444445"/>
        <n v="253.07375277777777"/>
        <n v="126.53687638888889"/>
        <n v="38.16974846014493"/>
        <n v="76.33949692028986"/>
        <n v="19.084874230072465"/>
        <n v="45.75485852272727"/>
        <n v="47.933661309523806"/>
        <n v="143.8009839285714"/>
        <n v="95.86732261904761"/>
        <n v="119.83415327380953"/>
        <n v="114.38714630681818"/>
        <n v="111.33682240530301"/>
        <n v="137.2645755681818"/>
        <n v="22.877429261363634"/>
        <n v="171.58071946022724"/>
        <n v="68.6322877840909"/>
        <n v="91.50971704545454"/>
        <n v="83.88390729166667"/>
        <n v="71.68261168560605"/>
        <n v="99.13552679924243"/>
        <n v="49.567763399621214"/>
        <n v="100.66068874999999"/>
        <n v="150.991033125"/>
        <n v="75.4955165625"/>
        <n v="125.82586093750001"/>
        <n v="50.330344374999996"/>
        <n v="176.15620531250002"/>
        <n v="33.553562916666664"/>
        <n v="39.94471775793651"/>
        <n v="15.977887103174602"/>
        <n v="19.972358878968254"/>
        <n v="32.754668561507934"/>
        <n v="126.82447689393939"/>
        <n v="31.706119223484848"/>
        <n v="443.88566912878787"/>
        <n v="95.11835767045454"/>
        <n v="73.98094485479797"/>
        <n v="63.412238446969695"/>
        <n v="245.9758552320076"/>
        <n v="491.9517104640152"/>
        <n v="649.3762578125002"/>
        <n v="1055.2364189453126"/>
        <n v="108.22937630208335"/>
        <n v="154.61339471726194"/>
        <n v="103.07559647817462"/>
        <n v="257.68899119543653"/>
        <n v="205.8968633522727"/>
        <n v="51.28276505681818"/>
        <n v="25.64138252840909"/>
        <n v="56.4110415625"/>
        <n v="197.43864546875005"/>
        <n v="71.9004919642857"/>
        <n v="239.66830654761907"/>
      </sharedItems>
    </cacheField>
    <cacheField name="Atividade incentiv." numFmtId="0">
      <sharedItems containsBlank="1">
        <b v="1"/>
        <b v="0"/>
        <m/>
      </sharedItems>
    </cacheField>
    <cacheField name="Projeto incentiv."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2" cacheId="0" dataCaption="" compact="0" compactData="0">
  <location ref="A4:E70" firstHeaderRow="0" firstDataRow="4" firstDataCol="0" rowPageCount="2" colPageCount="1"/>
  <pivotFields>
    <pivotField name="Projeto" axis="axisRow" compact="0" outline="0" multipleItemSelectionAllowed="1" showAll="0" sortType="ascending">
      <items>
        <item x="6"/>
        <item x="30"/>
        <item x="8"/>
        <item x="3"/>
        <item x="2"/>
        <item x="15"/>
        <item x="10"/>
        <item x="7"/>
        <item x="16"/>
        <item x="17"/>
        <item x="19"/>
        <item x="12"/>
        <item x="14"/>
        <item x="13"/>
        <item x="5"/>
        <item x="24"/>
        <item x="28"/>
        <item x="11"/>
        <item x="20"/>
        <item x="18"/>
        <item x="22"/>
        <item x="25"/>
        <item x="9"/>
        <item x="23"/>
        <item x="1"/>
        <item x="4"/>
        <item x="0"/>
        <item x="26"/>
        <item x="27"/>
        <item x="29"/>
        <item x="31"/>
        <item x="32"/>
        <item x="33"/>
        <item x="21"/>
        <item t="default"/>
      </items>
    </pivotField>
    <pivotField name="Etap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Colaborador" axis="axisRow" compact="0" outline="0" multipleItemSelectionAllowed="1" showAll="0" sortType="ascending">
      <items>
        <item x="8"/>
        <item x="2"/>
        <item x="6"/>
        <item x="0"/>
        <item x="1"/>
        <item x="7"/>
        <item x="3"/>
        <item x="4"/>
        <item x="5"/>
        <item t="default"/>
      </items>
    </pivotField>
    <pivotField name="Data" compact="0" numFmtId="17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t="default"/>
      </items>
    </pivotField>
    <pivotField name="Tempo(h)" dataField="1" compact="0" numFmtId="4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lassificação PRODIET" compact="0" outline="0" multipleItemSelectionAllowed="1" showAll="0">
      <items>
        <item x="0"/>
        <item x="1"/>
        <item x="2"/>
        <item x="3"/>
        <item x="4"/>
        <item t="default"/>
      </items>
    </pivotField>
    <pivotField name="Classificação MCBENNER" compact="0" outline="0" multipleItemSelectionAllowed="1" showAll="0">
      <items>
        <item x="0"/>
        <item x="1"/>
        <item x="2"/>
        <item x="3"/>
        <item x="4"/>
        <item t="default"/>
      </items>
    </pivotField>
    <pivotField name=" " compact="0" outline="0" multipleItemSelectionAllowed="1" showAll="0">
      <items>
        <item x="0"/>
        <item t="default"/>
      </items>
    </pivotField>
    <pivotField name="Descrição da atividade e observações" axis="axisRow" compact="0" outline="0" multipleItemSelectionAllowed="1" showAll="0" sortType="ascending">
      <items>
        <item x="32"/>
        <item x="7"/>
        <item x="242"/>
        <item x="231"/>
        <item x="310"/>
        <item x="342"/>
        <item x="229"/>
        <item x="331"/>
        <item x="317"/>
        <item x="355"/>
        <item x="71"/>
        <item x="254"/>
        <item x="249"/>
        <item x="257"/>
        <item x="325"/>
        <item x="8"/>
        <item x="333"/>
        <item x="336"/>
        <item x="138"/>
        <item x="137"/>
        <item x="141"/>
        <item x="337"/>
        <item x="324"/>
        <item x="219"/>
        <item x="218"/>
        <item x="103"/>
        <item x="215"/>
        <item x="89"/>
        <item x="39"/>
        <item x="239"/>
        <item x="16"/>
        <item x="344"/>
        <item x="343"/>
        <item x="206"/>
        <item x="205"/>
        <item x="200"/>
        <item x="201"/>
        <item x="86"/>
        <item x="267"/>
        <item x="273"/>
        <item x="4"/>
        <item x="280"/>
        <item x="282"/>
        <item x="202"/>
        <item x="76"/>
        <item x="268"/>
        <item x="270"/>
        <item x="159"/>
        <item x="158"/>
        <item x="212"/>
        <item x="192"/>
        <item x="305"/>
        <item x="214"/>
        <item x="203"/>
        <item x="75"/>
        <item x="87"/>
        <item x="49"/>
        <item x="28"/>
        <item x="174"/>
        <item x="55"/>
        <item x="47"/>
        <item x="46"/>
        <item x="301"/>
        <item x="108"/>
        <item x="347"/>
        <item x="6"/>
        <item x="330"/>
        <item x="356"/>
        <item x="353"/>
        <item x="349"/>
        <item x="350"/>
        <item x="351"/>
        <item x="228"/>
        <item x="11"/>
        <item x="111"/>
        <item x="312"/>
        <item x="58"/>
        <item x="284"/>
        <item x="207"/>
        <item x="132"/>
        <item x="50"/>
        <item x="315"/>
        <item x="152"/>
        <item x="151"/>
        <item x="150"/>
        <item x="307"/>
        <item x="295"/>
        <item x="302"/>
        <item x="294"/>
        <item x="279"/>
        <item x="271"/>
        <item x="22"/>
        <item x="169"/>
        <item x="170"/>
        <item x="57"/>
        <item x="304"/>
        <item x="74"/>
        <item x="269"/>
        <item x="154"/>
        <item x="160"/>
        <item x="275"/>
        <item x="216"/>
        <item x="240"/>
        <item x="288"/>
        <item x="237"/>
        <item x="286"/>
        <item x="133"/>
        <item x="272"/>
        <item x="80"/>
        <item x="85"/>
        <item x="341"/>
        <item x="281"/>
        <item x="48"/>
        <item x="73"/>
        <item x="2"/>
        <item x="122"/>
        <item x="241"/>
        <item x="20"/>
        <item x="291"/>
        <item x="292"/>
        <item x="27"/>
        <item x="102"/>
        <item x="314"/>
        <item x="156"/>
        <item x="155"/>
        <item x="204"/>
        <item x="13"/>
        <item x="31"/>
        <item x="296"/>
        <item x="245"/>
        <item x="335"/>
        <item x="194"/>
        <item x="45"/>
        <item x="41"/>
        <item x="188"/>
        <item x="250"/>
        <item x="181"/>
        <item x="68"/>
        <item x="261"/>
        <item x="189"/>
        <item x="44"/>
        <item x="167"/>
        <item x="161"/>
        <item x="43"/>
        <item x="166"/>
        <item x="40"/>
        <item x="183"/>
        <item x="162"/>
        <item x="253"/>
        <item x="259"/>
        <item x="260"/>
        <item x="256"/>
        <item x="186"/>
        <item x="252"/>
        <item x="329"/>
        <item x="334"/>
        <item x="327"/>
        <item x="193"/>
        <item x="165"/>
        <item x="164"/>
        <item x="163"/>
        <item x="246"/>
        <item x="326"/>
        <item x="70"/>
        <item x="308"/>
        <item x="297"/>
        <item x="29"/>
        <item x="25"/>
        <item x="66"/>
        <item x="180"/>
        <item x="62"/>
        <item x="175"/>
        <item x="198"/>
        <item x="171"/>
        <item x="196"/>
        <item x="81"/>
        <item x="83"/>
        <item x="36"/>
        <item x="33"/>
        <item x="77"/>
        <item x="78"/>
        <item x="131"/>
        <item x="313"/>
        <item x="319"/>
        <item x="10"/>
        <item x="12"/>
        <item x="9"/>
        <item x="311"/>
        <item x="320"/>
        <item x="15"/>
        <item x="128"/>
        <item x="147"/>
        <item x="127"/>
        <item x="316"/>
        <item x="136"/>
        <item x="139"/>
        <item x="140"/>
        <item x="148"/>
        <item x="135"/>
        <item x="134"/>
        <item x="309"/>
        <item x="318"/>
        <item x="199"/>
        <item x="84"/>
        <item x="338"/>
        <item x="354"/>
        <item x="61"/>
        <item x="59"/>
        <item x="53"/>
        <item x="217"/>
        <item x="321"/>
        <item x="221"/>
        <item x="209"/>
        <item x="208"/>
        <item x="287"/>
        <item x="114"/>
        <item x="236"/>
        <item x="177"/>
        <item x="179"/>
        <item x="38"/>
        <item x="21"/>
        <item x="328"/>
        <item x="346"/>
        <item x="352"/>
        <item x="262"/>
        <item x="340"/>
        <item x="64"/>
        <item x="24"/>
        <item x="293"/>
        <item x="238"/>
        <item x="91"/>
        <item x="65"/>
        <item x="17"/>
        <item x="18"/>
        <item x="187"/>
        <item x="223"/>
        <item x="222"/>
        <item x="144"/>
        <item x="172"/>
        <item x="14"/>
        <item x="124"/>
        <item x="123"/>
        <item x="157"/>
        <item x="265"/>
        <item x="266"/>
        <item x="184"/>
        <item x="306"/>
        <item x="303"/>
        <item x="56"/>
        <item x="54"/>
        <item x="276"/>
        <item x="248"/>
        <item x="191"/>
        <item x="88"/>
        <item x="72"/>
        <item x="283"/>
        <item x="278"/>
        <item x="126"/>
        <item x="115"/>
        <item x="107"/>
        <item x="110"/>
        <item x="109"/>
        <item x="226"/>
        <item x="224"/>
        <item x="121"/>
        <item x="118"/>
        <item x="120"/>
        <item x="119"/>
        <item x="243"/>
        <item x="67"/>
        <item x="244"/>
        <item x="117"/>
        <item x="116"/>
        <item x="149"/>
        <item x="23"/>
        <item x="247"/>
        <item x="285"/>
        <item x="263"/>
        <item x="213"/>
        <item x="211"/>
        <item x="60"/>
        <item x="0"/>
        <item x="30"/>
        <item x="220"/>
        <item x="290"/>
        <item x="289"/>
        <item x="92"/>
        <item x="93"/>
        <item x="98"/>
        <item x="225"/>
        <item x="90"/>
        <item x="227"/>
        <item x="94"/>
        <item x="105"/>
        <item x="79"/>
        <item x="176"/>
        <item x="63"/>
        <item x="178"/>
        <item x="143"/>
        <item x="274"/>
        <item x="19"/>
        <item x="322"/>
        <item x="195"/>
        <item x="185"/>
        <item x="255"/>
        <item x="190"/>
        <item x="69"/>
        <item x="42"/>
        <item x="182"/>
        <item x="251"/>
        <item x="332"/>
        <item x="348"/>
        <item x="210"/>
        <item x="173"/>
        <item x="37"/>
        <item x="101"/>
        <item x="3"/>
        <item x="323"/>
        <item x="5"/>
        <item x="258"/>
        <item x="339"/>
        <item x="96"/>
        <item x="277"/>
        <item x="345"/>
        <item x="145"/>
        <item x="146"/>
        <item x="97"/>
        <item x="153"/>
        <item x="112"/>
        <item x="34"/>
        <item x="113"/>
        <item x="35"/>
        <item x="232"/>
        <item x="233"/>
        <item x="299"/>
        <item x="300"/>
        <item x="298"/>
        <item x="142"/>
        <item x="197"/>
        <item x="100"/>
        <item x="99"/>
        <item x="82"/>
        <item x="234"/>
        <item x="168"/>
        <item x="130"/>
        <item x="129"/>
        <item x="1"/>
        <item x="106"/>
        <item x="95"/>
        <item x="104"/>
        <item x="230"/>
        <item x="235"/>
        <item x="264"/>
        <item x="26"/>
        <item x="125"/>
        <item x="51"/>
        <item x="52"/>
        <item t="default"/>
      </items>
    </pivotField>
    <pivotField name="Revisão McBenner" compact="0" outline="0" multipleItemSelectionAllowed="1" showAll="0">
      <items>
        <item x="0"/>
        <item x="1"/>
        <item x="2"/>
        <item x="3"/>
        <item x="4"/>
        <item x="5"/>
        <item x="6"/>
        <item x="7"/>
        <item x="8"/>
        <item t="default"/>
      </items>
    </pivotField>
    <pivotField name="projeto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us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Atividade incentiv." axis="axisPage" compact="0" outline="0" multipleItemSelectionAllowed="1" showAll="0">
      <items>
        <item x="0"/>
        <item h="1" x="1"/>
        <item h="1" x="2"/>
        <item t="default"/>
      </items>
    </pivotField>
    <pivotField name="Projeto incentiv." axis="axisPage" compact="0" outline="0" multipleItemSelectionAllowed="1" showAll="0">
      <items>
        <item h="1" x="0"/>
        <item x="1"/>
        <item t="default"/>
      </items>
    </pivotField>
  </pivotFields>
  <rowFields>
    <field x="0"/>
    <field x="2"/>
    <field x="8"/>
  </rowFields>
  <colFields>
    <field x="-2"/>
  </colFields>
  <pageFields>
    <pageField fld="12"/>
    <pageField fld="13"/>
  </pageFields>
  <dataFields>
    <dataField name="SUM of Tempo(h)" fld="4" baseField="0"/>
    <dataField name="SUM of Custo" fld="11" baseField="0"/>
  </dataFields>
</pivotTableDefinition>
</file>

<file path=xl/tables/table1.xml><?xml version="1.0" encoding="utf-8"?>
<table xmlns="http://schemas.openxmlformats.org/spreadsheetml/2006/main" headerRowCount="0" ref="A2:F10" displayName="Table_1" name="Table_1" id="1">
  <tableColumns count="6">
    <tableColumn name="Column1" id="1"/>
    <tableColumn name="Column2" id="2"/>
    <tableColumn name="Column3" id="3"/>
    <tableColumn name="Column4" id="4"/>
    <tableColumn name="Column5" id="5"/>
    <tableColumn name="Column6" id="6"/>
  </tableColumns>
  <tableStyleInfo name="#verificação R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5.75"/>
    <col customWidth="1" min="4" max="4" width="15.38"/>
  </cols>
  <sheetData>
    <row r="1">
      <c r="A1" s="1"/>
      <c r="B1" s="2" t="s">
        <v>0</v>
      </c>
      <c r="C1" s="2" t="s">
        <v>1</v>
      </c>
      <c r="D1" s="2" t="s">
        <v>2</v>
      </c>
    </row>
    <row r="2">
      <c r="A2" s="3" t="s">
        <v>3</v>
      </c>
      <c r="B2" s="4" t="b">
        <v>1</v>
      </c>
      <c r="C2" s="4" t="b">
        <v>0</v>
      </c>
      <c r="D2" s="4" t="b">
        <v>0</v>
      </c>
    </row>
    <row r="3">
      <c r="A3" s="3" t="s">
        <v>4</v>
      </c>
      <c r="B3" s="4" t="b">
        <v>1</v>
      </c>
      <c r="C3" s="4" t="b">
        <v>0</v>
      </c>
      <c r="D3" s="4" t="b">
        <v>0</v>
      </c>
    </row>
    <row r="4">
      <c r="A4" s="3" t="s">
        <v>5</v>
      </c>
      <c r="B4" s="4" t="b">
        <v>1</v>
      </c>
      <c r="C4" s="4" t="b">
        <v>0</v>
      </c>
      <c r="D4" s="4" t="b">
        <v>0</v>
      </c>
    </row>
    <row r="5">
      <c r="A5" s="3" t="s">
        <v>6</v>
      </c>
      <c r="B5" s="5" t="b">
        <v>1</v>
      </c>
      <c r="C5" s="4" t="b">
        <v>0</v>
      </c>
      <c r="D5" s="4" t="b">
        <v>0</v>
      </c>
    </row>
    <row r="6">
      <c r="A6" s="3" t="s">
        <v>7</v>
      </c>
      <c r="B6" s="4" t="b">
        <v>1</v>
      </c>
      <c r="C6" s="4" t="b">
        <v>0</v>
      </c>
      <c r="D6" s="4" t="b">
        <v>0</v>
      </c>
    </row>
    <row r="7">
      <c r="A7" s="3" t="s">
        <v>8</v>
      </c>
      <c r="B7" s="4" t="b">
        <v>1</v>
      </c>
      <c r="C7" s="4" t="b">
        <v>0</v>
      </c>
      <c r="D7" s="4" t="b">
        <v>0</v>
      </c>
    </row>
    <row r="8">
      <c r="A8" s="3" t="s">
        <v>9</v>
      </c>
      <c r="B8" s="4" t="b">
        <v>1</v>
      </c>
      <c r="C8" s="4" t="b">
        <v>0</v>
      </c>
      <c r="D8" s="4" t="b">
        <v>0</v>
      </c>
    </row>
    <row r="9">
      <c r="A9" s="3" t="s">
        <v>10</v>
      </c>
      <c r="B9" s="4" t="b">
        <v>1</v>
      </c>
      <c r="C9" s="4" t="b">
        <v>0</v>
      </c>
      <c r="D9" s="4" t="b">
        <v>0</v>
      </c>
    </row>
    <row r="10">
      <c r="A10" s="6" t="s">
        <v>11</v>
      </c>
      <c r="B10" s="5" t="b">
        <v>0</v>
      </c>
      <c r="C10" s="4" t="b">
        <v>0</v>
      </c>
      <c r="D10" s="4" t="b">
        <v>0</v>
      </c>
    </row>
    <row r="11">
      <c r="A11" s="3" t="s">
        <v>12</v>
      </c>
      <c r="B11" s="4" t="b">
        <v>1</v>
      </c>
      <c r="C11" s="4" t="b">
        <v>0</v>
      </c>
      <c r="D11" s="4" t="b">
        <v>0</v>
      </c>
    </row>
    <row r="12">
      <c r="A12" s="3" t="s">
        <v>13</v>
      </c>
      <c r="B12" s="5" t="b">
        <v>1</v>
      </c>
      <c r="C12" s="4" t="b">
        <v>0</v>
      </c>
      <c r="D12" s="4" t="b">
        <v>0</v>
      </c>
    </row>
    <row r="13">
      <c r="A13" s="3" t="s">
        <v>14</v>
      </c>
      <c r="B13" s="5" t="b">
        <v>1</v>
      </c>
      <c r="C13" s="4" t="b">
        <v>0</v>
      </c>
      <c r="D13" s="5" t="b">
        <v>0</v>
      </c>
    </row>
    <row r="14">
      <c r="A14" s="7" t="s">
        <v>15</v>
      </c>
      <c r="B14" s="5" t="b">
        <v>1</v>
      </c>
      <c r="C14" s="4" t="b">
        <v>0</v>
      </c>
      <c r="D14" s="4" t="b">
        <v>0</v>
      </c>
      <c r="E14" s="8" t="s">
        <v>16</v>
      </c>
      <c r="F14" s="8" t="s">
        <v>17</v>
      </c>
    </row>
    <row r="15">
      <c r="A15" s="3" t="s">
        <v>18</v>
      </c>
      <c r="B15" s="5" t="b">
        <v>0</v>
      </c>
      <c r="C15" s="4" t="b">
        <v>0</v>
      </c>
      <c r="D15" s="4" t="b">
        <v>0</v>
      </c>
    </row>
    <row r="16">
      <c r="A16" s="9" t="s">
        <v>19</v>
      </c>
      <c r="B16" s="4" t="b">
        <v>1</v>
      </c>
      <c r="C16" s="4" t="b">
        <v>0</v>
      </c>
      <c r="D16" s="4" t="b">
        <v>0</v>
      </c>
      <c r="E16" s="8" t="s">
        <v>16</v>
      </c>
      <c r="F16" s="8" t="s">
        <v>20</v>
      </c>
    </row>
    <row r="17">
      <c r="A17" s="7" t="s">
        <v>21</v>
      </c>
      <c r="B17" s="5" t="b">
        <v>1</v>
      </c>
      <c r="C17" s="4" t="b">
        <v>0</v>
      </c>
      <c r="D17" s="4" t="b">
        <v>0</v>
      </c>
      <c r="E17" s="8" t="s">
        <v>16</v>
      </c>
      <c r="F17" s="8" t="s">
        <v>22</v>
      </c>
    </row>
    <row r="18">
      <c r="A18" s="10" t="s">
        <v>23</v>
      </c>
      <c r="B18" s="4" t="b">
        <v>1</v>
      </c>
      <c r="C18" s="4" t="b">
        <v>0</v>
      </c>
      <c r="D18" s="4" t="b">
        <v>0</v>
      </c>
    </row>
    <row r="19">
      <c r="A19" s="10" t="s">
        <v>24</v>
      </c>
      <c r="B19" s="4" t="b">
        <v>1</v>
      </c>
      <c r="C19" s="4" t="b">
        <v>0</v>
      </c>
      <c r="D19" s="4" t="b">
        <v>0</v>
      </c>
    </row>
    <row r="20">
      <c r="A20" s="10" t="s">
        <v>25</v>
      </c>
      <c r="B20" s="4" t="b">
        <v>1</v>
      </c>
      <c r="C20" s="4" t="b">
        <v>0</v>
      </c>
      <c r="D20" s="4" t="b">
        <v>0</v>
      </c>
    </row>
    <row r="21">
      <c r="A21" s="10" t="s">
        <v>26</v>
      </c>
      <c r="B21" s="5" t="b">
        <v>1</v>
      </c>
      <c r="C21" s="4" t="b">
        <v>0</v>
      </c>
      <c r="D21" s="4" t="b">
        <v>0</v>
      </c>
    </row>
    <row r="22">
      <c r="A22" s="10" t="s">
        <v>27</v>
      </c>
      <c r="B22" s="4" t="b">
        <v>1</v>
      </c>
      <c r="C22" s="4" t="b">
        <v>0</v>
      </c>
      <c r="D22" s="4" t="b">
        <v>0</v>
      </c>
    </row>
    <row r="23">
      <c r="A23" s="10" t="s">
        <v>28</v>
      </c>
      <c r="B23" s="5" t="b">
        <v>1</v>
      </c>
      <c r="C23" s="4" t="b">
        <v>0</v>
      </c>
      <c r="D23" s="4" t="b">
        <v>0</v>
      </c>
    </row>
    <row r="24">
      <c r="A24" s="10" t="s">
        <v>29</v>
      </c>
      <c r="B24" s="5" t="b">
        <v>0</v>
      </c>
      <c r="C24" s="4" t="b">
        <v>0</v>
      </c>
      <c r="D24" s="4" t="b">
        <v>0</v>
      </c>
      <c r="E24" s="8" t="s">
        <v>30</v>
      </c>
      <c r="F24" s="8" t="s">
        <v>31</v>
      </c>
    </row>
    <row r="25">
      <c r="A25" s="11" t="s">
        <v>32</v>
      </c>
      <c r="B25" s="5" t="b">
        <v>0</v>
      </c>
      <c r="C25" s="4" t="b">
        <v>0</v>
      </c>
      <c r="D25" s="4" t="b">
        <v>0</v>
      </c>
      <c r="E25" s="8" t="s">
        <v>33</v>
      </c>
      <c r="F25" s="8" t="s">
        <v>31</v>
      </c>
    </row>
    <row r="26">
      <c r="A26" s="10" t="s">
        <v>34</v>
      </c>
      <c r="B26" s="5" t="b">
        <v>0</v>
      </c>
      <c r="C26" s="4" t="b">
        <v>0</v>
      </c>
      <c r="D26" s="4" t="b">
        <v>0</v>
      </c>
      <c r="E26" s="8" t="s">
        <v>33</v>
      </c>
      <c r="F26" s="8" t="s">
        <v>31</v>
      </c>
    </row>
    <row r="27">
      <c r="A27" s="10" t="s">
        <v>35</v>
      </c>
      <c r="B27" s="5" t="b">
        <v>0</v>
      </c>
      <c r="C27" s="4" t="b">
        <v>0</v>
      </c>
      <c r="D27" s="4" t="b">
        <v>0</v>
      </c>
      <c r="E27" s="8" t="s">
        <v>30</v>
      </c>
      <c r="F27" s="8" t="s">
        <v>31</v>
      </c>
    </row>
    <row r="28">
      <c r="A28" s="10" t="s">
        <v>36</v>
      </c>
      <c r="B28" s="5" t="b">
        <v>0</v>
      </c>
      <c r="C28" s="4" t="b">
        <v>0</v>
      </c>
      <c r="D28" s="4" t="b">
        <v>0</v>
      </c>
      <c r="E28" s="8" t="s">
        <v>30</v>
      </c>
      <c r="F28" s="8" t="s">
        <v>31</v>
      </c>
    </row>
    <row r="29">
      <c r="A29" s="11" t="s">
        <v>37</v>
      </c>
      <c r="B29" s="5" t="b">
        <v>0</v>
      </c>
      <c r="C29" s="4" t="b">
        <v>0</v>
      </c>
      <c r="D29" s="4" t="b">
        <v>0</v>
      </c>
      <c r="E29" s="8" t="s">
        <v>30</v>
      </c>
      <c r="F29" s="8" t="s">
        <v>31</v>
      </c>
    </row>
    <row r="30">
      <c r="A30" s="11" t="s">
        <v>38</v>
      </c>
      <c r="B30" s="5" t="b">
        <v>0</v>
      </c>
      <c r="C30" s="4" t="b">
        <v>0</v>
      </c>
      <c r="D30" s="4" t="b">
        <v>0</v>
      </c>
      <c r="E30" s="8" t="s">
        <v>39</v>
      </c>
      <c r="F30" s="8"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sheetViews>
  <sheetFormatPr customHeight="1" defaultColWidth="12.63" defaultRowHeight="15.75"/>
  <cols>
    <col customWidth="1" min="1" max="1" width="3.88"/>
    <col customWidth="1" min="2" max="2" width="38.75"/>
    <col customWidth="1" min="3" max="8" width="12.63"/>
  </cols>
  <sheetData>
    <row r="1" ht="11.25" customHeight="1">
      <c r="A1" s="12"/>
      <c r="B1" s="12"/>
      <c r="C1" s="13"/>
      <c r="D1" s="13"/>
      <c r="E1" s="13"/>
      <c r="F1" s="13"/>
      <c r="G1" s="13"/>
      <c r="H1" s="13"/>
    </row>
    <row r="2" ht="16.5" customHeight="1">
      <c r="A2" s="14"/>
      <c r="B2" s="14" t="s">
        <v>40</v>
      </c>
      <c r="C2" s="15"/>
      <c r="D2" s="15"/>
      <c r="E2" s="15"/>
      <c r="F2" s="15"/>
      <c r="G2" s="15"/>
    </row>
    <row r="3" ht="18.75" customHeight="1">
      <c r="A3" s="16"/>
      <c r="B3" s="16" t="s">
        <v>41</v>
      </c>
      <c r="C3" s="15"/>
      <c r="D3" s="15"/>
      <c r="E3" s="15"/>
      <c r="F3" s="15"/>
    </row>
    <row r="4" ht="11.25" customHeight="1">
      <c r="A4" s="17"/>
      <c r="B4" s="17"/>
      <c r="C4" s="17"/>
      <c r="D4" s="17"/>
      <c r="E4" s="17"/>
      <c r="F4" s="17"/>
      <c r="G4" s="17"/>
    </row>
    <row r="5" ht="18.75" customHeight="1">
      <c r="A5" s="18"/>
      <c r="B5" s="19" t="s">
        <v>42</v>
      </c>
      <c r="C5" s="19"/>
      <c r="D5" s="20"/>
      <c r="E5" s="19"/>
      <c r="F5" s="21" t="s">
        <v>43</v>
      </c>
      <c r="G5" s="17"/>
      <c r="H5" s="22" t="s">
        <v>44</v>
      </c>
    </row>
    <row r="6" ht="18.75" customHeight="1">
      <c r="A6" s="23"/>
      <c r="B6" s="24" t="s">
        <v>45</v>
      </c>
      <c r="C6" s="25"/>
      <c r="D6" s="25"/>
      <c r="E6" s="25"/>
      <c r="F6" s="25"/>
      <c r="G6" s="17"/>
      <c r="H6" s="26">
        <f>TODAY()</f>
        <v>46168</v>
      </c>
    </row>
    <row r="7">
      <c r="A7" s="17"/>
      <c r="B7" s="17"/>
      <c r="C7" s="17"/>
      <c r="D7" s="17"/>
      <c r="E7" s="17"/>
      <c r="F7" s="17"/>
      <c r="G7" s="17"/>
      <c r="H7" s="17"/>
    </row>
    <row r="8">
      <c r="A8" s="27"/>
      <c r="B8" s="27" t="s">
        <v>46</v>
      </c>
      <c r="C8" s="28" t="s">
        <v>47</v>
      </c>
      <c r="D8" s="28" t="s">
        <v>48</v>
      </c>
      <c r="E8" s="28" t="s">
        <v>49</v>
      </c>
      <c r="F8" s="28" t="s">
        <v>50</v>
      </c>
      <c r="G8" s="29"/>
      <c r="H8" s="30" t="s">
        <v>51</v>
      </c>
    </row>
    <row r="9">
      <c r="A9" s="17"/>
      <c r="B9" s="17" t="s">
        <v>52</v>
      </c>
      <c r="C9" s="31" t="s">
        <v>53</v>
      </c>
      <c r="D9" s="31" t="s">
        <v>53</v>
      </c>
      <c r="E9" s="31" t="s">
        <v>53</v>
      </c>
      <c r="F9" s="32" t="s">
        <v>53</v>
      </c>
      <c r="G9" s="33"/>
      <c r="H9" s="34">
        <f t="shared" ref="H9:H13" si="1">sum(C9:F9)</f>
        <v>0</v>
      </c>
    </row>
    <row r="10">
      <c r="A10" s="17"/>
      <c r="B10" s="17" t="s">
        <v>54</v>
      </c>
      <c r="C10" s="31">
        <f>IFERROR(__xludf.DUMMYFUNCTION("iferror(sum(filter(TERCEIROS!$M12:$M71,month(TERCEIROS!$I12:$I71)&gt;=1,month(TERCEIROS!$I12:$I71)&lt;=3)),0)"),36035.1)</f>
        <v>36035.1</v>
      </c>
      <c r="D10" s="31">
        <f>IFERROR(__xludf.DUMMYFUNCTION("iferror(sum(filter(TERCEIROS!$M12:$M71,month(TERCEIROS!$I12:$I71)&gt;=4,month(TERCEIROS!$I12:$I71)&lt;=6)),0)"),162191.78)</f>
        <v>162191.78</v>
      </c>
      <c r="E10" s="31">
        <f>IFERROR(__xludf.DUMMYFUNCTION("iferror(sum(filter(TERCEIROS!$M12:$M71,month(TERCEIROS!$I12:$I71)&gt;=7,month(TERCEIROS!$I12:$I71)&lt;=9)),0)"),132155.385)</f>
        <v>132155.385</v>
      </c>
      <c r="F10" s="31">
        <f>IFERROR(__xludf.DUMMYFUNCTION("iferror(sum(filter(TERCEIROS!$M12:$M71,month(TERCEIROS!$I12:$I71)&gt;=10,month(TERCEIROS!$I12:$I71)&lt;=12)),0)"),32886.7)</f>
        <v>32886.7</v>
      </c>
      <c r="G10" s="33"/>
      <c r="H10" s="34">
        <f t="shared" si="1"/>
        <v>363268.965</v>
      </c>
    </row>
    <row r="11">
      <c r="A11" s="17"/>
      <c r="B11" s="17" t="s">
        <v>55</v>
      </c>
      <c r="C11" s="31">
        <f>IFERROR(__xludf.DUMMYFUNCTION("iferror(sum(filter(TIMESHEET!$N$12:$N71,TIMESHEET!$Q$12:$Q71=""Parcial"",month(TIMESHEET!$F$12:$F71)&gt;=1,month(TIMESHEET!$F$12:$F71)&lt;=3)),0)-0.06"),15366.9)</f>
        <v>15366.9</v>
      </c>
      <c r="D11" s="31">
        <f>IFERROR(__xludf.DUMMYFUNCTION("iferror(sum(filter(TIMESHEET!$N$12:$N71,TIMESHEET!$Q$12:$Q71=""Parcial"",month(TIMESHEET!$F$12:$F71)&gt;=4,month(TIMESHEET!$F$12:$F71)&lt;=6)),0)"),37022.72820846256)</f>
        <v>37022.72821</v>
      </c>
      <c r="E11" s="31">
        <f>IFERROR(__xludf.DUMMYFUNCTION("iferror(sum(filter(TIMESHEET!$N$12:$N71,TIMESHEET!$Q$12:$Q71=""Parcial"",month(TIMESHEET!$F$12:$F71)&gt;=7,month(TIMESHEET!$F$12:$F71)&lt;=9)),0)"),34877.28698090117)</f>
        <v>34877.28698</v>
      </c>
      <c r="F11" s="31">
        <f>IFERROR(__xludf.DUMMYFUNCTION("iferror(sum(filter(TIMESHEET!$N$12:$N71,TIMESHEET!$Q$12:$Q71=""Parcial"",month(TIMESHEET!$F$12:$F71)&gt;=10,month(TIMESHEET!$F$12:$F71)&lt;=12)),0)"),12531.24418370417)</f>
        <v>12531.24418</v>
      </c>
      <c r="G11" s="33"/>
      <c r="H11" s="34">
        <f t="shared" si="1"/>
        <v>99798.15937</v>
      </c>
    </row>
    <row r="12">
      <c r="A12" s="17"/>
      <c r="B12" s="17" t="s">
        <v>56</v>
      </c>
      <c r="C12" s="31">
        <f>IFERROR(__xludf.DUMMYFUNCTION("iferror(sum(filter(TIMESHEET!$N$12:$N71,TIMESHEET!$Q$12:$Q71=""Exclusivo"",month(TIMESHEET!$F$12:$F71)&gt;=1,month(TIMESHEET!$F$12:$F71)&lt;=3)),0)"),0.0)</f>
        <v>0</v>
      </c>
      <c r="D12" s="31">
        <f>IFERROR(__xludf.DUMMYFUNCTION("iferror(sum(filter(TIMESHEET!$N$12:$N71,TIMESHEET!$Q$12:$Q71=""Exclusivo"",month(TIMESHEET!$F$12:$F71)&gt;=4,month(TIMESHEET!$F$12:$F71)&lt;=6)),0)"),0.0)</f>
        <v>0</v>
      </c>
      <c r="E12" s="31">
        <f>IFERROR(__xludf.DUMMYFUNCTION("iferror(sum(filter(TIMESHEET!$N$12:$N71,TIMESHEET!$Q$12:$Q71=""Exclusivo"",month(TIMESHEET!$F$12:$F71)&gt;=7,month(TIMESHEET!$F$12:$F71)&lt;=9)),0)"),0.0)</f>
        <v>0</v>
      </c>
      <c r="F12" s="31">
        <f>IFERROR(__xludf.DUMMYFUNCTION("iferror(sum(filter(TIMESHEET!$N$12:$N71,TIMESHEET!$Q$12:$Q71=""Exclusivo"",month(TIMESHEET!$F$12:$F71)&gt;=10,month(TIMESHEET!$F$12:$F71)&lt;=12)),0)"),0.0)</f>
        <v>0</v>
      </c>
      <c r="G12" s="33"/>
      <c r="H12" s="34">
        <f t="shared" si="1"/>
        <v>0</v>
      </c>
    </row>
    <row r="13">
      <c r="A13" s="35"/>
      <c r="B13" s="36" t="s">
        <v>57</v>
      </c>
      <c r="C13" s="37">
        <f t="shared" ref="C13:F13" si="2">sum(C10:C12)</f>
        <v>51402</v>
      </c>
      <c r="D13" s="37">
        <f t="shared" si="2"/>
        <v>199214.5082</v>
      </c>
      <c r="E13" s="37">
        <f t="shared" si="2"/>
        <v>167032.672</v>
      </c>
      <c r="F13" s="37">
        <f t="shared" si="2"/>
        <v>45417.94418</v>
      </c>
      <c r="G13" s="38"/>
      <c r="H13" s="39">
        <f t="shared" si="1"/>
        <v>463067.1244</v>
      </c>
    </row>
    <row r="14">
      <c r="A14" s="40"/>
      <c r="B14" s="40" t="s">
        <v>58</v>
      </c>
      <c r="C14" s="41">
        <v>0.6</v>
      </c>
      <c r="D14" s="41">
        <v>0.6</v>
      </c>
      <c r="E14" s="41">
        <v>0.6</v>
      </c>
      <c r="F14" s="41">
        <v>0.6</v>
      </c>
      <c r="G14" s="42"/>
      <c r="H14" s="43">
        <v>0.6</v>
      </c>
    </row>
    <row r="15">
      <c r="A15" s="17"/>
      <c r="B15" s="17" t="s">
        <v>59</v>
      </c>
      <c r="C15" s="31">
        <f t="shared" ref="C15:F15" si="3">C13*C14</f>
        <v>30841.2</v>
      </c>
      <c r="D15" s="31">
        <f t="shared" si="3"/>
        <v>119528.7049</v>
      </c>
      <c r="E15" s="31">
        <f t="shared" si="3"/>
        <v>100219.6032</v>
      </c>
      <c r="F15" s="31">
        <f t="shared" si="3"/>
        <v>27250.76651</v>
      </c>
      <c r="G15" s="33"/>
      <c r="H15" s="34">
        <f>sum(C15:F15)</f>
        <v>277840.2746</v>
      </c>
    </row>
    <row r="16">
      <c r="A16" s="17"/>
      <c r="B16" s="17"/>
      <c r="C16" s="31"/>
      <c r="D16" s="31"/>
      <c r="E16" s="31"/>
      <c r="F16" s="31"/>
      <c r="G16" s="33"/>
      <c r="H16" s="34"/>
    </row>
    <row r="17">
      <c r="A17" s="44"/>
      <c r="B17" s="45" t="s">
        <v>60</v>
      </c>
      <c r="C17" s="37">
        <f t="shared" ref="C17:F17" si="4">C15*34%</f>
        <v>10486.008</v>
      </c>
      <c r="D17" s="37">
        <f t="shared" si="4"/>
        <v>40639.75967</v>
      </c>
      <c r="E17" s="37">
        <f t="shared" si="4"/>
        <v>34074.66508</v>
      </c>
      <c r="F17" s="37">
        <f t="shared" si="4"/>
        <v>9265.260613</v>
      </c>
      <c r="G17" s="38"/>
      <c r="H17" s="39">
        <f t="shared" ref="H17:H18" si="6">sum(C17:F17)</f>
        <v>94465.69337</v>
      </c>
    </row>
    <row r="18" ht="18.75" customHeight="1">
      <c r="A18" s="46"/>
      <c r="B18" s="46" t="s">
        <v>61</v>
      </c>
      <c r="C18" s="47">
        <f t="shared" ref="C18:F18" si="5">C17*0.1</f>
        <v>1048.6008</v>
      </c>
      <c r="D18" s="47">
        <f t="shared" si="5"/>
        <v>4063.975967</v>
      </c>
      <c r="E18" s="47">
        <f t="shared" si="5"/>
        <v>3407.466508</v>
      </c>
      <c r="F18" s="47">
        <f t="shared" si="5"/>
        <v>926.5260613</v>
      </c>
      <c r="G18" s="17"/>
      <c r="H18" s="47">
        <f t="shared" si="6"/>
        <v>9446.569337</v>
      </c>
    </row>
    <row r="19">
      <c r="A19" s="48"/>
      <c r="B19" s="48"/>
      <c r="C19" s="49"/>
      <c r="D19" s="50"/>
      <c r="E19" s="50"/>
      <c r="F19" s="50"/>
      <c r="G19" s="17"/>
      <c r="H19" s="47"/>
    </row>
    <row r="20">
      <c r="A20" s="51"/>
      <c r="B20" s="51" t="s">
        <v>62</v>
      </c>
      <c r="C20" s="52"/>
      <c r="D20" s="17"/>
      <c r="E20" s="17"/>
      <c r="F20" s="17"/>
      <c r="G20" s="17"/>
      <c r="H20" s="17"/>
    </row>
    <row r="21" ht="18.75" customHeight="1">
      <c r="A21" s="53"/>
      <c r="B21" s="53" t="s">
        <v>63</v>
      </c>
      <c r="C21" s="17"/>
      <c r="D21" s="17"/>
      <c r="E21" s="17"/>
      <c r="F21" s="17"/>
      <c r="G21" s="17"/>
      <c r="H21" s="17"/>
    </row>
    <row r="22" ht="18.75" customHeight="1">
      <c r="A22" s="53"/>
      <c r="B22" s="53" t="s">
        <v>64</v>
      </c>
      <c r="C22" s="17"/>
      <c r="D22" s="17"/>
      <c r="E22" s="17"/>
      <c r="F22" s="17"/>
      <c r="G22" s="17"/>
      <c r="H22" s="17"/>
    </row>
    <row r="23" ht="18.75" customHeight="1">
      <c r="A23" s="53"/>
      <c r="B23" s="53" t="s">
        <v>65</v>
      </c>
      <c r="C23" s="17"/>
      <c r="D23" s="17"/>
      <c r="E23" s="17"/>
      <c r="F23" s="17"/>
      <c r="G23" s="17"/>
      <c r="H23" s="17"/>
    </row>
    <row r="24" ht="16.5" customHeight="1">
      <c r="A24" s="53"/>
      <c r="B24" s="53" t="s">
        <v>66</v>
      </c>
      <c r="C24" s="54"/>
      <c r="D24" s="17"/>
      <c r="E24" s="17"/>
      <c r="F24" s="17"/>
      <c r="G24" s="17"/>
      <c r="H24" s="17"/>
    </row>
    <row r="25" ht="16.5" customHeight="1">
      <c r="A25" s="53"/>
      <c r="B25" s="53" t="s">
        <v>67</v>
      </c>
      <c r="C25" s="17"/>
      <c r="D25" s="17"/>
      <c r="E25" s="17"/>
      <c r="F25" s="17"/>
      <c r="G25" s="17"/>
      <c r="H25" s="17"/>
    </row>
    <row r="26" ht="16.5" customHeight="1">
      <c r="A26" s="55"/>
      <c r="B26" s="56" t="s">
        <v>68</v>
      </c>
      <c r="C26" s="15"/>
      <c r="D26" s="17"/>
      <c r="E26" s="17"/>
      <c r="F26" s="17"/>
      <c r="G26" s="17"/>
      <c r="H26" s="17"/>
    </row>
    <row r="27" ht="16.5" customHeight="1">
      <c r="A27" s="55"/>
      <c r="B27" s="55" t="s">
        <v>69</v>
      </c>
      <c r="C27" s="15"/>
      <c r="D27" s="15"/>
      <c r="E27" s="15"/>
      <c r="F27" s="15"/>
      <c r="G27" s="15"/>
      <c r="H27" s="15"/>
    </row>
    <row r="28" ht="15.75" customHeight="1">
      <c r="A28" s="15"/>
      <c r="B28" s="15"/>
      <c r="C28" s="15"/>
      <c r="D28" s="15"/>
      <c r="E28" s="15"/>
      <c r="F28" s="15"/>
      <c r="G28" s="15"/>
      <c r="H28" s="15"/>
    </row>
    <row r="29" ht="15.0" customHeight="1">
      <c r="A29" s="57"/>
      <c r="B29" s="57" t="s">
        <v>70</v>
      </c>
      <c r="C29" s="17"/>
      <c r="D29" s="17"/>
      <c r="E29" s="17"/>
      <c r="F29" s="48"/>
      <c r="G29" s="58"/>
      <c r="H29" s="17"/>
    </row>
    <row r="30" ht="16.5" customHeight="1">
      <c r="A30" s="53"/>
      <c r="B30" s="53" t="s">
        <v>71</v>
      </c>
      <c r="C30" s="59" t="s">
        <v>72</v>
      </c>
      <c r="F30" s="60" t="s">
        <v>73</v>
      </c>
    </row>
    <row r="31" ht="16.5" customHeight="1">
      <c r="A31" s="61"/>
      <c r="B31" s="61"/>
      <c r="C31" s="61" t="s">
        <v>74</v>
      </c>
      <c r="D31" s="61" t="s">
        <v>75</v>
      </c>
      <c r="E31" s="61" t="s">
        <v>76</v>
      </c>
      <c r="F31" s="61" t="s">
        <v>74</v>
      </c>
      <c r="G31" s="61" t="s">
        <v>75</v>
      </c>
      <c r="H31" s="61" t="s">
        <v>76</v>
      </c>
    </row>
    <row r="32" ht="16.5" hidden="1" customHeight="1">
      <c r="A32" s="62"/>
      <c r="B32" s="62" t="s">
        <v>77</v>
      </c>
      <c r="C32" s="63">
        <f>IFERROR(__xludf.DUMMYFUNCTION("COUNTA(IFERROR(FILTER(PESSOAL!$F$13:$F$23,PESSOAL!$F$13:$F$23 = $B32,PESSOAL!$V$13:$V$23 = ""Parcial"",PESSOAL!$W$13:$W$23 = TRUE),))"),0.0)</f>
        <v>0</v>
      </c>
      <c r="D32" s="50">
        <f>IFERROR(__xludf.DUMMYFUNCTION("SUM(IFERROR(FILTER(PESSOAL!$U$35:$U$45,PESSOAL!$F$35:$F$45 = $B32,PESSOAL!$E$35:$E$45 = ""Parcial""),0))"),0.0)</f>
        <v>0</v>
      </c>
      <c r="E32" s="50">
        <f>IFERROR(__xludf.DUMMYFUNCTION("SUM(IFERROR(FILTER(PESSOAL!$T$13:$T$23,PESSOAL!$F$13:$F$23 = $B32,PESSOAL!$V$13:$V$23 = ""Parcial""),0))*24"),0.0)</f>
        <v>0</v>
      </c>
      <c r="F32" s="63">
        <f>IFERROR(__xludf.DUMMYFUNCTION("COUNTA(IFERROR(FILTER(PESSOAL!$E$6:$E$19,PESSOAL!$E$6:$E$19 = $B32,PESSOAL!$U$6:$U$19 = ""Exclusivo"",PESSOAL!$U$28:$U$39 = TRUE),))"),0.0)</f>
        <v>0</v>
      </c>
      <c r="G32" s="50">
        <f>IFERROR(__xludf.DUMMYFUNCTION("SUM(IFERROR(FILTER(PESSOAL!$U$35:$U$44,PESSOAL!$F$35:$F$44 = $B32,PESSOAL!$E$35:$E$44 = ""Exclusivo);0))"")))"),0.0)</f>
        <v>0</v>
      </c>
      <c r="H32" s="50">
        <f>IFERROR(__xludf.DUMMYFUNCTION("SUM(IFERROR(FILTER(PESSOAL!$T$13:$T$23,PESSOAL!$F$13:$F$23 = $B32,PESSOAL!$V$13:$V$23 = ""Exclusivo""),0))*24"),0.0)</f>
        <v>0</v>
      </c>
    </row>
    <row r="33" ht="16.5" hidden="1" customHeight="1">
      <c r="A33" s="64"/>
      <c r="B33" s="64" t="s">
        <v>78</v>
      </c>
      <c r="C33" s="63">
        <f>IFERROR(__xludf.DUMMYFUNCTION("COUNTA(IFERROR(FILTER(PESSOAL!$F$13:$F$23,PESSOAL!$F$13:$F$23 = $B33,PESSOAL!$V$13:$V$23 = ""Parcial"",PESSOAL!$W$13:$W$23 = TRUE),))"),0.0)</f>
        <v>0</v>
      </c>
      <c r="D33" s="50">
        <f>IFERROR(__xludf.DUMMYFUNCTION("SUM(IFERROR(FILTER(PESSOAL!$U$35:$U$45,PESSOAL!$F$35:$F$45 = $B33,PESSOAL!$E$35:$E$45 = ""Parcial""),0))"),0.0)</f>
        <v>0</v>
      </c>
      <c r="E33" s="50">
        <f>IFERROR(__xludf.DUMMYFUNCTION("SUM(IFERROR(FILTER(PESSOAL!$T$13:$T$23,PESSOAL!$F$13:$F$23 = $B33,PESSOAL!$V$13:$V$23 = ""Parcial""),0))*24"),0.0)</f>
        <v>0</v>
      </c>
      <c r="F33" s="63">
        <f>IFERROR(__xludf.DUMMYFUNCTION("COUNTA(IFERROR(FILTER(PESSOAL!$E$6:$E$19,PESSOAL!$E$6:$E$19 = $B33,PESSOAL!$U$6:$U$19 = ""Exclusivo"",PESSOAL!$U$28:$U$39 = TRUE),))"),0.0)</f>
        <v>0</v>
      </c>
      <c r="G33" s="50">
        <f>IFERROR(__xludf.DUMMYFUNCTION("SUM(IFERROR(FILTER(PESSOAL!$U$35:$U$44,PESSOAL!$F$35:$F$44 = $B33,PESSOAL!$E$35:$E$44 = ""Exclusivo);0))"")))"),0.0)</f>
        <v>0</v>
      </c>
      <c r="H33" s="50">
        <f>IFERROR(__xludf.DUMMYFUNCTION("SUM(IFERROR(FILTER(PESSOAL!$T$13:$T$23,PESSOAL!$F$13:$F$23 = $B33,PESSOAL!$V$13:$V$23 = ""Exclusivo""),0))*24"),0.0)</f>
        <v>0</v>
      </c>
    </row>
    <row r="34" ht="16.5" customHeight="1">
      <c r="A34" s="65"/>
      <c r="B34" s="65" t="s">
        <v>79</v>
      </c>
      <c r="C34" s="63">
        <f>IFERROR(__xludf.DUMMYFUNCTION("COUNTA(IFERROR(FILTER(PESSOAL!$F$13:$F$23,PESSOAL!$F$13:$F$23 = $B34,PESSOAL!$V$13:$V$23 = ""Parcial"",PESSOAL!$W$13:$W$23 = TRUE),))"),2.0)</f>
        <v>2</v>
      </c>
      <c r="D34" s="50">
        <f>IFERROR(__xludf.DUMMYFUNCTION("SUM(IFERROR(FILTER(PESSOAL!$U$35:$U$45,PESSOAL!$F$35:$F$45 = $B34,PESSOAL!$E$35:$E$45 = ""Parcial""),0))"),16980.383291514452)</f>
        <v>16980.38329</v>
      </c>
      <c r="E34" s="50">
        <f>IFERROR(__xludf.DUMMYFUNCTION("SUM(IFERROR(FILTER(PESSOAL!$T$13:$T$23,PESSOAL!$F$13:$F$23 = $B34,PESSOAL!$V$13:$V$23 = ""Parcial""),0))*24"),311.2500000000001)</f>
        <v>311.25</v>
      </c>
      <c r="F34" s="63">
        <f>IFERROR(__xludf.DUMMYFUNCTION("COUNTA(IFERROR(FILTER(PESSOAL!$E$6:$E$19,PESSOAL!$E$6:$E$19 = $B34,PESSOAL!$U$6:$U$19 = ""Exclusivo"",PESSOAL!$U$28:$U$39 = TRUE),))"),0.0)</f>
        <v>0</v>
      </c>
      <c r="G34" s="50">
        <f>IFERROR(__xludf.DUMMYFUNCTION("SUM(IFERROR(FILTER(PESSOAL!$U$35:$U$44,PESSOAL!$F$35:$F$44 = $B34,PESSOAL!$E$35:$E$44 = ""Exclusivo);0))"")))"),0.0)</f>
        <v>0</v>
      </c>
      <c r="H34" s="50">
        <f>IFERROR(__xludf.DUMMYFUNCTION("SUM(IFERROR(FILTER(PESSOAL!$T$13:$T$23,PESSOAL!$F$13:$F$23 = $B34,PESSOAL!$V$13:$V$23 = ""Exclusivo""),0))*24"),0.0)</f>
        <v>0</v>
      </c>
    </row>
    <row r="35" ht="16.5" customHeight="1">
      <c r="A35" s="64"/>
      <c r="B35" s="64" t="s">
        <v>80</v>
      </c>
      <c r="C35" s="63">
        <f>IFERROR(__xludf.DUMMYFUNCTION("COUNTA(IFERROR(FILTER(PESSOAL!$F$13:$F$23,PESSOAL!$F$13:$F$23 = $B35,PESSOAL!$V$13:$V$23 = ""Parcial"",PESSOAL!$W$13:$W$23 = TRUE),))"),3.0)</f>
        <v>3</v>
      </c>
      <c r="D35" s="50">
        <f>IFERROR(__xludf.DUMMYFUNCTION("SUM(IFERROR(FILTER(PESSOAL!$U$35:$U$45,PESSOAL!$F$35:$F$45 = $B35,PESSOAL!$E$35:$E$45 = ""Parcial""),0))"),28795.85934765911)</f>
        <v>28795.85935</v>
      </c>
      <c r="E35" s="50">
        <f>IFERROR(__xludf.DUMMYFUNCTION("SUM(IFERROR(FILTER(PESSOAL!$T$13:$T$23,PESSOAL!$F$13:$F$23 = $B35,PESSOAL!$V$13:$V$23 = ""Parcial""),0))*24"),542.0)</f>
        <v>542</v>
      </c>
      <c r="F35" s="63">
        <f>IFERROR(__xludf.DUMMYFUNCTION("COUNTA(IFERROR(FILTER(PESSOAL!$E$6:$E$19,PESSOAL!$E$6:$E$19 = $B35,PESSOAL!$U$6:$U$19 = ""Exclusivo"",PESSOAL!$U$28:$U$39 = TRUE),))"),0.0)</f>
        <v>0</v>
      </c>
      <c r="G35" s="50">
        <f>IFERROR(__xludf.DUMMYFUNCTION("SUM(IFERROR(FILTER(PESSOAL!$U$35:$U$44,PESSOAL!$F$35:$F$44 = $B35,PESSOAL!$E$35:$E$44 = ""Exclusivo);0))"")))"),0.0)</f>
        <v>0</v>
      </c>
      <c r="H35" s="50">
        <f>IFERROR(__xludf.DUMMYFUNCTION("SUM(IFERROR(FILTER(PESSOAL!$T$13:$T$23,PESSOAL!$F$13:$F$23 = $B35,PESSOAL!$V$13:$V$23 = ""Exclusivo""),0))*24"),0.0)</f>
        <v>0</v>
      </c>
    </row>
    <row r="36" ht="16.5" customHeight="1">
      <c r="A36" s="66"/>
      <c r="B36" s="66" t="s">
        <v>81</v>
      </c>
      <c r="C36" s="63">
        <f>IFERROR(__xludf.DUMMYFUNCTION("COUNTA(IFERROR(FILTER(PESSOAL!$F$13:$F$23,PESSOAL!$F$13:$F$23 = $B36,PESSOAL!$V$13:$V$23 = ""Parcial"",PESSOAL!$W$13:$W$23 = TRUE),))"),1.0)</f>
        <v>1</v>
      </c>
      <c r="D36" s="50">
        <f>IFERROR(__xludf.DUMMYFUNCTION("SUM(IFERROR(FILTER(PESSOAL!$U$35:$U$45,PESSOAL!$F$35:$F$45 = $B36,PESSOAL!$E$35:$E$45 = ""Parcial""),0))"),23918.220024484064)</f>
        <v>23918.22002</v>
      </c>
      <c r="E36" s="50">
        <f>IFERROR(__xludf.DUMMYFUNCTION("SUM(IFERROR(FILTER(PESSOAL!$T$13:$T$23,PESSOAL!$F$13:$F$23 = $B36,PESSOAL!$V$13:$V$23 = ""Parcial""),0))*24"),258.84999999999997)</f>
        <v>258.85</v>
      </c>
      <c r="F36" s="63">
        <f>IFERROR(__xludf.DUMMYFUNCTION("COUNTA(IFERROR(FILTER(PESSOAL!$E$6:$E$19,PESSOAL!$E$6:$E$19 = $B36,PESSOAL!$U$6:$U$19 = ""Exclusivo"",PESSOAL!$U$28:$U$39 = TRUE),))"),0.0)</f>
        <v>0</v>
      </c>
      <c r="G36" s="50">
        <f>IFERROR(__xludf.DUMMYFUNCTION("SUM(IFERROR(FILTER(PESSOAL!$U$35:$U$44,PESSOAL!$F$35:$F$44 = $B36,PESSOAL!$E$35:$E$44 = ""Exclusivo);0))"")))"),0.0)</f>
        <v>0</v>
      </c>
      <c r="H36" s="50">
        <f>IFERROR(__xludf.DUMMYFUNCTION("SUM(IFERROR(FILTER(PESSOAL!$T$13:$T$23,PESSOAL!$F$13:$F$23 = $B36,PESSOAL!$V$13:$V$23 = ""Exclusivo""),0))*24"),0.0)</f>
        <v>0</v>
      </c>
    </row>
    <row r="37" ht="16.5" customHeight="1">
      <c r="A37" s="66"/>
      <c r="B37" s="66" t="s">
        <v>82</v>
      </c>
      <c r="C37" s="63">
        <f>IFERROR(__xludf.DUMMYFUNCTION("COUNTA(IFERROR(FILTER(PESSOAL!$F$13:$F$23,PESSOAL!$F$13:$F$23 = $B37,PESSOAL!$V$13:$V$23 = ""Parcial"",PESSOAL!$W$13:$W$23 = TRUE),))"),2.0)</f>
        <v>2</v>
      </c>
      <c r="D37" s="50">
        <f>IFERROR(__xludf.DUMMYFUNCTION("SUM(IFERROR(FILTER(PESSOAL!$U$35:$U$45,PESSOAL!$F$35:$F$45 = $B37,PESSOAL!$E$35:$E$45 = ""Parcial""),0))"),30103.75670941025)</f>
        <v>30103.75671</v>
      </c>
      <c r="E37" s="50">
        <f>IFERROR(__xludf.DUMMYFUNCTION("SUM(IFERROR(FILTER(PESSOAL!$T$13:$T$23,PESSOAL!$F$13:$F$23 = $B37,PESSOAL!$V$13:$V$23 = ""Parcial""),0))*24"),559.1)</f>
        <v>559.1</v>
      </c>
      <c r="F37" s="63">
        <f>IFERROR(__xludf.DUMMYFUNCTION("COUNTA(IFERROR(FILTER(PESSOAL!$E$6:$E$19,PESSOAL!$E$6:$E$19 = $B37,PESSOAL!$U$6:$U$19 = ""Exclusivo"",PESSOAL!$U$28:$U$39 = TRUE),))"),0.0)</f>
        <v>0</v>
      </c>
      <c r="G37" s="50">
        <f>IFERROR(__xludf.DUMMYFUNCTION("SUM(IFERROR(FILTER(PESSOAL!$U$35:$U$44,PESSOAL!$F$35:$F$44 = $B37,PESSOAL!$E$35:$E$44 = ""Exclusivo);0))"")))"),0.0)</f>
        <v>0</v>
      </c>
      <c r="H37" s="50">
        <f>IFERROR(__xludf.DUMMYFUNCTION("SUM(IFERROR(FILTER(PESSOAL!$T$13:$T$23,PESSOAL!$F$13:$F$23 = $B37,PESSOAL!$V$13:$V$23 = ""Exclusivo""),0))*24"),0.0)</f>
        <v>0</v>
      </c>
    </row>
    <row r="38" ht="16.5" customHeight="1">
      <c r="A38" s="67"/>
      <c r="B38" s="68"/>
      <c r="C38" s="69">
        <f t="shared" ref="C38:H38" si="7">SUM(C32:C37)</f>
        <v>8</v>
      </c>
      <c r="D38" s="70">
        <f t="shared" si="7"/>
        <v>99798.21937</v>
      </c>
      <c r="E38" s="70">
        <f t="shared" si="7"/>
        <v>1671.2</v>
      </c>
      <c r="F38" s="69">
        <f t="shared" si="7"/>
        <v>0</v>
      </c>
      <c r="G38" s="70">
        <f t="shared" si="7"/>
        <v>0</v>
      </c>
      <c r="H38" s="70">
        <f t="shared" si="7"/>
        <v>0</v>
      </c>
    </row>
    <row r="39" ht="9.75" customHeight="1">
      <c r="A39" s="48"/>
      <c r="B39" s="48"/>
      <c r="C39" s="48"/>
      <c r="D39" s="17"/>
      <c r="E39" s="17"/>
      <c r="F39" s="17"/>
      <c r="G39" s="17"/>
      <c r="H39" s="17"/>
    </row>
    <row r="40" ht="18.75" customHeight="1">
      <c r="A40" s="57"/>
      <c r="B40" s="57" t="s">
        <v>83</v>
      </c>
      <c r="C40" s="48"/>
      <c r="D40" s="17"/>
      <c r="E40" s="17"/>
      <c r="F40" s="17"/>
      <c r="G40" s="17"/>
      <c r="H40" s="17"/>
    </row>
    <row r="41" ht="18.75" customHeight="1">
      <c r="A41" s="71"/>
      <c r="B41" s="71" t="s">
        <v>84</v>
      </c>
      <c r="C41" s="72" t="s">
        <v>51</v>
      </c>
      <c r="D41" s="73"/>
      <c r="E41" s="72" t="s">
        <v>85</v>
      </c>
      <c r="F41" s="72" t="s">
        <v>86</v>
      </c>
      <c r="G41" s="72" t="s">
        <v>87</v>
      </c>
      <c r="H41" s="72" t="s">
        <v>88</v>
      </c>
    </row>
    <row r="42">
      <c r="A42" s="53">
        <v>1.0</v>
      </c>
      <c r="B42" s="17" t="str">
        <f t="array" ref="B42:B1040">'Base Projetos'!A2:A71</f>
        <v>INOV00001</v>
      </c>
      <c r="C42" s="74">
        <f t="shared" ref="C42:C71" si="8">sum(E42:H42)</f>
        <v>162088.5544</v>
      </c>
      <c r="D42" s="75"/>
      <c r="E42" s="32" t="s">
        <v>53</v>
      </c>
      <c r="F42" s="31">
        <f t="array" ref="F42:F70">IFERROR(XLOOKUP(B42:B70,TRANSPOSE(TERCEIROS!$Q$11:$AX$11),TRANSPOSE(TERCEIROS!$Q$10:$AX$10),0,0),"")</f>
        <v>112121.995</v>
      </c>
      <c r="G42" s="31">
        <f>IFERROR(__xludf.DUMMYFUNCTION("ArrayFormula(IFERROR(SUM(filter(TIMESHEET!$N$12:$N71,TIMESHEET!$C$12:$C71=B42,TIMESHEET!$Q$12:$Q71=""Parcial"")),""-""))"),49966.559431866524)</f>
        <v>49966.55943</v>
      </c>
      <c r="H42" s="31" t="str">
        <f>IFERROR(__xludf.DUMMYFUNCTION("iferror(sum(filter(TIMESHEET!$N12:$N71,TIMESHEET!$C12:$C71=B42,TIMESHEET!$Q12:$Q71=""Exclusivo"")),""-"")"),"-")</f>
        <v>-</v>
      </c>
    </row>
    <row r="43">
      <c r="A43" s="53">
        <v>2.0</v>
      </c>
      <c r="B43" s="53" t="s">
        <v>4</v>
      </c>
      <c r="C43" s="74">
        <f t="shared" si="8"/>
        <v>17072.1148</v>
      </c>
      <c r="D43" s="76"/>
      <c r="E43" s="32" t="s">
        <v>53</v>
      </c>
      <c r="F43" s="31">
        <v>5388.575</v>
      </c>
      <c r="G43" s="31">
        <f>IFERROR(__xludf.DUMMYFUNCTION("ArrayFormula(IFERROR(SUM(filter(TIMESHEET!$N$12:$N71,TIMESHEET!$C$12:$C71=B43,TIMESHEET!$Q$12:$Q71=""Parcial"")),""-""))"),11683.539797642836)</f>
        <v>11683.5398</v>
      </c>
      <c r="H43" s="31" t="str">
        <f>IFERROR(__xludf.DUMMYFUNCTION("iferror(sum(filter(TIMESHEET!$N13:$N71,TIMESHEET!$C13:$C71=B43,TIMESHEET!$Q13:$Q71=""Exclusivo"")),""-"")"),"-")</f>
        <v>-</v>
      </c>
    </row>
    <row r="44">
      <c r="A44" s="53">
        <v>3.0</v>
      </c>
      <c r="B44" s="17" t="s">
        <v>5</v>
      </c>
      <c r="C44" s="74">
        <f t="shared" si="8"/>
        <v>14246.67065</v>
      </c>
      <c r="D44" s="75"/>
      <c r="E44" s="32" t="s">
        <v>53</v>
      </c>
      <c r="F44" s="31">
        <v>5322.08</v>
      </c>
      <c r="G44" s="31">
        <f>IFERROR(__xludf.DUMMYFUNCTION("ArrayFormula(IFERROR(SUM(filter(TIMESHEET!$N$12:$N71,TIMESHEET!$C$12:$C71=B44,TIMESHEET!$Q$12:$Q71=""Parcial"")),""-""))"),8924.590649799264)</f>
        <v>8924.59065</v>
      </c>
      <c r="H44" s="31" t="str">
        <f>IFERROR(__xludf.DUMMYFUNCTION("iferror(sum(filter(TIMESHEET!$N14:$N71,TIMESHEET!$C14:$C71=B44,TIMESHEET!$Q14:$Q71=""Exclusivo"")),""-"")"),"-")</f>
        <v>-</v>
      </c>
    </row>
    <row r="45">
      <c r="A45" s="53">
        <v>4.0</v>
      </c>
      <c r="B45" s="53" t="s">
        <v>6</v>
      </c>
      <c r="C45" s="74">
        <f t="shared" si="8"/>
        <v>12156.39</v>
      </c>
      <c r="D45" s="76"/>
      <c r="E45" s="32" t="s">
        <v>53</v>
      </c>
      <c r="F45" s="31">
        <v>12156.39</v>
      </c>
      <c r="G45" s="31" t="str">
        <f>IFERROR(__xludf.DUMMYFUNCTION("ArrayFormula(IFERROR(SUM(filter(TIMESHEET!$N$12:$N71,TIMESHEET!$C$12:$C71=B45,TIMESHEET!$Q$12:$Q71=""Parcial"")),""-""))"),"-")</f>
        <v>-</v>
      </c>
      <c r="H45" s="31" t="str">
        <f>IFERROR(__xludf.DUMMYFUNCTION("iferror(sum(filter(TIMESHEET!$N15:$N71,TIMESHEET!$C15:$C71=B45,TIMESHEET!$Q15:$Q71=""Exclusivo"")),""-"")"),"-")</f>
        <v>-</v>
      </c>
    </row>
    <row r="46">
      <c r="A46" s="53">
        <v>5.0</v>
      </c>
      <c r="B46" s="53" t="s">
        <v>7</v>
      </c>
      <c r="C46" s="74">
        <f t="shared" si="8"/>
        <v>32723.67225</v>
      </c>
      <c r="D46" s="76"/>
      <c r="E46" s="32" t="s">
        <v>53</v>
      </c>
      <c r="F46" s="31">
        <v>32488.45</v>
      </c>
      <c r="G46" s="31">
        <f>IFERROR(__xludf.DUMMYFUNCTION("ArrayFormula(IFERROR(SUM(filter(TIMESHEET!$N$12:$N71,TIMESHEET!$C$12:$C71=B46,TIMESHEET!$Q$12:$Q71=""Parcial"")),""-""))"),235.22225388463443)</f>
        <v>235.2222539</v>
      </c>
      <c r="H46" s="31" t="str">
        <f>IFERROR(__xludf.DUMMYFUNCTION("iferror(sum(filter(TIMESHEET!$N16:$N71,TIMESHEET!$C16:$C71=B46,TIMESHEET!$Q16:$Q71=""Exclusivo"")),""-"")"),"-")</f>
        <v>-</v>
      </c>
    </row>
    <row r="47">
      <c r="A47" s="53">
        <v>6.0</v>
      </c>
      <c r="B47" s="53" t="s">
        <v>8</v>
      </c>
      <c r="C47" s="74">
        <f t="shared" si="8"/>
        <v>53892.41512</v>
      </c>
      <c r="D47" s="76"/>
      <c r="E47" s="32" t="s">
        <v>53</v>
      </c>
      <c r="F47" s="31">
        <v>49956.91</v>
      </c>
      <c r="G47" s="31">
        <f>IFERROR(__xludf.DUMMYFUNCTION("ArrayFormula(IFERROR(SUM(filter(TIMESHEET!$N$12:$N71,TIMESHEET!$C$12:$C71=B47,TIMESHEET!$Q$12:$Q71=""Parcial"")),""-""))"),3935.5051161177626)</f>
        <v>3935.505116</v>
      </c>
      <c r="H47" s="31" t="str">
        <f>IFERROR(__xludf.DUMMYFUNCTION("iferror(sum(filter(TIMESHEET!$N17:$N71,TIMESHEET!$C17:$C71=B47,TIMESHEET!$Q17:$Q71=""Exclusivo"")),""-"")"),"-")</f>
        <v>-</v>
      </c>
    </row>
    <row r="48">
      <c r="A48" s="53">
        <v>7.0</v>
      </c>
      <c r="B48" s="53" t="s">
        <v>9</v>
      </c>
      <c r="C48" s="74">
        <f t="shared" si="8"/>
        <v>96354.70213</v>
      </c>
      <c r="D48" s="76"/>
      <c r="E48" s="32" t="s">
        <v>53</v>
      </c>
      <c r="F48" s="31">
        <v>94173.6</v>
      </c>
      <c r="G48" s="31">
        <f>IFERROR(__xludf.DUMMYFUNCTION("ArrayFormula(IFERROR(SUM(filter(TIMESHEET!$N$12:$N71,TIMESHEET!$C$12:$C71=B48,TIMESHEET!$Q$12:$Q71=""Parcial"")),""-""))"),2181.1021259728986)</f>
        <v>2181.102126</v>
      </c>
      <c r="H48" s="31" t="str">
        <f>IFERROR(__xludf.DUMMYFUNCTION("iferror(sum(filter(TIMESHEET!$N18:$N71,TIMESHEET!$C18:$C71=B48,TIMESHEET!$Q18:$Q71=""Exclusivo"")),""-"")"),"-")</f>
        <v>-</v>
      </c>
    </row>
    <row r="49">
      <c r="A49" s="53">
        <v>8.0</v>
      </c>
      <c r="B49" s="53" t="s">
        <v>10</v>
      </c>
      <c r="C49" s="74">
        <f t="shared" si="8"/>
        <v>45645.90556</v>
      </c>
      <c r="D49" s="76"/>
      <c r="E49" s="32" t="s">
        <v>53</v>
      </c>
      <c r="F49" s="31">
        <v>43160.965000000004</v>
      </c>
      <c r="G49" s="31">
        <f>IFERROR(__xludf.DUMMYFUNCTION("ArrayFormula(IFERROR(SUM(filter(TIMESHEET!$N$12:$N71,TIMESHEET!$C$12:$C71=B49,TIMESHEET!$Q$12:$Q71=""Parcial"")),""-""))"),2484.940558661307)</f>
        <v>2484.940559</v>
      </c>
      <c r="H49" s="31" t="str">
        <f>IFERROR(__xludf.DUMMYFUNCTION("iferror(sum(filter(TIMESHEET!$N19:$N71,TIMESHEET!$C19:$C71=B49,TIMESHEET!$Q19:$Q71=""Exclusivo"")),""-"")"),"-")</f>
        <v>-</v>
      </c>
    </row>
    <row r="50" hidden="1">
      <c r="A50" s="53"/>
      <c r="B50" s="53" t="s">
        <v>11</v>
      </c>
      <c r="C50" s="74">
        <f t="shared" si="8"/>
        <v>0</v>
      </c>
      <c r="D50" s="76"/>
      <c r="E50" s="32" t="s">
        <v>53</v>
      </c>
      <c r="F50" s="31">
        <v>0.0</v>
      </c>
      <c r="G50" s="31">
        <f>IFERROR(__xludf.DUMMYFUNCTION("ArrayFormula(IFERROR(SUM(filter(TIMESHEET!$N$12:$N71,TIMESHEET!$C$12:$C71=B50,TIMESHEET!$Q$12:$Q71=""Parcial"")),""-""))"),0.0)</f>
        <v>0</v>
      </c>
      <c r="H50" s="31" t="str">
        <f>IFERROR(__xludf.DUMMYFUNCTION("iferror(sum(filter(TIMESHEET!$N20:$N71,TIMESHEET!$C20:$C71=B50,TIMESHEET!$Q20:$Q71=""Exclusivo"")),""-"")"),"-")</f>
        <v>-</v>
      </c>
    </row>
    <row r="51">
      <c r="A51" s="53">
        <v>9.0</v>
      </c>
      <c r="B51" s="53" t="s">
        <v>12</v>
      </c>
      <c r="C51" s="74">
        <f t="shared" si="8"/>
        <v>1356.901826</v>
      </c>
      <c r="D51" s="76"/>
      <c r="E51" s="32" t="s">
        <v>53</v>
      </c>
      <c r="F51" s="31">
        <v>0.0</v>
      </c>
      <c r="G51" s="31">
        <f>IFERROR(__xludf.DUMMYFUNCTION("ArrayFormula(IFERROR(SUM(filter(TIMESHEET!$N$12:$N71,TIMESHEET!$C$12:$C71=B51,TIMESHEET!$Q$12:$Q71=""Parcial"")),""-""))"),1356.9018264918009)</f>
        <v>1356.901826</v>
      </c>
      <c r="H51" s="31" t="str">
        <f>IFERROR(__xludf.DUMMYFUNCTION("iferror(sum(filter(TIMESHEET!$N21:$N71,TIMESHEET!$C21:$C71=B51,TIMESHEET!$Q21:$Q71=""Exclusivo"")),""-"")"),"-")</f>
        <v>-</v>
      </c>
    </row>
    <row r="52">
      <c r="A52" s="53">
        <v>10.0</v>
      </c>
      <c r="B52" s="53" t="s">
        <v>13</v>
      </c>
      <c r="C52" s="74">
        <f t="shared" si="8"/>
        <v>2006.154505</v>
      </c>
      <c r="D52" s="76"/>
      <c r="E52" s="32" t="s">
        <v>53</v>
      </c>
      <c r="F52" s="31">
        <v>0.0</v>
      </c>
      <c r="G52" s="31">
        <f>IFERROR(__xludf.DUMMYFUNCTION("ArrayFormula(IFERROR(SUM(filter(TIMESHEET!$N$12:$N71,TIMESHEET!$C$12:$C71=B52,TIMESHEET!$Q$12:$Q71=""Parcial"")),""-""))"),2006.154504553748)</f>
        <v>2006.154505</v>
      </c>
      <c r="H52" s="31" t="str">
        <f>IFERROR(__xludf.DUMMYFUNCTION("iferror(sum(filter(TIMESHEET!$N22:$N71,TIMESHEET!$C22:$C71=B52,TIMESHEET!$Q22:$Q71=""Exclusivo"")),""-"")"),"-")</f>
        <v>-</v>
      </c>
    </row>
    <row r="53">
      <c r="A53" s="53">
        <v>11.0</v>
      </c>
      <c r="B53" s="53" t="s">
        <v>14</v>
      </c>
      <c r="C53" s="74">
        <f t="shared" si="8"/>
        <v>6526.614833</v>
      </c>
      <c r="D53" s="76"/>
      <c r="E53" s="32" t="s">
        <v>53</v>
      </c>
      <c r="F53" s="31">
        <v>0.0</v>
      </c>
      <c r="G53" s="31">
        <f>IFERROR(__xludf.DUMMYFUNCTION("ArrayFormula(IFERROR(SUM(filter(TIMESHEET!$N$12:$N71,TIMESHEET!$C$12:$C71=B53,TIMESHEET!$Q$12:$Q71=""Parcial"")),""-""))"),6526.614832819879)</f>
        <v>6526.614833</v>
      </c>
      <c r="H53" s="31" t="str">
        <f>IFERROR(__xludf.DUMMYFUNCTION("iferror(sum(filter(TIMESHEET!$N23:$N71,TIMESHEET!$C23:$C71=B53,TIMESHEET!$Q23:$Q71=""Exclusivo"")),""-"")"),"-")</f>
        <v>-</v>
      </c>
    </row>
    <row r="54" hidden="1">
      <c r="A54" s="53"/>
      <c r="B54" s="53" t="s">
        <v>15</v>
      </c>
      <c r="C54" s="74">
        <f t="shared" si="8"/>
        <v>0</v>
      </c>
      <c r="D54" s="76"/>
      <c r="E54" s="32" t="s">
        <v>53</v>
      </c>
      <c r="F54" s="31">
        <v>0.0</v>
      </c>
      <c r="G54" s="31" t="str">
        <f>IFERROR(__xludf.DUMMYFUNCTION("ArrayFormula(IFERROR(SUM(filter(TIMESHEET!$N$12:$N71,TIMESHEET!$C$12:$C71=B54,TIMESHEET!$Q$12:$Q71=""Parcial"")),""-""))"),"-")</f>
        <v>-</v>
      </c>
      <c r="H54" s="31" t="str">
        <f>IFERROR(__xludf.DUMMYFUNCTION("iferror(sum(filter(TIMESHEET!$N24:$N71,TIMESHEET!$C24:$C71=B54,TIMESHEET!$Q24:$Q71=""Exclusivo"")),""-"")"),"-")</f>
        <v>-</v>
      </c>
    </row>
    <row r="55" hidden="1">
      <c r="A55" s="53"/>
      <c r="B55" s="53" t="s">
        <v>18</v>
      </c>
      <c r="C55" s="74">
        <f t="shared" si="8"/>
        <v>0</v>
      </c>
      <c r="D55" s="76"/>
      <c r="E55" s="32" t="s">
        <v>53</v>
      </c>
      <c r="F55" s="31">
        <v>0.0</v>
      </c>
      <c r="G55" s="31" t="str">
        <f>IFERROR(__xludf.DUMMYFUNCTION("ArrayFormula(IFERROR(SUM(filter(TIMESHEET!$N$12:$N71,TIMESHEET!$C$12:$C71=B55,TIMESHEET!$Q$12:$Q71=""Parcial"")),""-""))"),"-")</f>
        <v>-</v>
      </c>
      <c r="H55" s="31" t="str">
        <f>IFERROR(__xludf.DUMMYFUNCTION("iferror(sum(filter(TIMESHEET!$N25:$N71,TIMESHEET!$C25:$C71=B55,TIMESHEET!$Q25:$Q71=""Exclusivo"")),""-"")"),"-")</f>
        <v>-</v>
      </c>
    </row>
    <row r="56">
      <c r="A56" s="53">
        <v>12.0</v>
      </c>
      <c r="B56" s="53" t="s">
        <v>19</v>
      </c>
      <c r="C56" s="74">
        <f t="shared" si="8"/>
        <v>282.44</v>
      </c>
      <c r="D56" s="76"/>
      <c r="E56" s="32" t="s">
        <v>53</v>
      </c>
      <c r="F56" s="31">
        <v>0.0</v>
      </c>
      <c r="G56" s="31">
        <f>IFERROR(__xludf.DUMMYFUNCTION("ArrayFormula(IFERROR(SUM(filter(TIMESHEET!$N$12:$N71,TIMESHEET!$C$12:$C71=B56,TIMESHEET!$Q$12:$Q71=""Parcial"")),""-""))"),282.44)</f>
        <v>282.44</v>
      </c>
      <c r="H56" s="31" t="str">
        <f>IFERROR(__xludf.DUMMYFUNCTION("iferror(sum(filter(TIMESHEET!$N26:$N71,TIMESHEET!$C26:$C71=B56,TIMESHEET!$Q26:$Q71=""Exclusivo"")),""-"")"),"-")</f>
        <v>-</v>
      </c>
    </row>
    <row r="57">
      <c r="A57" s="53">
        <v>13.0</v>
      </c>
      <c r="B57" s="53" t="s">
        <v>21</v>
      </c>
      <c r="C57" s="74">
        <f t="shared" si="8"/>
        <v>147.7290991</v>
      </c>
      <c r="D57" s="76"/>
      <c r="E57" s="32" t="s">
        <v>53</v>
      </c>
      <c r="F57" s="31">
        <v>0.0</v>
      </c>
      <c r="G57" s="31">
        <f>IFERROR(__xludf.DUMMYFUNCTION("ArrayFormula(IFERROR(SUM(filter(TIMESHEET!$N$12:$N71,TIMESHEET!$C$12:$C71=B57,TIMESHEET!$Q$12:$Q71=""Parcial"")),""-""))"),147.72909913825757)</f>
        <v>147.7290991</v>
      </c>
      <c r="H57" s="31" t="str">
        <f>IFERROR(__xludf.DUMMYFUNCTION("iferror(sum(filter(TIMESHEET!$N27:$N71,TIMESHEET!$C27:$C71=B57,TIMESHEET!$Q27:$Q71=""Exclusivo"")),""-"")"),"-")</f>
        <v>-</v>
      </c>
    </row>
    <row r="58">
      <c r="A58" s="53">
        <v>14.0</v>
      </c>
      <c r="B58" s="53" t="s">
        <v>23</v>
      </c>
      <c r="C58" s="74">
        <f t="shared" si="8"/>
        <v>7918.582718</v>
      </c>
      <c r="D58" s="76"/>
      <c r="E58" s="32" t="s">
        <v>53</v>
      </c>
      <c r="F58" s="31">
        <v>5000.0</v>
      </c>
      <c r="G58" s="31">
        <f>IFERROR(__xludf.DUMMYFUNCTION("ArrayFormula(IFERROR(SUM(filter(TIMESHEET!$N$12:$N71,TIMESHEET!$C$12:$C71=B58,TIMESHEET!$Q$12:$Q71=""Parcial"")),""-""))"),2918.5827180357737)</f>
        <v>2918.582718</v>
      </c>
      <c r="H58" s="31" t="str">
        <f>IFERROR(__xludf.DUMMYFUNCTION("iferror(sum(filter(TIMESHEET!$N28:$N71,TIMESHEET!$C28:$C71=B58,TIMESHEET!$Q28:$Q71=""Exclusivo"")),""-"")"),"-")</f>
        <v>-</v>
      </c>
    </row>
    <row r="59">
      <c r="A59" s="53">
        <v>15.0</v>
      </c>
      <c r="B59" s="53" t="s">
        <v>24</v>
      </c>
      <c r="C59" s="74">
        <f t="shared" si="8"/>
        <v>534.0435024</v>
      </c>
      <c r="D59" s="76"/>
      <c r="E59" s="32" t="s">
        <v>53</v>
      </c>
      <c r="F59" s="31">
        <v>0.0</v>
      </c>
      <c r="G59" s="31">
        <f>IFERROR(__xludf.DUMMYFUNCTION("ArrayFormula(IFERROR(SUM(filter(TIMESHEET!$N$12:$N71,TIMESHEET!$C$12:$C71=B59,TIMESHEET!$Q$12:$Q71=""Parcial"")),""-""))"),534.0435024147728)</f>
        <v>534.0435024</v>
      </c>
      <c r="H59" s="31" t="str">
        <f>IFERROR(__xludf.DUMMYFUNCTION("iferror(sum(filter(TIMESHEET!$N29:$N71,TIMESHEET!$C29:$C71=B59,TIMESHEET!$Q29:$Q71=""Exclusivo"")),""-"")"),"-")</f>
        <v>-</v>
      </c>
    </row>
    <row r="60">
      <c r="A60" s="53">
        <v>16.0</v>
      </c>
      <c r="B60" s="53" t="s">
        <v>25</v>
      </c>
      <c r="C60" s="74">
        <f t="shared" si="8"/>
        <v>2021.655722</v>
      </c>
      <c r="D60" s="76"/>
      <c r="E60" s="32" t="s">
        <v>53</v>
      </c>
      <c r="F60" s="31">
        <v>0.0</v>
      </c>
      <c r="G60" s="31">
        <f>IFERROR(__xludf.DUMMYFUNCTION("ArrayFormula(IFERROR(SUM(filter(TIMESHEET!$N$12:$N71,TIMESHEET!$C$12:$C71=B60,TIMESHEET!$Q$12:$Q71=""Parcial"")),""-""))"),2021.655722495236)</f>
        <v>2021.655722</v>
      </c>
      <c r="H60" s="31" t="str">
        <f>IFERROR(__xludf.DUMMYFUNCTION("iferror(sum(filter(TIMESHEET!$N30:$N71,TIMESHEET!$C30:$C71=B60,TIMESHEET!$Q30:$Q71=""Exclusivo"")),""-"")"),"-")</f>
        <v>-</v>
      </c>
    </row>
    <row r="61" hidden="1">
      <c r="A61" s="53"/>
      <c r="B61" s="53" t="s">
        <v>26</v>
      </c>
      <c r="C61" s="74">
        <f t="shared" si="8"/>
        <v>0</v>
      </c>
      <c r="D61" s="76"/>
      <c r="E61" s="32" t="s">
        <v>53</v>
      </c>
      <c r="F61" s="31">
        <v>0.0</v>
      </c>
      <c r="G61" s="31" t="str">
        <f>IFERROR(__xludf.DUMMYFUNCTION("ArrayFormula(IFERROR(SUM(filter(TIMESHEET!$N$12:$N71,TIMESHEET!$C$12:$C71=B61,TIMESHEET!$Q$12:$Q71=""Parcial"")),""-""))"),"-")</f>
        <v>-</v>
      </c>
      <c r="H61" s="31" t="str">
        <f>IFERROR(__xludf.DUMMYFUNCTION("iferror(sum(filter(TIMESHEET!$N31:$N71,TIMESHEET!$C31:$C71=B61,TIMESHEET!$Q31:$Q71=""Exclusivo"")),""-"")"),"-")</f>
        <v>-</v>
      </c>
    </row>
    <row r="62">
      <c r="A62" s="53">
        <v>17.0</v>
      </c>
      <c r="B62" s="53" t="s">
        <v>27</v>
      </c>
      <c r="C62" s="74">
        <f t="shared" si="8"/>
        <v>1603.11267</v>
      </c>
      <c r="D62" s="75"/>
      <c r="E62" s="32" t="s">
        <v>53</v>
      </c>
      <c r="F62" s="31">
        <v>0.0</v>
      </c>
      <c r="G62" s="31">
        <f>IFERROR(__xludf.DUMMYFUNCTION("ArrayFormula(IFERROR(SUM(filter(TIMESHEET!$N$12:$N71,TIMESHEET!$C$12:$C71=B62,TIMESHEET!$Q$12:$Q71=""Parcial"")),""-""))"),1603.1126695295736)</f>
        <v>1603.11267</v>
      </c>
      <c r="H62" s="31" t="str">
        <f>IFERROR(__xludf.DUMMYFUNCTION("iferror(sum(filter(TIMESHEET!$N32:$N71,TIMESHEET!$C32:$C71=B62,TIMESHEET!$Q32:$Q71=""Exclusivo"")),""-"")"),"-")</f>
        <v>-</v>
      </c>
    </row>
    <row r="63">
      <c r="A63" s="53">
        <v>18.0</v>
      </c>
      <c r="B63" s="53" t="s">
        <v>28</v>
      </c>
      <c r="C63" s="74">
        <f t="shared" si="8"/>
        <v>6489.524564</v>
      </c>
      <c r="D63" s="76"/>
      <c r="E63" s="32" t="s">
        <v>53</v>
      </c>
      <c r="F63" s="31">
        <v>3500.0</v>
      </c>
      <c r="G63" s="31">
        <f>IFERROR(__xludf.DUMMYFUNCTION("ArrayFormula(IFERROR(SUM(filter(TIMESHEET!$N$12:$N71,TIMESHEET!$C$12:$C71=B63,TIMESHEET!$Q$12:$Q71=""Parcial"")),""-""))"),2989.524563643599)</f>
        <v>2989.524564</v>
      </c>
      <c r="H63" s="31" t="str">
        <f>IFERROR(__xludf.DUMMYFUNCTION("iferror(sum(filter(TIMESHEET!$N33:$N71,TIMESHEET!$C33:$C71=B63,TIMESHEET!$Q33:$Q71=""Exclusivo"")),""-"")"),"-")</f>
        <v>-</v>
      </c>
    </row>
    <row r="64" hidden="1">
      <c r="A64" s="53"/>
      <c r="B64" s="53" t="s">
        <v>29</v>
      </c>
      <c r="C64" s="74">
        <f t="shared" si="8"/>
        <v>0</v>
      </c>
      <c r="D64" s="76"/>
      <c r="E64" s="32" t="s">
        <v>53</v>
      </c>
      <c r="F64" s="31">
        <v>0.0</v>
      </c>
      <c r="G64" s="31">
        <f>IFERROR(__xludf.DUMMYFUNCTION("ArrayFormula(IFERROR(SUM(filter(TIMESHEET!$N$12:$N71,TIMESHEET!$C$12:$C71=B64,TIMESHEET!$Q$12:$Q71=""Parcial"")),""-""))"),0.0)</f>
        <v>0</v>
      </c>
      <c r="H64" s="31" t="str">
        <f>IFERROR(__xludf.DUMMYFUNCTION("iferror(sum(filter(TIMESHEET!$N34:$N71,TIMESHEET!$C34:$C71=B64,TIMESHEET!$Q34:$Q71=""Exclusivo"")),""-"")"),"-")</f>
        <v>-</v>
      </c>
    </row>
    <row r="65" hidden="1">
      <c r="A65" s="53"/>
      <c r="B65" s="53" t="s">
        <v>32</v>
      </c>
      <c r="C65" s="74">
        <f t="shared" si="8"/>
        <v>0</v>
      </c>
      <c r="D65" s="76"/>
      <c r="E65" s="32" t="s">
        <v>53</v>
      </c>
      <c r="F65" s="31">
        <v>0.0</v>
      </c>
      <c r="G65" s="31">
        <f>IFERROR(__xludf.DUMMYFUNCTION("ArrayFormula(IFERROR(SUM(filter(TIMESHEET!$N$12:$N71,TIMESHEET!$C$12:$C71=B65,TIMESHEET!$Q$12:$Q71=""Parcial"")),""-""))"),0.0)</f>
        <v>0</v>
      </c>
      <c r="H65" s="31" t="str">
        <f>IFERROR(__xludf.DUMMYFUNCTION("iferror(sum(filter(TIMESHEET!$N35:$N71,TIMESHEET!$C35:$C71=B65,TIMESHEET!$Q35:$Q71=""Exclusivo"")),""-"")"),"-")</f>
        <v>-</v>
      </c>
    </row>
    <row r="66" hidden="1">
      <c r="A66" s="53"/>
      <c r="B66" s="53" t="s">
        <v>34</v>
      </c>
      <c r="C66" s="74">
        <f t="shared" si="8"/>
        <v>0</v>
      </c>
      <c r="D66" s="76"/>
      <c r="E66" s="32" t="s">
        <v>53</v>
      </c>
      <c r="F66" s="31">
        <v>0.0</v>
      </c>
      <c r="G66" s="31">
        <f>IFERROR(__xludf.DUMMYFUNCTION("ArrayFormula(IFERROR(SUM(filter(TIMESHEET!$N$12:$N71,TIMESHEET!$C$12:$C71=B66,TIMESHEET!$Q$12:$Q71=""Parcial"")),""-""))"),0.0)</f>
        <v>0</v>
      </c>
      <c r="H66" s="31" t="str">
        <f>IFERROR(__xludf.DUMMYFUNCTION("iferror(sum(filter(TIMESHEET!$N36:$N71,TIMESHEET!$C36:$C71=B66,TIMESHEET!$Q36:$Q71=""Exclusivo"")),""-"")"),"-")</f>
        <v>-</v>
      </c>
    </row>
    <row r="67" hidden="1">
      <c r="A67" s="53"/>
      <c r="B67" s="53" t="s">
        <v>35</v>
      </c>
      <c r="C67" s="74">
        <f t="shared" si="8"/>
        <v>0</v>
      </c>
      <c r="D67" s="76"/>
      <c r="E67" s="32" t="s">
        <v>53</v>
      </c>
      <c r="F67" s="31">
        <v>0.0</v>
      </c>
      <c r="G67" s="31">
        <f>IFERROR(__xludf.DUMMYFUNCTION("ArrayFormula(IFERROR(SUM(filter(TIMESHEET!$N$12:$N71,TIMESHEET!$C$12:$C71=B67,TIMESHEET!$Q$12:$Q71=""Parcial"")),""-""))"),0.0)</f>
        <v>0</v>
      </c>
      <c r="H67" s="31" t="str">
        <f>IFERROR(__xludf.DUMMYFUNCTION("iferror(sum(filter(TIMESHEET!$N37:$N71,TIMESHEET!$C37:$C71=B67,TIMESHEET!$Q37:$Q71=""Exclusivo"")),""-"")"),"-")</f>
        <v>-</v>
      </c>
    </row>
    <row r="68" hidden="1">
      <c r="A68" s="53"/>
      <c r="B68" s="53" t="s">
        <v>36</v>
      </c>
      <c r="C68" s="74">
        <f t="shared" si="8"/>
        <v>0</v>
      </c>
      <c r="D68" s="76"/>
      <c r="E68" s="32" t="s">
        <v>53</v>
      </c>
      <c r="F68" s="31">
        <v>0.0</v>
      </c>
      <c r="G68" s="31">
        <f>IFERROR(__xludf.DUMMYFUNCTION("ArrayFormula(IFERROR(SUM(filter(TIMESHEET!$N$12:$N71,TIMESHEET!$C$12:$C71=B68,TIMESHEET!$Q$12:$Q71=""Parcial"")),""-""))"),0.0)</f>
        <v>0</v>
      </c>
      <c r="H68" s="31" t="str">
        <f>IFERROR(__xludf.DUMMYFUNCTION("iferror(sum(filter(TIMESHEET!$N38:$N71,TIMESHEET!$C38:$C71=B68,TIMESHEET!$Q38:$Q71=""Exclusivo"")),""-"")"),"-")</f>
        <v>-</v>
      </c>
    </row>
    <row r="69" hidden="1">
      <c r="A69" s="53"/>
      <c r="B69" s="53" t="s">
        <v>37</v>
      </c>
      <c r="C69" s="74">
        <f t="shared" si="8"/>
        <v>0</v>
      </c>
      <c r="D69" s="76"/>
      <c r="E69" s="32" t="s">
        <v>53</v>
      </c>
      <c r="F69" s="31">
        <v>0.0</v>
      </c>
      <c r="G69" s="31">
        <f>IFERROR(__xludf.DUMMYFUNCTION("ArrayFormula(IFERROR(SUM(filter(TIMESHEET!$N$12:$N71,TIMESHEET!$C$12:$C71=B69,TIMESHEET!$Q$12:$Q71=""Parcial"")),""-""))"),0.0)</f>
        <v>0</v>
      </c>
      <c r="H69" s="31" t="str">
        <f>IFERROR(__xludf.DUMMYFUNCTION("iferror(sum(filter(TIMESHEET!$N39:$N71,TIMESHEET!$C39:$C71=B69,TIMESHEET!$Q39:$Q71=""Exclusivo"")),""-"")"),"-")</f>
        <v>-</v>
      </c>
    </row>
    <row r="70" hidden="1">
      <c r="A70" s="53"/>
      <c r="B70" s="53" t="s">
        <v>38</v>
      </c>
      <c r="C70" s="74">
        <f t="shared" si="8"/>
        <v>0</v>
      </c>
      <c r="D70" s="76"/>
      <c r="E70" s="32" t="s">
        <v>53</v>
      </c>
      <c r="F70" s="31">
        <v>0.0</v>
      </c>
      <c r="G70" s="31" t="str">
        <f>IFERROR(__xludf.DUMMYFUNCTION("ArrayFormula(IFERROR(SUM(filter(TIMESHEET!$N$12:$N71,TIMESHEET!$C$12:$C71=B70,TIMESHEET!$Q$12:$Q71=""Parcial"")),""-""))"),"-")</f>
        <v>-</v>
      </c>
      <c r="H70" s="31" t="str">
        <f>IFERROR(__xludf.DUMMYFUNCTION("iferror(sum(filter(TIMESHEET!$N40:$N71,TIMESHEET!$C40:$C71=B70,TIMESHEET!$Q40:$Q71=""Exclusivo"")),""-"")"),"-")</f>
        <v>-</v>
      </c>
    </row>
    <row r="71">
      <c r="A71" s="35"/>
      <c r="B71" s="35"/>
      <c r="C71" s="77">
        <f t="shared" si="8"/>
        <v>463067.1844</v>
      </c>
      <c r="D71" s="78"/>
      <c r="E71" s="77">
        <f t="shared" ref="E71:H71" si="9">SUM(E42:E70)</f>
        <v>0</v>
      </c>
      <c r="F71" s="77">
        <f t="shared" si="9"/>
        <v>363268.965</v>
      </c>
      <c r="G71" s="77">
        <f t="shared" si="9"/>
        <v>99798.21937</v>
      </c>
      <c r="H71" s="77">
        <f t="shared" si="9"/>
        <v>0</v>
      </c>
    </row>
  </sheetData>
  <mergeCells count="3">
    <mergeCell ref="G2:H3"/>
    <mergeCell ref="C30:E30"/>
    <mergeCell ref="F30:H30"/>
  </mergeCells>
  <printOptions horizontalCentered="1"/>
  <pageMargins bottom="0.19685039370078738" footer="0.0" header="0.0" left="0.19685039370078738" right="0.19685039370078738" top="0.197"/>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3" max="3" width="6.38"/>
    <col customWidth="1" min="4" max="4" width="2.0"/>
    <col customWidth="1" min="5" max="5" width="18.88"/>
    <col customWidth="1" min="8" max="9" width="2.0"/>
    <col customWidth="1" min="10" max="10" width="6.38"/>
    <col customWidth="1" min="11" max="11" width="2.0"/>
    <col customWidth="1" min="13" max="13" width="2.63"/>
    <col customWidth="1" min="14" max="14" width="2.75"/>
  </cols>
  <sheetData>
    <row r="1" ht="11.25" customHeight="1">
      <c r="A1" s="79"/>
      <c r="B1" s="79"/>
      <c r="C1" s="79"/>
      <c r="D1" s="79"/>
      <c r="E1" s="79"/>
      <c r="F1" s="79"/>
      <c r="G1" s="79"/>
      <c r="H1" s="79"/>
      <c r="I1" s="79"/>
      <c r="J1" s="79"/>
      <c r="K1" s="79"/>
      <c r="L1" s="79"/>
      <c r="M1" s="79"/>
      <c r="N1" s="79"/>
    </row>
    <row r="2">
      <c r="A2" s="79"/>
      <c r="B2" s="80" t="s">
        <v>89</v>
      </c>
      <c r="C2" s="79"/>
      <c r="D2" s="79"/>
      <c r="E2" s="79"/>
      <c r="F2" s="79"/>
      <c r="G2" s="79"/>
      <c r="H2" s="79"/>
      <c r="I2" s="79"/>
      <c r="J2" s="79"/>
      <c r="K2" s="79"/>
      <c r="L2" s="79"/>
      <c r="M2" s="79"/>
      <c r="N2" s="79"/>
    </row>
    <row r="3">
      <c r="A3" s="79"/>
      <c r="B3" s="81" t="s">
        <v>90</v>
      </c>
      <c r="C3" s="79"/>
      <c r="D3" s="79"/>
      <c r="E3" s="79"/>
      <c r="F3" s="79"/>
      <c r="G3" s="79"/>
      <c r="N3" s="79"/>
    </row>
    <row r="4">
      <c r="A4" s="79"/>
      <c r="B4" s="82" t="s">
        <v>91</v>
      </c>
      <c r="C4" s="79"/>
      <c r="D4" s="79"/>
      <c r="E4" s="79"/>
      <c r="F4" s="79"/>
      <c r="G4" s="79"/>
      <c r="H4" s="79"/>
      <c r="I4" s="83"/>
      <c r="J4" s="84" t="s">
        <v>0</v>
      </c>
      <c r="K4" s="79"/>
      <c r="L4" s="79"/>
      <c r="M4" s="85" t="b">
        <v>0</v>
      </c>
      <c r="N4" s="79"/>
    </row>
    <row r="5">
      <c r="A5" s="79"/>
      <c r="B5" s="86" t="s">
        <v>92</v>
      </c>
      <c r="G5" s="79"/>
      <c r="H5" s="79"/>
      <c r="I5" s="83"/>
      <c r="J5" s="84" t="s">
        <v>1</v>
      </c>
      <c r="K5" s="79"/>
      <c r="L5" s="79"/>
      <c r="M5" s="85" t="b">
        <v>0</v>
      </c>
      <c r="N5" s="79"/>
    </row>
    <row r="6">
      <c r="A6" s="79"/>
      <c r="G6" s="79"/>
      <c r="H6" s="79"/>
      <c r="I6" s="83"/>
      <c r="J6" s="84" t="s">
        <v>2</v>
      </c>
      <c r="K6" s="79"/>
      <c r="L6" s="79"/>
      <c r="M6" s="85" t="b">
        <v>0</v>
      </c>
      <c r="N6" s="79"/>
    </row>
    <row r="7">
      <c r="A7" s="79"/>
      <c r="B7" s="79"/>
      <c r="C7" s="79"/>
      <c r="D7" s="79"/>
      <c r="E7" s="79"/>
      <c r="F7" s="79"/>
      <c r="G7" s="79"/>
      <c r="H7" s="79"/>
      <c r="I7" s="79"/>
      <c r="J7" s="84"/>
      <c r="K7" s="79"/>
      <c r="L7" s="79"/>
      <c r="M7" s="79"/>
      <c r="N7" s="79"/>
    </row>
    <row r="8">
      <c r="A8" s="79"/>
      <c r="B8" s="80" t="s">
        <v>93</v>
      </c>
      <c r="C8" s="79"/>
      <c r="D8" s="79"/>
      <c r="E8" s="79"/>
      <c r="F8" s="79"/>
      <c r="G8" s="79"/>
      <c r="H8" s="79"/>
      <c r="N8" s="79"/>
    </row>
    <row r="9">
      <c r="A9" s="79"/>
      <c r="B9" s="81" t="s">
        <v>94</v>
      </c>
      <c r="C9" s="79"/>
      <c r="D9" s="79"/>
      <c r="E9" s="79"/>
      <c r="F9" s="79"/>
      <c r="G9" s="79"/>
      <c r="H9" s="79"/>
      <c r="I9" s="79"/>
      <c r="J9" s="79"/>
      <c r="K9" s="79"/>
      <c r="L9" s="79"/>
      <c r="M9" s="79"/>
      <c r="N9" s="79"/>
    </row>
    <row r="10">
      <c r="A10" s="79"/>
      <c r="B10" s="79"/>
      <c r="C10" s="79"/>
      <c r="D10" s="79"/>
      <c r="E10" s="79"/>
      <c r="F10" s="79"/>
      <c r="G10" s="79"/>
      <c r="H10" s="79"/>
      <c r="I10" s="79"/>
      <c r="J10" s="79"/>
      <c r="K10" s="79"/>
      <c r="L10" s="79"/>
      <c r="M10" s="79"/>
      <c r="N10" s="79"/>
    </row>
    <row r="11">
      <c r="A11" s="79"/>
      <c r="B11" s="87" t="s">
        <v>95</v>
      </c>
      <c r="C11" s="79"/>
      <c r="D11" s="83"/>
      <c r="E11" s="88"/>
      <c r="H11" s="79"/>
      <c r="I11" s="79"/>
      <c r="J11" s="79"/>
      <c r="K11" s="79"/>
      <c r="L11" s="79"/>
      <c r="M11" s="79"/>
      <c r="N11" s="79"/>
    </row>
    <row r="12">
      <c r="A12" s="79"/>
      <c r="B12" s="79"/>
      <c r="C12" s="79"/>
      <c r="D12" s="79"/>
      <c r="E12" s="79"/>
      <c r="F12" s="79"/>
      <c r="G12" s="79"/>
      <c r="H12" s="79"/>
      <c r="I12" s="83"/>
      <c r="J12" s="84" t="s">
        <v>96</v>
      </c>
      <c r="K12" s="89"/>
      <c r="L12" s="89"/>
      <c r="M12" s="90" t="s">
        <v>97</v>
      </c>
      <c r="N12" s="79"/>
    </row>
    <row r="13">
      <c r="A13" s="79"/>
      <c r="B13" s="87" t="s">
        <v>98</v>
      </c>
      <c r="C13" s="79"/>
      <c r="D13" s="83"/>
      <c r="E13" s="91"/>
      <c r="G13" s="92"/>
      <c r="H13" s="79"/>
      <c r="I13" s="83"/>
      <c r="J13" s="84" t="s">
        <v>99</v>
      </c>
      <c r="K13" s="89"/>
      <c r="L13" s="89"/>
      <c r="M13" s="90" t="s">
        <v>97</v>
      </c>
      <c r="N13" s="79"/>
    </row>
    <row r="14">
      <c r="A14" s="79"/>
      <c r="B14" s="79"/>
      <c r="C14" s="79"/>
      <c r="D14" s="79"/>
      <c r="E14" s="79"/>
      <c r="F14" s="79"/>
      <c r="G14" s="79"/>
      <c r="H14" s="79"/>
      <c r="I14" s="83"/>
      <c r="J14" s="84" t="s">
        <v>100</v>
      </c>
      <c r="K14" s="89"/>
      <c r="L14" s="89"/>
      <c r="M14" s="90" t="s">
        <v>97</v>
      </c>
      <c r="N14" s="79"/>
    </row>
    <row r="15">
      <c r="A15" s="79"/>
      <c r="B15" s="87" t="s">
        <v>101</v>
      </c>
      <c r="C15" s="79"/>
      <c r="D15" s="83"/>
      <c r="E15" s="88"/>
      <c r="H15" s="93"/>
      <c r="I15" s="93"/>
      <c r="J15" s="94"/>
      <c r="K15" s="94"/>
      <c r="L15" s="94"/>
      <c r="M15" s="94"/>
      <c r="N15" s="79"/>
    </row>
    <row r="16">
      <c r="A16" s="79"/>
      <c r="B16" s="79"/>
      <c r="C16" s="79"/>
      <c r="D16" s="79"/>
      <c r="E16" s="79"/>
      <c r="F16" s="79"/>
      <c r="G16" s="79"/>
      <c r="H16" s="79"/>
      <c r="I16" s="83"/>
      <c r="J16" s="84" t="s">
        <v>102</v>
      </c>
      <c r="K16" s="89"/>
      <c r="L16" s="89"/>
      <c r="M16" s="90" t="s">
        <v>97</v>
      </c>
      <c r="N16" s="79"/>
    </row>
    <row r="17">
      <c r="A17" s="79"/>
      <c r="B17" s="87" t="s">
        <v>103</v>
      </c>
      <c r="C17" s="79"/>
      <c r="D17" s="83"/>
      <c r="E17" s="91"/>
      <c r="G17" s="92"/>
      <c r="H17" s="79"/>
      <c r="I17" s="83"/>
      <c r="J17" s="84" t="s">
        <v>104</v>
      </c>
      <c r="K17" s="89"/>
      <c r="L17" s="89"/>
      <c r="M17" s="90" t="s">
        <v>97</v>
      </c>
      <c r="N17" s="79"/>
    </row>
    <row r="18">
      <c r="A18" s="79"/>
      <c r="B18" s="95"/>
      <c r="C18" s="96"/>
      <c r="D18" s="96"/>
      <c r="E18" s="96"/>
      <c r="F18" s="79"/>
      <c r="G18" s="79"/>
      <c r="H18" s="79"/>
      <c r="I18" s="83"/>
      <c r="J18" s="97" t="s">
        <v>105</v>
      </c>
      <c r="K18" s="98"/>
      <c r="L18" s="98"/>
      <c r="M18" s="99" t="s">
        <v>97</v>
      </c>
      <c r="N18" s="79"/>
    </row>
    <row r="19">
      <c r="A19" s="79"/>
      <c r="B19" s="87" t="s">
        <v>106</v>
      </c>
      <c r="C19" s="79"/>
      <c r="D19" s="83"/>
      <c r="E19" s="88"/>
      <c r="H19" s="79"/>
      <c r="I19" s="79"/>
      <c r="J19" s="100" t="s">
        <v>107</v>
      </c>
      <c r="N19" s="79"/>
    </row>
    <row r="20">
      <c r="A20" s="79"/>
      <c r="B20" s="79"/>
      <c r="C20" s="79"/>
      <c r="D20" s="79"/>
      <c r="E20" s="79"/>
      <c r="F20" s="79"/>
      <c r="G20" s="79"/>
      <c r="H20" s="79"/>
      <c r="I20" s="83"/>
      <c r="J20" s="84" t="s">
        <v>108</v>
      </c>
      <c r="K20" s="89"/>
      <c r="L20" s="89"/>
      <c r="M20" s="90" t="s">
        <v>97</v>
      </c>
      <c r="N20" s="79"/>
    </row>
    <row r="21">
      <c r="A21" s="79"/>
      <c r="B21" s="87" t="s">
        <v>109</v>
      </c>
      <c r="C21" s="79"/>
      <c r="D21" s="83"/>
      <c r="E21" s="91"/>
      <c r="G21" s="92"/>
      <c r="H21" s="79"/>
      <c r="I21" s="83"/>
      <c r="J21" s="84" t="s">
        <v>110</v>
      </c>
      <c r="K21" s="89"/>
      <c r="L21" s="89"/>
      <c r="M21" s="90" t="s">
        <v>97</v>
      </c>
      <c r="N21" s="79"/>
    </row>
    <row r="22">
      <c r="A22" s="79"/>
      <c r="B22" s="79"/>
      <c r="C22" s="79"/>
      <c r="D22" s="79"/>
      <c r="E22" s="79"/>
      <c r="F22" s="79"/>
      <c r="G22" s="79"/>
      <c r="H22" s="79"/>
      <c r="I22" s="83"/>
      <c r="J22" s="84" t="s">
        <v>111</v>
      </c>
      <c r="K22" s="89"/>
      <c r="L22" s="89"/>
      <c r="M22" s="90" t="s">
        <v>97</v>
      </c>
      <c r="N22" s="79"/>
    </row>
    <row r="23">
      <c r="A23" s="79"/>
      <c r="B23" s="87" t="s">
        <v>112</v>
      </c>
      <c r="C23" s="79"/>
      <c r="D23" s="83"/>
      <c r="E23" s="88"/>
      <c r="H23" s="79"/>
      <c r="I23" s="79"/>
      <c r="J23" s="79"/>
      <c r="K23" s="79"/>
      <c r="L23" s="79"/>
      <c r="M23" s="79"/>
      <c r="N23" s="79"/>
    </row>
    <row r="24">
      <c r="A24" s="79"/>
      <c r="B24" s="79"/>
      <c r="C24" s="79"/>
      <c r="D24" s="79"/>
      <c r="E24" s="79"/>
      <c r="F24" s="79"/>
      <c r="G24" s="79"/>
      <c r="H24" s="79"/>
      <c r="I24" s="79"/>
      <c r="J24" s="79"/>
      <c r="K24" s="79"/>
      <c r="L24" s="79"/>
      <c r="M24" s="79"/>
      <c r="N24" s="79"/>
    </row>
    <row r="25">
      <c r="A25" s="79"/>
      <c r="B25" s="87" t="s">
        <v>113</v>
      </c>
      <c r="C25" s="79"/>
      <c r="D25" s="83"/>
      <c r="E25" s="88"/>
      <c r="M25" s="79"/>
      <c r="N25" s="79"/>
    </row>
    <row r="26">
      <c r="A26" s="79"/>
      <c r="B26" s="79"/>
      <c r="C26" s="79"/>
      <c r="D26" s="79"/>
      <c r="E26" s="79"/>
      <c r="F26" s="79"/>
      <c r="G26" s="79"/>
      <c r="H26" s="79"/>
      <c r="I26" s="79"/>
      <c r="J26" s="79"/>
      <c r="K26" s="79"/>
      <c r="L26" s="79"/>
      <c r="M26" s="79"/>
      <c r="N26" s="79"/>
    </row>
    <row r="27">
      <c r="A27" s="79"/>
      <c r="B27" s="87" t="s">
        <v>114</v>
      </c>
      <c r="C27" s="79"/>
      <c r="D27" s="83"/>
      <c r="E27" s="101" t="s">
        <v>115</v>
      </c>
      <c r="F27" s="102" t="s">
        <v>116</v>
      </c>
      <c r="G27" s="101" t="s">
        <v>117</v>
      </c>
      <c r="H27" s="103" t="s">
        <v>118</v>
      </c>
      <c r="I27" s="104"/>
      <c r="J27" s="95"/>
      <c r="K27" s="95"/>
      <c r="L27" s="92"/>
      <c r="M27" s="79"/>
      <c r="N27" s="79"/>
    </row>
    <row r="28">
      <c r="A28" s="79"/>
      <c r="B28" s="105"/>
      <c r="D28" s="83"/>
      <c r="E28" s="91" t="s">
        <v>119</v>
      </c>
      <c r="F28" s="106" t="s">
        <v>120</v>
      </c>
      <c r="G28" s="106" t="s">
        <v>121</v>
      </c>
      <c r="H28" s="107" t="b">
        <v>0</v>
      </c>
      <c r="J28" s="95"/>
      <c r="K28" s="83"/>
      <c r="L28" s="84" t="s">
        <v>77</v>
      </c>
      <c r="M28" s="90" t="s">
        <v>97</v>
      </c>
      <c r="N28" s="79"/>
    </row>
    <row r="29">
      <c r="A29" s="79"/>
      <c r="D29" s="83"/>
      <c r="E29" s="91" t="s">
        <v>122</v>
      </c>
      <c r="F29" s="106" t="s">
        <v>123</v>
      </c>
      <c r="G29" s="106" t="s">
        <v>121</v>
      </c>
      <c r="H29" s="107" t="b">
        <v>0</v>
      </c>
      <c r="J29" s="95"/>
      <c r="K29" s="83"/>
      <c r="L29" s="84" t="s">
        <v>79</v>
      </c>
      <c r="M29" s="79"/>
      <c r="N29" s="79"/>
    </row>
    <row r="30">
      <c r="A30" s="79"/>
      <c r="B30" s="79"/>
      <c r="C30" s="79"/>
      <c r="D30" s="83"/>
      <c r="E30" s="91" t="s">
        <v>124</v>
      </c>
      <c r="F30" s="106" t="s">
        <v>125</v>
      </c>
      <c r="G30" s="106" t="s">
        <v>121</v>
      </c>
      <c r="H30" s="107" t="b">
        <v>0</v>
      </c>
      <c r="J30" s="95"/>
      <c r="K30" s="83"/>
      <c r="L30" s="84" t="s">
        <v>121</v>
      </c>
      <c r="M30" s="79"/>
      <c r="N30" s="79"/>
    </row>
    <row r="31">
      <c r="A31" s="79"/>
      <c r="B31" s="79"/>
      <c r="C31" s="79"/>
      <c r="D31" s="83"/>
      <c r="E31" s="91" t="s">
        <v>126</v>
      </c>
      <c r="F31" s="106" t="s">
        <v>127</v>
      </c>
      <c r="G31" s="106" t="s">
        <v>121</v>
      </c>
      <c r="H31" s="107" t="b">
        <v>0</v>
      </c>
      <c r="J31" s="95"/>
      <c r="K31" s="83"/>
      <c r="L31" s="84" t="s">
        <v>81</v>
      </c>
      <c r="M31" s="79"/>
      <c r="N31" s="79"/>
    </row>
    <row r="32">
      <c r="A32" s="79"/>
      <c r="B32" s="79"/>
      <c r="C32" s="79"/>
      <c r="D32" s="83"/>
      <c r="E32" s="91" t="s">
        <v>128</v>
      </c>
      <c r="F32" s="106" t="s">
        <v>120</v>
      </c>
      <c r="G32" s="106" t="s">
        <v>79</v>
      </c>
      <c r="H32" s="107" t="b">
        <v>0</v>
      </c>
      <c r="J32" s="79"/>
      <c r="K32" s="83"/>
      <c r="L32" s="84" t="s">
        <v>82</v>
      </c>
      <c r="M32" s="79"/>
      <c r="N32" s="79"/>
    </row>
    <row r="33">
      <c r="A33" s="79"/>
      <c r="B33" s="79"/>
      <c r="C33" s="79"/>
      <c r="D33" s="83"/>
      <c r="E33" s="91" t="s">
        <v>129</v>
      </c>
      <c r="F33" s="106" t="s">
        <v>130</v>
      </c>
      <c r="G33" s="106" t="s">
        <v>81</v>
      </c>
      <c r="H33" s="107" t="b">
        <v>0</v>
      </c>
      <c r="J33" s="79"/>
      <c r="K33" s="79"/>
      <c r="L33" s="79"/>
      <c r="M33" s="79"/>
      <c r="N33" s="79"/>
    </row>
    <row r="34">
      <c r="A34" s="79"/>
      <c r="B34" s="87"/>
      <c r="C34" s="79"/>
      <c r="D34" s="79"/>
      <c r="E34" s="91" t="s">
        <v>131</v>
      </c>
      <c r="F34" s="106" t="s">
        <v>120</v>
      </c>
      <c r="G34" s="106" t="s">
        <v>79</v>
      </c>
      <c r="H34" s="107" t="b">
        <v>0</v>
      </c>
      <c r="J34" s="79"/>
      <c r="K34" s="79"/>
      <c r="L34" s="79"/>
      <c r="M34" s="79"/>
      <c r="N34" s="79"/>
    </row>
    <row r="35">
      <c r="A35" s="79"/>
      <c r="B35" s="87"/>
      <c r="C35" s="79"/>
      <c r="D35" s="79"/>
      <c r="E35" s="91" t="s">
        <v>132</v>
      </c>
      <c r="F35" s="91" t="s">
        <v>133</v>
      </c>
      <c r="G35" s="91" t="s">
        <v>81</v>
      </c>
      <c r="H35" s="107" t="b">
        <v>0</v>
      </c>
      <c r="J35" s="79"/>
      <c r="K35" s="79"/>
      <c r="L35" s="79"/>
      <c r="M35" s="79"/>
      <c r="N35" s="79"/>
    </row>
    <row r="36">
      <c r="A36" s="79"/>
      <c r="B36" s="87"/>
      <c r="C36" s="79"/>
      <c r="D36" s="79"/>
      <c r="E36" s="91" t="s">
        <v>134</v>
      </c>
      <c r="F36" s="91" t="s">
        <v>135</v>
      </c>
      <c r="G36" s="91" t="s">
        <v>81</v>
      </c>
      <c r="H36" s="107" t="b">
        <v>0</v>
      </c>
      <c r="J36" s="79"/>
      <c r="K36" s="79"/>
      <c r="L36" s="79"/>
      <c r="M36" s="79"/>
      <c r="N36" s="79"/>
    </row>
    <row r="37">
      <c r="A37" s="79"/>
      <c r="B37" s="87"/>
      <c r="C37" s="79"/>
      <c r="D37" s="79"/>
      <c r="E37" s="91" t="s">
        <v>136</v>
      </c>
      <c r="F37" s="91" t="s">
        <v>120</v>
      </c>
      <c r="G37" s="91" t="s">
        <v>82</v>
      </c>
      <c r="H37" s="107" t="b">
        <v>0</v>
      </c>
      <c r="J37" s="79"/>
      <c r="K37" s="79"/>
      <c r="L37" s="79"/>
      <c r="M37" s="79"/>
      <c r="N37" s="79"/>
    </row>
    <row r="38">
      <c r="A38" s="79"/>
      <c r="B38" s="87"/>
      <c r="C38" s="79"/>
      <c r="D38" s="79"/>
      <c r="E38" s="91" t="s">
        <v>137</v>
      </c>
      <c r="F38" s="91" t="s">
        <v>138</v>
      </c>
      <c r="G38" s="91" t="s">
        <v>121</v>
      </c>
      <c r="H38" s="107" t="b">
        <v>0</v>
      </c>
      <c r="J38" s="79"/>
      <c r="K38" s="79"/>
      <c r="L38" s="79"/>
      <c r="M38" s="79"/>
      <c r="N38" s="79"/>
    </row>
    <row r="39">
      <c r="A39" s="79"/>
      <c r="B39" s="87"/>
      <c r="C39" s="79"/>
      <c r="D39" s="79"/>
      <c r="E39" s="91" t="s">
        <v>139</v>
      </c>
      <c r="F39" s="91" t="s">
        <v>140</v>
      </c>
      <c r="G39" s="91"/>
      <c r="H39" s="79"/>
      <c r="I39" s="79"/>
      <c r="J39" s="79"/>
      <c r="K39" s="79"/>
      <c r="L39" s="79"/>
      <c r="M39" s="79"/>
      <c r="N39" s="79"/>
    </row>
    <row r="40">
      <c r="A40" s="79"/>
      <c r="B40" s="87"/>
      <c r="C40" s="79"/>
      <c r="D40" s="79"/>
      <c r="E40" s="91" t="s">
        <v>141</v>
      </c>
      <c r="F40" s="91" t="s">
        <v>140</v>
      </c>
      <c r="G40" s="91"/>
      <c r="H40" s="79"/>
      <c r="I40" s="79"/>
      <c r="J40" s="79"/>
      <c r="K40" s="79"/>
      <c r="L40" s="79"/>
      <c r="M40" s="79"/>
      <c r="N40" s="79"/>
    </row>
    <row r="41">
      <c r="A41" s="79"/>
      <c r="B41" s="87"/>
      <c r="C41" s="79"/>
      <c r="D41" s="79"/>
      <c r="E41" s="91" t="s">
        <v>142</v>
      </c>
      <c r="F41" s="91" t="s">
        <v>140</v>
      </c>
      <c r="G41" s="91"/>
      <c r="H41" s="79"/>
      <c r="I41" s="79"/>
      <c r="J41" s="79"/>
      <c r="K41" s="79"/>
      <c r="L41" s="79"/>
      <c r="M41" s="79"/>
      <c r="N41" s="79"/>
    </row>
    <row r="42">
      <c r="A42" s="79"/>
      <c r="B42" s="87"/>
      <c r="C42" s="79"/>
      <c r="D42" s="79"/>
      <c r="E42" s="91" t="s">
        <v>143</v>
      </c>
      <c r="F42" s="91"/>
      <c r="G42" s="91"/>
      <c r="H42" s="79"/>
      <c r="I42" s="79"/>
      <c r="J42" s="79"/>
      <c r="K42" s="79"/>
      <c r="L42" s="79"/>
      <c r="M42" s="79"/>
      <c r="N42" s="79"/>
    </row>
    <row r="43">
      <c r="A43" s="79"/>
      <c r="B43" s="87"/>
      <c r="C43" s="79"/>
      <c r="D43" s="79"/>
      <c r="E43" s="91" t="s">
        <v>144</v>
      </c>
      <c r="F43" s="91"/>
      <c r="G43" s="91"/>
      <c r="H43" s="79"/>
      <c r="I43" s="79"/>
      <c r="J43" s="79"/>
      <c r="K43" s="79"/>
      <c r="L43" s="79"/>
      <c r="M43" s="79"/>
      <c r="N43" s="79"/>
    </row>
    <row r="44">
      <c r="A44" s="79"/>
      <c r="B44" s="87"/>
      <c r="C44" s="79"/>
      <c r="D44" s="79"/>
      <c r="E44" s="91" t="s">
        <v>145</v>
      </c>
      <c r="F44" s="91"/>
      <c r="G44" s="91"/>
      <c r="H44" s="79"/>
      <c r="I44" s="79"/>
      <c r="J44" s="79"/>
      <c r="K44" s="79"/>
      <c r="L44" s="79"/>
      <c r="M44" s="79"/>
      <c r="N44" s="79"/>
    </row>
    <row r="45">
      <c r="A45" s="79"/>
      <c r="B45" s="87"/>
      <c r="C45" s="79"/>
      <c r="D45" s="79"/>
      <c r="E45" s="91" t="s">
        <v>146</v>
      </c>
      <c r="F45" s="91"/>
      <c r="G45" s="91"/>
      <c r="H45" s="79"/>
      <c r="I45" s="79"/>
      <c r="J45" s="79"/>
      <c r="K45" s="79"/>
      <c r="L45" s="79"/>
      <c r="M45" s="79"/>
      <c r="N45" s="79"/>
    </row>
    <row r="46">
      <c r="A46" s="79"/>
      <c r="B46" s="87"/>
      <c r="C46" s="79"/>
      <c r="D46" s="79"/>
      <c r="E46" s="79"/>
      <c r="F46" s="79"/>
      <c r="G46" s="79"/>
      <c r="H46" s="79"/>
      <c r="I46" s="79"/>
      <c r="J46" s="79"/>
      <c r="K46" s="79"/>
      <c r="L46" s="79"/>
      <c r="M46" s="79"/>
      <c r="N46" s="79"/>
    </row>
    <row r="47">
      <c r="A47" s="79"/>
      <c r="B47" s="87" t="s">
        <v>147</v>
      </c>
      <c r="C47" s="79"/>
      <c r="D47" s="79"/>
      <c r="E47" s="79"/>
      <c r="F47" s="79"/>
      <c r="G47" s="79"/>
      <c r="H47" s="79"/>
      <c r="I47" s="79"/>
      <c r="J47" s="79"/>
      <c r="K47" s="79"/>
      <c r="L47" s="79"/>
      <c r="M47" s="79"/>
      <c r="N47" s="79"/>
    </row>
    <row r="48">
      <c r="A48" s="79"/>
      <c r="B48" s="84" t="s">
        <v>148</v>
      </c>
      <c r="C48" s="79"/>
      <c r="D48" s="79"/>
      <c r="E48" s="79"/>
      <c r="F48" s="79"/>
      <c r="G48" s="79"/>
      <c r="H48" s="79"/>
      <c r="I48" s="79"/>
      <c r="J48" s="79"/>
      <c r="K48" s="79"/>
      <c r="L48" s="79"/>
      <c r="M48" s="79"/>
      <c r="N48" s="79"/>
    </row>
    <row r="49">
      <c r="A49" s="79"/>
      <c r="B49" s="79"/>
      <c r="C49" s="79"/>
      <c r="D49" s="79"/>
      <c r="E49" s="79"/>
      <c r="F49" s="79"/>
      <c r="G49" s="79"/>
      <c r="H49" s="79"/>
      <c r="I49" s="79"/>
      <c r="J49" s="79"/>
      <c r="K49" s="79"/>
      <c r="L49" s="79"/>
      <c r="M49" s="79"/>
      <c r="N49" s="79"/>
    </row>
    <row r="50">
      <c r="A50" s="79"/>
      <c r="B50" s="79"/>
      <c r="C50" s="79"/>
      <c r="D50" s="79"/>
      <c r="E50" s="79"/>
      <c r="F50" s="79"/>
      <c r="G50" s="79"/>
      <c r="H50" s="79"/>
      <c r="I50" s="79"/>
      <c r="J50" s="79"/>
      <c r="K50" s="79"/>
      <c r="L50" s="79"/>
      <c r="M50" s="79"/>
      <c r="N50" s="79"/>
    </row>
    <row r="51">
      <c r="A51" s="79"/>
      <c r="B51" s="79"/>
      <c r="C51" s="79"/>
      <c r="D51" s="79"/>
      <c r="E51" s="79"/>
      <c r="F51" s="79"/>
      <c r="G51" s="79"/>
      <c r="H51" s="79"/>
      <c r="I51" s="79"/>
      <c r="J51" s="79"/>
      <c r="K51" s="79"/>
      <c r="L51" s="79"/>
      <c r="M51" s="79"/>
      <c r="N51" s="79"/>
    </row>
    <row r="52">
      <c r="A52" s="79"/>
      <c r="B52" s="79"/>
      <c r="C52" s="79"/>
      <c r="D52" s="79"/>
      <c r="E52" s="79"/>
      <c r="F52" s="79"/>
      <c r="G52" s="79"/>
      <c r="H52" s="79"/>
      <c r="I52" s="79"/>
      <c r="J52" s="79"/>
      <c r="K52" s="79"/>
      <c r="L52" s="79"/>
      <c r="M52" s="79"/>
      <c r="N52" s="79"/>
    </row>
    <row r="53">
      <c r="A53" s="79"/>
      <c r="B53" s="79"/>
      <c r="C53" s="79"/>
      <c r="D53" s="79"/>
      <c r="E53" s="79"/>
      <c r="F53" s="79"/>
      <c r="G53" s="79"/>
      <c r="H53" s="79"/>
      <c r="I53" s="79"/>
      <c r="J53" s="79"/>
      <c r="K53" s="79"/>
      <c r="L53" s="79"/>
      <c r="M53" s="79"/>
      <c r="N53" s="79"/>
    </row>
    <row r="54">
      <c r="A54" s="79"/>
      <c r="B54" s="79"/>
      <c r="C54" s="79"/>
      <c r="D54" s="79"/>
      <c r="E54" s="79"/>
      <c r="F54" s="79"/>
      <c r="G54" s="79"/>
      <c r="H54" s="79"/>
      <c r="I54" s="79"/>
      <c r="J54" s="79"/>
      <c r="K54" s="79"/>
      <c r="L54" s="79"/>
      <c r="M54" s="79"/>
      <c r="N54" s="79"/>
    </row>
    <row r="55">
      <c r="A55" s="79"/>
      <c r="B55" s="79"/>
      <c r="C55" s="79"/>
      <c r="D55" s="79"/>
      <c r="E55" s="79"/>
      <c r="F55" s="79"/>
      <c r="G55" s="79"/>
      <c r="H55" s="79"/>
      <c r="I55" s="79"/>
      <c r="J55" s="79"/>
      <c r="K55" s="79"/>
      <c r="L55" s="79"/>
      <c r="M55" s="79"/>
      <c r="N55" s="79"/>
    </row>
    <row r="56">
      <c r="A56" s="79"/>
      <c r="B56" s="79"/>
      <c r="C56" s="79"/>
      <c r="D56" s="79"/>
      <c r="E56" s="79"/>
      <c r="F56" s="79"/>
      <c r="G56" s="79"/>
      <c r="H56" s="79"/>
      <c r="I56" s="79"/>
      <c r="J56" s="79"/>
      <c r="K56" s="79"/>
      <c r="L56" s="79"/>
      <c r="M56" s="79"/>
      <c r="N56" s="79"/>
    </row>
    <row r="57">
      <c r="A57" s="79"/>
      <c r="B57" s="79"/>
      <c r="C57" s="79"/>
      <c r="D57" s="79"/>
      <c r="E57" s="79"/>
      <c r="F57" s="79"/>
      <c r="G57" s="79"/>
      <c r="H57" s="79"/>
      <c r="I57" s="79"/>
      <c r="J57" s="79"/>
      <c r="K57" s="79"/>
      <c r="L57" s="79"/>
      <c r="M57" s="79"/>
      <c r="N57" s="79"/>
    </row>
  </sheetData>
  <mergeCells count="23">
    <mergeCell ref="B5:F6"/>
    <mergeCell ref="E11:G11"/>
    <mergeCell ref="E13:F13"/>
    <mergeCell ref="E15:G15"/>
    <mergeCell ref="E17:F17"/>
    <mergeCell ref="E19:G19"/>
    <mergeCell ref="J19:M19"/>
    <mergeCell ref="E21:F21"/>
    <mergeCell ref="E23:G23"/>
    <mergeCell ref="E25:L25"/>
    <mergeCell ref="H27:I27"/>
    <mergeCell ref="B28:C29"/>
    <mergeCell ref="H28:I28"/>
    <mergeCell ref="H29:I29"/>
    <mergeCell ref="H37:I37"/>
    <mergeCell ref="H38:I38"/>
    <mergeCell ref="H30:I30"/>
    <mergeCell ref="H31:I31"/>
    <mergeCell ref="H32:I32"/>
    <mergeCell ref="H33:I33"/>
    <mergeCell ref="H34:I34"/>
    <mergeCell ref="H35:I35"/>
    <mergeCell ref="H36:I36"/>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45">
      <formula1>$L$28:$L$32</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10.63"/>
    <col customWidth="1" min="3" max="3" width="12.63"/>
    <col customWidth="1" min="4" max="4" width="31.38"/>
    <col customWidth="1" min="5" max="5" width="18.88"/>
    <col customWidth="1" min="6" max="7" width="25.13"/>
    <col customWidth="1" min="8" max="8" width="5.13"/>
  </cols>
  <sheetData>
    <row r="1" ht="11.25" customHeight="1">
      <c r="A1" s="108"/>
      <c r="B1" s="108"/>
      <c r="C1" s="108"/>
      <c r="D1" s="108"/>
      <c r="E1" s="109"/>
      <c r="F1" s="108"/>
      <c r="G1" s="108"/>
      <c r="H1" s="108"/>
    </row>
    <row r="2">
      <c r="A2" s="108"/>
      <c r="B2" s="80" t="s">
        <v>89</v>
      </c>
      <c r="C2" s="79"/>
      <c r="D2" s="79"/>
      <c r="E2" s="110"/>
      <c r="F2" s="79"/>
      <c r="G2" s="79"/>
      <c r="H2" s="108"/>
    </row>
    <row r="3">
      <c r="A3" s="108"/>
      <c r="B3" s="81" t="s">
        <v>149</v>
      </c>
      <c r="C3" s="79"/>
      <c r="D3" s="79"/>
      <c r="E3" s="110"/>
      <c r="F3" s="79"/>
      <c r="G3" s="79"/>
      <c r="H3" s="108"/>
    </row>
    <row r="4">
      <c r="A4" s="108"/>
      <c r="B4" s="82" t="s">
        <v>150</v>
      </c>
      <c r="C4" s="79"/>
      <c r="D4" s="79"/>
      <c r="E4" s="110"/>
      <c r="F4" s="79"/>
      <c r="G4" s="79"/>
      <c r="H4" s="108"/>
    </row>
    <row r="5">
      <c r="A5" s="108"/>
      <c r="B5" s="111" t="s">
        <v>151</v>
      </c>
      <c r="E5" s="86"/>
      <c r="F5" s="86"/>
      <c r="G5" s="86"/>
      <c r="H5" s="108"/>
    </row>
    <row r="6">
      <c r="A6" s="108"/>
      <c r="E6" s="86"/>
      <c r="F6" s="86"/>
      <c r="G6" s="86"/>
      <c r="H6" s="108"/>
    </row>
    <row r="7">
      <c r="A7" s="108"/>
      <c r="B7" s="79"/>
      <c r="C7" s="79"/>
      <c r="D7" s="79"/>
      <c r="E7" s="110"/>
      <c r="F7" s="79"/>
      <c r="G7" s="79"/>
      <c r="H7" s="108"/>
    </row>
    <row r="8">
      <c r="A8" s="108"/>
      <c r="B8" s="80" t="s">
        <v>152</v>
      </c>
      <c r="C8" s="79"/>
      <c r="D8" s="79"/>
      <c r="E8" s="110"/>
      <c r="F8" s="79"/>
      <c r="G8" s="79"/>
      <c r="H8" s="108"/>
    </row>
    <row r="9">
      <c r="A9" s="108"/>
      <c r="B9" s="81" t="s">
        <v>153</v>
      </c>
      <c r="C9" s="79"/>
      <c r="D9" s="79"/>
      <c r="E9" s="110"/>
      <c r="F9" s="79"/>
      <c r="G9" s="79"/>
      <c r="H9" s="108"/>
    </row>
    <row r="10">
      <c r="A10" s="108"/>
      <c r="B10" s="108"/>
      <c r="C10" s="108"/>
      <c r="D10" s="108"/>
      <c r="E10" s="109"/>
      <c r="F10" s="108"/>
      <c r="G10" s="108"/>
      <c r="H10" s="108"/>
    </row>
    <row r="11">
      <c r="A11" s="108"/>
      <c r="B11" s="112" t="s">
        <v>154</v>
      </c>
      <c r="C11" s="112" t="s">
        <v>155</v>
      </c>
      <c r="D11" s="112" t="s">
        <v>156</v>
      </c>
      <c r="E11" s="113" t="s">
        <v>157</v>
      </c>
      <c r="F11" s="112" t="s">
        <v>158</v>
      </c>
      <c r="G11" s="112" t="s">
        <v>159</v>
      </c>
      <c r="H11" s="108"/>
    </row>
    <row r="12">
      <c r="A12" s="89"/>
      <c r="B12" s="84"/>
      <c r="C12" s="111"/>
      <c r="D12" s="111"/>
      <c r="E12" s="114"/>
      <c r="F12" s="115"/>
      <c r="G12" s="111"/>
      <c r="H12" s="89"/>
    </row>
    <row r="13">
      <c r="A13" s="89"/>
      <c r="B13" s="84"/>
      <c r="C13" s="111"/>
      <c r="D13" s="111"/>
      <c r="E13" s="114"/>
      <c r="F13" s="115"/>
      <c r="G13" s="111"/>
      <c r="H13" s="89"/>
    </row>
    <row r="14">
      <c r="A14" s="89"/>
      <c r="B14" s="84"/>
      <c r="C14" s="111"/>
      <c r="D14" s="111"/>
      <c r="E14" s="114"/>
      <c r="F14" s="115"/>
      <c r="G14" s="111"/>
      <c r="H14" s="89"/>
    </row>
    <row r="15">
      <c r="A15" s="89"/>
      <c r="B15" s="84"/>
      <c r="C15" s="111"/>
      <c r="D15" s="111"/>
      <c r="E15" s="114"/>
      <c r="F15" s="115"/>
      <c r="G15" s="111"/>
      <c r="H15" s="89"/>
    </row>
    <row r="16">
      <c r="A16" s="89"/>
      <c r="B16" s="84"/>
      <c r="C16" s="111"/>
      <c r="D16" s="111"/>
      <c r="E16" s="114"/>
      <c r="F16" s="115"/>
      <c r="G16" s="111"/>
      <c r="H16" s="89"/>
    </row>
    <row r="17">
      <c r="A17" s="89"/>
      <c r="B17" s="84"/>
      <c r="C17" s="111"/>
      <c r="D17" s="111"/>
      <c r="E17" s="114"/>
      <c r="F17" s="115"/>
      <c r="G17" s="111"/>
      <c r="H17" s="89"/>
    </row>
    <row r="18">
      <c r="A18" s="89"/>
      <c r="B18" s="84"/>
      <c r="C18" s="111"/>
      <c r="D18" s="111"/>
      <c r="E18" s="114"/>
      <c r="F18" s="115"/>
      <c r="G18" s="111"/>
      <c r="H18" s="89"/>
    </row>
    <row r="19">
      <c r="A19" s="89"/>
      <c r="B19" s="84"/>
      <c r="C19" s="111"/>
      <c r="D19" s="111"/>
      <c r="E19" s="114"/>
      <c r="F19" s="115"/>
      <c r="G19" s="111"/>
      <c r="H19" s="89"/>
    </row>
    <row r="20">
      <c r="A20" s="89"/>
      <c r="B20" s="84"/>
      <c r="C20" s="111"/>
      <c r="D20" s="111"/>
      <c r="E20" s="114"/>
      <c r="F20" s="115"/>
      <c r="G20" s="111"/>
      <c r="H20" s="89"/>
    </row>
    <row r="21">
      <c r="A21" s="89"/>
      <c r="B21" s="84"/>
      <c r="C21" s="111"/>
      <c r="D21" s="111"/>
      <c r="E21" s="114"/>
      <c r="F21" s="115"/>
      <c r="G21" s="111"/>
      <c r="H21" s="89"/>
    </row>
  </sheetData>
  <mergeCells count="1">
    <mergeCell ref="B5:D6"/>
  </mergeCells>
  <conditionalFormatting sqref="E12:E21">
    <cfRule type="containsText" dxfId="0" priority="1" operator="containsText" text="Disponibilizado">
      <formula>NOT(ISERROR(SEARCH(("Disponibilizado"),(E12))))</formula>
    </cfRule>
  </conditionalFormatting>
  <conditionalFormatting sqref="E12:E21">
    <cfRule type="containsText" dxfId="1" priority="2" operator="containsText" text="Parcial">
      <formula>NOT(ISERROR(SEARCH(("Parcial"),(E12))))</formula>
    </cfRule>
  </conditionalFormatting>
  <conditionalFormatting sqref="E12:E21">
    <cfRule type="containsText" dxfId="2" priority="3" operator="containsText" text="Pendente">
      <formula>NOT(ISERROR(SEARCH(("Pendente"),(E12))))</formula>
    </cfRule>
  </conditionalFormatting>
  <dataValidations>
    <dataValidation type="list" allowBlank="1" sqref="E12:E21">
      <formula1>"Disponibilizado,Parcial,Pendente"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showGridLines="0" workbookViewId="0"/>
  </sheetViews>
  <sheetFormatPr customHeight="1" defaultColWidth="12.63" defaultRowHeight="15.75"/>
  <cols>
    <col customWidth="1" min="1" max="1" width="3.88"/>
    <col customWidth="1" min="2" max="2" width="17.0"/>
    <col customWidth="1" min="3" max="3" width="12.63"/>
    <col customWidth="1" min="4" max="4" width="8.13"/>
    <col customWidth="1" min="5" max="5" width="18.88"/>
    <col customWidth="1" min="6" max="6" width="11.5"/>
    <col customWidth="1" min="7" max="7" width="10.38"/>
    <col customWidth="1" min="8" max="23" width="11.38"/>
  </cols>
  <sheetData>
    <row r="1" ht="11.25" customHeight="1">
      <c r="A1" s="108"/>
      <c r="B1" s="108"/>
      <c r="C1" s="108"/>
      <c r="D1" s="108"/>
      <c r="E1" s="116"/>
      <c r="F1" s="116"/>
      <c r="G1" s="108"/>
      <c r="H1" s="108"/>
      <c r="I1" s="108"/>
      <c r="J1" s="108"/>
      <c r="K1" s="108"/>
      <c r="L1" s="108"/>
      <c r="M1" s="108"/>
      <c r="N1" s="108"/>
      <c r="O1" s="108"/>
      <c r="P1" s="108"/>
      <c r="Q1" s="108"/>
      <c r="R1" s="108"/>
      <c r="S1" s="108"/>
      <c r="T1" s="108"/>
      <c r="U1" s="108"/>
      <c r="V1" s="108"/>
      <c r="W1" s="108"/>
    </row>
    <row r="2">
      <c r="A2" s="108"/>
      <c r="B2" s="80" t="s">
        <v>89</v>
      </c>
      <c r="C2" s="79"/>
      <c r="D2" s="79"/>
      <c r="E2" s="117"/>
      <c r="F2" s="117"/>
      <c r="G2" s="79"/>
      <c r="H2" s="108"/>
      <c r="I2" s="108"/>
      <c r="J2" s="108"/>
      <c r="K2" s="108"/>
      <c r="L2" s="108"/>
      <c r="M2" s="108"/>
      <c r="N2" s="108"/>
      <c r="O2" s="108"/>
      <c r="P2" s="108"/>
      <c r="Q2" s="108"/>
      <c r="R2" s="108"/>
      <c r="S2" s="108"/>
      <c r="T2" s="108"/>
      <c r="U2" s="108"/>
      <c r="V2" s="108"/>
      <c r="W2" s="108"/>
    </row>
    <row r="3">
      <c r="A3" s="108"/>
      <c r="B3" s="81" t="s">
        <v>149</v>
      </c>
      <c r="C3" s="79"/>
      <c r="D3" s="79"/>
      <c r="E3" s="117"/>
      <c r="F3" s="118"/>
      <c r="G3" s="82"/>
      <c r="H3" s="119"/>
      <c r="I3" s="119"/>
      <c r="J3" s="108"/>
      <c r="K3" s="119"/>
      <c r="L3" s="120"/>
      <c r="M3" s="120"/>
      <c r="N3" s="120"/>
      <c r="O3" s="108"/>
      <c r="P3" s="108"/>
      <c r="Q3" s="108"/>
      <c r="R3" s="108"/>
      <c r="S3" s="108"/>
      <c r="T3" s="108"/>
      <c r="U3" s="108"/>
      <c r="V3" s="108"/>
      <c r="W3" s="108"/>
    </row>
    <row r="4">
      <c r="A4" s="108"/>
      <c r="B4" s="82" t="s">
        <v>160</v>
      </c>
      <c r="C4" s="79"/>
      <c r="D4" s="79"/>
      <c r="E4" s="117"/>
      <c r="F4" s="121"/>
      <c r="G4" s="82"/>
      <c r="H4" s="119"/>
      <c r="I4" s="119"/>
      <c r="J4" s="108"/>
      <c r="K4" s="119"/>
      <c r="L4" s="120"/>
      <c r="M4" s="120"/>
      <c r="N4" s="120"/>
      <c r="O4" s="108"/>
      <c r="P4" s="108"/>
      <c r="Q4" s="108"/>
      <c r="R4" s="108"/>
      <c r="S4" s="108"/>
      <c r="T4" s="108"/>
      <c r="U4" s="108"/>
      <c r="V4" s="108"/>
      <c r="W4" s="108"/>
    </row>
    <row r="5">
      <c r="A5" s="108"/>
      <c r="B5" s="111" t="s">
        <v>151</v>
      </c>
      <c r="E5" s="122"/>
      <c r="F5" s="123"/>
      <c r="G5" s="111"/>
      <c r="H5" s="119"/>
      <c r="I5" s="119"/>
      <c r="J5" s="108"/>
      <c r="K5" s="119"/>
      <c r="L5" s="120"/>
      <c r="M5" s="120"/>
      <c r="N5" s="120"/>
      <c r="O5" s="108"/>
      <c r="P5" s="108"/>
      <c r="Q5" s="108"/>
      <c r="R5" s="108"/>
      <c r="S5" s="108"/>
      <c r="T5" s="108"/>
      <c r="U5" s="108"/>
      <c r="V5" s="108"/>
      <c r="W5" s="108"/>
    </row>
    <row r="6">
      <c r="A6" s="108"/>
      <c r="E6" s="122"/>
      <c r="F6" s="123"/>
      <c r="G6" s="111"/>
      <c r="H6" s="119"/>
      <c r="I6" s="119"/>
      <c r="J6" s="108"/>
      <c r="K6" s="119"/>
      <c r="L6" s="120"/>
      <c r="M6" s="120"/>
      <c r="N6" s="120"/>
      <c r="O6" s="108"/>
      <c r="P6" s="108"/>
      <c r="Q6" s="108"/>
      <c r="R6" s="108"/>
      <c r="S6" s="108"/>
      <c r="T6" s="108"/>
      <c r="U6" s="108"/>
      <c r="V6" s="108"/>
      <c r="W6" s="108"/>
    </row>
    <row r="7">
      <c r="A7" s="108"/>
      <c r="B7" s="79"/>
      <c r="C7" s="79"/>
      <c r="D7" s="79"/>
      <c r="E7" s="117"/>
      <c r="F7" s="118"/>
      <c r="G7" s="82"/>
      <c r="H7" s="119"/>
      <c r="I7" s="119"/>
      <c r="J7" s="108"/>
      <c r="K7" s="119"/>
      <c r="L7" s="120"/>
      <c r="M7" s="120"/>
      <c r="N7" s="120"/>
      <c r="O7" s="108"/>
      <c r="P7" s="108"/>
      <c r="Q7" s="108"/>
      <c r="R7" s="108"/>
      <c r="S7" s="108"/>
      <c r="T7" s="108"/>
      <c r="U7" s="108"/>
      <c r="V7" s="108"/>
      <c r="W7" s="108"/>
    </row>
    <row r="8">
      <c r="A8" s="108"/>
      <c r="B8" s="80" t="s">
        <v>152</v>
      </c>
      <c r="C8" s="79"/>
      <c r="D8" s="79"/>
      <c r="E8" s="117"/>
      <c r="F8" s="118"/>
      <c r="G8" s="82"/>
      <c r="H8" s="119"/>
      <c r="I8" s="119"/>
      <c r="J8" s="108"/>
      <c r="K8" s="119"/>
      <c r="L8" s="120"/>
      <c r="M8" s="120"/>
      <c r="N8" s="120"/>
      <c r="O8" s="108"/>
      <c r="P8" s="108"/>
      <c r="Q8" s="108"/>
      <c r="R8" s="108"/>
      <c r="S8" s="108"/>
      <c r="T8" s="108"/>
      <c r="U8" s="108"/>
      <c r="V8" s="108"/>
      <c r="W8" s="108"/>
    </row>
    <row r="9">
      <c r="A9" s="108"/>
      <c r="B9" s="81" t="s">
        <v>161</v>
      </c>
      <c r="C9" s="79"/>
      <c r="D9" s="79"/>
      <c r="E9" s="117"/>
      <c r="F9" s="117"/>
      <c r="G9" s="79"/>
      <c r="H9" s="108"/>
      <c r="I9" s="108"/>
      <c r="J9" s="108"/>
      <c r="K9" s="108"/>
      <c r="L9" s="108"/>
      <c r="M9" s="108"/>
      <c r="N9" s="108"/>
      <c r="O9" s="108"/>
      <c r="P9" s="108"/>
      <c r="Q9" s="108"/>
      <c r="R9" s="108"/>
      <c r="S9" s="108"/>
      <c r="T9" s="108"/>
      <c r="U9" s="108"/>
      <c r="V9" s="108"/>
      <c r="W9" s="108"/>
    </row>
    <row r="10">
      <c r="A10" s="108"/>
      <c r="B10" s="108"/>
      <c r="C10" s="108"/>
      <c r="D10" s="108"/>
      <c r="E10" s="116"/>
      <c r="F10" s="116"/>
      <c r="G10" s="108"/>
      <c r="H10" s="108"/>
      <c r="I10" s="108"/>
      <c r="J10" s="108"/>
      <c r="K10" s="108"/>
      <c r="L10" s="108"/>
      <c r="M10" s="108"/>
      <c r="N10" s="108"/>
      <c r="O10" s="108"/>
      <c r="P10" s="108"/>
      <c r="Q10" s="108"/>
      <c r="R10" s="108"/>
      <c r="S10" s="108"/>
      <c r="T10" s="124"/>
      <c r="U10" s="125"/>
      <c r="V10" s="108"/>
      <c r="W10" s="108"/>
    </row>
    <row r="11">
      <c r="A11" s="108"/>
      <c r="B11" s="119" t="s">
        <v>162</v>
      </c>
      <c r="C11" s="108"/>
      <c r="D11" s="108"/>
      <c r="E11" s="116"/>
      <c r="F11" s="116"/>
      <c r="G11" s="108"/>
      <c r="H11" s="108"/>
      <c r="I11" s="108"/>
      <c r="J11" s="108"/>
      <c r="K11" s="108"/>
      <c r="L11" s="108"/>
      <c r="M11" s="108"/>
      <c r="N11" s="108"/>
      <c r="O11" s="108"/>
      <c r="P11" s="108"/>
      <c r="Q11" s="108"/>
      <c r="R11" s="108"/>
      <c r="S11" s="108"/>
      <c r="T11" s="124">
        <f>(U11/12)*24</f>
        <v>186.2666667</v>
      </c>
      <c r="U11" s="125">
        <f>(SUM(H33:S33)*8.8)/24</f>
        <v>93.13333333</v>
      </c>
      <c r="V11" s="108"/>
      <c r="W11" s="108"/>
    </row>
    <row r="12">
      <c r="A12" s="108"/>
      <c r="B12" s="112" t="s">
        <v>163</v>
      </c>
      <c r="C12" s="112" t="s">
        <v>164</v>
      </c>
      <c r="D12" s="112" t="s">
        <v>165</v>
      </c>
      <c r="E12" s="126" t="s">
        <v>166</v>
      </c>
      <c r="F12" s="126" t="s">
        <v>167</v>
      </c>
      <c r="G12" s="112" t="s">
        <v>168</v>
      </c>
      <c r="H12" s="127" t="s">
        <v>169</v>
      </c>
      <c r="I12" s="127" t="s">
        <v>170</v>
      </c>
      <c r="J12" s="127" t="s">
        <v>171</v>
      </c>
      <c r="K12" s="127" t="s">
        <v>172</v>
      </c>
      <c r="L12" s="127" t="s">
        <v>173</v>
      </c>
      <c r="M12" s="127" t="s">
        <v>174</v>
      </c>
      <c r="N12" s="127" t="s">
        <v>175</v>
      </c>
      <c r="O12" s="127" t="s">
        <v>176</v>
      </c>
      <c r="P12" s="127" t="s">
        <v>177</v>
      </c>
      <c r="Q12" s="127" t="s">
        <v>178</v>
      </c>
      <c r="R12" s="127" t="s">
        <v>179</v>
      </c>
      <c r="S12" s="127" t="s">
        <v>180</v>
      </c>
      <c r="T12" s="127" t="s">
        <v>181</v>
      </c>
      <c r="U12" s="127" t="s">
        <v>182</v>
      </c>
      <c r="V12" s="127" t="s">
        <v>183</v>
      </c>
      <c r="W12" s="127" t="s">
        <v>184</v>
      </c>
    </row>
    <row r="13" ht="11.25" customHeight="1">
      <c r="A13" s="89"/>
      <c r="B13" s="128" t="str">
        <f t="array" ref="B13:B21">SORT(UNIQUE(TIMESHEET!E12:E67))</f>
        <v>Alyne Alves Nunes Oliveira</v>
      </c>
      <c r="C13" s="115" t="s">
        <v>185</v>
      </c>
      <c r="D13" s="115"/>
      <c r="E13" s="129" t="s">
        <v>186</v>
      </c>
      <c r="F13" s="130" t="s">
        <v>82</v>
      </c>
      <c r="G13" s="115" t="s">
        <v>187</v>
      </c>
      <c r="H13" s="131">
        <v>7234.78</v>
      </c>
      <c r="I13" s="131">
        <v>7234.78</v>
      </c>
      <c r="J13" s="131">
        <v>7234.78</v>
      </c>
      <c r="K13" s="131">
        <v>7234.78</v>
      </c>
      <c r="L13" s="131">
        <v>7234.78</v>
      </c>
      <c r="M13" s="131">
        <v>7234.78</v>
      </c>
      <c r="N13" s="131">
        <v>7234.78</v>
      </c>
      <c r="O13" s="131">
        <v>7596.52</v>
      </c>
      <c r="P13" s="131">
        <v>7596.52</v>
      </c>
      <c r="Q13" s="131">
        <v>7596.52</v>
      </c>
      <c r="R13" s="131"/>
      <c r="S13" s="131"/>
      <c r="T13" s="125">
        <f>IFERROR(__xludf.DUMMYFUNCTION("IFERROR(IF(W13=TRUE, SUM(FILTER(TIMESHEET!$G:$G,TIMESHEET!O:O = TRUE,TIMESHEET!P:P = TRUE,TIMESHEET!E:E = B13,TIMESHEET!F:F &lt; DATE(2025,1,1))),0),0)"),13.659722222222223)</f>
        <v>13.65972222</v>
      </c>
      <c r="U13" s="132">
        <f t="shared" ref="U13:U25" si="1">T13/$U$11</f>
        <v>0.1466684562</v>
      </c>
      <c r="V13" s="133" t="str">
        <f t="shared" ref="V13:V25" si="2">IF(U13&lt;80%,"Parcial","Exclusivo")</f>
        <v>Parcial</v>
      </c>
      <c r="W13" s="134" t="b">
        <v>1</v>
      </c>
    </row>
    <row r="14" ht="11.25" customHeight="1">
      <c r="A14" s="89"/>
      <c r="B14" s="107" t="s">
        <v>132</v>
      </c>
      <c r="C14" s="115" t="s">
        <v>188</v>
      </c>
      <c r="D14" s="115"/>
      <c r="E14" s="129" t="s">
        <v>189</v>
      </c>
      <c r="F14" s="130" t="s">
        <v>79</v>
      </c>
      <c r="G14" s="115" t="s">
        <v>187</v>
      </c>
      <c r="H14" s="131">
        <v>6143.46</v>
      </c>
      <c r="I14" s="131">
        <v>6143.46</v>
      </c>
      <c r="J14" s="131">
        <v>6143.46</v>
      </c>
      <c r="K14" s="131">
        <v>6143.46</v>
      </c>
      <c r="L14" s="131">
        <v>6143.46</v>
      </c>
      <c r="M14" s="131">
        <v>6143.46</v>
      </c>
      <c r="N14" s="131">
        <v>6143.46</v>
      </c>
      <c r="O14" s="131">
        <v>7613.79</v>
      </c>
      <c r="P14" s="131">
        <v>7613.79</v>
      </c>
      <c r="Q14" s="131">
        <v>7613.79</v>
      </c>
      <c r="R14" s="131">
        <v>7613.79</v>
      </c>
      <c r="S14" s="131">
        <v>7613.79</v>
      </c>
      <c r="T14" s="125">
        <f>IFERROR(__xludf.DUMMYFUNCTION("IFERROR(IF(W14=TRUE, SUM(FILTER(TIMESHEET!$G:$G,TIMESHEET!O:O = TRUE,TIMESHEET!P:P = TRUE,TIMESHEET!E:E = B14,TIMESHEET!F:F &lt; DATE(2025,1,1))),0),0)"),10.187500000000004)</f>
        <v>10.1875</v>
      </c>
      <c r="U14" s="132">
        <f t="shared" si="1"/>
        <v>0.1093861847</v>
      </c>
      <c r="V14" s="133" t="str">
        <f t="shared" si="2"/>
        <v>Parcial</v>
      </c>
      <c r="W14" s="134" t="b">
        <v>1</v>
      </c>
    </row>
    <row r="15" ht="11.25" customHeight="1">
      <c r="A15" s="89"/>
      <c r="B15" s="128" t="s">
        <v>144</v>
      </c>
      <c r="C15" s="115" t="s">
        <v>190</v>
      </c>
      <c r="D15" s="115"/>
      <c r="E15" s="129" t="s">
        <v>191</v>
      </c>
      <c r="F15" s="130" t="s">
        <v>82</v>
      </c>
      <c r="G15" s="115" t="s">
        <v>187</v>
      </c>
      <c r="H15" s="131">
        <v>4594.31</v>
      </c>
      <c r="I15" s="131">
        <v>4594.31</v>
      </c>
      <c r="J15" s="131">
        <v>4594.31</v>
      </c>
      <c r="K15" s="131">
        <v>4594.31</v>
      </c>
      <c r="L15" s="131">
        <v>4594.31</v>
      </c>
      <c r="M15" s="131">
        <v>4594.31</v>
      </c>
      <c r="N15" s="131">
        <v>4594.31</v>
      </c>
      <c r="O15" s="131">
        <v>4824.03</v>
      </c>
      <c r="P15" s="131">
        <v>4824.03</v>
      </c>
      <c r="Q15" s="131">
        <v>5481.24</v>
      </c>
      <c r="R15" s="131">
        <v>5481.24</v>
      </c>
      <c r="S15" s="131">
        <v>5481.24</v>
      </c>
      <c r="T15" s="125">
        <f>IFERROR(__xludf.DUMMYFUNCTION("IFERROR(IF(W15=TRUE, SUM(FILTER(TIMESHEET!$G:$G,TIMESHEET!O:O = TRUE,TIMESHEET!P:P = TRUE,TIMESHEET!E:E = B15,TIMESHEET!F:F &lt; DATE(2025,1,1))),0),0)"),9.636111111111111)</f>
        <v>9.636111111</v>
      </c>
      <c r="U15" s="132">
        <f t="shared" si="1"/>
        <v>0.10346576</v>
      </c>
      <c r="V15" s="133" t="str">
        <f t="shared" si="2"/>
        <v>Parcial</v>
      </c>
      <c r="W15" s="134" t="b">
        <v>1</v>
      </c>
    </row>
    <row r="16" ht="11.25" customHeight="1">
      <c r="A16" s="89"/>
      <c r="B16" s="128" t="s">
        <v>122</v>
      </c>
      <c r="C16" s="115" t="s">
        <v>192</v>
      </c>
      <c r="D16" s="115"/>
      <c r="E16" s="129" t="s">
        <v>123</v>
      </c>
      <c r="F16" s="130" t="s">
        <v>193</v>
      </c>
      <c r="G16" s="115" t="s">
        <v>194</v>
      </c>
      <c r="H16" s="131">
        <v>37755.67</v>
      </c>
      <c r="I16" s="131">
        <v>37755.67</v>
      </c>
      <c r="J16" s="131">
        <v>37755.67</v>
      </c>
      <c r="K16" s="131">
        <v>37755.67</v>
      </c>
      <c r="L16" s="131">
        <v>37755.67</v>
      </c>
      <c r="M16" s="131">
        <v>37755.67</v>
      </c>
      <c r="N16" s="131">
        <v>37755.67</v>
      </c>
      <c r="O16" s="131">
        <v>37243.45</v>
      </c>
      <c r="P16" s="131">
        <v>37243.45</v>
      </c>
      <c r="Q16" s="131">
        <v>37243.45</v>
      </c>
      <c r="R16" s="131">
        <v>37243.45</v>
      </c>
      <c r="S16" s="131">
        <v>37243.45</v>
      </c>
      <c r="T16" s="125">
        <f>IFERROR(__xludf.DUMMYFUNCTION("IFERROR(IF(W16=TRUE, SUM(FILTER(TIMESHEET!$G:$G,TIMESHEET!O:O = TRUE,TIMESHEET!P:P = TRUE,TIMESHEET!E:E = B16,TIMESHEET!F:F &lt; DATE(2025,1,1))),0),0)"),0.2604166666666667)</f>
        <v>0.2604166667</v>
      </c>
      <c r="U16" s="132">
        <f t="shared" si="1"/>
        <v>0.002796170365</v>
      </c>
      <c r="V16" s="133" t="str">
        <f t="shared" si="2"/>
        <v>Parcial</v>
      </c>
      <c r="W16" s="134" t="b">
        <v>1</v>
      </c>
    </row>
    <row r="17" ht="11.25" customHeight="1">
      <c r="A17" s="89"/>
      <c r="B17" s="128" t="s">
        <v>131</v>
      </c>
      <c r="C17" s="115" t="s">
        <v>195</v>
      </c>
      <c r="D17" s="115"/>
      <c r="E17" s="129" t="s">
        <v>191</v>
      </c>
      <c r="F17" s="130" t="s">
        <v>79</v>
      </c>
      <c r="G17" s="115" t="s">
        <v>187</v>
      </c>
      <c r="H17" s="131">
        <v>5469.76</v>
      </c>
      <c r="I17" s="131">
        <v>5469.76</v>
      </c>
      <c r="J17" s="131">
        <v>5469.76</v>
      </c>
      <c r="K17" s="131">
        <v>5469.76</v>
      </c>
      <c r="L17" s="131">
        <v>5469.76</v>
      </c>
      <c r="M17" s="131">
        <v>5469.76</v>
      </c>
      <c r="N17" s="131">
        <v>5850.91</v>
      </c>
      <c r="O17" s="131">
        <v>6143.46</v>
      </c>
      <c r="P17" s="131">
        <v>6143.46</v>
      </c>
      <c r="Q17" s="131">
        <v>6143.46</v>
      </c>
      <c r="R17" s="131">
        <v>6143.46</v>
      </c>
      <c r="S17" s="131">
        <v>6143.46</v>
      </c>
      <c r="T17" s="125">
        <f>IFERROR(__xludf.DUMMYFUNCTION("IFERROR(IF(W17=TRUE, SUM(FILTER(TIMESHEET!$G:$G,TIMESHEET!O:O = TRUE,TIMESHEET!P:P = TRUE,TIMESHEET!E:E = B17,TIMESHEET!F:F &lt; DATE(2025,1,1))),0),0)"),2.7812500000000004)</f>
        <v>2.78125</v>
      </c>
      <c r="U17" s="132">
        <f t="shared" si="1"/>
        <v>0.0298630995</v>
      </c>
      <c r="V17" s="133" t="str">
        <f t="shared" si="2"/>
        <v>Parcial</v>
      </c>
      <c r="W17" s="134" t="b">
        <v>1</v>
      </c>
    </row>
    <row r="18" ht="11.25" customHeight="1">
      <c r="A18" s="89"/>
      <c r="B18" s="128" t="s">
        <v>126</v>
      </c>
      <c r="C18" s="115" t="s">
        <v>196</v>
      </c>
      <c r="D18" s="115"/>
      <c r="E18" s="129" t="s">
        <v>189</v>
      </c>
      <c r="F18" s="130" t="s">
        <v>193</v>
      </c>
      <c r="G18" s="115" t="s">
        <v>187</v>
      </c>
      <c r="H18" s="131">
        <v>5743.25</v>
      </c>
      <c r="I18" s="131">
        <v>5743.25</v>
      </c>
      <c r="J18" s="131">
        <v>5743.25</v>
      </c>
      <c r="K18" s="131">
        <v>5743.25</v>
      </c>
      <c r="L18" s="131">
        <v>5743.25</v>
      </c>
      <c r="M18" s="131">
        <v>5743.25</v>
      </c>
      <c r="N18" s="131">
        <v>6143.46</v>
      </c>
      <c r="O18" s="131">
        <v>7234.78</v>
      </c>
      <c r="P18" s="131">
        <v>7234.78</v>
      </c>
      <c r="Q18" s="131">
        <v>7234.78</v>
      </c>
      <c r="R18" s="131">
        <v>7234.78</v>
      </c>
      <c r="S18" s="131">
        <v>7234.78</v>
      </c>
      <c r="T18" s="125">
        <f>IFERROR(__xludf.DUMMYFUNCTION("IFERROR(IF(W18=TRUE, SUM(FILTER(TIMESHEET!$G:$G,TIMESHEET!O:O = TRUE,TIMESHEET!P:P = TRUE,TIMESHEET!E:E = B18,TIMESHEET!F:F &lt; DATE(2025,1,1))),0),0)"),17.208333333333336)</f>
        <v>17.20833333</v>
      </c>
      <c r="U18" s="132">
        <f t="shared" si="1"/>
        <v>0.1847709377</v>
      </c>
      <c r="V18" s="133" t="str">
        <f t="shared" si="2"/>
        <v>Parcial</v>
      </c>
      <c r="W18" s="134" t="b">
        <v>1</v>
      </c>
    </row>
    <row r="19" ht="11.25" customHeight="1">
      <c r="A19" s="89"/>
      <c r="B19" s="128" t="s">
        <v>134</v>
      </c>
      <c r="C19" s="115" t="s">
        <v>197</v>
      </c>
      <c r="D19" s="115"/>
      <c r="E19" s="129" t="s">
        <v>198</v>
      </c>
      <c r="F19" s="130" t="s">
        <v>81</v>
      </c>
      <c r="G19" s="115" t="s">
        <v>187</v>
      </c>
      <c r="H19" s="131">
        <v>11225.48</v>
      </c>
      <c r="I19" s="131">
        <v>11225.48</v>
      </c>
      <c r="J19" s="131">
        <v>11225.48</v>
      </c>
      <c r="K19" s="131">
        <v>11225.48</v>
      </c>
      <c r="L19" s="131">
        <v>11225.48</v>
      </c>
      <c r="M19" s="131">
        <v>11225.48</v>
      </c>
      <c r="N19" s="131">
        <v>11225.48</v>
      </c>
      <c r="O19" s="131">
        <v>11786.75</v>
      </c>
      <c r="P19" s="131">
        <v>11786.75</v>
      </c>
      <c r="Q19" s="131">
        <v>11786.75</v>
      </c>
      <c r="R19" s="131">
        <v>11786.75</v>
      </c>
      <c r="S19" s="131">
        <v>11786.75</v>
      </c>
      <c r="T19" s="125">
        <f>IFERROR(__xludf.DUMMYFUNCTION("IFERROR(IF(W19=TRUE, SUM(FILTER(TIMESHEET!$G:$G,TIMESHEET!O:O = TRUE,TIMESHEET!P:P = TRUE,TIMESHEET!E:E = B19,TIMESHEET!F:F &lt; DATE(2025,1,1))),0),0)"),10.785416666666665)</f>
        <v>10.78541667</v>
      </c>
      <c r="U19" s="132">
        <f t="shared" si="1"/>
        <v>0.1158061918</v>
      </c>
      <c r="V19" s="133" t="str">
        <f t="shared" si="2"/>
        <v>Parcial</v>
      </c>
      <c r="W19" s="134" t="b">
        <v>1</v>
      </c>
    </row>
    <row r="20" ht="11.25" customHeight="1">
      <c r="A20" s="89"/>
      <c r="B20" s="128" t="s">
        <v>145</v>
      </c>
      <c r="C20" s="115" t="s">
        <v>199</v>
      </c>
      <c r="D20" s="115"/>
      <c r="E20" s="129" t="s">
        <v>200</v>
      </c>
      <c r="F20" s="130" t="s">
        <v>193</v>
      </c>
      <c r="G20" s="115" t="s">
        <v>187</v>
      </c>
      <c r="H20" s="131">
        <v>4780.42</v>
      </c>
      <c r="I20" s="131">
        <v>4780.42</v>
      </c>
      <c r="J20" s="131">
        <v>4780.42</v>
      </c>
      <c r="K20" s="131">
        <v>4780.42</v>
      </c>
      <c r="L20" s="131">
        <v>4780.42</v>
      </c>
      <c r="M20" s="131">
        <v>4780.42</v>
      </c>
      <c r="N20" s="131">
        <v>4780.42</v>
      </c>
      <c r="O20" s="131">
        <v>5481.24</v>
      </c>
      <c r="P20" s="131">
        <v>5481.24</v>
      </c>
      <c r="Q20" s="131">
        <v>5481.24</v>
      </c>
      <c r="R20" s="131">
        <v>5481.24</v>
      </c>
      <c r="S20" s="131">
        <v>5481.24</v>
      </c>
      <c r="T20" s="125">
        <f>IFERROR(__xludf.DUMMYFUNCTION("IFERROR(IF(W20=TRUE, SUM(FILTER(TIMESHEET!$G:$G,TIMESHEET!O:O = TRUE,TIMESHEET!P:P = TRUE,TIMESHEET!E:E = B20,TIMESHEET!F:F &lt; DATE(2025,1,1))),0),0)"),5.114583333333334)</f>
        <v>5.114583333</v>
      </c>
      <c r="U20" s="132">
        <f t="shared" si="1"/>
        <v>0.05491678597</v>
      </c>
      <c r="V20" s="133" t="str">
        <f t="shared" si="2"/>
        <v>Parcial</v>
      </c>
      <c r="W20" s="134" t="b">
        <v>1</v>
      </c>
    </row>
    <row r="21" ht="11.25" customHeight="1">
      <c r="A21" s="89"/>
      <c r="B21" s="128"/>
      <c r="C21" s="115"/>
      <c r="D21" s="115"/>
      <c r="E21" s="129"/>
      <c r="F21" s="130"/>
      <c r="G21" s="115"/>
      <c r="H21" s="131"/>
      <c r="I21" s="131"/>
      <c r="J21" s="131"/>
      <c r="K21" s="131"/>
      <c r="L21" s="131"/>
      <c r="M21" s="131"/>
      <c r="N21" s="131"/>
      <c r="O21" s="131"/>
      <c r="P21" s="131"/>
      <c r="Q21" s="131"/>
      <c r="R21" s="131"/>
      <c r="S21" s="131"/>
      <c r="T21" s="125">
        <f>IFERROR(__xludf.DUMMYFUNCTION("IFERROR(IF(W21=TRUE, SUM(FILTER(TIMESHEET!$G:$G,TIMESHEET!O:O = TRUE,TIMESHEET!P:P = TRUE,TIMESHEET!E:E = B21,TIMESHEET!F:F &lt; DATE(2025,1,1))),0),0)"),0.0)</f>
        <v>0</v>
      </c>
      <c r="U21" s="132">
        <f t="shared" si="1"/>
        <v>0</v>
      </c>
      <c r="V21" s="133" t="str">
        <f t="shared" si="2"/>
        <v>Parcial</v>
      </c>
      <c r="W21" s="134" t="b">
        <v>1</v>
      </c>
    </row>
    <row r="22" ht="11.25" customHeight="1">
      <c r="A22" s="89"/>
      <c r="B22" s="128"/>
      <c r="C22" s="115"/>
      <c r="D22" s="115"/>
      <c r="E22" s="129"/>
      <c r="F22" s="130"/>
      <c r="G22" s="115"/>
      <c r="H22" s="131"/>
      <c r="I22" s="131"/>
      <c r="J22" s="131"/>
      <c r="K22" s="131"/>
      <c r="L22" s="131"/>
      <c r="M22" s="131"/>
      <c r="N22" s="131"/>
      <c r="O22" s="131"/>
      <c r="P22" s="131"/>
      <c r="Q22" s="131"/>
      <c r="R22" s="131"/>
      <c r="S22" s="131"/>
      <c r="T22" s="125">
        <f>IFERROR(__xludf.DUMMYFUNCTION("IFERROR(IF(W22=TRUE, SUM(FILTER(TIMESHEET!$G:$G,TIMESHEET!O:O = TRUE,TIMESHEET!P:P = TRUE,TIMESHEET!E:E = B22,TIMESHEET!F:F &lt; DATE(2025,1,1))),0),0)"),0.0)</f>
        <v>0</v>
      </c>
      <c r="U22" s="132">
        <f t="shared" si="1"/>
        <v>0</v>
      </c>
      <c r="V22" s="133" t="str">
        <f t="shared" si="2"/>
        <v>Parcial</v>
      </c>
      <c r="W22" s="134" t="b">
        <v>1</v>
      </c>
    </row>
    <row r="23" ht="11.25" customHeight="1">
      <c r="A23" s="89"/>
      <c r="B23" s="128"/>
      <c r="C23" s="115"/>
      <c r="D23" s="115"/>
      <c r="E23" s="129"/>
      <c r="F23" s="130"/>
      <c r="G23" s="115"/>
      <c r="H23" s="131"/>
      <c r="I23" s="131"/>
      <c r="J23" s="131"/>
      <c r="K23" s="131"/>
      <c r="L23" s="131"/>
      <c r="M23" s="131"/>
      <c r="N23" s="131"/>
      <c r="O23" s="131"/>
      <c r="P23" s="131"/>
      <c r="Q23" s="131"/>
      <c r="R23" s="131"/>
      <c r="S23" s="131"/>
      <c r="T23" s="125">
        <f>IFERROR(__xludf.DUMMYFUNCTION("IFERROR(IF(W23=TRUE, SUM(FILTER(TIMESHEET!$G:$G,TIMESHEET!O:O = TRUE,TIMESHEET!P:P = TRUE,TIMESHEET!E:E = B23,TIMESHEET!F:F &lt; DATE(2025,1,1))),0),0)"),0.0)</f>
        <v>0</v>
      </c>
      <c r="U23" s="132">
        <f t="shared" si="1"/>
        <v>0</v>
      </c>
      <c r="V23" s="133" t="str">
        <f t="shared" si="2"/>
        <v>Parcial</v>
      </c>
      <c r="W23" s="134" t="b">
        <v>1</v>
      </c>
    </row>
    <row r="24" ht="11.25" customHeight="1">
      <c r="A24" s="89"/>
      <c r="B24" s="128"/>
      <c r="C24" s="115"/>
      <c r="D24" s="115"/>
      <c r="E24" s="129"/>
      <c r="F24" s="130"/>
      <c r="G24" s="115"/>
      <c r="H24" s="131"/>
      <c r="I24" s="131"/>
      <c r="J24" s="131"/>
      <c r="K24" s="131"/>
      <c r="L24" s="131"/>
      <c r="M24" s="131"/>
      <c r="N24" s="131"/>
      <c r="O24" s="131"/>
      <c r="P24" s="131"/>
      <c r="Q24" s="131"/>
      <c r="R24" s="131"/>
      <c r="S24" s="131"/>
      <c r="T24" s="125">
        <f>IFERROR(__xludf.DUMMYFUNCTION("IFERROR(IF(W24=TRUE, SUM(FILTER(TIMESHEET!$G:$G,TIMESHEET!O:O = TRUE,TIMESHEET!P:P = TRUE,TIMESHEET!E:E = B24,TIMESHEET!F:F &lt; DATE(2025,1,1))),0),0)"),0.0)</f>
        <v>0</v>
      </c>
      <c r="U24" s="132">
        <f t="shared" si="1"/>
        <v>0</v>
      </c>
      <c r="V24" s="133" t="str">
        <f t="shared" si="2"/>
        <v>Parcial</v>
      </c>
      <c r="W24" s="134" t="b">
        <v>1</v>
      </c>
    </row>
    <row r="25" ht="11.25" customHeight="1">
      <c r="A25" s="89"/>
      <c r="B25" s="128"/>
      <c r="C25" s="115"/>
      <c r="D25" s="115"/>
      <c r="E25" s="129"/>
      <c r="F25" s="130"/>
      <c r="G25" s="115"/>
      <c r="H25" s="131"/>
      <c r="I25" s="131"/>
      <c r="J25" s="131"/>
      <c r="K25" s="131"/>
      <c r="L25" s="131"/>
      <c r="M25" s="131"/>
      <c r="N25" s="131"/>
      <c r="O25" s="131"/>
      <c r="P25" s="131"/>
      <c r="Q25" s="131"/>
      <c r="R25" s="131"/>
      <c r="S25" s="131"/>
      <c r="T25" s="125">
        <f>IFERROR(__xludf.DUMMYFUNCTION("IFERROR(IF(W25=TRUE, SUM(FILTER(TIMESHEET!$G:$G,TIMESHEET!O:O = TRUE,TIMESHEET!P:P = TRUE,TIMESHEET!E:E = B25,TIMESHEET!F:F &lt; DATE(2025,1,1))),0),0)"),0.0)</f>
        <v>0</v>
      </c>
      <c r="U25" s="132">
        <f t="shared" si="1"/>
        <v>0</v>
      </c>
      <c r="V25" s="133" t="str">
        <f t="shared" si="2"/>
        <v>Parcial</v>
      </c>
      <c r="W25" s="134" t="b">
        <v>1</v>
      </c>
    </row>
    <row r="26">
      <c r="A26" s="135"/>
      <c r="B26" s="84"/>
      <c r="C26" s="111"/>
      <c r="D26" s="111"/>
      <c r="E26" s="136"/>
      <c r="F26" s="122"/>
      <c r="G26" s="111"/>
      <c r="H26" s="137"/>
      <c r="I26" s="137"/>
      <c r="J26" s="137"/>
      <c r="K26" s="137"/>
      <c r="L26" s="137"/>
      <c r="M26" s="137"/>
      <c r="N26" s="137"/>
      <c r="O26" s="137"/>
      <c r="P26" s="137"/>
      <c r="Q26" s="137"/>
      <c r="R26" s="137"/>
      <c r="S26" s="137"/>
      <c r="T26" s="133"/>
      <c r="U26" s="132"/>
      <c r="V26" s="133"/>
      <c r="W26" s="134"/>
    </row>
    <row r="27">
      <c r="A27" s="89"/>
      <c r="B27" s="138" t="s">
        <v>201</v>
      </c>
      <c r="C27" s="139"/>
      <c r="D27" s="139"/>
      <c r="E27" s="139"/>
      <c r="F27" s="139"/>
      <c r="G27" s="139"/>
      <c r="H27" s="140"/>
      <c r="I27" s="140"/>
      <c r="J27" s="140"/>
      <c r="K27" s="140"/>
      <c r="L27" s="137"/>
      <c r="M27" s="137"/>
      <c r="N27" s="137"/>
      <c r="O27" s="137"/>
      <c r="P27" s="137"/>
      <c r="Q27" s="137"/>
      <c r="R27" s="137"/>
      <c r="S27" s="137"/>
      <c r="T27" s="133"/>
      <c r="U27" s="132"/>
      <c r="V27" s="133"/>
      <c r="W27" s="134"/>
    </row>
    <row r="28">
      <c r="A28" s="89"/>
      <c r="B28" s="141"/>
      <c r="C28" s="141"/>
      <c r="D28" s="141"/>
      <c r="E28" s="141"/>
      <c r="F28" s="141"/>
      <c r="G28" s="139"/>
      <c r="H28" s="140"/>
      <c r="I28" s="142"/>
      <c r="J28" s="142"/>
      <c r="K28" s="142"/>
      <c r="L28" s="137"/>
      <c r="M28" s="137"/>
      <c r="N28" s="137"/>
      <c r="O28" s="137"/>
      <c r="P28" s="137"/>
      <c r="Q28" s="137"/>
      <c r="R28" s="137"/>
      <c r="S28" s="137"/>
      <c r="T28" s="133"/>
      <c r="U28" s="132"/>
      <c r="V28" s="133"/>
      <c r="W28" s="134"/>
    </row>
    <row r="29" ht="12.0" customHeight="1">
      <c r="A29" s="89"/>
      <c r="B29" s="143" t="s">
        <v>202</v>
      </c>
      <c r="C29" s="144"/>
      <c r="D29" s="144"/>
      <c r="E29" s="144"/>
      <c r="F29" s="145"/>
      <c r="G29" s="139"/>
      <c r="H29" s="146"/>
      <c r="I29" s="147" t="s">
        <v>203</v>
      </c>
      <c r="J29" s="148" t="s">
        <v>204</v>
      </c>
      <c r="K29" s="149">
        <v>0.2</v>
      </c>
      <c r="L29" s="137"/>
      <c r="M29" s="137"/>
      <c r="N29" s="137"/>
      <c r="O29" s="137"/>
      <c r="P29" s="137"/>
      <c r="Q29" s="137"/>
      <c r="R29" s="137"/>
      <c r="S29" s="137"/>
      <c r="T29" s="133"/>
      <c r="U29" s="132"/>
      <c r="V29" s="133"/>
      <c r="W29" s="134"/>
    </row>
    <row r="30" ht="12.0" customHeight="1">
      <c r="A30" s="89"/>
      <c r="B30" s="150" t="s">
        <v>203</v>
      </c>
      <c r="C30" s="151" t="s">
        <v>205</v>
      </c>
      <c r="D30" s="151" t="s">
        <v>206</v>
      </c>
      <c r="E30" s="151" t="s">
        <v>207</v>
      </c>
      <c r="F30" s="152" t="s">
        <v>208</v>
      </c>
      <c r="G30" s="153"/>
      <c r="H30" s="146"/>
      <c r="J30" s="148" t="s">
        <v>54</v>
      </c>
      <c r="K30" s="149">
        <v>0.058</v>
      </c>
      <c r="L30" s="137"/>
      <c r="M30" s="137"/>
      <c r="N30" s="137"/>
      <c r="O30" s="137"/>
      <c r="P30" s="137"/>
      <c r="Q30" s="137"/>
      <c r="R30" s="137"/>
      <c r="S30" s="137"/>
      <c r="T30" s="133"/>
      <c r="U30" s="132"/>
      <c r="V30" s="133"/>
      <c r="W30" s="134"/>
    </row>
    <row r="31" ht="12.0" customHeight="1">
      <c r="A31" s="89"/>
      <c r="B31" s="154">
        <f>SUM(K29:K31)</f>
        <v>0.273</v>
      </c>
      <c r="C31" s="155">
        <v>0.08</v>
      </c>
      <c r="D31" s="154">
        <f>((1+(1/3))*(1+B31+C31)/12)</f>
        <v>0.1503333333</v>
      </c>
      <c r="E31" s="154">
        <f>(1+B31+C31)/12</f>
        <v>0.11275</v>
      </c>
      <c r="F31" s="156">
        <f>SUM(B31:E31)</f>
        <v>0.6160833333</v>
      </c>
      <c r="G31" s="139"/>
      <c r="H31" s="146"/>
      <c r="I31" s="144"/>
      <c r="J31" s="148" t="s">
        <v>209</v>
      </c>
      <c r="K31" s="149">
        <v>0.015</v>
      </c>
      <c r="L31" s="137"/>
      <c r="M31" s="137"/>
      <c r="N31" s="137"/>
      <c r="O31" s="137"/>
      <c r="P31" s="137"/>
      <c r="Q31" s="137"/>
      <c r="R31" s="137"/>
      <c r="S31" s="137"/>
      <c r="T31" s="133"/>
      <c r="U31" s="132"/>
      <c r="V31" s="133"/>
      <c r="W31" s="134"/>
    </row>
    <row r="32">
      <c r="A32" s="89"/>
      <c r="B32" s="157"/>
      <c r="C32" s="158"/>
      <c r="D32" s="157"/>
      <c r="E32" s="157"/>
      <c r="F32" s="159"/>
      <c r="G32" s="160"/>
      <c r="H32" s="134"/>
      <c r="I32" s="161"/>
      <c r="J32" s="162"/>
      <c r="K32" s="163"/>
      <c r="L32" s="137"/>
      <c r="M32" s="137"/>
      <c r="N32" s="137"/>
      <c r="O32" s="137"/>
      <c r="P32" s="137"/>
      <c r="Q32" s="137"/>
      <c r="R32" s="137"/>
      <c r="S32" s="137"/>
      <c r="T32" s="133"/>
      <c r="U32" s="132"/>
      <c r="V32" s="133"/>
      <c r="W32" s="134"/>
    </row>
    <row r="33">
      <c r="A33" s="108"/>
      <c r="B33" s="119"/>
      <c r="C33" s="108"/>
      <c r="D33" s="108"/>
      <c r="E33" s="116"/>
      <c r="F33" s="116"/>
      <c r="G33" s="108"/>
      <c r="H33" s="164">
        <f t="shared" ref="H33:S33" si="3">NETWORKDAYS(DATE(right(H34,4),mid(H34,4,2),1),DATE(right(H34,4),mid(H34,4,2)+1,0),$B$50:$B$61)</f>
        <v>22</v>
      </c>
      <c r="I33" s="164">
        <f t="shared" si="3"/>
        <v>19</v>
      </c>
      <c r="J33" s="164">
        <f t="shared" si="3"/>
        <v>20</v>
      </c>
      <c r="K33" s="164">
        <f t="shared" si="3"/>
        <v>22</v>
      </c>
      <c r="L33" s="164">
        <f t="shared" si="3"/>
        <v>22</v>
      </c>
      <c r="M33" s="164">
        <f t="shared" si="3"/>
        <v>20</v>
      </c>
      <c r="N33" s="164">
        <f t="shared" si="3"/>
        <v>23</v>
      </c>
      <c r="O33" s="164">
        <f t="shared" si="3"/>
        <v>22</v>
      </c>
      <c r="P33" s="164">
        <f t="shared" si="3"/>
        <v>21</v>
      </c>
      <c r="Q33" s="164">
        <f t="shared" si="3"/>
        <v>22</v>
      </c>
      <c r="R33" s="164">
        <f t="shared" si="3"/>
        <v>20</v>
      </c>
      <c r="S33" s="164">
        <f t="shared" si="3"/>
        <v>21</v>
      </c>
      <c r="T33" s="133">
        <f t="shared" ref="T33:U33" si="4">SUM(T35:T49)</f>
        <v>99798.21937</v>
      </c>
      <c r="U33" s="133">
        <f t="shared" si="4"/>
        <v>99798.21937</v>
      </c>
      <c r="V33" s="133">
        <f>U33-T33</f>
        <v>0</v>
      </c>
      <c r="W33" s="108"/>
    </row>
    <row r="34">
      <c r="A34" s="108"/>
      <c r="B34" s="112" t="s">
        <v>163</v>
      </c>
      <c r="C34" s="112"/>
      <c r="D34" s="112"/>
      <c r="E34" s="126" t="s">
        <v>183</v>
      </c>
      <c r="F34" s="126" t="s">
        <v>167</v>
      </c>
      <c r="G34" s="112"/>
      <c r="H34" s="165">
        <v>45322.0</v>
      </c>
      <c r="I34" s="165">
        <v>45350.0</v>
      </c>
      <c r="J34" s="165">
        <v>45382.0</v>
      </c>
      <c r="K34" s="165">
        <v>45412.0</v>
      </c>
      <c r="L34" s="165">
        <v>45443.0</v>
      </c>
      <c r="M34" s="165">
        <v>45473.0</v>
      </c>
      <c r="N34" s="165">
        <v>45504.0</v>
      </c>
      <c r="O34" s="165">
        <v>45535.0</v>
      </c>
      <c r="P34" s="165">
        <v>45565.0</v>
      </c>
      <c r="Q34" s="166">
        <v>45596.0</v>
      </c>
      <c r="R34" s="166">
        <v>45626.0</v>
      </c>
      <c r="S34" s="166">
        <v>45657.0</v>
      </c>
      <c r="T34" s="127" t="s">
        <v>210</v>
      </c>
      <c r="U34" s="127" t="s">
        <v>211</v>
      </c>
      <c r="V34" s="127" t="s">
        <v>184</v>
      </c>
      <c r="W34" s="127"/>
    </row>
    <row r="35" ht="11.25" customHeight="1">
      <c r="A35" s="89"/>
      <c r="B35" s="84" t="str">
        <f t="array" ref="B35:B43">unique(B13:B25)</f>
        <v>Alyne Alves Nunes Oliveira</v>
      </c>
      <c r="C35" s="111"/>
      <c r="D35" s="111"/>
      <c r="E35" s="167" t="str">
        <f t="array" ref="E35:E47">V13:V25</f>
        <v>Parcial</v>
      </c>
      <c r="F35" s="122" t="str">
        <f t="array" ref="F35:F47">F13:F25</f>
        <v>Doutorado</v>
      </c>
      <c r="G35" s="111"/>
      <c r="H35" s="137">
        <f t="shared" ref="H35:S35" si="5">vlookup($B35,$B$13:$S$23,month(H$34)+6,0)*(1+$F$31)/(H$33*8.8)</f>
        <v>60.39260009</v>
      </c>
      <c r="I35" s="137">
        <f t="shared" si="5"/>
        <v>69.92827379</v>
      </c>
      <c r="J35" s="137">
        <f t="shared" si="5"/>
        <v>66.4318601</v>
      </c>
      <c r="K35" s="137">
        <f t="shared" si="5"/>
        <v>60.39260009</v>
      </c>
      <c r="L35" s="137">
        <f t="shared" si="5"/>
        <v>60.39260009</v>
      </c>
      <c r="M35" s="137">
        <f t="shared" si="5"/>
        <v>66.4318601</v>
      </c>
      <c r="N35" s="137">
        <f t="shared" si="5"/>
        <v>57.76683487</v>
      </c>
      <c r="O35" s="137">
        <f t="shared" si="5"/>
        <v>63.41223845</v>
      </c>
      <c r="P35" s="137">
        <f t="shared" si="5"/>
        <v>66.43186885</v>
      </c>
      <c r="Q35" s="137">
        <f t="shared" si="5"/>
        <v>63.41223845</v>
      </c>
      <c r="R35" s="137">
        <f t="shared" si="5"/>
        <v>0</v>
      </c>
      <c r="S35" s="137">
        <f t="shared" si="5"/>
        <v>0</v>
      </c>
      <c r="T35" s="133">
        <f>SUMIF(TIMESHEET!E:E,B35,TIMESHEET!N:N)</f>
        <v>20331.7268</v>
      </c>
      <c r="U35" s="133">
        <f t="shared" ref="U35:U47" si="7">SUMIF(V35,TRUE,T35)</f>
        <v>20331.7268</v>
      </c>
      <c r="V35" s="134" t="b">
        <v>1</v>
      </c>
      <c r="W35" s="134"/>
    </row>
    <row r="36" ht="11.25" customHeight="1">
      <c r="A36" s="89"/>
      <c r="B36" s="84" t="s">
        <v>132</v>
      </c>
      <c r="C36" s="111"/>
      <c r="D36" s="111"/>
      <c r="E36" s="167" t="s">
        <v>212</v>
      </c>
      <c r="F36" s="122" t="s">
        <v>79</v>
      </c>
      <c r="G36" s="111"/>
      <c r="H36" s="137">
        <f t="shared" ref="H36:S36" si="6">vlookup($B36,$B$13:$S$23,month(H$34)+6,0)*(1+$F$31)/(H$33*8.8)</f>
        <v>51.28276506</v>
      </c>
      <c r="I36" s="137">
        <f t="shared" si="6"/>
        <v>59.38004375</v>
      </c>
      <c r="J36" s="137">
        <f t="shared" si="6"/>
        <v>56.41104156</v>
      </c>
      <c r="K36" s="137">
        <f t="shared" si="6"/>
        <v>51.28276506</v>
      </c>
      <c r="L36" s="137">
        <f t="shared" si="6"/>
        <v>51.28276506</v>
      </c>
      <c r="M36" s="137">
        <f t="shared" si="6"/>
        <v>56.41104156</v>
      </c>
      <c r="N36" s="137">
        <f t="shared" si="6"/>
        <v>49.05307962</v>
      </c>
      <c r="O36" s="137">
        <f t="shared" si="6"/>
        <v>63.55640043</v>
      </c>
      <c r="P36" s="137">
        <f t="shared" si="6"/>
        <v>66.58289568</v>
      </c>
      <c r="Q36" s="137">
        <f t="shared" si="6"/>
        <v>63.55640043</v>
      </c>
      <c r="R36" s="137">
        <f t="shared" si="6"/>
        <v>69.91204047</v>
      </c>
      <c r="S36" s="137">
        <f t="shared" si="6"/>
        <v>66.58289568</v>
      </c>
      <c r="T36" s="133">
        <f>SUMIF(TIMESHEET!E:E,B36,TIMESHEET!N:N)</f>
        <v>13740.74383</v>
      </c>
      <c r="U36" s="133">
        <f t="shared" si="7"/>
        <v>13740.74383</v>
      </c>
      <c r="V36" s="134" t="b">
        <v>1</v>
      </c>
      <c r="W36" s="134"/>
    </row>
    <row r="37" ht="11.25" customHeight="1">
      <c r="A37" s="89"/>
      <c r="B37" s="84" t="s">
        <v>144</v>
      </c>
      <c r="C37" s="111"/>
      <c r="D37" s="111"/>
      <c r="E37" s="167" t="s">
        <v>212</v>
      </c>
      <c r="F37" s="122" t="s">
        <v>82</v>
      </c>
      <c r="G37" s="111"/>
      <c r="H37" s="137">
        <f t="shared" ref="H37:S37" si="8">vlookup($B37,$B$13:$S$23,month(H$34)+6,0)*(1+$F$31)/(H$33*8.8)</f>
        <v>38.35117675</v>
      </c>
      <c r="I37" s="137">
        <f t="shared" si="8"/>
        <v>44.40662571</v>
      </c>
      <c r="J37" s="137">
        <f t="shared" si="8"/>
        <v>42.18629443</v>
      </c>
      <c r="K37" s="137">
        <f t="shared" si="8"/>
        <v>38.35117675</v>
      </c>
      <c r="L37" s="137">
        <f t="shared" si="8"/>
        <v>38.35117675</v>
      </c>
      <c r="M37" s="137">
        <f t="shared" si="8"/>
        <v>42.18629443</v>
      </c>
      <c r="N37" s="137">
        <f t="shared" si="8"/>
        <v>36.68373428</v>
      </c>
      <c r="O37" s="137">
        <f t="shared" si="8"/>
        <v>40.26877315</v>
      </c>
      <c r="P37" s="137">
        <f t="shared" si="8"/>
        <v>42.18633378</v>
      </c>
      <c r="Q37" s="137">
        <f t="shared" si="8"/>
        <v>45.75485852</v>
      </c>
      <c r="R37" s="137">
        <f t="shared" si="8"/>
        <v>50.33034438</v>
      </c>
      <c r="S37" s="137">
        <f t="shared" si="8"/>
        <v>47.93366131</v>
      </c>
      <c r="T37" s="133">
        <f>SUMIF(TIMESHEET!E:E,B37,TIMESHEET!N:N)</f>
        <v>9772.029906</v>
      </c>
      <c r="U37" s="133">
        <f t="shared" si="7"/>
        <v>9772.029906</v>
      </c>
      <c r="V37" s="134" t="b">
        <v>1</v>
      </c>
      <c r="W37" s="134"/>
    </row>
    <row r="38" ht="11.25" customHeight="1">
      <c r="A38" s="168"/>
      <c r="B38" s="169" t="s">
        <v>122</v>
      </c>
      <c r="C38" s="170"/>
      <c r="D38" s="170"/>
      <c r="E38" s="171" t="s">
        <v>212</v>
      </c>
      <c r="F38" s="172" t="s">
        <v>193</v>
      </c>
      <c r="G38" s="172" t="s">
        <v>194</v>
      </c>
      <c r="H38" s="173">
        <f t="shared" ref="H38:S38" si="9">vlookup($B38,$B$13:$S$23,month(H$34)+6,0)/(H$33*8.8)</f>
        <v>195.0189566</v>
      </c>
      <c r="I38" s="173">
        <f t="shared" si="9"/>
        <v>225.8114234</v>
      </c>
      <c r="J38" s="173">
        <f t="shared" si="9"/>
        <v>214.5208523</v>
      </c>
      <c r="K38" s="173">
        <f t="shared" si="9"/>
        <v>195.0189566</v>
      </c>
      <c r="L38" s="173">
        <f t="shared" si="9"/>
        <v>195.0189566</v>
      </c>
      <c r="M38" s="173">
        <f t="shared" si="9"/>
        <v>214.5208523</v>
      </c>
      <c r="N38" s="173">
        <f t="shared" si="9"/>
        <v>186.5398715</v>
      </c>
      <c r="O38" s="173">
        <f t="shared" si="9"/>
        <v>192.3731921</v>
      </c>
      <c r="P38" s="173">
        <f t="shared" si="9"/>
        <v>201.5338203</v>
      </c>
      <c r="Q38" s="173">
        <f t="shared" si="9"/>
        <v>192.3731921</v>
      </c>
      <c r="R38" s="173">
        <f t="shared" si="9"/>
        <v>211.6105114</v>
      </c>
      <c r="S38" s="173">
        <f t="shared" si="9"/>
        <v>201.5338203</v>
      </c>
      <c r="T38" s="173">
        <f>SUMIF(TIMESHEET!E:E,B38,TIMESHEET!N:N)</f>
        <v>1843.958957</v>
      </c>
      <c r="U38" s="173">
        <f t="shared" si="7"/>
        <v>1843.958957</v>
      </c>
      <c r="V38" s="174" t="b">
        <v>1</v>
      </c>
      <c r="W38" s="175"/>
    </row>
    <row r="39" ht="11.25" customHeight="1">
      <c r="A39" s="89"/>
      <c r="B39" s="84" t="s">
        <v>131</v>
      </c>
      <c r="C39" s="111"/>
      <c r="D39" s="111"/>
      <c r="E39" s="167" t="s">
        <v>212</v>
      </c>
      <c r="F39" s="122" t="s">
        <v>79</v>
      </c>
      <c r="G39" s="111"/>
      <c r="H39" s="137">
        <f t="shared" ref="H39:S39" si="10">vlookup($B39,$B$13:$S$23,month(H$34)+6,0)*(1+$F$31)/(H$33*8.8)</f>
        <v>45.65902879</v>
      </c>
      <c r="I39" s="137">
        <f t="shared" si="10"/>
        <v>52.86834912</v>
      </c>
      <c r="J39" s="137">
        <f t="shared" si="10"/>
        <v>50.22493167</v>
      </c>
      <c r="K39" s="137">
        <f t="shared" si="10"/>
        <v>45.65902879</v>
      </c>
      <c r="L39" s="137">
        <f t="shared" si="10"/>
        <v>45.65902879</v>
      </c>
      <c r="M39" s="137">
        <f t="shared" si="10"/>
        <v>50.22493167</v>
      </c>
      <c r="N39" s="137">
        <f t="shared" si="10"/>
        <v>46.71718447</v>
      </c>
      <c r="O39" s="137">
        <f t="shared" si="10"/>
        <v>51.28276506</v>
      </c>
      <c r="P39" s="137">
        <f t="shared" si="10"/>
        <v>53.72480149</v>
      </c>
      <c r="Q39" s="137">
        <f t="shared" si="10"/>
        <v>51.28276506</v>
      </c>
      <c r="R39" s="137">
        <f t="shared" si="10"/>
        <v>56.41104156</v>
      </c>
      <c r="S39" s="137">
        <f t="shared" si="10"/>
        <v>53.72480149</v>
      </c>
      <c r="T39" s="133">
        <f>SUMIF(TIMESHEET!E:E,B39,TIMESHEET!N:N)</f>
        <v>3239.639466</v>
      </c>
      <c r="U39" s="133">
        <f t="shared" si="7"/>
        <v>3239.639466</v>
      </c>
      <c r="V39" s="176" t="b">
        <v>1</v>
      </c>
      <c r="W39" s="134"/>
    </row>
    <row r="40" ht="11.25" customHeight="1">
      <c r="A40" s="89"/>
      <c r="B40" s="84" t="s">
        <v>126</v>
      </c>
      <c r="C40" s="111"/>
      <c r="D40" s="111"/>
      <c r="E40" s="167" t="s">
        <v>212</v>
      </c>
      <c r="F40" s="122" t="s">
        <v>193</v>
      </c>
      <c r="G40" s="111"/>
      <c r="H40" s="137">
        <f t="shared" ref="H40:S40" si="11">vlookup($B40,$B$13:$S$23,month(H$34)+6,0)*(1+$F$31)/(H$33*8.8)</f>
        <v>47.94199692</v>
      </c>
      <c r="I40" s="137">
        <f t="shared" si="11"/>
        <v>55.51178591</v>
      </c>
      <c r="J40" s="137">
        <f t="shared" si="11"/>
        <v>52.73619661</v>
      </c>
      <c r="K40" s="137">
        <f t="shared" si="11"/>
        <v>47.94199692</v>
      </c>
      <c r="L40" s="137">
        <f t="shared" si="11"/>
        <v>47.94199692</v>
      </c>
      <c r="M40" s="137">
        <f t="shared" si="11"/>
        <v>52.73619661</v>
      </c>
      <c r="N40" s="137">
        <f t="shared" si="11"/>
        <v>49.05307962</v>
      </c>
      <c r="O40" s="137">
        <f t="shared" si="11"/>
        <v>60.39260009</v>
      </c>
      <c r="P40" s="137">
        <f t="shared" si="11"/>
        <v>63.26843819</v>
      </c>
      <c r="Q40" s="137">
        <f t="shared" si="11"/>
        <v>60.39260009</v>
      </c>
      <c r="R40" s="137">
        <f t="shared" si="11"/>
        <v>66.4318601</v>
      </c>
      <c r="S40" s="137">
        <f t="shared" si="11"/>
        <v>63.26843819</v>
      </c>
      <c r="T40" s="133">
        <f>SUMIF(TIMESHEET!E:E,B40,TIMESHEET!N:N)</f>
        <v>21526.28692</v>
      </c>
      <c r="U40" s="133">
        <f t="shared" si="7"/>
        <v>21526.28692</v>
      </c>
      <c r="V40" s="134" t="b">
        <v>1</v>
      </c>
      <c r="W40" s="134"/>
    </row>
    <row r="41" ht="11.25" customHeight="1">
      <c r="A41" s="89"/>
      <c r="B41" s="84" t="s">
        <v>134</v>
      </c>
      <c r="C41" s="111"/>
      <c r="D41" s="111"/>
      <c r="E41" s="167" t="s">
        <v>212</v>
      </c>
      <c r="F41" s="122" t="s">
        <v>81</v>
      </c>
      <c r="G41" s="111"/>
      <c r="H41" s="137">
        <f t="shared" ref="H41:S41" si="12">vlookup($B41,$B$13:$S$23,month(H$34)+6,0)*(1+$F$31)/(H$33*8.8)</f>
        <v>93.70511951</v>
      </c>
      <c r="I41" s="137">
        <f t="shared" si="12"/>
        <v>108.5006647</v>
      </c>
      <c r="J41" s="137">
        <f t="shared" si="12"/>
        <v>103.0756315</v>
      </c>
      <c r="K41" s="137">
        <f t="shared" si="12"/>
        <v>93.70511951</v>
      </c>
      <c r="L41" s="137">
        <f t="shared" si="12"/>
        <v>93.70511951</v>
      </c>
      <c r="M41" s="137">
        <f t="shared" si="12"/>
        <v>103.0756315</v>
      </c>
      <c r="N41" s="137">
        <f t="shared" si="12"/>
        <v>89.63098388</v>
      </c>
      <c r="O41" s="137">
        <f t="shared" si="12"/>
        <v>98.39034209</v>
      </c>
      <c r="P41" s="137">
        <f t="shared" si="12"/>
        <v>103.0755965</v>
      </c>
      <c r="Q41" s="137">
        <f t="shared" si="12"/>
        <v>98.39034209</v>
      </c>
      <c r="R41" s="137">
        <f t="shared" si="12"/>
        <v>108.2293763</v>
      </c>
      <c r="S41" s="137">
        <f t="shared" si="12"/>
        <v>103.0755965</v>
      </c>
      <c r="T41" s="133">
        <f>SUMIF(TIMESHEET!E:E,B41,TIMESHEET!N:N)</f>
        <v>23918.22002</v>
      </c>
      <c r="U41" s="133">
        <f t="shared" si="7"/>
        <v>23918.22002</v>
      </c>
      <c r="V41" s="134" t="b">
        <v>1</v>
      </c>
      <c r="W41" s="134"/>
    </row>
    <row r="42" ht="11.25" customHeight="1">
      <c r="A42" s="89"/>
      <c r="B42" s="84" t="s">
        <v>145</v>
      </c>
      <c r="C42" s="111"/>
      <c r="D42" s="111"/>
      <c r="E42" s="167" t="s">
        <v>212</v>
      </c>
      <c r="F42" s="122" t="s">
        <v>193</v>
      </c>
      <c r="G42" s="111"/>
      <c r="H42" s="137">
        <f t="shared" ref="H42:S42" si="13">vlookup($B42,$B$13:$S$23,month(H$34)+6,0)*(1+$F$31)/(H$33*8.8)</f>
        <v>39.90473703</v>
      </c>
      <c r="I42" s="137">
        <f t="shared" si="13"/>
        <v>46.20548498</v>
      </c>
      <c r="J42" s="137">
        <f t="shared" si="13"/>
        <v>43.89521073</v>
      </c>
      <c r="K42" s="137">
        <f t="shared" si="13"/>
        <v>39.90473703</v>
      </c>
      <c r="L42" s="137">
        <f t="shared" si="13"/>
        <v>39.90473703</v>
      </c>
      <c r="M42" s="137">
        <f t="shared" si="13"/>
        <v>43.89521073</v>
      </c>
      <c r="N42" s="137">
        <f t="shared" si="13"/>
        <v>38.16974846</v>
      </c>
      <c r="O42" s="137">
        <f t="shared" si="13"/>
        <v>45.75485852</v>
      </c>
      <c r="P42" s="137">
        <f t="shared" si="13"/>
        <v>47.93366131</v>
      </c>
      <c r="Q42" s="137">
        <f t="shared" si="13"/>
        <v>45.75485852</v>
      </c>
      <c r="R42" s="137">
        <f t="shared" si="13"/>
        <v>50.33034438</v>
      </c>
      <c r="S42" s="137">
        <f t="shared" si="13"/>
        <v>47.93366131</v>
      </c>
      <c r="T42" s="133">
        <f>SUMIF(TIMESHEET!E:E,B42,TIMESHEET!N:N)</f>
        <v>5425.613473</v>
      </c>
      <c r="U42" s="133">
        <f t="shared" si="7"/>
        <v>5425.613473</v>
      </c>
      <c r="V42" s="134" t="b">
        <v>1</v>
      </c>
      <c r="W42" s="134"/>
    </row>
    <row r="43" ht="11.25" hidden="1" customHeight="1">
      <c r="A43" s="89"/>
      <c r="B43" s="84"/>
      <c r="C43" s="111"/>
      <c r="D43" s="111"/>
      <c r="E43" s="167" t="s">
        <v>212</v>
      </c>
      <c r="F43" s="122"/>
      <c r="G43" s="111"/>
      <c r="H43" s="137" t="str">
        <f t="shared" ref="H43:S43" si="14">vlookup($B43,$B$13:$S$23,month(H$34)+6,0)*(1+$F$31)/(H$33*8.8)</f>
        <v>#N/A</v>
      </c>
      <c r="I43" s="137" t="str">
        <f t="shared" si="14"/>
        <v>#N/A</v>
      </c>
      <c r="J43" s="137" t="str">
        <f t="shared" si="14"/>
        <v>#N/A</v>
      </c>
      <c r="K43" s="137" t="str">
        <f t="shared" si="14"/>
        <v>#N/A</v>
      </c>
      <c r="L43" s="137" t="str">
        <f t="shared" si="14"/>
        <v>#N/A</v>
      </c>
      <c r="M43" s="137" t="str">
        <f t="shared" si="14"/>
        <v>#N/A</v>
      </c>
      <c r="N43" s="137" t="str">
        <f t="shared" si="14"/>
        <v>#N/A</v>
      </c>
      <c r="O43" s="137" t="str">
        <f t="shared" si="14"/>
        <v>#N/A</v>
      </c>
      <c r="P43" s="137" t="str">
        <f t="shared" si="14"/>
        <v>#N/A</v>
      </c>
      <c r="Q43" s="137" t="str">
        <f t="shared" si="14"/>
        <v>#N/A</v>
      </c>
      <c r="R43" s="137" t="str">
        <f t="shared" si="14"/>
        <v>#N/A</v>
      </c>
      <c r="S43" s="137" t="str">
        <f t="shared" si="14"/>
        <v>#N/A</v>
      </c>
      <c r="T43" s="133">
        <f>SUMIF(TIMESHEET!E:E,B43,TIMESHEET!N:N)</f>
        <v>0</v>
      </c>
      <c r="U43" s="133">
        <f t="shared" si="7"/>
        <v>0</v>
      </c>
      <c r="V43" s="134" t="b">
        <v>1</v>
      </c>
      <c r="W43" s="134"/>
    </row>
    <row r="44" ht="11.25" hidden="1" customHeight="1">
      <c r="A44" s="89"/>
      <c r="B44" s="84"/>
      <c r="C44" s="111"/>
      <c r="D44" s="111"/>
      <c r="E44" s="167" t="s">
        <v>212</v>
      </c>
      <c r="F44" s="122"/>
      <c r="G44" s="111"/>
      <c r="H44" s="137" t="str">
        <f>vlookup($B44,$B$13:$S$25,month(H$34)+6,0)*(1+$F$31)/(H$33*8.8)</f>
        <v>#N/A</v>
      </c>
      <c r="I44" s="137" t="str">
        <f t="shared" ref="I44:S44" si="15">vlookup($B44,$B$13:$S$23,month(I$34)+6,0)*(1+$F$31)/(I$33*8.8)</f>
        <v>#N/A</v>
      </c>
      <c r="J44" s="137" t="str">
        <f t="shared" si="15"/>
        <v>#N/A</v>
      </c>
      <c r="K44" s="137" t="str">
        <f t="shared" si="15"/>
        <v>#N/A</v>
      </c>
      <c r="L44" s="137" t="str">
        <f t="shared" si="15"/>
        <v>#N/A</v>
      </c>
      <c r="M44" s="137" t="str">
        <f t="shared" si="15"/>
        <v>#N/A</v>
      </c>
      <c r="N44" s="137" t="str">
        <f t="shared" si="15"/>
        <v>#N/A</v>
      </c>
      <c r="O44" s="137" t="str">
        <f t="shared" si="15"/>
        <v>#N/A</v>
      </c>
      <c r="P44" s="137" t="str">
        <f t="shared" si="15"/>
        <v>#N/A</v>
      </c>
      <c r="Q44" s="137" t="str">
        <f t="shared" si="15"/>
        <v>#N/A</v>
      </c>
      <c r="R44" s="137" t="str">
        <f t="shared" si="15"/>
        <v>#N/A</v>
      </c>
      <c r="S44" s="137" t="str">
        <f t="shared" si="15"/>
        <v>#N/A</v>
      </c>
      <c r="T44" s="133">
        <f>SUMIF(TIMESHEET!E:E,B44,TIMESHEET!N:N)</f>
        <v>0</v>
      </c>
      <c r="U44" s="133">
        <f t="shared" si="7"/>
        <v>0</v>
      </c>
      <c r="V44" s="134" t="b">
        <v>1</v>
      </c>
      <c r="W44" s="134"/>
    </row>
    <row r="45" ht="11.25" hidden="1" customHeight="1">
      <c r="A45" s="89"/>
      <c r="B45" s="84"/>
      <c r="C45" s="111"/>
      <c r="D45" s="111"/>
      <c r="E45" s="167" t="s">
        <v>212</v>
      </c>
      <c r="F45" s="122"/>
      <c r="G45" s="111"/>
      <c r="H45" s="137" t="str">
        <f t="shared" ref="H45:S45" si="16">vlookup($B45,$B$13:$S$23,month(H$34)+6,0)*(1+$F$31)/(H$33*8.8)</f>
        <v>#N/A</v>
      </c>
      <c r="I45" s="137" t="str">
        <f t="shared" si="16"/>
        <v>#N/A</v>
      </c>
      <c r="J45" s="137" t="str">
        <f t="shared" si="16"/>
        <v>#N/A</v>
      </c>
      <c r="K45" s="137" t="str">
        <f t="shared" si="16"/>
        <v>#N/A</v>
      </c>
      <c r="L45" s="137" t="str">
        <f t="shared" si="16"/>
        <v>#N/A</v>
      </c>
      <c r="M45" s="137" t="str">
        <f t="shared" si="16"/>
        <v>#N/A</v>
      </c>
      <c r="N45" s="137" t="str">
        <f t="shared" si="16"/>
        <v>#N/A</v>
      </c>
      <c r="O45" s="137" t="str">
        <f t="shared" si="16"/>
        <v>#N/A</v>
      </c>
      <c r="P45" s="137" t="str">
        <f t="shared" si="16"/>
        <v>#N/A</v>
      </c>
      <c r="Q45" s="137" t="str">
        <f t="shared" si="16"/>
        <v>#N/A</v>
      </c>
      <c r="R45" s="137" t="str">
        <f t="shared" si="16"/>
        <v>#N/A</v>
      </c>
      <c r="S45" s="137" t="str">
        <f t="shared" si="16"/>
        <v>#N/A</v>
      </c>
      <c r="T45" s="133">
        <f>SUMIF(TIMESHEET!E:E,B45,TIMESHEET!N:N)</f>
        <v>0</v>
      </c>
      <c r="U45" s="133">
        <f t="shared" si="7"/>
        <v>0</v>
      </c>
      <c r="V45" s="134" t="b">
        <v>1</v>
      </c>
      <c r="W45" s="134"/>
    </row>
    <row r="46" ht="11.25" hidden="1" customHeight="1">
      <c r="A46" s="89"/>
      <c r="B46" s="84"/>
      <c r="C46" s="111"/>
      <c r="D46" s="111"/>
      <c r="E46" s="167" t="s">
        <v>212</v>
      </c>
      <c r="F46" s="122"/>
      <c r="G46" s="111"/>
      <c r="H46" s="137" t="str">
        <f t="shared" ref="H46:S46" si="17">vlookup($B46,$B$13:$S$25,month(H$34)+6,0)*(1+$F$31)/(H$33*8.8)</f>
        <v>#N/A</v>
      </c>
      <c r="I46" s="137" t="str">
        <f t="shared" si="17"/>
        <v>#N/A</v>
      </c>
      <c r="J46" s="137" t="str">
        <f t="shared" si="17"/>
        <v>#N/A</v>
      </c>
      <c r="K46" s="137" t="str">
        <f t="shared" si="17"/>
        <v>#N/A</v>
      </c>
      <c r="L46" s="137" t="str">
        <f t="shared" si="17"/>
        <v>#N/A</v>
      </c>
      <c r="M46" s="137" t="str">
        <f t="shared" si="17"/>
        <v>#N/A</v>
      </c>
      <c r="N46" s="137" t="str">
        <f t="shared" si="17"/>
        <v>#N/A</v>
      </c>
      <c r="O46" s="137" t="str">
        <f t="shared" si="17"/>
        <v>#N/A</v>
      </c>
      <c r="P46" s="137" t="str">
        <f t="shared" si="17"/>
        <v>#N/A</v>
      </c>
      <c r="Q46" s="137" t="str">
        <f t="shared" si="17"/>
        <v>#N/A</v>
      </c>
      <c r="R46" s="137" t="str">
        <f t="shared" si="17"/>
        <v>#N/A</v>
      </c>
      <c r="S46" s="137" t="str">
        <f t="shared" si="17"/>
        <v>#N/A</v>
      </c>
      <c r="T46" s="133">
        <f>SUMIF(TIMESHEET!E:E,B46,TIMESHEET!N:N)</f>
        <v>0</v>
      </c>
      <c r="U46" s="133">
        <f t="shared" si="7"/>
        <v>0</v>
      </c>
      <c r="V46" s="134" t="b">
        <v>1</v>
      </c>
      <c r="W46" s="134"/>
    </row>
    <row r="47" ht="11.25" hidden="1" customHeight="1">
      <c r="A47" s="89"/>
      <c r="B47" s="84"/>
      <c r="C47" s="160"/>
      <c r="D47" s="160"/>
      <c r="E47" s="167" t="s">
        <v>212</v>
      </c>
      <c r="F47" s="122"/>
      <c r="G47" s="111"/>
      <c r="H47" s="137" t="str">
        <f t="shared" ref="H47:S47" si="18">vlookup($B47,$B$13:$S$25,month(H$34)+6,0)*(1+$F$31)/(H$33*8.8)</f>
        <v>#N/A</v>
      </c>
      <c r="I47" s="137" t="str">
        <f t="shared" si="18"/>
        <v>#N/A</v>
      </c>
      <c r="J47" s="137" t="str">
        <f t="shared" si="18"/>
        <v>#N/A</v>
      </c>
      <c r="K47" s="137" t="str">
        <f t="shared" si="18"/>
        <v>#N/A</v>
      </c>
      <c r="L47" s="137" t="str">
        <f t="shared" si="18"/>
        <v>#N/A</v>
      </c>
      <c r="M47" s="137" t="str">
        <f t="shared" si="18"/>
        <v>#N/A</v>
      </c>
      <c r="N47" s="137" t="str">
        <f t="shared" si="18"/>
        <v>#N/A</v>
      </c>
      <c r="O47" s="137" t="str">
        <f t="shared" si="18"/>
        <v>#N/A</v>
      </c>
      <c r="P47" s="137" t="str">
        <f t="shared" si="18"/>
        <v>#N/A</v>
      </c>
      <c r="Q47" s="137" t="str">
        <f t="shared" si="18"/>
        <v>#N/A</v>
      </c>
      <c r="R47" s="137" t="str">
        <f t="shared" si="18"/>
        <v>#N/A</v>
      </c>
      <c r="S47" s="137" t="str">
        <f t="shared" si="18"/>
        <v>#N/A</v>
      </c>
      <c r="T47" s="133">
        <f>SUMIF(TIMESHEET!E:E,B47,TIMESHEET!N:N)</f>
        <v>0</v>
      </c>
      <c r="U47" s="133">
        <f t="shared" si="7"/>
        <v>0</v>
      </c>
      <c r="V47" s="134" t="b">
        <v>1</v>
      </c>
      <c r="W47" s="134"/>
    </row>
    <row r="48">
      <c r="A48" s="89"/>
      <c r="B48" s="177"/>
      <c r="C48" s="160"/>
      <c r="D48" s="160"/>
      <c r="E48" s="160"/>
      <c r="F48" s="122"/>
      <c r="G48" s="111"/>
      <c r="H48" s="137"/>
      <c r="I48" s="137"/>
      <c r="J48" s="137"/>
      <c r="K48" s="137"/>
      <c r="L48" s="137"/>
      <c r="M48" s="137"/>
      <c r="N48" s="137"/>
      <c r="O48" s="137"/>
      <c r="P48" s="137"/>
      <c r="Q48" s="137"/>
      <c r="R48" s="137"/>
      <c r="S48" s="137"/>
      <c r="T48" s="133"/>
      <c r="U48" s="132"/>
      <c r="V48" s="133"/>
      <c r="W48" s="134"/>
    </row>
    <row r="49">
      <c r="A49" s="89"/>
      <c r="B49" s="177" t="s">
        <v>213</v>
      </c>
      <c r="C49" s="160"/>
      <c r="D49" s="160"/>
      <c r="E49" s="160"/>
      <c r="F49" s="122"/>
      <c r="G49" s="111"/>
      <c r="H49" s="137"/>
      <c r="I49" s="137"/>
      <c r="J49" s="137"/>
      <c r="K49" s="137"/>
      <c r="L49" s="137"/>
      <c r="M49" s="137"/>
      <c r="N49" s="137"/>
      <c r="O49" s="137"/>
      <c r="P49" s="137"/>
      <c r="Q49" s="137"/>
      <c r="R49" s="137"/>
      <c r="S49" s="137"/>
      <c r="T49" s="133"/>
      <c r="U49" s="132"/>
      <c r="V49" s="133"/>
      <c r="W49" s="134"/>
    </row>
    <row r="50" ht="11.25" customHeight="1">
      <c r="A50" s="89"/>
      <c r="B50" s="178">
        <v>45292.0</v>
      </c>
      <c r="C50" s="129" t="s">
        <v>214</v>
      </c>
      <c r="D50" s="179"/>
      <c r="E50" s="129"/>
      <c r="F50" s="178"/>
      <c r="G50" s="111"/>
      <c r="H50" s="137"/>
      <c r="I50" s="137"/>
      <c r="J50" s="137"/>
      <c r="K50" s="137"/>
      <c r="L50" s="137"/>
      <c r="M50" s="137"/>
      <c r="N50" s="137"/>
      <c r="O50" s="137"/>
      <c r="P50" s="137"/>
      <c r="Q50" s="137"/>
      <c r="R50" s="137"/>
      <c r="S50" s="137"/>
      <c r="T50" s="133"/>
      <c r="U50" s="132"/>
      <c r="V50" s="133"/>
      <c r="W50" s="134"/>
    </row>
    <row r="51" ht="11.25" customHeight="1">
      <c r="A51" s="89"/>
      <c r="B51" s="178">
        <v>45335.0</v>
      </c>
      <c r="C51" s="129" t="s">
        <v>215</v>
      </c>
      <c r="D51" s="180"/>
      <c r="E51" s="129"/>
      <c r="F51" s="178"/>
      <c r="G51" s="111"/>
      <c r="H51" s="137"/>
      <c r="I51" s="137"/>
      <c r="J51" s="137"/>
      <c r="K51" s="137"/>
      <c r="L51" s="137"/>
      <c r="M51" s="137"/>
      <c r="N51" s="137"/>
      <c r="O51" s="137"/>
      <c r="P51" s="137"/>
      <c r="Q51" s="137"/>
      <c r="R51" s="137"/>
      <c r="S51" s="137"/>
      <c r="T51" s="133"/>
      <c r="U51" s="132"/>
      <c r="V51" s="133"/>
      <c r="W51" s="134"/>
    </row>
    <row r="52" ht="11.25" customHeight="1">
      <c r="A52" s="89"/>
      <c r="B52" s="178">
        <v>45336.0</v>
      </c>
      <c r="C52" s="129" t="s">
        <v>216</v>
      </c>
      <c r="D52" s="129"/>
      <c r="E52" s="129"/>
      <c r="F52" s="178"/>
      <c r="G52" s="111"/>
      <c r="H52" s="137"/>
      <c r="I52" s="137"/>
      <c r="J52" s="137"/>
      <c r="K52" s="137"/>
      <c r="L52" s="137"/>
      <c r="M52" s="137"/>
      <c r="N52" s="137"/>
      <c r="O52" s="137"/>
      <c r="P52" s="137"/>
      <c r="Q52" s="137"/>
      <c r="R52" s="137"/>
      <c r="S52" s="137"/>
      <c r="T52" s="133"/>
      <c r="U52" s="132"/>
      <c r="V52" s="133"/>
      <c r="W52" s="134"/>
    </row>
    <row r="53" ht="11.25" customHeight="1">
      <c r="A53" s="89"/>
      <c r="B53" s="178">
        <v>45380.0</v>
      </c>
      <c r="C53" s="129" t="s">
        <v>217</v>
      </c>
      <c r="D53" s="129"/>
      <c r="E53" s="129"/>
      <c r="F53" s="178"/>
      <c r="G53" s="111"/>
      <c r="H53" s="137"/>
      <c r="I53" s="137"/>
      <c r="J53" s="137"/>
      <c r="K53" s="137"/>
      <c r="L53" s="137"/>
      <c r="M53" s="137"/>
      <c r="N53" s="137"/>
      <c r="O53" s="137"/>
      <c r="P53" s="137"/>
      <c r="Q53" s="137"/>
      <c r="R53" s="137"/>
      <c r="S53" s="137"/>
      <c r="T53" s="133"/>
      <c r="U53" s="132"/>
      <c r="V53" s="133"/>
      <c r="W53" s="134"/>
    </row>
    <row r="54" ht="11.25" customHeight="1">
      <c r="A54" s="89"/>
      <c r="B54" s="178">
        <v>45382.0</v>
      </c>
      <c r="C54" s="129" t="s">
        <v>218</v>
      </c>
      <c r="D54" s="129"/>
      <c r="E54" s="129"/>
      <c r="F54" s="178"/>
      <c r="G54" s="111"/>
      <c r="H54" s="137"/>
      <c r="I54" s="137"/>
      <c r="J54" s="137"/>
      <c r="K54" s="137"/>
      <c r="L54" s="137"/>
      <c r="M54" s="137"/>
      <c r="N54" s="137"/>
      <c r="O54" s="137"/>
      <c r="P54" s="137"/>
      <c r="Q54" s="137"/>
      <c r="R54" s="137"/>
      <c r="S54" s="137"/>
      <c r="T54" s="133"/>
      <c r="U54" s="132"/>
      <c r="V54" s="133"/>
      <c r="W54" s="134"/>
    </row>
    <row r="55" ht="11.25" customHeight="1">
      <c r="A55" s="89"/>
      <c r="B55" s="178">
        <v>45442.0</v>
      </c>
      <c r="C55" s="129" t="s">
        <v>219</v>
      </c>
      <c r="D55" s="181"/>
      <c r="E55" s="129"/>
      <c r="F55" s="178"/>
      <c r="G55" s="111"/>
      <c r="H55" s="137"/>
      <c r="I55" s="137"/>
      <c r="J55" s="137"/>
      <c r="K55" s="137"/>
      <c r="L55" s="137"/>
      <c r="M55" s="137"/>
      <c r="N55" s="137"/>
      <c r="O55" s="137"/>
      <c r="P55" s="137"/>
      <c r="Q55" s="137"/>
      <c r="R55" s="137"/>
      <c r="S55" s="137"/>
      <c r="T55" s="133"/>
      <c r="U55" s="132"/>
      <c r="V55" s="133"/>
      <c r="W55" s="134"/>
    </row>
    <row r="56" ht="11.25" customHeight="1">
      <c r="A56" s="89"/>
      <c r="B56" s="178">
        <v>45595.0</v>
      </c>
      <c r="C56" s="129" t="s">
        <v>220</v>
      </c>
      <c r="D56" s="180"/>
      <c r="E56" s="129"/>
      <c r="F56" s="178"/>
      <c r="G56" s="111"/>
      <c r="H56" s="137"/>
      <c r="I56" s="137"/>
      <c r="J56" s="137"/>
      <c r="K56" s="137"/>
      <c r="L56" s="137"/>
      <c r="M56" s="137"/>
      <c r="N56" s="137"/>
      <c r="O56" s="137"/>
      <c r="P56" s="137"/>
      <c r="Q56" s="137"/>
      <c r="R56" s="137"/>
      <c r="S56" s="137"/>
      <c r="T56" s="133"/>
      <c r="U56" s="132"/>
      <c r="V56" s="133"/>
      <c r="W56" s="134"/>
    </row>
    <row r="57" ht="11.25" customHeight="1">
      <c r="A57" s="89"/>
      <c r="B57" s="178">
        <v>45616.0</v>
      </c>
      <c r="C57" s="129" t="s">
        <v>221</v>
      </c>
      <c r="D57" s="179"/>
      <c r="E57" s="129"/>
      <c r="F57" s="178"/>
      <c r="G57" s="111"/>
      <c r="H57" s="137"/>
      <c r="I57" s="137"/>
      <c r="J57" s="137"/>
      <c r="K57" s="137"/>
      <c r="L57" s="137"/>
      <c r="M57" s="137"/>
      <c r="N57" s="137"/>
      <c r="O57" s="137"/>
      <c r="P57" s="137"/>
      <c r="Q57" s="137"/>
      <c r="R57" s="137"/>
      <c r="S57" s="137"/>
      <c r="T57" s="133"/>
      <c r="U57" s="132"/>
      <c r="V57" s="133"/>
      <c r="W57" s="134"/>
    </row>
    <row r="58" ht="11.25" customHeight="1">
      <c r="A58" s="89"/>
      <c r="B58" s="178">
        <v>45651.0</v>
      </c>
      <c r="C58" s="129" t="s">
        <v>222</v>
      </c>
      <c r="D58" s="180"/>
      <c r="E58" s="129"/>
      <c r="F58" s="178"/>
      <c r="G58" s="111"/>
      <c r="H58" s="137"/>
      <c r="I58" s="137"/>
      <c r="J58" s="137"/>
      <c r="K58" s="137"/>
      <c r="L58" s="137"/>
      <c r="M58" s="137"/>
      <c r="N58" s="137"/>
      <c r="O58" s="137"/>
      <c r="P58" s="137"/>
      <c r="Q58" s="137"/>
      <c r="R58" s="137"/>
      <c r="S58" s="137"/>
      <c r="T58" s="133"/>
      <c r="U58" s="132"/>
      <c r="V58" s="133"/>
      <c r="W58" s="134"/>
    </row>
    <row r="59" ht="11.25" customHeight="1">
      <c r="A59" s="89"/>
      <c r="B59" s="178"/>
      <c r="C59" s="129"/>
      <c r="D59" s="180"/>
      <c r="E59" s="129"/>
      <c r="F59" s="178"/>
      <c r="G59" s="111"/>
      <c r="H59" s="137"/>
      <c r="I59" s="137"/>
      <c r="J59" s="137"/>
      <c r="K59" s="137"/>
      <c r="L59" s="137"/>
      <c r="M59" s="137"/>
      <c r="N59" s="137"/>
      <c r="O59" s="137"/>
      <c r="P59" s="137"/>
      <c r="Q59" s="137"/>
      <c r="R59" s="137"/>
      <c r="S59" s="137"/>
      <c r="T59" s="133"/>
      <c r="U59" s="132"/>
      <c r="V59" s="133"/>
      <c r="W59" s="134"/>
    </row>
    <row r="60" ht="11.25" customHeight="1">
      <c r="A60" s="89"/>
      <c r="B60" s="178"/>
      <c r="C60" s="129"/>
      <c r="D60" s="180"/>
      <c r="E60" s="129"/>
      <c r="F60" s="178"/>
      <c r="G60" s="111"/>
      <c r="H60" s="137"/>
      <c r="I60" s="137"/>
      <c r="J60" s="137"/>
      <c r="K60" s="137"/>
      <c r="L60" s="137"/>
      <c r="M60" s="137"/>
      <c r="N60" s="137"/>
      <c r="O60" s="137"/>
      <c r="P60" s="137"/>
      <c r="Q60" s="137"/>
      <c r="R60" s="137"/>
      <c r="S60" s="137"/>
      <c r="T60" s="133"/>
      <c r="U60" s="132"/>
      <c r="V60" s="133"/>
      <c r="W60" s="134"/>
    </row>
    <row r="61" ht="11.25" customHeight="1">
      <c r="A61" s="89"/>
      <c r="B61" s="178"/>
      <c r="C61" s="129"/>
      <c r="D61" s="180"/>
      <c r="E61" s="129"/>
      <c r="F61" s="178"/>
      <c r="G61" s="111"/>
      <c r="H61" s="137"/>
      <c r="I61" s="137"/>
      <c r="J61" s="137"/>
      <c r="K61" s="137"/>
      <c r="L61" s="137"/>
      <c r="M61" s="137"/>
      <c r="N61" s="137"/>
      <c r="O61" s="137"/>
      <c r="P61" s="137"/>
      <c r="Q61" s="137"/>
      <c r="R61" s="137"/>
      <c r="S61" s="137"/>
      <c r="T61" s="133"/>
      <c r="U61" s="132"/>
      <c r="V61" s="133"/>
      <c r="W61" s="134"/>
    </row>
    <row r="62" ht="11.25" customHeight="1">
      <c r="A62" s="89"/>
      <c r="B62" s="178"/>
      <c r="C62" s="129"/>
      <c r="D62" s="180"/>
      <c r="E62" s="129"/>
      <c r="F62" s="178"/>
      <c r="G62" s="111"/>
      <c r="H62" s="137"/>
      <c r="I62" s="137"/>
      <c r="J62" s="137"/>
      <c r="K62" s="137"/>
      <c r="L62" s="137"/>
      <c r="M62" s="137"/>
      <c r="N62" s="137"/>
      <c r="O62" s="137"/>
      <c r="P62" s="137"/>
      <c r="Q62" s="137"/>
      <c r="R62" s="137"/>
      <c r="S62" s="137"/>
      <c r="T62" s="133"/>
      <c r="U62" s="132"/>
      <c r="V62" s="133"/>
      <c r="W62" s="134"/>
    </row>
    <row r="63" ht="11.25" customHeight="1">
      <c r="A63" s="89"/>
      <c r="B63" s="178"/>
      <c r="C63" s="129"/>
      <c r="D63" s="180"/>
      <c r="E63" s="129"/>
      <c r="F63" s="178"/>
      <c r="G63" s="111"/>
      <c r="H63" s="137"/>
      <c r="I63" s="137"/>
      <c r="J63" s="137"/>
      <c r="K63" s="137"/>
      <c r="L63" s="137"/>
      <c r="M63" s="137"/>
      <c r="N63" s="137"/>
      <c r="O63" s="137"/>
      <c r="P63" s="137"/>
      <c r="Q63" s="137"/>
      <c r="R63" s="137"/>
      <c r="S63" s="137"/>
      <c r="T63" s="133"/>
      <c r="U63" s="132"/>
      <c r="V63" s="133"/>
      <c r="W63" s="134"/>
    </row>
    <row r="64" ht="11.25" customHeight="1">
      <c r="A64" s="89"/>
      <c r="B64" s="178"/>
      <c r="C64" s="129"/>
      <c r="D64" s="180"/>
      <c r="E64" s="129"/>
      <c r="F64" s="178"/>
      <c r="G64" s="111"/>
      <c r="H64" s="137"/>
      <c r="I64" s="137"/>
      <c r="J64" s="137"/>
      <c r="K64" s="137"/>
      <c r="L64" s="137"/>
      <c r="M64" s="137"/>
      <c r="N64" s="137"/>
      <c r="O64" s="137"/>
      <c r="P64" s="137"/>
      <c r="Q64" s="137"/>
      <c r="R64" s="137"/>
      <c r="S64" s="137"/>
      <c r="T64" s="133"/>
      <c r="U64" s="132"/>
      <c r="V64" s="133"/>
      <c r="W64" s="134"/>
    </row>
    <row r="65" ht="11.25" customHeight="1">
      <c r="A65" s="89"/>
      <c r="B65" s="178"/>
      <c r="C65" s="129"/>
      <c r="D65" s="180"/>
      <c r="E65" s="129"/>
      <c r="F65" s="178"/>
      <c r="G65" s="111"/>
      <c r="H65" s="137"/>
      <c r="I65" s="137"/>
      <c r="J65" s="137"/>
      <c r="K65" s="137"/>
      <c r="L65" s="137"/>
      <c r="M65" s="137"/>
      <c r="N65" s="137"/>
      <c r="O65" s="137"/>
      <c r="P65" s="137"/>
      <c r="Q65" s="137"/>
      <c r="R65" s="137"/>
      <c r="S65" s="137"/>
      <c r="T65" s="133"/>
      <c r="U65" s="132"/>
      <c r="V65" s="133"/>
      <c r="W65" s="134"/>
    </row>
    <row r="66" ht="11.25" customHeight="1">
      <c r="A66" s="89"/>
      <c r="B66" s="178"/>
      <c r="C66" s="129"/>
      <c r="D66" s="180"/>
      <c r="E66" s="129"/>
      <c r="F66" s="178"/>
      <c r="G66" s="111"/>
      <c r="H66" s="137"/>
      <c r="I66" s="137"/>
      <c r="J66" s="137"/>
      <c r="K66" s="137"/>
      <c r="L66" s="137"/>
      <c r="M66" s="137"/>
      <c r="N66" s="137"/>
      <c r="O66" s="137"/>
      <c r="P66" s="137"/>
      <c r="Q66" s="137"/>
      <c r="R66" s="137"/>
      <c r="S66" s="137"/>
      <c r="T66" s="133"/>
      <c r="U66" s="132"/>
      <c r="V66" s="133"/>
      <c r="W66" s="134"/>
    </row>
    <row r="67" ht="11.25" customHeight="1">
      <c r="A67" s="89"/>
      <c r="B67" s="178"/>
      <c r="C67" s="129"/>
      <c r="D67" s="180"/>
      <c r="E67" s="129"/>
      <c r="F67" s="178"/>
      <c r="G67" s="111"/>
      <c r="H67" s="137"/>
      <c r="I67" s="137"/>
      <c r="J67" s="137"/>
      <c r="K67" s="137"/>
      <c r="L67" s="137"/>
      <c r="M67" s="137"/>
      <c r="N67" s="137"/>
      <c r="O67" s="137"/>
      <c r="P67" s="137"/>
      <c r="Q67" s="137"/>
      <c r="R67" s="137"/>
      <c r="S67" s="137"/>
      <c r="T67" s="133"/>
      <c r="U67" s="132"/>
      <c r="V67" s="133"/>
      <c r="W67" s="134"/>
    </row>
  </sheetData>
  <mergeCells count="3">
    <mergeCell ref="B5:D6"/>
    <mergeCell ref="B29:F29"/>
    <mergeCell ref="I29:I3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fitToPage="1"/>
  </sheetPr>
  <sheetViews>
    <sheetView showGridLines="0" workbookViewId="0"/>
  </sheetViews>
  <sheetFormatPr customHeight="1" defaultColWidth="12.63" defaultRowHeight="15.75"/>
  <cols>
    <col customWidth="1" min="1" max="1" width="2.63"/>
    <col customWidth="1" min="2" max="2" width="16.13"/>
    <col customWidth="1" hidden="1" min="3" max="3" width="18.88"/>
    <col customWidth="1" min="4" max="6" width="18.88"/>
    <col customWidth="1" min="7" max="7" width="12.63"/>
    <col customWidth="1" hidden="1" min="8" max="8" width="12.63"/>
    <col customWidth="1" min="9" max="9" width="12.63"/>
    <col customWidth="1" min="10" max="10" width="36.38"/>
    <col customWidth="1" hidden="1" min="11" max="11" width="31.88"/>
    <col customWidth="1" hidden="1" min="12" max="14" width="12.63"/>
    <col customWidth="1" hidden="1" min="15" max="15" width="15.0"/>
    <col customWidth="1" hidden="1" min="16" max="16" width="8.88"/>
    <col customWidth="1" hidden="1" min="17" max="43" width="10.13"/>
    <col customWidth="1" min="44" max="57" width="10.13"/>
  </cols>
  <sheetData>
    <row r="1" ht="11.25" customHeight="1">
      <c r="A1" s="108"/>
      <c r="B1" s="108"/>
      <c r="C1" s="108"/>
      <c r="D1" s="108"/>
      <c r="E1" s="108"/>
      <c r="F1" s="108"/>
      <c r="G1" s="108"/>
      <c r="H1" s="108"/>
      <c r="I1" s="182"/>
      <c r="J1" s="108"/>
      <c r="K1" s="108"/>
      <c r="L1" s="108"/>
      <c r="M1" s="108"/>
      <c r="N1" s="183"/>
      <c r="O1" s="108"/>
      <c r="P1" s="184"/>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row>
    <row r="2">
      <c r="A2" s="108"/>
      <c r="B2" s="80" t="s">
        <v>89</v>
      </c>
      <c r="C2" s="79"/>
      <c r="D2" s="79"/>
      <c r="E2" s="79"/>
      <c r="F2" s="79"/>
      <c r="G2" s="79"/>
      <c r="H2" s="79"/>
      <c r="I2" s="185"/>
      <c r="J2" s="108"/>
      <c r="K2" s="108"/>
      <c r="L2" s="108"/>
      <c r="M2" s="108"/>
      <c r="N2" s="183"/>
      <c r="O2" s="108"/>
      <c r="P2" s="184"/>
      <c r="Q2" s="89"/>
      <c r="R2" s="89"/>
      <c r="S2" s="89"/>
      <c r="T2" s="89"/>
      <c r="U2" s="89"/>
      <c r="V2" s="89"/>
      <c r="W2" s="89"/>
      <c r="X2" s="89"/>
      <c r="Y2" s="89"/>
      <c r="Z2" s="89"/>
      <c r="AA2" s="89"/>
      <c r="AB2" s="89"/>
      <c r="AC2" s="89"/>
      <c r="AD2" s="89"/>
      <c r="AE2" s="89"/>
      <c r="AF2" s="89"/>
      <c r="AG2" s="89"/>
      <c r="AH2" s="89"/>
      <c r="AI2" s="89"/>
      <c r="AJ2" s="89"/>
      <c r="AK2" s="89"/>
      <c r="AL2" s="89"/>
      <c r="AM2" s="89"/>
      <c r="AN2" s="89"/>
      <c r="AO2" s="89"/>
      <c r="AP2" s="89"/>
      <c r="AQ2" s="89"/>
      <c r="AR2" s="89"/>
      <c r="AS2" s="89"/>
      <c r="AT2" s="89"/>
      <c r="AU2" s="89"/>
      <c r="AV2" s="89"/>
      <c r="AW2" s="89"/>
      <c r="AX2" s="89"/>
      <c r="AY2" s="89"/>
      <c r="AZ2" s="89"/>
      <c r="BA2" s="89"/>
      <c r="BB2" s="89"/>
      <c r="BC2" s="89"/>
      <c r="BD2" s="89"/>
      <c r="BE2" s="89"/>
    </row>
    <row r="3">
      <c r="A3" s="108"/>
      <c r="B3" s="81" t="s">
        <v>149</v>
      </c>
      <c r="C3" s="79"/>
      <c r="D3" s="79"/>
      <c r="E3" s="79"/>
      <c r="F3" s="79"/>
      <c r="G3" s="79"/>
      <c r="H3" s="79"/>
      <c r="I3" s="185"/>
      <c r="J3" s="108"/>
      <c r="K3" s="108"/>
      <c r="L3" s="108"/>
      <c r="M3" s="108"/>
      <c r="N3" s="183"/>
      <c r="O3" s="108"/>
      <c r="P3" s="184"/>
      <c r="Q3" s="89"/>
      <c r="R3" s="89"/>
      <c r="S3" s="89"/>
      <c r="T3" s="89"/>
      <c r="U3" s="89"/>
      <c r="V3" s="89"/>
      <c r="W3" s="89"/>
      <c r="X3" s="89"/>
      <c r="Y3" s="89"/>
      <c r="Z3" s="89"/>
      <c r="AA3" s="89"/>
      <c r="AB3" s="89"/>
      <c r="AC3" s="89"/>
      <c r="AD3" s="89"/>
      <c r="AE3" s="89"/>
      <c r="AF3" s="89"/>
      <c r="AG3" s="89"/>
      <c r="AH3" s="89"/>
      <c r="AI3" s="89"/>
      <c r="AJ3" s="89"/>
      <c r="AK3" s="89"/>
      <c r="AL3" s="89"/>
      <c r="AM3" s="89"/>
      <c r="AN3" s="89"/>
      <c r="AO3" s="89"/>
      <c r="AP3" s="89"/>
      <c r="AQ3" s="89"/>
      <c r="AR3" s="89"/>
      <c r="AS3" s="89"/>
      <c r="AT3" s="89"/>
      <c r="AU3" s="89"/>
      <c r="AV3" s="89"/>
      <c r="AW3" s="89"/>
      <c r="AX3" s="89"/>
      <c r="AY3" s="89"/>
      <c r="AZ3" s="89"/>
      <c r="BA3" s="89"/>
      <c r="BB3" s="89"/>
      <c r="BC3" s="89"/>
      <c r="BD3" s="89"/>
      <c r="BE3" s="89"/>
    </row>
    <row r="4">
      <c r="A4" s="108"/>
      <c r="B4" s="82" t="s">
        <v>223</v>
      </c>
      <c r="C4" s="79"/>
      <c r="D4" s="79"/>
      <c r="E4" s="79"/>
      <c r="F4" s="79"/>
      <c r="G4" s="79"/>
      <c r="H4" s="79"/>
      <c r="I4" s="185"/>
      <c r="J4" s="108"/>
      <c r="K4" s="108"/>
      <c r="L4" s="108"/>
      <c r="M4" s="108"/>
      <c r="N4" s="183"/>
      <c r="O4" s="108"/>
      <c r="P4" s="184"/>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89"/>
      <c r="AY4" s="89"/>
      <c r="AZ4" s="89"/>
      <c r="BA4" s="89"/>
      <c r="BB4" s="89"/>
      <c r="BC4" s="89"/>
      <c r="BD4" s="89"/>
      <c r="BE4" s="89"/>
    </row>
    <row r="5">
      <c r="A5" s="108"/>
      <c r="B5" s="111" t="s">
        <v>151</v>
      </c>
      <c r="E5" s="111"/>
      <c r="F5" s="111"/>
      <c r="G5" s="86"/>
      <c r="H5" s="86"/>
      <c r="I5" s="86"/>
      <c r="J5" s="108"/>
      <c r="K5" s="108"/>
      <c r="L5" s="108"/>
      <c r="M5" s="108"/>
      <c r="N5" s="183"/>
      <c r="O5" s="108"/>
      <c r="P5" s="184"/>
      <c r="Q5" s="89"/>
      <c r="R5" s="89"/>
      <c r="S5" s="89"/>
      <c r="T5" s="89"/>
      <c r="U5" s="89"/>
      <c r="V5" s="89"/>
      <c r="W5" s="89"/>
      <c r="X5" s="89"/>
      <c r="Y5" s="89"/>
      <c r="Z5" s="89"/>
      <c r="AA5" s="89"/>
      <c r="AB5" s="89"/>
      <c r="AC5" s="89"/>
      <c r="AD5" s="89"/>
      <c r="AE5" s="89"/>
      <c r="AF5" s="89"/>
      <c r="AG5" s="89"/>
      <c r="AH5" s="89"/>
      <c r="AI5" s="89"/>
      <c r="AJ5" s="89"/>
      <c r="AK5" s="89"/>
      <c r="AL5" s="89"/>
      <c r="AM5" s="89"/>
      <c r="AN5" s="89"/>
      <c r="AO5" s="89"/>
      <c r="AP5" s="89"/>
      <c r="AQ5" s="89"/>
      <c r="AR5" s="89"/>
      <c r="AS5" s="89"/>
      <c r="AT5" s="89"/>
      <c r="AU5" s="89"/>
      <c r="AV5" s="89"/>
      <c r="AW5" s="89"/>
      <c r="AX5" s="89"/>
      <c r="AY5" s="89"/>
      <c r="AZ5" s="89"/>
      <c r="BA5" s="89"/>
      <c r="BB5" s="89"/>
      <c r="BC5" s="89"/>
      <c r="BD5" s="89"/>
      <c r="BE5" s="89"/>
    </row>
    <row r="6">
      <c r="A6" s="108"/>
      <c r="E6" s="111"/>
      <c r="F6" s="111"/>
      <c r="G6" s="86"/>
      <c r="H6" s="86"/>
      <c r="I6" s="86"/>
      <c r="J6" s="108"/>
      <c r="K6" s="108"/>
      <c r="L6" s="108"/>
      <c r="M6" s="108"/>
      <c r="N6" s="183"/>
      <c r="O6" s="108"/>
      <c r="P6" s="184"/>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89"/>
      <c r="AS6" s="89"/>
      <c r="AT6" s="89"/>
      <c r="AU6" s="89"/>
      <c r="AV6" s="89"/>
      <c r="AW6" s="89"/>
      <c r="AX6" s="89"/>
      <c r="AY6" s="89"/>
      <c r="AZ6" s="89"/>
      <c r="BA6" s="89"/>
      <c r="BB6" s="89"/>
      <c r="BC6" s="89"/>
      <c r="BD6" s="89"/>
      <c r="BE6" s="89"/>
    </row>
    <row r="7">
      <c r="A7" s="108"/>
      <c r="B7" s="79"/>
      <c r="C7" s="186"/>
      <c r="D7" s="186"/>
      <c r="E7" s="186"/>
      <c r="F7" s="186"/>
      <c r="G7" s="186"/>
      <c r="H7" s="186"/>
      <c r="I7" s="186"/>
      <c r="J7" s="108"/>
      <c r="K7" s="108"/>
      <c r="L7" s="108"/>
      <c r="M7" s="108"/>
      <c r="N7" s="183"/>
      <c r="O7" s="187" t="s">
        <v>224</v>
      </c>
      <c r="P7" s="184"/>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row>
    <row r="8">
      <c r="A8" s="108"/>
      <c r="B8" s="80" t="s">
        <v>152</v>
      </c>
      <c r="C8" s="186"/>
      <c r="D8" s="186"/>
      <c r="E8" s="186"/>
      <c r="F8" s="186"/>
      <c r="G8" s="186"/>
      <c r="H8" s="186"/>
      <c r="I8" s="186"/>
      <c r="J8" s="108"/>
      <c r="K8" s="108"/>
      <c r="L8" s="108"/>
      <c r="M8" s="108"/>
      <c r="N8" s="183"/>
      <c r="O8" s="108"/>
      <c r="P8" s="184"/>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row>
    <row r="9">
      <c r="A9" s="108"/>
      <c r="B9" s="81" t="s">
        <v>225</v>
      </c>
      <c r="C9" s="186"/>
      <c r="D9" s="186"/>
      <c r="E9" s="186"/>
      <c r="F9" s="186"/>
      <c r="G9" s="188"/>
      <c r="H9" s="188">
        <f>SUBTOTAL(9,H24:H97)</f>
        <v>459074.9</v>
      </c>
      <c r="I9" s="186"/>
      <c r="J9" s="108"/>
      <c r="K9" s="189" t="s">
        <v>226</v>
      </c>
      <c r="L9" s="189"/>
      <c r="M9" s="189"/>
      <c r="N9" s="190"/>
      <c r="O9" s="108"/>
      <c r="P9" s="184"/>
      <c r="Q9" s="89" t="b">
        <f t="array" ref="Q9">XLOOKUP(Q11,'Base Projetos'!$A:$A,'Base Projetos'!$B:$B,FALSE)</f>
        <v>1</v>
      </c>
      <c r="R9" s="89" t="b">
        <f t="array" ref="R9">XLOOKUP(R11,'Base Projetos'!$A:$A,'Base Projetos'!$B:$B,FALSE)</f>
        <v>0</v>
      </c>
      <c r="S9" s="89" t="b">
        <f t="array" ref="S9">XLOOKUP(S11,'Base Projetos'!$A:$A,'Base Projetos'!$B:$B,FALSE)</f>
        <v>1</v>
      </c>
      <c r="T9" s="89" t="b">
        <f t="array" ref="T9">XLOOKUP(T11,'Base Projetos'!$A:$A,'Base Projetos'!$B:$B,FALSE)</f>
        <v>1</v>
      </c>
      <c r="U9" s="89" t="b">
        <f t="array" ref="U9">XLOOKUP(U11,'Base Projetos'!$A:$A,'Base Projetos'!$B:$B,FALSE)</f>
        <v>1</v>
      </c>
      <c r="V9" s="89" t="b">
        <f t="array" ref="V9">XLOOKUP(V11,'Base Projetos'!$A:$A,'Base Projetos'!$B:$B,FALSE)</f>
        <v>0</v>
      </c>
      <c r="W9" s="89" t="b">
        <f t="array" ref="W9">XLOOKUP(W11,'Base Projetos'!$A:$A,'Base Projetos'!$B:$B,FALSE)</f>
        <v>1</v>
      </c>
      <c r="X9" s="89" t="b">
        <f t="array" ref="X9">XLOOKUP(X11,'Base Projetos'!$A:$A,'Base Projetos'!$B:$B,FALSE)</f>
        <v>1</v>
      </c>
      <c r="Y9" s="89" t="b">
        <f t="array" ref="Y9">XLOOKUP(Y11,'Base Projetos'!$A:$A,'Base Projetos'!$B:$B,FALSE)</f>
        <v>0</v>
      </c>
      <c r="Z9" s="89" t="b">
        <f t="array" ref="Z9">XLOOKUP(Z11,'Base Projetos'!$A:$A,'Base Projetos'!$B:$B,FALSE)</f>
        <v>1</v>
      </c>
      <c r="AA9" s="89" t="b">
        <f t="array" ref="AA9">XLOOKUP(AA11,'Base Projetos'!$A:$A,'Base Projetos'!$B:$B,FALSE)</f>
        <v>1</v>
      </c>
      <c r="AB9" s="89" t="b">
        <f t="array" ref="AB9">XLOOKUP(AB11,'Base Projetos'!$A:$A,'Base Projetos'!$B:$B,FALSE)</f>
        <v>0</v>
      </c>
      <c r="AC9" s="89" t="b">
        <f t="array" ref="AC9">XLOOKUP(AC11,'Base Projetos'!$A:$A,'Base Projetos'!$B:$B,FALSE)</f>
        <v>0</v>
      </c>
      <c r="AD9" s="89" t="b">
        <f t="array" ref="AD9">XLOOKUP(AD11,'Base Projetos'!$A:$A,'Base Projetos'!$B:$B,FALSE)</f>
        <v>0</v>
      </c>
      <c r="AE9" s="89" t="b">
        <f t="array" ref="AE9">XLOOKUP(AE11,'Base Projetos'!$A:$A,'Base Projetos'!$B:$B,FALSE)</f>
        <v>0</v>
      </c>
      <c r="AF9" s="89" t="b">
        <f t="array" ref="AF9">XLOOKUP(AF11,'Base Projetos'!$A:$A,'Base Projetos'!$B:$B,FALSE)</f>
        <v>1</v>
      </c>
      <c r="AG9" s="89" t="b">
        <f t="array" ref="AG9">XLOOKUP(AG11,'Base Projetos'!$A:$A,'Base Projetos'!$B:$B,FALSE)</f>
        <v>1</v>
      </c>
      <c r="AH9" s="89" t="b">
        <f t="array" ref="AH9">XLOOKUP(AH11,'Base Projetos'!$A:$A,'Base Projetos'!$B:$B,FALSE)</f>
        <v>1</v>
      </c>
      <c r="AI9" s="89" t="b">
        <f t="array" ref="AI9">XLOOKUP(AI11,'Base Projetos'!$A:$A,'Base Projetos'!$B:$B,FALSE)</f>
        <v>1</v>
      </c>
      <c r="AJ9" s="89" t="b">
        <f t="array" ref="AJ9">XLOOKUP(AJ11,'Base Projetos'!$A:$A,'Base Projetos'!$B:$B,FALSE)</f>
        <v>0</v>
      </c>
      <c r="AK9" s="89" t="b">
        <f t="array" ref="AK9">XLOOKUP(AK11,'Base Projetos'!$A:$A,'Base Projetos'!$B:$B,FALSE)</f>
        <v>0</v>
      </c>
      <c r="AL9" s="89" t="b">
        <f t="array" ref="AL9">XLOOKUP(AL11,'Base Projetos'!$A:$A,'Base Projetos'!$B:$B,FALSE)</f>
        <v>0</v>
      </c>
      <c r="AM9" s="89" t="b">
        <f t="array" ref="AM9">XLOOKUP(AM11,'Base Projetos'!$A:$A,'Base Projetos'!$B:$B,FALSE)</f>
        <v>1</v>
      </c>
      <c r="AN9" s="89" t="b">
        <f t="array" ref="AN9">XLOOKUP(AN11,'Base Projetos'!$A:$A,'Base Projetos'!$B:$B,FALSE)</f>
        <v>0</v>
      </c>
      <c r="AO9" s="89" t="b">
        <f t="array" ref="AO9">XLOOKUP(AO11,'Base Projetos'!$A:$A,'Base Projetos'!$B:$B,FALSE)</f>
        <v>0</v>
      </c>
      <c r="AP9" s="89" t="b">
        <f t="array" ref="AP9">XLOOKUP(AP11,'Base Projetos'!$A:$A,'Base Projetos'!$B:$B,FALSE)</f>
        <v>1</v>
      </c>
      <c r="AQ9" s="89" t="b">
        <f t="array" ref="AQ9">XLOOKUP(AQ11,'Base Projetos'!$A:$A,'Base Projetos'!$B:$B,FALSE)</f>
        <v>0</v>
      </c>
      <c r="AR9" s="89" t="b">
        <f t="array" ref="AR9">XLOOKUP(AR11,'Base Projetos'!$A:$A,'Base Projetos'!$B:$B,FALSE)</f>
        <v>1</v>
      </c>
      <c r="AS9" s="89" t="b">
        <f t="array" ref="AS9">XLOOKUP(AS11,'Base Projetos'!$A:$A,'Base Projetos'!$B:$B,FALSE)</f>
        <v>1</v>
      </c>
      <c r="AT9" s="89" t="b">
        <f t="array" ref="AT9">XLOOKUP(AT11,'Base Projetos'!$A:$A,'Base Projetos'!$B:$B,FALSE)</f>
        <v>1</v>
      </c>
      <c r="AU9" s="89" t="b">
        <f t="array" ref="AU9">XLOOKUP(AU11,'Base Projetos'!$A:$A,'Base Projetos'!$B:$B,FALSE)</f>
        <v>1</v>
      </c>
      <c r="AV9" s="89" t="b">
        <f t="array" ref="AV9">XLOOKUP(AV11,'Base Projetos'!$A:$A,'Base Projetos'!$B:$B,FALSE)</f>
        <v>1</v>
      </c>
      <c r="AW9" s="89" t="b">
        <f t="array" ref="AW9">XLOOKUP(AW11,'Base Projetos'!$A:$A,'Base Projetos'!$B:$B,FALSE)</f>
        <v>0</v>
      </c>
      <c r="AX9" s="89" t="b">
        <f t="array" ref="AX9">XLOOKUP(AX11,'Base Projetos'!$A:$A,'Base Projetos'!$B:$B,FALSE)</f>
        <v>1</v>
      </c>
      <c r="AY9" s="89" t="b">
        <f t="array" ref="AY9">XLOOKUP(AY11,'Base Projetos'!$A:$A,'Base Projetos'!$B:$B,FALSE)</f>
        <v>0</v>
      </c>
      <c r="AZ9" s="89" t="b">
        <f t="array" ref="AZ9">XLOOKUP(AZ11,'Base Projetos'!$A:$A,'Base Projetos'!$B:$B,FALSE)</f>
        <v>0</v>
      </c>
      <c r="BA9" s="89" t="b">
        <f t="array" ref="BA9">XLOOKUP(BA11,'Base Projetos'!$A:$A,'Base Projetos'!$B:$B,FALSE)</f>
        <v>0</v>
      </c>
      <c r="BB9" s="89" t="b">
        <f t="array" ref="BB9">XLOOKUP(BB11,'Base Projetos'!$A:$A,'Base Projetos'!$B:$B,FALSE)</f>
        <v>0</v>
      </c>
      <c r="BC9" s="89" t="b">
        <f t="array" ref="BC9">XLOOKUP(BC11,'Base Projetos'!$A:$A,'Base Projetos'!$B:$B,FALSE)</f>
        <v>0</v>
      </c>
      <c r="BD9" s="89" t="b">
        <f t="array" ref="BD9">XLOOKUP(BD11,'Base Projetos'!$A:$A,'Base Projetos'!$B:$B,FALSE)</f>
        <v>0</v>
      </c>
      <c r="BE9" s="89" t="b">
        <f t="array" ref="BE9">XLOOKUP(BE11,'Base Projetos'!$A:$A,'Base Projetos'!$B:$B,FALSE)</f>
        <v>0</v>
      </c>
    </row>
    <row r="10">
      <c r="A10" s="191"/>
      <c r="B10" s="191"/>
      <c r="C10" s="192"/>
      <c r="D10" s="192"/>
      <c r="E10" s="192"/>
      <c r="F10" s="192"/>
      <c r="G10" s="192"/>
      <c r="H10" s="193">
        <f>SUM(H12:H1135)</f>
        <v>527033.36</v>
      </c>
      <c r="I10" s="192"/>
      <c r="J10" s="191"/>
      <c r="K10" s="191"/>
      <c r="L10" s="191"/>
      <c r="M10" s="193">
        <f>sum(M12:M1135)</f>
        <v>363268.965</v>
      </c>
      <c r="N10" s="194"/>
      <c r="O10" s="195">
        <f>sum(Q10:BE10)</f>
        <v>363268.965</v>
      </c>
      <c r="P10" s="196"/>
      <c r="Q10" s="197">
        <f t="shared" ref="Q10:BE10" si="1">SUM(Q12:Q1135)</f>
        <v>112121.995</v>
      </c>
      <c r="R10" s="197">
        <f t="shared" si="1"/>
        <v>0</v>
      </c>
      <c r="S10" s="197">
        <f t="shared" si="1"/>
        <v>5388.575</v>
      </c>
      <c r="T10" s="197">
        <f t="shared" si="1"/>
        <v>5322.08</v>
      </c>
      <c r="U10" s="197">
        <f t="shared" si="1"/>
        <v>12156.39</v>
      </c>
      <c r="V10" s="197">
        <f t="shared" si="1"/>
        <v>0</v>
      </c>
      <c r="W10" s="197">
        <f t="shared" si="1"/>
        <v>32488.45</v>
      </c>
      <c r="X10" s="197">
        <f t="shared" si="1"/>
        <v>49956.91</v>
      </c>
      <c r="Y10" s="197">
        <f t="shared" si="1"/>
        <v>0</v>
      </c>
      <c r="Z10" s="197">
        <f t="shared" si="1"/>
        <v>94173.6</v>
      </c>
      <c r="AA10" s="197">
        <f t="shared" si="1"/>
        <v>43160.965</v>
      </c>
      <c r="AB10" s="197">
        <f t="shared" si="1"/>
        <v>0</v>
      </c>
      <c r="AC10" s="197">
        <f t="shared" si="1"/>
        <v>0</v>
      </c>
      <c r="AD10" s="197">
        <f t="shared" si="1"/>
        <v>0</v>
      </c>
      <c r="AE10" s="197">
        <f t="shared" si="1"/>
        <v>0</v>
      </c>
      <c r="AF10" s="197">
        <f t="shared" si="1"/>
        <v>0</v>
      </c>
      <c r="AG10" s="197">
        <f t="shared" si="1"/>
        <v>0</v>
      </c>
      <c r="AH10" s="197">
        <f t="shared" si="1"/>
        <v>0</v>
      </c>
      <c r="AI10" s="197">
        <f t="shared" si="1"/>
        <v>0</v>
      </c>
      <c r="AJ10" s="197">
        <f t="shared" si="1"/>
        <v>0</v>
      </c>
      <c r="AK10" s="197">
        <f t="shared" si="1"/>
        <v>0</v>
      </c>
      <c r="AL10" s="197">
        <f t="shared" si="1"/>
        <v>0</v>
      </c>
      <c r="AM10" s="197">
        <f t="shared" si="1"/>
        <v>0</v>
      </c>
      <c r="AN10" s="197">
        <f t="shared" si="1"/>
        <v>0</v>
      </c>
      <c r="AO10" s="197">
        <f t="shared" si="1"/>
        <v>0</v>
      </c>
      <c r="AP10" s="197">
        <f t="shared" si="1"/>
        <v>0</v>
      </c>
      <c r="AQ10" s="197">
        <f t="shared" si="1"/>
        <v>0</v>
      </c>
      <c r="AR10" s="197">
        <f t="shared" si="1"/>
        <v>5000</v>
      </c>
      <c r="AS10" s="197">
        <f t="shared" si="1"/>
        <v>0</v>
      </c>
      <c r="AT10" s="197">
        <f t="shared" si="1"/>
        <v>0</v>
      </c>
      <c r="AU10" s="197">
        <f t="shared" si="1"/>
        <v>0</v>
      </c>
      <c r="AV10" s="197">
        <f t="shared" si="1"/>
        <v>0</v>
      </c>
      <c r="AW10" s="197">
        <f t="shared" si="1"/>
        <v>0</v>
      </c>
      <c r="AX10" s="197">
        <f t="shared" si="1"/>
        <v>3500</v>
      </c>
      <c r="AY10" s="197">
        <f t="shared" si="1"/>
        <v>0</v>
      </c>
      <c r="AZ10" s="197">
        <f t="shared" si="1"/>
        <v>0</v>
      </c>
      <c r="BA10" s="197">
        <f t="shared" si="1"/>
        <v>0</v>
      </c>
      <c r="BB10" s="197">
        <f t="shared" si="1"/>
        <v>0</v>
      </c>
      <c r="BC10" s="197">
        <f t="shared" si="1"/>
        <v>0</v>
      </c>
      <c r="BD10" s="197">
        <f t="shared" si="1"/>
        <v>0</v>
      </c>
      <c r="BE10" s="197">
        <f t="shared" si="1"/>
        <v>0</v>
      </c>
    </row>
    <row r="11">
      <c r="A11" s="108"/>
      <c r="B11" s="112" t="s">
        <v>227</v>
      </c>
      <c r="C11" s="112" t="s">
        <v>228</v>
      </c>
      <c r="D11" s="112" t="s">
        <v>229</v>
      </c>
      <c r="E11" s="112"/>
      <c r="F11" s="112" t="s">
        <v>230</v>
      </c>
      <c r="G11" s="113" t="s">
        <v>231</v>
      </c>
      <c r="H11" s="113" t="s">
        <v>232</v>
      </c>
      <c r="I11" s="113" t="s">
        <v>233</v>
      </c>
      <c r="J11" s="112" t="s">
        <v>234</v>
      </c>
      <c r="K11" s="112" t="s">
        <v>235</v>
      </c>
      <c r="L11" s="112" t="s">
        <v>236</v>
      </c>
      <c r="M11" s="112" t="s">
        <v>237</v>
      </c>
      <c r="N11" s="198"/>
      <c r="O11" s="199" t="s">
        <v>238</v>
      </c>
      <c r="P11" s="199" t="s">
        <v>239</v>
      </c>
      <c r="Q11" s="200" t="s">
        <v>3</v>
      </c>
      <c r="R11" s="200" t="s">
        <v>240</v>
      </c>
      <c r="S11" s="200" t="s">
        <v>4</v>
      </c>
      <c r="T11" s="200" t="s">
        <v>5</v>
      </c>
      <c r="U11" s="200" t="s">
        <v>6</v>
      </c>
      <c r="V11" s="200" t="s">
        <v>241</v>
      </c>
      <c r="W11" s="200" t="s">
        <v>7</v>
      </c>
      <c r="X11" s="200" t="s">
        <v>8</v>
      </c>
      <c r="Y11" s="200" t="s">
        <v>242</v>
      </c>
      <c r="Z11" s="201" t="s">
        <v>9</v>
      </c>
      <c r="AA11" s="200" t="s">
        <v>10</v>
      </c>
      <c r="AB11" s="200" t="s">
        <v>243</v>
      </c>
      <c r="AC11" s="200" t="s">
        <v>244</v>
      </c>
      <c r="AD11" s="200" t="s">
        <v>11</v>
      </c>
      <c r="AE11" s="200" t="s">
        <v>245</v>
      </c>
      <c r="AF11" s="200" t="s">
        <v>12</v>
      </c>
      <c r="AG11" s="200" t="s">
        <v>13</v>
      </c>
      <c r="AH11" s="200" t="s">
        <v>14</v>
      </c>
      <c r="AI11" s="200" t="s">
        <v>15</v>
      </c>
      <c r="AJ11" s="200" t="s">
        <v>246</v>
      </c>
      <c r="AK11" s="200" t="s">
        <v>18</v>
      </c>
      <c r="AL11" s="200" t="s">
        <v>247</v>
      </c>
      <c r="AM11" s="200" t="s">
        <v>19</v>
      </c>
      <c r="AN11" s="200" t="s">
        <v>248</v>
      </c>
      <c r="AO11" s="200" t="s">
        <v>249</v>
      </c>
      <c r="AP11" s="200" t="s">
        <v>21</v>
      </c>
      <c r="AQ11" s="200" t="s">
        <v>250</v>
      </c>
      <c r="AR11" s="200" t="s">
        <v>23</v>
      </c>
      <c r="AS11" s="200" t="s">
        <v>24</v>
      </c>
      <c r="AT11" s="200" t="s">
        <v>25</v>
      </c>
      <c r="AU11" s="200" t="s">
        <v>26</v>
      </c>
      <c r="AV11" s="200" t="s">
        <v>27</v>
      </c>
      <c r="AW11" s="200" t="s">
        <v>251</v>
      </c>
      <c r="AX11" s="200" t="s">
        <v>28</v>
      </c>
      <c r="AY11" s="200" t="s">
        <v>29</v>
      </c>
      <c r="AZ11" s="200" t="s">
        <v>32</v>
      </c>
      <c r="BA11" s="200" t="s">
        <v>34</v>
      </c>
      <c r="BB11" s="200" t="s">
        <v>35</v>
      </c>
      <c r="BC11" s="200" t="s">
        <v>36</v>
      </c>
      <c r="BD11" s="200" t="s">
        <v>37</v>
      </c>
      <c r="BE11" s="200" t="s">
        <v>38</v>
      </c>
    </row>
    <row r="12">
      <c r="A12" s="108"/>
      <c r="B12" s="107" t="s">
        <v>7</v>
      </c>
      <c r="C12" s="202"/>
      <c r="D12" s="107" t="s">
        <v>252</v>
      </c>
      <c r="E12" s="107"/>
      <c r="F12" s="107" t="s">
        <v>253</v>
      </c>
      <c r="G12" s="203">
        <v>234790.0</v>
      </c>
      <c r="H12" s="204">
        <v>15029.59</v>
      </c>
      <c r="I12" s="205">
        <v>45302.0</v>
      </c>
      <c r="J12" s="107" t="s">
        <v>254</v>
      </c>
      <c r="K12" s="202"/>
      <c r="L12" s="107" t="b">
        <v>1</v>
      </c>
      <c r="M12" s="204">
        <f t="shared" ref="M12:M135" si="3">SUM(Q12:BE12)</f>
        <v>15029.59</v>
      </c>
      <c r="N12" s="206"/>
      <c r="O12" s="108" t="b">
        <f t="shared" ref="O12:O83" si="4">SUM(Q12:AP12)=H12</f>
        <v>1</v>
      </c>
      <c r="P12" s="207">
        <f t="shared" ref="P12:P135" si="5">IF(L12=FALSE,0,IF(LEN(B12)=0,0,IF(LEN(B12)=9,1,(LEN(B12)+1)/10)))</f>
        <v>1</v>
      </c>
      <c r="Q12" s="140" t="str">
        <f t="shared" ref="Q12:BE12" si="2">iferror(if(Q$9=FALSE,, if(if(search(Q$11,$B12,1)&gt;0,1,0)=1,$H12/$P12,)),"")</f>
        <v/>
      </c>
      <c r="R12" s="140" t="str">
        <f t="shared" si="2"/>
        <v/>
      </c>
      <c r="S12" s="140" t="str">
        <f t="shared" si="2"/>
        <v/>
      </c>
      <c r="T12" s="140" t="str">
        <f t="shared" si="2"/>
        <v/>
      </c>
      <c r="U12" s="140" t="str">
        <f t="shared" si="2"/>
        <v/>
      </c>
      <c r="V12" s="140" t="str">
        <f t="shared" si="2"/>
        <v/>
      </c>
      <c r="W12" s="140">
        <f t="shared" si="2"/>
        <v>15029.59</v>
      </c>
      <c r="X12" s="140" t="str">
        <f t="shared" si="2"/>
        <v/>
      </c>
      <c r="Y12" s="140" t="str">
        <f t="shared" si="2"/>
        <v/>
      </c>
      <c r="Z12" s="140" t="str">
        <f t="shared" si="2"/>
        <v/>
      </c>
      <c r="AA12" s="140" t="str">
        <f t="shared" si="2"/>
        <v/>
      </c>
      <c r="AB12" s="140" t="str">
        <f t="shared" si="2"/>
        <v/>
      </c>
      <c r="AC12" s="140" t="str">
        <f t="shared" si="2"/>
        <v/>
      </c>
      <c r="AD12" s="140" t="str">
        <f t="shared" si="2"/>
        <v/>
      </c>
      <c r="AE12" s="140" t="str">
        <f t="shared" si="2"/>
        <v/>
      </c>
      <c r="AF12" s="140" t="str">
        <f t="shared" si="2"/>
        <v/>
      </c>
      <c r="AG12" s="140" t="str">
        <f t="shared" si="2"/>
        <v/>
      </c>
      <c r="AH12" s="140" t="str">
        <f t="shared" si="2"/>
        <v/>
      </c>
      <c r="AI12" s="140" t="str">
        <f t="shared" si="2"/>
        <v/>
      </c>
      <c r="AJ12" s="140" t="str">
        <f t="shared" si="2"/>
        <v/>
      </c>
      <c r="AK12" s="140" t="str">
        <f t="shared" si="2"/>
        <v/>
      </c>
      <c r="AL12" s="140" t="str">
        <f t="shared" si="2"/>
        <v/>
      </c>
      <c r="AM12" s="140" t="str">
        <f t="shared" si="2"/>
        <v/>
      </c>
      <c r="AN12" s="140" t="str">
        <f t="shared" si="2"/>
        <v/>
      </c>
      <c r="AO12" s="140" t="str">
        <f t="shared" si="2"/>
        <v/>
      </c>
      <c r="AP12" s="140" t="str">
        <f t="shared" si="2"/>
        <v/>
      </c>
      <c r="AQ12" s="140" t="str">
        <f t="shared" si="2"/>
        <v/>
      </c>
      <c r="AR12" s="140" t="str">
        <f t="shared" si="2"/>
        <v/>
      </c>
      <c r="AS12" s="140" t="str">
        <f t="shared" si="2"/>
        <v/>
      </c>
      <c r="AT12" s="140" t="str">
        <f t="shared" si="2"/>
        <v/>
      </c>
      <c r="AU12" s="140" t="str">
        <f t="shared" si="2"/>
        <v/>
      </c>
      <c r="AV12" s="140" t="str">
        <f t="shared" si="2"/>
        <v/>
      </c>
      <c r="AW12" s="140" t="str">
        <f t="shared" si="2"/>
        <v/>
      </c>
      <c r="AX12" s="140" t="str">
        <f t="shared" si="2"/>
        <v/>
      </c>
      <c r="AY12" s="140" t="str">
        <f t="shared" si="2"/>
        <v/>
      </c>
      <c r="AZ12" s="140" t="str">
        <f t="shared" si="2"/>
        <v/>
      </c>
      <c r="BA12" s="140" t="str">
        <f t="shared" si="2"/>
        <v/>
      </c>
      <c r="BB12" s="140" t="str">
        <f t="shared" si="2"/>
        <v/>
      </c>
      <c r="BC12" s="140" t="str">
        <f t="shared" si="2"/>
        <v/>
      </c>
      <c r="BD12" s="140" t="str">
        <f t="shared" si="2"/>
        <v/>
      </c>
      <c r="BE12" s="140" t="str">
        <f t="shared" si="2"/>
        <v/>
      </c>
    </row>
    <row r="13">
      <c r="A13" s="108"/>
      <c r="B13" s="107" t="s">
        <v>5</v>
      </c>
      <c r="C13" s="202"/>
      <c r="D13" s="107" t="s">
        <v>252</v>
      </c>
      <c r="E13" s="107"/>
      <c r="F13" s="107" t="s">
        <v>253</v>
      </c>
      <c r="G13" s="203">
        <v>235095.0</v>
      </c>
      <c r="H13" s="204">
        <v>5322.08</v>
      </c>
      <c r="I13" s="205">
        <v>45307.0</v>
      </c>
      <c r="J13" s="107" t="s">
        <v>254</v>
      </c>
      <c r="K13" s="202"/>
      <c r="L13" s="107" t="b">
        <v>1</v>
      </c>
      <c r="M13" s="204">
        <f t="shared" si="3"/>
        <v>5322.08</v>
      </c>
      <c r="N13" s="206"/>
      <c r="O13" s="108" t="b">
        <f t="shared" si="4"/>
        <v>1</v>
      </c>
      <c r="P13" s="207">
        <f t="shared" si="5"/>
        <v>1</v>
      </c>
      <c r="Q13" s="140" t="str">
        <f t="shared" ref="Q13:BE13" si="6">iferror(if(Q$9=FALSE,, if(if(search(Q$11,$B13,1)&gt;0,1,0)=1,$H13/$P13,)),"")</f>
        <v/>
      </c>
      <c r="R13" s="140" t="str">
        <f t="shared" si="6"/>
        <v/>
      </c>
      <c r="S13" s="140" t="str">
        <f t="shared" si="6"/>
        <v/>
      </c>
      <c r="T13" s="140">
        <f t="shared" si="6"/>
        <v>5322.08</v>
      </c>
      <c r="U13" s="140" t="str">
        <f t="shared" si="6"/>
        <v/>
      </c>
      <c r="V13" s="140" t="str">
        <f t="shared" si="6"/>
        <v/>
      </c>
      <c r="W13" s="140" t="str">
        <f t="shared" si="6"/>
        <v/>
      </c>
      <c r="X13" s="140" t="str">
        <f t="shared" si="6"/>
        <v/>
      </c>
      <c r="Y13" s="140" t="str">
        <f t="shared" si="6"/>
        <v/>
      </c>
      <c r="Z13" s="140" t="str">
        <f t="shared" si="6"/>
        <v/>
      </c>
      <c r="AA13" s="140" t="str">
        <f t="shared" si="6"/>
        <v/>
      </c>
      <c r="AB13" s="140" t="str">
        <f t="shared" si="6"/>
        <v/>
      </c>
      <c r="AC13" s="140" t="str">
        <f t="shared" si="6"/>
        <v/>
      </c>
      <c r="AD13" s="140" t="str">
        <f t="shared" si="6"/>
        <v/>
      </c>
      <c r="AE13" s="140" t="str">
        <f t="shared" si="6"/>
        <v/>
      </c>
      <c r="AF13" s="140" t="str">
        <f t="shared" si="6"/>
        <v/>
      </c>
      <c r="AG13" s="140" t="str">
        <f t="shared" si="6"/>
        <v/>
      </c>
      <c r="AH13" s="140" t="str">
        <f t="shared" si="6"/>
        <v/>
      </c>
      <c r="AI13" s="140" t="str">
        <f t="shared" si="6"/>
        <v/>
      </c>
      <c r="AJ13" s="140" t="str">
        <f t="shared" si="6"/>
        <v/>
      </c>
      <c r="AK13" s="140" t="str">
        <f t="shared" si="6"/>
        <v/>
      </c>
      <c r="AL13" s="140" t="str">
        <f t="shared" si="6"/>
        <v/>
      </c>
      <c r="AM13" s="140" t="str">
        <f t="shared" si="6"/>
        <v/>
      </c>
      <c r="AN13" s="140" t="str">
        <f t="shared" si="6"/>
        <v/>
      </c>
      <c r="AO13" s="140" t="str">
        <f t="shared" si="6"/>
        <v/>
      </c>
      <c r="AP13" s="140" t="str">
        <f t="shared" si="6"/>
        <v/>
      </c>
      <c r="AQ13" s="140" t="str">
        <f t="shared" si="6"/>
        <v/>
      </c>
      <c r="AR13" s="140" t="str">
        <f t="shared" si="6"/>
        <v/>
      </c>
      <c r="AS13" s="140" t="str">
        <f t="shared" si="6"/>
        <v/>
      </c>
      <c r="AT13" s="140" t="str">
        <f t="shared" si="6"/>
        <v/>
      </c>
      <c r="AU13" s="139" t="str">
        <f t="shared" si="6"/>
        <v/>
      </c>
      <c r="AV13" s="140" t="str">
        <f t="shared" si="6"/>
        <v/>
      </c>
      <c r="AW13" s="140" t="str">
        <f t="shared" si="6"/>
        <v/>
      </c>
      <c r="AX13" s="140" t="str">
        <f t="shared" si="6"/>
        <v/>
      </c>
      <c r="AY13" s="140" t="str">
        <f t="shared" si="6"/>
        <v/>
      </c>
      <c r="AZ13" s="140" t="str">
        <f t="shared" si="6"/>
        <v/>
      </c>
      <c r="BA13" s="140" t="str">
        <f t="shared" si="6"/>
        <v/>
      </c>
      <c r="BB13" s="140" t="str">
        <f t="shared" si="6"/>
        <v/>
      </c>
      <c r="BC13" s="140" t="str">
        <f t="shared" si="6"/>
        <v/>
      </c>
      <c r="BD13" s="140" t="str">
        <f t="shared" si="6"/>
        <v/>
      </c>
      <c r="BE13" s="140" t="str">
        <f t="shared" si="6"/>
        <v/>
      </c>
    </row>
    <row r="14">
      <c r="A14" s="108"/>
      <c r="B14" s="107" t="s">
        <v>7</v>
      </c>
      <c r="C14" s="202"/>
      <c r="D14" s="107" t="s">
        <v>255</v>
      </c>
      <c r="E14" s="107"/>
      <c r="F14" s="107" t="s">
        <v>256</v>
      </c>
      <c r="G14" s="203">
        <v>149770.0</v>
      </c>
      <c r="H14" s="204">
        <v>2556.0</v>
      </c>
      <c r="I14" s="205">
        <v>45309.0</v>
      </c>
      <c r="J14" s="107" t="s">
        <v>257</v>
      </c>
      <c r="K14" s="202"/>
      <c r="L14" s="107" t="b">
        <v>1</v>
      </c>
      <c r="M14" s="204">
        <f t="shared" si="3"/>
        <v>2556</v>
      </c>
      <c r="N14" s="206"/>
      <c r="O14" s="108" t="b">
        <f t="shared" si="4"/>
        <v>1</v>
      </c>
      <c r="P14" s="207">
        <f t="shared" si="5"/>
        <v>1</v>
      </c>
      <c r="Q14" s="140" t="str">
        <f t="shared" ref="Q14:BE14" si="7">iferror(if(Q$9=FALSE,, if(if(search(Q$11,$B14,1)&gt;0,1,0)=1,$H14/$P14,)),"")</f>
        <v/>
      </c>
      <c r="R14" s="140" t="str">
        <f t="shared" si="7"/>
        <v/>
      </c>
      <c r="S14" s="140" t="str">
        <f t="shared" si="7"/>
        <v/>
      </c>
      <c r="T14" s="140" t="str">
        <f t="shared" si="7"/>
        <v/>
      </c>
      <c r="U14" s="140" t="str">
        <f t="shared" si="7"/>
        <v/>
      </c>
      <c r="V14" s="140" t="str">
        <f t="shared" si="7"/>
        <v/>
      </c>
      <c r="W14" s="140">
        <f t="shared" si="7"/>
        <v>2556</v>
      </c>
      <c r="X14" s="140" t="str">
        <f t="shared" si="7"/>
        <v/>
      </c>
      <c r="Y14" s="140" t="str">
        <f t="shared" si="7"/>
        <v/>
      </c>
      <c r="Z14" s="140" t="str">
        <f t="shared" si="7"/>
        <v/>
      </c>
      <c r="AA14" s="140" t="str">
        <f t="shared" si="7"/>
        <v/>
      </c>
      <c r="AB14" s="140" t="str">
        <f t="shared" si="7"/>
        <v/>
      </c>
      <c r="AC14" s="140" t="str">
        <f t="shared" si="7"/>
        <v/>
      </c>
      <c r="AD14" s="140" t="str">
        <f t="shared" si="7"/>
        <v/>
      </c>
      <c r="AE14" s="140" t="str">
        <f t="shared" si="7"/>
        <v/>
      </c>
      <c r="AF14" s="140" t="str">
        <f t="shared" si="7"/>
        <v/>
      </c>
      <c r="AG14" s="140" t="str">
        <f t="shared" si="7"/>
        <v/>
      </c>
      <c r="AH14" s="140" t="str">
        <f t="shared" si="7"/>
        <v/>
      </c>
      <c r="AI14" s="140" t="str">
        <f t="shared" si="7"/>
        <v/>
      </c>
      <c r="AJ14" s="140" t="str">
        <f t="shared" si="7"/>
        <v/>
      </c>
      <c r="AK14" s="140" t="str">
        <f t="shared" si="7"/>
        <v/>
      </c>
      <c r="AL14" s="140" t="str">
        <f t="shared" si="7"/>
        <v/>
      </c>
      <c r="AM14" s="140" t="str">
        <f t="shared" si="7"/>
        <v/>
      </c>
      <c r="AN14" s="140" t="str">
        <f t="shared" si="7"/>
        <v/>
      </c>
      <c r="AO14" s="140" t="str">
        <f t="shared" si="7"/>
        <v/>
      </c>
      <c r="AP14" s="140" t="str">
        <f t="shared" si="7"/>
        <v/>
      </c>
      <c r="AQ14" s="140" t="str">
        <f t="shared" si="7"/>
        <v/>
      </c>
      <c r="AR14" s="140" t="str">
        <f t="shared" si="7"/>
        <v/>
      </c>
      <c r="AS14" s="140" t="str">
        <f t="shared" si="7"/>
        <v/>
      </c>
      <c r="AT14" s="140" t="str">
        <f t="shared" si="7"/>
        <v/>
      </c>
      <c r="AU14" s="140" t="str">
        <f t="shared" si="7"/>
        <v/>
      </c>
      <c r="AV14" s="140" t="str">
        <f t="shared" si="7"/>
        <v/>
      </c>
      <c r="AW14" s="140" t="str">
        <f t="shared" si="7"/>
        <v/>
      </c>
      <c r="AX14" s="140" t="str">
        <f t="shared" si="7"/>
        <v/>
      </c>
      <c r="AY14" s="140" t="str">
        <f t="shared" si="7"/>
        <v/>
      </c>
      <c r="AZ14" s="140" t="str">
        <f t="shared" si="7"/>
        <v/>
      </c>
      <c r="BA14" s="140" t="str">
        <f t="shared" si="7"/>
        <v/>
      </c>
      <c r="BB14" s="140" t="str">
        <f t="shared" si="7"/>
        <v/>
      </c>
      <c r="BC14" s="140" t="str">
        <f t="shared" si="7"/>
        <v/>
      </c>
      <c r="BD14" s="140" t="str">
        <f t="shared" si="7"/>
        <v/>
      </c>
      <c r="BE14" s="140" t="str">
        <f t="shared" si="7"/>
        <v/>
      </c>
    </row>
    <row r="15" hidden="1">
      <c r="A15" s="108"/>
      <c r="B15" s="107" t="s">
        <v>25</v>
      </c>
      <c r="C15" s="202"/>
      <c r="D15" s="107" t="s">
        <v>258</v>
      </c>
      <c r="E15" s="107"/>
      <c r="F15" s="107" t="s">
        <v>259</v>
      </c>
      <c r="G15" s="203">
        <v>82609.0</v>
      </c>
      <c r="H15" s="204">
        <v>4821.12</v>
      </c>
      <c r="I15" s="205">
        <v>45322.0</v>
      </c>
      <c r="J15" s="107" t="s">
        <v>260</v>
      </c>
      <c r="K15" s="202"/>
      <c r="L15" s="107" t="b">
        <v>0</v>
      </c>
      <c r="M15" s="204">
        <f t="shared" si="3"/>
        <v>0</v>
      </c>
      <c r="N15" s="206"/>
      <c r="O15" s="108" t="b">
        <f t="shared" si="4"/>
        <v>0</v>
      </c>
      <c r="P15" s="207">
        <f t="shared" si="5"/>
        <v>0</v>
      </c>
      <c r="Q15" s="140" t="str">
        <f t="shared" ref="Q15:BE15" si="8">iferror(if(Q$9=FALSE,, if(if(search(Q$11,$B15,1)&gt;0,1,0)=1,$H15/$P15,)),"")</f>
        <v/>
      </c>
      <c r="R15" s="140" t="str">
        <f t="shared" si="8"/>
        <v/>
      </c>
      <c r="S15" s="140" t="str">
        <f t="shared" si="8"/>
        <v/>
      </c>
      <c r="T15" s="140" t="str">
        <f t="shared" si="8"/>
        <v/>
      </c>
      <c r="U15" s="140" t="str">
        <f t="shared" si="8"/>
        <v/>
      </c>
      <c r="V15" s="140" t="str">
        <f t="shared" si="8"/>
        <v/>
      </c>
      <c r="W15" s="140" t="str">
        <f t="shared" si="8"/>
        <v/>
      </c>
      <c r="X15" s="140" t="str">
        <f t="shared" si="8"/>
        <v/>
      </c>
      <c r="Y15" s="140" t="str">
        <f t="shared" si="8"/>
        <v/>
      </c>
      <c r="Z15" s="140" t="str">
        <f t="shared" si="8"/>
        <v/>
      </c>
      <c r="AA15" s="140" t="str">
        <f t="shared" si="8"/>
        <v/>
      </c>
      <c r="AB15" s="140" t="str">
        <f t="shared" si="8"/>
        <v/>
      </c>
      <c r="AC15" s="140" t="str">
        <f t="shared" si="8"/>
        <v/>
      </c>
      <c r="AD15" s="140" t="str">
        <f t="shared" si="8"/>
        <v/>
      </c>
      <c r="AE15" s="140" t="str">
        <f t="shared" si="8"/>
        <v/>
      </c>
      <c r="AF15" s="140" t="str">
        <f t="shared" si="8"/>
        <v/>
      </c>
      <c r="AG15" s="140" t="str">
        <f t="shared" si="8"/>
        <v/>
      </c>
      <c r="AH15" s="140" t="str">
        <f t="shared" si="8"/>
        <v/>
      </c>
      <c r="AI15" s="140" t="str">
        <f t="shared" si="8"/>
        <v/>
      </c>
      <c r="AJ15" s="140" t="str">
        <f t="shared" si="8"/>
        <v/>
      </c>
      <c r="AK15" s="140" t="str">
        <f t="shared" si="8"/>
        <v/>
      </c>
      <c r="AL15" s="140" t="str">
        <f t="shared" si="8"/>
        <v/>
      </c>
      <c r="AM15" s="140" t="str">
        <f t="shared" si="8"/>
        <v/>
      </c>
      <c r="AN15" s="140" t="str">
        <f t="shared" si="8"/>
        <v/>
      </c>
      <c r="AO15" s="140" t="str">
        <f t="shared" si="8"/>
        <v/>
      </c>
      <c r="AP15" s="140" t="str">
        <f t="shared" si="8"/>
        <v/>
      </c>
      <c r="AQ15" s="140" t="str">
        <f t="shared" si="8"/>
        <v/>
      </c>
      <c r="AR15" s="140" t="str">
        <f t="shared" si="8"/>
        <v/>
      </c>
      <c r="AS15" s="140" t="str">
        <f t="shared" si="8"/>
        <v/>
      </c>
      <c r="AT15" s="140" t="str">
        <f t="shared" si="8"/>
        <v/>
      </c>
      <c r="AU15" s="140" t="str">
        <f t="shared" si="8"/>
        <v/>
      </c>
      <c r="AV15" s="140" t="str">
        <f t="shared" si="8"/>
        <v/>
      </c>
      <c r="AW15" s="140" t="str">
        <f t="shared" si="8"/>
        <v/>
      </c>
      <c r="AX15" s="140" t="str">
        <f t="shared" si="8"/>
        <v/>
      </c>
      <c r="AY15" s="140" t="str">
        <f t="shared" si="8"/>
        <v/>
      </c>
      <c r="AZ15" s="140" t="str">
        <f t="shared" si="8"/>
        <v/>
      </c>
      <c r="BA15" s="140" t="str">
        <f t="shared" si="8"/>
        <v/>
      </c>
      <c r="BB15" s="140" t="str">
        <f t="shared" si="8"/>
        <v/>
      </c>
      <c r="BC15" s="140" t="str">
        <f t="shared" si="8"/>
        <v/>
      </c>
      <c r="BD15" s="140" t="str">
        <f t="shared" si="8"/>
        <v/>
      </c>
      <c r="BE15" s="140" t="str">
        <f t="shared" si="8"/>
        <v/>
      </c>
    </row>
    <row r="16">
      <c r="A16" s="108"/>
      <c r="B16" s="107" t="s">
        <v>9</v>
      </c>
      <c r="C16" s="202"/>
      <c r="D16" s="107" t="s">
        <v>252</v>
      </c>
      <c r="E16" s="107"/>
      <c r="F16" s="107" t="s">
        <v>253</v>
      </c>
      <c r="G16" s="203">
        <v>235962.0</v>
      </c>
      <c r="H16" s="204">
        <v>971.04</v>
      </c>
      <c r="I16" s="205">
        <v>45323.0</v>
      </c>
      <c r="J16" s="107" t="s">
        <v>261</v>
      </c>
      <c r="K16" s="202"/>
      <c r="L16" s="107" t="b">
        <v>1</v>
      </c>
      <c r="M16" s="204">
        <f t="shared" si="3"/>
        <v>971.04</v>
      </c>
      <c r="N16" s="206"/>
      <c r="O16" s="108" t="b">
        <f t="shared" si="4"/>
        <v>1</v>
      </c>
      <c r="P16" s="207">
        <f t="shared" si="5"/>
        <v>1</v>
      </c>
      <c r="Q16" s="140" t="str">
        <f t="shared" ref="Q16:BE16" si="9">iferror(if(Q$9=FALSE,, if(if(search(Q$11,$B16,1)&gt;0,1,0)=1,$H16/$P16,)),"")</f>
        <v/>
      </c>
      <c r="R16" s="140" t="str">
        <f t="shared" si="9"/>
        <v/>
      </c>
      <c r="S16" s="140" t="str">
        <f t="shared" si="9"/>
        <v/>
      </c>
      <c r="T16" s="140" t="str">
        <f t="shared" si="9"/>
        <v/>
      </c>
      <c r="U16" s="140" t="str">
        <f t="shared" si="9"/>
        <v/>
      </c>
      <c r="V16" s="140" t="str">
        <f t="shared" si="9"/>
        <v/>
      </c>
      <c r="W16" s="140" t="str">
        <f t="shared" si="9"/>
        <v/>
      </c>
      <c r="X16" s="140" t="str">
        <f t="shared" si="9"/>
        <v/>
      </c>
      <c r="Y16" s="140" t="str">
        <f t="shared" si="9"/>
        <v/>
      </c>
      <c r="Z16" s="140">
        <f t="shared" si="9"/>
        <v>971.04</v>
      </c>
      <c r="AA16" s="140" t="str">
        <f t="shared" si="9"/>
        <v/>
      </c>
      <c r="AB16" s="140" t="str">
        <f t="shared" si="9"/>
        <v/>
      </c>
      <c r="AC16" s="140" t="str">
        <f t="shared" si="9"/>
        <v/>
      </c>
      <c r="AD16" s="140" t="str">
        <f t="shared" si="9"/>
        <v/>
      </c>
      <c r="AE16" s="140" t="str">
        <f t="shared" si="9"/>
        <v/>
      </c>
      <c r="AF16" s="140" t="str">
        <f t="shared" si="9"/>
        <v/>
      </c>
      <c r="AG16" s="140" t="str">
        <f t="shared" si="9"/>
        <v/>
      </c>
      <c r="AH16" s="140" t="str">
        <f t="shared" si="9"/>
        <v/>
      </c>
      <c r="AI16" s="140" t="str">
        <f t="shared" si="9"/>
        <v/>
      </c>
      <c r="AJ16" s="140" t="str">
        <f t="shared" si="9"/>
        <v/>
      </c>
      <c r="AK16" s="140" t="str">
        <f t="shared" si="9"/>
        <v/>
      </c>
      <c r="AL16" s="140" t="str">
        <f t="shared" si="9"/>
        <v/>
      </c>
      <c r="AM16" s="140" t="str">
        <f t="shared" si="9"/>
        <v/>
      </c>
      <c r="AN16" s="140" t="str">
        <f t="shared" si="9"/>
        <v/>
      </c>
      <c r="AO16" s="140" t="str">
        <f t="shared" si="9"/>
        <v/>
      </c>
      <c r="AP16" s="140" t="str">
        <f t="shared" si="9"/>
        <v/>
      </c>
      <c r="AQ16" s="140" t="str">
        <f t="shared" si="9"/>
        <v/>
      </c>
      <c r="AR16" s="140" t="str">
        <f t="shared" si="9"/>
        <v/>
      </c>
      <c r="AS16" s="140" t="str">
        <f t="shared" si="9"/>
        <v/>
      </c>
      <c r="AT16" s="140" t="str">
        <f t="shared" si="9"/>
        <v/>
      </c>
      <c r="AU16" s="140" t="str">
        <f t="shared" si="9"/>
        <v/>
      </c>
      <c r="AV16" s="140" t="str">
        <f t="shared" si="9"/>
        <v/>
      </c>
      <c r="AW16" s="140" t="str">
        <f t="shared" si="9"/>
        <v/>
      </c>
      <c r="AX16" s="140" t="str">
        <f t="shared" si="9"/>
        <v/>
      </c>
      <c r="AY16" s="140" t="str">
        <f t="shared" si="9"/>
        <v/>
      </c>
      <c r="AZ16" s="140" t="str">
        <f t="shared" si="9"/>
        <v/>
      </c>
      <c r="BA16" s="140" t="str">
        <f t="shared" si="9"/>
        <v/>
      </c>
      <c r="BB16" s="140" t="str">
        <f t="shared" si="9"/>
        <v/>
      </c>
      <c r="BC16" s="140" t="str">
        <f t="shared" si="9"/>
        <v/>
      </c>
      <c r="BD16" s="140" t="str">
        <f t="shared" si="9"/>
        <v/>
      </c>
      <c r="BE16" s="140" t="str">
        <f t="shared" si="9"/>
        <v/>
      </c>
    </row>
    <row r="17">
      <c r="A17" s="108"/>
      <c r="B17" s="107" t="s">
        <v>6</v>
      </c>
      <c r="C17" s="202"/>
      <c r="D17" s="107" t="s">
        <v>262</v>
      </c>
      <c r="E17" s="107"/>
      <c r="F17" s="107" t="s">
        <v>263</v>
      </c>
      <c r="G17" s="203">
        <v>75457.0</v>
      </c>
      <c r="H17" s="204">
        <v>250.4</v>
      </c>
      <c r="I17" s="205">
        <v>45324.0</v>
      </c>
      <c r="J17" s="107" t="s">
        <v>264</v>
      </c>
      <c r="K17" s="202"/>
      <c r="L17" s="107" t="b">
        <v>1</v>
      </c>
      <c r="M17" s="204">
        <f t="shared" si="3"/>
        <v>250.4</v>
      </c>
      <c r="N17" s="206"/>
      <c r="O17" s="108" t="b">
        <f t="shared" si="4"/>
        <v>1</v>
      </c>
      <c r="P17" s="207">
        <f t="shared" si="5"/>
        <v>1</v>
      </c>
      <c r="Q17" s="140" t="str">
        <f t="shared" ref="Q17:BE17" si="10">iferror(if(Q$9=FALSE,, if(if(search(Q$11,$B17,1)&gt;0,1,0)=1,$H17/$P17,)),"")</f>
        <v/>
      </c>
      <c r="R17" s="140" t="str">
        <f t="shared" si="10"/>
        <v/>
      </c>
      <c r="S17" s="140" t="str">
        <f t="shared" si="10"/>
        <v/>
      </c>
      <c r="T17" s="140" t="str">
        <f t="shared" si="10"/>
        <v/>
      </c>
      <c r="U17" s="140">
        <f t="shared" si="10"/>
        <v>250.4</v>
      </c>
      <c r="V17" s="140" t="str">
        <f t="shared" si="10"/>
        <v/>
      </c>
      <c r="W17" s="140" t="str">
        <f t="shared" si="10"/>
        <v/>
      </c>
      <c r="X17" s="140" t="str">
        <f t="shared" si="10"/>
        <v/>
      </c>
      <c r="Y17" s="140" t="str">
        <f t="shared" si="10"/>
        <v/>
      </c>
      <c r="Z17" s="140" t="str">
        <f t="shared" si="10"/>
        <v/>
      </c>
      <c r="AA17" s="140" t="str">
        <f t="shared" si="10"/>
        <v/>
      </c>
      <c r="AB17" s="140" t="str">
        <f t="shared" si="10"/>
        <v/>
      </c>
      <c r="AC17" s="140" t="str">
        <f t="shared" si="10"/>
        <v/>
      </c>
      <c r="AD17" s="140" t="str">
        <f t="shared" si="10"/>
        <v/>
      </c>
      <c r="AE17" s="140" t="str">
        <f t="shared" si="10"/>
        <v/>
      </c>
      <c r="AF17" s="140" t="str">
        <f t="shared" si="10"/>
        <v/>
      </c>
      <c r="AG17" s="140" t="str">
        <f t="shared" si="10"/>
        <v/>
      </c>
      <c r="AH17" s="140" t="str">
        <f t="shared" si="10"/>
        <v/>
      </c>
      <c r="AI17" s="140" t="str">
        <f t="shared" si="10"/>
        <v/>
      </c>
      <c r="AJ17" s="140" t="str">
        <f t="shared" si="10"/>
        <v/>
      </c>
      <c r="AK17" s="140" t="str">
        <f t="shared" si="10"/>
        <v/>
      </c>
      <c r="AL17" s="140" t="str">
        <f t="shared" si="10"/>
        <v/>
      </c>
      <c r="AM17" s="140" t="str">
        <f t="shared" si="10"/>
        <v/>
      </c>
      <c r="AN17" s="140" t="str">
        <f t="shared" si="10"/>
        <v/>
      </c>
      <c r="AO17" s="140" t="str">
        <f t="shared" si="10"/>
        <v/>
      </c>
      <c r="AP17" s="140" t="str">
        <f t="shared" si="10"/>
        <v/>
      </c>
      <c r="AQ17" s="140" t="str">
        <f t="shared" si="10"/>
        <v/>
      </c>
      <c r="AR17" s="140" t="str">
        <f t="shared" si="10"/>
        <v/>
      </c>
      <c r="AS17" s="140" t="str">
        <f t="shared" si="10"/>
        <v/>
      </c>
      <c r="AT17" s="140" t="str">
        <f t="shared" si="10"/>
        <v/>
      </c>
      <c r="AU17" s="140" t="str">
        <f t="shared" si="10"/>
        <v/>
      </c>
      <c r="AV17" s="140" t="str">
        <f t="shared" si="10"/>
        <v/>
      </c>
      <c r="AW17" s="140" t="str">
        <f t="shared" si="10"/>
        <v/>
      </c>
      <c r="AX17" s="140" t="str">
        <f t="shared" si="10"/>
        <v/>
      </c>
      <c r="AY17" s="140" t="str">
        <f t="shared" si="10"/>
        <v/>
      </c>
      <c r="AZ17" s="140" t="str">
        <f t="shared" si="10"/>
        <v/>
      </c>
      <c r="BA17" s="140" t="str">
        <f t="shared" si="10"/>
        <v/>
      </c>
      <c r="BB17" s="140" t="str">
        <f t="shared" si="10"/>
        <v/>
      </c>
      <c r="BC17" s="140" t="str">
        <f t="shared" si="10"/>
        <v/>
      </c>
      <c r="BD17" s="140" t="str">
        <f t="shared" si="10"/>
        <v/>
      </c>
      <c r="BE17" s="140" t="str">
        <f t="shared" si="10"/>
        <v/>
      </c>
    </row>
    <row r="18">
      <c r="A18" s="108"/>
      <c r="B18" s="107" t="s">
        <v>6</v>
      </c>
      <c r="C18" s="202"/>
      <c r="D18" s="107" t="s">
        <v>252</v>
      </c>
      <c r="E18" s="107"/>
      <c r="F18" s="107" t="s">
        <v>253</v>
      </c>
      <c r="G18" s="203">
        <v>237669.0</v>
      </c>
      <c r="H18" s="204">
        <v>10113.99</v>
      </c>
      <c r="I18" s="205">
        <v>45344.0</v>
      </c>
      <c r="J18" s="107" t="s">
        <v>254</v>
      </c>
      <c r="K18" s="202"/>
      <c r="L18" s="107" t="b">
        <v>1</v>
      </c>
      <c r="M18" s="204">
        <f t="shared" si="3"/>
        <v>10113.99</v>
      </c>
      <c r="N18" s="206"/>
      <c r="O18" s="108" t="b">
        <f t="shared" si="4"/>
        <v>1</v>
      </c>
      <c r="P18" s="207">
        <f t="shared" si="5"/>
        <v>1</v>
      </c>
      <c r="Q18" s="140" t="str">
        <f t="shared" ref="Q18:BE18" si="11">iferror(if(Q$9=FALSE,, if(if(search(Q$11,$B18,1)&gt;0,1,0)=1,$H18/$P18,)),"")</f>
        <v/>
      </c>
      <c r="R18" s="140" t="str">
        <f t="shared" si="11"/>
        <v/>
      </c>
      <c r="S18" s="140" t="str">
        <f t="shared" si="11"/>
        <v/>
      </c>
      <c r="T18" s="140" t="str">
        <f t="shared" si="11"/>
        <v/>
      </c>
      <c r="U18" s="140">
        <f t="shared" si="11"/>
        <v>10113.99</v>
      </c>
      <c r="V18" s="140" t="str">
        <f t="shared" si="11"/>
        <v/>
      </c>
      <c r="W18" s="140" t="str">
        <f t="shared" si="11"/>
        <v/>
      </c>
      <c r="X18" s="140" t="str">
        <f t="shared" si="11"/>
        <v/>
      </c>
      <c r="Y18" s="140" t="str">
        <f t="shared" si="11"/>
        <v/>
      </c>
      <c r="Z18" s="140" t="str">
        <f t="shared" si="11"/>
        <v/>
      </c>
      <c r="AA18" s="140" t="str">
        <f t="shared" si="11"/>
        <v/>
      </c>
      <c r="AB18" s="140" t="str">
        <f t="shared" si="11"/>
        <v/>
      </c>
      <c r="AC18" s="140" t="str">
        <f t="shared" si="11"/>
        <v/>
      </c>
      <c r="AD18" s="140" t="str">
        <f t="shared" si="11"/>
        <v/>
      </c>
      <c r="AE18" s="140" t="str">
        <f t="shared" si="11"/>
        <v/>
      </c>
      <c r="AF18" s="140" t="str">
        <f t="shared" si="11"/>
        <v/>
      </c>
      <c r="AG18" s="140" t="str">
        <f t="shared" si="11"/>
        <v/>
      </c>
      <c r="AH18" s="140" t="str">
        <f t="shared" si="11"/>
        <v/>
      </c>
      <c r="AI18" s="140" t="str">
        <f t="shared" si="11"/>
        <v/>
      </c>
      <c r="AJ18" s="140" t="str">
        <f t="shared" si="11"/>
        <v/>
      </c>
      <c r="AK18" s="140" t="str">
        <f t="shared" si="11"/>
        <v/>
      </c>
      <c r="AL18" s="140" t="str">
        <f t="shared" si="11"/>
        <v/>
      </c>
      <c r="AM18" s="140" t="str">
        <f t="shared" si="11"/>
        <v/>
      </c>
      <c r="AN18" s="140" t="str">
        <f t="shared" si="11"/>
        <v/>
      </c>
      <c r="AO18" s="140" t="str">
        <f t="shared" si="11"/>
        <v/>
      </c>
      <c r="AP18" s="140" t="str">
        <f t="shared" si="11"/>
        <v/>
      </c>
      <c r="AQ18" s="140" t="str">
        <f t="shared" si="11"/>
        <v/>
      </c>
      <c r="AR18" s="140" t="str">
        <f t="shared" si="11"/>
        <v/>
      </c>
      <c r="AS18" s="140" t="str">
        <f t="shared" si="11"/>
        <v/>
      </c>
      <c r="AT18" s="140" t="str">
        <f t="shared" si="11"/>
        <v/>
      </c>
      <c r="AU18" s="140" t="str">
        <f t="shared" si="11"/>
        <v/>
      </c>
      <c r="AV18" s="140" t="str">
        <f t="shared" si="11"/>
        <v/>
      </c>
      <c r="AW18" s="140" t="str">
        <f t="shared" si="11"/>
        <v/>
      </c>
      <c r="AX18" s="140" t="str">
        <f t="shared" si="11"/>
        <v/>
      </c>
      <c r="AY18" s="140" t="str">
        <f t="shared" si="11"/>
        <v/>
      </c>
      <c r="AZ18" s="140" t="str">
        <f t="shared" si="11"/>
        <v/>
      </c>
      <c r="BA18" s="140" t="str">
        <f t="shared" si="11"/>
        <v/>
      </c>
      <c r="BB18" s="140" t="str">
        <f t="shared" si="11"/>
        <v/>
      </c>
      <c r="BC18" s="140" t="str">
        <f t="shared" si="11"/>
        <v/>
      </c>
      <c r="BD18" s="140" t="str">
        <f t="shared" si="11"/>
        <v/>
      </c>
      <c r="BE18" s="140" t="str">
        <f t="shared" si="11"/>
        <v/>
      </c>
    </row>
    <row r="19">
      <c r="A19" s="108"/>
      <c r="B19" s="107" t="s">
        <v>6</v>
      </c>
      <c r="C19" s="202"/>
      <c r="D19" s="107" t="s">
        <v>265</v>
      </c>
      <c r="E19" s="107"/>
      <c r="F19" s="107" t="s">
        <v>256</v>
      </c>
      <c r="G19" s="203">
        <v>150563.0</v>
      </c>
      <c r="H19" s="204">
        <v>1792.0</v>
      </c>
      <c r="I19" s="205">
        <v>45352.0</v>
      </c>
      <c r="J19" s="107" t="s">
        <v>257</v>
      </c>
      <c r="K19" s="202"/>
      <c r="L19" s="107" t="b">
        <v>1</v>
      </c>
      <c r="M19" s="204">
        <f t="shared" si="3"/>
        <v>1792</v>
      </c>
      <c r="N19" s="206"/>
      <c r="O19" s="108" t="b">
        <f t="shared" si="4"/>
        <v>1</v>
      </c>
      <c r="P19" s="207">
        <f t="shared" si="5"/>
        <v>1</v>
      </c>
      <c r="Q19" s="140" t="str">
        <f t="shared" ref="Q19:BE19" si="12">iferror(if(Q$9=FALSE,, if(if(search(Q$11,$B19,1)&gt;0,1,0)=1,$H19/$P19,)),"")</f>
        <v/>
      </c>
      <c r="R19" s="140" t="str">
        <f t="shared" si="12"/>
        <v/>
      </c>
      <c r="S19" s="140" t="str">
        <f t="shared" si="12"/>
        <v/>
      </c>
      <c r="T19" s="140" t="str">
        <f t="shared" si="12"/>
        <v/>
      </c>
      <c r="U19" s="140">
        <f t="shared" si="12"/>
        <v>1792</v>
      </c>
      <c r="V19" s="140" t="str">
        <f t="shared" si="12"/>
        <v/>
      </c>
      <c r="W19" s="140" t="str">
        <f t="shared" si="12"/>
        <v/>
      </c>
      <c r="X19" s="140" t="str">
        <f t="shared" si="12"/>
        <v/>
      </c>
      <c r="Y19" s="140" t="str">
        <f t="shared" si="12"/>
        <v/>
      </c>
      <c r="Z19" s="140" t="str">
        <f t="shared" si="12"/>
        <v/>
      </c>
      <c r="AA19" s="140" t="str">
        <f t="shared" si="12"/>
        <v/>
      </c>
      <c r="AB19" s="140" t="str">
        <f t="shared" si="12"/>
        <v/>
      </c>
      <c r="AC19" s="140" t="str">
        <f t="shared" si="12"/>
        <v/>
      </c>
      <c r="AD19" s="140" t="str">
        <f t="shared" si="12"/>
        <v/>
      </c>
      <c r="AE19" s="140" t="str">
        <f t="shared" si="12"/>
        <v/>
      </c>
      <c r="AF19" s="140" t="str">
        <f t="shared" si="12"/>
        <v/>
      </c>
      <c r="AG19" s="140" t="str">
        <f t="shared" si="12"/>
        <v/>
      </c>
      <c r="AH19" s="140" t="str">
        <f t="shared" si="12"/>
        <v/>
      </c>
      <c r="AI19" s="140" t="str">
        <f t="shared" si="12"/>
        <v/>
      </c>
      <c r="AJ19" s="140" t="str">
        <f t="shared" si="12"/>
        <v/>
      </c>
      <c r="AK19" s="140" t="str">
        <f t="shared" si="12"/>
        <v/>
      </c>
      <c r="AL19" s="140" t="str">
        <f t="shared" si="12"/>
        <v/>
      </c>
      <c r="AM19" s="140" t="str">
        <f t="shared" si="12"/>
        <v/>
      </c>
      <c r="AN19" s="140" t="str">
        <f t="shared" si="12"/>
        <v/>
      </c>
      <c r="AO19" s="140" t="str">
        <f t="shared" si="12"/>
        <v/>
      </c>
      <c r="AP19" s="140" t="str">
        <f t="shared" si="12"/>
        <v/>
      </c>
      <c r="AQ19" s="140" t="str">
        <f t="shared" si="12"/>
        <v/>
      </c>
      <c r="AR19" s="140" t="str">
        <f t="shared" si="12"/>
        <v/>
      </c>
      <c r="AS19" s="140" t="str">
        <f t="shared" si="12"/>
        <v/>
      </c>
      <c r="AT19" s="140" t="str">
        <f t="shared" si="12"/>
        <v/>
      </c>
      <c r="AU19" s="140" t="str">
        <f t="shared" si="12"/>
        <v/>
      </c>
      <c r="AV19" s="140" t="str">
        <f t="shared" si="12"/>
        <v/>
      </c>
      <c r="AW19" s="140" t="str">
        <f t="shared" si="12"/>
        <v/>
      </c>
      <c r="AX19" s="140" t="str">
        <f t="shared" si="12"/>
        <v/>
      </c>
      <c r="AY19" s="140" t="str">
        <f t="shared" si="12"/>
        <v/>
      </c>
      <c r="AZ19" s="140" t="str">
        <f t="shared" si="12"/>
        <v/>
      </c>
      <c r="BA19" s="140" t="str">
        <f t="shared" si="12"/>
        <v/>
      </c>
      <c r="BB19" s="140" t="str">
        <f t="shared" si="12"/>
        <v/>
      </c>
      <c r="BC19" s="140" t="str">
        <f t="shared" si="12"/>
        <v/>
      </c>
      <c r="BD19" s="140" t="str">
        <f t="shared" si="12"/>
        <v/>
      </c>
      <c r="BE19" s="140" t="str">
        <f t="shared" si="12"/>
        <v/>
      </c>
    </row>
    <row r="20" hidden="1">
      <c r="A20" s="108"/>
      <c r="B20" s="107" t="s">
        <v>13</v>
      </c>
      <c r="C20" s="202"/>
      <c r="D20" s="107" t="s">
        <v>266</v>
      </c>
      <c r="E20" s="107"/>
      <c r="F20" s="107" t="s">
        <v>267</v>
      </c>
      <c r="G20" s="203">
        <v>13955.0</v>
      </c>
      <c r="H20" s="204">
        <v>1205.5</v>
      </c>
      <c r="I20" s="205">
        <v>45352.0</v>
      </c>
      <c r="J20" s="107" t="s">
        <v>268</v>
      </c>
      <c r="K20" s="202"/>
      <c r="L20" s="107" t="b">
        <v>0</v>
      </c>
      <c r="M20" s="204">
        <f t="shared" si="3"/>
        <v>0</v>
      </c>
      <c r="N20" s="206"/>
      <c r="O20" s="108" t="b">
        <f t="shared" si="4"/>
        <v>0</v>
      </c>
      <c r="P20" s="207">
        <f t="shared" si="5"/>
        <v>0</v>
      </c>
      <c r="Q20" s="140" t="str">
        <f t="shared" ref="Q20:BE20" si="13">iferror(if(Q$9=FALSE,, if(if(search(Q$11,$B20,1)&gt;0,1,0)=1,$H20/$P20,)),"")</f>
        <v/>
      </c>
      <c r="R20" s="140" t="str">
        <f t="shared" si="13"/>
        <v/>
      </c>
      <c r="S20" s="140" t="str">
        <f t="shared" si="13"/>
        <v/>
      </c>
      <c r="T20" s="140" t="str">
        <f t="shared" si="13"/>
        <v/>
      </c>
      <c r="U20" s="140" t="str">
        <f t="shared" si="13"/>
        <v/>
      </c>
      <c r="V20" s="140" t="str">
        <f t="shared" si="13"/>
        <v/>
      </c>
      <c r="W20" s="140" t="str">
        <f t="shared" si="13"/>
        <v/>
      </c>
      <c r="X20" s="140" t="str">
        <f t="shared" si="13"/>
        <v/>
      </c>
      <c r="Y20" s="140" t="str">
        <f t="shared" si="13"/>
        <v/>
      </c>
      <c r="Z20" s="140" t="str">
        <f t="shared" si="13"/>
        <v/>
      </c>
      <c r="AA20" s="140" t="str">
        <f t="shared" si="13"/>
        <v/>
      </c>
      <c r="AB20" s="140" t="str">
        <f t="shared" si="13"/>
        <v/>
      </c>
      <c r="AC20" s="140" t="str">
        <f t="shared" si="13"/>
        <v/>
      </c>
      <c r="AD20" s="140" t="str">
        <f t="shared" si="13"/>
        <v/>
      </c>
      <c r="AE20" s="140" t="str">
        <f t="shared" si="13"/>
        <v/>
      </c>
      <c r="AF20" s="140" t="str">
        <f t="shared" si="13"/>
        <v/>
      </c>
      <c r="AG20" s="140" t="str">
        <f t="shared" si="13"/>
        <v/>
      </c>
      <c r="AH20" s="140" t="str">
        <f t="shared" si="13"/>
        <v/>
      </c>
      <c r="AI20" s="140" t="str">
        <f t="shared" si="13"/>
        <v/>
      </c>
      <c r="AJ20" s="140" t="str">
        <f t="shared" si="13"/>
        <v/>
      </c>
      <c r="AK20" s="140" t="str">
        <f t="shared" si="13"/>
        <v/>
      </c>
      <c r="AL20" s="140" t="str">
        <f t="shared" si="13"/>
        <v/>
      </c>
      <c r="AM20" s="140" t="str">
        <f t="shared" si="13"/>
        <v/>
      </c>
      <c r="AN20" s="140" t="str">
        <f t="shared" si="13"/>
        <v/>
      </c>
      <c r="AO20" s="140" t="str">
        <f t="shared" si="13"/>
        <v/>
      </c>
      <c r="AP20" s="140" t="str">
        <f t="shared" si="13"/>
        <v/>
      </c>
      <c r="AQ20" s="140" t="str">
        <f t="shared" si="13"/>
        <v/>
      </c>
      <c r="AR20" s="140" t="str">
        <f t="shared" si="13"/>
        <v/>
      </c>
      <c r="AS20" s="140" t="str">
        <f t="shared" si="13"/>
        <v/>
      </c>
      <c r="AT20" s="140" t="str">
        <f t="shared" si="13"/>
        <v/>
      </c>
      <c r="AU20" s="140" t="str">
        <f t="shared" si="13"/>
        <v/>
      </c>
      <c r="AV20" s="140" t="str">
        <f t="shared" si="13"/>
        <v/>
      </c>
      <c r="AW20" s="140" t="str">
        <f t="shared" si="13"/>
        <v/>
      </c>
      <c r="AX20" s="140" t="str">
        <f t="shared" si="13"/>
        <v/>
      </c>
      <c r="AY20" s="140" t="str">
        <f t="shared" si="13"/>
        <v/>
      </c>
      <c r="AZ20" s="140" t="str">
        <f t="shared" si="13"/>
        <v/>
      </c>
      <c r="BA20" s="140" t="str">
        <f t="shared" si="13"/>
        <v/>
      </c>
      <c r="BB20" s="140" t="str">
        <f t="shared" si="13"/>
        <v/>
      </c>
      <c r="BC20" s="140" t="str">
        <f t="shared" si="13"/>
        <v/>
      </c>
      <c r="BD20" s="140" t="str">
        <f t="shared" si="13"/>
        <v/>
      </c>
      <c r="BE20" s="140" t="str">
        <f t="shared" si="13"/>
        <v/>
      </c>
    </row>
    <row r="21" hidden="1">
      <c r="A21" s="108"/>
      <c r="B21" s="107" t="s">
        <v>13</v>
      </c>
      <c r="C21" s="202"/>
      <c r="D21" s="107" t="s">
        <v>266</v>
      </c>
      <c r="E21" s="107"/>
      <c r="F21" s="107" t="s">
        <v>267</v>
      </c>
      <c r="G21" s="203">
        <v>14277.0</v>
      </c>
      <c r="H21" s="204">
        <v>905.6</v>
      </c>
      <c r="I21" s="205">
        <v>45358.0</v>
      </c>
      <c r="J21" s="107" t="s">
        <v>268</v>
      </c>
      <c r="K21" s="202"/>
      <c r="L21" s="107" t="b">
        <v>0</v>
      </c>
      <c r="M21" s="204">
        <f t="shared" si="3"/>
        <v>0</v>
      </c>
      <c r="N21" s="206"/>
      <c r="O21" s="108" t="b">
        <f t="shared" si="4"/>
        <v>0</v>
      </c>
      <c r="P21" s="207">
        <f t="shared" si="5"/>
        <v>0</v>
      </c>
      <c r="Q21" s="140" t="str">
        <f t="shared" ref="Q21:BE21" si="14">iferror(if(Q$9=FALSE,, if(if(search(Q$11,$B21,1)&gt;0,1,0)=1,$H21/$P21,)),"")</f>
        <v/>
      </c>
      <c r="R21" s="140" t="str">
        <f t="shared" si="14"/>
        <v/>
      </c>
      <c r="S21" s="140" t="str">
        <f t="shared" si="14"/>
        <v/>
      </c>
      <c r="T21" s="140" t="str">
        <f t="shared" si="14"/>
        <v/>
      </c>
      <c r="U21" s="140" t="str">
        <f t="shared" si="14"/>
        <v/>
      </c>
      <c r="V21" s="140" t="str">
        <f t="shared" si="14"/>
        <v/>
      </c>
      <c r="W21" s="140" t="str">
        <f t="shared" si="14"/>
        <v/>
      </c>
      <c r="X21" s="140" t="str">
        <f t="shared" si="14"/>
        <v/>
      </c>
      <c r="Y21" s="140" t="str">
        <f t="shared" si="14"/>
        <v/>
      </c>
      <c r="Z21" s="140" t="str">
        <f t="shared" si="14"/>
        <v/>
      </c>
      <c r="AA21" s="140" t="str">
        <f t="shared" si="14"/>
        <v/>
      </c>
      <c r="AB21" s="140" t="str">
        <f t="shared" si="14"/>
        <v/>
      </c>
      <c r="AC21" s="140" t="str">
        <f t="shared" si="14"/>
        <v/>
      </c>
      <c r="AD21" s="140" t="str">
        <f t="shared" si="14"/>
        <v/>
      </c>
      <c r="AE21" s="140" t="str">
        <f t="shared" si="14"/>
        <v/>
      </c>
      <c r="AF21" s="140" t="str">
        <f t="shared" si="14"/>
        <v/>
      </c>
      <c r="AG21" s="140" t="str">
        <f t="shared" si="14"/>
        <v/>
      </c>
      <c r="AH21" s="140" t="str">
        <f t="shared" si="14"/>
        <v/>
      </c>
      <c r="AI21" s="140" t="str">
        <f t="shared" si="14"/>
        <v/>
      </c>
      <c r="AJ21" s="140" t="str">
        <f t="shared" si="14"/>
        <v/>
      </c>
      <c r="AK21" s="140" t="str">
        <f t="shared" si="14"/>
        <v/>
      </c>
      <c r="AL21" s="140" t="str">
        <f t="shared" si="14"/>
        <v/>
      </c>
      <c r="AM21" s="140" t="str">
        <f t="shared" si="14"/>
        <v/>
      </c>
      <c r="AN21" s="140" t="str">
        <f t="shared" si="14"/>
        <v/>
      </c>
      <c r="AO21" s="140" t="str">
        <f t="shared" si="14"/>
        <v/>
      </c>
      <c r="AP21" s="140" t="str">
        <f t="shared" si="14"/>
        <v/>
      </c>
      <c r="AQ21" s="140" t="str">
        <f t="shared" si="14"/>
        <v/>
      </c>
      <c r="AR21" s="140" t="str">
        <f t="shared" si="14"/>
        <v/>
      </c>
      <c r="AS21" s="140" t="str">
        <f t="shared" si="14"/>
        <v/>
      </c>
      <c r="AT21" s="140" t="str">
        <f t="shared" si="14"/>
        <v/>
      </c>
      <c r="AU21" s="140" t="str">
        <f t="shared" si="14"/>
        <v/>
      </c>
      <c r="AV21" s="140" t="str">
        <f t="shared" si="14"/>
        <v/>
      </c>
      <c r="AW21" s="140" t="str">
        <f t="shared" si="14"/>
        <v/>
      </c>
      <c r="AX21" s="140" t="str">
        <f t="shared" si="14"/>
        <v/>
      </c>
      <c r="AY21" s="140" t="str">
        <f t="shared" si="14"/>
        <v/>
      </c>
      <c r="AZ21" s="140" t="str">
        <f t="shared" si="14"/>
        <v/>
      </c>
      <c r="BA21" s="140" t="str">
        <f t="shared" si="14"/>
        <v/>
      </c>
      <c r="BB21" s="140" t="str">
        <f t="shared" si="14"/>
        <v/>
      </c>
      <c r="BC21" s="140" t="str">
        <f t="shared" si="14"/>
        <v/>
      </c>
      <c r="BD21" s="140" t="str">
        <f t="shared" si="14"/>
        <v/>
      </c>
      <c r="BE21" s="140" t="str">
        <f t="shared" si="14"/>
        <v/>
      </c>
    </row>
    <row r="22" hidden="1">
      <c r="A22" s="108"/>
      <c r="B22" s="107" t="s">
        <v>13</v>
      </c>
      <c r="C22" s="202"/>
      <c r="D22" s="107" t="s">
        <v>266</v>
      </c>
      <c r="E22" s="107"/>
      <c r="F22" s="107" t="s">
        <v>267</v>
      </c>
      <c r="G22" s="203">
        <v>14639.0</v>
      </c>
      <c r="H22" s="204">
        <v>305.8</v>
      </c>
      <c r="I22" s="205">
        <v>45364.0</v>
      </c>
      <c r="J22" s="107" t="s">
        <v>268</v>
      </c>
      <c r="K22" s="202"/>
      <c r="L22" s="107" t="b">
        <v>0</v>
      </c>
      <c r="M22" s="204">
        <f t="shared" si="3"/>
        <v>0</v>
      </c>
      <c r="N22" s="206"/>
      <c r="O22" s="108" t="b">
        <f t="shared" si="4"/>
        <v>0</v>
      </c>
      <c r="P22" s="207">
        <f t="shared" si="5"/>
        <v>0</v>
      </c>
      <c r="Q22" s="140" t="str">
        <f t="shared" ref="Q22:BE22" si="15">iferror(if(Q$9=FALSE,, if(if(search(Q$11,$B22,1)&gt;0,1,0)=1,$H22/$P22,)),"")</f>
        <v/>
      </c>
      <c r="R22" s="140" t="str">
        <f t="shared" si="15"/>
        <v/>
      </c>
      <c r="S22" s="140" t="str">
        <f t="shared" si="15"/>
        <v/>
      </c>
      <c r="T22" s="140" t="str">
        <f t="shared" si="15"/>
        <v/>
      </c>
      <c r="U22" s="140" t="str">
        <f t="shared" si="15"/>
        <v/>
      </c>
      <c r="V22" s="140" t="str">
        <f t="shared" si="15"/>
        <v/>
      </c>
      <c r="W22" s="140" t="str">
        <f t="shared" si="15"/>
        <v/>
      </c>
      <c r="X22" s="140" t="str">
        <f t="shared" si="15"/>
        <v/>
      </c>
      <c r="Y22" s="140" t="str">
        <f t="shared" si="15"/>
        <v/>
      </c>
      <c r="Z22" s="140" t="str">
        <f t="shared" si="15"/>
        <v/>
      </c>
      <c r="AA22" s="140" t="str">
        <f t="shared" si="15"/>
        <v/>
      </c>
      <c r="AB22" s="140" t="str">
        <f t="shared" si="15"/>
        <v/>
      </c>
      <c r="AC22" s="140" t="str">
        <f t="shared" si="15"/>
        <v/>
      </c>
      <c r="AD22" s="140" t="str">
        <f t="shared" si="15"/>
        <v/>
      </c>
      <c r="AE22" s="140" t="str">
        <f t="shared" si="15"/>
        <v/>
      </c>
      <c r="AF22" s="140" t="str">
        <f t="shared" si="15"/>
        <v/>
      </c>
      <c r="AG22" s="140" t="str">
        <f t="shared" si="15"/>
        <v/>
      </c>
      <c r="AH22" s="140" t="str">
        <f t="shared" si="15"/>
        <v/>
      </c>
      <c r="AI22" s="140" t="str">
        <f t="shared" si="15"/>
        <v/>
      </c>
      <c r="AJ22" s="140" t="str">
        <f t="shared" si="15"/>
        <v/>
      </c>
      <c r="AK22" s="140" t="str">
        <f t="shared" si="15"/>
        <v/>
      </c>
      <c r="AL22" s="140" t="str">
        <f t="shared" si="15"/>
        <v/>
      </c>
      <c r="AM22" s="140" t="str">
        <f t="shared" si="15"/>
        <v/>
      </c>
      <c r="AN22" s="140" t="str">
        <f t="shared" si="15"/>
        <v/>
      </c>
      <c r="AO22" s="140" t="str">
        <f t="shared" si="15"/>
        <v/>
      </c>
      <c r="AP22" s="140" t="str">
        <f t="shared" si="15"/>
        <v/>
      </c>
      <c r="AQ22" s="140" t="str">
        <f t="shared" si="15"/>
        <v/>
      </c>
      <c r="AR22" s="140" t="str">
        <f t="shared" si="15"/>
        <v/>
      </c>
      <c r="AS22" s="140" t="str">
        <f t="shared" si="15"/>
        <v/>
      </c>
      <c r="AT22" s="140" t="str">
        <f t="shared" si="15"/>
        <v/>
      </c>
      <c r="AU22" s="140" t="str">
        <f t="shared" si="15"/>
        <v/>
      </c>
      <c r="AV22" s="140" t="str">
        <f t="shared" si="15"/>
        <v/>
      </c>
      <c r="AW22" s="140" t="str">
        <f t="shared" si="15"/>
        <v/>
      </c>
      <c r="AX22" s="140" t="str">
        <f t="shared" si="15"/>
        <v/>
      </c>
      <c r="AY22" s="140" t="str">
        <f t="shared" si="15"/>
        <v/>
      </c>
      <c r="AZ22" s="140" t="str">
        <f t="shared" si="15"/>
        <v/>
      </c>
      <c r="BA22" s="140" t="str">
        <f t="shared" si="15"/>
        <v/>
      </c>
      <c r="BB22" s="140" t="str">
        <f t="shared" si="15"/>
        <v/>
      </c>
      <c r="BC22" s="140" t="str">
        <f t="shared" si="15"/>
        <v/>
      </c>
      <c r="BD22" s="140" t="str">
        <f t="shared" si="15"/>
        <v/>
      </c>
      <c r="BE22" s="140" t="str">
        <f t="shared" si="15"/>
        <v/>
      </c>
    </row>
    <row r="23" hidden="1">
      <c r="A23" s="108"/>
      <c r="B23" s="107" t="s">
        <v>3</v>
      </c>
      <c r="C23" s="202"/>
      <c r="D23" s="107" t="s">
        <v>262</v>
      </c>
      <c r="E23" s="107"/>
      <c r="F23" s="107" t="s">
        <v>263</v>
      </c>
      <c r="G23" s="203">
        <v>76271.0</v>
      </c>
      <c r="H23" s="204">
        <v>541.28</v>
      </c>
      <c r="I23" s="205">
        <v>45371.0</v>
      </c>
      <c r="J23" s="107" t="s">
        <v>264</v>
      </c>
      <c r="K23" s="202"/>
      <c r="L23" s="107" t="b">
        <v>0</v>
      </c>
      <c r="M23" s="204">
        <f t="shared" si="3"/>
        <v>0</v>
      </c>
      <c r="N23" s="206"/>
      <c r="O23" s="108" t="b">
        <f t="shared" si="4"/>
        <v>0</v>
      </c>
      <c r="P23" s="207">
        <f t="shared" si="5"/>
        <v>0</v>
      </c>
      <c r="Q23" s="140" t="str">
        <f t="shared" ref="Q23:BE23" si="16">iferror(if(Q$9=FALSE,, if(if(search(Q$11,$B23,1)&gt;0,1,0)=1,$H23/$P23,)),"")</f>
        <v/>
      </c>
      <c r="R23" s="140" t="str">
        <f t="shared" si="16"/>
        <v/>
      </c>
      <c r="S23" s="140" t="str">
        <f t="shared" si="16"/>
        <v/>
      </c>
      <c r="T23" s="140" t="str">
        <f t="shared" si="16"/>
        <v/>
      </c>
      <c r="U23" s="140" t="str">
        <f t="shared" si="16"/>
        <v/>
      </c>
      <c r="V23" s="140" t="str">
        <f t="shared" si="16"/>
        <v/>
      </c>
      <c r="W23" s="140" t="str">
        <f t="shared" si="16"/>
        <v/>
      </c>
      <c r="X23" s="140" t="str">
        <f t="shared" si="16"/>
        <v/>
      </c>
      <c r="Y23" s="140" t="str">
        <f t="shared" si="16"/>
        <v/>
      </c>
      <c r="Z23" s="140" t="str">
        <f t="shared" si="16"/>
        <v/>
      </c>
      <c r="AA23" s="140" t="str">
        <f t="shared" si="16"/>
        <v/>
      </c>
      <c r="AB23" s="140" t="str">
        <f t="shared" si="16"/>
        <v/>
      </c>
      <c r="AC23" s="140" t="str">
        <f t="shared" si="16"/>
        <v/>
      </c>
      <c r="AD23" s="140" t="str">
        <f t="shared" si="16"/>
        <v/>
      </c>
      <c r="AE23" s="140" t="str">
        <f t="shared" si="16"/>
        <v/>
      </c>
      <c r="AF23" s="140" t="str">
        <f t="shared" si="16"/>
        <v/>
      </c>
      <c r="AG23" s="140" t="str">
        <f t="shared" si="16"/>
        <v/>
      </c>
      <c r="AH23" s="140" t="str">
        <f t="shared" si="16"/>
        <v/>
      </c>
      <c r="AI23" s="140" t="str">
        <f t="shared" si="16"/>
        <v/>
      </c>
      <c r="AJ23" s="140" t="str">
        <f t="shared" si="16"/>
        <v/>
      </c>
      <c r="AK23" s="140" t="str">
        <f t="shared" si="16"/>
        <v/>
      </c>
      <c r="AL23" s="140" t="str">
        <f t="shared" si="16"/>
        <v/>
      </c>
      <c r="AM23" s="140" t="str">
        <f t="shared" si="16"/>
        <v/>
      </c>
      <c r="AN23" s="140" t="str">
        <f t="shared" si="16"/>
        <v/>
      </c>
      <c r="AO23" s="140" t="str">
        <f t="shared" si="16"/>
        <v/>
      </c>
      <c r="AP23" s="140" t="str">
        <f t="shared" si="16"/>
        <v/>
      </c>
      <c r="AQ23" s="140" t="str">
        <f t="shared" si="16"/>
        <v/>
      </c>
      <c r="AR23" s="140" t="str">
        <f t="shared" si="16"/>
        <v/>
      </c>
      <c r="AS23" s="140" t="str">
        <f t="shared" si="16"/>
        <v/>
      </c>
      <c r="AT23" s="140" t="str">
        <f t="shared" si="16"/>
        <v/>
      </c>
      <c r="AU23" s="140" t="str">
        <f t="shared" si="16"/>
        <v/>
      </c>
      <c r="AV23" s="140" t="str">
        <f t="shared" si="16"/>
        <v/>
      </c>
      <c r="AW23" s="140" t="str">
        <f t="shared" si="16"/>
        <v/>
      </c>
      <c r="AX23" s="140" t="str">
        <f t="shared" si="16"/>
        <v/>
      </c>
      <c r="AY23" s="140" t="str">
        <f t="shared" si="16"/>
        <v/>
      </c>
      <c r="AZ23" s="140" t="str">
        <f t="shared" si="16"/>
        <v/>
      </c>
      <c r="BA23" s="140" t="str">
        <f t="shared" si="16"/>
        <v/>
      </c>
      <c r="BB23" s="140" t="str">
        <f t="shared" si="16"/>
        <v/>
      </c>
      <c r="BC23" s="140" t="str">
        <f t="shared" si="16"/>
        <v/>
      </c>
      <c r="BD23" s="140" t="str">
        <f t="shared" si="16"/>
        <v/>
      </c>
      <c r="BE23" s="140" t="str">
        <f t="shared" si="16"/>
        <v/>
      </c>
    </row>
    <row r="24">
      <c r="A24" s="108"/>
      <c r="B24" s="107" t="s">
        <v>3</v>
      </c>
      <c r="C24" s="107"/>
      <c r="D24" s="107" t="s">
        <v>269</v>
      </c>
      <c r="E24" s="107"/>
      <c r="F24" s="107" t="s">
        <v>270</v>
      </c>
      <c r="G24" s="208">
        <v>61072.0</v>
      </c>
      <c r="H24" s="204">
        <v>297.0</v>
      </c>
      <c r="I24" s="205">
        <v>45384.0</v>
      </c>
      <c r="J24" s="107" t="s">
        <v>271</v>
      </c>
      <c r="K24" s="202"/>
      <c r="L24" s="107" t="b">
        <v>1</v>
      </c>
      <c r="M24" s="204">
        <f t="shared" si="3"/>
        <v>297</v>
      </c>
      <c r="N24" s="206"/>
      <c r="O24" s="108" t="b">
        <f t="shared" si="4"/>
        <v>1</v>
      </c>
      <c r="P24" s="207">
        <f t="shared" si="5"/>
        <v>1</v>
      </c>
      <c r="Q24" s="140">
        <f t="shared" ref="Q24:BE24" si="17">iferror(if(Q$9=FALSE,, if(if(search(Q$11,$B24,1)&gt;0,1,0)=1,$H24/$P24,)),"")</f>
        <v>297</v>
      </c>
      <c r="R24" s="140" t="str">
        <f t="shared" si="17"/>
        <v/>
      </c>
      <c r="S24" s="140" t="str">
        <f t="shared" si="17"/>
        <v/>
      </c>
      <c r="T24" s="140" t="str">
        <f t="shared" si="17"/>
        <v/>
      </c>
      <c r="U24" s="140" t="str">
        <f t="shared" si="17"/>
        <v/>
      </c>
      <c r="V24" s="140" t="str">
        <f t="shared" si="17"/>
        <v/>
      </c>
      <c r="W24" s="140" t="str">
        <f t="shared" si="17"/>
        <v/>
      </c>
      <c r="X24" s="140" t="str">
        <f t="shared" si="17"/>
        <v/>
      </c>
      <c r="Y24" s="140" t="str">
        <f t="shared" si="17"/>
        <v/>
      </c>
      <c r="Z24" s="140" t="str">
        <f t="shared" si="17"/>
        <v/>
      </c>
      <c r="AA24" s="140" t="str">
        <f t="shared" si="17"/>
        <v/>
      </c>
      <c r="AB24" s="140" t="str">
        <f t="shared" si="17"/>
        <v/>
      </c>
      <c r="AC24" s="140" t="str">
        <f t="shared" si="17"/>
        <v/>
      </c>
      <c r="AD24" s="140" t="str">
        <f t="shared" si="17"/>
        <v/>
      </c>
      <c r="AE24" s="140" t="str">
        <f t="shared" si="17"/>
        <v/>
      </c>
      <c r="AF24" s="140" t="str">
        <f t="shared" si="17"/>
        <v/>
      </c>
      <c r="AG24" s="140" t="str">
        <f t="shared" si="17"/>
        <v/>
      </c>
      <c r="AH24" s="140" t="str">
        <f t="shared" si="17"/>
        <v/>
      </c>
      <c r="AI24" s="140" t="str">
        <f t="shared" si="17"/>
        <v/>
      </c>
      <c r="AJ24" s="140" t="str">
        <f t="shared" si="17"/>
        <v/>
      </c>
      <c r="AK24" s="140" t="str">
        <f t="shared" si="17"/>
        <v/>
      </c>
      <c r="AL24" s="140" t="str">
        <f t="shared" si="17"/>
        <v/>
      </c>
      <c r="AM24" s="140" t="str">
        <f t="shared" si="17"/>
        <v/>
      </c>
      <c r="AN24" s="140" t="str">
        <f t="shared" si="17"/>
        <v/>
      </c>
      <c r="AO24" s="140" t="str">
        <f t="shared" si="17"/>
        <v/>
      </c>
      <c r="AP24" s="140" t="str">
        <f t="shared" si="17"/>
        <v/>
      </c>
      <c r="AQ24" s="140" t="str">
        <f t="shared" si="17"/>
        <v/>
      </c>
      <c r="AR24" s="140" t="str">
        <f t="shared" si="17"/>
        <v/>
      </c>
      <c r="AS24" s="140" t="str">
        <f t="shared" si="17"/>
        <v/>
      </c>
      <c r="AT24" s="140" t="str">
        <f t="shared" si="17"/>
        <v/>
      </c>
      <c r="AU24" s="140" t="str">
        <f t="shared" si="17"/>
        <v/>
      </c>
      <c r="AV24" s="140" t="str">
        <f t="shared" si="17"/>
        <v/>
      </c>
      <c r="AW24" s="140" t="str">
        <f t="shared" si="17"/>
        <v/>
      </c>
      <c r="AX24" s="140" t="str">
        <f t="shared" si="17"/>
        <v/>
      </c>
      <c r="AY24" s="140" t="str">
        <f t="shared" si="17"/>
        <v/>
      </c>
      <c r="AZ24" s="140" t="str">
        <f t="shared" si="17"/>
        <v/>
      </c>
      <c r="BA24" s="140" t="str">
        <f t="shared" si="17"/>
        <v/>
      </c>
      <c r="BB24" s="140" t="str">
        <f t="shared" si="17"/>
        <v/>
      </c>
      <c r="BC24" s="140" t="str">
        <f t="shared" si="17"/>
        <v/>
      </c>
      <c r="BD24" s="140" t="str">
        <f t="shared" si="17"/>
        <v/>
      </c>
      <c r="BE24" s="140" t="str">
        <f t="shared" si="17"/>
        <v/>
      </c>
    </row>
    <row r="25" hidden="1">
      <c r="A25" s="108"/>
      <c r="B25" s="107" t="s">
        <v>13</v>
      </c>
      <c r="C25" s="202"/>
      <c r="D25" s="107" t="s">
        <v>266</v>
      </c>
      <c r="E25" s="107"/>
      <c r="F25" s="107" t="s">
        <v>267</v>
      </c>
      <c r="G25" s="208">
        <v>15823.0</v>
      </c>
      <c r="H25" s="204">
        <v>605.7</v>
      </c>
      <c r="I25" s="205">
        <v>45385.0</v>
      </c>
      <c r="J25" s="107" t="s">
        <v>268</v>
      </c>
      <c r="K25" s="202"/>
      <c r="L25" s="107" t="b">
        <v>0</v>
      </c>
      <c r="M25" s="204">
        <f t="shared" si="3"/>
        <v>0</v>
      </c>
      <c r="N25" s="206"/>
      <c r="O25" s="108" t="b">
        <f t="shared" si="4"/>
        <v>0</v>
      </c>
      <c r="P25" s="207">
        <f t="shared" si="5"/>
        <v>0</v>
      </c>
      <c r="Q25" s="140" t="str">
        <f t="shared" ref="Q25:BE25" si="18">iferror(if(Q$9=FALSE,, if(if(search(Q$11,$B25,1)&gt;0,1,0)=1,$H25/$P25,)),"")</f>
        <v/>
      </c>
      <c r="R25" s="140" t="str">
        <f t="shared" si="18"/>
        <v/>
      </c>
      <c r="S25" s="140" t="str">
        <f t="shared" si="18"/>
        <v/>
      </c>
      <c r="T25" s="140" t="str">
        <f t="shared" si="18"/>
        <v/>
      </c>
      <c r="U25" s="140" t="str">
        <f t="shared" si="18"/>
        <v/>
      </c>
      <c r="V25" s="140" t="str">
        <f t="shared" si="18"/>
        <v/>
      </c>
      <c r="W25" s="140" t="str">
        <f t="shared" si="18"/>
        <v/>
      </c>
      <c r="X25" s="140" t="str">
        <f t="shared" si="18"/>
        <v/>
      </c>
      <c r="Y25" s="140" t="str">
        <f t="shared" si="18"/>
        <v/>
      </c>
      <c r="Z25" s="140" t="str">
        <f t="shared" si="18"/>
        <v/>
      </c>
      <c r="AA25" s="140" t="str">
        <f t="shared" si="18"/>
        <v/>
      </c>
      <c r="AB25" s="140" t="str">
        <f t="shared" si="18"/>
        <v/>
      </c>
      <c r="AC25" s="140" t="str">
        <f t="shared" si="18"/>
        <v/>
      </c>
      <c r="AD25" s="140" t="str">
        <f t="shared" si="18"/>
        <v/>
      </c>
      <c r="AE25" s="140" t="str">
        <f t="shared" si="18"/>
        <v/>
      </c>
      <c r="AF25" s="140" t="str">
        <f t="shared" si="18"/>
        <v/>
      </c>
      <c r="AG25" s="140" t="str">
        <f t="shared" si="18"/>
        <v/>
      </c>
      <c r="AH25" s="140" t="str">
        <f t="shared" si="18"/>
        <v/>
      </c>
      <c r="AI25" s="140" t="str">
        <f t="shared" si="18"/>
        <v/>
      </c>
      <c r="AJ25" s="140" t="str">
        <f t="shared" si="18"/>
        <v/>
      </c>
      <c r="AK25" s="140" t="str">
        <f t="shared" si="18"/>
        <v/>
      </c>
      <c r="AL25" s="140" t="str">
        <f t="shared" si="18"/>
        <v/>
      </c>
      <c r="AM25" s="140" t="str">
        <f t="shared" si="18"/>
        <v/>
      </c>
      <c r="AN25" s="140" t="str">
        <f t="shared" si="18"/>
        <v/>
      </c>
      <c r="AO25" s="140" t="str">
        <f t="shared" si="18"/>
        <v/>
      </c>
      <c r="AP25" s="140" t="str">
        <f t="shared" si="18"/>
        <v/>
      </c>
      <c r="AQ25" s="140" t="str">
        <f t="shared" si="18"/>
        <v/>
      </c>
      <c r="AR25" s="140" t="str">
        <f t="shared" si="18"/>
        <v/>
      </c>
      <c r="AS25" s="140" t="str">
        <f t="shared" si="18"/>
        <v/>
      </c>
      <c r="AT25" s="140" t="str">
        <f t="shared" si="18"/>
        <v/>
      </c>
      <c r="AU25" s="140" t="str">
        <f t="shared" si="18"/>
        <v/>
      </c>
      <c r="AV25" s="140" t="str">
        <f t="shared" si="18"/>
        <v/>
      </c>
      <c r="AW25" s="140" t="str">
        <f t="shared" si="18"/>
        <v/>
      </c>
      <c r="AX25" s="140" t="str">
        <f t="shared" si="18"/>
        <v/>
      </c>
      <c r="AY25" s="140" t="str">
        <f t="shared" si="18"/>
        <v/>
      </c>
      <c r="AZ25" s="140" t="str">
        <f t="shared" si="18"/>
        <v/>
      </c>
      <c r="BA25" s="140" t="str">
        <f t="shared" si="18"/>
        <v/>
      </c>
      <c r="BB25" s="140" t="str">
        <f t="shared" si="18"/>
        <v/>
      </c>
      <c r="BC25" s="140" t="str">
        <f t="shared" si="18"/>
        <v/>
      </c>
      <c r="BD25" s="140" t="str">
        <f t="shared" si="18"/>
        <v/>
      </c>
      <c r="BE25" s="140" t="str">
        <f t="shared" si="18"/>
        <v/>
      </c>
    </row>
    <row r="26">
      <c r="A26" s="108"/>
      <c r="B26" s="107" t="s">
        <v>9</v>
      </c>
      <c r="C26" s="202"/>
      <c r="D26" s="107" t="s">
        <v>272</v>
      </c>
      <c r="E26" s="107"/>
      <c r="F26" s="107" t="s">
        <v>273</v>
      </c>
      <c r="G26" s="208">
        <v>28927.0</v>
      </c>
      <c r="H26" s="204">
        <v>31159.18</v>
      </c>
      <c r="I26" s="205">
        <v>45399.0</v>
      </c>
      <c r="J26" s="107" t="s">
        <v>274</v>
      </c>
      <c r="K26" s="202"/>
      <c r="L26" s="107" t="b">
        <v>1</v>
      </c>
      <c r="M26" s="204">
        <f t="shared" si="3"/>
        <v>31159.18</v>
      </c>
      <c r="N26" s="206"/>
      <c r="O26" s="108" t="b">
        <f t="shared" si="4"/>
        <v>1</v>
      </c>
      <c r="P26" s="207">
        <f t="shared" si="5"/>
        <v>1</v>
      </c>
      <c r="Q26" s="140" t="str">
        <f t="shared" ref="Q26:BE26" si="19">iferror(if(Q$9=FALSE,, if(if(search(Q$11,$B26,1)&gt;0,1,0)=1,$H26/$P26,)),"")</f>
        <v/>
      </c>
      <c r="R26" s="140" t="str">
        <f t="shared" si="19"/>
        <v/>
      </c>
      <c r="S26" s="140" t="str">
        <f t="shared" si="19"/>
        <v/>
      </c>
      <c r="T26" s="140" t="str">
        <f t="shared" si="19"/>
        <v/>
      </c>
      <c r="U26" s="140" t="str">
        <f t="shared" si="19"/>
        <v/>
      </c>
      <c r="V26" s="140" t="str">
        <f t="shared" si="19"/>
        <v/>
      </c>
      <c r="W26" s="140" t="str">
        <f t="shared" si="19"/>
        <v/>
      </c>
      <c r="X26" s="140" t="str">
        <f t="shared" si="19"/>
        <v/>
      </c>
      <c r="Y26" s="140" t="str">
        <f t="shared" si="19"/>
        <v/>
      </c>
      <c r="Z26" s="140">
        <f t="shared" si="19"/>
        <v>31159.18</v>
      </c>
      <c r="AA26" s="140" t="str">
        <f t="shared" si="19"/>
        <v/>
      </c>
      <c r="AB26" s="140" t="str">
        <f t="shared" si="19"/>
        <v/>
      </c>
      <c r="AC26" s="140" t="str">
        <f t="shared" si="19"/>
        <v/>
      </c>
      <c r="AD26" s="140" t="str">
        <f t="shared" si="19"/>
        <v/>
      </c>
      <c r="AE26" s="140" t="str">
        <f t="shared" si="19"/>
        <v/>
      </c>
      <c r="AF26" s="140" t="str">
        <f t="shared" si="19"/>
        <v/>
      </c>
      <c r="AG26" s="140" t="str">
        <f t="shared" si="19"/>
        <v/>
      </c>
      <c r="AH26" s="140" t="str">
        <f t="shared" si="19"/>
        <v/>
      </c>
      <c r="AI26" s="140" t="str">
        <f t="shared" si="19"/>
        <v/>
      </c>
      <c r="AJ26" s="140" t="str">
        <f t="shared" si="19"/>
        <v/>
      </c>
      <c r="AK26" s="140" t="str">
        <f t="shared" si="19"/>
        <v/>
      </c>
      <c r="AL26" s="140" t="str">
        <f t="shared" si="19"/>
        <v/>
      </c>
      <c r="AM26" s="140" t="str">
        <f t="shared" si="19"/>
        <v/>
      </c>
      <c r="AN26" s="140" t="str">
        <f t="shared" si="19"/>
        <v/>
      </c>
      <c r="AO26" s="140" t="str">
        <f t="shared" si="19"/>
        <v/>
      </c>
      <c r="AP26" s="140" t="str">
        <f t="shared" si="19"/>
        <v/>
      </c>
      <c r="AQ26" s="140" t="str">
        <f t="shared" si="19"/>
        <v/>
      </c>
      <c r="AR26" s="140" t="str">
        <f t="shared" si="19"/>
        <v/>
      </c>
      <c r="AS26" s="140" t="str">
        <f t="shared" si="19"/>
        <v/>
      </c>
      <c r="AT26" s="140" t="str">
        <f t="shared" si="19"/>
        <v/>
      </c>
      <c r="AU26" s="140" t="str">
        <f t="shared" si="19"/>
        <v/>
      </c>
      <c r="AV26" s="140" t="str">
        <f t="shared" si="19"/>
        <v/>
      </c>
      <c r="AW26" s="140" t="str">
        <f t="shared" si="19"/>
        <v/>
      </c>
      <c r="AX26" s="140" t="str">
        <f t="shared" si="19"/>
        <v/>
      </c>
      <c r="AY26" s="140" t="str">
        <f t="shared" si="19"/>
        <v/>
      </c>
      <c r="AZ26" s="140" t="str">
        <f t="shared" si="19"/>
        <v/>
      </c>
      <c r="BA26" s="140" t="str">
        <f t="shared" si="19"/>
        <v/>
      </c>
      <c r="BB26" s="140" t="str">
        <f t="shared" si="19"/>
        <v/>
      </c>
      <c r="BC26" s="140" t="str">
        <f t="shared" si="19"/>
        <v/>
      </c>
      <c r="BD26" s="140" t="str">
        <f t="shared" si="19"/>
        <v/>
      </c>
      <c r="BE26" s="140" t="str">
        <f t="shared" si="19"/>
        <v/>
      </c>
    </row>
    <row r="27">
      <c r="A27" s="108"/>
      <c r="B27" s="107" t="s">
        <v>10</v>
      </c>
      <c r="C27" s="202"/>
      <c r="D27" s="107" t="s">
        <v>262</v>
      </c>
      <c r="E27" s="107"/>
      <c r="F27" s="107" t="s">
        <v>263</v>
      </c>
      <c r="G27" s="208">
        <v>76832.0</v>
      </c>
      <c r="H27" s="204">
        <v>49.73</v>
      </c>
      <c r="I27" s="205">
        <v>45400.0</v>
      </c>
      <c r="J27" s="107" t="s">
        <v>264</v>
      </c>
      <c r="K27" s="202"/>
      <c r="L27" s="107" t="b">
        <v>1</v>
      </c>
      <c r="M27" s="204">
        <f t="shared" si="3"/>
        <v>49.73</v>
      </c>
      <c r="N27" s="206"/>
      <c r="O27" s="108" t="b">
        <f t="shared" si="4"/>
        <v>1</v>
      </c>
      <c r="P27" s="207">
        <f t="shared" si="5"/>
        <v>1</v>
      </c>
      <c r="Q27" s="140" t="str">
        <f t="shared" ref="Q27:BE27" si="20">iferror(if(Q$9=FALSE,, if(if(search(Q$11,$B27,1)&gt;0,1,0)=1,$H27/$P27,)),"")</f>
        <v/>
      </c>
      <c r="R27" s="140" t="str">
        <f t="shared" si="20"/>
        <v/>
      </c>
      <c r="S27" s="140" t="str">
        <f t="shared" si="20"/>
        <v/>
      </c>
      <c r="T27" s="140" t="str">
        <f t="shared" si="20"/>
        <v/>
      </c>
      <c r="U27" s="140" t="str">
        <f t="shared" si="20"/>
        <v/>
      </c>
      <c r="V27" s="140" t="str">
        <f t="shared" si="20"/>
        <v/>
      </c>
      <c r="W27" s="140" t="str">
        <f t="shared" si="20"/>
        <v/>
      </c>
      <c r="X27" s="140" t="str">
        <f t="shared" si="20"/>
        <v/>
      </c>
      <c r="Y27" s="140" t="str">
        <f t="shared" si="20"/>
        <v/>
      </c>
      <c r="Z27" s="140" t="str">
        <f t="shared" si="20"/>
        <v/>
      </c>
      <c r="AA27" s="140">
        <f t="shared" si="20"/>
        <v>49.73</v>
      </c>
      <c r="AB27" s="140" t="str">
        <f t="shared" si="20"/>
        <v/>
      </c>
      <c r="AC27" s="140" t="str">
        <f t="shared" si="20"/>
        <v/>
      </c>
      <c r="AD27" s="140" t="str">
        <f t="shared" si="20"/>
        <v/>
      </c>
      <c r="AE27" s="140" t="str">
        <f t="shared" si="20"/>
        <v/>
      </c>
      <c r="AF27" s="140" t="str">
        <f t="shared" si="20"/>
        <v/>
      </c>
      <c r="AG27" s="140" t="str">
        <f t="shared" si="20"/>
        <v/>
      </c>
      <c r="AH27" s="140" t="str">
        <f t="shared" si="20"/>
        <v/>
      </c>
      <c r="AI27" s="140" t="str">
        <f t="shared" si="20"/>
        <v/>
      </c>
      <c r="AJ27" s="140" t="str">
        <f t="shared" si="20"/>
        <v/>
      </c>
      <c r="AK27" s="140" t="str">
        <f t="shared" si="20"/>
        <v/>
      </c>
      <c r="AL27" s="140" t="str">
        <f t="shared" si="20"/>
        <v/>
      </c>
      <c r="AM27" s="140" t="str">
        <f t="shared" si="20"/>
        <v/>
      </c>
      <c r="AN27" s="140" t="str">
        <f t="shared" si="20"/>
        <v/>
      </c>
      <c r="AO27" s="140" t="str">
        <f t="shared" si="20"/>
        <v/>
      </c>
      <c r="AP27" s="140" t="str">
        <f t="shared" si="20"/>
        <v/>
      </c>
      <c r="AQ27" s="140" t="str">
        <f t="shared" si="20"/>
        <v/>
      </c>
      <c r="AR27" s="140" t="str">
        <f t="shared" si="20"/>
        <v/>
      </c>
      <c r="AS27" s="140" t="str">
        <f t="shared" si="20"/>
        <v/>
      </c>
      <c r="AT27" s="140" t="str">
        <f t="shared" si="20"/>
        <v/>
      </c>
      <c r="AU27" s="140" t="str">
        <f t="shared" si="20"/>
        <v/>
      </c>
      <c r="AV27" s="140" t="str">
        <f t="shared" si="20"/>
        <v/>
      </c>
      <c r="AW27" s="140" t="str">
        <f t="shared" si="20"/>
        <v/>
      </c>
      <c r="AX27" s="140" t="str">
        <f t="shared" si="20"/>
        <v/>
      </c>
      <c r="AY27" s="140" t="str">
        <f t="shared" si="20"/>
        <v/>
      </c>
      <c r="AZ27" s="140" t="str">
        <f t="shared" si="20"/>
        <v/>
      </c>
      <c r="BA27" s="140" t="str">
        <f t="shared" si="20"/>
        <v/>
      </c>
      <c r="BB27" s="140" t="str">
        <f t="shared" si="20"/>
        <v/>
      </c>
      <c r="BC27" s="140" t="str">
        <f t="shared" si="20"/>
        <v/>
      </c>
      <c r="BD27" s="140" t="str">
        <f t="shared" si="20"/>
        <v/>
      </c>
      <c r="BE27" s="140" t="str">
        <f t="shared" si="20"/>
        <v/>
      </c>
    </row>
    <row r="28">
      <c r="A28" s="108"/>
      <c r="B28" s="107" t="s">
        <v>3</v>
      </c>
      <c r="C28" s="202"/>
      <c r="D28" s="107" t="s">
        <v>275</v>
      </c>
      <c r="E28" s="107"/>
      <c r="F28" s="107" t="s">
        <v>276</v>
      </c>
      <c r="G28" s="208">
        <v>2.02400000000898E14</v>
      </c>
      <c r="H28" s="204">
        <v>8965.16</v>
      </c>
      <c r="I28" s="205">
        <v>45407.0</v>
      </c>
      <c r="J28" s="107" t="s">
        <v>277</v>
      </c>
      <c r="K28" s="202"/>
      <c r="L28" s="107" t="b">
        <v>1</v>
      </c>
      <c r="M28" s="204">
        <f t="shared" si="3"/>
        <v>8965.16</v>
      </c>
      <c r="N28" s="206"/>
      <c r="O28" s="108" t="b">
        <f t="shared" si="4"/>
        <v>1</v>
      </c>
      <c r="P28" s="207">
        <f t="shared" si="5"/>
        <v>1</v>
      </c>
      <c r="Q28" s="140">
        <f t="shared" ref="Q28:BE28" si="21">iferror(if(Q$9=FALSE,, if(if(search(Q$11,$B28,1)&gt;0,1,0)=1,$H28/$P28,)),"")</f>
        <v>8965.16</v>
      </c>
      <c r="R28" s="140" t="str">
        <f t="shared" si="21"/>
        <v/>
      </c>
      <c r="S28" s="140" t="str">
        <f t="shared" si="21"/>
        <v/>
      </c>
      <c r="T28" s="140" t="str">
        <f t="shared" si="21"/>
        <v/>
      </c>
      <c r="U28" s="140" t="str">
        <f t="shared" si="21"/>
        <v/>
      </c>
      <c r="V28" s="140" t="str">
        <f t="shared" si="21"/>
        <v/>
      </c>
      <c r="W28" s="140" t="str">
        <f t="shared" si="21"/>
        <v/>
      </c>
      <c r="X28" s="140" t="str">
        <f t="shared" si="21"/>
        <v/>
      </c>
      <c r="Y28" s="140" t="str">
        <f t="shared" si="21"/>
        <v/>
      </c>
      <c r="Z28" s="140" t="str">
        <f t="shared" si="21"/>
        <v/>
      </c>
      <c r="AA28" s="140" t="str">
        <f t="shared" si="21"/>
        <v/>
      </c>
      <c r="AB28" s="140" t="str">
        <f t="shared" si="21"/>
        <v/>
      </c>
      <c r="AC28" s="140" t="str">
        <f t="shared" si="21"/>
        <v/>
      </c>
      <c r="AD28" s="140" t="str">
        <f t="shared" si="21"/>
        <v/>
      </c>
      <c r="AE28" s="140" t="str">
        <f t="shared" si="21"/>
        <v/>
      </c>
      <c r="AF28" s="140" t="str">
        <f t="shared" si="21"/>
        <v/>
      </c>
      <c r="AG28" s="140" t="str">
        <f t="shared" si="21"/>
        <v/>
      </c>
      <c r="AH28" s="140" t="str">
        <f t="shared" si="21"/>
        <v/>
      </c>
      <c r="AI28" s="140" t="str">
        <f t="shared" si="21"/>
        <v/>
      </c>
      <c r="AJ28" s="140" t="str">
        <f t="shared" si="21"/>
        <v/>
      </c>
      <c r="AK28" s="140" t="str">
        <f t="shared" si="21"/>
        <v/>
      </c>
      <c r="AL28" s="140" t="str">
        <f t="shared" si="21"/>
        <v/>
      </c>
      <c r="AM28" s="140" t="str">
        <f t="shared" si="21"/>
        <v/>
      </c>
      <c r="AN28" s="140" t="str">
        <f t="shared" si="21"/>
        <v/>
      </c>
      <c r="AO28" s="140" t="str">
        <f t="shared" si="21"/>
        <v/>
      </c>
      <c r="AP28" s="140" t="str">
        <f t="shared" si="21"/>
        <v/>
      </c>
      <c r="AQ28" s="140" t="str">
        <f t="shared" si="21"/>
        <v/>
      </c>
      <c r="AR28" s="140" t="str">
        <f t="shared" si="21"/>
        <v/>
      </c>
      <c r="AS28" s="140" t="str">
        <f t="shared" si="21"/>
        <v/>
      </c>
      <c r="AT28" s="140" t="str">
        <f t="shared" si="21"/>
        <v/>
      </c>
      <c r="AU28" s="140" t="str">
        <f t="shared" si="21"/>
        <v/>
      </c>
      <c r="AV28" s="140" t="str">
        <f t="shared" si="21"/>
        <v/>
      </c>
      <c r="AW28" s="140" t="str">
        <f t="shared" si="21"/>
        <v/>
      </c>
      <c r="AX28" s="140" t="str">
        <f t="shared" si="21"/>
        <v/>
      </c>
      <c r="AY28" s="140" t="str">
        <f t="shared" si="21"/>
        <v/>
      </c>
      <c r="AZ28" s="140" t="str">
        <f t="shared" si="21"/>
        <v/>
      </c>
      <c r="BA28" s="140" t="str">
        <f t="shared" si="21"/>
        <v/>
      </c>
      <c r="BB28" s="140" t="str">
        <f t="shared" si="21"/>
        <v/>
      </c>
      <c r="BC28" s="140" t="str">
        <f t="shared" si="21"/>
        <v/>
      </c>
      <c r="BD28" s="140" t="str">
        <f t="shared" si="21"/>
        <v/>
      </c>
      <c r="BE28" s="140" t="str">
        <f t="shared" si="21"/>
        <v/>
      </c>
    </row>
    <row r="29">
      <c r="A29" s="108"/>
      <c r="B29" s="107" t="s">
        <v>249</v>
      </c>
      <c r="C29" s="202"/>
      <c r="D29" s="107" t="s">
        <v>278</v>
      </c>
      <c r="E29" s="107"/>
      <c r="F29" s="107" t="s">
        <v>279</v>
      </c>
      <c r="G29" s="208">
        <v>111298.0</v>
      </c>
      <c r="H29" s="204">
        <v>1027.47</v>
      </c>
      <c r="I29" s="205">
        <v>45408.0</v>
      </c>
      <c r="J29" s="107" t="s">
        <v>280</v>
      </c>
      <c r="K29" s="202"/>
      <c r="L29" s="107" t="b">
        <v>1</v>
      </c>
      <c r="M29" s="204">
        <f t="shared" si="3"/>
        <v>0</v>
      </c>
      <c r="N29" s="206"/>
      <c r="O29" s="108" t="b">
        <f t="shared" si="4"/>
        <v>0</v>
      </c>
      <c r="P29" s="207">
        <f t="shared" si="5"/>
        <v>1</v>
      </c>
      <c r="Q29" s="140" t="str">
        <f t="shared" ref="Q29:BE29" si="22">iferror(if(Q$9=FALSE,, if(if(search(Q$11,$B29,1)&gt;0,1,0)=1,$H29/$P29,)),"")</f>
        <v/>
      </c>
      <c r="R29" s="140" t="str">
        <f t="shared" si="22"/>
        <v/>
      </c>
      <c r="S29" s="140" t="str">
        <f t="shared" si="22"/>
        <v/>
      </c>
      <c r="T29" s="140" t="str">
        <f t="shared" si="22"/>
        <v/>
      </c>
      <c r="U29" s="140" t="str">
        <f t="shared" si="22"/>
        <v/>
      </c>
      <c r="V29" s="140" t="str">
        <f t="shared" si="22"/>
        <v/>
      </c>
      <c r="W29" s="140" t="str">
        <f t="shared" si="22"/>
        <v/>
      </c>
      <c r="X29" s="140" t="str">
        <f t="shared" si="22"/>
        <v/>
      </c>
      <c r="Y29" s="140" t="str">
        <f t="shared" si="22"/>
        <v/>
      </c>
      <c r="Z29" s="140" t="str">
        <f t="shared" si="22"/>
        <v/>
      </c>
      <c r="AA29" s="140" t="str">
        <f t="shared" si="22"/>
        <v/>
      </c>
      <c r="AB29" s="140" t="str">
        <f t="shared" si="22"/>
        <v/>
      </c>
      <c r="AC29" s="140" t="str">
        <f t="shared" si="22"/>
        <v/>
      </c>
      <c r="AD29" s="140" t="str">
        <f t="shared" si="22"/>
        <v/>
      </c>
      <c r="AE29" s="140" t="str">
        <f t="shared" si="22"/>
        <v/>
      </c>
      <c r="AF29" s="140" t="str">
        <f t="shared" si="22"/>
        <v/>
      </c>
      <c r="AG29" s="140" t="str">
        <f t="shared" si="22"/>
        <v/>
      </c>
      <c r="AH29" s="140" t="str">
        <f t="shared" si="22"/>
        <v/>
      </c>
      <c r="AI29" s="140" t="str">
        <f t="shared" si="22"/>
        <v/>
      </c>
      <c r="AJ29" s="140" t="str">
        <f t="shared" si="22"/>
        <v/>
      </c>
      <c r="AK29" s="140" t="str">
        <f t="shared" si="22"/>
        <v/>
      </c>
      <c r="AL29" s="140" t="str">
        <f t="shared" si="22"/>
        <v/>
      </c>
      <c r="AM29" s="140" t="str">
        <f t="shared" si="22"/>
        <v/>
      </c>
      <c r="AN29" s="140" t="str">
        <f t="shared" si="22"/>
        <v/>
      </c>
      <c r="AO29" s="140" t="str">
        <f t="shared" si="22"/>
        <v/>
      </c>
      <c r="AP29" s="140" t="str">
        <f t="shared" si="22"/>
        <v/>
      </c>
      <c r="AQ29" s="140" t="str">
        <f t="shared" si="22"/>
        <v/>
      </c>
      <c r="AR29" s="140" t="str">
        <f t="shared" si="22"/>
        <v/>
      </c>
      <c r="AS29" s="140" t="str">
        <f t="shared" si="22"/>
        <v/>
      </c>
      <c r="AT29" s="140" t="str">
        <f t="shared" si="22"/>
        <v/>
      </c>
      <c r="AU29" s="140" t="str">
        <f t="shared" si="22"/>
        <v/>
      </c>
      <c r="AV29" s="140" t="str">
        <f t="shared" si="22"/>
        <v/>
      </c>
      <c r="AW29" s="140" t="str">
        <f t="shared" si="22"/>
        <v/>
      </c>
      <c r="AX29" s="140" t="str">
        <f t="shared" si="22"/>
        <v/>
      </c>
      <c r="AY29" s="140" t="str">
        <f t="shared" si="22"/>
        <v/>
      </c>
      <c r="AZ29" s="140" t="str">
        <f t="shared" si="22"/>
        <v/>
      </c>
      <c r="BA29" s="140" t="str">
        <f t="shared" si="22"/>
        <v/>
      </c>
      <c r="BB29" s="140" t="str">
        <f t="shared" si="22"/>
        <v/>
      </c>
      <c r="BC29" s="140" t="str">
        <f t="shared" si="22"/>
        <v/>
      </c>
      <c r="BD29" s="140" t="str">
        <f t="shared" si="22"/>
        <v/>
      </c>
      <c r="BE29" s="140" t="str">
        <f t="shared" si="22"/>
        <v/>
      </c>
    </row>
    <row r="30">
      <c r="A30" s="108"/>
      <c r="B30" s="107" t="s">
        <v>10</v>
      </c>
      <c r="C30" s="202"/>
      <c r="D30" s="107" t="s">
        <v>262</v>
      </c>
      <c r="E30" s="107"/>
      <c r="F30" s="107" t="s">
        <v>263</v>
      </c>
      <c r="G30" s="208">
        <v>76983.0</v>
      </c>
      <c r="H30" s="204">
        <v>34.65</v>
      </c>
      <c r="I30" s="205">
        <v>45414.0</v>
      </c>
      <c r="J30" s="107" t="s">
        <v>264</v>
      </c>
      <c r="K30" s="202"/>
      <c r="L30" s="107" t="b">
        <v>1</v>
      </c>
      <c r="M30" s="204">
        <f t="shared" si="3"/>
        <v>34.65</v>
      </c>
      <c r="N30" s="206"/>
      <c r="O30" s="108" t="b">
        <f t="shared" si="4"/>
        <v>1</v>
      </c>
      <c r="P30" s="207">
        <f t="shared" si="5"/>
        <v>1</v>
      </c>
      <c r="Q30" s="140" t="str">
        <f t="shared" ref="Q30:BE30" si="23">iferror(if(Q$9=FALSE,, if(if(search(Q$11,$B30,1)&gt;0,1,0)=1,$H30/$P30,)),"")</f>
        <v/>
      </c>
      <c r="R30" s="140" t="str">
        <f t="shared" si="23"/>
        <v/>
      </c>
      <c r="S30" s="140" t="str">
        <f t="shared" si="23"/>
        <v/>
      </c>
      <c r="T30" s="140" t="str">
        <f t="shared" si="23"/>
        <v/>
      </c>
      <c r="U30" s="140" t="str">
        <f t="shared" si="23"/>
        <v/>
      </c>
      <c r="V30" s="140" t="str">
        <f t="shared" si="23"/>
        <v/>
      </c>
      <c r="W30" s="140" t="str">
        <f t="shared" si="23"/>
        <v/>
      </c>
      <c r="X30" s="140" t="str">
        <f t="shared" si="23"/>
        <v/>
      </c>
      <c r="Y30" s="140" t="str">
        <f t="shared" si="23"/>
        <v/>
      </c>
      <c r="Z30" s="140" t="str">
        <f t="shared" si="23"/>
        <v/>
      </c>
      <c r="AA30" s="140">
        <f t="shared" si="23"/>
        <v>34.65</v>
      </c>
      <c r="AB30" s="140" t="str">
        <f t="shared" si="23"/>
        <v/>
      </c>
      <c r="AC30" s="140" t="str">
        <f t="shared" si="23"/>
        <v/>
      </c>
      <c r="AD30" s="140" t="str">
        <f t="shared" si="23"/>
        <v/>
      </c>
      <c r="AE30" s="140" t="str">
        <f t="shared" si="23"/>
        <v/>
      </c>
      <c r="AF30" s="140" t="str">
        <f t="shared" si="23"/>
        <v/>
      </c>
      <c r="AG30" s="140" t="str">
        <f t="shared" si="23"/>
        <v/>
      </c>
      <c r="AH30" s="140" t="str">
        <f t="shared" si="23"/>
        <v/>
      </c>
      <c r="AI30" s="140" t="str">
        <f t="shared" si="23"/>
        <v/>
      </c>
      <c r="AJ30" s="140" t="str">
        <f t="shared" si="23"/>
        <v/>
      </c>
      <c r="AK30" s="140" t="str">
        <f t="shared" si="23"/>
        <v/>
      </c>
      <c r="AL30" s="140" t="str">
        <f t="shared" si="23"/>
        <v/>
      </c>
      <c r="AM30" s="140" t="str">
        <f t="shared" si="23"/>
        <v/>
      </c>
      <c r="AN30" s="140" t="str">
        <f t="shared" si="23"/>
        <v/>
      </c>
      <c r="AO30" s="140" t="str">
        <f t="shared" si="23"/>
        <v/>
      </c>
      <c r="AP30" s="140" t="str">
        <f t="shared" si="23"/>
        <v/>
      </c>
      <c r="AQ30" s="140" t="str">
        <f t="shared" si="23"/>
        <v/>
      </c>
      <c r="AR30" s="140" t="str">
        <f t="shared" si="23"/>
        <v/>
      </c>
      <c r="AS30" s="140" t="str">
        <f t="shared" si="23"/>
        <v/>
      </c>
      <c r="AT30" s="140" t="str">
        <f t="shared" si="23"/>
        <v/>
      </c>
      <c r="AU30" s="140" t="str">
        <f t="shared" si="23"/>
        <v/>
      </c>
      <c r="AV30" s="140" t="str">
        <f t="shared" si="23"/>
        <v/>
      </c>
      <c r="AW30" s="140" t="str">
        <f t="shared" si="23"/>
        <v/>
      </c>
      <c r="AX30" s="140" t="str">
        <f t="shared" si="23"/>
        <v/>
      </c>
      <c r="AY30" s="140" t="str">
        <f t="shared" si="23"/>
        <v/>
      </c>
      <c r="AZ30" s="140" t="str">
        <f t="shared" si="23"/>
        <v/>
      </c>
      <c r="BA30" s="140" t="str">
        <f t="shared" si="23"/>
        <v/>
      </c>
      <c r="BB30" s="140" t="str">
        <f t="shared" si="23"/>
        <v/>
      </c>
      <c r="BC30" s="140" t="str">
        <f t="shared" si="23"/>
        <v/>
      </c>
      <c r="BD30" s="140" t="str">
        <f t="shared" si="23"/>
        <v/>
      </c>
      <c r="BE30" s="140" t="str">
        <f t="shared" si="23"/>
        <v/>
      </c>
    </row>
    <row r="31">
      <c r="A31" s="108"/>
      <c r="B31" s="107" t="s">
        <v>10</v>
      </c>
      <c r="C31" s="202"/>
      <c r="D31" s="107" t="s">
        <v>255</v>
      </c>
      <c r="E31" s="107"/>
      <c r="F31" s="107" t="s">
        <v>281</v>
      </c>
      <c r="G31" s="208">
        <v>152216.0</v>
      </c>
      <c r="H31" s="204">
        <v>3584.0</v>
      </c>
      <c r="I31" s="205">
        <v>45415.0</v>
      </c>
      <c r="J31" s="107" t="s">
        <v>257</v>
      </c>
      <c r="K31" s="202"/>
      <c r="L31" s="107" t="b">
        <v>1</v>
      </c>
      <c r="M31" s="204">
        <f t="shared" si="3"/>
        <v>3584</v>
      </c>
      <c r="N31" s="206"/>
      <c r="O31" s="108" t="b">
        <f t="shared" si="4"/>
        <v>1</v>
      </c>
      <c r="P31" s="207">
        <f t="shared" si="5"/>
        <v>1</v>
      </c>
      <c r="Q31" s="140" t="str">
        <f t="shared" ref="Q31:BE31" si="24">iferror(if(Q$9=FALSE,, if(if(search(Q$11,$B31,1)&gt;0,1,0)=1,$H31/$P31,)),"")</f>
        <v/>
      </c>
      <c r="R31" s="140" t="str">
        <f t="shared" si="24"/>
        <v/>
      </c>
      <c r="S31" s="140" t="str">
        <f t="shared" si="24"/>
        <v/>
      </c>
      <c r="T31" s="140" t="str">
        <f t="shared" si="24"/>
        <v/>
      </c>
      <c r="U31" s="140" t="str">
        <f t="shared" si="24"/>
        <v/>
      </c>
      <c r="V31" s="140" t="str">
        <f t="shared" si="24"/>
        <v/>
      </c>
      <c r="W31" s="140" t="str">
        <f t="shared" si="24"/>
        <v/>
      </c>
      <c r="X31" s="140" t="str">
        <f t="shared" si="24"/>
        <v/>
      </c>
      <c r="Y31" s="140" t="str">
        <f t="shared" si="24"/>
        <v/>
      </c>
      <c r="Z31" s="140" t="str">
        <f t="shared" si="24"/>
        <v/>
      </c>
      <c r="AA31" s="140">
        <f t="shared" si="24"/>
        <v>3584</v>
      </c>
      <c r="AB31" s="140" t="str">
        <f t="shared" si="24"/>
        <v/>
      </c>
      <c r="AC31" s="140" t="str">
        <f t="shared" si="24"/>
        <v/>
      </c>
      <c r="AD31" s="140" t="str">
        <f t="shared" si="24"/>
        <v/>
      </c>
      <c r="AE31" s="140" t="str">
        <f t="shared" si="24"/>
        <v/>
      </c>
      <c r="AF31" s="140" t="str">
        <f t="shared" si="24"/>
        <v/>
      </c>
      <c r="AG31" s="140" t="str">
        <f t="shared" si="24"/>
        <v/>
      </c>
      <c r="AH31" s="140" t="str">
        <f t="shared" si="24"/>
        <v/>
      </c>
      <c r="AI31" s="140" t="str">
        <f t="shared" si="24"/>
        <v/>
      </c>
      <c r="AJ31" s="140" t="str">
        <f t="shared" si="24"/>
        <v/>
      </c>
      <c r="AK31" s="140" t="str">
        <f t="shared" si="24"/>
        <v/>
      </c>
      <c r="AL31" s="140" t="str">
        <f t="shared" si="24"/>
        <v/>
      </c>
      <c r="AM31" s="140" t="str">
        <f t="shared" si="24"/>
        <v/>
      </c>
      <c r="AN31" s="140" t="str">
        <f t="shared" si="24"/>
        <v/>
      </c>
      <c r="AO31" s="140" t="str">
        <f t="shared" si="24"/>
        <v/>
      </c>
      <c r="AP31" s="140" t="str">
        <f t="shared" si="24"/>
        <v/>
      </c>
      <c r="AQ31" s="140" t="str">
        <f t="shared" si="24"/>
        <v/>
      </c>
      <c r="AR31" s="140" t="str">
        <f t="shared" si="24"/>
        <v/>
      </c>
      <c r="AS31" s="140" t="str">
        <f t="shared" si="24"/>
        <v/>
      </c>
      <c r="AT31" s="140" t="str">
        <f t="shared" si="24"/>
        <v/>
      </c>
      <c r="AU31" s="140" t="str">
        <f t="shared" si="24"/>
        <v/>
      </c>
      <c r="AV31" s="140" t="str">
        <f t="shared" si="24"/>
        <v/>
      </c>
      <c r="AW31" s="140" t="str">
        <f t="shared" si="24"/>
        <v/>
      </c>
      <c r="AX31" s="140" t="str">
        <f t="shared" si="24"/>
        <v/>
      </c>
      <c r="AY31" s="140" t="str">
        <f t="shared" si="24"/>
        <v/>
      </c>
      <c r="AZ31" s="140" t="str">
        <f t="shared" si="24"/>
        <v/>
      </c>
      <c r="BA31" s="140" t="str">
        <f t="shared" si="24"/>
        <v/>
      </c>
      <c r="BB31" s="140" t="str">
        <f t="shared" si="24"/>
        <v/>
      </c>
      <c r="BC31" s="140" t="str">
        <f t="shared" si="24"/>
        <v/>
      </c>
      <c r="BD31" s="140" t="str">
        <f t="shared" si="24"/>
        <v/>
      </c>
      <c r="BE31" s="140" t="str">
        <f t="shared" si="24"/>
        <v/>
      </c>
    </row>
    <row r="32">
      <c r="A32" s="108"/>
      <c r="B32" s="107" t="s">
        <v>282</v>
      </c>
      <c r="C32" s="202"/>
      <c r="D32" s="107" t="s">
        <v>278</v>
      </c>
      <c r="E32" s="107"/>
      <c r="F32" s="107" t="s">
        <v>279</v>
      </c>
      <c r="G32" s="208">
        <v>111380.0</v>
      </c>
      <c r="H32" s="204">
        <v>9799.15</v>
      </c>
      <c r="I32" s="205">
        <v>45414.0</v>
      </c>
      <c r="J32" s="107" t="s">
        <v>254</v>
      </c>
      <c r="K32" s="202"/>
      <c r="L32" s="107" t="b">
        <v>1</v>
      </c>
      <c r="M32" s="204">
        <f t="shared" si="3"/>
        <v>9799.15</v>
      </c>
      <c r="N32" s="206"/>
      <c r="O32" s="108" t="b">
        <f t="shared" si="4"/>
        <v>1</v>
      </c>
      <c r="P32" s="207">
        <f t="shared" si="5"/>
        <v>2</v>
      </c>
      <c r="Q32" s="140" t="str">
        <f t="shared" ref="Q32:BE32" si="25">iferror(if(Q$9=FALSE,, if(if(search(Q$11,$B32,1)&gt;0,1,0)=1,$H32/$P32,)),"")</f>
        <v/>
      </c>
      <c r="R32" s="140" t="str">
        <f t="shared" si="25"/>
        <v/>
      </c>
      <c r="S32" s="140">
        <f t="shared" si="25"/>
        <v>4899.575</v>
      </c>
      <c r="T32" s="140" t="str">
        <f t="shared" si="25"/>
        <v/>
      </c>
      <c r="U32" s="140" t="str">
        <f t="shared" si="25"/>
        <v/>
      </c>
      <c r="V32" s="140" t="str">
        <f t="shared" si="25"/>
        <v/>
      </c>
      <c r="W32" s="140" t="str">
        <f t="shared" si="25"/>
        <v/>
      </c>
      <c r="X32" s="140" t="str">
        <f t="shared" si="25"/>
        <v/>
      </c>
      <c r="Y32" s="140" t="str">
        <f t="shared" si="25"/>
        <v/>
      </c>
      <c r="Z32" s="140" t="str">
        <f t="shared" si="25"/>
        <v/>
      </c>
      <c r="AA32" s="140">
        <f t="shared" si="25"/>
        <v>4899.575</v>
      </c>
      <c r="AB32" s="140" t="str">
        <f t="shared" si="25"/>
        <v/>
      </c>
      <c r="AC32" s="140" t="str">
        <f t="shared" si="25"/>
        <v/>
      </c>
      <c r="AD32" s="140" t="str">
        <f t="shared" si="25"/>
        <v/>
      </c>
      <c r="AE32" s="140" t="str">
        <f t="shared" si="25"/>
        <v/>
      </c>
      <c r="AF32" s="140" t="str">
        <f t="shared" si="25"/>
        <v/>
      </c>
      <c r="AG32" s="140" t="str">
        <f t="shared" si="25"/>
        <v/>
      </c>
      <c r="AH32" s="140" t="str">
        <f t="shared" si="25"/>
        <v/>
      </c>
      <c r="AI32" s="140" t="str">
        <f t="shared" si="25"/>
        <v/>
      </c>
      <c r="AJ32" s="140" t="str">
        <f t="shared" si="25"/>
        <v/>
      </c>
      <c r="AK32" s="140" t="str">
        <f t="shared" si="25"/>
        <v/>
      </c>
      <c r="AL32" s="140" t="str">
        <f t="shared" si="25"/>
        <v/>
      </c>
      <c r="AM32" s="140" t="str">
        <f t="shared" si="25"/>
        <v/>
      </c>
      <c r="AN32" s="140" t="str">
        <f t="shared" si="25"/>
        <v/>
      </c>
      <c r="AO32" s="140" t="str">
        <f t="shared" si="25"/>
        <v/>
      </c>
      <c r="AP32" s="140" t="str">
        <f t="shared" si="25"/>
        <v/>
      </c>
      <c r="AQ32" s="140" t="str">
        <f t="shared" si="25"/>
        <v/>
      </c>
      <c r="AR32" s="140" t="str">
        <f t="shared" si="25"/>
        <v/>
      </c>
      <c r="AS32" s="140" t="str">
        <f t="shared" si="25"/>
        <v/>
      </c>
      <c r="AT32" s="140" t="str">
        <f t="shared" si="25"/>
        <v/>
      </c>
      <c r="AU32" s="140" t="str">
        <f t="shared" si="25"/>
        <v/>
      </c>
      <c r="AV32" s="140" t="str">
        <f t="shared" si="25"/>
        <v/>
      </c>
      <c r="AW32" s="140" t="str">
        <f t="shared" si="25"/>
        <v/>
      </c>
      <c r="AX32" s="140" t="str">
        <f t="shared" si="25"/>
        <v/>
      </c>
      <c r="AY32" s="140" t="str">
        <f t="shared" si="25"/>
        <v/>
      </c>
      <c r="AZ32" s="140" t="str">
        <f t="shared" si="25"/>
        <v/>
      </c>
      <c r="BA32" s="140" t="str">
        <f t="shared" si="25"/>
        <v/>
      </c>
      <c r="BB32" s="140" t="str">
        <f t="shared" si="25"/>
        <v/>
      </c>
      <c r="BC32" s="140" t="str">
        <f t="shared" si="25"/>
        <v/>
      </c>
      <c r="BD32" s="140" t="str">
        <f t="shared" si="25"/>
        <v/>
      </c>
      <c r="BE32" s="140" t="str">
        <f t="shared" si="25"/>
        <v/>
      </c>
    </row>
    <row r="33">
      <c r="A33" s="108"/>
      <c r="B33" s="107" t="s">
        <v>4</v>
      </c>
      <c r="C33" s="202"/>
      <c r="D33" s="107" t="s">
        <v>278</v>
      </c>
      <c r="E33" s="107"/>
      <c r="F33" s="107" t="s">
        <v>279</v>
      </c>
      <c r="G33" s="208">
        <v>111602.0</v>
      </c>
      <c r="H33" s="204">
        <v>489.0</v>
      </c>
      <c r="I33" s="205">
        <v>45421.0</v>
      </c>
      <c r="J33" s="107" t="s">
        <v>283</v>
      </c>
      <c r="K33" s="202"/>
      <c r="L33" s="107" t="b">
        <v>1</v>
      </c>
      <c r="M33" s="204">
        <f t="shared" si="3"/>
        <v>489</v>
      </c>
      <c r="N33" s="206"/>
      <c r="O33" s="108" t="b">
        <f t="shared" si="4"/>
        <v>1</v>
      </c>
      <c r="P33" s="207">
        <f t="shared" si="5"/>
        <v>1</v>
      </c>
      <c r="Q33" s="140" t="str">
        <f t="shared" ref="Q33:BE33" si="26">iferror(if(Q$9=FALSE,, if(if(search(Q$11,$B33,1)&gt;0,1,0)=1,$H33/$P33,)),"")</f>
        <v/>
      </c>
      <c r="R33" s="140" t="str">
        <f t="shared" si="26"/>
        <v/>
      </c>
      <c r="S33" s="140">
        <f t="shared" si="26"/>
        <v>489</v>
      </c>
      <c r="T33" s="140" t="str">
        <f t="shared" si="26"/>
        <v/>
      </c>
      <c r="U33" s="140" t="str">
        <f t="shared" si="26"/>
        <v/>
      </c>
      <c r="V33" s="140" t="str">
        <f t="shared" si="26"/>
        <v/>
      </c>
      <c r="W33" s="140" t="str">
        <f t="shared" si="26"/>
        <v/>
      </c>
      <c r="X33" s="140" t="str">
        <f t="shared" si="26"/>
        <v/>
      </c>
      <c r="Y33" s="140" t="str">
        <f t="shared" si="26"/>
        <v/>
      </c>
      <c r="Z33" s="140" t="str">
        <f t="shared" si="26"/>
        <v/>
      </c>
      <c r="AA33" s="140" t="str">
        <f t="shared" si="26"/>
        <v/>
      </c>
      <c r="AB33" s="140" t="str">
        <f t="shared" si="26"/>
        <v/>
      </c>
      <c r="AC33" s="140" t="str">
        <f t="shared" si="26"/>
        <v/>
      </c>
      <c r="AD33" s="140" t="str">
        <f t="shared" si="26"/>
        <v/>
      </c>
      <c r="AE33" s="140" t="str">
        <f t="shared" si="26"/>
        <v/>
      </c>
      <c r="AF33" s="140" t="str">
        <f t="shared" si="26"/>
        <v/>
      </c>
      <c r="AG33" s="140" t="str">
        <f t="shared" si="26"/>
        <v/>
      </c>
      <c r="AH33" s="140" t="str">
        <f t="shared" si="26"/>
        <v/>
      </c>
      <c r="AI33" s="140" t="str">
        <f t="shared" si="26"/>
        <v/>
      </c>
      <c r="AJ33" s="140" t="str">
        <f t="shared" si="26"/>
        <v/>
      </c>
      <c r="AK33" s="140" t="str">
        <f t="shared" si="26"/>
        <v/>
      </c>
      <c r="AL33" s="140" t="str">
        <f t="shared" si="26"/>
        <v/>
      </c>
      <c r="AM33" s="140" t="str">
        <f t="shared" si="26"/>
        <v/>
      </c>
      <c r="AN33" s="140" t="str">
        <f t="shared" si="26"/>
        <v/>
      </c>
      <c r="AO33" s="140" t="str">
        <f t="shared" si="26"/>
        <v/>
      </c>
      <c r="AP33" s="140" t="str">
        <f t="shared" si="26"/>
        <v/>
      </c>
      <c r="AQ33" s="140" t="str">
        <f t="shared" si="26"/>
        <v/>
      </c>
      <c r="AR33" s="140" t="str">
        <f t="shared" si="26"/>
        <v/>
      </c>
      <c r="AS33" s="140" t="str">
        <f t="shared" si="26"/>
        <v/>
      </c>
      <c r="AT33" s="140" t="str">
        <f t="shared" si="26"/>
        <v/>
      </c>
      <c r="AU33" s="140" t="str">
        <f t="shared" si="26"/>
        <v/>
      </c>
      <c r="AV33" s="140" t="str">
        <f t="shared" si="26"/>
        <v/>
      </c>
      <c r="AW33" s="140" t="str">
        <f t="shared" si="26"/>
        <v/>
      </c>
      <c r="AX33" s="140" t="str">
        <f t="shared" si="26"/>
        <v/>
      </c>
      <c r="AY33" s="140" t="str">
        <f t="shared" si="26"/>
        <v/>
      </c>
      <c r="AZ33" s="140" t="str">
        <f t="shared" si="26"/>
        <v/>
      </c>
      <c r="BA33" s="140" t="str">
        <f t="shared" si="26"/>
        <v/>
      </c>
      <c r="BB33" s="140" t="str">
        <f t="shared" si="26"/>
        <v/>
      </c>
      <c r="BC33" s="140" t="str">
        <f t="shared" si="26"/>
        <v/>
      </c>
      <c r="BD33" s="140" t="str">
        <f t="shared" si="26"/>
        <v/>
      </c>
      <c r="BE33" s="140" t="str">
        <f t="shared" si="26"/>
        <v/>
      </c>
    </row>
    <row r="34">
      <c r="A34" s="108"/>
      <c r="B34" s="107" t="s">
        <v>3</v>
      </c>
      <c r="C34" s="202"/>
      <c r="D34" s="107" t="s">
        <v>275</v>
      </c>
      <c r="E34" s="107"/>
      <c r="F34" s="107" t="s">
        <v>276</v>
      </c>
      <c r="G34" s="208">
        <v>2.02400000001052E14</v>
      </c>
      <c r="H34" s="204">
        <v>8965.16</v>
      </c>
      <c r="I34" s="205">
        <v>45421.0</v>
      </c>
      <c r="J34" s="107" t="s">
        <v>284</v>
      </c>
      <c r="K34" s="202"/>
      <c r="L34" s="107" t="b">
        <v>1</v>
      </c>
      <c r="M34" s="204">
        <f t="shared" si="3"/>
        <v>8965.16</v>
      </c>
      <c r="N34" s="206"/>
      <c r="O34" s="108" t="b">
        <f t="shared" si="4"/>
        <v>1</v>
      </c>
      <c r="P34" s="207">
        <f t="shared" si="5"/>
        <v>1</v>
      </c>
      <c r="Q34" s="140">
        <f t="shared" ref="Q34:BE34" si="27">iferror(if(Q$9=FALSE,, if(if(search(Q$11,$B34,1)&gt;0,1,0)=1,$H34/$P34,)),"")</f>
        <v>8965.16</v>
      </c>
      <c r="R34" s="140" t="str">
        <f t="shared" si="27"/>
        <v/>
      </c>
      <c r="S34" s="140" t="str">
        <f t="shared" si="27"/>
        <v/>
      </c>
      <c r="T34" s="140" t="str">
        <f t="shared" si="27"/>
        <v/>
      </c>
      <c r="U34" s="140" t="str">
        <f t="shared" si="27"/>
        <v/>
      </c>
      <c r="V34" s="140" t="str">
        <f t="shared" si="27"/>
        <v/>
      </c>
      <c r="W34" s="140" t="str">
        <f t="shared" si="27"/>
        <v/>
      </c>
      <c r="X34" s="140" t="str">
        <f t="shared" si="27"/>
        <v/>
      </c>
      <c r="Y34" s="140" t="str">
        <f t="shared" si="27"/>
        <v/>
      </c>
      <c r="Z34" s="140" t="str">
        <f t="shared" si="27"/>
        <v/>
      </c>
      <c r="AA34" s="140" t="str">
        <f t="shared" si="27"/>
        <v/>
      </c>
      <c r="AB34" s="140" t="str">
        <f t="shared" si="27"/>
        <v/>
      </c>
      <c r="AC34" s="140" t="str">
        <f t="shared" si="27"/>
        <v/>
      </c>
      <c r="AD34" s="140" t="str">
        <f t="shared" si="27"/>
        <v/>
      </c>
      <c r="AE34" s="140" t="str">
        <f t="shared" si="27"/>
        <v/>
      </c>
      <c r="AF34" s="140" t="str">
        <f t="shared" si="27"/>
        <v/>
      </c>
      <c r="AG34" s="140" t="str">
        <f t="shared" si="27"/>
        <v/>
      </c>
      <c r="AH34" s="140" t="str">
        <f t="shared" si="27"/>
        <v/>
      </c>
      <c r="AI34" s="140" t="str">
        <f t="shared" si="27"/>
        <v/>
      </c>
      <c r="AJ34" s="140" t="str">
        <f t="shared" si="27"/>
        <v/>
      </c>
      <c r="AK34" s="140" t="str">
        <f t="shared" si="27"/>
        <v/>
      </c>
      <c r="AL34" s="140" t="str">
        <f t="shared" si="27"/>
        <v/>
      </c>
      <c r="AM34" s="140" t="str">
        <f t="shared" si="27"/>
        <v/>
      </c>
      <c r="AN34" s="140" t="str">
        <f t="shared" si="27"/>
        <v/>
      </c>
      <c r="AO34" s="140" t="str">
        <f t="shared" si="27"/>
        <v/>
      </c>
      <c r="AP34" s="140" t="str">
        <f t="shared" si="27"/>
        <v/>
      </c>
      <c r="AQ34" s="140" t="str">
        <f t="shared" si="27"/>
        <v/>
      </c>
      <c r="AR34" s="140" t="str">
        <f t="shared" si="27"/>
        <v/>
      </c>
      <c r="AS34" s="140" t="str">
        <f t="shared" si="27"/>
        <v/>
      </c>
      <c r="AT34" s="140" t="str">
        <f t="shared" si="27"/>
        <v/>
      </c>
      <c r="AU34" s="140" t="str">
        <f t="shared" si="27"/>
        <v/>
      </c>
      <c r="AV34" s="140" t="str">
        <f t="shared" si="27"/>
        <v/>
      </c>
      <c r="AW34" s="140" t="str">
        <f t="shared" si="27"/>
        <v/>
      </c>
      <c r="AX34" s="140" t="str">
        <f t="shared" si="27"/>
        <v/>
      </c>
      <c r="AY34" s="140" t="str">
        <f t="shared" si="27"/>
        <v/>
      </c>
      <c r="AZ34" s="140" t="str">
        <f t="shared" si="27"/>
        <v/>
      </c>
      <c r="BA34" s="140" t="str">
        <f t="shared" si="27"/>
        <v/>
      </c>
      <c r="BB34" s="140" t="str">
        <f t="shared" si="27"/>
        <v/>
      </c>
      <c r="BC34" s="140" t="str">
        <f t="shared" si="27"/>
        <v/>
      </c>
      <c r="BD34" s="140" t="str">
        <f t="shared" si="27"/>
        <v/>
      </c>
      <c r="BE34" s="140" t="str">
        <f t="shared" si="27"/>
        <v/>
      </c>
    </row>
    <row r="35">
      <c r="A35" s="108"/>
      <c r="B35" s="107" t="s">
        <v>10</v>
      </c>
      <c r="C35" s="202"/>
      <c r="D35" s="107" t="s">
        <v>278</v>
      </c>
      <c r="E35" s="107"/>
      <c r="F35" s="107" t="s">
        <v>279</v>
      </c>
      <c r="G35" s="208">
        <v>11170.0</v>
      </c>
      <c r="H35" s="204">
        <v>33634.41</v>
      </c>
      <c r="I35" s="205">
        <v>45425.0</v>
      </c>
      <c r="J35" s="107" t="s">
        <v>254</v>
      </c>
      <c r="K35" s="202"/>
      <c r="L35" s="107" t="b">
        <v>1</v>
      </c>
      <c r="M35" s="204">
        <f t="shared" si="3"/>
        <v>33634.41</v>
      </c>
      <c r="N35" s="206"/>
      <c r="O35" s="108" t="b">
        <f t="shared" si="4"/>
        <v>1</v>
      </c>
      <c r="P35" s="207">
        <f t="shared" si="5"/>
        <v>1</v>
      </c>
      <c r="Q35" s="140" t="str">
        <f t="shared" ref="Q35:BE35" si="28">iferror(if(Q$9=FALSE,, if(if(search(Q$11,$B35,1)&gt;0,1,0)=1,$H35/$P35,)),"")</f>
        <v/>
      </c>
      <c r="R35" s="140" t="str">
        <f t="shared" si="28"/>
        <v/>
      </c>
      <c r="S35" s="140" t="str">
        <f t="shared" si="28"/>
        <v/>
      </c>
      <c r="T35" s="140" t="str">
        <f t="shared" si="28"/>
        <v/>
      </c>
      <c r="U35" s="140" t="str">
        <f t="shared" si="28"/>
        <v/>
      </c>
      <c r="V35" s="140" t="str">
        <f t="shared" si="28"/>
        <v/>
      </c>
      <c r="W35" s="140" t="str">
        <f t="shared" si="28"/>
        <v/>
      </c>
      <c r="X35" s="140" t="str">
        <f t="shared" si="28"/>
        <v/>
      </c>
      <c r="Y35" s="140" t="str">
        <f t="shared" si="28"/>
        <v/>
      </c>
      <c r="Z35" s="140" t="str">
        <f t="shared" si="28"/>
        <v/>
      </c>
      <c r="AA35" s="140">
        <f t="shared" si="28"/>
        <v>33634.41</v>
      </c>
      <c r="AB35" s="140" t="str">
        <f t="shared" si="28"/>
        <v/>
      </c>
      <c r="AC35" s="140" t="str">
        <f t="shared" si="28"/>
        <v/>
      </c>
      <c r="AD35" s="140" t="str">
        <f t="shared" si="28"/>
        <v/>
      </c>
      <c r="AE35" s="140" t="str">
        <f t="shared" si="28"/>
        <v/>
      </c>
      <c r="AF35" s="140" t="str">
        <f t="shared" si="28"/>
        <v/>
      </c>
      <c r="AG35" s="140" t="str">
        <f t="shared" si="28"/>
        <v/>
      </c>
      <c r="AH35" s="140" t="str">
        <f t="shared" si="28"/>
        <v/>
      </c>
      <c r="AI35" s="140" t="str">
        <f t="shared" si="28"/>
        <v/>
      </c>
      <c r="AJ35" s="140" t="str">
        <f t="shared" si="28"/>
        <v/>
      </c>
      <c r="AK35" s="140" t="str">
        <f t="shared" si="28"/>
        <v/>
      </c>
      <c r="AL35" s="140" t="str">
        <f t="shared" si="28"/>
        <v/>
      </c>
      <c r="AM35" s="140" t="str">
        <f t="shared" si="28"/>
        <v/>
      </c>
      <c r="AN35" s="140" t="str">
        <f t="shared" si="28"/>
        <v/>
      </c>
      <c r="AO35" s="140" t="str">
        <f t="shared" si="28"/>
        <v/>
      </c>
      <c r="AP35" s="140" t="str">
        <f t="shared" si="28"/>
        <v/>
      </c>
      <c r="AQ35" s="140" t="str">
        <f t="shared" si="28"/>
        <v/>
      </c>
      <c r="AR35" s="140" t="str">
        <f t="shared" si="28"/>
        <v/>
      </c>
      <c r="AS35" s="140" t="str">
        <f t="shared" si="28"/>
        <v/>
      </c>
      <c r="AT35" s="140" t="str">
        <f t="shared" si="28"/>
        <v/>
      </c>
      <c r="AU35" s="140" t="str">
        <f t="shared" si="28"/>
        <v/>
      </c>
      <c r="AV35" s="140" t="str">
        <f t="shared" si="28"/>
        <v/>
      </c>
      <c r="AW35" s="140" t="str">
        <f t="shared" si="28"/>
        <v/>
      </c>
      <c r="AX35" s="140" t="str">
        <f t="shared" si="28"/>
        <v/>
      </c>
      <c r="AY35" s="140" t="str">
        <f t="shared" si="28"/>
        <v/>
      </c>
      <c r="AZ35" s="140" t="str">
        <f t="shared" si="28"/>
        <v/>
      </c>
      <c r="BA35" s="140" t="str">
        <f t="shared" si="28"/>
        <v/>
      </c>
      <c r="BB35" s="140" t="str">
        <f t="shared" si="28"/>
        <v/>
      </c>
      <c r="BC35" s="140" t="str">
        <f t="shared" si="28"/>
        <v/>
      </c>
      <c r="BD35" s="140" t="str">
        <f t="shared" si="28"/>
        <v/>
      </c>
      <c r="BE35" s="140" t="str">
        <f t="shared" si="28"/>
        <v/>
      </c>
    </row>
    <row r="36">
      <c r="A36" s="108"/>
      <c r="B36" s="107" t="s">
        <v>9</v>
      </c>
      <c r="C36" s="202"/>
      <c r="D36" s="107" t="s">
        <v>262</v>
      </c>
      <c r="E36" s="107"/>
      <c r="F36" s="107" t="s">
        <v>263</v>
      </c>
      <c r="G36" s="208">
        <v>77414.0</v>
      </c>
      <c r="H36" s="204">
        <v>67.6</v>
      </c>
      <c r="I36" s="205">
        <v>45429.0</v>
      </c>
      <c r="J36" s="107" t="s">
        <v>264</v>
      </c>
      <c r="K36" s="202"/>
      <c r="L36" s="107" t="b">
        <v>1</v>
      </c>
      <c r="M36" s="204">
        <f t="shared" si="3"/>
        <v>67.6</v>
      </c>
      <c r="N36" s="206"/>
      <c r="O36" s="108" t="b">
        <f t="shared" si="4"/>
        <v>1</v>
      </c>
      <c r="P36" s="207">
        <f t="shared" si="5"/>
        <v>1</v>
      </c>
      <c r="Q36" s="140" t="str">
        <f t="shared" ref="Q36:BE36" si="29">iferror(if(Q$9=FALSE,, if(if(search(Q$11,$B36,1)&gt;0,1,0)=1,$H36/$P36,)),"")</f>
        <v/>
      </c>
      <c r="R36" s="140" t="str">
        <f t="shared" si="29"/>
        <v/>
      </c>
      <c r="S36" s="140" t="str">
        <f t="shared" si="29"/>
        <v/>
      </c>
      <c r="T36" s="140" t="str">
        <f t="shared" si="29"/>
        <v/>
      </c>
      <c r="U36" s="140" t="str">
        <f t="shared" si="29"/>
        <v/>
      </c>
      <c r="V36" s="140" t="str">
        <f t="shared" si="29"/>
        <v/>
      </c>
      <c r="W36" s="140" t="str">
        <f t="shared" si="29"/>
        <v/>
      </c>
      <c r="X36" s="140" t="str">
        <f t="shared" si="29"/>
        <v/>
      </c>
      <c r="Y36" s="140" t="str">
        <f t="shared" si="29"/>
        <v/>
      </c>
      <c r="Z36" s="140">
        <f t="shared" si="29"/>
        <v>67.6</v>
      </c>
      <c r="AA36" s="140" t="str">
        <f t="shared" si="29"/>
        <v/>
      </c>
      <c r="AB36" s="140" t="str">
        <f t="shared" si="29"/>
        <v/>
      </c>
      <c r="AC36" s="140" t="str">
        <f t="shared" si="29"/>
        <v/>
      </c>
      <c r="AD36" s="140" t="str">
        <f t="shared" si="29"/>
        <v/>
      </c>
      <c r="AE36" s="140" t="str">
        <f t="shared" si="29"/>
        <v/>
      </c>
      <c r="AF36" s="140" t="str">
        <f t="shared" si="29"/>
        <v/>
      </c>
      <c r="AG36" s="140" t="str">
        <f t="shared" si="29"/>
        <v/>
      </c>
      <c r="AH36" s="140" t="str">
        <f t="shared" si="29"/>
        <v/>
      </c>
      <c r="AI36" s="140" t="str">
        <f t="shared" si="29"/>
        <v/>
      </c>
      <c r="AJ36" s="140" t="str">
        <f t="shared" si="29"/>
        <v/>
      </c>
      <c r="AK36" s="140" t="str">
        <f t="shared" si="29"/>
        <v/>
      </c>
      <c r="AL36" s="140" t="str">
        <f t="shared" si="29"/>
        <v/>
      </c>
      <c r="AM36" s="140" t="str">
        <f t="shared" si="29"/>
        <v/>
      </c>
      <c r="AN36" s="140" t="str">
        <f t="shared" si="29"/>
        <v/>
      </c>
      <c r="AO36" s="140" t="str">
        <f t="shared" si="29"/>
        <v/>
      </c>
      <c r="AP36" s="140" t="str">
        <f t="shared" si="29"/>
        <v/>
      </c>
      <c r="AQ36" s="140" t="str">
        <f t="shared" si="29"/>
        <v/>
      </c>
      <c r="AR36" s="140" t="str">
        <f t="shared" si="29"/>
        <v/>
      </c>
      <c r="AS36" s="140" t="str">
        <f t="shared" si="29"/>
        <v/>
      </c>
      <c r="AT36" s="140" t="str">
        <f t="shared" si="29"/>
        <v/>
      </c>
      <c r="AU36" s="140" t="str">
        <f t="shared" si="29"/>
        <v/>
      </c>
      <c r="AV36" s="140" t="str">
        <f t="shared" si="29"/>
        <v/>
      </c>
      <c r="AW36" s="140" t="str">
        <f t="shared" si="29"/>
        <v/>
      </c>
      <c r="AX36" s="140" t="str">
        <f t="shared" si="29"/>
        <v/>
      </c>
      <c r="AY36" s="140" t="str">
        <f t="shared" si="29"/>
        <v/>
      </c>
      <c r="AZ36" s="140" t="str">
        <f t="shared" si="29"/>
        <v/>
      </c>
      <c r="BA36" s="140" t="str">
        <f t="shared" si="29"/>
        <v/>
      </c>
      <c r="BB36" s="140" t="str">
        <f t="shared" si="29"/>
        <v/>
      </c>
      <c r="BC36" s="140" t="str">
        <f t="shared" si="29"/>
        <v/>
      </c>
      <c r="BD36" s="140" t="str">
        <f t="shared" si="29"/>
        <v/>
      </c>
      <c r="BE36" s="140" t="str">
        <f t="shared" si="29"/>
        <v/>
      </c>
    </row>
    <row r="37">
      <c r="A37" s="108"/>
      <c r="B37" s="107" t="s">
        <v>3</v>
      </c>
      <c r="C37" s="202"/>
      <c r="D37" s="107" t="s">
        <v>285</v>
      </c>
      <c r="E37" s="107"/>
      <c r="F37" s="107" t="s">
        <v>286</v>
      </c>
      <c r="G37" s="208" t="s">
        <v>287</v>
      </c>
      <c r="H37" s="204">
        <v>2438.04</v>
      </c>
      <c r="I37" s="205">
        <v>45421.0</v>
      </c>
      <c r="J37" s="107" t="s">
        <v>288</v>
      </c>
      <c r="K37" s="202"/>
      <c r="L37" s="107" t="b">
        <v>1</v>
      </c>
      <c r="M37" s="204">
        <f t="shared" si="3"/>
        <v>2438.04</v>
      </c>
      <c r="N37" s="206"/>
      <c r="O37" s="108" t="b">
        <f t="shared" si="4"/>
        <v>1</v>
      </c>
      <c r="P37" s="207">
        <f t="shared" si="5"/>
        <v>1</v>
      </c>
      <c r="Q37" s="140">
        <f t="shared" ref="Q37:BE37" si="30">iferror(if(Q$9=FALSE,, if(if(search(Q$11,$B37,1)&gt;0,1,0)=1,$H37/$P37,)),"")</f>
        <v>2438.04</v>
      </c>
      <c r="R37" s="140" t="str">
        <f t="shared" si="30"/>
        <v/>
      </c>
      <c r="S37" s="140" t="str">
        <f t="shared" si="30"/>
        <v/>
      </c>
      <c r="T37" s="140" t="str">
        <f t="shared" si="30"/>
        <v/>
      </c>
      <c r="U37" s="140" t="str">
        <f t="shared" si="30"/>
        <v/>
      </c>
      <c r="V37" s="140" t="str">
        <f t="shared" si="30"/>
        <v/>
      </c>
      <c r="W37" s="140" t="str">
        <f t="shared" si="30"/>
        <v/>
      </c>
      <c r="X37" s="140" t="str">
        <f t="shared" si="30"/>
        <v/>
      </c>
      <c r="Y37" s="140" t="str">
        <f t="shared" si="30"/>
        <v/>
      </c>
      <c r="Z37" s="140" t="str">
        <f t="shared" si="30"/>
        <v/>
      </c>
      <c r="AA37" s="140" t="str">
        <f t="shared" si="30"/>
        <v/>
      </c>
      <c r="AB37" s="140" t="str">
        <f t="shared" si="30"/>
        <v/>
      </c>
      <c r="AC37" s="140" t="str">
        <f t="shared" si="30"/>
        <v/>
      </c>
      <c r="AD37" s="140" t="str">
        <f t="shared" si="30"/>
        <v/>
      </c>
      <c r="AE37" s="140" t="str">
        <f t="shared" si="30"/>
        <v/>
      </c>
      <c r="AF37" s="140" t="str">
        <f t="shared" si="30"/>
        <v/>
      </c>
      <c r="AG37" s="140" t="str">
        <f t="shared" si="30"/>
        <v/>
      </c>
      <c r="AH37" s="140" t="str">
        <f t="shared" si="30"/>
        <v/>
      </c>
      <c r="AI37" s="140" t="str">
        <f t="shared" si="30"/>
        <v/>
      </c>
      <c r="AJ37" s="140" t="str">
        <f t="shared" si="30"/>
        <v/>
      </c>
      <c r="AK37" s="140" t="str">
        <f t="shared" si="30"/>
        <v/>
      </c>
      <c r="AL37" s="140" t="str">
        <f t="shared" si="30"/>
        <v/>
      </c>
      <c r="AM37" s="140" t="str">
        <f t="shared" si="30"/>
        <v/>
      </c>
      <c r="AN37" s="140" t="str">
        <f t="shared" si="30"/>
        <v/>
      </c>
      <c r="AO37" s="140" t="str">
        <f t="shared" si="30"/>
        <v/>
      </c>
      <c r="AP37" s="140" t="str">
        <f t="shared" si="30"/>
        <v/>
      </c>
      <c r="AQ37" s="140" t="str">
        <f t="shared" si="30"/>
        <v/>
      </c>
      <c r="AR37" s="140" t="str">
        <f t="shared" si="30"/>
        <v/>
      </c>
      <c r="AS37" s="140" t="str">
        <f t="shared" si="30"/>
        <v/>
      </c>
      <c r="AT37" s="140" t="str">
        <f t="shared" si="30"/>
        <v/>
      </c>
      <c r="AU37" s="140" t="str">
        <f t="shared" si="30"/>
        <v/>
      </c>
      <c r="AV37" s="140" t="str">
        <f t="shared" si="30"/>
        <v/>
      </c>
      <c r="AW37" s="140" t="str">
        <f t="shared" si="30"/>
        <v/>
      </c>
      <c r="AX37" s="140" t="str">
        <f t="shared" si="30"/>
        <v/>
      </c>
      <c r="AY37" s="140" t="str">
        <f t="shared" si="30"/>
        <v/>
      </c>
      <c r="AZ37" s="140" t="str">
        <f t="shared" si="30"/>
        <v/>
      </c>
      <c r="BA37" s="140" t="str">
        <f t="shared" si="30"/>
        <v/>
      </c>
      <c r="BB37" s="140" t="str">
        <f t="shared" si="30"/>
        <v/>
      </c>
      <c r="BC37" s="140" t="str">
        <f t="shared" si="30"/>
        <v/>
      </c>
      <c r="BD37" s="140" t="str">
        <f t="shared" si="30"/>
        <v/>
      </c>
      <c r="BE37" s="140" t="str">
        <f t="shared" si="30"/>
        <v/>
      </c>
    </row>
    <row r="38">
      <c r="A38" s="108"/>
      <c r="B38" s="107" t="s">
        <v>9</v>
      </c>
      <c r="C38" s="202"/>
      <c r="D38" s="107" t="s">
        <v>252</v>
      </c>
      <c r="E38" s="107"/>
      <c r="F38" s="107" t="s">
        <v>253</v>
      </c>
      <c r="G38" s="208">
        <v>244682.0</v>
      </c>
      <c r="H38" s="204">
        <v>26698.5</v>
      </c>
      <c r="I38" s="205">
        <v>45441.0</v>
      </c>
      <c r="J38" s="107" t="s">
        <v>289</v>
      </c>
      <c r="K38" s="202"/>
      <c r="L38" s="107" t="b">
        <v>1</v>
      </c>
      <c r="M38" s="204">
        <f t="shared" si="3"/>
        <v>26698.5</v>
      </c>
      <c r="N38" s="206"/>
      <c r="O38" s="108" t="b">
        <f t="shared" si="4"/>
        <v>1</v>
      </c>
      <c r="P38" s="207">
        <f t="shared" si="5"/>
        <v>1</v>
      </c>
      <c r="Q38" s="140" t="str">
        <f t="shared" ref="Q38:BE38" si="31">iferror(if(Q$9=FALSE,, if(if(search(Q$11,$B38,1)&gt;0,1,0)=1,$H38/$P38,)),"")</f>
        <v/>
      </c>
      <c r="R38" s="140" t="str">
        <f t="shared" si="31"/>
        <v/>
      </c>
      <c r="S38" s="140" t="str">
        <f t="shared" si="31"/>
        <v/>
      </c>
      <c r="T38" s="140" t="str">
        <f t="shared" si="31"/>
        <v/>
      </c>
      <c r="U38" s="140" t="str">
        <f t="shared" si="31"/>
        <v/>
      </c>
      <c r="V38" s="140" t="str">
        <f t="shared" si="31"/>
        <v/>
      </c>
      <c r="W38" s="140" t="str">
        <f t="shared" si="31"/>
        <v/>
      </c>
      <c r="X38" s="140" t="str">
        <f t="shared" si="31"/>
        <v/>
      </c>
      <c r="Y38" s="140" t="str">
        <f t="shared" si="31"/>
        <v/>
      </c>
      <c r="Z38" s="140">
        <f t="shared" si="31"/>
        <v>26698.5</v>
      </c>
      <c r="AA38" s="140" t="str">
        <f t="shared" si="31"/>
        <v/>
      </c>
      <c r="AB38" s="140" t="str">
        <f t="shared" si="31"/>
        <v/>
      </c>
      <c r="AC38" s="140" t="str">
        <f t="shared" si="31"/>
        <v/>
      </c>
      <c r="AD38" s="140" t="str">
        <f t="shared" si="31"/>
        <v/>
      </c>
      <c r="AE38" s="140" t="str">
        <f t="shared" si="31"/>
        <v/>
      </c>
      <c r="AF38" s="140" t="str">
        <f t="shared" si="31"/>
        <v/>
      </c>
      <c r="AG38" s="140" t="str">
        <f t="shared" si="31"/>
        <v/>
      </c>
      <c r="AH38" s="140" t="str">
        <f t="shared" si="31"/>
        <v/>
      </c>
      <c r="AI38" s="140" t="str">
        <f t="shared" si="31"/>
        <v/>
      </c>
      <c r="AJ38" s="140" t="str">
        <f t="shared" si="31"/>
        <v/>
      </c>
      <c r="AK38" s="140" t="str">
        <f t="shared" si="31"/>
        <v/>
      </c>
      <c r="AL38" s="140" t="str">
        <f t="shared" si="31"/>
        <v/>
      </c>
      <c r="AM38" s="140" t="str">
        <f t="shared" si="31"/>
        <v/>
      </c>
      <c r="AN38" s="140" t="str">
        <f t="shared" si="31"/>
        <v/>
      </c>
      <c r="AO38" s="140" t="str">
        <f t="shared" si="31"/>
        <v/>
      </c>
      <c r="AP38" s="140" t="str">
        <f t="shared" si="31"/>
        <v/>
      </c>
      <c r="AQ38" s="140" t="str">
        <f t="shared" si="31"/>
        <v/>
      </c>
      <c r="AR38" s="140" t="str">
        <f t="shared" si="31"/>
        <v/>
      </c>
      <c r="AS38" s="140" t="str">
        <f t="shared" si="31"/>
        <v/>
      </c>
      <c r="AT38" s="140" t="str">
        <f t="shared" si="31"/>
        <v/>
      </c>
      <c r="AU38" s="140" t="str">
        <f t="shared" si="31"/>
        <v/>
      </c>
      <c r="AV38" s="140" t="str">
        <f t="shared" si="31"/>
        <v/>
      </c>
      <c r="AW38" s="140" t="str">
        <f t="shared" si="31"/>
        <v/>
      </c>
      <c r="AX38" s="140" t="str">
        <f t="shared" si="31"/>
        <v/>
      </c>
      <c r="AY38" s="140" t="str">
        <f t="shared" si="31"/>
        <v/>
      </c>
      <c r="AZ38" s="140" t="str">
        <f t="shared" si="31"/>
        <v/>
      </c>
      <c r="BA38" s="140" t="str">
        <f t="shared" si="31"/>
        <v/>
      </c>
      <c r="BB38" s="140" t="str">
        <f t="shared" si="31"/>
        <v/>
      </c>
      <c r="BC38" s="140" t="str">
        <f t="shared" si="31"/>
        <v/>
      </c>
      <c r="BD38" s="140" t="str">
        <f t="shared" si="31"/>
        <v/>
      </c>
      <c r="BE38" s="140" t="str">
        <f t="shared" si="31"/>
        <v/>
      </c>
    </row>
    <row r="39" hidden="1">
      <c r="A39" s="108"/>
      <c r="B39" s="107" t="s">
        <v>13</v>
      </c>
      <c r="C39" s="202"/>
      <c r="D39" s="107" t="s">
        <v>266</v>
      </c>
      <c r="E39" s="107"/>
      <c r="F39" s="107" t="s">
        <v>290</v>
      </c>
      <c r="G39" s="208">
        <v>35068.0</v>
      </c>
      <c r="H39" s="204">
        <v>305.8</v>
      </c>
      <c r="I39" s="205">
        <v>45446.0</v>
      </c>
      <c r="J39" s="107" t="s">
        <v>268</v>
      </c>
      <c r="K39" s="202"/>
      <c r="L39" s="107" t="b">
        <v>0</v>
      </c>
      <c r="M39" s="204">
        <f t="shared" si="3"/>
        <v>0</v>
      </c>
      <c r="N39" s="206"/>
      <c r="O39" s="108" t="b">
        <f t="shared" si="4"/>
        <v>0</v>
      </c>
      <c r="P39" s="207">
        <f t="shared" si="5"/>
        <v>0</v>
      </c>
      <c r="Q39" s="140" t="str">
        <f t="shared" ref="Q39:BE39" si="32">iferror(if(Q$9=FALSE,, if(if(search(Q$11,$B39,1)&gt;0,1,0)=1,$H39/$P39,)),"")</f>
        <v/>
      </c>
      <c r="R39" s="140" t="str">
        <f t="shared" si="32"/>
        <v/>
      </c>
      <c r="S39" s="140" t="str">
        <f t="shared" si="32"/>
        <v/>
      </c>
      <c r="T39" s="140" t="str">
        <f t="shared" si="32"/>
        <v/>
      </c>
      <c r="U39" s="140" t="str">
        <f t="shared" si="32"/>
        <v/>
      </c>
      <c r="V39" s="140" t="str">
        <f t="shared" si="32"/>
        <v/>
      </c>
      <c r="W39" s="140" t="str">
        <f t="shared" si="32"/>
        <v/>
      </c>
      <c r="X39" s="140" t="str">
        <f t="shared" si="32"/>
        <v/>
      </c>
      <c r="Y39" s="140" t="str">
        <f t="shared" si="32"/>
        <v/>
      </c>
      <c r="Z39" s="140" t="str">
        <f t="shared" si="32"/>
        <v/>
      </c>
      <c r="AA39" s="140" t="str">
        <f t="shared" si="32"/>
        <v/>
      </c>
      <c r="AB39" s="140" t="str">
        <f t="shared" si="32"/>
        <v/>
      </c>
      <c r="AC39" s="140" t="str">
        <f t="shared" si="32"/>
        <v/>
      </c>
      <c r="AD39" s="140" t="str">
        <f t="shared" si="32"/>
        <v/>
      </c>
      <c r="AE39" s="140" t="str">
        <f t="shared" si="32"/>
        <v/>
      </c>
      <c r="AF39" s="140" t="str">
        <f t="shared" si="32"/>
        <v/>
      </c>
      <c r="AG39" s="140" t="str">
        <f t="shared" si="32"/>
        <v/>
      </c>
      <c r="AH39" s="140" t="str">
        <f t="shared" si="32"/>
        <v/>
      </c>
      <c r="AI39" s="140" t="str">
        <f t="shared" si="32"/>
        <v/>
      </c>
      <c r="AJ39" s="140" t="str">
        <f t="shared" si="32"/>
        <v/>
      </c>
      <c r="AK39" s="140" t="str">
        <f t="shared" si="32"/>
        <v/>
      </c>
      <c r="AL39" s="140" t="str">
        <f t="shared" si="32"/>
        <v/>
      </c>
      <c r="AM39" s="140" t="str">
        <f t="shared" si="32"/>
        <v/>
      </c>
      <c r="AN39" s="140" t="str">
        <f t="shared" si="32"/>
        <v/>
      </c>
      <c r="AO39" s="140" t="str">
        <f t="shared" si="32"/>
        <v/>
      </c>
      <c r="AP39" s="140" t="str">
        <f t="shared" si="32"/>
        <v/>
      </c>
      <c r="AQ39" s="140" t="str">
        <f t="shared" si="32"/>
        <v/>
      </c>
      <c r="AR39" s="140" t="str">
        <f t="shared" si="32"/>
        <v/>
      </c>
      <c r="AS39" s="140" t="str">
        <f t="shared" si="32"/>
        <v/>
      </c>
      <c r="AT39" s="140" t="str">
        <f t="shared" si="32"/>
        <v/>
      </c>
      <c r="AU39" s="140" t="str">
        <f t="shared" si="32"/>
        <v/>
      </c>
      <c r="AV39" s="140" t="str">
        <f t="shared" si="32"/>
        <v/>
      </c>
      <c r="AW39" s="140" t="str">
        <f t="shared" si="32"/>
        <v/>
      </c>
      <c r="AX39" s="140" t="str">
        <f t="shared" si="32"/>
        <v/>
      </c>
      <c r="AY39" s="140" t="str">
        <f t="shared" si="32"/>
        <v/>
      </c>
      <c r="AZ39" s="140" t="str">
        <f t="shared" si="32"/>
        <v/>
      </c>
      <c r="BA39" s="140" t="str">
        <f t="shared" si="32"/>
        <v/>
      </c>
      <c r="BB39" s="140" t="str">
        <f t="shared" si="32"/>
        <v/>
      </c>
      <c r="BC39" s="140" t="str">
        <f t="shared" si="32"/>
        <v/>
      </c>
      <c r="BD39" s="140" t="str">
        <f t="shared" si="32"/>
        <v/>
      </c>
      <c r="BE39" s="140" t="str">
        <f t="shared" si="32"/>
        <v/>
      </c>
    </row>
    <row r="40">
      <c r="A40" s="108"/>
      <c r="B40" s="107" t="s">
        <v>9</v>
      </c>
      <c r="C40" s="202"/>
      <c r="D40" s="107" t="s">
        <v>278</v>
      </c>
      <c r="E40" s="107"/>
      <c r="F40" s="107" t="s">
        <v>279</v>
      </c>
      <c r="G40" s="208">
        <v>112105.0</v>
      </c>
      <c r="H40" s="204">
        <v>2386.43</v>
      </c>
      <c r="I40" s="205">
        <v>45448.0</v>
      </c>
      <c r="J40" s="107" t="s">
        <v>291</v>
      </c>
      <c r="K40" s="202"/>
      <c r="L40" s="107" t="b">
        <v>1</v>
      </c>
      <c r="M40" s="204">
        <f t="shared" si="3"/>
        <v>2386.43</v>
      </c>
      <c r="N40" s="206"/>
      <c r="O40" s="108" t="b">
        <f t="shared" si="4"/>
        <v>1</v>
      </c>
      <c r="P40" s="207">
        <f t="shared" si="5"/>
        <v>1</v>
      </c>
      <c r="Q40" s="140" t="str">
        <f t="shared" ref="Q40:BE40" si="33">iferror(if(Q$9=FALSE,, if(if(search(Q$11,$B40,1)&gt;0,1,0)=1,$H40/$P40,)),"")</f>
        <v/>
      </c>
      <c r="R40" s="140" t="str">
        <f t="shared" si="33"/>
        <v/>
      </c>
      <c r="S40" s="140" t="str">
        <f t="shared" si="33"/>
        <v/>
      </c>
      <c r="T40" s="140" t="str">
        <f t="shared" si="33"/>
        <v/>
      </c>
      <c r="U40" s="140" t="str">
        <f t="shared" si="33"/>
        <v/>
      </c>
      <c r="V40" s="140" t="str">
        <f t="shared" si="33"/>
        <v/>
      </c>
      <c r="W40" s="140" t="str">
        <f t="shared" si="33"/>
        <v/>
      </c>
      <c r="X40" s="140" t="str">
        <f t="shared" si="33"/>
        <v/>
      </c>
      <c r="Y40" s="140" t="str">
        <f t="shared" si="33"/>
        <v/>
      </c>
      <c r="Z40" s="140">
        <f t="shared" si="33"/>
        <v>2386.43</v>
      </c>
      <c r="AA40" s="140" t="str">
        <f t="shared" si="33"/>
        <v/>
      </c>
      <c r="AB40" s="140" t="str">
        <f t="shared" si="33"/>
        <v/>
      </c>
      <c r="AC40" s="140" t="str">
        <f t="shared" si="33"/>
        <v/>
      </c>
      <c r="AD40" s="140" t="str">
        <f t="shared" si="33"/>
        <v/>
      </c>
      <c r="AE40" s="140" t="str">
        <f t="shared" si="33"/>
        <v/>
      </c>
      <c r="AF40" s="140" t="str">
        <f t="shared" si="33"/>
        <v/>
      </c>
      <c r="AG40" s="140" t="str">
        <f t="shared" si="33"/>
        <v/>
      </c>
      <c r="AH40" s="140" t="str">
        <f t="shared" si="33"/>
        <v/>
      </c>
      <c r="AI40" s="140" t="str">
        <f t="shared" si="33"/>
        <v/>
      </c>
      <c r="AJ40" s="140" t="str">
        <f t="shared" si="33"/>
        <v/>
      </c>
      <c r="AK40" s="140" t="str">
        <f t="shared" si="33"/>
        <v/>
      </c>
      <c r="AL40" s="140" t="str">
        <f t="shared" si="33"/>
        <v/>
      </c>
      <c r="AM40" s="140" t="str">
        <f t="shared" si="33"/>
        <v/>
      </c>
      <c r="AN40" s="140" t="str">
        <f t="shared" si="33"/>
        <v/>
      </c>
      <c r="AO40" s="140" t="str">
        <f t="shared" si="33"/>
        <v/>
      </c>
      <c r="AP40" s="140" t="str">
        <f t="shared" si="33"/>
        <v/>
      </c>
      <c r="AQ40" s="140" t="str">
        <f t="shared" si="33"/>
        <v/>
      </c>
      <c r="AR40" s="140" t="str">
        <f t="shared" si="33"/>
        <v/>
      </c>
      <c r="AS40" s="140" t="str">
        <f t="shared" si="33"/>
        <v/>
      </c>
      <c r="AT40" s="140" t="str">
        <f t="shared" si="33"/>
        <v/>
      </c>
      <c r="AU40" s="140" t="str">
        <f t="shared" si="33"/>
        <v/>
      </c>
      <c r="AV40" s="140" t="str">
        <f t="shared" si="33"/>
        <v/>
      </c>
      <c r="AW40" s="140" t="str">
        <f t="shared" si="33"/>
        <v/>
      </c>
      <c r="AX40" s="140" t="str">
        <f t="shared" si="33"/>
        <v/>
      </c>
      <c r="AY40" s="140" t="str">
        <f t="shared" si="33"/>
        <v/>
      </c>
      <c r="AZ40" s="140" t="str">
        <f t="shared" si="33"/>
        <v/>
      </c>
      <c r="BA40" s="140" t="str">
        <f t="shared" si="33"/>
        <v/>
      </c>
      <c r="BB40" s="140" t="str">
        <f t="shared" si="33"/>
        <v/>
      </c>
      <c r="BC40" s="140" t="str">
        <f t="shared" si="33"/>
        <v/>
      </c>
      <c r="BD40" s="140" t="str">
        <f t="shared" si="33"/>
        <v/>
      </c>
      <c r="BE40" s="140" t="str">
        <f t="shared" si="33"/>
        <v/>
      </c>
    </row>
    <row r="41">
      <c r="A41" s="108"/>
      <c r="B41" s="107" t="s">
        <v>7</v>
      </c>
      <c r="C41" s="202"/>
      <c r="D41" s="107" t="s">
        <v>292</v>
      </c>
      <c r="E41" s="107"/>
      <c r="F41" s="107" t="s">
        <v>293</v>
      </c>
      <c r="G41" s="208">
        <v>51219.0</v>
      </c>
      <c r="H41" s="204">
        <v>110.0</v>
      </c>
      <c r="I41" s="205">
        <v>45447.0</v>
      </c>
      <c r="J41" s="107" t="s">
        <v>294</v>
      </c>
      <c r="K41" s="202"/>
      <c r="L41" s="107" t="b">
        <v>1</v>
      </c>
      <c r="M41" s="204">
        <f t="shared" si="3"/>
        <v>110</v>
      </c>
      <c r="N41" s="206"/>
      <c r="O41" s="108" t="b">
        <f t="shared" si="4"/>
        <v>1</v>
      </c>
      <c r="P41" s="207">
        <f t="shared" si="5"/>
        <v>1</v>
      </c>
      <c r="Q41" s="140" t="str">
        <f t="shared" ref="Q41:BE41" si="34">iferror(if(Q$9=FALSE,, if(if(search(Q$11,$B41,1)&gt;0,1,0)=1,$H41/$P41,)),"")</f>
        <v/>
      </c>
      <c r="R41" s="140" t="str">
        <f t="shared" si="34"/>
        <v/>
      </c>
      <c r="S41" s="140" t="str">
        <f t="shared" si="34"/>
        <v/>
      </c>
      <c r="T41" s="140" t="str">
        <f t="shared" si="34"/>
        <v/>
      </c>
      <c r="U41" s="140" t="str">
        <f t="shared" si="34"/>
        <v/>
      </c>
      <c r="V41" s="140" t="str">
        <f t="shared" si="34"/>
        <v/>
      </c>
      <c r="W41" s="140">
        <f t="shared" si="34"/>
        <v>110</v>
      </c>
      <c r="X41" s="140" t="str">
        <f t="shared" si="34"/>
        <v/>
      </c>
      <c r="Y41" s="140" t="str">
        <f t="shared" si="34"/>
        <v/>
      </c>
      <c r="Z41" s="140" t="str">
        <f t="shared" si="34"/>
        <v/>
      </c>
      <c r="AA41" s="140" t="str">
        <f t="shared" si="34"/>
        <v/>
      </c>
      <c r="AB41" s="140" t="str">
        <f t="shared" si="34"/>
        <v/>
      </c>
      <c r="AC41" s="140" t="str">
        <f t="shared" si="34"/>
        <v/>
      </c>
      <c r="AD41" s="140" t="str">
        <f t="shared" si="34"/>
        <v/>
      </c>
      <c r="AE41" s="140" t="str">
        <f t="shared" si="34"/>
        <v/>
      </c>
      <c r="AF41" s="140" t="str">
        <f t="shared" si="34"/>
        <v/>
      </c>
      <c r="AG41" s="140" t="str">
        <f t="shared" si="34"/>
        <v/>
      </c>
      <c r="AH41" s="140" t="str">
        <f t="shared" si="34"/>
        <v/>
      </c>
      <c r="AI41" s="140" t="str">
        <f t="shared" si="34"/>
        <v/>
      </c>
      <c r="AJ41" s="140" t="str">
        <f t="shared" si="34"/>
        <v/>
      </c>
      <c r="AK41" s="140" t="str">
        <f t="shared" si="34"/>
        <v/>
      </c>
      <c r="AL41" s="140" t="str">
        <f t="shared" si="34"/>
        <v/>
      </c>
      <c r="AM41" s="140" t="str">
        <f t="shared" si="34"/>
        <v/>
      </c>
      <c r="AN41" s="140" t="str">
        <f t="shared" si="34"/>
        <v/>
      </c>
      <c r="AO41" s="140" t="str">
        <f t="shared" si="34"/>
        <v/>
      </c>
      <c r="AP41" s="140" t="str">
        <f t="shared" si="34"/>
        <v/>
      </c>
      <c r="AQ41" s="140" t="str">
        <f t="shared" si="34"/>
        <v/>
      </c>
      <c r="AR41" s="140" t="str">
        <f t="shared" si="34"/>
        <v/>
      </c>
      <c r="AS41" s="140" t="str">
        <f t="shared" si="34"/>
        <v/>
      </c>
      <c r="AT41" s="140" t="str">
        <f t="shared" si="34"/>
        <v/>
      </c>
      <c r="AU41" s="140" t="str">
        <f t="shared" si="34"/>
        <v/>
      </c>
      <c r="AV41" s="140" t="str">
        <f t="shared" si="34"/>
        <v/>
      </c>
      <c r="AW41" s="140" t="str">
        <f t="shared" si="34"/>
        <v/>
      </c>
      <c r="AX41" s="140" t="str">
        <f t="shared" si="34"/>
        <v/>
      </c>
      <c r="AY41" s="140" t="str">
        <f t="shared" si="34"/>
        <v/>
      </c>
      <c r="AZ41" s="140" t="str">
        <f t="shared" si="34"/>
        <v/>
      </c>
      <c r="BA41" s="140" t="str">
        <f t="shared" si="34"/>
        <v/>
      </c>
      <c r="BB41" s="140" t="str">
        <f t="shared" si="34"/>
        <v/>
      </c>
      <c r="BC41" s="140" t="str">
        <f t="shared" si="34"/>
        <v/>
      </c>
      <c r="BD41" s="140" t="str">
        <f t="shared" si="34"/>
        <v/>
      </c>
      <c r="BE41" s="140" t="str">
        <f t="shared" si="34"/>
        <v/>
      </c>
    </row>
    <row r="42">
      <c r="A42" s="108"/>
      <c r="B42" s="107" t="s">
        <v>3</v>
      </c>
      <c r="C42" s="202"/>
      <c r="D42" s="107" t="s">
        <v>275</v>
      </c>
      <c r="E42" s="107"/>
      <c r="F42" s="107" t="s">
        <v>276</v>
      </c>
      <c r="G42" s="208">
        <v>2.02400000001414E14</v>
      </c>
      <c r="H42" s="204">
        <v>8965.16</v>
      </c>
      <c r="I42" s="205">
        <v>45449.0</v>
      </c>
      <c r="J42" s="107" t="s">
        <v>295</v>
      </c>
      <c r="K42" s="202"/>
      <c r="L42" s="107" t="b">
        <v>1</v>
      </c>
      <c r="M42" s="204">
        <f t="shared" si="3"/>
        <v>8965.16</v>
      </c>
      <c r="N42" s="206"/>
      <c r="O42" s="108" t="b">
        <f t="shared" si="4"/>
        <v>1</v>
      </c>
      <c r="P42" s="207">
        <f t="shared" si="5"/>
        <v>1</v>
      </c>
      <c r="Q42" s="140">
        <f t="shared" ref="Q42:BE42" si="35">iferror(if(Q$9=FALSE,, if(if(search(Q$11,$B42,1)&gt;0,1,0)=1,$H42/$P42,)),"")</f>
        <v>8965.16</v>
      </c>
      <c r="R42" s="140" t="str">
        <f t="shared" si="35"/>
        <v/>
      </c>
      <c r="S42" s="140" t="str">
        <f t="shared" si="35"/>
        <v/>
      </c>
      <c r="T42" s="140" t="str">
        <f t="shared" si="35"/>
        <v/>
      </c>
      <c r="U42" s="140" t="str">
        <f t="shared" si="35"/>
        <v/>
      </c>
      <c r="V42" s="140" t="str">
        <f t="shared" si="35"/>
        <v/>
      </c>
      <c r="W42" s="140" t="str">
        <f t="shared" si="35"/>
        <v/>
      </c>
      <c r="X42" s="140" t="str">
        <f t="shared" si="35"/>
        <v/>
      </c>
      <c r="Y42" s="140" t="str">
        <f t="shared" si="35"/>
        <v/>
      </c>
      <c r="Z42" s="140" t="str">
        <f t="shared" si="35"/>
        <v/>
      </c>
      <c r="AA42" s="140" t="str">
        <f t="shared" si="35"/>
        <v/>
      </c>
      <c r="AB42" s="140" t="str">
        <f t="shared" si="35"/>
        <v/>
      </c>
      <c r="AC42" s="140" t="str">
        <f t="shared" si="35"/>
        <v/>
      </c>
      <c r="AD42" s="140" t="str">
        <f t="shared" si="35"/>
        <v/>
      </c>
      <c r="AE42" s="140" t="str">
        <f t="shared" si="35"/>
        <v/>
      </c>
      <c r="AF42" s="140" t="str">
        <f t="shared" si="35"/>
        <v/>
      </c>
      <c r="AG42" s="140" t="str">
        <f t="shared" si="35"/>
        <v/>
      </c>
      <c r="AH42" s="140" t="str">
        <f t="shared" si="35"/>
        <v/>
      </c>
      <c r="AI42" s="140" t="str">
        <f t="shared" si="35"/>
        <v/>
      </c>
      <c r="AJ42" s="140" t="str">
        <f t="shared" si="35"/>
        <v/>
      </c>
      <c r="AK42" s="140" t="str">
        <f t="shared" si="35"/>
        <v/>
      </c>
      <c r="AL42" s="140" t="str">
        <f t="shared" si="35"/>
        <v/>
      </c>
      <c r="AM42" s="140" t="str">
        <f t="shared" si="35"/>
        <v/>
      </c>
      <c r="AN42" s="140" t="str">
        <f t="shared" si="35"/>
        <v/>
      </c>
      <c r="AO42" s="140" t="str">
        <f t="shared" si="35"/>
        <v/>
      </c>
      <c r="AP42" s="140" t="str">
        <f t="shared" si="35"/>
        <v/>
      </c>
      <c r="AQ42" s="140" t="str">
        <f t="shared" si="35"/>
        <v/>
      </c>
      <c r="AR42" s="140" t="str">
        <f t="shared" si="35"/>
        <v/>
      </c>
      <c r="AS42" s="140" t="str">
        <f t="shared" si="35"/>
        <v/>
      </c>
      <c r="AT42" s="140" t="str">
        <f t="shared" si="35"/>
        <v/>
      </c>
      <c r="AU42" s="140" t="str">
        <f t="shared" si="35"/>
        <v/>
      </c>
      <c r="AV42" s="140" t="str">
        <f t="shared" si="35"/>
        <v/>
      </c>
      <c r="AW42" s="140" t="str">
        <f t="shared" si="35"/>
        <v/>
      </c>
      <c r="AX42" s="140" t="str">
        <f t="shared" si="35"/>
        <v/>
      </c>
      <c r="AY42" s="140" t="str">
        <f t="shared" si="35"/>
        <v/>
      </c>
      <c r="AZ42" s="140" t="str">
        <f t="shared" si="35"/>
        <v/>
      </c>
      <c r="BA42" s="140" t="str">
        <f t="shared" si="35"/>
        <v/>
      </c>
      <c r="BB42" s="140" t="str">
        <f t="shared" si="35"/>
        <v/>
      </c>
      <c r="BC42" s="140" t="str">
        <f t="shared" si="35"/>
        <v/>
      </c>
      <c r="BD42" s="140" t="str">
        <f t="shared" si="35"/>
        <v/>
      </c>
      <c r="BE42" s="140" t="str">
        <f t="shared" si="35"/>
        <v/>
      </c>
    </row>
    <row r="43">
      <c r="A43" s="108"/>
      <c r="B43" s="107" t="s">
        <v>10</v>
      </c>
      <c r="C43" s="202"/>
      <c r="D43" s="107" t="s">
        <v>278</v>
      </c>
      <c r="E43" s="107"/>
      <c r="F43" s="107" t="s">
        <v>279</v>
      </c>
      <c r="G43" s="208">
        <v>112616.0</v>
      </c>
      <c r="H43" s="204">
        <v>958.6</v>
      </c>
      <c r="I43" s="205">
        <v>45454.0</v>
      </c>
      <c r="J43" s="107" t="s">
        <v>296</v>
      </c>
      <c r="K43" s="202"/>
      <c r="L43" s="107" t="b">
        <v>1</v>
      </c>
      <c r="M43" s="204">
        <f t="shared" si="3"/>
        <v>958.6</v>
      </c>
      <c r="N43" s="206"/>
      <c r="O43" s="108" t="b">
        <f t="shared" si="4"/>
        <v>1</v>
      </c>
      <c r="P43" s="207">
        <f t="shared" si="5"/>
        <v>1</v>
      </c>
      <c r="Q43" s="140" t="str">
        <f t="shared" ref="Q43:BE43" si="36">iferror(if(Q$9=FALSE,, if(if(search(Q$11,$B43,1)&gt;0,1,0)=1,$H43/$P43,)),"")</f>
        <v/>
      </c>
      <c r="R43" s="140" t="str">
        <f t="shared" si="36"/>
        <v/>
      </c>
      <c r="S43" s="140" t="str">
        <f t="shared" si="36"/>
        <v/>
      </c>
      <c r="T43" s="140" t="str">
        <f t="shared" si="36"/>
        <v/>
      </c>
      <c r="U43" s="140" t="str">
        <f t="shared" si="36"/>
        <v/>
      </c>
      <c r="V43" s="140" t="str">
        <f t="shared" si="36"/>
        <v/>
      </c>
      <c r="W43" s="140" t="str">
        <f t="shared" si="36"/>
        <v/>
      </c>
      <c r="X43" s="140" t="str">
        <f t="shared" si="36"/>
        <v/>
      </c>
      <c r="Y43" s="140" t="str">
        <f t="shared" si="36"/>
        <v/>
      </c>
      <c r="Z43" s="140" t="str">
        <f t="shared" si="36"/>
        <v/>
      </c>
      <c r="AA43" s="140">
        <f t="shared" si="36"/>
        <v>958.6</v>
      </c>
      <c r="AB43" s="140" t="str">
        <f t="shared" si="36"/>
        <v/>
      </c>
      <c r="AC43" s="140" t="str">
        <f t="shared" si="36"/>
        <v/>
      </c>
      <c r="AD43" s="140" t="str">
        <f t="shared" si="36"/>
        <v/>
      </c>
      <c r="AE43" s="140" t="str">
        <f t="shared" si="36"/>
        <v/>
      </c>
      <c r="AF43" s="140" t="str">
        <f t="shared" si="36"/>
        <v/>
      </c>
      <c r="AG43" s="140" t="str">
        <f t="shared" si="36"/>
        <v/>
      </c>
      <c r="AH43" s="140" t="str">
        <f t="shared" si="36"/>
        <v/>
      </c>
      <c r="AI43" s="140" t="str">
        <f t="shared" si="36"/>
        <v/>
      </c>
      <c r="AJ43" s="140" t="str">
        <f t="shared" si="36"/>
        <v/>
      </c>
      <c r="AK43" s="140" t="str">
        <f t="shared" si="36"/>
        <v/>
      </c>
      <c r="AL43" s="140" t="str">
        <f t="shared" si="36"/>
        <v/>
      </c>
      <c r="AM43" s="140" t="str">
        <f t="shared" si="36"/>
        <v/>
      </c>
      <c r="AN43" s="140" t="str">
        <f t="shared" si="36"/>
        <v/>
      </c>
      <c r="AO43" s="140" t="str">
        <f t="shared" si="36"/>
        <v/>
      </c>
      <c r="AP43" s="140" t="str">
        <f t="shared" si="36"/>
        <v/>
      </c>
      <c r="AQ43" s="140" t="str">
        <f t="shared" si="36"/>
        <v/>
      </c>
      <c r="AR43" s="140" t="str">
        <f t="shared" si="36"/>
        <v/>
      </c>
      <c r="AS43" s="140" t="str">
        <f t="shared" si="36"/>
        <v/>
      </c>
      <c r="AT43" s="140" t="str">
        <f t="shared" si="36"/>
        <v/>
      </c>
      <c r="AU43" s="140" t="str">
        <f t="shared" si="36"/>
        <v/>
      </c>
      <c r="AV43" s="140" t="str">
        <f t="shared" si="36"/>
        <v/>
      </c>
      <c r="AW43" s="140" t="str">
        <f t="shared" si="36"/>
        <v/>
      </c>
      <c r="AX43" s="140" t="str">
        <f t="shared" si="36"/>
        <v/>
      </c>
      <c r="AY43" s="140" t="str">
        <f t="shared" si="36"/>
        <v/>
      </c>
      <c r="AZ43" s="140" t="str">
        <f t="shared" si="36"/>
        <v/>
      </c>
      <c r="BA43" s="140" t="str">
        <f t="shared" si="36"/>
        <v/>
      </c>
      <c r="BB43" s="140" t="str">
        <f t="shared" si="36"/>
        <v/>
      </c>
      <c r="BC43" s="140" t="str">
        <f t="shared" si="36"/>
        <v/>
      </c>
      <c r="BD43" s="140" t="str">
        <f t="shared" si="36"/>
        <v/>
      </c>
      <c r="BE43" s="140" t="str">
        <f t="shared" si="36"/>
        <v/>
      </c>
    </row>
    <row r="44">
      <c r="A44" s="108"/>
      <c r="B44" s="107" t="s">
        <v>3</v>
      </c>
      <c r="C44" s="202"/>
      <c r="D44" s="107" t="s">
        <v>292</v>
      </c>
      <c r="E44" s="107"/>
      <c r="F44" s="107" t="s">
        <v>293</v>
      </c>
      <c r="G44" s="208">
        <v>51279.0</v>
      </c>
      <c r="H44" s="204">
        <v>560.0</v>
      </c>
      <c r="I44" s="205">
        <v>45455.0</v>
      </c>
      <c r="J44" s="107" t="s">
        <v>297</v>
      </c>
      <c r="K44" s="202"/>
      <c r="L44" s="107" t="b">
        <v>1</v>
      </c>
      <c r="M44" s="204">
        <f t="shared" si="3"/>
        <v>560</v>
      </c>
      <c r="N44" s="206"/>
      <c r="O44" s="108" t="b">
        <f t="shared" si="4"/>
        <v>1</v>
      </c>
      <c r="P44" s="207">
        <f t="shared" si="5"/>
        <v>1</v>
      </c>
      <c r="Q44" s="140">
        <f t="shared" ref="Q44:BE44" si="37">iferror(if(Q$9=FALSE,, if(if(search(Q$11,$B44,1)&gt;0,1,0)=1,$H44/$P44,)),"")</f>
        <v>560</v>
      </c>
      <c r="R44" s="140" t="str">
        <f t="shared" si="37"/>
        <v/>
      </c>
      <c r="S44" s="140" t="str">
        <f t="shared" si="37"/>
        <v/>
      </c>
      <c r="T44" s="140" t="str">
        <f t="shared" si="37"/>
        <v/>
      </c>
      <c r="U44" s="140" t="str">
        <f t="shared" si="37"/>
        <v/>
      </c>
      <c r="V44" s="140" t="str">
        <f t="shared" si="37"/>
        <v/>
      </c>
      <c r="W44" s="140" t="str">
        <f t="shared" si="37"/>
        <v/>
      </c>
      <c r="X44" s="140" t="str">
        <f t="shared" si="37"/>
        <v/>
      </c>
      <c r="Y44" s="140" t="str">
        <f t="shared" si="37"/>
        <v/>
      </c>
      <c r="Z44" s="140" t="str">
        <f t="shared" si="37"/>
        <v/>
      </c>
      <c r="AA44" s="140" t="str">
        <f t="shared" si="37"/>
        <v/>
      </c>
      <c r="AB44" s="140" t="str">
        <f t="shared" si="37"/>
        <v/>
      </c>
      <c r="AC44" s="140" t="str">
        <f t="shared" si="37"/>
        <v/>
      </c>
      <c r="AD44" s="140" t="str">
        <f t="shared" si="37"/>
        <v/>
      </c>
      <c r="AE44" s="140" t="str">
        <f t="shared" si="37"/>
        <v/>
      </c>
      <c r="AF44" s="140" t="str">
        <f t="shared" si="37"/>
        <v/>
      </c>
      <c r="AG44" s="140" t="str">
        <f t="shared" si="37"/>
        <v/>
      </c>
      <c r="AH44" s="140" t="str">
        <f t="shared" si="37"/>
        <v/>
      </c>
      <c r="AI44" s="140" t="str">
        <f t="shared" si="37"/>
        <v/>
      </c>
      <c r="AJ44" s="140" t="str">
        <f t="shared" si="37"/>
        <v/>
      </c>
      <c r="AK44" s="140" t="str">
        <f t="shared" si="37"/>
        <v/>
      </c>
      <c r="AL44" s="140" t="str">
        <f t="shared" si="37"/>
        <v/>
      </c>
      <c r="AM44" s="140" t="str">
        <f t="shared" si="37"/>
        <v/>
      </c>
      <c r="AN44" s="140" t="str">
        <f t="shared" si="37"/>
        <v/>
      </c>
      <c r="AO44" s="140" t="str">
        <f t="shared" si="37"/>
        <v/>
      </c>
      <c r="AP44" s="140" t="str">
        <f t="shared" si="37"/>
        <v/>
      </c>
      <c r="AQ44" s="140" t="str">
        <f t="shared" si="37"/>
        <v/>
      </c>
      <c r="AR44" s="140" t="str">
        <f t="shared" si="37"/>
        <v/>
      </c>
      <c r="AS44" s="140" t="str">
        <f t="shared" si="37"/>
        <v/>
      </c>
      <c r="AT44" s="140" t="str">
        <f t="shared" si="37"/>
        <v/>
      </c>
      <c r="AU44" s="140" t="str">
        <f t="shared" si="37"/>
        <v/>
      </c>
      <c r="AV44" s="140" t="str">
        <f t="shared" si="37"/>
        <v/>
      </c>
      <c r="AW44" s="140" t="str">
        <f t="shared" si="37"/>
        <v/>
      </c>
      <c r="AX44" s="140" t="str">
        <f t="shared" si="37"/>
        <v/>
      </c>
      <c r="AY44" s="140" t="str">
        <f t="shared" si="37"/>
        <v/>
      </c>
      <c r="AZ44" s="140" t="str">
        <f t="shared" si="37"/>
        <v/>
      </c>
      <c r="BA44" s="140" t="str">
        <f t="shared" si="37"/>
        <v/>
      </c>
      <c r="BB44" s="140" t="str">
        <f t="shared" si="37"/>
        <v/>
      </c>
      <c r="BC44" s="140" t="str">
        <f t="shared" si="37"/>
        <v/>
      </c>
      <c r="BD44" s="140" t="str">
        <f t="shared" si="37"/>
        <v/>
      </c>
      <c r="BE44" s="140" t="str">
        <f t="shared" si="37"/>
        <v/>
      </c>
    </row>
    <row r="45">
      <c r="A45" s="108"/>
      <c r="B45" s="107" t="s">
        <v>23</v>
      </c>
      <c r="C45" s="202"/>
      <c r="D45" s="107" t="s">
        <v>298</v>
      </c>
      <c r="E45" s="107"/>
      <c r="F45" s="107" t="s">
        <v>299</v>
      </c>
      <c r="G45" s="208">
        <v>1574.0</v>
      </c>
      <c r="H45" s="204">
        <v>5000.0</v>
      </c>
      <c r="I45" s="205">
        <v>45455.0</v>
      </c>
      <c r="J45" s="107" t="s">
        <v>300</v>
      </c>
      <c r="K45" s="202"/>
      <c r="L45" s="107" t="b">
        <v>1</v>
      </c>
      <c r="M45" s="204">
        <f t="shared" si="3"/>
        <v>5000</v>
      </c>
      <c r="N45" s="206"/>
      <c r="O45" s="108" t="b">
        <f t="shared" si="4"/>
        <v>0</v>
      </c>
      <c r="P45" s="207">
        <f t="shared" si="5"/>
        <v>1</v>
      </c>
      <c r="Q45" s="140" t="str">
        <f t="shared" ref="Q45:BE45" si="38">iferror(if(Q$9=FALSE,, if(if(search(Q$11,$B45,1)&gt;0,1,0)=1,$H45/$P45,)),"")</f>
        <v/>
      </c>
      <c r="R45" s="140" t="str">
        <f t="shared" si="38"/>
        <v/>
      </c>
      <c r="S45" s="140" t="str">
        <f t="shared" si="38"/>
        <v/>
      </c>
      <c r="T45" s="140" t="str">
        <f t="shared" si="38"/>
        <v/>
      </c>
      <c r="U45" s="140" t="str">
        <f t="shared" si="38"/>
        <v/>
      </c>
      <c r="V45" s="140" t="str">
        <f t="shared" si="38"/>
        <v/>
      </c>
      <c r="W45" s="140" t="str">
        <f t="shared" si="38"/>
        <v/>
      </c>
      <c r="X45" s="140" t="str">
        <f t="shared" si="38"/>
        <v/>
      </c>
      <c r="Y45" s="140" t="str">
        <f t="shared" si="38"/>
        <v/>
      </c>
      <c r="Z45" s="140" t="str">
        <f t="shared" si="38"/>
        <v/>
      </c>
      <c r="AA45" s="140" t="str">
        <f t="shared" si="38"/>
        <v/>
      </c>
      <c r="AB45" s="140" t="str">
        <f t="shared" si="38"/>
        <v/>
      </c>
      <c r="AC45" s="140" t="str">
        <f t="shared" si="38"/>
        <v/>
      </c>
      <c r="AD45" s="140" t="str">
        <f t="shared" si="38"/>
        <v/>
      </c>
      <c r="AE45" s="140" t="str">
        <f t="shared" si="38"/>
        <v/>
      </c>
      <c r="AF45" s="140" t="str">
        <f t="shared" si="38"/>
        <v/>
      </c>
      <c r="AG45" s="140" t="str">
        <f t="shared" si="38"/>
        <v/>
      </c>
      <c r="AH45" s="140" t="str">
        <f t="shared" si="38"/>
        <v/>
      </c>
      <c r="AI45" s="140" t="str">
        <f t="shared" si="38"/>
        <v/>
      </c>
      <c r="AJ45" s="140" t="str">
        <f t="shared" si="38"/>
        <v/>
      </c>
      <c r="AK45" s="140" t="str">
        <f t="shared" si="38"/>
        <v/>
      </c>
      <c r="AL45" s="140" t="str">
        <f t="shared" si="38"/>
        <v/>
      </c>
      <c r="AM45" s="140" t="str">
        <f t="shared" si="38"/>
        <v/>
      </c>
      <c r="AN45" s="140" t="str">
        <f t="shared" si="38"/>
        <v/>
      </c>
      <c r="AO45" s="140" t="str">
        <f t="shared" si="38"/>
        <v/>
      </c>
      <c r="AP45" s="140" t="str">
        <f t="shared" si="38"/>
        <v/>
      </c>
      <c r="AQ45" s="140" t="str">
        <f t="shared" si="38"/>
        <v/>
      </c>
      <c r="AR45" s="140">
        <f t="shared" si="38"/>
        <v>5000</v>
      </c>
      <c r="AS45" s="140" t="str">
        <f t="shared" si="38"/>
        <v/>
      </c>
      <c r="AT45" s="140" t="str">
        <f t="shared" si="38"/>
        <v/>
      </c>
      <c r="AU45" s="140" t="str">
        <f t="shared" si="38"/>
        <v/>
      </c>
      <c r="AV45" s="140" t="str">
        <f t="shared" si="38"/>
        <v/>
      </c>
      <c r="AW45" s="140" t="str">
        <f t="shared" si="38"/>
        <v/>
      </c>
      <c r="AX45" s="140" t="str">
        <f t="shared" si="38"/>
        <v/>
      </c>
      <c r="AY45" s="140" t="str">
        <f t="shared" si="38"/>
        <v/>
      </c>
      <c r="AZ45" s="140" t="str">
        <f t="shared" si="38"/>
        <v/>
      </c>
      <c r="BA45" s="140" t="str">
        <f t="shared" si="38"/>
        <v/>
      </c>
      <c r="BB45" s="140" t="str">
        <f t="shared" si="38"/>
        <v/>
      </c>
      <c r="BC45" s="140" t="str">
        <f t="shared" si="38"/>
        <v/>
      </c>
      <c r="BD45" s="140" t="str">
        <f t="shared" si="38"/>
        <v/>
      </c>
      <c r="BE45" s="140" t="str">
        <f t="shared" si="38"/>
        <v/>
      </c>
    </row>
    <row r="46">
      <c r="A46" s="108"/>
      <c r="B46" s="107" t="s">
        <v>9</v>
      </c>
      <c r="C46" s="202"/>
      <c r="D46" s="107" t="s">
        <v>278</v>
      </c>
      <c r="E46" s="107"/>
      <c r="F46" s="107" t="s">
        <v>279</v>
      </c>
      <c r="G46" s="208">
        <v>112489.0</v>
      </c>
      <c r="H46" s="204">
        <v>17862.03</v>
      </c>
      <c r="I46" s="205">
        <v>45461.0</v>
      </c>
      <c r="J46" s="107" t="s">
        <v>254</v>
      </c>
      <c r="K46" s="202"/>
      <c r="L46" s="107" t="b">
        <v>1</v>
      </c>
      <c r="M46" s="204">
        <f t="shared" si="3"/>
        <v>17862.03</v>
      </c>
      <c r="N46" s="206"/>
      <c r="O46" s="108" t="b">
        <f t="shared" si="4"/>
        <v>1</v>
      </c>
      <c r="P46" s="207">
        <f t="shared" si="5"/>
        <v>1</v>
      </c>
      <c r="Q46" s="140" t="str">
        <f t="shared" ref="Q46:BE46" si="39">iferror(if(Q$9=FALSE,, if(if(search(Q$11,$B46,1)&gt;0,1,0)=1,$H46/$P46,)),"")</f>
        <v/>
      </c>
      <c r="R46" s="140" t="str">
        <f t="shared" si="39"/>
        <v/>
      </c>
      <c r="S46" s="140" t="str">
        <f t="shared" si="39"/>
        <v/>
      </c>
      <c r="T46" s="140" t="str">
        <f t="shared" si="39"/>
        <v/>
      </c>
      <c r="U46" s="140" t="str">
        <f t="shared" si="39"/>
        <v/>
      </c>
      <c r="V46" s="140" t="str">
        <f t="shared" si="39"/>
        <v/>
      </c>
      <c r="W46" s="140" t="str">
        <f t="shared" si="39"/>
        <v/>
      </c>
      <c r="X46" s="140" t="str">
        <f t="shared" si="39"/>
        <v/>
      </c>
      <c r="Y46" s="140" t="str">
        <f t="shared" si="39"/>
        <v/>
      </c>
      <c r="Z46" s="140">
        <f t="shared" si="39"/>
        <v>17862.03</v>
      </c>
      <c r="AA46" s="140" t="str">
        <f t="shared" si="39"/>
        <v/>
      </c>
      <c r="AB46" s="140" t="str">
        <f t="shared" si="39"/>
        <v/>
      </c>
      <c r="AC46" s="140" t="str">
        <f t="shared" si="39"/>
        <v/>
      </c>
      <c r="AD46" s="140" t="str">
        <f t="shared" si="39"/>
        <v/>
      </c>
      <c r="AE46" s="140" t="str">
        <f t="shared" si="39"/>
        <v/>
      </c>
      <c r="AF46" s="140" t="str">
        <f t="shared" si="39"/>
        <v/>
      </c>
      <c r="AG46" s="140" t="str">
        <f t="shared" si="39"/>
        <v/>
      </c>
      <c r="AH46" s="140" t="str">
        <f t="shared" si="39"/>
        <v/>
      </c>
      <c r="AI46" s="140" t="str">
        <f t="shared" si="39"/>
        <v/>
      </c>
      <c r="AJ46" s="140" t="str">
        <f t="shared" si="39"/>
        <v/>
      </c>
      <c r="AK46" s="140" t="str">
        <f t="shared" si="39"/>
        <v/>
      </c>
      <c r="AL46" s="140" t="str">
        <f t="shared" si="39"/>
        <v/>
      </c>
      <c r="AM46" s="140" t="str">
        <f t="shared" si="39"/>
        <v/>
      </c>
      <c r="AN46" s="140" t="str">
        <f t="shared" si="39"/>
        <v/>
      </c>
      <c r="AO46" s="140" t="str">
        <f t="shared" si="39"/>
        <v/>
      </c>
      <c r="AP46" s="140" t="str">
        <f t="shared" si="39"/>
        <v/>
      </c>
      <c r="AQ46" s="140" t="str">
        <f t="shared" si="39"/>
        <v/>
      </c>
      <c r="AR46" s="140" t="str">
        <f t="shared" si="39"/>
        <v/>
      </c>
      <c r="AS46" s="140" t="str">
        <f t="shared" si="39"/>
        <v/>
      </c>
      <c r="AT46" s="140" t="str">
        <f t="shared" si="39"/>
        <v/>
      </c>
      <c r="AU46" s="140" t="str">
        <f t="shared" si="39"/>
        <v/>
      </c>
      <c r="AV46" s="140" t="str">
        <f t="shared" si="39"/>
        <v/>
      </c>
      <c r="AW46" s="140" t="str">
        <f t="shared" si="39"/>
        <v/>
      </c>
      <c r="AX46" s="140" t="str">
        <f t="shared" si="39"/>
        <v/>
      </c>
      <c r="AY46" s="140" t="str">
        <f t="shared" si="39"/>
        <v/>
      </c>
      <c r="AZ46" s="140" t="str">
        <f t="shared" si="39"/>
        <v/>
      </c>
      <c r="BA46" s="140" t="str">
        <f t="shared" si="39"/>
        <v/>
      </c>
      <c r="BB46" s="140" t="str">
        <f t="shared" si="39"/>
        <v/>
      </c>
      <c r="BC46" s="140" t="str">
        <f t="shared" si="39"/>
        <v/>
      </c>
      <c r="BD46" s="140" t="str">
        <f t="shared" si="39"/>
        <v/>
      </c>
      <c r="BE46" s="140" t="str">
        <f t="shared" si="39"/>
        <v/>
      </c>
    </row>
    <row r="47">
      <c r="A47" s="108"/>
      <c r="B47" s="107" t="s">
        <v>301</v>
      </c>
      <c r="C47" s="202"/>
      <c r="D47" s="107" t="s">
        <v>262</v>
      </c>
      <c r="E47" s="107"/>
      <c r="F47" s="107" t="s">
        <v>263</v>
      </c>
      <c r="G47" s="208">
        <v>77974.0</v>
      </c>
      <c r="H47" s="204">
        <v>167.98</v>
      </c>
      <c r="I47" s="205">
        <v>45461.0</v>
      </c>
      <c r="J47" s="107" t="s">
        <v>264</v>
      </c>
      <c r="K47" s="202"/>
      <c r="L47" s="107" t="b">
        <v>1</v>
      </c>
      <c r="M47" s="204">
        <f t="shared" si="3"/>
        <v>167.98</v>
      </c>
      <c r="N47" s="206"/>
      <c r="O47" s="108" t="b">
        <f t="shared" si="4"/>
        <v>1</v>
      </c>
      <c r="P47" s="207">
        <f t="shared" si="5"/>
        <v>2</v>
      </c>
      <c r="Q47" s="140">
        <f t="shared" ref="Q47:BE47" si="40">iferror(if(Q$9=FALSE,, if(if(search(Q$11,$B47,1)&gt;0,1,0)=1,$H47/$P47,)),"")</f>
        <v>83.99</v>
      </c>
      <c r="R47" s="140" t="str">
        <f t="shared" si="40"/>
        <v/>
      </c>
      <c r="S47" s="140" t="str">
        <f t="shared" si="40"/>
        <v/>
      </c>
      <c r="T47" s="140" t="str">
        <f t="shared" si="40"/>
        <v/>
      </c>
      <c r="U47" s="140" t="str">
        <f t="shared" si="40"/>
        <v/>
      </c>
      <c r="V47" s="140" t="str">
        <f t="shared" si="40"/>
        <v/>
      </c>
      <c r="W47" s="140" t="str">
        <f t="shared" si="40"/>
        <v/>
      </c>
      <c r="X47" s="140" t="str">
        <f t="shared" si="40"/>
        <v/>
      </c>
      <c r="Y47" s="140" t="str">
        <f t="shared" si="40"/>
        <v/>
      </c>
      <c r="Z47" s="140">
        <f t="shared" si="40"/>
        <v>83.99</v>
      </c>
      <c r="AA47" s="140" t="str">
        <f t="shared" si="40"/>
        <v/>
      </c>
      <c r="AB47" s="140" t="str">
        <f t="shared" si="40"/>
        <v/>
      </c>
      <c r="AC47" s="140" t="str">
        <f t="shared" si="40"/>
        <v/>
      </c>
      <c r="AD47" s="140" t="str">
        <f t="shared" si="40"/>
        <v/>
      </c>
      <c r="AE47" s="140" t="str">
        <f t="shared" si="40"/>
        <v/>
      </c>
      <c r="AF47" s="140" t="str">
        <f t="shared" si="40"/>
        <v/>
      </c>
      <c r="AG47" s="140" t="str">
        <f t="shared" si="40"/>
        <v/>
      </c>
      <c r="AH47" s="140" t="str">
        <f t="shared" si="40"/>
        <v/>
      </c>
      <c r="AI47" s="140" t="str">
        <f t="shared" si="40"/>
        <v/>
      </c>
      <c r="AJ47" s="140" t="str">
        <f t="shared" si="40"/>
        <v/>
      </c>
      <c r="AK47" s="140" t="str">
        <f t="shared" si="40"/>
        <v/>
      </c>
      <c r="AL47" s="140" t="str">
        <f t="shared" si="40"/>
        <v/>
      </c>
      <c r="AM47" s="140" t="str">
        <f t="shared" si="40"/>
        <v/>
      </c>
      <c r="AN47" s="140" t="str">
        <f t="shared" si="40"/>
        <v/>
      </c>
      <c r="AO47" s="140" t="str">
        <f t="shared" si="40"/>
        <v/>
      </c>
      <c r="AP47" s="140" t="str">
        <f t="shared" si="40"/>
        <v/>
      </c>
      <c r="AQ47" s="140" t="str">
        <f t="shared" si="40"/>
        <v/>
      </c>
      <c r="AR47" s="140" t="str">
        <f t="shared" si="40"/>
        <v/>
      </c>
      <c r="AS47" s="140" t="str">
        <f t="shared" si="40"/>
        <v/>
      </c>
      <c r="AT47" s="140" t="str">
        <f t="shared" si="40"/>
        <v/>
      </c>
      <c r="AU47" s="140" t="str">
        <f t="shared" si="40"/>
        <v/>
      </c>
      <c r="AV47" s="140" t="str">
        <f t="shared" si="40"/>
        <v/>
      </c>
      <c r="AW47" s="140" t="str">
        <f t="shared" si="40"/>
        <v/>
      </c>
      <c r="AX47" s="140" t="str">
        <f t="shared" si="40"/>
        <v/>
      </c>
      <c r="AY47" s="140" t="str">
        <f t="shared" si="40"/>
        <v/>
      </c>
      <c r="AZ47" s="140" t="str">
        <f t="shared" si="40"/>
        <v/>
      </c>
      <c r="BA47" s="140" t="str">
        <f t="shared" si="40"/>
        <v/>
      </c>
      <c r="BB47" s="140" t="str">
        <f t="shared" si="40"/>
        <v/>
      </c>
      <c r="BC47" s="140" t="str">
        <f t="shared" si="40"/>
        <v/>
      </c>
      <c r="BD47" s="140" t="str">
        <f t="shared" si="40"/>
        <v/>
      </c>
      <c r="BE47" s="140" t="str">
        <f t="shared" si="40"/>
        <v/>
      </c>
    </row>
    <row r="48">
      <c r="A48" s="108"/>
      <c r="B48" s="107" t="s">
        <v>247</v>
      </c>
      <c r="C48" s="202"/>
      <c r="D48" s="107" t="s">
        <v>272</v>
      </c>
      <c r="E48" s="107"/>
      <c r="F48" s="107" t="s">
        <v>273</v>
      </c>
      <c r="G48" s="208">
        <v>29664.0</v>
      </c>
      <c r="H48" s="204">
        <v>63043.15</v>
      </c>
      <c r="I48" s="205">
        <v>45467.0</v>
      </c>
      <c r="J48" s="107" t="s">
        <v>274</v>
      </c>
      <c r="K48" s="202"/>
      <c r="L48" s="107" t="b">
        <v>1</v>
      </c>
      <c r="M48" s="204">
        <f t="shared" si="3"/>
        <v>0</v>
      </c>
      <c r="N48" s="206"/>
      <c r="O48" s="108" t="b">
        <f t="shared" si="4"/>
        <v>0</v>
      </c>
      <c r="P48" s="207">
        <f t="shared" si="5"/>
        <v>1</v>
      </c>
      <c r="Q48" s="140" t="str">
        <f t="shared" ref="Q48:BE48" si="41">iferror(if(Q$9=FALSE,, if(if(search(Q$11,$B48,1)&gt;0,1,0)=1,$H48/$P48,)),"")</f>
        <v/>
      </c>
      <c r="R48" s="140" t="str">
        <f t="shared" si="41"/>
        <v/>
      </c>
      <c r="S48" s="140" t="str">
        <f t="shared" si="41"/>
        <v/>
      </c>
      <c r="T48" s="140" t="str">
        <f t="shared" si="41"/>
        <v/>
      </c>
      <c r="U48" s="140" t="str">
        <f t="shared" si="41"/>
        <v/>
      </c>
      <c r="V48" s="140" t="str">
        <f t="shared" si="41"/>
        <v/>
      </c>
      <c r="W48" s="140" t="str">
        <f t="shared" si="41"/>
        <v/>
      </c>
      <c r="X48" s="140" t="str">
        <f t="shared" si="41"/>
        <v/>
      </c>
      <c r="Y48" s="140" t="str">
        <f t="shared" si="41"/>
        <v/>
      </c>
      <c r="Z48" s="140" t="str">
        <f t="shared" si="41"/>
        <v/>
      </c>
      <c r="AA48" s="140" t="str">
        <f t="shared" si="41"/>
        <v/>
      </c>
      <c r="AB48" s="140" t="str">
        <f t="shared" si="41"/>
        <v/>
      </c>
      <c r="AC48" s="140" t="str">
        <f t="shared" si="41"/>
        <v/>
      </c>
      <c r="AD48" s="140" t="str">
        <f t="shared" si="41"/>
        <v/>
      </c>
      <c r="AE48" s="140" t="str">
        <f t="shared" si="41"/>
        <v/>
      </c>
      <c r="AF48" s="140" t="str">
        <f t="shared" si="41"/>
        <v/>
      </c>
      <c r="AG48" s="140" t="str">
        <f t="shared" si="41"/>
        <v/>
      </c>
      <c r="AH48" s="140" t="str">
        <f t="shared" si="41"/>
        <v/>
      </c>
      <c r="AI48" s="140" t="str">
        <f t="shared" si="41"/>
        <v/>
      </c>
      <c r="AJ48" s="140" t="str">
        <f t="shared" si="41"/>
        <v/>
      </c>
      <c r="AK48" s="140" t="str">
        <f t="shared" si="41"/>
        <v/>
      </c>
      <c r="AL48" s="140" t="str">
        <f t="shared" si="41"/>
        <v/>
      </c>
      <c r="AM48" s="140" t="str">
        <f t="shared" si="41"/>
        <v/>
      </c>
      <c r="AN48" s="140" t="str">
        <f t="shared" si="41"/>
        <v/>
      </c>
      <c r="AO48" s="140" t="str">
        <f t="shared" si="41"/>
        <v/>
      </c>
      <c r="AP48" s="140" t="str">
        <f t="shared" si="41"/>
        <v/>
      </c>
      <c r="AQ48" s="140" t="str">
        <f t="shared" si="41"/>
        <v/>
      </c>
      <c r="AR48" s="140" t="str">
        <f t="shared" si="41"/>
        <v/>
      </c>
      <c r="AS48" s="140" t="str">
        <f t="shared" si="41"/>
        <v/>
      </c>
      <c r="AT48" s="140" t="str">
        <f t="shared" si="41"/>
        <v/>
      </c>
      <c r="AU48" s="140" t="str">
        <f t="shared" si="41"/>
        <v/>
      </c>
      <c r="AV48" s="140" t="str">
        <f t="shared" si="41"/>
        <v/>
      </c>
      <c r="AW48" s="140" t="str">
        <f t="shared" si="41"/>
        <v/>
      </c>
      <c r="AX48" s="140" t="str">
        <f t="shared" si="41"/>
        <v/>
      </c>
      <c r="AY48" s="140" t="str">
        <f t="shared" si="41"/>
        <v/>
      </c>
      <c r="AZ48" s="140" t="str">
        <f t="shared" si="41"/>
        <v/>
      </c>
      <c r="BA48" s="140" t="str">
        <f t="shared" si="41"/>
        <v/>
      </c>
      <c r="BB48" s="140" t="str">
        <f t="shared" si="41"/>
        <v/>
      </c>
      <c r="BC48" s="140" t="str">
        <f t="shared" si="41"/>
        <v/>
      </c>
      <c r="BD48" s="140" t="str">
        <f t="shared" si="41"/>
        <v/>
      </c>
      <c r="BE48" s="140" t="str">
        <f t="shared" si="41"/>
        <v/>
      </c>
    </row>
    <row r="49">
      <c r="A49" s="108"/>
      <c r="B49" s="107" t="s">
        <v>247</v>
      </c>
      <c r="C49" s="202"/>
      <c r="D49" s="107" t="s">
        <v>278</v>
      </c>
      <c r="E49" s="107"/>
      <c r="F49" s="107" t="s">
        <v>279</v>
      </c>
      <c r="G49" s="208">
        <v>112738.0</v>
      </c>
      <c r="H49" s="204">
        <v>40915.78</v>
      </c>
      <c r="I49" s="205">
        <v>45470.0</v>
      </c>
      <c r="J49" s="107" t="s">
        <v>254</v>
      </c>
      <c r="K49" s="202"/>
      <c r="L49" s="107" t="b">
        <v>1</v>
      </c>
      <c r="M49" s="204">
        <f t="shared" si="3"/>
        <v>0</v>
      </c>
      <c r="N49" s="206"/>
      <c r="O49" s="108" t="b">
        <f t="shared" si="4"/>
        <v>0</v>
      </c>
      <c r="P49" s="207">
        <f t="shared" si="5"/>
        <v>1</v>
      </c>
      <c r="Q49" s="140" t="str">
        <f t="shared" ref="Q49:BE49" si="42">iferror(if(Q$9=FALSE,, if(if(search(Q$11,$B49,1)&gt;0,1,0)=1,$H49/$P49,)),"")</f>
        <v/>
      </c>
      <c r="R49" s="140" t="str">
        <f t="shared" si="42"/>
        <v/>
      </c>
      <c r="S49" s="140" t="str">
        <f t="shared" si="42"/>
        <v/>
      </c>
      <c r="T49" s="140" t="str">
        <f t="shared" si="42"/>
        <v/>
      </c>
      <c r="U49" s="140" t="str">
        <f t="shared" si="42"/>
        <v/>
      </c>
      <c r="V49" s="140" t="str">
        <f t="shared" si="42"/>
        <v/>
      </c>
      <c r="W49" s="140" t="str">
        <f t="shared" si="42"/>
        <v/>
      </c>
      <c r="X49" s="140" t="str">
        <f t="shared" si="42"/>
        <v/>
      </c>
      <c r="Y49" s="140" t="str">
        <f t="shared" si="42"/>
        <v/>
      </c>
      <c r="Z49" s="140" t="str">
        <f t="shared" si="42"/>
        <v/>
      </c>
      <c r="AA49" s="140" t="str">
        <f t="shared" si="42"/>
        <v/>
      </c>
      <c r="AB49" s="140" t="str">
        <f t="shared" si="42"/>
        <v/>
      </c>
      <c r="AC49" s="140" t="str">
        <f t="shared" si="42"/>
        <v/>
      </c>
      <c r="AD49" s="140" t="str">
        <f t="shared" si="42"/>
        <v/>
      </c>
      <c r="AE49" s="140" t="str">
        <f t="shared" si="42"/>
        <v/>
      </c>
      <c r="AF49" s="140" t="str">
        <f t="shared" si="42"/>
        <v/>
      </c>
      <c r="AG49" s="140" t="str">
        <f t="shared" si="42"/>
        <v/>
      </c>
      <c r="AH49" s="140" t="str">
        <f t="shared" si="42"/>
        <v/>
      </c>
      <c r="AI49" s="140" t="str">
        <f t="shared" si="42"/>
        <v/>
      </c>
      <c r="AJ49" s="140" t="str">
        <f t="shared" si="42"/>
        <v/>
      </c>
      <c r="AK49" s="140" t="str">
        <f t="shared" si="42"/>
        <v/>
      </c>
      <c r="AL49" s="140" t="str">
        <f t="shared" si="42"/>
        <v/>
      </c>
      <c r="AM49" s="140" t="str">
        <f t="shared" si="42"/>
        <v/>
      </c>
      <c r="AN49" s="140" t="str">
        <f t="shared" si="42"/>
        <v/>
      </c>
      <c r="AO49" s="140" t="str">
        <f t="shared" si="42"/>
        <v/>
      </c>
      <c r="AP49" s="140" t="str">
        <f t="shared" si="42"/>
        <v/>
      </c>
      <c r="AQ49" s="140" t="str">
        <f t="shared" si="42"/>
        <v/>
      </c>
      <c r="AR49" s="140" t="str">
        <f t="shared" si="42"/>
        <v/>
      </c>
      <c r="AS49" s="140" t="str">
        <f t="shared" si="42"/>
        <v/>
      </c>
      <c r="AT49" s="140" t="str">
        <f t="shared" si="42"/>
        <v/>
      </c>
      <c r="AU49" s="140" t="str">
        <f t="shared" si="42"/>
        <v/>
      </c>
      <c r="AV49" s="140" t="str">
        <f t="shared" si="42"/>
        <v/>
      </c>
      <c r="AW49" s="140" t="str">
        <f t="shared" si="42"/>
        <v/>
      </c>
      <c r="AX49" s="140" t="str">
        <f t="shared" si="42"/>
        <v/>
      </c>
      <c r="AY49" s="140" t="str">
        <f t="shared" si="42"/>
        <v/>
      </c>
      <c r="AZ49" s="140" t="str">
        <f t="shared" si="42"/>
        <v/>
      </c>
      <c r="BA49" s="140" t="str">
        <f t="shared" si="42"/>
        <v/>
      </c>
      <c r="BB49" s="140" t="str">
        <f t="shared" si="42"/>
        <v/>
      </c>
      <c r="BC49" s="140" t="str">
        <f t="shared" si="42"/>
        <v/>
      </c>
      <c r="BD49" s="140" t="str">
        <f t="shared" si="42"/>
        <v/>
      </c>
      <c r="BE49" s="140" t="str">
        <f t="shared" si="42"/>
        <v/>
      </c>
    </row>
    <row r="50" hidden="1">
      <c r="A50" s="108"/>
      <c r="B50" s="107" t="s">
        <v>13</v>
      </c>
      <c r="C50" s="202"/>
      <c r="D50" s="107" t="s">
        <v>266</v>
      </c>
      <c r="E50" s="107"/>
      <c r="F50" s="107" t="s">
        <v>290</v>
      </c>
      <c r="G50" s="208">
        <v>35636.0</v>
      </c>
      <c r="H50" s="204">
        <v>605.7</v>
      </c>
      <c r="I50" s="205">
        <v>45455.0</v>
      </c>
      <c r="J50" s="107" t="s">
        <v>268</v>
      </c>
      <c r="K50" s="202"/>
      <c r="L50" s="107" t="b">
        <v>0</v>
      </c>
      <c r="M50" s="204">
        <f t="shared" si="3"/>
        <v>0</v>
      </c>
      <c r="N50" s="206"/>
      <c r="O50" s="108" t="b">
        <f t="shared" si="4"/>
        <v>0</v>
      </c>
      <c r="P50" s="207">
        <f t="shared" si="5"/>
        <v>0</v>
      </c>
      <c r="Q50" s="140" t="str">
        <f t="shared" ref="Q50:BE50" si="43">iferror(if(Q$9=FALSE,, if(if(search(Q$11,$B50,1)&gt;0,1,0)=1,$H50/$P50,)),"")</f>
        <v/>
      </c>
      <c r="R50" s="140" t="str">
        <f t="shared" si="43"/>
        <v/>
      </c>
      <c r="S50" s="140" t="str">
        <f t="shared" si="43"/>
        <v/>
      </c>
      <c r="T50" s="140" t="str">
        <f t="shared" si="43"/>
        <v/>
      </c>
      <c r="U50" s="140" t="str">
        <f t="shared" si="43"/>
        <v/>
      </c>
      <c r="V50" s="140" t="str">
        <f t="shared" si="43"/>
        <v/>
      </c>
      <c r="W50" s="140" t="str">
        <f t="shared" si="43"/>
        <v/>
      </c>
      <c r="X50" s="140" t="str">
        <f t="shared" si="43"/>
        <v/>
      </c>
      <c r="Y50" s="140" t="str">
        <f t="shared" si="43"/>
        <v/>
      </c>
      <c r="Z50" s="140" t="str">
        <f t="shared" si="43"/>
        <v/>
      </c>
      <c r="AA50" s="140" t="str">
        <f t="shared" si="43"/>
        <v/>
      </c>
      <c r="AB50" s="140" t="str">
        <f t="shared" si="43"/>
        <v/>
      </c>
      <c r="AC50" s="140" t="str">
        <f t="shared" si="43"/>
        <v/>
      </c>
      <c r="AD50" s="140" t="str">
        <f t="shared" si="43"/>
        <v/>
      </c>
      <c r="AE50" s="140" t="str">
        <f t="shared" si="43"/>
        <v/>
      </c>
      <c r="AF50" s="140" t="str">
        <f t="shared" si="43"/>
        <v/>
      </c>
      <c r="AG50" s="140" t="str">
        <f t="shared" si="43"/>
        <v/>
      </c>
      <c r="AH50" s="140" t="str">
        <f t="shared" si="43"/>
        <v/>
      </c>
      <c r="AI50" s="140" t="str">
        <f t="shared" si="43"/>
        <v/>
      </c>
      <c r="AJ50" s="140" t="str">
        <f t="shared" si="43"/>
        <v/>
      </c>
      <c r="AK50" s="140" t="str">
        <f t="shared" si="43"/>
        <v/>
      </c>
      <c r="AL50" s="140" t="str">
        <f t="shared" si="43"/>
        <v/>
      </c>
      <c r="AM50" s="140" t="str">
        <f t="shared" si="43"/>
        <v/>
      </c>
      <c r="AN50" s="140" t="str">
        <f t="shared" si="43"/>
        <v/>
      </c>
      <c r="AO50" s="140" t="str">
        <f t="shared" si="43"/>
        <v/>
      </c>
      <c r="AP50" s="140" t="str">
        <f t="shared" si="43"/>
        <v/>
      </c>
      <c r="AQ50" s="140" t="str">
        <f t="shared" si="43"/>
        <v/>
      </c>
      <c r="AR50" s="140" t="str">
        <f t="shared" si="43"/>
        <v/>
      </c>
      <c r="AS50" s="140" t="str">
        <f t="shared" si="43"/>
        <v/>
      </c>
      <c r="AT50" s="140" t="str">
        <f t="shared" si="43"/>
        <v/>
      </c>
      <c r="AU50" s="140" t="str">
        <f t="shared" si="43"/>
        <v/>
      </c>
      <c r="AV50" s="140" t="str">
        <f t="shared" si="43"/>
        <v/>
      </c>
      <c r="AW50" s="140" t="str">
        <f t="shared" si="43"/>
        <v/>
      </c>
      <c r="AX50" s="140" t="str">
        <f t="shared" si="43"/>
        <v/>
      </c>
      <c r="AY50" s="140" t="str">
        <f t="shared" si="43"/>
        <v/>
      </c>
      <c r="AZ50" s="140" t="str">
        <f t="shared" si="43"/>
        <v/>
      </c>
      <c r="BA50" s="140" t="str">
        <f t="shared" si="43"/>
        <v/>
      </c>
      <c r="BB50" s="140" t="str">
        <f t="shared" si="43"/>
        <v/>
      </c>
      <c r="BC50" s="140" t="str">
        <f t="shared" si="43"/>
        <v/>
      </c>
      <c r="BD50" s="140" t="str">
        <f t="shared" si="43"/>
        <v/>
      </c>
      <c r="BE50" s="140" t="str">
        <f t="shared" si="43"/>
        <v/>
      </c>
    </row>
    <row r="51" hidden="1">
      <c r="A51" s="108"/>
      <c r="B51" s="107" t="s">
        <v>14</v>
      </c>
      <c r="C51" s="107"/>
      <c r="D51" s="107" t="s">
        <v>266</v>
      </c>
      <c r="E51" s="107"/>
      <c r="F51" s="107" t="s">
        <v>302</v>
      </c>
      <c r="G51" s="208">
        <v>56999.0</v>
      </c>
      <c r="H51" s="204">
        <v>1205.5</v>
      </c>
      <c r="I51" s="205">
        <v>45468.0</v>
      </c>
      <c r="J51" s="107" t="s">
        <v>303</v>
      </c>
      <c r="K51" s="202"/>
      <c r="L51" s="107" t="b">
        <v>0</v>
      </c>
      <c r="M51" s="204">
        <f t="shared" si="3"/>
        <v>0</v>
      </c>
      <c r="N51" s="206"/>
      <c r="O51" s="108" t="b">
        <f t="shared" si="4"/>
        <v>0</v>
      </c>
      <c r="P51" s="207">
        <f t="shared" si="5"/>
        <v>0</v>
      </c>
      <c r="Q51" s="140" t="str">
        <f t="shared" ref="Q51:BE51" si="44">iferror(if(Q$9=FALSE,, if(if(search(Q$11,$B51,1)&gt;0,1,0)=1,$H51/$P51,)),"")</f>
        <v/>
      </c>
      <c r="R51" s="140" t="str">
        <f t="shared" si="44"/>
        <v/>
      </c>
      <c r="S51" s="140" t="str">
        <f t="shared" si="44"/>
        <v/>
      </c>
      <c r="T51" s="140" t="str">
        <f t="shared" si="44"/>
        <v/>
      </c>
      <c r="U51" s="140" t="str">
        <f t="shared" si="44"/>
        <v/>
      </c>
      <c r="V51" s="140" t="str">
        <f t="shared" si="44"/>
        <v/>
      </c>
      <c r="W51" s="140" t="str">
        <f t="shared" si="44"/>
        <v/>
      </c>
      <c r="X51" s="140" t="str">
        <f t="shared" si="44"/>
        <v/>
      </c>
      <c r="Y51" s="140" t="str">
        <f t="shared" si="44"/>
        <v/>
      </c>
      <c r="Z51" s="140" t="str">
        <f t="shared" si="44"/>
        <v/>
      </c>
      <c r="AA51" s="140" t="str">
        <f t="shared" si="44"/>
        <v/>
      </c>
      <c r="AB51" s="140" t="str">
        <f t="shared" si="44"/>
        <v/>
      </c>
      <c r="AC51" s="140" t="str">
        <f t="shared" si="44"/>
        <v/>
      </c>
      <c r="AD51" s="140" t="str">
        <f t="shared" si="44"/>
        <v/>
      </c>
      <c r="AE51" s="140" t="str">
        <f t="shared" si="44"/>
        <v/>
      </c>
      <c r="AF51" s="140" t="str">
        <f t="shared" si="44"/>
        <v/>
      </c>
      <c r="AG51" s="140" t="str">
        <f t="shared" si="44"/>
        <v/>
      </c>
      <c r="AH51" s="140" t="str">
        <f t="shared" si="44"/>
        <v/>
      </c>
      <c r="AI51" s="140" t="str">
        <f t="shared" si="44"/>
        <v/>
      </c>
      <c r="AJ51" s="140" t="str">
        <f t="shared" si="44"/>
        <v/>
      </c>
      <c r="AK51" s="140" t="str">
        <f t="shared" si="44"/>
        <v/>
      </c>
      <c r="AL51" s="140" t="str">
        <f t="shared" si="44"/>
        <v/>
      </c>
      <c r="AM51" s="140" t="str">
        <f t="shared" si="44"/>
        <v/>
      </c>
      <c r="AN51" s="140" t="str">
        <f t="shared" si="44"/>
        <v/>
      </c>
      <c r="AO51" s="140" t="str">
        <f t="shared" si="44"/>
        <v/>
      </c>
      <c r="AP51" s="140" t="str">
        <f t="shared" si="44"/>
        <v/>
      </c>
      <c r="AQ51" s="140" t="str">
        <f t="shared" si="44"/>
        <v/>
      </c>
      <c r="AR51" s="140" t="str">
        <f t="shared" si="44"/>
        <v/>
      </c>
      <c r="AS51" s="140" t="str">
        <f t="shared" si="44"/>
        <v/>
      </c>
      <c r="AT51" s="140" t="str">
        <f t="shared" si="44"/>
        <v/>
      </c>
      <c r="AU51" s="140" t="str">
        <f t="shared" si="44"/>
        <v/>
      </c>
      <c r="AV51" s="140" t="str">
        <f t="shared" si="44"/>
        <v/>
      </c>
      <c r="AW51" s="140" t="str">
        <f t="shared" si="44"/>
        <v/>
      </c>
      <c r="AX51" s="140" t="str">
        <f t="shared" si="44"/>
        <v/>
      </c>
      <c r="AY51" s="140" t="str">
        <f t="shared" si="44"/>
        <v/>
      </c>
      <c r="AZ51" s="140" t="str">
        <f t="shared" si="44"/>
        <v/>
      </c>
      <c r="BA51" s="140" t="str">
        <f t="shared" si="44"/>
        <v/>
      </c>
      <c r="BB51" s="140" t="str">
        <f t="shared" si="44"/>
        <v/>
      </c>
      <c r="BC51" s="140" t="str">
        <f t="shared" si="44"/>
        <v/>
      </c>
      <c r="BD51" s="140" t="str">
        <f t="shared" si="44"/>
        <v/>
      </c>
      <c r="BE51" s="140" t="str">
        <f t="shared" si="44"/>
        <v/>
      </c>
    </row>
    <row r="52" hidden="1">
      <c r="A52" s="108"/>
      <c r="B52" s="107" t="s">
        <v>13</v>
      </c>
      <c r="C52" s="202"/>
      <c r="D52" s="107" t="s">
        <v>266</v>
      </c>
      <c r="E52" s="107"/>
      <c r="F52" s="107" t="s">
        <v>290</v>
      </c>
      <c r="G52" s="208">
        <v>36595.0</v>
      </c>
      <c r="H52" s="204">
        <v>605.7</v>
      </c>
      <c r="I52" s="205">
        <v>45471.0</v>
      </c>
      <c r="J52" s="107" t="s">
        <v>268</v>
      </c>
      <c r="K52" s="202"/>
      <c r="L52" s="107" t="b">
        <v>0</v>
      </c>
      <c r="M52" s="204">
        <f t="shared" si="3"/>
        <v>0</v>
      </c>
      <c r="N52" s="206"/>
      <c r="O52" s="108" t="b">
        <f t="shared" si="4"/>
        <v>0</v>
      </c>
      <c r="P52" s="207">
        <f t="shared" si="5"/>
        <v>0</v>
      </c>
      <c r="Q52" s="140" t="str">
        <f t="shared" ref="Q52:BE52" si="45">iferror(if(Q$9=FALSE,, if(if(search(Q$11,$B52,1)&gt;0,1,0)=1,$H52/$P52,)),"")</f>
        <v/>
      </c>
      <c r="R52" s="140" t="str">
        <f t="shared" si="45"/>
        <v/>
      </c>
      <c r="S52" s="140" t="str">
        <f t="shared" si="45"/>
        <v/>
      </c>
      <c r="T52" s="140" t="str">
        <f t="shared" si="45"/>
        <v/>
      </c>
      <c r="U52" s="140" t="str">
        <f t="shared" si="45"/>
        <v/>
      </c>
      <c r="V52" s="140" t="str">
        <f t="shared" si="45"/>
        <v/>
      </c>
      <c r="W52" s="140" t="str">
        <f t="shared" si="45"/>
        <v/>
      </c>
      <c r="X52" s="140" t="str">
        <f t="shared" si="45"/>
        <v/>
      </c>
      <c r="Y52" s="140" t="str">
        <f t="shared" si="45"/>
        <v/>
      </c>
      <c r="Z52" s="140" t="str">
        <f t="shared" si="45"/>
        <v/>
      </c>
      <c r="AA52" s="140" t="str">
        <f t="shared" si="45"/>
        <v/>
      </c>
      <c r="AB52" s="140" t="str">
        <f t="shared" si="45"/>
        <v/>
      </c>
      <c r="AC52" s="140" t="str">
        <f t="shared" si="45"/>
        <v/>
      </c>
      <c r="AD52" s="140" t="str">
        <f t="shared" si="45"/>
        <v/>
      </c>
      <c r="AE52" s="140" t="str">
        <f t="shared" si="45"/>
        <v/>
      </c>
      <c r="AF52" s="140" t="str">
        <f t="shared" si="45"/>
        <v/>
      </c>
      <c r="AG52" s="140" t="str">
        <f t="shared" si="45"/>
        <v/>
      </c>
      <c r="AH52" s="140" t="str">
        <f t="shared" si="45"/>
        <v/>
      </c>
      <c r="AI52" s="140" t="str">
        <f t="shared" si="45"/>
        <v/>
      </c>
      <c r="AJ52" s="140" t="str">
        <f t="shared" si="45"/>
        <v/>
      </c>
      <c r="AK52" s="140" t="str">
        <f t="shared" si="45"/>
        <v/>
      </c>
      <c r="AL52" s="140" t="str">
        <f t="shared" si="45"/>
        <v/>
      </c>
      <c r="AM52" s="140" t="str">
        <f t="shared" si="45"/>
        <v/>
      </c>
      <c r="AN52" s="140" t="str">
        <f t="shared" si="45"/>
        <v/>
      </c>
      <c r="AO52" s="140" t="str">
        <f t="shared" si="45"/>
        <v/>
      </c>
      <c r="AP52" s="140" t="str">
        <f t="shared" si="45"/>
        <v/>
      </c>
      <c r="AQ52" s="140" t="str">
        <f t="shared" si="45"/>
        <v/>
      </c>
      <c r="AR52" s="140" t="str">
        <f t="shared" si="45"/>
        <v/>
      </c>
      <c r="AS52" s="140" t="str">
        <f t="shared" si="45"/>
        <v/>
      </c>
      <c r="AT52" s="140" t="str">
        <f t="shared" si="45"/>
        <v/>
      </c>
      <c r="AU52" s="140" t="str">
        <f t="shared" si="45"/>
        <v/>
      </c>
      <c r="AV52" s="140" t="str">
        <f t="shared" si="45"/>
        <v/>
      </c>
      <c r="AW52" s="140" t="str">
        <f t="shared" si="45"/>
        <v/>
      </c>
      <c r="AX52" s="140" t="str">
        <f t="shared" si="45"/>
        <v/>
      </c>
      <c r="AY52" s="140" t="str">
        <f t="shared" si="45"/>
        <v/>
      </c>
      <c r="AZ52" s="140" t="str">
        <f t="shared" si="45"/>
        <v/>
      </c>
      <c r="BA52" s="140" t="str">
        <f t="shared" si="45"/>
        <v/>
      </c>
      <c r="BB52" s="140" t="str">
        <f t="shared" si="45"/>
        <v/>
      </c>
      <c r="BC52" s="140" t="str">
        <f t="shared" si="45"/>
        <v/>
      </c>
      <c r="BD52" s="140" t="str">
        <f t="shared" si="45"/>
        <v/>
      </c>
      <c r="BE52" s="140" t="str">
        <f t="shared" si="45"/>
        <v/>
      </c>
    </row>
    <row r="53">
      <c r="A53" s="108"/>
      <c r="B53" s="107" t="s">
        <v>9</v>
      </c>
      <c r="C53" s="202"/>
      <c r="D53" s="107" t="s">
        <v>278</v>
      </c>
      <c r="E53" s="107"/>
      <c r="F53" s="107" t="s">
        <v>279</v>
      </c>
      <c r="G53" s="208">
        <v>112795.0</v>
      </c>
      <c r="H53" s="204">
        <v>8568.64</v>
      </c>
      <c r="I53" s="205">
        <v>45474.0</v>
      </c>
      <c r="J53" s="107" t="s">
        <v>304</v>
      </c>
      <c r="K53" s="202"/>
      <c r="L53" s="107" t="b">
        <v>1</v>
      </c>
      <c r="M53" s="204">
        <f t="shared" si="3"/>
        <v>8568.64</v>
      </c>
      <c r="N53" s="206"/>
      <c r="O53" s="108" t="b">
        <f t="shared" si="4"/>
        <v>1</v>
      </c>
      <c r="P53" s="207">
        <f t="shared" si="5"/>
        <v>1</v>
      </c>
      <c r="Q53" s="140" t="str">
        <f t="shared" ref="Q53:BE53" si="46">iferror(if(Q$9=FALSE,, if(if(search(Q$11,$B53,1)&gt;0,1,0)=1,$H53/$P53,)),"")</f>
        <v/>
      </c>
      <c r="R53" s="140" t="str">
        <f t="shared" si="46"/>
        <v/>
      </c>
      <c r="S53" s="140" t="str">
        <f t="shared" si="46"/>
        <v/>
      </c>
      <c r="T53" s="140" t="str">
        <f t="shared" si="46"/>
        <v/>
      </c>
      <c r="U53" s="140" t="str">
        <f t="shared" si="46"/>
        <v/>
      </c>
      <c r="V53" s="140" t="str">
        <f t="shared" si="46"/>
        <v/>
      </c>
      <c r="W53" s="140" t="str">
        <f t="shared" si="46"/>
        <v/>
      </c>
      <c r="X53" s="140" t="str">
        <f t="shared" si="46"/>
        <v/>
      </c>
      <c r="Y53" s="140" t="str">
        <f t="shared" si="46"/>
        <v/>
      </c>
      <c r="Z53" s="140">
        <f t="shared" si="46"/>
        <v>8568.64</v>
      </c>
      <c r="AA53" s="140" t="str">
        <f t="shared" si="46"/>
        <v/>
      </c>
      <c r="AB53" s="140" t="str">
        <f t="shared" si="46"/>
        <v/>
      </c>
      <c r="AC53" s="140" t="str">
        <f t="shared" si="46"/>
        <v/>
      </c>
      <c r="AD53" s="140" t="str">
        <f t="shared" si="46"/>
        <v/>
      </c>
      <c r="AE53" s="140" t="str">
        <f t="shared" si="46"/>
        <v/>
      </c>
      <c r="AF53" s="140" t="str">
        <f t="shared" si="46"/>
        <v/>
      </c>
      <c r="AG53" s="140" t="str">
        <f t="shared" si="46"/>
        <v/>
      </c>
      <c r="AH53" s="140" t="str">
        <f t="shared" si="46"/>
        <v/>
      </c>
      <c r="AI53" s="140" t="str">
        <f t="shared" si="46"/>
        <v/>
      </c>
      <c r="AJ53" s="140" t="str">
        <f t="shared" si="46"/>
        <v/>
      </c>
      <c r="AK53" s="140" t="str">
        <f t="shared" si="46"/>
        <v/>
      </c>
      <c r="AL53" s="140" t="str">
        <f t="shared" si="46"/>
        <v/>
      </c>
      <c r="AM53" s="140" t="str">
        <f t="shared" si="46"/>
        <v/>
      </c>
      <c r="AN53" s="140" t="str">
        <f t="shared" si="46"/>
        <v/>
      </c>
      <c r="AO53" s="140" t="str">
        <f t="shared" si="46"/>
        <v/>
      </c>
      <c r="AP53" s="140" t="str">
        <f t="shared" si="46"/>
        <v/>
      </c>
      <c r="AQ53" s="140" t="str">
        <f t="shared" si="46"/>
        <v/>
      </c>
      <c r="AR53" s="140" t="str">
        <f t="shared" si="46"/>
        <v/>
      </c>
      <c r="AS53" s="140" t="str">
        <f t="shared" si="46"/>
        <v/>
      </c>
      <c r="AT53" s="140" t="str">
        <f t="shared" si="46"/>
        <v/>
      </c>
      <c r="AU53" s="140" t="str">
        <f t="shared" si="46"/>
        <v/>
      </c>
      <c r="AV53" s="140" t="str">
        <f t="shared" si="46"/>
        <v/>
      </c>
      <c r="AW53" s="140" t="str">
        <f t="shared" si="46"/>
        <v/>
      </c>
      <c r="AX53" s="140" t="str">
        <f t="shared" si="46"/>
        <v/>
      </c>
      <c r="AY53" s="140" t="str">
        <f t="shared" si="46"/>
        <v/>
      </c>
      <c r="AZ53" s="140" t="str">
        <f t="shared" si="46"/>
        <v/>
      </c>
      <c r="BA53" s="140" t="str">
        <f t="shared" si="46"/>
        <v/>
      </c>
      <c r="BB53" s="140" t="str">
        <f t="shared" si="46"/>
        <v/>
      </c>
      <c r="BC53" s="140" t="str">
        <f t="shared" si="46"/>
        <v/>
      </c>
      <c r="BD53" s="140" t="str">
        <f t="shared" si="46"/>
        <v/>
      </c>
      <c r="BE53" s="140" t="str">
        <f t="shared" si="46"/>
        <v/>
      </c>
    </row>
    <row r="54">
      <c r="A54" s="108"/>
      <c r="B54" s="107" t="s">
        <v>3</v>
      </c>
      <c r="C54" s="202"/>
      <c r="D54" s="107" t="s">
        <v>269</v>
      </c>
      <c r="E54" s="107"/>
      <c r="F54" s="107" t="s">
        <v>270</v>
      </c>
      <c r="G54" s="208">
        <v>62838.0</v>
      </c>
      <c r="H54" s="204">
        <v>594.0</v>
      </c>
      <c r="I54" s="205">
        <v>45474.0</v>
      </c>
      <c r="J54" s="107" t="s">
        <v>305</v>
      </c>
      <c r="K54" s="202"/>
      <c r="L54" s="107" t="b">
        <v>1</v>
      </c>
      <c r="M54" s="204">
        <f t="shared" si="3"/>
        <v>594</v>
      </c>
      <c r="N54" s="206"/>
      <c r="O54" s="108" t="b">
        <f t="shared" si="4"/>
        <v>1</v>
      </c>
      <c r="P54" s="207">
        <f t="shared" si="5"/>
        <v>1</v>
      </c>
      <c r="Q54" s="140">
        <f t="shared" ref="Q54:BE54" si="47">iferror(if(Q$9=FALSE,, if(if(search(Q$11,$B54,1)&gt;0,1,0)=1,$H54/$P54,)),"")</f>
        <v>594</v>
      </c>
      <c r="R54" s="140" t="str">
        <f t="shared" si="47"/>
        <v/>
      </c>
      <c r="S54" s="140" t="str">
        <f t="shared" si="47"/>
        <v/>
      </c>
      <c r="T54" s="140" t="str">
        <f t="shared" si="47"/>
        <v/>
      </c>
      <c r="U54" s="140" t="str">
        <f t="shared" si="47"/>
        <v/>
      </c>
      <c r="V54" s="140" t="str">
        <f t="shared" si="47"/>
        <v/>
      </c>
      <c r="W54" s="140" t="str">
        <f t="shared" si="47"/>
        <v/>
      </c>
      <c r="X54" s="140" t="str">
        <f t="shared" si="47"/>
        <v/>
      </c>
      <c r="Y54" s="140" t="str">
        <f t="shared" si="47"/>
        <v/>
      </c>
      <c r="Z54" s="140" t="str">
        <f t="shared" si="47"/>
        <v/>
      </c>
      <c r="AA54" s="140" t="str">
        <f t="shared" si="47"/>
        <v/>
      </c>
      <c r="AB54" s="140" t="str">
        <f t="shared" si="47"/>
        <v/>
      </c>
      <c r="AC54" s="140" t="str">
        <f t="shared" si="47"/>
        <v/>
      </c>
      <c r="AD54" s="140" t="str">
        <f t="shared" si="47"/>
        <v/>
      </c>
      <c r="AE54" s="140" t="str">
        <f t="shared" si="47"/>
        <v/>
      </c>
      <c r="AF54" s="140" t="str">
        <f t="shared" si="47"/>
        <v/>
      </c>
      <c r="AG54" s="140" t="str">
        <f t="shared" si="47"/>
        <v/>
      </c>
      <c r="AH54" s="140" t="str">
        <f t="shared" si="47"/>
        <v/>
      </c>
      <c r="AI54" s="140" t="str">
        <f t="shared" si="47"/>
        <v/>
      </c>
      <c r="AJ54" s="140" t="str">
        <f t="shared" si="47"/>
        <v/>
      </c>
      <c r="AK54" s="140" t="str">
        <f t="shared" si="47"/>
        <v/>
      </c>
      <c r="AL54" s="140" t="str">
        <f t="shared" si="47"/>
        <v/>
      </c>
      <c r="AM54" s="140" t="str">
        <f t="shared" si="47"/>
        <v/>
      </c>
      <c r="AN54" s="140" t="str">
        <f t="shared" si="47"/>
        <v/>
      </c>
      <c r="AO54" s="140" t="str">
        <f t="shared" si="47"/>
        <v/>
      </c>
      <c r="AP54" s="140" t="str">
        <f t="shared" si="47"/>
        <v/>
      </c>
      <c r="AQ54" s="140" t="str">
        <f t="shared" si="47"/>
        <v/>
      </c>
      <c r="AR54" s="140" t="str">
        <f t="shared" si="47"/>
        <v/>
      </c>
      <c r="AS54" s="140" t="str">
        <f t="shared" si="47"/>
        <v/>
      </c>
      <c r="AT54" s="140" t="str">
        <f t="shared" si="47"/>
        <v/>
      </c>
      <c r="AU54" s="140" t="str">
        <f t="shared" si="47"/>
        <v/>
      </c>
      <c r="AV54" s="140" t="str">
        <f t="shared" si="47"/>
        <v/>
      </c>
      <c r="AW54" s="140" t="str">
        <f t="shared" si="47"/>
        <v/>
      </c>
      <c r="AX54" s="140" t="str">
        <f t="shared" si="47"/>
        <v/>
      </c>
      <c r="AY54" s="140" t="str">
        <f t="shared" si="47"/>
        <v/>
      </c>
      <c r="AZ54" s="140" t="str">
        <f t="shared" si="47"/>
        <v/>
      </c>
      <c r="BA54" s="140" t="str">
        <f t="shared" si="47"/>
        <v/>
      </c>
      <c r="BB54" s="140" t="str">
        <f t="shared" si="47"/>
        <v/>
      </c>
      <c r="BC54" s="140" t="str">
        <f t="shared" si="47"/>
        <v/>
      </c>
      <c r="BD54" s="140" t="str">
        <f t="shared" si="47"/>
        <v/>
      </c>
      <c r="BE54" s="140" t="str">
        <f t="shared" si="47"/>
        <v/>
      </c>
    </row>
    <row r="55">
      <c r="A55" s="108"/>
      <c r="B55" s="107" t="s">
        <v>7</v>
      </c>
      <c r="C55" s="107"/>
      <c r="D55" s="107" t="s">
        <v>278</v>
      </c>
      <c r="E55" s="107"/>
      <c r="F55" s="107" t="s">
        <v>279</v>
      </c>
      <c r="G55" s="208">
        <v>112826.0</v>
      </c>
      <c r="H55" s="204">
        <v>13854.86</v>
      </c>
      <c r="I55" s="205">
        <v>45474.0</v>
      </c>
      <c r="J55" s="107" t="s">
        <v>306</v>
      </c>
      <c r="K55" s="202"/>
      <c r="L55" s="107" t="b">
        <v>1</v>
      </c>
      <c r="M55" s="204">
        <f t="shared" si="3"/>
        <v>13854.86</v>
      </c>
      <c r="N55" s="206"/>
      <c r="O55" s="108" t="b">
        <f t="shared" si="4"/>
        <v>1</v>
      </c>
      <c r="P55" s="207">
        <f t="shared" si="5"/>
        <v>1</v>
      </c>
      <c r="Q55" s="140" t="str">
        <f t="shared" ref="Q55:BE55" si="48">iferror(if(Q$9=FALSE,, if(if(search(Q$11,$B55,1)&gt;0,1,0)=1,$H55/$P55,)),"")</f>
        <v/>
      </c>
      <c r="R55" s="140" t="str">
        <f t="shared" si="48"/>
        <v/>
      </c>
      <c r="S55" s="140" t="str">
        <f t="shared" si="48"/>
        <v/>
      </c>
      <c r="T55" s="140" t="str">
        <f t="shared" si="48"/>
        <v/>
      </c>
      <c r="U55" s="140" t="str">
        <f t="shared" si="48"/>
        <v/>
      </c>
      <c r="V55" s="140" t="str">
        <f t="shared" si="48"/>
        <v/>
      </c>
      <c r="W55" s="140">
        <f t="shared" si="48"/>
        <v>13854.86</v>
      </c>
      <c r="X55" s="140" t="str">
        <f t="shared" si="48"/>
        <v/>
      </c>
      <c r="Y55" s="140" t="str">
        <f t="shared" si="48"/>
        <v/>
      </c>
      <c r="Z55" s="140" t="str">
        <f t="shared" si="48"/>
        <v/>
      </c>
      <c r="AA55" s="140" t="str">
        <f t="shared" si="48"/>
        <v/>
      </c>
      <c r="AB55" s="140" t="str">
        <f t="shared" si="48"/>
        <v/>
      </c>
      <c r="AC55" s="140" t="str">
        <f t="shared" si="48"/>
        <v/>
      </c>
      <c r="AD55" s="140" t="str">
        <f t="shared" si="48"/>
        <v/>
      </c>
      <c r="AE55" s="140" t="str">
        <f t="shared" si="48"/>
        <v/>
      </c>
      <c r="AF55" s="140" t="str">
        <f t="shared" si="48"/>
        <v/>
      </c>
      <c r="AG55" s="140" t="str">
        <f t="shared" si="48"/>
        <v/>
      </c>
      <c r="AH55" s="140" t="str">
        <f t="shared" si="48"/>
        <v/>
      </c>
      <c r="AI55" s="140" t="str">
        <f t="shared" si="48"/>
        <v/>
      </c>
      <c r="AJ55" s="140" t="str">
        <f t="shared" si="48"/>
        <v/>
      </c>
      <c r="AK55" s="140" t="str">
        <f t="shared" si="48"/>
        <v/>
      </c>
      <c r="AL55" s="140" t="str">
        <f t="shared" si="48"/>
        <v/>
      </c>
      <c r="AM55" s="140" t="str">
        <f t="shared" si="48"/>
        <v/>
      </c>
      <c r="AN55" s="140" t="str">
        <f t="shared" si="48"/>
        <v/>
      </c>
      <c r="AO55" s="140" t="str">
        <f t="shared" si="48"/>
        <v/>
      </c>
      <c r="AP55" s="140" t="str">
        <f t="shared" si="48"/>
        <v/>
      </c>
      <c r="AQ55" s="140" t="str">
        <f t="shared" si="48"/>
        <v/>
      </c>
      <c r="AR55" s="140" t="str">
        <f t="shared" si="48"/>
        <v/>
      </c>
      <c r="AS55" s="140" t="str">
        <f t="shared" si="48"/>
        <v/>
      </c>
      <c r="AT55" s="140" t="str">
        <f t="shared" si="48"/>
        <v/>
      </c>
      <c r="AU55" s="140" t="str">
        <f t="shared" si="48"/>
        <v/>
      </c>
      <c r="AV55" s="140" t="str">
        <f t="shared" si="48"/>
        <v/>
      </c>
      <c r="AW55" s="140" t="str">
        <f t="shared" si="48"/>
        <v/>
      </c>
      <c r="AX55" s="140" t="str">
        <f t="shared" si="48"/>
        <v/>
      </c>
      <c r="AY55" s="140" t="str">
        <f t="shared" si="48"/>
        <v/>
      </c>
      <c r="AZ55" s="140" t="str">
        <f t="shared" si="48"/>
        <v/>
      </c>
      <c r="BA55" s="140" t="str">
        <f t="shared" si="48"/>
        <v/>
      </c>
      <c r="BB55" s="140" t="str">
        <f t="shared" si="48"/>
        <v/>
      </c>
      <c r="BC55" s="140" t="str">
        <f t="shared" si="48"/>
        <v/>
      </c>
      <c r="BD55" s="140" t="str">
        <f t="shared" si="48"/>
        <v/>
      </c>
      <c r="BE55" s="140" t="str">
        <f t="shared" si="48"/>
        <v/>
      </c>
    </row>
    <row r="56">
      <c r="A56" s="108"/>
      <c r="B56" s="107" t="s">
        <v>307</v>
      </c>
      <c r="C56" s="202"/>
      <c r="D56" s="107" t="s">
        <v>262</v>
      </c>
      <c r="E56" s="107"/>
      <c r="F56" s="107" t="s">
        <v>263</v>
      </c>
      <c r="G56" s="208">
        <v>78284.0</v>
      </c>
      <c r="H56" s="204">
        <v>131.7</v>
      </c>
      <c r="I56" s="205">
        <v>45475.0</v>
      </c>
      <c r="J56" s="107" t="s">
        <v>308</v>
      </c>
      <c r="K56" s="202"/>
      <c r="L56" s="107" t="b">
        <v>1</v>
      </c>
      <c r="M56" s="204">
        <f t="shared" si="3"/>
        <v>0</v>
      </c>
      <c r="N56" s="206"/>
      <c r="O56" s="108" t="b">
        <f t="shared" si="4"/>
        <v>0</v>
      </c>
      <c r="P56" s="207">
        <f t="shared" si="5"/>
        <v>2</v>
      </c>
      <c r="Q56" s="140" t="str">
        <f t="shared" ref="Q56:BE56" si="49">iferror(if(Q$9=FALSE,, if(if(search(Q$11,$B56,1)&gt;0,1,0)=1,$H56/$P56,)),"")</f>
        <v/>
      </c>
      <c r="R56" s="140" t="str">
        <f t="shared" si="49"/>
        <v/>
      </c>
      <c r="S56" s="140" t="str">
        <f t="shared" si="49"/>
        <v/>
      </c>
      <c r="T56" s="140" t="str">
        <f t="shared" si="49"/>
        <v/>
      </c>
      <c r="U56" s="140" t="str">
        <f t="shared" si="49"/>
        <v/>
      </c>
      <c r="V56" s="140" t="str">
        <f t="shared" si="49"/>
        <v/>
      </c>
      <c r="W56" s="140" t="str">
        <f t="shared" si="49"/>
        <v/>
      </c>
      <c r="X56" s="140" t="str">
        <f t="shared" si="49"/>
        <v/>
      </c>
      <c r="Y56" s="140" t="str">
        <f t="shared" si="49"/>
        <v/>
      </c>
      <c r="Z56" s="140" t="str">
        <f t="shared" si="49"/>
        <v/>
      </c>
      <c r="AA56" s="140" t="str">
        <f t="shared" si="49"/>
        <v/>
      </c>
      <c r="AB56" s="140" t="str">
        <f t="shared" si="49"/>
        <v/>
      </c>
      <c r="AC56" s="140" t="str">
        <f t="shared" si="49"/>
        <v/>
      </c>
      <c r="AD56" s="140" t="str">
        <f t="shared" si="49"/>
        <v/>
      </c>
      <c r="AE56" s="140" t="str">
        <f t="shared" si="49"/>
        <v/>
      </c>
      <c r="AF56" s="140" t="str">
        <f t="shared" si="49"/>
        <v/>
      </c>
      <c r="AG56" s="140" t="str">
        <f t="shared" si="49"/>
        <v/>
      </c>
      <c r="AH56" s="140" t="str">
        <f t="shared" si="49"/>
        <v/>
      </c>
      <c r="AI56" s="140" t="str">
        <f t="shared" si="49"/>
        <v/>
      </c>
      <c r="AJ56" s="140" t="str">
        <f t="shared" si="49"/>
        <v/>
      </c>
      <c r="AK56" s="140" t="str">
        <f t="shared" si="49"/>
        <v/>
      </c>
      <c r="AL56" s="140" t="str">
        <f t="shared" si="49"/>
        <v/>
      </c>
      <c r="AM56" s="140" t="str">
        <f t="shared" si="49"/>
        <v/>
      </c>
      <c r="AN56" s="140" t="str">
        <f t="shared" si="49"/>
        <v/>
      </c>
      <c r="AO56" s="140" t="str">
        <f t="shared" si="49"/>
        <v/>
      </c>
      <c r="AP56" s="140" t="str">
        <f t="shared" si="49"/>
        <v/>
      </c>
      <c r="AQ56" s="140" t="str">
        <f t="shared" si="49"/>
        <v/>
      </c>
      <c r="AR56" s="140" t="str">
        <f t="shared" si="49"/>
        <v/>
      </c>
      <c r="AS56" s="140" t="str">
        <f t="shared" si="49"/>
        <v/>
      </c>
      <c r="AT56" s="140" t="str">
        <f t="shared" si="49"/>
        <v/>
      </c>
      <c r="AU56" s="140" t="str">
        <f t="shared" si="49"/>
        <v/>
      </c>
      <c r="AV56" s="140" t="str">
        <f t="shared" si="49"/>
        <v/>
      </c>
      <c r="AW56" s="140" t="str">
        <f t="shared" si="49"/>
        <v/>
      </c>
      <c r="AX56" s="140" t="str">
        <f t="shared" si="49"/>
        <v/>
      </c>
      <c r="AY56" s="140" t="str">
        <f t="shared" si="49"/>
        <v/>
      </c>
      <c r="AZ56" s="140" t="str">
        <f t="shared" si="49"/>
        <v/>
      </c>
      <c r="BA56" s="140" t="str">
        <f t="shared" si="49"/>
        <v/>
      </c>
      <c r="BB56" s="140" t="str">
        <f t="shared" si="49"/>
        <v/>
      </c>
      <c r="BC56" s="140" t="str">
        <f t="shared" si="49"/>
        <v/>
      </c>
      <c r="BD56" s="140" t="str">
        <f t="shared" si="49"/>
        <v/>
      </c>
      <c r="BE56" s="140" t="str">
        <f t="shared" si="49"/>
        <v/>
      </c>
    </row>
    <row r="57">
      <c r="A57" s="108"/>
      <c r="B57" s="107" t="s">
        <v>7</v>
      </c>
      <c r="C57" s="202"/>
      <c r="D57" s="107" t="s">
        <v>309</v>
      </c>
      <c r="E57" s="107"/>
      <c r="F57" s="107" t="s">
        <v>256</v>
      </c>
      <c r="G57" s="208">
        <v>153707.0</v>
      </c>
      <c r="H57" s="204">
        <v>938.0</v>
      </c>
      <c r="I57" s="205">
        <v>45477.0</v>
      </c>
      <c r="J57" s="107" t="s">
        <v>310</v>
      </c>
      <c r="K57" s="202"/>
      <c r="L57" s="107" t="b">
        <v>1</v>
      </c>
      <c r="M57" s="204">
        <f t="shared" si="3"/>
        <v>938</v>
      </c>
      <c r="N57" s="206"/>
      <c r="O57" s="108" t="b">
        <f t="shared" si="4"/>
        <v>1</v>
      </c>
      <c r="P57" s="207">
        <f t="shared" si="5"/>
        <v>1</v>
      </c>
      <c r="Q57" s="140" t="str">
        <f t="shared" ref="Q57:BE57" si="50">iferror(if(Q$9=FALSE,, if(if(search(Q$11,$B57,1)&gt;0,1,0)=1,$H57/$P57,)),"")</f>
        <v/>
      </c>
      <c r="R57" s="140" t="str">
        <f t="shared" si="50"/>
        <v/>
      </c>
      <c r="S57" s="140" t="str">
        <f t="shared" si="50"/>
        <v/>
      </c>
      <c r="T57" s="140" t="str">
        <f t="shared" si="50"/>
        <v/>
      </c>
      <c r="U57" s="140" t="str">
        <f t="shared" si="50"/>
        <v/>
      </c>
      <c r="V57" s="140" t="str">
        <f t="shared" si="50"/>
        <v/>
      </c>
      <c r="W57" s="140">
        <f t="shared" si="50"/>
        <v>938</v>
      </c>
      <c r="X57" s="140" t="str">
        <f t="shared" si="50"/>
        <v/>
      </c>
      <c r="Y57" s="140" t="str">
        <f t="shared" si="50"/>
        <v/>
      </c>
      <c r="Z57" s="140" t="str">
        <f t="shared" si="50"/>
        <v/>
      </c>
      <c r="AA57" s="140" t="str">
        <f t="shared" si="50"/>
        <v/>
      </c>
      <c r="AB57" s="140" t="str">
        <f t="shared" si="50"/>
        <v/>
      </c>
      <c r="AC57" s="140" t="str">
        <f t="shared" si="50"/>
        <v/>
      </c>
      <c r="AD57" s="140" t="str">
        <f t="shared" si="50"/>
        <v/>
      </c>
      <c r="AE57" s="140" t="str">
        <f t="shared" si="50"/>
        <v/>
      </c>
      <c r="AF57" s="140" t="str">
        <f t="shared" si="50"/>
        <v/>
      </c>
      <c r="AG57" s="140" t="str">
        <f t="shared" si="50"/>
        <v/>
      </c>
      <c r="AH57" s="140" t="str">
        <f t="shared" si="50"/>
        <v/>
      </c>
      <c r="AI57" s="140" t="str">
        <f t="shared" si="50"/>
        <v/>
      </c>
      <c r="AJ57" s="140" t="str">
        <f t="shared" si="50"/>
        <v/>
      </c>
      <c r="AK57" s="140" t="str">
        <f t="shared" si="50"/>
        <v/>
      </c>
      <c r="AL57" s="140" t="str">
        <f t="shared" si="50"/>
        <v/>
      </c>
      <c r="AM57" s="140" t="str">
        <f t="shared" si="50"/>
        <v/>
      </c>
      <c r="AN57" s="140" t="str">
        <f t="shared" si="50"/>
        <v/>
      </c>
      <c r="AO57" s="140" t="str">
        <f t="shared" si="50"/>
        <v/>
      </c>
      <c r="AP57" s="140" t="str">
        <f t="shared" si="50"/>
        <v/>
      </c>
      <c r="AQ57" s="140" t="str">
        <f t="shared" si="50"/>
        <v/>
      </c>
      <c r="AR57" s="140" t="str">
        <f t="shared" si="50"/>
        <v/>
      </c>
      <c r="AS57" s="140" t="str">
        <f t="shared" si="50"/>
        <v/>
      </c>
      <c r="AT57" s="140" t="str">
        <f t="shared" si="50"/>
        <v/>
      </c>
      <c r="AU57" s="140" t="str">
        <f t="shared" si="50"/>
        <v/>
      </c>
      <c r="AV57" s="140" t="str">
        <f t="shared" si="50"/>
        <v/>
      </c>
      <c r="AW57" s="140" t="str">
        <f t="shared" si="50"/>
        <v/>
      </c>
      <c r="AX57" s="140" t="str">
        <f t="shared" si="50"/>
        <v/>
      </c>
      <c r="AY57" s="140" t="str">
        <f t="shared" si="50"/>
        <v/>
      </c>
      <c r="AZ57" s="140" t="str">
        <f t="shared" si="50"/>
        <v/>
      </c>
      <c r="BA57" s="140" t="str">
        <f t="shared" si="50"/>
        <v/>
      </c>
      <c r="BB57" s="140" t="str">
        <f t="shared" si="50"/>
        <v/>
      </c>
      <c r="BC57" s="140" t="str">
        <f t="shared" si="50"/>
        <v/>
      </c>
      <c r="BD57" s="140" t="str">
        <f t="shared" si="50"/>
        <v/>
      </c>
      <c r="BE57" s="140" t="str">
        <f t="shared" si="50"/>
        <v/>
      </c>
    </row>
    <row r="58">
      <c r="A58" s="108"/>
      <c r="B58" s="107" t="s">
        <v>3</v>
      </c>
      <c r="C58" s="202"/>
      <c r="D58" s="107" t="s">
        <v>292</v>
      </c>
      <c r="E58" s="107"/>
      <c r="F58" s="107" t="s">
        <v>293</v>
      </c>
      <c r="G58" s="208">
        <v>51496.0</v>
      </c>
      <c r="H58" s="204">
        <v>280.0</v>
      </c>
      <c r="I58" s="205">
        <v>45481.0</v>
      </c>
      <c r="J58" s="107" t="s">
        <v>311</v>
      </c>
      <c r="K58" s="202"/>
      <c r="L58" s="107" t="b">
        <v>1</v>
      </c>
      <c r="M58" s="204">
        <f t="shared" si="3"/>
        <v>280</v>
      </c>
      <c r="N58" s="206"/>
      <c r="O58" s="108" t="b">
        <f t="shared" si="4"/>
        <v>1</v>
      </c>
      <c r="P58" s="207">
        <f t="shared" si="5"/>
        <v>1</v>
      </c>
      <c r="Q58" s="140">
        <f t="shared" ref="Q58:BE58" si="51">iferror(if(Q$9=FALSE,, if(if(search(Q$11,$B58,1)&gt;0,1,0)=1,$H58/$P58,)),"")</f>
        <v>280</v>
      </c>
      <c r="R58" s="140" t="str">
        <f t="shared" si="51"/>
        <v/>
      </c>
      <c r="S58" s="140" t="str">
        <f t="shared" si="51"/>
        <v/>
      </c>
      <c r="T58" s="140" t="str">
        <f t="shared" si="51"/>
        <v/>
      </c>
      <c r="U58" s="140" t="str">
        <f t="shared" si="51"/>
        <v/>
      </c>
      <c r="V58" s="140" t="str">
        <f t="shared" si="51"/>
        <v/>
      </c>
      <c r="W58" s="140" t="str">
        <f t="shared" si="51"/>
        <v/>
      </c>
      <c r="X58" s="140" t="str">
        <f t="shared" si="51"/>
        <v/>
      </c>
      <c r="Y58" s="140" t="str">
        <f t="shared" si="51"/>
        <v/>
      </c>
      <c r="Z58" s="140" t="str">
        <f t="shared" si="51"/>
        <v/>
      </c>
      <c r="AA58" s="140" t="str">
        <f t="shared" si="51"/>
        <v/>
      </c>
      <c r="AB58" s="140" t="str">
        <f t="shared" si="51"/>
        <v/>
      </c>
      <c r="AC58" s="140" t="str">
        <f t="shared" si="51"/>
        <v/>
      </c>
      <c r="AD58" s="140" t="str">
        <f t="shared" si="51"/>
        <v/>
      </c>
      <c r="AE58" s="140" t="str">
        <f t="shared" si="51"/>
        <v/>
      </c>
      <c r="AF58" s="140" t="str">
        <f t="shared" si="51"/>
        <v/>
      </c>
      <c r="AG58" s="140" t="str">
        <f t="shared" si="51"/>
        <v/>
      </c>
      <c r="AH58" s="140" t="str">
        <f t="shared" si="51"/>
        <v/>
      </c>
      <c r="AI58" s="140" t="str">
        <f t="shared" si="51"/>
        <v/>
      </c>
      <c r="AJ58" s="140" t="str">
        <f t="shared" si="51"/>
        <v/>
      </c>
      <c r="AK58" s="140" t="str">
        <f t="shared" si="51"/>
        <v/>
      </c>
      <c r="AL58" s="140" t="str">
        <f t="shared" si="51"/>
        <v/>
      </c>
      <c r="AM58" s="140" t="str">
        <f t="shared" si="51"/>
        <v/>
      </c>
      <c r="AN58" s="140" t="str">
        <f t="shared" si="51"/>
        <v/>
      </c>
      <c r="AO58" s="140" t="str">
        <f t="shared" si="51"/>
        <v/>
      </c>
      <c r="AP58" s="140" t="str">
        <f t="shared" si="51"/>
        <v/>
      </c>
      <c r="AQ58" s="140" t="str">
        <f t="shared" si="51"/>
        <v/>
      </c>
      <c r="AR58" s="140" t="str">
        <f t="shared" si="51"/>
        <v/>
      </c>
      <c r="AS58" s="140" t="str">
        <f t="shared" si="51"/>
        <v/>
      </c>
      <c r="AT58" s="140" t="str">
        <f t="shared" si="51"/>
        <v/>
      </c>
      <c r="AU58" s="140" t="str">
        <f t="shared" si="51"/>
        <v/>
      </c>
      <c r="AV58" s="140" t="str">
        <f t="shared" si="51"/>
        <v/>
      </c>
      <c r="AW58" s="140" t="str">
        <f t="shared" si="51"/>
        <v/>
      </c>
      <c r="AX58" s="140" t="str">
        <f t="shared" si="51"/>
        <v/>
      </c>
      <c r="AY58" s="140" t="str">
        <f t="shared" si="51"/>
        <v/>
      </c>
      <c r="AZ58" s="140" t="str">
        <f t="shared" si="51"/>
        <v/>
      </c>
      <c r="BA58" s="140" t="str">
        <f t="shared" si="51"/>
        <v/>
      </c>
      <c r="BB58" s="140" t="str">
        <f t="shared" si="51"/>
        <v/>
      </c>
      <c r="BC58" s="140" t="str">
        <f t="shared" si="51"/>
        <v/>
      </c>
      <c r="BD58" s="140" t="str">
        <f t="shared" si="51"/>
        <v/>
      </c>
      <c r="BE58" s="140" t="str">
        <f t="shared" si="51"/>
        <v/>
      </c>
    </row>
    <row r="59">
      <c r="A59" s="108"/>
      <c r="B59" s="107" t="s">
        <v>3</v>
      </c>
      <c r="C59" s="107"/>
      <c r="D59" s="107" t="s">
        <v>285</v>
      </c>
      <c r="E59" s="107"/>
      <c r="F59" s="107" t="s">
        <v>286</v>
      </c>
      <c r="G59" s="208" t="s">
        <v>312</v>
      </c>
      <c r="H59" s="204">
        <v>28000.0</v>
      </c>
      <c r="I59" s="205">
        <v>45483.0</v>
      </c>
      <c r="J59" s="107" t="s">
        <v>313</v>
      </c>
      <c r="K59" s="202"/>
      <c r="L59" s="107" t="b">
        <v>1</v>
      </c>
      <c r="M59" s="204">
        <f t="shared" si="3"/>
        <v>28000</v>
      </c>
      <c r="N59" s="206"/>
      <c r="O59" s="108" t="b">
        <f t="shared" si="4"/>
        <v>1</v>
      </c>
      <c r="P59" s="207">
        <f t="shared" si="5"/>
        <v>1</v>
      </c>
      <c r="Q59" s="140">
        <f t="shared" ref="Q59:BE59" si="52">iferror(if(Q$9=FALSE,, if(if(search(Q$11,$B59,1)&gt;0,1,0)=1,$H59/$P59,)),"")</f>
        <v>28000</v>
      </c>
      <c r="R59" s="140" t="str">
        <f t="shared" si="52"/>
        <v/>
      </c>
      <c r="S59" s="140" t="str">
        <f t="shared" si="52"/>
        <v/>
      </c>
      <c r="T59" s="140" t="str">
        <f t="shared" si="52"/>
        <v/>
      </c>
      <c r="U59" s="140" t="str">
        <f t="shared" si="52"/>
        <v/>
      </c>
      <c r="V59" s="140" t="str">
        <f t="shared" si="52"/>
        <v/>
      </c>
      <c r="W59" s="140" t="str">
        <f t="shared" si="52"/>
        <v/>
      </c>
      <c r="X59" s="140" t="str">
        <f t="shared" si="52"/>
        <v/>
      </c>
      <c r="Y59" s="140" t="str">
        <f t="shared" si="52"/>
        <v/>
      </c>
      <c r="Z59" s="140" t="str">
        <f t="shared" si="52"/>
        <v/>
      </c>
      <c r="AA59" s="140" t="str">
        <f t="shared" si="52"/>
        <v/>
      </c>
      <c r="AB59" s="140" t="str">
        <f t="shared" si="52"/>
        <v/>
      </c>
      <c r="AC59" s="140" t="str">
        <f t="shared" si="52"/>
        <v/>
      </c>
      <c r="AD59" s="140" t="str">
        <f t="shared" si="52"/>
        <v/>
      </c>
      <c r="AE59" s="140" t="str">
        <f t="shared" si="52"/>
        <v/>
      </c>
      <c r="AF59" s="140" t="str">
        <f t="shared" si="52"/>
        <v/>
      </c>
      <c r="AG59" s="140" t="str">
        <f t="shared" si="52"/>
        <v/>
      </c>
      <c r="AH59" s="140" t="str">
        <f t="shared" si="52"/>
        <v/>
      </c>
      <c r="AI59" s="140" t="str">
        <f t="shared" si="52"/>
        <v/>
      </c>
      <c r="AJ59" s="140" t="str">
        <f t="shared" si="52"/>
        <v/>
      </c>
      <c r="AK59" s="140" t="str">
        <f t="shared" si="52"/>
        <v/>
      </c>
      <c r="AL59" s="140" t="str">
        <f t="shared" si="52"/>
        <v/>
      </c>
      <c r="AM59" s="140" t="str">
        <f t="shared" si="52"/>
        <v/>
      </c>
      <c r="AN59" s="140" t="str">
        <f t="shared" si="52"/>
        <v/>
      </c>
      <c r="AO59" s="140" t="str">
        <f t="shared" si="52"/>
        <v/>
      </c>
      <c r="AP59" s="140" t="str">
        <f t="shared" si="52"/>
        <v/>
      </c>
      <c r="AQ59" s="140" t="str">
        <f t="shared" si="52"/>
        <v/>
      </c>
      <c r="AR59" s="140" t="str">
        <f t="shared" si="52"/>
        <v/>
      </c>
      <c r="AS59" s="140" t="str">
        <f t="shared" si="52"/>
        <v/>
      </c>
      <c r="AT59" s="140" t="str">
        <f t="shared" si="52"/>
        <v/>
      </c>
      <c r="AU59" s="140" t="str">
        <f t="shared" si="52"/>
        <v/>
      </c>
      <c r="AV59" s="140" t="str">
        <f t="shared" si="52"/>
        <v/>
      </c>
      <c r="AW59" s="140" t="str">
        <f t="shared" si="52"/>
        <v/>
      </c>
      <c r="AX59" s="140" t="str">
        <f t="shared" si="52"/>
        <v/>
      </c>
      <c r="AY59" s="140" t="str">
        <f t="shared" si="52"/>
        <v/>
      </c>
      <c r="AZ59" s="140" t="str">
        <f t="shared" si="52"/>
        <v/>
      </c>
      <c r="BA59" s="140" t="str">
        <f t="shared" si="52"/>
        <v/>
      </c>
      <c r="BB59" s="140" t="str">
        <f t="shared" si="52"/>
        <v/>
      </c>
      <c r="BC59" s="140" t="str">
        <f t="shared" si="52"/>
        <v/>
      </c>
      <c r="BD59" s="140" t="str">
        <f t="shared" si="52"/>
        <v/>
      </c>
      <c r="BE59" s="140" t="str">
        <f t="shared" si="52"/>
        <v/>
      </c>
    </row>
    <row r="60">
      <c r="A60" s="108"/>
      <c r="B60" s="107" t="s">
        <v>9</v>
      </c>
      <c r="C60" s="107"/>
      <c r="D60" s="107" t="s">
        <v>309</v>
      </c>
      <c r="E60" s="107"/>
      <c r="F60" s="107" t="s">
        <v>256</v>
      </c>
      <c r="G60" s="208">
        <v>153781.0</v>
      </c>
      <c r="H60" s="204">
        <v>1792.0</v>
      </c>
      <c r="I60" s="205">
        <v>45483.0</v>
      </c>
      <c r="J60" s="107" t="s">
        <v>314</v>
      </c>
      <c r="K60" s="202"/>
      <c r="L60" s="107" t="b">
        <v>1</v>
      </c>
      <c r="M60" s="204">
        <f t="shared" si="3"/>
        <v>1792</v>
      </c>
      <c r="N60" s="206"/>
      <c r="O60" s="108" t="b">
        <f t="shared" si="4"/>
        <v>1</v>
      </c>
      <c r="P60" s="207">
        <f t="shared" si="5"/>
        <v>1</v>
      </c>
      <c r="Q60" s="140" t="str">
        <f t="shared" ref="Q60:BE60" si="53">iferror(if(Q$9=FALSE,, if(if(search(Q$11,$B60,1)&gt;0,1,0)=1,$H60/$P60,)),"")</f>
        <v/>
      </c>
      <c r="R60" s="140" t="str">
        <f t="shared" si="53"/>
        <v/>
      </c>
      <c r="S60" s="140" t="str">
        <f t="shared" si="53"/>
        <v/>
      </c>
      <c r="T60" s="140" t="str">
        <f t="shared" si="53"/>
        <v/>
      </c>
      <c r="U60" s="140" t="str">
        <f t="shared" si="53"/>
        <v/>
      </c>
      <c r="V60" s="140" t="str">
        <f t="shared" si="53"/>
        <v/>
      </c>
      <c r="W60" s="140" t="str">
        <f t="shared" si="53"/>
        <v/>
      </c>
      <c r="X60" s="140" t="str">
        <f t="shared" si="53"/>
        <v/>
      </c>
      <c r="Y60" s="140" t="str">
        <f t="shared" si="53"/>
        <v/>
      </c>
      <c r="Z60" s="140">
        <f t="shared" si="53"/>
        <v>1792</v>
      </c>
      <c r="AA60" s="140" t="str">
        <f t="shared" si="53"/>
        <v/>
      </c>
      <c r="AB60" s="140" t="str">
        <f t="shared" si="53"/>
        <v/>
      </c>
      <c r="AC60" s="140" t="str">
        <f t="shared" si="53"/>
        <v/>
      </c>
      <c r="AD60" s="140" t="str">
        <f t="shared" si="53"/>
        <v/>
      </c>
      <c r="AE60" s="140" t="str">
        <f t="shared" si="53"/>
        <v/>
      </c>
      <c r="AF60" s="140" t="str">
        <f t="shared" si="53"/>
        <v/>
      </c>
      <c r="AG60" s="140" t="str">
        <f t="shared" si="53"/>
        <v/>
      </c>
      <c r="AH60" s="140" t="str">
        <f t="shared" si="53"/>
        <v/>
      </c>
      <c r="AI60" s="140" t="str">
        <f t="shared" si="53"/>
        <v/>
      </c>
      <c r="AJ60" s="140" t="str">
        <f t="shared" si="53"/>
        <v/>
      </c>
      <c r="AK60" s="140" t="str">
        <f t="shared" si="53"/>
        <v/>
      </c>
      <c r="AL60" s="140" t="str">
        <f t="shared" si="53"/>
        <v/>
      </c>
      <c r="AM60" s="140" t="str">
        <f t="shared" si="53"/>
        <v/>
      </c>
      <c r="AN60" s="140" t="str">
        <f t="shared" si="53"/>
        <v/>
      </c>
      <c r="AO60" s="140" t="str">
        <f t="shared" si="53"/>
        <v/>
      </c>
      <c r="AP60" s="140" t="str">
        <f t="shared" si="53"/>
        <v/>
      </c>
      <c r="AQ60" s="140" t="str">
        <f t="shared" si="53"/>
        <v/>
      </c>
      <c r="AR60" s="140" t="str">
        <f t="shared" si="53"/>
        <v/>
      </c>
      <c r="AS60" s="140" t="str">
        <f t="shared" si="53"/>
        <v/>
      </c>
      <c r="AT60" s="140" t="str">
        <f t="shared" si="53"/>
        <v/>
      </c>
      <c r="AU60" s="140" t="str">
        <f t="shared" si="53"/>
        <v/>
      </c>
      <c r="AV60" s="140" t="str">
        <f t="shared" si="53"/>
        <v/>
      </c>
      <c r="AW60" s="140" t="str">
        <f t="shared" si="53"/>
        <v/>
      </c>
      <c r="AX60" s="140" t="str">
        <f t="shared" si="53"/>
        <v/>
      </c>
      <c r="AY60" s="140" t="str">
        <f t="shared" si="53"/>
        <v/>
      </c>
      <c r="AZ60" s="140" t="str">
        <f t="shared" si="53"/>
        <v/>
      </c>
      <c r="BA60" s="140" t="str">
        <f t="shared" si="53"/>
        <v/>
      </c>
      <c r="BB60" s="140" t="str">
        <f t="shared" si="53"/>
        <v/>
      </c>
      <c r="BC60" s="140" t="str">
        <f t="shared" si="53"/>
        <v/>
      </c>
      <c r="BD60" s="140" t="str">
        <f t="shared" si="53"/>
        <v/>
      </c>
      <c r="BE60" s="140" t="str">
        <f t="shared" si="53"/>
        <v/>
      </c>
    </row>
    <row r="61">
      <c r="A61" s="108"/>
      <c r="B61" s="107" t="s">
        <v>3</v>
      </c>
      <c r="C61" s="202"/>
      <c r="D61" s="107" t="s">
        <v>269</v>
      </c>
      <c r="E61" s="107"/>
      <c r="F61" s="107" t="s">
        <v>270</v>
      </c>
      <c r="G61" s="208">
        <v>63138.0</v>
      </c>
      <c r="H61" s="204">
        <v>297.0</v>
      </c>
      <c r="I61" s="205">
        <v>45483.0</v>
      </c>
      <c r="J61" s="107" t="s">
        <v>315</v>
      </c>
      <c r="K61" s="202"/>
      <c r="L61" s="107" t="b">
        <v>1</v>
      </c>
      <c r="M61" s="204">
        <f t="shared" si="3"/>
        <v>297</v>
      </c>
      <c r="N61" s="206"/>
      <c r="O61" s="108" t="b">
        <f t="shared" si="4"/>
        <v>1</v>
      </c>
      <c r="P61" s="207">
        <f t="shared" si="5"/>
        <v>1</v>
      </c>
      <c r="Q61" s="140">
        <f t="shared" ref="Q61:BE61" si="54">iferror(if(Q$9=FALSE,, if(if(search(Q$11,$B61,1)&gt;0,1,0)=1,$H61/$P61,)),"")</f>
        <v>297</v>
      </c>
      <c r="R61" s="140" t="str">
        <f t="shared" si="54"/>
        <v/>
      </c>
      <c r="S61" s="140" t="str">
        <f t="shared" si="54"/>
        <v/>
      </c>
      <c r="T61" s="140" t="str">
        <f t="shared" si="54"/>
        <v/>
      </c>
      <c r="U61" s="140" t="str">
        <f t="shared" si="54"/>
        <v/>
      </c>
      <c r="V61" s="140" t="str">
        <f t="shared" si="54"/>
        <v/>
      </c>
      <c r="W61" s="140" t="str">
        <f t="shared" si="54"/>
        <v/>
      </c>
      <c r="X61" s="140" t="str">
        <f t="shared" si="54"/>
        <v/>
      </c>
      <c r="Y61" s="140" t="str">
        <f t="shared" si="54"/>
        <v/>
      </c>
      <c r="Z61" s="140" t="str">
        <f t="shared" si="54"/>
        <v/>
      </c>
      <c r="AA61" s="140" t="str">
        <f t="shared" si="54"/>
        <v/>
      </c>
      <c r="AB61" s="140" t="str">
        <f t="shared" si="54"/>
        <v/>
      </c>
      <c r="AC61" s="140" t="str">
        <f t="shared" si="54"/>
        <v/>
      </c>
      <c r="AD61" s="140" t="str">
        <f t="shared" si="54"/>
        <v/>
      </c>
      <c r="AE61" s="140" t="str">
        <f t="shared" si="54"/>
        <v/>
      </c>
      <c r="AF61" s="140" t="str">
        <f t="shared" si="54"/>
        <v/>
      </c>
      <c r="AG61" s="140" t="str">
        <f t="shared" si="54"/>
        <v/>
      </c>
      <c r="AH61" s="140" t="str">
        <f t="shared" si="54"/>
        <v/>
      </c>
      <c r="AI61" s="140" t="str">
        <f t="shared" si="54"/>
        <v/>
      </c>
      <c r="AJ61" s="140" t="str">
        <f t="shared" si="54"/>
        <v/>
      </c>
      <c r="AK61" s="140" t="str">
        <f t="shared" si="54"/>
        <v/>
      </c>
      <c r="AL61" s="140" t="str">
        <f t="shared" si="54"/>
        <v/>
      </c>
      <c r="AM61" s="140" t="str">
        <f t="shared" si="54"/>
        <v/>
      </c>
      <c r="AN61" s="140" t="str">
        <f t="shared" si="54"/>
        <v/>
      </c>
      <c r="AO61" s="140" t="str">
        <f t="shared" si="54"/>
        <v/>
      </c>
      <c r="AP61" s="140" t="str">
        <f t="shared" si="54"/>
        <v/>
      </c>
      <c r="AQ61" s="140" t="str">
        <f t="shared" si="54"/>
        <v/>
      </c>
      <c r="AR61" s="140" t="str">
        <f t="shared" si="54"/>
        <v/>
      </c>
      <c r="AS61" s="140" t="str">
        <f t="shared" si="54"/>
        <v/>
      </c>
      <c r="AT61" s="140" t="str">
        <f t="shared" si="54"/>
        <v/>
      </c>
      <c r="AU61" s="140" t="str">
        <f t="shared" si="54"/>
        <v/>
      </c>
      <c r="AV61" s="140" t="str">
        <f t="shared" si="54"/>
        <v/>
      </c>
      <c r="AW61" s="140" t="str">
        <f t="shared" si="54"/>
        <v/>
      </c>
      <c r="AX61" s="140" t="str">
        <f t="shared" si="54"/>
        <v/>
      </c>
      <c r="AY61" s="140" t="str">
        <f t="shared" si="54"/>
        <v/>
      </c>
      <c r="AZ61" s="140" t="str">
        <f t="shared" si="54"/>
        <v/>
      </c>
      <c r="BA61" s="140" t="str">
        <f t="shared" si="54"/>
        <v/>
      </c>
      <c r="BB61" s="140" t="str">
        <f t="shared" si="54"/>
        <v/>
      </c>
      <c r="BC61" s="140" t="str">
        <f t="shared" si="54"/>
        <v/>
      </c>
      <c r="BD61" s="140" t="str">
        <f t="shared" si="54"/>
        <v/>
      </c>
      <c r="BE61" s="140" t="str">
        <f t="shared" si="54"/>
        <v/>
      </c>
    </row>
    <row r="62">
      <c r="A62" s="108"/>
      <c r="B62" s="107" t="s">
        <v>3</v>
      </c>
      <c r="C62" s="202"/>
      <c r="D62" s="107" t="s">
        <v>262</v>
      </c>
      <c r="E62" s="107"/>
      <c r="F62" s="107" t="s">
        <v>263</v>
      </c>
      <c r="G62" s="208">
        <v>78563.0</v>
      </c>
      <c r="H62" s="204">
        <v>175.0</v>
      </c>
      <c r="I62" s="205">
        <v>45490.0</v>
      </c>
      <c r="J62" s="107" t="s">
        <v>308</v>
      </c>
      <c r="K62" s="202"/>
      <c r="L62" s="107" t="b">
        <v>1</v>
      </c>
      <c r="M62" s="204">
        <f t="shared" si="3"/>
        <v>175</v>
      </c>
      <c r="N62" s="206"/>
      <c r="O62" s="108" t="b">
        <f t="shared" si="4"/>
        <v>1</v>
      </c>
      <c r="P62" s="207">
        <f t="shared" si="5"/>
        <v>1</v>
      </c>
      <c r="Q62" s="140">
        <f t="shared" ref="Q62:BE62" si="55">iferror(if(Q$9=FALSE,, if(if(search(Q$11,$B62,1)&gt;0,1,0)=1,$H62/$P62,)),"")</f>
        <v>175</v>
      </c>
      <c r="R62" s="140" t="str">
        <f t="shared" si="55"/>
        <v/>
      </c>
      <c r="S62" s="140" t="str">
        <f t="shared" si="55"/>
        <v/>
      </c>
      <c r="T62" s="140" t="str">
        <f t="shared" si="55"/>
        <v/>
      </c>
      <c r="U62" s="140" t="str">
        <f t="shared" si="55"/>
        <v/>
      </c>
      <c r="V62" s="140" t="str">
        <f t="shared" si="55"/>
        <v/>
      </c>
      <c r="W62" s="140" t="str">
        <f t="shared" si="55"/>
        <v/>
      </c>
      <c r="X62" s="140" t="str">
        <f t="shared" si="55"/>
        <v/>
      </c>
      <c r="Y62" s="140" t="str">
        <f t="shared" si="55"/>
        <v/>
      </c>
      <c r="Z62" s="140" t="str">
        <f t="shared" si="55"/>
        <v/>
      </c>
      <c r="AA62" s="140" t="str">
        <f t="shared" si="55"/>
        <v/>
      </c>
      <c r="AB62" s="140" t="str">
        <f t="shared" si="55"/>
        <v/>
      </c>
      <c r="AC62" s="140" t="str">
        <f t="shared" si="55"/>
        <v/>
      </c>
      <c r="AD62" s="140" t="str">
        <f t="shared" si="55"/>
        <v/>
      </c>
      <c r="AE62" s="140" t="str">
        <f t="shared" si="55"/>
        <v/>
      </c>
      <c r="AF62" s="140" t="str">
        <f t="shared" si="55"/>
        <v/>
      </c>
      <c r="AG62" s="140" t="str">
        <f t="shared" si="55"/>
        <v/>
      </c>
      <c r="AH62" s="140" t="str">
        <f t="shared" si="55"/>
        <v/>
      </c>
      <c r="AI62" s="140" t="str">
        <f t="shared" si="55"/>
        <v/>
      </c>
      <c r="AJ62" s="140" t="str">
        <f t="shared" si="55"/>
        <v/>
      </c>
      <c r="AK62" s="140" t="str">
        <f t="shared" si="55"/>
        <v/>
      </c>
      <c r="AL62" s="140" t="str">
        <f t="shared" si="55"/>
        <v/>
      </c>
      <c r="AM62" s="140" t="str">
        <f t="shared" si="55"/>
        <v/>
      </c>
      <c r="AN62" s="140" t="str">
        <f t="shared" si="55"/>
        <v/>
      </c>
      <c r="AO62" s="140" t="str">
        <f t="shared" si="55"/>
        <v/>
      </c>
      <c r="AP62" s="140" t="str">
        <f t="shared" si="55"/>
        <v/>
      </c>
      <c r="AQ62" s="140" t="str">
        <f t="shared" si="55"/>
        <v/>
      </c>
      <c r="AR62" s="140" t="str">
        <f t="shared" si="55"/>
        <v/>
      </c>
      <c r="AS62" s="140" t="str">
        <f t="shared" si="55"/>
        <v/>
      </c>
      <c r="AT62" s="140" t="str">
        <f t="shared" si="55"/>
        <v/>
      </c>
      <c r="AU62" s="140" t="str">
        <f t="shared" si="55"/>
        <v/>
      </c>
      <c r="AV62" s="140" t="str">
        <f t="shared" si="55"/>
        <v/>
      </c>
      <c r="AW62" s="140" t="str">
        <f t="shared" si="55"/>
        <v/>
      </c>
      <c r="AX62" s="140" t="str">
        <f t="shared" si="55"/>
        <v/>
      </c>
      <c r="AY62" s="140" t="str">
        <f t="shared" si="55"/>
        <v/>
      </c>
      <c r="AZ62" s="140" t="str">
        <f t="shared" si="55"/>
        <v/>
      </c>
      <c r="BA62" s="140" t="str">
        <f t="shared" si="55"/>
        <v/>
      </c>
      <c r="BB62" s="140" t="str">
        <f t="shared" si="55"/>
        <v/>
      </c>
      <c r="BC62" s="140" t="str">
        <f t="shared" si="55"/>
        <v/>
      </c>
      <c r="BD62" s="140" t="str">
        <f t="shared" si="55"/>
        <v/>
      </c>
      <c r="BE62" s="140" t="str">
        <f t="shared" si="55"/>
        <v/>
      </c>
    </row>
    <row r="63" hidden="1">
      <c r="A63" s="108"/>
      <c r="B63" s="107" t="s">
        <v>13</v>
      </c>
      <c r="C63" s="202"/>
      <c r="D63" s="107" t="s">
        <v>266</v>
      </c>
      <c r="E63" s="107"/>
      <c r="F63" s="107" t="s">
        <v>290</v>
      </c>
      <c r="G63" s="208">
        <v>37700.0</v>
      </c>
      <c r="H63" s="204">
        <v>305.8</v>
      </c>
      <c r="I63" s="205">
        <v>45489.0</v>
      </c>
      <c r="J63" s="107" t="s">
        <v>268</v>
      </c>
      <c r="K63" s="202"/>
      <c r="L63" s="107" t="b">
        <v>0</v>
      </c>
      <c r="M63" s="204">
        <f t="shared" si="3"/>
        <v>0</v>
      </c>
      <c r="N63" s="206"/>
      <c r="O63" s="108" t="b">
        <f t="shared" si="4"/>
        <v>0</v>
      </c>
      <c r="P63" s="207">
        <f t="shared" si="5"/>
        <v>0</v>
      </c>
      <c r="Q63" s="140" t="str">
        <f t="shared" ref="Q63:BE63" si="56">iferror(if(Q$9=FALSE,, if(if(search(Q$11,$B63,1)&gt;0,1,0)=1,$H63/$P63,)),"")</f>
        <v/>
      </c>
      <c r="R63" s="140" t="str">
        <f t="shared" si="56"/>
        <v/>
      </c>
      <c r="S63" s="140" t="str">
        <f t="shared" si="56"/>
        <v/>
      </c>
      <c r="T63" s="140" t="str">
        <f t="shared" si="56"/>
        <v/>
      </c>
      <c r="U63" s="140" t="str">
        <f t="shared" si="56"/>
        <v/>
      </c>
      <c r="V63" s="140" t="str">
        <f t="shared" si="56"/>
        <v/>
      </c>
      <c r="W63" s="140" t="str">
        <f t="shared" si="56"/>
        <v/>
      </c>
      <c r="X63" s="140" t="str">
        <f t="shared" si="56"/>
        <v/>
      </c>
      <c r="Y63" s="140" t="str">
        <f t="shared" si="56"/>
        <v/>
      </c>
      <c r="Z63" s="140" t="str">
        <f t="shared" si="56"/>
        <v/>
      </c>
      <c r="AA63" s="140" t="str">
        <f t="shared" si="56"/>
        <v/>
      </c>
      <c r="AB63" s="140" t="str">
        <f t="shared" si="56"/>
        <v/>
      </c>
      <c r="AC63" s="140" t="str">
        <f t="shared" si="56"/>
        <v/>
      </c>
      <c r="AD63" s="140" t="str">
        <f t="shared" si="56"/>
        <v/>
      </c>
      <c r="AE63" s="140" t="str">
        <f t="shared" si="56"/>
        <v/>
      </c>
      <c r="AF63" s="140" t="str">
        <f t="shared" si="56"/>
        <v/>
      </c>
      <c r="AG63" s="140" t="str">
        <f t="shared" si="56"/>
        <v/>
      </c>
      <c r="AH63" s="140" t="str">
        <f t="shared" si="56"/>
        <v/>
      </c>
      <c r="AI63" s="140" t="str">
        <f t="shared" si="56"/>
        <v/>
      </c>
      <c r="AJ63" s="140" t="str">
        <f t="shared" si="56"/>
        <v/>
      </c>
      <c r="AK63" s="140" t="str">
        <f t="shared" si="56"/>
        <v/>
      </c>
      <c r="AL63" s="140" t="str">
        <f t="shared" si="56"/>
        <v/>
      </c>
      <c r="AM63" s="140" t="str">
        <f t="shared" si="56"/>
        <v/>
      </c>
      <c r="AN63" s="140" t="str">
        <f t="shared" si="56"/>
        <v/>
      </c>
      <c r="AO63" s="140" t="str">
        <f t="shared" si="56"/>
        <v/>
      </c>
      <c r="AP63" s="140" t="str">
        <f t="shared" si="56"/>
        <v/>
      </c>
      <c r="AQ63" s="140" t="str">
        <f t="shared" si="56"/>
        <v/>
      </c>
      <c r="AR63" s="140" t="str">
        <f t="shared" si="56"/>
        <v/>
      </c>
      <c r="AS63" s="140" t="str">
        <f t="shared" si="56"/>
        <v/>
      </c>
      <c r="AT63" s="140" t="str">
        <f t="shared" si="56"/>
        <v/>
      </c>
      <c r="AU63" s="140" t="str">
        <f t="shared" si="56"/>
        <v/>
      </c>
      <c r="AV63" s="140" t="str">
        <f t="shared" si="56"/>
        <v/>
      </c>
      <c r="AW63" s="140" t="str">
        <f t="shared" si="56"/>
        <v/>
      </c>
      <c r="AX63" s="140" t="str">
        <f t="shared" si="56"/>
        <v/>
      </c>
      <c r="AY63" s="140" t="str">
        <f t="shared" si="56"/>
        <v/>
      </c>
      <c r="AZ63" s="140" t="str">
        <f t="shared" si="56"/>
        <v/>
      </c>
      <c r="BA63" s="140" t="str">
        <f t="shared" si="56"/>
        <v/>
      </c>
      <c r="BB63" s="140" t="str">
        <f t="shared" si="56"/>
        <v/>
      </c>
      <c r="BC63" s="140" t="str">
        <f t="shared" si="56"/>
        <v/>
      </c>
      <c r="BD63" s="140" t="str">
        <f t="shared" si="56"/>
        <v/>
      </c>
      <c r="BE63" s="140" t="str">
        <f t="shared" si="56"/>
        <v/>
      </c>
    </row>
    <row r="64">
      <c r="A64" s="108"/>
      <c r="B64" s="107" t="s">
        <v>9</v>
      </c>
      <c r="C64" s="202"/>
      <c r="D64" s="107" t="s">
        <v>309</v>
      </c>
      <c r="E64" s="107"/>
      <c r="F64" s="107" t="s">
        <v>256</v>
      </c>
      <c r="G64" s="208">
        <v>154224.0</v>
      </c>
      <c r="H64" s="204">
        <v>3584.0</v>
      </c>
      <c r="I64" s="205">
        <v>45505.0</v>
      </c>
      <c r="J64" s="107" t="s">
        <v>314</v>
      </c>
      <c r="K64" s="202"/>
      <c r="L64" s="107" t="b">
        <v>1</v>
      </c>
      <c r="M64" s="204">
        <f t="shared" si="3"/>
        <v>3584</v>
      </c>
      <c r="N64" s="206"/>
      <c r="O64" s="108" t="b">
        <f t="shared" si="4"/>
        <v>1</v>
      </c>
      <c r="P64" s="207">
        <f t="shared" si="5"/>
        <v>1</v>
      </c>
      <c r="Q64" s="140" t="str">
        <f t="shared" ref="Q64:BE64" si="57">iferror(if(Q$9=FALSE,, if(if(search(Q$11,$B64,1)&gt;0,1,0)=1,$H64/$P64,)),"")</f>
        <v/>
      </c>
      <c r="R64" s="140" t="str">
        <f t="shared" si="57"/>
        <v/>
      </c>
      <c r="S64" s="140" t="str">
        <f t="shared" si="57"/>
        <v/>
      </c>
      <c r="T64" s="140" t="str">
        <f t="shared" si="57"/>
        <v/>
      </c>
      <c r="U64" s="140" t="str">
        <f t="shared" si="57"/>
        <v/>
      </c>
      <c r="V64" s="140" t="str">
        <f t="shared" si="57"/>
        <v/>
      </c>
      <c r="W64" s="140" t="str">
        <f t="shared" si="57"/>
        <v/>
      </c>
      <c r="X64" s="140" t="str">
        <f t="shared" si="57"/>
        <v/>
      </c>
      <c r="Y64" s="140" t="str">
        <f t="shared" si="57"/>
        <v/>
      </c>
      <c r="Z64" s="140">
        <f t="shared" si="57"/>
        <v>3584</v>
      </c>
      <c r="AA64" s="140" t="str">
        <f t="shared" si="57"/>
        <v/>
      </c>
      <c r="AB64" s="140" t="str">
        <f t="shared" si="57"/>
        <v/>
      </c>
      <c r="AC64" s="140" t="str">
        <f t="shared" si="57"/>
        <v/>
      </c>
      <c r="AD64" s="140" t="str">
        <f t="shared" si="57"/>
        <v/>
      </c>
      <c r="AE64" s="140" t="str">
        <f t="shared" si="57"/>
        <v/>
      </c>
      <c r="AF64" s="140" t="str">
        <f t="shared" si="57"/>
        <v/>
      </c>
      <c r="AG64" s="140" t="str">
        <f t="shared" si="57"/>
        <v/>
      </c>
      <c r="AH64" s="140" t="str">
        <f t="shared" si="57"/>
        <v/>
      </c>
      <c r="AI64" s="140" t="str">
        <f t="shared" si="57"/>
        <v/>
      </c>
      <c r="AJ64" s="140" t="str">
        <f t="shared" si="57"/>
        <v/>
      </c>
      <c r="AK64" s="140" t="str">
        <f t="shared" si="57"/>
        <v/>
      </c>
      <c r="AL64" s="140" t="str">
        <f t="shared" si="57"/>
        <v/>
      </c>
      <c r="AM64" s="140" t="str">
        <f t="shared" si="57"/>
        <v/>
      </c>
      <c r="AN64" s="140" t="str">
        <f t="shared" si="57"/>
        <v/>
      </c>
      <c r="AO64" s="140" t="str">
        <f t="shared" si="57"/>
        <v/>
      </c>
      <c r="AP64" s="140" t="str">
        <f t="shared" si="57"/>
        <v/>
      </c>
      <c r="AQ64" s="140" t="str">
        <f t="shared" si="57"/>
        <v/>
      </c>
      <c r="AR64" s="140" t="str">
        <f t="shared" si="57"/>
        <v/>
      </c>
      <c r="AS64" s="140" t="str">
        <f t="shared" si="57"/>
        <v/>
      </c>
      <c r="AT64" s="140" t="str">
        <f t="shared" si="57"/>
        <v/>
      </c>
      <c r="AU64" s="140" t="str">
        <f t="shared" si="57"/>
        <v/>
      </c>
      <c r="AV64" s="140" t="str">
        <f t="shared" si="57"/>
        <v/>
      </c>
      <c r="AW64" s="140" t="str">
        <f t="shared" si="57"/>
        <v/>
      </c>
      <c r="AX64" s="140" t="str">
        <f t="shared" si="57"/>
        <v/>
      </c>
      <c r="AY64" s="140" t="str">
        <f t="shared" si="57"/>
        <v/>
      </c>
      <c r="AZ64" s="140" t="str">
        <f t="shared" si="57"/>
        <v/>
      </c>
      <c r="BA64" s="140" t="str">
        <f t="shared" si="57"/>
        <v/>
      </c>
      <c r="BB64" s="140" t="str">
        <f t="shared" si="57"/>
        <v/>
      </c>
      <c r="BC64" s="140" t="str">
        <f t="shared" si="57"/>
        <v/>
      </c>
      <c r="BD64" s="140" t="str">
        <f t="shared" si="57"/>
        <v/>
      </c>
      <c r="BE64" s="140" t="str">
        <f t="shared" si="57"/>
        <v/>
      </c>
    </row>
    <row r="65">
      <c r="A65" s="108"/>
      <c r="B65" s="107" t="s">
        <v>247</v>
      </c>
      <c r="C65" s="107"/>
      <c r="D65" s="107" t="s">
        <v>278</v>
      </c>
      <c r="E65" s="107"/>
      <c r="F65" s="107" t="s">
        <v>279</v>
      </c>
      <c r="G65" s="208">
        <v>114119.0</v>
      </c>
      <c r="H65" s="204">
        <v>5482.6</v>
      </c>
      <c r="I65" s="205">
        <v>45524.0</v>
      </c>
      <c r="J65" s="107" t="s">
        <v>316</v>
      </c>
      <c r="K65" s="202"/>
      <c r="L65" s="107" t="b">
        <v>1</v>
      </c>
      <c r="M65" s="204">
        <f t="shared" si="3"/>
        <v>0</v>
      </c>
      <c r="N65" s="206"/>
      <c r="O65" s="108" t="b">
        <f t="shared" si="4"/>
        <v>0</v>
      </c>
      <c r="P65" s="207">
        <f t="shared" si="5"/>
        <v>1</v>
      </c>
      <c r="Q65" s="140" t="str">
        <f t="shared" ref="Q65:BE65" si="58">iferror(if(Q$9=FALSE,, if(if(search(Q$11,$B65,1)&gt;0,1,0)=1,$H65/$P65,)),"")</f>
        <v/>
      </c>
      <c r="R65" s="140" t="str">
        <f t="shared" si="58"/>
        <v/>
      </c>
      <c r="S65" s="140" t="str">
        <f t="shared" si="58"/>
        <v/>
      </c>
      <c r="T65" s="140" t="str">
        <f t="shared" si="58"/>
        <v/>
      </c>
      <c r="U65" s="140" t="str">
        <f t="shared" si="58"/>
        <v/>
      </c>
      <c r="V65" s="140" t="str">
        <f t="shared" si="58"/>
        <v/>
      </c>
      <c r="W65" s="140" t="str">
        <f t="shared" si="58"/>
        <v/>
      </c>
      <c r="X65" s="140" t="str">
        <f t="shared" si="58"/>
        <v/>
      </c>
      <c r="Y65" s="140" t="str">
        <f t="shared" si="58"/>
        <v/>
      </c>
      <c r="Z65" s="140" t="str">
        <f t="shared" si="58"/>
        <v/>
      </c>
      <c r="AA65" s="140" t="str">
        <f t="shared" si="58"/>
        <v/>
      </c>
      <c r="AB65" s="140" t="str">
        <f t="shared" si="58"/>
        <v/>
      </c>
      <c r="AC65" s="140" t="str">
        <f t="shared" si="58"/>
        <v/>
      </c>
      <c r="AD65" s="140" t="str">
        <f t="shared" si="58"/>
        <v/>
      </c>
      <c r="AE65" s="140" t="str">
        <f t="shared" si="58"/>
        <v/>
      </c>
      <c r="AF65" s="140" t="str">
        <f t="shared" si="58"/>
        <v/>
      </c>
      <c r="AG65" s="140" t="str">
        <f t="shared" si="58"/>
        <v/>
      </c>
      <c r="AH65" s="140" t="str">
        <f t="shared" si="58"/>
        <v/>
      </c>
      <c r="AI65" s="140" t="str">
        <f t="shared" si="58"/>
        <v/>
      </c>
      <c r="AJ65" s="140" t="str">
        <f t="shared" si="58"/>
        <v/>
      </c>
      <c r="AK65" s="140" t="str">
        <f t="shared" si="58"/>
        <v/>
      </c>
      <c r="AL65" s="140" t="str">
        <f t="shared" si="58"/>
        <v/>
      </c>
      <c r="AM65" s="140" t="str">
        <f t="shared" si="58"/>
        <v/>
      </c>
      <c r="AN65" s="140" t="str">
        <f t="shared" si="58"/>
        <v/>
      </c>
      <c r="AO65" s="140" t="str">
        <f t="shared" si="58"/>
        <v/>
      </c>
      <c r="AP65" s="140" t="str">
        <f t="shared" si="58"/>
        <v/>
      </c>
      <c r="AQ65" s="140" t="str">
        <f t="shared" si="58"/>
        <v/>
      </c>
      <c r="AR65" s="140" t="str">
        <f t="shared" si="58"/>
        <v/>
      </c>
      <c r="AS65" s="140" t="str">
        <f t="shared" si="58"/>
        <v/>
      </c>
      <c r="AT65" s="140" t="str">
        <f t="shared" si="58"/>
        <v/>
      </c>
      <c r="AU65" s="140" t="str">
        <f t="shared" si="58"/>
        <v/>
      </c>
      <c r="AV65" s="140" t="str">
        <f t="shared" si="58"/>
        <v/>
      </c>
      <c r="AW65" s="140" t="str">
        <f t="shared" si="58"/>
        <v/>
      </c>
      <c r="AX65" s="140" t="str">
        <f t="shared" si="58"/>
        <v/>
      </c>
      <c r="AY65" s="140" t="str">
        <f t="shared" si="58"/>
        <v/>
      </c>
      <c r="AZ65" s="140" t="str">
        <f t="shared" si="58"/>
        <v/>
      </c>
      <c r="BA65" s="140" t="str">
        <f t="shared" si="58"/>
        <v/>
      </c>
      <c r="BB65" s="140" t="str">
        <f t="shared" si="58"/>
        <v/>
      </c>
      <c r="BC65" s="140" t="str">
        <f t="shared" si="58"/>
        <v/>
      </c>
      <c r="BD65" s="140" t="str">
        <f t="shared" si="58"/>
        <v/>
      </c>
      <c r="BE65" s="140" t="str">
        <f t="shared" si="58"/>
        <v/>
      </c>
    </row>
    <row r="66">
      <c r="A66" s="108"/>
      <c r="B66" s="107" t="s">
        <v>317</v>
      </c>
      <c r="C66" s="107"/>
      <c r="D66" s="107" t="s">
        <v>278</v>
      </c>
      <c r="E66" s="107"/>
      <c r="F66" s="107" t="s">
        <v>279</v>
      </c>
      <c r="G66" s="208">
        <v>113984.0</v>
      </c>
      <c r="H66" s="204">
        <v>17058.89</v>
      </c>
      <c r="I66" s="205">
        <v>45517.0</v>
      </c>
      <c r="J66" s="107" t="s">
        <v>318</v>
      </c>
      <c r="K66" s="202"/>
      <c r="L66" s="107" t="b">
        <v>1</v>
      </c>
      <c r="M66" s="204">
        <f t="shared" si="3"/>
        <v>8529.445</v>
      </c>
      <c r="N66" s="206"/>
      <c r="O66" s="108" t="b">
        <f t="shared" si="4"/>
        <v>0</v>
      </c>
      <c r="P66" s="207">
        <f t="shared" si="5"/>
        <v>2</v>
      </c>
      <c r="Q66" s="140">
        <f t="shared" ref="Q66:BE66" si="59">iferror(if(Q$9=FALSE,, if(if(search(Q$11,$B66,1)&gt;0,1,0)=1,$H66/$P66,)),"")</f>
        <v>8529.445</v>
      </c>
      <c r="R66" s="140" t="str">
        <f t="shared" si="59"/>
        <v/>
      </c>
      <c r="S66" s="140" t="str">
        <f t="shared" si="59"/>
        <v/>
      </c>
      <c r="T66" s="140" t="str">
        <f t="shared" si="59"/>
        <v/>
      </c>
      <c r="U66" s="140" t="str">
        <f t="shared" si="59"/>
        <v/>
      </c>
      <c r="V66" s="140" t="str">
        <f t="shared" si="59"/>
        <v/>
      </c>
      <c r="W66" s="140" t="str">
        <f t="shared" si="59"/>
        <v/>
      </c>
      <c r="X66" s="140" t="str">
        <f t="shared" si="59"/>
        <v/>
      </c>
      <c r="Y66" s="140" t="str">
        <f t="shared" si="59"/>
        <v/>
      </c>
      <c r="Z66" s="140" t="str">
        <f t="shared" si="59"/>
        <v/>
      </c>
      <c r="AA66" s="140" t="str">
        <f t="shared" si="59"/>
        <v/>
      </c>
      <c r="AB66" s="140" t="str">
        <f t="shared" si="59"/>
        <v/>
      </c>
      <c r="AC66" s="140" t="str">
        <f t="shared" si="59"/>
        <v/>
      </c>
      <c r="AD66" s="140" t="str">
        <f t="shared" si="59"/>
        <v/>
      </c>
      <c r="AE66" s="140" t="str">
        <f t="shared" si="59"/>
        <v/>
      </c>
      <c r="AF66" s="140" t="str">
        <f t="shared" si="59"/>
        <v/>
      </c>
      <c r="AG66" s="140" t="str">
        <f t="shared" si="59"/>
        <v/>
      </c>
      <c r="AH66" s="140" t="str">
        <f t="shared" si="59"/>
        <v/>
      </c>
      <c r="AI66" s="140" t="str">
        <f t="shared" si="59"/>
        <v/>
      </c>
      <c r="AJ66" s="140" t="str">
        <f t="shared" si="59"/>
        <v/>
      </c>
      <c r="AK66" s="140" t="str">
        <f t="shared" si="59"/>
        <v/>
      </c>
      <c r="AL66" s="140" t="str">
        <f t="shared" si="59"/>
        <v/>
      </c>
      <c r="AM66" s="140" t="str">
        <f t="shared" si="59"/>
        <v/>
      </c>
      <c r="AN66" s="140" t="str">
        <f t="shared" si="59"/>
        <v/>
      </c>
      <c r="AO66" s="140" t="str">
        <f t="shared" si="59"/>
        <v/>
      </c>
      <c r="AP66" s="140" t="str">
        <f t="shared" si="59"/>
        <v/>
      </c>
      <c r="AQ66" s="140" t="str">
        <f t="shared" si="59"/>
        <v/>
      </c>
      <c r="AR66" s="140" t="str">
        <f t="shared" si="59"/>
        <v/>
      </c>
      <c r="AS66" s="140" t="str">
        <f t="shared" si="59"/>
        <v/>
      </c>
      <c r="AT66" s="140" t="str">
        <f t="shared" si="59"/>
        <v/>
      </c>
      <c r="AU66" s="140" t="str">
        <f t="shared" si="59"/>
        <v/>
      </c>
      <c r="AV66" s="140" t="str">
        <f t="shared" si="59"/>
        <v/>
      </c>
      <c r="AW66" s="140" t="str">
        <f t="shared" si="59"/>
        <v/>
      </c>
      <c r="AX66" s="140" t="str">
        <f t="shared" si="59"/>
        <v/>
      </c>
      <c r="AY66" s="140" t="str">
        <f t="shared" si="59"/>
        <v/>
      </c>
      <c r="AZ66" s="140" t="str">
        <f t="shared" si="59"/>
        <v/>
      </c>
      <c r="BA66" s="140" t="str">
        <f t="shared" si="59"/>
        <v/>
      </c>
      <c r="BB66" s="140" t="str">
        <f t="shared" si="59"/>
        <v/>
      </c>
      <c r="BC66" s="140" t="str">
        <f t="shared" si="59"/>
        <v/>
      </c>
      <c r="BD66" s="140" t="str">
        <f t="shared" si="59"/>
        <v/>
      </c>
      <c r="BE66" s="140" t="str">
        <f t="shared" si="59"/>
        <v/>
      </c>
    </row>
    <row r="67">
      <c r="A67" s="108"/>
      <c r="B67" s="107" t="s">
        <v>317</v>
      </c>
      <c r="C67" s="107"/>
      <c r="D67" s="107" t="s">
        <v>278</v>
      </c>
      <c r="E67" s="107"/>
      <c r="F67" s="107" t="s">
        <v>279</v>
      </c>
      <c r="G67" s="208">
        <v>113963.0</v>
      </c>
      <c r="H67" s="204">
        <v>9545.72</v>
      </c>
      <c r="I67" s="205">
        <v>45516.0</v>
      </c>
      <c r="J67" s="107" t="s">
        <v>319</v>
      </c>
      <c r="K67" s="202"/>
      <c r="L67" s="107" t="b">
        <v>1</v>
      </c>
      <c r="M67" s="204">
        <f t="shared" si="3"/>
        <v>4772.86</v>
      </c>
      <c r="N67" s="206"/>
      <c r="O67" s="108" t="b">
        <f t="shared" si="4"/>
        <v>0</v>
      </c>
      <c r="P67" s="207">
        <f t="shared" si="5"/>
        <v>2</v>
      </c>
      <c r="Q67" s="140">
        <f t="shared" ref="Q67:BE67" si="60">iferror(if(Q$9=FALSE,, if(if(search(Q$11,$B67,1)&gt;0,1,0)=1,$H67/$P67,)),"")</f>
        <v>4772.86</v>
      </c>
      <c r="R67" s="140" t="str">
        <f t="shared" si="60"/>
        <v/>
      </c>
      <c r="S67" s="140" t="str">
        <f t="shared" si="60"/>
        <v/>
      </c>
      <c r="T67" s="140" t="str">
        <f t="shared" si="60"/>
        <v/>
      </c>
      <c r="U67" s="140" t="str">
        <f t="shared" si="60"/>
        <v/>
      </c>
      <c r="V67" s="140" t="str">
        <f t="shared" si="60"/>
        <v/>
      </c>
      <c r="W67" s="140" t="str">
        <f t="shared" si="60"/>
        <v/>
      </c>
      <c r="X67" s="140" t="str">
        <f t="shared" si="60"/>
        <v/>
      </c>
      <c r="Y67" s="140" t="str">
        <f t="shared" si="60"/>
        <v/>
      </c>
      <c r="Z67" s="140" t="str">
        <f t="shared" si="60"/>
        <v/>
      </c>
      <c r="AA67" s="140" t="str">
        <f t="shared" si="60"/>
        <v/>
      </c>
      <c r="AB67" s="140" t="str">
        <f t="shared" si="60"/>
        <v/>
      </c>
      <c r="AC67" s="140" t="str">
        <f t="shared" si="60"/>
        <v/>
      </c>
      <c r="AD67" s="140" t="str">
        <f t="shared" si="60"/>
        <v/>
      </c>
      <c r="AE67" s="140" t="str">
        <f t="shared" si="60"/>
        <v/>
      </c>
      <c r="AF67" s="140" t="str">
        <f t="shared" si="60"/>
        <v/>
      </c>
      <c r="AG67" s="140" t="str">
        <f t="shared" si="60"/>
        <v/>
      </c>
      <c r="AH67" s="140" t="str">
        <f t="shared" si="60"/>
        <v/>
      </c>
      <c r="AI67" s="140" t="str">
        <f t="shared" si="60"/>
        <v/>
      </c>
      <c r="AJ67" s="140" t="str">
        <f t="shared" si="60"/>
        <v/>
      </c>
      <c r="AK67" s="140" t="str">
        <f t="shared" si="60"/>
        <v/>
      </c>
      <c r="AL67" s="140" t="str">
        <f t="shared" si="60"/>
        <v/>
      </c>
      <c r="AM67" s="140" t="str">
        <f t="shared" si="60"/>
        <v/>
      </c>
      <c r="AN67" s="140" t="str">
        <f t="shared" si="60"/>
        <v/>
      </c>
      <c r="AO67" s="140" t="str">
        <f t="shared" si="60"/>
        <v/>
      </c>
      <c r="AP67" s="140" t="str">
        <f t="shared" si="60"/>
        <v/>
      </c>
      <c r="AQ67" s="140" t="str">
        <f t="shared" si="60"/>
        <v/>
      </c>
      <c r="AR67" s="140" t="str">
        <f t="shared" si="60"/>
        <v/>
      </c>
      <c r="AS67" s="140" t="str">
        <f t="shared" si="60"/>
        <v/>
      </c>
      <c r="AT67" s="140" t="str">
        <f t="shared" si="60"/>
        <v/>
      </c>
      <c r="AU67" s="140" t="str">
        <f t="shared" si="60"/>
        <v/>
      </c>
      <c r="AV67" s="140" t="str">
        <f t="shared" si="60"/>
        <v/>
      </c>
      <c r="AW67" s="140" t="str">
        <f t="shared" si="60"/>
        <v/>
      </c>
      <c r="AX67" s="140" t="str">
        <f t="shared" si="60"/>
        <v/>
      </c>
      <c r="AY67" s="140" t="str">
        <f t="shared" si="60"/>
        <v/>
      </c>
      <c r="AZ67" s="140" t="str">
        <f t="shared" si="60"/>
        <v/>
      </c>
      <c r="BA67" s="140" t="str">
        <f t="shared" si="60"/>
        <v/>
      </c>
      <c r="BB67" s="140" t="str">
        <f t="shared" si="60"/>
        <v/>
      </c>
      <c r="BC67" s="140" t="str">
        <f t="shared" si="60"/>
        <v/>
      </c>
      <c r="BD67" s="140" t="str">
        <f t="shared" si="60"/>
        <v/>
      </c>
      <c r="BE67" s="140" t="str">
        <f t="shared" si="60"/>
        <v/>
      </c>
    </row>
    <row r="68">
      <c r="A68" s="108"/>
      <c r="B68" s="107" t="s">
        <v>251</v>
      </c>
      <c r="C68" s="202"/>
      <c r="D68" s="107" t="s">
        <v>309</v>
      </c>
      <c r="E68" s="107"/>
      <c r="F68" s="107" t="s">
        <v>256</v>
      </c>
      <c r="G68" s="208">
        <v>154601.0</v>
      </c>
      <c r="H68" s="204">
        <v>1792.0</v>
      </c>
      <c r="I68" s="205">
        <v>45511.0</v>
      </c>
      <c r="J68" s="107" t="s">
        <v>320</v>
      </c>
      <c r="K68" s="202"/>
      <c r="L68" s="107" t="b">
        <v>1</v>
      </c>
      <c r="M68" s="204">
        <f t="shared" si="3"/>
        <v>0</v>
      </c>
      <c r="N68" s="206"/>
      <c r="O68" s="108" t="b">
        <f t="shared" si="4"/>
        <v>0</v>
      </c>
      <c r="P68" s="207">
        <f t="shared" si="5"/>
        <v>1</v>
      </c>
      <c r="Q68" s="140" t="str">
        <f t="shared" ref="Q68:BE68" si="61">iferror(if(Q$9=FALSE,, if(if(search(Q$11,$B68,1)&gt;0,1,0)=1,$H68/$P68,)),"")</f>
        <v/>
      </c>
      <c r="R68" s="140" t="str">
        <f t="shared" si="61"/>
        <v/>
      </c>
      <c r="S68" s="140" t="str">
        <f t="shared" si="61"/>
        <v/>
      </c>
      <c r="T68" s="140" t="str">
        <f t="shared" si="61"/>
        <v/>
      </c>
      <c r="U68" s="140" t="str">
        <f t="shared" si="61"/>
        <v/>
      </c>
      <c r="V68" s="140" t="str">
        <f t="shared" si="61"/>
        <v/>
      </c>
      <c r="W68" s="140" t="str">
        <f t="shared" si="61"/>
        <v/>
      </c>
      <c r="X68" s="140" t="str">
        <f t="shared" si="61"/>
        <v/>
      </c>
      <c r="Y68" s="140" t="str">
        <f t="shared" si="61"/>
        <v/>
      </c>
      <c r="Z68" s="140" t="str">
        <f t="shared" si="61"/>
        <v/>
      </c>
      <c r="AA68" s="140" t="str">
        <f t="shared" si="61"/>
        <v/>
      </c>
      <c r="AB68" s="140" t="str">
        <f t="shared" si="61"/>
        <v/>
      </c>
      <c r="AC68" s="140" t="str">
        <f t="shared" si="61"/>
        <v/>
      </c>
      <c r="AD68" s="140" t="str">
        <f t="shared" si="61"/>
        <v/>
      </c>
      <c r="AE68" s="140" t="str">
        <f t="shared" si="61"/>
        <v/>
      </c>
      <c r="AF68" s="140" t="str">
        <f t="shared" si="61"/>
        <v/>
      </c>
      <c r="AG68" s="140" t="str">
        <f t="shared" si="61"/>
        <v/>
      </c>
      <c r="AH68" s="140" t="str">
        <f t="shared" si="61"/>
        <v/>
      </c>
      <c r="AI68" s="140" t="str">
        <f t="shared" si="61"/>
        <v/>
      </c>
      <c r="AJ68" s="140" t="str">
        <f t="shared" si="61"/>
        <v/>
      </c>
      <c r="AK68" s="140" t="str">
        <f t="shared" si="61"/>
        <v/>
      </c>
      <c r="AL68" s="140" t="str">
        <f t="shared" si="61"/>
        <v/>
      </c>
      <c r="AM68" s="140" t="str">
        <f t="shared" si="61"/>
        <v/>
      </c>
      <c r="AN68" s="140" t="str">
        <f t="shared" si="61"/>
        <v/>
      </c>
      <c r="AO68" s="140" t="str">
        <f t="shared" si="61"/>
        <v/>
      </c>
      <c r="AP68" s="140" t="str">
        <f t="shared" si="61"/>
        <v/>
      </c>
      <c r="AQ68" s="140" t="str">
        <f t="shared" si="61"/>
        <v/>
      </c>
      <c r="AR68" s="140" t="str">
        <f t="shared" si="61"/>
        <v/>
      </c>
      <c r="AS68" s="140" t="str">
        <f t="shared" si="61"/>
        <v/>
      </c>
      <c r="AT68" s="140" t="str">
        <f t="shared" si="61"/>
        <v/>
      </c>
      <c r="AU68" s="140" t="str">
        <f t="shared" si="61"/>
        <v/>
      </c>
      <c r="AV68" s="140" t="str">
        <f t="shared" si="61"/>
        <v/>
      </c>
      <c r="AW68" s="140" t="str">
        <f t="shared" si="61"/>
        <v/>
      </c>
      <c r="AX68" s="140" t="str">
        <f t="shared" si="61"/>
        <v/>
      </c>
      <c r="AY68" s="140" t="str">
        <f t="shared" si="61"/>
        <v/>
      </c>
      <c r="AZ68" s="140" t="str">
        <f t="shared" si="61"/>
        <v/>
      </c>
      <c r="BA68" s="140" t="str">
        <f t="shared" si="61"/>
        <v/>
      </c>
      <c r="BB68" s="140" t="str">
        <f t="shared" si="61"/>
        <v/>
      </c>
      <c r="BC68" s="140" t="str">
        <f t="shared" si="61"/>
        <v/>
      </c>
      <c r="BD68" s="140" t="str">
        <f t="shared" si="61"/>
        <v/>
      </c>
      <c r="BE68" s="140" t="str">
        <f t="shared" si="61"/>
        <v/>
      </c>
    </row>
    <row r="69">
      <c r="A69" s="108"/>
      <c r="B69" s="107" t="s">
        <v>247</v>
      </c>
      <c r="C69" s="202"/>
      <c r="D69" s="107" t="s">
        <v>278</v>
      </c>
      <c r="E69" s="107"/>
      <c r="F69" s="107" t="s">
        <v>279</v>
      </c>
      <c r="G69" s="208">
        <v>114266.0</v>
      </c>
      <c r="H69" s="204">
        <v>7355.71</v>
      </c>
      <c r="I69" s="205">
        <v>45527.0</v>
      </c>
      <c r="J69" s="107" t="s">
        <v>321</v>
      </c>
      <c r="K69" s="202"/>
      <c r="L69" s="107" t="b">
        <v>1</v>
      </c>
      <c r="M69" s="204">
        <f t="shared" si="3"/>
        <v>0</v>
      </c>
      <c r="N69" s="206"/>
      <c r="O69" s="108" t="b">
        <f t="shared" si="4"/>
        <v>0</v>
      </c>
      <c r="P69" s="207">
        <f t="shared" si="5"/>
        <v>1</v>
      </c>
      <c r="Q69" s="140" t="str">
        <f t="shared" ref="Q69:BE69" si="62">iferror(if(Q$9=FALSE,, if(if(search(Q$11,$B69,1)&gt;0,1,0)=1,$H69/$P69,)),"")</f>
        <v/>
      </c>
      <c r="R69" s="140" t="str">
        <f t="shared" si="62"/>
        <v/>
      </c>
      <c r="S69" s="140" t="str">
        <f t="shared" si="62"/>
        <v/>
      </c>
      <c r="T69" s="140" t="str">
        <f t="shared" si="62"/>
        <v/>
      </c>
      <c r="U69" s="140" t="str">
        <f t="shared" si="62"/>
        <v/>
      </c>
      <c r="V69" s="140" t="str">
        <f t="shared" si="62"/>
        <v/>
      </c>
      <c r="W69" s="140" t="str">
        <f t="shared" si="62"/>
        <v/>
      </c>
      <c r="X69" s="140" t="str">
        <f t="shared" si="62"/>
        <v/>
      </c>
      <c r="Y69" s="140" t="str">
        <f t="shared" si="62"/>
        <v/>
      </c>
      <c r="Z69" s="140" t="str">
        <f t="shared" si="62"/>
        <v/>
      </c>
      <c r="AA69" s="140" t="str">
        <f t="shared" si="62"/>
        <v/>
      </c>
      <c r="AB69" s="140" t="str">
        <f t="shared" si="62"/>
        <v/>
      </c>
      <c r="AC69" s="140" t="str">
        <f t="shared" si="62"/>
        <v/>
      </c>
      <c r="AD69" s="140" t="str">
        <f t="shared" si="62"/>
        <v/>
      </c>
      <c r="AE69" s="140" t="str">
        <f t="shared" si="62"/>
        <v/>
      </c>
      <c r="AF69" s="140" t="str">
        <f t="shared" si="62"/>
        <v/>
      </c>
      <c r="AG69" s="140" t="str">
        <f t="shared" si="62"/>
        <v/>
      </c>
      <c r="AH69" s="140" t="str">
        <f t="shared" si="62"/>
        <v/>
      </c>
      <c r="AI69" s="140" t="str">
        <f t="shared" si="62"/>
        <v/>
      </c>
      <c r="AJ69" s="140" t="str">
        <f t="shared" si="62"/>
        <v/>
      </c>
      <c r="AK69" s="140" t="str">
        <f t="shared" si="62"/>
        <v/>
      </c>
      <c r="AL69" s="140" t="str">
        <f t="shared" si="62"/>
        <v/>
      </c>
      <c r="AM69" s="140" t="str">
        <f t="shared" si="62"/>
        <v/>
      </c>
      <c r="AN69" s="140" t="str">
        <f t="shared" si="62"/>
        <v/>
      </c>
      <c r="AO69" s="140" t="str">
        <f t="shared" si="62"/>
        <v/>
      </c>
      <c r="AP69" s="140" t="str">
        <f t="shared" si="62"/>
        <v/>
      </c>
      <c r="AQ69" s="140" t="str">
        <f t="shared" si="62"/>
        <v/>
      </c>
      <c r="AR69" s="140" t="str">
        <f t="shared" si="62"/>
        <v/>
      </c>
      <c r="AS69" s="140" t="str">
        <f t="shared" si="62"/>
        <v/>
      </c>
      <c r="AT69" s="140" t="str">
        <f t="shared" si="62"/>
        <v/>
      </c>
      <c r="AU69" s="140" t="str">
        <f t="shared" si="62"/>
        <v/>
      </c>
      <c r="AV69" s="140" t="str">
        <f t="shared" si="62"/>
        <v/>
      </c>
      <c r="AW69" s="140" t="str">
        <f t="shared" si="62"/>
        <v/>
      </c>
      <c r="AX69" s="140" t="str">
        <f t="shared" si="62"/>
        <v/>
      </c>
      <c r="AY69" s="140" t="str">
        <f t="shared" si="62"/>
        <v/>
      </c>
      <c r="AZ69" s="140" t="str">
        <f t="shared" si="62"/>
        <v/>
      </c>
      <c r="BA69" s="140" t="str">
        <f t="shared" si="62"/>
        <v/>
      </c>
      <c r="BB69" s="140" t="str">
        <f t="shared" si="62"/>
        <v/>
      </c>
      <c r="BC69" s="140" t="str">
        <f t="shared" si="62"/>
        <v/>
      </c>
      <c r="BD69" s="140" t="str">
        <f t="shared" si="62"/>
        <v/>
      </c>
      <c r="BE69" s="140" t="str">
        <f t="shared" si="62"/>
        <v/>
      </c>
    </row>
    <row r="70">
      <c r="A70" s="108"/>
      <c r="B70" s="107" t="s">
        <v>3</v>
      </c>
      <c r="C70" s="202"/>
      <c r="D70" s="107" t="s">
        <v>278</v>
      </c>
      <c r="E70" s="107"/>
      <c r="F70" s="107" t="s">
        <v>279</v>
      </c>
      <c r="G70" s="208">
        <v>114009.0</v>
      </c>
      <c r="H70" s="204">
        <v>15092.26</v>
      </c>
      <c r="I70" s="205">
        <v>45527.0</v>
      </c>
      <c r="J70" s="107" t="s">
        <v>322</v>
      </c>
      <c r="K70" s="202"/>
      <c r="L70" s="107" t="b">
        <v>1</v>
      </c>
      <c r="M70" s="204">
        <f t="shared" si="3"/>
        <v>15092.26</v>
      </c>
      <c r="N70" s="206"/>
      <c r="O70" s="108" t="b">
        <f t="shared" si="4"/>
        <v>1</v>
      </c>
      <c r="P70" s="207">
        <f t="shared" si="5"/>
        <v>1</v>
      </c>
      <c r="Q70" s="140">
        <f t="shared" ref="Q70:BE70" si="63">iferror(if(Q$9=FALSE,, if(if(search(Q$11,$B70,1)&gt;0,1,0)=1,$H70/$P70,)),"")</f>
        <v>15092.26</v>
      </c>
      <c r="R70" s="140" t="str">
        <f t="shared" si="63"/>
        <v/>
      </c>
      <c r="S70" s="140" t="str">
        <f t="shared" si="63"/>
        <v/>
      </c>
      <c r="T70" s="140" t="str">
        <f t="shared" si="63"/>
        <v/>
      </c>
      <c r="U70" s="140" t="str">
        <f t="shared" si="63"/>
        <v/>
      </c>
      <c r="V70" s="140" t="str">
        <f t="shared" si="63"/>
        <v/>
      </c>
      <c r="W70" s="140" t="str">
        <f t="shared" si="63"/>
        <v/>
      </c>
      <c r="X70" s="140" t="str">
        <f t="shared" si="63"/>
        <v/>
      </c>
      <c r="Y70" s="140" t="str">
        <f t="shared" si="63"/>
        <v/>
      </c>
      <c r="Z70" s="140" t="str">
        <f t="shared" si="63"/>
        <v/>
      </c>
      <c r="AA70" s="140" t="str">
        <f t="shared" si="63"/>
        <v/>
      </c>
      <c r="AB70" s="140" t="str">
        <f t="shared" si="63"/>
        <v/>
      </c>
      <c r="AC70" s="140" t="str">
        <f t="shared" si="63"/>
        <v/>
      </c>
      <c r="AD70" s="140" t="str">
        <f t="shared" si="63"/>
        <v/>
      </c>
      <c r="AE70" s="140" t="str">
        <f t="shared" si="63"/>
        <v/>
      </c>
      <c r="AF70" s="140" t="str">
        <f t="shared" si="63"/>
        <v/>
      </c>
      <c r="AG70" s="140" t="str">
        <f t="shared" si="63"/>
        <v/>
      </c>
      <c r="AH70" s="140" t="str">
        <f t="shared" si="63"/>
        <v/>
      </c>
      <c r="AI70" s="140" t="str">
        <f t="shared" si="63"/>
        <v/>
      </c>
      <c r="AJ70" s="140" t="str">
        <f t="shared" si="63"/>
        <v/>
      </c>
      <c r="AK70" s="140" t="str">
        <f t="shared" si="63"/>
        <v/>
      </c>
      <c r="AL70" s="140" t="str">
        <f t="shared" si="63"/>
        <v/>
      </c>
      <c r="AM70" s="140" t="str">
        <f t="shared" si="63"/>
        <v/>
      </c>
      <c r="AN70" s="140" t="str">
        <f t="shared" si="63"/>
        <v/>
      </c>
      <c r="AO70" s="140" t="str">
        <f t="shared" si="63"/>
        <v/>
      </c>
      <c r="AP70" s="140" t="str">
        <f t="shared" si="63"/>
        <v/>
      </c>
      <c r="AQ70" s="140" t="str">
        <f t="shared" si="63"/>
        <v/>
      </c>
      <c r="AR70" s="140" t="str">
        <f t="shared" si="63"/>
        <v/>
      </c>
      <c r="AS70" s="140" t="str">
        <f t="shared" si="63"/>
        <v/>
      </c>
      <c r="AT70" s="140" t="str">
        <f t="shared" si="63"/>
        <v/>
      </c>
      <c r="AU70" s="140" t="str">
        <f t="shared" si="63"/>
        <v/>
      </c>
      <c r="AV70" s="140" t="str">
        <f t="shared" si="63"/>
        <v/>
      </c>
      <c r="AW70" s="140" t="str">
        <f t="shared" si="63"/>
        <v/>
      </c>
      <c r="AX70" s="140" t="str">
        <f t="shared" si="63"/>
        <v/>
      </c>
      <c r="AY70" s="140" t="str">
        <f t="shared" si="63"/>
        <v/>
      </c>
      <c r="AZ70" s="140" t="str">
        <f t="shared" si="63"/>
        <v/>
      </c>
      <c r="BA70" s="140" t="str">
        <f t="shared" si="63"/>
        <v/>
      </c>
      <c r="BB70" s="140" t="str">
        <f t="shared" si="63"/>
        <v/>
      </c>
      <c r="BC70" s="140" t="str">
        <f t="shared" si="63"/>
        <v/>
      </c>
      <c r="BD70" s="140" t="str">
        <f t="shared" si="63"/>
        <v/>
      </c>
      <c r="BE70" s="140" t="str">
        <f t="shared" si="63"/>
        <v/>
      </c>
    </row>
    <row r="71">
      <c r="A71" s="108"/>
      <c r="B71" s="107" t="s">
        <v>3</v>
      </c>
      <c r="C71" s="202"/>
      <c r="D71" s="107" t="s">
        <v>278</v>
      </c>
      <c r="E71" s="107"/>
      <c r="F71" s="107" t="s">
        <v>279</v>
      </c>
      <c r="G71" s="208">
        <v>114230.0</v>
      </c>
      <c r="H71" s="204">
        <v>3143.1</v>
      </c>
      <c r="I71" s="205">
        <v>45527.0</v>
      </c>
      <c r="J71" s="107" t="s">
        <v>323</v>
      </c>
      <c r="K71" s="202"/>
      <c r="L71" s="107" t="b">
        <v>1</v>
      </c>
      <c r="M71" s="204">
        <f t="shared" si="3"/>
        <v>3143.1</v>
      </c>
      <c r="N71" s="206"/>
      <c r="O71" s="108" t="b">
        <f t="shared" si="4"/>
        <v>1</v>
      </c>
      <c r="P71" s="207">
        <f t="shared" si="5"/>
        <v>1</v>
      </c>
      <c r="Q71" s="140">
        <f t="shared" ref="Q71:BE71" si="64">iferror(if(Q$9=FALSE,, if(if(search(Q$11,$B71,1)&gt;0,1,0)=1,$H71/$P71,)),"")</f>
        <v>3143.1</v>
      </c>
      <c r="R71" s="140" t="str">
        <f t="shared" si="64"/>
        <v/>
      </c>
      <c r="S71" s="140" t="str">
        <f t="shared" si="64"/>
        <v/>
      </c>
      <c r="T71" s="140" t="str">
        <f t="shared" si="64"/>
        <v/>
      </c>
      <c r="U71" s="140" t="str">
        <f t="shared" si="64"/>
        <v/>
      </c>
      <c r="V71" s="140" t="str">
        <f t="shared" si="64"/>
        <v/>
      </c>
      <c r="W71" s="140" t="str">
        <f t="shared" si="64"/>
        <v/>
      </c>
      <c r="X71" s="140" t="str">
        <f t="shared" si="64"/>
        <v/>
      </c>
      <c r="Y71" s="140" t="str">
        <f t="shared" si="64"/>
        <v/>
      </c>
      <c r="Z71" s="140" t="str">
        <f t="shared" si="64"/>
        <v/>
      </c>
      <c r="AA71" s="140" t="str">
        <f t="shared" si="64"/>
        <v/>
      </c>
      <c r="AB71" s="140" t="str">
        <f t="shared" si="64"/>
        <v/>
      </c>
      <c r="AC71" s="140" t="str">
        <f t="shared" si="64"/>
        <v/>
      </c>
      <c r="AD71" s="140" t="str">
        <f t="shared" si="64"/>
        <v/>
      </c>
      <c r="AE71" s="140" t="str">
        <f t="shared" si="64"/>
        <v/>
      </c>
      <c r="AF71" s="140" t="str">
        <f t="shared" si="64"/>
        <v/>
      </c>
      <c r="AG71" s="140" t="str">
        <f t="shared" si="64"/>
        <v/>
      </c>
      <c r="AH71" s="140" t="str">
        <f t="shared" si="64"/>
        <v/>
      </c>
      <c r="AI71" s="140" t="str">
        <f t="shared" si="64"/>
        <v/>
      </c>
      <c r="AJ71" s="140" t="str">
        <f t="shared" si="64"/>
        <v/>
      </c>
      <c r="AK71" s="140" t="str">
        <f t="shared" si="64"/>
        <v/>
      </c>
      <c r="AL71" s="140" t="str">
        <f t="shared" si="64"/>
        <v/>
      </c>
      <c r="AM71" s="140" t="str">
        <f t="shared" si="64"/>
        <v/>
      </c>
      <c r="AN71" s="140" t="str">
        <f t="shared" si="64"/>
        <v/>
      </c>
      <c r="AO71" s="140" t="str">
        <f t="shared" si="64"/>
        <v/>
      </c>
      <c r="AP71" s="140" t="str">
        <f t="shared" si="64"/>
        <v/>
      </c>
      <c r="AQ71" s="140" t="str">
        <f t="shared" si="64"/>
        <v/>
      </c>
      <c r="AR71" s="140" t="str">
        <f t="shared" si="64"/>
        <v/>
      </c>
      <c r="AS71" s="140" t="str">
        <f t="shared" si="64"/>
        <v/>
      </c>
      <c r="AT71" s="140" t="str">
        <f t="shared" si="64"/>
        <v/>
      </c>
      <c r="AU71" s="140" t="str">
        <f t="shared" si="64"/>
        <v/>
      </c>
      <c r="AV71" s="140" t="str">
        <f t="shared" si="64"/>
        <v/>
      </c>
      <c r="AW71" s="140" t="str">
        <f t="shared" si="64"/>
        <v/>
      </c>
      <c r="AX71" s="140" t="str">
        <f t="shared" si="64"/>
        <v/>
      </c>
      <c r="AY71" s="140" t="str">
        <f t="shared" si="64"/>
        <v/>
      </c>
      <c r="AZ71" s="140" t="str">
        <f t="shared" si="64"/>
        <v/>
      </c>
      <c r="BA71" s="140" t="str">
        <f t="shared" si="64"/>
        <v/>
      </c>
      <c r="BB71" s="140" t="str">
        <f t="shared" si="64"/>
        <v/>
      </c>
      <c r="BC71" s="140" t="str">
        <f t="shared" si="64"/>
        <v/>
      </c>
      <c r="BD71" s="140" t="str">
        <f t="shared" si="64"/>
        <v/>
      </c>
      <c r="BE71" s="140" t="str">
        <f t="shared" si="64"/>
        <v/>
      </c>
    </row>
    <row r="72">
      <c r="A72" s="108"/>
      <c r="B72" s="107" t="s">
        <v>251</v>
      </c>
      <c r="C72" s="202"/>
      <c r="D72" s="107" t="s">
        <v>278</v>
      </c>
      <c r="E72" s="107"/>
      <c r="F72" s="107" t="s">
        <v>279</v>
      </c>
      <c r="G72" s="208">
        <v>113647.0</v>
      </c>
      <c r="H72" s="204">
        <v>11801.7</v>
      </c>
      <c r="I72" s="205">
        <v>45524.0</v>
      </c>
      <c r="J72" s="107" t="s">
        <v>322</v>
      </c>
      <c r="K72" s="202"/>
      <c r="L72" s="107" t="b">
        <v>1</v>
      </c>
      <c r="M72" s="204">
        <f t="shared" si="3"/>
        <v>0</v>
      </c>
      <c r="N72" s="206"/>
      <c r="O72" s="108" t="b">
        <f t="shared" si="4"/>
        <v>0</v>
      </c>
      <c r="P72" s="207">
        <f t="shared" si="5"/>
        <v>1</v>
      </c>
      <c r="Q72" s="140" t="str">
        <f t="shared" ref="Q72:BE72" si="65">iferror(if(Q$9=FALSE,, if(if(search(Q$11,$B72,1)&gt;0,1,0)=1,$H72/$P72,)),"")</f>
        <v/>
      </c>
      <c r="R72" s="140" t="str">
        <f t="shared" si="65"/>
        <v/>
      </c>
      <c r="S72" s="140" t="str">
        <f t="shared" si="65"/>
        <v/>
      </c>
      <c r="T72" s="140" t="str">
        <f t="shared" si="65"/>
        <v/>
      </c>
      <c r="U72" s="140" t="str">
        <f t="shared" si="65"/>
        <v/>
      </c>
      <c r="V72" s="140" t="str">
        <f t="shared" si="65"/>
        <v/>
      </c>
      <c r="W72" s="140" t="str">
        <f t="shared" si="65"/>
        <v/>
      </c>
      <c r="X72" s="140" t="str">
        <f t="shared" si="65"/>
        <v/>
      </c>
      <c r="Y72" s="140" t="str">
        <f t="shared" si="65"/>
        <v/>
      </c>
      <c r="Z72" s="140" t="str">
        <f t="shared" si="65"/>
        <v/>
      </c>
      <c r="AA72" s="140" t="str">
        <f t="shared" si="65"/>
        <v/>
      </c>
      <c r="AB72" s="140" t="str">
        <f t="shared" si="65"/>
        <v/>
      </c>
      <c r="AC72" s="140" t="str">
        <f t="shared" si="65"/>
        <v/>
      </c>
      <c r="AD72" s="140" t="str">
        <f t="shared" si="65"/>
        <v/>
      </c>
      <c r="AE72" s="140" t="str">
        <f t="shared" si="65"/>
        <v/>
      </c>
      <c r="AF72" s="140" t="str">
        <f t="shared" si="65"/>
        <v/>
      </c>
      <c r="AG72" s="140" t="str">
        <f t="shared" si="65"/>
        <v/>
      </c>
      <c r="AH72" s="140" t="str">
        <f t="shared" si="65"/>
        <v/>
      </c>
      <c r="AI72" s="140" t="str">
        <f t="shared" si="65"/>
        <v/>
      </c>
      <c r="AJ72" s="140" t="str">
        <f t="shared" si="65"/>
        <v/>
      </c>
      <c r="AK72" s="140" t="str">
        <f t="shared" si="65"/>
        <v/>
      </c>
      <c r="AL72" s="140" t="str">
        <f t="shared" si="65"/>
        <v/>
      </c>
      <c r="AM72" s="140" t="str">
        <f t="shared" si="65"/>
        <v/>
      </c>
      <c r="AN72" s="140" t="str">
        <f t="shared" si="65"/>
        <v/>
      </c>
      <c r="AO72" s="140" t="str">
        <f t="shared" si="65"/>
        <v/>
      </c>
      <c r="AP72" s="140" t="str">
        <f t="shared" si="65"/>
        <v/>
      </c>
      <c r="AQ72" s="140" t="str">
        <f t="shared" si="65"/>
        <v/>
      </c>
      <c r="AR72" s="140" t="str">
        <f t="shared" si="65"/>
        <v/>
      </c>
      <c r="AS72" s="140" t="str">
        <f t="shared" si="65"/>
        <v/>
      </c>
      <c r="AT72" s="140" t="str">
        <f t="shared" si="65"/>
        <v/>
      </c>
      <c r="AU72" s="140" t="str">
        <f t="shared" si="65"/>
        <v/>
      </c>
      <c r="AV72" s="140" t="str">
        <f t="shared" si="65"/>
        <v/>
      </c>
      <c r="AW72" s="140" t="str">
        <f t="shared" si="65"/>
        <v/>
      </c>
      <c r="AX72" s="140" t="str">
        <f t="shared" si="65"/>
        <v/>
      </c>
      <c r="AY72" s="140" t="str">
        <f t="shared" si="65"/>
        <v/>
      </c>
      <c r="AZ72" s="140" t="str">
        <f t="shared" si="65"/>
        <v/>
      </c>
      <c r="BA72" s="140" t="str">
        <f t="shared" si="65"/>
        <v/>
      </c>
      <c r="BB72" s="140" t="str">
        <f t="shared" si="65"/>
        <v/>
      </c>
      <c r="BC72" s="140" t="str">
        <f t="shared" si="65"/>
        <v/>
      </c>
      <c r="BD72" s="140" t="str">
        <f t="shared" si="65"/>
        <v/>
      </c>
      <c r="BE72" s="140" t="str">
        <f t="shared" si="65"/>
        <v/>
      </c>
    </row>
    <row r="73">
      <c r="A73" s="108"/>
      <c r="B73" s="107" t="s">
        <v>3</v>
      </c>
      <c r="C73" s="202"/>
      <c r="D73" s="107" t="s">
        <v>278</v>
      </c>
      <c r="E73" s="107"/>
      <c r="F73" s="107" t="s">
        <v>279</v>
      </c>
      <c r="G73" s="208">
        <v>113865.0</v>
      </c>
      <c r="H73" s="204">
        <v>2456.06</v>
      </c>
      <c r="I73" s="205">
        <v>45532.0</v>
      </c>
      <c r="J73" s="107" t="s">
        <v>324</v>
      </c>
      <c r="K73" s="202"/>
      <c r="L73" s="107" t="b">
        <v>1</v>
      </c>
      <c r="M73" s="204">
        <f t="shared" si="3"/>
        <v>2456.06</v>
      </c>
      <c r="N73" s="206"/>
      <c r="O73" s="108" t="b">
        <f t="shared" si="4"/>
        <v>1</v>
      </c>
      <c r="P73" s="207">
        <f t="shared" si="5"/>
        <v>1</v>
      </c>
      <c r="Q73" s="140">
        <f t="shared" ref="Q73:BE73" si="66">iferror(if(Q$9=FALSE,, if(if(search(Q$11,$B73,1)&gt;0,1,0)=1,$H73/$P73,)),"")</f>
        <v>2456.06</v>
      </c>
      <c r="R73" s="140" t="str">
        <f t="shared" si="66"/>
        <v/>
      </c>
      <c r="S73" s="140" t="str">
        <f t="shared" si="66"/>
        <v/>
      </c>
      <c r="T73" s="140" t="str">
        <f t="shared" si="66"/>
        <v/>
      </c>
      <c r="U73" s="140" t="str">
        <f t="shared" si="66"/>
        <v/>
      </c>
      <c r="V73" s="140" t="str">
        <f t="shared" si="66"/>
        <v/>
      </c>
      <c r="W73" s="140" t="str">
        <f t="shared" si="66"/>
        <v/>
      </c>
      <c r="X73" s="140" t="str">
        <f t="shared" si="66"/>
        <v/>
      </c>
      <c r="Y73" s="140" t="str">
        <f t="shared" si="66"/>
        <v/>
      </c>
      <c r="Z73" s="140" t="str">
        <f t="shared" si="66"/>
        <v/>
      </c>
      <c r="AA73" s="140" t="str">
        <f t="shared" si="66"/>
        <v/>
      </c>
      <c r="AB73" s="140" t="str">
        <f t="shared" si="66"/>
        <v/>
      </c>
      <c r="AC73" s="140" t="str">
        <f t="shared" si="66"/>
        <v/>
      </c>
      <c r="AD73" s="140" t="str">
        <f t="shared" si="66"/>
        <v/>
      </c>
      <c r="AE73" s="140" t="str">
        <f t="shared" si="66"/>
        <v/>
      </c>
      <c r="AF73" s="140" t="str">
        <f t="shared" si="66"/>
        <v/>
      </c>
      <c r="AG73" s="140" t="str">
        <f t="shared" si="66"/>
        <v/>
      </c>
      <c r="AH73" s="140" t="str">
        <f t="shared" si="66"/>
        <v/>
      </c>
      <c r="AI73" s="140" t="str">
        <f t="shared" si="66"/>
        <v/>
      </c>
      <c r="AJ73" s="140" t="str">
        <f t="shared" si="66"/>
        <v/>
      </c>
      <c r="AK73" s="140" t="str">
        <f t="shared" si="66"/>
        <v/>
      </c>
      <c r="AL73" s="140" t="str">
        <f t="shared" si="66"/>
        <v/>
      </c>
      <c r="AM73" s="140" t="str">
        <f t="shared" si="66"/>
        <v/>
      </c>
      <c r="AN73" s="140" t="str">
        <f t="shared" si="66"/>
        <v/>
      </c>
      <c r="AO73" s="140" t="str">
        <f t="shared" si="66"/>
        <v/>
      </c>
      <c r="AP73" s="140" t="str">
        <f t="shared" si="66"/>
        <v/>
      </c>
      <c r="AQ73" s="140" t="str">
        <f t="shared" si="66"/>
        <v/>
      </c>
      <c r="AR73" s="140" t="str">
        <f t="shared" si="66"/>
        <v/>
      </c>
      <c r="AS73" s="140" t="str">
        <f t="shared" si="66"/>
        <v/>
      </c>
      <c r="AT73" s="140" t="str">
        <f t="shared" si="66"/>
        <v/>
      </c>
      <c r="AU73" s="140" t="str">
        <f t="shared" si="66"/>
        <v/>
      </c>
      <c r="AV73" s="140" t="str">
        <f t="shared" si="66"/>
        <v/>
      </c>
      <c r="AW73" s="140" t="str">
        <f t="shared" si="66"/>
        <v/>
      </c>
      <c r="AX73" s="140" t="str">
        <f t="shared" si="66"/>
        <v/>
      </c>
      <c r="AY73" s="140" t="str">
        <f t="shared" si="66"/>
        <v/>
      </c>
      <c r="AZ73" s="140" t="str">
        <f t="shared" si="66"/>
        <v/>
      </c>
      <c r="BA73" s="140" t="str">
        <f t="shared" si="66"/>
        <v/>
      </c>
      <c r="BB73" s="140" t="str">
        <f t="shared" si="66"/>
        <v/>
      </c>
      <c r="BC73" s="140" t="str">
        <f t="shared" si="66"/>
        <v/>
      </c>
      <c r="BD73" s="140" t="str">
        <f t="shared" si="66"/>
        <v/>
      </c>
      <c r="BE73" s="140" t="str">
        <f t="shared" si="66"/>
        <v/>
      </c>
    </row>
    <row r="74">
      <c r="A74" s="108"/>
      <c r="B74" s="107" t="s">
        <v>247</v>
      </c>
      <c r="C74" s="202"/>
      <c r="D74" s="107" t="s">
        <v>278</v>
      </c>
      <c r="E74" s="107"/>
      <c r="F74" s="107" t="s">
        <v>279</v>
      </c>
      <c r="G74" s="208">
        <v>114735.0</v>
      </c>
      <c r="H74" s="204">
        <v>254.1</v>
      </c>
      <c r="I74" s="205">
        <v>45544.0</v>
      </c>
      <c r="J74" s="107" t="s">
        <v>325</v>
      </c>
      <c r="K74" s="202"/>
      <c r="L74" s="107" t="b">
        <v>1</v>
      </c>
      <c r="M74" s="204">
        <f t="shared" si="3"/>
        <v>0</v>
      </c>
      <c r="N74" s="206"/>
      <c r="O74" s="108" t="b">
        <f t="shared" si="4"/>
        <v>0</v>
      </c>
      <c r="P74" s="207">
        <f t="shared" si="5"/>
        <v>1</v>
      </c>
      <c r="Q74" s="140" t="str">
        <f t="shared" ref="Q74:BE74" si="67">iferror(if(Q$9=FALSE,, if(if(search(Q$11,$B74,1)&gt;0,1,0)=1,$H74/$P74,)),"")</f>
        <v/>
      </c>
      <c r="R74" s="140" t="str">
        <f t="shared" si="67"/>
        <v/>
      </c>
      <c r="S74" s="140" t="str">
        <f t="shared" si="67"/>
        <v/>
      </c>
      <c r="T74" s="140" t="str">
        <f t="shared" si="67"/>
        <v/>
      </c>
      <c r="U74" s="140" t="str">
        <f t="shared" si="67"/>
        <v/>
      </c>
      <c r="V74" s="140" t="str">
        <f t="shared" si="67"/>
        <v/>
      </c>
      <c r="W74" s="140" t="str">
        <f t="shared" si="67"/>
        <v/>
      </c>
      <c r="X74" s="140" t="str">
        <f t="shared" si="67"/>
        <v/>
      </c>
      <c r="Y74" s="140" t="str">
        <f t="shared" si="67"/>
        <v/>
      </c>
      <c r="Z74" s="140" t="str">
        <f t="shared" si="67"/>
        <v/>
      </c>
      <c r="AA74" s="140" t="str">
        <f t="shared" si="67"/>
        <v/>
      </c>
      <c r="AB74" s="140" t="str">
        <f t="shared" si="67"/>
        <v/>
      </c>
      <c r="AC74" s="140" t="str">
        <f t="shared" si="67"/>
        <v/>
      </c>
      <c r="AD74" s="140" t="str">
        <f t="shared" si="67"/>
        <v/>
      </c>
      <c r="AE74" s="140" t="str">
        <f t="shared" si="67"/>
        <v/>
      </c>
      <c r="AF74" s="140" t="str">
        <f t="shared" si="67"/>
        <v/>
      </c>
      <c r="AG74" s="140" t="str">
        <f t="shared" si="67"/>
        <v/>
      </c>
      <c r="AH74" s="140" t="str">
        <f t="shared" si="67"/>
        <v/>
      </c>
      <c r="AI74" s="140" t="str">
        <f t="shared" si="67"/>
        <v/>
      </c>
      <c r="AJ74" s="140" t="str">
        <f t="shared" si="67"/>
        <v/>
      </c>
      <c r="AK74" s="140" t="str">
        <f t="shared" si="67"/>
        <v/>
      </c>
      <c r="AL74" s="140" t="str">
        <f t="shared" si="67"/>
        <v/>
      </c>
      <c r="AM74" s="140" t="str">
        <f t="shared" si="67"/>
        <v/>
      </c>
      <c r="AN74" s="140" t="str">
        <f t="shared" si="67"/>
        <v/>
      </c>
      <c r="AO74" s="140" t="str">
        <f t="shared" si="67"/>
        <v/>
      </c>
      <c r="AP74" s="140" t="str">
        <f t="shared" si="67"/>
        <v/>
      </c>
      <c r="AQ74" s="140" t="str">
        <f t="shared" si="67"/>
        <v/>
      </c>
      <c r="AR74" s="140" t="str">
        <f t="shared" si="67"/>
        <v/>
      </c>
      <c r="AS74" s="140" t="str">
        <f t="shared" si="67"/>
        <v/>
      </c>
      <c r="AT74" s="140" t="str">
        <f t="shared" si="67"/>
        <v/>
      </c>
      <c r="AU74" s="140" t="str">
        <f t="shared" si="67"/>
        <v/>
      </c>
      <c r="AV74" s="140" t="str">
        <f t="shared" si="67"/>
        <v/>
      </c>
      <c r="AW74" s="140" t="str">
        <f t="shared" si="67"/>
        <v/>
      </c>
      <c r="AX74" s="140" t="str">
        <f t="shared" si="67"/>
        <v/>
      </c>
      <c r="AY74" s="140" t="str">
        <f t="shared" si="67"/>
        <v/>
      </c>
      <c r="AZ74" s="140" t="str">
        <f t="shared" si="67"/>
        <v/>
      </c>
      <c r="BA74" s="140" t="str">
        <f t="shared" si="67"/>
        <v/>
      </c>
      <c r="BB74" s="140" t="str">
        <f t="shared" si="67"/>
        <v/>
      </c>
      <c r="BC74" s="140" t="str">
        <f t="shared" si="67"/>
        <v/>
      </c>
      <c r="BD74" s="140" t="str">
        <f t="shared" si="67"/>
        <v/>
      </c>
      <c r="BE74" s="140" t="str">
        <f t="shared" si="67"/>
        <v/>
      </c>
    </row>
    <row r="75">
      <c r="A75" s="108"/>
      <c r="B75" s="107" t="s">
        <v>3</v>
      </c>
      <c r="C75" s="202"/>
      <c r="D75" s="107" t="s">
        <v>269</v>
      </c>
      <c r="E75" s="107"/>
      <c r="F75" s="107" t="s">
        <v>270</v>
      </c>
      <c r="G75" s="208">
        <v>64329.0</v>
      </c>
      <c r="H75" s="204">
        <v>891.0</v>
      </c>
      <c r="I75" s="205">
        <v>45540.0</v>
      </c>
      <c r="J75" s="107" t="s">
        <v>326</v>
      </c>
      <c r="K75" s="202"/>
      <c r="L75" s="107" t="b">
        <v>1</v>
      </c>
      <c r="M75" s="204">
        <f t="shared" si="3"/>
        <v>891</v>
      </c>
      <c r="N75" s="206"/>
      <c r="O75" s="108" t="b">
        <f t="shared" si="4"/>
        <v>1</v>
      </c>
      <c r="P75" s="207">
        <f t="shared" si="5"/>
        <v>1</v>
      </c>
      <c r="Q75" s="140">
        <f t="shared" ref="Q75:BE75" si="68">iferror(if(Q$9=FALSE,, if(if(search(Q$11,$B75,1)&gt;0,1,0)=1,$H75/$P75,)),"")</f>
        <v>891</v>
      </c>
      <c r="R75" s="140" t="str">
        <f t="shared" si="68"/>
        <v/>
      </c>
      <c r="S75" s="140" t="str">
        <f t="shared" si="68"/>
        <v/>
      </c>
      <c r="T75" s="140" t="str">
        <f t="shared" si="68"/>
        <v/>
      </c>
      <c r="U75" s="140" t="str">
        <f t="shared" si="68"/>
        <v/>
      </c>
      <c r="V75" s="140" t="str">
        <f t="shared" si="68"/>
        <v/>
      </c>
      <c r="W75" s="140" t="str">
        <f t="shared" si="68"/>
        <v/>
      </c>
      <c r="X75" s="140" t="str">
        <f t="shared" si="68"/>
        <v/>
      </c>
      <c r="Y75" s="140" t="str">
        <f t="shared" si="68"/>
        <v/>
      </c>
      <c r="Z75" s="140" t="str">
        <f t="shared" si="68"/>
        <v/>
      </c>
      <c r="AA75" s="140" t="str">
        <f t="shared" si="68"/>
        <v/>
      </c>
      <c r="AB75" s="140" t="str">
        <f t="shared" si="68"/>
        <v/>
      </c>
      <c r="AC75" s="140" t="str">
        <f t="shared" si="68"/>
        <v/>
      </c>
      <c r="AD75" s="140" t="str">
        <f t="shared" si="68"/>
        <v/>
      </c>
      <c r="AE75" s="140" t="str">
        <f t="shared" si="68"/>
        <v/>
      </c>
      <c r="AF75" s="140" t="str">
        <f t="shared" si="68"/>
        <v/>
      </c>
      <c r="AG75" s="140" t="str">
        <f t="shared" si="68"/>
        <v/>
      </c>
      <c r="AH75" s="140" t="str">
        <f t="shared" si="68"/>
        <v/>
      </c>
      <c r="AI75" s="140" t="str">
        <f t="shared" si="68"/>
        <v/>
      </c>
      <c r="AJ75" s="140" t="str">
        <f t="shared" si="68"/>
        <v/>
      </c>
      <c r="AK75" s="140" t="str">
        <f t="shared" si="68"/>
        <v/>
      </c>
      <c r="AL75" s="140" t="str">
        <f t="shared" si="68"/>
        <v/>
      </c>
      <c r="AM75" s="140" t="str">
        <f t="shared" si="68"/>
        <v/>
      </c>
      <c r="AN75" s="140" t="str">
        <f t="shared" si="68"/>
        <v/>
      </c>
      <c r="AO75" s="140" t="str">
        <f t="shared" si="68"/>
        <v/>
      </c>
      <c r="AP75" s="140" t="str">
        <f t="shared" si="68"/>
        <v/>
      </c>
      <c r="AQ75" s="140" t="str">
        <f t="shared" si="68"/>
        <v/>
      </c>
      <c r="AR75" s="140" t="str">
        <f t="shared" si="68"/>
        <v/>
      </c>
      <c r="AS75" s="140" t="str">
        <f t="shared" si="68"/>
        <v/>
      </c>
      <c r="AT75" s="140" t="str">
        <f t="shared" si="68"/>
        <v/>
      </c>
      <c r="AU75" s="140" t="str">
        <f t="shared" si="68"/>
        <v/>
      </c>
      <c r="AV75" s="140" t="str">
        <f t="shared" si="68"/>
        <v/>
      </c>
      <c r="AW75" s="140" t="str">
        <f t="shared" si="68"/>
        <v/>
      </c>
      <c r="AX75" s="140" t="str">
        <f t="shared" si="68"/>
        <v/>
      </c>
      <c r="AY75" s="140" t="str">
        <f t="shared" si="68"/>
        <v/>
      </c>
      <c r="AZ75" s="140" t="str">
        <f t="shared" si="68"/>
        <v/>
      </c>
      <c r="BA75" s="140" t="str">
        <f t="shared" si="68"/>
        <v/>
      </c>
      <c r="BB75" s="140" t="str">
        <f t="shared" si="68"/>
        <v/>
      </c>
      <c r="BC75" s="140" t="str">
        <f t="shared" si="68"/>
        <v/>
      </c>
      <c r="BD75" s="140" t="str">
        <f t="shared" si="68"/>
        <v/>
      </c>
      <c r="BE75" s="140" t="str">
        <f t="shared" si="68"/>
        <v/>
      </c>
    </row>
    <row r="76">
      <c r="A76" s="108"/>
      <c r="B76" s="107" t="s">
        <v>3</v>
      </c>
      <c r="C76" s="202"/>
      <c r="D76" s="107" t="s">
        <v>262</v>
      </c>
      <c r="E76" s="107"/>
      <c r="F76" s="107" t="s">
        <v>263</v>
      </c>
      <c r="G76" s="208">
        <v>79413.0</v>
      </c>
      <c r="H76" s="204">
        <v>103.98</v>
      </c>
      <c r="I76" s="205">
        <v>45538.0</v>
      </c>
      <c r="J76" s="107" t="s">
        <v>327</v>
      </c>
      <c r="K76" s="202"/>
      <c r="L76" s="107" t="b">
        <v>1</v>
      </c>
      <c r="M76" s="204">
        <f t="shared" si="3"/>
        <v>103.98</v>
      </c>
      <c r="N76" s="206"/>
      <c r="O76" s="108" t="b">
        <f t="shared" si="4"/>
        <v>1</v>
      </c>
      <c r="P76" s="207">
        <f t="shared" si="5"/>
        <v>1</v>
      </c>
      <c r="Q76" s="140">
        <f t="shared" ref="Q76:BE76" si="69">iferror(if(Q$9=FALSE,, if(if(search(Q$11,$B76,1)&gt;0,1,0)=1,$H76/$P76,)),"")</f>
        <v>103.98</v>
      </c>
      <c r="R76" s="140" t="str">
        <f t="shared" si="69"/>
        <v/>
      </c>
      <c r="S76" s="140" t="str">
        <f t="shared" si="69"/>
        <v/>
      </c>
      <c r="T76" s="140" t="str">
        <f t="shared" si="69"/>
        <v/>
      </c>
      <c r="U76" s="140" t="str">
        <f t="shared" si="69"/>
        <v/>
      </c>
      <c r="V76" s="140" t="str">
        <f t="shared" si="69"/>
        <v/>
      </c>
      <c r="W76" s="140" t="str">
        <f t="shared" si="69"/>
        <v/>
      </c>
      <c r="X76" s="140" t="str">
        <f t="shared" si="69"/>
        <v/>
      </c>
      <c r="Y76" s="140" t="str">
        <f t="shared" si="69"/>
        <v/>
      </c>
      <c r="Z76" s="140" t="str">
        <f t="shared" si="69"/>
        <v/>
      </c>
      <c r="AA76" s="140" t="str">
        <f t="shared" si="69"/>
        <v/>
      </c>
      <c r="AB76" s="140" t="str">
        <f t="shared" si="69"/>
        <v/>
      </c>
      <c r="AC76" s="140" t="str">
        <f t="shared" si="69"/>
        <v/>
      </c>
      <c r="AD76" s="140" t="str">
        <f t="shared" si="69"/>
        <v/>
      </c>
      <c r="AE76" s="140" t="str">
        <f t="shared" si="69"/>
        <v/>
      </c>
      <c r="AF76" s="140" t="str">
        <f t="shared" si="69"/>
        <v/>
      </c>
      <c r="AG76" s="140" t="str">
        <f t="shared" si="69"/>
        <v/>
      </c>
      <c r="AH76" s="140" t="str">
        <f t="shared" si="69"/>
        <v/>
      </c>
      <c r="AI76" s="140" t="str">
        <f t="shared" si="69"/>
        <v/>
      </c>
      <c r="AJ76" s="140" t="str">
        <f t="shared" si="69"/>
        <v/>
      </c>
      <c r="AK76" s="140" t="str">
        <f t="shared" si="69"/>
        <v/>
      </c>
      <c r="AL76" s="140" t="str">
        <f t="shared" si="69"/>
        <v/>
      </c>
      <c r="AM76" s="140" t="str">
        <f t="shared" si="69"/>
        <v/>
      </c>
      <c r="AN76" s="140" t="str">
        <f t="shared" si="69"/>
        <v/>
      </c>
      <c r="AO76" s="140" t="str">
        <f t="shared" si="69"/>
        <v/>
      </c>
      <c r="AP76" s="140" t="str">
        <f t="shared" si="69"/>
        <v/>
      </c>
      <c r="AQ76" s="140" t="str">
        <f t="shared" si="69"/>
        <v/>
      </c>
      <c r="AR76" s="140" t="str">
        <f t="shared" si="69"/>
        <v/>
      </c>
      <c r="AS76" s="140" t="str">
        <f t="shared" si="69"/>
        <v/>
      </c>
      <c r="AT76" s="140" t="str">
        <f t="shared" si="69"/>
        <v/>
      </c>
      <c r="AU76" s="140" t="str">
        <f t="shared" si="69"/>
        <v/>
      </c>
      <c r="AV76" s="140" t="str">
        <f t="shared" si="69"/>
        <v/>
      </c>
      <c r="AW76" s="140" t="str">
        <f t="shared" si="69"/>
        <v/>
      </c>
      <c r="AX76" s="140" t="str">
        <f t="shared" si="69"/>
        <v/>
      </c>
      <c r="AY76" s="140" t="str">
        <f t="shared" si="69"/>
        <v/>
      </c>
      <c r="AZ76" s="140" t="str">
        <f t="shared" si="69"/>
        <v/>
      </c>
      <c r="BA76" s="140" t="str">
        <f t="shared" si="69"/>
        <v/>
      </c>
      <c r="BB76" s="140" t="str">
        <f t="shared" si="69"/>
        <v/>
      </c>
      <c r="BC76" s="140" t="str">
        <f t="shared" si="69"/>
        <v/>
      </c>
      <c r="BD76" s="140" t="str">
        <f t="shared" si="69"/>
        <v/>
      </c>
      <c r="BE76" s="140" t="str">
        <f t="shared" si="69"/>
        <v/>
      </c>
    </row>
    <row r="77">
      <c r="A77" s="108"/>
      <c r="B77" s="107" t="s">
        <v>3</v>
      </c>
      <c r="C77" s="202"/>
      <c r="D77" s="107" t="s">
        <v>292</v>
      </c>
      <c r="E77" s="107"/>
      <c r="F77" s="107" t="s">
        <v>293</v>
      </c>
      <c r="G77" s="208">
        <v>52058.0</v>
      </c>
      <c r="H77" s="204">
        <v>840.0</v>
      </c>
      <c r="I77" s="205">
        <v>45538.0</v>
      </c>
      <c r="J77" s="107" t="s">
        <v>311</v>
      </c>
      <c r="K77" s="202"/>
      <c r="L77" s="107" t="b">
        <v>1</v>
      </c>
      <c r="M77" s="204">
        <f t="shared" si="3"/>
        <v>840</v>
      </c>
      <c r="N77" s="206"/>
      <c r="O77" s="108" t="b">
        <f t="shared" si="4"/>
        <v>1</v>
      </c>
      <c r="P77" s="207">
        <f t="shared" si="5"/>
        <v>1</v>
      </c>
      <c r="Q77" s="140">
        <f t="shared" ref="Q77:BE77" si="70">iferror(if(Q$9=FALSE,, if(if(search(Q$11,$B77,1)&gt;0,1,0)=1,$H77/$P77,)),"")</f>
        <v>840</v>
      </c>
      <c r="R77" s="140" t="str">
        <f t="shared" si="70"/>
        <v/>
      </c>
      <c r="S77" s="140" t="str">
        <f t="shared" si="70"/>
        <v/>
      </c>
      <c r="T77" s="140" t="str">
        <f t="shared" si="70"/>
        <v/>
      </c>
      <c r="U77" s="140" t="str">
        <f t="shared" si="70"/>
        <v/>
      </c>
      <c r="V77" s="140" t="str">
        <f t="shared" si="70"/>
        <v/>
      </c>
      <c r="W77" s="140" t="str">
        <f t="shared" si="70"/>
        <v/>
      </c>
      <c r="X77" s="140" t="str">
        <f t="shared" si="70"/>
        <v/>
      </c>
      <c r="Y77" s="140" t="str">
        <f t="shared" si="70"/>
        <v/>
      </c>
      <c r="Z77" s="140" t="str">
        <f t="shared" si="70"/>
        <v/>
      </c>
      <c r="AA77" s="140" t="str">
        <f t="shared" si="70"/>
        <v/>
      </c>
      <c r="AB77" s="140" t="str">
        <f t="shared" si="70"/>
        <v/>
      </c>
      <c r="AC77" s="140" t="str">
        <f t="shared" si="70"/>
        <v/>
      </c>
      <c r="AD77" s="140" t="str">
        <f t="shared" si="70"/>
        <v/>
      </c>
      <c r="AE77" s="140" t="str">
        <f t="shared" si="70"/>
        <v/>
      </c>
      <c r="AF77" s="140" t="str">
        <f t="shared" si="70"/>
        <v/>
      </c>
      <c r="AG77" s="140" t="str">
        <f t="shared" si="70"/>
        <v/>
      </c>
      <c r="AH77" s="140" t="str">
        <f t="shared" si="70"/>
        <v/>
      </c>
      <c r="AI77" s="140" t="str">
        <f t="shared" si="70"/>
        <v/>
      </c>
      <c r="AJ77" s="140" t="str">
        <f t="shared" si="70"/>
        <v/>
      </c>
      <c r="AK77" s="140" t="str">
        <f t="shared" si="70"/>
        <v/>
      </c>
      <c r="AL77" s="140" t="str">
        <f t="shared" si="70"/>
        <v/>
      </c>
      <c r="AM77" s="140" t="str">
        <f t="shared" si="70"/>
        <v/>
      </c>
      <c r="AN77" s="140" t="str">
        <f t="shared" si="70"/>
        <v/>
      </c>
      <c r="AO77" s="140" t="str">
        <f t="shared" si="70"/>
        <v/>
      </c>
      <c r="AP77" s="140" t="str">
        <f t="shared" si="70"/>
        <v/>
      </c>
      <c r="AQ77" s="140" t="str">
        <f t="shared" si="70"/>
        <v/>
      </c>
      <c r="AR77" s="140" t="str">
        <f t="shared" si="70"/>
        <v/>
      </c>
      <c r="AS77" s="140" t="str">
        <f t="shared" si="70"/>
        <v/>
      </c>
      <c r="AT77" s="140" t="str">
        <f t="shared" si="70"/>
        <v/>
      </c>
      <c r="AU77" s="140" t="str">
        <f t="shared" si="70"/>
        <v/>
      </c>
      <c r="AV77" s="140" t="str">
        <f t="shared" si="70"/>
        <v/>
      </c>
      <c r="AW77" s="140" t="str">
        <f t="shared" si="70"/>
        <v/>
      </c>
      <c r="AX77" s="140" t="str">
        <f t="shared" si="70"/>
        <v/>
      </c>
      <c r="AY77" s="140" t="str">
        <f t="shared" si="70"/>
        <v/>
      </c>
      <c r="AZ77" s="140" t="str">
        <f t="shared" si="70"/>
        <v/>
      </c>
      <c r="BA77" s="140" t="str">
        <f t="shared" si="70"/>
        <v/>
      </c>
      <c r="BB77" s="140" t="str">
        <f t="shared" si="70"/>
        <v/>
      </c>
      <c r="BC77" s="140" t="str">
        <f t="shared" si="70"/>
        <v/>
      </c>
      <c r="BD77" s="140" t="str">
        <f t="shared" si="70"/>
        <v/>
      </c>
      <c r="BE77" s="140" t="str">
        <f t="shared" si="70"/>
        <v/>
      </c>
    </row>
    <row r="78">
      <c r="A78" s="108"/>
      <c r="B78" s="107" t="s">
        <v>8</v>
      </c>
      <c r="C78" s="202"/>
      <c r="D78" s="107" t="s">
        <v>272</v>
      </c>
      <c r="E78" s="107"/>
      <c r="F78" s="107" t="s">
        <v>273</v>
      </c>
      <c r="G78" s="209">
        <v>30805.0</v>
      </c>
      <c r="H78" s="204">
        <v>31159.18</v>
      </c>
      <c r="I78" s="205">
        <v>45562.0</v>
      </c>
      <c r="J78" s="107" t="s">
        <v>274</v>
      </c>
      <c r="K78" s="202"/>
      <c r="L78" s="107" t="b">
        <v>1</v>
      </c>
      <c r="M78" s="204">
        <f t="shared" si="3"/>
        <v>31159.18</v>
      </c>
      <c r="N78" s="206"/>
      <c r="O78" s="108" t="b">
        <f t="shared" si="4"/>
        <v>1</v>
      </c>
      <c r="P78" s="207">
        <f t="shared" si="5"/>
        <v>1</v>
      </c>
      <c r="Q78" s="140" t="str">
        <f t="shared" ref="Q78:BE78" si="71">iferror(if(Q$9=FALSE,, if(if(search(Q$11,$B78,1)&gt;0,1,0)=1,$H78/$P78,)),"")</f>
        <v/>
      </c>
      <c r="R78" s="140" t="str">
        <f t="shared" si="71"/>
        <v/>
      </c>
      <c r="S78" s="140" t="str">
        <f t="shared" si="71"/>
        <v/>
      </c>
      <c r="T78" s="140" t="str">
        <f t="shared" si="71"/>
        <v/>
      </c>
      <c r="U78" s="140" t="str">
        <f t="shared" si="71"/>
        <v/>
      </c>
      <c r="V78" s="140" t="str">
        <f t="shared" si="71"/>
        <v/>
      </c>
      <c r="W78" s="140" t="str">
        <f t="shared" si="71"/>
        <v/>
      </c>
      <c r="X78" s="140">
        <f t="shared" si="71"/>
        <v>31159.18</v>
      </c>
      <c r="Y78" s="140" t="str">
        <f t="shared" si="71"/>
        <v/>
      </c>
      <c r="Z78" s="140" t="str">
        <f t="shared" si="71"/>
        <v/>
      </c>
      <c r="AA78" s="140" t="str">
        <f t="shared" si="71"/>
        <v/>
      </c>
      <c r="AB78" s="140" t="str">
        <f t="shared" si="71"/>
        <v/>
      </c>
      <c r="AC78" s="140" t="str">
        <f t="shared" si="71"/>
        <v/>
      </c>
      <c r="AD78" s="140" t="str">
        <f t="shared" si="71"/>
        <v/>
      </c>
      <c r="AE78" s="140" t="str">
        <f t="shared" si="71"/>
        <v/>
      </c>
      <c r="AF78" s="140" t="str">
        <f t="shared" si="71"/>
        <v/>
      </c>
      <c r="AG78" s="140" t="str">
        <f t="shared" si="71"/>
        <v/>
      </c>
      <c r="AH78" s="140" t="str">
        <f t="shared" si="71"/>
        <v/>
      </c>
      <c r="AI78" s="140" t="str">
        <f t="shared" si="71"/>
        <v/>
      </c>
      <c r="AJ78" s="140" t="str">
        <f t="shared" si="71"/>
        <v/>
      </c>
      <c r="AK78" s="140" t="str">
        <f t="shared" si="71"/>
        <v/>
      </c>
      <c r="AL78" s="140" t="str">
        <f t="shared" si="71"/>
        <v/>
      </c>
      <c r="AM78" s="140" t="str">
        <f t="shared" si="71"/>
        <v/>
      </c>
      <c r="AN78" s="140" t="str">
        <f t="shared" si="71"/>
        <v/>
      </c>
      <c r="AO78" s="140" t="str">
        <f t="shared" si="71"/>
        <v/>
      </c>
      <c r="AP78" s="140" t="str">
        <f t="shared" si="71"/>
        <v/>
      </c>
      <c r="AQ78" s="140" t="str">
        <f t="shared" si="71"/>
        <v/>
      </c>
      <c r="AR78" s="140" t="str">
        <f t="shared" si="71"/>
        <v/>
      </c>
      <c r="AS78" s="140" t="str">
        <f t="shared" si="71"/>
        <v/>
      </c>
      <c r="AT78" s="140" t="str">
        <f t="shared" si="71"/>
        <v/>
      </c>
      <c r="AU78" s="140" t="str">
        <f t="shared" si="71"/>
        <v/>
      </c>
      <c r="AV78" s="140" t="str">
        <f t="shared" si="71"/>
        <v/>
      </c>
      <c r="AW78" s="140" t="str">
        <f t="shared" si="71"/>
        <v/>
      </c>
      <c r="AX78" s="140" t="str">
        <f t="shared" si="71"/>
        <v/>
      </c>
      <c r="AY78" s="140" t="str">
        <f t="shared" si="71"/>
        <v/>
      </c>
      <c r="AZ78" s="140" t="str">
        <f t="shared" si="71"/>
        <v/>
      </c>
      <c r="BA78" s="140" t="str">
        <f t="shared" si="71"/>
        <v/>
      </c>
      <c r="BB78" s="140" t="str">
        <f t="shared" si="71"/>
        <v/>
      </c>
      <c r="BC78" s="140" t="str">
        <f t="shared" si="71"/>
        <v/>
      </c>
      <c r="BD78" s="140" t="str">
        <f t="shared" si="71"/>
        <v/>
      </c>
      <c r="BE78" s="140" t="str">
        <f t="shared" si="71"/>
        <v/>
      </c>
    </row>
    <row r="79">
      <c r="A79" s="108"/>
      <c r="B79" s="107" t="s">
        <v>3</v>
      </c>
      <c r="C79" s="202"/>
      <c r="D79" s="107" t="s">
        <v>309</v>
      </c>
      <c r="E79" s="107"/>
      <c r="F79" s="107" t="s">
        <v>256</v>
      </c>
      <c r="G79" s="208">
        <v>155774.0</v>
      </c>
      <c r="H79" s="204">
        <v>3584.0</v>
      </c>
      <c r="I79" s="205">
        <v>45554.0</v>
      </c>
      <c r="J79" s="107" t="s">
        <v>314</v>
      </c>
      <c r="K79" s="202"/>
      <c r="L79" s="107" t="b">
        <v>1</v>
      </c>
      <c r="M79" s="204">
        <f t="shared" si="3"/>
        <v>3584</v>
      </c>
      <c r="N79" s="206"/>
      <c r="O79" s="108" t="b">
        <f t="shared" si="4"/>
        <v>1</v>
      </c>
      <c r="P79" s="207">
        <f t="shared" si="5"/>
        <v>1</v>
      </c>
      <c r="Q79" s="140">
        <f t="shared" ref="Q79:BE79" si="72">iferror(if(Q$9=FALSE,, if(if(search(Q$11,$B79,1)&gt;0,1,0)=1,$H79/$P79,)),"")</f>
        <v>3584</v>
      </c>
      <c r="R79" s="140" t="str">
        <f t="shared" si="72"/>
        <v/>
      </c>
      <c r="S79" s="140" t="str">
        <f t="shared" si="72"/>
        <v/>
      </c>
      <c r="T79" s="140" t="str">
        <f t="shared" si="72"/>
        <v/>
      </c>
      <c r="U79" s="140" t="str">
        <f t="shared" si="72"/>
        <v/>
      </c>
      <c r="V79" s="140" t="str">
        <f t="shared" si="72"/>
        <v/>
      </c>
      <c r="W79" s="140" t="str">
        <f t="shared" si="72"/>
        <v/>
      </c>
      <c r="X79" s="140" t="str">
        <f t="shared" si="72"/>
        <v/>
      </c>
      <c r="Y79" s="140" t="str">
        <f t="shared" si="72"/>
        <v/>
      </c>
      <c r="Z79" s="140" t="str">
        <f t="shared" si="72"/>
        <v/>
      </c>
      <c r="AA79" s="140" t="str">
        <f t="shared" si="72"/>
        <v/>
      </c>
      <c r="AB79" s="140" t="str">
        <f t="shared" si="72"/>
        <v/>
      </c>
      <c r="AC79" s="140" t="str">
        <f t="shared" si="72"/>
        <v/>
      </c>
      <c r="AD79" s="140" t="str">
        <f t="shared" si="72"/>
        <v/>
      </c>
      <c r="AE79" s="140" t="str">
        <f t="shared" si="72"/>
        <v/>
      </c>
      <c r="AF79" s="140" t="str">
        <f t="shared" si="72"/>
        <v/>
      </c>
      <c r="AG79" s="140" t="str">
        <f t="shared" si="72"/>
        <v/>
      </c>
      <c r="AH79" s="140" t="str">
        <f t="shared" si="72"/>
        <v/>
      </c>
      <c r="AI79" s="140" t="str">
        <f t="shared" si="72"/>
        <v/>
      </c>
      <c r="AJ79" s="140" t="str">
        <f t="shared" si="72"/>
        <v/>
      </c>
      <c r="AK79" s="140" t="str">
        <f t="shared" si="72"/>
        <v/>
      </c>
      <c r="AL79" s="140" t="str">
        <f t="shared" si="72"/>
        <v/>
      </c>
      <c r="AM79" s="140" t="str">
        <f t="shared" si="72"/>
        <v/>
      </c>
      <c r="AN79" s="140" t="str">
        <f t="shared" si="72"/>
        <v/>
      </c>
      <c r="AO79" s="140" t="str">
        <f t="shared" si="72"/>
        <v/>
      </c>
      <c r="AP79" s="140" t="str">
        <f t="shared" si="72"/>
        <v/>
      </c>
      <c r="AQ79" s="140" t="str">
        <f t="shared" si="72"/>
        <v/>
      </c>
      <c r="AR79" s="140" t="str">
        <f t="shared" si="72"/>
        <v/>
      </c>
      <c r="AS79" s="140" t="str">
        <f t="shared" si="72"/>
        <v/>
      </c>
      <c r="AT79" s="140" t="str">
        <f t="shared" si="72"/>
        <v/>
      </c>
      <c r="AU79" s="140" t="str">
        <f t="shared" si="72"/>
        <v/>
      </c>
      <c r="AV79" s="140" t="str">
        <f t="shared" si="72"/>
        <v/>
      </c>
      <c r="AW79" s="140" t="str">
        <f t="shared" si="72"/>
        <v/>
      </c>
      <c r="AX79" s="140" t="str">
        <f t="shared" si="72"/>
        <v/>
      </c>
      <c r="AY79" s="140" t="str">
        <f t="shared" si="72"/>
        <v/>
      </c>
      <c r="AZ79" s="140" t="str">
        <f t="shared" si="72"/>
        <v/>
      </c>
      <c r="BA79" s="140" t="str">
        <f t="shared" si="72"/>
        <v/>
      </c>
      <c r="BB79" s="140" t="str">
        <f t="shared" si="72"/>
        <v/>
      </c>
      <c r="BC79" s="140" t="str">
        <f t="shared" si="72"/>
        <v/>
      </c>
      <c r="BD79" s="140" t="str">
        <f t="shared" si="72"/>
        <v/>
      </c>
      <c r="BE79" s="140" t="str">
        <f t="shared" si="72"/>
        <v/>
      </c>
    </row>
    <row r="80">
      <c r="A80" s="108"/>
      <c r="B80" s="107" t="s">
        <v>247</v>
      </c>
      <c r="C80" s="107"/>
      <c r="D80" s="107" t="s">
        <v>309</v>
      </c>
      <c r="E80" s="107"/>
      <c r="F80" s="107" t="s">
        <v>256</v>
      </c>
      <c r="G80" s="208">
        <v>155657.0</v>
      </c>
      <c r="H80" s="204">
        <v>5376.0</v>
      </c>
      <c r="I80" s="205">
        <v>45551.0</v>
      </c>
      <c r="J80" s="107" t="s">
        <v>314</v>
      </c>
      <c r="K80" s="202"/>
      <c r="L80" s="107" t="b">
        <v>1</v>
      </c>
      <c r="M80" s="204">
        <f t="shared" si="3"/>
        <v>0</v>
      </c>
      <c r="N80" s="206"/>
      <c r="O80" s="108" t="b">
        <f t="shared" si="4"/>
        <v>0</v>
      </c>
      <c r="P80" s="207">
        <f t="shared" si="5"/>
        <v>1</v>
      </c>
      <c r="Q80" s="140" t="str">
        <f t="shared" ref="Q80:BE80" si="73">iferror(if(Q$9=FALSE,, if(if(search(Q$11,$B80,1)&gt;0,1,0)=1,$H80/$P80,)),"")</f>
        <v/>
      </c>
      <c r="R80" s="140" t="str">
        <f t="shared" si="73"/>
        <v/>
      </c>
      <c r="S80" s="140" t="str">
        <f t="shared" si="73"/>
        <v/>
      </c>
      <c r="T80" s="140" t="str">
        <f t="shared" si="73"/>
        <v/>
      </c>
      <c r="U80" s="140" t="str">
        <f t="shared" si="73"/>
        <v/>
      </c>
      <c r="V80" s="140" t="str">
        <f t="shared" si="73"/>
        <v/>
      </c>
      <c r="W80" s="140" t="str">
        <f t="shared" si="73"/>
        <v/>
      </c>
      <c r="X80" s="140" t="str">
        <f t="shared" si="73"/>
        <v/>
      </c>
      <c r="Y80" s="140" t="str">
        <f t="shared" si="73"/>
        <v/>
      </c>
      <c r="Z80" s="140" t="str">
        <f t="shared" si="73"/>
        <v/>
      </c>
      <c r="AA80" s="140" t="str">
        <f t="shared" si="73"/>
        <v/>
      </c>
      <c r="AB80" s="140" t="str">
        <f t="shared" si="73"/>
        <v/>
      </c>
      <c r="AC80" s="140" t="str">
        <f t="shared" si="73"/>
        <v/>
      </c>
      <c r="AD80" s="140" t="str">
        <f t="shared" si="73"/>
        <v/>
      </c>
      <c r="AE80" s="140" t="str">
        <f t="shared" si="73"/>
        <v/>
      </c>
      <c r="AF80" s="140" t="str">
        <f t="shared" si="73"/>
        <v/>
      </c>
      <c r="AG80" s="140" t="str">
        <f t="shared" si="73"/>
        <v/>
      </c>
      <c r="AH80" s="140" t="str">
        <f t="shared" si="73"/>
        <v/>
      </c>
      <c r="AI80" s="140" t="str">
        <f t="shared" si="73"/>
        <v/>
      </c>
      <c r="AJ80" s="140" t="str">
        <f t="shared" si="73"/>
        <v/>
      </c>
      <c r="AK80" s="140" t="str">
        <f t="shared" si="73"/>
        <v/>
      </c>
      <c r="AL80" s="140" t="str">
        <f t="shared" si="73"/>
        <v/>
      </c>
      <c r="AM80" s="140" t="str">
        <f t="shared" si="73"/>
        <v/>
      </c>
      <c r="AN80" s="140" t="str">
        <f t="shared" si="73"/>
        <v/>
      </c>
      <c r="AO80" s="140" t="str">
        <f t="shared" si="73"/>
        <v/>
      </c>
      <c r="AP80" s="140" t="str">
        <f t="shared" si="73"/>
        <v/>
      </c>
      <c r="AQ80" s="140" t="str">
        <f t="shared" si="73"/>
        <v/>
      </c>
      <c r="AR80" s="140" t="str">
        <f t="shared" si="73"/>
        <v/>
      </c>
      <c r="AS80" s="140" t="str">
        <f t="shared" si="73"/>
        <v/>
      </c>
      <c r="AT80" s="140" t="str">
        <f t="shared" si="73"/>
        <v/>
      </c>
      <c r="AU80" s="140" t="str">
        <f t="shared" si="73"/>
        <v/>
      </c>
      <c r="AV80" s="140" t="str">
        <f t="shared" si="73"/>
        <v/>
      </c>
      <c r="AW80" s="140" t="str">
        <f t="shared" si="73"/>
        <v/>
      </c>
      <c r="AX80" s="140" t="str">
        <f t="shared" si="73"/>
        <v/>
      </c>
      <c r="AY80" s="140" t="str">
        <f t="shared" si="73"/>
        <v/>
      </c>
      <c r="AZ80" s="140" t="str">
        <f t="shared" si="73"/>
        <v/>
      </c>
      <c r="BA80" s="140" t="str">
        <f t="shared" si="73"/>
        <v/>
      </c>
      <c r="BB80" s="140" t="str">
        <f t="shared" si="73"/>
        <v/>
      </c>
      <c r="BC80" s="140" t="str">
        <f t="shared" si="73"/>
        <v/>
      </c>
      <c r="BD80" s="140" t="str">
        <f t="shared" si="73"/>
        <v/>
      </c>
      <c r="BE80" s="140" t="str">
        <f t="shared" si="73"/>
        <v/>
      </c>
    </row>
    <row r="81" hidden="1">
      <c r="A81" s="108"/>
      <c r="B81" s="107" t="s">
        <v>14</v>
      </c>
      <c r="C81" s="202"/>
      <c r="D81" s="107" t="s">
        <v>258</v>
      </c>
      <c r="E81" s="107"/>
      <c r="F81" s="107" t="s">
        <v>259</v>
      </c>
      <c r="G81" s="208">
        <v>90304.0</v>
      </c>
      <c r="H81" s="204">
        <v>246.0</v>
      </c>
      <c r="I81" s="205">
        <v>45517.0</v>
      </c>
      <c r="J81" s="107" t="s">
        <v>328</v>
      </c>
      <c r="K81" s="202"/>
      <c r="L81" s="107" t="b">
        <v>0</v>
      </c>
      <c r="M81" s="204">
        <f t="shared" si="3"/>
        <v>0</v>
      </c>
      <c r="N81" s="206"/>
      <c r="O81" s="108" t="b">
        <f t="shared" si="4"/>
        <v>0</v>
      </c>
      <c r="P81" s="207">
        <f t="shared" si="5"/>
        <v>0</v>
      </c>
      <c r="Q81" s="140" t="str">
        <f t="shared" ref="Q81:BE81" si="74">iferror(if(Q$9=FALSE,, if(if(search(Q$11,$B81,1)&gt;0,1,0)=1,$H81/$P81,)),"")</f>
        <v/>
      </c>
      <c r="R81" s="140" t="str">
        <f t="shared" si="74"/>
        <v/>
      </c>
      <c r="S81" s="140" t="str">
        <f t="shared" si="74"/>
        <v/>
      </c>
      <c r="T81" s="140" t="str">
        <f t="shared" si="74"/>
        <v/>
      </c>
      <c r="U81" s="140" t="str">
        <f t="shared" si="74"/>
        <v/>
      </c>
      <c r="V81" s="140" t="str">
        <f t="shared" si="74"/>
        <v/>
      </c>
      <c r="W81" s="140" t="str">
        <f t="shared" si="74"/>
        <v/>
      </c>
      <c r="X81" s="140" t="str">
        <f t="shared" si="74"/>
        <v/>
      </c>
      <c r="Y81" s="140" t="str">
        <f t="shared" si="74"/>
        <v/>
      </c>
      <c r="Z81" s="140" t="str">
        <f t="shared" si="74"/>
        <v/>
      </c>
      <c r="AA81" s="140" t="str">
        <f t="shared" si="74"/>
        <v/>
      </c>
      <c r="AB81" s="140" t="str">
        <f t="shared" si="74"/>
        <v/>
      </c>
      <c r="AC81" s="140" t="str">
        <f t="shared" si="74"/>
        <v/>
      </c>
      <c r="AD81" s="140" t="str">
        <f t="shared" si="74"/>
        <v/>
      </c>
      <c r="AE81" s="140" t="str">
        <f t="shared" si="74"/>
        <v/>
      </c>
      <c r="AF81" s="140" t="str">
        <f t="shared" si="74"/>
        <v/>
      </c>
      <c r="AG81" s="140" t="str">
        <f t="shared" si="74"/>
        <v/>
      </c>
      <c r="AH81" s="140" t="str">
        <f t="shared" si="74"/>
        <v/>
      </c>
      <c r="AI81" s="140" t="str">
        <f t="shared" si="74"/>
        <v/>
      </c>
      <c r="AJ81" s="140" t="str">
        <f t="shared" si="74"/>
        <v/>
      </c>
      <c r="AK81" s="140" t="str">
        <f t="shared" si="74"/>
        <v/>
      </c>
      <c r="AL81" s="140" t="str">
        <f t="shared" si="74"/>
        <v/>
      </c>
      <c r="AM81" s="140" t="str">
        <f t="shared" si="74"/>
        <v/>
      </c>
      <c r="AN81" s="140" t="str">
        <f t="shared" si="74"/>
        <v/>
      </c>
      <c r="AO81" s="140" t="str">
        <f t="shared" si="74"/>
        <v/>
      </c>
      <c r="AP81" s="140" t="str">
        <f t="shared" si="74"/>
        <v/>
      </c>
      <c r="AQ81" s="140" t="str">
        <f t="shared" si="74"/>
        <v/>
      </c>
      <c r="AR81" s="140" t="str">
        <f t="shared" si="74"/>
        <v/>
      </c>
      <c r="AS81" s="140" t="str">
        <f t="shared" si="74"/>
        <v/>
      </c>
      <c r="AT81" s="140" t="str">
        <f t="shared" si="74"/>
        <v/>
      </c>
      <c r="AU81" s="140" t="str">
        <f t="shared" si="74"/>
        <v/>
      </c>
      <c r="AV81" s="140" t="str">
        <f t="shared" si="74"/>
        <v/>
      </c>
      <c r="AW81" s="140" t="str">
        <f t="shared" si="74"/>
        <v/>
      </c>
      <c r="AX81" s="140" t="str">
        <f t="shared" si="74"/>
        <v/>
      </c>
      <c r="AY81" s="140" t="str">
        <f t="shared" si="74"/>
        <v/>
      </c>
      <c r="AZ81" s="140" t="str">
        <f t="shared" si="74"/>
        <v/>
      </c>
      <c r="BA81" s="140" t="str">
        <f t="shared" si="74"/>
        <v/>
      </c>
      <c r="BB81" s="140" t="str">
        <f t="shared" si="74"/>
        <v/>
      </c>
      <c r="BC81" s="140" t="str">
        <f t="shared" si="74"/>
        <v/>
      </c>
      <c r="BD81" s="140" t="str">
        <f t="shared" si="74"/>
        <v/>
      </c>
      <c r="BE81" s="140" t="str">
        <f t="shared" si="74"/>
        <v/>
      </c>
    </row>
    <row r="82" hidden="1">
      <c r="A82" s="108"/>
      <c r="B82" s="107" t="s">
        <v>14</v>
      </c>
      <c r="C82" s="107"/>
      <c r="D82" s="107" t="s">
        <v>258</v>
      </c>
      <c r="E82" s="107"/>
      <c r="F82" s="107" t="s">
        <v>259</v>
      </c>
      <c r="G82" s="208">
        <v>91276.0</v>
      </c>
      <c r="H82" s="204">
        <v>492.0</v>
      </c>
      <c r="I82" s="205">
        <v>45534.0</v>
      </c>
      <c r="J82" s="107" t="s">
        <v>328</v>
      </c>
      <c r="K82" s="202"/>
      <c r="L82" s="107" t="b">
        <v>0</v>
      </c>
      <c r="M82" s="204">
        <f t="shared" si="3"/>
        <v>0</v>
      </c>
      <c r="N82" s="206"/>
      <c r="O82" s="108" t="b">
        <f t="shared" si="4"/>
        <v>0</v>
      </c>
      <c r="P82" s="207">
        <f t="shared" si="5"/>
        <v>0</v>
      </c>
      <c r="Q82" s="140" t="str">
        <f t="shared" ref="Q82:BE82" si="75">iferror(if(Q$9=FALSE,, if(if(search(Q$11,$B82,1)&gt;0,1,0)=1,$H82/$P82,)),"")</f>
        <v/>
      </c>
      <c r="R82" s="140" t="str">
        <f t="shared" si="75"/>
        <v/>
      </c>
      <c r="S82" s="140" t="str">
        <f t="shared" si="75"/>
        <v/>
      </c>
      <c r="T82" s="140" t="str">
        <f t="shared" si="75"/>
        <v/>
      </c>
      <c r="U82" s="140" t="str">
        <f t="shared" si="75"/>
        <v/>
      </c>
      <c r="V82" s="140" t="str">
        <f t="shared" si="75"/>
        <v/>
      </c>
      <c r="W82" s="140" t="str">
        <f t="shared" si="75"/>
        <v/>
      </c>
      <c r="X82" s="140" t="str">
        <f t="shared" si="75"/>
        <v/>
      </c>
      <c r="Y82" s="140" t="str">
        <f t="shared" si="75"/>
        <v/>
      </c>
      <c r="Z82" s="140" t="str">
        <f t="shared" si="75"/>
        <v/>
      </c>
      <c r="AA82" s="140" t="str">
        <f t="shared" si="75"/>
        <v/>
      </c>
      <c r="AB82" s="140" t="str">
        <f t="shared" si="75"/>
        <v/>
      </c>
      <c r="AC82" s="140" t="str">
        <f t="shared" si="75"/>
        <v/>
      </c>
      <c r="AD82" s="140" t="str">
        <f t="shared" si="75"/>
        <v/>
      </c>
      <c r="AE82" s="140" t="str">
        <f t="shared" si="75"/>
        <v/>
      </c>
      <c r="AF82" s="140" t="str">
        <f t="shared" si="75"/>
        <v/>
      </c>
      <c r="AG82" s="140" t="str">
        <f t="shared" si="75"/>
        <v/>
      </c>
      <c r="AH82" s="140" t="str">
        <f t="shared" si="75"/>
        <v/>
      </c>
      <c r="AI82" s="140" t="str">
        <f t="shared" si="75"/>
        <v/>
      </c>
      <c r="AJ82" s="140" t="str">
        <f t="shared" si="75"/>
        <v/>
      </c>
      <c r="AK82" s="140" t="str">
        <f t="shared" si="75"/>
        <v/>
      </c>
      <c r="AL82" s="140" t="str">
        <f t="shared" si="75"/>
        <v/>
      </c>
      <c r="AM82" s="140" t="str">
        <f t="shared" si="75"/>
        <v/>
      </c>
      <c r="AN82" s="140" t="str">
        <f t="shared" si="75"/>
        <v/>
      </c>
      <c r="AO82" s="140" t="str">
        <f t="shared" si="75"/>
        <v/>
      </c>
      <c r="AP82" s="140" t="str">
        <f t="shared" si="75"/>
        <v/>
      </c>
      <c r="AQ82" s="140" t="str">
        <f t="shared" si="75"/>
        <v/>
      </c>
      <c r="AR82" s="140" t="str">
        <f t="shared" si="75"/>
        <v/>
      </c>
      <c r="AS82" s="140" t="str">
        <f t="shared" si="75"/>
        <v/>
      </c>
      <c r="AT82" s="140" t="str">
        <f t="shared" si="75"/>
        <v/>
      </c>
      <c r="AU82" s="140" t="str">
        <f t="shared" si="75"/>
        <v/>
      </c>
      <c r="AV82" s="140" t="str">
        <f t="shared" si="75"/>
        <v/>
      </c>
      <c r="AW82" s="140" t="str">
        <f t="shared" si="75"/>
        <v/>
      </c>
      <c r="AX82" s="140" t="str">
        <f t="shared" si="75"/>
        <v/>
      </c>
      <c r="AY82" s="140" t="str">
        <f t="shared" si="75"/>
        <v/>
      </c>
      <c r="AZ82" s="140" t="str">
        <f t="shared" si="75"/>
        <v/>
      </c>
      <c r="BA82" s="140" t="str">
        <f t="shared" si="75"/>
        <v/>
      </c>
      <c r="BB82" s="140" t="str">
        <f t="shared" si="75"/>
        <v/>
      </c>
      <c r="BC82" s="140" t="str">
        <f t="shared" si="75"/>
        <v/>
      </c>
      <c r="BD82" s="140" t="str">
        <f t="shared" si="75"/>
        <v/>
      </c>
      <c r="BE82" s="140" t="str">
        <f t="shared" si="75"/>
        <v/>
      </c>
    </row>
    <row r="83">
      <c r="A83" s="108"/>
      <c r="B83" s="107" t="s">
        <v>28</v>
      </c>
      <c r="C83" s="202"/>
      <c r="D83" s="107" t="s">
        <v>329</v>
      </c>
      <c r="E83" s="107"/>
      <c r="F83" s="107" t="s">
        <v>330</v>
      </c>
      <c r="G83" s="208">
        <v>253.0</v>
      </c>
      <c r="H83" s="204">
        <v>3500.0</v>
      </c>
      <c r="I83" s="205">
        <v>45533.0</v>
      </c>
      <c r="J83" s="107" t="s">
        <v>331</v>
      </c>
      <c r="K83" s="202"/>
      <c r="L83" s="107" t="b">
        <v>1</v>
      </c>
      <c r="M83" s="204">
        <f t="shared" si="3"/>
        <v>3500</v>
      </c>
      <c r="N83" s="206"/>
      <c r="O83" s="108" t="b">
        <f t="shared" si="4"/>
        <v>0</v>
      </c>
      <c r="P83" s="207">
        <f t="shared" si="5"/>
        <v>1</v>
      </c>
      <c r="Q83" s="140" t="str">
        <f t="shared" ref="Q83:BE83" si="76">iferror(if(Q$9=FALSE,, if(if(search(Q$11,$B83,1)&gt;0,1,0)=1,$H83/$P83,)),"")</f>
        <v/>
      </c>
      <c r="R83" s="140" t="str">
        <f t="shared" si="76"/>
        <v/>
      </c>
      <c r="S83" s="140" t="str">
        <f t="shared" si="76"/>
        <v/>
      </c>
      <c r="T83" s="140" t="str">
        <f t="shared" si="76"/>
        <v/>
      </c>
      <c r="U83" s="140" t="str">
        <f t="shared" si="76"/>
        <v/>
      </c>
      <c r="V83" s="140" t="str">
        <f t="shared" si="76"/>
        <v/>
      </c>
      <c r="W83" s="140" t="str">
        <f t="shared" si="76"/>
        <v/>
      </c>
      <c r="X83" s="140" t="str">
        <f t="shared" si="76"/>
        <v/>
      </c>
      <c r="Y83" s="140" t="str">
        <f t="shared" si="76"/>
        <v/>
      </c>
      <c r="Z83" s="140" t="str">
        <f t="shared" si="76"/>
        <v/>
      </c>
      <c r="AA83" s="140" t="str">
        <f t="shared" si="76"/>
        <v/>
      </c>
      <c r="AB83" s="140" t="str">
        <f t="shared" si="76"/>
        <v/>
      </c>
      <c r="AC83" s="140" t="str">
        <f t="shared" si="76"/>
        <v/>
      </c>
      <c r="AD83" s="140" t="str">
        <f t="shared" si="76"/>
        <v/>
      </c>
      <c r="AE83" s="140" t="str">
        <f t="shared" si="76"/>
        <v/>
      </c>
      <c r="AF83" s="140" t="str">
        <f t="shared" si="76"/>
        <v/>
      </c>
      <c r="AG83" s="140" t="str">
        <f t="shared" si="76"/>
        <v/>
      </c>
      <c r="AH83" s="140" t="str">
        <f t="shared" si="76"/>
        <v/>
      </c>
      <c r="AI83" s="140" t="str">
        <f t="shared" si="76"/>
        <v/>
      </c>
      <c r="AJ83" s="140" t="str">
        <f t="shared" si="76"/>
        <v/>
      </c>
      <c r="AK83" s="140" t="str">
        <f t="shared" si="76"/>
        <v/>
      </c>
      <c r="AL83" s="140" t="str">
        <f t="shared" si="76"/>
        <v/>
      </c>
      <c r="AM83" s="140" t="str">
        <f t="shared" si="76"/>
        <v/>
      </c>
      <c r="AN83" s="140" t="str">
        <f t="shared" si="76"/>
        <v/>
      </c>
      <c r="AO83" s="140" t="str">
        <f t="shared" si="76"/>
        <v/>
      </c>
      <c r="AP83" s="140" t="str">
        <f t="shared" si="76"/>
        <v/>
      </c>
      <c r="AQ83" s="140" t="str">
        <f t="shared" si="76"/>
        <v/>
      </c>
      <c r="AR83" s="140" t="str">
        <f t="shared" si="76"/>
        <v/>
      </c>
      <c r="AS83" s="140" t="str">
        <f t="shared" si="76"/>
        <v/>
      </c>
      <c r="AT83" s="140" t="str">
        <f t="shared" si="76"/>
        <v/>
      </c>
      <c r="AU83" s="140" t="str">
        <f t="shared" si="76"/>
        <v/>
      </c>
      <c r="AV83" s="140" t="str">
        <f t="shared" si="76"/>
        <v/>
      </c>
      <c r="AW83" s="140" t="str">
        <f t="shared" si="76"/>
        <v/>
      </c>
      <c r="AX83" s="140">
        <f t="shared" si="76"/>
        <v>3500</v>
      </c>
      <c r="AY83" s="140" t="str">
        <f t="shared" si="76"/>
        <v/>
      </c>
      <c r="AZ83" s="140" t="str">
        <f t="shared" si="76"/>
        <v/>
      </c>
      <c r="BA83" s="140" t="str">
        <f t="shared" si="76"/>
        <v/>
      </c>
      <c r="BB83" s="140" t="str">
        <f t="shared" si="76"/>
        <v/>
      </c>
      <c r="BC83" s="140" t="str">
        <f t="shared" si="76"/>
        <v/>
      </c>
      <c r="BD83" s="140" t="str">
        <f t="shared" si="76"/>
        <v/>
      </c>
      <c r="BE83" s="140" t="str">
        <f t="shared" si="76"/>
        <v/>
      </c>
    </row>
    <row r="84">
      <c r="A84" s="108"/>
      <c r="B84" s="107" t="s">
        <v>3</v>
      </c>
      <c r="C84" s="202"/>
      <c r="D84" s="107" t="s">
        <v>278</v>
      </c>
      <c r="E84" s="107"/>
      <c r="F84" s="107" t="s">
        <v>279</v>
      </c>
      <c r="G84" s="208">
        <v>115298.0</v>
      </c>
      <c r="H84" s="204">
        <v>5615.66</v>
      </c>
      <c r="I84" s="205">
        <v>45567.0</v>
      </c>
      <c r="J84" s="107" t="s">
        <v>332</v>
      </c>
      <c r="K84" s="202"/>
      <c r="L84" s="107" t="b">
        <v>1</v>
      </c>
      <c r="M84" s="204">
        <f t="shared" si="3"/>
        <v>5615.66</v>
      </c>
      <c r="N84" s="206"/>
      <c r="O84" s="108" t="b">
        <v>0</v>
      </c>
      <c r="P84" s="207">
        <f t="shared" si="5"/>
        <v>1</v>
      </c>
      <c r="Q84" s="140">
        <f t="shared" ref="Q84:BE84" si="77">iferror(if(Q$9=FALSE,, if(if(search(Q$11,$B84,1)&gt;0,1,0)=1,$H84/$P84,)),"")</f>
        <v>5615.66</v>
      </c>
      <c r="R84" s="140" t="str">
        <f t="shared" si="77"/>
        <v/>
      </c>
      <c r="S84" s="140" t="str">
        <f t="shared" si="77"/>
        <v/>
      </c>
      <c r="T84" s="140" t="str">
        <f t="shared" si="77"/>
        <v/>
      </c>
      <c r="U84" s="140" t="str">
        <f t="shared" si="77"/>
        <v/>
      </c>
      <c r="V84" s="140" t="str">
        <f t="shared" si="77"/>
        <v/>
      </c>
      <c r="W84" s="140" t="str">
        <f t="shared" si="77"/>
        <v/>
      </c>
      <c r="X84" s="140" t="str">
        <f t="shared" si="77"/>
        <v/>
      </c>
      <c r="Y84" s="140" t="str">
        <f t="shared" si="77"/>
        <v/>
      </c>
      <c r="Z84" s="140" t="str">
        <f t="shared" si="77"/>
        <v/>
      </c>
      <c r="AA84" s="140" t="str">
        <f t="shared" si="77"/>
        <v/>
      </c>
      <c r="AB84" s="140" t="str">
        <f t="shared" si="77"/>
        <v/>
      </c>
      <c r="AC84" s="140" t="str">
        <f t="shared" si="77"/>
        <v/>
      </c>
      <c r="AD84" s="140" t="str">
        <f t="shared" si="77"/>
        <v/>
      </c>
      <c r="AE84" s="140" t="str">
        <f t="shared" si="77"/>
        <v/>
      </c>
      <c r="AF84" s="140" t="str">
        <f t="shared" si="77"/>
        <v/>
      </c>
      <c r="AG84" s="140" t="str">
        <f t="shared" si="77"/>
        <v/>
      </c>
      <c r="AH84" s="140" t="str">
        <f t="shared" si="77"/>
        <v/>
      </c>
      <c r="AI84" s="140" t="str">
        <f t="shared" si="77"/>
        <v/>
      </c>
      <c r="AJ84" s="140" t="str">
        <f t="shared" si="77"/>
        <v/>
      </c>
      <c r="AK84" s="140" t="str">
        <f t="shared" si="77"/>
        <v/>
      </c>
      <c r="AL84" s="140" t="str">
        <f t="shared" si="77"/>
        <v/>
      </c>
      <c r="AM84" s="140" t="str">
        <f t="shared" si="77"/>
        <v/>
      </c>
      <c r="AN84" s="140" t="str">
        <f t="shared" si="77"/>
        <v/>
      </c>
      <c r="AO84" s="140" t="str">
        <f t="shared" si="77"/>
        <v/>
      </c>
      <c r="AP84" s="140" t="str">
        <f t="shared" si="77"/>
        <v/>
      </c>
      <c r="AQ84" s="140" t="str">
        <f t="shared" si="77"/>
        <v/>
      </c>
      <c r="AR84" s="140" t="str">
        <f t="shared" si="77"/>
        <v/>
      </c>
      <c r="AS84" s="140" t="str">
        <f t="shared" si="77"/>
        <v/>
      </c>
      <c r="AT84" s="140" t="str">
        <f t="shared" si="77"/>
        <v/>
      </c>
      <c r="AU84" s="140" t="str">
        <f t="shared" si="77"/>
        <v/>
      </c>
      <c r="AV84" s="140" t="str">
        <f t="shared" si="77"/>
        <v/>
      </c>
      <c r="AW84" s="140" t="str">
        <f t="shared" si="77"/>
        <v/>
      </c>
      <c r="AX84" s="140" t="str">
        <f t="shared" si="77"/>
        <v/>
      </c>
      <c r="AY84" s="140" t="str">
        <f t="shared" si="77"/>
        <v/>
      </c>
      <c r="AZ84" s="140" t="str">
        <f t="shared" si="77"/>
        <v/>
      </c>
      <c r="BA84" s="140" t="str">
        <f t="shared" si="77"/>
        <v/>
      </c>
      <c r="BB84" s="140" t="str">
        <f t="shared" si="77"/>
        <v/>
      </c>
      <c r="BC84" s="140" t="str">
        <f t="shared" si="77"/>
        <v/>
      </c>
      <c r="BD84" s="140" t="str">
        <f t="shared" si="77"/>
        <v/>
      </c>
      <c r="BE84" s="140" t="str">
        <f t="shared" si="77"/>
        <v/>
      </c>
    </row>
    <row r="85">
      <c r="A85" s="108"/>
      <c r="B85" s="107" t="s">
        <v>9</v>
      </c>
      <c r="C85" s="202"/>
      <c r="D85" s="107" t="s">
        <v>262</v>
      </c>
      <c r="E85" s="107"/>
      <c r="F85" s="107" t="s">
        <v>263</v>
      </c>
      <c r="G85" s="208">
        <v>79952.0</v>
      </c>
      <c r="H85" s="210">
        <v>0.0</v>
      </c>
      <c r="I85" s="205">
        <v>45568.0</v>
      </c>
      <c r="J85" s="107" t="s">
        <v>333</v>
      </c>
      <c r="K85" s="202"/>
      <c r="L85" s="107" t="b">
        <v>1</v>
      </c>
      <c r="M85" s="204">
        <f t="shared" si="3"/>
        <v>0</v>
      </c>
      <c r="N85" s="206"/>
      <c r="O85" s="108" t="b">
        <v>0</v>
      </c>
      <c r="P85" s="207">
        <f t="shared" si="5"/>
        <v>1</v>
      </c>
      <c r="Q85" s="140" t="str">
        <f t="shared" ref="Q85:BE85" si="78">iferror(if(Q$9=FALSE,, if(if(search(Q$11,$B85,1)&gt;0,1,0)=1,$H85/$P85,)),"")</f>
        <v/>
      </c>
      <c r="R85" s="140" t="str">
        <f t="shared" si="78"/>
        <v/>
      </c>
      <c r="S85" s="140" t="str">
        <f t="shared" si="78"/>
        <v/>
      </c>
      <c r="T85" s="140" t="str">
        <f t="shared" si="78"/>
        <v/>
      </c>
      <c r="U85" s="140" t="str">
        <f t="shared" si="78"/>
        <v/>
      </c>
      <c r="V85" s="140" t="str">
        <f t="shared" si="78"/>
        <v/>
      </c>
      <c r="W85" s="140" t="str">
        <f t="shared" si="78"/>
        <v/>
      </c>
      <c r="X85" s="140" t="str">
        <f t="shared" si="78"/>
        <v/>
      </c>
      <c r="Y85" s="140" t="str">
        <f t="shared" si="78"/>
        <v/>
      </c>
      <c r="Z85" s="140">
        <f t="shared" si="78"/>
        <v>0</v>
      </c>
      <c r="AA85" s="140" t="str">
        <f t="shared" si="78"/>
        <v/>
      </c>
      <c r="AB85" s="140" t="str">
        <f t="shared" si="78"/>
        <v/>
      </c>
      <c r="AC85" s="140" t="str">
        <f t="shared" si="78"/>
        <v/>
      </c>
      <c r="AD85" s="140" t="str">
        <f t="shared" si="78"/>
        <v/>
      </c>
      <c r="AE85" s="140" t="str">
        <f t="shared" si="78"/>
        <v/>
      </c>
      <c r="AF85" s="140" t="str">
        <f t="shared" si="78"/>
        <v/>
      </c>
      <c r="AG85" s="140" t="str">
        <f t="shared" si="78"/>
        <v/>
      </c>
      <c r="AH85" s="140" t="str">
        <f t="shared" si="78"/>
        <v/>
      </c>
      <c r="AI85" s="140" t="str">
        <f t="shared" si="78"/>
        <v/>
      </c>
      <c r="AJ85" s="140" t="str">
        <f t="shared" si="78"/>
        <v/>
      </c>
      <c r="AK85" s="140" t="str">
        <f t="shared" si="78"/>
        <v/>
      </c>
      <c r="AL85" s="140" t="str">
        <f t="shared" si="78"/>
        <v/>
      </c>
      <c r="AM85" s="140" t="str">
        <f t="shared" si="78"/>
        <v/>
      </c>
      <c r="AN85" s="140" t="str">
        <f t="shared" si="78"/>
        <v/>
      </c>
      <c r="AO85" s="140" t="str">
        <f t="shared" si="78"/>
        <v/>
      </c>
      <c r="AP85" s="140" t="str">
        <f t="shared" si="78"/>
        <v/>
      </c>
      <c r="AQ85" s="140" t="str">
        <f t="shared" si="78"/>
        <v/>
      </c>
      <c r="AR85" s="140" t="str">
        <f t="shared" si="78"/>
        <v/>
      </c>
      <c r="AS85" s="140" t="str">
        <f t="shared" si="78"/>
        <v/>
      </c>
      <c r="AT85" s="140" t="str">
        <f t="shared" si="78"/>
        <v/>
      </c>
      <c r="AU85" s="140" t="str">
        <f t="shared" si="78"/>
        <v/>
      </c>
      <c r="AV85" s="140" t="str">
        <f t="shared" si="78"/>
        <v/>
      </c>
      <c r="AW85" s="140" t="str">
        <f t="shared" si="78"/>
        <v/>
      </c>
      <c r="AX85" s="140" t="str">
        <f t="shared" si="78"/>
        <v/>
      </c>
      <c r="AY85" s="140" t="str">
        <f t="shared" si="78"/>
        <v/>
      </c>
      <c r="AZ85" s="140" t="str">
        <f t="shared" si="78"/>
        <v/>
      </c>
      <c r="BA85" s="140" t="str">
        <f t="shared" si="78"/>
        <v/>
      </c>
      <c r="BB85" s="140" t="str">
        <f t="shared" si="78"/>
        <v/>
      </c>
      <c r="BC85" s="140" t="str">
        <f t="shared" si="78"/>
        <v/>
      </c>
      <c r="BD85" s="140" t="str">
        <f t="shared" si="78"/>
        <v/>
      </c>
      <c r="BE85" s="140" t="str">
        <f t="shared" si="78"/>
        <v/>
      </c>
    </row>
    <row r="86">
      <c r="A86" s="108"/>
      <c r="B86" s="107" t="s">
        <v>3</v>
      </c>
      <c r="C86" s="202"/>
      <c r="D86" s="107" t="s">
        <v>278</v>
      </c>
      <c r="E86" s="107"/>
      <c r="F86" s="107" t="s">
        <v>279</v>
      </c>
      <c r="G86" s="208">
        <v>115330.0</v>
      </c>
      <c r="H86" s="204">
        <v>2807.83</v>
      </c>
      <c r="I86" s="205">
        <v>45568.0</v>
      </c>
      <c r="J86" s="107" t="s">
        <v>332</v>
      </c>
      <c r="K86" s="202"/>
      <c r="L86" s="107" t="b">
        <v>1</v>
      </c>
      <c r="M86" s="204">
        <f t="shared" si="3"/>
        <v>2807.83</v>
      </c>
      <c r="N86" s="206"/>
      <c r="O86" s="108" t="b">
        <f t="shared" ref="O86:O98" si="80">SUM(Q86:BE86)=H86</f>
        <v>1</v>
      </c>
      <c r="P86" s="207">
        <f t="shared" si="5"/>
        <v>1</v>
      </c>
      <c r="Q86" s="140">
        <f t="shared" ref="Q86:BE86" si="79">iferror(if(Q$9=FALSE,, if(if(search(Q$11,$B86,1)&gt;0,1,0)=1,$H86/$P86,)),"")</f>
        <v>2807.83</v>
      </c>
      <c r="R86" s="140" t="str">
        <f t="shared" si="79"/>
        <v/>
      </c>
      <c r="S86" s="140" t="str">
        <f t="shared" si="79"/>
        <v/>
      </c>
      <c r="T86" s="140" t="str">
        <f t="shared" si="79"/>
        <v/>
      </c>
      <c r="U86" s="140" t="str">
        <f t="shared" si="79"/>
        <v/>
      </c>
      <c r="V86" s="140" t="str">
        <f t="shared" si="79"/>
        <v/>
      </c>
      <c r="W86" s="140" t="str">
        <f t="shared" si="79"/>
        <v/>
      </c>
      <c r="X86" s="140" t="str">
        <f t="shared" si="79"/>
        <v/>
      </c>
      <c r="Y86" s="140" t="str">
        <f t="shared" si="79"/>
        <v/>
      </c>
      <c r="Z86" s="140" t="str">
        <f t="shared" si="79"/>
        <v/>
      </c>
      <c r="AA86" s="140" t="str">
        <f t="shared" si="79"/>
        <v/>
      </c>
      <c r="AB86" s="140" t="str">
        <f t="shared" si="79"/>
        <v/>
      </c>
      <c r="AC86" s="140" t="str">
        <f t="shared" si="79"/>
        <v/>
      </c>
      <c r="AD86" s="140" t="str">
        <f t="shared" si="79"/>
        <v/>
      </c>
      <c r="AE86" s="140" t="str">
        <f t="shared" si="79"/>
        <v/>
      </c>
      <c r="AF86" s="140" t="str">
        <f t="shared" si="79"/>
        <v/>
      </c>
      <c r="AG86" s="140" t="str">
        <f t="shared" si="79"/>
        <v/>
      </c>
      <c r="AH86" s="140" t="str">
        <f t="shared" si="79"/>
        <v/>
      </c>
      <c r="AI86" s="140" t="str">
        <f t="shared" si="79"/>
        <v/>
      </c>
      <c r="AJ86" s="140" t="str">
        <f t="shared" si="79"/>
        <v/>
      </c>
      <c r="AK86" s="140" t="str">
        <f t="shared" si="79"/>
        <v/>
      </c>
      <c r="AL86" s="140" t="str">
        <f t="shared" si="79"/>
        <v/>
      </c>
      <c r="AM86" s="140" t="str">
        <f t="shared" si="79"/>
        <v/>
      </c>
      <c r="AN86" s="140" t="str">
        <f t="shared" si="79"/>
        <v/>
      </c>
      <c r="AO86" s="140" t="str">
        <f t="shared" si="79"/>
        <v/>
      </c>
      <c r="AP86" s="140" t="str">
        <f t="shared" si="79"/>
        <v/>
      </c>
      <c r="AQ86" s="140" t="str">
        <f t="shared" si="79"/>
        <v/>
      </c>
      <c r="AR86" s="140" t="str">
        <f t="shared" si="79"/>
        <v/>
      </c>
      <c r="AS86" s="140" t="str">
        <f t="shared" si="79"/>
        <v/>
      </c>
      <c r="AT86" s="140" t="str">
        <f t="shared" si="79"/>
        <v/>
      </c>
      <c r="AU86" s="140" t="str">
        <f t="shared" si="79"/>
        <v/>
      </c>
      <c r="AV86" s="140" t="str">
        <f t="shared" si="79"/>
        <v/>
      </c>
      <c r="AW86" s="140" t="str">
        <f t="shared" si="79"/>
        <v/>
      </c>
      <c r="AX86" s="140" t="str">
        <f t="shared" si="79"/>
        <v/>
      </c>
      <c r="AY86" s="140" t="str">
        <f t="shared" si="79"/>
        <v/>
      </c>
      <c r="AZ86" s="140" t="str">
        <f t="shared" si="79"/>
        <v/>
      </c>
      <c r="BA86" s="140" t="str">
        <f t="shared" si="79"/>
        <v/>
      </c>
      <c r="BB86" s="140" t="str">
        <f t="shared" si="79"/>
        <v/>
      </c>
      <c r="BC86" s="140" t="str">
        <f t="shared" si="79"/>
        <v/>
      </c>
      <c r="BD86" s="140" t="str">
        <f t="shared" si="79"/>
        <v/>
      </c>
      <c r="BE86" s="140" t="str">
        <f t="shared" si="79"/>
        <v/>
      </c>
    </row>
    <row r="87">
      <c r="A87" s="108"/>
      <c r="B87" s="107" t="s">
        <v>9</v>
      </c>
      <c r="C87" s="202"/>
      <c r="D87" s="107" t="s">
        <v>278</v>
      </c>
      <c r="E87" s="107"/>
      <c r="F87" s="107" t="s">
        <v>279</v>
      </c>
      <c r="G87" s="208">
        <v>115587.0</v>
      </c>
      <c r="H87" s="204">
        <v>62.19</v>
      </c>
      <c r="I87" s="205">
        <v>45579.0</v>
      </c>
      <c r="J87" s="107" t="s">
        <v>334</v>
      </c>
      <c r="K87" s="202"/>
      <c r="L87" s="107" t="b">
        <v>1</v>
      </c>
      <c r="M87" s="204">
        <f t="shared" si="3"/>
        <v>62.19</v>
      </c>
      <c r="N87" s="206"/>
      <c r="O87" s="108" t="b">
        <f t="shared" si="80"/>
        <v>1</v>
      </c>
      <c r="P87" s="207">
        <f t="shared" si="5"/>
        <v>1</v>
      </c>
      <c r="Q87" s="140" t="str">
        <f t="shared" ref="Q87:BE87" si="81">iferror(if(Q$9=FALSE,, if(if(search(Q$11,$B87,1)&gt;0,1,0)=1,$H87/$P87,)),"")</f>
        <v/>
      </c>
      <c r="R87" s="140" t="str">
        <f t="shared" si="81"/>
        <v/>
      </c>
      <c r="S87" s="140" t="str">
        <f t="shared" si="81"/>
        <v/>
      </c>
      <c r="T87" s="140" t="str">
        <f t="shared" si="81"/>
        <v/>
      </c>
      <c r="U87" s="140" t="str">
        <f t="shared" si="81"/>
        <v/>
      </c>
      <c r="V87" s="140" t="str">
        <f t="shared" si="81"/>
        <v/>
      </c>
      <c r="W87" s="140" t="str">
        <f t="shared" si="81"/>
        <v/>
      </c>
      <c r="X87" s="140" t="str">
        <f t="shared" si="81"/>
        <v/>
      </c>
      <c r="Y87" s="140" t="str">
        <f t="shared" si="81"/>
        <v/>
      </c>
      <c r="Z87" s="140">
        <f t="shared" si="81"/>
        <v>62.19</v>
      </c>
      <c r="AA87" s="140" t="str">
        <f t="shared" si="81"/>
        <v/>
      </c>
      <c r="AB87" s="140" t="str">
        <f t="shared" si="81"/>
        <v/>
      </c>
      <c r="AC87" s="140" t="str">
        <f t="shared" si="81"/>
        <v/>
      </c>
      <c r="AD87" s="140" t="str">
        <f t="shared" si="81"/>
        <v/>
      </c>
      <c r="AE87" s="140" t="str">
        <f t="shared" si="81"/>
        <v/>
      </c>
      <c r="AF87" s="140" t="str">
        <f t="shared" si="81"/>
        <v/>
      </c>
      <c r="AG87" s="140" t="str">
        <f t="shared" si="81"/>
        <v/>
      </c>
      <c r="AH87" s="140" t="str">
        <f t="shared" si="81"/>
        <v/>
      </c>
      <c r="AI87" s="140" t="str">
        <f t="shared" si="81"/>
        <v/>
      </c>
      <c r="AJ87" s="140" t="str">
        <f t="shared" si="81"/>
        <v/>
      </c>
      <c r="AK87" s="140" t="str">
        <f t="shared" si="81"/>
        <v/>
      </c>
      <c r="AL87" s="140" t="str">
        <f t="shared" si="81"/>
        <v/>
      </c>
      <c r="AM87" s="140" t="str">
        <f t="shared" si="81"/>
        <v/>
      </c>
      <c r="AN87" s="140" t="str">
        <f t="shared" si="81"/>
        <v/>
      </c>
      <c r="AO87" s="140" t="str">
        <f t="shared" si="81"/>
        <v/>
      </c>
      <c r="AP87" s="140" t="str">
        <f t="shared" si="81"/>
        <v/>
      </c>
      <c r="AQ87" s="140" t="str">
        <f t="shared" si="81"/>
        <v/>
      </c>
      <c r="AR87" s="140" t="str">
        <f t="shared" si="81"/>
        <v/>
      </c>
      <c r="AS87" s="140" t="str">
        <f t="shared" si="81"/>
        <v/>
      </c>
      <c r="AT87" s="140" t="str">
        <f t="shared" si="81"/>
        <v/>
      </c>
      <c r="AU87" s="140" t="str">
        <f t="shared" si="81"/>
        <v/>
      </c>
      <c r="AV87" s="140" t="str">
        <f t="shared" si="81"/>
        <v/>
      </c>
      <c r="AW87" s="140" t="str">
        <f t="shared" si="81"/>
        <v/>
      </c>
      <c r="AX87" s="140" t="str">
        <f t="shared" si="81"/>
        <v/>
      </c>
      <c r="AY87" s="140" t="str">
        <f t="shared" si="81"/>
        <v/>
      </c>
      <c r="AZ87" s="140" t="str">
        <f t="shared" si="81"/>
        <v/>
      </c>
      <c r="BA87" s="140" t="str">
        <f t="shared" si="81"/>
        <v/>
      </c>
      <c r="BB87" s="140" t="str">
        <f t="shared" si="81"/>
        <v/>
      </c>
      <c r="BC87" s="140" t="str">
        <f t="shared" si="81"/>
        <v/>
      </c>
      <c r="BD87" s="140" t="str">
        <f t="shared" si="81"/>
        <v/>
      </c>
      <c r="BE87" s="140" t="str">
        <f t="shared" si="81"/>
        <v/>
      </c>
    </row>
    <row r="88" hidden="1">
      <c r="A88" s="108"/>
      <c r="B88" s="107" t="s">
        <v>251</v>
      </c>
      <c r="C88" s="202"/>
      <c r="D88" s="107" t="s">
        <v>278</v>
      </c>
      <c r="E88" s="107"/>
      <c r="F88" s="107" t="s">
        <v>279</v>
      </c>
      <c r="G88" s="208">
        <v>115647.0</v>
      </c>
      <c r="H88" s="204">
        <v>152.01</v>
      </c>
      <c r="I88" s="205">
        <v>45580.0</v>
      </c>
      <c r="J88" s="107" t="s">
        <v>335</v>
      </c>
      <c r="K88" s="202"/>
      <c r="L88" s="107" t="b">
        <v>0</v>
      </c>
      <c r="M88" s="204">
        <f t="shared" si="3"/>
        <v>0</v>
      </c>
      <c r="N88" s="206"/>
      <c r="O88" s="108" t="b">
        <f t="shared" si="80"/>
        <v>0</v>
      </c>
      <c r="P88" s="207">
        <f t="shared" si="5"/>
        <v>0</v>
      </c>
      <c r="Q88" s="140" t="str">
        <f t="shared" ref="Q88:BE88" si="82">iferror(if(Q$9=FALSE,, if(if(search(Q$11,$B88,1)&gt;0,1,0)=1,$H88/$P88,)),"")</f>
        <v/>
      </c>
      <c r="R88" s="140" t="str">
        <f t="shared" si="82"/>
        <v/>
      </c>
      <c r="S88" s="140" t="str">
        <f t="shared" si="82"/>
        <v/>
      </c>
      <c r="T88" s="140" t="str">
        <f t="shared" si="82"/>
        <v/>
      </c>
      <c r="U88" s="140" t="str">
        <f t="shared" si="82"/>
        <v/>
      </c>
      <c r="V88" s="140" t="str">
        <f t="shared" si="82"/>
        <v/>
      </c>
      <c r="W88" s="140" t="str">
        <f t="shared" si="82"/>
        <v/>
      </c>
      <c r="X88" s="140" t="str">
        <f t="shared" si="82"/>
        <v/>
      </c>
      <c r="Y88" s="140" t="str">
        <f t="shared" si="82"/>
        <v/>
      </c>
      <c r="Z88" s="140" t="str">
        <f t="shared" si="82"/>
        <v/>
      </c>
      <c r="AA88" s="140" t="str">
        <f t="shared" si="82"/>
        <v/>
      </c>
      <c r="AB88" s="140" t="str">
        <f t="shared" si="82"/>
        <v/>
      </c>
      <c r="AC88" s="140" t="str">
        <f t="shared" si="82"/>
        <v/>
      </c>
      <c r="AD88" s="140" t="str">
        <f t="shared" si="82"/>
        <v/>
      </c>
      <c r="AE88" s="140" t="str">
        <f t="shared" si="82"/>
        <v/>
      </c>
      <c r="AF88" s="140" t="str">
        <f t="shared" si="82"/>
        <v/>
      </c>
      <c r="AG88" s="140" t="str">
        <f t="shared" si="82"/>
        <v/>
      </c>
      <c r="AH88" s="140" t="str">
        <f t="shared" si="82"/>
        <v/>
      </c>
      <c r="AI88" s="140" t="str">
        <f t="shared" si="82"/>
        <v/>
      </c>
      <c r="AJ88" s="140" t="str">
        <f t="shared" si="82"/>
        <v/>
      </c>
      <c r="AK88" s="140" t="str">
        <f t="shared" si="82"/>
        <v/>
      </c>
      <c r="AL88" s="140" t="str">
        <f t="shared" si="82"/>
        <v/>
      </c>
      <c r="AM88" s="140" t="str">
        <f t="shared" si="82"/>
        <v/>
      </c>
      <c r="AN88" s="140" t="str">
        <f t="shared" si="82"/>
        <v/>
      </c>
      <c r="AO88" s="140" t="str">
        <f t="shared" si="82"/>
        <v/>
      </c>
      <c r="AP88" s="140" t="str">
        <f t="shared" si="82"/>
        <v/>
      </c>
      <c r="AQ88" s="140" t="str">
        <f t="shared" si="82"/>
        <v/>
      </c>
      <c r="AR88" s="140" t="str">
        <f t="shared" si="82"/>
        <v/>
      </c>
      <c r="AS88" s="140" t="str">
        <f t="shared" si="82"/>
        <v/>
      </c>
      <c r="AT88" s="140" t="str">
        <f t="shared" si="82"/>
        <v/>
      </c>
      <c r="AU88" s="140" t="str">
        <f t="shared" si="82"/>
        <v/>
      </c>
      <c r="AV88" s="140" t="str">
        <f t="shared" si="82"/>
        <v/>
      </c>
      <c r="AW88" s="140" t="str">
        <f t="shared" si="82"/>
        <v/>
      </c>
      <c r="AX88" s="140" t="str">
        <f t="shared" si="82"/>
        <v/>
      </c>
      <c r="AY88" s="140" t="str">
        <f t="shared" si="82"/>
        <v/>
      </c>
      <c r="AZ88" s="140" t="str">
        <f t="shared" si="82"/>
        <v/>
      </c>
      <c r="BA88" s="140" t="str">
        <f t="shared" si="82"/>
        <v/>
      </c>
      <c r="BB88" s="140" t="str">
        <f t="shared" si="82"/>
        <v/>
      </c>
      <c r="BC88" s="140" t="str">
        <f t="shared" si="82"/>
        <v/>
      </c>
      <c r="BD88" s="140" t="str">
        <f t="shared" si="82"/>
        <v/>
      </c>
      <c r="BE88" s="140" t="str">
        <f t="shared" si="82"/>
        <v/>
      </c>
    </row>
    <row r="89">
      <c r="A89" s="108"/>
      <c r="B89" s="107" t="s">
        <v>9</v>
      </c>
      <c r="C89" s="202"/>
      <c r="D89" s="107" t="s">
        <v>309</v>
      </c>
      <c r="E89" s="107"/>
      <c r="F89" s="107" t="s">
        <v>256</v>
      </c>
      <c r="G89" s="208">
        <v>156448.0</v>
      </c>
      <c r="H89" s="204">
        <v>938.0</v>
      </c>
      <c r="I89" s="205">
        <v>45588.0</v>
      </c>
      <c r="J89" s="107" t="s">
        <v>336</v>
      </c>
      <c r="K89" s="202"/>
      <c r="L89" s="107" t="b">
        <v>1</v>
      </c>
      <c r="M89" s="204">
        <f t="shared" si="3"/>
        <v>938</v>
      </c>
      <c r="N89" s="206"/>
      <c r="O89" s="108" t="b">
        <f t="shared" si="80"/>
        <v>1</v>
      </c>
      <c r="P89" s="207">
        <f t="shared" si="5"/>
        <v>1</v>
      </c>
      <c r="Q89" s="140" t="str">
        <f t="shared" ref="Q89:BE89" si="83">iferror(if(Q$9=FALSE,, if(if(search(Q$11,$B89,1)&gt;0,1,0)=1,$H89/$P89,)),"")</f>
        <v/>
      </c>
      <c r="R89" s="140" t="str">
        <f t="shared" si="83"/>
        <v/>
      </c>
      <c r="S89" s="140" t="str">
        <f t="shared" si="83"/>
        <v/>
      </c>
      <c r="T89" s="140" t="str">
        <f t="shared" si="83"/>
        <v/>
      </c>
      <c r="U89" s="140" t="str">
        <f t="shared" si="83"/>
        <v/>
      </c>
      <c r="V89" s="140" t="str">
        <f t="shared" si="83"/>
        <v/>
      </c>
      <c r="W89" s="140" t="str">
        <f t="shared" si="83"/>
        <v/>
      </c>
      <c r="X89" s="140" t="str">
        <f t="shared" si="83"/>
        <v/>
      </c>
      <c r="Y89" s="140" t="str">
        <f t="shared" si="83"/>
        <v/>
      </c>
      <c r="Z89" s="140">
        <f t="shared" si="83"/>
        <v>938</v>
      </c>
      <c r="AA89" s="140" t="str">
        <f t="shared" si="83"/>
        <v/>
      </c>
      <c r="AB89" s="140" t="str">
        <f t="shared" si="83"/>
        <v/>
      </c>
      <c r="AC89" s="140" t="str">
        <f t="shared" si="83"/>
        <v/>
      </c>
      <c r="AD89" s="140" t="str">
        <f t="shared" si="83"/>
        <v/>
      </c>
      <c r="AE89" s="140" t="str">
        <f t="shared" si="83"/>
        <v/>
      </c>
      <c r="AF89" s="140" t="str">
        <f t="shared" si="83"/>
        <v/>
      </c>
      <c r="AG89" s="140" t="str">
        <f t="shared" si="83"/>
        <v/>
      </c>
      <c r="AH89" s="140" t="str">
        <f t="shared" si="83"/>
        <v/>
      </c>
      <c r="AI89" s="140" t="str">
        <f t="shared" si="83"/>
        <v/>
      </c>
      <c r="AJ89" s="140" t="str">
        <f t="shared" si="83"/>
        <v/>
      </c>
      <c r="AK89" s="140" t="str">
        <f t="shared" si="83"/>
        <v/>
      </c>
      <c r="AL89" s="140" t="str">
        <f t="shared" si="83"/>
        <v/>
      </c>
      <c r="AM89" s="140" t="str">
        <f t="shared" si="83"/>
        <v/>
      </c>
      <c r="AN89" s="140" t="str">
        <f t="shared" si="83"/>
        <v/>
      </c>
      <c r="AO89" s="140" t="str">
        <f t="shared" si="83"/>
        <v/>
      </c>
      <c r="AP89" s="140" t="str">
        <f t="shared" si="83"/>
        <v/>
      </c>
      <c r="AQ89" s="140" t="str">
        <f t="shared" si="83"/>
        <v/>
      </c>
      <c r="AR89" s="140" t="str">
        <f t="shared" si="83"/>
        <v/>
      </c>
      <c r="AS89" s="140" t="str">
        <f t="shared" si="83"/>
        <v/>
      </c>
      <c r="AT89" s="140" t="str">
        <f t="shared" si="83"/>
        <v/>
      </c>
      <c r="AU89" s="140" t="str">
        <f t="shared" si="83"/>
        <v/>
      </c>
      <c r="AV89" s="140" t="str">
        <f t="shared" si="83"/>
        <v/>
      </c>
      <c r="AW89" s="140" t="str">
        <f t="shared" si="83"/>
        <v/>
      </c>
      <c r="AX89" s="140" t="str">
        <f t="shared" si="83"/>
        <v/>
      </c>
      <c r="AY89" s="140" t="str">
        <f t="shared" si="83"/>
        <v/>
      </c>
      <c r="AZ89" s="140" t="str">
        <f t="shared" si="83"/>
        <v/>
      </c>
      <c r="BA89" s="140" t="str">
        <f t="shared" si="83"/>
        <v/>
      </c>
      <c r="BB89" s="140" t="str">
        <f t="shared" si="83"/>
        <v/>
      </c>
      <c r="BC89" s="140" t="str">
        <f t="shared" si="83"/>
        <v/>
      </c>
      <c r="BD89" s="140" t="str">
        <f t="shared" si="83"/>
        <v/>
      </c>
      <c r="BE89" s="140" t="str">
        <f t="shared" si="83"/>
        <v/>
      </c>
    </row>
    <row r="90" hidden="1">
      <c r="A90" s="108"/>
      <c r="B90" s="107" t="s">
        <v>9</v>
      </c>
      <c r="C90" s="202"/>
      <c r="D90" s="107" t="s">
        <v>337</v>
      </c>
      <c r="E90" s="107"/>
      <c r="F90" s="107" t="s">
        <v>338</v>
      </c>
      <c r="G90" s="208" t="s">
        <v>339</v>
      </c>
      <c r="H90" s="210">
        <v>0.0</v>
      </c>
      <c r="I90" s="211">
        <v>45595.0</v>
      </c>
      <c r="J90" s="107" t="s">
        <v>340</v>
      </c>
      <c r="K90" s="202"/>
      <c r="L90" s="107" t="b">
        <v>0</v>
      </c>
      <c r="M90" s="204">
        <f t="shared" si="3"/>
        <v>0</v>
      </c>
      <c r="N90" s="206"/>
      <c r="O90" s="108" t="b">
        <f t="shared" si="80"/>
        <v>1</v>
      </c>
      <c r="P90" s="207">
        <f t="shared" si="5"/>
        <v>0</v>
      </c>
      <c r="Q90" s="140" t="str">
        <f t="shared" ref="Q90:BE90" si="84">iferror(if(Q$9=FALSE,, if(if(search(Q$11,$B90,1)&gt;0,1,0)=1,$H90/$P90,)),"")</f>
        <v/>
      </c>
      <c r="R90" s="140" t="str">
        <f t="shared" si="84"/>
        <v/>
      </c>
      <c r="S90" s="140" t="str">
        <f t="shared" si="84"/>
        <v/>
      </c>
      <c r="T90" s="140" t="str">
        <f t="shared" si="84"/>
        <v/>
      </c>
      <c r="U90" s="140" t="str">
        <f t="shared" si="84"/>
        <v/>
      </c>
      <c r="V90" s="140" t="str">
        <f t="shared" si="84"/>
        <v/>
      </c>
      <c r="W90" s="140" t="str">
        <f t="shared" si="84"/>
        <v/>
      </c>
      <c r="X90" s="140" t="str">
        <f t="shared" si="84"/>
        <v/>
      </c>
      <c r="Y90" s="140" t="str">
        <f t="shared" si="84"/>
        <v/>
      </c>
      <c r="Z90" s="140" t="str">
        <f t="shared" si="84"/>
        <v/>
      </c>
      <c r="AA90" s="140" t="str">
        <f t="shared" si="84"/>
        <v/>
      </c>
      <c r="AB90" s="140" t="str">
        <f t="shared" si="84"/>
        <v/>
      </c>
      <c r="AC90" s="140" t="str">
        <f t="shared" si="84"/>
        <v/>
      </c>
      <c r="AD90" s="140" t="str">
        <f t="shared" si="84"/>
        <v/>
      </c>
      <c r="AE90" s="140" t="str">
        <f t="shared" si="84"/>
        <v/>
      </c>
      <c r="AF90" s="140" t="str">
        <f t="shared" si="84"/>
        <v/>
      </c>
      <c r="AG90" s="140" t="str">
        <f t="shared" si="84"/>
        <v/>
      </c>
      <c r="AH90" s="140" t="str">
        <f t="shared" si="84"/>
        <v/>
      </c>
      <c r="AI90" s="140" t="str">
        <f t="shared" si="84"/>
        <v/>
      </c>
      <c r="AJ90" s="140" t="str">
        <f t="shared" si="84"/>
        <v/>
      </c>
      <c r="AK90" s="140" t="str">
        <f t="shared" si="84"/>
        <v/>
      </c>
      <c r="AL90" s="140" t="str">
        <f t="shared" si="84"/>
        <v/>
      </c>
      <c r="AM90" s="140" t="str">
        <f t="shared" si="84"/>
        <v/>
      </c>
      <c r="AN90" s="140" t="str">
        <f t="shared" si="84"/>
        <v/>
      </c>
      <c r="AO90" s="140" t="str">
        <f t="shared" si="84"/>
        <v/>
      </c>
      <c r="AP90" s="140" t="str">
        <f t="shared" si="84"/>
        <v/>
      </c>
      <c r="AQ90" s="140" t="str">
        <f t="shared" si="84"/>
        <v/>
      </c>
      <c r="AR90" s="140" t="str">
        <f t="shared" si="84"/>
        <v/>
      </c>
      <c r="AS90" s="140" t="str">
        <f t="shared" si="84"/>
        <v/>
      </c>
      <c r="AT90" s="140" t="str">
        <f t="shared" si="84"/>
        <v/>
      </c>
      <c r="AU90" s="140" t="str">
        <f t="shared" si="84"/>
        <v/>
      </c>
      <c r="AV90" s="140" t="str">
        <f t="shared" si="84"/>
        <v/>
      </c>
      <c r="AW90" s="140" t="str">
        <f t="shared" si="84"/>
        <v/>
      </c>
      <c r="AX90" s="140" t="str">
        <f t="shared" si="84"/>
        <v/>
      </c>
      <c r="AY90" s="140" t="str">
        <f t="shared" si="84"/>
        <v/>
      </c>
      <c r="AZ90" s="140" t="str">
        <f t="shared" si="84"/>
        <v/>
      </c>
      <c r="BA90" s="140" t="str">
        <f t="shared" si="84"/>
        <v/>
      </c>
      <c r="BB90" s="140" t="str">
        <f t="shared" si="84"/>
        <v/>
      </c>
      <c r="BC90" s="140" t="str">
        <f t="shared" si="84"/>
        <v/>
      </c>
      <c r="BD90" s="140" t="str">
        <f t="shared" si="84"/>
        <v/>
      </c>
      <c r="BE90" s="140" t="str">
        <f t="shared" si="84"/>
        <v/>
      </c>
    </row>
    <row r="91" hidden="1">
      <c r="A91" s="108"/>
      <c r="B91" s="107" t="s">
        <v>36</v>
      </c>
      <c r="C91" s="202"/>
      <c r="D91" s="107" t="s">
        <v>341</v>
      </c>
      <c r="E91" s="107"/>
      <c r="F91" s="107" t="s">
        <v>342</v>
      </c>
      <c r="G91" s="208" t="s">
        <v>343</v>
      </c>
      <c r="H91" s="210">
        <v>0.0</v>
      </c>
      <c r="I91" s="211">
        <v>45602.0</v>
      </c>
      <c r="J91" s="107" t="s">
        <v>344</v>
      </c>
      <c r="K91" s="202"/>
      <c r="L91" s="107" t="b">
        <v>0</v>
      </c>
      <c r="M91" s="204">
        <f t="shared" si="3"/>
        <v>0</v>
      </c>
      <c r="N91" s="206"/>
      <c r="O91" s="108" t="b">
        <f t="shared" si="80"/>
        <v>1</v>
      </c>
      <c r="P91" s="207">
        <f t="shared" si="5"/>
        <v>0</v>
      </c>
      <c r="Q91" s="140" t="str">
        <f t="shared" ref="Q91:BE91" si="85">iferror(if(Q$9=FALSE,, if(if(search(Q$11,$B91,1)&gt;0,1,0)=1,$H91/$P91,)),"")</f>
        <v/>
      </c>
      <c r="R91" s="140" t="str">
        <f t="shared" si="85"/>
        <v/>
      </c>
      <c r="S91" s="140" t="str">
        <f t="shared" si="85"/>
        <v/>
      </c>
      <c r="T91" s="140" t="str">
        <f t="shared" si="85"/>
        <v/>
      </c>
      <c r="U91" s="140" t="str">
        <f t="shared" si="85"/>
        <v/>
      </c>
      <c r="V91" s="140" t="str">
        <f t="shared" si="85"/>
        <v/>
      </c>
      <c r="W91" s="140" t="str">
        <f t="shared" si="85"/>
        <v/>
      </c>
      <c r="X91" s="140" t="str">
        <f t="shared" si="85"/>
        <v/>
      </c>
      <c r="Y91" s="140" t="str">
        <f t="shared" si="85"/>
        <v/>
      </c>
      <c r="Z91" s="140" t="str">
        <f t="shared" si="85"/>
        <v/>
      </c>
      <c r="AA91" s="140" t="str">
        <f t="shared" si="85"/>
        <v/>
      </c>
      <c r="AB91" s="140" t="str">
        <f t="shared" si="85"/>
        <v/>
      </c>
      <c r="AC91" s="140" t="str">
        <f t="shared" si="85"/>
        <v/>
      </c>
      <c r="AD91" s="140" t="str">
        <f t="shared" si="85"/>
        <v/>
      </c>
      <c r="AE91" s="140" t="str">
        <f t="shared" si="85"/>
        <v/>
      </c>
      <c r="AF91" s="140" t="str">
        <f t="shared" si="85"/>
        <v/>
      </c>
      <c r="AG91" s="140" t="str">
        <f t="shared" si="85"/>
        <v/>
      </c>
      <c r="AH91" s="140" t="str">
        <f t="shared" si="85"/>
        <v/>
      </c>
      <c r="AI91" s="140" t="str">
        <f t="shared" si="85"/>
        <v/>
      </c>
      <c r="AJ91" s="140" t="str">
        <f t="shared" si="85"/>
        <v/>
      </c>
      <c r="AK91" s="140" t="str">
        <f t="shared" si="85"/>
        <v/>
      </c>
      <c r="AL91" s="140" t="str">
        <f t="shared" si="85"/>
        <v/>
      </c>
      <c r="AM91" s="140" t="str">
        <f t="shared" si="85"/>
        <v/>
      </c>
      <c r="AN91" s="140" t="str">
        <f t="shared" si="85"/>
        <v/>
      </c>
      <c r="AO91" s="140" t="str">
        <f t="shared" si="85"/>
        <v/>
      </c>
      <c r="AP91" s="140" t="str">
        <f t="shared" si="85"/>
        <v/>
      </c>
      <c r="AQ91" s="140" t="str">
        <f t="shared" si="85"/>
        <v/>
      </c>
      <c r="AR91" s="140" t="str">
        <f t="shared" si="85"/>
        <v/>
      </c>
      <c r="AS91" s="140" t="str">
        <f t="shared" si="85"/>
        <v/>
      </c>
      <c r="AT91" s="140" t="str">
        <f t="shared" si="85"/>
        <v/>
      </c>
      <c r="AU91" s="140" t="str">
        <f t="shared" si="85"/>
        <v/>
      </c>
      <c r="AV91" s="140" t="str">
        <f t="shared" si="85"/>
        <v/>
      </c>
      <c r="AW91" s="140" t="str">
        <f t="shared" si="85"/>
        <v/>
      </c>
      <c r="AX91" s="140" t="str">
        <f t="shared" si="85"/>
        <v/>
      </c>
      <c r="AY91" s="140" t="str">
        <f t="shared" si="85"/>
        <v/>
      </c>
      <c r="AZ91" s="140" t="str">
        <f t="shared" si="85"/>
        <v/>
      </c>
      <c r="BA91" s="140" t="str">
        <f t="shared" si="85"/>
        <v/>
      </c>
      <c r="BB91" s="140" t="str">
        <f t="shared" si="85"/>
        <v/>
      </c>
      <c r="BC91" s="140" t="str">
        <f t="shared" si="85"/>
        <v/>
      </c>
      <c r="BD91" s="140" t="str">
        <f t="shared" si="85"/>
        <v/>
      </c>
      <c r="BE91" s="140" t="str">
        <f t="shared" si="85"/>
        <v/>
      </c>
    </row>
    <row r="92">
      <c r="A92" s="108"/>
      <c r="B92" s="107" t="s">
        <v>3</v>
      </c>
      <c r="C92" s="202"/>
      <c r="D92" s="107" t="s">
        <v>278</v>
      </c>
      <c r="E92" s="107"/>
      <c r="F92" s="107" t="s">
        <v>279</v>
      </c>
      <c r="G92" s="208">
        <v>116546.0</v>
      </c>
      <c r="H92" s="204">
        <v>699.9</v>
      </c>
      <c r="I92" s="211">
        <v>45609.0</v>
      </c>
      <c r="J92" s="107" t="s">
        <v>345</v>
      </c>
      <c r="K92" s="202"/>
      <c r="L92" s="107" t="b">
        <v>1</v>
      </c>
      <c r="M92" s="204">
        <f t="shared" si="3"/>
        <v>699.9</v>
      </c>
      <c r="N92" s="206"/>
      <c r="O92" s="108" t="b">
        <f t="shared" si="80"/>
        <v>1</v>
      </c>
      <c r="P92" s="207">
        <f t="shared" si="5"/>
        <v>1</v>
      </c>
      <c r="Q92" s="140">
        <f t="shared" ref="Q92:BE92" si="86">iferror(if(Q$9=FALSE,, if(if(search(Q$11,$B92,1)&gt;0,1,0)=1,$H92/$P92,)),"")</f>
        <v>699.9</v>
      </c>
      <c r="R92" s="140" t="str">
        <f t="shared" si="86"/>
        <v/>
      </c>
      <c r="S92" s="140" t="str">
        <f t="shared" si="86"/>
        <v/>
      </c>
      <c r="T92" s="140" t="str">
        <f t="shared" si="86"/>
        <v/>
      </c>
      <c r="U92" s="140" t="str">
        <f t="shared" si="86"/>
        <v/>
      </c>
      <c r="V92" s="140" t="str">
        <f t="shared" si="86"/>
        <v/>
      </c>
      <c r="W92" s="140" t="str">
        <f t="shared" si="86"/>
        <v/>
      </c>
      <c r="X92" s="140" t="str">
        <f t="shared" si="86"/>
        <v/>
      </c>
      <c r="Y92" s="140" t="str">
        <f t="shared" si="86"/>
        <v/>
      </c>
      <c r="Z92" s="140" t="str">
        <f t="shared" si="86"/>
        <v/>
      </c>
      <c r="AA92" s="140" t="str">
        <f t="shared" si="86"/>
        <v/>
      </c>
      <c r="AB92" s="140" t="str">
        <f t="shared" si="86"/>
        <v/>
      </c>
      <c r="AC92" s="140" t="str">
        <f t="shared" si="86"/>
        <v/>
      </c>
      <c r="AD92" s="140" t="str">
        <f t="shared" si="86"/>
        <v/>
      </c>
      <c r="AE92" s="140" t="str">
        <f t="shared" si="86"/>
        <v/>
      </c>
      <c r="AF92" s="140" t="str">
        <f t="shared" si="86"/>
        <v/>
      </c>
      <c r="AG92" s="140" t="str">
        <f t="shared" si="86"/>
        <v/>
      </c>
      <c r="AH92" s="140" t="str">
        <f t="shared" si="86"/>
        <v/>
      </c>
      <c r="AI92" s="140" t="str">
        <f t="shared" si="86"/>
        <v/>
      </c>
      <c r="AJ92" s="140" t="str">
        <f t="shared" si="86"/>
        <v/>
      </c>
      <c r="AK92" s="140" t="str">
        <f t="shared" si="86"/>
        <v/>
      </c>
      <c r="AL92" s="140" t="str">
        <f t="shared" si="86"/>
        <v/>
      </c>
      <c r="AM92" s="140" t="str">
        <f t="shared" si="86"/>
        <v/>
      </c>
      <c r="AN92" s="140" t="str">
        <f t="shared" si="86"/>
        <v/>
      </c>
      <c r="AO92" s="140" t="str">
        <f t="shared" si="86"/>
        <v/>
      </c>
      <c r="AP92" s="140" t="str">
        <f t="shared" si="86"/>
        <v/>
      </c>
      <c r="AQ92" s="140" t="str">
        <f t="shared" si="86"/>
        <v/>
      </c>
      <c r="AR92" s="140" t="str">
        <f t="shared" si="86"/>
        <v/>
      </c>
      <c r="AS92" s="140" t="str">
        <f t="shared" si="86"/>
        <v/>
      </c>
      <c r="AT92" s="140" t="str">
        <f t="shared" si="86"/>
        <v/>
      </c>
      <c r="AU92" s="140" t="str">
        <f t="shared" si="86"/>
        <v/>
      </c>
      <c r="AV92" s="140" t="str">
        <f t="shared" si="86"/>
        <v/>
      </c>
      <c r="AW92" s="140" t="str">
        <f t="shared" si="86"/>
        <v/>
      </c>
      <c r="AX92" s="140" t="str">
        <f t="shared" si="86"/>
        <v/>
      </c>
      <c r="AY92" s="140" t="str">
        <f t="shared" si="86"/>
        <v/>
      </c>
      <c r="AZ92" s="140" t="str">
        <f t="shared" si="86"/>
        <v/>
      </c>
      <c r="BA92" s="140" t="str">
        <f t="shared" si="86"/>
        <v/>
      </c>
      <c r="BB92" s="140" t="str">
        <f t="shared" si="86"/>
        <v/>
      </c>
      <c r="BC92" s="140" t="str">
        <f t="shared" si="86"/>
        <v/>
      </c>
      <c r="BD92" s="140" t="str">
        <f t="shared" si="86"/>
        <v/>
      </c>
      <c r="BE92" s="140" t="str">
        <f t="shared" si="86"/>
        <v/>
      </c>
    </row>
    <row r="93" hidden="1">
      <c r="A93" s="108"/>
      <c r="B93" s="107" t="s">
        <v>247</v>
      </c>
      <c r="C93" s="202"/>
      <c r="D93" s="107" t="s">
        <v>278</v>
      </c>
      <c r="E93" s="107"/>
      <c r="F93" s="107" t="s">
        <v>279</v>
      </c>
      <c r="G93" s="208">
        <v>116380.0</v>
      </c>
      <c r="H93" s="204">
        <v>978.37</v>
      </c>
      <c r="I93" s="205">
        <v>45607.0</v>
      </c>
      <c r="J93" s="107" t="s">
        <v>346</v>
      </c>
      <c r="K93" s="202"/>
      <c r="L93" s="107" t="b">
        <v>0</v>
      </c>
      <c r="M93" s="204">
        <f t="shared" si="3"/>
        <v>0</v>
      </c>
      <c r="N93" s="206"/>
      <c r="O93" s="108" t="b">
        <f t="shared" si="80"/>
        <v>0</v>
      </c>
      <c r="P93" s="207">
        <f t="shared" si="5"/>
        <v>0</v>
      </c>
      <c r="Q93" s="140" t="str">
        <f t="shared" ref="Q93:BE93" si="87">iferror(if(Q$9=FALSE,, if(if(search(Q$11,$B93,1)&gt;0,1,0)=1,$H93/$P93,)),"")</f>
        <v/>
      </c>
      <c r="R93" s="140" t="str">
        <f t="shared" si="87"/>
        <v/>
      </c>
      <c r="S93" s="140" t="str">
        <f t="shared" si="87"/>
        <v/>
      </c>
      <c r="T93" s="140" t="str">
        <f t="shared" si="87"/>
        <v/>
      </c>
      <c r="U93" s="140" t="str">
        <f t="shared" si="87"/>
        <v/>
      </c>
      <c r="V93" s="140" t="str">
        <f t="shared" si="87"/>
        <v/>
      </c>
      <c r="W93" s="140" t="str">
        <f t="shared" si="87"/>
        <v/>
      </c>
      <c r="X93" s="140" t="str">
        <f t="shared" si="87"/>
        <v/>
      </c>
      <c r="Y93" s="140" t="str">
        <f t="shared" si="87"/>
        <v/>
      </c>
      <c r="Z93" s="140" t="str">
        <f t="shared" si="87"/>
        <v/>
      </c>
      <c r="AA93" s="140" t="str">
        <f t="shared" si="87"/>
        <v/>
      </c>
      <c r="AB93" s="140" t="str">
        <f t="shared" si="87"/>
        <v/>
      </c>
      <c r="AC93" s="140" t="str">
        <f t="shared" si="87"/>
        <v/>
      </c>
      <c r="AD93" s="140" t="str">
        <f t="shared" si="87"/>
        <v/>
      </c>
      <c r="AE93" s="140" t="str">
        <f t="shared" si="87"/>
        <v/>
      </c>
      <c r="AF93" s="140" t="str">
        <f t="shared" si="87"/>
        <v/>
      </c>
      <c r="AG93" s="140" t="str">
        <f t="shared" si="87"/>
        <v/>
      </c>
      <c r="AH93" s="140" t="str">
        <f t="shared" si="87"/>
        <v/>
      </c>
      <c r="AI93" s="140" t="str">
        <f t="shared" si="87"/>
        <v/>
      </c>
      <c r="AJ93" s="140" t="str">
        <f t="shared" si="87"/>
        <v/>
      </c>
      <c r="AK93" s="140" t="str">
        <f t="shared" si="87"/>
        <v/>
      </c>
      <c r="AL93" s="140" t="str">
        <f t="shared" si="87"/>
        <v/>
      </c>
      <c r="AM93" s="140" t="str">
        <f t="shared" si="87"/>
        <v/>
      </c>
      <c r="AN93" s="140" t="str">
        <f t="shared" si="87"/>
        <v/>
      </c>
      <c r="AO93" s="140" t="str">
        <f t="shared" si="87"/>
        <v/>
      </c>
      <c r="AP93" s="140" t="str">
        <f t="shared" si="87"/>
        <v/>
      </c>
      <c r="AQ93" s="140" t="str">
        <f t="shared" si="87"/>
        <v/>
      </c>
      <c r="AR93" s="140" t="str">
        <f t="shared" si="87"/>
        <v/>
      </c>
      <c r="AS93" s="140" t="str">
        <f t="shared" si="87"/>
        <v/>
      </c>
      <c r="AT93" s="140" t="str">
        <f t="shared" si="87"/>
        <v/>
      </c>
      <c r="AU93" s="140" t="str">
        <f t="shared" si="87"/>
        <v/>
      </c>
      <c r="AV93" s="140" t="str">
        <f t="shared" si="87"/>
        <v/>
      </c>
      <c r="AW93" s="140" t="str">
        <f t="shared" si="87"/>
        <v/>
      </c>
      <c r="AX93" s="140" t="str">
        <f t="shared" si="87"/>
        <v/>
      </c>
      <c r="AY93" s="140" t="str">
        <f t="shared" si="87"/>
        <v/>
      </c>
      <c r="AZ93" s="140" t="str">
        <f t="shared" si="87"/>
        <v/>
      </c>
      <c r="BA93" s="140" t="str">
        <f t="shared" si="87"/>
        <v/>
      </c>
      <c r="BB93" s="140" t="str">
        <f t="shared" si="87"/>
        <v/>
      </c>
      <c r="BC93" s="140" t="str">
        <f t="shared" si="87"/>
        <v/>
      </c>
      <c r="BD93" s="140" t="str">
        <f t="shared" si="87"/>
        <v/>
      </c>
      <c r="BE93" s="140" t="str">
        <f t="shared" si="87"/>
        <v/>
      </c>
    </row>
    <row r="94">
      <c r="A94" s="108"/>
      <c r="B94" s="107" t="s">
        <v>347</v>
      </c>
      <c r="C94" s="202"/>
      <c r="D94" s="107" t="s">
        <v>262</v>
      </c>
      <c r="E94" s="107"/>
      <c r="F94" s="107" t="s">
        <v>263</v>
      </c>
      <c r="G94" s="208">
        <v>775.0</v>
      </c>
      <c r="H94" s="210">
        <v>312.5</v>
      </c>
      <c r="I94" s="205">
        <v>45629.0</v>
      </c>
      <c r="J94" s="107" t="s">
        <v>348</v>
      </c>
      <c r="K94" s="202"/>
      <c r="L94" s="107" t="b">
        <v>1</v>
      </c>
      <c r="M94" s="204">
        <f t="shared" si="3"/>
        <v>312.5</v>
      </c>
      <c r="N94" s="206"/>
      <c r="O94" s="108" t="b">
        <f t="shared" si="80"/>
        <v>1</v>
      </c>
      <c r="P94" s="207">
        <f t="shared" si="5"/>
        <v>2</v>
      </c>
      <c r="Q94" s="140">
        <f t="shared" ref="Q94:BE94" si="88">iferror(if(Q$9=FALSE,, if(if(search(Q$11,$B94,1)&gt;0,1,0)=1,$H94/$P94,)),"")</f>
        <v>156.25</v>
      </c>
      <c r="R94" s="140" t="str">
        <f t="shared" si="88"/>
        <v/>
      </c>
      <c r="S94" s="140" t="str">
        <f t="shared" si="88"/>
        <v/>
      </c>
      <c r="T94" s="140" t="str">
        <f t="shared" si="88"/>
        <v/>
      </c>
      <c r="U94" s="140" t="str">
        <f t="shared" si="88"/>
        <v/>
      </c>
      <c r="V94" s="140" t="str">
        <f t="shared" si="88"/>
        <v/>
      </c>
      <c r="W94" s="140" t="str">
        <f t="shared" si="88"/>
        <v/>
      </c>
      <c r="X94" s="140">
        <f t="shared" si="88"/>
        <v>156.25</v>
      </c>
      <c r="Y94" s="140" t="str">
        <f t="shared" si="88"/>
        <v/>
      </c>
      <c r="Z94" s="140" t="str">
        <f t="shared" si="88"/>
        <v/>
      </c>
      <c r="AA94" s="140" t="str">
        <f t="shared" si="88"/>
        <v/>
      </c>
      <c r="AB94" s="140" t="str">
        <f t="shared" si="88"/>
        <v/>
      </c>
      <c r="AC94" s="140" t="str">
        <f t="shared" si="88"/>
        <v/>
      </c>
      <c r="AD94" s="140" t="str">
        <f t="shared" si="88"/>
        <v/>
      </c>
      <c r="AE94" s="140" t="str">
        <f t="shared" si="88"/>
        <v/>
      </c>
      <c r="AF94" s="140" t="str">
        <f t="shared" si="88"/>
        <v/>
      </c>
      <c r="AG94" s="140" t="str">
        <f t="shared" si="88"/>
        <v/>
      </c>
      <c r="AH94" s="140" t="str">
        <f t="shared" si="88"/>
        <v/>
      </c>
      <c r="AI94" s="140" t="str">
        <f t="shared" si="88"/>
        <v/>
      </c>
      <c r="AJ94" s="140" t="str">
        <f t="shared" si="88"/>
        <v/>
      </c>
      <c r="AK94" s="140" t="str">
        <f t="shared" si="88"/>
        <v/>
      </c>
      <c r="AL94" s="140" t="str">
        <f t="shared" si="88"/>
        <v/>
      </c>
      <c r="AM94" s="140" t="str">
        <f t="shared" si="88"/>
        <v/>
      </c>
      <c r="AN94" s="140" t="str">
        <f t="shared" si="88"/>
        <v/>
      </c>
      <c r="AO94" s="140" t="str">
        <f t="shared" si="88"/>
        <v/>
      </c>
      <c r="AP94" s="140" t="str">
        <f t="shared" si="88"/>
        <v/>
      </c>
      <c r="AQ94" s="140" t="str">
        <f t="shared" si="88"/>
        <v/>
      </c>
      <c r="AR94" s="140" t="str">
        <f t="shared" si="88"/>
        <v/>
      </c>
      <c r="AS94" s="140" t="str">
        <f t="shared" si="88"/>
        <v/>
      </c>
      <c r="AT94" s="140" t="str">
        <f t="shared" si="88"/>
        <v/>
      </c>
      <c r="AU94" s="140" t="str">
        <f t="shared" si="88"/>
        <v/>
      </c>
      <c r="AV94" s="140" t="str">
        <f t="shared" si="88"/>
        <v/>
      </c>
      <c r="AW94" s="140" t="str">
        <f t="shared" si="88"/>
        <v/>
      </c>
      <c r="AX94" s="140" t="str">
        <f t="shared" si="88"/>
        <v/>
      </c>
      <c r="AY94" s="140" t="str">
        <f t="shared" si="88"/>
        <v/>
      </c>
      <c r="AZ94" s="140" t="str">
        <f t="shared" si="88"/>
        <v/>
      </c>
      <c r="BA94" s="140" t="str">
        <f t="shared" si="88"/>
        <v/>
      </c>
      <c r="BB94" s="140" t="str">
        <f t="shared" si="88"/>
        <v/>
      </c>
      <c r="BC94" s="140" t="str">
        <f t="shared" si="88"/>
        <v/>
      </c>
      <c r="BD94" s="140" t="str">
        <f t="shared" si="88"/>
        <v/>
      </c>
      <c r="BE94" s="140" t="str">
        <f t="shared" si="88"/>
        <v/>
      </c>
    </row>
    <row r="95">
      <c r="A95" s="108"/>
      <c r="B95" s="107" t="s">
        <v>3</v>
      </c>
      <c r="C95" s="107"/>
      <c r="D95" s="107" t="s">
        <v>278</v>
      </c>
      <c r="E95" s="107"/>
      <c r="F95" s="107" t="s">
        <v>279</v>
      </c>
      <c r="G95" s="208">
        <v>117105.0</v>
      </c>
      <c r="H95" s="204">
        <v>2078.14</v>
      </c>
      <c r="I95" s="211">
        <v>45629.0</v>
      </c>
      <c r="J95" s="107" t="s">
        <v>349</v>
      </c>
      <c r="K95" s="202"/>
      <c r="L95" s="107" t="b">
        <v>1</v>
      </c>
      <c r="M95" s="204">
        <f t="shared" si="3"/>
        <v>2078.14</v>
      </c>
      <c r="N95" s="206"/>
      <c r="O95" s="108" t="b">
        <f t="shared" si="80"/>
        <v>1</v>
      </c>
      <c r="P95" s="207">
        <f t="shared" si="5"/>
        <v>1</v>
      </c>
      <c r="Q95" s="140">
        <f t="shared" ref="Q95:BE95" si="89">iferror(if(Q$9=FALSE,, if(if(search(Q$11,$B95,1)&gt;0,1,0)=1,$H95/$P95,)),"")</f>
        <v>2078.14</v>
      </c>
      <c r="R95" s="140" t="str">
        <f t="shared" si="89"/>
        <v/>
      </c>
      <c r="S95" s="140" t="str">
        <f t="shared" si="89"/>
        <v/>
      </c>
      <c r="T95" s="140" t="str">
        <f t="shared" si="89"/>
        <v/>
      </c>
      <c r="U95" s="140" t="str">
        <f t="shared" si="89"/>
        <v/>
      </c>
      <c r="V95" s="140" t="str">
        <f t="shared" si="89"/>
        <v/>
      </c>
      <c r="W95" s="140" t="str">
        <f t="shared" si="89"/>
        <v/>
      </c>
      <c r="X95" s="140" t="str">
        <f t="shared" si="89"/>
        <v/>
      </c>
      <c r="Y95" s="140" t="str">
        <f t="shared" si="89"/>
        <v/>
      </c>
      <c r="Z95" s="140" t="str">
        <f t="shared" si="89"/>
        <v/>
      </c>
      <c r="AA95" s="140" t="str">
        <f t="shared" si="89"/>
        <v/>
      </c>
      <c r="AB95" s="140" t="str">
        <f t="shared" si="89"/>
        <v/>
      </c>
      <c r="AC95" s="140" t="str">
        <f t="shared" si="89"/>
        <v/>
      </c>
      <c r="AD95" s="140" t="str">
        <f t="shared" si="89"/>
        <v/>
      </c>
      <c r="AE95" s="140" t="str">
        <f t="shared" si="89"/>
        <v/>
      </c>
      <c r="AF95" s="140" t="str">
        <f t="shared" si="89"/>
        <v/>
      </c>
      <c r="AG95" s="140" t="str">
        <f t="shared" si="89"/>
        <v/>
      </c>
      <c r="AH95" s="140" t="str">
        <f t="shared" si="89"/>
        <v/>
      </c>
      <c r="AI95" s="140" t="str">
        <f t="shared" si="89"/>
        <v/>
      </c>
      <c r="AJ95" s="140" t="str">
        <f t="shared" si="89"/>
        <v/>
      </c>
      <c r="AK95" s="140" t="str">
        <f t="shared" si="89"/>
        <v/>
      </c>
      <c r="AL95" s="140" t="str">
        <f t="shared" si="89"/>
        <v/>
      </c>
      <c r="AM95" s="140" t="str">
        <f t="shared" si="89"/>
        <v/>
      </c>
      <c r="AN95" s="140" t="str">
        <f t="shared" si="89"/>
        <v/>
      </c>
      <c r="AO95" s="140" t="str">
        <f t="shared" si="89"/>
        <v/>
      </c>
      <c r="AP95" s="140" t="str">
        <f t="shared" si="89"/>
        <v/>
      </c>
      <c r="AQ95" s="140" t="str">
        <f t="shared" si="89"/>
        <v/>
      </c>
      <c r="AR95" s="140" t="str">
        <f t="shared" si="89"/>
        <v/>
      </c>
      <c r="AS95" s="140" t="str">
        <f t="shared" si="89"/>
        <v/>
      </c>
      <c r="AT95" s="140" t="str">
        <f t="shared" si="89"/>
        <v/>
      </c>
      <c r="AU95" s="140" t="str">
        <f t="shared" si="89"/>
        <v/>
      </c>
      <c r="AV95" s="140" t="str">
        <f t="shared" si="89"/>
        <v/>
      </c>
      <c r="AW95" s="140" t="str">
        <f t="shared" si="89"/>
        <v/>
      </c>
      <c r="AX95" s="140" t="str">
        <f t="shared" si="89"/>
        <v/>
      </c>
      <c r="AY95" s="140" t="str">
        <f t="shared" si="89"/>
        <v/>
      </c>
      <c r="AZ95" s="140" t="str">
        <f t="shared" si="89"/>
        <v/>
      </c>
      <c r="BA95" s="140" t="str">
        <f t="shared" si="89"/>
        <v/>
      </c>
      <c r="BB95" s="140" t="str">
        <f t="shared" si="89"/>
        <v/>
      </c>
      <c r="BC95" s="140" t="str">
        <f t="shared" si="89"/>
        <v/>
      </c>
      <c r="BD95" s="140" t="str">
        <f t="shared" si="89"/>
        <v/>
      </c>
      <c r="BE95" s="140" t="str">
        <f t="shared" si="89"/>
        <v/>
      </c>
    </row>
    <row r="96">
      <c r="A96" s="108"/>
      <c r="B96" s="107" t="s">
        <v>3</v>
      </c>
      <c r="C96" s="107"/>
      <c r="D96" s="107" t="s">
        <v>292</v>
      </c>
      <c r="E96" s="107"/>
      <c r="F96" s="107" t="s">
        <v>293</v>
      </c>
      <c r="G96" s="208">
        <v>52890.0</v>
      </c>
      <c r="H96" s="204">
        <v>840.0</v>
      </c>
      <c r="I96" s="211">
        <v>45632.0</v>
      </c>
      <c r="J96" s="107" t="s">
        <v>311</v>
      </c>
      <c r="K96" s="202"/>
      <c r="L96" s="107" t="b">
        <v>1</v>
      </c>
      <c r="M96" s="204">
        <f t="shared" si="3"/>
        <v>840</v>
      </c>
      <c r="N96" s="206"/>
      <c r="O96" s="108" t="b">
        <f t="shared" si="80"/>
        <v>1</v>
      </c>
      <c r="P96" s="207">
        <f t="shared" si="5"/>
        <v>1</v>
      </c>
      <c r="Q96" s="140">
        <f t="shared" ref="Q96:BE96" si="90">iferror(if(Q$9=FALSE,, if(if(search(Q$11,$B96,1)&gt;0,1,0)=1,$H96/$P96,)),"")</f>
        <v>840</v>
      </c>
      <c r="R96" s="140" t="str">
        <f t="shared" si="90"/>
        <v/>
      </c>
      <c r="S96" s="140" t="str">
        <f t="shared" si="90"/>
        <v/>
      </c>
      <c r="T96" s="140" t="str">
        <f t="shared" si="90"/>
        <v/>
      </c>
      <c r="U96" s="140" t="str">
        <f t="shared" si="90"/>
        <v/>
      </c>
      <c r="V96" s="140" t="str">
        <f t="shared" si="90"/>
        <v/>
      </c>
      <c r="W96" s="140" t="str">
        <f t="shared" si="90"/>
        <v/>
      </c>
      <c r="X96" s="140" t="str">
        <f t="shared" si="90"/>
        <v/>
      </c>
      <c r="Y96" s="140" t="str">
        <f t="shared" si="90"/>
        <v/>
      </c>
      <c r="Z96" s="140" t="str">
        <f t="shared" si="90"/>
        <v/>
      </c>
      <c r="AA96" s="140" t="str">
        <f t="shared" si="90"/>
        <v/>
      </c>
      <c r="AB96" s="140" t="str">
        <f t="shared" si="90"/>
        <v/>
      </c>
      <c r="AC96" s="140" t="str">
        <f t="shared" si="90"/>
        <v/>
      </c>
      <c r="AD96" s="140" t="str">
        <f t="shared" si="90"/>
        <v/>
      </c>
      <c r="AE96" s="140" t="str">
        <f t="shared" si="90"/>
        <v/>
      </c>
      <c r="AF96" s="140" t="str">
        <f t="shared" si="90"/>
        <v/>
      </c>
      <c r="AG96" s="140" t="str">
        <f t="shared" si="90"/>
        <v/>
      </c>
      <c r="AH96" s="140" t="str">
        <f t="shared" si="90"/>
        <v/>
      </c>
      <c r="AI96" s="140" t="str">
        <f t="shared" si="90"/>
        <v/>
      </c>
      <c r="AJ96" s="140" t="str">
        <f t="shared" si="90"/>
        <v/>
      </c>
      <c r="AK96" s="140" t="str">
        <f t="shared" si="90"/>
        <v/>
      </c>
      <c r="AL96" s="140" t="str">
        <f t="shared" si="90"/>
        <v/>
      </c>
      <c r="AM96" s="140" t="str">
        <f t="shared" si="90"/>
        <v/>
      </c>
      <c r="AN96" s="140" t="str">
        <f t="shared" si="90"/>
        <v/>
      </c>
      <c r="AO96" s="140" t="str">
        <f t="shared" si="90"/>
        <v/>
      </c>
      <c r="AP96" s="140" t="str">
        <f t="shared" si="90"/>
        <v/>
      </c>
      <c r="AQ96" s="140" t="str">
        <f t="shared" si="90"/>
        <v/>
      </c>
      <c r="AR96" s="140" t="str">
        <f t="shared" si="90"/>
        <v/>
      </c>
      <c r="AS96" s="140" t="str">
        <f t="shared" si="90"/>
        <v/>
      </c>
      <c r="AT96" s="140" t="str">
        <f t="shared" si="90"/>
        <v/>
      </c>
      <c r="AU96" s="140" t="str">
        <f t="shared" si="90"/>
        <v/>
      </c>
      <c r="AV96" s="140" t="str">
        <f t="shared" si="90"/>
        <v/>
      </c>
      <c r="AW96" s="140" t="str">
        <f t="shared" si="90"/>
        <v/>
      </c>
      <c r="AX96" s="140" t="str">
        <f t="shared" si="90"/>
        <v/>
      </c>
      <c r="AY96" s="140" t="str">
        <f t="shared" si="90"/>
        <v/>
      </c>
      <c r="AZ96" s="140" t="str">
        <f t="shared" si="90"/>
        <v/>
      </c>
      <c r="BA96" s="140" t="str">
        <f t="shared" si="90"/>
        <v/>
      </c>
      <c r="BB96" s="140" t="str">
        <f t="shared" si="90"/>
        <v/>
      </c>
      <c r="BC96" s="140" t="str">
        <f t="shared" si="90"/>
        <v/>
      </c>
      <c r="BD96" s="140" t="str">
        <f t="shared" si="90"/>
        <v/>
      </c>
      <c r="BE96" s="140" t="str">
        <f t="shared" si="90"/>
        <v/>
      </c>
    </row>
    <row r="97">
      <c r="A97" s="108"/>
      <c r="B97" s="107" t="s">
        <v>3</v>
      </c>
      <c r="C97" s="107"/>
      <c r="D97" s="107" t="s">
        <v>269</v>
      </c>
      <c r="E97" s="107"/>
      <c r="F97" s="107" t="s">
        <v>270</v>
      </c>
      <c r="G97" s="208">
        <v>66649.0</v>
      </c>
      <c r="H97" s="131">
        <v>891.0</v>
      </c>
      <c r="I97" s="211">
        <v>45642.0</v>
      </c>
      <c r="J97" s="107" t="s">
        <v>350</v>
      </c>
      <c r="K97" s="202"/>
      <c r="L97" s="107" t="b">
        <v>1</v>
      </c>
      <c r="M97" s="204">
        <f t="shared" si="3"/>
        <v>891</v>
      </c>
      <c r="N97" s="206"/>
      <c r="O97" s="108" t="b">
        <f t="shared" si="80"/>
        <v>1</v>
      </c>
      <c r="P97" s="207">
        <f t="shared" si="5"/>
        <v>1</v>
      </c>
      <c r="Q97" s="140">
        <f t="shared" ref="Q97:BE97" si="91">iferror(if(Q$9=FALSE,, if(if(search(Q$11,$B97,1)&gt;0,1,0)=1,$H97/$P97,)),"")</f>
        <v>891</v>
      </c>
      <c r="R97" s="140" t="str">
        <f t="shared" si="91"/>
        <v/>
      </c>
      <c r="S97" s="140" t="str">
        <f t="shared" si="91"/>
        <v/>
      </c>
      <c r="T97" s="140" t="str">
        <f t="shared" si="91"/>
        <v/>
      </c>
      <c r="U97" s="140" t="str">
        <f t="shared" si="91"/>
        <v/>
      </c>
      <c r="V97" s="140" t="str">
        <f t="shared" si="91"/>
        <v/>
      </c>
      <c r="W97" s="140" t="str">
        <f t="shared" si="91"/>
        <v/>
      </c>
      <c r="X97" s="140" t="str">
        <f t="shared" si="91"/>
        <v/>
      </c>
      <c r="Y97" s="140" t="str">
        <f t="shared" si="91"/>
        <v/>
      </c>
      <c r="Z97" s="140" t="str">
        <f t="shared" si="91"/>
        <v/>
      </c>
      <c r="AA97" s="140" t="str">
        <f t="shared" si="91"/>
        <v/>
      </c>
      <c r="AB97" s="140" t="str">
        <f t="shared" si="91"/>
        <v/>
      </c>
      <c r="AC97" s="140" t="str">
        <f t="shared" si="91"/>
        <v/>
      </c>
      <c r="AD97" s="140" t="str">
        <f t="shared" si="91"/>
        <v/>
      </c>
      <c r="AE97" s="140" t="str">
        <f t="shared" si="91"/>
        <v/>
      </c>
      <c r="AF97" s="140" t="str">
        <f t="shared" si="91"/>
        <v/>
      </c>
      <c r="AG97" s="140" t="str">
        <f t="shared" si="91"/>
        <v/>
      </c>
      <c r="AH97" s="140" t="str">
        <f t="shared" si="91"/>
        <v/>
      </c>
      <c r="AI97" s="140" t="str">
        <f t="shared" si="91"/>
        <v/>
      </c>
      <c r="AJ97" s="140" t="str">
        <f t="shared" si="91"/>
        <v/>
      </c>
      <c r="AK97" s="140" t="str">
        <f t="shared" si="91"/>
        <v/>
      </c>
      <c r="AL97" s="140" t="str">
        <f t="shared" si="91"/>
        <v/>
      </c>
      <c r="AM97" s="140" t="str">
        <f t="shared" si="91"/>
        <v/>
      </c>
      <c r="AN97" s="140" t="str">
        <f t="shared" si="91"/>
        <v/>
      </c>
      <c r="AO97" s="140" t="str">
        <f t="shared" si="91"/>
        <v/>
      </c>
      <c r="AP97" s="140" t="str">
        <f t="shared" si="91"/>
        <v/>
      </c>
      <c r="AQ97" s="140" t="str">
        <f t="shared" si="91"/>
        <v/>
      </c>
      <c r="AR97" s="140" t="str">
        <f t="shared" si="91"/>
        <v/>
      </c>
      <c r="AS97" s="140" t="str">
        <f t="shared" si="91"/>
        <v/>
      </c>
      <c r="AT97" s="140" t="str">
        <f t="shared" si="91"/>
        <v/>
      </c>
      <c r="AU97" s="140" t="str">
        <f t="shared" si="91"/>
        <v/>
      </c>
      <c r="AV97" s="140" t="str">
        <f t="shared" si="91"/>
        <v/>
      </c>
      <c r="AW97" s="140" t="str">
        <f t="shared" si="91"/>
        <v/>
      </c>
      <c r="AX97" s="140" t="str">
        <f t="shared" si="91"/>
        <v/>
      </c>
      <c r="AY97" s="140" t="str">
        <f t="shared" si="91"/>
        <v/>
      </c>
      <c r="AZ97" s="140" t="str">
        <f t="shared" si="91"/>
        <v/>
      </c>
      <c r="BA97" s="140" t="str">
        <f t="shared" si="91"/>
        <v/>
      </c>
      <c r="BB97" s="140" t="str">
        <f t="shared" si="91"/>
        <v/>
      </c>
      <c r="BC97" s="140" t="str">
        <f t="shared" si="91"/>
        <v/>
      </c>
      <c r="BD97" s="140" t="str">
        <f t="shared" si="91"/>
        <v/>
      </c>
      <c r="BE97" s="140" t="str">
        <f t="shared" si="91"/>
        <v/>
      </c>
    </row>
    <row r="98">
      <c r="A98" s="108"/>
      <c r="B98" s="107" t="s">
        <v>8</v>
      </c>
      <c r="C98" s="107"/>
      <c r="D98" s="107" t="s">
        <v>278</v>
      </c>
      <c r="E98" s="107"/>
      <c r="F98" s="107" t="s">
        <v>279</v>
      </c>
      <c r="G98" s="208">
        <v>117769.0</v>
      </c>
      <c r="H98" s="204">
        <v>18641.48</v>
      </c>
      <c r="I98" s="211">
        <v>45652.0</v>
      </c>
      <c r="J98" s="107" t="s">
        <v>351</v>
      </c>
      <c r="K98" s="202"/>
      <c r="L98" s="107" t="b">
        <v>1</v>
      </c>
      <c r="M98" s="204">
        <f t="shared" si="3"/>
        <v>18641.48</v>
      </c>
      <c r="N98" s="206"/>
      <c r="O98" s="108" t="b">
        <f t="shared" si="80"/>
        <v>1</v>
      </c>
      <c r="P98" s="207">
        <f t="shared" si="5"/>
        <v>1</v>
      </c>
      <c r="Q98" s="140" t="str">
        <f t="shared" ref="Q98:BE98" si="92">iferror(if(Q$9=FALSE,, if(if(search(Q$11,$B98,1)&gt;0,1,0)=1,$H98/$P98,)),"")</f>
        <v/>
      </c>
      <c r="R98" s="140" t="str">
        <f t="shared" si="92"/>
        <v/>
      </c>
      <c r="S98" s="140" t="str">
        <f t="shared" si="92"/>
        <v/>
      </c>
      <c r="T98" s="140" t="str">
        <f t="shared" si="92"/>
        <v/>
      </c>
      <c r="U98" s="140" t="str">
        <f t="shared" si="92"/>
        <v/>
      </c>
      <c r="V98" s="140" t="str">
        <f t="shared" si="92"/>
        <v/>
      </c>
      <c r="W98" s="140" t="str">
        <f t="shared" si="92"/>
        <v/>
      </c>
      <c r="X98" s="140">
        <f t="shared" si="92"/>
        <v>18641.48</v>
      </c>
      <c r="Y98" s="140" t="str">
        <f t="shared" si="92"/>
        <v/>
      </c>
      <c r="Z98" s="140" t="str">
        <f t="shared" si="92"/>
        <v/>
      </c>
      <c r="AA98" s="140" t="str">
        <f t="shared" si="92"/>
        <v/>
      </c>
      <c r="AB98" s="140" t="str">
        <f t="shared" si="92"/>
        <v/>
      </c>
      <c r="AC98" s="140" t="str">
        <f t="shared" si="92"/>
        <v/>
      </c>
      <c r="AD98" s="140" t="str">
        <f t="shared" si="92"/>
        <v/>
      </c>
      <c r="AE98" s="140" t="str">
        <f t="shared" si="92"/>
        <v/>
      </c>
      <c r="AF98" s="140" t="str">
        <f t="shared" si="92"/>
        <v/>
      </c>
      <c r="AG98" s="140" t="str">
        <f t="shared" si="92"/>
        <v/>
      </c>
      <c r="AH98" s="140" t="str">
        <f t="shared" si="92"/>
        <v/>
      </c>
      <c r="AI98" s="140" t="str">
        <f t="shared" si="92"/>
        <v/>
      </c>
      <c r="AJ98" s="140" t="str">
        <f t="shared" si="92"/>
        <v/>
      </c>
      <c r="AK98" s="140" t="str">
        <f t="shared" si="92"/>
        <v/>
      </c>
      <c r="AL98" s="140" t="str">
        <f t="shared" si="92"/>
        <v/>
      </c>
      <c r="AM98" s="140" t="str">
        <f t="shared" si="92"/>
        <v/>
      </c>
      <c r="AN98" s="140" t="str">
        <f t="shared" si="92"/>
        <v/>
      </c>
      <c r="AO98" s="140" t="str">
        <f t="shared" si="92"/>
        <v/>
      </c>
      <c r="AP98" s="140" t="str">
        <f t="shared" si="92"/>
        <v/>
      </c>
      <c r="AQ98" s="140" t="str">
        <f t="shared" si="92"/>
        <v/>
      </c>
      <c r="AR98" s="140" t="str">
        <f t="shared" si="92"/>
        <v/>
      </c>
      <c r="AS98" s="140" t="str">
        <f t="shared" si="92"/>
        <v/>
      </c>
      <c r="AT98" s="140" t="str">
        <f t="shared" si="92"/>
        <v/>
      </c>
      <c r="AU98" s="140" t="str">
        <f t="shared" si="92"/>
        <v/>
      </c>
      <c r="AV98" s="140" t="str">
        <f t="shared" si="92"/>
        <v/>
      </c>
      <c r="AW98" s="140" t="str">
        <f t="shared" si="92"/>
        <v/>
      </c>
      <c r="AX98" s="140" t="str">
        <f t="shared" si="92"/>
        <v/>
      </c>
      <c r="AY98" s="140" t="str">
        <f t="shared" si="92"/>
        <v/>
      </c>
      <c r="AZ98" s="140" t="str">
        <f t="shared" si="92"/>
        <v/>
      </c>
      <c r="BA98" s="140" t="str">
        <f t="shared" si="92"/>
        <v/>
      </c>
      <c r="BB98" s="140" t="str">
        <f t="shared" si="92"/>
        <v/>
      </c>
      <c r="BC98" s="140" t="str">
        <f t="shared" si="92"/>
        <v/>
      </c>
      <c r="BD98" s="140" t="str">
        <f t="shared" si="92"/>
        <v/>
      </c>
      <c r="BE98" s="140" t="str">
        <f t="shared" si="92"/>
        <v/>
      </c>
    </row>
    <row r="99" hidden="1">
      <c r="A99" s="108"/>
      <c r="B99" s="107"/>
      <c r="C99" s="107"/>
      <c r="D99" s="107"/>
      <c r="E99" s="107"/>
      <c r="F99" s="107"/>
      <c r="G99" s="208"/>
      <c r="H99" s="204"/>
      <c r="I99" s="211"/>
      <c r="J99" s="107"/>
      <c r="K99" s="202"/>
      <c r="L99" s="107"/>
      <c r="M99" s="204">
        <f t="shared" si="3"/>
        <v>0</v>
      </c>
      <c r="N99" s="206"/>
      <c r="O99" s="108" t="b">
        <f t="shared" ref="O99:O135" si="94">SUM(Q99:AP99)=H99</f>
        <v>1</v>
      </c>
      <c r="P99" s="207">
        <f t="shared" si="5"/>
        <v>0</v>
      </c>
      <c r="Q99" s="140" t="str">
        <f t="shared" ref="Q99:BE99" si="93">iferror(if(Q$9=FALSE,, if(if(search(Q$11,$B99,1)&gt;0,1,0)=1,$H99/$P99,)),"")</f>
        <v/>
      </c>
      <c r="R99" s="140" t="str">
        <f t="shared" si="93"/>
        <v/>
      </c>
      <c r="S99" s="140" t="str">
        <f t="shared" si="93"/>
        <v/>
      </c>
      <c r="T99" s="140" t="str">
        <f t="shared" si="93"/>
        <v/>
      </c>
      <c r="U99" s="140" t="str">
        <f t="shared" si="93"/>
        <v/>
      </c>
      <c r="V99" s="140" t="str">
        <f t="shared" si="93"/>
        <v/>
      </c>
      <c r="W99" s="140" t="str">
        <f t="shared" si="93"/>
        <v/>
      </c>
      <c r="X99" s="140" t="str">
        <f t="shared" si="93"/>
        <v/>
      </c>
      <c r="Y99" s="140" t="str">
        <f t="shared" si="93"/>
        <v/>
      </c>
      <c r="Z99" s="140" t="str">
        <f t="shared" si="93"/>
        <v/>
      </c>
      <c r="AA99" s="140" t="str">
        <f t="shared" si="93"/>
        <v/>
      </c>
      <c r="AB99" s="140" t="str">
        <f t="shared" si="93"/>
        <v/>
      </c>
      <c r="AC99" s="140" t="str">
        <f t="shared" si="93"/>
        <v/>
      </c>
      <c r="AD99" s="140" t="str">
        <f t="shared" si="93"/>
        <v/>
      </c>
      <c r="AE99" s="140" t="str">
        <f t="shared" si="93"/>
        <v/>
      </c>
      <c r="AF99" s="140" t="str">
        <f t="shared" si="93"/>
        <v/>
      </c>
      <c r="AG99" s="140" t="str">
        <f t="shared" si="93"/>
        <v/>
      </c>
      <c r="AH99" s="140" t="str">
        <f t="shared" si="93"/>
        <v/>
      </c>
      <c r="AI99" s="140" t="str">
        <f t="shared" si="93"/>
        <v/>
      </c>
      <c r="AJ99" s="140" t="str">
        <f t="shared" si="93"/>
        <v/>
      </c>
      <c r="AK99" s="140" t="str">
        <f t="shared" si="93"/>
        <v/>
      </c>
      <c r="AL99" s="140" t="str">
        <f t="shared" si="93"/>
        <v/>
      </c>
      <c r="AM99" s="140" t="str">
        <f t="shared" si="93"/>
        <v/>
      </c>
      <c r="AN99" s="140" t="str">
        <f t="shared" si="93"/>
        <v/>
      </c>
      <c r="AO99" s="140" t="str">
        <f t="shared" si="93"/>
        <v/>
      </c>
      <c r="AP99" s="140" t="str">
        <f t="shared" si="93"/>
        <v/>
      </c>
      <c r="AQ99" s="140" t="str">
        <f t="shared" si="93"/>
        <v/>
      </c>
      <c r="AR99" s="140" t="str">
        <f t="shared" si="93"/>
        <v/>
      </c>
      <c r="AS99" s="140" t="str">
        <f t="shared" si="93"/>
        <v/>
      </c>
      <c r="AT99" s="140" t="str">
        <f t="shared" si="93"/>
        <v/>
      </c>
      <c r="AU99" s="140" t="str">
        <f t="shared" si="93"/>
        <v/>
      </c>
      <c r="AV99" s="140" t="str">
        <f t="shared" si="93"/>
        <v/>
      </c>
      <c r="AW99" s="140" t="str">
        <f t="shared" si="93"/>
        <v/>
      </c>
      <c r="AX99" s="140" t="str">
        <f t="shared" si="93"/>
        <v/>
      </c>
      <c r="AY99" s="140" t="str">
        <f t="shared" si="93"/>
        <v/>
      </c>
      <c r="AZ99" s="140" t="str">
        <f t="shared" si="93"/>
        <v/>
      </c>
      <c r="BA99" s="140" t="str">
        <f t="shared" si="93"/>
        <v/>
      </c>
      <c r="BB99" s="140" t="str">
        <f t="shared" si="93"/>
        <v/>
      </c>
      <c r="BC99" s="140" t="str">
        <f t="shared" si="93"/>
        <v/>
      </c>
      <c r="BD99" s="140" t="str">
        <f t="shared" si="93"/>
        <v/>
      </c>
      <c r="BE99" s="140" t="str">
        <f t="shared" si="93"/>
        <v/>
      </c>
    </row>
    <row r="100" hidden="1">
      <c r="A100" s="108"/>
      <c r="B100" s="107"/>
      <c r="C100" s="107"/>
      <c r="D100" s="107"/>
      <c r="E100" s="107"/>
      <c r="F100" s="107"/>
      <c r="G100" s="208"/>
      <c r="H100" s="204"/>
      <c r="I100" s="211"/>
      <c r="J100" s="107"/>
      <c r="K100" s="202"/>
      <c r="L100" s="107"/>
      <c r="M100" s="204">
        <f t="shared" si="3"/>
        <v>0</v>
      </c>
      <c r="N100" s="206"/>
      <c r="O100" s="108" t="b">
        <f t="shared" si="94"/>
        <v>1</v>
      </c>
      <c r="P100" s="207">
        <f t="shared" si="5"/>
        <v>0</v>
      </c>
      <c r="Q100" s="140" t="str">
        <f t="shared" ref="Q100:BE100" si="95">iferror(if(Q$9=FALSE,, if(if(search(Q$11,$B100,1)&gt;0,1,0)=1,$H100/$P100,)),"")</f>
        <v/>
      </c>
      <c r="R100" s="140" t="str">
        <f t="shared" si="95"/>
        <v/>
      </c>
      <c r="S100" s="140" t="str">
        <f t="shared" si="95"/>
        <v/>
      </c>
      <c r="T100" s="140" t="str">
        <f t="shared" si="95"/>
        <v/>
      </c>
      <c r="U100" s="140" t="str">
        <f t="shared" si="95"/>
        <v/>
      </c>
      <c r="V100" s="140" t="str">
        <f t="shared" si="95"/>
        <v/>
      </c>
      <c r="W100" s="140" t="str">
        <f t="shared" si="95"/>
        <v/>
      </c>
      <c r="X100" s="140" t="str">
        <f t="shared" si="95"/>
        <v/>
      </c>
      <c r="Y100" s="140" t="str">
        <f t="shared" si="95"/>
        <v/>
      </c>
      <c r="Z100" s="140" t="str">
        <f t="shared" si="95"/>
        <v/>
      </c>
      <c r="AA100" s="140" t="str">
        <f t="shared" si="95"/>
        <v/>
      </c>
      <c r="AB100" s="140" t="str">
        <f t="shared" si="95"/>
        <v/>
      </c>
      <c r="AC100" s="140" t="str">
        <f t="shared" si="95"/>
        <v/>
      </c>
      <c r="AD100" s="140" t="str">
        <f t="shared" si="95"/>
        <v/>
      </c>
      <c r="AE100" s="140" t="str">
        <f t="shared" si="95"/>
        <v/>
      </c>
      <c r="AF100" s="140" t="str">
        <f t="shared" si="95"/>
        <v/>
      </c>
      <c r="AG100" s="140" t="str">
        <f t="shared" si="95"/>
        <v/>
      </c>
      <c r="AH100" s="140" t="str">
        <f t="shared" si="95"/>
        <v/>
      </c>
      <c r="AI100" s="140" t="str">
        <f t="shared" si="95"/>
        <v/>
      </c>
      <c r="AJ100" s="140" t="str">
        <f t="shared" si="95"/>
        <v/>
      </c>
      <c r="AK100" s="140" t="str">
        <f t="shared" si="95"/>
        <v/>
      </c>
      <c r="AL100" s="140" t="str">
        <f t="shared" si="95"/>
        <v/>
      </c>
      <c r="AM100" s="140" t="str">
        <f t="shared" si="95"/>
        <v/>
      </c>
      <c r="AN100" s="140" t="str">
        <f t="shared" si="95"/>
        <v/>
      </c>
      <c r="AO100" s="140" t="str">
        <f t="shared" si="95"/>
        <v/>
      </c>
      <c r="AP100" s="140" t="str">
        <f t="shared" si="95"/>
        <v/>
      </c>
      <c r="AQ100" s="140" t="str">
        <f t="shared" si="95"/>
        <v/>
      </c>
      <c r="AR100" s="140" t="str">
        <f t="shared" si="95"/>
        <v/>
      </c>
      <c r="AS100" s="140" t="str">
        <f t="shared" si="95"/>
        <v/>
      </c>
      <c r="AT100" s="140" t="str">
        <f t="shared" si="95"/>
        <v/>
      </c>
      <c r="AU100" s="140" t="str">
        <f t="shared" si="95"/>
        <v/>
      </c>
      <c r="AV100" s="140" t="str">
        <f t="shared" si="95"/>
        <v/>
      </c>
      <c r="AW100" s="140" t="str">
        <f t="shared" si="95"/>
        <v/>
      </c>
      <c r="AX100" s="140" t="str">
        <f t="shared" si="95"/>
        <v/>
      </c>
      <c r="AY100" s="140" t="str">
        <f t="shared" si="95"/>
        <v/>
      </c>
      <c r="AZ100" s="140" t="str">
        <f t="shared" si="95"/>
        <v/>
      </c>
      <c r="BA100" s="140" t="str">
        <f t="shared" si="95"/>
        <v/>
      </c>
      <c r="BB100" s="140" t="str">
        <f t="shared" si="95"/>
        <v/>
      </c>
      <c r="BC100" s="140" t="str">
        <f t="shared" si="95"/>
        <v/>
      </c>
      <c r="BD100" s="140" t="str">
        <f t="shared" si="95"/>
        <v/>
      </c>
      <c r="BE100" s="140" t="str">
        <f t="shared" si="95"/>
        <v/>
      </c>
    </row>
    <row r="101" hidden="1">
      <c r="A101" s="108"/>
      <c r="B101" s="107"/>
      <c r="C101" s="107"/>
      <c r="D101" s="107"/>
      <c r="E101" s="107"/>
      <c r="F101" s="107"/>
      <c r="G101" s="208"/>
      <c r="H101" s="204"/>
      <c r="I101" s="211"/>
      <c r="J101" s="107"/>
      <c r="K101" s="202"/>
      <c r="L101" s="107"/>
      <c r="M101" s="204">
        <f t="shared" si="3"/>
        <v>0</v>
      </c>
      <c r="N101" s="206"/>
      <c r="O101" s="108" t="b">
        <f t="shared" si="94"/>
        <v>1</v>
      </c>
      <c r="P101" s="207">
        <f t="shared" si="5"/>
        <v>0</v>
      </c>
      <c r="Q101" s="140" t="str">
        <f t="shared" ref="Q101:BE101" si="96">iferror(if(Q$9=FALSE,, if(if(search(Q$11,$B101,1)&gt;0,1,0)=1,$H101/$P101,)),"")</f>
        <v/>
      </c>
      <c r="R101" s="140" t="str">
        <f t="shared" si="96"/>
        <v/>
      </c>
      <c r="S101" s="140" t="str">
        <f t="shared" si="96"/>
        <v/>
      </c>
      <c r="T101" s="140" t="str">
        <f t="shared" si="96"/>
        <v/>
      </c>
      <c r="U101" s="140" t="str">
        <f t="shared" si="96"/>
        <v/>
      </c>
      <c r="V101" s="140" t="str">
        <f t="shared" si="96"/>
        <v/>
      </c>
      <c r="W101" s="140" t="str">
        <f t="shared" si="96"/>
        <v/>
      </c>
      <c r="X101" s="140" t="str">
        <f t="shared" si="96"/>
        <v/>
      </c>
      <c r="Y101" s="140" t="str">
        <f t="shared" si="96"/>
        <v/>
      </c>
      <c r="Z101" s="140" t="str">
        <f t="shared" si="96"/>
        <v/>
      </c>
      <c r="AA101" s="140" t="str">
        <f t="shared" si="96"/>
        <v/>
      </c>
      <c r="AB101" s="140" t="str">
        <f t="shared" si="96"/>
        <v/>
      </c>
      <c r="AC101" s="140" t="str">
        <f t="shared" si="96"/>
        <v/>
      </c>
      <c r="AD101" s="140" t="str">
        <f t="shared" si="96"/>
        <v/>
      </c>
      <c r="AE101" s="140" t="str">
        <f t="shared" si="96"/>
        <v/>
      </c>
      <c r="AF101" s="140" t="str">
        <f t="shared" si="96"/>
        <v/>
      </c>
      <c r="AG101" s="140" t="str">
        <f t="shared" si="96"/>
        <v/>
      </c>
      <c r="AH101" s="140" t="str">
        <f t="shared" si="96"/>
        <v/>
      </c>
      <c r="AI101" s="140" t="str">
        <f t="shared" si="96"/>
        <v/>
      </c>
      <c r="AJ101" s="140" t="str">
        <f t="shared" si="96"/>
        <v/>
      </c>
      <c r="AK101" s="140" t="str">
        <f t="shared" si="96"/>
        <v/>
      </c>
      <c r="AL101" s="140" t="str">
        <f t="shared" si="96"/>
        <v/>
      </c>
      <c r="AM101" s="140" t="str">
        <f t="shared" si="96"/>
        <v/>
      </c>
      <c r="AN101" s="140" t="str">
        <f t="shared" si="96"/>
        <v/>
      </c>
      <c r="AO101" s="140" t="str">
        <f t="shared" si="96"/>
        <v/>
      </c>
      <c r="AP101" s="140" t="str">
        <f t="shared" si="96"/>
        <v/>
      </c>
      <c r="AQ101" s="140" t="str">
        <f t="shared" si="96"/>
        <v/>
      </c>
      <c r="AR101" s="140" t="str">
        <f t="shared" si="96"/>
        <v/>
      </c>
      <c r="AS101" s="140" t="str">
        <f t="shared" si="96"/>
        <v/>
      </c>
      <c r="AT101" s="140" t="str">
        <f t="shared" si="96"/>
        <v/>
      </c>
      <c r="AU101" s="140" t="str">
        <f t="shared" si="96"/>
        <v/>
      </c>
      <c r="AV101" s="140" t="str">
        <f t="shared" si="96"/>
        <v/>
      </c>
      <c r="AW101" s="140" t="str">
        <f t="shared" si="96"/>
        <v/>
      </c>
      <c r="AX101" s="140" t="str">
        <f t="shared" si="96"/>
        <v/>
      </c>
      <c r="AY101" s="140" t="str">
        <f t="shared" si="96"/>
        <v/>
      </c>
      <c r="AZ101" s="140" t="str">
        <f t="shared" si="96"/>
        <v/>
      </c>
      <c r="BA101" s="140" t="str">
        <f t="shared" si="96"/>
        <v/>
      </c>
      <c r="BB101" s="140" t="str">
        <f t="shared" si="96"/>
        <v/>
      </c>
      <c r="BC101" s="140" t="str">
        <f t="shared" si="96"/>
        <v/>
      </c>
      <c r="BD101" s="140" t="str">
        <f t="shared" si="96"/>
        <v/>
      </c>
      <c r="BE101" s="140" t="str">
        <f t="shared" si="96"/>
        <v/>
      </c>
    </row>
    <row r="102" hidden="1">
      <c r="A102" s="108"/>
      <c r="B102" s="107"/>
      <c r="C102" s="107"/>
      <c r="D102" s="107"/>
      <c r="E102" s="107"/>
      <c r="F102" s="107"/>
      <c r="G102" s="208"/>
      <c r="H102" s="204"/>
      <c r="I102" s="211"/>
      <c r="J102" s="107"/>
      <c r="K102" s="202"/>
      <c r="L102" s="107"/>
      <c r="M102" s="204">
        <f t="shared" si="3"/>
        <v>0</v>
      </c>
      <c r="N102" s="206"/>
      <c r="O102" s="108" t="b">
        <f t="shared" si="94"/>
        <v>1</v>
      </c>
      <c r="P102" s="207">
        <f t="shared" si="5"/>
        <v>0</v>
      </c>
      <c r="Q102" s="140" t="str">
        <f t="shared" ref="Q102:BE102" si="97">iferror(if(Q$9=FALSE,, if(if(search(Q$11,$B102,1)&gt;0,1,0)=1,$H102/$P102,)),"")</f>
        <v/>
      </c>
      <c r="R102" s="140" t="str">
        <f t="shared" si="97"/>
        <v/>
      </c>
      <c r="S102" s="140" t="str">
        <f t="shared" si="97"/>
        <v/>
      </c>
      <c r="T102" s="140" t="str">
        <f t="shared" si="97"/>
        <v/>
      </c>
      <c r="U102" s="140" t="str">
        <f t="shared" si="97"/>
        <v/>
      </c>
      <c r="V102" s="140" t="str">
        <f t="shared" si="97"/>
        <v/>
      </c>
      <c r="W102" s="140" t="str">
        <f t="shared" si="97"/>
        <v/>
      </c>
      <c r="X102" s="140" t="str">
        <f t="shared" si="97"/>
        <v/>
      </c>
      <c r="Y102" s="140" t="str">
        <f t="shared" si="97"/>
        <v/>
      </c>
      <c r="Z102" s="140" t="str">
        <f t="shared" si="97"/>
        <v/>
      </c>
      <c r="AA102" s="140" t="str">
        <f t="shared" si="97"/>
        <v/>
      </c>
      <c r="AB102" s="140" t="str">
        <f t="shared" si="97"/>
        <v/>
      </c>
      <c r="AC102" s="140" t="str">
        <f t="shared" si="97"/>
        <v/>
      </c>
      <c r="AD102" s="140" t="str">
        <f t="shared" si="97"/>
        <v/>
      </c>
      <c r="AE102" s="140" t="str">
        <f t="shared" si="97"/>
        <v/>
      </c>
      <c r="AF102" s="140" t="str">
        <f t="shared" si="97"/>
        <v/>
      </c>
      <c r="AG102" s="140" t="str">
        <f t="shared" si="97"/>
        <v/>
      </c>
      <c r="AH102" s="140" t="str">
        <f t="shared" si="97"/>
        <v/>
      </c>
      <c r="AI102" s="140" t="str">
        <f t="shared" si="97"/>
        <v/>
      </c>
      <c r="AJ102" s="140" t="str">
        <f t="shared" si="97"/>
        <v/>
      </c>
      <c r="AK102" s="140" t="str">
        <f t="shared" si="97"/>
        <v/>
      </c>
      <c r="AL102" s="140" t="str">
        <f t="shared" si="97"/>
        <v/>
      </c>
      <c r="AM102" s="140" t="str">
        <f t="shared" si="97"/>
        <v/>
      </c>
      <c r="AN102" s="140" t="str">
        <f t="shared" si="97"/>
        <v/>
      </c>
      <c r="AO102" s="140" t="str">
        <f t="shared" si="97"/>
        <v/>
      </c>
      <c r="AP102" s="140" t="str">
        <f t="shared" si="97"/>
        <v/>
      </c>
      <c r="AQ102" s="140" t="str">
        <f t="shared" si="97"/>
        <v/>
      </c>
      <c r="AR102" s="140" t="str">
        <f t="shared" si="97"/>
        <v/>
      </c>
      <c r="AS102" s="140" t="str">
        <f t="shared" si="97"/>
        <v/>
      </c>
      <c r="AT102" s="140" t="str">
        <f t="shared" si="97"/>
        <v/>
      </c>
      <c r="AU102" s="140" t="str">
        <f t="shared" si="97"/>
        <v/>
      </c>
      <c r="AV102" s="140" t="str">
        <f t="shared" si="97"/>
        <v/>
      </c>
      <c r="AW102" s="140" t="str">
        <f t="shared" si="97"/>
        <v/>
      </c>
      <c r="AX102" s="140" t="str">
        <f t="shared" si="97"/>
        <v/>
      </c>
      <c r="AY102" s="140" t="str">
        <f t="shared" si="97"/>
        <v/>
      </c>
      <c r="AZ102" s="140" t="str">
        <f t="shared" si="97"/>
        <v/>
      </c>
      <c r="BA102" s="140" t="str">
        <f t="shared" si="97"/>
        <v/>
      </c>
      <c r="BB102" s="140" t="str">
        <f t="shared" si="97"/>
        <v/>
      </c>
      <c r="BC102" s="140" t="str">
        <f t="shared" si="97"/>
        <v/>
      </c>
      <c r="BD102" s="140" t="str">
        <f t="shared" si="97"/>
        <v/>
      </c>
      <c r="BE102" s="140" t="str">
        <f t="shared" si="97"/>
        <v/>
      </c>
    </row>
    <row r="103" hidden="1">
      <c r="A103" s="108"/>
      <c r="B103" s="107"/>
      <c r="C103" s="107"/>
      <c r="D103" s="107"/>
      <c r="E103" s="107"/>
      <c r="F103" s="107"/>
      <c r="G103" s="208"/>
      <c r="H103" s="204"/>
      <c r="I103" s="211"/>
      <c r="J103" s="107"/>
      <c r="K103" s="202"/>
      <c r="L103" s="107"/>
      <c r="M103" s="204">
        <f t="shared" si="3"/>
        <v>0</v>
      </c>
      <c r="N103" s="206"/>
      <c r="O103" s="108" t="b">
        <f t="shared" si="94"/>
        <v>1</v>
      </c>
      <c r="P103" s="207">
        <f t="shared" si="5"/>
        <v>0</v>
      </c>
      <c r="Q103" s="140" t="str">
        <f t="shared" ref="Q103:BE103" si="98">iferror(if(Q$9=FALSE,, if(if(search(Q$11,$B103,1)&gt;0,1,0)=1,$H103/$P103,)),"")</f>
        <v/>
      </c>
      <c r="R103" s="140" t="str">
        <f t="shared" si="98"/>
        <v/>
      </c>
      <c r="S103" s="140" t="str">
        <f t="shared" si="98"/>
        <v/>
      </c>
      <c r="T103" s="140" t="str">
        <f t="shared" si="98"/>
        <v/>
      </c>
      <c r="U103" s="140" t="str">
        <f t="shared" si="98"/>
        <v/>
      </c>
      <c r="V103" s="140" t="str">
        <f t="shared" si="98"/>
        <v/>
      </c>
      <c r="W103" s="140" t="str">
        <f t="shared" si="98"/>
        <v/>
      </c>
      <c r="X103" s="140" t="str">
        <f t="shared" si="98"/>
        <v/>
      </c>
      <c r="Y103" s="140" t="str">
        <f t="shared" si="98"/>
        <v/>
      </c>
      <c r="Z103" s="140" t="str">
        <f t="shared" si="98"/>
        <v/>
      </c>
      <c r="AA103" s="140" t="str">
        <f t="shared" si="98"/>
        <v/>
      </c>
      <c r="AB103" s="140" t="str">
        <f t="shared" si="98"/>
        <v/>
      </c>
      <c r="AC103" s="140" t="str">
        <f t="shared" si="98"/>
        <v/>
      </c>
      <c r="AD103" s="140" t="str">
        <f t="shared" si="98"/>
        <v/>
      </c>
      <c r="AE103" s="140" t="str">
        <f t="shared" si="98"/>
        <v/>
      </c>
      <c r="AF103" s="140" t="str">
        <f t="shared" si="98"/>
        <v/>
      </c>
      <c r="AG103" s="140" t="str">
        <f t="shared" si="98"/>
        <v/>
      </c>
      <c r="AH103" s="140" t="str">
        <f t="shared" si="98"/>
        <v/>
      </c>
      <c r="AI103" s="140" t="str">
        <f t="shared" si="98"/>
        <v/>
      </c>
      <c r="AJ103" s="140" t="str">
        <f t="shared" si="98"/>
        <v/>
      </c>
      <c r="AK103" s="140" t="str">
        <f t="shared" si="98"/>
        <v/>
      </c>
      <c r="AL103" s="140" t="str">
        <f t="shared" si="98"/>
        <v/>
      </c>
      <c r="AM103" s="140" t="str">
        <f t="shared" si="98"/>
        <v/>
      </c>
      <c r="AN103" s="140" t="str">
        <f t="shared" si="98"/>
        <v/>
      </c>
      <c r="AO103" s="140" t="str">
        <f t="shared" si="98"/>
        <v/>
      </c>
      <c r="AP103" s="140" t="str">
        <f t="shared" si="98"/>
        <v/>
      </c>
      <c r="AQ103" s="140" t="str">
        <f t="shared" si="98"/>
        <v/>
      </c>
      <c r="AR103" s="140" t="str">
        <f t="shared" si="98"/>
        <v/>
      </c>
      <c r="AS103" s="140" t="str">
        <f t="shared" si="98"/>
        <v/>
      </c>
      <c r="AT103" s="140" t="str">
        <f t="shared" si="98"/>
        <v/>
      </c>
      <c r="AU103" s="140" t="str">
        <f t="shared" si="98"/>
        <v/>
      </c>
      <c r="AV103" s="140" t="str">
        <f t="shared" si="98"/>
        <v/>
      </c>
      <c r="AW103" s="140" t="str">
        <f t="shared" si="98"/>
        <v/>
      </c>
      <c r="AX103" s="140" t="str">
        <f t="shared" si="98"/>
        <v/>
      </c>
      <c r="AY103" s="140" t="str">
        <f t="shared" si="98"/>
        <v/>
      </c>
      <c r="AZ103" s="140" t="str">
        <f t="shared" si="98"/>
        <v/>
      </c>
      <c r="BA103" s="140" t="str">
        <f t="shared" si="98"/>
        <v/>
      </c>
      <c r="BB103" s="140" t="str">
        <f t="shared" si="98"/>
        <v/>
      </c>
      <c r="BC103" s="140" t="str">
        <f t="shared" si="98"/>
        <v/>
      </c>
      <c r="BD103" s="140" t="str">
        <f t="shared" si="98"/>
        <v/>
      </c>
      <c r="BE103" s="140" t="str">
        <f t="shared" si="98"/>
        <v/>
      </c>
    </row>
    <row r="104" hidden="1">
      <c r="A104" s="108"/>
      <c r="B104" s="107"/>
      <c r="C104" s="107"/>
      <c r="D104" s="107"/>
      <c r="E104" s="107"/>
      <c r="F104" s="107"/>
      <c r="G104" s="208"/>
      <c r="H104" s="204"/>
      <c r="I104" s="211"/>
      <c r="J104" s="107"/>
      <c r="K104" s="202"/>
      <c r="L104" s="107"/>
      <c r="M104" s="204">
        <f t="shared" si="3"/>
        <v>0</v>
      </c>
      <c r="N104" s="206"/>
      <c r="O104" s="108" t="b">
        <f t="shared" si="94"/>
        <v>1</v>
      </c>
      <c r="P104" s="207">
        <f t="shared" si="5"/>
        <v>0</v>
      </c>
      <c r="Q104" s="140" t="str">
        <f t="shared" ref="Q104:BE104" si="99">iferror(if(Q$9=FALSE,, if(if(search(Q$11,$B104,1)&gt;0,1,0)=1,$H104/$P104,)),"")</f>
        <v/>
      </c>
      <c r="R104" s="140" t="str">
        <f t="shared" si="99"/>
        <v/>
      </c>
      <c r="S104" s="140" t="str">
        <f t="shared" si="99"/>
        <v/>
      </c>
      <c r="T104" s="140" t="str">
        <f t="shared" si="99"/>
        <v/>
      </c>
      <c r="U104" s="140" t="str">
        <f t="shared" si="99"/>
        <v/>
      </c>
      <c r="V104" s="140" t="str">
        <f t="shared" si="99"/>
        <v/>
      </c>
      <c r="W104" s="140" t="str">
        <f t="shared" si="99"/>
        <v/>
      </c>
      <c r="X104" s="140" t="str">
        <f t="shared" si="99"/>
        <v/>
      </c>
      <c r="Y104" s="140" t="str">
        <f t="shared" si="99"/>
        <v/>
      </c>
      <c r="Z104" s="140" t="str">
        <f t="shared" si="99"/>
        <v/>
      </c>
      <c r="AA104" s="140" t="str">
        <f t="shared" si="99"/>
        <v/>
      </c>
      <c r="AB104" s="140" t="str">
        <f t="shared" si="99"/>
        <v/>
      </c>
      <c r="AC104" s="140" t="str">
        <f t="shared" si="99"/>
        <v/>
      </c>
      <c r="AD104" s="140" t="str">
        <f t="shared" si="99"/>
        <v/>
      </c>
      <c r="AE104" s="140" t="str">
        <f t="shared" si="99"/>
        <v/>
      </c>
      <c r="AF104" s="140" t="str">
        <f t="shared" si="99"/>
        <v/>
      </c>
      <c r="AG104" s="140" t="str">
        <f t="shared" si="99"/>
        <v/>
      </c>
      <c r="AH104" s="140" t="str">
        <f t="shared" si="99"/>
        <v/>
      </c>
      <c r="AI104" s="140" t="str">
        <f t="shared" si="99"/>
        <v/>
      </c>
      <c r="AJ104" s="140" t="str">
        <f t="shared" si="99"/>
        <v/>
      </c>
      <c r="AK104" s="140" t="str">
        <f t="shared" si="99"/>
        <v/>
      </c>
      <c r="AL104" s="140" t="str">
        <f t="shared" si="99"/>
        <v/>
      </c>
      <c r="AM104" s="140" t="str">
        <f t="shared" si="99"/>
        <v/>
      </c>
      <c r="AN104" s="140" t="str">
        <f t="shared" si="99"/>
        <v/>
      </c>
      <c r="AO104" s="140" t="str">
        <f t="shared" si="99"/>
        <v/>
      </c>
      <c r="AP104" s="140" t="str">
        <f t="shared" si="99"/>
        <v/>
      </c>
      <c r="AQ104" s="140" t="str">
        <f t="shared" si="99"/>
        <v/>
      </c>
      <c r="AR104" s="140" t="str">
        <f t="shared" si="99"/>
        <v/>
      </c>
      <c r="AS104" s="140" t="str">
        <f t="shared" si="99"/>
        <v/>
      </c>
      <c r="AT104" s="140" t="str">
        <f t="shared" si="99"/>
        <v/>
      </c>
      <c r="AU104" s="140" t="str">
        <f t="shared" si="99"/>
        <v/>
      </c>
      <c r="AV104" s="140" t="str">
        <f t="shared" si="99"/>
        <v/>
      </c>
      <c r="AW104" s="140" t="str">
        <f t="shared" si="99"/>
        <v/>
      </c>
      <c r="AX104" s="140" t="str">
        <f t="shared" si="99"/>
        <v/>
      </c>
      <c r="AY104" s="140" t="str">
        <f t="shared" si="99"/>
        <v/>
      </c>
      <c r="AZ104" s="140" t="str">
        <f t="shared" si="99"/>
        <v/>
      </c>
      <c r="BA104" s="140" t="str">
        <f t="shared" si="99"/>
        <v/>
      </c>
      <c r="BB104" s="140" t="str">
        <f t="shared" si="99"/>
        <v/>
      </c>
      <c r="BC104" s="140" t="str">
        <f t="shared" si="99"/>
        <v/>
      </c>
      <c r="BD104" s="140" t="str">
        <f t="shared" si="99"/>
        <v/>
      </c>
      <c r="BE104" s="140" t="str">
        <f t="shared" si="99"/>
        <v/>
      </c>
    </row>
    <row r="105" hidden="1">
      <c r="A105" s="108"/>
      <c r="B105" s="107"/>
      <c r="C105" s="107"/>
      <c r="D105" s="107"/>
      <c r="E105" s="107"/>
      <c r="F105" s="107"/>
      <c r="G105" s="208"/>
      <c r="H105" s="204"/>
      <c r="I105" s="211"/>
      <c r="J105" s="107"/>
      <c r="K105" s="202"/>
      <c r="L105" s="107"/>
      <c r="M105" s="204">
        <f t="shared" si="3"/>
        <v>0</v>
      </c>
      <c r="N105" s="206"/>
      <c r="O105" s="108" t="b">
        <f t="shared" si="94"/>
        <v>1</v>
      </c>
      <c r="P105" s="207">
        <f t="shared" si="5"/>
        <v>0</v>
      </c>
      <c r="Q105" s="140" t="str">
        <f t="shared" ref="Q105:BE105" si="100">iferror(if(Q$9=FALSE,, if(if(search(Q$11,$B105,1)&gt;0,1,0)=1,$H105/$P105,)),"")</f>
        <v/>
      </c>
      <c r="R105" s="140" t="str">
        <f t="shared" si="100"/>
        <v/>
      </c>
      <c r="S105" s="140" t="str">
        <f t="shared" si="100"/>
        <v/>
      </c>
      <c r="T105" s="140" t="str">
        <f t="shared" si="100"/>
        <v/>
      </c>
      <c r="U105" s="140" t="str">
        <f t="shared" si="100"/>
        <v/>
      </c>
      <c r="V105" s="140" t="str">
        <f t="shared" si="100"/>
        <v/>
      </c>
      <c r="W105" s="140" t="str">
        <f t="shared" si="100"/>
        <v/>
      </c>
      <c r="X105" s="140" t="str">
        <f t="shared" si="100"/>
        <v/>
      </c>
      <c r="Y105" s="140" t="str">
        <f t="shared" si="100"/>
        <v/>
      </c>
      <c r="Z105" s="140" t="str">
        <f t="shared" si="100"/>
        <v/>
      </c>
      <c r="AA105" s="140" t="str">
        <f t="shared" si="100"/>
        <v/>
      </c>
      <c r="AB105" s="140" t="str">
        <f t="shared" si="100"/>
        <v/>
      </c>
      <c r="AC105" s="140" t="str">
        <f t="shared" si="100"/>
        <v/>
      </c>
      <c r="AD105" s="140" t="str">
        <f t="shared" si="100"/>
        <v/>
      </c>
      <c r="AE105" s="140" t="str">
        <f t="shared" si="100"/>
        <v/>
      </c>
      <c r="AF105" s="140" t="str">
        <f t="shared" si="100"/>
        <v/>
      </c>
      <c r="AG105" s="140" t="str">
        <f t="shared" si="100"/>
        <v/>
      </c>
      <c r="AH105" s="140" t="str">
        <f t="shared" si="100"/>
        <v/>
      </c>
      <c r="AI105" s="140" t="str">
        <f t="shared" si="100"/>
        <v/>
      </c>
      <c r="AJ105" s="140" t="str">
        <f t="shared" si="100"/>
        <v/>
      </c>
      <c r="AK105" s="140" t="str">
        <f t="shared" si="100"/>
        <v/>
      </c>
      <c r="AL105" s="140" t="str">
        <f t="shared" si="100"/>
        <v/>
      </c>
      <c r="AM105" s="140" t="str">
        <f t="shared" si="100"/>
        <v/>
      </c>
      <c r="AN105" s="140" t="str">
        <f t="shared" si="100"/>
        <v/>
      </c>
      <c r="AO105" s="140" t="str">
        <f t="shared" si="100"/>
        <v/>
      </c>
      <c r="AP105" s="140" t="str">
        <f t="shared" si="100"/>
        <v/>
      </c>
      <c r="AQ105" s="140" t="str">
        <f t="shared" si="100"/>
        <v/>
      </c>
      <c r="AR105" s="140" t="str">
        <f t="shared" si="100"/>
        <v/>
      </c>
      <c r="AS105" s="140" t="str">
        <f t="shared" si="100"/>
        <v/>
      </c>
      <c r="AT105" s="140" t="str">
        <f t="shared" si="100"/>
        <v/>
      </c>
      <c r="AU105" s="140" t="str">
        <f t="shared" si="100"/>
        <v/>
      </c>
      <c r="AV105" s="140" t="str">
        <f t="shared" si="100"/>
        <v/>
      </c>
      <c r="AW105" s="140" t="str">
        <f t="shared" si="100"/>
        <v/>
      </c>
      <c r="AX105" s="140" t="str">
        <f t="shared" si="100"/>
        <v/>
      </c>
      <c r="AY105" s="140" t="str">
        <f t="shared" si="100"/>
        <v/>
      </c>
      <c r="AZ105" s="140" t="str">
        <f t="shared" si="100"/>
        <v/>
      </c>
      <c r="BA105" s="140" t="str">
        <f t="shared" si="100"/>
        <v/>
      </c>
      <c r="BB105" s="140" t="str">
        <f t="shared" si="100"/>
        <v/>
      </c>
      <c r="BC105" s="140" t="str">
        <f t="shared" si="100"/>
        <v/>
      </c>
      <c r="BD105" s="140" t="str">
        <f t="shared" si="100"/>
        <v/>
      </c>
      <c r="BE105" s="140" t="str">
        <f t="shared" si="100"/>
        <v/>
      </c>
    </row>
    <row r="106" hidden="1">
      <c r="A106" s="108"/>
      <c r="B106" s="107"/>
      <c r="C106" s="107"/>
      <c r="D106" s="107"/>
      <c r="E106" s="107"/>
      <c r="F106" s="107"/>
      <c r="G106" s="208"/>
      <c r="H106" s="204"/>
      <c r="I106" s="211"/>
      <c r="J106" s="107"/>
      <c r="K106" s="202"/>
      <c r="L106" s="107"/>
      <c r="M106" s="204">
        <f t="shared" si="3"/>
        <v>0</v>
      </c>
      <c r="N106" s="206"/>
      <c r="O106" s="108" t="b">
        <f t="shared" si="94"/>
        <v>1</v>
      </c>
      <c r="P106" s="207">
        <f t="shared" si="5"/>
        <v>0</v>
      </c>
      <c r="Q106" s="140" t="str">
        <f t="shared" ref="Q106:BE106" si="101">iferror(if(Q$9=FALSE,, if(if(search(Q$11,$B106,1)&gt;0,1,0)=1,$H106/$P106,)),"")</f>
        <v/>
      </c>
      <c r="R106" s="140" t="str">
        <f t="shared" si="101"/>
        <v/>
      </c>
      <c r="S106" s="140" t="str">
        <f t="shared" si="101"/>
        <v/>
      </c>
      <c r="T106" s="140" t="str">
        <f t="shared" si="101"/>
        <v/>
      </c>
      <c r="U106" s="140" t="str">
        <f t="shared" si="101"/>
        <v/>
      </c>
      <c r="V106" s="140" t="str">
        <f t="shared" si="101"/>
        <v/>
      </c>
      <c r="W106" s="140" t="str">
        <f t="shared" si="101"/>
        <v/>
      </c>
      <c r="X106" s="140" t="str">
        <f t="shared" si="101"/>
        <v/>
      </c>
      <c r="Y106" s="140" t="str">
        <f t="shared" si="101"/>
        <v/>
      </c>
      <c r="Z106" s="140" t="str">
        <f t="shared" si="101"/>
        <v/>
      </c>
      <c r="AA106" s="140" t="str">
        <f t="shared" si="101"/>
        <v/>
      </c>
      <c r="AB106" s="140" t="str">
        <f t="shared" si="101"/>
        <v/>
      </c>
      <c r="AC106" s="140" t="str">
        <f t="shared" si="101"/>
        <v/>
      </c>
      <c r="AD106" s="140" t="str">
        <f t="shared" si="101"/>
        <v/>
      </c>
      <c r="AE106" s="140" t="str">
        <f t="shared" si="101"/>
        <v/>
      </c>
      <c r="AF106" s="140" t="str">
        <f t="shared" si="101"/>
        <v/>
      </c>
      <c r="AG106" s="140" t="str">
        <f t="shared" si="101"/>
        <v/>
      </c>
      <c r="AH106" s="140" t="str">
        <f t="shared" si="101"/>
        <v/>
      </c>
      <c r="AI106" s="140" t="str">
        <f t="shared" si="101"/>
        <v/>
      </c>
      <c r="AJ106" s="140" t="str">
        <f t="shared" si="101"/>
        <v/>
      </c>
      <c r="AK106" s="140" t="str">
        <f t="shared" si="101"/>
        <v/>
      </c>
      <c r="AL106" s="140" t="str">
        <f t="shared" si="101"/>
        <v/>
      </c>
      <c r="AM106" s="140" t="str">
        <f t="shared" si="101"/>
        <v/>
      </c>
      <c r="AN106" s="140" t="str">
        <f t="shared" si="101"/>
        <v/>
      </c>
      <c r="AO106" s="140" t="str">
        <f t="shared" si="101"/>
        <v/>
      </c>
      <c r="AP106" s="140" t="str">
        <f t="shared" si="101"/>
        <v/>
      </c>
      <c r="AQ106" s="140" t="str">
        <f t="shared" si="101"/>
        <v/>
      </c>
      <c r="AR106" s="140" t="str">
        <f t="shared" si="101"/>
        <v/>
      </c>
      <c r="AS106" s="140" t="str">
        <f t="shared" si="101"/>
        <v/>
      </c>
      <c r="AT106" s="140" t="str">
        <f t="shared" si="101"/>
        <v/>
      </c>
      <c r="AU106" s="140" t="str">
        <f t="shared" si="101"/>
        <v/>
      </c>
      <c r="AV106" s="140" t="str">
        <f t="shared" si="101"/>
        <v/>
      </c>
      <c r="AW106" s="140" t="str">
        <f t="shared" si="101"/>
        <v/>
      </c>
      <c r="AX106" s="140" t="str">
        <f t="shared" si="101"/>
        <v/>
      </c>
      <c r="AY106" s="140" t="str">
        <f t="shared" si="101"/>
        <v/>
      </c>
      <c r="AZ106" s="140" t="str">
        <f t="shared" si="101"/>
        <v/>
      </c>
      <c r="BA106" s="140" t="str">
        <f t="shared" si="101"/>
        <v/>
      </c>
      <c r="BB106" s="140" t="str">
        <f t="shared" si="101"/>
        <v/>
      </c>
      <c r="BC106" s="140" t="str">
        <f t="shared" si="101"/>
        <v/>
      </c>
      <c r="BD106" s="140" t="str">
        <f t="shared" si="101"/>
        <v/>
      </c>
      <c r="BE106" s="140" t="str">
        <f t="shared" si="101"/>
        <v/>
      </c>
    </row>
    <row r="107" hidden="1">
      <c r="A107" s="108"/>
      <c r="B107" s="107"/>
      <c r="C107" s="107"/>
      <c r="D107" s="107"/>
      <c r="E107" s="107"/>
      <c r="F107" s="107"/>
      <c r="G107" s="208"/>
      <c r="H107" s="131"/>
      <c r="I107" s="211"/>
      <c r="J107" s="107"/>
      <c r="K107" s="202"/>
      <c r="L107" s="107"/>
      <c r="M107" s="204">
        <f t="shared" si="3"/>
        <v>0</v>
      </c>
      <c r="N107" s="206"/>
      <c r="O107" s="108" t="b">
        <f t="shared" si="94"/>
        <v>1</v>
      </c>
      <c r="P107" s="207">
        <f t="shared" si="5"/>
        <v>0</v>
      </c>
      <c r="Q107" s="140" t="str">
        <f t="shared" ref="Q107:BE107" si="102">iferror(if(Q$9=FALSE,, if(if(search(Q$11,$B107,1)&gt;0,1,0)=1,$H107/$P107,)),"")</f>
        <v/>
      </c>
      <c r="R107" s="140" t="str">
        <f t="shared" si="102"/>
        <v/>
      </c>
      <c r="S107" s="140" t="str">
        <f t="shared" si="102"/>
        <v/>
      </c>
      <c r="T107" s="140" t="str">
        <f t="shared" si="102"/>
        <v/>
      </c>
      <c r="U107" s="140" t="str">
        <f t="shared" si="102"/>
        <v/>
      </c>
      <c r="V107" s="140" t="str">
        <f t="shared" si="102"/>
        <v/>
      </c>
      <c r="W107" s="140" t="str">
        <f t="shared" si="102"/>
        <v/>
      </c>
      <c r="X107" s="140" t="str">
        <f t="shared" si="102"/>
        <v/>
      </c>
      <c r="Y107" s="140" t="str">
        <f t="shared" si="102"/>
        <v/>
      </c>
      <c r="Z107" s="140" t="str">
        <f t="shared" si="102"/>
        <v/>
      </c>
      <c r="AA107" s="140" t="str">
        <f t="shared" si="102"/>
        <v/>
      </c>
      <c r="AB107" s="140" t="str">
        <f t="shared" si="102"/>
        <v/>
      </c>
      <c r="AC107" s="140" t="str">
        <f t="shared" si="102"/>
        <v/>
      </c>
      <c r="AD107" s="140" t="str">
        <f t="shared" si="102"/>
        <v/>
      </c>
      <c r="AE107" s="140" t="str">
        <f t="shared" si="102"/>
        <v/>
      </c>
      <c r="AF107" s="140" t="str">
        <f t="shared" si="102"/>
        <v/>
      </c>
      <c r="AG107" s="140" t="str">
        <f t="shared" si="102"/>
        <v/>
      </c>
      <c r="AH107" s="140" t="str">
        <f t="shared" si="102"/>
        <v/>
      </c>
      <c r="AI107" s="140" t="str">
        <f t="shared" si="102"/>
        <v/>
      </c>
      <c r="AJ107" s="140" t="str">
        <f t="shared" si="102"/>
        <v/>
      </c>
      <c r="AK107" s="140" t="str">
        <f t="shared" si="102"/>
        <v/>
      </c>
      <c r="AL107" s="140" t="str">
        <f t="shared" si="102"/>
        <v/>
      </c>
      <c r="AM107" s="140" t="str">
        <f t="shared" si="102"/>
        <v/>
      </c>
      <c r="AN107" s="140" t="str">
        <f t="shared" si="102"/>
        <v/>
      </c>
      <c r="AO107" s="140" t="str">
        <f t="shared" si="102"/>
        <v/>
      </c>
      <c r="AP107" s="140" t="str">
        <f t="shared" si="102"/>
        <v/>
      </c>
      <c r="AQ107" s="140" t="str">
        <f t="shared" si="102"/>
        <v/>
      </c>
      <c r="AR107" s="140" t="str">
        <f t="shared" si="102"/>
        <v/>
      </c>
      <c r="AS107" s="140" t="str">
        <f t="shared" si="102"/>
        <v/>
      </c>
      <c r="AT107" s="140" t="str">
        <f t="shared" si="102"/>
        <v/>
      </c>
      <c r="AU107" s="140" t="str">
        <f t="shared" si="102"/>
        <v/>
      </c>
      <c r="AV107" s="140" t="str">
        <f t="shared" si="102"/>
        <v/>
      </c>
      <c r="AW107" s="140" t="str">
        <f t="shared" si="102"/>
        <v/>
      </c>
      <c r="AX107" s="140" t="str">
        <f t="shared" si="102"/>
        <v/>
      </c>
      <c r="AY107" s="140" t="str">
        <f t="shared" si="102"/>
        <v/>
      </c>
      <c r="AZ107" s="140" t="str">
        <f t="shared" si="102"/>
        <v/>
      </c>
      <c r="BA107" s="140" t="str">
        <f t="shared" si="102"/>
        <v/>
      </c>
      <c r="BB107" s="140" t="str">
        <f t="shared" si="102"/>
        <v/>
      </c>
      <c r="BC107" s="140" t="str">
        <f t="shared" si="102"/>
        <v/>
      </c>
      <c r="BD107" s="140" t="str">
        <f t="shared" si="102"/>
        <v/>
      </c>
      <c r="BE107" s="140" t="str">
        <f t="shared" si="102"/>
        <v/>
      </c>
    </row>
    <row r="108" hidden="1">
      <c r="A108" s="108"/>
      <c r="B108" s="107"/>
      <c r="C108" s="107"/>
      <c r="D108" s="107"/>
      <c r="E108" s="107"/>
      <c r="F108" s="107"/>
      <c r="G108" s="208"/>
      <c r="H108" s="131"/>
      <c r="I108" s="211"/>
      <c r="J108" s="107"/>
      <c r="K108" s="202"/>
      <c r="L108" s="107"/>
      <c r="M108" s="204">
        <f t="shared" si="3"/>
        <v>0</v>
      </c>
      <c r="N108" s="206"/>
      <c r="O108" s="108" t="b">
        <f t="shared" si="94"/>
        <v>1</v>
      </c>
      <c r="P108" s="207">
        <f t="shared" si="5"/>
        <v>0</v>
      </c>
      <c r="Q108" s="140" t="str">
        <f t="shared" ref="Q108:BE108" si="103">iferror(if(Q$9=FALSE,, if(if(search(Q$11,$B108,1)&gt;0,1,0)=1,$H108/$P108,)),"")</f>
        <v/>
      </c>
      <c r="R108" s="140" t="str">
        <f t="shared" si="103"/>
        <v/>
      </c>
      <c r="S108" s="140" t="str">
        <f t="shared" si="103"/>
        <v/>
      </c>
      <c r="T108" s="140" t="str">
        <f t="shared" si="103"/>
        <v/>
      </c>
      <c r="U108" s="140" t="str">
        <f t="shared" si="103"/>
        <v/>
      </c>
      <c r="V108" s="140" t="str">
        <f t="shared" si="103"/>
        <v/>
      </c>
      <c r="W108" s="140" t="str">
        <f t="shared" si="103"/>
        <v/>
      </c>
      <c r="X108" s="140" t="str">
        <f t="shared" si="103"/>
        <v/>
      </c>
      <c r="Y108" s="140" t="str">
        <f t="shared" si="103"/>
        <v/>
      </c>
      <c r="Z108" s="140" t="str">
        <f t="shared" si="103"/>
        <v/>
      </c>
      <c r="AA108" s="140" t="str">
        <f t="shared" si="103"/>
        <v/>
      </c>
      <c r="AB108" s="140" t="str">
        <f t="shared" si="103"/>
        <v/>
      </c>
      <c r="AC108" s="140" t="str">
        <f t="shared" si="103"/>
        <v/>
      </c>
      <c r="AD108" s="140" t="str">
        <f t="shared" si="103"/>
        <v/>
      </c>
      <c r="AE108" s="140" t="str">
        <f t="shared" si="103"/>
        <v/>
      </c>
      <c r="AF108" s="140" t="str">
        <f t="shared" si="103"/>
        <v/>
      </c>
      <c r="AG108" s="140" t="str">
        <f t="shared" si="103"/>
        <v/>
      </c>
      <c r="AH108" s="140" t="str">
        <f t="shared" si="103"/>
        <v/>
      </c>
      <c r="AI108" s="140" t="str">
        <f t="shared" si="103"/>
        <v/>
      </c>
      <c r="AJ108" s="140" t="str">
        <f t="shared" si="103"/>
        <v/>
      </c>
      <c r="AK108" s="140" t="str">
        <f t="shared" si="103"/>
        <v/>
      </c>
      <c r="AL108" s="140" t="str">
        <f t="shared" si="103"/>
        <v/>
      </c>
      <c r="AM108" s="140" t="str">
        <f t="shared" si="103"/>
        <v/>
      </c>
      <c r="AN108" s="140" t="str">
        <f t="shared" si="103"/>
        <v/>
      </c>
      <c r="AO108" s="140" t="str">
        <f t="shared" si="103"/>
        <v/>
      </c>
      <c r="AP108" s="140" t="str">
        <f t="shared" si="103"/>
        <v/>
      </c>
      <c r="AQ108" s="140" t="str">
        <f t="shared" si="103"/>
        <v/>
      </c>
      <c r="AR108" s="140" t="str">
        <f t="shared" si="103"/>
        <v/>
      </c>
      <c r="AS108" s="140" t="str">
        <f t="shared" si="103"/>
        <v/>
      </c>
      <c r="AT108" s="140" t="str">
        <f t="shared" si="103"/>
        <v/>
      </c>
      <c r="AU108" s="140" t="str">
        <f t="shared" si="103"/>
        <v/>
      </c>
      <c r="AV108" s="140" t="str">
        <f t="shared" si="103"/>
        <v/>
      </c>
      <c r="AW108" s="140" t="str">
        <f t="shared" si="103"/>
        <v/>
      </c>
      <c r="AX108" s="140" t="str">
        <f t="shared" si="103"/>
        <v/>
      </c>
      <c r="AY108" s="140" t="str">
        <f t="shared" si="103"/>
        <v/>
      </c>
      <c r="AZ108" s="140" t="str">
        <f t="shared" si="103"/>
        <v/>
      </c>
      <c r="BA108" s="140" t="str">
        <f t="shared" si="103"/>
        <v/>
      </c>
      <c r="BB108" s="140" t="str">
        <f t="shared" si="103"/>
        <v/>
      </c>
      <c r="BC108" s="140" t="str">
        <f t="shared" si="103"/>
        <v/>
      </c>
      <c r="BD108" s="140" t="str">
        <f t="shared" si="103"/>
        <v/>
      </c>
      <c r="BE108" s="140" t="str">
        <f t="shared" si="103"/>
        <v/>
      </c>
    </row>
    <row r="109" hidden="1">
      <c r="A109" s="108"/>
      <c r="B109" s="107"/>
      <c r="C109" s="107"/>
      <c r="D109" s="107"/>
      <c r="E109" s="107"/>
      <c r="F109" s="107"/>
      <c r="G109" s="208"/>
      <c r="H109" s="131"/>
      <c r="I109" s="211"/>
      <c r="J109" s="107"/>
      <c r="K109" s="202"/>
      <c r="L109" s="107"/>
      <c r="M109" s="204">
        <f t="shared" si="3"/>
        <v>0</v>
      </c>
      <c r="N109" s="206"/>
      <c r="O109" s="108" t="b">
        <f t="shared" si="94"/>
        <v>1</v>
      </c>
      <c r="P109" s="207">
        <f t="shared" si="5"/>
        <v>0</v>
      </c>
      <c r="Q109" s="140" t="str">
        <f t="shared" ref="Q109:BE109" si="104">iferror(if(Q$9=FALSE,, if(if(search(Q$11,$B109,1)&gt;0,1,0)=1,$H109/$P109,)),"")</f>
        <v/>
      </c>
      <c r="R109" s="140" t="str">
        <f t="shared" si="104"/>
        <v/>
      </c>
      <c r="S109" s="140" t="str">
        <f t="shared" si="104"/>
        <v/>
      </c>
      <c r="T109" s="140" t="str">
        <f t="shared" si="104"/>
        <v/>
      </c>
      <c r="U109" s="140" t="str">
        <f t="shared" si="104"/>
        <v/>
      </c>
      <c r="V109" s="140" t="str">
        <f t="shared" si="104"/>
        <v/>
      </c>
      <c r="W109" s="140" t="str">
        <f t="shared" si="104"/>
        <v/>
      </c>
      <c r="X109" s="140" t="str">
        <f t="shared" si="104"/>
        <v/>
      </c>
      <c r="Y109" s="140" t="str">
        <f t="shared" si="104"/>
        <v/>
      </c>
      <c r="Z109" s="140" t="str">
        <f t="shared" si="104"/>
        <v/>
      </c>
      <c r="AA109" s="140" t="str">
        <f t="shared" si="104"/>
        <v/>
      </c>
      <c r="AB109" s="140" t="str">
        <f t="shared" si="104"/>
        <v/>
      </c>
      <c r="AC109" s="140" t="str">
        <f t="shared" si="104"/>
        <v/>
      </c>
      <c r="AD109" s="140" t="str">
        <f t="shared" si="104"/>
        <v/>
      </c>
      <c r="AE109" s="140" t="str">
        <f t="shared" si="104"/>
        <v/>
      </c>
      <c r="AF109" s="140" t="str">
        <f t="shared" si="104"/>
        <v/>
      </c>
      <c r="AG109" s="140" t="str">
        <f t="shared" si="104"/>
        <v/>
      </c>
      <c r="AH109" s="140" t="str">
        <f t="shared" si="104"/>
        <v/>
      </c>
      <c r="AI109" s="140" t="str">
        <f t="shared" si="104"/>
        <v/>
      </c>
      <c r="AJ109" s="140" t="str">
        <f t="shared" si="104"/>
        <v/>
      </c>
      <c r="AK109" s="140" t="str">
        <f t="shared" si="104"/>
        <v/>
      </c>
      <c r="AL109" s="140" t="str">
        <f t="shared" si="104"/>
        <v/>
      </c>
      <c r="AM109" s="140" t="str">
        <f t="shared" si="104"/>
        <v/>
      </c>
      <c r="AN109" s="140" t="str">
        <f t="shared" si="104"/>
        <v/>
      </c>
      <c r="AO109" s="140" t="str">
        <f t="shared" si="104"/>
        <v/>
      </c>
      <c r="AP109" s="140" t="str">
        <f t="shared" si="104"/>
        <v/>
      </c>
      <c r="AQ109" s="140" t="str">
        <f t="shared" si="104"/>
        <v/>
      </c>
      <c r="AR109" s="140" t="str">
        <f t="shared" si="104"/>
        <v/>
      </c>
      <c r="AS109" s="140" t="str">
        <f t="shared" si="104"/>
        <v/>
      </c>
      <c r="AT109" s="140" t="str">
        <f t="shared" si="104"/>
        <v/>
      </c>
      <c r="AU109" s="140" t="str">
        <f t="shared" si="104"/>
        <v/>
      </c>
      <c r="AV109" s="140" t="str">
        <f t="shared" si="104"/>
        <v/>
      </c>
      <c r="AW109" s="140" t="str">
        <f t="shared" si="104"/>
        <v/>
      </c>
      <c r="AX109" s="140" t="str">
        <f t="shared" si="104"/>
        <v/>
      </c>
      <c r="AY109" s="140" t="str">
        <f t="shared" si="104"/>
        <v/>
      </c>
      <c r="AZ109" s="140" t="str">
        <f t="shared" si="104"/>
        <v/>
      </c>
      <c r="BA109" s="140" t="str">
        <f t="shared" si="104"/>
        <v/>
      </c>
      <c r="BB109" s="140" t="str">
        <f t="shared" si="104"/>
        <v/>
      </c>
      <c r="BC109" s="140" t="str">
        <f t="shared" si="104"/>
        <v/>
      </c>
      <c r="BD109" s="140" t="str">
        <f t="shared" si="104"/>
        <v/>
      </c>
      <c r="BE109" s="140" t="str">
        <f t="shared" si="104"/>
        <v/>
      </c>
    </row>
    <row r="110" hidden="1">
      <c r="A110" s="108"/>
      <c r="B110" s="107"/>
      <c r="C110" s="107"/>
      <c r="D110" s="107"/>
      <c r="E110" s="107"/>
      <c r="F110" s="107"/>
      <c r="G110" s="208"/>
      <c r="H110" s="131"/>
      <c r="I110" s="211"/>
      <c r="J110" s="107"/>
      <c r="K110" s="202"/>
      <c r="L110" s="107"/>
      <c r="M110" s="204">
        <f t="shared" si="3"/>
        <v>0</v>
      </c>
      <c r="N110" s="206"/>
      <c r="O110" s="108" t="b">
        <f t="shared" si="94"/>
        <v>1</v>
      </c>
      <c r="P110" s="207">
        <f t="shared" si="5"/>
        <v>0</v>
      </c>
      <c r="Q110" s="140" t="str">
        <f t="shared" ref="Q110:BE110" si="105">iferror(if(Q$9=FALSE,, if(if(search(Q$11,$B110,1)&gt;0,1,0)=1,$H110/$P110,)),"")</f>
        <v/>
      </c>
      <c r="R110" s="140" t="str">
        <f t="shared" si="105"/>
        <v/>
      </c>
      <c r="S110" s="140" t="str">
        <f t="shared" si="105"/>
        <v/>
      </c>
      <c r="T110" s="140" t="str">
        <f t="shared" si="105"/>
        <v/>
      </c>
      <c r="U110" s="140" t="str">
        <f t="shared" si="105"/>
        <v/>
      </c>
      <c r="V110" s="140" t="str">
        <f t="shared" si="105"/>
        <v/>
      </c>
      <c r="W110" s="140" t="str">
        <f t="shared" si="105"/>
        <v/>
      </c>
      <c r="X110" s="140" t="str">
        <f t="shared" si="105"/>
        <v/>
      </c>
      <c r="Y110" s="140" t="str">
        <f t="shared" si="105"/>
        <v/>
      </c>
      <c r="Z110" s="140" t="str">
        <f t="shared" si="105"/>
        <v/>
      </c>
      <c r="AA110" s="140" t="str">
        <f t="shared" si="105"/>
        <v/>
      </c>
      <c r="AB110" s="140" t="str">
        <f t="shared" si="105"/>
        <v/>
      </c>
      <c r="AC110" s="140" t="str">
        <f t="shared" si="105"/>
        <v/>
      </c>
      <c r="AD110" s="140" t="str">
        <f t="shared" si="105"/>
        <v/>
      </c>
      <c r="AE110" s="140" t="str">
        <f t="shared" si="105"/>
        <v/>
      </c>
      <c r="AF110" s="140" t="str">
        <f t="shared" si="105"/>
        <v/>
      </c>
      <c r="AG110" s="140" t="str">
        <f t="shared" si="105"/>
        <v/>
      </c>
      <c r="AH110" s="140" t="str">
        <f t="shared" si="105"/>
        <v/>
      </c>
      <c r="AI110" s="140" t="str">
        <f t="shared" si="105"/>
        <v/>
      </c>
      <c r="AJ110" s="140" t="str">
        <f t="shared" si="105"/>
        <v/>
      </c>
      <c r="AK110" s="140" t="str">
        <f t="shared" si="105"/>
        <v/>
      </c>
      <c r="AL110" s="140" t="str">
        <f t="shared" si="105"/>
        <v/>
      </c>
      <c r="AM110" s="140" t="str">
        <f t="shared" si="105"/>
        <v/>
      </c>
      <c r="AN110" s="140" t="str">
        <f t="shared" si="105"/>
        <v/>
      </c>
      <c r="AO110" s="140" t="str">
        <f t="shared" si="105"/>
        <v/>
      </c>
      <c r="AP110" s="140" t="str">
        <f t="shared" si="105"/>
        <v/>
      </c>
      <c r="AQ110" s="140" t="str">
        <f t="shared" si="105"/>
        <v/>
      </c>
      <c r="AR110" s="140" t="str">
        <f t="shared" si="105"/>
        <v/>
      </c>
      <c r="AS110" s="140" t="str">
        <f t="shared" si="105"/>
        <v/>
      </c>
      <c r="AT110" s="140" t="str">
        <f t="shared" si="105"/>
        <v/>
      </c>
      <c r="AU110" s="140" t="str">
        <f t="shared" si="105"/>
        <v/>
      </c>
      <c r="AV110" s="140" t="str">
        <f t="shared" si="105"/>
        <v/>
      </c>
      <c r="AW110" s="140" t="str">
        <f t="shared" si="105"/>
        <v/>
      </c>
      <c r="AX110" s="140" t="str">
        <f t="shared" si="105"/>
        <v/>
      </c>
      <c r="AY110" s="140" t="str">
        <f t="shared" si="105"/>
        <v/>
      </c>
      <c r="AZ110" s="140" t="str">
        <f t="shared" si="105"/>
        <v/>
      </c>
      <c r="BA110" s="140" t="str">
        <f t="shared" si="105"/>
        <v/>
      </c>
      <c r="BB110" s="140" t="str">
        <f t="shared" si="105"/>
        <v/>
      </c>
      <c r="BC110" s="140" t="str">
        <f t="shared" si="105"/>
        <v/>
      </c>
      <c r="BD110" s="140" t="str">
        <f t="shared" si="105"/>
        <v/>
      </c>
      <c r="BE110" s="140" t="str">
        <f t="shared" si="105"/>
        <v/>
      </c>
    </row>
    <row r="111" hidden="1">
      <c r="A111" s="108"/>
      <c r="B111" s="107"/>
      <c r="C111" s="107"/>
      <c r="D111" s="107"/>
      <c r="E111" s="107"/>
      <c r="F111" s="107"/>
      <c r="G111" s="208"/>
      <c r="H111" s="131"/>
      <c r="I111" s="211"/>
      <c r="J111" s="107"/>
      <c r="K111" s="202"/>
      <c r="L111" s="107"/>
      <c r="M111" s="204">
        <f t="shared" si="3"/>
        <v>0</v>
      </c>
      <c r="N111" s="206"/>
      <c r="O111" s="108" t="b">
        <f t="shared" si="94"/>
        <v>1</v>
      </c>
      <c r="P111" s="207">
        <f t="shared" si="5"/>
        <v>0</v>
      </c>
      <c r="Q111" s="140" t="str">
        <f t="shared" ref="Q111:BE111" si="106">iferror(if(Q$9=FALSE,, if(if(search(Q$11,$B111,1)&gt;0,1,0)=1,$H111/$P111,)),"")</f>
        <v/>
      </c>
      <c r="R111" s="140" t="str">
        <f t="shared" si="106"/>
        <v/>
      </c>
      <c r="S111" s="140" t="str">
        <f t="shared" si="106"/>
        <v/>
      </c>
      <c r="T111" s="140" t="str">
        <f t="shared" si="106"/>
        <v/>
      </c>
      <c r="U111" s="140" t="str">
        <f t="shared" si="106"/>
        <v/>
      </c>
      <c r="V111" s="140" t="str">
        <f t="shared" si="106"/>
        <v/>
      </c>
      <c r="W111" s="140" t="str">
        <f t="shared" si="106"/>
        <v/>
      </c>
      <c r="X111" s="140" t="str">
        <f t="shared" si="106"/>
        <v/>
      </c>
      <c r="Y111" s="140" t="str">
        <f t="shared" si="106"/>
        <v/>
      </c>
      <c r="Z111" s="140" t="str">
        <f t="shared" si="106"/>
        <v/>
      </c>
      <c r="AA111" s="140" t="str">
        <f t="shared" si="106"/>
        <v/>
      </c>
      <c r="AB111" s="140" t="str">
        <f t="shared" si="106"/>
        <v/>
      </c>
      <c r="AC111" s="140" t="str">
        <f t="shared" si="106"/>
        <v/>
      </c>
      <c r="AD111" s="140" t="str">
        <f t="shared" si="106"/>
        <v/>
      </c>
      <c r="AE111" s="140" t="str">
        <f t="shared" si="106"/>
        <v/>
      </c>
      <c r="AF111" s="140" t="str">
        <f t="shared" si="106"/>
        <v/>
      </c>
      <c r="AG111" s="140" t="str">
        <f t="shared" si="106"/>
        <v/>
      </c>
      <c r="AH111" s="140" t="str">
        <f t="shared" si="106"/>
        <v/>
      </c>
      <c r="AI111" s="140" t="str">
        <f t="shared" si="106"/>
        <v/>
      </c>
      <c r="AJ111" s="140" t="str">
        <f t="shared" si="106"/>
        <v/>
      </c>
      <c r="AK111" s="140" t="str">
        <f t="shared" si="106"/>
        <v/>
      </c>
      <c r="AL111" s="140" t="str">
        <f t="shared" si="106"/>
        <v/>
      </c>
      <c r="AM111" s="140" t="str">
        <f t="shared" si="106"/>
        <v/>
      </c>
      <c r="AN111" s="140" t="str">
        <f t="shared" si="106"/>
        <v/>
      </c>
      <c r="AO111" s="140" t="str">
        <f t="shared" si="106"/>
        <v/>
      </c>
      <c r="AP111" s="140" t="str">
        <f t="shared" si="106"/>
        <v/>
      </c>
      <c r="AQ111" s="140" t="str">
        <f t="shared" si="106"/>
        <v/>
      </c>
      <c r="AR111" s="140" t="str">
        <f t="shared" si="106"/>
        <v/>
      </c>
      <c r="AS111" s="140" t="str">
        <f t="shared" si="106"/>
        <v/>
      </c>
      <c r="AT111" s="140" t="str">
        <f t="shared" si="106"/>
        <v/>
      </c>
      <c r="AU111" s="140" t="str">
        <f t="shared" si="106"/>
        <v/>
      </c>
      <c r="AV111" s="140" t="str">
        <f t="shared" si="106"/>
        <v/>
      </c>
      <c r="AW111" s="140" t="str">
        <f t="shared" si="106"/>
        <v/>
      </c>
      <c r="AX111" s="140" t="str">
        <f t="shared" si="106"/>
        <v/>
      </c>
      <c r="AY111" s="140" t="str">
        <f t="shared" si="106"/>
        <v/>
      </c>
      <c r="AZ111" s="140" t="str">
        <f t="shared" si="106"/>
        <v/>
      </c>
      <c r="BA111" s="140" t="str">
        <f t="shared" si="106"/>
        <v/>
      </c>
      <c r="BB111" s="140" t="str">
        <f t="shared" si="106"/>
        <v/>
      </c>
      <c r="BC111" s="140" t="str">
        <f t="shared" si="106"/>
        <v/>
      </c>
      <c r="BD111" s="140" t="str">
        <f t="shared" si="106"/>
        <v/>
      </c>
      <c r="BE111" s="140" t="str">
        <f t="shared" si="106"/>
        <v/>
      </c>
    </row>
    <row r="112" hidden="1">
      <c r="A112" s="108"/>
      <c r="B112" s="107"/>
      <c r="C112" s="107"/>
      <c r="D112" s="107"/>
      <c r="E112" s="107"/>
      <c r="F112" s="107"/>
      <c r="G112" s="208"/>
      <c r="H112" s="131"/>
      <c r="I112" s="211"/>
      <c r="J112" s="107"/>
      <c r="K112" s="202"/>
      <c r="L112" s="107"/>
      <c r="M112" s="204">
        <f t="shared" si="3"/>
        <v>0</v>
      </c>
      <c r="N112" s="206"/>
      <c r="O112" s="108" t="b">
        <f t="shared" si="94"/>
        <v>1</v>
      </c>
      <c r="P112" s="207">
        <f t="shared" si="5"/>
        <v>0</v>
      </c>
      <c r="Q112" s="140" t="str">
        <f t="shared" ref="Q112:BE112" si="107">iferror(if(Q$9=FALSE,, if(if(search(Q$11,$B112,1)&gt;0,1,0)=1,$H112/$P112,)),"")</f>
        <v/>
      </c>
      <c r="R112" s="140" t="str">
        <f t="shared" si="107"/>
        <v/>
      </c>
      <c r="S112" s="140" t="str">
        <f t="shared" si="107"/>
        <v/>
      </c>
      <c r="T112" s="140" t="str">
        <f t="shared" si="107"/>
        <v/>
      </c>
      <c r="U112" s="140" t="str">
        <f t="shared" si="107"/>
        <v/>
      </c>
      <c r="V112" s="140" t="str">
        <f t="shared" si="107"/>
        <v/>
      </c>
      <c r="W112" s="140" t="str">
        <f t="shared" si="107"/>
        <v/>
      </c>
      <c r="X112" s="140" t="str">
        <f t="shared" si="107"/>
        <v/>
      </c>
      <c r="Y112" s="140" t="str">
        <f t="shared" si="107"/>
        <v/>
      </c>
      <c r="Z112" s="140" t="str">
        <f t="shared" si="107"/>
        <v/>
      </c>
      <c r="AA112" s="140" t="str">
        <f t="shared" si="107"/>
        <v/>
      </c>
      <c r="AB112" s="140" t="str">
        <f t="shared" si="107"/>
        <v/>
      </c>
      <c r="AC112" s="140" t="str">
        <f t="shared" si="107"/>
        <v/>
      </c>
      <c r="AD112" s="140" t="str">
        <f t="shared" si="107"/>
        <v/>
      </c>
      <c r="AE112" s="140" t="str">
        <f t="shared" si="107"/>
        <v/>
      </c>
      <c r="AF112" s="140" t="str">
        <f t="shared" si="107"/>
        <v/>
      </c>
      <c r="AG112" s="140" t="str">
        <f t="shared" si="107"/>
        <v/>
      </c>
      <c r="AH112" s="140" t="str">
        <f t="shared" si="107"/>
        <v/>
      </c>
      <c r="AI112" s="140" t="str">
        <f t="shared" si="107"/>
        <v/>
      </c>
      <c r="AJ112" s="140" t="str">
        <f t="shared" si="107"/>
        <v/>
      </c>
      <c r="AK112" s="140" t="str">
        <f t="shared" si="107"/>
        <v/>
      </c>
      <c r="AL112" s="140" t="str">
        <f t="shared" si="107"/>
        <v/>
      </c>
      <c r="AM112" s="140" t="str">
        <f t="shared" si="107"/>
        <v/>
      </c>
      <c r="AN112" s="140" t="str">
        <f t="shared" si="107"/>
        <v/>
      </c>
      <c r="AO112" s="140" t="str">
        <f t="shared" si="107"/>
        <v/>
      </c>
      <c r="AP112" s="140" t="str">
        <f t="shared" si="107"/>
        <v/>
      </c>
      <c r="AQ112" s="140" t="str">
        <f t="shared" si="107"/>
        <v/>
      </c>
      <c r="AR112" s="140" t="str">
        <f t="shared" si="107"/>
        <v/>
      </c>
      <c r="AS112" s="140" t="str">
        <f t="shared" si="107"/>
        <v/>
      </c>
      <c r="AT112" s="140" t="str">
        <f t="shared" si="107"/>
        <v/>
      </c>
      <c r="AU112" s="140" t="str">
        <f t="shared" si="107"/>
        <v/>
      </c>
      <c r="AV112" s="140" t="str">
        <f t="shared" si="107"/>
        <v/>
      </c>
      <c r="AW112" s="140" t="str">
        <f t="shared" si="107"/>
        <v/>
      </c>
      <c r="AX112" s="140" t="str">
        <f t="shared" si="107"/>
        <v/>
      </c>
      <c r="AY112" s="140" t="str">
        <f t="shared" si="107"/>
        <v/>
      </c>
      <c r="AZ112" s="140" t="str">
        <f t="shared" si="107"/>
        <v/>
      </c>
      <c r="BA112" s="140" t="str">
        <f t="shared" si="107"/>
        <v/>
      </c>
      <c r="BB112" s="140" t="str">
        <f t="shared" si="107"/>
        <v/>
      </c>
      <c r="BC112" s="140" t="str">
        <f t="shared" si="107"/>
        <v/>
      </c>
      <c r="BD112" s="140" t="str">
        <f t="shared" si="107"/>
        <v/>
      </c>
      <c r="BE112" s="140" t="str">
        <f t="shared" si="107"/>
        <v/>
      </c>
    </row>
    <row r="113" hidden="1">
      <c r="A113" s="108"/>
      <c r="B113" s="107"/>
      <c r="C113" s="107"/>
      <c r="D113" s="107"/>
      <c r="E113" s="107"/>
      <c r="F113" s="107"/>
      <c r="G113" s="208"/>
      <c r="H113" s="131"/>
      <c r="I113" s="211"/>
      <c r="J113" s="107"/>
      <c r="K113" s="202"/>
      <c r="L113" s="107"/>
      <c r="M113" s="204">
        <f t="shared" si="3"/>
        <v>0</v>
      </c>
      <c r="N113" s="206"/>
      <c r="O113" s="108" t="b">
        <f t="shared" si="94"/>
        <v>1</v>
      </c>
      <c r="P113" s="207">
        <f t="shared" si="5"/>
        <v>0</v>
      </c>
      <c r="Q113" s="140" t="str">
        <f t="shared" ref="Q113:BE113" si="108">iferror(if(Q$9=FALSE,, if(if(search(Q$11,$B113,1)&gt;0,1,0)=1,$H113/$P113,)),"")</f>
        <v/>
      </c>
      <c r="R113" s="140" t="str">
        <f t="shared" si="108"/>
        <v/>
      </c>
      <c r="S113" s="140" t="str">
        <f t="shared" si="108"/>
        <v/>
      </c>
      <c r="T113" s="140" t="str">
        <f t="shared" si="108"/>
        <v/>
      </c>
      <c r="U113" s="140" t="str">
        <f t="shared" si="108"/>
        <v/>
      </c>
      <c r="V113" s="140" t="str">
        <f t="shared" si="108"/>
        <v/>
      </c>
      <c r="W113" s="140" t="str">
        <f t="shared" si="108"/>
        <v/>
      </c>
      <c r="X113" s="140" t="str">
        <f t="shared" si="108"/>
        <v/>
      </c>
      <c r="Y113" s="140" t="str">
        <f t="shared" si="108"/>
        <v/>
      </c>
      <c r="Z113" s="140" t="str">
        <f t="shared" si="108"/>
        <v/>
      </c>
      <c r="AA113" s="140" t="str">
        <f t="shared" si="108"/>
        <v/>
      </c>
      <c r="AB113" s="140" t="str">
        <f t="shared" si="108"/>
        <v/>
      </c>
      <c r="AC113" s="140" t="str">
        <f t="shared" si="108"/>
        <v/>
      </c>
      <c r="AD113" s="140" t="str">
        <f t="shared" si="108"/>
        <v/>
      </c>
      <c r="AE113" s="140" t="str">
        <f t="shared" si="108"/>
        <v/>
      </c>
      <c r="AF113" s="140" t="str">
        <f t="shared" si="108"/>
        <v/>
      </c>
      <c r="AG113" s="140" t="str">
        <f t="shared" si="108"/>
        <v/>
      </c>
      <c r="AH113" s="140" t="str">
        <f t="shared" si="108"/>
        <v/>
      </c>
      <c r="AI113" s="140" t="str">
        <f t="shared" si="108"/>
        <v/>
      </c>
      <c r="AJ113" s="140" t="str">
        <f t="shared" si="108"/>
        <v/>
      </c>
      <c r="AK113" s="140" t="str">
        <f t="shared" si="108"/>
        <v/>
      </c>
      <c r="AL113" s="140" t="str">
        <f t="shared" si="108"/>
        <v/>
      </c>
      <c r="AM113" s="140" t="str">
        <f t="shared" si="108"/>
        <v/>
      </c>
      <c r="AN113" s="140" t="str">
        <f t="shared" si="108"/>
        <v/>
      </c>
      <c r="AO113" s="140" t="str">
        <f t="shared" si="108"/>
        <v/>
      </c>
      <c r="AP113" s="140" t="str">
        <f t="shared" si="108"/>
        <v/>
      </c>
      <c r="AQ113" s="140" t="str">
        <f t="shared" si="108"/>
        <v/>
      </c>
      <c r="AR113" s="140" t="str">
        <f t="shared" si="108"/>
        <v/>
      </c>
      <c r="AS113" s="140" t="str">
        <f t="shared" si="108"/>
        <v/>
      </c>
      <c r="AT113" s="140" t="str">
        <f t="shared" si="108"/>
        <v/>
      </c>
      <c r="AU113" s="140" t="str">
        <f t="shared" si="108"/>
        <v/>
      </c>
      <c r="AV113" s="140" t="str">
        <f t="shared" si="108"/>
        <v/>
      </c>
      <c r="AW113" s="140" t="str">
        <f t="shared" si="108"/>
        <v/>
      </c>
      <c r="AX113" s="140" t="str">
        <f t="shared" si="108"/>
        <v/>
      </c>
      <c r="AY113" s="140" t="str">
        <f t="shared" si="108"/>
        <v/>
      </c>
      <c r="AZ113" s="140" t="str">
        <f t="shared" si="108"/>
        <v/>
      </c>
      <c r="BA113" s="140" t="str">
        <f t="shared" si="108"/>
        <v/>
      </c>
      <c r="BB113" s="140" t="str">
        <f t="shared" si="108"/>
        <v/>
      </c>
      <c r="BC113" s="140" t="str">
        <f t="shared" si="108"/>
        <v/>
      </c>
      <c r="BD113" s="140" t="str">
        <f t="shared" si="108"/>
        <v/>
      </c>
      <c r="BE113" s="140" t="str">
        <f t="shared" si="108"/>
        <v/>
      </c>
    </row>
    <row r="114" hidden="1">
      <c r="A114" s="108"/>
      <c r="B114" s="107"/>
      <c r="C114" s="107"/>
      <c r="D114" s="107"/>
      <c r="E114" s="107"/>
      <c r="F114" s="107"/>
      <c r="G114" s="208"/>
      <c r="H114" s="131"/>
      <c r="I114" s="211"/>
      <c r="J114" s="107"/>
      <c r="K114" s="202"/>
      <c r="L114" s="107"/>
      <c r="M114" s="204">
        <f t="shared" si="3"/>
        <v>0</v>
      </c>
      <c r="N114" s="206"/>
      <c r="O114" s="108" t="b">
        <f t="shared" si="94"/>
        <v>1</v>
      </c>
      <c r="P114" s="207">
        <f t="shared" si="5"/>
        <v>0</v>
      </c>
      <c r="Q114" s="140" t="str">
        <f t="shared" ref="Q114:BE114" si="109">iferror(if(Q$9=FALSE,, if(if(search(Q$11,$B114,1)&gt;0,1,0)=1,$H114/$P114,)),"")</f>
        <v/>
      </c>
      <c r="R114" s="140" t="str">
        <f t="shared" si="109"/>
        <v/>
      </c>
      <c r="S114" s="140" t="str">
        <f t="shared" si="109"/>
        <v/>
      </c>
      <c r="T114" s="140" t="str">
        <f t="shared" si="109"/>
        <v/>
      </c>
      <c r="U114" s="140" t="str">
        <f t="shared" si="109"/>
        <v/>
      </c>
      <c r="V114" s="140" t="str">
        <f t="shared" si="109"/>
        <v/>
      </c>
      <c r="W114" s="140" t="str">
        <f t="shared" si="109"/>
        <v/>
      </c>
      <c r="X114" s="140" t="str">
        <f t="shared" si="109"/>
        <v/>
      </c>
      <c r="Y114" s="140" t="str">
        <f t="shared" si="109"/>
        <v/>
      </c>
      <c r="Z114" s="140" t="str">
        <f t="shared" si="109"/>
        <v/>
      </c>
      <c r="AA114" s="140" t="str">
        <f t="shared" si="109"/>
        <v/>
      </c>
      <c r="AB114" s="140" t="str">
        <f t="shared" si="109"/>
        <v/>
      </c>
      <c r="AC114" s="140" t="str">
        <f t="shared" si="109"/>
        <v/>
      </c>
      <c r="AD114" s="140" t="str">
        <f t="shared" si="109"/>
        <v/>
      </c>
      <c r="AE114" s="140" t="str">
        <f t="shared" si="109"/>
        <v/>
      </c>
      <c r="AF114" s="140" t="str">
        <f t="shared" si="109"/>
        <v/>
      </c>
      <c r="AG114" s="140" t="str">
        <f t="shared" si="109"/>
        <v/>
      </c>
      <c r="AH114" s="140" t="str">
        <f t="shared" si="109"/>
        <v/>
      </c>
      <c r="AI114" s="140" t="str">
        <f t="shared" si="109"/>
        <v/>
      </c>
      <c r="AJ114" s="140" t="str">
        <f t="shared" si="109"/>
        <v/>
      </c>
      <c r="AK114" s="140" t="str">
        <f t="shared" si="109"/>
        <v/>
      </c>
      <c r="AL114" s="140" t="str">
        <f t="shared" si="109"/>
        <v/>
      </c>
      <c r="AM114" s="140" t="str">
        <f t="shared" si="109"/>
        <v/>
      </c>
      <c r="AN114" s="140" t="str">
        <f t="shared" si="109"/>
        <v/>
      </c>
      <c r="AO114" s="140" t="str">
        <f t="shared" si="109"/>
        <v/>
      </c>
      <c r="AP114" s="140" t="str">
        <f t="shared" si="109"/>
        <v/>
      </c>
      <c r="AQ114" s="140" t="str">
        <f t="shared" si="109"/>
        <v/>
      </c>
      <c r="AR114" s="140" t="str">
        <f t="shared" si="109"/>
        <v/>
      </c>
      <c r="AS114" s="140" t="str">
        <f t="shared" si="109"/>
        <v/>
      </c>
      <c r="AT114" s="140" t="str">
        <f t="shared" si="109"/>
        <v/>
      </c>
      <c r="AU114" s="140" t="str">
        <f t="shared" si="109"/>
        <v/>
      </c>
      <c r="AV114" s="140" t="str">
        <f t="shared" si="109"/>
        <v/>
      </c>
      <c r="AW114" s="140" t="str">
        <f t="shared" si="109"/>
        <v/>
      </c>
      <c r="AX114" s="140" t="str">
        <f t="shared" si="109"/>
        <v/>
      </c>
      <c r="AY114" s="140" t="str">
        <f t="shared" si="109"/>
        <v/>
      </c>
      <c r="AZ114" s="140" t="str">
        <f t="shared" si="109"/>
        <v/>
      </c>
      <c r="BA114" s="140" t="str">
        <f t="shared" si="109"/>
        <v/>
      </c>
      <c r="BB114" s="140" t="str">
        <f t="shared" si="109"/>
        <v/>
      </c>
      <c r="BC114" s="140" t="str">
        <f t="shared" si="109"/>
        <v/>
      </c>
      <c r="BD114" s="140" t="str">
        <f t="shared" si="109"/>
        <v/>
      </c>
      <c r="BE114" s="140" t="str">
        <f t="shared" si="109"/>
        <v/>
      </c>
    </row>
    <row r="115" hidden="1">
      <c r="A115" s="108"/>
      <c r="B115" s="107"/>
      <c r="C115" s="107"/>
      <c r="D115" s="107"/>
      <c r="E115" s="107"/>
      <c r="F115" s="107"/>
      <c r="G115" s="208"/>
      <c r="H115" s="131"/>
      <c r="I115" s="211"/>
      <c r="J115" s="107"/>
      <c r="K115" s="202"/>
      <c r="L115" s="107"/>
      <c r="M115" s="204">
        <f t="shared" si="3"/>
        <v>0</v>
      </c>
      <c r="N115" s="206"/>
      <c r="O115" s="108" t="b">
        <f t="shared" si="94"/>
        <v>1</v>
      </c>
      <c r="P115" s="207">
        <f t="shared" si="5"/>
        <v>0</v>
      </c>
      <c r="Q115" s="140" t="str">
        <f t="shared" ref="Q115:BE115" si="110">iferror(if(Q$9=FALSE,, if(if(search(Q$11,$B115,1)&gt;0,1,0)=1,$H115/$P115,)),"")</f>
        <v/>
      </c>
      <c r="R115" s="140" t="str">
        <f t="shared" si="110"/>
        <v/>
      </c>
      <c r="S115" s="140" t="str">
        <f t="shared" si="110"/>
        <v/>
      </c>
      <c r="T115" s="140" t="str">
        <f t="shared" si="110"/>
        <v/>
      </c>
      <c r="U115" s="140" t="str">
        <f t="shared" si="110"/>
        <v/>
      </c>
      <c r="V115" s="140" t="str">
        <f t="shared" si="110"/>
        <v/>
      </c>
      <c r="W115" s="140" t="str">
        <f t="shared" si="110"/>
        <v/>
      </c>
      <c r="X115" s="140" t="str">
        <f t="shared" si="110"/>
        <v/>
      </c>
      <c r="Y115" s="140" t="str">
        <f t="shared" si="110"/>
        <v/>
      </c>
      <c r="Z115" s="140" t="str">
        <f t="shared" si="110"/>
        <v/>
      </c>
      <c r="AA115" s="140" t="str">
        <f t="shared" si="110"/>
        <v/>
      </c>
      <c r="AB115" s="140" t="str">
        <f t="shared" si="110"/>
        <v/>
      </c>
      <c r="AC115" s="140" t="str">
        <f t="shared" si="110"/>
        <v/>
      </c>
      <c r="AD115" s="140" t="str">
        <f t="shared" si="110"/>
        <v/>
      </c>
      <c r="AE115" s="140" t="str">
        <f t="shared" si="110"/>
        <v/>
      </c>
      <c r="AF115" s="140" t="str">
        <f t="shared" si="110"/>
        <v/>
      </c>
      <c r="AG115" s="140" t="str">
        <f t="shared" si="110"/>
        <v/>
      </c>
      <c r="AH115" s="140" t="str">
        <f t="shared" si="110"/>
        <v/>
      </c>
      <c r="AI115" s="140" t="str">
        <f t="shared" si="110"/>
        <v/>
      </c>
      <c r="AJ115" s="140" t="str">
        <f t="shared" si="110"/>
        <v/>
      </c>
      <c r="AK115" s="140" t="str">
        <f t="shared" si="110"/>
        <v/>
      </c>
      <c r="AL115" s="140" t="str">
        <f t="shared" si="110"/>
        <v/>
      </c>
      <c r="AM115" s="140" t="str">
        <f t="shared" si="110"/>
        <v/>
      </c>
      <c r="AN115" s="140" t="str">
        <f t="shared" si="110"/>
        <v/>
      </c>
      <c r="AO115" s="140" t="str">
        <f t="shared" si="110"/>
        <v/>
      </c>
      <c r="AP115" s="140" t="str">
        <f t="shared" si="110"/>
        <v/>
      </c>
      <c r="AQ115" s="140" t="str">
        <f t="shared" si="110"/>
        <v/>
      </c>
      <c r="AR115" s="140" t="str">
        <f t="shared" si="110"/>
        <v/>
      </c>
      <c r="AS115" s="140" t="str">
        <f t="shared" si="110"/>
        <v/>
      </c>
      <c r="AT115" s="140" t="str">
        <f t="shared" si="110"/>
        <v/>
      </c>
      <c r="AU115" s="140" t="str">
        <f t="shared" si="110"/>
        <v/>
      </c>
      <c r="AV115" s="140" t="str">
        <f t="shared" si="110"/>
        <v/>
      </c>
      <c r="AW115" s="140" t="str">
        <f t="shared" si="110"/>
        <v/>
      </c>
      <c r="AX115" s="140" t="str">
        <f t="shared" si="110"/>
        <v/>
      </c>
      <c r="AY115" s="140" t="str">
        <f t="shared" si="110"/>
        <v/>
      </c>
      <c r="AZ115" s="140" t="str">
        <f t="shared" si="110"/>
        <v/>
      </c>
      <c r="BA115" s="140" t="str">
        <f t="shared" si="110"/>
        <v/>
      </c>
      <c r="BB115" s="140" t="str">
        <f t="shared" si="110"/>
        <v/>
      </c>
      <c r="BC115" s="140" t="str">
        <f t="shared" si="110"/>
        <v/>
      </c>
      <c r="BD115" s="140" t="str">
        <f t="shared" si="110"/>
        <v/>
      </c>
      <c r="BE115" s="140" t="str">
        <f t="shared" si="110"/>
        <v/>
      </c>
    </row>
    <row r="116" hidden="1">
      <c r="A116" s="108"/>
      <c r="B116" s="107"/>
      <c r="C116" s="107"/>
      <c r="D116" s="107"/>
      <c r="E116" s="107"/>
      <c r="F116" s="107"/>
      <c r="G116" s="208"/>
      <c r="H116" s="131"/>
      <c r="I116" s="211"/>
      <c r="J116" s="107"/>
      <c r="K116" s="202"/>
      <c r="L116" s="107"/>
      <c r="M116" s="204">
        <f t="shared" si="3"/>
        <v>0</v>
      </c>
      <c r="N116" s="206"/>
      <c r="O116" s="108" t="b">
        <f t="shared" si="94"/>
        <v>1</v>
      </c>
      <c r="P116" s="207">
        <f t="shared" si="5"/>
        <v>0</v>
      </c>
      <c r="Q116" s="140" t="str">
        <f t="shared" ref="Q116:BE116" si="111">iferror(if(Q$9=FALSE,, if(if(search(Q$11,$B116,1)&gt;0,1,0)=1,$H116/$P116,)),"")</f>
        <v/>
      </c>
      <c r="R116" s="140" t="str">
        <f t="shared" si="111"/>
        <v/>
      </c>
      <c r="S116" s="140" t="str">
        <f t="shared" si="111"/>
        <v/>
      </c>
      <c r="T116" s="140" t="str">
        <f t="shared" si="111"/>
        <v/>
      </c>
      <c r="U116" s="140" t="str">
        <f t="shared" si="111"/>
        <v/>
      </c>
      <c r="V116" s="140" t="str">
        <f t="shared" si="111"/>
        <v/>
      </c>
      <c r="W116" s="140" t="str">
        <f t="shared" si="111"/>
        <v/>
      </c>
      <c r="X116" s="140" t="str">
        <f t="shared" si="111"/>
        <v/>
      </c>
      <c r="Y116" s="140" t="str">
        <f t="shared" si="111"/>
        <v/>
      </c>
      <c r="Z116" s="140" t="str">
        <f t="shared" si="111"/>
        <v/>
      </c>
      <c r="AA116" s="140" t="str">
        <f t="shared" si="111"/>
        <v/>
      </c>
      <c r="AB116" s="140" t="str">
        <f t="shared" si="111"/>
        <v/>
      </c>
      <c r="AC116" s="140" t="str">
        <f t="shared" si="111"/>
        <v/>
      </c>
      <c r="AD116" s="140" t="str">
        <f t="shared" si="111"/>
        <v/>
      </c>
      <c r="AE116" s="140" t="str">
        <f t="shared" si="111"/>
        <v/>
      </c>
      <c r="AF116" s="140" t="str">
        <f t="shared" si="111"/>
        <v/>
      </c>
      <c r="AG116" s="140" t="str">
        <f t="shared" si="111"/>
        <v/>
      </c>
      <c r="AH116" s="140" t="str">
        <f t="shared" si="111"/>
        <v/>
      </c>
      <c r="AI116" s="140" t="str">
        <f t="shared" si="111"/>
        <v/>
      </c>
      <c r="AJ116" s="140" t="str">
        <f t="shared" si="111"/>
        <v/>
      </c>
      <c r="AK116" s="140" t="str">
        <f t="shared" si="111"/>
        <v/>
      </c>
      <c r="AL116" s="140" t="str">
        <f t="shared" si="111"/>
        <v/>
      </c>
      <c r="AM116" s="140" t="str">
        <f t="shared" si="111"/>
        <v/>
      </c>
      <c r="AN116" s="140" t="str">
        <f t="shared" si="111"/>
        <v/>
      </c>
      <c r="AO116" s="140" t="str">
        <f t="shared" si="111"/>
        <v/>
      </c>
      <c r="AP116" s="140" t="str">
        <f t="shared" si="111"/>
        <v/>
      </c>
      <c r="AQ116" s="140" t="str">
        <f t="shared" si="111"/>
        <v/>
      </c>
      <c r="AR116" s="140" t="str">
        <f t="shared" si="111"/>
        <v/>
      </c>
      <c r="AS116" s="140" t="str">
        <f t="shared" si="111"/>
        <v/>
      </c>
      <c r="AT116" s="140" t="str">
        <f t="shared" si="111"/>
        <v/>
      </c>
      <c r="AU116" s="140" t="str">
        <f t="shared" si="111"/>
        <v/>
      </c>
      <c r="AV116" s="140" t="str">
        <f t="shared" si="111"/>
        <v/>
      </c>
      <c r="AW116" s="140" t="str">
        <f t="shared" si="111"/>
        <v/>
      </c>
      <c r="AX116" s="140" t="str">
        <f t="shared" si="111"/>
        <v/>
      </c>
      <c r="AY116" s="140" t="str">
        <f t="shared" si="111"/>
        <v/>
      </c>
      <c r="AZ116" s="140" t="str">
        <f t="shared" si="111"/>
        <v/>
      </c>
      <c r="BA116" s="140" t="str">
        <f t="shared" si="111"/>
        <v/>
      </c>
      <c r="BB116" s="140" t="str">
        <f t="shared" si="111"/>
        <v/>
      </c>
      <c r="BC116" s="140" t="str">
        <f t="shared" si="111"/>
        <v/>
      </c>
      <c r="BD116" s="140" t="str">
        <f t="shared" si="111"/>
        <v/>
      </c>
      <c r="BE116" s="140" t="str">
        <f t="shared" si="111"/>
        <v/>
      </c>
    </row>
    <row r="117" hidden="1">
      <c r="A117" s="108"/>
      <c r="B117" s="107"/>
      <c r="C117" s="107"/>
      <c r="D117" s="107"/>
      <c r="E117" s="107"/>
      <c r="F117" s="107"/>
      <c r="G117" s="208"/>
      <c r="H117" s="131"/>
      <c r="I117" s="211"/>
      <c r="J117" s="107"/>
      <c r="K117" s="202"/>
      <c r="L117" s="107"/>
      <c r="M117" s="204">
        <f t="shared" si="3"/>
        <v>0</v>
      </c>
      <c r="N117" s="206"/>
      <c r="O117" s="108" t="b">
        <f t="shared" si="94"/>
        <v>1</v>
      </c>
      <c r="P117" s="207">
        <f t="shared" si="5"/>
        <v>0</v>
      </c>
      <c r="Q117" s="140" t="str">
        <f t="shared" ref="Q117:BE117" si="112">iferror(if(Q$9=FALSE,, if(if(search(Q$11,$B117,1)&gt;0,1,0)=1,$H117/$P117,)),"")</f>
        <v/>
      </c>
      <c r="R117" s="140" t="str">
        <f t="shared" si="112"/>
        <v/>
      </c>
      <c r="S117" s="140" t="str">
        <f t="shared" si="112"/>
        <v/>
      </c>
      <c r="T117" s="140" t="str">
        <f t="shared" si="112"/>
        <v/>
      </c>
      <c r="U117" s="140" t="str">
        <f t="shared" si="112"/>
        <v/>
      </c>
      <c r="V117" s="140" t="str">
        <f t="shared" si="112"/>
        <v/>
      </c>
      <c r="W117" s="140" t="str">
        <f t="shared" si="112"/>
        <v/>
      </c>
      <c r="X117" s="140" t="str">
        <f t="shared" si="112"/>
        <v/>
      </c>
      <c r="Y117" s="140" t="str">
        <f t="shared" si="112"/>
        <v/>
      </c>
      <c r="Z117" s="140" t="str">
        <f t="shared" si="112"/>
        <v/>
      </c>
      <c r="AA117" s="140" t="str">
        <f t="shared" si="112"/>
        <v/>
      </c>
      <c r="AB117" s="140" t="str">
        <f t="shared" si="112"/>
        <v/>
      </c>
      <c r="AC117" s="140" t="str">
        <f t="shared" si="112"/>
        <v/>
      </c>
      <c r="AD117" s="140" t="str">
        <f t="shared" si="112"/>
        <v/>
      </c>
      <c r="AE117" s="140" t="str">
        <f t="shared" si="112"/>
        <v/>
      </c>
      <c r="AF117" s="140" t="str">
        <f t="shared" si="112"/>
        <v/>
      </c>
      <c r="AG117" s="140" t="str">
        <f t="shared" si="112"/>
        <v/>
      </c>
      <c r="AH117" s="140" t="str">
        <f t="shared" si="112"/>
        <v/>
      </c>
      <c r="AI117" s="140" t="str">
        <f t="shared" si="112"/>
        <v/>
      </c>
      <c r="AJ117" s="140" t="str">
        <f t="shared" si="112"/>
        <v/>
      </c>
      <c r="AK117" s="140" t="str">
        <f t="shared" si="112"/>
        <v/>
      </c>
      <c r="AL117" s="140" t="str">
        <f t="shared" si="112"/>
        <v/>
      </c>
      <c r="AM117" s="140" t="str">
        <f t="shared" si="112"/>
        <v/>
      </c>
      <c r="AN117" s="140" t="str">
        <f t="shared" si="112"/>
        <v/>
      </c>
      <c r="AO117" s="140" t="str">
        <f t="shared" si="112"/>
        <v/>
      </c>
      <c r="AP117" s="140" t="str">
        <f t="shared" si="112"/>
        <v/>
      </c>
      <c r="AQ117" s="140" t="str">
        <f t="shared" si="112"/>
        <v/>
      </c>
      <c r="AR117" s="140" t="str">
        <f t="shared" si="112"/>
        <v/>
      </c>
      <c r="AS117" s="140" t="str">
        <f t="shared" si="112"/>
        <v/>
      </c>
      <c r="AT117" s="140" t="str">
        <f t="shared" si="112"/>
        <v/>
      </c>
      <c r="AU117" s="140" t="str">
        <f t="shared" si="112"/>
        <v/>
      </c>
      <c r="AV117" s="140" t="str">
        <f t="shared" si="112"/>
        <v/>
      </c>
      <c r="AW117" s="140" t="str">
        <f t="shared" si="112"/>
        <v/>
      </c>
      <c r="AX117" s="140" t="str">
        <f t="shared" si="112"/>
        <v/>
      </c>
      <c r="AY117" s="140" t="str">
        <f t="shared" si="112"/>
        <v/>
      </c>
      <c r="AZ117" s="140" t="str">
        <f t="shared" si="112"/>
        <v/>
      </c>
      <c r="BA117" s="140" t="str">
        <f t="shared" si="112"/>
        <v/>
      </c>
      <c r="BB117" s="140" t="str">
        <f t="shared" si="112"/>
        <v/>
      </c>
      <c r="BC117" s="140" t="str">
        <f t="shared" si="112"/>
        <v/>
      </c>
      <c r="BD117" s="140" t="str">
        <f t="shared" si="112"/>
        <v/>
      </c>
      <c r="BE117" s="140" t="str">
        <f t="shared" si="112"/>
        <v/>
      </c>
    </row>
    <row r="118" hidden="1">
      <c r="A118" s="108"/>
      <c r="B118" s="107"/>
      <c r="C118" s="107"/>
      <c r="D118" s="107"/>
      <c r="E118" s="107"/>
      <c r="F118" s="107"/>
      <c r="G118" s="208"/>
      <c r="H118" s="131"/>
      <c r="I118" s="211"/>
      <c r="J118" s="107"/>
      <c r="K118" s="202"/>
      <c r="L118" s="107"/>
      <c r="M118" s="204">
        <f t="shared" si="3"/>
        <v>0</v>
      </c>
      <c r="N118" s="206"/>
      <c r="O118" s="108" t="b">
        <f t="shared" si="94"/>
        <v>1</v>
      </c>
      <c r="P118" s="207">
        <f t="shared" si="5"/>
        <v>0</v>
      </c>
      <c r="Q118" s="140" t="str">
        <f t="shared" ref="Q118:BE118" si="113">iferror(if(Q$9=FALSE,, if(if(search(Q$11,$B118,1)&gt;0,1,0)=1,$H118/$P118,)),"")</f>
        <v/>
      </c>
      <c r="R118" s="140" t="str">
        <f t="shared" si="113"/>
        <v/>
      </c>
      <c r="S118" s="140" t="str">
        <f t="shared" si="113"/>
        <v/>
      </c>
      <c r="T118" s="140" t="str">
        <f t="shared" si="113"/>
        <v/>
      </c>
      <c r="U118" s="140" t="str">
        <f t="shared" si="113"/>
        <v/>
      </c>
      <c r="V118" s="140" t="str">
        <f t="shared" si="113"/>
        <v/>
      </c>
      <c r="W118" s="140" t="str">
        <f t="shared" si="113"/>
        <v/>
      </c>
      <c r="X118" s="140" t="str">
        <f t="shared" si="113"/>
        <v/>
      </c>
      <c r="Y118" s="140" t="str">
        <f t="shared" si="113"/>
        <v/>
      </c>
      <c r="Z118" s="140" t="str">
        <f t="shared" si="113"/>
        <v/>
      </c>
      <c r="AA118" s="140" t="str">
        <f t="shared" si="113"/>
        <v/>
      </c>
      <c r="AB118" s="140" t="str">
        <f t="shared" si="113"/>
        <v/>
      </c>
      <c r="AC118" s="140" t="str">
        <f t="shared" si="113"/>
        <v/>
      </c>
      <c r="AD118" s="140" t="str">
        <f t="shared" si="113"/>
        <v/>
      </c>
      <c r="AE118" s="140" t="str">
        <f t="shared" si="113"/>
        <v/>
      </c>
      <c r="AF118" s="140" t="str">
        <f t="shared" si="113"/>
        <v/>
      </c>
      <c r="AG118" s="140" t="str">
        <f t="shared" si="113"/>
        <v/>
      </c>
      <c r="AH118" s="140" t="str">
        <f t="shared" si="113"/>
        <v/>
      </c>
      <c r="AI118" s="140" t="str">
        <f t="shared" si="113"/>
        <v/>
      </c>
      <c r="AJ118" s="140" t="str">
        <f t="shared" si="113"/>
        <v/>
      </c>
      <c r="AK118" s="140" t="str">
        <f t="shared" si="113"/>
        <v/>
      </c>
      <c r="AL118" s="140" t="str">
        <f t="shared" si="113"/>
        <v/>
      </c>
      <c r="AM118" s="140" t="str">
        <f t="shared" si="113"/>
        <v/>
      </c>
      <c r="AN118" s="140" t="str">
        <f t="shared" si="113"/>
        <v/>
      </c>
      <c r="AO118" s="140" t="str">
        <f t="shared" si="113"/>
        <v/>
      </c>
      <c r="AP118" s="140" t="str">
        <f t="shared" si="113"/>
        <v/>
      </c>
      <c r="AQ118" s="140" t="str">
        <f t="shared" si="113"/>
        <v/>
      </c>
      <c r="AR118" s="140" t="str">
        <f t="shared" si="113"/>
        <v/>
      </c>
      <c r="AS118" s="140" t="str">
        <f t="shared" si="113"/>
        <v/>
      </c>
      <c r="AT118" s="140" t="str">
        <f t="shared" si="113"/>
        <v/>
      </c>
      <c r="AU118" s="140" t="str">
        <f t="shared" si="113"/>
        <v/>
      </c>
      <c r="AV118" s="140" t="str">
        <f t="shared" si="113"/>
        <v/>
      </c>
      <c r="AW118" s="140" t="str">
        <f t="shared" si="113"/>
        <v/>
      </c>
      <c r="AX118" s="140" t="str">
        <f t="shared" si="113"/>
        <v/>
      </c>
      <c r="AY118" s="140" t="str">
        <f t="shared" si="113"/>
        <v/>
      </c>
      <c r="AZ118" s="140" t="str">
        <f t="shared" si="113"/>
        <v/>
      </c>
      <c r="BA118" s="140" t="str">
        <f t="shared" si="113"/>
        <v/>
      </c>
      <c r="BB118" s="140" t="str">
        <f t="shared" si="113"/>
        <v/>
      </c>
      <c r="BC118" s="140" t="str">
        <f t="shared" si="113"/>
        <v/>
      </c>
      <c r="BD118" s="140" t="str">
        <f t="shared" si="113"/>
        <v/>
      </c>
      <c r="BE118" s="140" t="str">
        <f t="shared" si="113"/>
        <v/>
      </c>
    </row>
    <row r="119" hidden="1">
      <c r="A119" s="108"/>
      <c r="B119" s="107"/>
      <c r="C119" s="107"/>
      <c r="D119" s="107"/>
      <c r="E119" s="107"/>
      <c r="F119" s="107"/>
      <c r="G119" s="208"/>
      <c r="H119" s="131"/>
      <c r="I119" s="211"/>
      <c r="J119" s="107"/>
      <c r="K119" s="202"/>
      <c r="L119" s="107"/>
      <c r="M119" s="204">
        <f t="shared" si="3"/>
        <v>0</v>
      </c>
      <c r="N119" s="206"/>
      <c r="O119" s="108" t="b">
        <f t="shared" si="94"/>
        <v>1</v>
      </c>
      <c r="P119" s="207">
        <f t="shared" si="5"/>
        <v>0</v>
      </c>
      <c r="Q119" s="140" t="str">
        <f t="shared" ref="Q119:BE119" si="114">iferror(if(Q$9=FALSE,, if(if(search(Q$11,$B119,1)&gt;0,1,0)=1,$H119/$P119,)),"")</f>
        <v/>
      </c>
      <c r="R119" s="140" t="str">
        <f t="shared" si="114"/>
        <v/>
      </c>
      <c r="S119" s="140" t="str">
        <f t="shared" si="114"/>
        <v/>
      </c>
      <c r="T119" s="140" t="str">
        <f t="shared" si="114"/>
        <v/>
      </c>
      <c r="U119" s="140" t="str">
        <f t="shared" si="114"/>
        <v/>
      </c>
      <c r="V119" s="140" t="str">
        <f t="shared" si="114"/>
        <v/>
      </c>
      <c r="W119" s="140" t="str">
        <f t="shared" si="114"/>
        <v/>
      </c>
      <c r="X119" s="140" t="str">
        <f t="shared" si="114"/>
        <v/>
      </c>
      <c r="Y119" s="140" t="str">
        <f t="shared" si="114"/>
        <v/>
      </c>
      <c r="Z119" s="140" t="str">
        <f t="shared" si="114"/>
        <v/>
      </c>
      <c r="AA119" s="140" t="str">
        <f t="shared" si="114"/>
        <v/>
      </c>
      <c r="AB119" s="140" t="str">
        <f t="shared" si="114"/>
        <v/>
      </c>
      <c r="AC119" s="140" t="str">
        <f t="shared" si="114"/>
        <v/>
      </c>
      <c r="AD119" s="140" t="str">
        <f t="shared" si="114"/>
        <v/>
      </c>
      <c r="AE119" s="140" t="str">
        <f t="shared" si="114"/>
        <v/>
      </c>
      <c r="AF119" s="140" t="str">
        <f t="shared" si="114"/>
        <v/>
      </c>
      <c r="AG119" s="140" t="str">
        <f t="shared" si="114"/>
        <v/>
      </c>
      <c r="AH119" s="140" t="str">
        <f t="shared" si="114"/>
        <v/>
      </c>
      <c r="AI119" s="140" t="str">
        <f t="shared" si="114"/>
        <v/>
      </c>
      <c r="AJ119" s="140" t="str">
        <f t="shared" si="114"/>
        <v/>
      </c>
      <c r="AK119" s="140" t="str">
        <f t="shared" si="114"/>
        <v/>
      </c>
      <c r="AL119" s="140" t="str">
        <f t="shared" si="114"/>
        <v/>
      </c>
      <c r="AM119" s="140" t="str">
        <f t="shared" si="114"/>
        <v/>
      </c>
      <c r="AN119" s="140" t="str">
        <f t="shared" si="114"/>
        <v/>
      </c>
      <c r="AO119" s="140" t="str">
        <f t="shared" si="114"/>
        <v/>
      </c>
      <c r="AP119" s="140" t="str">
        <f t="shared" si="114"/>
        <v/>
      </c>
      <c r="AQ119" s="140" t="str">
        <f t="shared" si="114"/>
        <v/>
      </c>
      <c r="AR119" s="140" t="str">
        <f t="shared" si="114"/>
        <v/>
      </c>
      <c r="AS119" s="140" t="str">
        <f t="shared" si="114"/>
        <v/>
      </c>
      <c r="AT119" s="140" t="str">
        <f t="shared" si="114"/>
        <v/>
      </c>
      <c r="AU119" s="140" t="str">
        <f t="shared" si="114"/>
        <v/>
      </c>
      <c r="AV119" s="140" t="str">
        <f t="shared" si="114"/>
        <v/>
      </c>
      <c r="AW119" s="140" t="str">
        <f t="shared" si="114"/>
        <v/>
      </c>
      <c r="AX119" s="140" t="str">
        <f t="shared" si="114"/>
        <v/>
      </c>
      <c r="AY119" s="140" t="str">
        <f t="shared" si="114"/>
        <v/>
      </c>
      <c r="AZ119" s="140" t="str">
        <f t="shared" si="114"/>
        <v/>
      </c>
      <c r="BA119" s="140" t="str">
        <f t="shared" si="114"/>
        <v/>
      </c>
      <c r="BB119" s="140" t="str">
        <f t="shared" si="114"/>
        <v/>
      </c>
      <c r="BC119" s="140" t="str">
        <f t="shared" si="114"/>
        <v/>
      </c>
      <c r="BD119" s="140" t="str">
        <f t="shared" si="114"/>
        <v/>
      </c>
      <c r="BE119" s="140" t="str">
        <f t="shared" si="114"/>
        <v/>
      </c>
    </row>
    <row r="120" hidden="1">
      <c r="A120" s="108"/>
      <c r="B120" s="107"/>
      <c r="C120" s="107"/>
      <c r="D120" s="107"/>
      <c r="E120" s="107"/>
      <c r="F120" s="107"/>
      <c r="G120" s="208"/>
      <c r="H120" s="131"/>
      <c r="I120" s="211"/>
      <c r="J120" s="107"/>
      <c r="K120" s="202"/>
      <c r="L120" s="107"/>
      <c r="M120" s="204">
        <f t="shared" si="3"/>
        <v>0</v>
      </c>
      <c r="N120" s="206"/>
      <c r="O120" s="108" t="b">
        <f t="shared" si="94"/>
        <v>1</v>
      </c>
      <c r="P120" s="207">
        <f t="shared" si="5"/>
        <v>0</v>
      </c>
      <c r="Q120" s="140" t="str">
        <f t="shared" ref="Q120:BE120" si="115">iferror(if(Q$9=FALSE,, if(if(search(Q$11,$B120,1)&gt;0,1,0)=1,$H120/$P120,)),"")</f>
        <v/>
      </c>
      <c r="R120" s="140" t="str">
        <f t="shared" si="115"/>
        <v/>
      </c>
      <c r="S120" s="140" t="str">
        <f t="shared" si="115"/>
        <v/>
      </c>
      <c r="T120" s="140" t="str">
        <f t="shared" si="115"/>
        <v/>
      </c>
      <c r="U120" s="140" t="str">
        <f t="shared" si="115"/>
        <v/>
      </c>
      <c r="V120" s="140" t="str">
        <f t="shared" si="115"/>
        <v/>
      </c>
      <c r="W120" s="140" t="str">
        <f t="shared" si="115"/>
        <v/>
      </c>
      <c r="X120" s="140" t="str">
        <f t="shared" si="115"/>
        <v/>
      </c>
      <c r="Y120" s="140" t="str">
        <f t="shared" si="115"/>
        <v/>
      </c>
      <c r="Z120" s="140" t="str">
        <f t="shared" si="115"/>
        <v/>
      </c>
      <c r="AA120" s="140" t="str">
        <f t="shared" si="115"/>
        <v/>
      </c>
      <c r="AB120" s="140" t="str">
        <f t="shared" si="115"/>
        <v/>
      </c>
      <c r="AC120" s="140" t="str">
        <f t="shared" si="115"/>
        <v/>
      </c>
      <c r="AD120" s="140" t="str">
        <f t="shared" si="115"/>
        <v/>
      </c>
      <c r="AE120" s="140" t="str">
        <f t="shared" si="115"/>
        <v/>
      </c>
      <c r="AF120" s="140" t="str">
        <f t="shared" si="115"/>
        <v/>
      </c>
      <c r="AG120" s="140" t="str">
        <f t="shared" si="115"/>
        <v/>
      </c>
      <c r="AH120" s="140" t="str">
        <f t="shared" si="115"/>
        <v/>
      </c>
      <c r="AI120" s="140" t="str">
        <f t="shared" si="115"/>
        <v/>
      </c>
      <c r="AJ120" s="140" t="str">
        <f t="shared" si="115"/>
        <v/>
      </c>
      <c r="AK120" s="140" t="str">
        <f t="shared" si="115"/>
        <v/>
      </c>
      <c r="AL120" s="140" t="str">
        <f t="shared" si="115"/>
        <v/>
      </c>
      <c r="AM120" s="140" t="str">
        <f t="shared" si="115"/>
        <v/>
      </c>
      <c r="AN120" s="140" t="str">
        <f t="shared" si="115"/>
        <v/>
      </c>
      <c r="AO120" s="140" t="str">
        <f t="shared" si="115"/>
        <v/>
      </c>
      <c r="AP120" s="140" t="str">
        <f t="shared" si="115"/>
        <v/>
      </c>
      <c r="AQ120" s="140" t="str">
        <f t="shared" si="115"/>
        <v/>
      </c>
      <c r="AR120" s="140" t="str">
        <f t="shared" si="115"/>
        <v/>
      </c>
      <c r="AS120" s="140" t="str">
        <f t="shared" si="115"/>
        <v/>
      </c>
      <c r="AT120" s="140" t="str">
        <f t="shared" si="115"/>
        <v/>
      </c>
      <c r="AU120" s="140" t="str">
        <f t="shared" si="115"/>
        <v/>
      </c>
      <c r="AV120" s="140" t="str">
        <f t="shared" si="115"/>
        <v/>
      </c>
      <c r="AW120" s="140" t="str">
        <f t="shared" si="115"/>
        <v/>
      </c>
      <c r="AX120" s="140" t="str">
        <f t="shared" si="115"/>
        <v/>
      </c>
      <c r="AY120" s="140" t="str">
        <f t="shared" si="115"/>
        <v/>
      </c>
      <c r="AZ120" s="140" t="str">
        <f t="shared" si="115"/>
        <v/>
      </c>
      <c r="BA120" s="140" t="str">
        <f t="shared" si="115"/>
        <v/>
      </c>
      <c r="BB120" s="140" t="str">
        <f t="shared" si="115"/>
        <v/>
      </c>
      <c r="BC120" s="140" t="str">
        <f t="shared" si="115"/>
        <v/>
      </c>
      <c r="BD120" s="140" t="str">
        <f t="shared" si="115"/>
        <v/>
      </c>
      <c r="BE120" s="140" t="str">
        <f t="shared" si="115"/>
        <v/>
      </c>
    </row>
    <row r="121" hidden="1">
      <c r="A121" s="108"/>
      <c r="B121" s="107"/>
      <c r="C121" s="107"/>
      <c r="D121" s="107"/>
      <c r="E121" s="107"/>
      <c r="F121" s="107"/>
      <c r="G121" s="208"/>
      <c r="H121" s="131"/>
      <c r="I121" s="211"/>
      <c r="J121" s="107"/>
      <c r="K121" s="202"/>
      <c r="L121" s="107"/>
      <c r="M121" s="204">
        <f t="shared" si="3"/>
        <v>0</v>
      </c>
      <c r="N121" s="206"/>
      <c r="O121" s="108" t="b">
        <f t="shared" si="94"/>
        <v>1</v>
      </c>
      <c r="P121" s="207">
        <f t="shared" si="5"/>
        <v>0</v>
      </c>
      <c r="Q121" s="140" t="str">
        <f t="shared" ref="Q121:BE121" si="116">iferror(if(Q$9=FALSE,, if(if(search(Q$11,$B121,1)&gt;0,1,0)=1,$H121/$P121,)),"")</f>
        <v/>
      </c>
      <c r="R121" s="140" t="str">
        <f t="shared" si="116"/>
        <v/>
      </c>
      <c r="S121" s="140" t="str">
        <f t="shared" si="116"/>
        <v/>
      </c>
      <c r="T121" s="140" t="str">
        <f t="shared" si="116"/>
        <v/>
      </c>
      <c r="U121" s="140" t="str">
        <f t="shared" si="116"/>
        <v/>
      </c>
      <c r="V121" s="140" t="str">
        <f t="shared" si="116"/>
        <v/>
      </c>
      <c r="W121" s="140" t="str">
        <f t="shared" si="116"/>
        <v/>
      </c>
      <c r="X121" s="140" t="str">
        <f t="shared" si="116"/>
        <v/>
      </c>
      <c r="Y121" s="140" t="str">
        <f t="shared" si="116"/>
        <v/>
      </c>
      <c r="Z121" s="140" t="str">
        <f t="shared" si="116"/>
        <v/>
      </c>
      <c r="AA121" s="140" t="str">
        <f t="shared" si="116"/>
        <v/>
      </c>
      <c r="AB121" s="140" t="str">
        <f t="shared" si="116"/>
        <v/>
      </c>
      <c r="AC121" s="140" t="str">
        <f t="shared" si="116"/>
        <v/>
      </c>
      <c r="AD121" s="140" t="str">
        <f t="shared" si="116"/>
        <v/>
      </c>
      <c r="AE121" s="140" t="str">
        <f t="shared" si="116"/>
        <v/>
      </c>
      <c r="AF121" s="140" t="str">
        <f t="shared" si="116"/>
        <v/>
      </c>
      <c r="AG121" s="140" t="str">
        <f t="shared" si="116"/>
        <v/>
      </c>
      <c r="AH121" s="140" t="str">
        <f t="shared" si="116"/>
        <v/>
      </c>
      <c r="AI121" s="140" t="str">
        <f t="shared" si="116"/>
        <v/>
      </c>
      <c r="AJ121" s="140" t="str">
        <f t="shared" si="116"/>
        <v/>
      </c>
      <c r="AK121" s="140" t="str">
        <f t="shared" si="116"/>
        <v/>
      </c>
      <c r="AL121" s="140" t="str">
        <f t="shared" si="116"/>
        <v/>
      </c>
      <c r="AM121" s="140" t="str">
        <f t="shared" si="116"/>
        <v/>
      </c>
      <c r="AN121" s="140" t="str">
        <f t="shared" si="116"/>
        <v/>
      </c>
      <c r="AO121" s="140" t="str">
        <f t="shared" si="116"/>
        <v/>
      </c>
      <c r="AP121" s="140" t="str">
        <f t="shared" si="116"/>
        <v/>
      </c>
      <c r="AQ121" s="140" t="str">
        <f t="shared" si="116"/>
        <v/>
      </c>
      <c r="AR121" s="140" t="str">
        <f t="shared" si="116"/>
        <v/>
      </c>
      <c r="AS121" s="140" t="str">
        <f t="shared" si="116"/>
        <v/>
      </c>
      <c r="AT121" s="140" t="str">
        <f t="shared" si="116"/>
        <v/>
      </c>
      <c r="AU121" s="140" t="str">
        <f t="shared" si="116"/>
        <v/>
      </c>
      <c r="AV121" s="140" t="str">
        <f t="shared" si="116"/>
        <v/>
      </c>
      <c r="AW121" s="140" t="str">
        <f t="shared" si="116"/>
        <v/>
      </c>
      <c r="AX121" s="140" t="str">
        <f t="shared" si="116"/>
        <v/>
      </c>
      <c r="AY121" s="140" t="str">
        <f t="shared" si="116"/>
        <v/>
      </c>
      <c r="AZ121" s="140" t="str">
        <f t="shared" si="116"/>
        <v/>
      </c>
      <c r="BA121" s="140" t="str">
        <f t="shared" si="116"/>
        <v/>
      </c>
      <c r="BB121" s="140" t="str">
        <f t="shared" si="116"/>
        <v/>
      </c>
      <c r="BC121" s="140" t="str">
        <f t="shared" si="116"/>
        <v/>
      </c>
      <c r="BD121" s="140" t="str">
        <f t="shared" si="116"/>
        <v/>
      </c>
      <c r="BE121" s="140" t="str">
        <f t="shared" si="116"/>
        <v/>
      </c>
    </row>
    <row r="122" hidden="1">
      <c r="A122" s="108"/>
      <c r="B122" s="107"/>
      <c r="C122" s="107"/>
      <c r="D122" s="107"/>
      <c r="E122" s="107"/>
      <c r="F122" s="107"/>
      <c r="G122" s="208"/>
      <c r="H122" s="131"/>
      <c r="I122" s="211"/>
      <c r="J122" s="107"/>
      <c r="K122" s="202"/>
      <c r="L122" s="107"/>
      <c r="M122" s="204">
        <f t="shared" si="3"/>
        <v>0</v>
      </c>
      <c r="N122" s="206"/>
      <c r="O122" s="108" t="b">
        <f t="shared" si="94"/>
        <v>1</v>
      </c>
      <c r="P122" s="207">
        <f t="shared" si="5"/>
        <v>0</v>
      </c>
      <c r="Q122" s="140" t="str">
        <f t="shared" ref="Q122:BE122" si="117">iferror(if(Q$9=FALSE,, if(if(search(Q$11,$B122,1)&gt;0,1,0)=1,$H122/$P122,)),"")</f>
        <v/>
      </c>
      <c r="R122" s="140" t="str">
        <f t="shared" si="117"/>
        <v/>
      </c>
      <c r="S122" s="140" t="str">
        <f t="shared" si="117"/>
        <v/>
      </c>
      <c r="T122" s="140" t="str">
        <f t="shared" si="117"/>
        <v/>
      </c>
      <c r="U122" s="140" t="str">
        <f t="shared" si="117"/>
        <v/>
      </c>
      <c r="V122" s="140" t="str">
        <f t="shared" si="117"/>
        <v/>
      </c>
      <c r="W122" s="140" t="str">
        <f t="shared" si="117"/>
        <v/>
      </c>
      <c r="X122" s="140" t="str">
        <f t="shared" si="117"/>
        <v/>
      </c>
      <c r="Y122" s="140" t="str">
        <f t="shared" si="117"/>
        <v/>
      </c>
      <c r="Z122" s="140" t="str">
        <f t="shared" si="117"/>
        <v/>
      </c>
      <c r="AA122" s="140" t="str">
        <f t="shared" si="117"/>
        <v/>
      </c>
      <c r="AB122" s="140" t="str">
        <f t="shared" si="117"/>
        <v/>
      </c>
      <c r="AC122" s="140" t="str">
        <f t="shared" si="117"/>
        <v/>
      </c>
      <c r="AD122" s="140" t="str">
        <f t="shared" si="117"/>
        <v/>
      </c>
      <c r="AE122" s="140" t="str">
        <f t="shared" si="117"/>
        <v/>
      </c>
      <c r="AF122" s="140" t="str">
        <f t="shared" si="117"/>
        <v/>
      </c>
      <c r="AG122" s="140" t="str">
        <f t="shared" si="117"/>
        <v/>
      </c>
      <c r="AH122" s="140" t="str">
        <f t="shared" si="117"/>
        <v/>
      </c>
      <c r="AI122" s="140" t="str">
        <f t="shared" si="117"/>
        <v/>
      </c>
      <c r="AJ122" s="140" t="str">
        <f t="shared" si="117"/>
        <v/>
      </c>
      <c r="AK122" s="140" t="str">
        <f t="shared" si="117"/>
        <v/>
      </c>
      <c r="AL122" s="140" t="str">
        <f t="shared" si="117"/>
        <v/>
      </c>
      <c r="AM122" s="140" t="str">
        <f t="shared" si="117"/>
        <v/>
      </c>
      <c r="AN122" s="140" t="str">
        <f t="shared" si="117"/>
        <v/>
      </c>
      <c r="AO122" s="140" t="str">
        <f t="shared" si="117"/>
        <v/>
      </c>
      <c r="AP122" s="140" t="str">
        <f t="shared" si="117"/>
        <v/>
      </c>
      <c r="AQ122" s="140" t="str">
        <f t="shared" si="117"/>
        <v/>
      </c>
      <c r="AR122" s="140" t="str">
        <f t="shared" si="117"/>
        <v/>
      </c>
      <c r="AS122" s="140" t="str">
        <f t="shared" si="117"/>
        <v/>
      </c>
      <c r="AT122" s="140" t="str">
        <f t="shared" si="117"/>
        <v/>
      </c>
      <c r="AU122" s="140" t="str">
        <f t="shared" si="117"/>
        <v/>
      </c>
      <c r="AV122" s="140" t="str">
        <f t="shared" si="117"/>
        <v/>
      </c>
      <c r="AW122" s="140" t="str">
        <f t="shared" si="117"/>
        <v/>
      </c>
      <c r="AX122" s="140" t="str">
        <f t="shared" si="117"/>
        <v/>
      </c>
      <c r="AY122" s="140" t="str">
        <f t="shared" si="117"/>
        <v/>
      </c>
      <c r="AZ122" s="140" t="str">
        <f t="shared" si="117"/>
        <v/>
      </c>
      <c r="BA122" s="140" t="str">
        <f t="shared" si="117"/>
        <v/>
      </c>
      <c r="BB122" s="140" t="str">
        <f t="shared" si="117"/>
        <v/>
      </c>
      <c r="BC122" s="140" t="str">
        <f t="shared" si="117"/>
        <v/>
      </c>
      <c r="BD122" s="140" t="str">
        <f t="shared" si="117"/>
        <v/>
      </c>
      <c r="BE122" s="140" t="str">
        <f t="shared" si="117"/>
        <v/>
      </c>
    </row>
    <row r="123" hidden="1">
      <c r="A123" s="108"/>
      <c r="B123" s="107"/>
      <c r="C123" s="107"/>
      <c r="D123" s="107"/>
      <c r="E123" s="107"/>
      <c r="F123" s="107"/>
      <c r="G123" s="208"/>
      <c r="H123" s="131"/>
      <c r="I123" s="211"/>
      <c r="J123" s="107"/>
      <c r="K123" s="202"/>
      <c r="L123" s="107"/>
      <c r="M123" s="204">
        <f t="shared" si="3"/>
        <v>0</v>
      </c>
      <c r="N123" s="206"/>
      <c r="O123" s="108" t="b">
        <f t="shared" si="94"/>
        <v>1</v>
      </c>
      <c r="P123" s="207">
        <f t="shared" si="5"/>
        <v>0</v>
      </c>
      <c r="Q123" s="140" t="str">
        <f t="shared" ref="Q123:BE123" si="118">iferror(if(Q$9=FALSE,, if(if(search(Q$11,$B123,1)&gt;0,1,0)=1,$H123/$P123,)),"")</f>
        <v/>
      </c>
      <c r="R123" s="140" t="str">
        <f t="shared" si="118"/>
        <v/>
      </c>
      <c r="S123" s="140" t="str">
        <f t="shared" si="118"/>
        <v/>
      </c>
      <c r="T123" s="140" t="str">
        <f t="shared" si="118"/>
        <v/>
      </c>
      <c r="U123" s="140" t="str">
        <f t="shared" si="118"/>
        <v/>
      </c>
      <c r="V123" s="140" t="str">
        <f t="shared" si="118"/>
        <v/>
      </c>
      <c r="W123" s="140" t="str">
        <f t="shared" si="118"/>
        <v/>
      </c>
      <c r="X123" s="140" t="str">
        <f t="shared" si="118"/>
        <v/>
      </c>
      <c r="Y123" s="140" t="str">
        <f t="shared" si="118"/>
        <v/>
      </c>
      <c r="Z123" s="140" t="str">
        <f t="shared" si="118"/>
        <v/>
      </c>
      <c r="AA123" s="140" t="str">
        <f t="shared" si="118"/>
        <v/>
      </c>
      <c r="AB123" s="140" t="str">
        <f t="shared" si="118"/>
        <v/>
      </c>
      <c r="AC123" s="140" t="str">
        <f t="shared" si="118"/>
        <v/>
      </c>
      <c r="AD123" s="140" t="str">
        <f t="shared" si="118"/>
        <v/>
      </c>
      <c r="AE123" s="140" t="str">
        <f t="shared" si="118"/>
        <v/>
      </c>
      <c r="AF123" s="140" t="str">
        <f t="shared" si="118"/>
        <v/>
      </c>
      <c r="AG123" s="140" t="str">
        <f t="shared" si="118"/>
        <v/>
      </c>
      <c r="AH123" s="140" t="str">
        <f t="shared" si="118"/>
        <v/>
      </c>
      <c r="AI123" s="140" t="str">
        <f t="shared" si="118"/>
        <v/>
      </c>
      <c r="AJ123" s="140" t="str">
        <f t="shared" si="118"/>
        <v/>
      </c>
      <c r="AK123" s="140" t="str">
        <f t="shared" si="118"/>
        <v/>
      </c>
      <c r="AL123" s="140" t="str">
        <f t="shared" si="118"/>
        <v/>
      </c>
      <c r="AM123" s="140" t="str">
        <f t="shared" si="118"/>
        <v/>
      </c>
      <c r="AN123" s="140" t="str">
        <f t="shared" si="118"/>
        <v/>
      </c>
      <c r="AO123" s="140" t="str">
        <f t="shared" si="118"/>
        <v/>
      </c>
      <c r="AP123" s="140" t="str">
        <f t="shared" si="118"/>
        <v/>
      </c>
      <c r="AQ123" s="140" t="str">
        <f t="shared" si="118"/>
        <v/>
      </c>
      <c r="AR123" s="140" t="str">
        <f t="shared" si="118"/>
        <v/>
      </c>
      <c r="AS123" s="140" t="str">
        <f t="shared" si="118"/>
        <v/>
      </c>
      <c r="AT123" s="140" t="str">
        <f t="shared" si="118"/>
        <v/>
      </c>
      <c r="AU123" s="140" t="str">
        <f t="shared" si="118"/>
        <v/>
      </c>
      <c r="AV123" s="140" t="str">
        <f t="shared" si="118"/>
        <v/>
      </c>
      <c r="AW123" s="140" t="str">
        <f t="shared" si="118"/>
        <v/>
      </c>
      <c r="AX123" s="140" t="str">
        <f t="shared" si="118"/>
        <v/>
      </c>
      <c r="AY123" s="140" t="str">
        <f t="shared" si="118"/>
        <v/>
      </c>
      <c r="AZ123" s="140" t="str">
        <f t="shared" si="118"/>
        <v/>
      </c>
      <c r="BA123" s="140" t="str">
        <f t="shared" si="118"/>
        <v/>
      </c>
      <c r="BB123" s="140" t="str">
        <f t="shared" si="118"/>
        <v/>
      </c>
      <c r="BC123" s="140" t="str">
        <f t="shared" si="118"/>
        <v/>
      </c>
      <c r="BD123" s="140" t="str">
        <f t="shared" si="118"/>
        <v/>
      </c>
      <c r="BE123" s="140" t="str">
        <f t="shared" si="118"/>
        <v/>
      </c>
    </row>
    <row r="124" hidden="1">
      <c r="A124" s="108"/>
      <c r="B124" s="107"/>
      <c r="C124" s="107"/>
      <c r="D124" s="107"/>
      <c r="E124" s="107"/>
      <c r="F124" s="107"/>
      <c r="G124" s="208"/>
      <c r="H124" s="131"/>
      <c r="I124" s="211"/>
      <c r="J124" s="107"/>
      <c r="K124" s="202"/>
      <c r="L124" s="107"/>
      <c r="M124" s="204">
        <f t="shared" si="3"/>
        <v>0</v>
      </c>
      <c r="N124" s="206"/>
      <c r="O124" s="108" t="b">
        <f t="shared" si="94"/>
        <v>1</v>
      </c>
      <c r="P124" s="207">
        <f t="shared" si="5"/>
        <v>0</v>
      </c>
      <c r="Q124" s="140" t="str">
        <f t="shared" ref="Q124:BE124" si="119">iferror(if(Q$9=FALSE,, if(if(search(Q$11,$B124,1)&gt;0,1,0)=1,$H124/$P124,)),"")</f>
        <v/>
      </c>
      <c r="R124" s="140" t="str">
        <f t="shared" si="119"/>
        <v/>
      </c>
      <c r="S124" s="140" t="str">
        <f t="shared" si="119"/>
        <v/>
      </c>
      <c r="T124" s="140" t="str">
        <f t="shared" si="119"/>
        <v/>
      </c>
      <c r="U124" s="140" t="str">
        <f t="shared" si="119"/>
        <v/>
      </c>
      <c r="V124" s="140" t="str">
        <f t="shared" si="119"/>
        <v/>
      </c>
      <c r="W124" s="140" t="str">
        <f t="shared" si="119"/>
        <v/>
      </c>
      <c r="X124" s="140" t="str">
        <f t="shared" si="119"/>
        <v/>
      </c>
      <c r="Y124" s="140" t="str">
        <f t="shared" si="119"/>
        <v/>
      </c>
      <c r="Z124" s="140" t="str">
        <f t="shared" si="119"/>
        <v/>
      </c>
      <c r="AA124" s="140" t="str">
        <f t="shared" si="119"/>
        <v/>
      </c>
      <c r="AB124" s="140" t="str">
        <f t="shared" si="119"/>
        <v/>
      </c>
      <c r="AC124" s="140" t="str">
        <f t="shared" si="119"/>
        <v/>
      </c>
      <c r="AD124" s="140" t="str">
        <f t="shared" si="119"/>
        <v/>
      </c>
      <c r="AE124" s="140" t="str">
        <f t="shared" si="119"/>
        <v/>
      </c>
      <c r="AF124" s="140" t="str">
        <f t="shared" si="119"/>
        <v/>
      </c>
      <c r="AG124" s="140" t="str">
        <f t="shared" si="119"/>
        <v/>
      </c>
      <c r="AH124" s="140" t="str">
        <f t="shared" si="119"/>
        <v/>
      </c>
      <c r="AI124" s="140" t="str">
        <f t="shared" si="119"/>
        <v/>
      </c>
      <c r="AJ124" s="140" t="str">
        <f t="shared" si="119"/>
        <v/>
      </c>
      <c r="AK124" s="140" t="str">
        <f t="shared" si="119"/>
        <v/>
      </c>
      <c r="AL124" s="140" t="str">
        <f t="shared" si="119"/>
        <v/>
      </c>
      <c r="AM124" s="140" t="str">
        <f t="shared" si="119"/>
        <v/>
      </c>
      <c r="AN124" s="140" t="str">
        <f t="shared" si="119"/>
        <v/>
      </c>
      <c r="AO124" s="140" t="str">
        <f t="shared" si="119"/>
        <v/>
      </c>
      <c r="AP124" s="140" t="str">
        <f t="shared" si="119"/>
        <v/>
      </c>
      <c r="AQ124" s="140" t="str">
        <f t="shared" si="119"/>
        <v/>
      </c>
      <c r="AR124" s="140" t="str">
        <f t="shared" si="119"/>
        <v/>
      </c>
      <c r="AS124" s="140" t="str">
        <f t="shared" si="119"/>
        <v/>
      </c>
      <c r="AT124" s="140" t="str">
        <f t="shared" si="119"/>
        <v/>
      </c>
      <c r="AU124" s="140" t="str">
        <f t="shared" si="119"/>
        <v/>
      </c>
      <c r="AV124" s="140" t="str">
        <f t="shared" si="119"/>
        <v/>
      </c>
      <c r="AW124" s="140" t="str">
        <f t="shared" si="119"/>
        <v/>
      </c>
      <c r="AX124" s="140" t="str">
        <f t="shared" si="119"/>
        <v/>
      </c>
      <c r="AY124" s="140" t="str">
        <f t="shared" si="119"/>
        <v/>
      </c>
      <c r="AZ124" s="140" t="str">
        <f t="shared" si="119"/>
        <v/>
      </c>
      <c r="BA124" s="140" t="str">
        <f t="shared" si="119"/>
        <v/>
      </c>
      <c r="BB124" s="140" t="str">
        <f t="shared" si="119"/>
        <v/>
      </c>
      <c r="BC124" s="140" t="str">
        <f t="shared" si="119"/>
        <v/>
      </c>
      <c r="BD124" s="140" t="str">
        <f t="shared" si="119"/>
        <v/>
      </c>
      <c r="BE124" s="140" t="str">
        <f t="shared" si="119"/>
        <v/>
      </c>
    </row>
    <row r="125" hidden="1">
      <c r="A125" s="108"/>
      <c r="B125" s="107"/>
      <c r="C125" s="107"/>
      <c r="D125" s="107"/>
      <c r="E125" s="107"/>
      <c r="F125" s="107"/>
      <c r="G125" s="208"/>
      <c r="H125" s="131"/>
      <c r="I125" s="211"/>
      <c r="J125" s="107"/>
      <c r="K125" s="202"/>
      <c r="L125" s="107"/>
      <c r="M125" s="204">
        <f t="shared" si="3"/>
        <v>0</v>
      </c>
      <c r="N125" s="206"/>
      <c r="O125" s="108" t="b">
        <f t="shared" si="94"/>
        <v>1</v>
      </c>
      <c r="P125" s="207">
        <f t="shared" si="5"/>
        <v>0</v>
      </c>
      <c r="Q125" s="140" t="str">
        <f t="shared" ref="Q125:BE125" si="120">iferror(if(Q$9=FALSE,, if(if(search(Q$11,$B125,1)&gt;0,1,0)=1,$H125/$P125,)),"")</f>
        <v/>
      </c>
      <c r="R125" s="140" t="str">
        <f t="shared" si="120"/>
        <v/>
      </c>
      <c r="S125" s="140" t="str">
        <f t="shared" si="120"/>
        <v/>
      </c>
      <c r="T125" s="140" t="str">
        <f t="shared" si="120"/>
        <v/>
      </c>
      <c r="U125" s="140" t="str">
        <f t="shared" si="120"/>
        <v/>
      </c>
      <c r="V125" s="140" t="str">
        <f t="shared" si="120"/>
        <v/>
      </c>
      <c r="W125" s="140" t="str">
        <f t="shared" si="120"/>
        <v/>
      </c>
      <c r="X125" s="140" t="str">
        <f t="shared" si="120"/>
        <v/>
      </c>
      <c r="Y125" s="140" t="str">
        <f t="shared" si="120"/>
        <v/>
      </c>
      <c r="Z125" s="140" t="str">
        <f t="shared" si="120"/>
        <v/>
      </c>
      <c r="AA125" s="140" t="str">
        <f t="shared" si="120"/>
        <v/>
      </c>
      <c r="AB125" s="140" t="str">
        <f t="shared" si="120"/>
        <v/>
      </c>
      <c r="AC125" s="140" t="str">
        <f t="shared" si="120"/>
        <v/>
      </c>
      <c r="AD125" s="140" t="str">
        <f t="shared" si="120"/>
        <v/>
      </c>
      <c r="AE125" s="140" t="str">
        <f t="shared" si="120"/>
        <v/>
      </c>
      <c r="AF125" s="140" t="str">
        <f t="shared" si="120"/>
        <v/>
      </c>
      <c r="AG125" s="140" t="str">
        <f t="shared" si="120"/>
        <v/>
      </c>
      <c r="AH125" s="140" t="str">
        <f t="shared" si="120"/>
        <v/>
      </c>
      <c r="AI125" s="140" t="str">
        <f t="shared" si="120"/>
        <v/>
      </c>
      <c r="AJ125" s="140" t="str">
        <f t="shared" si="120"/>
        <v/>
      </c>
      <c r="AK125" s="140" t="str">
        <f t="shared" si="120"/>
        <v/>
      </c>
      <c r="AL125" s="140" t="str">
        <f t="shared" si="120"/>
        <v/>
      </c>
      <c r="AM125" s="140" t="str">
        <f t="shared" si="120"/>
        <v/>
      </c>
      <c r="AN125" s="140" t="str">
        <f t="shared" si="120"/>
        <v/>
      </c>
      <c r="AO125" s="140" t="str">
        <f t="shared" si="120"/>
        <v/>
      </c>
      <c r="AP125" s="140" t="str">
        <f t="shared" si="120"/>
        <v/>
      </c>
      <c r="AQ125" s="140" t="str">
        <f t="shared" si="120"/>
        <v/>
      </c>
      <c r="AR125" s="140" t="str">
        <f t="shared" si="120"/>
        <v/>
      </c>
      <c r="AS125" s="140" t="str">
        <f t="shared" si="120"/>
        <v/>
      </c>
      <c r="AT125" s="140" t="str">
        <f t="shared" si="120"/>
        <v/>
      </c>
      <c r="AU125" s="140" t="str">
        <f t="shared" si="120"/>
        <v/>
      </c>
      <c r="AV125" s="140" t="str">
        <f t="shared" si="120"/>
        <v/>
      </c>
      <c r="AW125" s="140" t="str">
        <f t="shared" si="120"/>
        <v/>
      </c>
      <c r="AX125" s="140" t="str">
        <f t="shared" si="120"/>
        <v/>
      </c>
      <c r="AY125" s="140" t="str">
        <f t="shared" si="120"/>
        <v/>
      </c>
      <c r="AZ125" s="140" t="str">
        <f t="shared" si="120"/>
        <v/>
      </c>
      <c r="BA125" s="140" t="str">
        <f t="shared" si="120"/>
        <v/>
      </c>
      <c r="BB125" s="140" t="str">
        <f t="shared" si="120"/>
        <v/>
      </c>
      <c r="BC125" s="140" t="str">
        <f t="shared" si="120"/>
        <v/>
      </c>
      <c r="BD125" s="140" t="str">
        <f t="shared" si="120"/>
        <v/>
      </c>
      <c r="BE125" s="140" t="str">
        <f t="shared" si="120"/>
        <v/>
      </c>
    </row>
    <row r="126" hidden="1">
      <c r="A126" s="108"/>
      <c r="B126" s="107"/>
      <c r="C126" s="107"/>
      <c r="D126" s="107"/>
      <c r="E126" s="107"/>
      <c r="F126" s="107"/>
      <c r="G126" s="208"/>
      <c r="H126" s="131"/>
      <c r="I126" s="211"/>
      <c r="J126" s="107"/>
      <c r="K126" s="202"/>
      <c r="L126" s="107"/>
      <c r="M126" s="204">
        <f t="shared" si="3"/>
        <v>0</v>
      </c>
      <c r="N126" s="206"/>
      <c r="O126" s="108" t="b">
        <f t="shared" si="94"/>
        <v>1</v>
      </c>
      <c r="P126" s="207">
        <f t="shared" si="5"/>
        <v>0</v>
      </c>
      <c r="Q126" s="140" t="str">
        <f t="shared" ref="Q126:BE126" si="121">iferror(if(Q$9=FALSE,, if(if(search(Q$11,$B126,1)&gt;0,1,0)=1,$H126/$P126,)),"")</f>
        <v/>
      </c>
      <c r="R126" s="140" t="str">
        <f t="shared" si="121"/>
        <v/>
      </c>
      <c r="S126" s="140" t="str">
        <f t="shared" si="121"/>
        <v/>
      </c>
      <c r="T126" s="140" t="str">
        <f t="shared" si="121"/>
        <v/>
      </c>
      <c r="U126" s="140" t="str">
        <f t="shared" si="121"/>
        <v/>
      </c>
      <c r="V126" s="140" t="str">
        <f t="shared" si="121"/>
        <v/>
      </c>
      <c r="W126" s="140" t="str">
        <f t="shared" si="121"/>
        <v/>
      </c>
      <c r="X126" s="140" t="str">
        <f t="shared" si="121"/>
        <v/>
      </c>
      <c r="Y126" s="140" t="str">
        <f t="shared" si="121"/>
        <v/>
      </c>
      <c r="Z126" s="140" t="str">
        <f t="shared" si="121"/>
        <v/>
      </c>
      <c r="AA126" s="140" t="str">
        <f t="shared" si="121"/>
        <v/>
      </c>
      <c r="AB126" s="140" t="str">
        <f t="shared" si="121"/>
        <v/>
      </c>
      <c r="AC126" s="140" t="str">
        <f t="shared" si="121"/>
        <v/>
      </c>
      <c r="AD126" s="140" t="str">
        <f t="shared" si="121"/>
        <v/>
      </c>
      <c r="AE126" s="140" t="str">
        <f t="shared" si="121"/>
        <v/>
      </c>
      <c r="AF126" s="140" t="str">
        <f t="shared" si="121"/>
        <v/>
      </c>
      <c r="AG126" s="140" t="str">
        <f t="shared" si="121"/>
        <v/>
      </c>
      <c r="AH126" s="140" t="str">
        <f t="shared" si="121"/>
        <v/>
      </c>
      <c r="AI126" s="140" t="str">
        <f t="shared" si="121"/>
        <v/>
      </c>
      <c r="AJ126" s="140" t="str">
        <f t="shared" si="121"/>
        <v/>
      </c>
      <c r="AK126" s="140" t="str">
        <f t="shared" si="121"/>
        <v/>
      </c>
      <c r="AL126" s="140" t="str">
        <f t="shared" si="121"/>
        <v/>
      </c>
      <c r="AM126" s="140" t="str">
        <f t="shared" si="121"/>
        <v/>
      </c>
      <c r="AN126" s="140" t="str">
        <f t="shared" si="121"/>
        <v/>
      </c>
      <c r="AO126" s="140" t="str">
        <f t="shared" si="121"/>
        <v/>
      </c>
      <c r="AP126" s="140" t="str">
        <f t="shared" si="121"/>
        <v/>
      </c>
      <c r="AQ126" s="140" t="str">
        <f t="shared" si="121"/>
        <v/>
      </c>
      <c r="AR126" s="140" t="str">
        <f t="shared" si="121"/>
        <v/>
      </c>
      <c r="AS126" s="140" t="str">
        <f t="shared" si="121"/>
        <v/>
      </c>
      <c r="AT126" s="140" t="str">
        <f t="shared" si="121"/>
        <v/>
      </c>
      <c r="AU126" s="140" t="str">
        <f t="shared" si="121"/>
        <v/>
      </c>
      <c r="AV126" s="140" t="str">
        <f t="shared" si="121"/>
        <v/>
      </c>
      <c r="AW126" s="140" t="str">
        <f t="shared" si="121"/>
        <v/>
      </c>
      <c r="AX126" s="140" t="str">
        <f t="shared" si="121"/>
        <v/>
      </c>
      <c r="AY126" s="140" t="str">
        <f t="shared" si="121"/>
        <v/>
      </c>
      <c r="AZ126" s="140" t="str">
        <f t="shared" si="121"/>
        <v/>
      </c>
      <c r="BA126" s="140" t="str">
        <f t="shared" si="121"/>
        <v/>
      </c>
      <c r="BB126" s="140" t="str">
        <f t="shared" si="121"/>
        <v/>
      </c>
      <c r="BC126" s="140" t="str">
        <f t="shared" si="121"/>
        <v/>
      </c>
      <c r="BD126" s="140" t="str">
        <f t="shared" si="121"/>
        <v/>
      </c>
      <c r="BE126" s="140" t="str">
        <f t="shared" si="121"/>
        <v/>
      </c>
    </row>
    <row r="127" hidden="1">
      <c r="A127" s="108"/>
      <c r="B127" s="107"/>
      <c r="C127" s="107"/>
      <c r="D127" s="107"/>
      <c r="E127" s="107"/>
      <c r="F127" s="107"/>
      <c r="G127" s="208"/>
      <c r="H127" s="131"/>
      <c r="I127" s="211"/>
      <c r="J127" s="107"/>
      <c r="K127" s="202"/>
      <c r="L127" s="107"/>
      <c r="M127" s="204">
        <f t="shared" si="3"/>
        <v>0</v>
      </c>
      <c r="N127" s="206"/>
      <c r="O127" s="108" t="b">
        <f t="shared" si="94"/>
        <v>1</v>
      </c>
      <c r="P127" s="207">
        <f t="shared" si="5"/>
        <v>0</v>
      </c>
      <c r="Q127" s="140" t="str">
        <f t="shared" ref="Q127:BE127" si="122">iferror(if(Q$9=FALSE,, if(if(search(Q$11,$B127,1)&gt;0,1,0)=1,$H127/$P127,)),"")</f>
        <v/>
      </c>
      <c r="R127" s="140" t="str">
        <f t="shared" si="122"/>
        <v/>
      </c>
      <c r="S127" s="140" t="str">
        <f t="shared" si="122"/>
        <v/>
      </c>
      <c r="T127" s="140" t="str">
        <f t="shared" si="122"/>
        <v/>
      </c>
      <c r="U127" s="140" t="str">
        <f t="shared" si="122"/>
        <v/>
      </c>
      <c r="V127" s="140" t="str">
        <f t="shared" si="122"/>
        <v/>
      </c>
      <c r="W127" s="140" t="str">
        <f t="shared" si="122"/>
        <v/>
      </c>
      <c r="X127" s="140" t="str">
        <f t="shared" si="122"/>
        <v/>
      </c>
      <c r="Y127" s="140" t="str">
        <f t="shared" si="122"/>
        <v/>
      </c>
      <c r="Z127" s="140" t="str">
        <f t="shared" si="122"/>
        <v/>
      </c>
      <c r="AA127" s="140" t="str">
        <f t="shared" si="122"/>
        <v/>
      </c>
      <c r="AB127" s="140" t="str">
        <f t="shared" si="122"/>
        <v/>
      </c>
      <c r="AC127" s="140" t="str">
        <f t="shared" si="122"/>
        <v/>
      </c>
      <c r="AD127" s="140" t="str">
        <f t="shared" si="122"/>
        <v/>
      </c>
      <c r="AE127" s="140" t="str">
        <f t="shared" si="122"/>
        <v/>
      </c>
      <c r="AF127" s="140" t="str">
        <f t="shared" si="122"/>
        <v/>
      </c>
      <c r="AG127" s="140" t="str">
        <f t="shared" si="122"/>
        <v/>
      </c>
      <c r="AH127" s="140" t="str">
        <f t="shared" si="122"/>
        <v/>
      </c>
      <c r="AI127" s="140" t="str">
        <f t="shared" si="122"/>
        <v/>
      </c>
      <c r="AJ127" s="140" t="str">
        <f t="shared" si="122"/>
        <v/>
      </c>
      <c r="AK127" s="140" t="str">
        <f t="shared" si="122"/>
        <v/>
      </c>
      <c r="AL127" s="140" t="str">
        <f t="shared" si="122"/>
        <v/>
      </c>
      <c r="AM127" s="140" t="str">
        <f t="shared" si="122"/>
        <v/>
      </c>
      <c r="AN127" s="140" t="str">
        <f t="shared" si="122"/>
        <v/>
      </c>
      <c r="AO127" s="140" t="str">
        <f t="shared" si="122"/>
        <v/>
      </c>
      <c r="AP127" s="140" t="str">
        <f t="shared" si="122"/>
        <v/>
      </c>
      <c r="AQ127" s="140" t="str">
        <f t="shared" si="122"/>
        <v/>
      </c>
      <c r="AR127" s="140" t="str">
        <f t="shared" si="122"/>
        <v/>
      </c>
      <c r="AS127" s="140" t="str">
        <f t="shared" si="122"/>
        <v/>
      </c>
      <c r="AT127" s="140" t="str">
        <f t="shared" si="122"/>
        <v/>
      </c>
      <c r="AU127" s="140" t="str">
        <f t="shared" si="122"/>
        <v/>
      </c>
      <c r="AV127" s="140" t="str">
        <f t="shared" si="122"/>
        <v/>
      </c>
      <c r="AW127" s="140" t="str">
        <f t="shared" si="122"/>
        <v/>
      </c>
      <c r="AX127" s="140" t="str">
        <f t="shared" si="122"/>
        <v/>
      </c>
      <c r="AY127" s="140" t="str">
        <f t="shared" si="122"/>
        <v/>
      </c>
      <c r="AZ127" s="140" t="str">
        <f t="shared" si="122"/>
        <v/>
      </c>
      <c r="BA127" s="140" t="str">
        <f t="shared" si="122"/>
        <v/>
      </c>
      <c r="BB127" s="140" t="str">
        <f t="shared" si="122"/>
        <v/>
      </c>
      <c r="BC127" s="140" t="str">
        <f t="shared" si="122"/>
        <v/>
      </c>
      <c r="BD127" s="140" t="str">
        <f t="shared" si="122"/>
        <v/>
      </c>
      <c r="BE127" s="140" t="str">
        <f t="shared" si="122"/>
        <v/>
      </c>
    </row>
    <row r="128" hidden="1">
      <c r="A128" s="108"/>
      <c r="B128" s="107"/>
      <c r="C128" s="107"/>
      <c r="D128" s="107"/>
      <c r="E128" s="107"/>
      <c r="F128" s="107"/>
      <c r="G128" s="208"/>
      <c r="H128" s="131"/>
      <c r="I128" s="211"/>
      <c r="J128" s="107"/>
      <c r="K128" s="202"/>
      <c r="L128" s="107"/>
      <c r="M128" s="204">
        <f t="shared" si="3"/>
        <v>0</v>
      </c>
      <c r="N128" s="206"/>
      <c r="O128" s="108" t="b">
        <f t="shared" si="94"/>
        <v>1</v>
      </c>
      <c r="P128" s="207">
        <f t="shared" si="5"/>
        <v>0</v>
      </c>
      <c r="Q128" s="140" t="str">
        <f t="shared" ref="Q128:BE128" si="123">iferror(if(Q$9=FALSE,, if(if(search(Q$11,$B128,1)&gt;0,1,0)=1,$H128/$P128,)),"")</f>
        <v/>
      </c>
      <c r="R128" s="140" t="str">
        <f t="shared" si="123"/>
        <v/>
      </c>
      <c r="S128" s="140" t="str">
        <f t="shared" si="123"/>
        <v/>
      </c>
      <c r="T128" s="140" t="str">
        <f t="shared" si="123"/>
        <v/>
      </c>
      <c r="U128" s="140" t="str">
        <f t="shared" si="123"/>
        <v/>
      </c>
      <c r="V128" s="140" t="str">
        <f t="shared" si="123"/>
        <v/>
      </c>
      <c r="W128" s="140" t="str">
        <f t="shared" si="123"/>
        <v/>
      </c>
      <c r="X128" s="140" t="str">
        <f t="shared" si="123"/>
        <v/>
      </c>
      <c r="Y128" s="140" t="str">
        <f t="shared" si="123"/>
        <v/>
      </c>
      <c r="Z128" s="140" t="str">
        <f t="shared" si="123"/>
        <v/>
      </c>
      <c r="AA128" s="140" t="str">
        <f t="shared" si="123"/>
        <v/>
      </c>
      <c r="AB128" s="140" t="str">
        <f t="shared" si="123"/>
        <v/>
      </c>
      <c r="AC128" s="140" t="str">
        <f t="shared" si="123"/>
        <v/>
      </c>
      <c r="AD128" s="140" t="str">
        <f t="shared" si="123"/>
        <v/>
      </c>
      <c r="AE128" s="140" t="str">
        <f t="shared" si="123"/>
        <v/>
      </c>
      <c r="AF128" s="140" t="str">
        <f t="shared" si="123"/>
        <v/>
      </c>
      <c r="AG128" s="140" t="str">
        <f t="shared" si="123"/>
        <v/>
      </c>
      <c r="AH128" s="140" t="str">
        <f t="shared" si="123"/>
        <v/>
      </c>
      <c r="AI128" s="140" t="str">
        <f t="shared" si="123"/>
        <v/>
      </c>
      <c r="AJ128" s="140" t="str">
        <f t="shared" si="123"/>
        <v/>
      </c>
      <c r="AK128" s="140" t="str">
        <f t="shared" si="123"/>
        <v/>
      </c>
      <c r="AL128" s="140" t="str">
        <f t="shared" si="123"/>
        <v/>
      </c>
      <c r="AM128" s="140" t="str">
        <f t="shared" si="123"/>
        <v/>
      </c>
      <c r="AN128" s="140" t="str">
        <f t="shared" si="123"/>
        <v/>
      </c>
      <c r="AO128" s="140" t="str">
        <f t="shared" si="123"/>
        <v/>
      </c>
      <c r="AP128" s="140" t="str">
        <f t="shared" si="123"/>
        <v/>
      </c>
      <c r="AQ128" s="140" t="str">
        <f t="shared" si="123"/>
        <v/>
      </c>
      <c r="AR128" s="140" t="str">
        <f t="shared" si="123"/>
        <v/>
      </c>
      <c r="AS128" s="140" t="str">
        <f t="shared" si="123"/>
        <v/>
      </c>
      <c r="AT128" s="140" t="str">
        <f t="shared" si="123"/>
        <v/>
      </c>
      <c r="AU128" s="140" t="str">
        <f t="shared" si="123"/>
        <v/>
      </c>
      <c r="AV128" s="140" t="str">
        <f t="shared" si="123"/>
        <v/>
      </c>
      <c r="AW128" s="140" t="str">
        <f t="shared" si="123"/>
        <v/>
      </c>
      <c r="AX128" s="140" t="str">
        <f t="shared" si="123"/>
        <v/>
      </c>
      <c r="AY128" s="140" t="str">
        <f t="shared" si="123"/>
        <v/>
      </c>
      <c r="AZ128" s="140" t="str">
        <f t="shared" si="123"/>
        <v/>
      </c>
      <c r="BA128" s="140" t="str">
        <f t="shared" si="123"/>
        <v/>
      </c>
      <c r="BB128" s="140" t="str">
        <f t="shared" si="123"/>
        <v/>
      </c>
      <c r="BC128" s="140" t="str">
        <f t="shared" si="123"/>
        <v/>
      </c>
      <c r="BD128" s="140" t="str">
        <f t="shared" si="123"/>
        <v/>
      </c>
      <c r="BE128" s="140" t="str">
        <f t="shared" si="123"/>
        <v/>
      </c>
    </row>
    <row r="129" hidden="1">
      <c r="A129" s="108"/>
      <c r="B129" s="107"/>
      <c r="C129" s="107"/>
      <c r="D129" s="107"/>
      <c r="E129" s="107"/>
      <c r="F129" s="107"/>
      <c r="G129" s="208"/>
      <c r="H129" s="131"/>
      <c r="I129" s="211"/>
      <c r="J129" s="107"/>
      <c r="K129" s="202"/>
      <c r="L129" s="107"/>
      <c r="M129" s="204">
        <f t="shared" si="3"/>
        <v>0</v>
      </c>
      <c r="N129" s="206"/>
      <c r="O129" s="108" t="b">
        <f t="shared" si="94"/>
        <v>1</v>
      </c>
      <c r="P129" s="207">
        <f t="shared" si="5"/>
        <v>0</v>
      </c>
      <c r="Q129" s="140" t="str">
        <f t="shared" ref="Q129:BE129" si="124">iferror(if(Q$9=FALSE,, if(if(search(Q$11,$B129,1)&gt;0,1,0)=1,$H129/$P129,)),"")</f>
        <v/>
      </c>
      <c r="R129" s="140" t="str">
        <f t="shared" si="124"/>
        <v/>
      </c>
      <c r="S129" s="140" t="str">
        <f t="shared" si="124"/>
        <v/>
      </c>
      <c r="T129" s="140" t="str">
        <f t="shared" si="124"/>
        <v/>
      </c>
      <c r="U129" s="140" t="str">
        <f t="shared" si="124"/>
        <v/>
      </c>
      <c r="V129" s="140" t="str">
        <f t="shared" si="124"/>
        <v/>
      </c>
      <c r="W129" s="140" t="str">
        <f t="shared" si="124"/>
        <v/>
      </c>
      <c r="X129" s="140" t="str">
        <f t="shared" si="124"/>
        <v/>
      </c>
      <c r="Y129" s="140" t="str">
        <f t="shared" si="124"/>
        <v/>
      </c>
      <c r="Z129" s="140" t="str">
        <f t="shared" si="124"/>
        <v/>
      </c>
      <c r="AA129" s="140" t="str">
        <f t="shared" si="124"/>
        <v/>
      </c>
      <c r="AB129" s="140" t="str">
        <f t="shared" si="124"/>
        <v/>
      </c>
      <c r="AC129" s="140" t="str">
        <f t="shared" si="124"/>
        <v/>
      </c>
      <c r="AD129" s="140" t="str">
        <f t="shared" si="124"/>
        <v/>
      </c>
      <c r="AE129" s="140" t="str">
        <f t="shared" si="124"/>
        <v/>
      </c>
      <c r="AF129" s="140" t="str">
        <f t="shared" si="124"/>
        <v/>
      </c>
      <c r="AG129" s="140" t="str">
        <f t="shared" si="124"/>
        <v/>
      </c>
      <c r="AH129" s="140" t="str">
        <f t="shared" si="124"/>
        <v/>
      </c>
      <c r="AI129" s="140" t="str">
        <f t="shared" si="124"/>
        <v/>
      </c>
      <c r="AJ129" s="140" t="str">
        <f t="shared" si="124"/>
        <v/>
      </c>
      <c r="AK129" s="140" t="str">
        <f t="shared" si="124"/>
        <v/>
      </c>
      <c r="AL129" s="140" t="str">
        <f t="shared" si="124"/>
        <v/>
      </c>
      <c r="AM129" s="140" t="str">
        <f t="shared" si="124"/>
        <v/>
      </c>
      <c r="AN129" s="140" t="str">
        <f t="shared" si="124"/>
        <v/>
      </c>
      <c r="AO129" s="140" t="str">
        <f t="shared" si="124"/>
        <v/>
      </c>
      <c r="AP129" s="140" t="str">
        <f t="shared" si="124"/>
        <v/>
      </c>
      <c r="AQ129" s="140" t="str">
        <f t="shared" si="124"/>
        <v/>
      </c>
      <c r="AR129" s="140" t="str">
        <f t="shared" si="124"/>
        <v/>
      </c>
      <c r="AS129" s="140" t="str">
        <f t="shared" si="124"/>
        <v/>
      </c>
      <c r="AT129" s="140" t="str">
        <f t="shared" si="124"/>
        <v/>
      </c>
      <c r="AU129" s="140" t="str">
        <f t="shared" si="124"/>
        <v/>
      </c>
      <c r="AV129" s="140" t="str">
        <f t="shared" si="124"/>
        <v/>
      </c>
      <c r="AW129" s="140" t="str">
        <f t="shared" si="124"/>
        <v/>
      </c>
      <c r="AX129" s="140" t="str">
        <f t="shared" si="124"/>
        <v/>
      </c>
      <c r="AY129" s="140" t="str">
        <f t="shared" si="124"/>
        <v/>
      </c>
      <c r="AZ129" s="140" t="str">
        <f t="shared" si="124"/>
        <v/>
      </c>
      <c r="BA129" s="140" t="str">
        <f t="shared" si="124"/>
        <v/>
      </c>
      <c r="BB129" s="140" t="str">
        <f t="shared" si="124"/>
        <v/>
      </c>
      <c r="BC129" s="140" t="str">
        <f t="shared" si="124"/>
        <v/>
      </c>
      <c r="BD129" s="140" t="str">
        <f t="shared" si="124"/>
        <v/>
      </c>
      <c r="BE129" s="140" t="str">
        <f t="shared" si="124"/>
        <v/>
      </c>
    </row>
    <row r="130" hidden="1">
      <c r="A130" s="108"/>
      <c r="B130" s="107"/>
      <c r="C130" s="107"/>
      <c r="D130" s="107"/>
      <c r="E130" s="107"/>
      <c r="F130" s="107"/>
      <c r="G130" s="208"/>
      <c r="H130" s="131"/>
      <c r="I130" s="211"/>
      <c r="J130" s="107"/>
      <c r="K130" s="202"/>
      <c r="L130" s="107"/>
      <c r="M130" s="204">
        <f t="shared" si="3"/>
        <v>0</v>
      </c>
      <c r="N130" s="206"/>
      <c r="O130" s="108" t="b">
        <f t="shared" si="94"/>
        <v>1</v>
      </c>
      <c r="P130" s="207">
        <f t="shared" si="5"/>
        <v>0</v>
      </c>
      <c r="Q130" s="140" t="str">
        <f t="shared" ref="Q130:BE130" si="125">iferror(if(Q$9=FALSE,, if(if(search(Q$11,$B130,1)&gt;0,1,0)=1,$H130/$P130,)),"")</f>
        <v/>
      </c>
      <c r="R130" s="140" t="str">
        <f t="shared" si="125"/>
        <v/>
      </c>
      <c r="S130" s="140" t="str">
        <f t="shared" si="125"/>
        <v/>
      </c>
      <c r="T130" s="140" t="str">
        <f t="shared" si="125"/>
        <v/>
      </c>
      <c r="U130" s="140" t="str">
        <f t="shared" si="125"/>
        <v/>
      </c>
      <c r="V130" s="140" t="str">
        <f t="shared" si="125"/>
        <v/>
      </c>
      <c r="W130" s="140" t="str">
        <f t="shared" si="125"/>
        <v/>
      </c>
      <c r="X130" s="140" t="str">
        <f t="shared" si="125"/>
        <v/>
      </c>
      <c r="Y130" s="140" t="str">
        <f t="shared" si="125"/>
        <v/>
      </c>
      <c r="Z130" s="140" t="str">
        <f t="shared" si="125"/>
        <v/>
      </c>
      <c r="AA130" s="140" t="str">
        <f t="shared" si="125"/>
        <v/>
      </c>
      <c r="AB130" s="140" t="str">
        <f t="shared" si="125"/>
        <v/>
      </c>
      <c r="AC130" s="140" t="str">
        <f t="shared" si="125"/>
        <v/>
      </c>
      <c r="AD130" s="140" t="str">
        <f t="shared" si="125"/>
        <v/>
      </c>
      <c r="AE130" s="140" t="str">
        <f t="shared" si="125"/>
        <v/>
      </c>
      <c r="AF130" s="140" t="str">
        <f t="shared" si="125"/>
        <v/>
      </c>
      <c r="AG130" s="140" t="str">
        <f t="shared" si="125"/>
        <v/>
      </c>
      <c r="AH130" s="140" t="str">
        <f t="shared" si="125"/>
        <v/>
      </c>
      <c r="AI130" s="140" t="str">
        <f t="shared" si="125"/>
        <v/>
      </c>
      <c r="AJ130" s="140" t="str">
        <f t="shared" si="125"/>
        <v/>
      </c>
      <c r="AK130" s="140" t="str">
        <f t="shared" si="125"/>
        <v/>
      </c>
      <c r="AL130" s="140" t="str">
        <f t="shared" si="125"/>
        <v/>
      </c>
      <c r="AM130" s="140" t="str">
        <f t="shared" si="125"/>
        <v/>
      </c>
      <c r="AN130" s="140" t="str">
        <f t="shared" si="125"/>
        <v/>
      </c>
      <c r="AO130" s="140" t="str">
        <f t="shared" si="125"/>
        <v/>
      </c>
      <c r="AP130" s="140" t="str">
        <f t="shared" si="125"/>
        <v/>
      </c>
      <c r="AQ130" s="140" t="str">
        <f t="shared" si="125"/>
        <v/>
      </c>
      <c r="AR130" s="140" t="str">
        <f t="shared" si="125"/>
        <v/>
      </c>
      <c r="AS130" s="140" t="str">
        <f t="shared" si="125"/>
        <v/>
      </c>
      <c r="AT130" s="140" t="str">
        <f t="shared" si="125"/>
        <v/>
      </c>
      <c r="AU130" s="140" t="str">
        <f t="shared" si="125"/>
        <v/>
      </c>
      <c r="AV130" s="140" t="str">
        <f t="shared" si="125"/>
        <v/>
      </c>
      <c r="AW130" s="140" t="str">
        <f t="shared" si="125"/>
        <v/>
      </c>
      <c r="AX130" s="140" t="str">
        <f t="shared" si="125"/>
        <v/>
      </c>
      <c r="AY130" s="140" t="str">
        <f t="shared" si="125"/>
        <v/>
      </c>
      <c r="AZ130" s="140" t="str">
        <f t="shared" si="125"/>
        <v/>
      </c>
      <c r="BA130" s="140" t="str">
        <f t="shared" si="125"/>
        <v/>
      </c>
      <c r="BB130" s="140" t="str">
        <f t="shared" si="125"/>
        <v/>
      </c>
      <c r="BC130" s="140" t="str">
        <f t="shared" si="125"/>
        <v/>
      </c>
      <c r="BD130" s="140" t="str">
        <f t="shared" si="125"/>
        <v/>
      </c>
      <c r="BE130" s="140" t="str">
        <f t="shared" si="125"/>
        <v/>
      </c>
    </row>
    <row r="131" hidden="1">
      <c r="A131" s="108"/>
      <c r="B131" s="107"/>
      <c r="C131" s="107"/>
      <c r="D131" s="107"/>
      <c r="E131" s="107"/>
      <c r="F131" s="107"/>
      <c r="G131" s="208"/>
      <c r="H131" s="131"/>
      <c r="I131" s="211"/>
      <c r="J131" s="107"/>
      <c r="K131" s="202"/>
      <c r="L131" s="107"/>
      <c r="M131" s="204">
        <f t="shared" si="3"/>
        <v>0</v>
      </c>
      <c r="N131" s="206"/>
      <c r="O131" s="108" t="b">
        <f t="shared" si="94"/>
        <v>1</v>
      </c>
      <c r="P131" s="207">
        <f t="shared" si="5"/>
        <v>0</v>
      </c>
      <c r="Q131" s="140" t="str">
        <f t="shared" ref="Q131:BE131" si="126">iferror(if(Q$9=FALSE,, if(if(search(Q$11,$B131,1)&gt;0,1,0)=1,$H131/$P131,)),"")</f>
        <v/>
      </c>
      <c r="R131" s="140" t="str">
        <f t="shared" si="126"/>
        <v/>
      </c>
      <c r="S131" s="140" t="str">
        <f t="shared" si="126"/>
        <v/>
      </c>
      <c r="T131" s="140" t="str">
        <f t="shared" si="126"/>
        <v/>
      </c>
      <c r="U131" s="140" t="str">
        <f t="shared" si="126"/>
        <v/>
      </c>
      <c r="V131" s="140" t="str">
        <f t="shared" si="126"/>
        <v/>
      </c>
      <c r="W131" s="140" t="str">
        <f t="shared" si="126"/>
        <v/>
      </c>
      <c r="X131" s="140" t="str">
        <f t="shared" si="126"/>
        <v/>
      </c>
      <c r="Y131" s="140" t="str">
        <f t="shared" si="126"/>
        <v/>
      </c>
      <c r="Z131" s="140" t="str">
        <f t="shared" si="126"/>
        <v/>
      </c>
      <c r="AA131" s="140" t="str">
        <f t="shared" si="126"/>
        <v/>
      </c>
      <c r="AB131" s="140" t="str">
        <f t="shared" si="126"/>
        <v/>
      </c>
      <c r="AC131" s="140" t="str">
        <f t="shared" si="126"/>
        <v/>
      </c>
      <c r="AD131" s="140" t="str">
        <f t="shared" si="126"/>
        <v/>
      </c>
      <c r="AE131" s="140" t="str">
        <f t="shared" si="126"/>
        <v/>
      </c>
      <c r="AF131" s="140" t="str">
        <f t="shared" si="126"/>
        <v/>
      </c>
      <c r="AG131" s="140" t="str">
        <f t="shared" si="126"/>
        <v/>
      </c>
      <c r="AH131" s="140" t="str">
        <f t="shared" si="126"/>
        <v/>
      </c>
      <c r="AI131" s="140" t="str">
        <f t="shared" si="126"/>
        <v/>
      </c>
      <c r="AJ131" s="140" t="str">
        <f t="shared" si="126"/>
        <v/>
      </c>
      <c r="AK131" s="140" t="str">
        <f t="shared" si="126"/>
        <v/>
      </c>
      <c r="AL131" s="140" t="str">
        <f t="shared" si="126"/>
        <v/>
      </c>
      <c r="AM131" s="140" t="str">
        <f t="shared" si="126"/>
        <v/>
      </c>
      <c r="AN131" s="140" t="str">
        <f t="shared" si="126"/>
        <v/>
      </c>
      <c r="AO131" s="140" t="str">
        <f t="shared" si="126"/>
        <v/>
      </c>
      <c r="AP131" s="140" t="str">
        <f t="shared" si="126"/>
        <v/>
      </c>
      <c r="AQ131" s="140" t="str">
        <f t="shared" si="126"/>
        <v/>
      </c>
      <c r="AR131" s="140" t="str">
        <f t="shared" si="126"/>
        <v/>
      </c>
      <c r="AS131" s="140" t="str">
        <f t="shared" si="126"/>
        <v/>
      </c>
      <c r="AT131" s="140" t="str">
        <f t="shared" si="126"/>
        <v/>
      </c>
      <c r="AU131" s="140" t="str">
        <f t="shared" si="126"/>
        <v/>
      </c>
      <c r="AV131" s="140" t="str">
        <f t="shared" si="126"/>
        <v/>
      </c>
      <c r="AW131" s="140" t="str">
        <f t="shared" si="126"/>
        <v/>
      </c>
      <c r="AX131" s="140" t="str">
        <f t="shared" si="126"/>
        <v/>
      </c>
      <c r="AY131" s="140" t="str">
        <f t="shared" si="126"/>
        <v/>
      </c>
      <c r="AZ131" s="140" t="str">
        <f t="shared" si="126"/>
        <v/>
      </c>
      <c r="BA131" s="140" t="str">
        <f t="shared" si="126"/>
        <v/>
      </c>
      <c r="BB131" s="140" t="str">
        <f t="shared" si="126"/>
        <v/>
      </c>
      <c r="BC131" s="140" t="str">
        <f t="shared" si="126"/>
        <v/>
      </c>
      <c r="BD131" s="140" t="str">
        <f t="shared" si="126"/>
        <v/>
      </c>
      <c r="BE131" s="140" t="str">
        <f t="shared" si="126"/>
        <v/>
      </c>
    </row>
    <row r="132" hidden="1">
      <c r="A132" s="108"/>
      <c r="B132" s="107"/>
      <c r="C132" s="107"/>
      <c r="D132" s="107"/>
      <c r="E132" s="107"/>
      <c r="F132" s="107"/>
      <c r="G132" s="208"/>
      <c r="H132" s="131"/>
      <c r="I132" s="211"/>
      <c r="J132" s="107"/>
      <c r="K132" s="202"/>
      <c r="L132" s="107"/>
      <c r="M132" s="204">
        <f t="shared" si="3"/>
        <v>0</v>
      </c>
      <c r="N132" s="206"/>
      <c r="O132" s="108" t="b">
        <f t="shared" si="94"/>
        <v>1</v>
      </c>
      <c r="P132" s="207">
        <f t="shared" si="5"/>
        <v>0</v>
      </c>
      <c r="Q132" s="140" t="str">
        <f t="shared" ref="Q132:BE132" si="127">iferror(if(Q$9=FALSE,, if(if(search(Q$11,$B132,1)&gt;0,1,0)=1,$H132/$P132,)),"")</f>
        <v/>
      </c>
      <c r="R132" s="140" t="str">
        <f t="shared" si="127"/>
        <v/>
      </c>
      <c r="S132" s="140" t="str">
        <f t="shared" si="127"/>
        <v/>
      </c>
      <c r="T132" s="140" t="str">
        <f t="shared" si="127"/>
        <v/>
      </c>
      <c r="U132" s="140" t="str">
        <f t="shared" si="127"/>
        <v/>
      </c>
      <c r="V132" s="140" t="str">
        <f t="shared" si="127"/>
        <v/>
      </c>
      <c r="W132" s="140" t="str">
        <f t="shared" si="127"/>
        <v/>
      </c>
      <c r="X132" s="140" t="str">
        <f t="shared" si="127"/>
        <v/>
      </c>
      <c r="Y132" s="140" t="str">
        <f t="shared" si="127"/>
        <v/>
      </c>
      <c r="Z132" s="140" t="str">
        <f t="shared" si="127"/>
        <v/>
      </c>
      <c r="AA132" s="140" t="str">
        <f t="shared" si="127"/>
        <v/>
      </c>
      <c r="AB132" s="140" t="str">
        <f t="shared" si="127"/>
        <v/>
      </c>
      <c r="AC132" s="140" t="str">
        <f t="shared" si="127"/>
        <v/>
      </c>
      <c r="AD132" s="140" t="str">
        <f t="shared" si="127"/>
        <v/>
      </c>
      <c r="AE132" s="140" t="str">
        <f t="shared" si="127"/>
        <v/>
      </c>
      <c r="AF132" s="140" t="str">
        <f t="shared" si="127"/>
        <v/>
      </c>
      <c r="AG132" s="140" t="str">
        <f t="shared" si="127"/>
        <v/>
      </c>
      <c r="AH132" s="140" t="str">
        <f t="shared" si="127"/>
        <v/>
      </c>
      <c r="AI132" s="140" t="str">
        <f t="shared" si="127"/>
        <v/>
      </c>
      <c r="AJ132" s="140" t="str">
        <f t="shared" si="127"/>
        <v/>
      </c>
      <c r="AK132" s="140" t="str">
        <f t="shared" si="127"/>
        <v/>
      </c>
      <c r="AL132" s="140" t="str">
        <f t="shared" si="127"/>
        <v/>
      </c>
      <c r="AM132" s="140" t="str">
        <f t="shared" si="127"/>
        <v/>
      </c>
      <c r="AN132" s="140" t="str">
        <f t="shared" si="127"/>
        <v/>
      </c>
      <c r="AO132" s="140" t="str">
        <f t="shared" si="127"/>
        <v/>
      </c>
      <c r="AP132" s="140" t="str">
        <f t="shared" si="127"/>
        <v/>
      </c>
      <c r="AQ132" s="140" t="str">
        <f t="shared" si="127"/>
        <v/>
      </c>
      <c r="AR132" s="140" t="str">
        <f t="shared" si="127"/>
        <v/>
      </c>
      <c r="AS132" s="140" t="str">
        <f t="shared" si="127"/>
        <v/>
      </c>
      <c r="AT132" s="140" t="str">
        <f t="shared" si="127"/>
        <v/>
      </c>
      <c r="AU132" s="140" t="str">
        <f t="shared" si="127"/>
        <v/>
      </c>
      <c r="AV132" s="140" t="str">
        <f t="shared" si="127"/>
        <v/>
      </c>
      <c r="AW132" s="140" t="str">
        <f t="shared" si="127"/>
        <v/>
      </c>
      <c r="AX132" s="140" t="str">
        <f t="shared" si="127"/>
        <v/>
      </c>
      <c r="AY132" s="140" t="str">
        <f t="shared" si="127"/>
        <v/>
      </c>
      <c r="AZ132" s="140" t="str">
        <f t="shared" si="127"/>
        <v/>
      </c>
      <c r="BA132" s="140" t="str">
        <f t="shared" si="127"/>
        <v/>
      </c>
      <c r="BB132" s="140" t="str">
        <f t="shared" si="127"/>
        <v/>
      </c>
      <c r="BC132" s="140" t="str">
        <f t="shared" si="127"/>
        <v/>
      </c>
      <c r="BD132" s="140" t="str">
        <f t="shared" si="127"/>
        <v/>
      </c>
      <c r="BE132" s="140" t="str">
        <f t="shared" si="127"/>
        <v/>
      </c>
    </row>
    <row r="133" hidden="1">
      <c r="A133" s="108"/>
      <c r="B133" s="107"/>
      <c r="C133" s="107"/>
      <c r="D133" s="107"/>
      <c r="E133" s="107"/>
      <c r="F133" s="107"/>
      <c r="G133" s="208"/>
      <c r="H133" s="131"/>
      <c r="I133" s="211"/>
      <c r="J133" s="107"/>
      <c r="K133" s="202"/>
      <c r="L133" s="107"/>
      <c r="M133" s="204">
        <f t="shared" si="3"/>
        <v>0</v>
      </c>
      <c r="N133" s="206"/>
      <c r="O133" s="108" t="b">
        <f t="shared" si="94"/>
        <v>1</v>
      </c>
      <c r="P133" s="207">
        <f t="shared" si="5"/>
        <v>0</v>
      </c>
      <c r="Q133" s="140" t="str">
        <f t="shared" ref="Q133:BE133" si="128">iferror(if(Q$9=FALSE,, if(if(search(Q$11,$B133,1)&gt;0,1,0)=1,$H133/$P133,)),"")</f>
        <v/>
      </c>
      <c r="R133" s="140" t="str">
        <f t="shared" si="128"/>
        <v/>
      </c>
      <c r="S133" s="140" t="str">
        <f t="shared" si="128"/>
        <v/>
      </c>
      <c r="T133" s="140" t="str">
        <f t="shared" si="128"/>
        <v/>
      </c>
      <c r="U133" s="140" t="str">
        <f t="shared" si="128"/>
        <v/>
      </c>
      <c r="V133" s="140" t="str">
        <f t="shared" si="128"/>
        <v/>
      </c>
      <c r="W133" s="140" t="str">
        <f t="shared" si="128"/>
        <v/>
      </c>
      <c r="X133" s="140" t="str">
        <f t="shared" si="128"/>
        <v/>
      </c>
      <c r="Y133" s="140" t="str">
        <f t="shared" si="128"/>
        <v/>
      </c>
      <c r="Z133" s="140" t="str">
        <f t="shared" si="128"/>
        <v/>
      </c>
      <c r="AA133" s="140" t="str">
        <f t="shared" si="128"/>
        <v/>
      </c>
      <c r="AB133" s="140" t="str">
        <f t="shared" si="128"/>
        <v/>
      </c>
      <c r="AC133" s="140" t="str">
        <f t="shared" si="128"/>
        <v/>
      </c>
      <c r="AD133" s="140" t="str">
        <f t="shared" si="128"/>
        <v/>
      </c>
      <c r="AE133" s="140" t="str">
        <f t="shared" si="128"/>
        <v/>
      </c>
      <c r="AF133" s="140" t="str">
        <f t="shared" si="128"/>
        <v/>
      </c>
      <c r="AG133" s="140" t="str">
        <f t="shared" si="128"/>
        <v/>
      </c>
      <c r="AH133" s="140" t="str">
        <f t="shared" si="128"/>
        <v/>
      </c>
      <c r="AI133" s="140" t="str">
        <f t="shared" si="128"/>
        <v/>
      </c>
      <c r="AJ133" s="140" t="str">
        <f t="shared" si="128"/>
        <v/>
      </c>
      <c r="AK133" s="140" t="str">
        <f t="shared" si="128"/>
        <v/>
      </c>
      <c r="AL133" s="140" t="str">
        <f t="shared" si="128"/>
        <v/>
      </c>
      <c r="AM133" s="140" t="str">
        <f t="shared" si="128"/>
        <v/>
      </c>
      <c r="AN133" s="140" t="str">
        <f t="shared" si="128"/>
        <v/>
      </c>
      <c r="AO133" s="140" t="str">
        <f t="shared" si="128"/>
        <v/>
      </c>
      <c r="AP133" s="140" t="str">
        <f t="shared" si="128"/>
        <v/>
      </c>
      <c r="AQ133" s="140" t="str">
        <f t="shared" si="128"/>
        <v/>
      </c>
      <c r="AR133" s="140" t="str">
        <f t="shared" si="128"/>
        <v/>
      </c>
      <c r="AS133" s="140" t="str">
        <f t="shared" si="128"/>
        <v/>
      </c>
      <c r="AT133" s="140" t="str">
        <f t="shared" si="128"/>
        <v/>
      </c>
      <c r="AU133" s="140" t="str">
        <f t="shared" si="128"/>
        <v/>
      </c>
      <c r="AV133" s="140" t="str">
        <f t="shared" si="128"/>
        <v/>
      </c>
      <c r="AW133" s="140" t="str">
        <f t="shared" si="128"/>
        <v/>
      </c>
      <c r="AX133" s="140" t="str">
        <f t="shared" si="128"/>
        <v/>
      </c>
      <c r="AY133" s="140" t="str">
        <f t="shared" si="128"/>
        <v/>
      </c>
      <c r="AZ133" s="140" t="str">
        <f t="shared" si="128"/>
        <v/>
      </c>
      <c r="BA133" s="140" t="str">
        <f t="shared" si="128"/>
        <v/>
      </c>
      <c r="BB133" s="140" t="str">
        <f t="shared" si="128"/>
        <v/>
      </c>
      <c r="BC133" s="140" t="str">
        <f t="shared" si="128"/>
        <v/>
      </c>
      <c r="BD133" s="140" t="str">
        <f t="shared" si="128"/>
        <v/>
      </c>
      <c r="BE133" s="140" t="str">
        <f t="shared" si="128"/>
        <v/>
      </c>
    </row>
    <row r="134" hidden="1">
      <c r="A134" s="108"/>
      <c r="B134" s="107"/>
      <c r="C134" s="107"/>
      <c r="D134" s="107"/>
      <c r="E134" s="107"/>
      <c r="F134" s="107"/>
      <c r="G134" s="208"/>
      <c r="H134" s="131"/>
      <c r="I134" s="211"/>
      <c r="J134" s="107"/>
      <c r="K134" s="202"/>
      <c r="L134" s="107"/>
      <c r="M134" s="204">
        <f t="shared" si="3"/>
        <v>0</v>
      </c>
      <c r="N134" s="206"/>
      <c r="O134" s="108" t="b">
        <f t="shared" si="94"/>
        <v>1</v>
      </c>
      <c r="P134" s="207">
        <f t="shared" si="5"/>
        <v>0</v>
      </c>
      <c r="Q134" s="140" t="str">
        <f t="shared" ref="Q134:BE134" si="129">iferror(if(Q$9=FALSE,, if(if(search(Q$11,$B134,1)&gt;0,1,0)=1,$H134/$P134,)),"")</f>
        <v/>
      </c>
      <c r="R134" s="140" t="str">
        <f t="shared" si="129"/>
        <v/>
      </c>
      <c r="S134" s="140" t="str">
        <f t="shared" si="129"/>
        <v/>
      </c>
      <c r="T134" s="140" t="str">
        <f t="shared" si="129"/>
        <v/>
      </c>
      <c r="U134" s="140" t="str">
        <f t="shared" si="129"/>
        <v/>
      </c>
      <c r="V134" s="140" t="str">
        <f t="shared" si="129"/>
        <v/>
      </c>
      <c r="W134" s="140" t="str">
        <f t="shared" si="129"/>
        <v/>
      </c>
      <c r="X134" s="140" t="str">
        <f t="shared" si="129"/>
        <v/>
      </c>
      <c r="Y134" s="140" t="str">
        <f t="shared" si="129"/>
        <v/>
      </c>
      <c r="Z134" s="140" t="str">
        <f t="shared" si="129"/>
        <v/>
      </c>
      <c r="AA134" s="140" t="str">
        <f t="shared" si="129"/>
        <v/>
      </c>
      <c r="AB134" s="140" t="str">
        <f t="shared" si="129"/>
        <v/>
      </c>
      <c r="AC134" s="140" t="str">
        <f t="shared" si="129"/>
        <v/>
      </c>
      <c r="AD134" s="140" t="str">
        <f t="shared" si="129"/>
        <v/>
      </c>
      <c r="AE134" s="140" t="str">
        <f t="shared" si="129"/>
        <v/>
      </c>
      <c r="AF134" s="140" t="str">
        <f t="shared" si="129"/>
        <v/>
      </c>
      <c r="AG134" s="140" t="str">
        <f t="shared" si="129"/>
        <v/>
      </c>
      <c r="AH134" s="140" t="str">
        <f t="shared" si="129"/>
        <v/>
      </c>
      <c r="AI134" s="140" t="str">
        <f t="shared" si="129"/>
        <v/>
      </c>
      <c r="AJ134" s="140" t="str">
        <f t="shared" si="129"/>
        <v/>
      </c>
      <c r="AK134" s="140" t="str">
        <f t="shared" si="129"/>
        <v/>
      </c>
      <c r="AL134" s="140" t="str">
        <f t="shared" si="129"/>
        <v/>
      </c>
      <c r="AM134" s="140" t="str">
        <f t="shared" si="129"/>
        <v/>
      </c>
      <c r="AN134" s="140" t="str">
        <f t="shared" si="129"/>
        <v/>
      </c>
      <c r="AO134" s="140" t="str">
        <f t="shared" si="129"/>
        <v/>
      </c>
      <c r="AP134" s="140" t="str">
        <f t="shared" si="129"/>
        <v/>
      </c>
      <c r="AQ134" s="140" t="str">
        <f t="shared" si="129"/>
        <v/>
      </c>
      <c r="AR134" s="140" t="str">
        <f t="shared" si="129"/>
        <v/>
      </c>
      <c r="AS134" s="140" t="str">
        <f t="shared" si="129"/>
        <v/>
      </c>
      <c r="AT134" s="140" t="str">
        <f t="shared" si="129"/>
        <v/>
      </c>
      <c r="AU134" s="140" t="str">
        <f t="shared" si="129"/>
        <v/>
      </c>
      <c r="AV134" s="140" t="str">
        <f t="shared" si="129"/>
        <v/>
      </c>
      <c r="AW134" s="140" t="str">
        <f t="shared" si="129"/>
        <v/>
      </c>
      <c r="AX134" s="140" t="str">
        <f t="shared" si="129"/>
        <v/>
      </c>
      <c r="AY134" s="140" t="str">
        <f t="shared" si="129"/>
        <v/>
      </c>
      <c r="AZ134" s="140" t="str">
        <f t="shared" si="129"/>
        <v/>
      </c>
      <c r="BA134" s="140" t="str">
        <f t="shared" si="129"/>
        <v/>
      </c>
      <c r="BB134" s="140" t="str">
        <f t="shared" si="129"/>
        <v/>
      </c>
      <c r="BC134" s="140" t="str">
        <f t="shared" si="129"/>
        <v/>
      </c>
      <c r="BD134" s="140" t="str">
        <f t="shared" si="129"/>
        <v/>
      </c>
      <c r="BE134" s="140" t="str">
        <f t="shared" si="129"/>
        <v/>
      </c>
    </row>
    <row r="135" hidden="1">
      <c r="A135" s="108"/>
      <c r="B135" s="107"/>
      <c r="C135" s="107"/>
      <c r="D135" s="107"/>
      <c r="E135" s="107"/>
      <c r="F135" s="107"/>
      <c r="G135" s="208"/>
      <c r="H135" s="131"/>
      <c r="I135" s="211"/>
      <c r="J135" s="107"/>
      <c r="K135" s="202"/>
      <c r="L135" s="107"/>
      <c r="M135" s="204">
        <f t="shared" si="3"/>
        <v>0</v>
      </c>
      <c r="N135" s="206"/>
      <c r="O135" s="108" t="b">
        <f t="shared" si="94"/>
        <v>1</v>
      </c>
      <c r="P135" s="207">
        <f t="shared" si="5"/>
        <v>0</v>
      </c>
      <c r="Q135" s="140" t="str">
        <f t="shared" ref="Q135:BE135" si="130">iferror(if(Q$9=FALSE,, if(if(search(Q$11,$B135,1)&gt;0,1,0)=1,$H135/$P135,)),"")</f>
        <v/>
      </c>
      <c r="R135" s="140" t="str">
        <f t="shared" si="130"/>
        <v/>
      </c>
      <c r="S135" s="140" t="str">
        <f t="shared" si="130"/>
        <v/>
      </c>
      <c r="T135" s="140" t="str">
        <f t="shared" si="130"/>
        <v/>
      </c>
      <c r="U135" s="140" t="str">
        <f t="shared" si="130"/>
        <v/>
      </c>
      <c r="V135" s="140" t="str">
        <f t="shared" si="130"/>
        <v/>
      </c>
      <c r="W135" s="140" t="str">
        <f t="shared" si="130"/>
        <v/>
      </c>
      <c r="X135" s="140" t="str">
        <f t="shared" si="130"/>
        <v/>
      </c>
      <c r="Y135" s="140" t="str">
        <f t="shared" si="130"/>
        <v/>
      </c>
      <c r="Z135" s="140" t="str">
        <f t="shared" si="130"/>
        <v/>
      </c>
      <c r="AA135" s="140" t="str">
        <f t="shared" si="130"/>
        <v/>
      </c>
      <c r="AB135" s="140" t="str">
        <f t="shared" si="130"/>
        <v/>
      </c>
      <c r="AC135" s="140" t="str">
        <f t="shared" si="130"/>
        <v/>
      </c>
      <c r="AD135" s="140" t="str">
        <f t="shared" si="130"/>
        <v/>
      </c>
      <c r="AE135" s="140" t="str">
        <f t="shared" si="130"/>
        <v/>
      </c>
      <c r="AF135" s="140" t="str">
        <f t="shared" si="130"/>
        <v/>
      </c>
      <c r="AG135" s="140" t="str">
        <f t="shared" si="130"/>
        <v/>
      </c>
      <c r="AH135" s="140" t="str">
        <f t="shared" si="130"/>
        <v/>
      </c>
      <c r="AI135" s="140" t="str">
        <f t="shared" si="130"/>
        <v/>
      </c>
      <c r="AJ135" s="140" t="str">
        <f t="shared" si="130"/>
        <v/>
      </c>
      <c r="AK135" s="140" t="str">
        <f t="shared" si="130"/>
        <v/>
      </c>
      <c r="AL135" s="140" t="str">
        <f t="shared" si="130"/>
        <v/>
      </c>
      <c r="AM135" s="140" t="str">
        <f t="shared" si="130"/>
        <v/>
      </c>
      <c r="AN135" s="140" t="str">
        <f t="shared" si="130"/>
        <v/>
      </c>
      <c r="AO135" s="140" t="str">
        <f t="shared" si="130"/>
        <v/>
      </c>
      <c r="AP135" s="140" t="str">
        <f t="shared" si="130"/>
        <v/>
      </c>
      <c r="AQ135" s="140" t="str">
        <f t="shared" si="130"/>
        <v/>
      </c>
      <c r="AR135" s="140" t="str">
        <f t="shared" si="130"/>
        <v/>
      </c>
      <c r="AS135" s="140" t="str">
        <f t="shared" si="130"/>
        <v/>
      </c>
      <c r="AT135" s="140" t="str">
        <f t="shared" si="130"/>
        <v/>
      </c>
      <c r="AU135" s="140" t="str">
        <f t="shared" si="130"/>
        <v/>
      </c>
      <c r="AV135" s="140" t="str">
        <f t="shared" si="130"/>
        <v/>
      </c>
      <c r="AW135" s="140" t="str">
        <f t="shared" si="130"/>
        <v/>
      </c>
      <c r="AX135" s="140" t="str">
        <f t="shared" si="130"/>
        <v/>
      </c>
      <c r="AY135" s="140" t="str">
        <f t="shared" si="130"/>
        <v/>
      </c>
      <c r="AZ135" s="140" t="str">
        <f t="shared" si="130"/>
        <v/>
      </c>
      <c r="BA135" s="140" t="str">
        <f t="shared" si="130"/>
        <v/>
      </c>
      <c r="BB135" s="140" t="str">
        <f t="shared" si="130"/>
        <v/>
      </c>
      <c r="BC135" s="140" t="str">
        <f t="shared" si="130"/>
        <v/>
      </c>
      <c r="BD135" s="140" t="str">
        <f t="shared" si="130"/>
        <v/>
      </c>
      <c r="BE135" s="140" t="str">
        <f t="shared" si="130"/>
        <v/>
      </c>
    </row>
    <row r="136">
      <c r="A136" s="108"/>
      <c r="B136" s="107"/>
      <c r="C136" s="107"/>
      <c r="D136" s="107"/>
      <c r="E136" s="107"/>
      <c r="F136" s="107"/>
      <c r="G136" s="208"/>
      <c r="H136" s="131"/>
      <c r="I136" s="211"/>
      <c r="J136" s="107"/>
      <c r="K136" s="202"/>
      <c r="L136" s="107"/>
      <c r="M136" s="107"/>
      <c r="N136" s="206"/>
      <c r="O136" s="108" t="b">
        <v>0</v>
      </c>
      <c r="P136" s="207"/>
      <c r="Q136" s="140"/>
      <c r="R136" s="140"/>
      <c r="S136" s="140"/>
      <c r="T136" s="140"/>
      <c r="U136" s="140"/>
      <c r="V136" s="140"/>
      <c r="W136" s="140"/>
      <c r="X136" s="140"/>
      <c r="Y136" s="140"/>
      <c r="Z136" s="140"/>
      <c r="AA136" s="140"/>
      <c r="AB136" s="140"/>
      <c r="AC136" s="140"/>
      <c r="AD136" s="140"/>
      <c r="AE136" s="140"/>
      <c r="AF136" s="140"/>
      <c r="AG136" s="140"/>
      <c r="AH136" s="140"/>
      <c r="AI136" s="140"/>
      <c r="AJ136" s="140"/>
      <c r="AK136" s="140"/>
      <c r="AL136" s="140"/>
      <c r="AM136" s="140"/>
      <c r="AN136" s="140"/>
      <c r="AO136" s="140"/>
      <c r="AP136" s="140"/>
      <c r="AQ136" s="140"/>
      <c r="AR136" s="140"/>
      <c r="AS136" s="140"/>
      <c r="AT136" s="140"/>
      <c r="AU136" s="140"/>
      <c r="AV136" s="140"/>
      <c r="AW136" s="140"/>
      <c r="AX136" s="140"/>
      <c r="AY136" s="140"/>
      <c r="AZ136" s="140"/>
      <c r="BA136" s="140"/>
      <c r="BB136" s="140"/>
      <c r="BC136" s="140"/>
      <c r="BD136" s="140"/>
      <c r="BE136" s="140"/>
    </row>
    <row r="137">
      <c r="A137" s="108"/>
      <c r="B137" s="107"/>
      <c r="C137" s="107"/>
      <c r="D137" s="107"/>
      <c r="E137" s="107"/>
      <c r="F137" s="107"/>
      <c r="G137" s="208"/>
      <c r="H137" s="131"/>
      <c r="I137" s="211"/>
      <c r="J137" s="107"/>
      <c r="K137" s="202"/>
      <c r="L137" s="107"/>
      <c r="M137" s="107"/>
      <c r="N137" s="206"/>
      <c r="O137" s="108" t="b">
        <v>0</v>
      </c>
      <c r="P137" s="207"/>
      <c r="Q137" s="140"/>
      <c r="R137" s="140"/>
      <c r="S137" s="140"/>
      <c r="T137" s="140"/>
      <c r="U137" s="140"/>
      <c r="V137" s="140"/>
      <c r="W137" s="140"/>
      <c r="X137" s="140"/>
      <c r="Y137" s="140"/>
      <c r="Z137" s="140"/>
      <c r="AA137" s="140"/>
      <c r="AB137" s="140"/>
      <c r="AC137" s="140"/>
      <c r="AD137" s="140"/>
      <c r="AE137" s="140"/>
      <c r="AF137" s="140"/>
      <c r="AG137" s="140"/>
      <c r="AH137" s="140"/>
      <c r="AI137" s="140"/>
      <c r="AJ137" s="140"/>
      <c r="AK137" s="140"/>
      <c r="AL137" s="140"/>
      <c r="AM137" s="140"/>
      <c r="AN137" s="140"/>
      <c r="AO137" s="140"/>
      <c r="AP137" s="140"/>
      <c r="AQ137" s="140"/>
      <c r="AR137" s="140"/>
      <c r="AS137" s="140"/>
      <c r="AT137" s="140"/>
      <c r="AU137" s="140"/>
      <c r="AV137" s="140"/>
      <c r="AW137" s="140"/>
      <c r="AX137" s="140"/>
      <c r="AY137" s="140"/>
      <c r="AZ137" s="140"/>
      <c r="BA137" s="140"/>
      <c r="BB137" s="140"/>
      <c r="BC137" s="140"/>
      <c r="BD137" s="140"/>
      <c r="BE137" s="140"/>
    </row>
    <row r="138">
      <c r="A138" s="108"/>
      <c r="B138" s="107"/>
      <c r="C138" s="107"/>
      <c r="D138" s="107"/>
      <c r="E138" s="107"/>
      <c r="F138" s="107"/>
      <c r="G138" s="208"/>
      <c r="H138" s="131"/>
      <c r="I138" s="211"/>
      <c r="J138" s="107"/>
      <c r="K138" s="202"/>
      <c r="L138" s="107"/>
      <c r="M138" s="107"/>
      <c r="N138" s="206"/>
      <c r="O138" s="108" t="b">
        <v>0</v>
      </c>
      <c r="P138" s="207"/>
      <c r="Q138" s="140"/>
      <c r="R138" s="140"/>
      <c r="S138" s="140"/>
      <c r="T138" s="140"/>
      <c r="U138" s="140"/>
      <c r="V138" s="140"/>
      <c r="W138" s="140"/>
      <c r="X138" s="140"/>
      <c r="Y138" s="140"/>
      <c r="Z138" s="140"/>
      <c r="AA138" s="140"/>
      <c r="AB138" s="140"/>
      <c r="AC138" s="140"/>
      <c r="AD138" s="140"/>
      <c r="AE138" s="140"/>
      <c r="AF138" s="140"/>
      <c r="AG138" s="140"/>
      <c r="AH138" s="140"/>
      <c r="AI138" s="140"/>
      <c r="AJ138" s="140"/>
      <c r="AK138" s="140"/>
      <c r="AL138" s="140"/>
      <c r="AM138" s="140"/>
      <c r="AN138" s="140"/>
      <c r="AO138" s="140"/>
      <c r="AP138" s="140"/>
      <c r="AQ138" s="140"/>
      <c r="AR138" s="140"/>
      <c r="AS138" s="140"/>
      <c r="AT138" s="140"/>
      <c r="AU138" s="140"/>
      <c r="AV138" s="140"/>
      <c r="AW138" s="140"/>
      <c r="AX138" s="140"/>
      <c r="AY138" s="140"/>
      <c r="AZ138" s="140"/>
      <c r="BA138" s="140"/>
      <c r="BB138" s="140"/>
      <c r="BC138" s="140"/>
      <c r="BD138" s="140"/>
      <c r="BE138" s="140"/>
    </row>
    <row r="139">
      <c r="A139" s="108"/>
      <c r="B139" s="107"/>
      <c r="C139" s="107"/>
      <c r="D139" s="107"/>
      <c r="E139" s="107"/>
      <c r="F139" s="107"/>
      <c r="G139" s="208"/>
      <c r="H139" s="131"/>
      <c r="I139" s="211"/>
      <c r="J139" s="107"/>
      <c r="K139" s="202"/>
      <c r="L139" s="107"/>
      <c r="M139" s="107"/>
      <c r="N139" s="206"/>
      <c r="O139" s="108" t="b">
        <v>0</v>
      </c>
      <c r="P139" s="207"/>
      <c r="Q139" s="140"/>
      <c r="R139" s="140"/>
      <c r="S139" s="140"/>
      <c r="T139" s="140"/>
      <c r="U139" s="140"/>
      <c r="V139" s="140"/>
      <c r="W139" s="140"/>
      <c r="X139" s="140"/>
      <c r="Y139" s="140"/>
      <c r="Z139" s="140"/>
      <c r="AA139" s="140"/>
      <c r="AB139" s="140"/>
      <c r="AC139" s="140"/>
      <c r="AD139" s="140"/>
      <c r="AE139" s="140"/>
      <c r="AF139" s="140"/>
      <c r="AG139" s="140"/>
      <c r="AH139" s="140"/>
      <c r="AI139" s="140"/>
      <c r="AJ139" s="140"/>
      <c r="AK139" s="140"/>
      <c r="AL139" s="140"/>
      <c r="AM139" s="140"/>
      <c r="AN139" s="140"/>
      <c r="AO139" s="140"/>
      <c r="AP139" s="140"/>
      <c r="AQ139" s="140"/>
      <c r="AR139" s="140"/>
      <c r="AS139" s="140"/>
      <c r="AT139" s="140"/>
      <c r="AU139" s="140"/>
      <c r="AV139" s="140"/>
      <c r="AW139" s="140"/>
      <c r="AX139" s="140"/>
      <c r="AY139" s="140"/>
      <c r="AZ139" s="140"/>
      <c r="BA139" s="140"/>
      <c r="BB139" s="140"/>
      <c r="BC139" s="140"/>
      <c r="BD139" s="140"/>
      <c r="BE139" s="140"/>
    </row>
    <row r="140">
      <c r="A140" s="108"/>
      <c r="B140" s="107"/>
      <c r="C140" s="107"/>
      <c r="D140" s="107"/>
      <c r="E140" s="107"/>
      <c r="F140" s="107"/>
      <c r="G140" s="208"/>
      <c r="H140" s="131"/>
      <c r="I140" s="211"/>
      <c r="J140" s="107"/>
      <c r="K140" s="202"/>
      <c r="L140" s="107"/>
      <c r="M140" s="107"/>
      <c r="N140" s="206"/>
      <c r="O140" s="108" t="b">
        <v>0</v>
      </c>
      <c r="P140" s="207"/>
      <c r="Q140" s="140"/>
      <c r="R140" s="140"/>
      <c r="S140" s="140"/>
      <c r="T140" s="140"/>
      <c r="U140" s="140"/>
      <c r="V140" s="140"/>
      <c r="W140" s="140"/>
      <c r="X140" s="140"/>
      <c r="Y140" s="140"/>
      <c r="Z140" s="140"/>
      <c r="AA140" s="140"/>
      <c r="AB140" s="140"/>
      <c r="AC140" s="140"/>
      <c r="AD140" s="140"/>
      <c r="AE140" s="140"/>
      <c r="AF140" s="140"/>
      <c r="AG140" s="140"/>
      <c r="AH140" s="140"/>
      <c r="AI140" s="140"/>
      <c r="AJ140" s="140"/>
      <c r="AK140" s="140"/>
      <c r="AL140" s="140"/>
      <c r="AM140" s="140"/>
      <c r="AN140" s="140"/>
      <c r="AO140" s="140"/>
      <c r="AP140" s="140"/>
      <c r="AQ140" s="140"/>
      <c r="AR140" s="140"/>
      <c r="AS140" s="140"/>
      <c r="AT140" s="140"/>
      <c r="AU140" s="140"/>
      <c r="AV140" s="140"/>
      <c r="AW140" s="140"/>
      <c r="AX140" s="140"/>
      <c r="AY140" s="140"/>
      <c r="AZ140" s="140"/>
      <c r="BA140" s="140"/>
      <c r="BB140" s="140"/>
      <c r="BC140" s="140"/>
      <c r="BD140" s="140"/>
      <c r="BE140" s="140"/>
    </row>
    <row r="141">
      <c r="A141" s="108"/>
      <c r="B141" s="107"/>
      <c r="C141" s="107"/>
      <c r="D141" s="107"/>
      <c r="E141" s="107"/>
      <c r="F141" s="107"/>
      <c r="G141" s="208"/>
      <c r="H141" s="131"/>
      <c r="I141" s="211"/>
      <c r="J141" s="107"/>
      <c r="K141" s="202"/>
      <c r="L141" s="107"/>
      <c r="M141" s="107"/>
      <c r="N141" s="206"/>
      <c r="O141" s="108" t="b">
        <v>0</v>
      </c>
      <c r="P141" s="207"/>
      <c r="Q141" s="140"/>
      <c r="R141" s="140"/>
      <c r="S141" s="140"/>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c r="AR141" s="140"/>
      <c r="AS141" s="140"/>
      <c r="AT141" s="140"/>
      <c r="AU141" s="140"/>
      <c r="AV141" s="140"/>
      <c r="AW141" s="140"/>
      <c r="AX141" s="140"/>
      <c r="AY141" s="140"/>
      <c r="AZ141" s="140"/>
      <c r="BA141" s="140"/>
      <c r="BB141" s="140"/>
      <c r="BC141" s="140"/>
      <c r="BD141" s="140"/>
      <c r="BE141" s="140"/>
    </row>
    <row r="142">
      <c r="A142" s="108"/>
      <c r="B142" s="107"/>
      <c r="C142" s="107"/>
      <c r="D142" s="107"/>
      <c r="E142" s="107"/>
      <c r="F142" s="107"/>
      <c r="G142" s="208"/>
      <c r="H142" s="131"/>
      <c r="I142" s="211"/>
      <c r="J142" s="107"/>
      <c r="K142" s="202"/>
      <c r="L142" s="107"/>
      <c r="M142" s="107"/>
      <c r="N142" s="206"/>
      <c r="O142" s="108" t="b">
        <v>0</v>
      </c>
      <c r="P142" s="207"/>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c r="AQ142" s="140"/>
      <c r="AR142" s="140"/>
      <c r="AS142" s="140"/>
      <c r="AT142" s="140"/>
      <c r="AU142" s="140"/>
      <c r="AV142" s="140"/>
      <c r="AW142" s="140"/>
      <c r="AX142" s="140"/>
      <c r="AY142" s="140"/>
      <c r="AZ142" s="140"/>
      <c r="BA142" s="140"/>
      <c r="BB142" s="140"/>
      <c r="BC142" s="140"/>
      <c r="BD142" s="140"/>
      <c r="BE142" s="140"/>
    </row>
    <row r="143">
      <c r="A143" s="108"/>
      <c r="B143" s="107"/>
      <c r="C143" s="107"/>
      <c r="D143" s="107"/>
      <c r="E143" s="107"/>
      <c r="F143" s="107"/>
      <c r="G143" s="208"/>
      <c r="H143" s="131"/>
      <c r="I143" s="211"/>
      <c r="J143" s="107"/>
      <c r="K143" s="202"/>
      <c r="L143" s="107"/>
      <c r="M143" s="107"/>
      <c r="N143" s="206"/>
      <c r="O143" s="108" t="b">
        <v>0</v>
      </c>
      <c r="P143" s="207"/>
      <c r="Q143" s="140"/>
      <c r="R143" s="140"/>
      <c r="S143" s="140"/>
      <c r="T143" s="140"/>
      <c r="U143" s="140"/>
      <c r="V143" s="140"/>
      <c r="W143" s="140"/>
      <c r="X143" s="140"/>
      <c r="Y143" s="140"/>
      <c r="Z143" s="140"/>
      <c r="AA143" s="140"/>
      <c r="AB143" s="140"/>
      <c r="AC143" s="140"/>
      <c r="AD143" s="140"/>
      <c r="AE143" s="140"/>
      <c r="AF143" s="140"/>
      <c r="AG143" s="140"/>
      <c r="AH143" s="140"/>
      <c r="AI143" s="140"/>
      <c r="AJ143" s="140"/>
      <c r="AK143" s="140"/>
      <c r="AL143" s="140"/>
      <c r="AM143" s="140"/>
      <c r="AN143" s="140"/>
      <c r="AO143" s="140"/>
      <c r="AP143" s="140"/>
      <c r="AQ143" s="140"/>
      <c r="AR143" s="140"/>
      <c r="AS143" s="140"/>
      <c r="AT143" s="140"/>
      <c r="AU143" s="140"/>
      <c r="AV143" s="140"/>
      <c r="AW143" s="140"/>
      <c r="AX143" s="140"/>
      <c r="AY143" s="140"/>
      <c r="AZ143" s="140"/>
      <c r="BA143" s="140"/>
      <c r="BB143" s="140"/>
      <c r="BC143" s="140"/>
      <c r="BD143" s="140"/>
      <c r="BE143" s="140"/>
    </row>
    <row r="144">
      <c r="A144" s="108"/>
      <c r="B144" s="107"/>
      <c r="C144" s="107"/>
      <c r="D144" s="107"/>
      <c r="E144" s="107"/>
      <c r="F144" s="107"/>
      <c r="G144" s="208"/>
      <c r="H144" s="131"/>
      <c r="I144" s="211"/>
      <c r="J144" s="107"/>
      <c r="K144" s="202"/>
      <c r="L144" s="107"/>
      <c r="M144" s="107"/>
      <c r="N144" s="206"/>
      <c r="O144" s="108" t="b">
        <v>0</v>
      </c>
      <c r="P144" s="207"/>
      <c r="Q144" s="140"/>
      <c r="R144" s="140"/>
      <c r="S144" s="140"/>
      <c r="T144" s="140"/>
      <c r="U144" s="140"/>
      <c r="V144" s="140"/>
      <c r="W144" s="140"/>
      <c r="X144" s="140"/>
      <c r="Y144" s="140"/>
      <c r="Z144" s="140"/>
      <c r="AA144" s="140"/>
      <c r="AB144" s="140"/>
      <c r="AC144" s="140"/>
      <c r="AD144" s="140"/>
      <c r="AE144" s="140"/>
      <c r="AF144" s="140"/>
      <c r="AG144" s="140"/>
      <c r="AH144" s="140"/>
      <c r="AI144" s="140"/>
      <c r="AJ144" s="140"/>
      <c r="AK144" s="140"/>
      <c r="AL144" s="140"/>
      <c r="AM144" s="140"/>
      <c r="AN144" s="140"/>
      <c r="AO144" s="140"/>
      <c r="AP144" s="140"/>
      <c r="AQ144" s="140"/>
      <c r="AR144" s="140"/>
      <c r="AS144" s="140"/>
      <c r="AT144" s="140"/>
      <c r="AU144" s="140"/>
      <c r="AV144" s="140"/>
      <c r="AW144" s="140"/>
      <c r="AX144" s="140"/>
      <c r="AY144" s="140"/>
      <c r="AZ144" s="140"/>
      <c r="BA144" s="140"/>
      <c r="BB144" s="140"/>
      <c r="BC144" s="140"/>
      <c r="BD144" s="140"/>
      <c r="BE144" s="140"/>
    </row>
    <row r="145">
      <c r="A145" s="108"/>
      <c r="B145" s="107"/>
      <c r="C145" s="107"/>
      <c r="D145" s="107"/>
      <c r="E145" s="107"/>
      <c r="F145" s="107"/>
      <c r="G145" s="208"/>
      <c r="H145" s="131"/>
      <c r="I145" s="211"/>
      <c r="J145" s="107"/>
      <c r="K145" s="202"/>
      <c r="L145" s="107"/>
      <c r="M145" s="107"/>
      <c r="N145" s="206"/>
      <c r="O145" s="108" t="b">
        <v>0</v>
      </c>
      <c r="P145" s="207"/>
      <c r="Q145" s="140"/>
      <c r="R145" s="140"/>
      <c r="S145" s="140"/>
      <c r="T145" s="14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c r="AR145" s="140"/>
      <c r="AS145" s="140"/>
      <c r="AT145" s="140"/>
      <c r="AU145" s="140"/>
      <c r="AV145" s="140"/>
      <c r="AW145" s="140"/>
      <c r="AX145" s="140"/>
      <c r="AY145" s="140"/>
      <c r="AZ145" s="140"/>
      <c r="BA145" s="140"/>
      <c r="BB145" s="140"/>
      <c r="BC145" s="140"/>
      <c r="BD145" s="140"/>
      <c r="BE145" s="140"/>
    </row>
    <row r="146">
      <c r="A146" s="108"/>
      <c r="B146" s="107"/>
      <c r="C146" s="107"/>
      <c r="D146" s="107"/>
      <c r="E146" s="107"/>
      <c r="F146" s="107"/>
      <c r="G146" s="208"/>
      <c r="H146" s="131"/>
      <c r="I146" s="211"/>
      <c r="J146" s="107"/>
      <c r="K146" s="202"/>
      <c r="L146" s="107"/>
      <c r="M146" s="107"/>
      <c r="N146" s="206"/>
      <c r="O146" s="108" t="b">
        <v>0</v>
      </c>
      <c r="P146" s="207"/>
      <c r="Q146" s="140"/>
      <c r="R146" s="140"/>
      <c r="S146" s="140"/>
      <c r="T146" s="14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140"/>
      <c r="AQ146" s="140"/>
      <c r="AR146" s="140"/>
      <c r="AS146" s="140"/>
      <c r="AT146" s="140"/>
      <c r="AU146" s="140"/>
      <c r="AV146" s="140"/>
      <c r="AW146" s="140"/>
      <c r="AX146" s="140"/>
      <c r="AY146" s="140"/>
      <c r="AZ146" s="140"/>
      <c r="BA146" s="140"/>
      <c r="BB146" s="140"/>
      <c r="BC146" s="140"/>
      <c r="BD146" s="140"/>
      <c r="BE146" s="140"/>
    </row>
    <row r="147">
      <c r="A147" s="108"/>
      <c r="B147" s="107"/>
      <c r="C147" s="107"/>
      <c r="D147" s="107"/>
      <c r="E147" s="107"/>
      <c r="F147" s="107"/>
      <c r="G147" s="208"/>
      <c r="H147" s="131"/>
      <c r="I147" s="211"/>
      <c r="J147" s="107"/>
      <c r="K147" s="202"/>
      <c r="L147" s="107"/>
      <c r="M147" s="107"/>
      <c r="N147" s="206"/>
      <c r="O147" s="108" t="b">
        <v>0</v>
      </c>
      <c r="P147" s="207"/>
      <c r="Q147" s="140"/>
      <c r="R147" s="140"/>
      <c r="S147" s="140"/>
      <c r="T147" s="140"/>
      <c r="U147" s="140"/>
      <c r="V147" s="140"/>
      <c r="W147" s="140"/>
      <c r="X147" s="140"/>
      <c r="Y147" s="140"/>
      <c r="Z147" s="140"/>
      <c r="AA147" s="140"/>
      <c r="AB147" s="140"/>
      <c r="AC147" s="140"/>
      <c r="AD147" s="140"/>
      <c r="AE147" s="140"/>
      <c r="AF147" s="140"/>
      <c r="AG147" s="140"/>
      <c r="AH147" s="140"/>
      <c r="AI147" s="140"/>
      <c r="AJ147" s="140"/>
      <c r="AK147" s="140"/>
      <c r="AL147" s="140"/>
      <c r="AM147" s="140"/>
      <c r="AN147" s="140"/>
      <c r="AO147" s="140"/>
      <c r="AP147" s="140"/>
      <c r="AQ147" s="140"/>
      <c r="AR147" s="140"/>
      <c r="AS147" s="140"/>
      <c r="AT147" s="140"/>
      <c r="AU147" s="140"/>
      <c r="AV147" s="140"/>
      <c r="AW147" s="140"/>
      <c r="AX147" s="140"/>
      <c r="AY147" s="140"/>
      <c r="AZ147" s="140"/>
      <c r="BA147" s="140"/>
      <c r="BB147" s="140"/>
      <c r="BC147" s="140"/>
      <c r="BD147" s="140"/>
      <c r="BE147" s="140"/>
    </row>
    <row r="148">
      <c r="A148" s="108"/>
      <c r="B148" s="107"/>
      <c r="C148" s="107"/>
      <c r="D148" s="107"/>
      <c r="E148" s="107"/>
      <c r="F148" s="107"/>
      <c r="G148" s="208"/>
      <c r="H148" s="131"/>
      <c r="I148" s="211"/>
      <c r="J148" s="107"/>
      <c r="K148" s="202"/>
      <c r="L148" s="107"/>
      <c r="M148" s="107"/>
      <c r="N148" s="206"/>
      <c r="O148" s="108" t="b">
        <v>0</v>
      </c>
      <c r="P148" s="207"/>
      <c r="Q148" s="140"/>
      <c r="R148" s="140"/>
      <c r="S148" s="140"/>
      <c r="T148" s="140"/>
      <c r="U148" s="140"/>
      <c r="V148" s="140"/>
      <c r="W148" s="140"/>
      <c r="X148" s="140"/>
      <c r="Y148" s="140"/>
      <c r="Z148" s="140"/>
      <c r="AA148" s="140"/>
      <c r="AB148" s="140"/>
      <c r="AC148" s="140"/>
      <c r="AD148" s="140"/>
      <c r="AE148" s="140"/>
      <c r="AF148" s="140"/>
      <c r="AG148" s="140"/>
      <c r="AH148" s="140"/>
      <c r="AI148" s="140"/>
      <c r="AJ148" s="140"/>
      <c r="AK148" s="140"/>
      <c r="AL148" s="140"/>
      <c r="AM148" s="140"/>
      <c r="AN148" s="140"/>
      <c r="AO148" s="140"/>
      <c r="AP148" s="140"/>
      <c r="AQ148" s="140"/>
      <c r="AR148" s="140"/>
      <c r="AS148" s="140"/>
      <c r="AT148" s="140"/>
      <c r="AU148" s="140"/>
      <c r="AV148" s="140"/>
      <c r="AW148" s="140"/>
      <c r="AX148" s="140"/>
      <c r="AY148" s="140"/>
      <c r="AZ148" s="140"/>
      <c r="BA148" s="140"/>
      <c r="BB148" s="140"/>
      <c r="BC148" s="140"/>
      <c r="BD148" s="140"/>
      <c r="BE148" s="140"/>
    </row>
    <row r="149">
      <c r="A149" s="108"/>
      <c r="B149" s="107"/>
      <c r="C149" s="107"/>
      <c r="D149" s="107"/>
      <c r="E149" s="107"/>
      <c r="F149" s="107"/>
      <c r="G149" s="208"/>
      <c r="H149" s="131"/>
      <c r="I149" s="211"/>
      <c r="J149" s="107"/>
      <c r="K149" s="202"/>
      <c r="L149" s="107"/>
      <c r="M149" s="107"/>
      <c r="N149" s="206"/>
      <c r="O149" s="108" t="b">
        <v>0</v>
      </c>
      <c r="P149" s="207"/>
      <c r="Q149" s="140"/>
      <c r="R149" s="140"/>
      <c r="S149" s="140"/>
      <c r="T149" s="140"/>
      <c r="U149" s="140"/>
      <c r="V149" s="140"/>
      <c r="W149" s="140"/>
      <c r="X149" s="140"/>
      <c r="Y149" s="140"/>
      <c r="Z149" s="140"/>
      <c r="AA149" s="140"/>
      <c r="AB149" s="140"/>
      <c r="AC149" s="140"/>
      <c r="AD149" s="140"/>
      <c r="AE149" s="140"/>
      <c r="AF149" s="140"/>
      <c r="AG149" s="140"/>
      <c r="AH149" s="140"/>
      <c r="AI149" s="140"/>
      <c r="AJ149" s="140"/>
      <c r="AK149" s="140"/>
      <c r="AL149" s="140"/>
      <c r="AM149" s="140"/>
      <c r="AN149" s="140"/>
      <c r="AO149" s="140"/>
      <c r="AP149" s="140"/>
      <c r="AQ149" s="140"/>
      <c r="AR149" s="140"/>
      <c r="AS149" s="140"/>
      <c r="AT149" s="140"/>
      <c r="AU149" s="140"/>
      <c r="AV149" s="140"/>
      <c r="AW149" s="140"/>
      <c r="AX149" s="140"/>
      <c r="AY149" s="140"/>
      <c r="AZ149" s="140"/>
      <c r="BA149" s="140"/>
      <c r="BB149" s="140"/>
      <c r="BC149" s="140"/>
      <c r="BD149" s="140"/>
      <c r="BE149" s="140"/>
    </row>
    <row r="150">
      <c r="A150" s="108"/>
      <c r="B150" s="107"/>
      <c r="C150" s="107"/>
      <c r="D150" s="107"/>
      <c r="E150" s="107"/>
      <c r="F150" s="107"/>
      <c r="G150" s="208"/>
      <c r="H150" s="131"/>
      <c r="I150" s="211"/>
      <c r="J150" s="107"/>
      <c r="K150" s="202"/>
      <c r="L150" s="107"/>
      <c r="M150" s="107"/>
      <c r="N150" s="206"/>
      <c r="O150" s="108" t="b">
        <v>0</v>
      </c>
      <c r="P150" s="207"/>
      <c r="Q150" s="140"/>
      <c r="R150" s="140"/>
      <c r="S150" s="140"/>
      <c r="T150" s="140"/>
      <c r="U150" s="140"/>
      <c r="V150" s="140"/>
      <c r="W150" s="140"/>
      <c r="X150" s="140"/>
      <c r="Y150" s="140"/>
      <c r="Z150" s="140"/>
      <c r="AA150" s="140"/>
      <c r="AB150" s="140"/>
      <c r="AC150" s="140"/>
      <c r="AD150" s="140"/>
      <c r="AE150" s="140"/>
      <c r="AF150" s="140"/>
      <c r="AG150" s="140"/>
      <c r="AH150" s="140"/>
      <c r="AI150" s="140"/>
      <c r="AJ150" s="140"/>
      <c r="AK150" s="140"/>
      <c r="AL150" s="140"/>
      <c r="AM150" s="140"/>
      <c r="AN150" s="140"/>
      <c r="AO150" s="140"/>
      <c r="AP150" s="140"/>
      <c r="AQ150" s="140"/>
      <c r="AR150" s="140"/>
      <c r="AS150" s="140"/>
      <c r="AT150" s="140"/>
      <c r="AU150" s="140"/>
      <c r="AV150" s="140"/>
      <c r="AW150" s="140"/>
      <c r="AX150" s="140"/>
      <c r="AY150" s="140"/>
      <c r="AZ150" s="140"/>
      <c r="BA150" s="140"/>
      <c r="BB150" s="140"/>
      <c r="BC150" s="140"/>
      <c r="BD150" s="140"/>
      <c r="BE150" s="140"/>
    </row>
    <row r="151">
      <c r="A151" s="108"/>
      <c r="B151" s="107"/>
      <c r="C151" s="107"/>
      <c r="D151" s="107"/>
      <c r="E151" s="107"/>
      <c r="F151" s="107"/>
      <c r="G151" s="208"/>
      <c r="H151" s="131"/>
      <c r="I151" s="211"/>
      <c r="J151" s="107"/>
      <c r="K151" s="202"/>
      <c r="L151" s="107"/>
      <c r="M151" s="107"/>
      <c r="N151" s="206"/>
      <c r="O151" s="108" t="b">
        <v>0</v>
      </c>
      <c r="P151" s="207"/>
      <c r="Q151" s="140"/>
      <c r="R151" s="140"/>
      <c r="S151" s="140"/>
      <c r="T151" s="140"/>
      <c r="U151" s="140"/>
      <c r="V151" s="140"/>
      <c r="W151" s="140"/>
      <c r="X151" s="140"/>
      <c r="Y151" s="140"/>
      <c r="Z151" s="140"/>
      <c r="AA151" s="140"/>
      <c r="AB151" s="140"/>
      <c r="AC151" s="140"/>
      <c r="AD151" s="140"/>
      <c r="AE151" s="140"/>
      <c r="AF151" s="140"/>
      <c r="AG151" s="140"/>
      <c r="AH151" s="140"/>
      <c r="AI151" s="140"/>
      <c r="AJ151" s="140"/>
      <c r="AK151" s="140"/>
      <c r="AL151" s="140"/>
      <c r="AM151" s="140"/>
      <c r="AN151" s="140"/>
      <c r="AO151" s="140"/>
      <c r="AP151" s="140"/>
      <c r="AQ151" s="140"/>
      <c r="AR151" s="140"/>
      <c r="AS151" s="140"/>
      <c r="AT151" s="140"/>
      <c r="AU151" s="140"/>
      <c r="AV151" s="140"/>
      <c r="AW151" s="140"/>
      <c r="AX151" s="140"/>
      <c r="AY151" s="140"/>
      <c r="AZ151" s="140"/>
      <c r="BA151" s="140"/>
      <c r="BB151" s="140"/>
      <c r="BC151" s="140"/>
      <c r="BD151" s="140"/>
      <c r="BE151" s="140"/>
    </row>
    <row r="152">
      <c r="A152" s="108"/>
      <c r="B152" s="107"/>
      <c r="C152" s="107"/>
      <c r="D152" s="107"/>
      <c r="E152" s="107"/>
      <c r="F152" s="107"/>
      <c r="G152" s="208"/>
      <c r="H152" s="131"/>
      <c r="I152" s="211"/>
      <c r="J152" s="107"/>
      <c r="K152" s="202"/>
      <c r="L152" s="107"/>
      <c r="M152" s="107"/>
      <c r="N152" s="206"/>
      <c r="O152" s="108" t="b">
        <v>0</v>
      </c>
      <c r="P152" s="207"/>
      <c r="Q152" s="140"/>
      <c r="R152" s="140"/>
      <c r="S152" s="140"/>
      <c r="T152" s="140"/>
      <c r="U152" s="140"/>
      <c r="V152" s="140"/>
      <c r="W152" s="140"/>
      <c r="X152" s="140"/>
      <c r="Y152" s="140"/>
      <c r="Z152" s="140"/>
      <c r="AA152" s="140"/>
      <c r="AB152" s="140"/>
      <c r="AC152" s="140"/>
      <c r="AD152" s="140"/>
      <c r="AE152" s="140"/>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c r="BA152" s="140"/>
      <c r="BB152" s="140"/>
      <c r="BC152" s="140"/>
      <c r="BD152" s="140"/>
      <c r="BE152" s="140"/>
    </row>
    <row r="153">
      <c r="A153" s="108"/>
      <c r="B153" s="107"/>
      <c r="C153" s="107"/>
      <c r="D153" s="107"/>
      <c r="E153" s="107"/>
      <c r="F153" s="107"/>
      <c r="G153" s="208"/>
      <c r="H153" s="131"/>
      <c r="I153" s="211"/>
      <c r="J153" s="107"/>
      <c r="K153" s="202"/>
      <c r="L153" s="107"/>
      <c r="M153" s="107"/>
      <c r="N153" s="206"/>
      <c r="O153" s="108" t="b">
        <v>0</v>
      </c>
      <c r="P153" s="207"/>
      <c r="Q153" s="140"/>
      <c r="R153" s="140"/>
      <c r="S153" s="140"/>
      <c r="T153" s="140"/>
      <c r="U153" s="140"/>
      <c r="V153" s="140"/>
      <c r="W153" s="140"/>
      <c r="X153" s="140"/>
      <c r="Y153" s="140"/>
      <c r="Z153" s="140"/>
      <c r="AA153" s="140"/>
      <c r="AB153" s="140"/>
      <c r="AC153" s="140"/>
      <c r="AD153" s="140"/>
      <c r="AE153" s="140"/>
      <c r="AF153" s="140"/>
      <c r="AG153" s="140"/>
      <c r="AH153" s="140"/>
      <c r="AI153" s="140"/>
      <c r="AJ153" s="140"/>
      <c r="AK153" s="140"/>
      <c r="AL153" s="140"/>
      <c r="AM153" s="140"/>
      <c r="AN153" s="140"/>
      <c r="AO153" s="140"/>
      <c r="AP153" s="140"/>
      <c r="AQ153" s="140"/>
      <c r="AR153" s="140"/>
      <c r="AS153" s="140"/>
      <c r="AT153" s="140"/>
      <c r="AU153" s="140"/>
      <c r="AV153" s="140"/>
      <c r="AW153" s="140"/>
      <c r="AX153" s="140"/>
      <c r="AY153" s="140"/>
      <c r="AZ153" s="140"/>
      <c r="BA153" s="140"/>
      <c r="BB153" s="140"/>
      <c r="BC153" s="140"/>
      <c r="BD153" s="140"/>
      <c r="BE153" s="140"/>
    </row>
    <row r="154">
      <c r="A154" s="108"/>
      <c r="B154" s="107"/>
      <c r="C154" s="107"/>
      <c r="D154" s="107"/>
      <c r="E154" s="107"/>
      <c r="F154" s="107"/>
      <c r="G154" s="208"/>
      <c r="H154" s="131"/>
      <c r="I154" s="211"/>
      <c r="J154" s="107"/>
      <c r="K154" s="202"/>
      <c r="L154" s="107"/>
      <c r="M154" s="107"/>
      <c r="N154" s="206"/>
      <c r="O154" s="108" t="b">
        <v>0</v>
      </c>
      <c r="P154" s="207"/>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c r="BA154" s="140"/>
      <c r="BB154" s="140"/>
      <c r="BC154" s="140"/>
      <c r="BD154" s="140"/>
      <c r="BE154" s="140"/>
    </row>
    <row r="155">
      <c r="A155" s="108"/>
      <c r="B155" s="107"/>
      <c r="C155" s="107"/>
      <c r="D155" s="107"/>
      <c r="E155" s="107"/>
      <c r="F155" s="107"/>
      <c r="G155" s="208"/>
      <c r="H155" s="131"/>
      <c r="I155" s="211"/>
      <c r="J155" s="107"/>
      <c r="K155" s="202"/>
      <c r="L155" s="107"/>
      <c r="M155" s="107"/>
      <c r="N155" s="206"/>
      <c r="O155" s="108" t="b">
        <v>0</v>
      </c>
      <c r="P155" s="207"/>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c r="BA155" s="140"/>
      <c r="BB155" s="140"/>
      <c r="BC155" s="140"/>
      <c r="BD155" s="140"/>
      <c r="BE155" s="140"/>
    </row>
    <row r="156">
      <c r="A156" s="108"/>
      <c r="B156" s="107"/>
      <c r="C156" s="107"/>
      <c r="D156" s="107"/>
      <c r="E156" s="107"/>
      <c r="F156" s="107"/>
      <c r="G156" s="208"/>
      <c r="H156" s="131"/>
      <c r="I156" s="211"/>
      <c r="J156" s="107"/>
      <c r="K156" s="202"/>
      <c r="L156" s="107"/>
      <c r="M156" s="107"/>
      <c r="N156" s="206"/>
      <c r="O156" s="108" t="b">
        <v>0</v>
      </c>
      <c r="P156" s="207"/>
      <c r="Q156" s="140"/>
      <c r="R156" s="140"/>
      <c r="S156" s="140"/>
      <c r="T156" s="140"/>
      <c r="U156" s="140"/>
      <c r="V156" s="140"/>
      <c r="W156" s="140"/>
      <c r="X156" s="140"/>
      <c r="Y156" s="140"/>
      <c r="Z156" s="140"/>
      <c r="AA156" s="140"/>
      <c r="AB156" s="140"/>
      <c r="AC156" s="140"/>
      <c r="AD156" s="140"/>
      <c r="AE156" s="140"/>
      <c r="AF156" s="140"/>
      <c r="AG156" s="140"/>
      <c r="AH156" s="140"/>
      <c r="AI156" s="140"/>
      <c r="AJ156" s="140"/>
      <c r="AK156" s="140"/>
      <c r="AL156" s="140"/>
      <c r="AM156" s="140"/>
      <c r="AN156" s="140"/>
      <c r="AO156" s="140"/>
      <c r="AP156" s="140"/>
      <c r="AQ156" s="140"/>
      <c r="AR156" s="140"/>
      <c r="AS156" s="140"/>
      <c r="AT156" s="140"/>
      <c r="AU156" s="140"/>
      <c r="AV156" s="140"/>
      <c r="AW156" s="140"/>
      <c r="AX156" s="140"/>
      <c r="AY156" s="140"/>
      <c r="AZ156" s="140"/>
      <c r="BA156" s="140"/>
      <c r="BB156" s="140"/>
      <c r="BC156" s="140"/>
      <c r="BD156" s="140"/>
      <c r="BE156" s="140"/>
    </row>
    <row r="157">
      <c r="A157" s="108"/>
      <c r="B157" s="107"/>
      <c r="C157" s="107"/>
      <c r="D157" s="107"/>
      <c r="E157" s="107"/>
      <c r="F157" s="107"/>
      <c r="G157" s="208"/>
      <c r="H157" s="131"/>
      <c r="I157" s="211"/>
      <c r="J157" s="107"/>
      <c r="K157" s="202"/>
      <c r="L157" s="107"/>
      <c r="M157" s="107"/>
      <c r="N157" s="206"/>
      <c r="O157" s="108" t="b">
        <v>0</v>
      </c>
      <c r="P157" s="207"/>
      <c r="Q157" s="140"/>
      <c r="R157" s="140"/>
      <c r="S157" s="140"/>
      <c r="T157" s="140"/>
      <c r="U157" s="140"/>
      <c r="V157" s="140"/>
      <c r="W157" s="140"/>
      <c r="X157" s="140"/>
      <c r="Y157" s="140"/>
      <c r="Z157" s="140"/>
      <c r="AA157" s="140"/>
      <c r="AB157" s="140"/>
      <c r="AC157" s="140"/>
      <c r="AD157" s="140"/>
      <c r="AE157" s="140"/>
      <c r="AF157" s="140"/>
      <c r="AG157" s="140"/>
      <c r="AH157" s="140"/>
      <c r="AI157" s="140"/>
      <c r="AJ157" s="140"/>
      <c r="AK157" s="140"/>
      <c r="AL157" s="140"/>
      <c r="AM157" s="140"/>
      <c r="AN157" s="140"/>
      <c r="AO157" s="140"/>
      <c r="AP157" s="140"/>
      <c r="AQ157" s="140"/>
      <c r="AR157" s="140"/>
      <c r="AS157" s="140"/>
      <c r="AT157" s="140"/>
      <c r="AU157" s="140"/>
      <c r="AV157" s="140"/>
      <c r="AW157" s="140"/>
      <c r="AX157" s="140"/>
      <c r="AY157" s="140"/>
      <c r="AZ157" s="140"/>
      <c r="BA157" s="140"/>
      <c r="BB157" s="140"/>
      <c r="BC157" s="140"/>
      <c r="BD157" s="140"/>
      <c r="BE157" s="140"/>
    </row>
    <row r="158">
      <c r="A158" s="108"/>
      <c r="B158" s="107"/>
      <c r="C158" s="107"/>
      <c r="D158" s="107"/>
      <c r="E158" s="107"/>
      <c r="F158" s="107"/>
      <c r="G158" s="208"/>
      <c r="H158" s="131"/>
      <c r="I158" s="211"/>
      <c r="J158" s="107"/>
      <c r="K158" s="202"/>
      <c r="L158" s="107"/>
      <c r="M158" s="107"/>
      <c r="N158" s="206"/>
      <c r="O158" s="108" t="b">
        <v>0</v>
      </c>
      <c r="P158" s="207"/>
      <c r="Q158" s="140"/>
      <c r="R158" s="140"/>
      <c r="S158" s="140"/>
      <c r="T158" s="140"/>
      <c r="U158" s="140"/>
      <c r="V158" s="140"/>
      <c r="W158" s="140"/>
      <c r="X158" s="140"/>
      <c r="Y158" s="140"/>
      <c r="Z158" s="140"/>
      <c r="AA158" s="140"/>
      <c r="AB158" s="140"/>
      <c r="AC158" s="140"/>
      <c r="AD158" s="140"/>
      <c r="AE158" s="140"/>
      <c r="AF158" s="140"/>
      <c r="AG158" s="140"/>
      <c r="AH158" s="140"/>
      <c r="AI158" s="140"/>
      <c r="AJ158" s="140"/>
      <c r="AK158" s="140"/>
      <c r="AL158" s="140"/>
      <c r="AM158" s="140"/>
      <c r="AN158" s="140"/>
      <c r="AO158" s="140"/>
      <c r="AP158" s="140"/>
      <c r="AQ158" s="140"/>
      <c r="AR158" s="140"/>
      <c r="AS158" s="140"/>
      <c r="AT158" s="140"/>
      <c r="AU158" s="140"/>
      <c r="AV158" s="140"/>
      <c r="AW158" s="140"/>
      <c r="AX158" s="140"/>
      <c r="AY158" s="140"/>
      <c r="AZ158" s="140"/>
      <c r="BA158" s="140"/>
      <c r="BB158" s="140"/>
      <c r="BC158" s="140"/>
      <c r="BD158" s="140"/>
      <c r="BE158" s="140"/>
    </row>
    <row r="159">
      <c r="A159" s="108"/>
      <c r="B159" s="107"/>
      <c r="C159" s="107"/>
      <c r="D159" s="107"/>
      <c r="E159" s="107"/>
      <c r="F159" s="107"/>
      <c r="G159" s="208"/>
      <c r="H159" s="131"/>
      <c r="I159" s="211"/>
      <c r="J159" s="107"/>
      <c r="K159" s="202"/>
      <c r="L159" s="107"/>
      <c r="M159" s="107"/>
      <c r="N159" s="206"/>
      <c r="O159" s="108" t="b">
        <v>0</v>
      </c>
      <c r="P159" s="207"/>
      <c r="Q159" s="140"/>
      <c r="R159" s="140"/>
      <c r="S159" s="140"/>
      <c r="T159" s="140"/>
      <c r="U159" s="140"/>
      <c r="V159" s="140"/>
      <c r="W159" s="140"/>
      <c r="X159" s="140"/>
      <c r="Y159" s="140"/>
      <c r="Z159" s="140"/>
      <c r="AA159" s="140"/>
      <c r="AB159" s="140"/>
      <c r="AC159" s="140"/>
      <c r="AD159" s="140"/>
      <c r="AE159" s="140"/>
      <c r="AF159" s="140"/>
      <c r="AG159" s="140"/>
      <c r="AH159" s="140"/>
      <c r="AI159" s="140"/>
      <c r="AJ159" s="140"/>
      <c r="AK159" s="140"/>
      <c r="AL159" s="140"/>
      <c r="AM159" s="140"/>
      <c r="AN159" s="140"/>
      <c r="AO159" s="140"/>
      <c r="AP159" s="140"/>
      <c r="AQ159" s="140"/>
      <c r="AR159" s="140"/>
      <c r="AS159" s="140"/>
      <c r="AT159" s="140"/>
      <c r="AU159" s="140"/>
      <c r="AV159" s="140"/>
      <c r="AW159" s="140"/>
      <c r="AX159" s="140"/>
      <c r="AY159" s="140"/>
      <c r="AZ159" s="140"/>
      <c r="BA159" s="140"/>
      <c r="BB159" s="140"/>
      <c r="BC159" s="140"/>
      <c r="BD159" s="140"/>
      <c r="BE159" s="140"/>
    </row>
    <row r="160">
      <c r="A160" s="108"/>
      <c r="B160" s="107"/>
      <c r="C160" s="107"/>
      <c r="D160" s="107"/>
      <c r="E160" s="107"/>
      <c r="F160" s="107"/>
      <c r="G160" s="208"/>
      <c r="H160" s="131"/>
      <c r="I160" s="211"/>
      <c r="J160" s="107"/>
      <c r="K160" s="202"/>
      <c r="L160" s="107"/>
      <c r="M160" s="107"/>
      <c r="N160" s="206"/>
      <c r="O160" s="108" t="b">
        <v>0</v>
      </c>
      <c r="P160" s="207"/>
      <c r="Q160" s="140"/>
      <c r="R160" s="140"/>
      <c r="S160" s="140"/>
      <c r="T160" s="140"/>
      <c r="U160" s="140"/>
      <c r="V160" s="140"/>
      <c r="W160" s="140"/>
      <c r="X160" s="140"/>
      <c r="Y160" s="140"/>
      <c r="Z160" s="140"/>
      <c r="AA160" s="140"/>
      <c r="AB160" s="140"/>
      <c r="AC160" s="140"/>
      <c r="AD160" s="140"/>
      <c r="AE160" s="140"/>
      <c r="AF160" s="140"/>
      <c r="AG160" s="140"/>
      <c r="AH160" s="140"/>
      <c r="AI160" s="140"/>
      <c r="AJ160" s="140"/>
      <c r="AK160" s="140"/>
      <c r="AL160" s="140"/>
      <c r="AM160" s="140"/>
      <c r="AN160" s="140"/>
      <c r="AO160" s="140"/>
      <c r="AP160" s="140"/>
      <c r="AQ160" s="140"/>
      <c r="AR160" s="140"/>
      <c r="AS160" s="140"/>
      <c r="AT160" s="140"/>
      <c r="AU160" s="140"/>
      <c r="AV160" s="140"/>
      <c r="AW160" s="140"/>
      <c r="AX160" s="140"/>
      <c r="AY160" s="140"/>
      <c r="AZ160" s="140"/>
      <c r="BA160" s="140"/>
      <c r="BB160" s="140"/>
      <c r="BC160" s="140"/>
      <c r="BD160" s="140"/>
      <c r="BE160" s="140"/>
    </row>
    <row r="161">
      <c r="A161" s="108"/>
      <c r="B161" s="107"/>
      <c r="C161" s="107"/>
      <c r="D161" s="107"/>
      <c r="E161" s="107"/>
      <c r="F161" s="107"/>
      <c r="G161" s="208"/>
      <c r="H161" s="131"/>
      <c r="I161" s="211"/>
      <c r="J161" s="107"/>
      <c r="K161" s="202"/>
      <c r="L161" s="107"/>
      <c r="M161" s="107"/>
      <c r="N161" s="206"/>
      <c r="O161" s="108" t="b">
        <v>0</v>
      </c>
      <c r="P161" s="207"/>
      <c r="Q161" s="140"/>
      <c r="R161" s="140"/>
      <c r="S161" s="140"/>
      <c r="T161" s="140"/>
      <c r="U161" s="140"/>
      <c r="V161" s="140"/>
      <c r="W161" s="140"/>
      <c r="X161" s="140"/>
      <c r="Y161" s="140"/>
      <c r="Z161" s="140"/>
      <c r="AA161" s="140"/>
      <c r="AB161" s="140"/>
      <c r="AC161" s="140"/>
      <c r="AD161" s="140"/>
      <c r="AE161" s="140"/>
      <c r="AF161" s="140"/>
      <c r="AG161" s="140"/>
      <c r="AH161" s="140"/>
      <c r="AI161" s="140"/>
      <c r="AJ161" s="140"/>
      <c r="AK161" s="140"/>
      <c r="AL161" s="140"/>
      <c r="AM161" s="140"/>
      <c r="AN161" s="140"/>
      <c r="AO161" s="140"/>
      <c r="AP161" s="140"/>
      <c r="AQ161" s="140"/>
      <c r="AR161" s="140"/>
      <c r="AS161" s="140"/>
      <c r="AT161" s="140"/>
      <c r="AU161" s="140"/>
      <c r="AV161" s="140"/>
      <c r="AW161" s="140"/>
      <c r="AX161" s="140"/>
      <c r="AY161" s="140"/>
      <c r="AZ161" s="140"/>
      <c r="BA161" s="140"/>
      <c r="BB161" s="140"/>
      <c r="BC161" s="140"/>
      <c r="BD161" s="140"/>
      <c r="BE161" s="140"/>
    </row>
    <row r="162">
      <c r="A162" s="108"/>
      <c r="B162" s="107"/>
      <c r="C162" s="107"/>
      <c r="D162" s="107"/>
      <c r="E162" s="107"/>
      <c r="F162" s="107"/>
      <c r="G162" s="208"/>
      <c r="H162" s="131"/>
      <c r="I162" s="211"/>
      <c r="J162" s="107"/>
      <c r="K162" s="202"/>
      <c r="L162" s="107"/>
      <c r="M162" s="107"/>
      <c r="N162" s="206"/>
      <c r="O162" s="108" t="b">
        <v>0</v>
      </c>
      <c r="P162" s="207"/>
      <c r="Q162" s="140"/>
      <c r="R162" s="140"/>
      <c r="S162" s="140"/>
      <c r="T162" s="140"/>
      <c r="U162" s="140"/>
      <c r="V162" s="140"/>
      <c r="W162" s="140"/>
      <c r="X162" s="140"/>
      <c r="Y162" s="140"/>
      <c r="Z162" s="140"/>
      <c r="AA162" s="140"/>
      <c r="AB162" s="140"/>
      <c r="AC162" s="140"/>
      <c r="AD162" s="140"/>
      <c r="AE162" s="140"/>
      <c r="AF162" s="140"/>
      <c r="AG162" s="140"/>
      <c r="AH162" s="140"/>
      <c r="AI162" s="140"/>
      <c r="AJ162" s="140"/>
      <c r="AK162" s="140"/>
      <c r="AL162" s="140"/>
      <c r="AM162" s="140"/>
      <c r="AN162" s="140"/>
      <c r="AO162" s="140"/>
      <c r="AP162" s="140"/>
      <c r="AQ162" s="140"/>
      <c r="AR162" s="140"/>
      <c r="AS162" s="140"/>
      <c r="AT162" s="140"/>
      <c r="AU162" s="140"/>
      <c r="AV162" s="140"/>
      <c r="AW162" s="140"/>
      <c r="AX162" s="140"/>
      <c r="AY162" s="140"/>
      <c r="AZ162" s="140"/>
      <c r="BA162" s="140"/>
      <c r="BB162" s="140"/>
      <c r="BC162" s="140"/>
      <c r="BD162" s="140"/>
      <c r="BE162" s="140"/>
    </row>
    <row r="163">
      <c r="A163" s="108"/>
      <c r="B163" s="107"/>
      <c r="C163" s="107"/>
      <c r="D163" s="107"/>
      <c r="E163" s="107"/>
      <c r="F163" s="107"/>
      <c r="G163" s="208"/>
      <c r="H163" s="131"/>
      <c r="I163" s="211"/>
      <c r="J163" s="107"/>
      <c r="K163" s="202"/>
      <c r="L163" s="107"/>
      <c r="M163" s="107"/>
      <c r="N163" s="206"/>
      <c r="O163" s="108" t="b">
        <v>0</v>
      </c>
      <c r="P163" s="207"/>
      <c r="Q163" s="140"/>
      <c r="R163" s="140"/>
      <c r="S163" s="140"/>
      <c r="T163" s="140"/>
      <c r="U163" s="140"/>
      <c r="V163" s="140"/>
      <c r="W163" s="140"/>
      <c r="X163" s="140"/>
      <c r="Y163" s="140"/>
      <c r="Z163" s="140"/>
      <c r="AA163" s="140"/>
      <c r="AB163" s="140"/>
      <c r="AC163" s="140"/>
      <c r="AD163" s="140"/>
      <c r="AE163" s="140"/>
      <c r="AF163" s="140"/>
      <c r="AG163" s="140"/>
      <c r="AH163" s="140"/>
      <c r="AI163" s="140"/>
      <c r="AJ163" s="140"/>
      <c r="AK163" s="140"/>
      <c r="AL163" s="140"/>
      <c r="AM163" s="140"/>
      <c r="AN163" s="140"/>
      <c r="AO163" s="140"/>
      <c r="AP163" s="140"/>
      <c r="AQ163" s="140"/>
      <c r="AR163" s="140"/>
      <c r="AS163" s="140"/>
      <c r="AT163" s="140"/>
      <c r="AU163" s="140"/>
      <c r="AV163" s="140"/>
      <c r="AW163" s="140"/>
      <c r="AX163" s="140"/>
      <c r="AY163" s="140"/>
      <c r="AZ163" s="140"/>
      <c r="BA163" s="140"/>
      <c r="BB163" s="140"/>
      <c r="BC163" s="140"/>
      <c r="BD163" s="140"/>
      <c r="BE163" s="140"/>
    </row>
    <row r="164">
      <c r="A164" s="108"/>
      <c r="B164" s="107"/>
      <c r="C164" s="107"/>
      <c r="D164" s="107"/>
      <c r="E164" s="107"/>
      <c r="F164" s="107"/>
      <c r="G164" s="208"/>
      <c r="H164" s="131"/>
      <c r="I164" s="211"/>
      <c r="J164" s="107"/>
      <c r="K164" s="202"/>
      <c r="L164" s="107"/>
      <c r="M164" s="107"/>
      <c r="N164" s="206"/>
      <c r="O164" s="108" t="b">
        <v>0</v>
      </c>
      <c r="P164" s="207"/>
      <c r="Q164" s="140"/>
      <c r="R164" s="140"/>
      <c r="S164" s="140"/>
      <c r="T164" s="140"/>
      <c r="U164" s="140"/>
      <c r="V164" s="140"/>
      <c r="W164" s="140"/>
      <c r="X164" s="140"/>
      <c r="Y164" s="140"/>
      <c r="Z164" s="140"/>
      <c r="AA164" s="140"/>
      <c r="AB164" s="140"/>
      <c r="AC164" s="140"/>
      <c r="AD164" s="140"/>
      <c r="AE164" s="140"/>
      <c r="AF164" s="140"/>
      <c r="AG164" s="140"/>
      <c r="AH164" s="140"/>
      <c r="AI164" s="140"/>
      <c r="AJ164" s="140"/>
      <c r="AK164" s="140"/>
      <c r="AL164" s="140"/>
      <c r="AM164" s="140"/>
      <c r="AN164" s="140"/>
      <c r="AO164" s="140"/>
      <c r="AP164" s="140"/>
      <c r="AQ164" s="140"/>
      <c r="AR164" s="140"/>
      <c r="AS164" s="140"/>
      <c r="AT164" s="140"/>
      <c r="AU164" s="140"/>
      <c r="AV164" s="140"/>
      <c r="AW164" s="140"/>
      <c r="AX164" s="140"/>
      <c r="AY164" s="140"/>
      <c r="AZ164" s="140"/>
      <c r="BA164" s="140"/>
      <c r="BB164" s="140"/>
      <c r="BC164" s="140"/>
      <c r="BD164" s="140"/>
      <c r="BE164" s="140"/>
    </row>
    <row r="165">
      <c r="A165" s="108"/>
      <c r="B165" s="107"/>
      <c r="C165" s="107"/>
      <c r="D165" s="107"/>
      <c r="E165" s="107"/>
      <c r="F165" s="107"/>
      <c r="G165" s="208"/>
      <c r="H165" s="131"/>
      <c r="I165" s="211"/>
      <c r="J165" s="107"/>
      <c r="K165" s="202"/>
      <c r="L165" s="107"/>
      <c r="M165" s="107"/>
      <c r="N165" s="206"/>
      <c r="O165" s="108" t="b">
        <v>0</v>
      </c>
      <c r="P165" s="207"/>
      <c r="Q165" s="140"/>
      <c r="R165" s="140"/>
      <c r="S165" s="140"/>
      <c r="T165" s="140"/>
      <c r="U165" s="140"/>
      <c r="V165" s="140"/>
      <c r="W165" s="140"/>
      <c r="X165" s="140"/>
      <c r="Y165" s="140"/>
      <c r="Z165" s="140"/>
      <c r="AA165" s="140"/>
      <c r="AB165" s="140"/>
      <c r="AC165" s="140"/>
      <c r="AD165" s="140"/>
      <c r="AE165" s="140"/>
      <c r="AF165" s="140"/>
      <c r="AG165" s="140"/>
      <c r="AH165" s="140"/>
      <c r="AI165" s="140"/>
      <c r="AJ165" s="140"/>
      <c r="AK165" s="140"/>
      <c r="AL165" s="140"/>
      <c r="AM165" s="140"/>
      <c r="AN165" s="140"/>
      <c r="AO165" s="140"/>
      <c r="AP165" s="140"/>
      <c r="AQ165" s="140"/>
      <c r="AR165" s="140"/>
      <c r="AS165" s="140"/>
      <c r="AT165" s="140"/>
      <c r="AU165" s="140"/>
      <c r="AV165" s="140"/>
      <c r="AW165" s="140"/>
      <c r="AX165" s="140"/>
      <c r="AY165" s="140"/>
      <c r="AZ165" s="140"/>
      <c r="BA165" s="140"/>
      <c r="BB165" s="140"/>
      <c r="BC165" s="140"/>
      <c r="BD165" s="140"/>
      <c r="BE165" s="140"/>
    </row>
    <row r="166">
      <c r="A166" s="108"/>
      <c r="B166" s="107"/>
      <c r="C166" s="107"/>
      <c r="D166" s="107"/>
      <c r="E166" s="107"/>
      <c r="F166" s="107"/>
      <c r="G166" s="208"/>
      <c r="H166" s="131"/>
      <c r="I166" s="211"/>
      <c r="J166" s="107"/>
      <c r="K166" s="202"/>
      <c r="L166" s="107"/>
      <c r="M166" s="107"/>
      <c r="N166" s="206"/>
      <c r="O166" s="108" t="b">
        <v>0</v>
      </c>
      <c r="P166" s="207"/>
      <c r="Q166" s="140"/>
      <c r="R166" s="140"/>
      <c r="S166" s="140"/>
      <c r="T166" s="140"/>
      <c r="U166" s="140"/>
      <c r="V166" s="140"/>
      <c r="W166" s="140"/>
      <c r="X166" s="140"/>
      <c r="Y166" s="140"/>
      <c r="Z166" s="140"/>
      <c r="AA166" s="140"/>
      <c r="AB166" s="140"/>
      <c r="AC166" s="140"/>
      <c r="AD166" s="140"/>
      <c r="AE166" s="140"/>
      <c r="AF166" s="140"/>
      <c r="AG166" s="140"/>
      <c r="AH166" s="140"/>
      <c r="AI166" s="140"/>
      <c r="AJ166" s="140"/>
      <c r="AK166" s="140"/>
      <c r="AL166" s="140"/>
      <c r="AM166" s="140"/>
      <c r="AN166" s="140"/>
      <c r="AO166" s="140"/>
      <c r="AP166" s="140"/>
      <c r="AQ166" s="140"/>
      <c r="AR166" s="140"/>
      <c r="AS166" s="140"/>
      <c r="AT166" s="140"/>
      <c r="AU166" s="140"/>
      <c r="AV166" s="140"/>
      <c r="AW166" s="140"/>
      <c r="AX166" s="140"/>
      <c r="AY166" s="140"/>
      <c r="AZ166" s="140"/>
      <c r="BA166" s="140"/>
      <c r="BB166" s="140"/>
      <c r="BC166" s="140"/>
      <c r="BD166" s="140"/>
      <c r="BE166" s="140"/>
    </row>
    <row r="167">
      <c r="A167" s="108"/>
      <c r="B167" s="107"/>
      <c r="C167" s="107"/>
      <c r="D167" s="107"/>
      <c r="E167" s="107"/>
      <c r="F167" s="107"/>
      <c r="G167" s="208"/>
      <c r="H167" s="131"/>
      <c r="I167" s="211"/>
      <c r="J167" s="107"/>
      <c r="K167" s="202"/>
      <c r="L167" s="107"/>
      <c r="M167" s="107"/>
      <c r="N167" s="206"/>
      <c r="O167" s="108" t="b">
        <v>0</v>
      </c>
      <c r="P167" s="207"/>
      <c r="Q167" s="140"/>
      <c r="R167" s="140"/>
      <c r="S167" s="140"/>
      <c r="T167" s="140"/>
      <c r="U167" s="140"/>
      <c r="V167" s="140"/>
      <c r="W167" s="140"/>
      <c r="X167" s="140"/>
      <c r="Y167" s="140"/>
      <c r="Z167" s="140"/>
      <c r="AA167" s="140"/>
      <c r="AB167" s="140"/>
      <c r="AC167" s="140"/>
      <c r="AD167" s="140"/>
      <c r="AE167" s="140"/>
      <c r="AF167" s="140"/>
      <c r="AG167" s="140"/>
      <c r="AH167" s="140"/>
      <c r="AI167" s="140"/>
      <c r="AJ167" s="140"/>
      <c r="AK167" s="140"/>
      <c r="AL167" s="140"/>
      <c r="AM167" s="140"/>
      <c r="AN167" s="140"/>
      <c r="AO167" s="140"/>
      <c r="AP167" s="140"/>
      <c r="AQ167" s="140"/>
      <c r="AR167" s="140"/>
      <c r="AS167" s="140"/>
      <c r="AT167" s="140"/>
      <c r="AU167" s="140"/>
      <c r="AV167" s="140"/>
      <c r="AW167" s="140"/>
      <c r="AX167" s="140"/>
      <c r="AY167" s="140"/>
      <c r="AZ167" s="140"/>
      <c r="BA167" s="140"/>
      <c r="BB167" s="140"/>
      <c r="BC167" s="140"/>
      <c r="BD167" s="140"/>
      <c r="BE167" s="140"/>
    </row>
    <row r="168">
      <c r="A168" s="108"/>
      <c r="B168" s="107"/>
      <c r="C168" s="107"/>
      <c r="D168" s="107"/>
      <c r="E168" s="107"/>
      <c r="F168" s="107"/>
      <c r="G168" s="208"/>
      <c r="H168" s="131"/>
      <c r="I168" s="211"/>
      <c r="J168" s="107"/>
      <c r="K168" s="202"/>
      <c r="L168" s="107"/>
      <c r="M168" s="107"/>
      <c r="N168" s="206"/>
      <c r="O168" s="108" t="b">
        <v>0</v>
      </c>
      <c r="P168" s="207"/>
      <c r="Q168" s="140"/>
      <c r="R168" s="140"/>
      <c r="S168" s="140"/>
      <c r="T168" s="140"/>
      <c r="U168" s="140"/>
      <c r="V168" s="140"/>
      <c r="W168" s="140"/>
      <c r="X168" s="140"/>
      <c r="Y168" s="140"/>
      <c r="Z168" s="140"/>
      <c r="AA168" s="140"/>
      <c r="AB168" s="140"/>
      <c r="AC168" s="140"/>
      <c r="AD168" s="140"/>
      <c r="AE168" s="140"/>
      <c r="AF168" s="140"/>
      <c r="AG168" s="140"/>
      <c r="AH168" s="140"/>
      <c r="AI168" s="140"/>
      <c r="AJ168" s="140"/>
      <c r="AK168" s="140"/>
      <c r="AL168" s="140"/>
      <c r="AM168" s="140"/>
      <c r="AN168" s="140"/>
      <c r="AO168" s="140"/>
      <c r="AP168" s="140"/>
      <c r="AQ168" s="140"/>
      <c r="AR168" s="140"/>
      <c r="AS168" s="140"/>
      <c r="AT168" s="140"/>
      <c r="AU168" s="140"/>
      <c r="AV168" s="140"/>
      <c r="AW168" s="140"/>
      <c r="AX168" s="140"/>
      <c r="AY168" s="140"/>
      <c r="AZ168" s="140"/>
      <c r="BA168" s="140"/>
      <c r="BB168" s="140"/>
      <c r="BC168" s="140"/>
      <c r="BD168" s="140"/>
      <c r="BE168" s="140"/>
    </row>
    <row r="169">
      <c r="A169" s="108"/>
      <c r="B169" s="107"/>
      <c r="C169" s="107"/>
      <c r="D169" s="107"/>
      <c r="E169" s="107"/>
      <c r="F169" s="107"/>
      <c r="G169" s="208"/>
      <c r="H169" s="131"/>
      <c r="I169" s="211"/>
      <c r="J169" s="107"/>
      <c r="K169" s="202"/>
      <c r="L169" s="107"/>
      <c r="M169" s="107"/>
      <c r="N169" s="206"/>
      <c r="O169" s="108" t="b">
        <v>0</v>
      </c>
      <c r="P169" s="207"/>
      <c r="Q169" s="140"/>
      <c r="R169" s="140"/>
      <c r="S169" s="140"/>
      <c r="T169" s="140"/>
      <c r="U169" s="140"/>
      <c r="V169" s="140"/>
      <c r="W169" s="140"/>
      <c r="X169" s="140"/>
      <c r="Y169" s="140"/>
      <c r="Z169" s="140"/>
      <c r="AA169" s="140"/>
      <c r="AB169" s="140"/>
      <c r="AC169" s="140"/>
      <c r="AD169" s="140"/>
      <c r="AE169" s="140"/>
      <c r="AF169" s="140"/>
      <c r="AG169" s="140"/>
      <c r="AH169" s="140"/>
      <c r="AI169" s="140"/>
      <c r="AJ169" s="140"/>
      <c r="AK169" s="140"/>
      <c r="AL169" s="140"/>
      <c r="AM169" s="140"/>
      <c r="AN169" s="140"/>
      <c r="AO169" s="140"/>
      <c r="AP169" s="140"/>
      <c r="AQ169" s="140"/>
      <c r="AR169" s="140"/>
      <c r="AS169" s="140"/>
      <c r="AT169" s="140"/>
      <c r="AU169" s="140"/>
      <c r="AV169" s="140"/>
      <c r="AW169" s="140"/>
      <c r="AX169" s="140"/>
      <c r="AY169" s="140"/>
      <c r="AZ169" s="140"/>
      <c r="BA169" s="140"/>
      <c r="BB169" s="140"/>
      <c r="BC169" s="140"/>
      <c r="BD169" s="140"/>
      <c r="BE169" s="140"/>
    </row>
    <row r="170">
      <c r="A170" s="108"/>
      <c r="B170" s="107"/>
      <c r="C170" s="107"/>
      <c r="D170" s="107"/>
      <c r="E170" s="107"/>
      <c r="F170" s="107"/>
      <c r="G170" s="208"/>
      <c r="H170" s="131"/>
      <c r="I170" s="211"/>
      <c r="J170" s="107"/>
      <c r="K170" s="202"/>
      <c r="L170" s="107"/>
      <c r="M170" s="107"/>
      <c r="N170" s="206"/>
      <c r="O170" s="108" t="b">
        <v>0</v>
      </c>
      <c r="P170" s="207"/>
      <c r="Q170" s="140"/>
      <c r="R170" s="140"/>
      <c r="S170" s="140"/>
      <c r="T170" s="140"/>
      <c r="U170" s="140"/>
      <c r="V170" s="140"/>
      <c r="W170" s="140"/>
      <c r="X170" s="140"/>
      <c r="Y170" s="140"/>
      <c r="Z170" s="140"/>
      <c r="AA170" s="140"/>
      <c r="AB170" s="140"/>
      <c r="AC170" s="140"/>
      <c r="AD170" s="140"/>
      <c r="AE170" s="140"/>
      <c r="AF170" s="140"/>
      <c r="AG170" s="140"/>
      <c r="AH170" s="140"/>
      <c r="AI170" s="140"/>
      <c r="AJ170" s="140"/>
      <c r="AK170" s="140"/>
      <c r="AL170" s="140"/>
      <c r="AM170" s="140"/>
      <c r="AN170" s="140"/>
      <c r="AO170" s="140"/>
      <c r="AP170" s="140"/>
      <c r="AQ170" s="140"/>
      <c r="AR170" s="140"/>
      <c r="AS170" s="140"/>
      <c r="AT170" s="140"/>
      <c r="AU170" s="140"/>
      <c r="AV170" s="140"/>
      <c r="AW170" s="140"/>
      <c r="AX170" s="140"/>
      <c r="AY170" s="140"/>
      <c r="AZ170" s="140"/>
      <c r="BA170" s="140"/>
      <c r="BB170" s="140"/>
      <c r="BC170" s="140"/>
      <c r="BD170" s="140"/>
      <c r="BE170" s="140"/>
    </row>
    <row r="171">
      <c r="A171" s="108"/>
      <c r="B171" s="107"/>
      <c r="C171" s="107"/>
      <c r="D171" s="107"/>
      <c r="E171" s="107"/>
      <c r="F171" s="107"/>
      <c r="G171" s="208"/>
      <c r="H171" s="131"/>
      <c r="I171" s="211"/>
      <c r="J171" s="107"/>
      <c r="K171" s="202"/>
      <c r="L171" s="107"/>
      <c r="M171" s="107"/>
      <c r="N171" s="206"/>
      <c r="O171" s="108" t="b">
        <v>0</v>
      </c>
      <c r="P171" s="207"/>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row>
    <row r="172">
      <c r="A172" s="108"/>
      <c r="B172" s="107"/>
      <c r="C172" s="107"/>
      <c r="D172" s="107"/>
      <c r="E172" s="107"/>
      <c r="F172" s="107"/>
      <c r="G172" s="208"/>
      <c r="H172" s="131"/>
      <c r="I172" s="211"/>
      <c r="J172" s="107"/>
      <c r="K172" s="202"/>
      <c r="L172" s="107"/>
      <c r="M172" s="107"/>
      <c r="N172" s="206"/>
      <c r="O172" s="108" t="b">
        <v>0</v>
      </c>
      <c r="P172" s="207"/>
      <c r="Q172" s="140"/>
      <c r="R172" s="140"/>
      <c r="S172" s="140"/>
      <c r="T172" s="140"/>
      <c r="U172" s="140"/>
      <c r="V172" s="140"/>
      <c r="W172" s="140"/>
      <c r="X172" s="140"/>
      <c r="Y172" s="140"/>
      <c r="Z172" s="140"/>
      <c r="AA172" s="140"/>
      <c r="AB172" s="140"/>
      <c r="AC172" s="140"/>
      <c r="AD172" s="140"/>
      <c r="AE172" s="140"/>
      <c r="AF172" s="140"/>
      <c r="AG172" s="140"/>
      <c r="AH172" s="140"/>
      <c r="AI172" s="140"/>
      <c r="AJ172" s="140"/>
      <c r="AK172" s="140"/>
      <c r="AL172" s="140"/>
      <c r="AM172" s="140"/>
      <c r="AN172" s="140"/>
      <c r="AO172" s="140"/>
      <c r="AP172" s="140"/>
      <c r="AQ172" s="140"/>
      <c r="AR172" s="140"/>
      <c r="AS172" s="140"/>
      <c r="AT172" s="140"/>
      <c r="AU172" s="140"/>
      <c r="AV172" s="140"/>
      <c r="AW172" s="140"/>
      <c r="AX172" s="140"/>
      <c r="AY172" s="140"/>
      <c r="AZ172" s="140"/>
      <c r="BA172" s="140"/>
      <c r="BB172" s="140"/>
      <c r="BC172" s="140"/>
      <c r="BD172" s="140"/>
      <c r="BE172" s="140"/>
    </row>
    <row r="173">
      <c r="A173" s="108"/>
      <c r="B173" s="107"/>
      <c r="C173" s="107"/>
      <c r="D173" s="107"/>
      <c r="E173" s="107"/>
      <c r="F173" s="107"/>
      <c r="G173" s="208"/>
      <c r="H173" s="131"/>
      <c r="I173" s="211"/>
      <c r="J173" s="107"/>
      <c r="K173" s="202"/>
      <c r="L173" s="107"/>
      <c r="M173" s="107"/>
      <c r="N173" s="206"/>
      <c r="O173" s="108" t="b">
        <v>0</v>
      </c>
      <c r="P173" s="207"/>
      <c r="Q173" s="140"/>
      <c r="R173" s="140"/>
      <c r="S173" s="140"/>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140"/>
      <c r="AQ173" s="140"/>
      <c r="AR173" s="140"/>
      <c r="AS173" s="140"/>
      <c r="AT173" s="140"/>
      <c r="AU173" s="140"/>
      <c r="AV173" s="140"/>
      <c r="AW173" s="140"/>
      <c r="AX173" s="140"/>
      <c r="AY173" s="140"/>
      <c r="AZ173" s="140"/>
      <c r="BA173" s="140"/>
      <c r="BB173" s="140"/>
      <c r="BC173" s="140"/>
      <c r="BD173" s="140"/>
      <c r="BE173" s="140"/>
    </row>
    <row r="174">
      <c r="A174" s="108"/>
      <c r="B174" s="107"/>
      <c r="C174" s="107"/>
      <c r="D174" s="107"/>
      <c r="E174" s="107"/>
      <c r="F174" s="107"/>
      <c r="G174" s="208"/>
      <c r="H174" s="131"/>
      <c r="I174" s="211"/>
      <c r="J174" s="107"/>
      <c r="K174" s="202"/>
      <c r="L174" s="107"/>
      <c r="M174" s="107"/>
      <c r="N174" s="206"/>
      <c r="O174" s="108" t="b">
        <v>0</v>
      </c>
      <c r="P174" s="207"/>
      <c r="Q174" s="140"/>
      <c r="R174" s="140"/>
      <c r="S174" s="140"/>
      <c r="T174" s="140"/>
      <c r="U174" s="140"/>
      <c r="V174" s="140"/>
      <c r="W174" s="140"/>
      <c r="X174" s="140"/>
      <c r="Y174" s="140"/>
      <c r="Z174" s="140"/>
      <c r="AA174" s="140"/>
      <c r="AB174" s="140"/>
      <c r="AC174" s="140"/>
      <c r="AD174" s="140"/>
      <c r="AE174" s="140"/>
      <c r="AF174" s="140"/>
      <c r="AG174" s="140"/>
      <c r="AH174" s="140"/>
      <c r="AI174" s="140"/>
      <c r="AJ174" s="140"/>
      <c r="AK174" s="140"/>
      <c r="AL174" s="140"/>
      <c r="AM174" s="140"/>
      <c r="AN174" s="140"/>
      <c r="AO174" s="140"/>
      <c r="AP174" s="140"/>
      <c r="AQ174" s="140"/>
      <c r="AR174" s="140"/>
      <c r="AS174" s="140"/>
      <c r="AT174" s="140"/>
      <c r="AU174" s="140"/>
      <c r="AV174" s="140"/>
      <c r="AW174" s="140"/>
      <c r="AX174" s="140"/>
      <c r="AY174" s="140"/>
      <c r="AZ174" s="140"/>
      <c r="BA174" s="140"/>
      <c r="BB174" s="140"/>
      <c r="BC174" s="140"/>
      <c r="BD174" s="140"/>
      <c r="BE174" s="140"/>
    </row>
    <row r="175">
      <c r="A175" s="108"/>
      <c r="B175" s="107"/>
      <c r="C175" s="107"/>
      <c r="D175" s="107"/>
      <c r="E175" s="107"/>
      <c r="F175" s="107"/>
      <c r="G175" s="208"/>
      <c r="H175" s="131"/>
      <c r="I175" s="211"/>
      <c r="J175" s="107"/>
      <c r="K175" s="202"/>
      <c r="L175" s="107"/>
      <c r="M175" s="107"/>
      <c r="N175" s="206"/>
      <c r="O175" s="108" t="b">
        <v>0</v>
      </c>
      <c r="P175" s="207"/>
      <c r="Q175" s="140"/>
      <c r="R175" s="140"/>
      <c r="S175" s="140"/>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140"/>
      <c r="AQ175" s="140"/>
      <c r="AR175" s="140"/>
      <c r="AS175" s="140"/>
      <c r="AT175" s="140"/>
      <c r="AU175" s="140"/>
      <c r="AV175" s="140"/>
      <c r="AW175" s="140"/>
      <c r="AX175" s="140"/>
      <c r="AY175" s="140"/>
      <c r="AZ175" s="140"/>
      <c r="BA175" s="140"/>
      <c r="BB175" s="140"/>
      <c r="BC175" s="140"/>
      <c r="BD175" s="140"/>
      <c r="BE175" s="140"/>
    </row>
    <row r="176">
      <c r="A176" s="108"/>
      <c r="B176" s="107"/>
      <c r="C176" s="107"/>
      <c r="D176" s="107"/>
      <c r="E176" s="107"/>
      <c r="F176" s="107"/>
      <c r="G176" s="208"/>
      <c r="H176" s="131"/>
      <c r="I176" s="211"/>
      <c r="J176" s="107"/>
      <c r="K176" s="202"/>
      <c r="L176" s="107"/>
      <c r="M176" s="107"/>
      <c r="N176" s="206"/>
      <c r="O176" s="108" t="b">
        <v>0</v>
      </c>
      <c r="P176" s="207"/>
      <c r="Q176" s="140"/>
      <c r="R176" s="140"/>
      <c r="S176" s="140"/>
      <c r="T176" s="140"/>
      <c r="U176" s="140"/>
      <c r="V176" s="140"/>
      <c r="W176" s="140"/>
      <c r="X176" s="140"/>
      <c r="Y176" s="140"/>
      <c r="Z176" s="140"/>
      <c r="AA176" s="140"/>
      <c r="AB176" s="140"/>
      <c r="AC176" s="140"/>
      <c r="AD176" s="140"/>
      <c r="AE176" s="140"/>
      <c r="AF176" s="140"/>
      <c r="AG176" s="140"/>
      <c r="AH176" s="140"/>
      <c r="AI176" s="140"/>
      <c r="AJ176" s="140"/>
      <c r="AK176" s="140"/>
      <c r="AL176" s="140"/>
      <c r="AM176" s="140"/>
      <c r="AN176" s="140"/>
      <c r="AO176" s="140"/>
      <c r="AP176" s="140"/>
      <c r="AQ176" s="140"/>
      <c r="AR176" s="140"/>
      <c r="AS176" s="140"/>
      <c r="AT176" s="140"/>
      <c r="AU176" s="140"/>
      <c r="AV176" s="140"/>
      <c r="AW176" s="140"/>
      <c r="AX176" s="140"/>
      <c r="AY176" s="140"/>
      <c r="AZ176" s="140"/>
      <c r="BA176" s="140"/>
      <c r="BB176" s="140"/>
      <c r="BC176" s="140"/>
      <c r="BD176" s="140"/>
      <c r="BE176" s="140"/>
    </row>
    <row r="177">
      <c r="A177" s="108"/>
      <c r="B177" s="107"/>
      <c r="C177" s="107"/>
      <c r="D177" s="107"/>
      <c r="E177" s="107"/>
      <c r="F177" s="107"/>
      <c r="G177" s="208"/>
      <c r="H177" s="131"/>
      <c r="I177" s="211"/>
      <c r="J177" s="107"/>
      <c r="K177" s="202"/>
      <c r="L177" s="107"/>
      <c r="M177" s="107"/>
      <c r="N177" s="206"/>
      <c r="O177" s="108" t="b">
        <v>0</v>
      </c>
      <c r="P177" s="207"/>
      <c r="Q177" s="140"/>
      <c r="R177" s="140"/>
      <c r="S177" s="140"/>
      <c r="T177" s="140"/>
      <c r="U177" s="140"/>
      <c r="V177" s="140"/>
      <c r="W177" s="140"/>
      <c r="X177" s="140"/>
      <c r="Y177" s="140"/>
      <c r="Z177" s="140"/>
      <c r="AA177" s="140"/>
      <c r="AB177" s="140"/>
      <c r="AC177" s="140"/>
      <c r="AD177" s="140"/>
      <c r="AE177" s="140"/>
      <c r="AF177" s="140"/>
      <c r="AG177" s="140"/>
      <c r="AH177" s="140"/>
      <c r="AI177" s="140"/>
      <c r="AJ177" s="140"/>
      <c r="AK177" s="140"/>
      <c r="AL177" s="140"/>
      <c r="AM177" s="140"/>
      <c r="AN177" s="140"/>
      <c r="AO177" s="140"/>
      <c r="AP177" s="140"/>
      <c r="AQ177" s="140"/>
      <c r="AR177" s="140"/>
      <c r="AS177" s="140"/>
      <c r="AT177" s="140"/>
      <c r="AU177" s="140"/>
      <c r="AV177" s="140"/>
      <c r="AW177" s="140"/>
      <c r="AX177" s="140"/>
      <c r="AY177" s="140"/>
      <c r="AZ177" s="140"/>
      <c r="BA177" s="140"/>
      <c r="BB177" s="140"/>
      <c r="BC177" s="140"/>
      <c r="BD177" s="140"/>
      <c r="BE177" s="140"/>
    </row>
    <row r="178">
      <c r="A178" s="108"/>
      <c r="B178" s="107"/>
      <c r="C178" s="107"/>
      <c r="D178" s="107"/>
      <c r="E178" s="107"/>
      <c r="F178" s="107"/>
      <c r="G178" s="208"/>
      <c r="H178" s="131"/>
      <c r="I178" s="211"/>
      <c r="J178" s="107"/>
      <c r="K178" s="202"/>
      <c r="L178" s="107"/>
      <c r="M178" s="107"/>
      <c r="N178" s="206"/>
      <c r="O178" s="108" t="b">
        <v>0</v>
      </c>
      <c r="P178" s="207"/>
      <c r="Q178" s="140"/>
      <c r="R178" s="140"/>
      <c r="S178" s="140"/>
      <c r="T178" s="140"/>
      <c r="U178" s="140"/>
      <c r="V178" s="140"/>
      <c r="W178" s="140"/>
      <c r="X178" s="140"/>
      <c r="Y178" s="140"/>
      <c r="Z178" s="140"/>
      <c r="AA178" s="140"/>
      <c r="AB178" s="140"/>
      <c r="AC178" s="140"/>
      <c r="AD178" s="140"/>
      <c r="AE178" s="140"/>
      <c r="AF178" s="140"/>
      <c r="AG178" s="140"/>
      <c r="AH178" s="140"/>
      <c r="AI178" s="140"/>
      <c r="AJ178" s="140"/>
      <c r="AK178" s="140"/>
      <c r="AL178" s="140"/>
      <c r="AM178" s="140"/>
      <c r="AN178" s="140"/>
      <c r="AO178" s="140"/>
      <c r="AP178" s="140"/>
      <c r="AQ178" s="140"/>
      <c r="AR178" s="140"/>
      <c r="AS178" s="140"/>
      <c r="AT178" s="140"/>
      <c r="AU178" s="140"/>
      <c r="AV178" s="140"/>
      <c r="AW178" s="140"/>
      <c r="AX178" s="140"/>
      <c r="AY178" s="140"/>
      <c r="AZ178" s="140"/>
      <c r="BA178" s="140"/>
      <c r="BB178" s="140"/>
      <c r="BC178" s="140"/>
      <c r="BD178" s="140"/>
      <c r="BE178" s="140"/>
    </row>
    <row r="179">
      <c r="A179" s="108"/>
      <c r="B179" s="107"/>
      <c r="C179" s="107"/>
      <c r="D179" s="107"/>
      <c r="E179" s="107"/>
      <c r="F179" s="107"/>
      <c r="G179" s="208"/>
      <c r="H179" s="131"/>
      <c r="I179" s="211"/>
      <c r="J179" s="107"/>
      <c r="K179" s="202"/>
      <c r="L179" s="107"/>
      <c r="M179" s="107"/>
      <c r="N179" s="206"/>
      <c r="O179" s="108" t="b">
        <v>0</v>
      </c>
      <c r="P179" s="207"/>
      <c r="Q179" s="140"/>
      <c r="R179" s="140"/>
      <c r="S179" s="140"/>
      <c r="T179" s="140"/>
      <c r="U179" s="140"/>
      <c r="V179" s="140"/>
      <c r="W179" s="140"/>
      <c r="X179" s="140"/>
      <c r="Y179" s="140"/>
      <c r="Z179" s="140"/>
      <c r="AA179" s="140"/>
      <c r="AB179" s="140"/>
      <c r="AC179" s="140"/>
      <c r="AD179" s="140"/>
      <c r="AE179" s="140"/>
      <c r="AF179" s="140"/>
      <c r="AG179" s="140"/>
      <c r="AH179" s="140"/>
      <c r="AI179" s="140"/>
      <c r="AJ179" s="140"/>
      <c r="AK179" s="140"/>
      <c r="AL179" s="140"/>
      <c r="AM179" s="140"/>
      <c r="AN179" s="140"/>
      <c r="AO179" s="140"/>
      <c r="AP179" s="140"/>
      <c r="AQ179" s="140"/>
      <c r="AR179" s="140"/>
      <c r="AS179" s="140"/>
      <c r="AT179" s="140"/>
      <c r="AU179" s="140"/>
      <c r="AV179" s="140"/>
      <c r="AW179" s="140"/>
      <c r="AX179" s="140"/>
      <c r="AY179" s="140"/>
      <c r="AZ179" s="140"/>
      <c r="BA179" s="140"/>
      <c r="BB179" s="140"/>
      <c r="BC179" s="140"/>
      <c r="BD179" s="140"/>
      <c r="BE179" s="140"/>
    </row>
    <row r="180">
      <c r="A180" s="108"/>
      <c r="B180" s="107"/>
      <c r="C180" s="107"/>
      <c r="D180" s="107"/>
      <c r="E180" s="107"/>
      <c r="F180" s="107"/>
      <c r="G180" s="208"/>
      <c r="H180" s="131"/>
      <c r="I180" s="211"/>
      <c r="J180" s="107"/>
      <c r="K180" s="202"/>
      <c r="L180" s="107"/>
      <c r="M180" s="107"/>
      <c r="N180" s="206"/>
      <c r="O180" s="108" t="b">
        <v>0</v>
      </c>
      <c r="P180" s="207"/>
      <c r="Q180" s="140"/>
      <c r="R180" s="140"/>
      <c r="S180" s="140"/>
      <c r="T180" s="140"/>
      <c r="U180" s="140"/>
      <c r="V180" s="140"/>
      <c r="W180" s="140"/>
      <c r="X180" s="140"/>
      <c r="Y180" s="140"/>
      <c r="Z180" s="140"/>
      <c r="AA180" s="140"/>
      <c r="AB180" s="140"/>
      <c r="AC180" s="140"/>
      <c r="AD180" s="140"/>
      <c r="AE180" s="140"/>
      <c r="AF180" s="140"/>
      <c r="AG180" s="140"/>
      <c r="AH180" s="140"/>
      <c r="AI180" s="140"/>
      <c r="AJ180" s="140"/>
      <c r="AK180" s="140"/>
      <c r="AL180" s="140"/>
      <c r="AM180" s="140"/>
      <c r="AN180" s="140"/>
      <c r="AO180" s="140"/>
      <c r="AP180" s="140"/>
      <c r="AQ180" s="140"/>
      <c r="AR180" s="140"/>
      <c r="AS180" s="140"/>
      <c r="AT180" s="140"/>
      <c r="AU180" s="140"/>
      <c r="AV180" s="140"/>
      <c r="AW180" s="140"/>
      <c r="AX180" s="140"/>
      <c r="AY180" s="140"/>
      <c r="AZ180" s="140"/>
      <c r="BA180" s="140"/>
      <c r="BB180" s="140"/>
      <c r="BC180" s="140"/>
      <c r="BD180" s="140"/>
      <c r="BE180" s="140"/>
    </row>
    <row r="181">
      <c r="A181" s="108"/>
      <c r="B181" s="107"/>
      <c r="C181" s="107"/>
      <c r="D181" s="107"/>
      <c r="E181" s="107"/>
      <c r="F181" s="107"/>
      <c r="G181" s="208"/>
      <c r="H181" s="131"/>
      <c r="I181" s="211"/>
      <c r="J181" s="107"/>
      <c r="K181" s="202"/>
      <c r="L181" s="107"/>
      <c r="M181" s="107"/>
      <c r="N181" s="206"/>
      <c r="O181" s="108" t="b">
        <v>0</v>
      </c>
      <c r="P181" s="207"/>
      <c r="Q181" s="140"/>
      <c r="R181" s="140"/>
      <c r="S181" s="140"/>
      <c r="T181" s="140"/>
      <c r="U181" s="140"/>
      <c r="V181" s="140"/>
      <c r="W181" s="140"/>
      <c r="X181" s="140"/>
      <c r="Y181" s="140"/>
      <c r="Z181" s="140"/>
      <c r="AA181" s="140"/>
      <c r="AB181" s="140"/>
      <c r="AC181" s="140"/>
      <c r="AD181" s="140"/>
      <c r="AE181" s="140"/>
      <c r="AF181" s="140"/>
      <c r="AG181" s="140"/>
      <c r="AH181" s="140"/>
      <c r="AI181" s="140"/>
      <c r="AJ181" s="140"/>
      <c r="AK181" s="140"/>
      <c r="AL181" s="140"/>
      <c r="AM181" s="140"/>
      <c r="AN181" s="140"/>
      <c r="AO181" s="140"/>
      <c r="AP181" s="140"/>
      <c r="AQ181" s="140"/>
      <c r="AR181" s="140"/>
      <c r="AS181" s="140"/>
      <c r="AT181" s="140"/>
      <c r="AU181" s="140"/>
      <c r="AV181" s="140"/>
      <c r="AW181" s="140"/>
      <c r="AX181" s="140"/>
      <c r="AY181" s="140"/>
      <c r="AZ181" s="140"/>
      <c r="BA181" s="140"/>
      <c r="BB181" s="140"/>
      <c r="BC181" s="140"/>
      <c r="BD181" s="140"/>
      <c r="BE181" s="140"/>
    </row>
    <row r="182">
      <c r="A182" s="108"/>
      <c r="B182" s="107"/>
      <c r="C182" s="107"/>
      <c r="D182" s="107"/>
      <c r="E182" s="107"/>
      <c r="F182" s="107"/>
      <c r="G182" s="208"/>
      <c r="H182" s="131"/>
      <c r="I182" s="211"/>
      <c r="J182" s="107"/>
      <c r="K182" s="202"/>
      <c r="L182" s="107"/>
      <c r="M182" s="107"/>
      <c r="N182" s="206"/>
      <c r="O182" s="108" t="b">
        <v>0</v>
      </c>
      <c r="P182" s="207"/>
      <c r="Q182" s="140"/>
      <c r="R182" s="140"/>
      <c r="S182" s="140"/>
      <c r="T182" s="140"/>
      <c r="U182" s="140"/>
      <c r="V182" s="140"/>
      <c r="W182" s="140"/>
      <c r="X182" s="140"/>
      <c r="Y182" s="140"/>
      <c r="Z182" s="140"/>
      <c r="AA182" s="140"/>
      <c r="AB182" s="140"/>
      <c r="AC182" s="140"/>
      <c r="AD182" s="140"/>
      <c r="AE182" s="140"/>
      <c r="AF182" s="140"/>
      <c r="AG182" s="140"/>
      <c r="AH182" s="140"/>
      <c r="AI182" s="140"/>
      <c r="AJ182" s="140"/>
      <c r="AK182" s="140"/>
      <c r="AL182" s="140"/>
      <c r="AM182" s="140"/>
      <c r="AN182" s="140"/>
      <c r="AO182" s="140"/>
      <c r="AP182" s="140"/>
      <c r="AQ182" s="140"/>
      <c r="AR182" s="140"/>
      <c r="AS182" s="140"/>
      <c r="AT182" s="140"/>
      <c r="AU182" s="140"/>
      <c r="AV182" s="140"/>
      <c r="AW182" s="140"/>
      <c r="AX182" s="140"/>
      <c r="AY182" s="140"/>
      <c r="AZ182" s="140"/>
      <c r="BA182" s="140"/>
      <c r="BB182" s="140"/>
      <c r="BC182" s="140"/>
      <c r="BD182" s="140"/>
      <c r="BE182" s="140"/>
    </row>
    <row r="183">
      <c r="A183" s="108"/>
      <c r="B183" s="107"/>
      <c r="C183" s="107"/>
      <c r="D183" s="107"/>
      <c r="E183" s="107"/>
      <c r="F183" s="107"/>
      <c r="G183" s="208"/>
      <c r="H183" s="131"/>
      <c r="I183" s="211"/>
      <c r="J183" s="107"/>
      <c r="K183" s="202"/>
      <c r="L183" s="107"/>
      <c r="M183" s="107"/>
      <c r="N183" s="206"/>
      <c r="O183" s="108" t="b">
        <v>0</v>
      </c>
      <c r="P183" s="207"/>
      <c r="Q183" s="140"/>
      <c r="R183" s="140"/>
      <c r="S183" s="140"/>
      <c r="T183" s="140"/>
      <c r="U183" s="140"/>
      <c r="V183" s="140"/>
      <c r="W183" s="140"/>
      <c r="X183" s="140"/>
      <c r="Y183" s="140"/>
      <c r="Z183" s="140"/>
      <c r="AA183" s="140"/>
      <c r="AB183" s="140"/>
      <c r="AC183" s="140"/>
      <c r="AD183" s="140"/>
      <c r="AE183" s="140"/>
      <c r="AF183" s="140"/>
      <c r="AG183" s="140"/>
      <c r="AH183" s="140"/>
      <c r="AI183" s="140"/>
      <c r="AJ183" s="140"/>
      <c r="AK183" s="140"/>
      <c r="AL183" s="140"/>
      <c r="AM183" s="140"/>
      <c r="AN183" s="140"/>
      <c r="AO183" s="140"/>
      <c r="AP183" s="140"/>
      <c r="AQ183" s="140"/>
      <c r="AR183" s="140"/>
      <c r="AS183" s="140"/>
      <c r="AT183" s="140"/>
      <c r="AU183" s="140"/>
      <c r="AV183" s="140"/>
      <c r="AW183" s="140"/>
      <c r="AX183" s="140"/>
      <c r="AY183" s="140"/>
      <c r="AZ183" s="140"/>
      <c r="BA183" s="140"/>
      <c r="BB183" s="140"/>
      <c r="BC183" s="140"/>
      <c r="BD183" s="140"/>
      <c r="BE183" s="140"/>
    </row>
    <row r="184">
      <c r="A184" s="108"/>
      <c r="B184" s="107"/>
      <c r="C184" s="107"/>
      <c r="D184" s="107"/>
      <c r="E184" s="107"/>
      <c r="F184" s="107"/>
      <c r="G184" s="208"/>
      <c r="H184" s="131"/>
      <c r="I184" s="211"/>
      <c r="J184" s="107"/>
      <c r="K184" s="202"/>
      <c r="L184" s="107"/>
      <c r="M184" s="107"/>
      <c r="N184" s="206"/>
      <c r="O184" s="108" t="b">
        <v>0</v>
      </c>
      <c r="P184" s="207"/>
      <c r="Q184" s="140"/>
      <c r="R184" s="140"/>
      <c r="S184" s="140"/>
      <c r="T184" s="140"/>
      <c r="U184" s="140"/>
      <c r="V184" s="140"/>
      <c r="W184" s="140"/>
      <c r="X184" s="140"/>
      <c r="Y184" s="140"/>
      <c r="Z184" s="140"/>
      <c r="AA184" s="140"/>
      <c r="AB184" s="140"/>
      <c r="AC184" s="140"/>
      <c r="AD184" s="140"/>
      <c r="AE184" s="140"/>
      <c r="AF184" s="140"/>
      <c r="AG184" s="140"/>
      <c r="AH184" s="140"/>
      <c r="AI184" s="140"/>
      <c r="AJ184" s="140"/>
      <c r="AK184" s="140"/>
      <c r="AL184" s="140"/>
      <c r="AM184" s="140"/>
      <c r="AN184" s="140"/>
      <c r="AO184" s="140"/>
      <c r="AP184" s="140"/>
      <c r="AQ184" s="140"/>
      <c r="AR184" s="140"/>
      <c r="AS184" s="140"/>
      <c r="AT184" s="140"/>
      <c r="AU184" s="140"/>
      <c r="AV184" s="140"/>
      <c r="AW184" s="140"/>
      <c r="AX184" s="140"/>
      <c r="AY184" s="140"/>
      <c r="AZ184" s="140"/>
      <c r="BA184" s="140"/>
      <c r="BB184" s="140"/>
      <c r="BC184" s="140"/>
      <c r="BD184" s="140"/>
      <c r="BE184" s="140"/>
    </row>
    <row r="185">
      <c r="A185" s="108"/>
      <c r="B185" s="107"/>
      <c r="C185" s="107"/>
      <c r="D185" s="107"/>
      <c r="E185" s="107"/>
      <c r="F185" s="107"/>
      <c r="G185" s="208"/>
      <c r="H185" s="131"/>
      <c r="I185" s="211"/>
      <c r="J185" s="107"/>
      <c r="K185" s="202"/>
      <c r="L185" s="107"/>
      <c r="M185" s="107"/>
      <c r="N185" s="206"/>
      <c r="O185" s="108" t="b">
        <v>0</v>
      </c>
      <c r="P185" s="207"/>
      <c r="Q185" s="140"/>
      <c r="R185" s="140"/>
      <c r="S185" s="140"/>
      <c r="T185" s="140"/>
      <c r="U185" s="140"/>
      <c r="V185" s="140"/>
      <c r="W185" s="140"/>
      <c r="X185" s="140"/>
      <c r="Y185" s="140"/>
      <c r="Z185" s="140"/>
      <c r="AA185" s="140"/>
      <c r="AB185" s="140"/>
      <c r="AC185" s="140"/>
      <c r="AD185" s="140"/>
      <c r="AE185" s="140"/>
      <c r="AF185" s="140"/>
      <c r="AG185" s="140"/>
      <c r="AH185" s="140"/>
      <c r="AI185" s="140"/>
      <c r="AJ185" s="140"/>
      <c r="AK185" s="140"/>
      <c r="AL185" s="140"/>
      <c r="AM185" s="140"/>
      <c r="AN185" s="140"/>
      <c r="AO185" s="140"/>
      <c r="AP185" s="140"/>
      <c r="AQ185" s="140"/>
      <c r="AR185" s="140"/>
      <c r="AS185" s="140"/>
      <c r="AT185" s="140"/>
      <c r="AU185" s="140"/>
      <c r="AV185" s="140"/>
      <c r="AW185" s="140"/>
      <c r="AX185" s="140"/>
      <c r="AY185" s="140"/>
      <c r="AZ185" s="140"/>
      <c r="BA185" s="140"/>
      <c r="BB185" s="140"/>
      <c r="BC185" s="140"/>
      <c r="BD185" s="140"/>
      <c r="BE185" s="140"/>
    </row>
    <row r="186">
      <c r="A186" s="108"/>
      <c r="B186" s="107"/>
      <c r="C186" s="107"/>
      <c r="D186" s="107"/>
      <c r="E186" s="107"/>
      <c r="F186" s="107"/>
      <c r="G186" s="208"/>
      <c r="H186" s="131"/>
      <c r="I186" s="211"/>
      <c r="J186" s="107"/>
      <c r="K186" s="202"/>
      <c r="L186" s="107"/>
      <c r="M186" s="107"/>
      <c r="N186" s="206"/>
      <c r="O186" s="108" t="b">
        <v>0</v>
      </c>
      <c r="P186" s="207"/>
      <c r="Q186" s="140"/>
      <c r="R186" s="140"/>
      <c r="S186" s="140"/>
      <c r="T186" s="140"/>
      <c r="U186" s="140"/>
      <c r="V186" s="140"/>
      <c r="W186" s="140"/>
      <c r="X186" s="140"/>
      <c r="Y186" s="140"/>
      <c r="Z186" s="140"/>
      <c r="AA186" s="140"/>
      <c r="AB186" s="140"/>
      <c r="AC186" s="140"/>
      <c r="AD186" s="140"/>
      <c r="AE186" s="140"/>
      <c r="AF186" s="140"/>
      <c r="AG186" s="140"/>
      <c r="AH186" s="140"/>
      <c r="AI186" s="140"/>
      <c r="AJ186" s="140"/>
      <c r="AK186" s="140"/>
      <c r="AL186" s="140"/>
      <c r="AM186" s="140"/>
      <c r="AN186" s="140"/>
      <c r="AO186" s="140"/>
      <c r="AP186" s="140"/>
      <c r="AQ186" s="140"/>
      <c r="AR186" s="140"/>
      <c r="AS186" s="140"/>
      <c r="AT186" s="140"/>
      <c r="AU186" s="140"/>
      <c r="AV186" s="140"/>
      <c r="AW186" s="140"/>
      <c r="AX186" s="140"/>
      <c r="AY186" s="140"/>
      <c r="AZ186" s="140"/>
      <c r="BA186" s="140"/>
      <c r="BB186" s="140"/>
      <c r="BC186" s="140"/>
      <c r="BD186" s="140"/>
      <c r="BE186" s="140"/>
    </row>
    <row r="187">
      <c r="A187" s="108"/>
      <c r="B187" s="107"/>
      <c r="C187" s="107"/>
      <c r="D187" s="107"/>
      <c r="E187" s="107"/>
      <c r="F187" s="107"/>
      <c r="G187" s="208"/>
      <c r="H187" s="131"/>
      <c r="I187" s="211"/>
      <c r="J187" s="107"/>
      <c r="K187" s="202"/>
      <c r="L187" s="107"/>
      <c r="M187" s="107"/>
      <c r="N187" s="206"/>
      <c r="O187" s="108" t="b">
        <v>0</v>
      </c>
      <c r="P187" s="207"/>
      <c r="Q187" s="140"/>
      <c r="R187" s="140"/>
      <c r="S187" s="140"/>
      <c r="T187" s="140"/>
      <c r="U187" s="140"/>
      <c r="V187" s="140"/>
      <c r="W187" s="140"/>
      <c r="X187" s="140"/>
      <c r="Y187" s="140"/>
      <c r="Z187" s="140"/>
      <c r="AA187" s="140"/>
      <c r="AB187" s="140"/>
      <c r="AC187" s="140"/>
      <c r="AD187" s="140"/>
      <c r="AE187" s="140"/>
      <c r="AF187" s="140"/>
      <c r="AG187" s="140"/>
      <c r="AH187" s="140"/>
      <c r="AI187" s="140"/>
      <c r="AJ187" s="140"/>
      <c r="AK187" s="140"/>
      <c r="AL187" s="140"/>
      <c r="AM187" s="140"/>
      <c r="AN187" s="140"/>
      <c r="AO187" s="140"/>
      <c r="AP187" s="140"/>
      <c r="AQ187" s="140"/>
      <c r="AR187" s="140"/>
      <c r="AS187" s="140"/>
      <c r="AT187" s="140"/>
      <c r="AU187" s="140"/>
      <c r="AV187" s="140"/>
      <c r="AW187" s="140"/>
      <c r="AX187" s="140"/>
      <c r="AY187" s="140"/>
      <c r="AZ187" s="140"/>
      <c r="BA187" s="140"/>
      <c r="BB187" s="140"/>
      <c r="BC187" s="140"/>
      <c r="BD187" s="140"/>
      <c r="BE187" s="140"/>
    </row>
    <row r="188">
      <c r="A188" s="108"/>
      <c r="B188" s="107"/>
      <c r="C188" s="107"/>
      <c r="D188" s="107"/>
      <c r="E188" s="107"/>
      <c r="F188" s="107"/>
      <c r="G188" s="208"/>
      <c r="H188" s="131"/>
      <c r="I188" s="211"/>
      <c r="J188" s="107"/>
      <c r="K188" s="202"/>
      <c r="L188" s="107"/>
      <c r="M188" s="107"/>
      <c r="N188" s="206"/>
      <c r="O188" s="108" t="b">
        <v>0</v>
      </c>
      <c r="P188" s="207"/>
      <c r="Q188" s="140"/>
      <c r="R188" s="140"/>
      <c r="S188" s="140"/>
      <c r="T188" s="140"/>
      <c r="U188" s="140"/>
      <c r="V188" s="140"/>
      <c r="W188" s="140"/>
      <c r="X188" s="140"/>
      <c r="Y188" s="140"/>
      <c r="Z188" s="140"/>
      <c r="AA188" s="140"/>
      <c r="AB188" s="140"/>
      <c r="AC188" s="140"/>
      <c r="AD188" s="140"/>
      <c r="AE188" s="140"/>
      <c r="AF188" s="140"/>
      <c r="AG188" s="140"/>
      <c r="AH188" s="140"/>
      <c r="AI188" s="140"/>
      <c r="AJ188" s="140"/>
      <c r="AK188" s="140"/>
      <c r="AL188" s="140"/>
      <c r="AM188" s="140"/>
      <c r="AN188" s="140"/>
      <c r="AO188" s="140"/>
      <c r="AP188" s="140"/>
      <c r="AQ188" s="140"/>
      <c r="AR188" s="140"/>
      <c r="AS188" s="140"/>
      <c r="AT188" s="140"/>
      <c r="AU188" s="140"/>
      <c r="AV188" s="140"/>
      <c r="AW188" s="140"/>
      <c r="AX188" s="140"/>
      <c r="AY188" s="140"/>
      <c r="AZ188" s="140"/>
      <c r="BA188" s="140"/>
      <c r="BB188" s="140"/>
      <c r="BC188" s="140"/>
      <c r="BD188" s="140"/>
      <c r="BE188" s="140"/>
    </row>
    <row r="189">
      <c r="A189" s="108"/>
      <c r="B189" s="107"/>
      <c r="C189" s="107"/>
      <c r="D189" s="107"/>
      <c r="E189" s="107"/>
      <c r="F189" s="107"/>
      <c r="G189" s="208"/>
      <c r="H189" s="131"/>
      <c r="I189" s="211"/>
      <c r="J189" s="107"/>
      <c r="K189" s="202"/>
      <c r="L189" s="107"/>
      <c r="M189" s="107"/>
      <c r="N189" s="206"/>
      <c r="O189" s="108" t="b">
        <v>0</v>
      </c>
      <c r="P189" s="207"/>
      <c r="Q189" s="140"/>
      <c r="R189" s="140"/>
      <c r="S189" s="140"/>
      <c r="T189" s="140"/>
      <c r="U189" s="140"/>
      <c r="V189" s="140"/>
      <c r="W189" s="140"/>
      <c r="X189" s="140"/>
      <c r="Y189" s="140"/>
      <c r="Z189" s="140"/>
      <c r="AA189" s="140"/>
      <c r="AB189" s="140"/>
      <c r="AC189" s="140"/>
      <c r="AD189" s="140"/>
      <c r="AE189" s="140"/>
      <c r="AF189" s="140"/>
      <c r="AG189" s="140"/>
      <c r="AH189" s="140"/>
      <c r="AI189" s="140"/>
      <c r="AJ189" s="140"/>
      <c r="AK189" s="140"/>
      <c r="AL189" s="140"/>
      <c r="AM189" s="140"/>
      <c r="AN189" s="140"/>
      <c r="AO189" s="140"/>
      <c r="AP189" s="140"/>
      <c r="AQ189" s="140"/>
      <c r="AR189" s="140"/>
      <c r="AS189" s="140"/>
      <c r="AT189" s="140"/>
      <c r="AU189" s="140"/>
      <c r="AV189" s="140"/>
      <c r="AW189" s="140"/>
      <c r="AX189" s="140"/>
      <c r="AY189" s="140"/>
      <c r="AZ189" s="140"/>
      <c r="BA189" s="140"/>
      <c r="BB189" s="140"/>
      <c r="BC189" s="140"/>
      <c r="BD189" s="140"/>
      <c r="BE189" s="140"/>
    </row>
    <row r="190">
      <c r="A190" s="108"/>
      <c r="B190" s="107"/>
      <c r="C190" s="107"/>
      <c r="D190" s="107"/>
      <c r="E190" s="107"/>
      <c r="F190" s="107"/>
      <c r="G190" s="208"/>
      <c r="H190" s="131"/>
      <c r="I190" s="211"/>
      <c r="J190" s="107"/>
      <c r="K190" s="202"/>
      <c r="L190" s="107"/>
      <c r="M190" s="107"/>
      <c r="N190" s="206"/>
      <c r="O190" s="108" t="b">
        <v>0</v>
      </c>
      <c r="P190" s="207"/>
      <c r="Q190" s="140"/>
      <c r="R190" s="140"/>
      <c r="S190" s="140"/>
      <c r="T190" s="140"/>
      <c r="U190" s="140"/>
      <c r="V190" s="140"/>
      <c r="W190" s="140"/>
      <c r="X190" s="140"/>
      <c r="Y190" s="140"/>
      <c r="Z190" s="140"/>
      <c r="AA190" s="140"/>
      <c r="AB190" s="140"/>
      <c r="AC190" s="140"/>
      <c r="AD190" s="140"/>
      <c r="AE190" s="140"/>
      <c r="AF190" s="140"/>
      <c r="AG190" s="140"/>
      <c r="AH190" s="140"/>
      <c r="AI190" s="140"/>
      <c r="AJ190" s="140"/>
      <c r="AK190" s="140"/>
      <c r="AL190" s="140"/>
      <c r="AM190" s="140"/>
      <c r="AN190" s="140"/>
      <c r="AO190" s="140"/>
      <c r="AP190" s="140"/>
      <c r="AQ190" s="140"/>
      <c r="AR190" s="140"/>
      <c r="AS190" s="140"/>
      <c r="AT190" s="140"/>
      <c r="AU190" s="140"/>
      <c r="AV190" s="140"/>
      <c r="AW190" s="140"/>
      <c r="AX190" s="140"/>
      <c r="AY190" s="140"/>
      <c r="AZ190" s="140"/>
      <c r="BA190" s="140"/>
      <c r="BB190" s="140"/>
      <c r="BC190" s="140"/>
      <c r="BD190" s="140"/>
      <c r="BE190" s="140"/>
    </row>
    <row r="191">
      <c r="A191" s="108"/>
      <c r="B191" s="107"/>
      <c r="C191" s="107"/>
      <c r="D191" s="107"/>
      <c r="E191" s="107"/>
      <c r="F191" s="107"/>
      <c r="G191" s="208"/>
      <c r="H191" s="131"/>
      <c r="I191" s="211"/>
      <c r="J191" s="107"/>
      <c r="K191" s="202"/>
      <c r="L191" s="107"/>
      <c r="M191" s="107"/>
      <c r="N191" s="206"/>
      <c r="O191" s="108" t="b">
        <v>0</v>
      </c>
      <c r="P191" s="207"/>
      <c r="Q191" s="140"/>
      <c r="R191" s="140"/>
      <c r="S191" s="140"/>
      <c r="T191" s="140"/>
      <c r="U191" s="140"/>
      <c r="V191" s="140"/>
      <c r="W191" s="140"/>
      <c r="X191" s="140"/>
      <c r="Y191" s="140"/>
      <c r="Z191" s="140"/>
      <c r="AA191" s="140"/>
      <c r="AB191" s="140"/>
      <c r="AC191" s="140"/>
      <c r="AD191" s="140"/>
      <c r="AE191" s="140"/>
      <c r="AF191" s="140"/>
      <c r="AG191" s="140"/>
      <c r="AH191" s="140"/>
      <c r="AI191" s="140"/>
      <c r="AJ191" s="140"/>
      <c r="AK191" s="140"/>
      <c r="AL191" s="140"/>
      <c r="AM191" s="140"/>
      <c r="AN191" s="140"/>
      <c r="AO191" s="140"/>
      <c r="AP191" s="140"/>
      <c r="AQ191" s="140"/>
      <c r="AR191" s="140"/>
      <c r="AS191" s="140"/>
      <c r="AT191" s="140"/>
      <c r="AU191" s="140"/>
      <c r="AV191" s="140"/>
      <c r="AW191" s="140"/>
      <c r="AX191" s="140"/>
      <c r="AY191" s="140"/>
      <c r="AZ191" s="140"/>
      <c r="BA191" s="140"/>
      <c r="BB191" s="140"/>
      <c r="BC191" s="140"/>
      <c r="BD191" s="140"/>
      <c r="BE191" s="140"/>
    </row>
    <row r="192">
      <c r="A192" s="108"/>
      <c r="B192" s="107"/>
      <c r="C192" s="107"/>
      <c r="D192" s="107"/>
      <c r="E192" s="107"/>
      <c r="F192" s="107"/>
      <c r="G192" s="208"/>
      <c r="H192" s="131"/>
      <c r="I192" s="211"/>
      <c r="J192" s="107"/>
      <c r="K192" s="202"/>
      <c r="L192" s="107"/>
      <c r="M192" s="107"/>
      <c r="N192" s="206"/>
      <c r="O192" s="108" t="b">
        <v>0</v>
      </c>
      <c r="P192" s="207"/>
      <c r="Q192" s="140"/>
      <c r="R192" s="140"/>
      <c r="S192" s="140"/>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c r="AO192" s="140"/>
      <c r="AP192" s="140"/>
      <c r="AQ192" s="140"/>
      <c r="AR192" s="140"/>
      <c r="AS192" s="140"/>
      <c r="AT192" s="140"/>
      <c r="AU192" s="140"/>
      <c r="AV192" s="140"/>
      <c r="AW192" s="140"/>
      <c r="AX192" s="140"/>
      <c r="AY192" s="140"/>
      <c r="AZ192" s="140"/>
      <c r="BA192" s="140"/>
      <c r="BB192" s="140"/>
      <c r="BC192" s="140"/>
      <c r="BD192" s="140"/>
      <c r="BE192" s="140"/>
    </row>
    <row r="193">
      <c r="A193" s="108"/>
      <c r="B193" s="107"/>
      <c r="C193" s="107"/>
      <c r="D193" s="107"/>
      <c r="E193" s="107"/>
      <c r="F193" s="107"/>
      <c r="G193" s="208"/>
      <c r="H193" s="131"/>
      <c r="I193" s="211"/>
      <c r="J193" s="107"/>
      <c r="K193" s="202"/>
      <c r="L193" s="107"/>
      <c r="M193" s="107"/>
      <c r="N193" s="206"/>
      <c r="O193" s="108" t="b">
        <v>0</v>
      </c>
      <c r="P193" s="207"/>
      <c r="Q193" s="140"/>
      <c r="R193" s="140"/>
      <c r="S193" s="140"/>
      <c r="T193" s="140"/>
      <c r="U193" s="140"/>
      <c r="V193" s="140"/>
      <c r="W193" s="140"/>
      <c r="X193" s="140"/>
      <c r="Y193" s="140"/>
      <c r="Z193" s="140"/>
      <c r="AA193" s="140"/>
      <c r="AB193" s="140"/>
      <c r="AC193" s="140"/>
      <c r="AD193" s="140"/>
      <c r="AE193" s="140"/>
      <c r="AF193" s="140"/>
      <c r="AG193" s="140"/>
      <c r="AH193" s="140"/>
      <c r="AI193" s="140"/>
      <c r="AJ193" s="140"/>
      <c r="AK193" s="140"/>
      <c r="AL193" s="140"/>
      <c r="AM193" s="140"/>
      <c r="AN193" s="140"/>
      <c r="AO193" s="140"/>
      <c r="AP193" s="140"/>
      <c r="AQ193" s="140"/>
      <c r="AR193" s="140"/>
      <c r="AS193" s="140"/>
      <c r="AT193" s="140"/>
      <c r="AU193" s="140"/>
      <c r="AV193" s="140"/>
      <c r="AW193" s="140"/>
      <c r="AX193" s="140"/>
      <c r="AY193" s="140"/>
      <c r="AZ193" s="140"/>
      <c r="BA193" s="140"/>
      <c r="BB193" s="140"/>
      <c r="BC193" s="140"/>
      <c r="BD193" s="140"/>
      <c r="BE193" s="140"/>
    </row>
    <row r="194">
      <c r="A194" s="108"/>
      <c r="B194" s="107"/>
      <c r="C194" s="107"/>
      <c r="D194" s="107"/>
      <c r="E194" s="107"/>
      <c r="F194" s="107"/>
      <c r="G194" s="208"/>
      <c r="H194" s="131"/>
      <c r="I194" s="211"/>
      <c r="J194" s="107"/>
      <c r="K194" s="202"/>
      <c r="L194" s="107"/>
      <c r="M194" s="107"/>
      <c r="N194" s="206"/>
      <c r="O194" s="108" t="b">
        <v>0</v>
      </c>
      <c r="P194" s="207"/>
      <c r="Q194" s="140"/>
      <c r="R194" s="140"/>
      <c r="S194" s="140"/>
      <c r="T194" s="140"/>
      <c r="U194" s="140"/>
      <c r="V194" s="140"/>
      <c r="W194" s="140"/>
      <c r="X194" s="140"/>
      <c r="Y194" s="140"/>
      <c r="Z194" s="140"/>
      <c r="AA194" s="140"/>
      <c r="AB194" s="140"/>
      <c r="AC194" s="140"/>
      <c r="AD194" s="140"/>
      <c r="AE194" s="140"/>
      <c r="AF194" s="140"/>
      <c r="AG194" s="140"/>
      <c r="AH194" s="140"/>
      <c r="AI194" s="140"/>
      <c r="AJ194" s="140"/>
      <c r="AK194" s="140"/>
      <c r="AL194" s="140"/>
      <c r="AM194" s="140"/>
      <c r="AN194" s="140"/>
      <c r="AO194" s="140"/>
      <c r="AP194" s="140"/>
      <c r="AQ194" s="140"/>
      <c r="AR194" s="140"/>
      <c r="AS194" s="140"/>
      <c r="AT194" s="140"/>
      <c r="AU194" s="140"/>
      <c r="AV194" s="140"/>
      <c r="AW194" s="140"/>
      <c r="AX194" s="140"/>
      <c r="AY194" s="140"/>
      <c r="AZ194" s="140"/>
      <c r="BA194" s="140"/>
      <c r="BB194" s="140"/>
      <c r="BC194" s="140"/>
      <c r="BD194" s="140"/>
      <c r="BE194" s="140"/>
    </row>
    <row r="195">
      <c r="A195" s="108"/>
      <c r="B195" s="107"/>
      <c r="C195" s="107"/>
      <c r="D195" s="107"/>
      <c r="E195" s="107"/>
      <c r="F195" s="107"/>
      <c r="G195" s="208"/>
      <c r="H195" s="131"/>
      <c r="I195" s="211"/>
      <c r="J195" s="107"/>
      <c r="K195" s="202"/>
      <c r="L195" s="107"/>
      <c r="M195" s="107"/>
      <c r="N195" s="206"/>
      <c r="O195" s="108" t="b">
        <v>0</v>
      </c>
      <c r="P195" s="207"/>
      <c r="Q195" s="140"/>
      <c r="R195" s="140"/>
      <c r="S195" s="140"/>
      <c r="T195" s="140"/>
      <c r="U195" s="140"/>
      <c r="V195" s="140"/>
      <c r="W195" s="140"/>
      <c r="X195" s="140"/>
      <c r="Y195" s="140"/>
      <c r="Z195" s="140"/>
      <c r="AA195" s="140"/>
      <c r="AB195" s="140"/>
      <c r="AC195" s="140"/>
      <c r="AD195" s="140"/>
      <c r="AE195" s="140"/>
      <c r="AF195" s="140"/>
      <c r="AG195" s="140"/>
      <c r="AH195" s="140"/>
      <c r="AI195" s="140"/>
      <c r="AJ195" s="140"/>
      <c r="AK195" s="140"/>
      <c r="AL195" s="140"/>
      <c r="AM195" s="140"/>
      <c r="AN195" s="140"/>
      <c r="AO195" s="140"/>
      <c r="AP195" s="140"/>
      <c r="AQ195" s="140"/>
      <c r="AR195" s="140"/>
      <c r="AS195" s="140"/>
      <c r="AT195" s="140"/>
      <c r="AU195" s="140"/>
      <c r="AV195" s="140"/>
      <c r="AW195" s="140"/>
      <c r="AX195" s="140"/>
      <c r="AY195" s="140"/>
      <c r="AZ195" s="140"/>
      <c r="BA195" s="140"/>
      <c r="BB195" s="140"/>
      <c r="BC195" s="140"/>
      <c r="BD195" s="140"/>
      <c r="BE195" s="140"/>
    </row>
    <row r="196">
      <c r="A196" s="108"/>
      <c r="B196" s="107"/>
      <c r="C196" s="107"/>
      <c r="D196" s="107"/>
      <c r="E196" s="107"/>
      <c r="F196" s="107"/>
      <c r="G196" s="208"/>
      <c r="H196" s="131"/>
      <c r="I196" s="211"/>
      <c r="J196" s="107"/>
      <c r="K196" s="202"/>
      <c r="L196" s="107"/>
      <c r="M196" s="107"/>
      <c r="N196" s="206"/>
      <c r="O196" s="108" t="b">
        <v>0</v>
      </c>
      <c r="P196" s="207"/>
      <c r="Q196" s="140"/>
      <c r="R196" s="140"/>
      <c r="S196" s="140"/>
      <c r="T196" s="140"/>
      <c r="U196" s="140"/>
      <c r="V196" s="140"/>
      <c r="W196" s="140"/>
      <c r="X196" s="140"/>
      <c r="Y196" s="140"/>
      <c r="Z196" s="140"/>
      <c r="AA196" s="140"/>
      <c r="AB196" s="140"/>
      <c r="AC196" s="140"/>
      <c r="AD196" s="140"/>
      <c r="AE196" s="140"/>
      <c r="AF196" s="140"/>
      <c r="AG196" s="140"/>
      <c r="AH196" s="140"/>
      <c r="AI196" s="140"/>
      <c r="AJ196" s="140"/>
      <c r="AK196" s="140"/>
      <c r="AL196" s="140"/>
      <c r="AM196" s="140"/>
      <c r="AN196" s="140"/>
      <c r="AO196" s="140"/>
      <c r="AP196" s="140"/>
      <c r="AQ196" s="140"/>
      <c r="AR196" s="140"/>
      <c r="AS196" s="140"/>
      <c r="AT196" s="140"/>
      <c r="AU196" s="140"/>
      <c r="AV196" s="140"/>
      <c r="AW196" s="140"/>
      <c r="AX196" s="140"/>
      <c r="AY196" s="140"/>
      <c r="AZ196" s="140"/>
      <c r="BA196" s="140"/>
      <c r="BB196" s="140"/>
      <c r="BC196" s="140"/>
      <c r="BD196" s="140"/>
      <c r="BE196" s="140"/>
    </row>
    <row r="197">
      <c r="A197" s="108"/>
      <c r="B197" s="107"/>
      <c r="C197" s="107"/>
      <c r="D197" s="107"/>
      <c r="E197" s="107"/>
      <c r="F197" s="107"/>
      <c r="G197" s="208"/>
      <c r="H197" s="131"/>
      <c r="I197" s="211"/>
      <c r="J197" s="107"/>
      <c r="K197" s="202"/>
      <c r="L197" s="107"/>
      <c r="M197" s="107"/>
      <c r="N197" s="206"/>
      <c r="O197" s="108" t="b">
        <v>0</v>
      </c>
      <c r="P197" s="207"/>
      <c r="Q197" s="140"/>
      <c r="R197" s="140"/>
      <c r="S197" s="140"/>
      <c r="T197" s="140"/>
      <c r="U197" s="140"/>
      <c r="V197" s="140"/>
      <c r="W197" s="140"/>
      <c r="X197" s="140"/>
      <c r="Y197" s="140"/>
      <c r="Z197" s="140"/>
      <c r="AA197" s="140"/>
      <c r="AB197" s="140"/>
      <c r="AC197" s="140"/>
      <c r="AD197" s="140"/>
      <c r="AE197" s="140"/>
      <c r="AF197" s="140"/>
      <c r="AG197" s="140"/>
      <c r="AH197" s="140"/>
      <c r="AI197" s="140"/>
      <c r="AJ197" s="140"/>
      <c r="AK197" s="140"/>
      <c r="AL197" s="140"/>
      <c r="AM197" s="140"/>
      <c r="AN197" s="140"/>
      <c r="AO197" s="140"/>
      <c r="AP197" s="140"/>
      <c r="AQ197" s="140"/>
      <c r="AR197" s="140"/>
      <c r="AS197" s="140"/>
      <c r="AT197" s="140"/>
      <c r="AU197" s="140"/>
      <c r="AV197" s="140"/>
      <c r="AW197" s="140"/>
      <c r="AX197" s="140"/>
      <c r="AY197" s="140"/>
      <c r="AZ197" s="140"/>
      <c r="BA197" s="140"/>
      <c r="BB197" s="140"/>
      <c r="BC197" s="140"/>
      <c r="BD197" s="140"/>
      <c r="BE197" s="140"/>
    </row>
    <row r="198">
      <c r="A198" s="108"/>
      <c r="B198" s="107"/>
      <c r="C198" s="107"/>
      <c r="D198" s="107"/>
      <c r="E198" s="107"/>
      <c r="F198" s="107"/>
      <c r="G198" s="208"/>
      <c r="H198" s="131"/>
      <c r="I198" s="211"/>
      <c r="J198" s="107"/>
      <c r="K198" s="202"/>
      <c r="L198" s="107"/>
      <c r="M198" s="107"/>
      <c r="N198" s="206"/>
      <c r="O198" s="108" t="b">
        <v>0</v>
      </c>
      <c r="P198" s="207"/>
      <c r="Q198" s="140"/>
      <c r="R198" s="140"/>
      <c r="S198" s="140"/>
      <c r="T198" s="140"/>
      <c r="U198" s="140"/>
      <c r="V198" s="140"/>
      <c r="W198" s="140"/>
      <c r="X198" s="140"/>
      <c r="Y198" s="140"/>
      <c r="Z198" s="140"/>
      <c r="AA198" s="140"/>
      <c r="AB198" s="140"/>
      <c r="AC198" s="140"/>
      <c r="AD198" s="140"/>
      <c r="AE198" s="140"/>
      <c r="AF198" s="140"/>
      <c r="AG198" s="140"/>
      <c r="AH198" s="140"/>
      <c r="AI198" s="140"/>
      <c r="AJ198" s="140"/>
      <c r="AK198" s="140"/>
      <c r="AL198" s="140"/>
      <c r="AM198" s="140"/>
      <c r="AN198" s="140"/>
      <c r="AO198" s="140"/>
      <c r="AP198" s="140"/>
      <c r="AQ198" s="140"/>
      <c r="AR198" s="140"/>
      <c r="AS198" s="140"/>
      <c r="AT198" s="140"/>
      <c r="AU198" s="140"/>
      <c r="AV198" s="140"/>
      <c r="AW198" s="140"/>
      <c r="AX198" s="140"/>
      <c r="AY198" s="140"/>
      <c r="AZ198" s="140"/>
      <c r="BA198" s="140"/>
      <c r="BB198" s="140"/>
      <c r="BC198" s="140"/>
      <c r="BD198" s="140"/>
      <c r="BE198" s="140"/>
    </row>
    <row r="199">
      <c r="A199" s="108"/>
      <c r="B199" s="107"/>
      <c r="C199" s="107"/>
      <c r="D199" s="107"/>
      <c r="E199" s="107"/>
      <c r="F199" s="107"/>
      <c r="G199" s="208"/>
      <c r="H199" s="131"/>
      <c r="I199" s="211"/>
      <c r="J199" s="107"/>
      <c r="K199" s="202"/>
      <c r="L199" s="107"/>
      <c r="M199" s="107"/>
      <c r="N199" s="206"/>
      <c r="O199" s="108" t="b">
        <v>0</v>
      </c>
      <c r="P199" s="207"/>
      <c r="Q199" s="140"/>
      <c r="R199" s="140"/>
      <c r="S199" s="140"/>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c r="AO199" s="140"/>
      <c r="AP199" s="140"/>
      <c r="AQ199" s="140"/>
      <c r="AR199" s="140"/>
      <c r="AS199" s="140"/>
      <c r="AT199" s="140"/>
      <c r="AU199" s="140"/>
      <c r="AV199" s="140"/>
      <c r="AW199" s="140"/>
      <c r="AX199" s="140"/>
      <c r="AY199" s="140"/>
      <c r="AZ199" s="140"/>
      <c r="BA199" s="140"/>
      <c r="BB199" s="140"/>
      <c r="BC199" s="140"/>
      <c r="BD199" s="140"/>
      <c r="BE199" s="140"/>
    </row>
    <row r="200">
      <c r="A200" s="108"/>
      <c r="B200" s="107"/>
      <c r="C200" s="107"/>
      <c r="D200" s="107"/>
      <c r="E200" s="107"/>
      <c r="F200" s="107"/>
      <c r="G200" s="208"/>
      <c r="H200" s="131"/>
      <c r="I200" s="211"/>
      <c r="J200" s="107"/>
      <c r="K200" s="202"/>
      <c r="L200" s="107"/>
      <c r="M200" s="107"/>
      <c r="N200" s="206"/>
      <c r="O200" s="108" t="b">
        <v>0</v>
      </c>
      <c r="P200" s="207"/>
      <c r="Q200" s="140"/>
      <c r="R200" s="140"/>
      <c r="S200" s="140"/>
      <c r="T200" s="140"/>
      <c r="U200" s="140"/>
      <c r="V200" s="140"/>
      <c r="W200" s="140"/>
      <c r="X200" s="140"/>
      <c r="Y200" s="140"/>
      <c r="Z200" s="140"/>
      <c r="AA200" s="140"/>
      <c r="AB200" s="140"/>
      <c r="AC200" s="140"/>
      <c r="AD200" s="140"/>
      <c r="AE200" s="140"/>
      <c r="AF200" s="140"/>
      <c r="AG200" s="140"/>
      <c r="AH200" s="140"/>
      <c r="AI200" s="140"/>
      <c r="AJ200" s="140"/>
      <c r="AK200" s="140"/>
      <c r="AL200" s="140"/>
      <c r="AM200" s="140"/>
      <c r="AN200" s="140"/>
      <c r="AO200" s="140"/>
      <c r="AP200" s="140"/>
      <c r="AQ200" s="140"/>
      <c r="AR200" s="140"/>
      <c r="AS200" s="140"/>
      <c r="AT200" s="140"/>
      <c r="AU200" s="140"/>
      <c r="AV200" s="140"/>
      <c r="AW200" s="140"/>
      <c r="AX200" s="140"/>
      <c r="AY200" s="140"/>
      <c r="AZ200" s="140"/>
      <c r="BA200" s="140"/>
      <c r="BB200" s="140"/>
      <c r="BC200" s="140"/>
      <c r="BD200" s="140"/>
      <c r="BE200" s="140"/>
    </row>
    <row r="201">
      <c r="A201" s="108"/>
      <c r="B201" s="107"/>
      <c r="C201" s="107"/>
      <c r="D201" s="107"/>
      <c r="E201" s="107"/>
      <c r="F201" s="107"/>
      <c r="G201" s="208"/>
      <c r="H201" s="131"/>
      <c r="I201" s="211"/>
      <c r="J201" s="107"/>
      <c r="K201" s="202"/>
      <c r="L201" s="107"/>
      <c r="M201" s="107"/>
      <c r="N201" s="206"/>
      <c r="O201" s="108" t="b">
        <v>0</v>
      </c>
      <c r="P201" s="207"/>
      <c r="Q201" s="140"/>
      <c r="R201" s="140"/>
      <c r="S201" s="140"/>
      <c r="T201" s="140"/>
      <c r="U201" s="140"/>
      <c r="V201" s="140"/>
      <c r="W201" s="140"/>
      <c r="X201" s="140"/>
      <c r="Y201" s="140"/>
      <c r="Z201" s="140"/>
      <c r="AA201" s="140"/>
      <c r="AB201" s="140"/>
      <c r="AC201" s="140"/>
      <c r="AD201" s="140"/>
      <c r="AE201" s="140"/>
      <c r="AF201" s="140"/>
      <c r="AG201" s="140"/>
      <c r="AH201" s="140"/>
      <c r="AI201" s="140"/>
      <c r="AJ201" s="140"/>
      <c r="AK201" s="140"/>
      <c r="AL201" s="140"/>
      <c r="AM201" s="140"/>
      <c r="AN201" s="140"/>
      <c r="AO201" s="140"/>
      <c r="AP201" s="140"/>
      <c r="AQ201" s="140"/>
      <c r="AR201" s="140"/>
      <c r="AS201" s="140"/>
      <c r="AT201" s="140"/>
      <c r="AU201" s="140"/>
      <c r="AV201" s="140"/>
      <c r="AW201" s="140"/>
      <c r="AX201" s="140"/>
      <c r="AY201" s="140"/>
      <c r="AZ201" s="140"/>
      <c r="BA201" s="140"/>
      <c r="BB201" s="140"/>
      <c r="BC201" s="140"/>
      <c r="BD201" s="140"/>
      <c r="BE201" s="140"/>
    </row>
    <row r="202">
      <c r="A202" s="108"/>
      <c r="B202" s="107"/>
      <c r="C202" s="107"/>
      <c r="D202" s="107"/>
      <c r="E202" s="107"/>
      <c r="F202" s="107"/>
      <c r="G202" s="208"/>
      <c r="H202" s="131"/>
      <c r="I202" s="211"/>
      <c r="J202" s="107"/>
      <c r="K202" s="202"/>
      <c r="L202" s="107"/>
      <c r="M202" s="107"/>
      <c r="N202" s="206"/>
      <c r="O202" s="108" t="b">
        <v>0</v>
      </c>
      <c r="P202" s="207"/>
      <c r="Q202" s="140"/>
      <c r="R202" s="140"/>
      <c r="S202" s="140"/>
      <c r="T202" s="140"/>
      <c r="U202" s="140"/>
      <c r="V202" s="140"/>
      <c r="W202" s="140"/>
      <c r="X202" s="140"/>
      <c r="Y202" s="140"/>
      <c r="Z202" s="140"/>
      <c r="AA202" s="140"/>
      <c r="AB202" s="140"/>
      <c r="AC202" s="140"/>
      <c r="AD202" s="140"/>
      <c r="AE202" s="140"/>
      <c r="AF202" s="140"/>
      <c r="AG202" s="140"/>
      <c r="AH202" s="140"/>
      <c r="AI202" s="140"/>
      <c r="AJ202" s="140"/>
      <c r="AK202" s="140"/>
      <c r="AL202" s="140"/>
      <c r="AM202" s="140"/>
      <c r="AN202" s="140"/>
      <c r="AO202" s="140"/>
      <c r="AP202" s="140"/>
      <c r="AQ202" s="140"/>
      <c r="AR202" s="140"/>
      <c r="AS202" s="140"/>
      <c r="AT202" s="140"/>
      <c r="AU202" s="140"/>
      <c r="AV202" s="140"/>
      <c r="AW202" s="140"/>
      <c r="AX202" s="140"/>
      <c r="AY202" s="140"/>
      <c r="AZ202" s="140"/>
      <c r="BA202" s="140"/>
      <c r="BB202" s="140"/>
      <c r="BC202" s="140"/>
      <c r="BD202" s="140"/>
      <c r="BE202" s="140"/>
    </row>
    <row r="203">
      <c r="A203" s="108"/>
      <c r="B203" s="107"/>
      <c r="C203" s="107"/>
      <c r="D203" s="107"/>
      <c r="E203" s="107"/>
      <c r="F203" s="107"/>
      <c r="G203" s="208"/>
      <c r="H203" s="131"/>
      <c r="I203" s="211"/>
      <c r="J203" s="107"/>
      <c r="K203" s="202"/>
      <c r="L203" s="107"/>
      <c r="M203" s="107"/>
      <c r="N203" s="206"/>
      <c r="O203" s="108" t="b">
        <v>0</v>
      </c>
      <c r="P203" s="207"/>
      <c r="Q203" s="140"/>
      <c r="R203" s="140"/>
      <c r="S203" s="140"/>
      <c r="T203" s="140"/>
      <c r="U203" s="140"/>
      <c r="V203" s="140"/>
      <c r="W203" s="140"/>
      <c r="X203" s="140"/>
      <c r="Y203" s="140"/>
      <c r="Z203" s="140"/>
      <c r="AA203" s="140"/>
      <c r="AB203" s="140"/>
      <c r="AC203" s="140"/>
      <c r="AD203" s="140"/>
      <c r="AE203" s="140"/>
      <c r="AF203" s="140"/>
      <c r="AG203" s="140"/>
      <c r="AH203" s="140"/>
      <c r="AI203" s="140"/>
      <c r="AJ203" s="140"/>
      <c r="AK203" s="140"/>
      <c r="AL203" s="140"/>
      <c r="AM203" s="140"/>
      <c r="AN203" s="140"/>
      <c r="AO203" s="140"/>
      <c r="AP203" s="140"/>
      <c r="AQ203" s="140"/>
      <c r="AR203" s="140"/>
      <c r="AS203" s="140"/>
      <c r="AT203" s="140"/>
      <c r="AU203" s="140"/>
      <c r="AV203" s="140"/>
      <c r="AW203" s="140"/>
      <c r="AX203" s="140"/>
      <c r="AY203" s="140"/>
      <c r="AZ203" s="140"/>
      <c r="BA203" s="140"/>
      <c r="BB203" s="140"/>
      <c r="BC203" s="140"/>
      <c r="BD203" s="140"/>
      <c r="BE203" s="140"/>
    </row>
    <row r="204">
      <c r="A204" s="108"/>
      <c r="B204" s="107"/>
      <c r="C204" s="107"/>
      <c r="D204" s="107"/>
      <c r="E204" s="107"/>
      <c r="F204" s="107"/>
      <c r="G204" s="208"/>
      <c r="H204" s="131"/>
      <c r="I204" s="211"/>
      <c r="J204" s="107"/>
      <c r="K204" s="202"/>
      <c r="L204" s="107"/>
      <c r="M204" s="107"/>
      <c r="N204" s="206"/>
      <c r="O204" s="108" t="b">
        <v>0</v>
      </c>
      <c r="P204" s="207"/>
      <c r="Q204" s="140"/>
      <c r="R204" s="140"/>
      <c r="S204" s="140"/>
      <c r="T204" s="140"/>
      <c r="U204" s="140"/>
      <c r="V204" s="140"/>
      <c r="W204" s="140"/>
      <c r="X204" s="140"/>
      <c r="Y204" s="140"/>
      <c r="Z204" s="140"/>
      <c r="AA204" s="140"/>
      <c r="AB204" s="140"/>
      <c r="AC204" s="140"/>
      <c r="AD204" s="140"/>
      <c r="AE204" s="140"/>
      <c r="AF204" s="140"/>
      <c r="AG204" s="140"/>
      <c r="AH204" s="140"/>
      <c r="AI204" s="140"/>
      <c r="AJ204" s="140"/>
      <c r="AK204" s="140"/>
      <c r="AL204" s="140"/>
      <c r="AM204" s="140"/>
      <c r="AN204" s="140"/>
      <c r="AO204" s="140"/>
      <c r="AP204" s="140"/>
      <c r="AQ204" s="140"/>
      <c r="AR204" s="140"/>
      <c r="AS204" s="140"/>
      <c r="AT204" s="140"/>
      <c r="AU204" s="140"/>
      <c r="AV204" s="140"/>
      <c r="AW204" s="140"/>
      <c r="AX204" s="140"/>
      <c r="AY204" s="140"/>
      <c r="AZ204" s="140"/>
      <c r="BA204" s="140"/>
      <c r="BB204" s="140"/>
      <c r="BC204" s="140"/>
      <c r="BD204" s="140"/>
      <c r="BE204" s="140"/>
    </row>
    <row r="205">
      <c r="A205" s="108"/>
      <c r="B205" s="107"/>
      <c r="C205" s="107"/>
      <c r="D205" s="107"/>
      <c r="E205" s="107"/>
      <c r="F205" s="107"/>
      <c r="G205" s="208"/>
      <c r="H205" s="131"/>
      <c r="I205" s="211"/>
      <c r="J205" s="107"/>
      <c r="K205" s="202"/>
      <c r="L205" s="107"/>
      <c r="M205" s="107"/>
      <c r="N205" s="206"/>
      <c r="O205" s="108" t="b">
        <v>0</v>
      </c>
      <c r="P205" s="207"/>
      <c r="Q205" s="140"/>
      <c r="R205" s="140"/>
      <c r="S205" s="140"/>
      <c r="T205" s="140"/>
      <c r="U205" s="140"/>
      <c r="V205" s="140"/>
      <c r="W205" s="140"/>
      <c r="X205" s="140"/>
      <c r="Y205" s="140"/>
      <c r="Z205" s="140"/>
      <c r="AA205" s="140"/>
      <c r="AB205" s="140"/>
      <c r="AC205" s="140"/>
      <c r="AD205" s="140"/>
      <c r="AE205" s="140"/>
      <c r="AF205" s="140"/>
      <c r="AG205" s="140"/>
      <c r="AH205" s="140"/>
      <c r="AI205" s="140"/>
      <c r="AJ205" s="140"/>
      <c r="AK205" s="140"/>
      <c r="AL205" s="140"/>
      <c r="AM205" s="140"/>
      <c r="AN205" s="140"/>
      <c r="AO205" s="140"/>
      <c r="AP205" s="140"/>
      <c r="AQ205" s="140"/>
      <c r="AR205" s="140"/>
      <c r="AS205" s="140"/>
      <c r="AT205" s="140"/>
      <c r="AU205" s="140"/>
      <c r="AV205" s="140"/>
      <c r="AW205" s="140"/>
      <c r="AX205" s="140"/>
      <c r="AY205" s="140"/>
      <c r="AZ205" s="140"/>
      <c r="BA205" s="140"/>
      <c r="BB205" s="140"/>
      <c r="BC205" s="140"/>
      <c r="BD205" s="140"/>
      <c r="BE205" s="140"/>
    </row>
    <row r="206">
      <c r="A206" s="108"/>
      <c r="B206" s="107"/>
      <c r="C206" s="107"/>
      <c r="D206" s="107"/>
      <c r="E206" s="107"/>
      <c r="F206" s="107"/>
      <c r="G206" s="208"/>
      <c r="H206" s="131"/>
      <c r="I206" s="211"/>
      <c r="J206" s="107"/>
      <c r="K206" s="202"/>
      <c r="L206" s="107"/>
      <c r="M206" s="107"/>
      <c r="N206" s="206"/>
      <c r="O206" s="108" t="b">
        <v>0</v>
      </c>
      <c r="P206" s="207"/>
      <c r="Q206" s="140"/>
      <c r="R206" s="140"/>
      <c r="S206" s="140"/>
      <c r="T206" s="140"/>
      <c r="U206" s="140"/>
      <c r="V206" s="140"/>
      <c r="W206" s="140"/>
      <c r="X206" s="140"/>
      <c r="Y206" s="140"/>
      <c r="Z206" s="140"/>
      <c r="AA206" s="140"/>
      <c r="AB206" s="140"/>
      <c r="AC206" s="140"/>
      <c r="AD206" s="140"/>
      <c r="AE206" s="140"/>
      <c r="AF206" s="140"/>
      <c r="AG206" s="140"/>
      <c r="AH206" s="140"/>
      <c r="AI206" s="140"/>
      <c r="AJ206" s="140"/>
      <c r="AK206" s="140"/>
      <c r="AL206" s="140"/>
      <c r="AM206" s="140"/>
      <c r="AN206" s="140"/>
      <c r="AO206" s="140"/>
      <c r="AP206" s="140"/>
      <c r="AQ206" s="140"/>
      <c r="AR206" s="140"/>
      <c r="AS206" s="140"/>
      <c r="AT206" s="140"/>
      <c r="AU206" s="140"/>
      <c r="AV206" s="140"/>
      <c r="AW206" s="140"/>
      <c r="AX206" s="140"/>
      <c r="AY206" s="140"/>
      <c r="AZ206" s="140"/>
      <c r="BA206" s="140"/>
      <c r="BB206" s="140"/>
      <c r="BC206" s="140"/>
      <c r="BD206" s="140"/>
      <c r="BE206" s="140"/>
    </row>
    <row r="207">
      <c r="A207" s="108"/>
      <c r="B207" s="107"/>
      <c r="C207" s="107"/>
      <c r="D207" s="107"/>
      <c r="E207" s="107"/>
      <c r="F207" s="107"/>
      <c r="G207" s="208"/>
      <c r="H207" s="131"/>
      <c r="I207" s="211"/>
      <c r="J207" s="107"/>
      <c r="K207" s="202"/>
      <c r="L207" s="107"/>
      <c r="M207" s="107"/>
      <c r="N207" s="206"/>
      <c r="O207" s="108" t="b">
        <v>0</v>
      </c>
      <c r="P207" s="207"/>
      <c r="Q207" s="140"/>
      <c r="R207" s="140"/>
      <c r="S207" s="140"/>
      <c r="T207" s="140"/>
      <c r="U207" s="140"/>
      <c r="V207" s="140"/>
      <c r="W207" s="140"/>
      <c r="X207" s="140"/>
      <c r="Y207" s="140"/>
      <c r="Z207" s="140"/>
      <c r="AA207" s="140"/>
      <c r="AB207" s="140"/>
      <c r="AC207" s="140"/>
      <c r="AD207" s="140"/>
      <c r="AE207" s="140"/>
      <c r="AF207" s="140"/>
      <c r="AG207" s="140"/>
      <c r="AH207" s="140"/>
      <c r="AI207" s="140"/>
      <c r="AJ207" s="140"/>
      <c r="AK207" s="140"/>
      <c r="AL207" s="140"/>
      <c r="AM207" s="140"/>
      <c r="AN207" s="140"/>
      <c r="AO207" s="140"/>
      <c r="AP207" s="140"/>
      <c r="AQ207" s="140"/>
      <c r="AR207" s="140"/>
      <c r="AS207" s="140"/>
      <c r="AT207" s="140"/>
      <c r="AU207" s="140"/>
      <c r="AV207" s="140"/>
      <c r="AW207" s="140"/>
      <c r="AX207" s="140"/>
      <c r="AY207" s="140"/>
      <c r="AZ207" s="140"/>
      <c r="BA207" s="140"/>
      <c r="BB207" s="140"/>
      <c r="BC207" s="140"/>
      <c r="BD207" s="140"/>
      <c r="BE207" s="140"/>
    </row>
    <row r="208">
      <c r="A208" s="108"/>
      <c r="B208" s="107"/>
      <c r="C208" s="107"/>
      <c r="D208" s="107"/>
      <c r="E208" s="107"/>
      <c r="F208" s="107"/>
      <c r="G208" s="208"/>
      <c r="H208" s="131"/>
      <c r="I208" s="211"/>
      <c r="J208" s="107"/>
      <c r="K208" s="202"/>
      <c r="L208" s="107"/>
      <c r="M208" s="107"/>
      <c r="N208" s="206"/>
      <c r="O208" s="108" t="b">
        <v>0</v>
      </c>
      <c r="P208" s="207"/>
      <c r="Q208" s="140"/>
      <c r="R208" s="140"/>
      <c r="S208" s="140"/>
      <c r="T208" s="140"/>
      <c r="U208" s="140"/>
      <c r="V208" s="140"/>
      <c r="W208" s="140"/>
      <c r="X208" s="140"/>
      <c r="Y208" s="140"/>
      <c r="Z208" s="140"/>
      <c r="AA208" s="140"/>
      <c r="AB208" s="140"/>
      <c r="AC208" s="140"/>
      <c r="AD208" s="140"/>
      <c r="AE208" s="140"/>
      <c r="AF208" s="140"/>
      <c r="AG208" s="140"/>
      <c r="AH208" s="140"/>
      <c r="AI208" s="140"/>
      <c r="AJ208" s="140"/>
      <c r="AK208" s="140"/>
      <c r="AL208" s="140"/>
      <c r="AM208" s="140"/>
      <c r="AN208" s="140"/>
      <c r="AO208" s="140"/>
      <c r="AP208" s="140"/>
      <c r="AQ208" s="140"/>
      <c r="AR208" s="140"/>
      <c r="AS208" s="140"/>
      <c r="AT208" s="140"/>
      <c r="AU208" s="140"/>
      <c r="AV208" s="140"/>
      <c r="AW208" s="140"/>
      <c r="AX208" s="140"/>
      <c r="AY208" s="140"/>
      <c r="AZ208" s="140"/>
      <c r="BA208" s="140"/>
      <c r="BB208" s="140"/>
      <c r="BC208" s="140"/>
      <c r="BD208" s="140"/>
      <c r="BE208" s="140"/>
    </row>
    <row r="209">
      <c r="A209" s="108"/>
      <c r="B209" s="107"/>
      <c r="C209" s="107"/>
      <c r="D209" s="107"/>
      <c r="E209" s="107"/>
      <c r="F209" s="107"/>
      <c r="G209" s="208"/>
      <c r="H209" s="131"/>
      <c r="I209" s="211"/>
      <c r="J209" s="107"/>
      <c r="K209" s="202"/>
      <c r="L209" s="107"/>
      <c r="M209" s="107"/>
      <c r="N209" s="206"/>
      <c r="O209" s="108" t="b">
        <v>0</v>
      </c>
      <c r="P209" s="207"/>
      <c r="Q209" s="140"/>
      <c r="R209" s="140"/>
      <c r="S209" s="140"/>
      <c r="T209" s="140"/>
      <c r="U209" s="140"/>
      <c r="V209" s="140"/>
      <c r="W209" s="140"/>
      <c r="X209" s="140"/>
      <c r="Y209" s="140"/>
      <c r="Z209" s="140"/>
      <c r="AA209" s="140"/>
      <c r="AB209" s="140"/>
      <c r="AC209" s="140"/>
      <c r="AD209" s="140"/>
      <c r="AE209" s="140"/>
      <c r="AF209" s="140"/>
      <c r="AG209" s="140"/>
      <c r="AH209" s="140"/>
      <c r="AI209" s="140"/>
      <c r="AJ209" s="140"/>
      <c r="AK209" s="140"/>
      <c r="AL209" s="140"/>
      <c r="AM209" s="140"/>
      <c r="AN209" s="140"/>
      <c r="AO209" s="140"/>
      <c r="AP209" s="140"/>
      <c r="AQ209" s="140"/>
      <c r="AR209" s="140"/>
      <c r="AS209" s="140"/>
      <c r="AT209" s="140"/>
      <c r="AU209" s="140"/>
      <c r="AV209" s="140"/>
      <c r="AW209" s="140"/>
      <c r="AX209" s="140"/>
      <c r="AY209" s="140"/>
      <c r="AZ209" s="140"/>
      <c r="BA209" s="140"/>
      <c r="BB209" s="140"/>
      <c r="BC209" s="140"/>
      <c r="BD209" s="140"/>
      <c r="BE209" s="140"/>
    </row>
    <row r="210">
      <c r="A210" s="108"/>
      <c r="B210" s="107"/>
      <c r="C210" s="107"/>
      <c r="D210" s="107"/>
      <c r="E210" s="107"/>
      <c r="F210" s="107"/>
      <c r="G210" s="208"/>
      <c r="H210" s="131"/>
      <c r="I210" s="211"/>
      <c r="J210" s="107"/>
      <c r="K210" s="202"/>
      <c r="L210" s="107"/>
      <c r="M210" s="107"/>
      <c r="N210" s="206"/>
      <c r="O210" s="108" t="b">
        <v>0</v>
      </c>
      <c r="P210" s="207"/>
      <c r="Q210" s="140"/>
      <c r="R210" s="140"/>
      <c r="S210" s="140"/>
      <c r="T210" s="140"/>
      <c r="U210" s="140"/>
      <c r="V210" s="140"/>
      <c r="W210" s="140"/>
      <c r="X210" s="140"/>
      <c r="Y210" s="140"/>
      <c r="Z210" s="140"/>
      <c r="AA210" s="140"/>
      <c r="AB210" s="140"/>
      <c r="AC210" s="140"/>
      <c r="AD210" s="140"/>
      <c r="AE210" s="140"/>
      <c r="AF210" s="140"/>
      <c r="AG210" s="140"/>
      <c r="AH210" s="140"/>
      <c r="AI210" s="140"/>
      <c r="AJ210" s="140"/>
      <c r="AK210" s="140"/>
      <c r="AL210" s="140"/>
      <c r="AM210" s="140"/>
      <c r="AN210" s="140"/>
      <c r="AO210" s="140"/>
      <c r="AP210" s="140"/>
      <c r="AQ210" s="140"/>
      <c r="AR210" s="140"/>
      <c r="AS210" s="140"/>
      <c r="AT210" s="140"/>
      <c r="AU210" s="140"/>
      <c r="AV210" s="140"/>
      <c r="AW210" s="140"/>
      <c r="AX210" s="140"/>
      <c r="AY210" s="140"/>
      <c r="AZ210" s="140"/>
      <c r="BA210" s="140"/>
      <c r="BB210" s="140"/>
      <c r="BC210" s="140"/>
      <c r="BD210" s="140"/>
      <c r="BE210" s="140"/>
    </row>
    <row r="211">
      <c r="A211" s="108"/>
      <c r="B211" s="107"/>
      <c r="C211" s="107"/>
      <c r="D211" s="107"/>
      <c r="E211" s="107"/>
      <c r="F211" s="107"/>
      <c r="G211" s="208"/>
      <c r="H211" s="131"/>
      <c r="I211" s="211"/>
      <c r="J211" s="107"/>
      <c r="K211" s="202"/>
      <c r="L211" s="107"/>
      <c r="M211" s="107"/>
      <c r="N211" s="206"/>
      <c r="O211" s="108" t="b">
        <v>0</v>
      </c>
      <c r="P211" s="207"/>
      <c r="Q211" s="140"/>
      <c r="R211" s="140"/>
      <c r="S211" s="140"/>
      <c r="T211" s="140"/>
      <c r="U211" s="140"/>
      <c r="V211" s="140"/>
      <c r="W211" s="140"/>
      <c r="X211" s="140"/>
      <c r="Y211" s="140"/>
      <c r="Z211" s="140"/>
      <c r="AA211" s="140"/>
      <c r="AB211" s="140"/>
      <c r="AC211" s="140"/>
      <c r="AD211" s="140"/>
      <c r="AE211" s="140"/>
      <c r="AF211" s="140"/>
      <c r="AG211" s="140"/>
      <c r="AH211" s="140"/>
      <c r="AI211" s="140"/>
      <c r="AJ211" s="140"/>
      <c r="AK211" s="140"/>
      <c r="AL211" s="140"/>
      <c r="AM211" s="140"/>
      <c r="AN211" s="140"/>
      <c r="AO211" s="140"/>
      <c r="AP211" s="140"/>
      <c r="AQ211" s="140"/>
      <c r="AR211" s="140"/>
      <c r="AS211" s="140"/>
      <c r="AT211" s="140"/>
      <c r="AU211" s="140"/>
      <c r="AV211" s="140"/>
      <c r="AW211" s="140"/>
      <c r="AX211" s="140"/>
      <c r="AY211" s="140"/>
      <c r="AZ211" s="140"/>
      <c r="BA211" s="140"/>
      <c r="BB211" s="140"/>
      <c r="BC211" s="140"/>
      <c r="BD211" s="140"/>
      <c r="BE211" s="140"/>
    </row>
    <row r="212">
      <c r="A212" s="108"/>
      <c r="B212" s="107"/>
      <c r="C212" s="107"/>
      <c r="D212" s="107"/>
      <c r="E212" s="107"/>
      <c r="F212" s="107"/>
      <c r="G212" s="208"/>
      <c r="H212" s="131"/>
      <c r="I212" s="211"/>
      <c r="J212" s="107"/>
      <c r="K212" s="202"/>
      <c r="L212" s="107"/>
      <c r="M212" s="107"/>
      <c r="N212" s="206"/>
      <c r="O212" s="108" t="b">
        <v>0</v>
      </c>
      <c r="P212" s="207"/>
      <c r="Q212" s="140"/>
      <c r="R212" s="140"/>
      <c r="S212" s="140"/>
      <c r="T212" s="140"/>
      <c r="U212" s="140"/>
      <c r="V212" s="140"/>
      <c r="W212" s="140"/>
      <c r="X212" s="140"/>
      <c r="Y212" s="140"/>
      <c r="Z212" s="140"/>
      <c r="AA212" s="140"/>
      <c r="AB212" s="140"/>
      <c r="AC212" s="140"/>
      <c r="AD212" s="140"/>
      <c r="AE212" s="140"/>
      <c r="AF212" s="140"/>
      <c r="AG212" s="140"/>
      <c r="AH212" s="140"/>
      <c r="AI212" s="140"/>
      <c r="AJ212" s="140"/>
      <c r="AK212" s="140"/>
      <c r="AL212" s="140"/>
      <c r="AM212" s="140"/>
      <c r="AN212" s="140"/>
      <c r="AO212" s="140"/>
      <c r="AP212" s="140"/>
      <c r="AQ212" s="140"/>
      <c r="AR212" s="140"/>
      <c r="AS212" s="140"/>
      <c r="AT212" s="140"/>
      <c r="AU212" s="140"/>
      <c r="AV212" s="140"/>
      <c r="AW212" s="140"/>
      <c r="AX212" s="140"/>
      <c r="AY212" s="140"/>
      <c r="AZ212" s="140"/>
      <c r="BA212" s="140"/>
      <c r="BB212" s="140"/>
      <c r="BC212" s="140"/>
      <c r="BD212" s="140"/>
      <c r="BE212" s="140"/>
    </row>
    <row r="213">
      <c r="A213" s="108"/>
      <c r="B213" s="107"/>
      <c r="C213" s="107"/>
      <c r="D213" s="107"/>
      <c r="E213" s="107"/>
      <c r="F213" s="107"/>
      <c r="G213" s="208"/>
      <c r="H213" s="131"/>
      <c r="I213" s="211"/>
      <c r="J213" s="107"/>
      <c r="K213" s="202"/>
      <c r="L213" s="107"/>
      <c r="M213" s="107"/>
      <c r="N213" s="206"/>
      <c r="O213" s="108" t="b">
        <v>0</v>
      </c>
      <c r="P213" s="207"/>
      <c r="Q213" s="140"/>
      <c r="R213" s="140"/>
      <c r="S213" s="140"/>
      <c r="T213" s="140"/>
      <c r="U213" s="140"/>
      <c r="V213" s="140"/>
      <c r="W213" s="140"/>
      <c r="X213" s="140"/>
      <c r="Y213" s="140"/>
      <c r="Z213" s="140"/>
      <c r="AA213" s="140"/>
      <c r="AB213" s="140"/>
      <c r="AC213" s="140"/>
      <c r="AD213" s="140"/>
      <c r="AE213" s="140"/>
      <c r="AF213" s="140"/>
      <c r="AG213" s="140"/>
      <c r="AH213" s="140"/>
      <c r="AI213" s="140"/>
      <c r="AJ213" s="140"/>
      <c r="AK213" s="140"/>
      <c r="AL213" s="140"/>
      <c r="AM213" s="140"/>
      <c r="AN213" s="140"/>
      <c r="AO213" s="140"/>
      <c r="AP213" s="140"/>
      <c r="AQ213" s="140"/>
      <c r="AR213" s="140"/>
      <c r="AS213" s="140"/>
      <c r="AT213" s="140"/>
      <c r="AU213" s="140"/>
      <c r="AV213" s="140"/>
      <c r="AW213" s="140"/>
      <c r="AX213" s="140"/>
      <c r="AY213" s="140"/>
      <c r="AZ213" s="140"/>
      <c r="BA213" s="140"/>
      <c r="BB213" s="140"/>
      <c r="BC213" s="140"/>
      <c r="BD213" s="140"/>
      <c r="BE213" s="140"/>
    </row>
    <row r="214">
      <c r="A214" s="108"/>
      <c r="B214" s="107"/>
      <c r="C214" s="107"/>
      <c r="D214" s="107"/>
      <c r="E214" s="107"/>
      <c r="F214" s="107"/>
      <c r="G214" s="208"/>
      <c r="H214" s="131"/>
      <c r="I214" s="211"/>
      <c r="J214" s="107"/>
      <c r="K214" s="202"/>
      <c r="L214" s="107"/>
      <c r="M214" s="107"/>
      <c r="N214" s="206"/>
      <c r="O214" s="108" t="b">
        <v>0</v>
      </c>
      <c r="P214" s="207"/>
      <c r="Q214" s="140"/>
      <c r="R214" s="140"/>
      <c r="S214" s="140"/>
      <c r="T214" s="140"/>
      <c r="U214" s="140"/>
      <c r="V214" s="140"/>
      <c r="W214" s="140"/>
      <c r="X214" s="140"/>
      <c r="Y214" s="140"/>
      <c r="Z214" s="140"/>
      <c r="AA214" s="140"/>
      <c r="AB214" s="140"/>
      <c r="AC214" s="140"/>
      <c r="AD214" s="140"/>
      <c r="AE214" s="140"/>
      <c r="AF214" s="140"/>
      <c r="AG214" s="140"/>
      <c r="AH214" s="140"/>
      <c r="AI214" s="140"/>
      <c r="AJ214" s="140"/>
      <c r="AK214" s="140"/>
      <c r="AL214" s="140"/>
      <c r="AM214" s="140"/>
      <c r="AN214" s="140"/>
      <c r="AO214" s="140"/>
      <c r="AP214" s="140"/>
      <c r="AQ214" s="140"/>
      <c r="AR214" s="140"/>
      <c r="AS214" s="140"/>
      <c r="AT214" s="140"/>
      <c r="AU214" s="140"/>
      <c r="AV214" s="140"/>
      <c r="AW214" s="140"/>
      <c r="AX214" s="140"/>
      <c r="AY214" s="140"/>
      <c r="AZ214" s="140"/>
      <c r="BA214" s="140"/>
      <c r="BB214" s="140"/>
      <c r="BC214" s="140"/>
      <c r="BD214" s="140"/>
      <c r="BE214" s="140"/>
    </row>
    <row r="215">
      <c r="A215" s="108"/>
      <c r="B215" s="107"/>
      <c r="C215" s="107"/>
      <c r="D215" s="107"/>
      <c r="E215" s="107"/>
      <c r="F215" s="107"/>
      <c r="G215" s="208"/>
      <c r="H215" s="131"/>
      <c r="I215" s="211"/>
      <c r="J215" s="107"/>
      <c r="K215" s="202"/>
      <c r="L215" s="107"/>
      <c r="M215" s="107"/>
      <c r="N215" s="206"/>
      <c r="O215" s="108" t="b">
        <v>0</v>
      </c>
      <c r="P215" s="207"/>
      <c r="Q215" s="140"/>
      <c r="R215" s="140"/>
      <c r="S215" s="140"/>
      <c r="T215" s="140"/>
      <c r="U215" s="140"/>
      <c r="V215" s="140"/>
      <c r="W215" s="140"/>
      <c r="X215" s="140"/>
      <c r="Y215" s="140"/>
      <c r="Z215" s="140"/>
      <c r="AA215" s="140"/>
      <c r="AB215" s="140"/>
      <c r="AC215" s="140"/>
      <c r="AD215" s="140"/>
      <c r="AE215" s="140"/>
      <c r="AF215" s="140"/>
      <c r="AG215" s="140"/>
      <c r="AH215" s="140"/>
      <c r="AI215" s="140"/>
      <c r="AJ215" s="140"/>
      <c r="AK215" s="140"/>
      <c r="AL215" s="140"/>
      <c r="AM215" s="140"/>
      <c r="AN215" s="140"/>
      <c r="AO215" s="140"/>
      <c r="AP215" s="140"/>
      <c r="AQ215" s="140"/>
      <c r="AR215" s="140"/>
      <c r="AS215" s="140"/>
      <c r="AT215" s="140"/>
      <c r="AU215" s="140"/>
      <c r="AV215" s="140"/>
      <c r="AW215" s="140"/>
      <c r="AX215" s="140"/>
      <c r="AY215" s="140"/>
      <c r="AZ215" s="140"/>
      <c r="BA215" s="140"/>
      <c r="BB215" s="140"/>
      <c r="BC215" s="140"/>
      <c r="BD215" s="140"/>
      <c r="BE215" s="140"/>
    </row>
    <row r="216">
      <c r="A216" s="108"/>
      <c r="B216" s="107"/>
      <c r="C216" s="107"/>
      <c r="D216" s="107"/>
      <c r="E216" s="107"/>
      <c r="F216" s="107"/>
      <c r="G216" s="208"/>
      <c r="H216" s="131"/>
      <c r="I216" s="211"/>
      <c r="J216" s="107"/>
      <c r="K216" s="202"/>
      <c r="L216" s="107"/>
      <c r="M216" s="107"/>
      <c r="N216" s="206"/>
      <c r="O216" s="108" t="b">
        <v>0</v>
      </c>
      <c r="P216" s="207"/>
      <c r="Q216" s="140"/>
      <c r="R216" s="140"/>
      <c r="S216" s="140"/>
      <c r="T216" s="140"/>
      <c r="U216" s="140"/>
      <c r="V216" s="140"/>
      <c r="W216" s="140"/>
      <c r="X216" s="140"/>
      <c r="Y216" s="140"/>
      <c r="Z216" s="140"/>
      <c r="AA216" s="140"/>
      <c r="AB216" s="140"/>
      <c r="AC216" s="140"/>
      <c r="AD216" s="140"/>
      <c r="AE216" s="140"/>
      <c r="AF216" s="140"/>
      <c r="AG216" s="140"/>
      <c r="AH216" s="140"/>
      <c r="AI216" s="140"/>
      <c r="AJ216" s="140"/>
      <c r="AK216" s="140"/>
      <c r="AL216" s="140"/>
      <c r="AM216" s="140"/>
      <c r="AN216" s="140"/>
      <c r="AO216" s="140"/>
      <c r="AP216" s="140"/>
      <c r="AQ216" s="140"/>
      <c r="AR216" s="140"/>
      <c r="AS216" s="140"/>
      <c r="AT216" s="140"/>
      <c r="AU216" s="140"/>
      <c r="AV216" s="140"/>
      <c r="AW216" s="140"/>
      <c r="AX216" s="140"/>
      <c r="AY216" s="140"/>
      <c r="AZ216" s="140"/>
      <c r="BA216" s="140"/>
      <c r="BB216" s="140"/>
      <c r="BC216" s="140"/>
      <c r="BD216" s="140"/>
      <c r="BE216" s="140"/>
    </row>
    <row r="217">
      <c r="A217" s="108"/>
      <c r="B217" s="107"/>
      <c r="C217" s="107"/>
      <c r="D217" s="107"/>
      <c r="E217" s="107"/>
      <c r="F217" s="107"/>
      <c r="G217" s="208"/>
      <c r="H217" s="131"/>
      <c r="I217" s="211"/>
      <c r="J217" s="107"/>
      <c r="K217" s="202"/>
      <c r="L217" s="107"/>
      <c r="M217" s="107"/>
      <c r="N217" s="206"/>
      <c r="O217" s="108" t="b">
        <v>0</v>
      </c>
      <c r="P217" s="207"/>
      <c r="Q217" s="140"/>
      <c r="R217" s="140"/>
      <c r="S217" s="140"/>
      <c r="T217" s="140"/>
      <c r="U217" s="140"/>
      <c r="V217" s="140"/>
      <c r="W217" s="140"/>
      <c r="X217" s="140"/>
      <c r="Y217" s="140"/>
      <c r="Z217" s="140"/>
      <c r="AA217" s="140"/>
      <c r="AB217" s="140"/>
      <c r="AC217" s="140"/>
      <c r="AD217" s="140"/>
      <c r="AE217" s="140"/>
      <c r="AF217" s="140"/>
      <c r="AG217" s="140"/>
      <c r="AH217" s="140"/>
      <c r="AI217" s="140"/>
      <c r="AJ217" s="140"/>
      <c r="AK217" s="140"/>
      <c r="AL217" s="140"/>
      <c r="AM217" s="140"/>
      <c r="AN217" s="140"/>
      <c r="AO217" s="140"/>
      <c r="AP217" s="140"/>
      <c r="AQ217" s="140"/>
      <c r="AR217" s="140"/>
      <c r="AS217" s="140"/>
      <c r="AT217" s="140"/>
      <c r="AU217" s="140"/>
      <c r="AV217" s="140"/>
      <c r="AW217" s="140"/>
      <c r="AX217" s="140"/>
      <c r="AY217" s="140"/>
      <c r="AZ217" s="140"/>
      <c r="BA217" s="140"/>
      <c r="BB217" s="140"/>
      <c r="BC217" s="140"/>
      <c r="BD217" s="140"/>
      <c r="BE217" s="140"/>
    </row>
    <row r="218">
      <c r="A218" s="108"/>
      <c r="B218" s="107"/>
      <c r="C218" s="107"/>
      <c r="D218" s="107"/>
      <c r="E218" s="107"/>
      <c r="F218" s="107"/>
      <c r="G218" s="208"/>
      <c r="H218" s="131"/>
      <c r="I218" s="211"/>
      <c r="J218" s="107"/>
      <c r="K218" s="202"/>
      <c r="L218" s="107"/>
      <c r="M218" s="107"/>
      <c r="N218" s="206"/>
      <c r="O218" s="108" t="b">
        <v>0</v>
      </c>
      <c r="P218" s="207"/>
      <c r="Q218" s="140"/>
      <c r="R218" s="140"/>
      <c r="S218" s="140"/>
      <c r="T218" s="140"/>
      <c r="U218" s="140"/>
      <c r="V218" s="140"/>
      <c r="W218" s="140"/>
      <c r="X218" s="140"/>
      <c r="Y218" s="140"/>
      <c r="Z218" s="140"/>
      <c r="AA218" s="140"/>
      <c r="AB218" s="140"/>
      <c r="AC218" s="140"/>
      <c r="AD218" s="140"/>
      <c r="AE218" s="140"/>
      <c r="AF218" s="140"/>
      <c r="AG218" s="140"/>
      <c r="AH218" s="140"/>
      <c r="AI218" s="140"/>
      <c r="AJ218" s="140"/>
      <c r="AK218" s="140"/>
      <c r="AL218" s="140"/>
      <c r="AM218" s="140"/>
      <c r="AN218" s="140"/>
      <c r="AO218" s="140"/>
      <c r="AP218" s="140"/>
      <c r="AQ218" s="140"/>
      <c r="AR218" s="140"/>
      <c r="AS218" s="140"/>
      <c r="AT218" s="140"/>
      <c r="AU218" s="140"/>
      <c r="AV218" s="140"/>
      <c r="AW218" s="140"/>
      <c r="AX218" s="140"/>
      <c r="AY218" s="140"/>
      <c r="AZ218" s="140"/>
      <c r="BA218" s="140"/>
      <c r="BB218" s="140"/>
      <c r="BC218" s="140"/>
      <c r="BD218" s="140"/>
      <c r="BE218" s="140"/>
    </row>
    <row r="219">
      <c r="A219" s="108"/>
      <c r="B219" s="107"/>
      <c r="C219" s="107"/>
      <c r="D219" s="107"/>
      <c r="E219" s="107"/>
      <c r="F219" s="107"/>
      <c r="G219" s="208"/>
      <c r="H219" s="131"/>
      <c r="I219" s="211"/>
      <c r="J219" s="107"/>
      <c r="K219" s="202"/>
      <c r="L219" s="107"/>
      <c r="M219" s="107"/>
      <c r="N219" s="206"/>
      <c r="O219" s="108" t="b">
        <v>0</v>
      </c>
      <c r="P219" s="207"/>
      <c r="Q219" s="140"/>
      <c r="R219" s="140"/>
      <c r="S219" s="140"/>
      <c r="T219" s="140"/>
      <c r="U219" s="140"/>
      <c r="V219" s="140"/>
      <c r="W219" s="140"/>
      <c r="X219" s="140"/>
      <c r="Y219" s="140"/>
      <c r="Z219" s="140"/>
      <c r="AA219" s="140"/>
      <c r="AB219" s="140"/>
      <c r="AC219" s="140"/>
      <c r="AD219" s="140"/>
      <c r="AE219" s="140"/>
      <c r="AF219" s="140"/>
      <c r="AG219" s="140"/>
      <c r="AH219" s="140"/>
      <c r="AI219" s="140"/>
      <c r="AJ219" s="140"/>
      <c r="AK219" s="140"/>
      <c r="AL219" s="140"/>
      <c r="AM219" s="140"/>
      <c r="AN219" s="140"/>
      <c r="AO219" s="140"/>
      <c r="AP219" s="140"/>
      <c r="AQ219" s="140"/>
      <c r="AR219" s="140"/>
      <c r="AS219" s="140"/>
      <c r="AT219" s="140"/>
      <c r="AU219" s="140"/>
      <c r="AV219" s="140"/>
      <c r="AW219" s="140"/>
      <c r="AX219" s="140"/>
      <c r="AY219" s="140"/>
      <c r="AZ219" s="140"/>
      <c r="BA219" s="140"/>
      <c r="BB219" s="140"/>
      <c r="BC219" s="140"/>
      <c r="BD219" s="140"/>
      <c r="BE219" s="140"/>
    </row>
    <row r="220">
      <c r="A220" s="108"/>
      <c r="B220" s="107"/>
      <c r="C220" s="107"/>
      <c r="D220" s="107"/>
      <c r="E220" s="107"/>
      <c r="F220" s="107"/>
      <c r="G220" s="208"/>
      <c r="H220" s="131"/>
      <c r="I220" s="211"/>
      <c r="J220" s="107"/>
      <c r="K220" s="202"/>
      <c r="L220" s="107"/>
      <c r="M220" s="107"/>
      <c r="N220" s="206"/>
      <c r="O220" s="108" t="b">
        <v>0</v>
      </c>
      <c r="P220" s="207"/>
      <c r="Q220" s="140"/>
      <c r="R220" s="140"/>
      <c r="S220" s="140"/>
      <c r="T220" s="140"/>
      <c r="U220" s="140"/>
      <c r="V220" s="140"/>
      <c r="W220" s="140"/>
      <c r="X220" s="140"/>
      <c r="Y220" s="140"/>
      <c r="Z220" s="140"/>
      <c r="AA220" s="140"/>
      <c r="AB220" s="140"/>
      <c r="AC220" s="140"/>
      <c r="AD220" s="140"/>
      <c r="AE220" s="140"/>
      <c r="AF220" s="140"/>
      <c r="AG220" s="140"/>
      <c r="AH220" s="140"/>
      <c r="AI220" s="140"/>
      <c r="AJ220" s="140"/>
      <c r="AK220" s="140"/>
      <c r="AL220" s="140"/>
      <c r="AM220" s="140"/>
      <c r="AN220" s="140"/>
      <c r="AO220" s="140"/>
      <c r="AP220" s="140"/>
      <c r="AQ220" s="140"/>
      <c r="AR220" s="140"/>
      <c r="AS220" s="140"/>
      <c r="AT220" s="140"/>
      <c r="AU220" s="140"/>
      <c r="AV220" s="140"/>
      <c r="AW220" s="140"/>
      <c r="AX220" s="140"/>
      <c r="AY220" s="140"/>
      <c r="AZ220" s="140"/>
      <c r="BA220" s="140"/>
      <c r="BB220" s="140"/>
      <c r="BC220" s="140"/>
      <c r="BD220" s="140"/>
      <c r="BE220" s="140"/>
    </row>
    <row r="221">
      <c r="A221" s="108"/>
      <c r="B221" s="107"/>
      <c r="C221" s="107"/>
      <c r="D221" s="107"/>
      <c r="E221" s="107"/>
      <c r="F221" s="107"/>
      <c r="G221" s="208"/>
      <c r="H221" s="131"/>
      <c r="I221" s="211"/>
      <c r="J221" s="107"/>
      <c r="K221" s="202"/>
      <c r="L221" s="107"/>
      <c r="M221" s="107"/>
      <c r="N221" s="206"/>
      <c r="O221" s="108" t="b">
        <v>0</v>
      </c>
      <c r="P221" s="207"/>
      <c r="Q221" s="140"/>
      <c r="R221" s="140"/>
      <c r="S221" s="140"/>
      <c r="T221" s="140"/>
      <c r="U221" s="140"/>
      <c r="V221" s="140"/>
      <c r="W221" s="140"/>
      <c r="X221" s="140"/>
      <c r="Y221" s="140"/>
      <c r="Z221" s="140"/>
      <c r="AA221" s="140"/>
      <c r="AB221" s="140"/>
      <c r="AC221" s="140"/>
      <c r="AD221" s="140"/>
      <c r="AE221" s="140"/>
      <c r="AF221" s="140"/>
      <c r="AG221" s="140"/>
      <c r="AH221" s="140"/>
      <c r="AI221" s="140"/>
      <c r="AJ221" s="140"/>
      <c r="AK221" s="140"/>
      <c r="AL221" s="140"/>
      <c r="AM221" s="140"/>
      <c r="AN221" s="140"/>
      <c r="AO221" s="140"/>
      <c r="AP221" s="140"/>
      <c r="AQ221" s="140"/>
      <c r="AR221" s="140"/>
      <c r="AS221" s="140"/>
      <c r="AT221" s="140"/>
      <c r="AU221" s="140"/>
      <c r="AV221" s="140"/>
      <c r="AW221" s="140"/>
      <c r="AX221" s="140"/>
      <c r="AY221" s="140"/>
      <c r="AZ221" s="140"/>
      <c r="BA221" s="140"/>
      <c r="BB221" s="140"/>
      <c r="BC221" s="140"/>
      <c r="BD221" s="140"/>
      <c r="BE221" s="140"/>
    </row>
    <row r="222">
      <c r="A222" s="108"/>
      <c r="B222" s="107"/>
      <c r="C222" s="107"/>
      <c r="D222" s="107"/>
      <c r="E222" s="107"/>
      <c r="F222" s="107"/>
      <c r="G222" s="208"/>
      <c r="H222" s="131"/>
      <c r="I222" s="211"/>
      <c r="J222" s="107"/>
      <c r="K222" s="202"/>
      <c r="L222" s="107"/>
      <c r="M222" s="107"/>
      <c r="N222" s="206"/>
      <c r="O222" s="108" t="b">
        <v>0</v>
      </c>
      <c r="P222" s="207"/>
      <c r="Q222" s="140"/>
      <c r="R222" s="140"/>
      <c r="S222" s="140"/>
      <c r="T222" s="140"/>
      <c r="U222" s="140"/>
      <c r="V222" s="140"/>
      <c r="W222" s="140"/>
      <c r="X222" s="140"/>
      <c r="Y222" s="140"/>
      <c r="Z222" s="140"/>
      <c r="AA222" s="140"/>
      <c r="AB222" s="140"/>
      <c r="AC222" s="140"/>
      <c r="AD222" s="140"/>
      <c r="AE222" s="140"/>
      <c r="AF222" s="140"/>
      <c r="AG222" s="140"/>
      <c r="AH222" s="140"/>
      <c r="AI222" s="140"/>
      <c r="AJ222" s="140"/>
      <c r="AK222" s="140"/>
      <c r="AL222" s="140"/>
      <c r="AM222" s="140"/>
      <c r="AN222" s="140"/>
      <c r="AO222" s="140"/>
      <c r="AP222" s="140"/>
      <c r="AQ222" s="140"/>
      <c r="AR222" s="140"/>
      <c r="AS222" s="140"/>
      <c r="AT222" s="140"/>
      <c r="AU222" s="140"/>
      <c r="AV222" s="140"/>
      <c r="AW222" s="140"/>
      <c r="AX222" s="140"/>
      <c r="AY222" s="140"/>
      <c r="AZ222" s="140"/>
      <c r="BA222" s="140"/>
      <c r="BB222" s="140"/>
      <c r="BC222" s="140"/>
      <c r="BD222" s="140"/>
      <c r="BE222" s="140"/>
    </row>
    <row r="223">
      <c r="A223" s="108"/>
      <c r="B223" s="107"/>
      <c r="C223" s="107"/>
      <c r="D223" s="107"/>
      <c r="E223" s="107"/>
      <c r="F223" s="107"/>
      <c r="G223" s="208"/>
      <c r="H223" s="131"/>
      <c r="I223" s="211"/>
      <c r="J223" s="107"/>
      <c r="K223" s="202"/>
      <c r="L223" s="107"/>
      <c r="M223" s="107"/>
      <c r="N223" s="206"/>
      <c r="O223" s="108" t="b">
        <v>0</v>
      </c>
      <c r="P223" s="207"/>
      <c r="Q223" s="140"/>
      <c r="R223" s="140"/>
      <c r="S223" s="140"/>
      <c r="T223" s="140"/>
      <c r="U223" s="140"/>
      <c r="V223" s="140"/>
      <c r="W223" s="140"/>
      <c r="X223" s="140"/>
      <c r="Y223" s="140"/>
      <c r="Z223" s="140"/>
      <c r="AA223" s="140"/>
      <c r="AB223" s="140"/>
      <c r="AC223" s="140"/>
      <c r="AD223" s="140"/>
      <c r="AE223" s="140"/>
      <c r="AF223" s="140"/>
      <c r="AG223" s="140"/>
      <c r="AH223" s="140"/>
      <c r="AI223" s="140"/>
      <c r="AJ223" s="140"/>
      <c r="AK223" s="140"/>
      <c r="AL223" s="140"/>
      <c r="AM223" s="140"/>
      <c r="AN223" s="140"/>
      <c r="AO223" s="140"/>
      <c r="AP223" s="140"/>
      <c r="AQ223" s="140"/>
      <c r="AR223" s="140"/>
      <c r="AS223" s="140"/>
      <c r="AT223" s="140"/>
      <c r="AU223" s="140"/>
      <c r="AV223" s="140"/>
      <c r="AW223" s="140"/>
      <c r="AX223" s="140"/>
      <c r="AY223" s="140"/>
      <c r="AZ223" s="140"/>
      <c r="BA223" s="140"/>
      <c r="BB223" s="140"/>
      <c r="BC223" s="140"/>
      <c r="BD223" s="140"/>
      <c r="BE223" s="140"/>
    </row>
    <row r="224">
      <c r="A224" s="108"/>
      <c r="B224" s="107"/>
      <c r="C224" s="107"/>
      <c r="D224" s="107"/>
      <c r="E224" s="107"/>
      <c r="F224" s="107"/>
      <c r="G224" s="208"/>
      <c r="H224" s="131"/>
      <c r="I224" s="211"/>
      <c r="J224" s="107"/>
      <c r="K224" s="202"/>
      <c r="L224" s="107"/>
      <c r="M224" s="107"/>
      <c r="N224" s="206"/>
      <c r="O224" s="108" t="b">
        <v>0</v>
      </c>
      <c r="P224" s="207"/>
      <c r="Q224" s="140"/>
      <c r="R224" s="140"/>
      <c r="S224" s="140"/>
      <c r="T224" s="140"/>
      <c r="U224" s="140"/>
      <c r="V224" s="140"/>
      <c r="W224" s="140"/>
      <c r="X224" s="140"/>
      <c r="Y224" s="140"/>
      <c r="Z224" s="140"/>
      <c r="AA224" s="140"/>
      <c r="AB224" s="140"/>
      <c r="AC224" s="140"/>
      <c r="AD224" s="140"/>
      <c r="AE224" s="140"/>
      <c r="AF224" s="140"/>
      <c r="AG224" s="140"/>
      <c r="AH224" s="140"/>
      <c r="AI224" s="140"/>
      <c r="AJ224" s="140"/>
      <c r="AK224" s="140"/>
      <c r="AL224" s="140"/>
      <c r="AM224" s="140"/>
      <c r="AN224" s="140"/>
      <c r="AO224" s="140"/>
      <c r="AP224" s="140"/>
      <c r="AQ224" s="140"/>
      <c r="AR224" s="140"/>
      <c r="AS224" s="140"/>
      <c r="AT224" s="140"/>
      <c r="AU224" s="140"/>
      <c r="AV224" s="140"/>
      <c r="AW224" s="140"/>
      <c r="AX224" s="140"/>
      <c r="AY224" s="140"/>
      <c r="AZ224" s="140"/>
      <c r="BA224" s="140"/>
      <c r="BB224" s="140"/>
      <c r="BC224" s="140"/>
      <c r="BD224" s="140"/>
      <c r="BE224" s="140"/>
    </row>
    <row r="225">
      <c r="A225" s="108"/>
      <c r="B225" s="107"/>
      <c r="C225" s="107"/>
      <c r="D225" s="107"/>
      <c r="E225" s="107"/>
      <c r="F225" s="107"/>
      <c r="G225" s="208"/>
      <c r="H225" s="131"/>
      <c r="I225" s="211"/>
      <c r="J225" s="107"/>
      <c r="K225" s="202"/>
      <c r="L225" s="107"/>
      <c r="M225" s="107"/>
      <c r="N225" s="206"/>
      <c r="O225" s="108" t="b">
        <v>0</v>
      </c>
      <c r="P225" s="207"/>
      <c r="Q225" s="140"/>
      <c r="R225" s="140"/>
      <c r="S225" s="140"/>
      <c r="T225" s="140"/>
      <c r="U225" s="140"/>
      <c r="V225" s="140"/>
      <c r="W225" s="140"/>
      <c r="X225" s="140"/>
      <c r="Y225" s="140"/>
      <c r="Z225" s="140"/>
      <c r="AA225" s="140"/>
      <c r="AB225" s="140"/>
      <c r="AC225" s="140"/>
      <c r="AD225" s="140"/>
      <c r="AE225" s="140"/>
      <c r="AF225" s="140"/>
      <c r="AG225" s="140"/>
      <c r="AH225" s="140"/>
      <c r="AI225" s="140"/>
      <c r="AJ225" s="140"/>
      <c r="AK225" s="140"/>
      <c r="AL225" s="140"/>
      <c r="AM225" s="140"/>
      <c r="AN225" s="140"/>
      <c r="AO225" s="140"/>
      <c r="AP225" s="140"/>
      <c r="AQ225" s="140"/>
      <c r="AR225" s="140"/>
      <c r="AS225" s="140"/>
      <c r="AT225" s="140"/>
      <c r="AU225" s="140"/>
      <c r="AV225" s="140"/>
      <c r="AW225" s="140"/>
      <c r="AX225" s="140"/>
      <c r="AY225" s="140"/>
      <c r="AZ225" s="140"/>
      <c r="BA225" s="140"/>
      <c r="BB225" s="140"/>
      <c r="BC225" s="140"/>
      <c r="BD225" s="140"/>
      <c r="BE225" s="140"/>
    </row>
    <row r="226">
      <c r="A226" s="108"/>
      <c r="B226" s="107"/>
      <c r="C226" s="107"/>
      <c r="D226" s="107"/>
      <c r="E226" s="107"/>
      <c r="F226" s="107"/>
      <c r="G226" s="208"/>
      <c r="H226" s="131"/>
      <c r="I226" s="211"/>
      <c r="J226" s="107"/>
      <c r="K226" s="202"/>
      <c r="L226" s="107"/>
      <c r="M226" s="107"/>
      <c r="N226" s="206"/>
      <c r="O226" s="108" t="b">
        <v>0</v>
      </c>
      <c r="P226" s="207"/>
      <c r="Q226" s="140"/>
      <c r="R226" s="140"/>
      <c r="S226" s="140"/>
      <c r="T226" s="140"/>
      <c r="U226" s="140"/>
      <c r="V226" s="140"/>
      <c r="W226" s="140"/>
      <c r="X226" s="140"/>
      <c r="Y226" s="140"/>
      <c r="Z226" s="140"/>
      <c r="AA226" s="140"/>
      <c r="AB226" s="140"/>
      <c r="AC226" s="140"/>
      <c r="AD226" s="140"/>
      <c r="AE226" s="140"/>
      <c r="AF226" s="140"/>
      <c r="AG226" s="140"/>
      <c r="AH226" s="140"/>
      <c r="AI226" s="140"/>
      <c r="AJ226" s="140"/>
      <c r="AK226" s="140"/>
      <c r="AL226" s="140"/>
      <c r="AM226" s="140"/>
      <c r="AN226" s="140"/>
      <c r="AO226" s="140"/>
      <c r="AP226" s="140"/>
      <c r="AQ226" s="140"/>
      <c r="AR226" s="140"/>
      <c r="AS226" s="140"/>
      <c r="AT226" s="140"/>
      <c r="AU226" s="140"/>
      <c r="AV226" s="140"/>
      <c r="AW226" s="140"/>
      <c r="AX226" s="140"/>
      <c r="AY226" s="140"/>
      <c r="AZ226" s="140"/>
      <c r="BA226" s="140"/>
      <c r="BB226" s="140"/>
      <c r="BC226" s="140"/>
      <c r="BD226" s="140"/>
      <c r="BE226" s="140"/>
    </row>
    <row r="227">
      <c r="A227" s="108"/>
      <c r="B227" s="107"/>
      <c r="C227" s="107"/>
      <c r="D227" s="107"/>
      <c r="E227" s="107"/>
      <c r="F227" s="107"/>
      <c r="G227" s="208"/>
      <c r="H227" s="131"/>
      <c r="I227" s="211"/>
      <c r="J227" s="107"/>
      <c r="K227" s="202"/>
      <c r="L227" s="107"/>
      <c r="M227" s="107"/>
      <c r="N227" s="206"/>
      <c r="O227" s="108" t="b">
        <v>0</v>
      </c>
      <c r="P227" s="207"/>
      <c r="Q227" s="140"/>
      <c r="R227" s="140"/>
      <c r="S227" s="140"/>
      <c r="T227" s="140"/>
      <c r="U227" s="140"/>
      <c r="V227" s="140"/>
      <c r="W227" s="140"/>
      <c r="X227" s="140"/>
      <c r="Y227" s="140"/>
      <c r="Z227" s="140"/>
      <c r="AA227" s="140"/>
      <c r="AB227" s="140"/>
      <c r="AC227" s="140"/>
      <c r="AD227" s="140"/>
      <c r="AE227" s="140"/>
      <c r="AF227" s="140"/>
      <c r="AG227" s="140"/>
      <c r="AH227" s="140"/>
      <c r="AI227" s="140"/>
      <c r="AJ227" s="140"/>
      <c r="AK227" s="140"/>
      <c r="AL227" s="140"/>
      <c r="AM227" s="140"/>
      <c r="AN227" s="140"/>
      <c r="AO227" s="140"/>
      <c r="AP227" s="140"/>
      <c r="AQ227" s="140"/>
      <c r="AR227" s="140"/>
      <c r="AS227" s="140"/>
      <c r="AT227" s="140"/>
      <c r="AU227" s="140"/>
      <c r="AV227" s="140"/>
      <c r="AW227" s="140"/>
      <c r="AX227" s="140"/>
      <c r="AY227" s="140"/>
      <c r="AZ227" s="140"/>
      <c r="BA227" s="140"/>
      <c r="BB227" s="140"/>
      <c r="BC227" s="140"/>
      <c r="BD227" s="140"/>
      <c r="BE227" s="140"/>
    </row>
    <row r="228">
      <c r="A228" s="108"/>
      <c r="B228" s="107"/>
      <c r="C228" s="107"/>
      <c r="D228" s="107"/>
      <c r="E228" s="107"/>
      <c r="F228" s="107"/>
      <c r="G228" s="208"/>
      <c r="H228" s="131"/>
      <c r="I228" s="211"/>
      <c r="J228" s="107"/>
      <c r="K228" s="202"/>
      <c r="L228" s="107"/>
      <c r="M228" s="107"/>
      <c r="N228" s="206"/>
      <c r="O228" s="108" t="b">
        <v>0</v>
      </c>
      <c r="P228" s="207"/>
      <c r="Q228" s="140"/>
      <c r="R228" s="140"/>
      <c r="S228" s="140"/>
      <c r="T228" s="140"/>
      <c r="U228" s="140"/>
      <c r="V228" s="140"/>
      <c r="W228" s="140"/>
      <c r="X228" s="140"/>
      <c r="Y228" s="140"/>
      <c r="Z228" s="140"/>
      <c r="AA228" s="140"/>
      <c r="AB228" s="140"/>
      <c r="AC228" s="140"/>
      <c r="AD228" s="140"/>
      <c r="AE228" s="140"/>
      <c r="AF228" s="140"/>
      <c r="AG228" s="140"/>
      <c r="AH228" s="140"/>
      <c r="AI228" s="140"/>
      <c r="AJ228" s="140"/>
      <c r="AK228" s="140"/>
      <c r="AL228" s="140"/>
      <c r="AM228" s="140"/>
      <c r="AN228" s="140"/>
      <c r="AO228" s="140"/>
      <c r="AP228" s="140"/>
      <c r="AQ228" s="140"/>
      <c r="AR228" s="140"/>
      <c r="AS228" s="140"/>
      <c r="AT228" s="140"/>
      <c r="AU228" s="140"/>
      <c r="AV228" s="140"/>
      <c r="AW228" s="140"/>
      <c r="AX228" s="140"/>
      <c r="AY228" s="140"/>
      <c r="AZ228" s="140"/>
      <c r="BA228" s="140"/>
      <c r="BB228" s="140"/>
      <c r="BC228" s="140"/>
      <c r="BD228" s="140"/>
      <c r="BE228" s="140"/>
    </row>
    <row r="229">
      <c r="A229" s="108"/>
      <c r="B229" s="107"/>
      <c r="C229" s="107"/>
      <c r="D229" s="107"/>
      <c r="E229" s="107"/>
      <c r="F229" s="107"/>
      <c r="G229" s="208"/>
      <c r="H229" s="131"/>
      <c r="I229" s="211"/>
      <c r="J229" s="107"/>
      <c r="K229" s="202"/>
      <c r="L229" s="107"/>
      <c r="M229" s="107"/>
      <c r="N229" s="206"/>
      <c r="O229" s="108" t="b">
        <v>0</v>
      </c>
      <c r="P229" s="207"/>
      <c r="Q229" s="140"/>
      <c r="R229" s="140"/>
      <c r="S229" s="140"/>
      <c r="T229" s="140"/>
      <c r="U229" s="140"/>
      <c r="V229" s="140"/>
      <c r="W229" s="140"/>
      <c r="X229" s="140"/>
      <c r="Y229" s="140"/>
      <c r="Z229" s="140"/>
      <c r="AA229" s="140"/>
      <c r="AB229" s="140"/>
      <c r="AC229" s="140"/>
      <c r="AD229" s="140"/>
      <c r="AE229" s="140"/>
      <c r="AF229" s="140"/>
      <c r="AG229" s="140"/>
      <c r="AH229" s="140"/>
      <c r="AI229" s="140"/>
      <c r="AJ229" s="140"/>
      <c r="AK229" s="140"/>
      <c r="AL229" s="140"/>
      <c r="AM229" s="140"/>
      <c r="AN229" s="140"/>
      <c r="AO229" s="140"/>
      <c r="AP229" s="140"/>
      <c r="AQ229" s="140"/>
      <c r="AR229" s="140"/>
      <c r="AS229" s="140"/>
      <c r="AT229" s="140"/>
      <c r="AU229" s="140"/>
      <c r="AV229" s="140"/>
      <c r="AW229" s="140"/>
      <c r="AX229" s="140"/>
      <c r="AY229" s="140"/>
      <c r="AZ229" s="140"/>
      <c r="BA229" s="140"/>
      <c r="BB229" s="140"/>
      <c r="BC229" s="140"/>
      <c r="BD229" s="140"/>
      <c r="BE229" s="140"/>
    </row>
    <row r="230">
      <c r="A230" s="108"/>
      <c r="B230" s="107"/>
      <c r="C230" s="107"/>
      <c r="D230" s="107"/>
      <c r="E230" s="107"/>
      <c r="F230" s="107"/>
      <c r="G230" s="208"/>
      <c r="H230" s="131"/>
      <c r="I230" s="211"/>
      <c r="J230" s="107"/>
      <c r="K230" s="202"/>
      <c r="L230" s="107"/>
      <c r="M230" s="107"/>
      <c r="N230" s="206"/>
      <c r="O230" s="108" t="b">
        <v>0</v>
      </c>
      <c r="P230" s="207"/>
      <c r="Q230" s="140"/>
      <c r="R230" s="14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c r="AO230" s="140"/>
      <c r="AP230" s="140"/>
      <c r="AQ230" s="140"/>
      <c r="AR230" s="140"/>
      <c r="AS230" s="140"/>
      <c r="AT230" s="140"/>
      <c r="AU230" s="140"/>
      <c r="AV230" s="140"/>
      <c r="AW230" s="140"/>
      <c r="AX230" s="140"/>
      <c r="AY230" s="140"/>
      <c r="AZ230" s="140"/>
      <c r="BA230" s="140"/>
      <c r="BB230" s="140"/>
      <c r="BC230" s="140"/>
      <c r="BD230" s="140"/>
      <c r="BE230" s="140"/>
    </row>
    <row r="231">
      <c r="A231" s="108"/>
      <c r="B231" s="107"/>
      <c r="C231" s="107"/>
      <c r="D231" s="107"/>
      <c r="E231" s="107"/>
      <c r="F231" s="107"/>
      <c r="G231" s="208"/>
      <c r="H231" s="131"/>
      <c r="I231" s="211"/>
      <c r="J231" s="107"/>
      <c r="K231" s="202"/>
      <c r="L231" s="107"/>
      <c r="M231" s="107"/>
      <c r="N231" s="206"/>
      <c r="O231" s="108" t="b">
        <v>0</v>
      </c>
      <c r="P231" s="207"/>
      <c r="Q231" s="140"/>
      <c r="R231" s="140"/>
      <c r="S231" s="140"/>
      <c r="T231" s="140"/>
      <c r="U231" s="140"/>
      <c r="V231" s="140"/>
      <c r="W231" s="140"/>
      <c r="X231" s="140"/>
      <c r="Y231" s="140"/>
      <c r="Z231" s="140"/>
      <c r="AA231" s="140"/>
      <c r="AB231" s="140"/>
      <c r="AC231" s="140"/>
      <c r="AD231" s="140"/>
      <c r="AE231" s="140"/>
      <c r="AF231" s="140"/>
      <c r="AG231" s="140"/>
      <c r="AH231" s="140"/>
      <c r="AI231" s="140"/>
      <c r="AJ231" s="140"/>
      <c r="AK231" s="140"/>
      <c r="AL231" s="140"/>
      <c r="AM231" s="140"/>
      <c r="AN231" s="140"/>
      <c r="AO231" s="140"/>
      <c r="AP231" s="140"/>
      <c r="AQ231" s="140"/>
      <c r="AR231" s="140"/>
      <c r="AS231" s="140"/>
      <c r="AT231" s="140"/>
      <c r="AU231" s="140"/>
      <c r="AV231" s="140"/>
      <c r="AW231" s="140"/>
      <c r="AX231" s="140"/>
      <c r="AY231" s="140"/>
      <c r="AZ231" s="140"/>
      <c r="BA231" s="140"/>
      <c r="BB231" s="140"/>
      <c r="BC231" s="140"/>
      <c r="BD231" s="140"/>
      <c r="BE231" s="140"/>
    </row>
    <row r="232">
      <c r="A232" s="108"/>
      <c r="B232" s="107"/>
      <c r="C232" s="107"/>
      <c r="D232" s="107"/>
      <c r="E232" s="107"/>
      <c r="F232" s="107"/>
      <c r="G232" s="208"/>
      <c r="H232" s="131"/>
      <c r="I232" s="211"/>
      <c r="J232" s="107"/>
      <c r="K232" s="202"/>
      <c r="L232" s="107"/>
      <c r="M232" s="107"/>
      <c r="N232" s="206"/>
      <c r="O232" s="108" t="b">
        <v>0</v>
      </c>
      <c r="P232" s="207"/>
      <c r="Q232" s="140"/>
      <c r="R232" s="140"/>
      <c r="S232" s="140"/>
      <c r="T232" s="140"/>
      <c r="U232" s="140"/>
      <c r="V232" s="140"/>
      <c r="W232" s="140"/>
      <c r="X232" s="140"/>
      <c r="Y232" s="140"/>
      <c r="Z232" s="140"/>
      <c r="AA232" s="140"/>
      <c r="AB232" s="140"/>
      <c r="AC232" s="140"/>
      <c r="AD232" s="140"/>
      <c r="AE232" s="140"/>
      <c r="AF232" s="140"/>
      <c r="AG232" s="140"/>
      <c r="AH232" s="140"/>
      <c r="AI232" s="140"/>
      <c r="AJ232" s="140"/>
      <c r="AK232" s="140"/>
      <c r="AL232" s="140"/>
      <c r="AM232" s="140"/>
      <c r="AN232" s="140"/>
      <c r="AO232" s="140"/>
      <c r="AP232" s="140"/>
      <c r="AQ232" s="140"/>
      <c r="AR232" s="140"/>
      <c r="AS232" s="140"/>
      <c r="AT232" s="140"/>
      <c r="AU232" s="140"/>
      <c r="AV232" s="140"/>
      <c r="AW232" s="140"/>
      <c r="AX232" s="140"/>
      <c r="AY232" s="140"/>
      <c r="AZ232" s="140"/>
      <c r="BA232" s="140"/>
      <c r="BB232" s="140"/>
      <c r="BC232" s="140"/>
      <c r="BD232" s="140"/>
      <c r="BE232" s="140"/>
    </row>
    <row r="233">
      <c r="A233" s="108"/>
      <c r="B233" s="107"/>
      <c r="C233" s="107"/>
      <c r="D233" s="107"/>
      <c r="E233" s="107"/>
      <c r="F233" s="107"/>
      <c r="G233" s="208"/>
      <c r="H233" s="131"/>
      <c r="I233" s="211"/>
      <c r="J233" s="107"/>
      <c r="K233" s="202"/>
      <c r="L233" s="107"/>
      <c r="M233" s="107"/>
      <c r="N233" s="206"/>
      <c r="O233" s="108" t="b">
        <v>0</v>
      </c>
      <c r="P233" s="207"/>
      <c r="Q233" s="140"/>
      <c r="R233" s="140"/>
      <c r="S233" s="140"/>
      <c r="T233" s="140"/>
      <c r="U233" s="140"/>
      <c r="V233" s="140"/>
      <c r="W233" s="140"/>
      <c r="X233" s="140"/>
      <c r="Y233" s="140"/>
      <c r="Z233" s="140"/>
      <c r="AA233" s="140"/>
      <c r="AB233" s="140"/>
      <c r="AC233" s="140"/>
      <c r="AD233" s="140"/>
      <c r="AE233" s="140"/>
      <c r="AF233" s="140"/>
      <c r="AG233" s="140"/>
      <c r="AH233" s="140"/>
      <c r="AI233" s="140"/>
      <c r="AJ233" s="140"/>
      <c r="AK233" s="140"/>
      <c r="AL233" s="140"/>
      <c r="AM233" s="140"/>
      <c r="AN233" s="140"/>
      <c r="AO233" s="140"/>
      <c r="AP233" s="140"/>
      <c r="AQ233" s="140"/>
      <c r="AR233" s="140"/>
      <c r="AS233" s="140"/>
      <c r="AT233" s="140"/>
      <c r="AU233" s="140"/>
      <c r="AV233" s="140"/>
      <c r="AW233" s="140"/>
      <c r="AX233" s="140"/>
      <c r="AY233" s="140"/>
      <c r="AZ233" s="140"/>
      <c r="BA233" s="140"/>
      <c r="BB233" s="140"/>
      <c r="BC233" s="140"/>
      <c r="BD233" s="140"/>
      <c r="BE233" s="140"/>
    </row>
    <row r="234">
      <c r="A234" s="108"/>
      <c r="B234" s="107"/>
      <c r="C234" s="107"/>
      <c r="D234" s="107"/>
      <c r="E234" s="107"/>
      <c r="F234" s="107"/>
      <c r="G234" s="208"/>
      <c r="H234" s="131"/>
      <c r="I234" s="211"/>
      <c r="J234" s="107"/>
      <c r="K234" s="202"/>
      <c r="L234" s="107"/>
      <c r="M234" s="107"/>
      <c r="N234" s="206"/>
      <c r="O234" s="108" t="b">
        <v>0</v>
      </c>
      <c r="P234" s="207"/>
      <c r="Q234" s="140"/>
      <c r="R234" s="140"/>
      <c r="S234" s="140"/>
      <c r="T234" s="140"/>
      <c r="U234" s="140"/>
      <c r="V234" s="140"/>
      <c r="W234" s="140"/>
      <c r="X234" s="140"/>
      <c r="Y234" s="140"/>
      <c r="Z234" s="140"/>
      <c r="AA234" s="140"/>
      <c r="AB234" s="140"/>
      <c r="AC234" s="140"/>
      <c r="AD234" s="140"/>
      <c r="AE234" s="140"/>
      <c r="AF234" s="140"/>
      <c r="AG234" s="140"/>
      <c r="AH234" s="140"/>
      <c r="AI234" s="140"/>
      <c r="AJ234" s="140"/>
      <c r="AK234" s="140"/>
      <c r="AL234" s="140"/>
      <c r="AM234" s="140"/>
      <c r="AN234" s="140"/>
      <c r="AO234" s="140"/>
      <c r="AP234" s="140"/>
      <c r="AQ234" s="140"/>
      <c r="AR234" s="140"/>
      <c r="AS234" s="140"/>
      <c r="AT234" s="140"/>
      <c r="AU234" s="140"/>
      <c r="AV234" s="140"/>
      <c r="AW234" s="140"/>
      <c r="AX234" s="140"/>
      <c r="AY234" s="140"/>
      <c r="AZ234" s="140"/>
      <c r="BA234" s="140"/>
      <c r="BB234" s="140"/>
      <c r="BC234" s="140"/>
      <c r="BD234" s="140"/>
      <c r="BE234" s="140"/>
    </row>
    <row r="235">
      <c r="A235" s="108"/>
      <c r="B235" s="107"/>
      <c r="C235" s="107"/>
      <c r="D235" s="107"/>
      <c r="E235" s="107"/>
      <c r="F235" s="107"/>
      <c r="G235" s="208"/>
      <c r="H235" s="131"/>
      <c r="I235" s="211"/>
      <c r="J235" s="107"/>
      <c r="K235" s="202"/>
      <c r="L235" s="107"/>
      <c r="M235" s="107"/>
      <c r="N235" s="206"/>
      <c r="O235" s="108" t="b">
        <v>0</v>
      </c>
      <c r="P235" s="207"/>
      <c r="Q235" s="140"/>
      <c r="R235" s="140"/>
      <c r="S235" s="140"/>
      <c r="T235" s="140"/>
      <c r="U235" s="140"/>
      <c r="V235" s="140"/>
      <c r="W235" s="140"/>
      <c r="X235" s="140"/>
      <c r="Y235" s="140"/>
      <c r="Z235" s="140"/>
      <c r="AA235" s="140"/>
      <c r="AB235" s="140"/>
      <c r="AC235" s="140"/>
      <c r="AD235" s="140"/>
      <c r="AE235" s="140"/>
      <c r="AF235" s="140"/>
      <c r="AG235" s="140"/>
      <c r="AH235" s="140"/>
      <c r="AI235" s="140"/>
      <c r="AJ235" s="140"/>
      <c r="AK235" s="140"/>
      <c r="AL235" s="140"/>
      <c r="AM235" s="140"/>
      <c r="AN235" s="140"/>
      <c r="AO235" s="140"/>
      <c r="AP235" s="140"/>
      <c r="AQ235" s="140"/>
      <c r="AR235" s="140"/>
      <c r="AS235" s="140"/>
      <c r="AT235" s="140"/>
      <c r="AU235" s="140"/>
      <c r="AV235" s="140"/>
      <c r="AW235" s="140"/>
      <c r="AX235" s="140"/>
      <c r="AY235" s="140"/>
      <c r="AZ235" s="140"/>
      <c r="BA235" s="140"/>
      <c r="BB235" s="140"/>
      <c r="BC235" s="140"/>
      <c r="BD235" s="140"/>
      <c r="BE235" s="140"/>
    </row>
    <row r="236">
      <c r="A236" s="108"/>
      <c r="B236" s="107"/>
      <c r="C236" s="107"/>
      <c r="D236" s="107"/>
      <c r="E236" s="107"/>
      <c r="F236" s="107"/>
      <c r="G236" s="208"/>
      <c r="H236" s="131"/>
      <c r="I236" s="211"/>
      <c r="J236" s="107"/>
      <c r="K236" s="202"/>
      <c r="L236" s="107"/>
      <c r="M236" s="107"/>
      <c r="N236" s="206"/>
      <c r="O236" s="108" t="b">
        <v>0</v>
      </c>
      <c r="P236" s="207"/>
      <c r="Q236" s="140"/>
      <c r="R236" s="140"/>
      <c r="S236" s="140"/>
      <c r="T236" s="140"/>
      <c r="U236" s="140"/>
      <c r="V236" s="140"/>
      <c r="W236" s="140"/>
      <c r="X236" s="140"/>
      <c r="Y236" s="140"/>
      <c r="Z236" s="140"/>
      <c r="AA236" s="140"/>
      <c r="AB236" s="140"/>
      <c r="AC236" s="140"/>
      <c r="AD236" s="140"/>
      <c r="AE236" s="140"/>
      <c r="AF236" s="140"/>
      <c r="AG236" s="140"/>
      <c r="AH236" s="140"/>
      <c r="AI236" s="140"/>
      <c r="AJ236" s="140"/>
      <c r="AK236" s="140"/>
      <c r="AL236" s="140"/>
      <c r="AM236" s="140"/>
      <c r="AN236" s="140"/>
      <c r="AO236" s="140"/>
      <c r="AP236" s="140"/>
      <c r="AQ236" s="140"/>
      <c r="AR236" s="140"/>
      <c r="AS236" s="140"/>
      <c r="AT236" s="140"/>
      <c r="AU236" s="140"/>
      <c r="AV236" s="140"/>
      <c r="AW236" s="140"/>
      <c r="AX236" s="140"/>
      <c r="AY236" s="140"/>
      <c r="AZ236" s="140"/>
      <c r="BA236" s="140"/>
      <c r="BB236" s="140"/>
      <c r="BC236" s="140"/>
      <c r="BD236" s="140"/>
      <c r="BE236" s="140"/>
    </row>
    <row r="237">
      <c r="A237" s="108"/>
      <c r="B237" s="107"/>
      <c r="C237" s="107"/>
      <c r="D237" s="107"/>
      <c r="E237" s="107"/>
      <c r="F237" s="107"/>
      <c r="G237" s="208"/>
      <c r="H237" s="131"/>
      <c r="I237" s="211"/>
      <c r="J237" s="107"/>
      <c r="K237" s="202"/>
      <c r="L237" s="107"/>
      <c r="M237" s="107"/>
      <c r="N237" s="206"/>
      <c r="O237" s="108" t="b">
        <v>0</v>
      </c>
      <c r="P237" s="207"/>
      <c r="Q237" s="140"/>
      <c r="R237" s="140"/>
      <c r="S237" s="140"/>
      <c r="T237" s="140"/>
      <c r="U237" s="140"/>
      <c r="V237" s="140"/>
      <c r="W237" s="140"/>
      <c r="X237" s="140"/>
      <c r="Y237" s="140"/>
      <c r="Z237" s="140"/>
      <c r="AA237" s="140"/>
      <c r="AB237" s="140"/>
      <c r="AC237" s="140"/>
      <c r="AD237" s="140"/>
      <c r="AE237" s="140"/>
      <c r="AF237" s="140"/>
      <c r="AG237" s="140"/>
      <c r="AH237" s="140"/>
      <c r="AI237" s="140"/>
      <c r="AJ237" s="140"/>
      <c r="AK237" s="140"/>
      <c r="AL237" s="140"/>
      <c r="AM237" s="140"/>
      <c r="AN237" s="140"/>
      <c r="AO237" s="140"/>
      <c r="AP237" s="140"/>
      <c r="AQ237" s="140"/>
      <c r="AR237" s="140"/>
      <c r="AS237" s="140"/>
      <c r="AT237" s="140"/>
      <c r="AU237" s="140"/>
      <c r="AV237" s="140"/>
      <c r="AW237" s="140"/>
      <c r="AX237" s="140"/>
      <c r="AY237" s="140"/>
      <c r="AZ237" s="140"/>
      <c r="BA237" s="140"/>
      <c r="BB237" s="140"/>
      <c r="BC237" s="140"/>
      <c r="BD237" s="140"/>
      <c r="BE237" s="140"/>
    </row>
    <row r="238">
      <c r="A238" s="108"/>
      <c r="B238" s="107"/>
      <c r="C238" s="107"/>
      <c r="D238" s="107"/>
      <c r="E238" s="107"/>
      <c r="F238" s="107"/>
      <c r="G238" s="208"/>
      <c r="H238" s="131"/>
      <c r="I238" s="211"/>
      <c r="J238" s="107"/>
      <c r="K238" s="202"/>
      <c r="L238" s="107"/>
      <c r="M238" s="107"/>
      <c r="N238" s="206"/>
      <c r="O238" s="108" t="b">
        <v>0</v>
      </c>
      <c r="P238" s="207"/>
      <c r="Q238" s="140"/>
      <c r="R238" s="140"/>
      <c r="S238" s="140"/>
      <c r="T238" s="140"/>
      <c r="U238" s="140"/>
      <c r="V238" s="140"/>
      <c r="W238" s="140"/>
      <c r="X238" s="140"/>
      <c r="Y238" s="140"/>
      <c r="Z238" s="140"/>
      <c r="AA238" s="140"/>
      <c r="AB238" s="140"/>
      <c r="AC238" s="140"/>
      <c r="AD238" s="140"/>
      <c r="AE238" s="140"/>
      <c r="AF238" s="140"/>
      <c r="AG238" s="140"/>
      <c r="AH238" s="140"/>
      <c r="AI238" s="140"/>
      <c r="AJ238" s="140"/>
      <c r="AK238" s="140"/>
      <c r="AL238" s="140"/>
      <c r="AM238" s="140"/>
      <c r="AN238" s="140"/>
      <c r="AO238" s="140"/>
      <c r="AP238" s="140"/>
      <c r="AQ238" s="140"/>
      <c r="AR238" s="140"/>
      <c r="AS238" s="140"/>
      <c r="AT238" s="140"/>
      <c r="AU238" s="140"/>
      <c r="AV238" s="140"/>
      <c r="AW238" s="140"/>
      <c r="AX238" s="140"/>
      <c r="AY238" s="140"/>
      <c r="AZ238" s="140"/>
      <c r="BA238" s="140"/>
      <c r="BB238" s="140"/>
      <c r="BC238" s="140"/>
      <c r="BD238" s="140"/>
      <c r="BE238" s="140"/>
    </row>
    <row r="239">
      <c r="A239" s="108"/>
      <c r="B239" s="107"/>
      <c r="C239" s="107"/>
      <c r="D239" s="107"/>
      <c r="E239" s="107"/>
      <c r="F239" s="107"/>
      <c r="G239" s="208"/>
      <c r="H239" s="131"/>
      <c r="I239" s="211"/>
      <c r="J239" s="107"/>
      <c r="K239" s="202"/>
      <c r="L239" s="107"/>
      <c r="M239" s="107"/>
      <c r="N239" s="206"/>
      <c r="O239" s="108" t="b">
        <v>0</v>
      </c>
      <c r="P239" s="207"/>
      <c r="Q239" s="140"/>
      <c r="R239" s="140"/>
      <c r="S239" s="140"/>
      <c r="T239" s="140"/>
      <c r="U239" s="140"/>
      <c r="V239" s="140"/>
      <c r="W239" s="140"/>
      <c r="X239" s="140"/>
      <c r="Y239" s="140"/>
      <c r="Z239" s="140"/>
      <c r="AA239" s="140"/>
      <c r="AB239" s="140"/>
      <c r="AC239" s="140"/>
      <c r="AD239" s="140"/>
      <c r="AE239" s="140"/>
      <c r="AF239" s="140"/>
      <c r="AG239" s="140"/>
      <c r="AH239" s="140"/>
      <c r="AI239" s="140"/>
      <c r="AJ239" s="140"/>
      <c r="AK239" s="140"/>
      <c r="AL239" s="140"/>
      <c r="AM239" s="140"/>
      <c r="AN239" s="140"/>
      <c r="AO239" s="140"/>
      <c r="AP239" s="140"/>
      <c r="AQ239" s="140"/>
      <c r="AR239" s="140"/>
      <c r="AS239" s="140"/>
      <c r="AT239" s="140"/>
      <c r="AU239" s="140"/>
      <c r="AV239" s="140"/>
      <c r="AW239" s="140"/>
      <c r="AX239" s="140"/>
      <c r="AY239" s="140"/>
      <c r="AZ239" s="140"/>
      <c r="BA239" s="140"/>
      <c r="BB239" s="140"/>
      <c r="BC239" s="140"/>
      <c r="BD239" s="140"/>
      <c r="BE239" s="140"/>
    </row>
    <row r="240">
      <c r="A240" s="108"/>
      <c r="B240" s="107"/>
      <c r="C240" s="107"/>
      <c r="D240" s="107"/>
      <c r="E240" s="107"/>
      <c r="F240" s="107"/>
      <c r="G240" s="208"/>
      <c r="H240" s="131"/>
      <c r="I240" s="211"/>
      <c r="J240" s="107"/>
      <c r="K240" s="202"/>
      <c r="L240" s="107"/>
      <c r="M240" s="107"/>
      <c r="N240" s="206"/>
      <c r="O240" s="108" t="b">
        <v>0</v>
      </c>
      <c r="P240" s="207"/>
      <c r="Q240" s="140"/>
      <c r="R240" s="140"/>
      <c r="S240" s="140"/>
      <c r="T240" s="140"/>
      <c r="U240" s="140"/>
      <c r="V240" s="140"/>
      <c r="W240" s="140"/>
      <c r="X240" s="140"/>
      <c r="Y240" s="140"/>
      <c r="Z240" s="140"/>
      <c r="AA240" s="140"/>
      <c r="AB240" s="140"/>
      <c r="AC240" s="140"/>
      <c r="AD240" s="140"/>
      <c r="AE240" s="140"/>
      <c r="AF240" s="140"/>
      <c r="AG240" s="140"/>
      <c r="AH240" s="140"/>
      <c r="AI240" s="140"/>
      <c r="AJ240" s="140"/>
      <c r="AK240" s="140"/>
      <c r="AL240" s="140"/>
      <c r="AM240" s="140"/>
      <c r="AN240" s="140"/>
      <c r="AO240" s="140"/>
      <c r="AP240" s="140"/>
      <c r="AQ240" s="140"/>
      <c r="AR240" s="140"/>
      <c r="AS240" s="140"/>
      <c r="AT240" s="140"/>
      <c r="AU240" s="140"/>
      <c r="AV240" s="140"/>
      <c r="AW240" s="140"/>
      <c r="AX240" s="140"/>
      <c r="AY240" s="140"/>
      <c r="AZ240" s="140"/>
      <c r="BA240" s="140"/>
      <c r="BB240" s="140"/>
      <c r="BC240" s="140"/>
      <c r="BD240" s="140"/>
      <c r="BE240" s="140"/>
    </row>
    <row r="241">
      <c r="A241" s="108"/>
      <c r="B241" s="107"/>
      <c r="C241" s="107"/>
      <c r="D241" s="107"/>
      <c r="E241" s="107"/>
      <c r="F241" s="107"/>
      <c r="G241" s="208"/>
      <c r="H241" s="131"/>
      <c r="I241" s="211"/>
      <c r="J241" s="107"/>
      <c r="K241" s="202"/>
      <c r="L241" s="107"/>
      <c r="M241" s="107"/>
      <c r="N241" s="206"/>
      <c r="O241" s="108" t="b">
        <v>0</v>
      </c>
      <c r="P241" s="207"/>
      <c r="Q241" s="140"/>
      <c r="R241" s="140"/>
      <c r="S241" s="140"/>
      <c r="T241" s="140"/>
      <c r="U241" s="140"/>
      <c r="V241" s="140"/>
      <c r="W241" s="140"/>
      <c r="X241" s="140"/>
      <c r="Y241" s="140"/>
      <c r="Z241" s="140"/>
      <c r="AA241" s="140"/>
      <c r="AB241" s="140"/>
      <c r="AC241" s="140"/>
      <c r="AD241" s="140"/>
      <c r="AE241" s="140"/>
      <c r="AF241" s="140"/>
      <c r="AG241" s="140"/>
      <c r="AH241" s="140"/>
      <c r="AI241" s="140"/>
      <c r="AJ241" s="140"/>
      <c r="AK241" s="140"/>
      <c r="AL241" s="140"/>
      <c r="AM241" s="140"/>
      <c r="AN241" s="140"/>
      <c r="AO241" s="140"/>
      <c r="AP241" s="140"/>
      <c r="AQ241" s="140"/>
      <c r="AR241" s="140"/>
      <c r="AS241" s="140"/>
      <c r="AT241" s="140"/>
      <c r="AU241" s="140"/>
      <c r="AV241" s="140"/>
      <c r="AW241" s="140"/>
      <c r="AX241" s="140"/>
      <c r="AY241" s="140"/>
      <c r="AZ241" s="140"/>
      <c r="BA241" s="140"/>
      <c r="BB241" s="140"/>
      <c r="BC241" s="140"/>
      <c r="BD241" s="140"/>
      <c r="BE241" s="140"/>
    </row>
    <row r="242">
      <c r="A242" s="108"/>
      <c r="B242" s="107"/>
      <c r="C242" s="107"/>
      <c r="D242" s="107"/>
      <c r="E242" s="107"/>
      <c r="F242" s="107"/>
      <c r="G242" s="208"/>
      <c r="H242" s="131"/>
      <c r="I242" s="211"/>
      <c r="J242" s="107"/>
      <c r="K242" s="202"/>
      <c r="L242" s="107"/>
      <c r="M242" s="107"/>
      <c r="N242" s="206"/>
      <c r="O242" s="108" t="b">
        <v>0</v>
      </c>
      <c r="P242" s="207"/>
      <c r="Q242" s="140"/>
      <c r="R242" s="140"/>
      <c r="S242" s="140"/>
      <c r="T242" s="140"/>
      <c r="U242" s="140"/>
      <c r="V242" s="140"/>
      <c r="W242" s="140"/>
      <c r="X242" s="140"/>
      <c r="Y242" s="140"/>
      <c r="Z242" s="140"/>
      <c r="AA242" s="140"/>
      <c r="AB242" s="140"/>
      <c r="AC242" s="140"/>
      <c r="AD242" s="140"/>
      <c r="AE242" s="140"/>
      <c r="AF242" s="140"/>
      <c r="AG242" s="140"/>
      <c r="AH242" s="140"/>
      <c r="AI242" s="140"/>
      <c r="AJ242" s="140"/>
      <c r="AK242" s="140"/>
      <c r="AL242" s="140"/>
      <c r="AM242" s="140"/>
      <c r="AN242" s="140"/>
      <c r="AO242" s="140"/>
      <c r="AP242" s="140"/>
      <c r="AQ242" s="140"/>
      <c r="AR242" s="140"/>
      <c r="AS242" s="140"/>
      <c r="AT242" s="140"/>
      <c r="AU242" s="140"/>
      <c r="AV242" s="140"/>
      <c r="AW242" s="140"/>
      <c r="AX242" s="140"/>
      <c r="AY242" s="140"/>
      <c r="AZ242" s="140"/>
      <c r="BA242" s="140"/>
      <c r="BB242" s="140"/>
      <c r="BC242" s="140"/>
      <c r="BD242" s="140"/>
      <c r="BE242" s="140"/>
    </row>
    <row r="243">
      <c r="A243" s="108"/>
      <c r="B243" s="107"/>
      <c r="C243" s="107"/>
      <c r="D243" s="107"/>
      <c r="E243" s="107"/>
      <c r="F243" s="107"/>
      <c r="G243" s="208"/>
      <c r="H243" s="131"/>
      <c r="I243" s="211"/>
      <c r="J243" s="107"/>
      <c r="K243" s="202"/>
      <c r="L243" s="107"/>
      <c r="M243" s="107"/>
      <c r="N243" s="206"/>
      <c r="O243" s="108" t="b">
        <v>0</v>
      </c>
      <c r="P243" s="207"/>
      <c r="Q243" s="140"/>
      <c r="R243" s="140"/>
      <c r="S243" s="140"/>
      <c r="T243" s="140"/>
      <c r="U243" s="140"/>
      <c r="V243" s="140"/>
      <c r="W243" s="140"/>
      <c r="X243" s="140"/>
      <c r="Y243" s="140"/>
      <c r="Z243" s="140"/>
      <c r="AA243" s="140"/>
      <c r="AB243" s="140"/>
      <c r="AC243" s="140"/>
      <c r="AD243" s="140"/>
      <c r="AE243" s="140"/>
      <c r="AF243" s="140"/>
      <c r="AG243" s="140"/>
      <c r="AH243" s="140"/>
      <c r="AI243" s="140"/>
      <c r="AJ243" s="140"/>
      <c r="AK243" s="140"/>
      <c r="AL243" s="140"/>
      <c r="AM243" s="140"/>
      <c r="AN243" s="140"/>
      <c r="AO243" s="140"/>
      <c r="AP243" s="140"/>
      <c r="AQ243" s="140"/>
      <c r="AR243" s="140"/>
      <c r="AS243" s="140"/>
      <c r="AT243" s="140"/>
      <c r="AU243" s="140"/>
      <c r="AV243" s="140"/>
      <c r="AW243" s="140"/>
      <c r="AX243" s="140"/>
      <c r="AY243" s="140"/>
      <c r="AZ243" s="140"/>
      <c r="BA243" s="140"/>
      <c r="BB243" s="140"/>
      <c r="BC243" s="140"/>
      <c r="BD243" s="140"/>
      <c r="BE243" s="140"/>
    </row>
    <row r="244">
      <c r="A244" s="108"/>
      <c r="B244" s="107"/>
      <c r="C244" s="107"/>
      <c r="D244" s="107"/>
      <c r="E244" s="107"/>
      <c r="F244" s="107"/>
      <c r="G244" s="208"/>
      <c r="H244" s="131"/>
      <c r="I244" s="211"/>
      <c r="J244" s="107"/>
      <c r="K244" s="202"/>
      <c r="L244" s="107"/>
      <c r="M244" s="107"/>
      <c r="N244" s="206"/>
      <c r="O244" s="108" t="b">
        <v>0</v>
      </c>
      <c r="P244" s="207"/>
      <c r="Q244" s="140"/>
      <c r="R244" s="140"/>
      <c r="S244" s="140"/>
      <c r="T244" s="140"/>
      <c r="U244" s="140"/>
      <c r="V244" s="140"/>
      <c r="W244" s="140"/>
      <c r="X244" s="140"/>
      <c r="Y244" s="140"/>
      <c r="Z244" s="140"/>
      <c r="AA244" s="140"/>
      <c r="AB244" s="140"/>
      <c r="AC244" s="140"/>
      <c r="AD244" s="140"/>
      <c r="AE244" s="140"/>
      <c r="AF244" s="140"/>
      <c r="AG244" s="140"/>
      <c r="AH244" s="140"/>
      <c r="AI244" s="140"/>
      <c r="AJ244" s="140"/>
      <c r="AK244" s="140"/>
      <c r="AL244" s="140"/>
      <c r="AM244" s="140"/>
      <c r="AN244" s="140"/>
      <c r="AO244" s="140"/>
      <c r="AP244" s="140"/>
      <c r="AQ244" s="140"/>
      <c r="AR244" s="140"/>
      <c r="AS244" s="140"/>
      <c r="AT244" s="140"/>
      <c r="AU244" s="140"/>
      <c r="AV244" s="140"/>
      <c r="AW244" s="140"/>
      <c r="AX244" s="140"/>
      <c r="AY244" s="140"/>
      <c r="AZ244" s="140"/>
      <c r="BA244" s="140"/>
      <c r="BB244" s="140"/>
      <c r="BC244" s="140"/>
      <c r="BD244" s="140"/>
      <c r="BE244" s="140"/>
    </row>
    <row r="245">
      <c r="A245" s="108"/>
      <c r="B245" s="107"/>
      <c r="C245" s="107"/>
      <c r="D245" s="107"/>
      <c r="E245" s="107"/>
      <c r="F245" s="107"/>
      <c r="G245" s="208"/>
      <c r="H245" s="131"/>
      <c r="I245" s="211"/>
      <c r="J245" s="107"/>
      <c r="K245" s="202"/>
      <c r="L245" s="107"/>
      <c r="M245" s="107"/>
      <c r="N245" s="206"/>
      <c r="O245" s="108" t="b">
        <v>0</v>
      </c>
      <c r="P245" s="207"/>
      <c r="Q245" s="140"/>
      <c r="R245" s="140"/>
      <c r="S245" s="140"/>
      <c r="T245" s="140"/>
      <c r="U245" s="140"/>
      <c r="V245" s="140"/>
      <c r="W245" s="140"/>
      <c r="X245" s="140"/>
      <c r="Y245" s="140"/>
      <c r="Z245" s="140"/>
      <c r="AA245" s="140"/>
      <c r="AB245" s="140"/>
      <c r="AC245" s="140"/>
      <c r="AD245" s="140"/>
      <c r="AE245" s="140"/>
      <c r="AF245" s="140"/>
      <c r="AG245" s="140"/>
      <c r="AH245" s="140"/>
      <c r="AI245" s="140"/>
      <c r="AJ245" s="140"/>
      <c r="AK245" s="140"/>
      <c r="AL245" s="140"/>
      <c r="AM245" s="140"/>
      <c r="AN245" s="140"/>
      <c r="AO245" s="140"/>
      <c r="AP245" s="140"/>
      <c r="AQ245" s="140"/>
      <c r="AR245" s="140"/>
      <c r="AS245" s="140"/>
      <c r="AT245" s="140"/>
      <c r="AU245" s="140"/>
      <c r="AV245" s="140"/>
      <c r="AW245" s="140"/>
      <c r="AX245" s="140"/>
      <c r="AY245" s="140"/>
      <c r="AZ245" s="140"/>
      <c r="BA245" s="140"/>
      <c r="BB245" s="140"/>
      <c r="BC245" s="140"/>
      <c r="BD245" s="140"/>
      <c r="BE245" s="140"/>
    </row>
    <row r="246">
      <c r="A246" s="108"/>
      <c r="B246" s="107"/>
      <c r="C246" s="107"/>
      <c r="D246" s="107"/>
      <c r="E246" s="107"/>
      <c r="F246" s="107"/>
      <c r="G246" s="208"/>
      <c r="H246" s="131"/>
      <c r="I246" s="211"/>
      <c r="J246" s="107"/>
      <c r="K246" s="202"/>
      <c r="L246" s="107"/>
      <c r="M246" s="107"/>
      <c r="N246" s="206"/>
      <c r="O246" s="108" t="b">
        <v>0</v>
      </c>
      <c r="P246" s="207"/>
      <c r="Q246" s="140"/>
      <c r="R246" s="140"/>
      <c r="S246" s="140"/>
      <c r="T246" s="140"/>
      <c r="U246" s="140"/>
      <c r="V246" s="140"/>
      <c r="W246" s="140"/>
      <c r="X246" s="140"/>
      <c r="Y246" s="140"/>
      <c r="Z246" s="140"/>
      <c r="AA246" s="140"/>
      <c r="AB246" s="140"/>
      <c r="AC246" s="140"/>
      <c r="AD246" s="140"/>
      <c r="AE246" s="140"/>
      <c r="AF246" s="140"/>
      <c r="AG246" s="140"/>
      <c r="AH246" s="140"/>
      <c r="AI246" s="140"/>
      <c r="AJ246" s="140"/>
      <c r="AK246" s="140"/>
      <c r="AL246" s="140"/>
      <c r="AM246" s="140"/>
      <c r="AN246" s="140"/>
      <c r="AO246" s="140"/>
      <c r="AP246" s="140"/>
      <c r="AQ246" s="140"/>
      <c r="AR246" s="140"/>
      <c r="AS246" s="140"/>
      <c r="AT246" s="140"/>
      <c r="AU246" s="140"/>
      <c r="AV246" s="140"/>
      <c r="AW246" s="140"/>
      <c r="AX246" s="140"/>
      <c r="AY246" s="140"/>
      <c r="AZ246" s="140"/>
      <c r="BA246" s="140"/>
      <c r="BB246" s="140"/>
      <c r="BC246" s="140"/>
      <c r="BD246" s="140"/>
      <c r="BE246" s="140"/>
    </row>
    <row r="247">
      <c r="A247" s="108"/>
      <c r="B247" s="107"/>
      <c r="C247" s="107"/>
      <c r="D247" s="107"/>
      <c r="E247" s="107"/>
      <c r="F247" s="107"/>
      <c r="G247" s="208"/>
      <c r="H247" s="131"/>
      <c r="I247" s="211"/>
      <c r="J247" s="107"/>
      <c r="K247" s="202"/>
      <c r="L247" s="107"/>
      <c r="M247" s="107"/>
      <c r="N247" s="206"/>
      <c r="O247" s="108" t="b">
        <v>0</v>
      </c>
      <c r="P247" s="207"/>
      <c r="Q247" s="140"/>
      <c r="R247" s="140"/>
      <c r="S247" s="140"/>
      <c r="T247" s="140"/>
      <c r="U247" s="140"/>
      <c r="V247" s="140"/>
      <c r="W247" s="140"/>
      <c r="X247" s="140"/>
      <c r="Y247" s="140"/>
      <c r="Z247" s="140"/>
      <c r="AA247" s="140"/>
      <c r="AB247" s="140"/>
      <c r="AC247" s="140"/>
      <c r="AD247" s="140"/>
      <c r="AE247" s="140"/>
      <c r="AF247" s="140"/>
      <c r="AG247" s="140"/>
      <c r="AH247" s="140"/>
      <c r="AI247" s="140"/>
      <c r="AJ247" s="140"/>
      <c r="AK247" s="140"/>
      <c r="AL247" s="140"/>
      <c r="AM247" s="140"/>
      <c r="AN247" s="140"/>
      <c r="AO247" s="140"/>
      <c r="AP247" s="140"/>
      <c r="AQ247" s="140"/>
      <c r="AR247" s="140"/>
      <c r="AS247" s="140"/>
      <c r="AT247" s="140"/>
      <c r="AU247" s="140"/>
      <c r="AV247" s="140"/>
      <c r="AW247" s="140"/>
      <c r="AX247" s="140"/>
      <c r="AY247" s="140"/>
      <c r="AZ247" s="140"/>
      <c r="BA247" s="140"/>
      <c r="BB247" s="140"/>
      <c r="BC247" s="140"/>
      <c r="BD247" s="140"/>
      <c r="BE247" s="140"/>
    </row>
    <row r="248">
      <c r="A248" s="108"/>
      <c r="B248" s="107"/>
      <c r="C248" s="107"/>
      <c r="D248" s="107"/>
      <c r="E248" s="107"/>
      <c r="F248" s="107"/>
      <c r="G248" s="208"/>
      <c r="H248" s="131"/>
      <c r="I248" s="211"/>
      <c r="J248" s="107"/>
      <c r="K248" s="202"/>
      <c r="L248" s="107"/>
      <c r="M248" s="107"/>
      <c r="N248" s="206"/>
      <c r="O248" s="108" t="b">
        <v>0</v>
      </c>
      <c r="P248" s="207"/>
      <c r="Q248" s="140"/>
      <c r="R248" s="140"/>
      <c r="S248" s="140"/>
      <c r="T248" s="140"/>
      <c r="U248" s="140"/>
      <c r="V248" s="140"/>
      <c r="W248" s="140"/>
      <c r="X248" s="140"/>
      <c r="Y248" s="140"/>
      <c r="Z248" s="140"/>
      <c r="AA248" s="140"/>
      <c r="AB248" s="140"/>
      <c r="AC248" s="140"/>
      <c r="AD248" s="140"/>
      <c r="AE248" s="140"/>
      <c r="AF248" s="140"/>
      <c r="AG248" s="140"/>
      <c r="AH248" s="140"/>
      <c r="AI248" s="140"/>
      <c r="AJ248" s="140"/>
      <c r="AK248" s="140"/>
      <c r="AL248" s="140"/>
      <c r="AM248" s="140"/>
      <c r="AN248" s="140"/>
      <c r="AO248" s="140"/>
      <c r="AP248" s="140"/>
      <c r="AQ248" s="140"/>
      <c r="AR248" s="140"/>
      <c r="AS248" s="140"/>
      <c r="AT248" s="140"/>
      <c r="AU248" s="140"/>
      <c r="AV248" s="140"/>
      <c r="AW248" s="140"/>
      <c r="AX248" s="140"/>
      <c r="AY248" s="140"/>
      <c r="AZ248" s="140"/>
      <c r="BA248" s="140"/>
      <c r="BB248" s="140"/>
      <c r="BC248" s="140"/>
      <c r="BD248" s="140"/>
      <c r="BE248" s="140"/>
    </row>
    <row r="249">
      <c r="A249" s="108"/>
      <c r="B249" s="107"/>
      <c r="C249" s="107"/>
      <c r="D249" s="107"/>
      <c r="E249" s="107"/>
      <c r="F249" s="107"/>
      <c r="G249" s="208"/>
      <c r="H249" s="131"/>
      <c r="I249" s="211"/>
      <c r="J249" s="107"/>
      <c r="K249" s="202"/>
      <c r="L249" s="107"/>
      <c r="M249" s="107"/>
      <c r="N249" s="206"/>
      <c r="O249" s="108" t="b">
        <v>0</v>
      </c>
      <c r="P249" s="207"/>
      <c r="Q249" s="140"/>
      <c r="R249" s="140"/>
      <c r="S249" s="140"/>
      <c r="T249" s="140"/>
      <c r="U249" s="140"/>
      <c r="V249" s="140"/>
      <c r="W249" s="140"/>
      <c r="X249" s="140"/>
      <c r="Y249" s="140"/>
      <c r="Z249" s="140"/>
      <c r="AA249" s="140"/>
      <c r="AB249" s="140"/>
      <c r="AC249" s="140"/>
      <c r="AD249" s="140"/>
      <c r="AE249" s="140"/>
      <c r="AF249" s="140"/>
      <c r="AG249" s="140"/>
      <c r="AH249" s="140"/>
      <c r="AI249" s="140"/>
      <c r="AJ249" s="140"/>
      <c r="AK249" s="140"/>
      <c r="AL249" s="140"/>
      <c r="AM249" s="140"/>
      <c r="AN249" s="140"/>
      <c r="AO249" s="140"/>
      <c r="AP249" s="140"/>
      <c r="AQ249" s="140"/>
      <c r="AR249" s="140"/>
      <c r="AS249" s="140"/>
      <c r="AT249" s="140"/>
      <c r="AU249" s="140"/>
      <c r="AV249" s="140"/>
      <c r="AW249" s="140"/>
      <c r="AX249" s="140"/>
      <c r="AY249" s="140"/>
      <c r="AZ249" s="140"/>
      <c r="BA249" s="140"/>
      <c r="BB249" s="140"/>
      <c r="BC249" s="140"/>
      <c r="BD249" s="140"/>
      <c r="BE249" s="140"/>
    </row>
    <row r="250">
      <c r="A250" s="108"/>
      <c r="B250" s="107"/>
      <c r="C250" s="107"/>
      <c r="D250" s="107"/>
      <c r="E250" s="107"/>
      <c r="F250" s="107"/>
      <c r="G250" s="208"/>
      <c r="H250" s="131"/>
      <c r="I250" s="211"/>
      <c r="J250" s="107"/>
      <c r="K250" s="202"/>
      <c r="L250" s="107"/>
      <c r="M250" s="107"/>
      <c r="N250" s="206"/>
      <c r="O250" s="108" t="b">
        <v>0</v>
      </c>
      <c r="P250" s="207"/>
      <c r="Q250" s="140"/>
      <c r="R250" s="140"/>
      <c r="S250" s="140"/>
      <c r="T250" s="140"/>
      <c r="U250" s="140"/>
      <c r="V250" s="140"/>
      <c r="W250" s="140"/>
      <c r="X250" s="140"/>
      <c r="Y250" s="140"/>
      <c r="Z250" s="140"/>
      <c r="AA250" s="140"/>
      <c r="AB250" s="140"/>
      <c r="AC250" s="140"/>
      <c r="AD250" s="140"/>
      <c r="AE250" s="140"/>
      <c r="AF250" s="140"/>
      <c r="AG250" s="140"/>
      <c r="AH250" s="140"/>
      <c r="AI250" s="140"/>
      <c r="AJ250" s="140"/>
      <c r="AK250" s="140"/>
      <c r="AL250" s="140"/>
      <c r="AM250" s="140"/>
      <c r="AN250" s="140"/>
      <c r="AO250" s="140"/>
      <c r="AP250" s="140"/>
      <c r="AQ250" s="140"/>
      <c r="AR250" s="140"/>
      <c r="AS250" s="140"/>
      <c r="AT250" s="140"/>
      <c r="AU250" s="140"/>
      <c r="AV250" s="140"/>
      <c r="AW250" s="140"/>
      <c r="AX250" s="140"/>
      <c r="AY250" s="140"/>
      <c r="AZ250" s="140"/>
      <c r="BA250" s="140"/>
      <c r="BB250" s="140"/>
      <c r="BC250" s="140"/>
      <c r="BD250" s="140"/>
      <c r="BE250" s="140"/>
    </row>
    <row r="251">
      <c r="A251" s="108"/>
      <c r="B251" s="107"/>
      <c r="C251" s="107"/>
      <c r="D251" s="107"/>
      <c r="E251" s="107"/>
      <c r="F251" s="107"/>
      <c r="G251" s="208"/>
      <c r="H251" s="131"/>
      <c r="I251" s="211"/>
      <c r="J251" s="107"/>
      <c r="K251" s="202"/>
      <c r="L251" s="107"/>
      <c r="M251" s="107"/>
      <c r="N251" s="206"/>
      <c r="O251" s="108" t="b">
        <v>0</v>
      </c>
      <c r="P251" s="207"/>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c r="AO251" s="140"/>
      <c r="AP251" s="140"/>
      <c r="AQ251" s="140"/>
      <c r="AR251" s="140"/>
      <c r="AS251" s="140"/>
      <c r="AT251" s="140"/>
      <c r="AU251" s="140"/>
      <c r="AV251" s="140"/>
      <c r="AW251" s="140"/>
      <c r="AX251" s="140"/>
      <c r="AY251" s="140"/>
      <c r="AZ251" s="140"/>
      <c r="BA251" s="140"/>
      <c r="BB251" s="140"/>
      <c r="BC251" s="140"/>
      <c r="BD251" s="140"/>
      <c r="BE251" s="140"/>
    </row>
    <row r="252">
      <c r="A252" s="108"/>
      <c r="B252" s="107"/>
      <c r="C252" s="107"/>
      <c r="D252" s="107"/>
      <c r="E252" s="107"/>
      <c r="F252" s="107"/>
      <c r="G252" s="208"/>
      <c r="H252" s="131"/>
      <c r="I252" s="211"/>
      <c r="J252" s="107"/>
      <c r="K252" s="202"/>
      <c r="L252" s="107"/>
      <c r="M252" s="107"/>
      <c r="N252" s="206"/>
      <c r="O252" s="108" t="b">
        <v>0</v>
      </c>
      <c r="P252" s="207"/>
      <c r="Q252" s="140"/>
      <c r="R252" s="140"/>
      <c r="S252" s="140"/>
      <c r="T252" s="140"/>
      <c r="U252" s="140"/>
      <c r="V252" s="140"/>
      <c r="W252" s="140"/>
      <c r="X252" s="140"/>
      <c r="Y252" s="140"/>
      <c r="Z252" s="140"/>
      <c r="AA252" s="140"/>
      <c r="AB252" s="140"/>
      <c r="AC252" s="140"/>
      <c r="AD252" s="140"/>
      <c r="AE252" s="140"/>
      <c r="AF252" s="140"/>
      <c r="AG252" s="140"/>
      <c r="AH252" s="140"/>
      <c r="AI252" s="140"/>
      <c r="AJ252" s="140"/>
      <c r="AK252" s="140"/>
      <c r="AL252" s="140"/>
      <c r="AM252" s="140"/>
      <c r="AN252" s="140"/>
      <c r="AO252" s="140"/>
      <c r="AP252" s="140"/>
      <c r="AQ252" s="140"/>
      <c r="AR252" s="140"/>
      <c r="AS252" s="140"/>
      <c r="AT252" s="140"/>
      <c r="AU252" s="140"/>
      <c r="AV252" s="140"/>
      <c r="AW252" s="140"/>
      <c r="AX252" s="140"/>
      <c r="AY252" s="140"/>
      <c r="AZ252" s="140"/>
      <c r="BA252" s="140"/>
      <c r="BB252" s="140"/>
      <c r="BC252" s="140"/>
      <c r="BD252" s="140"/>
      <c r="BE252" s="140"/>
    </row>
    <row r="253">
      <c r="A253" s="108"/>
      <c r="B253" s="107"/>
      <c r="C253" s="107"/>
      <c r="D253" s="107"/>
      <c r="E253" s="107"/>
      <c r="F253" s="107"/>
      <c r="G253" s="208"/>
      <c r="H253" s="131"/>
      <c r="I253" s="211"/>
      <c r="J253" s="107"/>
      <c r="K253" s="202"/>
      <c r="L253" s="107"/>
      <c r="M253" s="107"/>
      <c r="N253" s="206"/>
      <c r="O253" s="108" t="b">
        <v>0</v>
      </c>
      <c r="P253" s="207"/>
      <c r="Q253" s="140"/>
      <c r="R253" s="140"/>
      <c r="S253" s="140"/>
      <c r="T253" s="140"/>
      <c r="U253" s="140"/>
      <c r="V253" s="140"/>
      <c r="W253" s="140"/>
      <c r="X253" s="140"/>
      <c r="Y253" s="140"/>
      <c r="Z253" s="140"/>
      <c r="AA253" s="140"/>
      <c r="AB253" s="140"/>
      <c r="AC253" s="140"/>
      <c r="AD253" s="140"/>
      <c r="AE253" s="140"/>
      <c r="AF253" s="140"/>
      <c r="AG253" s="140"/>
      <c r="AH253" s="140"/>
      <c r="AI253" s="140"/>
      <c r="AJ253" s="140"/>
      <c r="AK253" s="140"/>
      <c r="AL253" s="140"/>
      <c r="AM253" s="140"/>
      <c r="AN253" s="140"/>
      <c r="AO253" s="140"/>
      <c r="AP253" s="140"/>
      <c r="AQ253" s="140"/>
      <c r="AR253" s="140"/>
      <c r="AS253" s="140"/>
      <c r="AT253" s="140"/>
      <c r="AU253" s="140"/>
      <c r="AV253" s="140"/>
      <c r="AW253" s="140"/>
      <c r="AX253" s="140"/>
      <c r="AY253" s="140"/>
      <c r="AZ253" s="140"/>
      <c r="BA253" s="140"/>
      <c r="BB253" s="140"/>
      <c r="BC253" s="140"/>
      <c r="BD253" s="140"/>
      <c r="BE253" s="140"/>
    </row>
    <row r="254">
      <c r="A254" s="108"/>
      <c r="B254" s="107"/>
      <c r="C254" s="107"/>
      <c r="D254" s="107"/>
      <c r="E254" s="107"/>
      <c r="F254" s="107"/>
      <c r="G254" s="208"/>
      <c r="H254" s="131"/>
      <c r="I254" s="211"/>
      <c r="J254" s="107"/>
      <c r="K254" s="202"/>
      <c r="L254" s="107"/>
      <c r="M254" s="107"/>
      <c r="N254" s="206"/>
      <c r="O254" s="108" t="b">
        <v>0</v>
      </c>
      <c r="P254" s="207"/>
      <c r="Q254" s="140"/>
      <c r="R254" s="140"/>
      <c r="S254" s="140"/>
      <c r="T254" s="140"/>
      <c r="U254" s="140"/>
      <c r="V254" s="140"/>
      <c r="W254" s="140"/>
      <c r="X254" s="140"/>
      <c r="Y254" s="140"/>
      <c r="Z254" s="140"/>
      <c r="AA254" s="140"/>
      <c r="AB254" s="140"/>
      <c r="AC254" s="140"/>
      <c r="AD254" s="140"/>
      <c r="AE254" s="140"/>
      <c r="AF254" s="140"/>
      <c r="AG254" s="140"/>
      <c r="AH254" s="140"/>
      <c r="AI254" s="140"/>
      <c r="AJ254" s="140"/>
      <c r="AK254" s="140"/>
      <c r="AL254" s="140"/>
      <c r="AM254" s="140"/>
      <c r="AN254" s="140"/>
      <c r="AO254" s="140"/>
      <c r="AP254" s="140"/>
      <c r="AQ254" s="140"/>
      <c r="AR254" s="140"/>
      <c r="AS254" s="140"/>
      <c r="AT254" s="140"/>
      <c r="AU254" s="140"/>
      <c r="AV254" s="140"/>
      <c r="AW254" s="140"/>
      <c r="AX254" s="140"/>
      <c r="AY254" s="140"/>
      <c r="AZ254" s="140"/>
      <c r="BA254" s="140"/>
      <c r="BB254" s="140"/>
      <c r="BC254" s="140"/>
      <c r="BD254" s="140"/>
      <c r="BE254" s="140"/>
    </row>
    <row r="255">
      <c r="A255" s="108"/>
      <c r="B255" s="107"/>
      <c r="C255" s="107"/>
      <c r="D255" s="107"/>
      <c r="E255" s="107"/>
      <c r="F255" s="107"/>
      <c r="G255" s="208"/>
      <c r="H255" s="131"/>
      <c r="I255" s="211"/>
      <c r="J255" s="107"/>
      <c r="K255" s="202"/>
      <c r="L255" s="107"/>
      <c r="M255" s="107"/>
      <c r="N255" s="206"/>
      <c r="O255" s="108" t="b">
        <v>0</v>
      </c>
      <c r="P255" s="207"/>
      <c r="Q255" s="140"/>
      <c r="R255" s="140"/>
      <c r="S255" s="140"/>
      <c r="T255" s="140"/>
      <c r="U255" s="140"/>
      <c r="V255" s="140"/>
      <c r="W255" s="140"/>
      <c r="X255" s="140"/>
      <c r="Y255" s="140"/>
      <c r="Z255" s="140"/>
      <c r="AA255" s="140"/>
      <c r="AB255" s="140"/>
      <c r="AC255" s="140"/>
      <c r="AD255" s="140"/>
      <c r="AE255" s="140"/>
      <c r="AF255" s="140"/>
      <c r="AG255" s="140"/>
      <c r="AH255" s="140"/>
      <c r="AI255" s="140"/>
      <c r="AJ255" s="140"/>
      <c r="AK255" s="140"/>
      <c r="AL255" s="140"/>
      <c r="AM255" s="140"/>
      <c r="AN255" s="140"/>
      <c r="AO255" s="140"/>
      <c r="AP255" s="140"/>
      <c r="AQ255" s="140"/>
      <c r="AR255" s="140"/>
      <c r="AS255" s="140"/>
      <c r="AT255" s="140"/>
      <c r="AU255" s="140"/>
      <c r="AV255" s="140"/>
      <c r="AW255" s="140"/>
      <c r="AX255" s="140"/>
      <c r="AY255" s="140"/>
      <c r="AZ255" s="140"/>
      <c r="BA255" s="140"/>
      <c r="BB255" s="140"/>
      <c r="BC255" s="140"/>
      <c r="BD255" s="140"/>
      <c r="BE255" s="140"/>
    </row>
    <row r="256">
      <c r="A256" s="108"/>
      <c r="B256" s="107"/>
      <c r="C256" s="107"/>
      <c r="D256" s="107"/>
      <c r="E256" s="107"/>
      <c r="F256" s="107"/>
      <c r="G256" s="208"/>
      <c r="H256" s="131"/>
      <c r="I256" s="211"/>
      <c r="J256" s="107"/>
      <c r="K256" s="202"/>
      <c r="L256" s="107"/>
      <c r="M256" s="107"/>
      <c r="N256" s="206"/>
      <c r="O256" s="108" t="b">
        <v>0</v>
      </c>
      <c r="P256" s="207"/>
      <c r="Q256" s="140"/>
      <c r="R256" s="140"/>
      <c r="S256" s="140"/>
      <c r="T256" s="140"/>
      <c r="U256" s="140"/>
      <c r="V256" s="140"/>
      <c r="W256" s="140"/>
      <c r="X256" s="140"/>
      <c r="Y256" s="140"/>
      <c r="Z256" s="140"/>
      <c r="AA256" s="140"/>
      <c r="AB256" s="140"/>
      <c r="AC256" s="140"/>
      <c r="AD256" s="140"/>
      <c r="AE256" s="140"/>
      <c r="AF256" s="140"/>
      <c r="AG256" s="140"/>
      <c r="AH256" s="140"/>
      <c r="AI256" s="140"/>
      <c r="AJ256" s="140"/>
      <c r="AK256" s="140"/>
      <c r="AL256" s="140"/>
      <c r="AM256" s="140"/>
      <c r="AN256" s="140"/>
      <c r="AO256" s="140"/>
      <c r="AP256" s="140"/>
      <c r="AQ256" s="140"/>
      <c r="AR256" s="140"/>
      <c r="AS256" s="140"/>
      <c r="AT256" s="140"/>
      <c r="AU256" s="140"/>
      <c r="AV256" s="140"/>
      <c r="AW256" s="140"/>
      <c r="AX256" s="140"/>
      <c r="AY256" s="140"/>
      <c r="AZ256" s="140"/>
      <c r="BA256" s="140"/>
      <c r="BB256" s="140"/>
      <c r="BC256" s="140"/>
      <c r="BD256" s="140"/>
      <c r="BE256" s="140"/>
    </row>
    <row r="257">
      <c r="A257" s="108"/>
      <c r="B257" s="107"/>
      <c r="C257" s="107"/>
      <c r="D257" s="107"/>
      <c r="E257" s="107"/>
      <c r="F257" s="107"/>
      <c r="G257" s="208"/>
      <c r="H257" s="131"/>
      <c r="I257" s="211"/>
      <c r="J257" s="107"/>
      <c r="K257" s="202"/>
      <c r="L257" s="107"/>
      <c r="M257" s="107"/>
      <c r="N257" s="206"/>
      <c r="O257" s="108" t="b">
        <v>0</v>
      </c>
      <c r="P257" s="207"/>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c r="AO257" s="140"/>
      <c r="AP257" s="140"/>
      <c r="AQ257" s="140"/>
      <c r="AR257" s="140"/>
      <c r="AS257" s="140"/>
      <c r="AT257" s="140"/>
      <c r="AU257" s="140"/>
      <c r="AV257" s="140"/>
      <c r="AW257" s="140"/>
      <c r="AX257" s="140"/>
      <c r="AY257" s="140"/>
      <c r="AZ257" s="140"/>
      <c r="BA257" s="140"/>
      <c r="BB257" s="140"/>
      <c r="BC257" s="140"/>
      <c r="BD257" s="140"/>
      <c r="BE257" s="140"/>
    </row>
    <row r="258">
      <c r="A258" s="108"/>
      <c r="B258" s="107"/>
      <c r="C258" s="107"/>
      <c r="D258" s="107"/>
      <c r="E258" s="107"/>
      <c r="F258" s="107"/>
      <c r="G258" s="208"/>
      <c r="H258" s="131"/>
      <c r="I258" s="211"/>
      <c r="J258" s="107"/>
      <c r="K258" s="202"/>
      <c r="L258" s="107"/>
      <c r="M258" s="107"/>
      <c r="N258" s="206"/>
      <c r="O258" s="108" t="b">
        <v>0</v>
      </c>
      <c r="P258" s="207"/>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c r="AO258" s="140"/>
      <c r="AP258" s="140"/>
      <c r="AQ258" s="140"/>
      <c r="AR258" s="140"/>
      <c r="AS258" s="140"/>
      <c r="AT258" s="140"/>
      <c r="AU258" s="140"/>
      <c r="AV258" s="140"/>
      <c r="AW258" s="140"/>
      <c r="AX258" s="140"/>
      <c r="AY258" s="140"/>
      <c r="AZ258" s="140"/>
      <c r="BA258" s="140"/>
      <c r="BB258" s="140"/>
      <c r="BC258" s="140"/>
      <c r="BD258" s="140"/>
      <c r="BE258" s="140"/>
    </row>
    <row r="259">
      <c r="A259" s="108"/>
      <c r="B259" s="107"/>
      <c r="C259" s="107"/>
      <c r="D259" s="107"/>
      <c r="E259" s="107"/>
      <c r="F259" s="107"/>
      <c r="G259" s="208"/>
      <c r="H259" s="131"/>
      <c r="I259" s="211"/>
      <c r="J259" s="107"/>
      <c r="K259" s="202"/>
      <c r="L259" s="107"/>
      <c r="M259" s="107"/>
      <c r="N259" s="206"/>
      <c r="O259" s="108" t="b">
        <v>0</v>
      </c>
      <c r="P259" s="207"/>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c r="AO259" s="140"/>
      <c r="AP259" s="140"/>
      <c r="AQ259" s="140"/>
      <c r="AR259" s="140"/>
      <c r="AS259" s="140"/>
      <c r="AT259" s="140"/>
      <c r="AU259" s="140"/>
      <c r="AV259" s="140"/>
      <c r="AW259" s="140"/>
      <c r="AX259" s="140"/>
      <c r="AY259" s="140"/>
      <c r="AZ259" s="140"/>
      <c r="BA259" s="140"/>
      <c r="BB259" s="140"/>
      <c r="BC259" s="140"/>
      <c r="BD259" s="140"/>
      <c r="BE259" s="140"/>
    </row>
    <row r="260">
      <c r="A260" s="108"/>
      <c r="B260" s="107"/>
      <c r="C260" s="107"/>
      <c r="D260" s="107"/>
      <c r="E260" s="107"/>
      <c r="F260" s="107"/>
      <c r="G260" s="208"/>
      <c r="H260" s="131"/>
      <c r="I260" s="211"/>
      <c r="J260" s="107"/>
      <c r="K260" s="202"/>
      <c r="L260" s="107"/>
      <c r="M260" s="107"/>
      <c r="N260" s="206"/>
      <c r="O260" s="108" t="b">
        <v>0</v>
      </c>
      <c r="P260" s="207"/>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c r="AO260" s="140"/>
      <c r="AP260" s="140"/>
      <c r="AQ260" s="140"/>
      <c r="AR260" s="140"/>
      <c r="AS260" s="140"/>
      <c r="AT260" s="140"/>
      <c r="AU260" s="140"/>
      <c r="AV260" s="140"/>
      <c r="AW260" s="140"/>
      <c r="AX260" s="140"/>
      <c r="AY260" s="140"/>
      <c r="AZ260" s="140"/>
      <c r="BA260" s="140"/>
      <c r="BB260" s="140"/>
      <c r="BC260" s="140"/>
      <c r="BD260" s="140"/>
      <c r="BE260" s="140"/>
    </row>
    <row r="261">
      <c r="A261" s="108"/>
      <c r="B261" s="107"/>
      <c r="C261" s="107"/>
      <c r="D261" s="107"/>
      <c r="E261" s="107"/>
      <c r="F261" s="107"/>
      <c r="G261" s="208"/>
      <c r="H261" s="131"/>
      <c r="I261" s="211"/>
      <c r="J261" s="107"/>
      <c r="K261" s="202"/>
      <c r="L261" s="107"/>
      <c r="M261" s="107"/>
      <c r="N261" s="206"/>
      <c r="O261" s="108" t="b">
        <v>0</v>
      </c>
      <c r="P261" s="207"/>
      <c r="Q261" s="140"/>
      <c r="R261" s="140"/>
      <c r="S261" s="140"/>
      <c r="T261" s="140"/>
      <c r="U261" s="140"/>
      <c r="V261" s="140"/>
      <c r="W261" s="140"/>
      <c r="X261" s="140"/>
      <c r="Y261" s="140"/>
      <c r="Z261" s="140"/>
      <c r="AA261" s="140"/>
      <c r="AB261" s="140"/>
      <c r="AC261" s="140"/>
      <c r="AD261" s="140"/>
      <c r="AE261" s="140"/>
      <c r="AF261" s="140"/>
      <c r="AG261" s="140"/>
      <c r="AH261" s="140"/>
      <c r="AI261" s="140"/>
      <c r="AJ261" s="140"/>
      <c r="AK261" s="140"/>
      <c r="AL261" s="140"/>
      <c r="AM261" s="140"/>
      <c r="AN261" s="140"/>
      <c r="AO261" s="140"/>
      <c r="AP261" s="140"/>
      <c r="AQ261" s="140"/>
      <c r="AR261" s="140"/>
      <c r="AS261" s="140"/>
      <c r="AT261" s="140"/>
      <c r="AU261" s="140"/>
      <c r="AV261" s="140"/>
      <c r="AW261" s="140"/>
      <c r="AX261" s="140"/>
      <c r="AY261" s="140"/>
      <c r="AZ261" s="140"/>
      <c r="BA261" s="140"/>
      <c r="BB261" s="140"/>
      <c r="BC261" s="140"/>
      <c r="BD261" s="140"/>
      <c r="BE261" s="140"/>
    </row>
    <row r="262">
      <c r="A262" s="108"/>
      <c r="B262" s="107"/>
      <c r="C262" s="107"/>
      <c r="D262" s="107"/>
      <c r="E262" s="107"/>
      <c r="F262" s="107"/>
      <c r="G262" s="208"/>
      <c r="H262" s="131"/>
      <c r="I262" s="211"/>
      <c r="J262" s="107"/>
      <c r="K262" s="202"/>
      <c r="L262" s="107"/>
      <c r="M262" s="107"/>
      <c r="N262" s="206"/>
      <c r="O262" s="108" t="b">
        <v>0</v>
      </c>
      <c r="P262" s="207"/>
      <c r="Q262" s="140"/>
      <c r="R262" s="140"/>
      <c r="S262" s="140"/>
      <c r="T262" s="140"/>
      <c r="U262" s="140"/>
      <c r="V262" s="140"/>
      <c r="W262" s="140"/>
      <c r="X262" s="140"/>
      <c r="Y262" s="140"/>
      <c r="Z262" s="140"/>
      <c r="AA262" s="140"/>
      <c r="AB262" s="140"/>
      <c r="AC262" s="140"/>
      <c r="AD262" s="140"/>
      <c r="AE262" s="140"/>
      <c r="AF262" s="140"/>
      <c r="AG262" s="140"/>
      <c r="AH262" s="140"/>
      <c r="AI262" s="140"/>
      <c r="AJ262" s="140"/>
      <c r="AK262" s="140"/>
      <c r="AL262" s="140"/>
      <c r="AM262" s="140"/>
      <c r="AN262" s="140"/>
      <c r="AO262" s="140"/>
      <c r="AP262" s="140"/>
      <c r="AQ262" s="140"/>
      <c r="AR262" s="140"/>
      <c r="AS262" s="140"/>
      <c r="AT262" s="140"/>
      <c r="AU262" s="140"/>
      <c r="AV262" s="140"/>
      <c r="AW262" s="140"/>
      <c r="AX262" s="140"/>
      <c r="AY262" s="140"/>
      <c r="AZ262" s="140"/>
      <c r="BA262" s="140"/>
      <c r="BB262" s="140"/>
      <c r="BC262" s="140"/>
      <c r="BD262" s="140"/>
      <c r="BE262" s="140"/>
    </row>
    <row r="263">
      <c r="A263" s="108"/>
      <c r="B263" s="107"/>
      <c r="C263" s="107"/>
      <c r="D263" s="107"/>
      <c r="E263" s="107"/>
      <c r="F263" s="107"/>
      <c r="G263" s="208"/>
      <c r="H263" s="131"/>
      <c r="I263" s="211"/>
      <c r="J263" s="107"/>
      <c r="K263" s="202"/>
      <c r="L263" s="107"/>
      <c r="M263" s="107"/>
      <c r="N263" s="206"/>
      <c r="O263" s="108" t="b">
        <v>0</v>
      </c>
      <c r="P263" s="207"/>
      <c r="Q263" s="140"/>
      <c r="R263" s="140"/>
      <c r="S263" s="140"/>
      <c r="T263" s="140"/>
      <c r="U263" s="140"/>
      <c r="V263" s="140"/>
      <c r="W263" s="140"/>
      <c r="X263" s="140"/>
      <c r="Y263" s="140"/>
      <c r="Z263" s="140"/>
      <c r="AA263" s="140"/>
      <c r="AB263" s="140"/>
      <c r="AC263" s="140"/>
      <c r="AD263" s="140"/>
      <c r="AE263" s="140"/>
      <c r="AF263" s="140"/>
      <c r="AG263" s="140"/>
      <c r="AH263" s="140"/>
      <c r="AI263" s="140"/>
      <c r="AJ263" s="140"/>
      <c r="AK263" s="140"/>
      <c r="AL263" s="140"/>
      <c r="AM263" s="140"/>
      <c r="AN263" s="140"/>
      <c r="AO263" s="140"/>
      <c r="AP263" s="140"/>
      <c r="AQ263" s="140"/>
      <c r="AR263" s="140"/>
      <c r="AS263" s="140"/>
      <c r="AT263" s="140"/>
      <c r="AU263" s="140"/>
      <c r="AV263" s="140"/>
      <c r="AW263" s="140"/>
      <c r="AX263" s="140"/>
      <c r="AY263" s="140"/>
      <c r="AZ263" s="140"/>
      <c r="BA263" s="140"/>
      <c r="BB263" s="140"/>
      <c r="BC263" s="140"/>
      <c r="BD263" s="140"/>
      <c r="BE263" s="140"/>
    </row>
    <row r="264">
      <c r="A264" s="108"/>
      <c r="B264" s="107"/>
      <c r="C264" s="107"/>
      <c r="D264" s="107"/>
      <c r="E264" s="107"/>
      <c r="F264" s="107"/>
      <c r="G264" s="208"/>
      <c r="H264" s="131"/>
      <c r="I264" s="211"/>
      <c r="J264" s="107"/>
      <c r="K264" s="202"/>
      <c r="L264" s="107"/>
      <c r="M264" s="107"/>
      <c r="N264" s="206"/>
      <c r="O264" s="108" t="b">
        <v>0</v>
      </c>
      <c r="P264" s="207"/>
      <c r="Q264" s="140"/>
      <c r="R264" s="140"/>
      <c r="S264" s="140"/>
      <c r="T264" s="140"/>
      <c r="U264" s="140"/>
      <c r="V264" s="140"/>
      <c r="W264" s="140"/>
      <c r="X264" s="140"/>
      <c r="Y264" s="140"/>
      <c r="Z264" s="140"/>
      <c r="AA264" s="140"/>
      <c r="AB264" s="140"/>
      <c r="AC264" s="140"/>
      <c r="AD264" s="140"/>
      <c r="AE264" s="140"/>
      <c r="AF264" s="140"/>
      <c r="AG264" s="140"/>
      <c r="AH264" s="140"/>
      <c r="AI264" s="140"/>
      <c r="AJ264" s="140"/>
      <c r="AK264" s="140"/>
      <c r="AL264" s="140"/>
      <c r="AM264" s="140"/>
      <c r="AN264" s="140"/>
      <c r="AO264" s="140"/>
      <c r="AP264" s="140"/>
      <c r="AQ264" s="140"/>
      <c r="AR264" s="140"/>
      <c r="AS264" s="140"/>
      <c r="AT264" s="140"/>
      <c r="AU264" s="140"/>
      <c r="AV264" s="140"/>
      <c r="AW264" s="140"/>
      <c r="AX264" s="140"/>
      <c r="AY264" s="140"/>
      <c r="AZ264" s="140"/>
      <c r="BA264" s="140"/>
      <c r="BB264" s="140"/>
      <c r="BC264" s="140"/>
      <c r="BD264" s="140"/>
      <c r="BE264" s="140"/>
    </row>
    <row r="265">
      <c r="A265" s="108"/>
      <c r="B265" s="107"/>
      <c r="C265" s="107"/>
      <c r="D265" s="107"/>
      <c r="E265" s="107"/>
      <c r="F265" s="107"/>
      <c r="G265" s="208"/>
      <c r="H265" s="131"/>
      <c r="I265" s="211"/>
      <c r="J265" s="107"/>
      <c r="K265" s="202"/>
      <c r="L265" s="107"/>
      <c r="M265" s="107"/>
      <c r="N265" s="206"/>
      <c r="O265" s="108" t="b">
        <v>0</v>
      </c>
      <c r="P265" s="207"/>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c r="AO265" s="140"/>
      <c r="AP265" s="140"/>
      <c r="AQ265" s="140"/>
      <c r="AR265" s="140"/>
      <c r="AS265" s="140"/>
      <c r="AT265" s="140"/>
      <c r="AU265" s="140"/>
      <c r="AV265" s="140"/>
      <c r="AW265" s="140"/>
      <c r="AX265" s="140"/>
      <c r="AY265" s="140"/>
      <c r="AZ265" s="140"/>
      <c r="BA265" s="140"/>
      <c r="BB265" s="140"/>
      <c r="BC265" s="140"/>
      <c r="BD265" s="140"/>
      <c r="BE265" s="140"/>
    </row>
    <row r="266">
      <c r="A266" s="108"/>
      <c r="B266" s="107"/>
      <c r="C266" s="107"/>
      <c r="D266" s="107"/>
      <c r="E266" s="107"/>
      <c r="F266" s="107"/>
      <c r="G266" s="208"/>
      <c r="H266" s="131"/>
      <c r="I266" s="211"/>
      <c r="J266" s="107"/>
      <c r="K266" s="202"/>
      <c r="L266" s="107"/>
      <c r="M266" s="107"/>
      <c r="N266" s="206"/>
      <c r="O266" s="108" t="b">
        <v>0</v>
      </c>
      <c r="P266" s="207"/>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c r="AO266" s="140"/>
      <c r="AP266" s="140"/>
      <c r="AQ266" s="140"/>
      <c r="AR266" s="140"/>
      <c r="AS266" s="140"/>
      <c r="AT266" s="140"/>
      <c r="AU266" s="140"/>
      <c r="AV266" s="140"/>
      <c r="AW266" s="140"/>
      <c r="AX266" s="140"/>
      <c r="AY266" s="140"/>
      <c r="AZ266" s="140"/>
      <c r="BA266" s="140"/>
      <c r="BB266" s="140"/>
      <c r="BC266" s="140"/>
      <c r="BD266" s="140"/>
      <c r="BE266" s="140"/>
    </row>
    <row r="267">
      <c r="A267" s="108"/>
      <c r="B267" s="107"/>
      <c r="C267" s="107"/>
      <c r="D267" s="107"/>
      <c r="E267" s="107"/>
      <c r="F267" s="107"/>
      <c r="G267" s="208"/>
      <c r="H267" s="131"/>
      <c r="I267" s="211"/>
      <c r="J267" s="107"/>
      <c r="K267" s="202"/>
      <c r="L267" s="107"/>
      <c r="M267" s="107"/>
      <c r="N267" s="206"/>
      <c r="O267" s="108" t="b">
        <v>0</v>
      </c>
      <c r="P267" s="207"/>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c r="AO267" s="140"/>
      <c r="AP267" s="140"/>
      <c r="AQ267" s="140"/>
      <c r="AR267" s="140"/>
      <c r="AS267" s="140"/>
      <c r="AT267" s="140"/>
      <c r="AU267" s="140"/>
      <c r="AV267" s="140"/>
      <c r="AW267" s="140"/>
      <c r="AX267" s="140"/>
      <c r="AY267" s="140"/>
      <c r="AZ267" s="140"/>
      <c r="BA267" s="140"/>
      <c r="BB267" s="140"/>
      <c r="BC267" s="140"/>
      <c r="BD267" s="140"/>
      <c r="BE267" s="140"/>
    </row>
    <row r="268">
      <c r="A268" s="108"/>
      <c r="B268" s="107"/>
      <c r="C268" s="107"/>
      <c r="D268" s="107"/>
      <c r="E268" s="107"/>
      <c r="F268" s="107"/>
      <c r="G268" s="208"/>
      <c r="H268" s="131"/>
      <c r="I268" s="211"/>
      <c r="J268" s="107"/>
      <c r="K268" s="202"/>
      <c r="L268" s="107"/>
      <c r="M268" s="107"/>
      <c r="N268" s="206"/>
      <c r="O268" s="108" t="b">
        <v>0</v>
      </c>
      <c r="P268" s="207"/>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c r="AO268" s="140"/>
      <c r="AP268" s="140"/>
      <c r="AQ268" s="140"/>
      <c r="AR268" s="140"/>
      <c r="AS268" s="140"/>
      <c r="AT268" s="140"/>
      <c r="AU268" s="140"/>
      <c r="AV268" s="140"/>
      <c r="AW268" s="140"/>
      <c r="AX268" s="140"/>
      <c r="AY268" s="140"/>
      <c r="AZ268" s="140"/>
      <c r="BA268" s="140"/>
      <c r="BB268" s="140"/>
      <c r="BC268" s="140"/>
      <c r="BD268" s="140"/>
      <c r="BE268" s="140"/>
    </row>
    <row r="269">
      <c r="A269" s="108"/>
      <c r="B269" s="107"/>
      <c r="C269" s="107"/>
      <c r="D269" s="107"/>
      <c r="E269" s="107"/>
      <c r="F269" s="107"/>
      <c r="G269" s="208"/>
      <c r="H269" s="131"/>
      <c r="I269" s="211"/>
      <c r="J269" s="107"/>
      <c r="K269" s="202"/>
      <c r="L269" s="107"/>
      <c r="M269" s="107"/>
      <c r="N269" s="206"/>
      <c r="O269" s="108" t="b">
        <v>0</v>
      </c>
      <c r="P269" s="207"/>
      <c r="Q269" s="140"/>
      <c r="R269" s="140"/>
      <c r="S269" s="140"/>
      <c r="T269" s="140"/>
      <c r="U269" s="140"/>
      <c r="V269" s="140"/>
      <c r="W269" s="140"/>
      <c r="X269" s="140"/>
      <c r="Y269" s="140"/>
      <c r="Z269" s="140"/>
      <c r="AA269" s="140"/>
      <c r="AB269" s="140"/>
      <c r="AC269" s="140"/>
      <c r="AD269" s="140"/>
      <c r="AE269" s="140"/>
      <c r="AF269" s="140"/>
      <c r="AG269" s="140"/>
      <c r="AH269" s="140"/>
      <c r="AI269" s="140"/>
      <c r="AJ269" s="140"/>
      <c r="AK269" s="140"/>
      <c r="AL269" s="140"/>
      <c r="AM269" s="140"/>
      <c r="AN269" s="140"/>
      <c r="AO269" s="140"/>
      <c r="AP269" s="140"/>
      <c r="AQ269" s="140"/>
      <c r="AR269" s="140"/>
      <c r="AS269" s="140"/>
      <c r="AT269" s="140"/>
      <c r="AU269" s="140"/>
      <c r="AV269" s="140"/>
      <c r="AW269" s="140"/>
      <c r="AX269" s="140"/>
      <c r="AY269" s="140"/>
      <c r="AZ269" s="140"/>
      <c r="BA269" s="140"/>
      <c r="BB269" s="140"/>
      <c r="BC269" s="140"/>
      <c r="BD269" s="140"/>
      <c r="BE269" s="140"/>
    </row>
    <row r="270">
      <c r="A270" s="108"/>
      <c r="B270" s="107"/>
      <c r="C270" s="107"/>
      <c r="D270" s="107"/>
      <c r="E270" s="107"/>
      <c r="F270" s="107"/>
      <c r="G270" s="208"/>
      <c r="H270" s="131"/>
      <c r="I270" s="211"/>
      <c r="J270" s="107"/>
      <c r="K270" s="202"/>
      <c r="L270" s="107"/>
      <c r="M270" s="107"/>
      <c r="N270" s="206"/>
      <c r="O270" s="108" t="b">
        <v>0</v>
      </c>
      <c r="P270" s="207"/>
      <c r="Q270" s="140"/>
      <c r="R270" s="140"/>
      <c r="S270" s="140"/>
      <c r="T270" s="140"/>
      <c r="U270" s="140"/>
      <c r="V270" s="140"/>
      <c r="W270" s="140"/>
      <c r="X270" s="140"/>
      <c r="Y270" s="140"/>
      <c r="Z270" s="140"/>
      <c r="AA270" s="140"/>
      <c r="AB270" s="140"/>
      <c r="AC270" s="140"/>
      <c r="AD270" s="140"/>
      <c r="AE270" s="140"/>
      <c r="AF270" s="140"/>
      <c r="AG270" s="140"/>
      <c r="AH270" s="140"/>
      <c r="AI270" s="140"/>
      <c r="AJ270" s="140"/>
      <c r="AK270" s="140"/>
      <c r="AL270" s="140"/>
      <c r="AM270" s="140"/>
      <c r="AN270" s="140"/>
      <c r="AO270" s="140"/>
      <c r="AP270" s="140"/>
      <c r="AQ270" s="140"/>
      <c r="AR270" s="140"/>
      <c r="AS270" s="140"/>
      <c r="AT270" s="140"/>
      <c r="AU270" s="140"/>
      <c r="AV270" s="140"/>
      <c r="AW270" s="140"/>
      <c r="AX270" s="140"/>
      <c r="AY270" s="140"/>
      <c r="AZ270" s="140"/>
      <c r="BA270" s="140"/>
      <c r="BB270" s="140"/>
      <c r="BC270" s="140"/>
      <c r="BD270" s="140"/>
      <c r="BE270" s="140"/>
    </row>
    <row r="271">
      <c r="A271" s="108"/>
      <c r="B271" s="107"/>
      <c r="C271" s="107"/>
      <c r="D271" s="107"/>
      <c r="E271" s="107"/>
      <c r="F271" s="107"/>
      <c r="G271" s="208"/>
      <c r="H271" s="131"/>
      <c r="I271" s="211"/>
      <c r="J271" s="107"/>
      <c r="K271" s="202"/>
      <c r="L271" s="107"/>
      <c r="M271" s="107"/>
      <c r="N271" s="206"/>
      <c r="O271" s="108" t="b">
        <v>0</v>
      </c>
      <c r="P271" s="207"/>
      <c r="Q271" s="140"/>
      <c r="R271" s="140"/>
      <c r="S271" s="140"/>
      <c r="T271" s="140"/>
      <c r="U271" s="140"/>
      <c r="V271" s="140"/>
      <c r="W271" s="140"/>
      <c r="X271" s="140"/>
      <c r="Y271" s="140"/>
      <c r="Z271" s="140"/>
      <c r="AA271" s="140"/>
      <c r="AB271" s="140"/>
      <c r="AC271" s="140"/>
      <c r="AD271" s="140"/>
      <c r="AE271" s="140"/>
      <c r="AF271" s="140"/>
      <c r="AG271" s="140"/>
      <c r="AH271" s="140"/>
      <c r="AI271" s="140"/>
      <c r="AJ271" s="140"/>
      <c r="AK271" s="140"/>
      <c r="AL271" s="140"/>
      <c r="AM271" s="140"/>
      <c r="AN271" s="140"/>
      <c r="AO271" s="140"/>
      <c r="AP271" s="140"/>
      <c r="AQ271" s="140"/>
      <c r="AR271" s="140"/>
      <c r="AS271" s="140"/>
      <c r="AT271" s="140"/>
      <c r="AU271" s="140"/>
      <c r="AV271" s="140"/>
      <c r="AW271" s="140"/>
      <c r="AX271" s="140"/>
      <c r="AY271" s="140"/>
      <c r="AZ271" s="140"/>
      <c r="BA271" s="140"/>
      <c r="BB271" s="140"/>
      <c r="BC271" s="140"/>
      <c r="BD271" s="140"/>
      <c r="BE271" s="140"/>
    </row>
    <row r="272">
      <c r="A272" s="108"/>
      <c r="B272" s="107"/>
      <c r="C272" s="107"/>
      <c r="D272" s="107"/>
      <c r="E272" s="107"/>
      <c r="F272" s="107"/>
      <c r="G272" s="208"/>
      <c r="H272" s="131"/>
      <c r="I272" s="211"/>
      <c r="J272" s="107"/>
      <c r="K272" s="202"/>
      <c r="L272" s="107"/>
      <c r="M272" s="107"/>
      <c r="N272" s="206"/>
      <c r="O272" s="108" t="b">
        <v>0</v>
      </c>
      <c r="P272" s="207"/>
      <c r="Q272" s="140"/>
      <c r="R272" s="140"/>
      <c r="S272" s="140"/>
      <c r="T272" s="140"/>
      <c r="U272" s="140"/>
      <c r="V272" s="140"/>
      <c r="W272" s="140"/>
      <c r="X272" s="140"/>
      <c r="Y272" s="140"/>
      <c r="Z272" s="140"/>
      <c r="AA272" s="140"/>
      <c r="AB272" s="140"/>
      <c r="AC272" s="140"/>
      <c r="AD272" s="140"/>
      <c r="AE272" s="140"/>
      <c r="AF272" s="140"/>
      <c r="AG272" s="140"/>
      <c r="AH272" s="140"/>
      <c r="AI272" s="140"/>
      <c r="AJ272" s="140"/>
      <c r="AK272" s="140"/>
      <c r="AL272" s="140"/>
      <c r="AM272" s="140"/>
      <c r="AN272" s="140"/>
      <c r="AO272" s="140"/>
      <c r="AP272" s="140"/>
      <c r="AQ272" s="140"/>
      <c r="AR272" s="140"/>
      <c r="AS272" s="140"/>
      <c r="AT272" s="140"/>
      <c r="AU272" s="140"/>
      <c r="AV272" s="140"/>
      <c r="AW272" s="140"/>
      <c r="AX272" s="140"/>
      <c r="AY272" s="140"/>
      <c r="AZ272" s="140"/>
      <c r="BA272" s="140"/>
      <c r="BB272" s="140"/>
      <c r="BC272" s="140"/>
      <c r="BD272" s="140"/>
      <c r="BE272" s="140"/>
    </row>
    <row r="273">
      <c r="A273" s="108"/>
      <c r="B273" s="107"/>
      <c r="C273" s="107"/>
      <c r="D273" s="107"/>
      <c r="E273" s="107"/>
      <c r="F273" s="107"/>
      <c r="G273" s="208"/>
      <c r="H273" s="131"/>
      <c r="I273" s="211"/>
      <c r="J273" s="107"/>
      <c r="K273" s="202"/>
      <c r="L273" s="107"/>
      <c r="M273" s="107"/>
      <c r="N273" s="206"/>
      <c r="O273" s="108" t="b">
        <v>0</v>
      </c>
      <c r="P273" s="207"/>
      <c r="Q273" s="140"/>
      <c r="R273" s="140"/>
      <c r="S273" s="140"/>
      <c r="T273" s="140"/>
      <c r="U273" s="140"/>
      <c r="V273" s="140"/>
      <c r="W273" s="140"/>
      <c r="X273" s="140"/>
      <c r="Y273" s="140"/>
      <c r="Z273" s="140"/>
      <c r="AA273" s="140"/>
      <c r="AB273" s="140"/>
      <c r="AC273" s="140"/>
      <c r="AD273" s="140"/>
      <c r="AE273" s="140"/>
      <c r="AF273" s="140"/>
      <c r="AG273" s="140"/>
      <c r="AH273" s="140"/>
      <c r="AI273" s="140"/>
      <c r="AJ273" s="140"/>
      <c r="AK273" s="140"/>
      <c r="AL273" s="140"/>
      <c r="AM273" s="140"/>
      <c r="AN273" s="140"/>
      <c r="AO273" s="140"/>
      <c r="AP273" s="140"/>
      <c r="AQ273" s="140"/>
      <c r="AR273" s="140"/>
      <c r="AS273" s="140"/>
      <c r="AT273" s="140"/>
      <c r="AU273" s="140"/>
      <c r="AV273" s="140"/>
      <c r="AW273" s="140"/>
      <c r="AX273" s="140"/>
      <c r="AY273" s="140"/>
      <c r="AZ273" s="140"/>
      <c r="BA273" s="140"/>
      <c r="BB273" s="140"/>
      <c r="BC273" s="140"/>
      <c r="BD273" s="140"/>
      <c r="BE273" s="140"/>
    </row>
    <row r="274">
      <c r="A274" s="108"/>
      <c r="B274" s="107"/>
      <c r="C274" s="107"/>
      <c r="D274" s="107"/>
      <c r="E274" s="107"/>
      <c r="F274" s="107"/>
      <c r="G274" s="208"/>
      <c r="H274" s="131"/>
      <c r="I274" s="211"/>
      <c r="J274" s="107"/>
      <c r="K274" s="202"/>
      <c r="L274" s="107"/>
      <c r="M274" s="107"/>
      <c r="N274" s="206"/>
      <c r="O274" s="108" t="b">
        <v>0</v>
      </c>
      <c r="P274" s="207"/>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c r="BB274" s="140"/>
      <c r="BC274" s="140"/>
      <c r="BD274" s="140"/>
      <c r="BE274" s="140"/>
    </row>
    <row r="275">
      <c r="A275" s="108"/>
      <c r="B275" s="107"/>
      <c r="C275" s="107"/>
      <c r="D275" s="107"/>
      <c r="E275" s="107"/>
      <c r="F275" s="107"/>
      <c r="G275" s="208"/>
      <c r="H275" s="131"/>
      <c r="I275" s="211"/>
      <c r="J275" s="107"/>
      <c r="K275" s="202"/>
      <c r="L275" s="107"/>
      <c r="M275" s="107"/>
      <c r="N275" s="206"/>
      <c r="O275" s="108" t="b">
        <v>0</v>
      </c>
      <c r="P275" s="207"/>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140"/>
      <c r="BE275" s="140"/>
    </row>
    <row r="276">
      <c r="A276" s="108"/>
      <c r="B276" s="107"/>
      <c r="C276" s="107"/>
      <c r="D276" s="107"/>
      <c r="E276" s="107"/>
      <c r="F276" s="107"/>
      <c r="G276" s="208"/>
      <c r="H276" s="131"/>
      <c r="I276" s="211"/>
      <c r="J276" s="107"/>
      <c r="K276" s="202"/>
      <c r="L276" s="107"/>
      <c r="M276" s="107"/>
      <c r="N276" s="206"/>
      <c r="O276" s="108" t="b">
        <v>0</v>
      </c>
      <c r="P276" s="207"/>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140"/>
      <c r="BE276" s="140"/>
    </row>
    <row r="277">
      <c r="A277" s="108"/>
      <c r="B277" s="107"/>
      <c r="C277" s="107"/>
      <c r="D277" s="107"/>
      <c r="E277" s="107"/>
      <c r="F277" s="107"/>
      <c r="G277" s="208"/>
      <c r="H277" s="131"/>
      <c r="I277" s="211"/>
      <c r="J277" s="107"/>
      <c r="K277" s="202"/>
      <c r="L277" s="107"/>
      <c r="M277" s="107"/>
      <c r="N277" s="206"/>
      <c r="O277" s="108" t="b">
        <v>0</v>
      </c>
      <c r="P277" s="207"/>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c r="AO277" s="140"/>
      <c r="AP277" s="140"/>
      <c r="AQ277" s="140"/>
      <c r="AR277" s="140"/>
      <c r="AS277" s="140"/>
      <c r="AT277" s="140"/>
      <c r="AU277" s="140"/>
      <c r="AV277" s="140"/>
      <c r="AW277" s="140"/>
      <c r="AX277" s="140"/>
      <c r="AY277" s="140"/>
      <c r="AZ277" s="140"/>
      <c r="BA277" s="140"/>
      <c r="BB277" s="140"/>
      <c r="BC277" s="140"/>
      <c r="BD277" s="140"/>
      <c r="BE277" s="140"/>
    </row>
    <row r="278">
      <c r="A278" s="108"/>
      <c r="B278" s="107"/>
      <c r="C278" s="107"/>
      <c r="D278" s="107"/>
      <c r="E278" s="107"/>
      <c r="F278" s="107"/>
      <c r="G278" s="208"/>
      <c r="H278" s="131"/>
      <c r="I278" s="211"/>
      <c r="J278" s="107"/>
      <c r="K278" s="202"/>
      <c r="L278" s="107"/>
      <c r="M278" s="107"/>
      <c r="N278" s="206"/>
      <c r="O278" s="108" t="b">
        <v>0</v>
      </c>
      <c r="P278" s="207"/>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c r="AO278" s="140"/>
      <c r="AP278" s="140"/>
      <c r="AQ278" s="140"/>
      <c r="AR278" s="140"/>
      <c r="AS278" s="140"/>
      <c r="AT278" s="140"/>
      <c r="AU278" s="140"/>
      <c r="AV278" s="140"/>
      <c r="AW278" s="140"/>
      <c r="AX278" s="140"/>
      <c r="AY278" s="140"/>
      <c r="AZ278" s="140"/>
      <c r="BA278" s="140"/>
      <c r="BB278" s="140"/>
      <c r="BC278" s="140"/>
      <c r="BD278" s="140"/>
      <c r="BE278" s="140"/>
    </row>
    <row r="279">
      <c r="A279" s="108"/>
      <c r="B279" s="107"/>
      <c r="C279" s="107"/>
      <c r="D279" s="107"/>
      <c r="E279" s="107"/>
      <c r="F279" s="107"/>
      <c r="G279" s="208"/>
      <c r="H279" s="131"/>
      <c r="I279" s="211"/>
      <c r="J279" s="107"/>
      <c r="K279" s="202"/>
      <c r="L279" s="107"/>
      <c r="M279" s="107"/>
      <c r="N279" s="206"/>
      <c r="O279" s="108" t="b">
        <v>0</v>
      </c>
      <c r="P279" s="207"/>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c r="AO279" s="140"/>
      <c r="AP279" s="140"/>
      <c r="AQ279" s="140"/>
      <c r="AR279" s="140"/>
      <c r="AS279" s="140"/>
      <c r="AT279" s="140"/>
      <c r="AU279" s="140"/>
      <c r="AV279" s="140"/>
      <c r="AW279" s="140"/>
      <c r="AX279" s="140"/>
      <c r="AY279" s="140"/>
      <c r="AZ279" s="140"/>
      <c r="BA279" s="140"/>
      <c r="BB279" s="140"/>
      <c r="BC279" s="140"/>
      <c r="BD279" s="140"/>
      <c r="BE279" s="140"/>
    </row>
    <row r="280">
      <c r="A280" s="108"/>
      <c r="B280" s="107"/>
      <c r="C280" s="107"/>
      <c r="D280" s="107"/>
      <c r="E280" s="107"/>
      <c r="F280" s="107"/>
      <c r="G280" s="208"/>
      <c r="H280" s="131"/>
      <c r="I280" s="211"/>
      <c r="J280" s="107"/>
      <c r="K280" s="202"/>
      <c r="L280" s="107"/>
      <c r="M280" s="107"/>
      <c r="N280" s="206"/>
      <c r="O280" s="108" t="b">
        <v>0</v>
      </c>
      <c r="P280" s="207"/>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c r="BB280" s="140"/>
      <c r="BC280" s="140"/>
      <c r="BD280" s="140"/>
      <c r="BE280" s="140"/>
    </row>
    <row r="281">
      <c r="A281" s="108"/>
      <c r="B281" s="107"/>
      <c r="C281" s="107"/>
      <c r="D281" s="107"/>
      <c r="E281" s="107"/>
      <c r="F281" s="107"/>
      <c r="G281" s="208"/>
      <c r="H281" s="131"/>
      <c r="I281" s="211"/>
      <c r="J281" s="107"/>
      <c r="K281" s="202"/>
      <c r="L281" s="107"/>
      <c r="M281" s="107"/>
      <c r="N281" s="206"/>
      <c r="O281" s="108" t="b">
        <v>0</v>
      </c>
      <c r="P281" s="207"/>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c r="AO281" s="140"/>
      <c r="AP281" s="140"/>
      <c r="AQ281" s="140"/>
      <c r="AR281" s="140"/>
      <c r="AS281" s="140"/>
      <c r="AT281" s="140"/>
      <c r="AU281" s="140"/>
      <c r="AV281" s="140"/>
      <c r="AW281" s="140"/>
      <c r="AX281" s="140"/>
      <c r="AY281" s="140"/>
      <c r="AZ281" s="140"/>
      <c r="BA281" s="140"/>
      <c r="BB281" s="140"/>
      <c r="BC281" s="140"/>
      <c r="BD281" s="140"/>
      <c r="BE281" s="140"/>
    </row>
    <row r="282">
      <c r="A282" s="108"/>
      <c r="B282" s="107"/>
      <c r="C282" s="107"/>
      <c r="D282" s="107"/>
      <c r="E282" s="107"/>
      <c r="F282" s="107"/>
      <c r="G282" s="208"/>
      <c r="H282" s="131"/>
      <c r="I282" s="211"/>
      <c r="J282" s="107"/>
      <c r="K282" s="202"/>
      <c r="L282" s="107"/>
      <c r="M282" s="107"/>
      <c r="N282" s="206"/>
      <c r="O282" s="108" t="b">
        <v>0</v>
      </c>
      <c r="P282" s="207"/>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c r="AO282" s="140"/>
      <c r="AP282" s="140"/>
      <c r="AQ282" s="140"/>
      <c r="AR282" s="140"/>
      <c r="AS282" s="140"/>
      <c r="AT282" s="140"/>
      <c r="AU282" s="140"/>
      <c r="AV282" s="140"/>
      <c r="AW282" s="140"/>
      <c r="AX282" s="140"/>
      <c r="AY282" s="140"/>
      <c r="AZ282" s="140"/>
      <c r="BA282" s="140"/>
      <c r="BB282" s="140"/>
      <c r="BC282" s="140"/>
      <c r="BD282" s="140"/>
      <c r="BE282" s="140"/>
    </row>
    <row r="283">
      <c r="A283" s="108"/>
      <c r="B283" s="107"/>
      <c r="C283" s="107"/>
      <c r="D283" s="107"/>
      <c r="E283" s="107"/>
      <c r="F283" s="107"/>
      <c r="G283" s="208"/>
      <c r="H283" s="131"/>
      <c r="I283" s="211"/>
      <c r="J283" s="107"/>
      <c r="K283" s="202"/>
      <c r="L283" s="107"/>
      <c r="M283" s="107"/>
      <c r="N283" s="206"/>
      <c r="O283" s="108" t="b">
        <v>0</v>
      </c>
      <c r="P283" s="207"/>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c r="AO283" s="140"/>
      <c r="AP283" s="140"/>
      <c r="AQ283" s="140"/>
      <c r="AR283" s="140"/>
      <c r="AS283" s="140"/>
      <c r="AT283" s="140"/>
      <c r="AU283" s="140"/>
      <c r="AV283" s="140"/>
      <c r="AW283" s="140"/>
      <c r="AX283" s="140"/>
      <c r="AY283" s="140"/>
      <c r="AZ283" s="140"/>
      <c r="BA283" s="140"/>
      <c r="BB283" s="140"/>
      <c r="BC283" s="140"/>
      <c r="BD283" s="140"/>
      <c r="BE283" s="140"/>
    </row>
    <row r="284">
      <c r="A284" s="108"/>
      <c r="B284" s="107"/>
      <c r="C284" s="107"/>
      <c r="D284" s="107"/>
      <c r="E284" s="107"/>
      <c r="F284" s="107"/>
      <c r="G284" s="208"/>
      <c r="H284" s="131"/>
      <c r="I284" s="211"/>
      <c r="J284" s="107"/>
      <c r="K284" s="202"/>
      <c r="L284" s="107"/>
      <c r="M284" s="107"/>
      <c r="N284" s="206"/>
      <c r="O284" s="108" t="b">
        <v>0</v>
      </c>
      <c r="P284" s="207"/>
      <c r="Q284" s="140"/>
      <c r="R284" s="140"/>
      <c r="S284" s="140"/>
      <c r="T284" s="140"/>
      <c r="U284" s="140"/>
      <c r="V284" s="140"/>
      <c r="W284" s="140"/>
      <c r="X284" s="140"/>
      <c r="Y284" s="140"/>
      <c r="Z284" s="140"/>
      <c r="AA284" s="140"/>
      <c r="AB284" s="140"/>
      <c r="AC284" s="140"/>
      <c r="AD284" s="140"/>
      <c r="AE284" s="140"/>
      <c r="AF284" s="140"/>
      <c r="AG284" s="140"/>
      <c r="AH284" s="140"/>
      <c r="AI284" s="140"/>
      <c r="AJ284" s="140"/>
      <c r="AK284" s="140"/>
      <c r="AL284" s="140"/>
      <c r="AM284" s="140"/>
      <c r="AN284" s="140"/>
      <c r="AO284" s="140"/>
      <c r="AP284" s="140"/>
      <c r="AQ284" s="140"/>
      <c r="AR284" s="140"/>
      <c r="AS284" s="140"/>
      <c r="AT284" s="140"/>
      <c r="AU284" s="140"/>
      <c r="AV284" s="140"/>
      <c r="AW284" s="140"/>
      <c r="AX284" s="140"/>
      <c r="AY284" s="140"/>
      <c r="AZ284" s="140"/>
      <c r="BA284" s="140"/>
      <c r="BB284" s="140"/>
      <c r="BC284" s="140"/>
      <c r="BD284" s="140"/>
      <c r="BE284" s="140"/>
    </row>
    <row r="285">
      <c r="A285" s="108"/>
      <c r="B285" s="107"/>
      <c r="C285" s="107"/>
      <c r="D285" s="107"/>
      <c r="E285" s="107"/>
      <c r="F285" s="107"/>
      <c r="G285" s="208"/>
      <c r="H285" s="131"/>
      <c r="I285" s="211"/>
      <c r="J285" s="107"/>
      <c r="K285" s="202"/>
      <c r="L285" s="107"/>
      <c r="M285" s="107"/>
      <c r="N285" s="206"/>
      <c r="O285" s="108" t="b">
        <v>0</v>
      </c>
      <c r="P285" s="207"/>
      <c r="Q285" s="140"/>
      <c r="R285" s="140"/>
      <c r="S285" s="140"/>
      <c r="T285" s="140"/>
      <c r="U285" s="140"/>
      <c r="V285" s="140"/>
      <c r="W285" s="140"/>
      <c r="X285" s="140"/>
      <c r="Y285" s="140"/>
      <c r="Z285" s="140"/>
      <c r="AA285" s="140"/>
      <c r="AB285" s="140"/>
      <c r="AC285" s="140"/>
      <c r="AD285" s="140"/>
      <c r="AE285" s="140"/>
      <c r="AF285" s="140"/>
      <c r="AG285" s="140"/>
      <c r="AH285" s="140"/>
      <c r="AI285" s="140"/>
      <c r="AJ285" s="140"/>
      <c r="AK285" s="140"/>
      <c r="AL285" s="140"/>
      <c r="AM285" s="140"/>
      <c r="AN285" s="140"/>
      <c r="AO285" s="140"/>
      <c r="AP285" s="140"/>
      <c r="AQ285" s="140"/>
      <c r="AR285" s="140"/>
      <c r="AS285" s="140"/>
      <c r="AT285" s="140"/>
      <c r="AU285" s="140"/>
      <c r="AV285" s="140"/>
      <c r="AW285" s="140"/>
      <c r="AX285" s="140"/>
      <c r="AY285" s="140"/>
      <c r="AZ285" s="140"/>
      <c r="BA285" s="140"/>
      <c r="BB285" s="140"/>
      <c r="BC285" s="140"/>
      <c r="BD285" s="140"/>
      <c r="BE285" s="140"/>
    </row>
    <row r="286">
      <c r="A286" s="108"/>
      <c r="B286" s="107"/>
      <c r="C286" s="107"/>
      <c r="D286" s="107"/>
      <c r="E286" s="107"/>
      <c r="F286" s="107"/>
      <c r="G286" s="208"/>
      <c r="H286" s="131"/>
      <c r="I286" s="211"/>
      <c r="J286" s="107"/>
      <c r="K286" s="202"/>
      <c r="L286" s="107"/>
      <c r="M286" s="107"/>
      <c r="N286" s="206"/>
      <c r="O286" s="108" t="b">
        <v>0</v>
      </c>
      <c r="P286" s="207"/>
      <c r="Q286" s="140"/>
      <c r="R286" s="140"/>
      <c r="S286" s="140"/>
      <c r="T286" s="140"/>
      <c r="U286" s="140"/>
      <c r="V286" s="140"/>
      <c r="W286" s="140"/>
      <c r="X286" s="140"/>
      <c r="Y286" s="140"/>
      <c r="Z286" s="140"/>
      <c r="AA286" s="140"/>
      <c r="AB286" s="140"/>
      <c r="AC286" s="140"/>
      <c r="AD286" s="140"/>
      <c r="AE286" s="140"/>
      <c r="AF286" s="140"/>
      <c r="AG286" s="140"/>
      <c r="AH286" s="140"/>
      <c r="AI286" s="140"/>
      <c r="AJ286" s="140"/>
      <c r="AK286" s="140"/>
      <c r="AL286" s="140"/>
      <c r="AM286" s="140"/>
      <c r="AN286" s="140"/>
      <c r="AO286" s="140"/>
      <c r="AP286" s="140"/>
      <c r="AQ286" s="140"/>
      <c r="AR286" s="140"/>
      <c r="AS286" s="140"/>
      <c r="AT286" s="140"/>
      <c r="AU286" s="140"/>
      <c r="AV286" s="140"/>
      <c r="AW286" s="140"/>
      <c r="AX286" s="140"/>
      <c r="AY286" s="140"/>
      <c r="AZ286" s="140"/>
      <c r="BA286" s="140"/>
      <c r="BB286" s="140"/>
      <c r="BC286" s="140"/>
      <c r="BD286" s="140"/>
      <c r="BE286" s="140"/>
    </row>
    <row r="287">
      <c r="A287" s="108"/>
      <c r="B287" s="107"/>
      <c r="C287" s="107"/>
      <c r="D287" s="107"/>
      <c r="E287" s="107"/>
      <c r="F287" s="107"/>
      <c r="G287" s="208"/>
      <c r="H287" s="131"/>
      <c r="I287" s="211"/>
      <c r="J287" s="107"/>
      <c r="K287" s="202"/>
      <c r="L287" s="107"/>
      <c r="M287" s="107"/>
      <c r="N287" s="206"/>
      <c r="O287" s="108" t="b">
        <v>0</v>
      </c>
      <c r="P287" s="207"/>
      <c r="Q287" s="140"/>
      <c r="R287" s="140"/>
      <c r="S287" s="140"/>
      <c r="T287" s="140"/>
      <c r="U287" s="140"/>
      <c r="V287" s="140"/>
      <c r="W287" s="140"/>
      <c r="X287" s="140"/>
      <c r="Y287" s="140"/>
      <c r="Z287" s="140"/>
      <c r="AA287" s="140"/>
      <c r="AB287" s="140"/>
      <c r="AC287" s="140"/>
      <c r="AD287" s="140"/>
      <c r="AE287" s="140"/>
      <c r="AF287" s="140"/>
      <c r="AG287" s="140"/>
      <c r="AH287" s="140"/>
      <c r="AI287" s="140"/>
      <c r="AJ287" s="140"/>
      <c r="AK287" s="140"/>
      <c r="AL287" s="140"/>
      <c r="AM287" s="140"/>
      <c r="AN287" s="140"/>
      <c r="AO287" s="140"/>
      <c r="AP287" s="140"/>
      <c r="AQ287" s="140"/>
      <c r="AR287" s="140"/>
      <c r="AS287" s="140"/>
      <c r="AT287" s="140"/>
      <c r="AU287" s="140"/>
      <c r="AV287" s="140"/>
      <c r="AW287" s="140"/>
      <c r="AX287" s="140"/>
      <c r="AY287" s="140"/>
      <c r="AZ287" s="140"/>
      <c r="BA287" s="140"/>
      <c r="BB287" s="140"/>
      <c r="BC287" s="140"/>
      <c r="BD287" s="140"/>
      <c r="BE287" s="140"/>
    </row>
    <row r="288">
      <c r="A288" s="108"/>
      <c r="B288" s="107"/>
      <c r="C288" s="107"/>
      <c r="D288" s="107"/>
      <c r="E288" s="107"/>
      <c r="F288" s="107"/>
      <c r="G288" s="208"/>
      <c r="H288" s="131"/>
      <c r="I288" s="211"/>
      <c r="J288" s="107"/>
      <c r="K288" s="202"/>
      <c r="L288" s="107"/>
      <c r="M288" s="107"/>
      <c r="N288" s="206"/>
      <c r="O288" s="108" t="b">
        <v>0</v>
      </c>
      <c r="P288" s="207"/>
      <c r="Q288" s="140"/>
      <c r="R288" s="140"/>
      <c r="S288" s="140"/>
      <c r="T288" s="140"/>
      <c r="U288" s="140"/>
      <c r="V288" s="140"/>
      <c r="W288" s="140"/>
      <c r="X288" s="140"/>
      <c r="Y288" s="140"/>
      <c r="Z288" s="140"/>
      <c r="AA288" s="140"/>
      <c r="AB288" s="140"/>
      <c r="AC288" s="140"/>
      <c r="AD288" s="140"/>
      <c r="AE288" s="140"/>
      <c r="AF288" s="140"/>
      <c r="AG288" s="140"/>
      <c r="AH288" s="140"/>
      <c r="AI288" s="140"/>
      <c r="AJ288" s="140"/>
      <c r="AK288" s="140"/>
      <c r="AL288" s="140"/>
      <c r="AM288" s="140"/>
      <c r="AN288" s="140"/>
      <c r="AO288" s="140"/>
      <c r="AP288" s="140"/>
      <c r="AQ288" s="140"/>
      <c r="AR288" s="140"/>
      <c r="AS288" s="140"/>
      <c r="AT288" s="140"/>
      <c r="AU288" s="140"/>
      <c r="AV288" s="140"/>
      <c r="AW288" s="140"/>
      <c r="AX288" s="140"/>
      <c r="AY288" s="140"/>
      <c r="AZ288" s="140"/>
      <c r="BA288" s="140"/>
      <c r="BB288" s="140"/>
      <c r="BC288" s="140"/>
      <c r="BD288" s="140"/>
      <c r="BE288" s="140"/>
    </row>
    <row r="289">
      <c r="A289" s="108"/>
      <c r="B289" s="107"/>
      <c r="C289" s="107"/>
      <c r="D289" s="107"/>
      <c r="E289" s="107"/>
      <c r="F289" s="107"/>
      <c r="G289" s="208"/>
      <c r="H289" s="131"/>
      <c r="I289" s="211"/>
      <c r="J289" s="107"/>
      <c r="K289" s="202"/>
      <c r="L289" s="107"/>
      <c r="M289" s="107"/>
      <c r="N289" s="206"/>
      <c r="O289" s="108" t="b">
        <v>0</v>
      </c>
      <c r="P289" s="207"/>
      <c r="Q289" s="140"/>
      <c r="R289" s="140"/>
      <c r="S289" s="140"/>
      <c r="T289" s="140"/>
      <c r="U289" s="140"/>
      <c r="V289" s="140"/>
      <c r="W289" s="140"/>
      <c r="X289" s="140"/>
      <c r="Y289" s="140"/>
      <c r="Z289" s="140"/>
      <c r="AA289" s="140"/>
      <c r="AB289" s="140"/>
      <c r="AC289" s="140"/>
      <c r="AD289" s="140"/>
      <c r="AE289" s="140"/>
      <c r="AF289" s="140"/>
      <c r="AG289" s="140"/>
      <c r="AH289" s="140"/>
      <c r="AI289" s="140"/>
      <c r="AJ289" s="140"/>
      <c r="AK289" s="140"/>
      <c r="AL289" s="140"/>
      <c r="AM289" s="140"/>
      <c r="AN289" s="140"/>
      <c r="AO289" s="140"/>
      <c r="AP289" s="140"/>
      <c r="AQ289" s="140"/>
      <c r="AR289" s="140"/>
      <c r="AS289" s="140"/>
      <c r="AT289" s="140"/>
      <c r="AU289" s="140"/>
      <c r="AV289" s="140"/>
      <c r="AW289" s="140"/>
      <c r="AX289" s="140"/>
      <c r="AY289" s="140"/>
      <c r="AZ289" s="140"/>
      <c r="BA289" s="140"/>
      <c r="BB289" s="140"/>
      <c r="BC289" s="140"/>
      <c r="BD289" s="140"/>
      <c r="BE289" s="140"/>
    </row>
    <row r="290">
      <c r="A290" s="108"/>
      <c r="B290" s="107"/>
      <c r="C290" s="107"/>
      <c r="D290" s="107"/>
      <c r="E290" s="107"/>
      <c r="F290" s="107"/>
      <c r="G290" s="208"/>
      <c r="H290" s="131"/>
      <c r="I290" s="211"/>
      <c r="J290" s="107"/>
      <c r="K290" s="202"/>
      <c r="L290" s="107"/>
      <c r="M290" s="107"/>
      <c r="N290" s="206"/>
      <c r="O290" s="108" t="b">
        <v>0</v>
      </c>
      <c r="P290" s="207"/>
      <c r="Q290" s="140"/>
      <c r="R290" s="140"/>
      <c r="S290" s="140"/>
      <c r="T290" s="140"/>
      <c r="U290" s="140"/>
      <c r="V290" s="140"/>
      <c r="W290" s="140"/>
      <c r="X290" s="140"/>
      <c r="Y290" s="140"/>
      <c r="Z290" s="140"/>
      <c r="AA290" s="140"/>
      <c r="AB290" s="140"/>
      <c r="AC290" s="140"/>
      <c r="AD290" s="140"/>
      <c r="AE290" s="140"/>
      <c r="AF290" s="140"/>
      <c r="AG290" s="140"/>
      <c r="AH290" s="140"/>
      <c r="AI290" s="140"/>
      <c r="AJ290" s="140"/>
      <c r="AK290" s="140"/>
      <c r="AL290" s="140"/>
      <c r="AM290" s="140"/>
      <c r="AN290" s="140"/>
      <c r="AO290" s="140"/>
      <c r="AP290" s="140"/>
      <c r="AQ290" s="140"/>
      <c r="AR290" s="140"/>
      <c r="AS290" s="140"/>
      <c r="AT290" s="140"/>
      <c r="AU290" s="140"/>
      <c r="AV290" s="140"/>
      <c r="AW290" s="140"/>
      <c r="AX290" s="140"/>
      <c r="AY290" s="140"/>
      <c r="AZ290" s="140"/>
      <c r="BA290" s="140"/>
      <c r="BB290" s="140"/>
      <c r="BC290" s="140"/>
      <c r="BD290" s="140"/>
      <c r="BE290" s="140"/>
    </row>
    <row r="291">
      <c r="A291" s="108"/>
      <c r="B291" s="107"/>
      <c r="C291" s="107"/>
      <c r="D291" s="107"/>
      <c r="E291" s="107"/>
      <c r="F291" s="107"/>
      <c r="G291" s="208"/>
      <c r="H291" s="131"/>
      <c r="I291" s="211"/>
      <c r="J291" s="107"/>
      <c r="K291" s="202"/>
      <c r="L291" s="107"/>
      <c r="M291" s="107"/>
      <c r="N291" s="206"/>
      <c r="O291" s="108" t="b">
        <v>0</v>
      </c>
      <c r="P291" s="207"/>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c r="AO291" s="140"/>
      <c r="AP291" s="140"/>
      <c r="AQ291" s="140"/>
      <c r="AR291" s="140"/>
      <c r="AS291" s="140"/>
      <c r="AT291" s="140"/>
      <c r="AU291" s="140"/>
      <c r="AV291" s="140"/>
      <c r="AW291" s="140"/>
      <c r="AX291" s="140"/>
      <c r="AY291" s="140"/>
      <c r="AZ291" s="140"/>
      <c r="BA291" s="140"/>
      <c r="BB291" s="140"/>
      <c r="BC291" s="140"/>
      <c r="BD291" s="140"/>
      <c r="BE291" s="140"/>
    </row>
    <row r="292">
      <c r="A292" s="108"/>
      <c r="B292" s="107"/>
      <c r="C292" s="107"/>
      <c r="D292" s="107"/>
      <c r="E292" s="107"/>
      <c r="F292" s="107"/>
      <c r="G292" s="208"/>
      <c r="H292" s="131"/>
      <c r="I292" s="211"/>
      <c r="J292" s="107"/>
      <c r="K292" s="202"/>
      <c r="L292" s="107"/>
      <c r="M292" s="107"/>
      <c r="N292" s="206"/>
      <c r="O292" s="108" t="b">
        <v>0</v>
      </c>
      <c r="P292" s="207"/>
      <c r="Q292" s="140"/>
      <c r="R292" s="140"/>
      <c r="S292" s="140"/>
      <c r="T292" s="140"/>
      <c r="U292" s="140"/>
      <c r="V292" s="140"/>
      <c r="W292" s="140"/>
      <c r="X292" s="140"/>
      <c r="Y292" s="140"/>
      <c r="Z292" s="140"/>
      <c r="AA292" s="140"/>
      <c r="AB292" s="140"/>
      <c r="AC292" s="140"/>
      <c r="AD292" s="140"/>
      <c r="AE292" s="140"/>
      <c r="AF292" s="140"/>
      <c r="AG292" s="140"/>
      <c r="AH292" s="140"/>
      <c r="AI292" s="140"/>
      <c r="AJ292" s="140"/>
      <c r="AK292" s="140"/>
      <c r="AL292" s="140"/>
      <c r="AM292" s="140"/>
      <c r="AN292" s="140"/>
      <c r="AO292" s="140"/>
      <c r="AP292" s="140"/>
      <c r="AQ292" s="140"/>
      <c r="AR292" s="140"/>
      <c r="AS292" s="140"/>
      <c r="AT292" s="140"/>
      <c r="AU292" s="140"/>
      <c r="AV292" s="140"/>
      <c r="AW292" s="140"/>
      <c r="AX292" s="140"/>
      <c r="AY292" s="140"/>
      <c r="AZ292" s="140"/>
      <c r="BA292" s="140"/>
      <c r="BB292" s="140"/>
      <c r="BC292" s="140"/>
      <c r="BD292" s="140"/>
      <c r="BE292" s="140"/>
    </row>
    <row r="293">
      <c r="A293" s="108"/>
      <c r="B293" s="107"/>
      <c r="C293" s="107"/>
      <c r="D293" s="107"/>
      <c r="E293" s="107"/>
      <c r="F293" s="107"/>
      <c r="G293" s="208"/>
      <c r="H293" s="131"/>
      <c r="I293" s="211"/>
      <c r="J293" s="107"/>
      <c r="K293" s="202"/>
      <c r="L293" s="107"/>
      <c r="M293" s="107"/>
      <c r="N293" s="206"/>
      <c r="O293" s="108" t="b">
        <v>0</v>
      </c>
      <c r="P293" s="207"/>
      <c r="Q293" s="140"/>
      <c r="R293" s="140"/>
      <c r="S293" s="140"/>
      <c r="T293" s="140"/>
      <c r="U293" s="140"/>
      <c r="V293" s="140"/>
      <c r="W293" s="140"/>
      <c r="X293" s="140"/>
      <c r="Y293" s="140"/>
      <c r="Z293" s="140"/>
      <c r="AA293" s="140"/>
      <c r="AB293" s="140"/>
      <c r="AC293" s="140"/>
      <c r="AD293" s="140"/>
      <c r="AE293" s="140"/>
      <c r="AF293" s="140"/>
      <c r="AG293" s="140"/>
      <c r="AH293" s="140"/>
      <c r="AI293" s="140"/>
      <c r="AJ293" s="140"/>
      <c r="AK293" s="140"/>
      <c r="AL293" s="140"/>
      <c r="AM293" s="140"/>
      <c r="AN293" s="140"/>
      <c r="AO293" s="140"/>
      <c r="AP293" s="140"/>
      <c r="AQ293" s="140"/>
      <c r="AR293" s="140"/>
      <c r="AS293" s="140"/>
      <c r="AT293" s="140"/>
      <c r="AU293" s="140"/>
      <c r="AV293" s="140"/>
      <c r="AW293" s="140"/>
      <c r="AX293" s="140"/>
      <c r="AY293" s="140"/>
      <c r="AZ293" s="140"/>
      <c r="BA293" s="140"/>
      <c r="BB293" s="140"/>
      <c r="BC293" s="140"/>
      <c r="BD293" s="140"/>
      <c r="BE293" s="140"/>
    </row>
    <row r="294">
      <c r="A294" s="108"/>
      <c r="B294" s="107"/>
      <c r="C294" s="107"/>
      <c r="D294" s="107"/>
      <c r="E294" s="107"/>
      <c r="F294" s="107"/>
      <c r="G294" s="208"/>
      <c r="H294" s="131"/>
      <c r="I294" s="211"/>
      <c r="J294" s="107"/>
      <c r="K294" s="202"/>
      <c r="L294" s="107"/>
      <c r="M294" s="107"/>
      <c r="N294" s="206"/>
      <c r="O294" s="108" t="b">
        <v>0</v>
      </c>
      <c r="P294" s="207"/>
      <c r="Q294" s="140"/>
      <c r="R294" s="140"/>
      <c r="S294" s="140"/>
      <c r="T294" s="140"/>
      <c r="U294" s="140"/>
      <c r="V294" s="140"/>
      <c r="W294" s="140"/>
      <c r="X294" s="140"/>
      <c r="Y294" s="140"/>
      <c r="Z294" s="140"/>
      <c r="AA294" s="140"/>
      <c r="AB294" s="140"/>
      <c r="AC294" s="140"/>
      <c r="AD294" s="140"/>
      <c r="AE294" s="140"/>
      <c r="AF294" s="140"/>
      <c r="AG294" s="140"/>
      <c r="AH294" s="140"/>
      <c r="AI294" s="140"/>
      <c r="AJ294" s="140"/>
      <c r="AK294" s="140"/>
      <c r="AL294" s="140"/>
      <c r="AM294" s="140"/>
      <c r="AN294" s="140"/>
      <c r="AO294" s="140"/>
      <c r="AP294" s="140"/>
      <c r="AQ294" s="140"/>
      <c r="AR294" s="140"/>
      <c r="AS294" s="140"/>
      <c r="AT294" s="140"/>
      <c r="AU294" s="140"/>
      <c r="AV294" s="140"/>
      <c r="AW294" s="140"/>
      <c r="AX294" s="140"/>
      <c r="AY294" s="140"/>
      <c r="AZ294" s="140"/>
      <c r="BA294" s="140"/>
      <c r="BB294" s="140"/>
      <c r="BC294" s="140"/>
      <c r="BD294" s="140"/>
      <c r="BE294" s="140"/>
    </row>
    <row r="295">
      <c r="A295" s="108"/>
      <c r="B295" s="107"/>
      <c r="C295" s="107"/>
      <c r="D295" s="107"/>
      <c r="E295" s="107"/>
      <c r="F295" s="107"/>
      <c r="G295" s="208"/>
      <c r="H295" s="131"/>
      <c r="I295" s="211"/>
      <c r="J295" s="107"/>
      <c r="K295" s="202"/>
      <c r="L295" s="107"/>
      <c r="M295" s="107"/>
      <c r="N295" s="206"/>
      <c r="O295" s="108" t="b">
        <v>0</v>
      </c>
      <c r="P295" s="207"/>
      <c r="Q295" s="140"/>
      <c r="R295" s="140"/>
      <c r="S295" s="140"/>
      <c r="T295" s="140"/>
      <c r="U295" s="140"/>
      <c r="V295" s="140"/>
      <c r="W295" s="140"/>
      <c r="X295" s="140"/>
      <c r="Y295" s="140"/>
      <c r="Z295" s="140"/>
      <c r="AA295" s="140"/>
      <c r="AB295" s="140"/>
      <c r="AC295" s="140"/>
      <c r="AD295" s="140"/>
      <c r="AE295" s="140"/>
      <c r="AF295" s="140"/>
      <c r="AG295" s="140"/>
      <c r="AH295" s="140"/>
      <c r="AI295" s="140"/>
      <c r="AJ295" s="140"/>
      <c r="AK295" s="140"/>
      <c r="AL295" s="140"/>
      <c r="AM295" s="140"/>
      <c r="AN295" s="140"/>
      <c r="AO295" s="140"/>
      <c r="AP295" s="140"/>
      <c r="AQ295" s="140"/>
      <c r="AR295" s="140"/>
      <c r="AS295" s="140"/>
      <c r="AT295" s="140"/>
      <c r="AU295" s="140"/>
      <c r="AV295" s="140"/>
      <c r="AW295" s="140"/>
      <c r="AX295" s="140"/>
      <c r="AY295" s="140"/>
      <c r="AZ295" s="140"/>
      <c r="BA295" s="140"/>
      <c r="BB295" s="140"/>
      <c r="BC295" s="140"/>
      <c r="BD295" s="140"/>
      <c r="BE295" s="140"/>
    </row>
    <row r="296">
      <c r="A296" s="108"/>
      <c r="B296" s="107"/>
      <c r="C296" s="107"/>
      <c r="D296" s="107"/>
      <c r="E296" s="107"/>
      <c r="F296" s="107"/>
      <c r="G296" s="208"/>
      <c r="H296" s="131"/>
      <c r="I296" s="211"/>
      <c r="J296" s="107"/>
      <c r="K296" s="202"/>
      <c r="L296" s="107"/>
      <c r="M296" s="107"/>
      <c r="N296" s="206"/>
      <c r="O296" s="108" t="b">
        <v>0</v>
      </c>
      <c r="P296" s="207"/>
      <c r="Q296" s="140"/>
      <c r="R296" s="140"/>
      <c r="S296" s="140"/>
      <c r="T296" s="140"/>
      <c r="U296" s="140"/>
      <c r="V296" s="140"/>
      <c r="W296" s="140"/>
      <c r="X296" s="140"/>
      <c r="Y296" s="140"/>
      <c r="Z296" s="140"/>
      <c r="AA296" s="140"/>
      <c r="AB296" s="140"/>
      <c r="AC296" s="140"/>
      <c r="AD296" s="140"/>
      <c r="AE296" s="140"/>
      <c r="AF296" s="140"/>
      <c r="AG296" s="140"/>
      <c r="AH296" s="140"/>
      <c r="AI296" s="140"/>
      <c r="AJ296" s="140"/>
      <c r="AK296" s="140"/>
      <c r="AL296" s="140"/>
      <c r="AM296" s="140"/>
      <c r="AN296" s="140"/>
      <c r="AO296" s="140"/>
      <c r="AP296" s="140"/>
      <c r="AQ296" s="140"/>
      <c r="AR296" s="140"/>
      <c r="AS296" s="140"/>
      <c r="AT296" s="140"/>
      <c r="AU296" s="140"/>
      <c r="AV296" s="140"/>
      <c r="AW296" s="140"/>
      <c r="AX296" s="140"/>
      <c r="AY296" s="140"/>
      <c r="AZ296" s="140"/>
      <c r="BA296" s="140"/>
      <c r="BB296" s="140"/>
      <c r="BC296" s="140"/>
      <c r="BD296" s="140"/>
      <c r="BE296" s="140"/>
    </row>
    <row r="297">
      <c r="A297" s="108"/>
      <c r="B297" s="107"/>
      <c r="C297" s="107"/>
      <c r="D297" s="107"/>
      <c r="E297" s="107"/>
      <c r="F297" s="107"/>
      <c r="G297" s="208"/>
      <c r="H297" s="131"/>
      <c r="I297" s="211"/>
      <c r="J297" s="107"/>
      <c r="K297" s="202"/>
      <c r="L297" s="107"/>
      <c r="M297" s="107"/>
      <c r="N297" s="206"/>
      <c r="O297" s="108" t="b">
        <v>0</v>
      </c>
      <c r="P297" s="207"/>
      <c r="Q297" s="140"/>
      <c r="R297" s="140"/>
      <c r="S297" s="140"/>
      <c r="T297" s="140"/>
      <c r="U297" s="140"/>
      <c r="V297" s="140"/>
      <c r="W297" s="140"/>
      <c r="X297" s="140"/>
      <c r="Y297" s="140"/>
      <c r="Z297" s="140"/>
      <c r="AA297" s="140"/>
      <c r="AB297" s="140"/>
      <c r="AC297" s="140"/>
      <c r="AD297" s="140"/>
      <c r="AE297" s="140"/>
      <c r="AF297" s="140"/>
      <c r="AG297" s="140"/>
      <c r="AH297" s="140"/>
      <c r="AI297" s="140"/>
      <c r="AJ297" s="140"/>
      <c r="AK297" s="140"/>
      <c r="AL297" s="140"/>
      <c r="AM297" s="140"/>
      <c r="AN297" s="140"/>
      <c r="AO297" s="140"/>
      <c r="AP297" s="140"/>
      <c r="AQ297" s="140"/>
      <c r="AR297" s="140"/>
      <c r="AS297" s="140"/>
      <c r="AT297" s="140"/>
      <c r="AU297" s="140"/>
      <c r="AV297" s="140"/>
      <c r="AW297" s="140"/>
      <c r="AX297" s="140"/>
      <c r="AY297" s="140"/>
      <c r="AZ297" s="140"/>
      <c r="BA297" s="140"/>
      <c r="BB297" s="140"/>
      <c r="BC297" s="140"/>
      <c r="BD297" s="140"/>
      <c r="BE297" s="140"/>
    </row>
    <row r="298">
      <c r="A298" s="108"/>
      <c r="B298" s="107"/>
      <c r="C298" s="107"/>
      <c r="D298" s="107"/>
      <c r="E298" s="107"/>
      <c r="F298" s="107"/>
      <c r="G298" s="208"/>
      <c r="H298" s="131"/>
      <c r="I298" s="211"/>
      <c r="J298" s="107"/>
      <c r="K298" s="202"/>
      <c r="L298" s="107"/>
      <c r="M298" s="107"/>
      <c r="N298" s="206"/>
      <c r="O298" s="108" t="b">
        <v>0</v>
      </c>
      <c r="P298" s="207"/>
      <c r="Q298" s="140"/>
      <c r="R298" s="140"/>
      <c r="S298" s="140"/>
      <c r="T298" s="140"/>
      <c r="U298" s="140"/>
      <c r="V298" s="140"/>
      <c r="W298" s="140"/>
      <c r="X298" s="140"/>
      <c r="Y298" s="140"/>
      <c r="Z298" s="140"/>
      <c r="AA298" s="140"/>
      <c r="AB298" s="140"/>
      <c r="AC298" s="140"/>
      <c r="AD298" s="140"/>
      <c r="AE298" s="140"/>
      <c r="AF298" s="140"/>
      <c r="AG298" s="140"/>
      <c r="AH298" s="140"/>
      <c r="AI298" s="140"/>
      <c r="AJ298" s="140"/>
      <c r="AK298" s="140"/>
      <c r="AL298" s="140"/>
      <c r="AM298" s="140"/>
      <c r="AN298" s="140"/>
      <c r="AO298" s="140"/>
      <c r="AP298" s="140"/>
      <c r="AQ298" s="140"/>
      <c r="AR298" s="140"/>
      <c r="AS298" s="140"/>
      <c r="AT298" s="140"/>
      <c r="AU298" s="140"/>
      <c r="AV298" s="140"/>
      <c r="AW298" s="140"/>
      <c r="AX298" s="140"/>
      <c r="AY298" s="140"/>
      <c r="AZ298" s="140"/>
      <c r="BA298" s="140"/>
      <c r="BB298" s="140"/>
      <c r="BC298" s="140"/>
      <c r="BD298" s="140"/>
      <c r="BE298" s="140"/>
    </row>
    <row r="299">
      <c r="A299" s="108"/>
      <c r="B299" s="107"/>
      <c r="C299" s="107"/>
      <c r="D299" s="107"/>
      <c r="E299" s="107"/>
      <c r="F299" s="107"/>
      <c r="G299" s="208"/>
      <c r="H299" s="131"/>
      <c r="I299" s="211"/>
      <c r="J299" s="107"/>
      <c r="K299" s="202"/>
      <c r="L299" s="107"/>
      <c r="M299" s="107"/>
      <c r="N299" s="206"/>
      <c r="O299" s="108" t="b">
        <v>0</v>
      </c>
      <c r="P299" s="207"/>
      <c r="Q299" s="140"/>
      <c r="R299" s="140"/>
      <c r="S299" s="140"/>
      <c r="T299" s="140"/>
      <c r="U299" s="140"/>
      <c r="V299" s="140"/>
      <c r="W299" s="140"/>
      <c r="X299" s="140"/>
      <c r="Y299" s="140"/>
      <c r="Z299" s="140"/>
      <c r="AA299" s="140"/>
      <c r="AB299" s="140"/>
      <c r="AC299" s="140"/>
      <c r="AD299" s="140"/>
      <c r="AE299" s="140"/>
      <c r="AF299" s="140"/>
      <c r="AG299" s="140"/>
      <c r="AH299" s="140"/>
      <c r="AI299" s="140"/>
      <c r="AJ299" s="140"/>
      <c r="AK299" s="140"/>
      <c r="AL299" s="140"/>
      <c r="AM299" s="140"/>
      <c r="AN299" s="140"/>
      <c r="AO299" s="140"/>
      <c r="AP299" s="140"/>
      <c r="AQ299" s="140"/>
      <c r="AR299" s="140"/>
      <c r="AS299" s="140"/>
      <c r="AT299" s="140"/>
      <c r="AU299" s="140"/>
      <c r="AV299" s="140"/>
      <c r="AW299" s="140"/>
      <c r="AX299" s="140"/>
      <c r="AY299" s="140"/>
      <c r="AZ299" s="140"/>
      <c r="BA299" s="140"/>
      <c r="BB299" s="140"/>
      <c r="BC299" s="140"/>
      <c r="BD299" s="140"/>
      <c r="BE299" s="140"/>
    </row>
    <row r="300">
      <c r="A300" s="108"/>
      <c r="B300" s="107"/>
      <c r="C300" s="107"/>
      <c r="D300" s="107"/>
      <c r="E300" s="107"/>
      <c r="F300" s="107"/>
      <c r="G300" s="208"/>
      <c r="H300" s="131"/>
      <c r="I300" s="211"/>
      <c r="J300" s="107"/>
      <c r="K300" s="202"/>
      <c r="L300" s="107"/>
      <c r="M300" s="107"/>
      <c r="N300" s="206"/>
      <c r="O300" s="108" t="b">
        <v>0</v>
      </c>
      <c r="P300" s="207"/>
      <c r="Q300" s="140"/>
      <c r="R300" s="140"/>
      <c r="S300" s="140"/>
      <c r="T300" s="140"/>
      <c r="U300" s="140"/>
      <c r="V300" s="140"/>
      <c r="W300" s="140"/>
      <c r="X300" s="140"/>
      <c r="Y300" s="140"/>
      <c r="Z300" s="140"/>
      <c r="AA300" s="140"/>
      <c r="AB300" s="140"/>
      <c r="AC300" s="140"/>
      <c r="AD300" s="140"/>
      <c r="AE300" s="140"/>
      <c r="AF300" s="140"/>
      <c r="AG300" s="140"/>
      <c r="AH300" s="140"/>
      <c r="AI300" s="140"/>
      <c r="AJ300" s="140"/>
      <c r="AK300" s="140"/>
      <c r="AL300" s="140"/>
      <c r="AM300" s="140"/>
      <c r="AN300" s="140"/>
      <c r="AO300" s="140"/>
      <c r="AP300" s="140"/>
      <c r="AQ300" s="140"/>
      <c r="AR300" s="140"/>
      <c r="AS300" s="140"/>
      <c r="AT300" s="140"/>
      <c r="AU300" s="140"/>
      <c r="AV300" s="140"/>
      <c r="AW300" s="140"/>
      <c r="AX300" s="140"/>
      <c r="AY300" s="140"/>
      <c r="AZ300" s="140"/>
      <c r="BA300" s="140"/>
      <c r="BB300" s="140"/>
      <c r="BC300" s="140"/>
      <c r="BD300" s="140"/>
      <c r="BE300" s="140"/>
    </row>
    <row r="301">
      <c r="A301" s="108"/>
      <c r="B301" s="107"/>
      <c r="C301" s="107"/>
      <c r="D301" s="107"/>
      <c r="E301" s="107"/>
      <c r="F301" s="107"/>
      <c r="G301" s="208"/>
      <c r="H301" s="131"/>
      <c r="I301" s="211"/>
      <c r="J301" s="107"/>
      <c r="K301" s="202"/>
      <c r="L301" s="107"/>
      <c r="M301" s="107"/>
      <c r="N301" s="206"/>
      <c r="O301" s="108" t="b">
        <v>0</v>
      </c>
      <c r="P301" s="207"/>
      <c r="Q301" s="140"/>
      <c r="R301" s="140"/>
      <c r="S301" s="140"/>
      <c r="T301" s="140"/>
      <c r="U301" s="140"/>
      <c r="V301" s="140"/>
      <c r="W301" s="140"/>
      <c r="X301" s="140"/>
      <c r="Y301" s="140"/>
      <c r="Z301" s="140"/>
      <c r="AA301" s="140"/>
      <c r="AB301" s="140"/>
      <c r="AC301" s="140"/>
      <c r="AD301" s="140"/>
      <c r="AE301" s="140"/>
      <c r="AF301" s="140"/>
      <c r="AG301" s="140"/>
      <c r="AH301" s="140"/>
      <c r="AI301" s="140"/>
      <c r="AJ301" s="140"/>
      <c r="AK301" s="140"/>
      <c r="AL301" s="140"/>
      <c r="AM301" s="140"/>
      <c r="AN301" s="140"/>
      <c r="AO301" s="140"/>
      <c r="AP301" s="140"/>
      <c r="AQ301" s="140"/>
      <c r="AR301" s="140"/>
      <c r="AS301" s="140"/>
      <c r="AT301" s="140"/>
      <c r="AU301" s="140"/>
      <c r="AV301" s="140"/>
      <c r="AW301" s="140"/>
      <c r="AX301" s="140"/>
      <c r="AY301" s="140"/>
      <c r="AZ301" s="140"/>
      <c r="BA301" s="140"/>
      <c r="BB301" s="140"/>
      <c r="BC301" s="140"/>
      <c r="BD301" s="140"/>
      <c r="BE301" s="140"/>
    </row>
    <row r="302">
      <c r="A302" s="108"/>
      <c r="B302" s="107"/>
      <c r="C302" s="107"/>
      <c r="D302" s="107"/>
      <c r="E302" s="107"/>
      <c r="F302" s="107"/>
      <c r="G302" s="208"/>
      <c r="H302" s="131"/>
      <c r="I302" s="211"/>
      <c r="J302" s="107"/>
      <c r="K302" s="202"/>
      <c r="L302" s="107"/>
      <c r="M302" s="107"/>
      <c r="N302" s="206"/>
      <c r="O302" s="108" t="b">
        <v>0</v>
      </c>
      <c r="P302" s="207"/>
      <c r="Q302" s="140"/>
      <c r="R302" s="140"/>
      <c r="S302" s="140"/>
      <c r="T302" s="140"/>
      <c r="U302" s="140"/>
      <c r="V302" s="140"/>
      <c r="W302" s="140"/>
      <c r="X302" s="140"/>
      <c r="Y302" s="140"/>
      <c r="Z302" s="140"/>
      <c r="AA302" s="140"/>
      <c r="AB302" s="140"/>
      <c r="AC302" s="140"/>
      <c r="AD302" s="140"/>
      <c r="AE302" s="140"/>
      <c r="AF302" s="140"/>
      <c r="AG302" s="140"/>
      <c r="AH302" s="140"/>
      <c r="AI302" s="140"/>
      <c r="AJ302" s="140"/>
      <c r="AK302" s="140"/>
      <c r="AL302" s="140"/>
      <c r="AM302" s="140"/>
      <c r="AN302" s="140"/>
      <c r="AO302" s="140"/>
      <c r="AP302" s="140"/>
      <c r="AQ302" s="140"/>
      <c r="AR302" s="140"/>
      <c r="AS302" s="140"/>
      <c r="AT302" s="140"/>
      <c r="AU302" s="140"/>
      <c r="AV302" s="140"/>
      <c r="AW302" s="140"/>
      <c r="AX302" s="140"/>
      <c r="AY302" s="140"/>
      <c r="AZ302" s="140"/>
      <c r="BA302" s="140"/>
      <c r="BB302" s="140"/>
      <c r="BC302" s="140"/>
      <c r="BD302" s="140"/>
      <c r="BE302" s="140"/>
    </row>
    <row r="303">
      <c r="A303" s="108"/>
      <c r="B303" s="107"/>
      <c r="C303" s="107"/>
      <c r="D303" s="107"/>
      <c r="E303" s="107"/>
      <c r="F303" s="107"/>
      <c r="G303" s="208"/>
      <c r="H303" s="131"/>
      <c r="I303" s="211"/>
      <c r="J303" s="107"/>
      <c r="K303" s="202"/>
      <c r="L303" s="107"/>
      <c r="M303" s="107"/>
      <c r="N303" s="206"/>
      <c r="O303" s="108" t="b">
        <v>0</v>
      </c>
      <c r="P303" s="207"/>
      <c r="Q303" s="140"/>
      <c r="R303" s="140"/>
      <c r="S303" s="140"/>
      <c r="T303" s="140"/>
      <c r="U303" s="140"/>
      <c r="V303" s="140"/>
      <c r="W303" s="140"/>
      <c r="X303" s="140"/>
      <c r="Y303" s="140"/>
      <c r="Z303" s="140"/>
      <c r="AA303" s="140"/>
      <c r="AB303" s="140"/>
      <c r="AC303" s="140"/>
      <c r="AD303" s="140"/>
      <c r="AE303" s="140"/>
      <c r="AF303" s="140"/>
      <c r="AG303" s="140"/>
      <c r="AH303" s="140"/>
      <c r="AI303" s="140"/>
      <c r="AJ303" s="140"/>
      <c r="AK303" s="140"/>
      <c r="AL303" s="140"/>
      <c r="AM303" s="140"/>
      <c r="AN303" s="140"/>
      <c r="AO303" s="140"/>
      <c r="AP303" s="140"/>
      <c r="AQ303" s="140"/>
      <c r="AR303" s="140"/>
      <c r="AS303" s="140"/>
      <c r="AT303" s="140"/>
      <c r="AU303" s="140"/>
      <c r="AV303" s="140"/>
      <c r="AW303" s="140"/>
      <c r="AX303" s="140"/>
      <c r="AY303" s="140"/>
      <c r="AZ303" s="140"/>
      <c r="BA303" s="140"/>
      <c r="BB303" s="140"/>
      <c r="BC303" s="140"/>
      <c r="BD303" s="140"/>
      <c r="BE303" s="140"/>
    </row>
    <row r="304">
      <c r="A304" s="108"/>
      <c r="B304" s="107"/>
      <c r="C304" s="107"/>
      <c r="D304" s="107"/>
      <c r="E304" s="107"/>
      <c r="F304" s="107"/>
      <c r="G304" s="208"/>
      <c r="H304" s="131"/>
      <c r="I304" s="211"/>
      <c r="J304" s="107"/>
      <c r="K304" s="202"/>
      <c r="L304" s="107"/>
      <c r="M304" s="107"/>
      <c r="N304" s="206"/>
      <c r="O304" s="108" t="b">
        <v>0</v>
      </c>
      <c r="P304" s="207"/>
      <c r="Q304" s="140"/>
      <c r="R304" s="140"/>
      <c r="S304" s="140"/>
      <c r="T304" s="140"/>
      <c r="U304" s="140"/>
      <c r="V304" s="140"/>
      <c r="W304" s="140"/>
      <c r="X304" s="140"/>
      <c r="Y304" s="140"/>
      <c r="Z304" s="140"/>
      <c r="AA304" s="140"/>
      <c r="AB304" s="140"/>
      <c r="AC304" s="140"/>
      <c r="AD304" s="140"/>
      <c r="AE304" s="140"/>
      <c r="AF304" s="140"/>
      <c r="AG304" s="140"/>
      <c r="AH304" s="140"/>
      <c r="AI304" s="140"/>
      <c r="AJ304" s="140"/>
      <c r="AK304" s="140"/>
      <c r="AL304" s="140"/>
      <c r="AM304" s="140"/>
      <c r="AN304" s="140"/>
      <c r="AO304" s="140"/>
      <c r="AP304" s="140"/>
      <c r="AQ304" s="140"/>
      <c r="AR304" s="140"/>
      <c r="AS304" s="140"/>
      <c r="AT304" s="140"/>
      <c r="AU304" s="140"/>
      <c r="AV304" s="140"/>
      <c r="AW304" s="140"/>
      <c r="AX304" s="140"/>
      <c r="AY304" s="140"/>
      <c r="AZ304" s="140"/>
      <c r="BA304" s="140"/>
      <c r="BB304" s="140"/>
      <c r="BC304" s="140"/>
      <c r="BD304" s="140"/>
      <c r="BE304" s="140"/>
    </row>
    <row r="305">
      <c r="A305" s="108"/>
      <c r="B305" s="107"/>
      <c r="C305" s="107"/>
      <c r="D305" s="107"/>
      <c r="E305" s="107"/>
      <c r="F305" s="107"/>
      <c r="G305" s="208"/>
      <c r="H305" s="131"/>
      <c r="I305" s="211"/>
      <c r="J305" s="107"/>
      <c r="K305" s="202"/>
      <c r="L305" s="107"/>
      <c r="M305" s="107"/>
      <c r="N305" s="206"/>
      <c r="O305" s="108" t="b">
        <v>0</v>
      </c>
      <c r="P305" s="207"/>
      <c r="Q305" s="140"/>
      <c r="R305" s="140"/>
      <c r="S305" s="140"/>
      <c r="T305" s="140"/>
      <c r="U305" s="140"/>
      <c r="V305" s="140"/>
      <c r="W305" s="140"/>
      <c r="X305" s="140"/>
      <c r="Y305" s="140"/>
      <c r="Z305" s="140"/>
      <c r="AA305" s="140"/>
      <c r="AB305" s="140"/>
      <c r="AC305" s="140"/>
      <c r="AD305" s="140"/>
      <c r="AE305" s="140"/>
      <c r="AF305" s="140"/>
      <c r="AG305" s="140"/>
      <c r="AH305" s="140"/>
      <c r="AI305" s="140"/>
      <c r="AJ305" s="140"/>
      <c r="AK305" s="140"/>
      <c r="AL305" s="140"/>
      <c r="AM305" s="140"/>
      <c r="AN305" s="140"/>
      <c r="AO305" s="140"/>
      <c r="AP305" s="140"/>
      <c r="AQ305" s="140"/>
      <c r="AR305" s="140"/>
      <c r="AS305" s="140"/>
      <c r="AT305" s="140"/>
      <c r="AU305" s="140"/>
      <c r="AV305" s="140"/>
      <c r="AW305" s="140"/>
      <c r="AX305" s="140"/>
      <c r="AY305" s="140"/>
      <c r="AZ305" s="140"/>
      <c r="BA305" s="140"/>
      <c r="BB305" s="140"/>
      <c r="BC305" s="140"/>
      <c r="BD305" s="140"/>
      <c r="BE305" s="140"/>
    </row>
    <row r="306">
      <c r="A306" s="108"/>
      <c r="B306" s="107"/>
      <c r="C306" s="107"/>
      <c r="D306" s="107"/>
      <c r="E306" s="107"/>
      <c r="F306" s="107"/>
      <c r="G306" s="208"/>
      <c r="H306" s="131"/>
      <c r="I306" s="211"/>
      <c r="J306" s="107"/>
      <c r="K306" s="202"/>
      <c r="L306" s="107"/>
      <c r="M306" s="107"/>
      <c r="N306" s="206"/>
      <c r="O306" s="108" t="b">
        <v>0</v>
      </c>
      <c r="P306" s="207"/>
      <c r="Q306" s="140"/>
      <c r="R306" s="140"/>
      <c r="S306" s="140"/>
      <c r="T306" s="140"/>
      <c r="U306" s="140"/>
      <c r="V306" s="140"/>
      <c r="W306" s="140"/>
      <c r="X306" s="140"/>
      <c r="Y306" s="140"/>
      <c r="Z306" s="140"/>
      <c r="AA306" s="140"/>
      <c r="AB306" s="140"/>
      <c r="AC306" s="140"/>
      <c r="AD306" s="140"/>
      <c r="AE306" s="140"/>
      <c r="AF306" s="140"/>
      <c r="AG306" s="140"/>
      <c r="AH306" s="140"/>
      <c r="AI306" s="140"/>
      <c r="AJ306" s="140"/>
      <c r="AK306" s="140"/>
      <c r="AL306" s="140"/>
      <c r="AM306" s="140"/>
      <c r="AN306" s="140"/>
      <c r="AO306" s="140"/>
      <c r="AP306" s="140"/>
      <c r="AQ306" s="140"/>
      <c r="AR306" s="140"/>
      <c r="AS306" s="140"/>
      <c r="AT306" s="140"/>
      <c r="AU306" s="140"/>
      <c r="AV306" s="140"/>
      <c r="AW306" s="140"/>
      <c r="AX306" s="140"/>
      <c r="AY306" s="140"/>
      <c r="AZ306" s="140"/>
      <c r="BA306" s="140"/>
      <c r="BB306" s="140"/>
      <c r="BC306" s="140"/>
      <c r="BD306" s="140"/>
      <c r="BE306" s="140"/>
    </row>
    <row r="307">
      <c r="A307" s="108"/>
      <c r="B307" s="107"/>
      <c r="C307" s="107"/>
      <c r="D307" s="107"/>
      <c r="E307" s="107"/>
      <c r="F307" s="107"/>
      <c r="G307" s="208"/>
      <c r="H307" s="131"/>
      <c r="I307" s="211"/>
      <c r="J307" s="107"/>
      <c r="K307" s="202"/>
      <c r="L307" s="107"/>
      <c r="M307" s="107"/>
      <c r="N307" s="206"/>
      <c r="O307" s="108" t="b">
        <v>0</v>
      </c>
      <c r="P307" s="207"/>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row>
    <row r="308">
      <c r="A308" s="108"/>
      <c r="B308" s="107"/>
      <c r="C308" s="107"/>
      <c r="D308" s="107"/>
      <c r="E308" s="107"/>
      <c r="F308" s="107"/>
      <c r="G308" s="208"/>
      <c r="H308" s="131"/>
      <c r="I308" s="211"/>
      <c r="J308" s="107"/>
      <c r="K308" s="202"/>
      <c r="L308" s="107"/>
      <c r="M308" s="107"/>
      <c r="N308" s="206"/>
      <c r="O308" s="108" t="b">
        <v>0</v>
      </c>
      <c r="P308" s="207"/>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row>
    <row r="309">
      <c r="A309" s="108"/>
      <c r="B309" s="107"/>
      <c r="C309" s="107"/>
      <c r="D309" s="107"/>
      <c r="E309" s="107"/>
      <c r="F309" s="107"/>
      <c r="G309" s="208"/>
      <c r="H309" s="131"/>
      <c r="I309" s="211"/>
      <c r="J309" s="107"/>
      <c r="K309" s="202"/>
      <c r="L309" s="107"/>
      <c r="M309" s="107"/>
      <c r="N309" s="206"/>
      <c r="O309" s="108" t="b">
        <v>0</v>
      </c>
      <c r="P309" s="207"/>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row>
    <row r="310">
      <c r="A310" s="108"/>
      <c r="B310" s="107"/>
      <c r="C310" s="107"/>
      <c r="D310" s="107"/>
      <c r="E310" s="107"/>
      <c r="F310" s="107"/>
      <c r="G310" s="208"/>
      <c r="H310" s="131"/>
      <c r="I310" s="211"/>
      <c r="J310" s="107"/>
      <c r="K310" s="202"/>
      <c r="L310" s="107"/>
      <c r="M310" s="107"/>
      <c r="N310" s="206"/>
      <c r="O310" s="108" t="b">
        <v>0</v>
      </c>
      <c r="P310" s="207"/>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row>
    <row r="311">
      <c r="A311" s="108"/>
      <c r="B311" s="107"/>
      <c r="C311" s="107"/>
      <c r="D311" s="107"/>
      <c r="E311" s="107"/>
      <c r="F311" s="107"/>
      <c r="G311" s="208"/>
      <c r="H311" s="131"/>
      <c r="I311" s="211"/>
      <c r="J311" s="107"/>
      <c r="K311" s="202"/>
      <c r="L311" s="107"/>
      <c r="M311" s="107"/>
      <c r="N311" s="206"/>
      <c r="O311" s="108" t="b">
        <v>0</v>
      </c>
      <c r="P311" s="207"/>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row>
    <row r="312">
      <c r="A312" s="108"/>
      <c r="B312" s="107"/>
      <c r="C312" s="107"/>
      <c r="D312" s="107"/>
      <c r="E312" s="107"/>
      <c r="F312" s="107"/>
      <c r="G312" s="208"/>
      <c r="H312" s="131"/>
      <c r="I312" s="211"/>
      <c r="J312" s="107"/>
      <c r="K312" s="202"/>
      <c r="L312" s="107"/>
      <c r="M312" s="107"/>
      <c r="N312" s="206"/>
      <c r="O312" s="108" t="b">
        <v>0</v>
      </c>
      <c r="P312" s="207"/>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row>
    <row r="313">
      <c r="A313" s="108"/>
      <c r="B313" s="107"/>
      <c r="C313" s="107"/>
      <c r="D313" s="107"/>
      <c r="E313" s="107"/>
      <c r="F313" s="107"/>
      <c r="G313" s="208"/>
      <c r="H313" s="131"/>
      <c r="I313" s="211"/>
      <c r="J313" s="107"/>
      <c r="K313" s="202"/>
      <c r="L313" s="107"/>
      <c r="M313" s="107"/>
      <c r="N313" s="206"/>
      <c r="O313" s="108" t="b">
        <v>0</v>
      </c>
      <c r="P313" s="207"/>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c r="AO313" s="140"/>
      <c r="AP313" s="140"/>
      <c r="AQ313" s="140"/>
      <c r="AR313" s="140"/>
      <c r="AS313" s="140"/>
      <c r="AT313" s="140"/>
      <c r="AU313" s="140"/>
      <c r="AV313" s="140"/>
      <c r="AW313" s="140"/>
      <c r="AX313" s="140"/>
      <c r="AY313" s="140"/>
      <c r="AZ313" s="140"/>
      <c r="BA313" s="140"/>
      <c r="BB313" s="140"/>
      <c r="BC313" s="140"/>
      <c r="BD313" s="140"/>
      <c r="BE313" s="140"/>
    </row>
    <row r="314">
      <c r="A314" s="108"/>
      <c r="B314" s="107"/>
      <c r="C314" s="107"/>
      <c r="D314" s="107"/>
      <c r="E314" s="107"/>
      <c r="F314" s="107"/>
      <c r="G314" s="208"/>
      <c r="H314" s="131"/>
      <c r="I314" s="211"/>
      <c r="J314" s="107"/>
      <c r="K314" s="202"/>
      <c r="L314" s="107"/>
      <c r="M314" s="107"/>
      <c r="N314" s="206"/>
      <c r="O314" s="108" t="b">
        <v>0</v>
      </c>
      <c r="P314" s="207"/>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c r="AO314" s="140"/>
      <c r="AP314" s="140"/>
      <c r="AQ314" s="140"/>
      <c r="AR314" s="140"/>
      <c r="AS314" s="140"/>
      <c r="AT314" s="140"/>
      <c r="AU314" s="140"/>
      <c r="AV314" s="140"/>
      <c r="AW314" s="140"/>
      <c r="AX314" s="140"/>
      <c r="AY314" s="140"/>
      <c r="AZ314" s="140"/>
      <c r="BA314" s="140"/>
      <c r="BB314" s="140"/>
      <c r="BC314" s="140"/>
      <c r="BD314" s="140"/>
      <c r="BE314" s="140"/>
    </row>
    <row r="315">
      <c r="A315" s="108"/>
      <c r="B315" s="107"/>
      <c r="C315" s="107"/>
      <c r="D315" s="107"/>
      <c r="E315" s="107"/>
      <c r="F315" s="107"/>
      <c r="G315" s="208"/>
      <c r="H315" s="131"/>
      <c r="I315" s="211"/>
      <c r="J315" s="107"/>
      <c r="K315" s="202"/>
      <c r="L315" s="107"/>
      <c r="M315" s="107"/>
      <c r="N315" s="206"/>
      <c r="O315" s="108" t="b">
        <v>0</v>
      </c>
      <c r="P315" s="207"/>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c r="AO315" s="140"/>
      <c r="AP315" s="140"/>
      <c r="AQ315" s="140"/>
      <c r="AR315" s="140"/>
      <c r="AS315" s="140"/>
      <c r="AT315" s="140"/>
      <c r="AU315" s="140"/>
      <c r="AV315" s="140"/>
      <c r="AW315" s="140"/>
      <c r="AX315" s="140"/>
      <c r="AY315" s="140"/>
      <c r="AZ315" s="140"/>
      <c r="BA315" s="140"/>
      <c r="BB315" s="140"/>
      <c r="BC315" s="140"/>
      <c r="BD315" s="140"/>
      <c r="BE315" s="140"/>
    </row>
    <row r="316">
      <c r="A316" s="108"/>
      <c r="B316" s="107"/>
      <c r="C316" s="107"/>
      <c r="D316" s="107"/>
      <c r="E316" s="107"/>
      <c r="F316" s="107"/>
      <c r="G316" s="208"/>
      <c r="H316" s="131"/>
      <c r="I316" s="211"/>
      <c r="J316" s="107"/>
      <c r="K316" s="202"/>
      <c r="L316" s="107"/>
      <c r="M316" s="107"/>
      <c r="N316" s="206"/>
      <c r="O316" s="108" t="b">
        <v>0</v>
      </c>
      <c r="P316" s="207"/>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c r="AO316" s="140"/>
      <c r="AP316" s="140"/>
      <c r="AQ316" s="140"/>
      <c r="AR316" s="140"/>
      <c r="AS316" s="140"/>
      <c r="AT316" s="140"/>
      <c r="AU316" s="140"/>
      <c r="AV316" s="140"/>
      <c r="AW316" s="140"/>
      <c r="AX316" s="140"/>
      <c r="AY316" s="140"/>
      <c r="AZ316" s="140"/>
      <c r="BA316" s="140"/>
      <c r="BB316" s="140"/>
      <c r="BC316" s="140"/>
      <c r="BD316" s="140"/>
      <c r="BE316" s="140"/>
    </row>
    <row r="317">
      <c r="A317" s="108"/>
      <c r="B317" s="107"/>
      <c r="C317" s="107"/>
      <c r="D317" s="107"/>
      <c r="E317" s="107"/>
      <c r="F317" s="107"/>
      <c r="G317" s="208"/>
      <c r="H317" s="131"/>
      <c r="I317" s="211"/>
      <c r="J317" s="107"/>
      <c r="K317" s="202"/>
      <c r="L317" s="107"/>
      <c r="M317" s="107"/>
      <c r="N317" s="206"/>
      <c r="O317" s="108" t="b">
        <v>0</v>
      </c>
      <c r="P317" s="207"/>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c r="AO317" s="140"/>
      <c r="AP317" s="140"/>
      <c r="AQ317" s="140"/>
      <c r="AR317" s="140"/>
      <c r="AS317" s="140"/>
      <c r="AT317" s="140"/>
      <c r="AU317" s="140"/>
      <c r="AV317" s="140"/>
      <c r="AW317" s="140"/>
      <c r="AX317" s="140"/>
      <c r="AY317" s="140"/>
      <c r="AZ317" s="140"/>
      <c r="BA317" s="140"/>
      <c r="BB317" s="140"/>
      <c r="BC317" s="140"/>
      <c r="BD317" s="140"/>
      <c r="BE317" s="140"/>
    </row>
    <row r="318">
      <c r="A318" s="108"/>
      <c r="B318" s="107"/>
      <c r="C318" s="107"/>
      <c r="D318" s="107"/>
      <c r="E318" s="107"/>
      <c r="F318" s="107"/>
      <c r="G318" s="208"/>
      <c r="H318" s="131"/>
      <c r="I318" s="211"/>
      <c r="J318" s="107"/>
      <c r="K318" s="202"/>
      <c r="L318" s="107"/>
      <c r="M318" s="107"/>
      <c r="N318" s="206"/>
      <c r="O318" s="108" t="b">
        <v>0</v>
      </c>
      <c r="P318" s="207"/>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c r="AO318" s="140"/>
      <c r="AP318" s="140"/>
      <c r="AQ318" s="140"/>
      <c r="AR318" s="140"/>
      <c r="AS318" s="140"/>
      <c r="AT318" s="140"/>
      <c r="AU318" s="140"/>
      <c r="AV318" s="140"/>
      <c r="AW318" s="140"/>
      <c r="AX318" s="140"/>
      <c r="AY318" s="140"/>
      <c r="AZ318" s="140"/>
      <c r="BA318" s="140"/>
      <c r="BB318" s="140"/>
      <c r="BC318" s="140"/>
      <c r="BD318" s="140"/>
      <c r="BE318" s="140"/>
    </row>
    <row r="319">
      <c r="A319" s="108"/>
      <c r="B319" s="107"/>
      <c r="C319" s="107"/>
      <c r="D319" s="107"/>
      <c r="E319" s="107"/>
      <c r="F319" s="107"/>
      <c r="G319" s="208"/>
      <c r="H319" s="131"/>
      <c r="I319" s="211"/>
      <c r="J319" s="107"/>
      <c r="K319" s="202"/>
      <c r="L319" s="107"/>
      <c r="M319" s="107"/>
      <c r="N319" s="206"/>
      <c r="O319" s="108" t="b">
        <v>0</v>
      </c>
      <c r="P319" s="207"/>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c r="AO319" s="140"/>
      <c r="AP319" s="140"/>
      <c r="AQ319" s="140"/>
      <c r="AR319" s="140"/>
      <c r="AS319" s="140"/>
      <c r="AT319" s="140"/>
      <c r="AU319" s="140"/>
      <c r="AV319" s="140"/>
      <c r="AW319" s="140"/>
      <c r="AX319" s="140"/>
      <c r="AY319" s="140"/>
      <c r="AZ319" s="140"/>
      <c r="BA319" s="140"/>
      <c r="BB319" s="140"/>
      <c r="BC319" s="140"/>
      <c r="BD319" s="140"/>
      <c r="BE319" s="140"/>
    </row>
    <row r="320">
      <c r="A320" s="108"/>
      <c r="B320" s="107"/>
      <c r="C320" s="107"/>
      <c r="D320" s="107"/>
      <c r="E320" s="107"/>
      <c r="F320" s="107"/>
      <c r="G320" s="208"/>
      <c r="H320" s="131"/>
      <c r="I320" s="211"/>
      <c r="J320" s="107"/>
      <c r="K320" s="202"/>
      <c r="L320" s="107"/>
      <c r="M320" s="107"/>
      <c r="N320" s="206"/>
      <c r="O320" s="108" t="b">
        <v>0</v>
      </c>
      <c r="P320" s="207"/>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c r="AO320" s="140"/>
      <c r="AP320" s="140"/>
      <c r="AQ320" s="140"/>
      <c r="AR320" s="140"/>
      <c r="AS320" s="140"/>
      <c r="AT320" s="140"/>
      <c r="AU320" s="140"/>
      <c r="AV320" s="140"/>
      <c r="AW320" s="140"/>
      <c r="AX320" s="140"/>
      <c r="AY320" s="140"/>
      <c r="AZ320" s="140"/>
      <c r="BA320" s="140"/>
      <c r="BB320" s="140"/>
      <c r="BC320" s="140"/>
      <c r="BD320" s="140"/>
      <c r="BE320" s="140"/>
    </row>
    <row r="321">
      <c r="A321" s="108"/>
      <c r="B321" s="107"/>
      <c r="C321" s="107"/>
      <c r="D321" s="107"/>
      <c r="E321" s="107"/>
      <c r="F321" s="107"/>
      <c r="G321" s="208"/>
      <c r="H321" s="131"/>
      <c r="I321" s="211"/>
      <c r="J321" s="107"/>
      <c r="K321" s="202"/>
      <c r="L321" s="107"/>
      <c r="M321" s="107"/>
      <c r="N321" s="206"/>
      <c r="O321" s="108" t="b">
        <v>0</v>
      </c>
      <c r="P321" s="207"/>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c r="AO321" s="140"/>
      <c r="AP321" s="140"/>
      <c r="AQ321" s="140"/>
      <c r="AR321" s="140"/>
      <c r="AS321" s="140"/>
      <c r="AT321" s="140"/>
      <c r="AU321" s="140"/>
      <c r="AV321" s="140"/>
      <c r="AW321" s="140"/>
      <c r="AX321" s="140"/>
      <c r="AY321" s="140"/>
      <c r="AZ321" s="140"/>
      <c r="BA321" s="140"/>
      <c r="BB321" s="140"/>
      <c r="BC321" s="140"/>
      <c r="BD321" s="140"/>
      <c r="BE321" s="140"/>
    </row>
    <row r="322">
      <c r="A322" s="108"/>
      <c r="B322" s="107"/>
      <c r="C322" s="107"/>
      <c r="D322" s="107"/>
      <c r="E322" s="107"/>
      <c r="F322" s="107"/>
      <c r="G322" s="208"/>
      <c r="H322" s="131"/>
      <c r="I322" s="211"/>
      <c r="J322" s="107"/>
      <c r="K322" s="202"/>
      <c r="L322" s="107"/>
      <c r="M322" s="107"/>
      <c r="N322" s="206"/>
      <c r="O322" s="108" t="b">
        <v>0</v>
      </c>
      <c r="P322" s="207"/>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c r="AO322" s="140"/>
      <c r="AP322" s="140"/>
      <c r="AQ322" s="140"/>
      <c r="AR322" s="140"/>
      <c r="AS322" s="140"/>
      <c r="AT322" s="140"/>
      <c r="AU322" s="140"/>
      <c r="AV322" s="140"/>
      <c r="AW322" s="140"/>
      <c r="AX322" s="140"/>
      <c r="AY322" s="140"/>
      <c r="AZ322" s="140"/>
      <c r="BA322" s="140"/>
      <c r="BB322" s="140"/>
      <c r="BC322" s="140"/>
      <c r="BD322" s="140"/>
      <c r="BE322" s="140"/>
    </row>
    <row r="323">
      <c r="A323" s="108"/>
      <c r="B323" s="107"/>
      <c r="C323" s="107"/>
      <c r="D323" s="107"/>
      <c r="E323" s="107"/>
      <c r="F323" s="107"/>
      <c r="G323" s="208"/>
      <c r="H323" s="131"/>
      <c r="I323" s="211"/>
      <c r="J323" s="107"/>
      <c r="K323" s="202"/>
      <c r="L323" s="107"/>
      <c r="M323" s="107"/>
      <c r="N323" s="206"/>
      <c r="O323" s="108" t="b">
        <v>0</v>
      </c>
      <c r="P323" s="207"/>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c r="AO323" s="140"/>
      <c r="AP323" s="140"/>
      <c r="AQ323" s="140"/>
      <c r="AR323" s="140"/>
      <c r="AS323" s="140"/>
      <c r="AT323" s="140"/>
      <c r="AU323" s="140"/>
      <c r="AV323" s="140"/>
      <c r="AW323" s="140"/>
      <c r="AX323" s="140"/>
      <c r="AY323" s="140"/>
      <c r="AZ323" s="140"/>
      <c r="BA323" s="140"/>
      <c r="BB323" s="140"/>
      <c r="BC323" s="140"/>
      <c r="BD323" s="140"/>
      <c r="BE323" s="140"/>
    </row>
    <row r="324">
      <c r="A324" s="108"/>
      <c r="B324" s="107"/>
      <c r="C324" s="107"/>
      <c r="D324" s="107"/>
      <c r="E324" s="107"/>
      <c r="F324" s="107"/>
      <c r="G324" s="208"/>
      <c r="H324" s="131"/>
      <c r="I324" s="211"/>
      <c r="J324" s="107"/>
      <c r="K324" s="202"/>
      <c r="L324" s="107"/>
      <c r="M324" s="107"/>
      <c r="N324" s="206"/>
      <c r="O324" s="108" t="b">
        <v>0</v>
      </c>
      <c r="P324" s="207"/>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c r="AO324" s="140"/>
      <c r="AP324" s="140"/>
      <c r="AQ324" s="140"/>
      <c r="AR324" s="140"/>
      <c r="AS324" s="140"/>
      <c r="AT324" s="140"/>
      <c r="AU324" s="140"/>
      <c r="AV324" s="140"/>
      <c r="AW324" s="140"/>
      <c r="AX324" s="140"/>
      <c r="AY324" s="140"/>
      <c r="AZ324" s="140"/>
      <c r="BA324" s="140"/>
      <c r="BB324" s="140"/>
      <c r="BC324" s="140"/>
      <c r="BD324" s="140"/>
      <c r="BE324" s="140"/>
    </row>
    <row r="325">
      <c r="A325" s="108"/>
      <c r="B325" s="107"/>
      <c r="C325" s="107"/>
      <c r="D325" s="107"/>
      <c r="E325" s="107"/>
      <c r="F325" s="107"/>
      <c r="G325" s="208"/>
      <c r="H325" s="131"/>
      <c r="I325" s="211"/>
      <c r="J325" s="107"/>
      <c r="K325" s="202"/>
      <c r="L325" s="107"/>
      <c r="M325" s="107"/>
      <c r="N325" s="206"/>
      <c r="O325" s="108" t="b">
        <v>0</v>
      </c>
      <c r="P325" s="207"/>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c r="AO325" s="140"/>
      <c r="AP325" s="140"/>
      <c r="AQ325" s="140"/>
      <c r="AR325" s="140"/>
      <c r="AS325" s="140"/>
      <c r="AT325" s="140"/>
      <c r="AU325" s="140"/>
      <c r="AV325" s="140"/>
      <c r="AW325" s="140"/>
      <c r="AX325" s="140"/>
      <c r="AY325" s="140"/>
      <c r="AZ325" s="140"/>
      <c r="BA325" s="140"/>
      <c r="BB325" s="140"/>
      <c r="BC325" s="140"/>
      <c r="BD325" s="140"/>
      <c r="BE325" s="140"/>
    </row>
    <row r="326">
      <c r="A326" s="108"/>
      <c r="B326" s="107"/>
      <c r="C326" s="107"/>
      <c r="D326" s="107"/>
      <c r="E326" s="107"/>
      <c r="F326" s="107"/>
      <c r="G326" s="208"/>
      <c r="H326" s="131"/>
      <c r="I326" s="211"/>
      <c r="J326" s="107"/>
      <c r="K326" s="202"/>
      <c r="L326" s="107"/>
      <c r="M326" s="107"/>
      <c r="N326" s="206"/>
      <c r="O326" s="108" t="b">
        <v>0</v>
      </c>
      <c r="P326" s="207"/>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c r="AO326" s="140"/>
      <c r="AP326" s="140"/>
      <c r="AQ326" s="140"/>
      <c r="AR326" s="140"/>
      <c r="AS326" s="140"/>
      <c r="AT326" s="140"/>
      <c r="AU326" s="140"/>
      <c r="AV326" s="140"/>
      <c r="AW326" s="140"/>
      <c r="AX326" s="140"/>
      <c r="AY326" s="140"/>
      <c r="AZ326" s="140"/>
      <c r="BA326" s="140"/>
      <c r="BB326" s="140"/>
      <c r="BC326" s="140"/>
      <c r="BD326" s="140"/>
      <c r="BE326" s="140"/>
    </row>
    <row r="327">
      <c r="A327" s="108"/>
      <c r="B327" s="107"/>
      <c r="C327" s="107"/>
      <c r="D327" s="107"/>
      <c r="E327" s="107"/>
      <c r="F327" s="107"/>
      <c r="G327" s="208"/>
      <c r="H327" s="131"/>
      <c r="I327" s="211"/>
      <c r="J327" s="107"/>
      <c r="K327" s="202"/>
      <c r="L327" s="107"/>
      <c r="M327" s="107"/>
      <c r="N327" s="206"/>
      <c r="O327" s="108" t="b">
        <v>0</v>
      </c>
      <c r="P327" s="207"/>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c r="AO327" s="140"/>
      <c r="AP327" s="140"/>
      <c r="AQ327" s="140"/>
      <c r="AR327" s="140"/>
      <c r="AS327" s="140"/>
      <c r="AT327" s="140"/>
      <c r="AU327" s="140"/>
      <c r="AV327" s="140"/>
      <c r="AW327" s="140"/>
      <c r="AX327" s="140"/>
      <c r="AY327" s="140"/>
      <c r="AZ327" s="140"/>
      <c r="BA327" s="140"/>
      <c r="BB327" s="140"/>
      <c r="BC327" s="140"/>
      <c r="BD327" s="140"/>
      <c r="BE327" s="140"/>
    </row>
    <row r="328">
      <c r="A328" s="108"/>
      <c r="B328" s="107"/>
      <c r="C328" s="107"/>
      <c r="D328" s="107"/>
      <c r="E328" s="107"/>
      <c r="F328" s="107"/>
      <c r="G328" s="208"/>
      <c r="H328" s="131"/>
      <c r="I328" s="211"/>
      <c r="J328" s="107"/>
      <c r="K328" s="202"/>
      <c r="L328" s="107"/>
      <c r="M328" s="107"/>
      <c r="N328" s="206"/>
      <c r="O328" s="108" t="b">
        <v>0</v>
      </c>
      <c r="P328" s="207"/>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c r="AO328" s="140"/>
      <c r="AP328" s="140"/>
      <c r="AQ328" s="140"/>
      <c r="AR328" s="140"/>
      <c r="AS328" s="140"/>
      <c r="AT328" s="140"/>
      <c r="AU328" s="140"/>
      <c r="AV328" s="140"/>
      <c r="AW328" s="140"/>
      <c r="AX328" s="140"/>
      <c r="AY328" s="140"/>
      <c r="AZ328" s="140"/>
      <c r="BA328" s="140"/>
      <c r="BB328" s="140"/>
      <c r="BC328" s="140"/>
      <c r="BD328" s="140"/>
      <c r="BE328" s="140"/>
    </row>
    <row r="329">
      <c r="A329" s="108"/>
      <c r="B329" s="107"/>
      <c r="C329" s="107"/>
      <c r="D329" s="107"/>
      <c r="E329" s="107"/>
      <c r="F329" s="107"/>
      <c r="G329" s="208"/>
      <c r="H329" s="131"/>
      <c r="I329" s="211"/>
      <c r="J329" s="107"/>
      <c r="K329" s="202"/>
      <c r="L329" s="107"/>
      <c r="M329" s="107"/>
      <c r="N329" s="206"/>
      <c r="O329" s="108" t="b">
        <v>0</v>
      </c>
      <c r="P329" s="207"/>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c r="AO329" s="140"/>
      <c r="AP329" s="140"/>
      <c r="AQ329" s="140"/>
      <c r="AR329" s="140"/>
      <c r="AS329" s="140"/>
      <c r="AT329" s="140"/>
      <c r="AU329" s="140"/>
      <c r="AV329" s="140"/>
      <c r="AW329" s="140"/>
      <c r="AX329" s="140"/>
      <c r="AY329" s="140"/>
      <c r="AZ329" s="140"/>
      <c r="BA329" s="140"/>
      <c r="BB329" s="140"/>
      <c r="BC329" s="140"/>
      <c r="BD329" s="140"/>
      <c r="BE329" s="140"/>
    </row>
    <row r="330">
      <c r="A330" s="108"/>
      <c r="B330" s="107"/>
      <c r="C330" s="107"/>
      <c r="D330" s="107"/>
      <c r="E330" s="107"/>
      <c r="F330" s="107"/>
      <c r="G330" s="208"/>
      <c r="H330" s="131"/>
      <c r="I330" s="211"/>
      <c r="J330" s="107"/>
      <c r="K330" s="202"/>
      <c r="L330" s="107"/>
      <c r="M330" s="107"/>
      <c r="N330" s="206"/>
      <c r="O330" s="108" t="b">
        <v>0</v>
      </c>
      <c r="P330" s="207"/>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c r="AO330" s="140"/>
      <c r="AP330" s="140"/>
      <c r="AQ330" s="140"/>
      <c r="AR330" s="140"/>
      <c r="AS330" s="140"/>
      <c r="AT330" s="140"/>
      <c r="AU330" s="140"/>
      <c r="AV330" s="140"/>
      <c r="AW330" s="140"/>
      <c r="AX330" s="140"/>
      <c r="AY330" s="140"/>
      <c r="AZ330" s="140"/>
      <c r="BA330" s="140"/>
      <c r="BB330" s="140"/>
      <c r="BC330" s="140"/>
      <c r="BD330" s="140"/>
      <c r="BE330" s="140"/>
    </row>
    <row r="331">
      <c r="A331" s="108"/>
      <c r="B331" s="107"/>
      <c r="C331" s="107"/>
      <c r="D331" s="107"/>
      <c r="E331" s="107"/>
      <c r="F331" s="107"/>
      <c r="G331" s="208"/>
      <c r="H331" s="131"/>
      <c r="I331" s="211"/>
      <c r="J331" s="107"/>
      <c r="K331" s="202"/>
      <c r="L331" s="107"/>
      <c r="M331" s="107"/>
      <c r="N331" s="206"/>
      <c r="O331" s="108" t="b">
        <v>0</v>
      </c>
      <c r="P331" s="207"/>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c r="BB331" s="140"/>
      <c r="BC331" s="140"/>
      <c r="BD331" s="140"/>
      <c r="BE331" s="140"/>
    </row>
    <row r="332">
      <c r="A332" s="108"/>
      <c r="B332" s="107"/>
      <c r="C332" s="107"/>
      <c r="D332" s="107"/>
      <c r="E332" s="107"/>
      <c r="F332" s="107"/>
      <c r="G332" s="208"/>
      <c r="H332" s="131"/>
      <c r="I332" s="211"/>
      <c r="J332" s="107"/>
      <c r="K332" s="202"/>
      <c r="L332" s="107"/>
      <c r="M332" s="107"/>
      <c r="N332" s="206"/>
      <c r="O332" s="108" t="b">
        <v>0</v>
      </c>
      <c r="P332" s="207"/>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c r="AO332" s="140"/>
      <c r="AP332" s="140"/>
      <c r="AQ332" s="140"/>
      <c r="AR332" s="140"/>
      <c r="AS332" s="140"/>
      <c r="AT332" s="140"/>
      <c r="AU332" s="140"/>
      <c r="AV332" s="140"/>
      <c r="AW332" s="140"/>
      <c r="AX332" s="140"/>
      <c r="AY332" s="140"/>
      <c r="AZ332" s="140"/>
      <c r="BA332" s="140"/>
      <c r="BB332" s="140"/>
      <c r="BC332" s="140"/>
      <c r="BD332" s="140"/>
      <c r="BE332" s="140"/>
    </row>
    <row r="333">
      <c r="A333" s="108"/>
      <c r="B333" s="107"/>
      <c r="C333" s="107"/>
      <c r="D333" s="107"/>
      <c r="E333" s="107"/>
      <c r="F333" s="107"/>
      <c r="G333" s="208"/>
      <c r="H333" s="131"/>
      <c r="I333" s="211"/>
      <c r="J333" s="107"/>
      <c r="K333" s="202"/>
      <c r="L333" s="107"/>
      <c r="M333" s="107"/>
      <c r="N333" s="206"/>
      <c r="O333" s="108" t="b">
        <v>0</v>
      </c>
      <c r="P333" s="207"/>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c r="AO333" s="140"/>
      <c r="AP333" s="140"/>
      <c r="AQ333" s="140"/>
      <c r="AR333" s="140"/>
      <c r="AS333" s="140"/>
      <c r="AT333" s="140"/>
      <c r="AU333" s="140"/>
      <c r="AV333" s="140"/>
      <c r="AW333" s="140"/>
      <c r="AX333" s="140"/>
      <c r="AY333" s="140"/>
      <c r="AZ333" s="140"/>
      <c r="BA333" s="140"/>
      <c r="BB333" s="140"/>
      <c r="BC333" s="140"/>
      <c r="BD333" s="140"/>
      <c r="BE333" s="140"/>
    </row>
    <row r="334">
      <c r="A334" s="108"/>
      <c r="B334" s="107"/>
      <c r="C334" s="107"/>
      <c r="D334" s="107"/>
      <c r="E334" s="107"/>
      <c r="F334" s="107"/>
      <c r="G334" s="208"/>
      <c r="H334" s="131"/>
      <c r="I334" s="211"/>
      <c r="J334" s="107"/>
      <c r="K334" s="202"/>
      <c r="L334" s="107"/>
      <c r="M334" s="107"/>
      <c r="N334" s="206"/>
      <c r="O334" s="108" t="b">
        <v>0</v>
      </c>
      <c r="P334" s="207"/>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c r="AO334" s="140"/>
      <c r="AP334" s="140"/>
      <c r="AQ334" s="140"/>
      <c r="AR334" s="140"/>
      <c r="AS334" s="140"/>
      <c r="AT334" s="140"/>
      <c r="AU334" s="140"/>
      <c r="AV334" s="140"/>
      <c r="AW334" s="140"/>
      <c r="AX334" s="140"/>
      <c r="AY334" s="140"/>
      <c r="AZ334" s="140"/>
      <c r="BA334" s="140"/>
      <c r="BB334" s="140"/>
      <c r="BC334" s="140"/>
      <c r="BD334" s="140"/>
      <c r="BE334" s="140"/>
    </row>
    <row r="335">
      <c r="A335" s="108"/>
      <c r="B335" s="107"/>
      <c r="C335" s="107"/>
      <c r="D335" s="107"/>
      <c r="E335" s="107"/>
      <c r="F335" s="107"/>
      <c r="G335" s="208"/>
      <c r="H335" s="131"/>
      <c r="I335" s="211"/>
      <c r="J335" s="107"/>
      <c r="K335" s="202"/>
      <c r="L335" s="107"/>
      <c r="M335" s="107"/>
      <c r="N335" s="206"/>
      <c r="O335" s="108" t="b">
        <v>0</v>
      </c>
      <c r="P335" s="207"/>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c r="AO335" s="140"/>
      <c r="AP335" s="140"/>
      <c r="AQ335" s="140"/>
      <c r="AR335" s="140"/>
      <c r="AS335" s="140"/>
      <c r="AT335" s="140"/>
      <c r="AU335" s="140"/>
      <c r="AV335" s="140"/>
      <c r="AW335" s="140"/>
      <c r="AX335" s="140"/>
      <c r="AY335" s="140"/>
      <c r="AZ335" s="140"/>
      <c r="BA335" s="140"/>
      <c r="BB335" s="140"/>
      <c r="BC335" s="140"/>
      <c r="BD335" s="140"/>
      <c r="BE335" s="140"/>
    </row>
    <row r="336">
      <c r="A336" s="108"/>
      <c r="B336" s="107"/>
      <c r="C336" s="107"/>
      <c r="D336" s="107"/>
      <c r="E336" s="107"/>
      <c r="F336" s="107"/>
      <c r="G336" s="208"/>
      <c r="H336" s="131"/>
      <c r="I336" s="211"/>
      <c r="J336" s="107"/>
      <c r="K336" s="202"/>
      <c r="L336" s="107"/>
      <c r="M336" s="107"/>
      <c r="N336" s="206"/>
      <c r="O336" s="108" t="b">
        <v>0</v>
      </c>
      <c r="P336" s="207"/>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c r="AO336" s="140"/>
      <c r="AP336" s="140"/>
      <c r="AQ336" s="140"/>
      <c r="AR336" s="140"/>
      <c r="AS336" s="140"/>
      <c r="AT336" s="140"/>
      <c r="AU336" s="140"/>
      <c r="AV336" s="140"/>
      <c r="AW336" s="140"/>
      <c r="AX336" s="140"/>
      <c r="AY336" s="140"/>
      <c r="AZ336" s="140"/>
      <c r="BA336" s="140"/>
      <c r="BB336" s="140"/>
      <c r="BC336" s="140"/>
      <c r="BD336" s="140"/>
      <c r="BE336" s="140"/>
    </row>
    <row r="337">
      <c r="A337" s="108"/>
      <c r="B337" s="107"/>
      <c r="C337" s="107"/>
      <c r="D337" s="107"/>
      <c r="E337" s="107"/>
      <c r="F337" s="107"/>
      <c r="G337" s="208"/>
      <c r="H337" s="131"/>
      <c r="I337" s="211"/>
      <c r="J337" s="107"/>
      <c r="K337" s="202"/>
      <c r="L337" s="107"/>
      <c r="M337" s="107"/>
      <c r="N337" s="206"/>
      <c r="O337" s="108" t="b">
        <v>0</v>
      </c>
      <c r="P337" s="207"/>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c r="AO337" s="140"/>
      <c r="AP337" s="140"/>
      <c r="AQ337" s="140"/>
      <c r="AR337" s="140"/>
      <c r="AS337" s="140"/>
      <c r="AT337" s="140"/>
      <c r="AU337" s="140"/>
      <c r="AV337" s="140"/>
      <c r="AW337" s="140"/>
      <c r="AX337" s="140"/>
      <c r="AY337" s="140"/>
      <c r="AZ337" s="140"/>
      <c r="BA337" s="140"/>
      <c r="BB337" s="140"/>
      <c r="BC337" s="140"/>
      <c r="BD337" s="140"/>
      <c r="BE337" s="140"/>
    </row>
    <row r="338">
      <c r="A338" s="108"/>
      <c r="B338" s="107"/>
      <c r="C338" s="107"/>
      <c r="D338" s="107"/>
      <c r="E338" s="107"/>
      <c r="F338" s="107"/>
      <c r="G338" s="208"/>
      <c r="H338" s="131"/>
      <c r="I338" s="211"/>
      <c r="J338" s="107"/>
      <c r="K338" s="202"/>
      <c r="L338" s="107"/>
      <c r="M338" s="107"/>
      <c r="N338" s="206"/>
      <c r="O338" s="108" t="b">
        <v>0</v>
      </c>
      <c r="P338" s="207"/>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c r="AO338" s="140"/>
      <c r="AP338" s="140"/>
      <c r="AQ338" s="140"/>
      <c r="AR338" s="140"/>
      <c r="AS338" s="140"/>
      <c r="AT338" s="140"/>
      <c r="AU338" s="140"/>
      <c r="AV338" s="140"/>
      <c r="AW338" s="140"/>
      <c r="AX338" s="140"/>
      <c r="AY338" s="140"/>
      <c r="AZ338" s="140"/>
      <c r="BA338" s="140"/>
      <c r="BB338" s="140"/>
      <c r="BC338" s="140"/>
      <c r="BD338" s="140"/>
      <c r="BE338" s="140"/>
    </row>
    <row r="339">
      <c r="A339" s="108"/>
      <c r="B339" s="107"/>
      <c r="C339" s="107"/>
      <c r="D339" s="107"/>
      <c r="E339" s="107"/>
      <c r="F339" s="107"/>
      <c r="G339" s="208"/>
      <c r="H339" s="131"/>
      <c r="I339" s="211"/>
      <c r="J339" s="107"/>
      <c r="K339" s="202"/>
      <c r="L339" s="107"/>
      <c r="M339" s="107"/>
      <c r="N339" s="206"/>
      <c r="O339" s="108" t="b">
        <v>0</v>
      </c>
      <c r="P339" s="207"/>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0"/>
      <c r="BC339" s="140"/>
      <c r="BD339" s="140"/>
      <c r="BE339" s="140"/>
    </row>
    <row r="340">
      <c r="A340" s="108"/>
      <c r="B340" s="107"/>
      <c r="C340" s="107"/>
      <c r="D340" s="107"/>
      <c r="E340" s="107"/>
      <c r="F340" s="107"/>
      <c r="G340" s="208"/>
      <c r="H340" s="131"/>
      <c r="I340" s="211"/>
      <c r="J340" s="107"/>
      <c r="K340" s="202"/>
      <c r="L340" s="107"/>
      <c r="M340" s="107"/>
      <c r="N340" s="206"/>
      <c r="O340" s="108" t="b">
        <v>0</v>
      </c>
      <c r="P340" s="207"/>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c r="AO340" s="140"/>
      <c r="AP340" s="140"/>
      <c r="AQ340" s="140"/>
      <c r="AR340" s="140"/>
      <c r="AS340" s="140"/>
      <c r="AT340" s="140"/>
      <c r="AU340" s="140"/>
      <c r="AV340" s="140"/>
      <c r="AW340" s="140"/>
      <c r="AX340" s="140"/>
      <c r="AY340" s="140"/>
      <c r="AZ340" s="140"/>
      <c r="BA340" s="140"/>
      <c r="BB340" s="140"/>
      <c r="BC340" s="140"/>
      <c r="BD340" s="140"/>
      <c r="BE340" s="140"/>
    </row>
    <row r="341">
      <c r="A341" s="108"/>
      <c r="B341" s="107"/>
      <c r="C341" s="107"/>
      <c r="D341" s="107"/>
      <c r="E341" s="107"/>
      <c r="F341" s="107"/>
      <c r="G341" s="208"/>
      <c r="H341" s="131"/>
      <c r="I341" s="211"/>
      <c r="J341" s="107"/>
      <c r="K341" s="202"/>
      <c r="L341" s="107"/>
      <c r="M341" s="107"/>
      <c r="N341" s="206"/>
      <c r="O341" s="108" t="b">
        <v>0</v>
      </c>
      <c r="P341" s="207"/>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c r="AO341" s="140"/>
      <c r="AP341" s="140"/>
      <c r="AQ341" s="140"/>
      <c r="AR341" s="140"/>
      <c r="AS341" s="140"/>
      <c r="AT341" s="140"/>
      <c r="AU341" s="140"/>
      <c r="AV341" s="140"/>
      <c r="AW341" s="140"/>
      <c r="AX341" s="140"/>
      <c r="AY341" s="140"/>
      <c r="AZ341" s="140"/>
      <c r="BA341" s="140"/>
      <c r="BB341" s="140"/>
      <c r="BC341" s="140"/>
      <c r="BD341" s="140"/>
      <c r="BE341" s="140"/>
    </row>
    <row r="342">
      <c r="A342" s="108"/>
      <c r="B342" s="107"/>
      <c r="C342" s="107"/>
      <c r="D342" s="107"/>
      <c r="E342" s="107"/>
      <c r="F342" s="107"/>
      <c r="G342" s="208"/>
      <c r="H342" s="131"/>
      <c r="I342" s="211"/>
      <c r="J342" s="107"/>
      <c r="K342" s="202"/>
      <c r="L342" s="107"/>
      <c r="M342" s="107"/>
      <c r="N342" s="206"/>
      <c r="O342" s="108" t="b">
        <v>0</v>
      </c>
      <c r="P342" s="207"/>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c r="BB342" s="140"/>
      <c r="BC342" s="140"/>
      <c r="BD342" s="140"/>
      <c r="BE342" s="140"/>
    </row>
    <row r="343">
      <c r="A343" s="108"/>
      <c r="B343" s="107"/>
      <c r="C343" s="107"/>
      <c r="D343" s="107"/>
      <c r="E343" s="107"/>
      <c r="F343" s="107"/>
      <c r="G343" s="208"/>
      <c r="H343" s="131"/>
      <c r="I343" s="211"/>
      <c r="J343" s="107"/>
      <c r="K343" s="202"/>
      <c r="L343" s="107"/>
      <c r="M343" s="107"/>
      <c r="N343" s="206"/>
      <c r="O343" s="108" t="b">
        <v>0</v>
      </c>
      <c r="P343" s="207"/>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c r="AO343" s="140"/>
      <c r="AP343" s="140"/>
      <c r="AQ343" s="140"/>
      <c r="AR343" s="140"/>
      <c r="AS343" s="140"/>
      <c r="AT343" s="140"/>
      <c r="AU343" s="140"/>
      <c r="AV343" s="140"/>
      <c r="AW343" s="140"/>
      <c r="AX343" s="140"/>
      <c r="AY343" s="140"/>
      <c r="AZ343" s="140"/>
      <c r="BA343" s="140"/>
      <c r="BB343" s="140"/>
      <c r="BC343" s="140"/>
      <c r="BD343" s="140"/>
      <c r="BE343" s="140"/>
    </row>
    <row r="344">
      <c r="A344" s="108"/>
      <c r="B344" s="107"/>
      <c r="C344" s="107"/>
      <c r="D344" s="107"/>
      <c r="E344" s="107"/>
      <c r="F344" s="107"/>
      <c r="G344" s="208"/>
      <c r="H344" s="131"/>
      <c r="I344" s="211"/>
      <c r="J344" s="107"/>
      <c r="K344" s="202"/>
      <c r="L344" s="107"/>
      <c r="M344" s="107"/>
      <c r="N344" s="206"/>
      <c r="O344" s="108" t="b">
        <v>0</v>
      </c>
      <c r="P344" s="207"/>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140"/>
      <c r="BC344" s="140"/>
      <c r="BD344" s="140"/>
      <c r="BE344" s="140"/>
    </row>
    <row r="345">
      <c r="A345" s="108"/>
      <c r="B345" s="107"/>
      <c r="C345" s="107"/>
      <c r="D345" s="107"/>
      <c r="E345" s="107"/>
      <c r="F345" s="107"/>
      <c r="G345" s="208"/>
      <c r="H345" s="131"/>
      <c r="I345" s="211"/>
      <c r="J345" s="107"/>
      <c r="K345" s="202"/>
      <c r="L345" s="107"/>
      <c r="M345" s="107"/>
      <c r="N345" s="206"/>
      <c r="O345" s="108" t="b">
        <v>0</v>
      </c>
      <c r="P345" s="207"/>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c r="AO345" s="140"/>
      <c r="AP345" s="140"/>
      <c r="AQ345" s="140"/>
      <c r="AR345" s="140"/>
      <c r="AS345" s="140"/>
      <c r="AT345" s="140"/>
      <c r="AU345" s="140"/>
      <c r="AV345" s="140"/>
      <c r="AW345" s="140"/>
      <c r="AX345" s="140"/>
      <c r="AY345" s="140"/>
      <c r="AZ345" s="140"/>
      <c r="BA345" s="140"/>
      <c r="BB345" s="140"/>
      <c r="BC345" s="140"/>
      <c r="BD345" s="140"/>
      <c r="BE345" s="140"/>
    </row>
    <row r="346">
      <c r="A346" s="108"/>
      <c r="B346" s="107"/>
      <c r="C346" s="107"/>
      <c r="D346" s="107"/>
      <c r="E346" s="107"/>
      <c r="F346" s="107"/>
      <c r="G346" s="208"/>
      <c r="H346" s="131"/>
      <c r="I346" s="211"/>
      <c r="J346" s="107"/>
      <c r="K346" s="202"/>
      <c r="L346" s="107"/>
      <c r="M346" s="107"/>
      <c r="N346" s="206"/>
      <c r="O346" s="108" t="b">
        <v>0</v>
      </c>
      <c r="P346" s="207"/>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c r="AO346" s="140"/>
      <c r="AP346" s="140"/>
      <c r="AQ346" s="140"/>
      <c r="AR346" s="140"/>
      <c r="AS346" s="140"/>
      <c r="AT346" s="140"/>
      <c r="AU346" s="140"/>
      <c r="AV346" s="140"/>
      <c r="AW346" s="140"/>
      <c r="AX346" s="140"/>
      <c r="AY346" s="140"/>
      <c r="AZ346" s="140"/>
      <c r="BA346" s="140"/>
      <c r="BB346" s="140"/>
      <c r="BC346" s="140"/>
      <c r="BD346" s="140"/>
      <c r="BE346" s="140"/>
    </row>
    <row r="347">
      <c r="A347" s="108"/>
      <c r="B347" s="107"/>
      <c r="C347" s="107"/>
      <c r="D347" s="107"/>
      <c r="E347" s="107"/>
      <c r="F347" s="107"/>
      <c r="G347" s="208"/>
      <c r="H347" s="131"/>
      <c r="I347" s="211"/>
      <c r="J347" s="107"/>
      <c r="K347" s="202"/>
      <c r="L347" s="107"/>
      <c r="M347" s="107"/>
      <c r="N347" s="206"/>
      <c r="O347" s="108" t="b">
        <v>0</v>
      </c>
      <c r="P347" s="207"/>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c r="AO347" s="140"/>
      <c r="AP347" s="140"/>
      <c r="AQ347" s="140"/>
      <c r="AR347" s="140"/>
      <c r="AS347" s="140"/>
      <c r="AT347" s="140"/>
      <c r="AU347" s="140"/>
      <c r="AV347" s="140"/>
      <c r="AW347" s="140"/>
      <c r="AX347" s="140"/>
      <c r="AY347" s="140"/>
      <c r="AZ347" s="140"/>
      <c r="BA347" s="140"/>
      <c r="BB347" s="140"/>
      <c r="BC347" s="140"/>
      <c r="BD347" s="140"/>
      <c r="BE347" s="140"/>
    </row>
    <row r="348">
      <c r="A348" s="108"/>
      <c r="B348" s="107"/>
      <c r="C348" s="107"/>
      <c r="D348" s="107"/>
      <c r="E348" s="107"/>
      <c r="F348" s="107"/>
      <c r="G348" s="208"/>
      <c r="H348" s="131"/>
      <c r="I348" s="211"/>
      <c r="J348" s="107"/>
      <c r="K348" s="202"/>
      <c r="L348" s="107"/>
      <c r="M348" s="107"/>
      <c r="N348" s="206"/>
      <c r="O348" s="108" t="b">
        <v>0</v>
      </c>
      <c r="P348" s="207"/>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c r="AO348" s="140"/>
      <c r="AP348" s="140"/>
      <c r="AQ348" s="140"/>
      <c r="AR348" s="140"/>
      <c r="AS348" s="140"/>
      <c r="AT348" s="140"/>
      <c r="AU348" s="140"/>
      <c r="AV348" s="140"/>
      <c r="AW348" s="140"/>
      <c r="AX348" s="140"/>
      <c r="AY348" s="140"/>
      <c r="AZ348" s="140"/>
      <c r="BA348" s="140"/>
      <c r="BB348" s="140"/>
      <c r="BC348" s="140"/>
      <c r="BD348" s="140"/>
      <c r="BE348" s="140"/>
    </row>
    <row r="349">
      <c r="A349" s="108"/>
      <c r="B349" s="107"/>
      <c r="C349" s="107"/>
      <c r="D349" s="107"/>
      <c r="E349" s="107"/>
      <c r="F349" s="107"/>
      <c r="G349" s="208"/>
      <c r="H349" s="131"/>
      <c r="I349" s="211"/>
      <c r="J349" s="107"/>
      <c r="K349" s="202"/>
      <c r="L349" s="107"/>
      <c r="M349" s="107"/>
      <c r="N349" s="206"/>
      <c r="O349" s="108" t="b">
        <v>0</v>
      </c>
      <c r="P349" s="207"/>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c r="AO349" s="140"/>
      <c r="AP349" s="140"/>
      <c r="AQ349" s="140"/>
      <c r="AR349" s="140"/>
      <c r="AS349" s="140"/>
      <c r="AT349" s="140"/>
      <c r="AU349" s="140"/>
      <c r="AV349" s="140"/>
      <c r="AW349" s="140"/>
      <c r="AX349" s="140"/>
      <c r="AY349" s="140"/>
      <c r="AZ349" s="140"/>
      <c r="BA349" s="140"/>
      <c r="BB349" s="140"/>
      <c r="BC349" s="140"/>
      <c r="BD349" s="140"/>
      <c r="BE349" s="140"/>
    </row>
    <row r="350">
      <c r="A350" s="108"/>
      <c r="B350" s="107"/>
      <c r="C350" s="107"/>
      <c r="D350" s="107"/>
      <c r="E350" s="107"/>
      <c r="F350" s="107"/>
      <c r="G350" s="208"/>
      <c r="H350" s="131"/>
      <c r="I350" s="211"/>
      <c r="J350" s="107"/>
      <c r="K350" s="202"/>
      <c r="L350" s="107"/>
      <c r="M350" s="107"/>
      <c r="N350" s="206"/>
      <c r="O350" s="108" t="b">
        <v>0</v>
      </c>
      <c r="P350" s="207"/>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c r="AO350" s="140"/>
      <c r="AP350" s="140"/>
      <c r="AQ350" s="140"/>
      <c r="AR350" s="140"/>
      <c r="AS350" s="140"/>
      <c r="AT350" s="140"/>
      <c r="AU350" s="140"/>
      <c r="AV350" s="140"/>
      <c r="AW350" s="140"/>
      <c r="AX350" s="140"/>
      <c r="AY350" s="140"/>
      <c r="AZ350" s="140"/>
      <c r="BA350" s="140"/>
      <c r="BB350" s="140"/>
      <c r="BC350" s="140"/>
      <c r="BD350" s="140"/>
      <c r="BE350" s="140"/>
    </row>
    <row r="351">
      <c r="A351" s="108"/>
      <c r="B351" s="107"/>
      <c r="C351" s="107"/>
      <c r="D351" s="107"/>
      <c r="E351" s="107"/>
      <c r="F351" s="107"/>
      <c r="G351" s="208"/>
      <c r="H351" s="131"/>
      <c r="I351" s="211"/>
      <c r="J351" s="107"/>
      <c r="K351" s="202"/>
      <c r="L351" s="107"/>
      <c r="M351" s="107"/>
      <c r="N351" s="206"/>
      <c r="O351" s="108" t="b">
        <v>0</v>
      </c>
      <c r="P351" s="207"/>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c r="AO351" s="140"/>
      <c r="AP351" s="140"/>
      <c r="AQ351" s="140"/>
      <c r="AR351" s="140"/>
      <c r="AS351" s="140"/>
      <c r="AT351" s="140"/>
      <c r="AU351" s="140"/>
      <c r="AV351" s="140"/>
      <c r="AW351" s="140"/>
      <c r="AX351" s="140"/>
      <c r="AY351" s="140"/>
      <c r="AZ351" s="140"/>
      <c r="BA351" s="140"/>
      <c r="BB351" s="140"/>
      <c r="BC351" s="140"/>
      <c r="BD351" s="140"/>
      <c r="BE351" s="140"/>
    </row>
    <row r="352">
      <c r="A352" s="108"/>
      <c r="B352" s="107"/>
      <c r="C352" s="107"/>
      <c r="D352" s="107"/>
      <c r="E352" s="107"/>
      <c r="F352" s="107"/>
      <c r="G352" s="208"/>
      <c r="H352" s="131"/>
      <c r="I352" s="211"/>
      <c r="J352" s="107"/>
      <c r="K352" s="202"/>
      <c r="L352" s="107"/>
      <c r="M352" s="107"/>
      <c r="N352" s="206"/>
      <c r="O352" s="108" t="b">
        <v>0</v>
      </c>
      <c r="P352" s="207"/>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c r="AO352" s="140"/>
      <c r="AP352" s="140"/>
      <c r="AQ352" s="140"/>
      <c r="AR352" s="140"/>
      <c r="AS352" s="140"/>
      <c r="AT352" s="140"/>
      <c r="AU352" s="140"/>
      <c r="AV352" s="140"/>
      <c r="AW352" s="140"/>
      <c r="AX352" s="140"/>
      <c r="AY352" s="140"/>
      <c r="AZ352" s="140"/>
      <c r="BA352" s="140"/>
      <c r="BB352" s="140"/>
      <c r="BC352" s="140"/>
      <c r="BD352" s="140"/>
      <c r="BE352" s="140"/>
    </row>
    <row r="353">
      <c r="A353" s="108"/>
      <c r="B353" s="107"/>
      <c r="C353" s="107"/>
      <c r="D353" s="107"/>
      <c r="E353" s="107"/>
      <c r="F353" s="107"/>
      <c r="G353" s="208"/>
      <c r="H353" s="131"/>
      <c r="I353" s="211"/>
      <c r="J353" s="107"/>
      <c r="K353" s="202"/>
      <c r="L353" s="107"/>
      <c r="M353" s="107"/>
      <c r="N353" s="206"/>
      <c r="O353" s="108" t="b">
        <v>0</v>
      </c>
      <c r="P353" s="207"/>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c r="AO353" s="140"/>
      <c r="AP353" s="140"/>
      <c r="AQ353" s="140"/>
      <c r="AR353" s="140"/>
      <c r="AS353" s="140"/>
      <c r="AT353" s="140"/>
      <c r="AU353" s="140"/>
      <c r="AV353" s="140"/>
      <c r="AW353" s="140"/>
      <c r="AX353" s="140"/>
      <c r="AY353" s="140"/>
      <c r="AZ353" s="140"/>
      <c r="BA353" s="140"/>
      <c r="BB353" s="140"/>
      <c r="BC353" s="140"/>
      <c r="BD353" s="140"/>
      <c r="BE353" s="140"/>
    </row>
    <row r="354">
      <c r="A354" s="108"/>
      <c r="B354" s="107"/>
      <c r="C354" s="107"/>
      <c r="D354" s="107"/>
      <c r="E354" s="107"/>
      <c r="F354" s="107"/>
      <c r="G354" s="208"/>
      <c r="H354" s="131"/>
      <c r="I354" s="211"/>
      <c r="J354" s="107"/>
      <c r="K354" s="202"/>
      <c r="L354" s="107"/>
      <c r="M354" s="107"/>
      <c r="N354" s="206"/>
      <c r="O354" s="108" t="b">
        <v>0</v>
      </c>
      <c r="P354" s="207"/>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c r="AO354" s="140"/>
      <c r="AP354" s="140"/>
      <c r="AQ354" s="140"/>
      <c r="AR354" s="140"/>
      <c r="AS354" s="140"/>
      <c r="AT354" s="140"/>
      <c r="AU354" s="140"/>
      <c r="AV354" s="140"/>
      <c r="AW354" s="140"/>
      <c r="AX354" s="140"/>
      <c r="AY354" s="140"/>
      <c r="AZ354" s="140"/>
      <c r="BA354" s="140"/>
      <c r="BB354" s="140"/>
      <c r="BC354" s="140"/>
      <c r="BD354" s="140"/>
      <c r="BE354" s="140"/>
    </row>
    <row r="355">
      <c r="A355" s="108"/>
      <c r="B355" s="107"/>
      <c r="C355" s="107"/>
      <c r="D355" s="107"/>
      <c r="E355" s="107"/>
      <c r="F355" s="107"/>
      <c r="G355" s="208"/>
      <c r="H355" s="131"/>
      <c r="I355" s="211"/>
      <c r="J355" s="107"/>
      <c r="K355" s="202"/>
      <c r="L355" s="107"/>
      <c r="M355" s="107"/>
      <c r="N355" s="206"/>
      <c r="O355" s="108" t="b">
        <v>0</v>
      </c>
      <c r="P355" s="207"/>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c r="AO355" s="140"/>
      <c r="AP355" s="140"/>
      <c r="AQ355" s="140"/>
      <c r="AR355" s="140"/>
      <c r="AS355" s="140"/>
      <c r="AT355" s="140"/>
      <c r="AU355" s="140"/>
      <c r="AV355" s="140"/>
      <c r="AW355" s="140"/>
      <c r="AX355" s="140"/>
      <c r="AY355" s="140"/>
      <c r="AZ355" s="140"/>
      <c r="BA355" s="140"/>
      <c r="BB355" s="140"/>
      <c r="BC355" s="140"/>
      <c r="BD355" s="140"/>
      <c r="BE355" s="140"/>
    </row>
    <row r="356">
      <c r="A356" s="108"/>
      <c r="B356" s="107"/>
      <c r="C356" s="107"/>
      <c r="D356" s="107"/>
      <c r="E356" s="107"/>
      <c r="F356" s="107"/>
      <c r="G356" s="208"/>
      <c r="H356" s="131"/>
      <c r="I356" s="211"/>
      <c r="J356" s="107"/>
      <c r="K356" s="202"/>
      <c r="L356" s="107"/>
      <c r="M356" s="107"/>
      <c r="N356" s="206"/>
      <c r="O356" s="108" t="b">
        <v>0</v>
      </c>
      <c r="P356" s="207"/>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c r="AO356" s="140"/>
      <c r="AP356" s="140"/>
      <c r="AQ356" s="140"/>
      <c r="AR356" s="140"/>
      <c r="AS356" s="140"/>
      <c r="AT356" s="140"/>
      <c r="AU356" s="140"/>
      <c r="AV356" s="140"/>
      <c r="AW356" s="140"/>
      <c r="AX356" s="140"/>
      <c r="AY356" s="140"/>
      <c r="AZ356" s="140"/>
      <c r="BA356" s="140"/>
      <c r="BB356" s="140"/>
      <c r="BC356" s="140"/>
      <c r="BD356" s="140"/>
      <c r="BE356" s="140"/>
    </row>
    <row r="357">
      <c r="A357" s="108"/>
      <c r="B357" s="107"/>
      <c r="C357" s="107"/>
      <c r="D357" s="107"/>
      <c r="E357" s="107"/>
      <c r="F357" s="107"/>
      <c r="G357" s="208"/>
      <c r="H357" s="131"/>
      <c r="I357" s="211"/>
      <c r="J357" s="107"/>
      <c r="K357" s="202"/>
      <c r="L357" s="107"/>
      <c r="M357" s="107"/>
      <c r="N357" s="206"/>
      <c r="O357" s="108" t="b">
        <v>0</v>
      </c>
      <c r="P357" s="207"/>
      <c r="Q357" s="140"/>
      <c r="R357" s="140"/>
      <c r="S357" s="140"/>
      <c r="T357" s="140"/>
      <c r="U357" s="140"/>
      <c r="V357" s="140"/>
      <c r="W357" s="140"/>
      <c r="X357" s="140"/>
      <c r="Y357" s="140"/>
      <c r="Z357" s="140"/>
      <c r="AA357" s="140"/>
      <c r="AB357" s="140"/>
      <c r="AC357" s="140"/>
      <c r="AD357" s="140"/>
      <c r="AE357" s="140"/>
      <c r="AF357" s="140"/>
      <c r="AG357" s="140"/>
      <c r="AH357" s="140"/>
      <c r="AI357" s="140"/>
      <c r="AJ357" s="140"/>
      <c r="AK357" s="140"/>
      <c r="AL357" s="140"/>
      <c r="AM357" s="140"/>
      <c r="AN357" s="140"/>
      <c r="AO357" s="140"/>
      <c r="AP357" s="140"/>
      <c r="AQ357" s="140"/>
      <c r="AR357" s="140"/>
      <c r="AS357" s="140"/>
      <c r="AT357" s="140"/>
      <c r="AU357" s="140"/>
      <c r="AV357" s="140"/>
      <c r="AW357" s="140"/>
      <c r="AX357" s="140"/>
      <c r="AY357" s="140"/>
      <c r="AZ357" s="140"/>
      <c r="BA357" s="140"/>
      <c r="BB357" s="140"/>
      <c r="BC357" s="140"/>
      <c r="BD357" s="140"/>
      <c r="BE357" s="140"/>
    </row>
    <row r="358">
      <c r="A358" s="108"/>
      <c r="B358" s="107"/>
      <c r="C358" s="107"/>
      <c r="D358" s="107"/>
      <c r="E358" s="107"/>
      <c r="F358" s="107"/>
      <c r="G358" s="208"/>
      <c r="H358" s="131"/>
      <c r="I358" s="211"/>
      <c r="J358" s="107"/>
      <c r="K358" s="202"/>
      <c r="L358" s="107"/>
      <c r="M358" s="107"/>
      <c r="N358" s="206"/>
      <c r="O358" s="108" t="b">
        <v>0</v>
      </c>
      <c r="P358" s="207"/>
      <c r="Q358" s="140"/>
      <c r="R358" s="140"/>
      <c r="S358" s="140"/>
      <c r="T358" s="140"/>
      <c r="U358" s="140"/>
      <c r="V358" s="140"/>
      <c r="W358" s="140"/>
      <c r="X358" s="140"/>
      <c r="Y358" s="140"/>
      <c r="Z358" s="140"/>
      <c r="AA358" s="140"/>
      <c r="AB358" s="140"/>
      <c r="AC358" s="140"/>
      <c r="AD358" s="140"/>
      <c r="AE358" s="140"/>
      <c r="AF358" s="140"/>
      <c r="AG358" s="140"/>
      <c r="AH358" s="140"/>
      <c r="AI358" s="140"/>
      <c r="AJ358" s="140"/>
      <c r="AK358" s="140"/>
      <c r="AL358" s="140"/>
      <c r="AM358" s="140"/>
      <c r="AN358" s="140"/>
      <c r="AO358" s="140"/>
      <c r="AP358" s="140"/>
      <c r="AQ358" s="140"/>
      <c r="AR358" s="140"/>
      <c r="AS358" s="140"/>
      <c r="AT358" s="140"/>
      <c r="AU358" s="140"/>
      <c r="AV358" s="140"/>
      <c r="AW358" s="140"/>
      <c r="AX358" s="140"/>
      <c r="AY358" s="140"/>
      <c r="AZ358" s="140"/>
      <c r="BA358" s="140"/>
      <c r="BB358" s="140"/>
      <c r="BC358" s="140"/>
      <c r="BD358" s="140"/>
      <c r="BE358" s="140"/>
    </row>
    <row r="359">
      <c r="A359" s="108"/>
      <c r="B359" s="107"/>
      <c r="C359" s="107"/>
      <c r="D359" s="107"/>
      <c r="E359" s="107"/>
      <c r="F359" s="107"/>
      <c r="G359" s="208"/>
      <c r="H359" s="131"/>
      <c r="I359" s="211"/>
      <c r="J359" s="107"/>
      <c r="K359" s="202"/>
      <c r="L359" s="107"/>
      <c r="M359" s="107"/>
      <c r="N359" s="206"/>
      <c r="O359" s="108" t="b">
        <v>0</v>
      </c>
      <c r="P359" s="207"/>
      <c r="Q359" s="140"/>
      <c r="R359" s="140"/>
      <c r="S359" s="140"/>
      <c r="T359" s="140"/>
      <c r="U359" s="140"/>
      <c r="V359" s="140"/>
      <c r="W359" s="140"/>
      <c r="X359" s="140"/>
      <c r="Y359" s="140"/>
      <c r="Z359" s="140"/>
      <c r="AA359" s="140"/>
      <c r="AB359" s="140"/>
      <c r="AC359" s="140"/>
      <c r="AD359" s="140"/>
      <c r="AE359" s="140"/>
      <c r="AF359" s="140"/>
      <c r="AG359" s="140"/>
      <c r="AH359" s="140"/>
      <c r="AI359" s="140"/>
      <c r="AJ359" s="140"/>
      <c r="AK359" s="140"/>
      <c r="AL359" s="140"/>
      <c r="AM359" s="140"/>
      <c r="AN359" s="140"/>
      <c r="AO359" s="140"/>
      <c r="AP359" s="140"/>
      <c r="AQ359" s="140"/>
      <c r="AR359" s="140"/>
      <c r="AS359" s="140"/>
      <c r="AT359" s="140"/>
      <c r="AU359" s="140"/>
      <c r="AV359" s="140"/>
      <c r="AW359" s="140"/>
      <c r="AX359" s="140"/>
      <c r="AY359" s="140"/>
      <c r="AZ359" s="140"/>
      <c r="BA359" s="140"/>
      <c r="BB359" s="140"/>
      <c r="BC359" s="140"/>
      <c r="BD359" s="140"/>
      <c r="BE359" s="140"/>
    </row>
    <row r="360">
      <c r="A360" s="108"/>
      <c r="B360" s="107"/>
      <c r="C360" s="107"/>
      <c r="D360" s="107"/>
      <c r="E360" s="107"/>
      <c r="F360" s="107"/>
      <c r="G360" s="208"/>
      <c r="H360" s="131"/>
      <c r="I360" s="211"/>
      <c r="J360" s="107"/>
      <c r="K360" s="202"/>
      <c r="L360" s="107"/>
      <c r="M360" s="107"/>
      <c r="N360" s="206"/>
      <c r="O360" s="108" t="b">
        <v>0</v>
      </c>
      <c r="P360" s="207"/>
      <c r="Q360" s="140"/>
      <c r="R360" s="140"/>
      <c r="S360" s="140"/>
      <c r="T360" s="140"/>
      <c r="U360" s="140"/>
      <c r="V360" s="140"/>
      <c r="W360" s="140"/>
      <c r="X360" s="140"/>
      <c r="Y360" s="140"/>
      <c r="Z360" s="140"/>
      <c r="AA360" s="140"/>
      <c r="AB360" s="140"/>
      <c r="AC360" s="140"/>
      <c r="AD360" s="140"/>
      <c r="AE360" s="140"/>
      <c r="AF360" s="140"/>
      <c r="AG360" s="140"/>
      <c r="AH360" s="140"/>
      <c r="AI360" s="140"/>
      <c r="AJ360" s="140"/>
      <c r="AK360" s="140"/>
      <c r="AL360" s="140"/>
      <c r="AM360" s="140"/>
      <c r="AN360" s="140"/>
      <c r="AO360" s="140"/>
      <c r="AP360" s="140"/>
      <c r="AQ360" s="140"/>
      <c r="AR360" s="140"/>
      <c r="AS360" s="140"/>
      <c r="AT360" s="140"/>
      <c r="AU360" s="140"/>
      <c r="AV360" s="140"/>
      <c r="AW360" s="140"/>
      <c r="AX360" s="140"/>
      <c r="AY360" s="140"/>
      <c r="AZ360" s="140"/>
      <c r="BA360" s="140"/>
      <c r="BB360" s="140"/>
      <c r="BC360" s="140"/>
      <c r="BD360" s="140"/>
      <c r="BE360" s="140"/>
    </row>
    <row r="361">
      <c r="A361" s="108"/>
      <c r="B361" s="107"/>
      <c r="C361" s="107"/>
      <c r="D361" s="107"/>
      <c r="E361" s="107"/>
      <c r="F361" s="107"/>
      <c r="G361" s="208"/>
      <c r="H361" s="131"/>
      <c r="I361" s="211"/>
      <c r="J361" s="107"/>
      <c r="K361" s="202"/>
      <c r="L361" s="107"/>
      <c r="M361" s="107"/>
      <c r="N361" s="206"/>
      <c r="O361" s="108" t="b">
        <v>0</v>
      </c>
      <c r="P361" s="207"/>
      <c r="Q361" s="140"/>
      <c r="R361" s="140"/>
      <c r="S361" s="140"/>
      <c r="T361" s="140"/>
      <c r="U361" s="140"/>
      <c r="V361" s="140"/>
      <c r="W361" s="140"/>
      <c r="X361" s="140"/>
      <c r="Y361" s="140"/>
      <c r="Z361" s="140"/>
      <c r="AA361" s="140"/>
      <c r="AB361" s="140"/>
      <c r="AC361" s="140"/>
      <c r="AD361" s="140"/>
      <c r="AE361" s="140"/>
      <c r="AF361" s="140"/>
      <c r="AG361" s="140"/>
      <c r="AH361" s="140"/>
      <c r="AI361" s="140"/>
      <c r="AJ361" s="140"/>
      <c r="AK361" s="140"/>
      <c r="AL361" s="140"/>
      <c r="AM361" s="140"/>
      <c r="AN361" s="140"/>
      <c r="AO361" s="140"/>
      <c r="AP361" s="140"/>
      <c r="AQ361" s="140"/>
      <c r="AR361" s="140"/>
      <c r="AS361" s="140"/>
      <c r="AT361" s="140"/>
      <c r="AU361" s="140"/>
      <c r="AV361" s="140"/>
      <c r="AW361" s="140"/>
      <c r="AX361" s="140"/>
      <c r="AY361" s="140"/>
      <c r="AZ361" s="140"/>
      <c r="BA361" s="140"/>
      <c r="BB361" s="140"/>
      <c r="BC361" s="140"/>
      <c r="BD361" s="140"/>
      <c r="BE361" s="140"/>
    </row>
    <row r="362">
      <c r="A362" s="108"/>
      <c r="B362" s="107"/>
      <c r="C362" s="107"/>
      <c r="D362" s="107"/>
      <c r="E362" s="107"/>
      <c r="F362" s="107"/>
      <c r="G362" s="208"/>
      <c r="H362" s="131"/>
      <c r="I362" s="211"/>
      <c r="J362" s="107"/>
      <c r="K362" s="202"/>
      <c r="L362" s="107"/>
      <c r="M362" s="107"/>
      <c r="N362" s="206"/>
      <c r="O362" s="108" t="b">
        <v>0</v>
      </c>
      <c r="P362" s="207"/>
      <c r="Q362" s="140"/>
      <c r="R362" s="140"/>
      <c r="S362" s="140"/>
      <c r="T362" s="140"/>
      <c r="U362" s="140"/>
      <c r="V362" s="140"/>
      <c r="W362" s="140"/>
      <c r="X362" s="140"/>
      <c r="Y362" s="140"/>
      <c r="Z362" s="140"/>
      <c r="AA362" s="140"/>
      <c r="AB362" s="140"/>
      <c r="AC362" s="140"/>
      <c r="AD362" s="140"/>
      <c r="AE362" s="140"/>
      <c r="AF362" s="140"/>
      <c r="AG362" s="140"/>
      <c r="AH362" s="140"/>
      <c r="AI362" s="140"/>
      <c r="AJ362" s="140"/>
      <c r="AK362" s="140"/>
      <c r="AL362" s="140"/>
      <c r="AM362" s="140"/>
      <c r="AN362" s="140"/>
      <c r="AO362" s="140"/>
      <c r="AP362" s="140"/>
      <c r="AQ362" s="140"/>
      <c r="AR362" s="140"/>
      <c r="AS362" s="140"/>
      <c r="AT362" s="140"/>
      <c r="AU362" s="140"/>
      <c r="AV362" s="140"/>
      <c r="AW362" s="140"/>
      <c r="AX362" s="140"/>
      <c r="AY362" s="140"/>
      <c r="AZ362" s="140"/>
      <c r="BA362" s="140"/>
      <c r="BB362" s="140"/>
      <c r="BC362" s="140"/>
      <c r="BD362" s="140"/>
      <c r="BE362" s="140"/>
    </row>
    <row r="363">
      <c r="A363" s="108"/>
      <c r="B363" s="107"/>
      <c r="C363" s="107"/>
      <c r="D363" s="107"/>
      <c r="E363" s="107"/>
      <c r="F363" s="107"/>
      <c r="G363" s="208"/>
      <c r="H363" s="131"/>
      <c r="I363" s="211"/>
      <c r="J363" s="107"/>
      <c r="K363" s="202"/>
      <c r="L363" s="107"/>
      <c r="M363" s="107"/>
      <c r="N363" s="206"/>
      <c r="O363" s="108" t="b">
        <v>0</v>
      </c>
      <c r="P363" s="207"/>
      <c r="Q363" s="140"/>
      <c r="R363" s="140"/>
      <c r="S363" s="140"/>
      <c r="T363" s="140"/>
      <c r="U363" s="140"/>
      <c r="V363" s="140"/>
      <c r="W363" s="140"/>
      <c r="X363" s="140"/>
      <c r="Y363" s="140"/>
      <c r="Z363" s="140"/>
      <c r="AA363" s="140"/>
      <c r="AB363" s="140"/>
      <c r="AC363" s="140"/>
      <c r="AD363" s="140"/>
      <c r="AE363" s="140"/>
      <c r="AF363" s="140"/>
      <c r="AG363" s="140"/>
      <c r="AH363" s="140"/>
      <c r="AI363" s="140"/>
      <c r="AJ363" s="140"/>
      <c r="AK363" s="140"/>
      <c r="AL363" s="140"/>
      <c r="AM363" s="140"/>
      <c r="AN363" s="140"/>
      <c r="AO363" s="140"/>
      <c r="AP363" s="140"/>
      <c r="AQ363" s="140"/>
      <c r="AR363" s="140"/>
      <c r="AS363" s="140"/>
      <c r="AT363" s="140"/>
      <c r="AU363" s="140"/>
      <c r="AV363" s="140"/>
      <c r="AW363" s="140"/>
      <c r="AX363" s="140"/>
      <c r="AY363" s="140"/>
      <c r="AZ363" s="140"/>
      <c r="BA363" s="140"/>
      <c r="BB363" s="140"/>
      <c r="BC363" s="140"/>
      <c r="BD363" s="140"/>
      <c r="BE363" s="140"/>
    </row>
    <row r="364">
      <c r="A364" s="108"/>
      <c r="B364" s="107"/>
      <c r="C364" s="107"/>
      <c r="D364" s="107"/>
      <c r="E364" s="107"/>
      <c r="F364" s="107"/>
      <c r="G364" s="208"/>
      <c r="H364" s="131"/>
      <c r="I364" s="211"/>
      <c r="J364" s="107"/>
      <c r="K364" s="202"/>
      <c r="L364" s="107"/>
      <c r="M364" s="107"/>
      <c r="N364" s="206"/>
      <c r="O364" s="108" t="b">
        <v>0</v>
      </c>
      <c r="P364" s="207"/>
      <c r="Q364" s="140"/>
      <c r="R364" s="140"/>
      <c r="S364" s="140"/>
      <c r="T364" s="140"/>
      <c r="U364" s="140"/>
      <c r="V364" s="140"/>
      <c r="W364" s="140"/>
      <c r="X364" s="140"/>
      <c r="Y364" s="140"/>
      <c r="Z364" s="140"/>
      <c r="AA364" s="140"/>
      <c r="AB364" s="140"/>
      <c r="AC364" s="140"/>
      <c r="AD364" s="140"/>
      <c r="AE364" s="140"/>
      <c r="AF364" s="140"/>
      <c r="AG364" s="140"/>
      <c r="AH364" s="140"/>
      <c r="AI364" s="140"/>
      <c r="AJ364" s="140"/>
      <c r="AK364" s="140"/>
      <c r="AL364" s="140"/>
      <c r="AM364" s="140"/>
      <c r="AN364" s="140"/>
      <c r="AO364" s="140"/>
      <c r="AP364" s="140"/>
      <c r="AQ364" s="140"/>
      <c r="AR364" s="140"/>
      <c r="AS364" s="140"/>
      <c r="AT364" s="140"/>
      <c r="AU364" s="140"/>
      <c r="AV364" s="140"/>
      <c r="AW364" s="140"/>
      <c r="AX364" s="140"/>
      <c r="AY364" s="140"/>
      <c r="AZ364" s="140"/>
      <c r="BA364" s="140"/>
      <c r="BB364" s="140"/>
      <c r="BC364" s="140"/>
      <c r="BD364" s="140"/>
      <c r="BE364" s="140"/>
    </row>
    <row r="365">
      <c r="A365" s="108"/>
      <c r="B365" s="107"/>
      <c r="C365" s="107"/>
      <c r="D365" s="107"/>
      <c r="E365" s="107"/>
      <c r="F365" s="107"/>
      <c r="G365" s="208"/>
      <c r="H365" s="131"/>
      <c r="I365" s="211"/>
      <c r="J365" s="107"/>
      <c r="K365" s="202"/>
      <c r="L365" s="107"/>
      <c r="M365" s="107"/>
      <c r="N365" s="206"/>
      <c r="O365" s="108" t="b">
        <v>0</v>
      </c>
      <c r="P365" s="207"/>
      <c r="Q365" s="140"/>
      <c r="R365" s="140"/>
      <c r="S365" s="140"/>
      <c r="T365" s="140"/>
      <c r="U365" s="140"/>
      <c r="V365" s="140"/>
      <c r="W365" s="140"/>
      <c r="X365" s="140"/>
      <c r="Y365" s="140"/>
      <c r="Z365" s="140"/>
      <c r="AA365" s="140"/>
      <c r="AB365" s="140"/>
      <c r="AC365" s="140"/>
      <c r="AD365" s="140"/>
      <c r="AE365" s="140"/>
      <c r="AF365" s="140"/>
      <c r="AG365" s="140"/>
      <c r="AH365" s="140"/>
      <c r="AI365" s="140"/>
      <c r="AJ365" s="140"/>
      <c r="AK365" s="140"/>
      <c r="AL365" s="140"/>
      <c r="AM365" s="140"/>
      <c r="AN365" s="140"/>
      <c r="AO365" s="140"/>
      <c r="AP365" s="140"/>
      <c r="AQ365" s="140"/>
      <c r="AR365" s="140"/>
      <c r="AS365" s="140"/>
      <c r="AT365" s="140"/>
      <c r="AU365" s="140"/>
      <c r="AV365" s="140"/>
      <c r="AW365" s="140"/>
      <c r="AX365" s="140"/>
      <c r="AY365" s="140"/>
      <c r="AZ365" s="140"/>
      <c r="BA365" s="140"/>
      <c r="BB365" s="140"/>
      <c r="BC365" s="140"/>
      <c r="BD365" s="140"/>
      <c r="BE365" s="140"/>
    </row>
    <row r="366">
      <c r="A366" s="108"/>
      <c r="B366" s="107"/>
      <c r="C366" s="107"/>
      <c r="D366" s="107"/>
      <c r="E366" s="107"/>
      <c r="F366" s="107"/>
      <c r="G366" s="208"/>
      <c r="H366" s="131"/>
      <c r="I366" s="211"/>
      <c r="J366" s="107"/>
      <c r="K366" s="202"/>
      <c r="L366" s="107"/>
      <c r="M366" s="107"/>
      <c r="N366" s="206"/>
      <c r="O366" s="108" t="b">
        <v>0</v>
      </c>
      <c r="P366" s="207"/>
      <c r="Q366" s="140"/>
      <c r="R366" s="140"/>
      <c r="S366" s="140"/>
      <c r="T366" s="140"/>
      <c r="U366" s="140"/>
      <c r="V366" s="140"/>
      <c r="W366" s="140"/>
      <c r="X366" s="140"/>
      <c r="Y366" s="140"/>
      <c r="Z366" s="140"/>
      <c r="AA366" s="140"/>
      <c r="AB366" s="140"/>
      <c r="AC366" s="140"/>
      <c r="AD366" s="140"/>
      <c r="AE366" s="140"/>
      <c r="AF366" s="140"/>
      <c r="AG366" s="140"/>
      <c r="AH366" s="140"/>
      <c r="AI366" s="140"/>
      <c r="AJ366" s="140"/>
      <c r="AK366" s="140"/>
      <c r="AL366" s="140"/>
      <c r="AM366" s="140"/>
      <c r="AN366" s="140"/>
      <c r="AO366" s="140"/>
      <c r="AP366" s="140"/>
      <c r="AQ366" s="140"/>
      <c r="AR366" s="140"/>
      <c r="AS366" s="140"/>
      <c r="AT366" s="140"/>
      <c r="AU366" s="140"/>
      <c r="AV366" s="140"/>
      <c r="AW366" s="140"/>
      <c r="AX366" s="140"/>
      <c r="AY366" s="140"/>
      <c r="AZ366" s="140"/>
      <c r="BA366" s="140"/>
      <c r="BB366" s="140"/>
      <c r="BC366" s="140"/>
      <c r="BD366" s="140"/>
      <c r="BE366" s="140"/>
    </row>
    <row r="367">
      <c r="A367" s="108"/>
      <c r="B367" s="107"/>
      <c r="C367" s="107"/>
      <c r="D367" s="107"/>
      <c r="E367" s="107"/>
      <c r="F367" s="107"/>
      <c r="G367" s="208"/>
      <c r="H367" s="131"/>
      <c r="I367" s="211"/>
      <c r="J367" s="107"/>
      <c r="K367" s="202"/>
      <c r="L367" s="107"/>
      <c r="M367" s="107"/>
      <c r="N367" s="206"/>
      <c r="O367" s="108" t="b">
        <v>0</v>
      </c>
      <c r="P367" s="207"/>
      <c r="Q367" s="140"/>
      <c r="R367" s="140"/>
      <c r="S367" s="140"/>
      <c r="T367" s="140"/>
      <c r="U367" s="140"/>
      <c r="V367" s="140"/>
      <c r="W367" s="140"/>
      <c r="X367" s="140"/>
      <c r="Y367" s="140"/>
      <c r="Z367" s="140"/>
      <c r="AA367" s="140"/>
      <c r="AB367" s="140"/>
      <c r="AC367" s="140"/>
      <c r="AD367" s="140"/>
      <c r="AE367" s="140"/>
      <c r="AF367" s="140"/>
      <c r="AG367" s="140"/>
      <c r="AH367" s="140"/>
      <c r="AI367" s="140"/>
      <c r="AJ367" s="140"/>
      <c r="AK367" s="140"/>
      <c r="AL367" s="140"/>
      <c r="AM367" s="140"/>
      <c r="AN367" s="140"/>
      <c r="AO367" s="140"/>
      <c r="AP367" s="140"/>
      <c r="AQ367" s="140"/>
      <c r="AR367" s="140"/>
      <c r="AS367" s="140"/>
      <c r="AT367" s="140"/>
      <c r="AU367" s="140"/>
      <c r="AV367" s="140"/>
      <c r="AW367" s="140"/>
      <c r="AX367" s="140"/>
      <c r="AY367" s="140"/>
      <c r="AZ367" s="140"/>
      <c r="BA367" s="140"/>
      <c r="BB367" s="140"/>
      <c r="BC367" s="140"/>
      <c r="BD367" s="140"/>
      <c r="BE367" s="140"/>
    </row>
    <row r="368">
      <c r="A368" s="108"/>
      <c r="B368" s="107"/>
      <c r="C368" s="107"/>
      <c r="D368" s="107"/>
      <c r="E368" s="107"/>
      <c r="F368" s="107"/>
      <c r="G368" s="208"/>
      <c r="H368" s="131"/>
      <c r="I368" s="211"/>
      <c r="J368" s="107"/>
      <c r="K368" s="202"/>
      <c r="L368" s="107"/>
      <c r="M368" s="107"/>
      <c r="N368" s="206"/>
      <c r="O368" s="108" t="b">
        <v>0</v>
      </c>
      <c r="P368" s="207"/>
      <c r="Q368" s="140"/>
      <c r="R368" s="140"/>
      <c r="S368" s="140"/>
      <c r="T368" s="140"/>
      <c r="U368" s="140"/>
      <c r="V368" s="140"/>
      <c r="W368" s="140"/>
      <c r="X368" s="140"/>
      <c r="Y368" s="140"/>
      <c r="Z368" s="140"/>
      <c r="AA368" s="140"/>
      <c r="AB368" s="140"/>
      <c r="AC368" s="140"/>
      <c r="AD368" s="140"/>
      <c r="AE368" s="140"/>
      <c r="AF368" s="140"/>
      <c r="AG368" s="140"/>
      <c r="AH368" s="140"/>
      <c r="AI368" s="140"/>
      <c r="AJ368" s="140"/>
      <c r="AK368" s="140"/>
      <c r="AL368" s="140"/>
      <c r="AM368" s="140"/>
      <c r="AN368" s="140"/>
      <c r="AO368" s="140"/>
      <c r="AP368" s="140"/>
      <c r="AQ368" s="140"/>
      <c r="AR368" s="140"/>
      <c r="AS368" s="140"/>
      <c r="AT368" s="140"/>
      <c r="AU368" s="140"/>
      <c r="AV368" s="140"/>
      <c r="AW368" s="140"/>
      <c r="AX368" s="140"/>
      <c r="AY368" s="140"/>
      <c r="AZ368" s="140"/>
      <c r="BA368" s="140"/>
      <c r="BB368" s="140"/>
      <c r="BC368" s="140"/>
      <c r="BD368" s="140"/>
      <c r="BE368" s="140"/>
    </row>
    <row r="369">
      <c r="A369" s="108"/>
      <c r="B369" s="107"/>
      <c r="C369" s="107"/>
      <c r="D369" s="107"/>
      <c r="E369" s="107"/>
      <c r="F369" s="107"/>
      <c r="G369" s="208"/>
      <c r="H369" s="131"/>
      <c r="I369" s="211"/>
      <c r="J369" s="107"/>
      <c r="K369" s="202"/>
      <c r="L369" s="107"/>
      <c r="M369" s="107"/>
      <c r="N369" s="206"/>
      <c r="O369" s="108" t="b">
        <v>0</v>
      </c>
      <c r="P369" s="207"/>
      <c r="Q369" s="140"/>
      <c r="R369" s="140"/>
      <c r="S369" s="140"/>
      <c r="T369" s="140"/>
      <c r="U369" s="140"/>
      <c r="V369" s="140"/>
      <c r="W369" s="140"/>
      <c r="X369" s="140"/>
      <c r="Y369" s="140"/>
      <c r="Z369" s="140"/>
      <c r="AA369" s="140"/>
      <c r="AB369" s="140"/>
      <c r="AC369" s="140"/>
      <c r="AD369" s="140"/>
      <c r="AE369" s="140"/>
      <c r="AF369" s="140"/>
      <c r="AG369" s="140"/>
      <c r="AH369" s="140"/>
      <c r="AI369" s="140"/>
      <c r="AJ369" s="140"/>
      <c r="AK369" s="140"/>
      <c r="AL369" s="140"/>
      <c r="AM369" s="140"/>
      <c r="AN369" s="140"/>
      <c r="AO369" s="140"/>
      <c r="AP369" s="140"/>
      <c r="AQ369" s="140"/>
      <c r="AR369" s="140"/>
      <c r="AS369" s="140"/>
      <c r="AT369" s="140"/>
      <c r="AU369" s="140"/>
      <c r="AV369" s="140"/>
      <c r="AW369" s="140"/>
      <c r="AX369" s="140"/>
      <c r="AY369" s="140"/>
      <c r="AZ369" s="140"/>
      <c r="BA369" s="140"/>
      <c r="BB369" s="140"/>
      <c r="BC369" s="140"/>
      <c r="BD369" s="140"/>
      <c r="BE369" s="140"/>
    </row>
    <row r="370">
      <c r="A370" s="108"/>
      <c r="B370" s="107"/>
      <c r="C370" s="107"/>
      <c r="D370" s="107"/>
      <c r="E370" s="107"/>
      <c r="F370" s="107"/>
      <c r="G370" s="208"/>
      <c r="H370" s="131"/>
      <c r="I370" s="211"/>
      <c r="J370" s="107"/>
      <c r="K370" s="202"/>
      <c r="L370" s="107"/>
      <c r="M370" s="107"/>
      <c r="N370" s="206"/>
      <c r="O370" s="108" t="b">
        <v>0</v>
      </c>
      <c r="P370" s="207"/>
      <c r="Q370" s="140"/>
      <c r="R370" s="140"/>
      <c r="S370" s="140"/>
      <c r="T370" s="140"/>
      <c r="U370" s="140"/>
      <c r="V370" s="140"/>
      <c r="W370" s="140"/>
      <c r="X370" s="140"/>
      <c r="Y370" s="140"/>
      <c r="Z370" s="140"/>
      <c r="AA370" s="140"/>
      <c r="AB370" s="140"/>
      <c r="AC370" s="140"/>
      <c r="AD370" s="140"/>
      <c r="AE370" s="140"/>
      <c r="AF370" s="140"/>
      <c r="AG370" s="140"/>
      <c r="AH370" s="140"/>
      <c r="AI370" s="140"/>
      <c r="AJ370" s="140"/>
      <c r="AK370" s="140"/>
      <c r="AL370" s="140"/>
      <c r="AM370" s="140"/>
      <c r="AN370" s="140"/>
      <c r="AO370" s="140"/>
      <c r="AP370" s="140"/>
      <c r="AQ370" s="140"/>
      <c r="AR370" s="140"/>
      <c r="AS370" s="140"/>
      <c r="AT370" s="140"/>
      <c r="AU370" s="140"/>
      <c r="AV370" s="140"/>
      <c r="AW370" s="140"/>
      <c r="AX370" s="140"/>
      <c r="AY370" s="140"/>
      <c r="AZ370" s="140"/>
      <c r="BA370" s="140"/>
      <c r="BB370" s="140"/>
      <c r="BC370" s="140"/>
      <c r="BD370" s="140"/>
      <c r="BE370" s="140"/>
    </row>
    <row r="371">
      <c r="A371" s="108"/>
      <c r="B371" s="107"/>
      <c r="C371" s="107"/>
      <c r="D371" s="107"/>
      <c r="E371" s="107"/>
      <c r="F371" s="107"/>
      <c r="G371" s="208"/>
      <c r="H371" s="131"/>
      <c r="I371" s="211"/>
      <c r="J371" s="107"/>
      <c r="K371" s="202"/>
      <c r="L371" s="107"/>
      <c r="M371" s="107"/>
      <c r="N371" s="206"/>
      <c r="O371" s="108" t="b">
        <v>0</v>
      </c>
      <c r="P371" s="207"/>
      <c r="Q371" s="140"/>
      <c r="R371" s="140"/>
      <c r="S371" s="140"/>
      <c r="T371" s="140"/>
      <c r="U371" s="140"/>
      <c r="V371" s="140"/>
      <c r="W371" s="140"/>
      <c r="X371" s="140"/>
      <c r="Y371" s="140"/>
      <c r="Z371" s="140"/>
      <c r="AA371" s="140"/>
      <c r="AB371" s="140"/>
      <c r="AC371" s="140"/>
      <c r="AD371" s="140"/>
      <c r="AE371" s="140"/>
      <c r="AF371" s="140"/>
      <c r="AG371" s="140"/>
      <c r="AH371" s="140"/>
      <c r="AI371" s="140"/>
      <c r="AJ371" s="140"/>
      <c r="AK371" s="140"/>
      <c r="AL371" s="140"/>
      <c r="AM371" s="140"/>
      <c r="AN371" s="140"/>
      <c r="AO371" s="140"/>
      <c r="AP371" s="140"/>
      <c r="AQ371" s="140"/>
      <c r="AR371" s="140"/>
      <c r="AS371" s="140"/>
      <c r="AT371" s="140"/>
      <c r="AU371" s="140"/>
      <c r="AV371" s="140"/>
      <c r="AW371" s="140"/>
      <c r="AX371" s="140"/>
      <c r="AY371" s="140"/>
      <c r="AZ371" s="140"/>
      <c r="BA371" s="140"/>
      <c r="BB371" s="140"/>
      <c r="BC371" s="140"/>
      <c r="BD371" s="140"/>
      <c r="BE371" s="140"/>
    </row>
    <row r="372">
      <c r="A372" s="108"/>
      <c r="B372" s="107"/>
      <c r="C372" s="107"/>
      <c r="D372" s="107"/>
      <c r="E372" s="107"/>
      <c r="F372" s="107"/>
      <c r="G372" s="208"/>
      <c r="H372" s="131"/>
      <c r="I372" s="211"/>
      <c r="J372" s="107"/>
      <c r="K372" s="202"/>
      <c r="L372" s="107"/>
      <c r="M372" s="107"/>
      <c r="N372" s="206"/>
      <c r="O372" s="108" t="b">
        <v>0</v>
      </c>
      <c r="P372" s="207"/>
      <c r="Q372" s="140"/>
      <c r="R372" s="140"/>
      <c r="S372" s="140"/>
      <c r="T372" s="140"/>
      <c r="U372" s="140"/>
      <c r="V372" s="140"/>
      <c r="W372" s="140"/>
      <c r="X372" s="140"/>
      <c r="Y372" s="140"/>
      <c r="Z372" s="140"/>
      <c r="AA372" s="140"/>
      <c r="AB372" s="140"/>
      <c r="AC372" s="140"/>
      <c r="AD372" s="140"/>
      <c r="AE372" s="140"/>
      <c r="AF372" s="140"/>
      <c r="AG372" s="140"/>
      <c r="AH372" s="140"/>
      <c r="AI372" s="140"/>
      <c r="AJ372" s="140"/>
      <c r="AK372" s="140"/>
      <c r="AL372" s="140"/>
      <c r="AM372" s="140"/>
      <c r="AN372" s="140"/>
      <c r="AO372" s="140"/>
      <c r="AP372" s="140"/>
      <c r="AQ372" s="140"/>
      <c r="AR372" s="140"/>
      <c r="AS372" s="140"/>
      <c r="AT372" s="140"/>
      <c r="AU372" s="140"/>
      <c r="AV372" s="140"/>
      <c r="AW372" s="140"/>
      <c r="AX372" s="140"/>
      <c r="AY372" s="140"/>
      <c r="AZ372" s="140"/>
      <c r="BA372" s="140"/>
      <c r="BB372" s="140"/>
      <c r="BC372" s="140"/>
      <c r="BD372" s="140"/>
      <c r="BE372" s="140"/>
    </row>
    <row r="373">
      <c r="A373" s="108"/>
      <c r="B373" s="107"/>
      <c r="C373" s="107"/>
      <c r="D373" s="107"/>
      <c r="E373" s="107"/>
      <c r="F373" s="107"/>
      <c r="G373" s="208"/>
      <c r="H373" s="131"/>
      <c r="I373" s="211"/>
      <c r="J373" s="107"/>
      <c r="K373" s="202"/>
      <c r="L373" s="107"/>
      <c r="M373" s="107"/>
      <c r="N373" s="206"/>
      <c r="O373" s="108" t="b">
        <v>0</v>
      </c>
      <c r="P373" s="207"/>
      <c r="Q373" s="140"/>
      <c r="R373" s="140"/>
      <c r="S373" s="140"/>
      <c r="T373" s="140"/>
      <c r="U373" s="140"/>
      <c r="V373" s="140"/>
      <c r="W373" s="140"/>
      <c r="X373" s="140"/>
      <c r="Y373" s="140"/>
      <c r="Z373" s="140"/>
      <c r="AA373" s="140"/>
      <c r="AB373" s="140"/>
      <c r="AC373" s="140"/>
      <c r="AD373" s="140"/>
      <c r="AE373" s="140"/>
      <c r="AF373" s="140"/>
      <c r="AG373" s="140"/>
      <c r="AH373" s="140"/>
      <c r="AI373" s="140"/>
      <c r="AJ373" s="140"/>
      <c r="AK373" s="140"/>
      <c r="AL373" s="140"/>
      <c r="AM373" s="140"/>
      <c r="AN373" s="140"/>
      <c r="AO373" s="140"/>
      <c r="AP373" s="140"/>
      <c r="AQ373" s="140"/>
      <c r="AR373" s="140"/>
      <c r="AS373" s="140"/>
      <c r="AT373" s="140"/>
      <c r="AU373" s="140"/>
      <c r="AV373" s="140"/>
      <c r="AW373" s="140"/>
      <c r="AX373" s="140"/>
      <c r="AY373" s="140"/>
      <c r="AZ373" s="140"/>
      <c r="BA373" s="140"/>
      <c r="BB373" s="140"/>
      <c r="BC373" s="140"/>
      <c r="BD373" s="140"/>
      <c r="BE373" s="140"/>
    </row>
    <row r="374">
      <c r="A374" s="108"/>
      <c r="B374" s="107"/>
      <c r="C374" s="107"/>
      <c r="D374" s="107"/>
      <c r="E374" s="107"/>
      <c r="F374" s="107"/>
      <c r="G374" s="208"/>
      <c r="H374" s="131"/>
      <c r="I374" s="211"/>
      <c r="J374" s="107"/>
      <c r="K374" s="202"/>
      <c r="L374" s="107"/>
      <c r="M374" s="107"/>
      <c r="N374" s="206"/>
      <c r="O374" s="108" t="b">
        <v>0</v>
      </c>
      <c r="P374" s="207"/>
      <c r="Q374" s="140"/>
      <c r="R374" s="140"/>
      <c r="S374" s="140"/>
      <c r="T374" s="140"/>
      <c r="U374" s="140"/>
      <c r="V374" s="140"/>
      <c r="W374" s="140"/>
      <c r="X374" s="140"/>
      <c r="Y374" s="140"/>
      <c r="Z374" s="140"/>
      <c r="AA374" s="140"/>
      <c r="AB374" s="140"/>
      <c r="AC374" s="140"/>
      <c r="AD374" s="140"/>
      <c r="AE374" s="140"/>
      <c r="AF374" s="140"/>
      <c r="AG374" s="140"/>
      <c r="AH374" s="140"/>
      <c r="AI374" s="140"/>
      <c r="AJ374" s="140"/>
      <c r="AK374" s="140"/>
      <c r="AL374" s="140"/>
      <c r="AM374" s="140"/>
      <c r="AN374" s="140"/>
      <c r="AO374" s="140"/>
      <c r="AP374" s="140"/>
      <c r="AQ374" s="140"/>
      <c r="AR374" s="140"/>
      <c r="AS374" s="140"/>
      <c r="AT374" s="140"/>
      <c r="AU374" s="140"/>
      <c r="AV374" s="140"/>
      <c r="AW374" s="140"/>
      <c r="AX374" s="140"/>
      <c r="AY374" s="140"/>
      <c r="AZ374" s="140"/>
      <c r="BA374" s="140"/>
      <c r="BB374" s="140"/>
      <c r="BC374" s="140"/>
      <c r="BD374" s="140"/>
      <c r="BE374" s="140"/>
    </row>
    <row r="375">
      <c r="A375" s="108"/>
      <c r="B375" s="107"/>
      <c r="C375" s="107"/>
      <c r="D375" s="107"/>
      <c r="E375" s="107"/>
      <c r="F375" s="107"/>
      <c r="G375" s="208"/>
      <c r="H375" s="131"/>
      <c r="I375" s="211"/>
      <c r="J375" s="107"/>
      <c r="K375" s="202"/>
      <c r="L375" s="107"/>
      <c r="M375" s="107"/>
      <c r="N375" s="206"/>
      <c r="O375" s="108" t="b">
        <v>0</v>
      </c>
      <c r="P375" s="207"/>
      <c r="Q375" s="140"/>
      <c r="R375" s="140"/>
      <c r="S375" s="140"/>
      <c r="T375" s="140"/>
      <c r="U375" s="140"/>
      <c r="V375" s="140"/>
      <c r="W375" s="140"/>
      <c r="X375" s="140"/>
      <c r="Y375" s="140"/>
      <c r="Z375" s="140"/>
      <c r="AA375" s="140"/>
      <c r="AB375" s="140"/>
      <c r="AC375" s="140"/>
      <c r="AD375" s="140"/>
      <c r="AE375" s="140"/>
      <c r="AF375" s="140"/>
      <c r="AG375" s="140"/>
      <c r="AH375" s="140"/>
      <c r="AI375" s="140"/>
      <c r="AJ375" s="140"/>
      <c r="AK375" s="140"/>
      <c r="AL375" s="140"/>
      <c r="AM375" s="140"/>
      <c r="AN375" s="140"/>
      <c r="AO375" s="140"/>
      <c r="AP375" s="140"/>
      <c r="AQ375" s="140"/>
      <c r="AR375" s="140"/>
      <c r="AS375" s="140"/>
      <c r="AT375" s="140"/>
      <c r="AU375" s="140"/>
      <c r="AV375" s="140"/>
      <c r="AW375" s="140"/>
      <c r="AX375" s="140"/>
      <c r="AY375" s="140"/>
      <c r="AZ375" s="140"/>
      <c r="BA375" s="140"/>
      <c r="BB375" s="140"/>
      <c r="BC375" s="140"/>
      <c r="BD375" s="140"/>
      <c r="BE375" s="140"/>
    </row>
    <row r="376">
      <c r="A376" s="108"/>
      <c r="B376" s="107"/>
      <c r="C376" s="107"/>
      <c r="D376" s="107"/>
      <c r="E376" s="107"/>
      <c r="F376" s="107"/>
      <c r="G376" s="208"/>
      <c r="H376" s="131"/>
      <c r="I376" s="211"/>
      <c r="J376" s="107"/>
      <c r="K376" s="202"/>
      <c r="L376" s="107"/>
      <c r="M376" s="107"/>
      <c r="N376" s="206"/>
      <c r="O376" s="108" t="b">
        <v>0</v>
      </c>
      <c r="P376" s="207"/>
      <c r="Q376" s="140"/>
      <c r="R376" s="140"/>
      <c r="S376" s="140"/>
      <c r="T376" s="140"/>
      <c r="U376" s="140"/>
      <c r="V376" s="140"/>
      <c r="W376" s="140"/>
      <c r="X376" s="140"/>
      <c r="Y376" s="140"/>
      <c r="Z376" s="140"/>
      <c r="AA376" s="140"/>
      <c r="AB376" s="140"/>
      <c r="AC376" s="140"/>
      <c r="AD376" s="140"/>
      <c r="AE376" s="140"/>
      <c r="AF376" s="140"/>
      <c r="AG376" s="140"/>
      <c r="AH376" s="140"/>
      <c r="AI376" s="140"/>
      <c r="AJ376" s="140"/>
      <c r="AK376" s="140"/>
      <c r="AL376" s="140"/>
      <c r="AM376" s="140"/>
      <c r="AN376" s="140"/>
      <c r="AO376" s="140"/>
      <c r="AP376" s="140"/>
      <c r="AQ376" s="140"/>
      <c r="AR376" s="140"/>
      <c r="AS376" s="140"/>
      <c r="AT376" s="140"/>
      <c r="AU376" s="140"/>
      <c r="AV376" s="140"/>
      <c r="AW376" s="140"/>
      <c r="AX376" s="140"/>
      <c r="AY376" s="140"/>
      <c r="AZ376" s="140"/>
      <c r="BA376" s="140"/>
      <c r="BB376" s="140"/>
      <c r="BC376" s="140"/>
      <c r="BD376" s="140"/>
      <c r="BE376" s="140"/>
    </row>
    <row r="377">
      <c r="A377" s="108"/>
      <c r="B377" s="107"/>
      <c r="C377" s="107"/>
      <c r="D377" s="107"/>
      <c r="E377" s="107"/>
      <c r="F377" s="107"/>
      <c r="G377" s="208"/>
      <c r="H377" s="131"/>
      <c r="I377" s="211"/>
      <c r="J377" s="107"/>
      <c r="K377" s="202"/>
      <c r="L377" s="107"/>
      <c r="M377" s="107"/>
      <c r="N377" s="206"/>
      <c r="O377" s="108" t="b">
        <v>0</v>
      </c>
      <c r="P377" s="207"/>
      <c r="Q377" s="140"/>
      <c r="R377" s="140"/>
      <c r="S377" s="140"/>
      <c r="T377" s="140"/>
      <c r="U377" s="140"/>
      <c r="V377" s="140"/>
      <c r="W377" s="140"/>
      <c r="X377" s="140"/>
      <c r="Y377" s="140"/>
      <c r="Z377" s="140"/>
      <c r="AA377" s="140"/>
      <c r="AB377" s="140"/>
      <c r="AC377" s="140"/>
      <c r="AD377" s="140"/>
      <c r="AE377" s="140"/>
      <c r="AF377" s="140"/>
      <c r="AG377" s="140"/>
      <c r="AH377" s="140"/>
      <c r="AI377" s="140"/>
      <c r="AJ377" s="140"/>
      <c r="AK377" s="140"/>
      <c r="AL377" s="140"/>
      <c r="AM377" s="140"/>
      <c r="AN377" s="140"/>
      <c r="AO377" s="140"/>
      <c r="AP377" s="140"/>
      <c r="AQ377" s="140"/>
      <c r="AR377" s="140"/>
      <c r="AS377" s="140"/>
      <c r="AT377" s="140"/>
      <c r="AU377" s="140"/>
      <c r="AV377" s="140"/>
      <c r="AW377" s="140"/>
      <c r="AX377" s="140"/>
      <c r="AY377" s="140"/>
      <c r="AZ377" s="140"/>
      <c r="BA377" s="140"/>
      <c r="BB377" s="140"/>
      <c r="BC377" s="140"/>
      <c r="BD377" s="140"/>
      <c r="BE377" s="140"/>
    </row>
    <row r="378">
      <c r="A378" s="108"/>
      <c r="B378" s="107"/>
      <c r="C378" s="107"/>
      <c r="D378" s="107"/>
      <c r="E378" s="107"/>
      <c r="F378" s="107"/>
      <c r="G378" s="208"/>
      <c r="H378" s="131"/>
      <c r="I378" s="211"/>
      <c r="J378" s="107"/>
      <c r="K378" s="202"/>
      <c r="L378" s="107"/>
      <c r="M378" s="107"/>
      <c r="N378" s="206"/>
      <c r="O378" s="108" t="b">
        <v>0</v>
      </c>
      <c r="P378" s="207"/>
      <c r="Q378" s="140"/>
      <c r="R378" s="140"/>
      <c r="S378" s="140"/>
      <c r="T378" s="140"/>
      <c r="U378" s="140"/>
      <c r="V378" s="140"/>
      <c r="W378" s="140"/>
      <c r="X378" s="140"/>
      <c r="Y378" s="140"/>
      <c r="Z378" s="140"/>
      <c r="AA378" s="140"/>
      <c r="AB378" s="140"/>
      <c r="AC378" s="140"/>
      <c r="AD378" s="140"/>
      <c r="AE378" s="140"/>
      <c r="AF378" s="140"/>
      <c r="AG378" s="140"/>
      <c r="AH378" s="140"/>
      <c r="AI378" s="140"/>
      <c r="AJ378" s="140"/>
      <c r="AK378" s="140"/>
      <c r="AL378" s="140"/>
      <c r="AM378" s="140"/>
      <c r="AN378" s="140"/>
      <c r="AO378" s="140"/>
      <c r="AP378" s="140"/>
      <c r="AQ378" s="140"/>
      <c r="AR378" s="140"/>
      <c r="AS378" s="140"/>
      <c r="AT378" s="140"/>
      <c r="AU378" s="140"/>
      <c r="AV378" s="140"/>
      <c r="AW378" s="140"/>
      <c r="AX378" s="140"/>
      <c r="AY378" s="140"/>
      <c r="AZ378" s="140"/>
      <c r="BA378" s="140"/>
      <c r="BB378" s="140"/>
      <c r="BC378" s="140"/>
      <c r="BD378" s="140"/>
      <c r="BE378" s="140"/>
    </row>
    <row r="379">
      <c r="A379" s="108"/>
      <c r="B379" s="107"/>
      <c r="C379" s="107"/>
      <c r="D379" s="107"/>
      <c r="E379" s="107"/>
      <c r="F379" s="107"/>
      <c r="G379" s="208"/>
      <c r="H379" s="131"/>
      <c r="I379" s="211"/>
      <c r="J379" s="107"/>
      <c r="K379" s="202"/>
      <c r="L379" s="107"/>
      <c r="M379" s="107"/>
      <c r="N379" s="206"/>
      <c r="O379" s="108" t="b">
        <v>0</v>
      </c>
      <c r="P379" s="207"/>
      <c r="Q379" s="140"/>
      <c r="R379" s="140"/>
      <c r="S379" s="140"/>
      <c r="T379" s="140"/>
      <c r="U379" s="140"/>
      <c r="V379" s="140"/>
      <c r="W379" s="140"/>
      <c r="X379" s="140"/>
      <c r="Y379" s="140"/>
      <c r="Z379" s="140"/>
      <c r="AA379" s="140"/>
      <c r="AB379" s="140"/>
      <c r="AC379" s="140"/>
      <c r="AD379" s="140"/>
      <c r="AE379" s="140"/>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140"/>
      <c r="BC379" s="140"/>
      <c r="BD379" s="140"/>
      <c r="BE379" s="140"/>
    </row>
    <row r="380">
      <c r="A380" s="108"/>
      <c r="B380" s="107"/>
      <c r="C380" s="107"/>
      <c r="D380" s="107"/>
      <c r="E380" s="107"/>
      <c r="F380" s="107"/>
      <c r="G380" s="208"/>
      <c r="H380" s="131"/>
      <c r="I380" s="211"/>
      <c r="J380" s="107"/>
      <c r="K380" s="202"/>
      <c r="L380" s="107"/>
      <c r="M380" s="107"/>
      <c r="N380" s="206"/>
      <c r="O380" s="108" t="b">
        <v>0</v>
      </c>
      <c r="P380" s="207"/>
      <c r="Q380" s="140"/>
      <c r="R380" s="140"/>
      <c r="S380" s="140"/>
      <c r="T380" s="140"/>
      <c r="U380" s="140"/>
      <c r="V380" s="140"/>
      <c r="W380" s="140"/>
      <c r="X380" s="140"/>
      <c r="Y380" s="140"/>
      <c r="Z380" s="140"/>
      <c r="AA380" s="140"/>
      <c r="AB380" s="140"/>
      <c r="AC380" s="140"/>
      <c r="AD380" s="140"/>
      <c r="AE380" s="140"/>
      <c r="AF380" s="140"/>
      <c r="AG380" s="140"/>
      <c r="AH380" s="140"/>
      <c r="AI380" s="140"/>
      <c r="AJ380" s="140"/>
      <c r="AK380" s="140"/>
      <c r="AL380" s="140"/>
      <c r="AM380" s="140"/>
      <c r="AN380" s="140"/>
      <c r="AO380" s="140"/>
      <c r="AP380" s="140"/>
      <c r="AQ380" s="140"/>
      <c r="AR380" s="140"/>
      <c r="AS380" s="140"/>
      <c r="AT380" s="140"/>
      <c r="AU380" s="140"/>
      <c r="AV380" s="140"/>
      <c r="AW380" s="140"/>
      <c r="AX380" s="140"/>
      <c r="AY380" s="140"/>
      <c r="AZ380" s="140"/>
      <c r="BA380" s="140"/>
      <c r="BB380" s="140"/>
      <c r="BC380" s="140"/>
      <c r="BD380" s="140"/>
      <c r="BE380" s="140"/>
    </row>
    <row r="381">
      <c r="A381" s="108"/>
      <c r="B381" s="107"/>
      <c r="C381" s="107"/>
      <c r="D381" s="107"/>
      <c r="E381" s="107"/>
      <c r="F381" s="107"/>
      <c r="G381" s="208"/>
      <c r="H381" s="131"/>
      <c r="I381" s="211"/>
      <c r="J381" s="107"/>
      <c r="K381" s="202"/>
      <c r="L381" s="107"/>
      <c r="M381" s="107"/>
      <c r="N381" s="206"/>
      <c r="O381" s="108" t="b">
        <v>0</v>
      </c>
      <c r="P381" s="207"/>
      <c r="Q381" s="140"/>
      <c r="R381" s="140"/>
      <c r="S381" s="140"/>
      <c r="T381" s="14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row>
    <row r="382">
      <c r="A382" s="108"/>
      <c r="B382" s="107"/>
      <c r="C382" s="107"/>
      <c r="D382" s="107"/>
      <c r="E382" s="107"/>
      <c r="F382" s="107"/>
      <c r="G382" s="208"/>
      <c r="H382" s="131"/>
      <c r="I382" s="211"/>
      <c r="J382" s="107"/>
      <c r="K382" s="202"/>
      <c r="L382" s="107"/>
      <c r="M382" s="107"/>
      <c r="N382" s="206"/>
      <c r="O382" s="108" t="b">
        <v>0</v>
      </c>
      <c r="P382" s="207"/>
      <c r="Q382" s="140"/>
      <c r="R382" s="140"/>
      <c r="S382" s="140"/>
      <c r="T382" s="140"/>
      <c r="U382" s="140"/>
      <c r="V382" s="140"/>
      <c r="W382" s="140"/>
      <c r="X382" s="140"/>
      <c r="Y382" s="140"/>
      <c r="Z382" s="140"/>
      <c r="AA382" s="140"/>
      <c r="AB382" s="140"/>
      <c r="AC382" s="140"/>
      <c r="AD382" s="140"/>
      <c r="AE382" s="140"/>
      <c r="AF382" s="140"/>
      <c r="AG382" s="140"/>
      <c r="AH382" s="140"/>
      <c r="AI382" s="140"/>
      <c r="AJ382" s="140"/>
      <c r="AK382" s="140"/>
      <c r="AL382" s="140"/>
      <c r="AM382" s="140"/>
      <c r="AN382" s="140"/>
      <c r="AO382" s="140"/>
      <c r="AP382" s="140"/>
      <c r="AQ382" s="140"/>
      <c r="AR382" s="140"/>
      <c r="AS382" s="140"/>
      <c r="AT382" s="140"/>
      <c r="AU382" s="140"/>
      <c r="AV382" s="140"/>
      <c r="AW382" s="140"/>
      <c r="AX382" s="140"/>
      <c r="AY382" s="140"/>
      <c r="AZ382" s="140"/>
      <c r="BA382" s="140"/>
      <c r="BB382" s="140"/>
      <c r="BC382" s="140"/>
      <c r="BD382" s="140"/>
      <c r="BE382" s="140"/>
    </row>
    <row r="383">
      <c r="A383" s="108"/>
      <c r="B383" s="107"/>
      <c r="C383" s="107"/>
      <c r="D383" s="107"/>
      <c r="E383" s="107"/>
      <c r="F383" s="107"/>
      <c r="G383" s="208"/>
      <c r="H383" s="131"/>
      <c r="I383" s="211"/>
      <c r="J383" s="107"/>
      <c r="K383" s="202"/>
      <c r="L383" s="107"/>
      <c r="M383" s="107"/>
      <c r="N383" s="206"/>
      <c r="O383" s="108" t="b">
        <v>0</v>
      </c>
      <c r="P383" s="207"/>
      <c r="Q383" s="140"/>
      <c r="R383" s="140"/>
      <c r="S383" s="140"/>
      <c r="T383" s="14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row>
    <row r="384">
      <c r="A384" s="108"/>
      <c r="B384" s="107"/>
      <c r="C384" s="107"/>
      <c r="D384" s="107"/>
      <c r="E384" s="107"/>
      <c r="F384" s="107"/>
      <c r="G384" s="208"/>
      <c r="H384" s="131"/>
      <c r="I384" s="211"/>
      <c r="J384" s="107"/>
      <c r="K384" s="202"/>
      <c r="L384" s="107"/>
      <c r="M384" s="107"/>
      <c r="N384" s="206"/>
      <c r="O384" s="108" t="b">
        <v>0</v>
      </c>
      <c r="P384" s="207"/>
      <c r="Q384" s="140"/>
      <c r="R384" s="140"/>
      <c r="S384" s="140"/>
      <c r="T384" s="140"/>
      <c r="U384" s="140"/>
      <c r="V384" s="140"/>
      <c r="W384" s="140"/>
      <c r="X384" s="140"/>
      <c r="Y384" s="140"/>
      <c r="Z384" s="140"/>
      <c r="AA384" s="140"/>
      <c r="AB384" s="140"/>
      <c r="AC384" s="140"/>
      <c r="AD384" s="140"/>
      <c r="AE384" s="140"/>
      <c r="AF384" s="140"/>
      <c r="AG384" s="140"/>
      <c r="AH384" s="140"/>
      <c r="AI384" s="140"/>
      <c r="AJ384" s="140"/>
      <c r="AK384" s="140"/>
      <c r="AL384" s="140"/>
      <c r="AM384" s="140"/>
      <c r="AN384" s="140"/>
      <c r="AO384" s="140"/>
      <c r="AP384" s="140"/>
      <c r="AQ384" s="140"/>
      <c r="AR384" s="140"/>
      <c r="AS384" s="140"/>
      <c r="AT384" s="140"/>
      <c r="AU384" s="140"/>
      <c r="AV384" s="140"/>
      <c r="AW384" s="140"/>
      <c r="AX384" s="140"/>
      <c r="AY384" s="140"/>
      <c r="AZ384" s="140"/>
      <c r="BA384" s="140"/>
      <c r="BB384" s="140"/>
      <c r="BC384" s="140"/>
      <c r="BD384" s="140"/>
      <c r="BE384" s="140"/>
    </row>
    <row r="385">
      <c r="A385" s="108"/>
      <c r="B385" s="107"/>
      <c r="C385" s="107"/>
      <c r="D385" s="107"/>
      <c r="E385" s="107"/>
      <c r="F385" s="107"/>
      <c r="G385" s="208"/>
      <c r="H385" s="131"/>
      <c r="I385" s="211"/>
      <c r="J385" s="107"/>
      <c r="K385" s="202"/>
      <c r="L385" s="107"/>
      <c r="M385" s="107"/>
      <c r="N385" s="206"/>
      <c r="O385" s="108" t="b">
        <v>0</v>
      </c>
      <c r="P385" s="207"/>
      <c r="Q385" s="140"/>
      <c r="R385" s="140"/>
      <c r="S385" s="140"/>
      <c r="T385" s="14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row>
    <row r="386">
      <c r="A386" s="108"/>
      <c r="B386" s="107"/>
      <c r="C386" s="107"/>
      <c r="D386" s="107"/>
      <c r="E386" s="107"/>
      <c r="F386" s="107"/>
      <c r="G386" s="208"/>
      <c r="H386" s="131"/>
      <c r="I386" s="211"/>
      <c r="J386" s="107"/>
      <c r="K386" s="202"/>
      <c r="L386" s="107"/>
      <c r="M386" s="107"/>
      <c r="N386" s="206"/>
      <c r="O386" s="108" t="b">
        <v>0</v>
      </c>
      <c r="P386" s="207"/>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row>
    <row r="387">
      <c r="A387" s="108"/>
      <c r="B387" s="107"/>
      <c r="C387" s="107"/>
      <c r="D387" s="107"/>
      <c r="E387" s="107"/>
      <c r="F387" s="107"/>
      <c r="G387" s="208"/>
      <c r="H387" s="131"/>
      <c r="I387" s="211"/>
      <c r="J387" s="107"/>
      <c r="K387" s="202"/>
      <c r="L387" s="107"/>
      <c r="M387" s="107"/>
      <c r="N387" s="206"/>
      <c r="O387" s="108" t="b">
        <v>0</v>
      </c>
      <c r="P387" s="207"/>
      <c r="Q387" s="140"/>
      <c r="R387" s="140"/>
      <c r="S387" s="140"/>
      <c r="T387" s="14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row>
    <row r="388">
      <c r="A388" s="108"/>
      <c r="B388" s="107"/>
      <c r="C388" s="107"/>
      <c r="D388" s="107"/>
      <c r="E388" s="107"/>
      <c r="F388" s="107"/>
      <c r="G388" s="208"/>
      <c r="H388" s="131"/>
      <c r="I388" s="211"/>
      <c r="J388" s="107"/>
      <c r="K388" s="202"/>
      <c r="L388" s="107"/>
      <c r="M388" s="107"/>
      <c r="N388" s="206"/>
      <c r="O388" s="108" t="b">
        <v>0</v>
      </c>
      <c r="P388" s="207"/>
      <c r="Q388" s="140"/>
      <c r="R388" s="140"/>
      <c r="S388" s="140"/>
      <c r="T388" s="140"/>
      <c r="U388" s="140"/>
      <c r="V388" s="140"/>
      <c r="W388" s="140"/>
      <c r="X388" s="140"/>
      <c r="Y388" s="140"/>
      <c r="Z388" s="140"/>
      <c r="AA388" s="140"/>
      <c r="AB388" s="140"/>
      <c r="AC388" s="140"/>
      <c r="AD388" s="140"/>
      <c r="AE388" s="140"/>
      <c r="AF388" s="140"/>
      <c r="AG388" s="140"/>
      <c r="AH388" s="140"/>
      <c r="AI388" s="140"/>
      <c r="AJ388" s="140"/>
      <c r="AK388" s="140"/>
      <c r="AL388" s="140"/>
      <c r="AM388" s="140"/>
      <c r="AN388" s="140"/>
      <c r="AO388" s="140"/>
      <c r="AP388" s="140"/>
      <c r="AQ388" s="140"/>
      <c r="AR388" s="140"/>
      <c r="AS388" s="140"/>
      <c r="AT388" s="140"/>
      <c r="AU388" s="140"/>
      <c r="AV388" s="140"/>
      <c r="AW388" s="140"/>
      <c r="AX388" s="140"/>
      <c r="AY388" s="140"/>
      <c r="AZ388" s="140"/>
      <c r="BA388" s="140"/>
      <c r="BB388" s="140"/>
      <c r="BC388" s="140"/>
      <c r="BD388" s="140"/>
      <c r="BE388" s="140"/>
    </row>
    <row r="389">
      <c r="A389" s="108"/>
      <c r="B389" s="107"/>
      <c r="C389" s="107"/>
      <c r="D389" s="107"/>
      <c r="E389" s="107"/>
      <c r="F389" s="107"/>
      <c r="G389" s="208"/>
      <c r="H389" s="131"/>
      <c r="I389" s="211"/>
      <c r="J389" s="107"/>
      <c r="K389" s="202"/>
      <c r="L389" s="107"/>
      <c r="M389" s="107"/>
      <c r="N389" s="206"/>
      <c r="O389" s="108" t="b">
        <v>0</v>
      </c>
      <c r="P389" s="207"/>
      <c r="Q389" s="140"/>
      <c r="R389" s="140"/>
      <c r="S389" s="140"/>
      <c r="T389" s="14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row>
    <row r="390">
      <c r="A390" s="108"/>
      <c r="B390" s="107"/>
      <c r="C390" s="107"/>
      <c r="D390" s="107"/>
      <c r="E390" s="107"/>
      <c r="F390" s="107"/>
      <c r="G390" s="208"/>
      <c r="H390" s="131"/>
      <c r="I390" s="211"/>
      <c r="J390" s="107"/>
      <c r="K390" s="202"/>
      <c r="L390" s="107"/>
      <c r="M390" s="107"/>
      <c r="N390" s="206"/>
      <c r="O390" s="108" t="b">
        <v>0</v>
      </c>
      <c r="P390" s="207"/>
      <c r="Q390" s="140"/>
      <c r="R390" s="140"/>
      <c r="S390" s="140"/>
      <c r="T390" s="140"/>
      <c r="U390" s="140"/>
      <c r="V390" s="140"/>
      <c r="W390" s="140"/>
      <c r="X390" s="140"/>
      <c r="Y390" s="140"/>
      <c r="Z390" s="140"/>
      <c r="AA390" s="140"/>
      <c r="AB390" s="140"/>
      <c r="AC390" s="140"/>
      <c r="AD390" s="140"/>
      <c r="AE390" s="140"/>
      <c r="AF390" s="140"/>
      <c r="AG390" s="140"/>
      <c r="AH390" s="140"/>
      <c r="AI390" s="140"/>
      <c r="AJ390" s="140"/>
      <c r="AK390" s="140"/>
      <c r="AL390" s="140"/>
      <c r="AM390" s="140"/>
      <c r="AN390" s="140"/>
      <c r="AO390" s="140"/>
      <c r="AP390" s="140"/>
      <c r="AQ390" s="140"/>
      <c r="AR390" s="140"/>
      <c r="AS390" s="140"/>
      <c r="AT390" s="140"/>
      <c r="AU390" s="140"/>
      <c r="AV390" s="140"/>
      <c r="AW390" s="140"/>
      <c r="AX390" s="140"/>
      <c r="AY390" s="140"/>
      <c r="AZ390" s="140"/>
      <c r="BA390" s="140"/>
      <c r="BB390" s="140"/>
      <c r="BC390" s="140"/>
      <c r="BD390" s="140"/>
      <c r="BE390" s="140"/>
    </row>
    <row r="391">
      <c r="A391" s="108"/>
      <c r="B391" s="107"/>
      <c r="C391" s="107"/>
      <c r="D391" s="107"/>
      <c r="E391" s="107"/>
      <c r="F391" s="107"/>
      <c r="G391" s="208"/>
      <c r="H391" s="131"/>
      <c r="I391" s="211"/>
      <c r="J391" s="107"/>
      <c r="K391" s="202"/>
      <c r="L391" s="107"/>
      <c r="M391" s="107"/>
      <c r="N391" s="206"/>
      <c r="O391" s="108" t="b">
        <v>0</v>
      </c>
      <c r="P391" s="207"/>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row>
    <row r="392">
      <c r="A392" s="108"/>
      <c r="B392" s="107"/>
      <c r="C392" s="107"/>
      <c r="D392" s="107"/>
      <c r="E392" s="107"/>
      <c r="F392" s="107"/>
      <c r="G392" s="208"/>
      <c r="H392" s="131"/>
      <c r="I392" s="211"/>
      <c r="J392" s="107"/>
      <c r="K392" s="202"/>
      <c r="L392" s="107"/>
      <c r="M392" s="107"/>
      <c r="N392" s="206"/>
      <c r="O392" s="108" t="b">
        <v>0</v>
      </c>
      <c r="P392" s="207"/>
      <c r="Q392" s="140"/>
      <c r="R392" s="140"/>
      <c r="S392" s="140"/>
      <c r="T392" s="140"/>
      <c r="U392" s="140"/>
      <c r="V392" s="140"/>
      <c r="W392" s="140"/>
      <c r="X392" s="140"/>
      <c r="Y392" s="140"/>
      <c r="Z392" s="140"/>
      <c r="AA392" s="140"/>
      <c r="AB392" s="140"/>
      <c r="AC392" s="140"/>
      <c r="AD392" s="140"/>
      <c r="AE392" s="140"/>
      <c r="AF392" s="140"/>
      <c r="AG392" s="140"/>
      <c r="AH392" s="140"/>
      <c r="AI392" s="140"/>
      <c r="AJ392" s="140"/>
      <c r="AK392" s="140"/>
      <c r="AL392" s="140"/>
      <c r="AM392" s="140"/>
      <c r="AN392" s="140"/>
      <c r="AO392" s="140"/>
      <c r="AP392" s="140"/>
      <c r="AQ392" s="140"/>
      <c r="AR392" s="140"/>
      <c r="AS392" s="140"/>
      <c r="AT392" s="140"/>
      <c r="AU392" s="140"/>
      <c r="AV392" s="140"/>
      <c r="AW392" s="140"/>
      <c r="AX392" s="140"/>
      <c r="AY392" s="140"/>
      <c r="AZ392" s="140"/>
      <c r="BA392" s="140"/>
      <c r="BB392" s="140"/>
      <c r="BC392" s="140"/>
      <c r="BD392" s="140"/>
      <c r="BE392" s="140"/>
    </row>
    <row r="393">
      <c r="A393" s="108"/>
      <c r="B393" s="107"/>
      <c r="C393" s="107"/>
      <c r="D393" s="107"/>
      <c r="E393" s="107"/>
      <c r="F393" s="107"/>
      <c r="G393" s="208"/>
      <c r="H393" s="131"/>
      <c r="I393" s="211"/>
      <c r="J393" s="107"/>
      <c r="K393" s="202"/>
      <c r="L393" s="107"/>
      <c r="M393" s="107"/>
      <c r="N393" s="206"/>
      <c r="O393" s="108" t="b">
        <v>0</v>
      </c>
      <c r="P393" s="207"/>
      <c r="Q393" s="140"/>
      <c r="R393" s="140"/>
      <c r="S393" s="140"/>
      <c r="T393" s="140"/>
      <c r="U393" s="140"/>
      <c r="V393" s="140"/>
      <c r="W393" s="140"/>
      <c r="X393" s="140"/>
      <c r="Y393" s="140"/>
      <c r="Z393" s="140"/>
      <c r="AA393" s="140"/>
      <c r="AB393" s="140"/>
      <c r="AC393" s="140"/>
      <c r="AD393" s="140"/>
      <c r="AE393" s="140"/>
      <c r="AF393" s="140"/>
      <c r="AG393" s="140"/>
      <c r="AH393" s="140"/>
      <c r="AI393" s="140"/>
      <c r="AJ393" s="140"/>
      <c r="AK393" s="140"/>
      <c r="AL393" s="140"/>
      <c r="AM393" s="140"/>
      <c r="AN393" s="140"/>
      <c r="AO393" s="140"/>
      <c r="AP393" s="140"/>
      <c r="AQ393" s="140"/>
      <c r="AR393" s="140"/>
      <c r="AS393" s="140"/>
      <c r="AT393" s="140"/>
      <c r="AU393" s="140"/>
      <c r="AV393" s="140"/>
      <c r="AW393" s="140"/>
      <c r="AX393" s="140"/>
      <c r="AY393" s="140"/>
      <c r="AZ393" s="140"/>
      <c r="BA393" s="140"/>
      <c r="BB393" s="140"/>
      <c r="BC393" s="140"/>
      <c r="BD393" s="140"/>
      <c r="BE393" s="140"/>
    </row>
    <row r="394">
      <c r="A394" s="108"/>
      <c r="B394" s="107"/>
      <c r="C394" s="107"/>
      <c r="D394" s="107"/>
      <c r="E394" s="107"/>
      <c r="F394" s="107"/>
      <c r="G394" s="208"/>
      <c r="H394" s="131"/>
      <c r="I394" s="211"/>
      <c r="J394" s="107"/>
      <c r="K394" s="202"/>
      <c r="L394" s="107"/>
      <c r="M394" s="107"/>
      <c r="N394" s="206"/>
      <c r="O394" s="108" t="b">
        <v>0</v>
      </c>
      <c r="P394" s="207"/>
      <c r="Q394" s="140"/>
      <c r="R394" s="140"/>
      <c r="S394" s="140"/>
      <c r="T394" s="140"/>
      <c r="U394" s="140"/>
      <c r="V394" s="140"/>
      <c r="W394" s="140"/>
      <c r="X394" s="140"/>
      <c r="Y394" s="140"/>
      <c r="Z394" s="140"/>
      <c r="AA394" s="140"/>
      <c r="AB394" s="140"/>
      <c r="AC394" s="140"/>
      <c r="AD394" s="140"/>
      <c r="AE394" s="140"/>
      <c r="AF394" s="140"/>
      <c r="AG394" s="140"/>
      <c r="AH394" s="140"/>
      <c r="AI394" s="140"/>
      <c r="AJ394" s="140"/>
      <c r="AK394" s="140"/>
      <c r="AL394" s="140"/>
      <c r="AM394" s="140"/>
      <c r="AN394" s="140"/>
      <c r="AO394" s="140"/>
      <c r="AP394" s="140"/>
      <c r="AQ394" s="140"/>
      <c r="AR394" s="140"/>
      <c r="AS394" s="140"/>
      <c r="AT394" s="140"/>
      <c r="AU394" s="140"/>
      <c r="AV394" s="140"/>
      <c r="AW394" s="140"/>
      <c r="AX394" s="140"/>
      <c r="AY394" s="140"/>
      <c r="AZ394" s="140"/>
      <c r="BA394" s="140"/>
      <c r="BB394" s="140"/>
      <c r="BC394" s="140"/>
      <c r="BD394" s="140"/>
      <c r="BE394" s="140"/>
    </row>
    <row r="395">
      <c r="A395" s="108"/>
      <c r="B395" s="107"/>
      <c r="C395" s="107"/>
      <c r="D395" s="107"/>
      <c r="E395" s="107"/>
      <c r="F395" s="107"/>
      <c r="G395" s="208"/>
      <c r="H395" s="131"/>
      <c r="I395" s="211"/>
      <c r="J395" s="107"/>
      <c r="K395" s="202"/>
      <c r="L395" s="107"/>
      <c r="M395" s="107"/>
      <c r="N395" s="206"/>
      <c r="O395" s="108" t="b">
        <v>0</v>
      </c>
      <c r="P395" s="207"/>
      <c r="Q395" s="140"/>
      <c r="R395" s="140"/>
      <c r="S395" s="140"/>
      <c r="T395" s="14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140"/>
      <c r="BC395" s="140"/>
      <c r="BD395" s="140"/>
      <c r="BE395" s="140"/>
    </row>
    <row r="396">
      <c r="A396" s="108"/>
      <c r="B396" s="107"/>
      <c r="C396" s="107"/>
      <c r="D396" s="107"/>
      <c r="E396" s="107"/>
      <c r="F396" s="107"/>
      <c r="G396" s="208"/>
      <c r="H396" s="131"/>
      <c r="I396" s="211"/>
      <c r="J396" s="107"/>
      <c r="K396" s="202"/>
      <c r="L396" s="107"/>
      <c r="M396" s="107"/>
      <c r="N396" s="206"/>
      <c r="O396" s="108" t="b">
        <v>0</v>
      </c>
      <c r="P396" s="207"/>
      <c r="Q396" s="140"/>
      <c r="R396" s="140"/>
      <c r="S396" s="140"/>
      <c r="T396" s="140"/>
      <c r="U396" s="140"/>
      <c r="V396" s="140"/>
      <c r="W396" s="140"/>
      <c r="X396" s="140"/>
      <c r="Y396" s="140"/>
      <c r="Z396" s="140"/>
      <c r="AA396" s="140"/>
      <c r="AB396" s="140"/>
      <c r="AC396" s="140"/>
      <c r="AD396" s="140"/>
      <c r="AE396" s="140"/>
      <c r="AF396" s="140"/>
      <c r="AG396" s="140"/>
      <c r="AH396" s="140"/>
      <c r="AI396" s="140"/>
      <c r="AJ396" s="140"/>
      <c r="AK396" s="140"/>
      <c r="AL396" s="140"/>
      <c r="AM396" s="140"/>
      <c r="AN396" s="140"/>
      <c r="AO396" s="140"/>
      <c r="AP396" s="140"/>
      <c r="AQ396" s="140"/>
      <c r="AR396" s="140"/>
      <c r="AS396" s="140"/>
      <c r="AT396" s="140"/>
      <c r="AU396" s="140"/>
      <c r="AV396" s="140"/>
      <c r="AW396" s="140"/>
      <c r="AX396" s="140"/>
      <c r="AY396" s="140"/>
      <c r="AZ396" s="140"/>
      <c r="BA396" s="140"/>
      <c r="BB396" s="140"/>
      <c r="BC396" s="140"/>
      <c r="BD396" s="140"/>
      <c r="BE396" s="140"/>
    </row>
    <row r="397">
      <c r="A397" s="108"/>
      <c r="B397" s="107"/>
      <c r="C397" s="107"/>
      <c r="D397" s="107"/>
      <c r="E397" s="107"/>
      <c r="F397" s="107"/>
      <c r="G397" s="208"/>
      <c r="H397" s="131"/>
      <c r="I397" s="211"/>
      <c r="J397" s="107"/>
      <c r="K397" s="202"/>
      <c r="L397" s="107"/>
      <c r="M397" s="107"/>
      <c r="N397" s="206"/>
      <c r="O397" s="108" t="b">
        <v>0</v>
      </c>
      <c r="P397" s="207"/>
      <c r="Q397" s="140"/>
      <c r="R397" s="140"/>
      <c r="S397" s="140"/>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0"/>
      <c r="BC397" s="140"/>
      <c r="BD397" s="140"/>
      <c r="BE397" s="140"/>
    </row>
    <row r="398">
      <c r="A398" s="108"/>
      <c r="B398" s="107"/>
      <c r="C398" s="107"/>
      <c r="D398" s="107"/>
      <c r="E398" s="107"/>
      <c r="F398" s="107"/>
      <c r="G398" s="208"/>
      <c r="H398" s="131"/>
      <c r="I398" s="211"/>
      <c r="J398" s="107"/>
      <c r="K398" s="202"/>
      <c r="L398" s="107"/>
      <c r="M398" s="107"/>
      <c r="N398" s="206"/>
      <c r="O398" s="108" t="b">
        <v>0</v>
      </c>
      <c r="P398" s="207"/>
      <c r="Q398" s="140"/>
      <c r="R398" s="140"/>
      <c r="S398" s="140"/>
      <c r="T398" s="140"/>
      <c r="U398" s="140"/>
      <c r="V398" s="140"/>
      <c r="W398" s="140"/>
      <c r="X398" s="140"/>
      <c r="Y398" s="140"/>
      <c r="Z398" s="140"/>
      <c r="AA398" s="140"/>
      <c r="AB398" s="140"/>
      <c r="AC398" s="140"/>
      <c r="AD398" s="140"/>
      <c r="AE398" s="140"/>
      <c r="AF398" s="140"/>
      <c r="AG398" s="140"/>
      <c r="AH398" s="140"/>
      <c r="AI398" s="140"/>
      <c r="AJ398" s="140"/>
      <c r="AK398" s="140"/>
      <c r="AL398" s="140"/>
      <c r="AM398" s="140"/>
      <c r="AN398" s="140"/>
      <c r="AO398" s="140"/>
      <c r="AP398" s="140"/>
      <c r="AQ398" s="140"/>
      <c r="AR398" s="140"/>
      <c r="AS398" s="140"/>
      <c r="AT398" s="140"/>
      <c r="AU398" s="140"/>
      <c r="AV398" s="140"/>
      <c r="AW398" s="140"/>
      <c r="AX398" s="140"/>
      <c r="AY398" s="140"/>
      <c r="AZ398" s="140"/>
      <c r="BA398" s="140"/>
      <c r="BB398" s="140"/>
      <c r="BC398" s="140"/>
      <c r="BD398" s="140"/>
      <c r="BE398" s="140"/>
    </row>
    <row r="399">
      <c r="A399" s="108"/>
      <c r="B399" s="107"/>
      <c r="C399" s="107"/>
      <c r="D399" s="107"/>
      <c r="E399" s="107"/>
      <c r="F399" s="107"/>
      <c r="G399" s="208"/>
      <c r="H399" s="131"/>
      <c r="I399" s="211"/>
      <c r="J399" s="107"/>
      <c r="K399" s="202"/>
      <c r="L399" s="107"/>
      <c r="M399" s="107"/>
      <c r="N399" s="206"/>
      <c r="O399" s="108" t="b">
        <v>0</v>
      </c>
      <c r="P399" s="207"/>
      <c r="Q399" s="140"/>
      <c r="R399" s="140"/>
      <c r="S399" s="140"/>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0"/>
      <c r="BC399" s="140"/>
      <c r="BD399" s="140"/>
      <c r="BE399" s="140"/>
    </row>
    <row r="400">
      <c r="A400" s="108"/>
      <c r="B400" s="107"/>
      <c r="C400" s="107"/>
      <c r="D400" s="107"/>
      <c r="E400" s="107"/>
      <c r="F400" s="107"/>
      <c r="G400" s="208"/>
      <c r="H400" s="131"/>
      <c r="I400" s="211"/>
      <c r="J400" s="107"/>
      <c r="K400" s="202"/>
      <c r="L400" s="107"/>
      <c r="M400" s="107"/>
      <c r="N400" s="206"/>
      <c r="O400" s="108" t="b">
        <v>0</v>
      </c>
      <c r="P400" s="207"/>
      <c r="Q400" s="140"/>
      <c r="R400" s="140"/>
      <c r="S400" s="140"/>
      <c r="T400" s="140"/>
      <c r="U400" s="140"/>
      <c r="V400" s="140"/>
      <c r="W400" s="140"/>
      <c r="X400" s="140"/>
      <c r="Y400" s="140"/>
      <c r="Z400" s="140"/>
      <c r="AA400" s="140"/>
      <c r="AB400" s="140"/>
      <c r="AC400" s="140"/>
      <c r="AD400" s="140"/>
      <c r="AE400" s="140"/>
      <c r="AF400" s="140"/>
      <c r="AG400" s="140"/>
      <c r="AH400" s="140"/>
      <c r="AI400" s="140"/>
      <c r="AJ400" s="140"/>
      <c r="AK400" s="140"/>
      <c r="AL400" s="140"/>
      <c r="AM400" s="140"/>
      <c r="AN400" s="140"/>
      <c r="AO400" s="140"/>
      <c r="AP400" s="140"/>
      <c r="AQ400" s="140"/>
      <c r="AR400" s="140"/>
      <c r="AS400" s="140"/>
      <c r="AT400" s="140"/>
      <c r="AU400" s="140"/>
      <c r="AV400" s="140"/>
      <c r="AW400" s="140"/>
      <c r="AX400" s="140"/>
      <c r="AY400" s="140"/>
      <c r="AZ400" s="140"/>
      <c r="BA400" s="140"/>
      <c r="BB400" s="140"/>
      <c r="BC400" s="140"/>
      <c r="BD400" s="140"/>
      <c r="BE400" s="140"/>
    </row>
    <row r="401">
      <c r="A401" s="108"/>
      <c r="B401" s="107"/>
      <c r="C401" s="107"/>
      <c r="D401" s="107"/>
      <c r="E401" s="107"/>
      <c r="F401" s="107"/>
      <c r="G401" s="208"/>
      <c r="H401" s="131"/>
      <c r="I401" s="211"/>
      <c r="J401" s="107"/>
      <c r="K401" s="202"/>
      <c r="L401" s="107"/>
      <c r="M401" s="107"/>
      <c r="N401" s="206"/>
      <c r="O401" s="108" t="b">
        <v>0</v>
      </c>
      <c r="P401" s="207"/>
      <c r="Q401" s="140"/>
      <c r="R401" s="140"/>
      <c r="S401" s="140"/>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row>
    <row r="402">
      <c r="A402" s="108"/>
      <c r="B402" s="107"/>
      <c r="C402" s="107"/>
      <c r="D402" s="107"/>
      <c r="E402" s="107"/>
      <c r="F402" s="107"/>
      <c r="G402" s="208"/>
      <c r="H402" s="131"/>
      <c r="I402" s="211"/>
      <c r="J402" s="107"/>
      <c r="K402" s="202"/>
      <c r="L402" s="107"/>
      <c r="M402" s="107"/>
      <c r="N402" s="206"/>
      <c r="O402" s="108" t="b">
        <v>0</v>
      </c>
      <c r="P402" s="207"/>
      <c r="Q402" s="140"/>
      <c r="R402" s="140"/>
      <c r="S402" s="140"/>
      <c r="T402" s="140"/>
      <c r="U402" s="140"/>
      <c r="V402" s="140"/>
      <c r="W402" s="140"/>
      <c r="X402" s="140"/>
      <c r="Y402" s="140"/>
      <c r="Z402" s="140"/>
      <c r="AA402" s="140"/>
      <c r="AB402" s="140"/>
      <c r="AC402" s="140"/>
      <c r="AD402" s="140"/>
      <c r="AE402" s="140"/>
      <c r="AF402" s="140"/>
      <c r="AG402" s="140"/>
      <c r="AH402" s="140"/>
      <c r="AI402" s="140"/>
      <c r="AJ402" s="140"/>
      <c r="AK402" s="140"/>
      <c r="AL402" s="140"/>
      <c r="AM402" s="140"/>
      <c r="AN402" s="140"/>
      <c r="AO402" s="140"/>
      <c r="AP402" s="140"/>
      <c r="AQ402" s="140"/>
      <c r="AR402" s="140"/>
      <c r="AS402" s="140"/>
      <c r="AT402" s="140"/>
      <c r="AU402" s="140"/>
      <c r="AV402" s="140"/>
      <c r="AW402" s="140"/>
      <c r="AX402" s="140"/>
      <c r="AY402" s="140"/>
      <c r="AZ402" s="140"/>
      <c r="BA402" s="140"/>
      <c r="BB402" s="140"/>
      <c r="BC402" s="140"/>
      <c r="BD402" s="140"/>
      <c r="BE402" s="140"/>
    </row>
    <row r="403">
      <c r="A403" s="108"/>
      <c r="B403" s="107"/>
      <c r="C403" s="107"/>
      <c r="D403" s="107"/>
      <c r="E403" s="107"/>
      <c r="F403" s="107"/>
      <c r="G403" s="208"/>
      <c r="H403" s="131"/>
      <c r="I403" s="211"/>
      <c r="J403" s="107"/>
      <c r="K403" s="202"/>
      <c r="L403" s="107"/>
      <c r="M403" s="107"/>
      <c r="N403" s="206"/>
      <c r="O403" s="108" t="b">
        <v>0</v>
      </c>
      <c r="P403" s="207"/>
      <c r="Q403" s="140"/>
      <c r="R403" s="140"/>
      <c r="S403" s="140"/>
      <c r="T403" s="14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0"/>
      <c r="BC403" s="140"/>
      <c r="BD403" s="140"/>
      <c r="BE403" s="140"/>
    </row>
    <row r="404">
      <c r="A404" s="108"/>
      <c r="B404" s="107"/>
      <c r="C404" s="107"/>
      <c r="D404" s="107"/>
      <c r="E404" s="107"/>
      <c r="F404" s="107"/>
      <c r="G404" s="208"/>
      <c r="H404" s="131"/>
      <c r="I404" s="211"/>
      <c r="J404" s="107"/>
      <c r="K404" s="202"/>
      <c r="L404" s="107"/>
      <c r="M404" s="107"/>
      <c r="N404" s="206"/>
      <c r="O404" s="108" t="b">
        <v>0</v>
      </c>
      <c r="P404" s="207"/>
      <c r="Q404" s="140"/>
      <c r="R404" s="140"/>
      <c r="S404" s="140"/>
      <c r="T404" s="140"/>
      <c r="U404" s="140"/>
      <c r="V404" s="140"/>
      <c r="W404" s="140"/>
      <c r="X404" s="140"/>
      <c r="Y404" s="140"/>
      <c r="Z404" s="140"/>
      <c r="AA404" s="140"/>
      <c r="AB404" s="140"/>
      <c r="AC404" s="140"/>
      <c r="AD404" s="140"/>
      <c r="AE404" s="140"/>
      <c r="AF404" s="140"/>
      <c r="AG404" s="140"/>
      <c r="AH404" s="140"/>
      <c r="AI404" s="140"/>
      <c r="AJ404" s="140"/>
      <c r="AK404" s="140"/>
      <c r="AL404" s="140"/>
      <c r="AM404" s="140"/>
      <c r="AN404" s="140"/>
      <c r="AO404" s="140"/>
      <c r="AP404" s="140"/>
      <c r="AQ404" s="140"/>
      <c r="AR404" s="140"/>
      <c r="AS404" s="140"/>
      <c r="AT404" s="140"/>
      <c r="AU404" s="140"/>
      <c r="AV404" s="140"/>
      <c r="AW404" s="140"/>
      <c r="AX404" s="140"/>
      <c r="AY404" s="140"/>
      <c r="AZ404" s="140"/>
      <c r="BA404" s="140"/>
      <c r="BB404" s="140"/>
      <c r="BC404" s="140"/>
      <c r="BD404" s="140"/>
      <c r="BE404" s="140"/>
    </row>
    <row r="405">
      <c r="A405" s="108"/>
      <c r="B405" s="107"/>
      <c r="C405" s="107"/>
      <c r="D405" s="107"/>
      <c r="E405" s="107"/>
      <c r="F405" s="107"/>
      <c r="G405" s="208"/>
      <c r="H405" s="131"/>
      <c r="I405" s="211"/>
      <c r="J405" s="107"/>
      <c r="K405" s="202"/>
      <c r="L405" s="107"/>
      <c r="M405" s="107"/>
      <c r="N405" s="206"/>
      <c r="O405" s="108" t="b">
        <v>0</v>
      </c>
      <c r="P405" s="207"/>
      <c r="Q405" s="140"/>
      <c r="R405" s="140"/>
      <c r="S405" s="140"/>
      <c r="T405" s="140"/>
      <c r="U405" s="140"/>
      <c r="V405" s="140"/>
      <c r="W405" s="140"/>
      <c r="X405" s="140"/>
      <c r="Y405" s="140"/>
      <c r="Z405" s="140"/>
      <c r="AA405" s="140"/>
      <c r="AB405" s="140"/>
      <c r="AC405" s="140"/>
      <c r="AD405" s="140"/>
      <c r="AE405" s="140"/>
      <c r="AF405" s="140"/>
      <c r="AG405" s="140"/>
      <c r="AH405" s="140"/>
      <c r="AI405" s="140"/>
      <c r="AJ405" s="140"/>
      <c r="AK405" s="140"/>
      <c r="AL405" s="140"/>
      <c r="AM405" s="140"/>
      <c r="AN405" s="140"/>
      <c r="AO405" s="140"/>
      <c r="AP405" s="140"/>
      <c r="AQ405" s="140"/>
      <c r="AR405" s="140"/>
      <c r="AS405" s="140"/>
      <c r="AT405" s="140"/>
      <c r="AU405" s="140"/>
      <c r="AV405" s="140"/>
      <c r="AW405" s="140"/>
      <c r="AX405" s="140"/>
      <c r="AY405" s="140"/>
      <c r="AZ405" s="140"/>
      <c r="BA405" s="140"/>
      <c r="BB405" s="140"/>
      <c r="BC405" s="140"/>
      <c r="BD405" s="140"/>
      <c r="BE405" s="140"/>
    </row>
    <row r="406">
      <c r="A406" s="108"/>
      <c r="B406" s="107"/>
      <c r="C406" s="107"/>
      <c r="D406" s="107"/>
      <c r="E406" s="107"/>
      <c r="F406" s="107"/>
      <c r="G406" s="208"/>
      <c r="H406" s="131"/>
      <c r="I406" s="211"/>
      <c r="J406" s="107"/>
      <c r="K406" s="202"/>
      <c r="L406" s="107"/>
      <c r="M406" s="107"/>
      <c r="N406" s="206"/>
      <c r="O406" s="108" t="b">
        <v>0</v>
      </c>
      <c r="P406" s="207"/>
      <c r="Q406" s="140"/>
      <c r="R406" s="140"/>
      <c r="S406" s="140"/>
      <c r="T406" s="140"/>
      <c r="U406" s="140"/>
      <c r="V406" s="140"/>
      <c r="W406" s="140"/>
      <c r="X406" s="140"/>
      <c r="Y406" s="140"/>
      <c r="Z406" s="140"/>
      <c r="AA406" s="140"/>
      <c r="AB406" s="140"/>
      <c r="AC406" s="140"/>
      <c r="AD406" s="140"/>
      <c r="AE406" s="140"/>
      <c r="AF406" s="140"/>
      <c r="AG406" s="140"/>
      <c r="AH406" s="140"/>
      <c r="AI406" s="140"/>
      <c r="AJ406" s="140"/>
      <c r="AK406" s="140"/>
      <c r="AL406" s="140"/>
      <c r="AM406" s="140"/>
      <c r="AN406" s="140"/>
      <c r="AO406" s="140"/>
      <c r="AP406" s="140"/>
      <c r="AQ406" s="140"/>
      <c r="AR406" s="140"/>
      <c r="AS406" s="140"/>
      <c r="AT406" s="140"/>
      <c r="AU406" s="140"/>
      <c r="AV406" s="140"/>
      <c r="AW406" s="140"/>
      <c r="AX406" s="140"/>
      <c r="AY406" s="140"/>
      <c r="AZ406" s="140"/>
      <c r="BA406" s="140"/>
      <c r="BB406" s="140"/>
      <c r="BC406" s="140"/>
      <c r="BD406" s="140"/>
      <c r="BE406" s="140"/>
    </row>
    <row r="407">
      <c r="A407" s="108"/>
      <c r="B407" s="107"/>
      <c r="C407" s="107"/>
      <c r="D407" s="107"/>
      <c r="E407" s="107"/>
      <c r="F407" s="107"/>
      <c r="G407" s="208"/>
      <c r="H407" s="131"/>
      <c r="I407" s="211"/>
      <c r="J407" s="107"/>
      <c r="K407" s="202"/>
      <c r="L407" s="107"/>
      <c r="M407" s="107"/>
      <c r="N407" s="206"/>
      <c r="O407" s="108" t="b">
        <v>0</v>
      </c>
      <c r="P407" s="207"/>
      <c r="Q407" s="140"/>
      <c r="R407" s="140"/>
      <c r="S407" s="140"/>
      <c r="T407" s="140"/>
      <c r="U407" s="140"/>
      <c r="V407" s="140"/>
      <c r="W407" s="140"/>
      <c r="X407" s="140"/>
      <c r="Y407" s="140"/>
      <c r="Z407" s="140"/>
      <c r="AA407" s="140"/>
      <c r="AB407" s="140"/>
      <c r="AC407" s="140"/>
      <c r="AD407" s="140"/>
      <c r="AE407" s="140"/>
      <c r="AF407" s="140"/>
      <c r="AG407" s="140"/>
      <c r="AH407" s="140"/>
      <c r="AI407" s="140"/>
      <c r="AJ407" s="140"/>
      <c r="AK407" s="140"/>
      <c r="AL407" s="140"/>
      <c r="AM407" s="140"/>
      <c r="AN407" s="140"/>
      <c r="AO407" s="140"/>
      <c r="AP407" s="140"/>
      <c r="AQ407" s="140"/>
      <c r="AR407" s="140"/>
      <c r="AS407" s="140"/>
      <c r="AT407" s="140"/>
      <c r="AU407" s="140"/>
      <c r="AV407" s="140"/>
      <c r="AW407" s="140"/>
      <c r="AX407" s="140"/>
      <c r="AY407" s="140"/>
      <c r="AZ407" s="140"/>
      <c r="BA407" s="140"/>
      <c r="BB407" s="140"/>
      <c r="BC407" s="140"/>
      <c r="BD407" s="140"/>
      <c r="BE407" s="140"/>
    </row>
    <row r="408">
      <c r="A408" s="108"/>
      <c r="B408" s="107"/>
      <c r="C408" s="107"/>
      <c r="D408" s="107"/>
      <c r="E408" s="107"/>
      <c r="F408" s="107"/>
      <c r="G408" s="208"/>
      <c r="H408" s="131"/>
      <c r="I408" s="211"/>
      <c r="J408" s="107"/>
      <c r="K408" s="202"/>
      <c r="L408" s="107"/>
      <c r="M408" s="107"/>
      <c r="N408" s="206"/>
      <c r="O408" s="108" t="b">
        <v>0</v>
      </c>
      <c r="P408" s="207"/>
      <c r="Q408" s="140"/>
      <c r="R408" s="140"/>
      <c r="S408" s="140"/>
      <c r="T408" s="140"/>
      <c r="U408" s="140"/>
      <c r="V408" s="140"/>
      <c r="W408" s="140"/>
      <c r="X408" s="140"/>
      <c r="Y408" s="140"/>
      <c r="Z408" s="140"/>
      <c r="AA408" s="140"/>
      <c r="AB408" s="140"/>
      <c r="AC408" s="140"/>
      <c r="AD408" s="140"/>
      <c r="AE408" s="140"/>
      <c r="AF408" s="140"/>
      <c r="AG408" s="140"/>
      <c r="AH408" s="140"/>
      <c r="AI408" s="140"/>
      <c r="AJ408" s="140"/>
      <c r="AK408" s="140"/>
      <c r="AL408" s="140"/>
      <c r="AM408" s="140"/>
      <c r="AN408" s="140"/>
      <c r="AO408" s="140"/>
      <c r="AP408" s="140"/>
      <c r="AQ408" s="140"/>
      <c r="AR408" s="140"/>
      <c r="AS408" s="140"/>
      <c r="AT408" s="140"/>
      <c r="AU408" s="140"/>
      <c r="AV408" s="140"/>
      <c r="AW408" s="140"/>
      <c r="AX408" s="140"/>
      <c r="AY408" s="140"/>
      <c r="AZ408" s="140"/>
      <c r="BA408" s="140"/>
      <c r="BB408" s="140"/>
      <c r="BC408" s="140"/>
      <c r="BD408" s="140"/>
      <c r="BE408" s="140"/>
    </row>
    <row r="409">
      <c r="A409" s="108"/>
      <c r="B409" s="107"/>
      <c r="C409" s="107"/>
      <c r="D409" s="107"/>
      <c r="E409" s="107"/>
      <c r="F409" s="107"/>
      <c r="G409" s="208"/>
      <c r="H409" s="131"/>
      <c r="I409" s="211"/>
      <c r="J409" s="107"/>
      <c r="K409" s="202"/>
      <c r="L409" s="107"/>
      <c r="M409" s="107"/>
      <c r="N409" s="206"/>
      <c r="O409" s="108" t="b">
        <v>0</v>
      </c>
      <c r="P409" s="207"/>
      <c r="Q409" s="140"/>
      <c r="R409" s="140"/>
      <c r="S409" s="140"/>
      <c r="T409" s="140"/>
      <c r="U409" s="140"/>
      <c r="V409" s="140"/>
      <c r="W409" s="140"/>
      <c r="X409" s="140"/>
      <c r="Y409" s="140"/>
      <c r="Z409" s="140"/>
      <c r="AA409" s="140"/>
      <c r="AB409" s="140"/>
      <c r="AC409" s="140"/>
      <c r="AD409" s="140"/>
      <c r="AE409" s="140"/>
      <c r="AF409" s="140"/>
      <c r="AG409" s="140"/>
      <c r="AH409" s="140"/>
      <c r="AI409" s="140"/>
      <c r="AJ409" s="140"/>
      <c r="AK409" s="140"/>
      <c r="AL409" s="140"/>
      <c r="AM409" s="140"/>
      <c r="AN409" s="140"/>
      <c r="AO409" s="140"/>
      <c r="AP409" s="140"/>
      <c r="AQ409" s="140"/>
      <c r="AR409" s="140"/>
      <c r="AS409" s="140"/>
      <c r="AT409" s="140"/>
      <c r="AU409" s="140"/>
      <c r="AV409" s="140"/>
      <c r="AW409" s="140"/>
      <c r="AX409" s="140"/>
      <c r="AY409" s="140"/>
      <c r="AZ409" s="140"/>
      <c r="BA409" s="140"/>
      <c r="BB409" s="140"/>
      <c r="BC409" s="140"/>
      <c r="BD409" s="140"/>
      <c r="BE409" s="140"/>
    </row>
    <row r="410">
      <c r="A410" s="108"/>
      <c r="B410" s="107"/>
      <c r="C410" s="107"/>
      <c r="D410" s="107"/>
      <c r="E410" s="107"/>
      <c r="F410" s="107"/>
      <c r="G410" s="208"/>
      <c r="H410" s="131"/>
      <c r="I410" s="211"/>
      <c r="J410" s="107"/>
      <c r="K410" s="202"/>
      <c r="L410" s="107"/>
      <c r="M410" s="107"/>
      <c r="N410" s="206"/>
      <c r="O410" s="108" t="b">
        <v>0</v>
      </c>
      <c r="P410" s="207"/>
      <c r="Q410" s="140"/>
      <c r="R410" s="140"/>
      <c r="S410" s="140"/>
      <c r="T410" s="140"/>
      <c r="U410" s="140"/>
      <c r="V410" s="140"/>
      <c r="W410" s="140"/>
      <c r="X410" s="140"/>
      <c r="Y410" s="140"/>
      <c r="Z410" s="140"/>
      <c r="AA410" s="140"/>
      <c r="AB410" s="140"/>
      <c r="AC410" s="140"/>
      <c r="AD410" s="140"/>
      <c r="AE410" s="140"/>
      <c r="AF410" s="140"/>
      <c r="AG410" s="140"/>
      <c r="AH410" s="140"/>
      <c r="AI410" s="140"/>
      <c r="AJ410" s="140"/>
      <c r="AK410" s="140"/>
      <c r="AL410" s="140"/>
      <c r="AM410" s="140"/>
      <c r="AN410" s="140"/>
      <c r="AO410" s="140"/>
      <c r="AP410" s="140"/>
      <c r="AQ410" s="140"/>
      <c r="AR410" s="140"/>
      <c r="AS410" s="140"/>
      <c r="AT410" s="140"/>
      <c r="AU410" s="140"/>
      <c r="AV410" s="140"/>
      <c r="AW410" s="140"/>
      <c r="AX410" s="140"/>
      <c r="AY410" s="140"/>
      <c r="AZ410" s="140"/>
      <c r="BA410" s="140"/>
      <c r="BB410" s="140"/>
      <c r="BC410" s="140"/>
      <c r="BD410" s="140"/>
      <c r="BE410" s="140"/>
    </row>
    <row r="411">
      <c r="A411" s="108"/>
      <c r="B411" s="107"/>
      <c r="C411" s="107"/>
      <c r="D411" s="107"/>
      <c r="E411" s="107"/>
      <c r="F411" s="107"/>
      <c r="G411" s="208"/>
      <c r="H411" s="131"/>
      <c r="I411" s="211"/>
      <c r="J411" s="107"/>
      <c r="K411" s="202"/>
      <c r="L411" s="107"/>
      <c r="M411" s="107"/>
      <c r="N411" s="206"/>
      <c r="O411" s="108" t="b">
        <v>0</v>
      </c>
      <c r="P411" s="207"/>
      <c r="Q411" s="140"/>
      <c r="R411" s="140"/>
      <c r="S411" s="140"/>
      <c r="T411" s="140"/>
      <c r="U411" s="140"/>
      <c r="V411" s="140"/>
      <c r="W411" s="140"/>
      <c r="X411" s="140"/>
      <c r="Y411" s="140"/>
      <c r="Z411" s="140"/>
      <c r="AA411" s="140"/>
      <c r="AB411" s="140"/>
      <c r="AC411" s="140"/>
      <c r="AD411" s="140"/>
      <c r="AE411" s="140"/>
      <c r="AF411" s="140"/>
      <c r="AG411" s="140"/>
      <c r="AH411" s="140"/>
      <c r="AI411" s="140"/>
      <c r="AJ411" s="140"/>
      <c r="AK411" s="140"/>
      <c r="AL411" s="140"/>
      <c r="AM411" s="140"/>
      <c r="AN411" s="140"/>
      <c r="AO411" s="140"/>
      <c r="AP411" s="140"/>
      <c r="AQ411" s="140"/>
      <c r="AR411" s="140"/>
      <c r="AS411" s="140"/>
      <c r="AT411" s="140"/>
      <c r="AU411" s="140"/>
      <c r="AV411" s="140"/>
      <c r="AW411" s="140"/>
      <c r="AX411" s="140"/>
      <c r="AY411" s="140"/>
      <c r="AZ411" s="140"/>
      <c r="BA411" s="140"/>
      <c r="BB411" s="140"/>
      <c r="BC411" s="140"/>
      <c r="BD411" s="140"/>
      <c r="BE411" s="140"/>
    </row>
    <row r="412">
      <c r="A412" s="108"/>
      <c r="B412" s="107"/>
      <c r="C412" s="107"/>
      <c r="D412" s="107"/>
      <c r="E412" s="107"/>
      <c r="F412" s="107"/>
      <c r="G412" s="208"/>
      <c r="H412" s="131"/>
      <c r="I412" s="211"/>
      <c r="J412" s="107"/>
      <c r="K412" s="202"/>
      <c r="L412" s="107"/>
      <c r="M412" s="107"/>
      <c r="N412" s="206"/>
      <c r="O412" s="108" t="b">
        <v>0</v>
      </c>
      <c r="P412" s="207"/>
      <c r="Q412" s="140"/>
      <c r="R412" s="140"/>
      <c r="S412" s="140"/>
      <c r="T412" s="140"/>
      <c r="U412" s="140"/>
      <c r="V412" s="140"/>
      <c r="W412" s="140"/>
      <c r="X412" s="140"/>
      <c r="Y412" s="140"/>
      <c r="Z412" s="140"/>
      <c r="AA412" s="140"/>
      <c r="AB412" s="140"/>
      <c r="AC412" s="140"/>
      <c r="AD412" s="140"/>
      <c r="AE412" s="140"/>
      <c r="AF412" s="140"/>
      <c r="AG412" s="140"/>
      <c r="AH412" s="140"/>
      <c r="AI412" s="140"/>
      <c r="AJ412" s="140"/>
      <c r="AK412" s="140"/>
      <c r="AL412" s="140"/>
      <c r="AM412" s="140"/>
      <c r="AN412" s="140"/>
      <c r="AO412" s="140"/>
      <c r="AP412" s="140"/>
      <c r="AQ412" s="140"/>
      <c r="AR412" s="140"/>
      <c r="AS412" s="140"/>
      <c r="AT412" s="140"/>
      <c r="AU412" s="140"/>
      <c r="AV412" s="140"/>
      <c r="AW412" s="140"/>
      <c r="AX412" s="140"/>
      <c r="AY412" s="140"/>
      <c r="AZ412" s="140"/>
      <c r="BA412" s="140"/>
      <c r="BB412" s="140"/>
      <c r="BC412" s="140"/>
      <c r="BD412" s="140"/>
      <c r="BE412" s="140"/>
    </row>
    <row r="413">
      <c r="A413" s="108"/>
      <c r="B413" s="107"/>
      <c r="C413" s="107"/>
      <c r="D413" s="107"/>
      <c r="E413" s="107"/>
      <c r="F413" s="107"/>
      <c r="G413" s="208"/>
      <c r="H413" s="131"/>
      <c r="I413" s="211"/>
      <c r="J413" s="107"/>
      <c r="K413" s="202"/>
      <c r="L413" s="107"/>
      <c r="M413" s="107"/>
      <c r="N413" s="206"/>
      <c r="O413" s="108" t="b">
        <v>0</v>
      </c>
      <c r="P413" s="207"/>
      <c r="Q413" s="140"/>
      <c r="R413" s="140"/>
      <c r="S413" s="140"/>
      <c r="T413" s="140"/>
      <c r="U413" s="140"/>
      <c r="V413" s="140"/>
      <c r="W413" s="140"/>
      <c r="X413" s="140"/>
      <c r="Y413" s="140"/>
      <c r="Z413" s="140"/>
      <c r="AA413" s="140"/>
      <c r="AB413" s="140"/>
      <c r="AC413" s="140"/>
      <c r="AD413" s="140"/>
      <c r="AE413" s="140"/>
      <c r="AF413" s="140"/>
      <c r="AG413" s="140"/>
      <c r="AH413" s="140"/>
      <c r="AI413" s="140"/>
      <c r="AJ413" s="140"/>
      <c r="AK413" s="140"/>
      <c r="AL413" s="140"/>
      <c r="AM413" s="140"/>
      <c r="AN413" s="140"/>
      <c r="AO413" s="140"/>
      <c r="AP413" s="140"/>
      <c r="AQ413" s="140"/>
      <c r="AR413" s="140"/>
      <c r="AS413" s="140"/>
      <c r="AT413" s="140"/>
      <c r="AU413" s="140"/>
      <c r="AV413" s="140"/>
      <c r="AW413" s="140"/>
      <c r="AX413" s="140"/>
      <c r="AY413" s="140"/>
      <c r="AZ413" s="140"/>
      <c r="BA413" s="140"/>
      <c r="BB413" s="140"/>
      <c r="BC413" s="140"/>
      <c r="BD413" s="140"/>
      <c r="BE413" s="140"/>
    </row>
    <row r="414">
      <c r="A414" s="108"/>
      <c r="B414" s="107"/>
      <c r="C414" s="107"/>
      <c r="D414" s="107"/>
      <c r="E414" s="107"/>
      <c r="F414" s="107"/>
      <c r="G414" s="208"/>
      <c r="H414" s="131"/>
      <c r="I414" s="211"/>
      <c r="J414" s="107"/>
      <c r="K414" s="202"/>
      <c r="L414" s="107"/>
      <c r="M414" s="107"/>
      <c r="N414" s="206"/>
      <c r="O414" s="108" t="b">
        <v>0</v>
      </c>
      <c r="P414" s="207"/>
      <c r="Q414" s="140"/>
      <c r="R414" s="140"/>
      <c r="S414" s="140"/>
      <c r="T414" s="140"/>
      <c r="U414" s="140"/>
      <c r="V414" s="140"/>
      <c r="W414" s="140"/>
      <c r="X414" s="140"/>
      <c r="Y414" s="140"/>
      <c r="Z414" s="140"/>
      <c r="AA414" s="140"/>
      <c r="AB414" s="140"/>
      <c r="AC414" s="140"/>
      <c r="AD414" s="140"/>
      <c r="AE414" s="140"/>
      <c r="AF414" s="140"/>
      <c r="AG414" s="140"/>
      <c r="AH414" s="140"/>
      <c r="AI414" s="140"/>
      <c r="AJ414" s="140"/>
      <c r="AK414" s="140"/>
      <c r="AL414" s="140"/>
      <c r="AM414" s="140"/>
      <c r="AN414" s="140"/>
      <c r="AO414" s="140"/>
      <c r="AP414" s="140"/>
      <c r="AQ414" s="140"/>
      <c r="AR414" s="140"/>
      <c r="AS414" s="140"/>
      <c r="AT414" s="140"/>
      <c r="AU414" s="140"/>
      <c r="AV414" s="140"/>
      <c r="AW414" s="140"/>
      <c r="AX414" s="140"/>
      <c r="AY414" s="140"/>
      <c r="AZ414" s="140"/>
      <c r="BA414" s="140"/>
      <c r="BB414" s="140"/>
      <c r="BC414" s="140"/>
      <c r="BD414" s="140"/>
      <c r="BE414" s="140"/>
    </row>
    <row r="415">
      <c r="A415" s="108"/>
      <c r="B415" s="107"/>
      <c r="C415" s="107"/>
      <c r="D415" s="107"/>
      <c r="E415" s="107"/>
      <c r="F415" s="107"/>
      <c r="G415" s="208"/>
      <c r="H415" s="131"/>
      <c r="I415" s="211"/>
      <c r="J415" s="107"/>
      <c r="K415" s="202"/>
      <c r="L415" s="107"/>
      <c r="M415" s="107"/>
      <c r="N415" s="206"/>
      <c r="O415" s="108" t="b">
        <v>0</v>
      </c>
      <c r="P415" s="207"/>
      <c r="Q415" s="140"/>
      <c r="R415" s="140"/>
      <c r="S415" s="140"/>
      <c r="T415" s="140"/>
      <c r="U415" s="140"/>
      <c r="V415" s="140"/>
      <c r="W415" s="140"/>
      <c r="X415" s="140"/>
      <c r="Y415" s="140"/>
      <c r="Z415" s="140"/>
      <c r="AA415" s="140"/>
      <c r="AB415" s="140"/>
      <c r="AC415" s="140"/>
      <c r="AD415" s="140"/>
      <c r="AE415" s="140"/>
      <c r="AF415" s="140"/>
      <c r="AG415" s="140"/>
      <c r="AH415" s="140"/>
      <c r="AI415" s="140"/>
      <c r="AJ415" s="140"/>
      <c r="AK415" s="140"/>
      <c r="AL415" s="140"/>
      <c r="AM415" s="140"/>
      <c r="AN415" s="140"/>
      <c r="AO415" s="140"/>
      <c r="AP415" s="140"/>
      <c r="AQ415" s="140"/>
      <c r="AR415" s="140"/>
      <c r="AS415" s="140"/>
      <c r="AT415" s="140"/>
      <c r="AU415" s="140"/>
      <c r="AV415" s="140"/>
      <c r="AW415" s="140"/>
      <c r="AX415" s="140"/>
      <c r="AY415" s="140"/>
      <c r="AZ415" s="140"/>
      <c r="BA415" s="140"/>
      <c r="BB415" s="140"/>
      <c r="BC415" s="140"/>
      <c r="BD415" s="140"/>
      <c r="BE415" s="140"/>
    </row>
    <row r="416">
      <c r="A416" s="108"/>
      <c r="B416" s="107"/>
      <c r="C416" s="107"/>
      <c r="D416" s="107"/>
      <c r="E416" s="107"/>
      <c r="F416" s="107"/>
      <c r="G416" s="208"/>
      <c r="H416" s="131"/>
      <c r="I416" s="211"/>
      <c r="J416" s="107"/>
      <c r="K416" s="202"/>
      <c r="L416" s="107"/>
      <c r="M416" s="107"/>
      <c r="N416" s="206"/>
      <c r="O416" s="108" t="b">
        <v>0</v>
      </c>
      <c r="P416" s="207"/>
      <c r="Q416" s="140"/>
      <c r="R416" s="140"/>
      <c r="S416" s="140"/>
      <c r="T416" s="140"/>
      <c r="U416" s="140"/>
      <c r="V416" s="140"/>
      <c r="W416" s="140"/>
      <c r="X416" s="140"/>
      <c r="Y416" s="140"/>
      <c r="Z416" s="140"/>
      <c r="AA416" s="140"/>
      <c r="AB416" s="140"/>
      <c r="AC416" s="140"/>
      <c r="AD416" s="140"/>
      <c r="AE416" s="140"/>
      <c r="AF416" s="140"/>
      <c r="AG416" s="140"/>
      <c r="AH416" s="140"/>
      <c r="AI416" s="140"/>
      <c r="AJ416" s="140"/>
      <c r="AK416" s="140"/>
      <c r="AL416" s="140"/>
      <c r="AM416" s="140"/>
      <c r="AN416" s="140"/>
      <c r="AO416" s="140"/>
      <c r="AP416" s="140"/>
      <c r="AQ416" s="140"/>
      <c r="AR416" s="140"/>
      <c r="AS416" s="140"/>
      <c r="AT416" s="140"/>
      <c r="AU416" s="140"/>
      <c r="AV416" s="140"/>
      <c r="AW416" s="140"/>
      <c r="AX416" s="140"/>
      <c r="AY416" s="140"/>
      <c r="AZ416" s="140"/>
      <c r="BA416" s="140"/>
      <c r="BB416" s="140"/>
      <c r="BC416" s="140"/>
      <c r="BD416" s="140"/>
      <c r="BE416" s="140"/>
    </row>
    <row r="417">
      <c r="A417" s="108"/>
      <c r="B417" s="107"/>
      <c r="C417" s="107"/>
      <c r="D417" s="107"/>
      <c r="E417" s="107"/>
      <c r="F417" s="107"/>
      <c r="G417" s="208"/>
      <c r="H417" s="131"/>
      <c r="I417" s="211"/>
      <c r="J417" s="107"/>
      <c r="K417" s="202"/>
      <c r="L417" s="107"/>
      <c r="M417" s="107"/>
      <c r="N417" s="206"/>
      <c r="O417" s="108" t="b">
        <v>0</v>
      </c>
      <c r="P417" s="207"/>
      <c r="Q417" s="140"/>
      <c r="R417" s="140"/>
      <c r="S417" s="140"/>
      <c r="T417" s="140"/>
      <c r="U417" s="140"/>
      <c r="V417" s="140"/>
      <c r="W417" s="140"/>
      <c r="X417" s="140"/>
      <c r="Y417" s="140"/>
      <c r="Z417" s="140"/>
      <c r="AA417" s="140"/>
      <c r="AB417" s="140"/>
      <c r="AC417" s="140"/>
      <c r="AD417" s="140"/>
      <c r="AE417" s="140"/>
      <c r="AF417" s="140"/>
      <c r="AG417" s="140"/>
      <c r="AH417" s="140"/>
      <c r="AI417" s="140"/>
      <c r="AJ417" s="140"/>
      <c r="AK417" s="140"/>
      <c r="AL417" s="140"/>
      <c r="AM417" s="140"/>
      <c r="AN417" s="140"/>
      <c r="AO417" s="140"/>
      <c r="AP417" s="140"/>
      <c r="AQ417" s="140"/>
      <c r="AR417" s="140"/>
      <c r="AS417" s="140"/>
      <c r="AT417" s="140"/>
      <c r="AU417" s="140"/>
      <c r="AV417" s="140"/>
      <c r="AW417" s="140"/>
      <c r="AX417" s="140"/>
      <c r="AY417" s="140"/>
      <c r="AZ417" s="140"/>
      <c r="BA417" s="140"/>
      <c r="BB417" s="140"/>
      <c r="BC417" s="140"/>
      <c r="BD417" s="140"/>
      <c r="BE417" s="140"/>
    </row>
    <row r="418">
      <c r="A418" s="108"/>
      <c r="B418" s="107"/>
      <c r="C418" s="107"/>
      <c r="D418" s="107"/>
      <c r="E418" s="107"/>
      <c r="F418" s="107"/>
      <c r="G418" s="208"/>
      <c r="H418" s="131"/>
      <c r="I418" s="211"/>
      <c r="J418" s="107"/>
      <c r="K418" s="202"/>
      <c r="L418" s="107"/>
      <c r="M418" s="107"/>
      <c r="N418" s="206"/>
      <c r="O418" s="108" t="b">
        <v>0</v>
      </c>
      <c r="P418" s="207"/>
      <c r="Q418" s="140"/>
      <c r="R418" s="140"/>
      <c r="S418" s="140"/>
      <c r="T418" s="140"/>
      <c r="U418" s="140"/>
      <c r="V418" s="140"/>
      <c r="W418" s="140"/>
      <c r="X418" s="140"/>
      <c r="Y418" s="140"/>
      <c r="Z418" s="140"/>
      <c r="AA418" s="140"/>
      <c r="AB418" s="140"/>
      <c r="AC418" s="140"/>
      <c r="AD418" s="140"/>
      <c r="AE418" s="140"/>
      <c r="AF418" s="140"/>
      <c r="AG418" s="140"/>
      <c r="AH418" s="140"/>
      <c r="AI418" s="140"/>
      <c r="AJ418" s="140"/>
      <c r="AK418" s="140"/>
      <c r="AL418" s="140"/>
      <c r="AM418" s="140"/>
      <c r="AN418" s="140"/>
      <c r="AO418" s="140"/>
      <c r="AP418" s="140"/>
      <c r="AQ418" s="140"/>
      <c r="AR418" s="140"/>
      <c r="AS418" s="140"/>
      <c r="AT418" s="140"/>
      <c r="AU418" s="140"/>
      <c r="AV418" s="140"/>
      <c r="AW418" s="140"/>
      <c r="AX418" s="140"/>
      <c r="AY418" s="140"/>
      <c r="AZ418" s="140"/>
      <c r="BA418" s="140"/>
      <c r="BB418" s="140"/>
      <c r="BC418" s="140"/>
      <c r="BD418" s="140"/>
      <c r="BE418" s="140"/>
    </row>
    <row r="419">
      <c r="A419" s="108"/>
      <c r="B419" s="107"/>
      <c r="C419" s="107"/>
      <c r="D419" s="107"/>
      <c r="E419" s="107"/>
      <c r="F419" s="107"/>
      <c r="G419" s="208"/>
      <c r="H419" s="131"/>
      <c r="I419" s="211"/>
      <c r="J419" s="107"/>
      <c r="K419" s="202"/>
      <c r="L419" s="107"/>
      <c r="M419" s="107"/>
      <c r="N419" s="206"/>
      <c r="O419" s="108" t="b">
        <v>0</v>
      </c>
      <c r="P419" s="207"/>
      <c r="Q419" s="140"/>
      <c r="R419" s="140"/>
      <c r="S419" s="140"/>
      <c r="T419" s="140"/>
      <c r="U419" s="140"/>
      <c r="V419" s="140"/>
      <c r="W419" s="140"/>
      <c r="X419" s="140"/>
      <c r="Y419" s="140"/>
      <c r="Z419" s="140"/>
      <c r="AA419" s="140"/>
      <c r="AB419" s="140"/>
      <c r="AC419" s="140"/>
      <c r="AD419" s="140"/>
      <c r="AE419" s="140"/>
      <c r="AF419" s="140"/>
      <c r="AG419" s="140"/>
      <c r="AH419" s="140"/>
      <c r="AI419" s="140"/>
      <c r="AJ419" s="140"/>
      <c r="AK419" s="140"/>
      <c r="AL419" s="140"/>
      <c r="AM419" s="140"/>
      <c r="AN419" s="140"/>
      <c r="AO419" s="140"/>
      <c r="AP419" s="140"/>
      <c r="AQ419" s="140"/>
      <c r="AR419" s="140"/>
      <c r="AS419" s="140"/>
      <c r="AT419" s="140"/>
      <c r="AU419" s="140"/>
      <c r="AV419" s="140"/>
      <c r="AW419" s="140"/>
      <c r="AX419" s="140"/>
      <c r="AY419" s="140"/>
      <c r="AZ419" s="140"/>
      <c r="BA419" s="140"/>
      <c r="BB419" s="140"/>
      <c r="BC419" s="140"/>
      <c r="BD419" s="140"/>
      <c r="BE419" s="140"/>
    </row>
    <row r="420">
      <c r="A420" s="108"/>
      <c r="B420" s="107"/>
      <c r="C420" s="107"/>
      <c r="D420" s="107"/>
      <c r="E420" s="107"/>
      <c r="F420" s="107"/>
      <c r="G420" s="208"/>
      <c r="H420" s="131"/>
      <c r="I420" s="211"/>
      <c r="J420" s="107"/>
      <c r="K420" s="202"/>
      <c r="L420" s="107"/>
      <c r="M420" s="107"/>
      <c r="N420" s="206"/>
      <c r="O420" s="108" t="b">
        <v>0</v>
      </c>
      <c r="P420" s="207"/>
      <c r="Q420" s="140"/>
      <c r="R420" s="140"/>
      <c r="S420" s="140"/>
      <c r="T420" s="140"/>
      <c r="U420" s="140"/>
      <c r="V420" s="140"/>
      <c r="W420" s="140"/>
      <c r="X420" s="140"/>
      <c r="Y420" s="140"/>
      <c r="Z420" s="140"/>
      <c r="AA420" s="140"/>
      <c r="AB420" s="140"/>
      <c r="AC420" s="140"/>
      <c r="AD420" s="140"/>
      <c r="AE420" s="140"/>
      <c r="AF420" s="140"/>
      <c r="AG420" s="140"/>
      <c r="AH420" s="140"/>
      <c r="AI420" s="140"/>
      <c r="AJ420" s="140"/>
      <c r="AK420" s="140"/>
      <c r="AL420" s="140"/>
      <c r="AM420" s="140"/>
      <c r="AN420" s="140"/>
      <c r="AO420" s="140"/>
      <c r="AP420" s="140"/>
      <c r="AQ420" s="140"/>
      <c r="AR420" s="140"/>
      <c r="AS420" s="140"/>
      <c r="AT420" s="140"/>
      <c r="AU420" s="140"/>
      <c r="AV420" s="140"/>
      <c r="AW420" s="140"/>
      <c r="AX420" s="140"/>
      <c r="AY420" s="140"/>
      <c r="AZ420" s="140"/>
      <c r="BA420" s="140"/>
      <c r="BB420" s="140"/>
      <c r="BC420" s="140"/>
      <c r="BD420" s="140"/>
      <c r="BE420" s="140"/>
    </row>
    <row r="421">
      <c r="A421" s="108"/>
      <c r="B421" s="107"/>
      <c r="C421" s="107"/>
      <c r="D421" s="107"/>
      <c r="E421" s="107"/>
      <c r="F421" s="107"/>
      <c r="G421" s="208"/>
      <c r="H421" s="131"/>
      <c r="I421" s="211"/>
      <c r="J421" s="107"/>
      <c r="K421" s="202"/>
      <c r="L421" s="107"/>
      <c r="M421" s="107"/>
      <c r="N421" s="206"/>
      <c r="O421" s="108" t="b">
        <v>0</v>
      </c>
      <c r="P421" s="207"/>
      <c r="Q421" s="140"/>
      <c r="R421" s="140"/>
      <c r="S421" s="140"/>
      <c r="T421" s="140"/>
      <c r="U421" s="140"/>
      <c r="V421" s="140"/>
      <c r="W421" s="140"/>
      <c r="X421" s="140"/>
      <c r="Y421" s="140"/>
      <c r="Z421" s="140"/>
      <c r="AA421" s="140"/>
      <c r="AB421" s="140"/>
      <c r="AC421" s="140"/>
      <c r="AD421" s="140"/>
      <c r="AE421" s="140"/>
      <c r="AF421" s="140"/>
      <c r="AG421" s="140"/>
      <c r="AH421" s="140"/>
      <c r="AI421" s="140"/>
      <c r="AJ421" s="140"/>
      <c r="AK421" s="140"/>
      <c r="AL421" s="140"/>
      <c r="AM421" s="140"/>
      <c r="AN421" s="140"/>
      <c r="AO421" s="140"/>
      <c r="AP421" s="140"/>
      <c r="AQ421" s="140"/>
      <c r="AR421" s="140"/>
      <c r="AS421" s="140"/>
      <c r="AT421" s="140"/>
      <c r="AU421" s="140"/>
      <c r="AV421" s="140"/>
      <c r="AW421" s="140"/>
      <c r="AX421" s="140"/>
      <c r="AY421" s="140"/>
      <c r="AZ421" s="140"/>
      <c r="BA421" s="140"/>
      <c r="BB421" s="140"/>
      <c r="BC421" s="140"/>
      <c r="BD421" s="140"/>
      <c r="BE421" s="140"/>
    </row>
    <row r="422">
      <c r="A422" s="108"/>
      <c r="B422" s="107"/>
      <c r="C422" s="107"/>
      <c r="D422" s="107"/>
      <c r="E422" s="107"/>
      <c r="F422" s="107"/>
      <c r="G422" s="208"/>
      <c r="H422" s="131"/>
      <c r="I422" s="211"/>
      <c r="J422" s="107"/>
      <c r="K422" s="202"/>
      <c r="L422" s="107"/>
      <c r="M422" s="107"/>
      <c r="N422" s="206"/>
      <c r="O422" s="108" t="b">
        <v>0</v>
      </c>
      <c r="P422" s="207"/>
      <c r="Q422" s="140"/>
      <c r="R422" s="140"/>
      <c r="S422" s="140"/>
      <c r="T422" s="140"/>
      <c r="U422" s="140"/>
      <c r="V422" s="140"/>
      <c r="W422" s="140"/>
      <c r="X422" s="140"/>
      <c r="Y422" s="140"/>
      <c r="Z422" s="140"/>
      <c r="AA422" s="140"/>
      <c r="AB422" s="140"/>
      <c r="AC422" s="140"/>
      <c r="AD422" s="140"/>
      <c r="AE422" s="140"/>
      <c r="AF422" s="140"/>
      <c r="AG422" s="140"/>
      <c r="AH422" s="140"/>
      <c r="AI422" s="140"/>
      <c r="AJ422" s="140"/>
      <c r="AK422" s="140"/>
      <c r="AL422" s="140"/>
      <c r="AM422" s="140"/>
      <c r="AN422" s="140"/>
      <c r="AO422" s="140"/>
      <c r="AP422" s="140"/>
      <c r="AQ422" s="140"/>
      <c r="AR422" s="140"/>
      <c r="AS422" s="140"/>
      <c r="AT422" s="140"/>
      <c r="AU422" s="140"/>
      <c r="AV422" s="140"/>
      <c r="AW422" s="140"/>
      <c r="AX422" s="140"/>
      <c r="AY422" s="140"/>
      <c r="AZ422" s="140"/>
      <c r="BA422" s="140"/>
      <c r="BB422" s="140"/>
      <c r="BC422" s="140"/>
      <c r="BD422" s="140"/>
      <c r="BE422" s="140"/>
    </row>
    <row r="423">
      <c r="A423" s="108"/>
      <c r="B423" s="107"/>
      <c r="C423" s="107"/>
      <c r="D423" s="107"/>
      <c r="E423" s="107"/>
      <c r="F423" s="107"/>
      <c r="G423" s="208"/>
      <c r="H423" s="131"/>
      <c r="I423" s="211"/>
      <c r="J423" s="107"/>
      <c r="K423" s="202"/>
      <c r="L423" s="107"/>
      <c r="M423" s="107"/>
      <c r="N423" s="206"/>
      <c r="O423" s="108" t="b">
        <v>0</v>
      </c>
      <c r="P423" s="207"/>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row>
    <row r="424">
      <c r="A424" s="108"/>
      <c r="B424" s="107"/>
      <c r="C424" s="107"/>
      <c r="D424" s="107"/>
      <c r="E424" s="107"/>
      <c r="F424" s="107"/>
      <c r="G424" s="208"/>
      <c r="H424" s="131"/>
      <c r="I424" s="211"/>
      <c r="J424" s="107"/>
      <c r="K424" s="202"/>
      <c r="L424" s="107"/>
      <c r="M424" s="107"/>
      <c r="N424" s="206"/>
      <c r="O424" s="108" t="b">
        <v>0</v>
      </c>
      <c r="P424" s="207"/>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row>
    <row r="425">
      <c r="A425" s="108"/>
      <c r="B425" s="107"/>
      <c r="C425" s="107"/>
      <c r="D425" s="107"/>
      <c r="E425" s="107"/>
      <c r="F425" s="107"/>
      <c r="G425" s="208"/>
      <c r="H425" s="131"/>
      <c r="I425" s="211"/>
      <c r="J425" s="107"/>
      <c r="K425" s="202"/>
      <c r="L425" s="107"/>
      <c r="M425" s="107"/>
      <c r="N425" s="206"/>
      <c r="O425" s="108" t="b">
        <v>0</v>
      </c>
      <c r="P425" s="207"/>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row>
    <row r="426">
      <c r="A426" s="108"/>
      <c r="B426" s="107"/>
      <c r="C426" s="107"/>
      <c r="D426" s="107"/>
      <c r="E426" s="107"/>
      <c r="F426" s="107"/>
      <c r="G426" s="208"/>
      <c r="H426" s="131"/>
      <c r="I426" s="211"/>
      <c r="J426" s="107"/>
      <c r="K426" s="202"/>
      <c r="L426" s="107"/>
      <c r="M426" s="107"/>
      <c r="N426" s="206"/>
      <c r="O426" s="108" t="b">
        <v>0</v>
      </c>
      <c r="P426" s="207"/>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row>
    <row r="427">
      <c r="A427" s="108"/>
      <c r="B427" s="107"/>
      <c r="C427" s="107"/>
      <c r="D427" s="107"/>
      <c r="E427" s="107"/>
      <c r="F427" s="107"/>
      <c r="G427" s="208"/>
      <c r="H427" s="131"/>
      <c r="I427" s="211"/>
      <c r="J427" s="107"/>
      <c r="K427" s="202"/>
      <c r="L427" s="107"/>
      <c r="M427" s="107"/>
      <c r="N427" s="206"/>
      <c r="O427" s="108" t="b">
        <v>0</v>
      </c>
      <c r="P427" s="207"/>
      <c r="Q427" s="140"/>
      <c r="R427" s="140"/>
      <c r="S427" s="140"/>
      <c r="T427" s="140"/>
      <c r="U427" s="140"/>
      <c r="V427" s="140"/>
      <c r="W427" s="140"/>
      <c r="X427" s="140"/>
      <c r="Y427" s="140"/>
      <c r="Z427" s="140"/>
      <c r="AA427" s="140"/>
      <c r="AB427" s="140"/>
      <c r="AC427" s="140"/>
      <c r="AD427" s="140"/>
      <c r="AE427" s="140"/>
      <c r="AF427" s="140"/>
      <c r="AG427" s="140"/>
      <c r="AH427" s="140"/>
      <c r="AI427" s="140"/>
      <c r="AJ427" s="140"/>
      <c r="AK427" s="140"/>
      <c r="AL427" s="140"/>
      <c r="AM427" s="140"/>
      <c r="AN427" s="140"/>
      <c r="AO427" s="140"/>
      <c r="AP427" s="140"/>
      <c r="AQ427" s="140"/>
      <c r="AR427" s="140"/>
      <c r="AS427" s="140"/>
      <c r="AT427" s="140"/>
      <c r="AU427" s="140"/>
      <c r="AV427" s="140"/>
      <c r="AW427" s="140"/>
      <c r="AX427" s="140"/>
      <c r="AY427" s="140"/>
      <c r="AZ427" s="140"/>
      <c r="BA427" s="140"/>
      <c r="BB427" s="140"/>
      <c r="BC427" s="140"/>
      <c r="BD427" s="140"/>
      <c r="BE427" s="140"/>
    </row>
    <row r="428">
      <c r="A428" s="108"/>
      <c r="B428" s="107"/>
      <c r="C428" s="107"/>
      <c r="D428" s="107"/>
      <c r="E428" s="107"/>
      <c r="F428" s="107"/>
      <c r="G428" s="208"/>
      <c r="H428" s="131"/>
      <c r="I428" s="211"/>
      <c r="J428" s="107"/>
      <c r="K428" s="202"/>
      <c r="L428" s="107"/>
      <c r="M428" s="107"/>
      <c r="N428" s="206"/>
      <c r="O428" s="108" t="b">
        <v>0</v>
      </c>
      <c r="P428" s="207"/>
      <c r="Q428" s="140"/>
      <c r="R428" s="140"/>
      <c r="S428" s="140"/>
      <c r="T428" s="140"/>
      <c r="U428" s="140"/>
      <c r="V428" s="140"/>
      <c r="W428" s="140"/>
      <c r="X428" s="140"/>
      <c r="Y428" s="140"/>
      <c r="Z428" s="140"/>
      <c r="AA428" s="140"/>
      <c r="AB428" s="140"/>
      <c r="AC428" s="140"/>
      <c r="AD428" s="140"/>
      <c r="AE428" s="140"/>
      <c r="AF428" s="140"/>
      <c r="AG428" s="140"/>
      <c r="AH428" s="140"/>
      <c r="AI428" s="140"/>
      <c r="AJ428" s="140"/>
      <c r="AK428" s="140"/>
      <c r="AL428" s="140"/>
      <c r="AM428" s="140"/>
      <c r="AN428" s="140"/>
      <c r="AO428" s="140"/>
      <c r="AP428" s="140"/>
      <c r="AQ428" s="140"/>
      <c r="AR428" s="140"/>
      <c r="AS428" s="140"/>
      <c r="AT428" s="140"/>
      <c r="AU428" s="140"/>
      <c r="AV428" s="140"/>
      <c r="AW428" s="140"/>
      <c r="AX428" s="140"/>
      <c r="AY428" s="140"/>
      <c r="AZ428" s="140"/>
      <c r="BA428" s="140"/>
      <c r="BB428" s="140"/>
      <c r="BC428" s="140"/>
      <c r="BD428" s="140"/>
      <c r="BE428" s="140"/>
    </row>
    <row r="429">
      <c r="A429" s="108"/>
      <c r="B429" s="107"/>
      <c r="C429" s="107"/>
      <c r="D429" s="107"/>
      <c r="E429" s="107"/>
      <c r="F429" s="107"/>
      <c r="G429" s="208"/>
      <c r="H429" s="131"/>
      <c r="I429" s="211"/>
      <c r="J429" s="107"/>
      <c r="K429" s="202"/>
      <c r="L429" s="107"/>
      <c r="M429" s="107"/>
      <c r="N429" s="206"/>
      <c r="O429" s="108" t="b">
        <v>0</v>
      </c>
      <c r="P429" s="207"/>
      <c r="Q429" s="140"/>
      <c r="R429" s="140"/>
      <c r="S429" s="140"/>
      <c r="T429" s="140"/>
      <c r="U429" s="140"/>
      <c r="V429" s="140"/>
      <c r="W429" s="140"/>
      <c r="X429" s="140"/>
      <c r="Y429" s="140"/>
      <c r="Z429" s="140"/>
      <c r="AA429" s="140"/>
      <c r="AB429" s="140"/>
      <c r="AC429" s="140"/>
      <c r="AD429" s="140"/>
      <c r="AE429" s="140"/>
      <c r="AF429" s="140"/>
      <c r="AG429" s="140"/>
      <c r="AH429" s="140"/>
      <c r="AI429" s="140"/>
      <c r="AJ429" s="140"/>
      <c r="AK429" s="140"/>
      <c r="AL429" s="140"/>
      <c r="AM429" s="140"/>
      <c r="AN429" s="140"/>
      <c r="AO429" s="140"/>
      <c r="AP429" s="140"/>
      <c r="AQ429" s="140"/>
      <c r="AR429" s="140"/>
      <c r="AS429" s="140"/>
      <c r="AT429" s="140"/>
      <c r="AU429" s="140"/>
      <c r="AV429" s="140"/>
      <c r="AW429" s="140"/>
      <c r="AX429" s="140"/>
      <c r="AY429" s="140"/>
      <c r="AZ429" s="140"/>
      <c r="BA429" s="140"/>
      <c r="BB429" s="140"/>
      <c r="BC429" s="140"/>
      <c r="BD429" s="140"/>
      <c r="BE429" s="140"/>
    </row>
    <row r="430">
      <c r="A430" s="108"/>
      <c r="B430" s="107"/>
      <c r="C430" s="107"/>
      <c r="D430" s="107"/>
      <c r="E430" s="107"/>
      <c r="F430" s="107"/>
      <c r="G430" s="208"/>
      <c r="H430" s="131"/>
      <c r="I430" s="211"/>
      <c r="J430" s="107"/>
      <c r="K430" s="202"/>
      <c r="L430" s="107"/>
      <c r="M430" s="107"/>
      <c r="N430" s="206"/>
      <c r="O430" s="108" t="b">
        <v>0</v>
      </c>
      <c r="P430" s="207"/>
      <c r="Q430" s="140"/>
      <c r="R430" s="140"/>
      <c r="S430" s="140"/>
      <c r="T430" s="14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0"/>
      <c r="BC430" s="140"/>
      <c r="BD430" s="140"/>
      <c r="BE430" s="140"/>
    </row>
    <row r="431">
      <c r="A431" s="108"/>
      <c r="B431" s="107"/>
      <c r="C431" s="107"/>
      <c r="D431" s="107"/>
      <c r="E431" s="107"/>
      <c r="F431" s="107"/>
      <c r="G431" s="208"/>
      <c r="H431" s="131"/>
      <c r="I431" s="211"/>
      <c r="J431" s="107"/>
      <c r="K431" s="202"/>
      <c r="L431" s="107"/>
      <c r="M431" s="107"/>
      <c r="N431" s="206"/>
      <c r="O431" s="108" t="b">
        <v>0</v>
      </c>
      <c r="P431" s="207"/>
      <c r="Q431" s="140"/>
      <c r="R431" s="140"/>
      <c r="S431" s="140"/>
      <c r="T431" s="140"/>
      <c r="U431" s="140"/>
      <c r="V431" s="140"/>
      <c r="W431" s="140"/>
      <c r="X431" s="140"/>
      <c r="Y431" s="140"/>
      <c r="Z431" s="140"/>
      <c r="AA431" s="140"/>
      <c r="AB431" s="140"/>
      <c r="AC431" s="140"/>
      <c r="AD431" s="140"/>
      <c r="AE431" s="140"/>
      <c r="AF431" s="140"/>
      <c r="AG431" s="140"/>
      <c r="AH431" s="140"/>
      <c r="AI431" s="140"/>
      <c r="AJ431" s="140"/>
      <c r="AK431" s="140"/>
      <c r="AL431" s="140"/>
      <c r="AM431" s="140"/>
      <c r="AN431" s="140"/>
      <c r="AO431" s="140"/>
      <c r="AP431" s="140"/>
      <c r="AQ431" s="140"/>
      <c r="AR431" s="140"/>
      <c r="AS431" s="140"/>
      <c r="AT431" s="140"/>
      <c r="AU431" s="140"/>
      <c r="AV431" s="140"/>
      <c r="AW431" s="140"/>
      <c r="AX431" s="140"/>
      <c r="AY431" s="140"/>
      <c r="AZ431" s="140"/>
      <c r="BA431" s="140"/>
      <c r="BB431" s="140"/>
      <c r="BC431" s="140"/>
      <c r="BD431" s="140"/>
      <c r="BE431" s="140"/>
    </row>
    <row r="432">
      <c r="A432" s="108"/>
      <c r="B432" s="107"/>
      <c r="C432" s="107"/>
      <c r="D432" s="107"/>
      <c r="E432" s="107"/>
      <c r="F432" s="107"/>
      <c r="G432" s="208"/>
      <c r="H432" s="131"/>
      <c r="I432" s="211"/>
      <c r="J432" s="107"/>
      <c r="K432" s="202"/>
      <c r="L432" s="107"/>
      <c r="M432" s="107"/>
      <c r="N432" s="206"/>
      <c r="O432" s="108" t="b">
        <v>0</v>
      </c>
      <c r="P432" s="207"/>
      <c r="Q432" s="140"/>
      <c r="R432" s="140"/>
      <c r="S432" s="140"/>
      <c r="T432" s="14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0"/>
      <c r="BC432" s="140"/>
      <c r="BD432" s="140"/>
      <c r="BE432" s="140"/>
    </row>
    <row r="433">
      <c r="A433" s="108"/>
      <c r="B433" s="107"/>
      <c r="C433" s="107"/>
      <c r="D433" s="107"/>
      <c r="E433" s="107"/>
      <c r="F433" s="107"/>
      <c r="G433" s="208"/>
      <c r="H433" s="131"/>
      <c r="I433" s="211"/>
      <c r="J433" s="107"/>
      <c r="K433" s="202"/>
      <c r="L433" s="107"/>
      <c r="M433" s="107"/>
      <c r="N433" s="206"/>
      <c r="O433" s="108" t="b">
        <v>0</v>
      </c>
      <c r="P433" s="207"/>
      <c r="Q433" s="140"/>
      <c r="R433" s="140"/>
      <c r="S433" s="140"/>
      <c r="T433" s="140"/>
      <c r="U433" s="140"/>
      <c r="V433" s="140"/>
      <c r="W433" s="140"/>
      <c r="X433" s="140"/>
      <c r="Y433" s="140"/>
      <c r="Z433" s="140"/>
      <c r="AA433" s="140"/>
      <c r="AB433" s="140"/>
      <c r="AC433" s="140"/>
      <c r="AD433" s="140"/>
      <c r="AE433" s="140"/>
      <c r="AF433" s="140"/>
      <c r="AG433" s="140"/>
      <c r="AH433" s="140"/>
      <c r="AI433" s="140"/>
      <c r="AJ433" s="140"/>
      <c r="AK433" s="140"/>
      <c r="AL433" s="140"/>
      <c r="AM433" s="140"/>
      <c r="AN433" s="140"/>
      <c r="AO433" s="140"/>
      <c r="AP433" s="140"/>
      <c r="AQ433" s="140"/>
      <c r="AR433" s="140"/>
      <c r="AS433" s="140"/>
      <c r="AT433" s="140"/>
      <c r="AU433" s="140"/>
      <c r="AV433" s="140"/>
      <c r="AW433" s="140"/>
      <c r="AX433" s="140"/>
      <c r="AY433" s="140"/>
      <c r="AZ433" s="140"/>
      <c r="BA433" s="140"/>
      <c r="BB433" s="140"/>
      <c r="BC433" s="140"/>
      <c r="BD433" s="140"/>
      <c r="BE433" s="140"/>
    </row>
    <row r="434">
      <c r="A434" s="108"/>
      <c r="B434" s="107"/>
      <c r="C434" s="107"/>
      <c r="D434" s="107"/>
      <c r="E434" s="107"/>
      <c r="F434" s="107"/>
      <c r="G434" s="208"/>
      <c r="H434" s="131"/>
      <c r="I434" s="211"/>
      <c r="J434" s="107"/>
      <c r="K434" s="202"/>
      <c r="L434" s="107"/>
      <c r="M434" s="107"/>
      <c r="N434" s="206"/>
      <c r="O434" s="108" t="b">
        <v>0</v>
      </c>
      <c r="P434" s="207"/>
      <c r="Q434" s="140"/>
      <c r="R434" s="140"/>
      <c r="S434" s="140"/>
      <c r="T434" s="14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0"/>
      <c r="BC434" s="140"/>
      <c r="BD434" s="140"/>
      <c r="BE434" s="140"/>
    </row>
    <row r="435">
      <c r="A435" s="108"/>
      <c r="B435" s="107"/>
      <c r="C435" s="107"/>
      <c r="D435" s="107"/>
      <c r="E435" s="107"/>
      <c r="F435" s="107"/>
      <c r="G435" s="208"/>
      <c r="H435" s="131"/>
      <c r="I435" s="211"/>
      <c r="J435" s="107"/>
      <c r="K435" s="202"/>
      <c r="L435" s="107"/>
      <c r="M435" s="107"/>
      <c r="N435" s="206"/>
      <c r="O435" s="108" t="b">
        <v>0</v>
      </c>
      <c r="P435" s="207"/>
      <c r="Q435" s="140"/>
      <c r="R435" s="140"/>
      <c r="S435" s="140"/>
      <c r="T435" s="140"/>
      <c r="U435" s="140"/>
      <c r="V435" s="140"/>
      <c r="W435" s="140"/>
      <c r="X435" s="140"/>
      <c r="Y435" s="140"/>
      <c r="Z435" s="140"/>
      <c r="AA435" s="140"/>
      <c r="AB435" s="140"/>
      <c r="AC435" s="140"/>
      <c r="AD435" s="140"/>
      <c r="AE435" s="140"/>
      <c r="AF435" s="140"/>
      <c r="AG435" s="140"/>
      <c r="AH435" s="140"/>
      <c r="AI435" s="140"/>
      <c r="AJ435" s="140"/>
      <c r="AK435" s="140"/>
      <c r="AL435" s="140"/>
      <c r="AM435" s="140"/>
      <c r="AN435" s="140"/>
      <c r="AO435" s="140"/>
      <c r="AP435" s="140"/>
      <c r="AQ435" s="140"/>
      <c r="AR435" s="140"/>
      <c r="AS435" s="140"/>
      <c r="AT435" s="140"/>
      <c r="AU435" s="140"/>
      <c r="AV435" s="140"/>
      <c r="AW435" s="140"/>
      <c r="AX435" s="140"/>
      <c r="AY435" s="140"/>
      <c r="AZ435" s="140"/>
      <c r="BA435" s="140"/>
      <c r="BB435" s="140"/>
      <c r="BC435" s="140"/>
      <c r="BD435" s="140"/>
      <c r="BE435" s="140"/>
    </row>
    <row r="436">
      <c r="A436" s="108"/>
      <c r="B436" s="107"/>
      <c r="C436" s="107"/>
      <c r="D436" s="107"/>
      <c r="E436" s="107"/>
      <c r="F436" s="107"/>
      <c r="G436" s="208"/>
      <c r="H436" s="131"/>
      <c r="I436" s="211"/>
      <c r="J436" s="107"/>
      <c r="K436" s="202"/>
      <c r="L436" s="107"/>
      <c r="M436" s="107"/>
      <c r="N436" s="206"/>
      <c r="O436" s="108" t="b">
        <v>0</v>
      </c>
      <c r="P436" s="207"/>
      <c r="Q436" s="140"/>
      <c r="R436" s="140"/>
      <c r="S436" s="140"/>
      <c r="T436" s="14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0"/>
      <c r="BC436" s="140"/>
      <c r="BD436" s="140"/>
      <c r="BE436" s="140"/>
    </row>
    <row r="437">
      <c r="A437" s="108"/>
      <c r="B437" s="107"/>
      <c r="C437" s="107"/>
      <c r="D437" s="107"/>
      <c r="E437" s="107"/>
      <c r="F437" s="107"/>
      <c r="G437" s="208"/>
      <c r="H437" s="131"/>
      <c r="I437" s="211"/>
      <c r="J437" s="107"/>
      <c r="K437" s="202"/>
      <c r="L437" s="107"/>
      <c r="M437" s="107"/>
      <c r="N437" s="206"/>
      <c r="O437" s="108" t="b">
        <v>0</v>
      </c>
      <c r="P437" s="207"/>
      <c r="Q437" s="140"/>
      <c r="R437" s="140"/>
      <c r="S437" s="140"/>
      <c r="T437" s="140"/>
      <c r="U437" s="140"/>
      <c r="V437" s="140"/>
      <c r="W437" s="140"/>
      <c r="X437" s="140"/>
      <c r="Y437" s="140"/>
      <c r="Z437" s="140"/>
      <c r="AA437" s="140"/>
      <c r="AB437" s="140"/>
      <c r="AC437" s="140"/>
      <c r="AD437" s="140"/>
      <c r="AE437" s="140"/>
      <c r="AF437" s="140"/>
      <c r="AG437" s="140"/>
      <c r="AH437" s="140"/>
      <c r="AI437" s="140"/>
      <c r="AJ437" s="140"/>
      <c r="AK437" s="140"/>
      <c r="AL437" s="140"/>
      <c r="AM437" s="140"/>
      <c r="AN437" s="140"/>
      <c r="AO437" s="140"/>
      <c r="AP437" s="140"/>
      <c r="AQ437" s="140"/>
      <c r="AR437" s="140"/>
      <c r="AS437" s="140"/>
      <c r="AT437" s="140"/>
      <c r="AU437" s="140"/>
      <c r="AV437" s="140"/>
      <c r="AW437" s="140"/>
      <c r="AX437" s="140"/>
      <c r="AY437" s="140"/>
      <c r="AZ437" s="140"/>
      <c r="BA437" s="140"/>
      <c r="BB437" s="140"/>
      <c r="BC437" s="140"/>
      <c r="BD437" s="140"/>
      <c r="BE437" s="140"/>
    </row>
    <row r="438">
      <c r="A438" s="108"/>
      <c r="B438" s="107"/>
      <c r="C438" s="107"/>
      <c r="D438" s="107"/>
      <c r="E438" s="107"/>
      <c r="F438" s="107"/>
      <c r="G438" s="208"/>
      <c r="H438" s="131"/>
      <c r="I438" s="211"/>
      <c r="J438" s="107"/>
      <c r="K438" s="202"/>
      <c r="L438" s="107"/>
      <c r="M438" s="107"/>
      <c r="N438" s="206"/>
      <c r="O438" s="108" t="b">
        <v>0</v>
      </c>
      <c r="P438" s="207"/>
      <c r="Q438" s="140"/>
      <c r="R438" s="140"/>
      <c r="S438" s="140"/>
      <c r="T438" s="140"/>
      <c r="U438" s="140"/>
      <c r="V438" s="140"/>
      <c r="W438" s="140"/>
      <c r="X438" s="140"/>
      <c r="Y438" s="140"/>
      <c r="Z438" s="140"/>
      <c r="AA438" s="140"/>
      <c r="AB438" s="140"/>
      <c r="AC438" s="140"/>
      <c r="AD438" s="140"/>
      <c r="AE438" s="140"/>
      <c r="AF438" s="140"/>
      <c r="AG438" s="140"/>
      <c r="AH438" s="140"/>
      <c r="AI438" s="140"/>
      <c r="AJ438" s="140"/>
      <c r="AK438" s="140"/>
      <c r="AL438" s="140"/>
      <c r="AM438" s="140"/>
      <c r="AN438" s="140"/>
      <c r="AO438" s="140"/>
      <c r="AP438" s="140"/>
      <c r="AQ438" s="140"/>
      <c r="AR438" s="140"/>
      <c r="AS438" s="140"/>
      <c r="AT438" s="140"/>
      <c r="AU438" s="140"/>
      <c r="AV438" s="140"/>
      <c r="AW438" s="140"/>
      <c r="AX438" s="140"/>
      <c r="AY438" s="140"/>
      <c r="AZ438" s="140"/>
      <c r="BA438" s="140"/>
      <c r="BB438" s="140"/>
      <c r="BC438" s="140"/>
      <c r="BD438" s="140"/>
      <c r="BE438" s="140"/>
    </row>
    <row r="439">
      <c r="A439" s="108"/>
      <c r="B439" s="107"/>
      <c r="C439" s="107"/>
      <c r="D439" s="107"/>
      <c r="E439" s="107"/>
      <c r="F439" s="107"/>
      <c r="G439" s="208"/>
      <c r="H439" s="131"/>
      <c r="I439" s="211"/>
      <c r="J439" s="107"/>
      <c r="K439" s="202"/>
      <c r="L439" s="107"/>
      <c r="M439" s="107"/>
      <c r="N439" s="206"/>
      <c r="O439" s="108" t="b">
        <v>0</v>
      </c>
      <c r="P439" s="207"/>
      <c r="Q439" s="140"/>
      <c r="R439" s="140"/>
      <c r="S439" s="140"/>
      <c r="T439" s="140"/>
      <c r="U439" s="140"/>
      <c r="V439" s="140"/>
      <c r="W439" s="140"/>
      <c r="X439" s="140"/>
      <c r="Y439" s="140"/>
      <c r="Z439" s="140"/>
      <c r="AA439" s="140"/>
      <c r="AB439" s="140"/>
      <c r="AC439" s="140"/>
      <c r="AD439" s="140"/>
      <c r="AE439" s="140"/>
      <c r="AF439" s="140"/>
      <c r="AG439" s="140"/>
      <c r="AH439" s="140"/>
      <c r="AI439" s="140"/>
      <c r="AJ439" s="140"/>
      <c r="AK439" s="140"/>
      <c r="AL439" s="140"/>
      <c r="AM439" s="140"/>
      <c r="AN439" s="140"/>
      <c r="AO439" s="140"/>
      <c r="AP439" s="140"/>
      <c r="AQ439" s="140"/>
      <c r="AR439" s="140"/>
      <c r="AS439" s="140"/>
      <c r="AT439" s="140"/>
      <c r="AU439" s="140"/>
      <c r="AV439" s="140"/>
      <c r="AW439" s="140"/>
      <c r="AX439" s="140"/>
      <c r="AY439" s="140"/>
      <c r="AZ439" s="140"/>
      <c r="BA439" s="140"/>
      <c r="BB439" s="140"/>
      <c r="BC439" s="140"/>
      <c r="BD439" s="140"/>
      <c r="BE439" s="140"/>
    </row>
    <row r="440">
      <c r="A440" s="108"/>
      <c r="B440" s="107"/>
      <c r="C440" s="107"/>
      <c r="D440" s="107"/>
      <c r="E440" s="107"/>
      <c r="F440" s="107"/>
      <c r="G440" s="208"/>
      <c r="H440" s="131"/>
      <c r="I440" s="211"/>
      <c r="J440" s="107"/>
      <c r="K440" s="202"/>
      <c r="L440" s="107"/>
      <c r="M440" s="107"/>
      <c r="N440" s="206"/>
      <c r="O440" s="108" t="b">
        <v>0</v>
      </c>
      <c r="P440" s="207"/>
      <c r="Q440" s="140"/>
      <c r="R440" s="140"/>
      <c r="S440" s="140"/>
      <c r="T440" s="140"/>
      <c r="U440" s="140"/>
      <c r="V440" s="140"/>
      <c r="W440" s="140"/>
      <c r="X440" s="140"/>
      <c r="Y440" s="140"/>
      <c r="Z440" s="140"/>
      <c r="AA440" s="140"/>
      <c r="AB440" s="140"/>
      <c r="AC440" s="140"/>
      <c r="AD440" s="140"/>
      <c r="AE440" s="140"/>
      <c r="AF440" s="140"/>
      <c r="AG440" s="140"/>
      <c r="AH440" s="140"/>
      <c r="AI440" s="140"/>
      <c r="AJ440" s="140"/>
      <c r="AK440" s="140"/>
      <c r="AL440" s="140"/>
      <c r="AM440" s="140"/>
      <c r="AN440" s="140"/>
      <c r="AO440" s="140"/>
      <c r="AP440" s="140"/>
      <c r="AQ440" s="140"/>
      <c r="AR440" s="140"/>
      <c r="AS440" s="140"/>
      <c r="AT440" s="140"/>
      <c r="AU440" s="140"/>
      <c r="AV440" s="140"/>
      <c r="AW440" s="140"/>
      <c r="AX440" s="140"/>
      <c r="AY440" s="140"/>
      <c r="AZ440" s="140"/>
      <c r="BA440" s="140"/>
      <c r="BB440" s="140"/>
      <c r="BC440" s="140"/>
      <c r="BD440" s="140"/>
      <c r="BE440" s="140"/>
    </row>
    <row r="441">
      <c r="A441" s="108"/>
      <c r="B441" s="107"/>
      <c r="C441" s="107"/>
      <c r="D441" s="107"/>
      <c r="E441" s="107"/>
      <c r="F441" s="107"/>
      <c r="G441" s="208"/>
      <c r="H441" s="131"/>
      <c r="I441" s="211"/>
      <c r="J441" s="107"/>
      <c r="K441" s="202"/>
      <c r="L441" s="107"/>
      <c r="M441" s="107"/>
      <c r="N441" s="206"/>
      <c r="O441" s="108" t="b">
        <v>0</v>
      </c>
      <c r="P441" s="207"/>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row>
    <row r="442">
      <c r="A442" s="108"/>
      <c r="B442" s="107"/>
      <c r="C442" s="107"/>
      <c r="D442" s="107"/>
      <c r="E442" s="107"/>
      <c r="F442" s="107"/>
      <c r="G442" s="208"/>
      <c r="H442" s="131"/>
      <c r="I442" s="211"/>
      <c r="J442" s="107"/>
      <c r="K442" s="202"/>
      <c r="L442" s="107"/>
      <c r="M442" s="107"/>
      <c r="N442" s="206"/>
      <c r="O442" s="108" t="b">
        <v>0</v>
      </c>
      <c r="P442" s="207"/>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row>
    <row r="443">
      <c r="A443" s="108"/>
      <c r="B443" s="107"/>
      <c r="C443" s="107"/>
      <c r="D443" s="107"/>
      <c r="E443" s="107"/>
      <c r="F443" s="107"/>
      <c r="G443" s="208"/>
      <c r="H443" s="131"/>
      <c r="I443" s="211"/>
      <c r="J443" s="107"/>
      <c r="K443" s="202"/>
      <c r="L443" s="107"/>
      <c r="M443" s="107"/>
      <c r="N443" s="206"/>
      <c r="O443" s="108" t="b">
        <v>0</v>
      </c>
      <c r="P443" s="207"/>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row>
    <row r="444">
      <c r="A444" s="108"/>
      <c r="B444" s="107"/>
      <c r="C444" s="107"/>
      <c r="D444" s="107"/>
      <c r="E444" s="107"/>
      <c r="F444" s="107"/>
      <c r="G444" s="208"/>
      <c r="H444" s="131"/>
      <c r="I444" s="211"/>
      <c r="J444" s="107"/>
      <c r="K444" s="202"/>
      <c r="L444" s="107"/>
      <c r="M444" s="107"/>
      <c r="N444" s="206"/>
      <c r="O444" s="108" t="b">
        <v>0</v>
      </c>
      <c r="P444" s="207"/>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row>
    <row r="445">
      <c r="A445" s="108"/>
      <c r="B445" s="107"/>
      <c r="C445" s="107"/>
      <c r="D445" s="107"/>
      <c r="E445" s="107"/>
      <c r="F445" s="107"/>
      <c r="G445" s="208"/>
      <c r="H445" s="131"/>
      <c r="I445" s="211"/>
      <c r="J445" s="107"/>
      <c r="K445" s="202"/>
      <c r="L445" s="107"/>
      <c r="M445" s="107"/>
      <c r="N445" s="206"/>
      <c r="O445" s="108" t="b">
        <v>0</v>
      </c>
      <c r="P445" s="207"/>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row>
    <row r="446">
      <c r="A446" s="108"/>
      <c r="B446" s="107"/>
      <c r="C446" s="107"/>
      <c r="D446" s="107"/>
      <c r="E446" s="107"/>
      <c r="F446" s="107"/>
      <c r="G446" s="208"/>
      <c r="H446" s="131"/>
      <c r="I446" s="211"/>
      <c r="J446" s="107"/>
      <c r="K446" s="202"/>
      <c r="L446" s="107"/>
      <c r="M446" s="107"/>
      <c r="N446" s="206"/>
      <c r="O446" s="108" t="b">
        <v>0</v>
      </c>
      <c r="P446" s="207"/>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row>
    <row r="447">
      <c r="A447" s="108"/>
      <c r="B447" s="107"/>
      <c r="C447" s="107"/>
      <c r="D447" s="107"/>
      <c r="E447" s="107"/>
      <c r="F447" s="107"/>
      <c r="G447" s="208"/>
      <c r="H447" s="131"/>
      <c r="I447" s="211"/>
      <c r="J447" s="107"/>
      <c r="K447" s="202"/>
      <c r="L447" s="107"/>
      <c r="M447" s="107"/>
      <c r="N447" s="206"/>
      <c r="O447" s="108" t="b">
        <v>0</v>
      </c>
      <c r="P447" s="207"/>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row>
    <row r="448">
      <c r="A448" s="108"/>
      <c r="B448" s="107"/>
      <c r="C448" s="107"/>
      <c r="D448" s="107"/>
      <c r="E448" s="107"/>
      <c r="F448" s="107"/>
      <c r="G448" s="208"/>
      <c r="H448" s="131"/>
      <c r="I448" s="211"/>
      <c r="J448" s="107"/>
      <c r="K448" s="202"/>
      <c r="L448" s="107"/>
      <c r="M448" s="107"/>
      <c r="N448" s="206"/>
      <c r="O448" s="108" t="b">
        <v>0</v>
      </c>
      <c r="P448" s="207"/>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row>
    <row r="449">
      <c r="A449" s="108"/>
      <c r="B449" s="107"/>
      <c r="C449" s="107"/>
      <c r="D449" s="107"/>
      <c r="E449" s="107"/>
      <c r="F449" s="107"/>
      <c r="G449" s="208"/>
      <c r="H449" s="131"/>
      <c r="I449" s="211"/>
      <c r="J449" s="107"/>
      <c r="K449" s="202"/>
      <c r="L449" s="107"/>
      <c r="M449" s="107"/>
      <c r="N449" s="206"/>
      <c r="O449" s="108" t="b">
        <v>0</v>
      </c>
      <c r="P449" s="207"/>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row>
    <row r="450">
      <c r="A450" s="108"/>
      <c r="B450" s="107"/>
      <c r="C450" s="107"/>
      <c r="D450" s="107"/>
      <c r="E450" s="107"/>
      <c r="F450" s="107"/>
      <c r="G450" s="208"/>
      <c r="H450" s="131"/>
      <c r="I450" s="211"/>
      <c r="J450" s="107"/>
      <c r="K450" s="202"/>
      <c r="L450" s="107"/>
      <c r="M450" s="107"/>
      <c r="N450" s="206"/>
      <c r="O450" s="108" t="b">
        <v>0</v>
      </c>
      <c r="P450" s="207"/>
      <c r="Q450" s="140"/>
      <c r="R450" s="140"/>
      <c r="S450" s="140"/>
      <c r="T450" s="140"/>
      <c r="U450" s="140"/>
      <c r="V450" s="140"/>
      <c r="W450" s="140"/>
      <c r="X450" s="140"/>
      <c r="Y450" s="140"/>
      <c r="Z450" s="140"/>
      <c r="AA450" s="140"/>
      <c r="AB450" s="140"/>
      <c r="AC450" s="140"/>
      <c r="AD450" s="140"/>
      <c r="AE450" s="140"/>
      <c r="AF450" s="140"/>
      <c r="AG450" s="140"/>
      <c r="AH450" s="140"/>
      <c r="AI450" s="140"/>
      <c r="AJ450" s="140"/>
      <c r="AK450" s="140"/>
      <c r="AL450" s="140"/>
      <c r="AM450" s="140"/>
      <c r="AN450" s="140"/>
      <c r="AO450" s="140"/>
      <c r="AP450" s="140"/>
      <c r="AQ450" s="140"/>
      <c r="AR450" s="140"/>
      <c r="AS450" s="140"/>
      <c r="AT450" s="140"/>
      <c r="AU450" s="140"/>
      <c r="AV450" s="140"/>
      <c r="AW450" s="140"/>
      <c r="AX450" s="140"/>
      <c r="AY450" s="140"/>
      <c r="AZ450" s="140"/>
      <c r="BA450" s="140"/>
      <c r="BB450" s="140"/>
      <c r="BC450" s="140"/>
      <c r="BD450" s="140"/>
      <c r="BE450" s="140"/>
    </row>
    <row r="451">
      <c r="A451" s="108"/>
      <c r="B451" s="107"/>
      <c r="C451" s="107"/>
      <c r="D451" s="107"/>
      <c r="E451" s="107"/>
      <c r="F451" s="107"/>
      <c r="G451" s="208"/>
      <c r="H451" s="131"/>
      <c r="I451" s="211"/>
      <c r="J451" s="107"/>
      <c r="K451" s="202"/>
      <c r="L451" s="107"/>
      <c r="M451" s="107"/>
      <c r="N451" s="206"/>
      <c r="O451" s="108" t="b">
        <v>0</v>
      </c>
      <c r="P451" s="207"/>
      <c r="Q451" s="140"/>
      <c r="R451" s="140"/>
      <c r="S451" s="140"/>
      <c r="T451" s="140"/>
      <c r="U451" s="140"/>
      <c r="V451" s="140"/>
      <c r="W451" s="140"/>
      <c r="X451" s="140"/>
      <c r="Y451" s="140"/>
      <c r="Z451" s="140"/>
      <c r="AA451" s="140"/>
      <c r="AB451" s="140"/>
      <c r="AC451" s="140"/>
      <c r="AD451" s="140"/>
      <c r="AE451" s="140"/>
      <c r="AF451" s="140"/>
      <c r="AG451" s="140"/>
      <c r="AH451" s="140"/>
      <c r="AI451" s="140"/>
      <c r="AJ451" s="140"/>
      <c r="AK451" s="140"/>
      <c r="AL451" s="140"/>
      <c r="AM451" s="140"/>
      <c r="AN451" s="140"/>
      <c r="AO451" s="140"/>
      <c r="AP451" s="140"/>
      <c r="AQ451" s="140"/>
      <c r="AR451" s="140"/>
      <c r="AS451" s="140"/>
      <c r="AT451" s="140"/>
      <c r="AU451" s="140"/>
      <c r="AV451" s="140"/>
      <c r="AW451" s="140"/>
      <c r="AX451" s="140"/>
      <c r="AY451" s="140"/>
      <c r="AZ451" s="140"/>
      <c r="BA451" s="140"/>
      <c r="BB451" s="140"/>
      <c r="BC451" s="140"/>
      <c r="BD451" s="140"/>
      <c r="BE451" s="140"/>
    </row>
    <row r="452">
      <c r="A452" s="108"/>
      <c r="B452" s="107"/>
      <c r="C452" s="107"/>
      <c r="D452" s="107"/>
      <c r="E452" s="107"/>
      <c r="F452" s="107"/>
      <c r="G452" s="208"/>
      <c r="H452" s="131"/>
      <c r="I452" s="211"/>
      <c r="J452" s="107"/>
      <c r="K452" s="202"/>
      <c r="L452" s="107"/>
      <c r="M452" s="107"/>
      <c r="N452" s="206"/>
      <c r="O452" s="108" t="b">
        <v>0</v>
      </c>
      <c r="P452" s="207"/>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row>
    <row r="453">
      <c r="A453" s="108"/>
      <c r="B453" s="107"/>
      <c r="C453" s="107"/>
      <c r="D453" s="107"/>
      <c r="E453" s="107"/>
      <c r="F453" s="107"/>
      <c r="G453" s="208"/>
      <c r="H453" s="131"/>
      <c r="I453" s="211"/>
      <c r="J453" s="107"/>
      <c r="K453" s="202"/>
      <c r="L453" s="107"/>
      <c r="M453" s="107"/>
      <c r="N453" s="206"/>
      <c r="O453" s="108" t="b">
        <v>0</v>
      </c>
      <c r="P453" s="207"/>
      <c r="Q453" s="140"/>
      <c r="R453" s="140"/>
      <c r="S453" s="140"/>
      <c r="T453" s="140"/>
      <c r="U453" s="140"/>
      <c r="V453" s="140"/>
      <c r="W453" s="140"/>
      <c r="X453" s="140"/>
      <c r="Y453" s="140"/>
      <c r="Z453" s="140"/>
      <c r="AA453" s="140"/>
      <c r="AB453" s="140"/>
      <c r="AC453" s="140"/>
      <c r="AD453" s="140"/>
      <c r="AE453" s="140"/>
      <c r="AF453" s="140"/>
      <c r="AG453" s="140"/>
      <c r="AH453" s="140"/>
      <c r="AI453" s="140"/>
      <c r="AJ453" s="140"/>
      <c r="AK453" s="140"/>
      <c r="AL453" s="140"/>
      <c r="AM453" s="140"/>
      <c r="AN453" s="140"/>
      <c r="AO453" s="140"/>
      <c r="AP453" s="140"/>
      <c r="AQ453" s="140"/>
      <c r="AR453" s="140"/>
      <c r="AS453" s="140"/>
      <c r="AT453" s="140"/>
      <c r="AU453" s="140"/>
      <c r="AV453" s="140"/>
      <c r="AW453" s="140"/>
      <c r="AX453" s="140"/>
      <c r="AY453" s="140"/>
      <c r="AZ453" s="140"/>
      <c r="BA453" s="140"/>
      <c r="BB453" s="140"/>
      <c r="BC453" s="140"/>
      <c r="BD453" s="140"/>
      <c r="BE453" s="140"/>
    </row>
    <row r="454">
      <c r="A454" s="108"/>
      <c r="B454" s="107"/>
      <c r="C454" s="107"/>
      <c r="D454" s="107"/>
      <c r="E454" s="107"/>
      <c r="F454" s="107"/>
      <c r="G454" s="208"/>
      <c r="H454" s="131"/>
      <c r="I454" s="211"/>
      <c r="J454" s="107"/>
      <c r="K454" s="202"/>
      <c r="L454" s="107"/>
      <c r="M454" s="107"/>
      <c r="N454" s="206"/>
      <c r="O454" s="108" t="b">
        <v>0</v>
      </c>
      <c r="P454" s="207"/>
      <c r="Q454" s="140"/>
      <c r="R454" s="140"/>
      <c r="S454" s="140"/>
      <c r="T454" s="140"/>
      <c r="U454" s="140"/>
      <c r="V454" s="140"/>
      <c r="W454" s="140"/>
      <c r="X454" s="140"/>
      <c r="Y454" s="140"/>
      <c r="Z454" s="140"/>
      <c r="AA454" s="140"/>
      <c r="AB454" s="140"/>
      <c r="AC454" s="140"/>
      <c r="AD454" s="140"/>
      <c r="AE454" s="140"/>
      <c r="AF454" s="140"/>
      <c r="AG454" s="140"/>
      <c r="AH454" s="140"/>
      <c r="AI454" s="140"/>
      <c r="AJ454" s="140"/>
      <c r="AK454" s="140"/>
      <c r="AL454" s="140"/>
      <c r="AM454" s="140"/>
      <c r="AN454" s="140"/>
      <c r="AO454" s="140"/>
      <c r="AP454" s="140"/>
      <c r="AQ454" s="140"/>
      <c r="AR454" s="140"/>
      <c r="AS454" s="140"/>
      <c r="AT454" s="140"/>
      <c r="AU454" s="140"/>
      <c r="AV454" s="140"/>
      <c r="AW454" s="140"/>
      <c r="AX454" s="140"/>
      <c r="AY454" s="140"/>
      <c r="AZ454" s="140"/>
      <c r="BA454" s="140"/>
      <c r="BB454" s="140"/>
      <c r="BC454" s="140"/>
      <c r="BD454" s="140"/>
      <c r="BE454" s="140"/>
    </row>
    <row r="455">
      <c r="A455" s="108"/>
      <c r="B455" s="107"/>
      <c r="C455" s="107"/>
      <c r="D455" s="107"/>
      <c r="E455" s="107"/>
      <c r="F455" s="107"/>
      <c r="G455" s="208"/>
      <c r="H455" s="131"/>
      <c r="I455" s="211"/>
      <c r="J455" s="107"/>
      <c r="K455" s="202"/>
      <c r="L455" s="107"/>
      <c r="M455" s="107"/>
      <c r="N455" s="206"/>
      <c r="O455" s="108" t="b">
        <v>0</v>
      </c>
      <c r="P455" s="207"/>
      <c r="Q455" s="140"/>
      <c r="R455" s="140"/>
      <c r="S455" s="140"/>
      <c r="T455" s="140"/>
      <c r="U455" s="140"/>
      <c r="V455" s="140"/>
      <c r="W455" s="140"/>
      <c r="X455" s="140"/>
      <c r="Y455" s="140"/>
      <c r="Z455" s="140"/>
      <c r="AA455" s="140"/>
      <c r="AB455" s="140"/>
      <c r="AC455" s="140"/>
      <c r="AD455" s="140"/>
      <c r="AE455" s="140"/>
      <c r="AF455" s="140"/>
      <c r="AG455" s="140"/>
      <c r="AH455" s="140"/>
      <c r="AI455" s="140"/>
      <c r="AJ455" s="140"/>
      <c r="AK455" s="140"/>
      <c r="AL455" s="140"/>
      <c r="AM455" s="140"/>
      <c r="AN455" s="140"/>
      <c r="AO455" s="140"/>
      <c r="AP455" s="140"/>
      <c r="AQ455" s="140"/>
      <c r="AR455" s="140"/>
      <c r="AS455" s="140"/>
      <c r="AT455" s="140"/>
      <c r="AU455" s="140"/>
      <c r="AV455" s="140"/>
      <c r="AW455" s="140"/>
      <c r="AX455" s="140"/>
      <c r="AY455" s="140"/>
      <c r="AZ455" s="140"/>
      <c r="BA455" s="140"/>
      <c r="BB455" s="140"/>
      <c r="BC455" s="140"/>
      <c r="BD455" s="140"/>
      <c r="BE455" s="140"/>
    </row>
    <row r="456">
      <c r="A456" s="108"/>
      <c r="B456" s="107"/>
      <c r="C456" s="107"/>
      <c r="D456" s="107"/>
      <c r="E456" s="107"/>
      <c r="F456" s="107"/>
      <c r="G456" s="208"/>
      <c r="H456" s="131"/>
      <c r="I456" s="211"/>
      <c r="J456" s="107"/>
      <c r="K456" s="202"/>
      <c r="L456" s="107"/>
      <c r="M456" s="107"/>
      <c r="N456" s="206"/>
      <c r="O456" s="108" t="b">
        <v>0</v>
      </c>
      <c r="P456" s="207"/>
      <c r="Q456" s="140"/>
      <c r="R456" s="140"/>
      <c r="S456" s="140"/>
      <c r="T456" s="140"/>
      <c r="U456" s="140"/>
      <c r="V456" s="140"/>
      <c r="W456" s="140"/>
      <c r="X456" s="140"/>
      <c r="Y456" s="140"/>
      <c r="Z456" s="140"/>
      <c r="AA456" s="140"/>
      <c r="AB456" s="140"/>
      <c r="AC456" s="140"/>
      <c r="AD456" s="140"/>
      <c r="AE456" s="140"/>
      <c r="AF456" s="140"/>
      <c r="AG456" s="140"/>
      <c r="AH456" s="140"/>
      <c r="AI456" s="140"/>
      <c r="AJ456" s="140"/>
      <c r="AK456" s="140"/>
      <c r="AL456" s="140"/>
      <c r="AM456" s="140"/>
      <c r="AN456" s="140"/>
      <c r="AO456" s="140"/>
      <c r="AP456" s="140"/>
      <c r="AQ456" s="140"/>
      <c r="AR456" s="140"/>
      <c r="AS456" s="140"/>
      <c r="AT456" s="140"/>
      <c r="AU456" s="140"/>
      <c r="AV456" s="140"/>
      <c r="AW456" s="140"/>
      <c r="AX456" s="140"/>
      <c r="AY456" s="140"/>
      <c r="AZ456" s="140"/>
      <c r="BA456" s="140"/>
      <c r="BB456" s="140"/>
      <c r="BC456" s="140"/>
      <c r="BD456" s="140"/>
      <c r="BE456" s="140"/>
    </row>
    <row r="457">
      <c r="A457" s="108"/>
      <c r="B457" s="107"/>
      <c r="C457" s="107"/>
      <c r="D457" s="107"/>
      <c r="E457" s="107"/>
      <c r="F457" s="107"/>
      <c r="G457" s="208"/>
      <c r="H457" s="131"/>
      <c r="I457" s="211"/>
      <c r="J457" s="107"/>
      <c r="K457" s="202"/>
      <c r="L457" s="107"/>
      <c r="M457" s="107"/>
      <c r="N457" s="206"/>
      <c r="O457" s="108" t="b">
        <v>0</v>
      </c>
      <c r="P457" s="207"/>
      <c r="Q457" s="140"/>
      <c r="R457" s="140"/>
      <c r="S457" s="140"/>
      <c r="T457" s="140"/>
      <c r="U457" s="140"/>
      <c r="V457" s="140"/>
      <c r="W457" s="140"/>
      <c r="X457" s="140"/>
      <c r="Y457" s="140"/>
      <c r="Z457" s="140"/>
      <c r="AA457" s="140"/>
      <c r="AB457" s="140"/>
      <c r="AC457" s="140"/>
      <c r="AD457" s="140"/>
      <c r="AE457" s="140"/>
      <c r="AF457" s="140"/>
      <c r="AG457" s="140"/>
      <c r="AH457" s="140"/>
      <c r="AI457" s="140"/>
      <c r="AJ457" s="140"/>
      <c r="AK457" s="140"/>
      <c r="AL457" s="140"/>
      <c r="AM457" s="140"/>
      <c r="AN457" s="140"/>
      <c r="AO457" s="140"/>
      <c r="AP457" s="140"/>
      <c r="AQ457" s="140"/>
      <c r="AR457" s="140"/>
      <c r="AS457" s="140"/>
      <c r="AT457" s="140"/>
      <c r="AU457" s="140"/>
      <c r="AV457" s="140"/>
      <c r="AW457" s="140"/>
      <c r="AX457" s="140"/>
      <c r="AY457" s="140"/>
      <c r="AZ457" s="140"/>
      <c r="BA457" s="140"/>
      <c r="BB457" s="140"/>
      <c r="BC457" s="140"/>
      <c r="BD457" s="140"/>
      <c r="BE457" s="140"/>
    </row>
    <row r="458">
      <c r="A458" s="108"/>
      <c r="B458" s="107"/>
      <c r="C458" s="107"/>
      <c r="D458" s="107"/>
      <c r="E458" s="107"/>
      <c r="F458" s="107"/>
      <c r="G458" s="208"/>
      <c r="H458" s="131"/>
      <c r="I458" s="211"/>
      <c r="J458" s="107"/>
      <c r="K458" s="202"/>
      <c r="L458" s="107"/>
      <c r="M458" s="107"/>
      <c r="N458" s="206"/>
      <c r="O458" s="108" t="b">
        <v>0</v>
      </c>
      <c r="P458" s="207"/>
      <c r="Q458" s="140"/>
      <c r="R458" s="140"/>
      <c r="S458" s="140"/>
      <c r="T458" s="140"/>
      <c r="U458" s="140"/>
      <c r="V458" s="140"/>
      <c r="W458" s="140"/>
      <c r="X458" s="140"/>
      <c r="Y458" s="140"/>
      <c r="Z458" s="140"/>
      <c r="AA458" s="140"/>
      <c r="AB458" s="140"/>
      <c r="AC458" s="140"/>
      <c r="AD458" s="140"/>
      <c r="AE458" s="140"/>
      <c r="AF458" s="140"/>
      <c r="AG458" s="140"/>
      <c r="AH458" s="140"/>
      <c r="AI458" s="140"/>
      <c r="AJ458" s="140"/>
      <c r="AK458" s="140"/>
      <c r="AL458" s="140"/>
      <c r="AM458" s="140"/>
      <c r="AN458" s="140"/>
      <c r="AO458" s="140"/>
      <c r="AP458" s="140"/>
      <c r="AQ458" s="140"/>
      <c r="AR458" s="140"/>
      <c r="AS458" s="140"/>
      <c r="AT458" s="140"/>
      <c r="AU458" s="140"/>
      <c r="AV458" s="140"/>
      <c r="AW458" s="140"/>
      <c r="AX458" s="140"/>
      <c r="AY458" s="140"/>
      <c r="AZ458" s="140"/>
      <c r="BA458" s="140"/>
      <c r="BB458" s="140"/>
      <c r="BC458" s="140"/>
      <c r="BD458" s="140"/>
      <c r="BE458" s="140"/>
    </row>
    <row r="459">
      <c r="A459" s="108"/>
      <c r="B459" s="107"/>
      <c r="C459" s="107"/>
      <c r="D459" s="107"/>
      <c r="E459" s="107"/>
      <c r="F459" s="107"/>
      <c r="G459" s="208"/>
      <c r="H459" s="131"/>
      <c r="I459" s="211"/>
      <c r="J459" s="107"/>
      <c r="K459" s="202"/>
      <c r="L459" s="107"/>
      <c r="M459" s="107"/>
      <c r="N459" s="206"/>
      <c r="O459" s="108" t="b">
        <v>0</v>
      </c>
      <c r="P459" s="207"/>
      <c r="Q459" s="140"/>
      <c r="R459" s="140"/>
      <c r="S459" s="140"/>
      <c r="T459" s="140"/>
      <c r="U459" s="140"/>
      <c r="V459" s="140"/>
      <c r="W459" s="140"/>
      <c r="X459" s="140"/>
      <c r="Y459" s="140"/>
      <c r="Z459" s="140"/>
      <c r="AA459" s="140"/>
      <c r="AB459" s="140"/>
      <c r="AC459" s="140"/>
      <c r="AD459" s="140"/>
      <c r="AE459" s="140"/>
      <c r="AF459" s="140"/>
      <c r="AG459" s="140"/>
      <c r="AH459" s="140"/>
      <c r="AI459" s="140"/>
      <c r="AJ459" s="140"/>
      <c r="AK459" s="140"/>
      <c r="AL459" s="140"/>
      <c r="AM459" s="140"/>
      <c r="AN459" s="140"/>
      <c r="AO459" s="140"/>
      <c r="AP459" s="140"/>
      <c r="AQ459" s="140"/>
      <c r="AR459" s="140"/>
      <c r="AS459" s="140"/>
      <c r="AT459" s="140"/>
      <c r="AU459" s="140"/>
      <c r="AV459" s="140"/>
      <c r="AW459" s="140"/>
      <c r="AX459" s="140"/>
      <c r="AY459" s="140"/>
      <c r="AZ459" s="140"/>
      <c r="BA459" s="140"/>
      <c r="BB459" s="140"/>
      <c r="BC459" s="140"/>
      <c r="BD459" s="140"/>
      <c r="BE459" s="140"/>
    </row>
    <row r="460">
      <c r="A460" s="108"/>
      <c r="B460" s="107"/>
      <c r="C460" s="107"/>
      <c r="D460" s="107"/>
      <c r="E460" s="107"/>
      <c r="F460" s="107"/>
      <c r="G460" s="208"/>
      <c r="H460" s="131"/>
      <c r="I460" s="211"/>
      <c r="J460" s="107"/>
      <c r="K460" s="202"/>
      <c r="L460" s="107"/>
      <c r="M460" s="107"/>
      <c r="N460" s="206"/>
      <c r="O460" s="108" t="b">
        <v>0</v>
      </c>
      <c r="P460" s="207"/>
      <c r="Q460" s="140"/>
      <c r="R460" s="140"/>
      <c r="S460" s="140"/>
      <c r="T460" s="140"/>
      <c r="U460" s="140"/>
      <c r="V460" s="140"/>
      <c r="W460" s="140"/>
      <c r="X460" s="140"/>
      <c r="Y460" s="140"/>
      <c r="Z460" s="140"/>
      <c r="AA460" s="140"/>
      <c r="AB460" s="140"/>
      <c r="AC460" s="140"/>
      <c r="AD460" s="140"/>
      <c r="AE460" s="140"/>
      <c r="AF460" s="140"/>
      <c r="AG460" s="140"/>
      <c r="AH460" s="140"/>
      <c r="AI460" s="140"/>
      <c r="AJ460" s="140"/>
      <c r="AK460" s="140"/>
      <c r="AL460" s="140"/>
      <c r="AM460" s="140"/>
      <c r="AN460" s="140"/>
      <c r="AO460" s="140"/>
      <c r="AP460" s="140"/>
      <c r="AQ460" s="140"/>
      <c r="AR460" s="140"/>
      <c r="AS460" s="140"/>
      <c r="AT460" s="140"/>
      <c r="AU460" s="140"/>
      <c r="AV460" s="140"/>
      <c r="AW460" s="140"/>
      <c r="AX460" s="140"/>
      <c r="AY460" s="140"/>
      <c r="AZ460" s="140"/>
      <c r="BA460" s="140"/>
      <c r="BB460" s="140"/>
      <c r="BC460" s="140"/>
      <c r="BD460" s="140"/>
      <c r="BE460" s="140"/>
    </row>
    <row r="461">
      <c r="A461" s="108"/>
      <c r="B461" s="107"/>
      <c r="C461" s="107"/>
      <c r="D461" s="107"/>
      <c r="E461" s="107"/>
      <c r="F461" s="107"/>
      <c r="G461" s="208"/>
      <c r="H461" s="131"/>
      <c r="I461" s="211"/>
      <c r="J461" s="107"/>
      <c r="K461" s="202"/>
      <c r="L461" s="107"/>
      <c r="M461" s="107"/>
      <c r="N461" s="206"/>
      <c r="O461" s="108" t="b">
        <v>0</v>
      </c>
      <c r="P461" s="207"/>
      <c r="Q461" s="140"/>
      <c r="R461" s="140"/>
      <c r="S461" s="140"/>
      <c r="T461" s="140"/>
      <c r="U461" s="140"/>
      <c r="V461" s="140"/>
      <c r="W461" s="140"/>
      <c r="X461" s="140"/>
      <c r="Y461" s="140"/>
      <c r="Z461" s="140"/>
      <c r="AA461" s="140"/>
      <c r="AB461" s="140"/>
      <c r="AC461" s="140"/>
      <c r="AD461" s="140"/>
      <c r="AE461" s="140"/>
      <c r="AF461" s="140"/>
      <c r="AG461" s="140"/>
      <c r="AH461" s="140"/>
      <c r="AI461" s="140"/>
      <c r="AJ461" s="140"/>
      <c r="AK461" s="140"/>
      <c r="AL461" s="140"/>
      <c r="AM461" s="140"/>
      <c r="AN461" s="140"/>
      <c r="AO461" s="140"/>
      <c r="AP461" s="140"/>
      <c r="AQ461" s="140"/>
      <c r="AR461" s="140"/>
      <c r="AS461" s="140"/>
      <c r="AT461" s="140"/>
      <c r="AU461" s="140"/>
      <c r="AV461" s="140"/>
      <c r="AW461" s="140"/>
      <c r="AX461" s="140"/>
      <c r="AY461" s="140"/>
      <c r="AZ461" s="140"/>
      <c r="BA461" s="140"/>
      <c r="BB461" s="140"/>
      <c r="BC461" s="140"/>
      <c r="BD461" s="140"/>
      <c r="BE461" s="140"/>
    </row>
    <row r="462">
      <c r="A462" s="108"/>
      <c r="B462" s="107"/>
      <c r="C462" s="107"/>
      <c r="D462" s="107"/>
      <c r="E462" s="107"/>
      <c r="F462" s="107"/>
      <c r="G462" s="208"/>
      <c r="H462" s="131"/>
      <c r="I462" s="211"/>
      <c r="J462" s="107"/>
      <c r="K462" s="202"/>
      <c r="L462" s="107"/>
      <c r="M462" s="107"/>
      <c r="N462" s="206"/>
      <c r="O462" s="108" t="b">
        <v>0</v>
      </c>
      <c r="P462" s="207"/>
      <c r="Q462" s="140"/>
      <c r="R462" s="140"/>
      <c r="S462" s="140"/>
      <c r="T462" s="140"/>
      <c r="U462" s="140"/>
      <c r="V462" s="140"/>
      <c r="W462" s="140"/>
      <c r="X462" s="140"/>
      <c r="Y462" s="140"/>
      <c r="Z462" s="140"/>
      <c r="AA462" s="140"/>
      <c r="AB462" s="140"/>
      <c r="AC462" s="140"/>
      <c r="AD462" s="140"/>
      <c r="AE462" s="140"/>
      <c r="AF462" s="140"/>
      <c r="AG462" s="140"/>
      <c r="AH462" s="140"/>
      <c r="AI462" s="140"/>
      <c r="AJ462" s="140"/>
      <c r="AK462" s="140"/>
      <c r="AL462" s="140"/>
      <c r="AM462" s="140"/>
      <c r="AN462" s="140"/>
      <c r="AO462" s="140"/>
      <c r="AP462" s="140"/>
      <c r="AQ462" s="140"/>
      <c r="AR462" s="140"/>
      <c r="AS462" s="140"/>
      <c r="AT462" s="140"/>
      <c r="AU462" s="140"/>
      <c r="AV462" s="140"/>
      <c r="AW462" s="140"/>
      <c r="AX462" s="140"/>
      <c r="AY462" s="140"/>
      <c r="AZ462" s="140"/>
      <c r="BA462" s="140"/>
      <c r="BB462" s="140"/>
      <c r="BC462" s="140"/>
      <c r="BD462" s="140"/>
      <c r="BE462" s="140"/>
    </row>
    <row r="463">
      <c r="A463" s="108"/>
      <c r="B463" s="107"/>
      <c r="C463" s="107"/>
      <c r="D463" s="107"/>
      <c r="E463" s="107"/>
      <c r="F463" s="107"/>
      <c r="G463" s="208"/>
      <c r="H463" s="131"/>
      <c r="I463" s="211"/>
      <c r="J463" s="107"/>
      <c r="K463" s="202"/>
      <c r="L463" s="107"/>
      <c r="M463" s="107"/>
      <c r="N463" s="206"/>
      <c r="O463" s="108" t="b">
        <v>0</v>
      </c>
      <c r="P463" s="207"/>
      <c r="Q463" s="140"/>
      <c r="R463" s="140"/>
      <c r="S463" s="140"/>
      <c r="T463" s="140"/>
      <c r="U463" s="140"/>
      <c r="V463" s="140"/>
      <c r="W463" s="140"/>
      <c r="X463" s="140"/>
      <c r="Y463" s="140"/>
      <c r="Z463" s="140"/>
      <c r="AA463" s="140"/>
      <c r="AB463" s="140"/>
      <c r="AC463" s="140"/>
      <c r="AD463" s="140"/>
      <c r="AE463" s="140"/>
      <c r="AF463" s="140"/>
      <c r="AG463" s="140"/>
      <c r="AH463" s="140"/>
      <c r="AI463" s="140"/>
      <c r="AJ463" s="140"/>
      <c r="AK463" s="140"/>
      <c r="AL463" s="140"/>
      <c r="AM463" s="140"/>
      <c r="AN463" s="140"/>
      <c r="AO463" s="140"/>
      <c r="AP463" s="140"/>
      <c r="AQ463" s="140"/>
      <c r="AR463" s="140"/>
      <c r="AS463" s="140"/>
      <c r="AT463" s="140"/>
      <c r="AU463" s="140"/>
      <c r="AV463" s="140"/>
      <c r="AW463" s="140"/>
      <c r="AX463" s="140"/>
      <c r="AY463" s="140"/>
      <c r="AZ463" s="140"/>
      <c r="BA463" s="140"/>
      <c r="BB463" s="140"/>
      <c r="BC463" s="140"/>
      <c r="BD463" s="140"/>
      <c r="BE463" s="140"/>
    </row>
    <row r="464">
      <c r="A464" s="108"/>
      <c r="B464" s="107"/>
      <c r="C464" s="107"/>
      <c r="D464" s="107"/>
      <c r="E464" s="107"/>
      <c r="F464" s="107"/>
      <c r="G464" s="208"/>
      <c r="H464" s="131"/>
      <c r="I464" s="211"/>
      <c r="J464" s="107"/>
      <c r="K464" s="202"/>
      <c r="L464" s="107"/>
      <c r="M464" s="107"/>
      <c r="N464" s="206"/>
      <c r="O464" s="108" t="b">
        <v>0</v>
      </c>
      <c r="P464" s="207"/>
      <c r="Q464" s="140"/>
      <c r="R464" s="140"/>
      <c r="S464" s="140"/>
      <c r="T464" s="140"/>
      <c r="U464" s="140"/>
      <c r="V464" s="140"/>
      <c r="W464" s="140"/>
      <c r="X464" s="140"/>
      <c r="Y464" s="140"/>
      <c r="Z464" s="140"/>
      <c r="AA464" s="140"/>
      <c r="AB464" s="140"/>
      <c r="AC464" s="140"/>
      <c r="AD464" s="140"/>
      <c r="AE464" s="140"/>
      <c r="AF464" s="140"/>
      <c r="AG464" s="140"/>
      <c r="AH464" s="140"/>
      <c r="AI464" s="140"/>
      <c r="AJ464" s="140"/>
      <c r="AK464" s="140"/>
      <c r="AL464" s="140"/>
      <c r="AM464" s="140"/>
      <c r="AN464" s="140"/>
      <c r="AO464" s="140"/>
      <c r="AP464" s="140"/>
      <c r="AQ464" s="140"/>
      <c r="AR464" s="140"/>
      <c r="AS464" s="140"/>
      <c r="AT464" s="140"/>
      <c r="AU464" s="140"/>
      <c r="AV464" s="140"/>
      <c r="AW464" s="140"/>
      <c r="AX464" s="140"/>
      <c r="AY464" s="140"/>
      <c r="AZ464" s="140"/>
      <c r="BA464" s="140"/>
      <c r="BB464" s="140"/>
      <c r="BC464" s="140"/>
      <c r="BD464" s="140"/>
      <c r="BE464" s="140"/>
    </row>
    <row r="465">
      <c r="A465" s="108"/>
      <c r="B465" s="107"/>
      <c r="C465" s="107"/>
      <c r="D465" s="107"/>
      <c r="E465" s="107"/>
      <c r="F465" s="107"/>
      <c r="G465" s="208"/>
      <c r="H465" s="131"/>
      <c r="I465" s="211"/>
      <c r="J465" s="107"/>
      <c r="K465" s="202"/>
      <c r="L465" s="107"/>
      <c r="M465" s="107"/>
      <c r="N465" s="206"/>
      <c r="O465" s="108" t="b">
        <v>0</v>
      </c>
      <c r="P465" s="207"/>
      <c r="Q465" s="140"/>
      <c r="R465" s="140"/>
      <c r="S465" s="140"/>
      <c r="T465" s="140"/>
      <c r="U465" s="140"/>
      <c r="V465" s="140"/>
      <c r="W465" s="140"/>
      <c r="X465" s="140"/>
      <c r="Y465" s="140"/>
      <c r="Z465" s="140"/>
      <c r="AA465" s="140"/>
      <c r="AB465" s="140"/>
      <c r="AC465" s="140"/>
      <c r="AD465" s="140"/>
      <c r="AE465" s="140"/>
      <c r="AF465" s="140"/>
      <c r="AG465" s="140"/>
      <c r="AH465" s="140"/>
      <c r="AI465" s="140"/>
      <c r="AJ465" s="140"/>
      <c r="AK465" s="140"/>
      <c r="AL465" s="140"/>
      <c r="AM465" s="140"/>
      <c r="AN465" s="140"/>
      <c r="AO465" s="140"/>
      <c r="AP465" s="140"/>
      <c r="AQ465" s="140"/>
      <c r="AR465" s="140"/>
      <c r="AS465" s="140"/>
      <c r="AT465" s="140"/>
      <c r="AU465" s="140"/>
      <c r="AV465" s="140"/>
      <c r="AW465" s="140"/>
      <c r="AX465" s="140"/>
      <c r="AY465" s="140"/>
      <c r="AZ465" s="140"/>
      <c r="BA465" s="140"/>
      <c r="BB465" s="140"/>
      <c r="BC465" s="140"/>
      <c r="BD465" s="140"/>
      <c r="BE465" s="140"/>
    </row>
    <row r="466">
      <c r="A466" s="108"/>
      <c r="B466" s="107"/>
      <c r="C466" s="107"/>
      <c r="D466" s="107"/>
      <c r="E466" s="107"/>
      <c r="F466" s="107"/>
      <c r="G466" s="208"/>
      <c r="H466" s="131"/>
      <c r="I466" s="211"/>
      <c r="J466" s="107"/>
      <c r="K466" s="202"/>
      <c r="L466" s="107"/>
      <c r="M466" s="107"/>
      <c r="N466" s="206"/>
      <c r="O466" s="108" t="b">
        <v>0</v>
      </c>
      <c r="P466" s="207"/>
      <c r="Q466" s="140"/>
      <c r="R466" s="140"/>
      <c r="S466" s="140"/>
      <c r="T466" s="140"/>
      <c r="U466" s="140"/>
      <c r="V466" s="140"/>
      <c r="W466" s="140"/>
      <c r="X466" s="140"/>
      <c r="Y466" s="140"/>
      <c r="Z466" s="140"/>
      <c r="AA466" s="140"/>
      <c r="AB466" s="140"/>
      <c r="AC466" s="140"/>
      <c r="AD466" s="140"/>
      <c r="AE466" s="140"/>
      <c r="AF466" s="140"/>
      <c r="AG466" s="140"/>
      <c r="AH466" s="140"/>
      <c r="AI466" s="140"/>
      <c r="AJ466" s="140"/>
      <c r="AK466" s="140"/>
      <c r="AL466" s="140"/>
      <c r="AM466" s="140"/>
      <c r="AN466" s="140"/>
      <c r="AO466" s="140"/>
      <c r="AP466" s="140"/>
      <c r="AQ466" s="140"/>
      <c r="AR466" s="140"/>
      <c r="AS466" s="140"/>
      <c r="AT466" s="140"/>
      <c r="AU466" s="140"/>
      <c r="AV466" s="140"/>
      <c r="AW466" s="140"/>
      <c r="AX466" s="140"/>
      <c r="AY466" s="140"/>
      <c r="AZ466" s="140"/>
      <c r="BA466" s="140"/>
      <c r="BB466" s="140"/>
      <c r="BC466" s="140"/>
      <c r="BD466" s="140"/>
      <c r="BE466" s="140"/>
    </row>
    <row r="467">
      <c r="A467" s="108"/>
      <c r="B467" s="107"/>
      <c r="C467" s="107"/>
      <c r="D467" s="107"/>
      <c r="E467" s="107"/>
      <c r="F467" s="107"/>
      <c r="G467" s="208"/>
      <c r="H467" s="131"/>
      <c r="I467" s="211"/>
      <c r="J467" s="107"/>
      <c r="K467" s="202"/>
      <c r="L467" s="107"/>
      <c r="M467" s="107"/>
      <c r="N467" s="206"/>
      <c r="O467" s="108" t="b">
        <v>0</v>
      </c>
      <c r="P467" s="207"/>
      <c r="Q467" s="140"/>
      <c r="R467" s="140"/>
      <c r="S467" s="140"/>
      <c r="T467" s="140"/>
      <c r="U467" s="140"/>
      <c r="V467" s="140"/>
      <c r="W467" s="140"/>
      <c r="X467" s="140"/>
      <c r="Y467" s="140"/>
      <c r="Z467" s="140"/>
      <c r="AA467" s="140"/>
      <c r="AB467" s="140"/>
      <c r="AC467" s="140"/>
      <c r="AD467" s="140"/>
      <c r="AE467" s="140"/>
      <c r="AF467" s="140"/>
      <c r="AG467" s="140"/>
      <c r="AH467" s="140"/>
      <c r="AI467" s="140"/>
      <c r="AJ467" s="140"/>
      <c r="AK467" s="140"/>
      <c r="AL467" s="140"/>
      <c r="AM467" s="140"/>
      <c r="AN467" s="140"/>
      <c r="AO467" s="140"/>
      <c r="AP467" s="140"/>
      <c r="AQ467" s="140"/>
      <c r="AR467" s="140"/>
      <c r="AS467" s="140"/>
      <c r="AT467" s="140"/>
      <c r="AU467" s="140"/>
      <c r="AV467" s="140"/>
      <c r="AW467" s="140"/>
      <c r="AX467" s="140"/>
      <c r="AY467" s="140"/>
      <c r="AZ467" s="140"/>
      <c r="BA467" s="140"/>
      <c r="BB467" s="140"/>
      <c r="BC467" s="140"/>
      <c r="BD467" s="140"/>
      <c r="BE467" s="140"/>
    </row>
    <row r="468">
      <c r="A468" s="108"/>
      <c r="B468" s="107"/>
      <c r="C468" s="107"/>
      <c r="D468" s="107"/>
      <c r="E468" s="107"/>
      <c r="F468" s="107"/>
      <c r="G468" s="208"/>
      <c r="H468" s="131"/>
      <c r="I468" s="211"/>
      <c r="J468" s="107"/>
      <c r="K468" s="202"/>
      <c r="L468" s="107"/>
      <c r="M468" s="107"/>
      <c r="N468" s="206"/>
      <c r="O468" s="108" t="b">
        <v>0</v>
      </c>
      <c r="P468" s="207"/>
      <c r="Q468" s="140"/>
      <c r="R468" s="140"/>
      <c r="S468" s="140"/>
      <c r="T468" s="140"/>
      <c r="U468" s="140"/>
      <c r="V468" s="140"/>
      <c r="W468" s="140"/>
      <c r="X468" s="140"/>
      <c r="Y468" s="140"/>
      <c r="Z468" s="140"/>
      <c r="AA468" s="140"/>
      <c r="AB468" s="140"/>
      <c r="AC468" s="140"/>
      <c r="AD468" s="140"/>
      <c r="AE468" s="140"/>
      <c r="AF468" s="140"/>
      <c r="AG468" s="140"/>
      <c r="AH468" s="140"/>
      <c r="AI468" s="140"/>
      <c r="AJ468" s="140"/>
      <c r="AK468" s="140"/>
      <c r="AL468" s="140"/>
      <c r="AM468" s="140"/>
      <c r="AN468" s="140"/>
      <c r="AO468" s="140"/>
      <c r="AP468" s="140"/>
      <c r="AQ468" s="140"/>
      <c r="AR468" s="140"/>
      <c r="AS468" s="140"/>
      <c r="AT468" s="140"/>
      <c r="AU468" s="140"/>
      <c r="AV468" s="140"/>
      <c r="AW468" s="140"/>
      <c r="AX468" s="140"/>
      <c r="AY468" s="140"/>
      <c r="AZ468" s="140"/>
      <c r="BA468" s="140"/>
      <c r="BB468" s="140"/>
      <c r="BC468" s="140"/>
      <c r="BD468" s="140"/>
      <c r="BE468" s="140"/>
    </row>
    <row r="469">
      <c r="A469" s="108"/>
      <c r="B469" s="107"/>
      <c r="C469" s="107"/>
      <c r="D469" s="107"/>
      <c r="E469" s="107"/>
      <c r="F469" s="107"/>
      <c r="G469" s="208"/>
      <c r="H469" s="131"/>
      <c r="I469" s="211"/>
      <c r="J469" s="107"/>
      <c r="K469" s="202"/>
      <c r="L469" s="107"/>
      <c r="M469" s="107"/>
      <c r="N469" s="206"/>
      <c r="O469" s="108" t="b">
        <v>0</v>
      </c>
      <c r="P469" s="207"/>
      <c r="Q469" s="140"/>
      <c r="R469" s="140"/>
      <c r="S469" s="140"/>
      <c r="T469" s="140"/>
      <c r="U469" s="140"/>
      <c r="V469" s="140"/>
      <c r="W469" s="140"/>
      <c r="X469" s="140"/>
      <c r="Y469" s="140"/>
      <c r="Z469" s="140"/>
      <c r="AA469" s="140"/>
      <c r="AB469" s="140"/>
      <c r="AC469" s="140"/>
      <c r="AD469" s="140"/>
      <c r="AE469" s="140"/>
      <c r="AF469" s="140"/>
      <c r="AG469" s="140"/>
      <c r="AH469" s="140"/>
      <c r="AI469" s="140"/>
      <c r="AJ469" s="140"/>
      <c r="AK469" s="140"/>
      <c r="AL469" s="140"/>
      <c r="AM469" s="140"/>
      <c r="AN469" s="140"/>
      <c r="AO469" s="140"/>
      <c r="AP469" s="140"/>
      <c r="AQ469" s="140"/>
      <c r="AR469" s="140"/>
      <c r="AS469" s="140"/>
      <c r="AT469" s="140"/>
      <c r="AU469" s="140"/>
      <c r="AV469" s="140"/>
      <c r="AW469" s="140"/>
      <c r="AX469" s="140"/>
      <c r="AY469" s="140"/>
      <c r="AZ469" s="140"/>
      <c r="BA469" s="140"/>
      <c r="BB469" s="140"/>
      <c r="BC469" s="140"/>
      <c r="BD469" s="140"/>
      <c r="BE469" s="140"/>
    </row>
    <row r="470">
      <c r="A470" s="108"/>
      <c r="B470" s="107"/>
      <c r="C470" s="107"/>
      <c r="D470" s="107"/>
      <c r="E470" s="107"/>
      <c r="F470" s="107"/>
      <c r="G470" s="208"/>
      <c r="H470" s="131"/>
      <c r="I470" s="211"/>
      <c r="J470" s="107"/>
      <c r="K470" s="202"/>
      <c r="L470" s="107"/>
      <c r="M470" s="107"/>
      <c r="N470" s="206"/>
      <c r="O470" s="108" t="b">
        <v>0</v>
      </c>
      <c r="P470" s="207"/>
      <c r="Q470" s="140"/>
      <c r="R470" s="140"/>
      <c r="S470" s="140"/>
      <c r="T470" s="140"/>
      <c r="U470" s="140"/>
      <c r="V470" s="140"/>
      <c r="W470" s="140"/>
      <c r="X470" s="140"/>
      <c r="Y470" s="140"/>
      <c r="Z470" s="140"/>
      <c r="AA470" s="140"/>
      <c r="AB470" s="140"/>
      <c r="AC470" s="140"/>
      <c r="AD470" s="140"/>
      <c r="AE470" s="140"/>
      <c r="AF470" s="140"/>
      <c r="AG470" s="140"/>
      <c r="AH470" s="140"/>
      <c r="AI470" s="140"/>
      <c r="AJ470" s="140"/>
      <c r="AK470" s="140"/>
      <c r="AL470" s="140"/>
      <c r="AM470" s="140"/>
      <c r="AN470" s="140"/>
      <c r="AO470" s="140"/>
      <c r="AP470" s="140"/>
      <c r="AQ470" s="140"/>
      <c r="AR470" s="140"/>
      <c r="AS470" s="140"/>
      <c r="AT470" s="140"/>
      <c r="AU470" s="140"/>
      <c r="AV470" s="140"/>
      <c r="AW470" s="140"/>
      <c r="AX470" s="140"/>
      <c r="AY470" s="140"/>
      <c r="AZ470" s="140"/>
      <c r="BA470" s="140"/>
      <c r="BB470" s="140"/>
      <c r="BC470" s="140"/>
      <c r="BD470" s="140"/>
      <c r="BE470" s="140"/>
    </row>
    <row r="471">
      <c r="A471" s="108"/>
      <c r="B471" s="107"/>
      <c r="C471" s="107"/>
      <c r="D471" s="107"/>
      <c r="E471" s="107"/>
      <c r="F471" s="107"/>
      <c r="G471" s="208"/>
      <c r="H471" s="131"/>
      <c r="I471" s="211"/>
      <c r="J471" s="107"/>
      <c r="K471" s="202"/>
      <c r="L471" s="107"/>
      <c r="M471" s="107"/>
      <c r="N471" s="206"/>
      <c r="O471" s="108" t="b">
        <v>0</v>
      </c>
      <c r="P471" s="207"/>
      <c r="Q471" s="140"/>
      <c r="R471" s="140"/>
      <c r="S471" s="140"/>
      <c r="T471" s="140"/>
      <c r="U471" s="140"/>
      <c r="V471" s="140"/>
      <c r="W471" s="140"/>
      <c r="X471" s="140"/>
      <c r="Y471" s="140"/>
      <c r="Z471" s="140"/>
      <c r="AA471" s="140"/>
      <c r="AB471" s="140"/>
      <c r="AC471" s="140"/>
      <c r="AD471" s="140"/>
      <c r="AE471" s="140"/>
      <c r="AF471" s="140"/>
      <c r="AG471" s="140"/>
      <c r="AH471" s="140"/>
      <c r="AI471" s="140"/>
      <c r="AJ471" s="140"/>
      <c r="AK471" s="140"/>
      <c r="AL471" s="140"/>
      <c r="AM471" s="140"/>
      <c r="AN471" s="140"/>
      <c r="AO471" s="140"/>
      <c r="AP471" s="140"/>
      <c r="AQ471" s="140"/>
      <c r="AR471" s="140"/>
      <c r="AS471" s="140"/>
      <c r="AT471" s="140"/>
      <c r="AU471" s="140"/>
      <c r="AV471" s="140"/>
      <c r="AW471" s="140"/>
      <c r="AX471" s="140"/>
      <c r="AY471" s="140"/>
      <c r="AZ471" s="140"/>
      <c r="BA471" s="140"/>
      <c r="BB471" s="140"/>
      <c r="BC471" s="140"/>
      <c r="BD471" s="140"/>
      <c r="BE471" s="140"/>
    </row>
    <row r="472">
      <c r="A472" s="108"/>
      <c r="B472" s="107"/>
      <c r="C472" s="107"/>
      <c r="D472" s="107"/>
      <c r="E472" s="107"/>
      <c r="F472" s="107"/>
      <c r="G472" s="208"/>
      <c r="H472" s="131"/>
      <c r="I472" s="211"/>
      <c r="J472" s="107"/>
      <c r="K472" s="202"/>
      <c r="L472" s="107"/>
      <c r="M472" s="107"/>
      <c r="N472" s="206"/>
      <c r="O472" s="108" t="b">
        <v>0</v>
      </c>
      <c r="P472" s="207"/>
      <c r="Q472" s="140"/>
      <c r="R472" s="140"/>
      <c r="S472" s="140"/>
      <c r="T472" s="140"/>
      <c r="U472" s="140"/>
      <c r="V472" s="140"/>
      <c r="W472" s="140"/>
      <c r="X472" s="140"/>
      <c r="Y472" s="140"/>
      <c r="Z472" s="140"/>
      <c r="AA472" s="140"/>
      <c r="AB472" s="140"/>
      <c r="AC472" s="140"/>
      <c r="AD472" s="140"/>
      <c r="AE472" s="140"/>
      <c r="AF472" s="140"/>
      <c r="AG472" s="140"/>
      <c r="AH472" s="140"/>
      <c r="AI472" s="140"/>
      <c r="AJ472" s="140"/>
      <c r="AK472" s="140"/>
      <c r="AL472" s="140"/>
      <c r="AM472" s="140"/>
      <c r="AN472" s="140"/>
      <c r="AO472" s="140"/>
      <c r="AP472" s="140"/>
      <c r="AQ472" s="140"/>
      <c r="AR472" s="140"/>
      <c r="AS472" s="140"/>
      <c r="AT472" s="140"/>
      <c r="AU472" s="140"/>
      <c r="AV472" s="140"/>
      <c r="AW472" s="140"/>
      <c r="AX472" s="140"/>
      <c r="AY472" s="140"/>
      <c r="AZ472" s="140"/>
      <c r="BA472" s="140"/>
      <c r="BB472" s="140"/>
      <c r="BC472" s="140"/>
      <c r="BD472" s="140"/>
      <c r="BE472" s="140"/>
    </row>
    <row r="473">
      <c r="A473" s="108"/>
      <c r="B473" s="107"/>
      <c r="C473" s="107"/>
      <c r="D473" s="107"/>
      <c r="E473" s="107"/>
      <c r="F473" s="107"/>
      <c r="G473" s="208"/>
      <c r="H473" s="131"/>
      <c r="I473" s="211"/>
      <c r="J473" s="107"/>
      <c r="K473" s="202"/>
      <c r="L473" s="107"/>
      <c r="M473" s="107"/>
      <c r="N473" s="206"/>
      <c r="O473" s="108" t="b">
        <v>0</v>
      </c>
      <c r="P473" s="207"/>
      <c r="Q473" s="140"/>
      <c r="R473" s="140"/>
      <c r="S473" s="140"/>
      <c r="T473" s="140"/>
      <c r="U473" s="140"/>
      <c r="V473" s="140"/>
      <c r="W473" s="140"/>
      <c r="X473" s="140"/>
      <c r="Y473" s="140"/>
      <c r="Z473" s="140"/>
      <c r="AA473" s="140"/>
      <c r="AB473" s="140"/>
      <c r="AC473" s="140"/>
      <c r="AD473" s="140"/>
      <c r="AE473" s="140"/>
      <c r="AF473" s="140"/>
      <c r="AG473" s="140"/>
      <c r="AH473" s="140"/>
      <c r="AI473" s="140"/>
      <c r="AJ473" s="140"/>
      <c r="AK473" s="140"/>
      <c r="AL473" s="140"/>
      <c r="AM473" s="140"/>
      <c r="AN473" s="140"/>
      <c r="AO473" s="140"/>
      <c r="AP473" s="140"/>
      <c r="AQ473" s="140"/>
      <c r="AR473" s="140"/>
      <c r="AS473" s="140"/>
      <c r="AT473" s="140"/>
      <c r="AU473" s="140"/>
      <c r="AV473" s="140"/>
      <c r="AW473" s="140"/>
      <c r="AX473" s="140"/>
      <c r="AY473" s="140"/>
      <c r="AZ473" s="140"/>
      <c r="BA473" s="140"/>
      <c r="BB473" s="140"/>
      <c r="BC473" s="140"/>
      <c r="BD473" s="140"/>
      <c r="BE473" s="140"/>
    </row>
    <row r="474">
      <c r="A474" s="108"/>
      <c r="B474" s="107"/>
      <c r="C474" s="107"/>
      <c r="D474" s="107"/>
      <c r="E474" s="107"/>
      <c r="F474" s="107"/>
      <c r="G474" s="208"/>
      <c r="H474" s="131"/>
      <c r="I474" s="211"/>
      <c r="J474" s="107"/>
      <c r="K474" s="202"/>
      <c r="L474" s="107"/>
      <c r="M474" s="107"/>
      <c r="N474" s="206"/>
      <c r="O474" s="108" t="b">
        <v>0</v>
      </c>
      <c r="P474" s="207"/>
      <c r="Q474" s="140"/>
      <c r="R474" s="140"/>
      <c r="S474" s="140"/>
      <c r="T474" s="140"/>
      <c r="U474" s="140"/>
      <c r="V474" s="140"/>
      <c r="W474" s="140"/>
      <c r="X474" s="140"/>
      <c r="Y474" s="140"/>
      <c r="Z474" s="140"/>
      <c r="AA474" s="140"/>
      <c r="AB474" s="140"/>
      <c r="AC474" s="140"/>
      <c r="AD474" s="140"/>
      <c r="AE474" s="140"/>
      <c r="AF474" s="140"/>
      <c r="AG474" s="140"/>
      <c r="AH474" s="140"/>
      <c r="AI474" s="140"/>
      <c r="AJ474" s="140"/>
      <c r="AK474" s="140"/>
      <c r="AL474" s="140"/>
      <c r="AM474" s="140"/>
      <c r="AN474" s="140"/>
      <c r="AO474" s="140"/>
      <c r="AP474" s="140"/>
      <c r="AQ474" s="140"/>
      <c r="AR474" s="140"/>
      <c r="AS474" s="140"/>
      <c r="AT474" s="140"/>
      <c r="AU474" s="140"/>
      <c r="AV474" s="140"/>
      <c r="AW474" s="140"/>
      <c r="AX474" s="140"/>
      <c r="AY474" s="140"/>
      <c r="AZ474" s="140"/>
      <c r="BA474" s="140"/>
      <c r="BB474" s="140"/>
      <c r="BC474" s="140"/>
      <c r="BD474" s="140"/>
      <c r="BE474" s="140"/>
    </row>
    <row r="475">
      <c r="A475" s="108"/>
      <c r="B475" s="107"/>
      <c r="C475" s="107"/>
      <c r="D475" s="107"/>
      <c r="E475" s="107"/>
      <c r="F475" s="107"/>
      <c r="G475" s="208"/>
      <c r="H475" s="131"/>
      <c r="I475" s="211"/>
      <c r="J475" s="107"/>
      <c r="K475" s="202"/>
      <c r="L475" s="107"/>
      <c r="M475" s="107"/>
      <c r="N475" s="206"/>
      <c r="O475" s="108" t="b">
        <v>0</v>
      </c>
      <c r="P475" s="207"/>
      <c r="Q475" s="140"/>
      <c r="R475" s="140"/>
      <c r="S475" s="140"/>
      <c r="T475" s="140"/>
      <c r="U475" s="140"/>
      <c r="V475" s="140"/>
      <c r="W475" s="140"/>
      <c r="X475" s="140"/>
      <c r="Y475" s="140"/>
      <c r="Z475" s="140"/>
      <c r="AA475" s="140"/>
      <c r="AB475" s="140"/>
      <c r="AC475" s="140"/>
      <c r="AD475" s="140"/>
      <c r="AE475" s="140"/>
      <c r="AF475" s="140"/>
      <c r="AG475" s="140"/>
      <c r="AH475" s="140"/>
      <c r="AI475" s="140"/>
      <c r="AJ475" s="140"/>
      <c r="AK475" s="140"/>
      <c r="AL475" s="140"/>
      <c r="AM475" s="140"/>
      <c r="AN475" s="140"/>
      <c r="AO475" s="140"/>
      <c r="AP475" s="140"/>
      <c r="AQ475" s="140"/>
      <c r="AR475" s="140"/>
      <c r="AS475" s="140"/>
      <c r="AT475" s="140"/>
      <c r="AU475" s="140"/>
      <c r="AV475" s="140"/>
      <c r="AW475" s="140"/>
      <c r="AX475" s="140"/>
      <c r="AY475" s="140"/>
      <c r="AZ475" s="140"/>
      <c r="BA475" s="140"/>
      <c r="BB475" s="140"/>
      <c r="BC475" s="140"/>
      <c r="BD475" s="140"/>
      <c r="BE475" s="140"/>
    </row>
    <row r="476">
      <c r="A476" s="108"/>
      <c r="B476" s="107"/>
      <c r="C476" s="107"/>
      <c r="D476" s="107"/>
      <c r="E476" s="107"/>
      <c r="F476" s="107"/>
      <c r="G476" s="208"/>
      <c r="H476" s="131"/>
      <c r="I476" s="211"/>
      <c r="J476" s="107"/>
      <c r="K476" s="202"/>
      <c r="L476" s="107"/>
      <c r="M476" s="107"/>
      <c r="N476" s="206"/>
      <c r="O476" s="108" t="b">
        <v>0</v>
      </c>
      <c r="P476" s="207"/>
      <c r="Q476" s="140"/>
      <c r="R476" s="140"/>
      <c r="S476" s="140"/>
      <c r="T476" s="140"/>
      <c r="U476" s="140"/>
      <c r="V476" s="140"/>
      <c r="W476" s="140"/>
      <c r="X476" s="140"/>
      <c r="Y476" s="140"/>
      <c r="Z476" s="140"/>
      <c r="AA476" s="140"/>
      <c r="AB476" s="140"/>
      <c r="AC476" s="140"/>
      <c r="AD476" s="140"/>
      <c r="AE476" s="140"/>
      <c r="AF476" s="140"/>
      <c r="AG476" s="140"/>
      <c r="AH476" s="140"/>
      <c r="AI476" s="140"/>
      <c r="AJ476" s="140"/>
      <c r="AK476" s="140"/>
      <c r="AL476" s="140"/>
      <c r="AM476" s="140"/>
      <c r="AN476" s="140"/>
      <c r="AO476" s="140"/>
      <c r="AP476" s="140"/>
      <c r="AQ476" s="140"/>
      <c r="AR476" s="140"/>
      <c r="AS476" s="140"/>
      <c r="AT476" s="140"/>
      <c r="AU476" s="140"/>
      <c r="AV476" s="140"/>
      <c r="AW476" s="140"/>
      <c r="AX476" s="140"/>
      <c r="AY476" s="140"/>
      <c r="AZ476" s="140"/>
      <c r="BA476" s="140"/>
      <c r="BB476" s="140"/>
      <c r="BC476" s="140"/>
      <c r="BD476" s="140"/>
      <c r="BE476" s="140"/>
    </row>
    <row r="477">
      <c r="A477" s="108"/>
      <c r="B477" s="107"/>
      <c r="C477" s="107"/>
      <c r="D477" s="107"/>
      <c r="E477" s="107"/>
      <c r="F477" s="107"/>
      <c r="G477" s="208"/>
      <c r="H477" s="131"/>
      <c r="I477" s="211"/>
      <c r="J477" s="107"/>
      <c r="K477" s="202"/>
      <c r="L477" s="107"/>
      <c r="M477" s="107"/>
      <c r="N477" s="206"/>
      <c r="O477" s="108" t="b">
        <v>0</v>
      </c>
      <c r="P477" s="207"/>
      <c r="Q477" s="140"/>
      <c r="R477" s="140"/>
      <c r="S477" s="140"/>
      <c r="T477" s="140"/>
      <c r="U477" s="140"/>
      <c r="V477" s="140"/>
      <c r="W477" s="140"/>
      <c r="X477" s="140"/>
      <c r="Y477" s="140"/>
      <c r="Z477" s="140"/>
      <c r="AA477" s="140"/>
      <c r="AB477" s="140"/>
      <c r="AC477" s="140"/>
      <c r="AD477" s="140"/>
      <c r="AE477" s="140"/>
      <c r="AF477" s="140"/>
      <c r="AG477" s="140"/>
      <c r="AH477" s="140"/>
      <c r="AI477" s="140"/>
      <c r="AJ477" s="140"/>
      <c r="AK477" s="140"/>
      <c r="AL477" s="140"/>
      <c r="AM477" s="140"/>
      <c r="AN477" s="140"/>
      <c r="AO477" s="140"/>
      <c r="AP477" s="140"/>
      <c r="AQ477" s="140"/>
      <c r="AR477" s="140"/>
      <c r="AS477" s="140"/>
      <c r="AT477" s="140"/>
      <c r="AU477" s="140"/>
      <c r="AV477" s="140"/>
      <c r="AW477" s="140"/>
      <c r="AX477" s="140"/>
      <c r="AY477" s="140"/>
      <c r="AZ477" s="140"/>
      <c r="BA477" s="140"/>
      <c r="BB477" s="140"/>
      <c r="BC477" s="140"/>
      <c r="BD477" s="140"/>
      <c r="BE477" s="140"/>
    </row>
    <row r="478">
      <c r="A478" s="108"/>
      <c r="B478" s="107"/>
      <c r="C478" s="107"/>
      <c r="D478" s="107"/>
      <c r="E478" s="107"/>
      <c r="F478" s="107"/>
      <c r="G478" s="208"/>
      <c r="H478" s="131"/>
      <c r="I478" s="211"/>
      <c r="J478" s="107"/>
      <c r="K478" s="202"/>
      <c r="L478" s="107"/>
      <c r="M478" s="107"/>
      <c r="N478" s="206"/>
      <c r="O478" s="108" t="b">
        <v>0</v>
      </c>
      <c r="P478" s="207"/>
      <c r="Q478" s="140"/>
      <c r="R478" s="140"/>
      <c r="S478" s="140"/>
      <c r="T478" s="140"/>
      <c r="U478" s="140"/>
      <c r="V478" s="140"/>
      <c r="W478" s="140"/>
      <c r="X478" s="140"/>
      <c r="Y478" s="140"/>
      <c r="Z478" s="140"/>
      <c r="AA478" s="140"/>
      <c r="AB478" s="140"/>
      <c r="AC478" s="140"/>
      <c r="AD478" s="140"/>
      <c r="AE478" s="140"/>
      <c r="AF478" s="140"/>
      <c r="AG478" s="140"/>
      <c r="AH478" s="140"/>
      <c r="AI478" s="140"/>
      <c r="AJ478" s="140"/>
      <c r="AK478" s="140"/>
      <c r="AL478" s="140"/>
      <c r="AM478" s="140"/>
      <c r="AN478" s="140"/>
      <c r="AO478" s="140"/>
      <c r="AP478" s="140"/>
      <c r="AQ478" s="140"/>
      <c r="AR478" s="140"/>
      <c r="AS478" s="140"/>
      <c r="AT478" s="140"/>
      <c r="AU478" s="140"/>
      <c r="AV478" s="140"/>
      <c r="AW478" s="140"/>
      <c r="AX478" s="140"/>
      <c r="AY478" s="140"/>
      <c r="AZ478" s="140"/>
      <c r="BA478" s="140"/>
      <c r="BB478" s="140"/>
      <c r="BC478" s="140"/>
      <c r="BD478" s="140"/>
      <c r="BE478" s="140"/>
    </row>
    <row r="479">
      <c r="A479" s="108"/>
      <c r="B479" s="107"/>
      <c r="C479" s="107"/>
      <c r="D479" s="107"/>
      <c r="E479" s="107"/>
      <c r="F479" s="107"/>
      <c r="G479" s="208"/>
      <c r="H479" s="131"/>
      <c r="I479" s="211"/>
      <c r="J479" s="107"/>
      <c r="K479" s="202"/>
      <c r="L479" s="107"/>
      <c r="M479" s="107"/>
      <c r="N479" s="206"/>
      <c r="O479" s="108" t="b">
        <v>0</v>
      </c>
      <c r="P479" s="207"/>
      <c r="Q479" s="140"/>
      <c r="R479" s="140"/>
      <c r="S479" s="140"/>
      <c r="T479" s="140"/>
      <c r="U479" s="140"/>
      <c r="V479" s="140"/>
      <c r="W479" s="140"/>
      <c r="X479" s="140"/>
      <c r="Y479" s="140"/>
      <c r="Z479" s="140"/>
      <c r="AA479" s="140"/>
      <c r="AB479" s="140"/>
      <c r="AC479" s="140"/>
      <c r="AD479" s="140"/>
      <c r="AE479" s="140"/>
      <c r="AF479" s="140"/>
      <c r="AG479" s="140"/>
      <c r="AH479" s="140"/>
      <c r="AI479" s="140"/>
      <c r="AJ479" s="140"/>
      <c r="AK479" s="140"/>
      <c r="AL479" s="140"/>
      <c r="AM479" s="140"/>
      <c r="AN479" s="140"/>
      <c r="AO479" s="140"/>
      <c r="AP479" s="140"/>
      <c r="AQ479" s="140"/>
      <c r="AR479" s="140"/>
      <c r="AS479" s="140"/>
      <c r="AT479" s="140"/>
      <c r="AU479" s="140"/>
      <c r="AV479" s="140"/>
      <c r="AW479" s="140"/>
      <c r="AX479" s="140"/>
      <c r="AY479" s="140"/>
      <c r="AZ479" s="140"/>
      <c r="BA479" s="140"/>
      <c r="BB479" s="140"/>
      <c r="BC479" s="140"/>
      <c r="BD479" s="140"/>
      <c r="BE479" s="140"/>
    </row>
    <row r="480">
      <c r="A480" s="108"/>
      <c r="B480" s="107"/>
      <c r="C480" s="107"/>
      <c r="D480" s="107"/>
      <c r="E480" s="107"/>
      <c r="F480" s="107"/>
      <c r="G480" s="208"/>
      <c r="H480" s="131"/>
      <c r="I480" s="211"/>
      <c r="J480" s="107"/>
      <c r="K480" s="202"/>
      <c r="L480" s="107"/>
      <c r="M480" s="107"/>
      <c r="N480" s="206"/>
      <c r="O480" s="108" t="b">
        <v>0</v>
      </c>
      <c r="P480" s="207"/>
      <c r="Q480" s="140"/>
      <c r="R480" s="140"/>
      <c r="S480" s="140"/>
      <c r="T480" s="140"/>
      <c r="U480" s="140"/>
      <c r="V480" s="140"/>
      <c r="W480" s="140"/>
      <c r="X480" s="140"/>
      <c r="Y480" s="140"/>
      <c r="Z480" s="140"/>
      <c r="AA480" s="140"/>
      <c r="AB480" s="140"/>
      <c r="AC480" s="140"/>
      <c r="AD480" s="140"/>
      <c r="AE480" s="140"/>
      <c r="AF480" s="140"/>
      <c r="AG480" s="140"/>
      <c r="AH480" s="140"/>
      <c r="AI480" s="140"/>
      <c r="AJ480" s="140"/>
      <c r="AK480" s="140"/>
      <c r="AL480" s="140"/>
      <c r="AM480" s="140"/>
      <c r="AN480" s="140"/>
      <c r="AO480" s="140"/>
      <c r="AP480" s="140"/>
      <c r="AQ480" s="140"/>
      <c r="AR480" s="140"/>
      <c r="AS480" s="140"/>
      <c r="AT480" s="140"/>
      <c r="AU480" s="140"/>
      <c r="AV480" s="140"/>
      <c r="AW480" s="140"/>
      <c r="AX480" s="140"/>
      <c r="AY480" s="140"/>
      <c r="AZ480" s="140"/>
      <c r="BA480" s="140"/>
      <c r="BB480" s="140"/>
      <c r="BC480" s="140"/>
      <c r="BD480" s="140"/>
      <c r="BE480" s="140"/>
    </row>
    <row r="481">
      <c r="A481" s="108"/>
      <c r="B481" s="107"/>
      <c r="C481" s="107"/>
      <c r="D481" s="107"/>
      <c r="E481" s="107"/>
      <c r="F481" s="107"/>
      <c r="G481" s="208"/>
      <c r="H481" s="131"/>
      <c r="I481" s="211"/>
      <c r="J481" s="107"/>
      <c r="K481" s="202"/>
      <c r="L481" s="107"/>
      <c r="M481" s="107"/>
      <c r="N481" s="206"/>
      <c r="O481" s="108" t="b">
        <v>0</v>
      </c>
      <c r="P481" s="207"/>
      <c r="Q481" s="140"/>
      <c r="R481" s="140"/>
      <c r="S481" s="140"/>
      <c r="T481" s="140"/>
      <c r="U481" s="140"/>
      <c r="V481" s="140"/>
      <c r="W481" s="140"/>
      <c r="X481" s="140"/>
      <c r="Y481" s="140"/>
      <c r="Z481" s="140"/>
      <c r="AA481" s="140"/>
      <c r="AB481" s="140"/>
      <c r="AC481" s="140"/>
      <c r="AD481" s="140"/>
      <c r="AE481" s="140"/>
      <c r="AF481" s="140"/>
      <c r="AG481" s="140"/>
      <c r="AH481" s="140"/>
      <c r="AI481" s="140"/>
      <c r="AJ481" s="140"/>
      <c r="AK481" s="140"/>
      <c r="AL481" s="140"/>
      <c r="AM481" s="140"/>
      <c r="AN481" s="140"/>
      <c r="AO481" s="140"/>
      <c r="AP481" s="140"/>
      <c r="AQ481" s="140"/>
      <c r="AR481" s="140"/>
      <c r="AS481" s="140"/>
      <c r="AT481" s="140"/>
      <c r="AU481" s="140"/>
      <c r="AV481" s="140"/>
      <c r="AW481" s="140"/>
      <c r="AX481" s="140"/>
      <c r="AY481" s="140"/>
      <c r="AZ481" s="140"/>
      <c r="BA481" s="140"/>
      <c r="BB481" s="140"/>
      <c r="BC481" s="140"/>
      <c r="BD481" s="140"/>
      <c r="BE481" s="140"/>
    </row>
    <row r="482">
      <c r="A482" s="108"/>
      <c r="B482" s="107"/>
      <c r="C482" s="107"/>
      <c r="D482" s="107"/>
      <c r="E482" s="107"/>
      <c r="F482" s="107"/>
      <c r="G482" s="208"/>
      <c r="H482" s="131"/>
      <c r="I482" s="211"/>
      <c r="J482" s="107"/>
      <c r="K482" s="202"/>
      <c r="L482" s="107"/>
      <c r="M482" s="107"/>
      <c r="N482" s="206"/>
      <c r="O482" s="108" t="b">
        <v>0</v>
      </c>
      <c r="P482" s="207"/>
      <c r="Q482" s="140"/>
      <c r="R482" s="140"/>
      <c r="S482" s="140"/>
      <c r="T482" s="140"/>
      <c r="U482" s="140"/>
      <c r="V482" s="140"/>
      <c r="W482" s="140"/>
      <c r="X482" s="140"/>
      <c r="Y482" s="140"/>
      <c r="Z482" s="140"/>
      <c r="AA482" s="140"/>
      <c r="AB482" s="140"/>
      <c r="AC482" s="140"/>
      <c r="AD482" s="140"/>
      <c r="AE482" s="140"/>
      <c r="AF482" s="140"/>
      <c r="AG482" s="140"/>
      <c r="AH482" s="140"/>
      <c r="AI482" s="140"/>
      <c r="AJ482" s="140"/>
      <c r="AK482" s="140"/>
      <c r="AL482" s="140"/>
      <c r="AM482" s="140"/>
      <c r="AN482" s="140"/>
      <c r="AO482" s="140"/>
      <c r="AP482" s="140"/>
      <c r="AQ482" s="140"/>
      <c r="AR482" s="140"/>
      <c r="AS482" s="140"/>
      <c r="AT482" s="140"/>
      <c r="AU482" s="140"/>
      <c r="AV482" s="140"/>
      <c r="AW482" s="140"/>
      <c r="AX482" s="140"/>
      <c r="AY482" s="140"/>
      <c r="AZ482" s="140"/>
      <c r="BA482" s="140"/>
      <c r="BB482" s="140"/>
      <c r="BC482" s="140"/>
      <c r="BD482" s="140"/>
      <c r="BE482" s="140"/>
    </row>
    <row r="483">
      <c r="A483" s="108"/>
      <c r="B483" s="107"/>
      <c r="C483" s="107"/>
      <c r="D483" s="107"/>
      <c r="E483" s="107"/>
      <c r="F483" s="107"/>
      <c r="G483" s="208"/>
      <c r="H483" s="131"/>
      <c r="I483" s="211"/>
      <c r="J483" s="107"/>
      <c r="K483" s="202"/>
      <c r="L483" s="107"/>
      <c r="M483" s="107"/>
      <c r="N483" s="206"/>
      <c r="O483" s="108" t="b">
        <v>0</v>
      </c>
      <c r="P483" s="207"/>
      <c r="Q483" s="140"/>
      <c r="R483" s="140"/>
      <c r="S483" s="140"/>
      <c r="T483" s="140"/>
      <c r="U483" s="140"/>
      <c r="V483" s="140"/>
      <c r="W483" s="140"/>
      <c r="X483" s="140"/>
      <c r="Y483" s="140"/>
      <c r="Z483" s="140"/>
      <c r="AA483" s="140"/>
      <c r="AB483" s="140"/>
      <c r="AC483" s="140"/>
      <c r="AD483" s="140"/>
      <c r="AE483" s="140"/>
      <c r="AF483" s="140"/>
      <c r="AG483" s="140"/>
      <c r="AH483" s="140"/>
      <c r="AI483" s="140"/>
      <c r="AJ483" s="140"/>
      <c r="AK483" s="140"/>
      <c r="AL483" s="140"/>
      <c r="AM483" s="140"/>
      <c r="AN483" s="140"/>
      <c r="AO483" s="140"/>
      <c r="AP483" s="140"/>
      <c r="AQ483" s="140"/>
      <c r="AR483" s="140"/>
      <c r="AS483" s="140"/>
      <c r="AT483" s="140"/>
      <c r="AU483" s="140"/>
      <c r="AV483" s="140"/>
      <c r="AW483" s="140"/>
      <c r="AX483" s="140"/>
      <c r="AY483" s="140"/>
      <c r="AZ483" s="140"/>
      <c r="BA483" s="140"/>
      <c r="BB483" s="140"/>
      <c r="BC483" s="140"/>
      <c r="BD483" s="140"/>
      <c r="BE483" s="140"/>
    </row>
    <row r="484">
      <c r="A484" s="108"/>
      <c r="B484" s="107"/>
      <c r="C484" s="107"/>
      <c r="D484" s="107"/>
      <c r="E484" s="107"/>
      <c r="F484" s="107"/>
      <c r="G484" s="208"/>
      <c r="H484" s="131"/>
      <c r="I484" s="211"/>
      <c r="J484" s="107"/>
      <c r="K484" s="202"/>
      <c r="L484" s="107"/>
      <c r="M484" s="107"/>
      <c r="N484" s="206"/>
      <c r="O484" s="108" t="b">
        <v>0</v>
      </c>
      <c r="P484" s="207"/>
      <c r="Q484" s="140"/>
      <c r="R484" s="140"/>
      <c r="S484" s="140"/>
      <c r="T484" s="140"/>
      <c r="U484" s="140"/>
      <c r="V484" s="140"/>
      <c r="W484" s="140"/>
      <c r="X484" s="140"/>
      <c r="Y484" s="140"/>
      <c r="Z484" s="140"/>
      <c r="AA484" s="140"/>
      <c r="AB484" s="140"/>
      <c r="AC484" s="140"/>
      <c r="AD484" s="140"/>
      <c r="AE484" s="140"/>
      <c r="AF484" s="140"/>
      <c r="AG484" s="140"/>
      <c r="AH484" s="140"/>
      <c r="AI484" s="140"/>
      <c r="AJ484" s="140"/>
      <c r="AK484" s="140"/>
      <c r="AL484" s="140"/>
      <c r="AM484" s="140"/>
      <c r="AN484" s="140"/>
      <c r="AO484" s="140"/>
      <c r="AP484" s="140"/>
      <c r="AQ484" s="140"/>
      <c r="AR484" s="140"/>
      <c r="AS484" s="140"/>
      <c r="AT484" s="140"/>
      <c r="AU484" s="140"/>
      <c r="AV484" s="140"/>
      <c r="AW484" s="140"/>
      <c r="AX484" s="140"/>
      <c r="AY484" s="140"/>
      <c r="AZ484" s="140"/>
      <c r="BA484" s="140"/>
      <c r="BB484" s="140"/>
      <c r="BC484" s="140"/>
      <c r="BD484" s="140"/>
      <c r="BE484" s="140"/>
    </row>
    <row r="485">
      <c r="A485" s="108"/>
      <c r="B485" s="107"/>
      <c r="C485" s="107"/>
      <c r="D485" s="107"/>
      <c r="E485" s="107"/>
      <c r="F485" s="107"/>
      <c r="G485" s="208"/>
      <c r="H485" s="131"/>
      <c r="I485" s="211"/>
      <c r="J485" s="107"/>
      <c r="K485" s="202"/>
      <c r="L485" s="107"/>
      <c r="M485" s="107"/>
      <c r="N485" s="206"/>
      <c r="O485" s="108" t="b">
        <v>0</v>
      </c>
      <c r="P485" s="207"/>
      <c r="Q485" s="140"/>
      <c r="R485" s="140"/>
      <c r="S485" s="140"/>
      <c r="T485" s="140"/>
      <c r="U485" s="140"/>
      <c r="V485" s="140"/>
      <c r="W485" s="140"/>
      <c r="X485" s="140"/>
      <c r="Y485" s="140"/>
      <c r="Z485" s="140"/>
      <c r="AA485" s="140"/>
      <c r="AB485" s="140"/>
      <c r="AC485" s="140"/>
      <c r="AD485" s="140"/>
      <c r="AE485" s="140"/>
      <c r="AF485" s="140"/>
      <c r="AG485" s="140"/>
      <c r="AH485" s="140"/>
      <c r="AI485" s="140"/>
      <c r="AJ485" s="140"/>
      <c r="AK485" s="140"/>
      <c r="AL485" s="140"/>
      <c r="AM485" s="140"/>
      <c r="AN485" s="140"/>
      <c r="AO485" s="140"/>
      <c r="AP485" s="140"/>
      <c r="AQ485" s="140"/>
      <c r="AR485" s="140"/>
      <c r="AS485" s="140"/>
      <c r="AT485" s="140"/>
      <c r="AU485" s="140"/>
      <c r="AV485" s="140"/>
      <c r="AW485" s="140"/>
      <c r="AX485" s="140"/>
      <c r="AY485" s="140"/>
      <c r="AZ485" s="140"/>
      <c r="BA485" s="140"/>
      <c r="BB485" s="140"/>
      <c r="BC485" s="140"/>
      <c r="BD485" s="140"/>
      <c r="BE485" s="140"/>
    </row>
    <row r="486">
      <c r="A486" s="108"/>
      <c r="B486" s="107"/>
      <c r="C486" s="107"/>
      <c r="D486" s="107"/>
      <c r="E486" s="107"/>
      <c r="F486" s="107"/>
      <c r="G486" s="208"/>
      <c r="H486" s="131"/>
      <c r="I486" s="211"/>
      <c r="J486" s="107"/>
      <c r="K486" s="202"/>
      <c r="L486" s="107"/>
      <c r="M486" s="107"/>
      <c r="N486" s="206"/>
      <c r="O486" s="108" t="b">
        <v>0</v>
      </c>
      <c r="P486" s="207"/>
      <c r="Q486" s="140"/>
      <c r="R486" s="140"/>
      <c r="S486" s="140"/>
      <c r="T486" s="140"/>
      <c r="U486" s="140"/>
      <c r="V486" s="140"/>
      <c r="W486" s="140"/>
      <c r="X486" s="140"/>
      <c r="Y486" s="140"/>
      <c r="Z486" s="140"/>
      <c r="AA486" s="140"/>
      <c r="AB486" s="140"/>
      <c r="AC486" s="140"/>
      <c r="AD486" s="140"/>
      <c r="AE486" s="140"/>
      <c r="AF486" s="140"/>
      <c r="AG486" s="140"/>
      <c r="AH486" s="140"/>
      <c r="AI486" s="140"/>
      <c r="AJ486" s="140"/>
      <c r="AK486" s="140"/>
      <c r="AL486" s="140"/>
      <c r="AM486" s="140"/>
      <c r="AN486" s="140"/>
      <c r="AO486" s="140"/>
      <c r="AP486" s="140"/>
      <c r="AQ486" s="140"/>
      <c r="AR486" s="140"/>
      <c r="AS486" s="140"/>
      <c r="AT486" s="140"/>
      <c r="AU486" s="140"/>
      <c r="AV486" s="140"/>
      <c r="AW486" s="140"/>
      <c r="AX486" s="140"/>
      <c r="AY486" s="140"/>
      <c r="AZ486" s="140"/>
      <c r="BA486" s="140"/>
      <c r="BB486" s="140"/>
      <c r="BC486" s="140"/>
      <c r="BD486" s="140"/>
      <c r="BE486" s="140"/>
    </row>
    <row r="487">
      <c r="A487" s="108"/>
      <c r="B487" s="107"/>
      <c r="C487" s="107"/>
      <c r="D487" s="107"/>
      <c r="E487" s="107"/>
      <c r="F487" s="107"/>
      <c r="G487" s="208"/>
      <c r="H487" s="131"/>
      <c r="I487" s="211"/>
      <c r="J487" s="107"/>
      <c r="K487" s="202"/>
      <c r="L487" s="107"/>
      <c r="M487" s="107"/>
      <c r="N487" s="206"/>
      <c r="O487" s="108" t="b">
        <v>0</v>
      </c>
      <c r="P487" s="207"/>
      <c r="Q487" s="140"/>
      <c r="R487" s="140"/>
      <c r="S487" s="140"/>
      <c r="T487" s="140"/>
      <c r="U487" s="140"/>
      <c r="V487" s="140"/>
      <c r="W487" s="140"/>
      <c r="X487" s="140"/>
      <c r="Y487" s="140"/>
      <c r="Z487" s="140"/>
      <c r="AA487" s="140"/>
      <c r="AB487" s="140"/>
      <c r="AC487" s="140"/>
      <c r="AD487" s="140"/>
      <c r="AE487" s="140"/>
      <c r="AF487" s="140"/>
      <c r="AG487" s="140"/>
      <c r="AH487" s="140"/>
      <c r="AI487" s="140"/>
      <c r="AJ487" s="140"/>
      <c r="AK487" s="140"/>
      <c r="AL487" s="140"/>
      <c r="AM487" s="140"/>
      <c r="AN487" s="140"/>
      <c r="AO487" s="140"/>
      <c r="AP487" s="140"/>
      <c r="AQ487" s="140"/>
      <c r="AR487" s="140"/>
      <c r="AS487" s="140"/>
      <c r="AT487" s="140"/>
      <c r="AU487" s="140"/>
      <c r="AV487" s="140"/>
      <c r="AW487" s="140"/>
      <c r="AX487" s="140"/>
      <c r="AY487" s="140"/>
      <c r="AZ487" s="140"/>
      <c r="BA487" s="140"/>
      <c r="BB487" s="140"/>
      <c r="BC487" s="140"/>
      <c r="BD487" s="140"/>
      <c r="BE487" s="140"/>
    </row>
    <row r="488">
      <c r="A488" s="108"/>
      <c r="B488" s="107"/>
      <c r="C488" s="107"/>
      <c r="D488" s="107"/>
      <c r="E488" s="107"/>
      <c r="F488" s="107"/>
      <c r="G488" s="208"/>
      <c r="H488" s="131"/>
      <c r="I488" s="211"/>
      <c r="J488" s="107"/>
      <c r="K488" s="202"/>
      <c r="L488" s="107"/>
      <c r="M488" s="107"/>
      <c r="N488" s="206"/>
      <c r="O488" s="108" t="b">
        <v>0</v>
      </c>
      <c r="P488" s="207"/>
      <c r="Q488" s="140"/>
      <c r="R488" s="140"/>
      <c r="S488" s="140"/>
      <c r="T488" s="140"/>
      <c r="U488" s="140"/>
      <c r="V488" s="140"/>
      <c r="W488" s="140"/>
      <c r="X488" s="140"/>
      <c r="Y488" s="140"/>
      <c r="Z488" s="140"/>
      <c r="AA488" s="140"/>
      <c r="AB488" s="140"/>
      <c r="AC488" s="140"/>
      <c r="AD488" s="140"/>
      <c r="AE488" s="140"/>
      <c r="AF488" s="140"/>
      <c r="AG488" s="140"/>
      <c r="AH488" s="140"/>
      <c r="AI488" s="140"/>
      <c r="AJ488" s="140"/>
      <c r="AK488" s="140"/>
      <c r="AL488" s="140"/>
      <c r="AM488" s="140"/>
      <c r="AN488" s="140"/>
      <c r="AO488" s="140"/>
      <c r="AP488" s="140"/>
      <c r="AQ488" s="140"/>
      <c r="AR488" s="140"/>
      <c r="AS488" s="140"/>
      <c r="AT488" s="140"/>
      <c r="AU488" s="140"/>
      <c r="AV488" s="140"/>
      <c r="AW488" s="140"/>
      <c r="AX488" s="140"/>
      <c r="AY488" s="140"/>
      <c r="AZ488" s="140"/>
      <c r="BA488" s="140"/>
      <c r="BB488" s="140"/>
      <c r="BC488" s="140"/>
      <c r="BD488" s="140"/>
      <c r="BE488" s="140"/>
    </row>
    <row r="489">
      <c r="A489" s="108"/>
      <c r="B489" s="107"/>
      <c r="C489" s="107"/>
      <c r="D489" s="107"/>
      <c r="E489" s="107"/>
      <c r="F489" s="107"/>
      <c r="G489" s="208"/>
      <c r="H489" s="131"/>
      <c r="I489" s="211"/>
      <c r="J489" s="107"/>
      <c r="K489" s="202"/>
      <c r="L489" s="107"/>
      <c r="M489" s="107"/>
      <c r="N489" s="206"/>
      <c r="O489" s="108" t="b">
        <v>0</v>
      </c>
      <c r="P489" s="207"/>
      <c r="Q489" s="140"/>
      <c r="R489" s="140"/>
      <c r="S489" s="140"/>
      <c r="T489" s="140"/>
      <c r="U489" s="140"/>
      <c r="V489" s="140"/>
      <c r="W489" s="140"/>
      <c r="X489" s="140"/>
      <c r="Y489" s="140"/>
      <c r="Z489" s="140"/>
      <c r="AA489" s="140"/>
      <c r="AB489" s="140"/>
      <c r="AC489" s="140"/>
      <c r="AD489" s="140"/>
      <c r="AE489" s="140"/>
      <c r="AF489" s="140"/>
      <c r="AG489" s="140"/>
      <c r="AH489" s="140"/>
      <c r="AI489" s="140"/>
      <c r="AJ489" s="140"/>
      <c r="AK489" s="140"/>
      <c r="AL489" s="140"/>
      <c r="AM489" s="140"/>
      <c r="AN489" s="140"/>
      <c r="AO489" s="140"/>
      <c r="AP489" s="140"/>
      <c r="AQ489" s="140"/>
      <c r="AR489" s="140"/>
      <c r="AS489" s="140"/>
      <c r="AT489" s="140"/>
      <c r="AU489" s="140"/>
      <c r="AV489" s="140"/>
      <c r="AW489" s="140"/>
      <c r="AX489" s="140"/>
      <c r="AY489" s="140"/>
      <c r="AZ489" s="140"/>
      <c r="BA489" s="140"/>
      <c r="BB489" s="140"/>
      <c r="BC489" s="140"/>
      <c r="BD489" s="140"/>
      <c r="BE489" s="140"/>
    </row>
    <row r="490">
      <c r="A490" s="108"/>
      <c r="B490" s="107"/>
      <c r="C490" s="107"/>
      <c r="D490" s="107"/>
      <c r="E490" s="107"/>
      <c r="F490" s="107"/>
      <c r="G490" s="208"/>
      <c r="H490" s="131"/>
      <c r="I490" s="211"/>
      <c r="J490" s="107"/>
      <c r="K490" s="202"/>
      <c r="L490" s="107"/>
      <c r="M490" s="107"/>
      <c r="N490" s="206"/>
      <c r="O490" s="108" t="b">
        <v>0</v>
      </c>
      <c r="P490" s="207"/>
      <c r="Q490" s="140"/>
      <c r="R490" s="140"/>
      <c r="S490" s="140"/>
      <c r="T490" s="140"/>
      <c r="U490" s="140"/>
      <c r="V490" s="140"/>
      <c r="W490" s="140"/>
      <c r="X490" s="140"/>
      <c r="Y490" s="140"/>
      <c r="Z490" s="140"/>
      <c r="AA490" s="140"/>
      <c r="AB490" s="140"/>
      <c r="AC490" s="140"/>
      <c r="AD490" s="140"/>
      <c r="AE490" s="140"/>
      <c r="AF490" s="140"/>
      <c r="AG490" s="140"/>
      <c r="AH490" s="140"/>
      <c r="AI490" s="140"/>
      <c r="AJ490" s="140"/>
      <c r="AK490" s="140"/>
      <c r="AL490" s="140"/>
      <c r="AM490" s="140"/>
      <c r="AN490" s="140"/>
      <c r="AO490" s="140"/>
      <c r="AP490" s="140"/>
      <c r="AQ490" s="140"/>
      <c r="AR490" s="140"/>
      <c r="AS490" s="140"/>
      <c r="AT490" s="140"/>
      <c r="AU490" s="140"/>
      <c r="AV490" s="140"/>
      <c r="AW490" s="140"/>
      <c r="AX490" s="140"/>
      <c r="AY490" s="140"/>
      <c r="AZ490" s="140"/>
      <c r="BA490" s="140"/>
      <c r="BB490" s="140"/>
      <c r="BC490" s="140"/>
      <c r="BD490" s="140"/>
      <c r="BE490" s="140"/>
    </row>
    <row r="491">
      <c r="A491" s="108"/>
      <c r="B491" s="107"/>
      <c r="C491" s="107"/>
      <c r="D491" s="107"/>
      <c r="E491" s="107"/>
      <c r="F491" s="107"/>
      <c r="G491" s="208"/>
      <c r="H491" s="131"/>
      <c r="I491" s="211"/>
      <c r="J491" s="107"/>
      <c r="K491" s="202"/>
      <c r="L491" s="107"/>
      <c r="M491" s="107"/>
      <c r="N491" s="206"/>
      <c r="O491" s="108" t="b">
        <v>0</v>
      </c>
      <c r="P491" s="207"/>
      <c r="Q491" s="140"/>
      <c r="R491" s="140"/>
      <c r="S491" s="140"/>
      <c r="T491" s="140"/>
      <c r="U491" s="140"/>
      <c r="V491" s="140"/>
      <c r="W491" s="140"/>
      <c r="X491" s="140"/>
      <c r="Y491" s="140"/>
      <c r="Z491" s="140"/>
      <c r="AA491" s="140"/>
      <c r="AB491" s="140"/>
      <c r="AC491" s="140"/>
      <c r="AD491" s="140"/>
      <c r="AE491" s="140"/>
      <c r="AF491" s="140"/>
      <c r="AG491" s="140"/>
      <c r="AH491" s="140"/>
      <c r="AI491" s="140"/>
      <c r="AJ491" s="140"/>
      <c r="AK491" s="140"/>
      <c r="AL491" s="140"/>
      <c r="AM491" s="140"/>
      <c r="AN491" s="140"/>
      <c r="AO491" s="140"/>
      <c r="AP491" s="140"/>
      <c r="AQ491" s="140"/>
      <c r="AR491" s="140"/>
      <c r="AS491" s="140"/>
      <c r="AT491" s="140"/>
      <c r="AU491" s="140"/>
      <c r="AV491" s="140"/>
      <c r="AW491" s="140"/>
      <c r="AX491" s="140"/>
      <c r="AY491" s="140"/>
      <c r="AZ491" s="140"/>
      <c r="BA491" s="140"/>
      <c r="BB491" s="140"/>
      <c r="BC491" s="140"/>
      <c r="BD491" s="140"/>
      <c r="BE491" s="140"/>
    </row>
    <row r="492">
      <c r="A492" s="108"/>
      <c r="B492" s="107"/>
      <c r="C492" s="107"/>
      <c r="D492" s="107"/>
      <c r="E492" s="107"/>
      <c r="F492" s="107"/>
      <c r="G492" s="208"/>
      <c r="H492" s="131"/>
      <c r="I492" s="211"/>
      <c r="J492" s="107"/>
      <c r="K492" s="202"/>
      <c r="L492" s="107"/>
      <c r="M492" s="107"/>
      <c r="N492" s="206"/>
      <c r="O492" s="108" t="b">
        <v>0</v>
      </c>
      <c r="P492" s="207"/>
      <c r="Q492" s="140"/>
      <c r="R492" s="140"/>
      <c r="S492" s="140"/>
      <c r="T492" s="140"/>
      <c r="U492" s="140"/>
      <c r="V492" s="140"/>
      <c r="W492" s="140"/>
      <c r="X492" s="140"/>
      <c r="Y492" s="140"/>
      <c r="Z492" s="140"/>
      <c r="AA492" s="140"/>
      <c r="AB492" s="140"/>
      <c r="AC492" s="140"/>
      <c r="AD492" s="140"/>
      <c r="AE492" s="140"/>
      <c r="AF492" s="140"/>
      <c r="AG492" s="140"/>
      <c r="AH492" s="140"/>
      <c r="AI492" s="140"/>
      <c r="AJ492" s="140"/>
      <c r="AK492" s="140"/>
      <c r="AL492" s="140"/>
      <c r="AM492" s="140"/>
      <c r="AN492" s="140"/>
      <c r="AO492" s="140"/>
      <c r="AP492" s="140"/>
      <c r="AQ492" s="140"/>
      <c r="AR492" s="140"/>
      <c r="AS492" s="140"/>
      <c r="AT492" s="140"/>
      <c r="AU492" s="140"/>
      <c r="AV492" s="140"/>
      <c r="AW492" s="140"/>
      <c r="AX492" s="140"/>
      <c r="AY492" s="140"/>
      <c r="AZ492" s="140"/>
      <c r="BA492" s="140"/>
      <c r="BB492" s="140"/>
      <c r="BC492" s="140"/>
      <c r="BD492" s="140"/>
      <c r="BE492" s="140"/>
    </row>
    <row r="493">
      <c r="A493" s="108"/>
      <c r="B493" s="107"/>
      <c r="C493" s="107"/>
      <c r="D493" s="107"/>
      <c r="E493" s="107"/>
      <c r="F493" s="107"/>
      <c r="G493" s="208"/>
      <c r="H493" s="131"/>
      <c r="I493" s="211"/>
      <c r="J493" s="107"/>
      <c r="K493" s="202"/>
      <c r="L493" s="107"/>
      <c r="M493" s="107"/>
      <c r="N493" s="206"/>
      <c r="O493" s="108" t="b">
        <v>0</v>
      </c>
      <c r="P493" s="207"/>
      <c r="Q493" s="140"/>
      <c r="R493" s="140"/>
      <c r="S493" s="140"/>
      <c r="T493" s="140"/>
      <c r="U493" s="140"/>
      <c r="V493" s="140"/>
      <c r="W493" s="140"/>
      <c r="X493" s="140"/>
      <c r="Y493" s="140"/>
      <c r="Z493" s="140"/>
      <c r="AA493" s="140"/>
      <c r="AB493" s="140"/>
      <c r="AC493" s="140"/>
      <c r="AD493" s="140"/>
      <c r="AE493" s="140"/>
      <c r="AF493" s="140"/>
      <c r="AG493" s="140"/>
      <c r="AH493" s="140"/>
      <c r="AI493" s="140"/>
      <c r="AJ493" s="140"/>
      <c r="AK493" s="140"/>
      <c r="AL493" s="140"/>
      <c r="AM493" s="140"/>
      <c r="AN493" s="140"/>
      <c r="AO493" s="140"/>
      <c r="AP493" s="140"/>
      <c r="AQ493" s="140"/>
      <c r="AR493" s="140"/>
      <c r="AS493" s="140"/>
      <c r="AT493" s="140"/>
      <c r="AU493" s="140"/>
      <c r="AV493" s="140"/>
      <c r="AW493" s="140"/>
      <c r="AX493" s="140"/>
      <c r="AY493" s="140"/>
      <c r="AZ493" s="140"/>
      <c r="BA493" s="140"/>
      <c r="BB493" s="140"/>
      <c r="BC493" s="140"/>
      <c r="BD493" s="140"/>
      <c r="BE493" s="140"/>
    </row>
    <row r="494">
      <c r="A494" s="108"/>
      <c r="B494" s="107"/>
      <c r="C494" s="107"/>
      <c r="D494" s="107"/>
      <c r="E494" s="107"/>
      <c r="F494" s="107"/>
      <c r="G494" s="208"/>
      <c r="H494" s="131"/>
      <c r="I494" s="211"/>
      <c r="J494" s="107"/>
      <c r="K494" s="202"/>
      <c r="L494" s="107"/>
      <c r="M494" s="107"/>
      <c r="N494" s="206"/>
      <c r="O494" s="108" t="b">
        <v>0</v>
      </c>
      <c r="P494" s="207"/>
      <c r="Q494" s="140"/>
      <c r="R494" s="140"/>
      <c r="S494" s="140"/>
      <c r="T494" s="140"/>
      <c r="U494" s="140"/>
      <c r="V494" s="140"/>
      <c r="W494" s="140"/>
      <c r="X494" s="140"/>
      <c r="Y494" s="140"/>
      <c r="Z494" s="140"/>
      <c r="AA494" s="140"/>
      <c r="AB494" s="140"/>
      <c r="AC494" s="140"/>
      <c r="AD494" s="140"/>
      <c r="AE494" s="140"/>
      <c r="AF494" s="140"/>
      <c r="AG494" s="140"/>
      <c r="AH494" s="140"/>
      <c r="AI494" s="140"/>
      <c r="AJ494" s="140"/>
      <c r="AK494" s="140"/>
      <c r="AL494" s="140"/>
      <c r="AM494" s="140"/>
      <c r="AN494" s="140"/>
      <c r="AO494" s="140"/>
      <c r="AP494" s="140"/>
      <c r="AQ494" s="140"/>
      <c r="AR494" s="140"/>
      <c r="AS494" s="140"/>
      <c r="AT494" s="140"/>
      <c r="AU494" s="140"/>
      <c r="AV494" s="140"/>
      <c r="AW494" s="140"/>
      <c r="AX494" s="140"/>
      <c r="AY494" s="140"/>
      <c r="AZ494" s="140"/>
      <c r="BA494" s="140"/>
      <c r="BB494" s="140"/>
      <c r="BC494" s="140"/>
      <c r="BD494" s="140"/>
      <c r="BE494" s="140"/>
    </row>
    <row r="495">
      <c r="A495" s="108"/>
      <c r="B495" s="107"/>
      <c r="C495" s="107"/>
      <c r="D495" s="107"/>
      <c r="E495" s="107"/>
      <c r="F495" s="107"/>
      <c r="G495" s="208"/>
      <c r="H495" s="131"/>
      <c r="I495" s="211"/>
      <c r="J495" s="107"/>
      <c r="K495" s="202"/>
      <c r="L495" s="107"/>
      <c r="M495" s="107"/>
      <c r="N495" s="206"/>
      <c r="O495" s="108" t="b">
        <v>0</v>
      </c>
      <c r="P495" s="207"/>
      <c r="Q495" s="140"/>
      <c r="R495" s="140"/>
      <c r="S495" s="140"/>
      <c r="T495" s="140"/>
      <c r="U495" s="140"/>
      <c r="V495" s="140"/>
      <c r="W495" s="140"/>
      <c r="X495" s="140"/>
      <c r="Y495" s="140"/>
      <c r="Z495" s="140"/>
      <c r="AA495" s="140"/>
      <c r="AB495" s="140"/>
      <c r="AC495" s="140"/>
      <c r="AD495" s="140"/>
      <c r="AE495" s="140"/>
      <c r="AF495" s="140"/>
      <c r="AG495" s="140"/>
      <c r="AH495" s="140"/>
      <c r="AI495" s="140"/>
      <c r="AJ495" s="140"/>
      <c r="AK495" s="140"/>
      <c r="AL495" s="140"/>
      <c r="AM495" s="140"/>
      <c r="AN495" s="140"/>
      <c r="AO495" s="140"/>
      <c r="AP495" s="140"/>
      <c r="AQ495" s="140"/>
      <c r="AR495" s="140"/>
      <c r="AS495" s="140"/>
      <c r="AT495" s="140"/>
      <c r="AU495" s="140"/>
      <c r="AV495" s="140"/>
      <c r="AW495" s="140"/>
      <c r="AX495" s="140"/>
      <c r="AY495" s="140"/>
      <c r="AZ495" s="140"/>
      <c r="BA495" s="140"/>
      <c r="BB495" s="140"/>
      <c r="BC495" s="140"/>
      <c r="BD495" s="140"/>
      <c r="BE495" s="140"/>
    </row>
    <row r="496">
      <c r="A496" s="108"/>
      <c r="B496" s="107"/>
      <c r="C496" s="107"/>
      <c r="D496" s="107"/>
      <c r="E496" s="107"/>
      <c r="F496" s="107"/>
      <c r="G496" s="208"/>
      <c r="H496" s="131"/>
      <c r="I496" s="211"/>
      <c r="J496" s="107"/>
      <c r="K496" s="202"/>
      <c r="L496" s="107"/>
      <c r="M496" s="107"/>
      <c r="N496" s="206"/>
      <c r="O496" s="108" t="b">
        <v>0</v>
      </c>
      <c r="P496" s="207"/>
      <c r="Q496" s="140"/>
      <c r="R496" s="140"/>
      <c r="S496" s="140"/>
      <c r="T496" s="140"/>
      <c r="U496" s="140"/>
      <c r="V496" s="140"/>
      <c r="W496" s="140"/>
      <c r="X496" s="140"/>
      <c r="Y496" s="140"/>
      <c r="Z496" s="140"/>
      <c r="AA496" s="140"/>
      <c r="AB496" s="140"/>
      <c r="AC496" s="140"/>
      <c r="AD496" s="140"/>
      <c r="AE496" s="140"/>
      <c r="AF496" s="140"/>
      <c r="AG496" s="140"/>
      <c r="AH496" s="140"/>
      <c r="AI496" s="140"/>
      <c r="AJ496" s="140"/>
      <c r="AK496" s="140"/>
      <c r="AL496" s="140"/>
      <c r="AM496" s="140"/>
      <c r="AN496" s="140"/>
      <c r="AO496" s="140"/>
      <c r="AP496" s="140"/>
      <c r="AQ496" s="140"/>
      <c r="AR496" s="140"/>
      <c r="AS496" s="140"/>
      <c r="AT496" s="140"/>
      <c r="AU496" s="140"/>
      <c r="AV496" s="140"/>
      <c r="AW496" s="140"/>
      <c r="AX496" s="140"/>
      <c r="AY496" s="140"/>
      <c r="AZ496" s="140"/>
      <c r="BA496" s="140"/>
      <c r="BB496" s="140"/>
      <c r="BC496" s="140"/>
      <c r="BD496" s="140"/>
      <c r="BE496" s="140"/>
    </row>
    <row r="497">
      <c r="A497" s="108"/>
      <c r="B497" s="107"/>
      <c r="C497" s="107"/>
      <c r="D497" s="107"/>
      <c r="E497" s="107"/>
      <c r="F497" s="107"/>
      <c r="G497" s="208"/>
      <c r="H497" s="131"/>
      <c r="I497" s="211"/>
      <c r="J497" s="107"/>
      <c r="K497" s="202"/>
      <c r="L497" s="107"/>
      <c r="M497" s="107"/>
      <c r="N497" s="206"/>
      <c r="O497" s="108" t="b">
        <v>0</v>
      </c>
      <c r="P497" s="207"/>
      <c r="Q497" s="140"/>
      <c r="R497" s="140"/>
      <c r="S497" s="140"/>
      <c r="T497" s="140"/>
      <c r="U497" s="140"/>
      <c r="V497" s="140"/>
      <c r="W497" s="140"/>
      <c r="X497" s="140"/>
      <c r="Y497" s="140"/>
      <c r="Z497" s="140"/>
      <c r="AA497" s="140"/>
      <c r="AB497" s="140"/>
      <c r="AC497" s="140"/>
      <c r="AD497" s="140"/>
      <c r="AE497" s="140"/>
      <c r="AF497" s="140"/>
      <c r="AG497" s="140"/>
      <c r="AH497" s="140"/>
      <c r="AI497" s="140"/>
      <c r="AJ497" s="140"/>
      <c r="AK497" s="140"/>
      <c r="AL497" s="140"/>
      <c r="AM497" s="140"/>
      <c r="AN497" s="140"/>
      <c r="AO497" s="140"/>
      <c r="AP497" s="140"/>
      <c r="AQ497" s="140"/>
      <c r="AR497" s="140"/>
      <c r="AS497" s="140"/>
      <c r="AT497" s="140"/>
      <c r="AU497" s="140"/>
      <c r="AV497" s="140"/>
      <c r="AW497" s="140"/>
      <c r="AX497" s="140"/>
      <c r="AY497" s="140"/>
      <c r="AZ497" s="140"/>
      <c r="BA497" s="140"/>
      <c r="BB497" s="140"/>
      <c r="BC497" s="140"/>
      <c r="BD497" s="140"/>
      <c r="BE497" s="140"/>
    </row>
    <row r="498">
      <c r="A498" s="108"/>
      <c r="B498" s="107"/>
      <c r="C498" s="107"/>
      <c r="D498" s="107"/>
      <c r="E498" s="107"/>
      <c r="F498" s="107"/>
      <c r="G498" s="208"/>
      <c r="H498" s="131"/>
      <c r="I498" s="211"/>
      <c r="J498" s="107"/>
      <c r="K498" s="202"/>
      <c r="L498" s="107"/>
      <c r="M498" s="107"/>
      <c r="N498" s="206"/>
      <c r="O498" s="108" t="b">
        <v>0</v>
      </c>
      <c r="P498" s="207"/>
      <c r="Q498" s="140"/>
      <c r="R498" s="140"/>
      <c r="S498" s="140"/>
      <c r="T498" s="140"/>
      <c r="U498" s="140"/>
      <c r="V498" s="140"/>
      <c r="W498" s="140"/>
      <c r="X498" s="140"/>
      <c r="Y498" s="140"/>
      <c r="Z498" s="140"/>
      <c r="AA498" s="140"/>
      <c r="AB498" s="140"/>
      <c r="AC498" s="140"/>
      <c r="AD498" s="140"/>
      <c r="AE498" s="140"/>
      <c r="AF498" s="140"/>
      <c r="AG498" s="140"/>
      <c r="AH498" s="140"/>
      <c r="AI498" s="140"/>
      <c r="AJ498" s="140"/>
      <c r="AK498" s="140"/>
      <c r="AL498" s="140"/>
      <c r="AM498" s="140"/>
      <c r="AN498" s="140"/>
      <c r="AO498" s="140"/>
      <c r="AP498" s="140"/>
      <c r="AQ498" s="140"/>
      <c r="AR498" s="140"/>
      <c r="AS498" s="140"/>
      <c r="AT498" s="140"/>
      <c r="AU498" s="140"/>
      <c r="AV498" s="140"/>
      <c r="AW498" s="140"/>
      <c r="AX498" s="140"/>
      <c r="AY498" s="140"/>
      <c r="AZ498" s="140"/>
      <c r="BA498" s="140"/>
      <c r="BB498" s="140"/>
      <c r="BC498" s="140"/>
      <c r="BD498" s="140"/>
      <c r="BE498" s="140"/>
    </row>
    <row r="499">
      <c r="A499" s="108"/>
      <c r="B499" s="107"/>
      <c r="C499" s="107"/>
      <c r="D499" s="107"/>
      <c r="E499" s="107"/>
      <c r="F499" s="107"/>
      <c r="G499" s="208"/>
      <c r="H499" s="131"/>
      <c r="I499" s="211"/>
      <c r="J499" s="107"/>
      <c r="K499" s="202"/>
      <c r="L499" s="107"/>
      <c r="M499" s="107"/>
      <c r="N499" s="206"/>
      <c r="O499" s="108" t="b">
        <v>0</v>
      </c>
      <c r="P499" s="207"/>
      <c r="Q499" s="140"/>
      <c r="R499" s="140"/>
      <c r="S499" s="140"/>
      <c r="T499" s="140"/>
      <c r="U499" s="140"/>
      <c r="V499" s="140"/>
      <c r="W499" s="140"/>
      <c r="X499" s="140"/>
      <c r="Y499" s="140"/>
      <c r="Z499" s="140"/>
      <c r="AA499" s="140"/>
      <c r="AB499" s="140"/>
      <c r="AC499" s="140"/>
      <c r="AD499" s="140"/>
      <c r="AE499" s="140"/>
      <c r="AF499" s="140"/>
      <c r="AG499" s="140"/>
      <c r="AH499" s="140"/>
      <c r="AI499" s="140"/>
      <c r="AJ499" s="140"/>
      <c r="AK499" s="140"/>
      <c r="AL499" s="140"/>
      <c r="AM499" s="140"/>
      <c r="AN499" s="140"/>
      <c r="AO499" s="140"/>
      <c r="AP499" s="140"/>
      <c r="AQ499" s="140"/>
      <c r="AR499" s="140"/>
      <c r="AS499" s="140"/>
      <c r="AT499" s="140"/>
      <c r="AU499" s="140"/>
      <c r="AV499" s="140"/>
      <c r="AW499" s="140"/>
      <c r="AX499" s="140"/>
      <c r="AY499" s="140"/>
      <c r="AZ499" s="140"/>
      <c r="BA499" s="140"/>
      <c r="BB499" s="140"/>
      <c r="BC499" s="140"/>
      <c r="BD499" s="140"/>
      <c r="BE499" s="140"/>
    </row>
    <row r="500">
      <c r="A500" s="108"/>
      <c r="B500" s="107"/>
      <c r="C500" s="107"/>
      <c r="D500" s="107"/>
      <c r="E500" s="107"/>
      <c r="F500" s="107"/>
      <c r="G500" s="208"/>
      <c r="H500" s="131"/>
      <c r="I500" s="211"/>
      <c r="J500" s="107"/>
      <c r="K500" s="202"/>
      <c r="L500" s="107"/>
      <c r="M500" s="107"/>
      <c r="N500" s="206"/>
      <c r="O500" s="108" t="b">
        <v>0</v>
      </c>
      <c r="P500" s="207"/>
      <c r="Q500" s="140"/>
      <c r="R500" s="140"/>
      <c r="S500" s="140"/>
      <c r="T500" s="140"/>
      <c r="U500" s="140"/>
      <c r="V500" s="140"/>
      <c r="W500" s="140"/>
      <c r="X500" s="140"/>
      <c r="Y500" s="140"/>
      <c r="Z500" s="140"/>
      <c r="AA500" s="140"/>
      <c r="AB500" s="140"/>
      <c r="AC500" s="140"/>
      <c r="AD500" s="140"/>
      <c r="AE500" s="140"/>
      <c r="AF500" s="140"/>
      <c r="AG500" s="140"/>
      <c r="AH500" s="140"/>
      <c r="AI500" s="140"/>
      <c r="AJ500" s="140"/>
      <c r="AK500" s="140"/>
      <c r="AL500" s="140"/>
      <c r="AM500" s="140"/>
      <c r="AN500" s="140"/>
      <c r="AO500" s="140"/>
      <c r="AP500" s="140"/>
      <c r="AQ500" s="140"/>
      <c r="AR500" s="140"/>
      <c r="AS500" s="140"/>
      <c r="AT500" s="140"/>
      <c r="AU500" s="140"/>
      <c r="AV500" s="140"/>
      <c r="AW500" s="140"/>
      <c r="AX500" s="140"/>
      <c r="AY500" s="140"/>
      <c r="AZ500" s="140"/>
      <c r="BA500" s="140"/>
      <c r="BB500" s="140"/>
      <c r="BC500" s="140"/>
      <c r="BD500" s="140"/>
      <c r="BE500" s="140"/>
    </row>
    <row r="501">
      <c r="A501" s="108"/>
      <c r="B501" s="107"/>
      <c r="C501" s="107"/>
      <c r="D501" s="107"/>
      <c r="E501" s="107"/>
      <c r="F501" s="107"/>
      <c r="G501" s="208"/>
      <c r="H501" s="131"/>
      <c r="I501" s="211"/>
      <c r="J501" s="107"/>
      <c r="K501" s="202"/>
      <c r="L501" s="107"/>
      <c r="M501" s="107"/>
      <c r="N501" s="206"/>
      <c r="O501" s="108" t="b">
        <v>0</v>
      </c>
      <c r="P501" s="207"/>
      <c r="Q501" s="140"/>
      <c r="R501" s="140"/>
      <c r="S501" s="140"/>
      <c r="T501" s="140"/>
      <c r="U501" s="140"/>
      <c r="V501" s="140"/>
      <c r="W501" s="140"/>
      <c r="X501" s="140"/>
      <c r="Y501" s="140"/>
      <c r="Z501" s="140"/>
      <c r="AA501" s="140"/>
      <c r="AB501" s="140"/>
      <c r="AC501" s="140"/>
      <c r="AD501" s="140"/>
      <c r="AE501" s="140"/>
      <c r="AF501" s="140"/>
      <c r="AG501" s="140"/>
      <c r="AH501" s="140"/>
      <c r="AI501" s="140"/>
      <c r="AJ501" s="140"/>
      <c r="AK501" s="140"/>
      <c r="AL501" s="140"/>
      <c r="AM501" s="140"/>
      <c r="AN501" s="140"/>
      <c r="AO501" s="140"/>
      <c r="AP501" s="140"/>
      <c r="AQ501" s="140"/>
      <c r="AR501" s="140"/>
      <c r="AS501" s="140"/>
      <c r="AT501" s="140"/>
      <c r="AU501" s="140"/>
      <c r="AV501" s="140"/>
      <c r="AW501" s="140"/>
      <c r="AX501" s="140"/>
      <c r="AY501" s="140"/>
      <c r="AZ501" s="140"/>
      <c r="BA501" s="140"/>
      <c r="BB501" s="140"/>
      <c r="BC501" s="140"/>
      <c r="BD501" s="140"/>
      <c r="BE501" s="140"/>
    </row>
    <row r="502">
      <c r="A502" s="108"/>
      <c r="B502" s="107"/>
      <c r="C502" s="107"/>
      <c r="D502" s="107"/>
      <c r="E502" s="107"/>
      <c r="F502" s="107"/>
      <c r="G502" s="208"/>
      <c r="H502" s="131"/>
      <c r="I502" s="211"/>
      <c r="J502" s="107"/>
      <c r="K502" s="202"/>
      <c r="L502" s="107"/>
      <c r="M502" s="107"/>
      <c r="N502" s="206"/>
      <c r="O502" s="108" t="b">
        <v>0</v>
      </c>
      <c r="P502" s="207"/>
      <c r="Q502" s="140"/>
      <c r="R502" s="140"/>
      <c r="S502" s="140"/>
      <c r="T502" s="140"/>
      <c r="U502" s="140"/>
      <c r="V502" s="140"/>
      <c r="W502" s="140"/>
      <c r="X502" s="140"/>
      <c r="Y502" s="140"/>
      <c r="Z502" s="140"/>
      <c r="AA502" s="140"/>
      <c r="AB502" s="140"/>
      <c r="AC502" s="140"/>
      <c r="AD502" s="140"/>
      <c r="AE502" s="140"/>
      <c r="AF502" s="140"/>
      <c r="AG502" s="140"/>
      <c r="AH502" s="140"/>
      <c r="AI502" s="140"/>
      <c r="AJ502" s="140"/>
      <c r="AK502" s="140"/>
      <c r="AL502" s="140"/>
      <c r="AM502" s="140"/>
      <c r="AN502" s="140"/>
      <c r="AO502" s="140"/>
      <c r="AP502" s="140"/>
      <c r="AQ502" s="140"/>
      <c r="AR502" s="140"/>
      <c r="AS502" s="140"/>
      <c r="AT502" s="140"/>
      <c r="AU502" s="140"/>
      <c r="AV502" s="140"/>
      <c r="AW502" s="140"/>
      <c r="AX502" s="140"/>
      <c r="AY502" s="140"/>
      <c r="AZ502" s="140"/>
      <c r="BA502" s="140"/>
      <c r="BB502" s="140"/>
      <c r="BC502" s="140"/>
      <c r="BD502" s="140"/>
      <c r="BE502" s="140"/>
    </row>
    <row r="503">
      <c r="A503" s="108"/>
      <c r="B503" s="107"/>
      <c r="C503" s="107"/>
      <c r="D503" s="107"/>
      <c r="E503" s="107"/>
      <c r="F503" s="107"/>
      <c r="G503" s="208"/>
      <c r="H503" s="131"/>
      <c r="I503" s="211"/>
      <c r="J503" s="107"/>
      <c r="K503" s="202"/>
      <c r="L503" s="107"/>
      <c r="M503" s="107"/>
      <c r="N503" s="206"/>
      <c r="O503" s="108" t="b">
        <v>0</v>
      </c>
      <c r="P503" s="207"/>
      <c r="Q503" s="140"/>
      <c r="R503" s="140"/>
      <c r="S503" s="140"/>
      <c r="T503" s="140"/>
      <c r="U503" s="140"/>
      <c r="V503" s="140"/>
      <c r="W503" s="140"/>
      <c r="X503" s="140"/>
      <c r="Y503" s="140"/>
      <c r="Z503" s="140"/>
      <c r="AA503" s="140"/>
      <c r="AB503" s="140"/>
      <c r="AC503" s="140"/>
      <c r="AD503" s="140"/>
      <c r="AE503" s="140"/>
      <c r="AF503" s="140"/>
      <c r="AG503" s="140"/>
      <c r="AH503" s="140"/>
      <c r="AI503" s="140"/>
      <c r="AJ503" s="140"/>
      <c r="AK503" s="140"/>
      <c r="AL503" s="140"/>
      <c r="AM503" s="140"/>
      <c r="AN503" s="140"/>
      <c r="AO503" s="140"/>
      <c r="AP503" s="140"/>
      <c r="AQ503" s="140"/>
      <c r="AR503" s="140"/>
      <c r="AS503" s="140"/>
      <c r="AT503" s="140"/>
      <c r="AU503" s="140"/>
      <c r="AV503" s="140"/>
      <c r="AW503" s="140"/>
      <c r="AX503" s="140"/>
      <c r="AY503" s="140"/>
      <c r="AZ503" s="140"/>
      <c r="BA503" s="140"/>
      <c r="BB503" s="140"/>
      <c r="BC503" s="140"/>
      <c r="BD503" s="140"/>
      <c r="BE503" s="140"/>
    </row>
    <row r="504">
      <c r="A504" s="108"/>
      <c r="B504" s="107"/>
      <c r="C504" s="107"/>
      <c r="D504" s="107"/>
      <c r="E504" s="107"/>
      <c r="F504" s="107"/>
      <c r="G504" s="208"/>
      <c r="H504" s="131"/>
      <c r="I504" s="211"/>
      <c r="J504" s="107"/>
      <c r="K504" s="202"/>
      <c r="L504" s="107"/>
      <c r="M504" s="107"/>
      <c r="N504" s="206"/>
      <c r="O504" s="108" t="b">
        <v>0</v>
      </c>
      <c r="P504" s="207"/>
      <c r="Q504" s="140"/>
      <c r="R504" s="140"/>
      <c r="S504" s="140"/>
      <c r="T504" s="140"/>
      <c r="U504" s="140"/>
      <c r="V504" s="140"/>
      <c r="W504" s="140"/>
      <c r="X504" s="140"/>
      <c r="Y504" s="140"/>
      <c r="Z504" s="140"/>
      <c r="AA504" s="140"/>
      <c r="AB504" s="140"/>
      <c r="AC504" s="140"/>
      <c r="AD504" s="140"/>
      <c r="AE504" s="140"/>
      <c r="AF504" s="140"/>
      <c r="AG504" s="140"/>
      <c r="AH504" s="140"/>
      <c r="AI504" s="140"/>
      <c r="AJ504" s="140"/>
      <c r="AK504" s="140"/>
      <c r="AL504" s="140"/>
      <c r="AM504" s="140"/>
      <c r="AN504" s="140"/>
      <c r="AO504" s="140"/>
      <c r="AP504" s="140"/>
      <c r="AQ504" s="140"/>
      <c r="AR504" s="140"/>
      <c r="AS504" s="140"/>
      <c r="AT504" s="140"/>
      <c r="AU504" s="140"/>
      <c r="AV504" s="140"/>
      <c r="AW504" s="140"/>
      <c r="AX504" s="140"/>
      <c r="AY504" s="140"/>
      <c r="AZ504" s="140"/>
      <c r="BA504" s="140"/>
      <c r="BB504" s="140"/>
      <c r="BC504" s="140"/>
      <c r="BD504" s="140"/>
      <c r="BE504" s="140"/>
    </row>
    <row r="505">
      <c r="A505" s="108"/>
      <c r="B505" s="107"/>
      <c r="C505" s="107"/>
      <c r="D505" s="107"/>
      <c r="E505" s="107"/>
      <c r="F505" s="107"/>
      <c r="G505" s="208"/>
      <c r="H505" s="131"/>
      <c r="I505" s="211"/>
      <c r="J505" s="107"/>
      <c r="K505" s="202"/>
      <c r="L505" s="107"/>
      <c r="M505" s="107"/>
      <c r="N505" s="206"/>
      <c r="O505" s="108" t="b">
        <v>0</v>
      </c>
      <c r="P505" s="207"/>
      <c r="Q505" s="140"/>
      <c r="R505" s="140"/>
      <c r="S505" s="140"/>
      <c r="T505" s="140"/>
      <c r="U505" s="140"/>
      <c r="V505" s="140"/>
      <c r="W505" s="140"/>
      <c r="X505" s="140"/>
      <c r="Y505" s="140"/>
      <c r="Z505" s="140"/>
      <c r="AA505" s="140"/>
      <c r="AB505" s="140"/>
      <c r="AC505" s="140"/>
      <c r="AD505" s="140"/>
      <c r="AE505" s="140"/>
      <c r="AF505" s="140"/>
      <c r="AG505" s="140"/>
      <c r="AH505" s="140"/>
      <c r="AI505" s="140"/>
      <c r="AJ505" s="140"/>
      <c r="AK505" s="140"/>
      <c r="AL505" s="140"/>
      <c r="AM505" s="140"/>
      <c r="AN505" s="140"/>
      <c r="AO505" s="140"/>
      <c r="AP505" s="140"/>
      <c r="AQ505" s="140"/>
      <c r="AR505" s="140"/>
      <c r="AS505" s="140"/>
      <c r="AT505" s="140"/>
      <c r="AU505" s="140"/>
      <c r="AV505" s="140"/>
      <c r="AW505" s="140"/>
      <c r="AX505" s="140"/>
      <c r="AY505" s="140"/>
      <c r="AZ505" s="140"/>
      <c r="BA505" s="140"/>
      <c r="BB505" s="140"/>
      <c r="BC505" s="140"/>
      <c r="BD505" s="140"/>
      <c r="BE505" s="140"/>
    </row>
    <row r="506">
      <c r="A506" s="108"/>
      <c r="B506" s="107"/>
      <c r="C506" s="107"/>
      <c r="D506" s="107"/>
      <c r="E506" s="107"/>
      <c r="F506" s="107"/>
      <c r="G506" s="208"/>
      <c r="H506" s="131"/>
      <c r="I506" s="211"/>
      <c r="J506" s="107"/>
      <c r="K506" s="202"/>
      <c r="L506" s="107"/>
      <c r="M506" s="107"/>
      <c r="N506" s="206"/>
      <c r="O506" s="108" t="b">
        <v>0</v>
      </c>
      <c r="P506" s="207"/>
      <c r="Q506" s="140"/>
      <c r="R506" s="140"/>
      <c r="S506" s="140"/>
      <c r="T506" s="140"/>
      <c r="U506" s="140"/>
      <c r="V506" s="140"/>
      <c r="W506" s="140"/>
      <c r="X506" s="140"/>
      <c r="Y506" s="140"/>
      <c r="Z506" s="140"/>
      <c r="AA506" s="140"/>
      <c r="AB506" s="140"/>
      <c r="AC506" s="140"/>
      <c r="AD506" s="140"/>
      <c r="AE506" s="140"/>
      <c r="AF506" s="140"/>
      <c r="AG506" s="140"/>
      <c r="AH506" s="140"/>
      <c r="AI506" s="140"/>
      <c r="AJ506" s="140"/>
      <c r="AK506" s="140"/>
      <c r="AL506" s="140"/>
      <c r="AM506" s="140"/>
      <c r="AN506" s="140"/>
      <c r="AO506" s="140"/>
      <c r="AP506" s="140"/>
      <c r="AQ506" s="140"/>
      <c r="AR506" s="140"/>
      <c r="AS506" s="140"/>
      <c r="AT506" s="140"/>
      <c r="AU506" s="140"/>
      <c r="AV506" s="140"/>
      <c r="AW506" s="140"/>
      <c r="AX506" s="140"/>
      <c r="AY506" s="140"/>
      <c r="AZ506" s="140"/>
      <c r="BA506" s="140"/>
      <c r="BB506" s="140"/>
      <c r="BC506" s="140"/>
      <c r="BD506" s="140"/>
      <c r="BE506" s="140"/>
    </row>
    <row r="507">
      <c r="A507" s="108"/>
      <c r="B507" s="107"/>
      <c r="C507" s="107"/>
      <c r="D507" s="107"/>
      <c r="E507" s="107"/>
      <c r="F507" s="107"/>
      <c r="G507" s="208"/>
      <c r="H507" s="131"/>
      <c r="I507" s="211"/>
      <c r="J507" s="107"/>
      <c r="K507" s="202"/>
      <c r="L507" s="107"/>
      <c r="M507" s="107"/>
      <c r="N507" s="206"/>
      <c r="O507" s="108" t="b">
        <v>0</v>
      </c>
      <c r="P507" s="207"/>
      <c r="Q507" s="140"/>
      <c r="R507" s="140"/>
      <c r="S507" s="140"/>
      <c r="T507" s="140"/>
      <c r="U507" s="140"/>
      <c r="V507" s="140"/>
      <c r="W507" s="140"/>
      <c r="X507" s="140"/>
      <c r="Y507" s="140"/>
      <c r="Z507" s="140"/>
      <c r="AA507" s="140"/>
      <c r="AB507" s="140"/>
      <c r="AC507" s="140"/>
      <c r="AD507" s="140"/>
      <c r="AE507" s="140"/>
      <c r="AF507" s="140"/>
      <c r="AG507" s="140"/>
      <c r="AH507" s="140"/>
      <c r="AI507" s="140"/>
      <c r="AJ507" s="140"/>
      <c r="AK507" s="140"/>
      <c r="AL507" s="140"/>
      <c r="AM507" s="140"/>
      <c r="AN507" s="140"/>
      <c r="AO507" s="140"/>
      <c r="AP507" s="140"/>
      <c r="AQ507" s="140"/>
      <c r="AR507" s="140"/>
      <c r="AS507" s="140"/>
      <c r="AT507" s="140"/>
      <c r="AU507" s="140"/>
      <c r="AV507" s="140"/>
      <c r="AW507" s="140"/>
      <c r="AX507" s="140"/>
      <c r="AY507" s="140"/>
      <c r="AZ507" s="140"/>
      <c r="BA507" s="140"/>
      <c r="BB507" s="140"/>
      <c r="BC507" s="140"/>
      <c r="BD507" s="140"/>
      <c r="BE507" s="140"/>
    </row>
    <row r="508">
      <c r="A508" s="108"/>
      <c r="B508" s="107"/>
      <c r="C508" s="107"/>
      <c r="D508" s="107"/>
      <c r="E508" s="107"/>
      <c r="F508" s="107"/>
      <c r="G508" s="208"/>
      <c r="H508" s="131"/>
      <c r="I508" s="211"/>
      <c r="J508" s="107"/>
      <c r="K508" s="202"/>
      <c r="L508" s="107"/>
      <c r="M508" s="107"/>
      <c r="N508" s="206"/>
      <c r="O508" s="108" t="b">
        <v>0</v>
      </c>
      <c r="P508" s="207"/>
      <c r="Q508" s="140"/>
      <c r="R508" s="140"/>
      <c r="S508" s="140"/>
      <c r="T508" s="140"/>
      <c r="U508" s="140"/>
      <c r="V508" s="140"/>
      <c r="W508" s="140"/>
      <c r="X508" s="140"/>
      <c r="Y508" s="140"/>
      <c r="Z508" s="140"/>
      <c r="AA508" s="140"/>
      <c r="AB508" s="140"/>
      <c r="AC508" s="140"/>
      <c r="AD508" s="140"/>
      <c r="AE508" s="140"/>
      <c r="AF508" s="140"/>
      <c r="AG508" s="140"/>
      <c r="AH508" s="140"/>
      <c r="AI508" s="140"/>
      <c r="AJ508" s="140"/>
      <c r="AK508" s="140"/>
      <c r="AL508" s="140"/>
      <c r="AM508" s="140"/>
      <c r="AN508" s="140"/>
      <c r="AO508" s="140"/>
      <c r="AP508" s="140"/>
      <c r="AQ508" s="140"/>
      <c r="AR508" s="140"/>
      <c r="AS508" s="140"/>
      <c r="AT508" s="140"/>
      <c r="AU508" s="140"/>
      <c r="AV508" s="140"/>
      <c r="AW508" s="140"/>
      <c r="AX508" s="140"/>
      <c r="AY508" s="140"/>
      <c r="AZ508" s="140"/>
      <c r="BA508" s="140"/>
      <c r="BB508" s="140"/>
      <c r="BC508" s="140"/>
      <c r="BD508" s="140"/>
      <c r="BE508" s="140"/>
    </row>
    <row r="509">
      <c r="A509" s="108"/>
      <c r="B509" s="107"/>
      <c r="C509" s="107"/>
      <c r="D509" s="107"/>
      <c r="E509" s="107"/>
      <c r="F509" s="107"/>
      <c r="G509" s="208"/>
      <c r="H509" s="131"/>
      <c r="I509" s="211"/>
      <c r="J509" s="107"/>
      <c r="K509" s="202"/>
      <c r="L509" s="107"/>
      <c r="M509" s="107"/>
      <c r="N509" s="206"/>
      <c r="O509" s="108" t="b">
        <v>0</v>
      </c>
      <c r="P509" s="207"/>
      <c r="Q509" s="140"/>
      <c r="R509" s="140"/>
      <c r="S509" s="140"/>
      <c r="T509" s="140"/>
      <c r="U509" s="140"/>
      <c r="V509" s="140"/>
      <c r="W509" s="140"/>
      <c r="X509" s="140"/>
      <c r="Y509" s="140"/>
      <c r="Z509" s="140"/>
      <c r="AA509" s="140"/>
      <c r="AB509" s="140"/>
      <c r="AC509" s="140"/>
      <c r="AD509" s="140"/>
      <c r="AE509" s="140"/>
      <c r="AF509" s="140"/>
      <c r="AG509" s="140"/>
      <c r="AH509" s="140"/>
      <c r="AI509" s="140"/>
      <c r="AJ509" s="140"/>
      <c r="AK509" s="140"/>
      <c r="AL509" s="140"/>
      <c r="AM509" s="140"/>
      <c r="AN509" s="140"/>
      <c r="AO509" s="140"/>
      <c r="AP509" s="140"/>
      <c r="AQ509" s="140"/>
      <c r="AR509" s="140"/>
      <c r="AS509" s="140"/>
      <c r="AT509" s="140"/>
      <c r="AU509" s="140"/>
      <c r="AV509" s="140"/>
      <c r="AW509" s="140"/>
      <c r="AX509" s="140"/>
      <c r="AY509" s="140"/>
      <c r="AZ509" s="140"/>
      <c r="BA509" s="140"/>
      <c r="BB509" s="140"/>
      <c r="BC509" s="140"/>
      <c r="BD509" s="140"/>
      <c r="BE509" s="140"/>
    </row>
    <row r="510">
      <c r="A510" s="108"/>
      <c r="B510" s="107"/>
      <c r="C510" s="107"/>
      <c r="D510" s="107"/>
      <c r="E510" s="107"/>
      <c r="F510" s="107"/>
      <c r="G510" s="208"/>
      <c r="H510" s="131"/>
      <c r="I510" s="211"/>
      <c r="J510" s="107"/>
      <c r="K510" s="202"/>
      <c r="L510" s="107"/>
      <c r="M510" s="107"/>
      <c r="N510" s="206"/>
      <c r="O510" s="108" t="b">
        <v>0</v>
      </c>
      <c r="P510" s="207"/>
      <c r="Q510" s="140"/>
      <c r="R510" s="140"/>
      <c r="S510" s="140"/>
      <c r="T510" s="140"/>
      <c r="U510" s="140"/>
      <c r="V510" s="140"/>
      <c r="W510" s="140"/>
      <c r="X510" s="140"/>
      <c r="Y510" s="140"/>
      <c r="Z510" s="140"/>
      <c r="AA510" s="140"/>
      <c r="AB510" s="140"/>
      <c r="AC510" s="140"/>
      <c r="AD510" s="140"/>
      <c r="AE510" s="140"/>
      <c r="AF510" s="140"/>
      <c r="AG510" s="140"/>
      <c r="AH510" s="140"/>
      <c r="AI510" s="140"/>
      <c r="AJ510" s="140"/>
      <c r="AK510" s="140"/>
      <c r="AL510" s="140"/>
      <c r="AM510" s="140"/>
      <c r="AN510" s="140"/>
      <c r="AO510" s="140"/>
      <c r="AP510" s="140"/>
      <c r="AQ510" s="140"/>
      <c r="AR510" s="140"/>
      <c r="AS510" s="140"/>
      <c r="AT510" s="140"/>
      <c r="AU510" s="140"/>
      <c r="AV510" s="140"/>
      <c r="AW510" s="140"/>
      <c r="AX510" s="140"/>
      <c r="AY510" s="140"/>
      <c r="AZ510" s="140"/>
      <c r="BA510" s="140"/>
      <c r="BB510" s="140"/>
      <c r="BC510" s="140"/>
      <c r="BD510" s="140"/>
      <c r="BE510" s="140"/>
    </row>
    <row r="511">
      <c r="A511" s="108"/>
      <c r="B511" s="107"/>
      <c r="C511" s="107"/>
      <c r="D511" s="107"/>
      <c r="E511" s="107"/>
      <c r="F511" s="107"/>
      <c r="G511" s="208"/>
      <c r="H511" s="131"/>
      <c r="I511" s="211"/>
      <c r="J511" s="107"/>
      <c r="K511" s="202"/>
      <c r="L511" s="107"/>
      <c r="M511" s="107"/>
      <c r="N511" s="206"/>
      <c r="O511" s="108" t="b">
        <v>0</v>
      </c>
      <c r="P511" s="207"/>
      <c r="Q511" s="140"/>
      <c r="R511" s="140"/>
      <c r="S511" s="140"/>
      <c r="T511" s="140"/>
      <c r="U511" s="140"/>
      <c r="V511" s="140"/>
      <c r="W511" s="140"/>
      <c r="X511" s="140"/>
      <c r="Y511" s="140"/>
      <c r="Z511" s="140"/>
      <c r="AA511" s="140"/>
      <c r="AB511" s="140"/>
      <c r="AC511" s="140"/>
      <c r="AD511" s="140"/>
      <c r="AE511" s="140"/>
      <c r="AF511" s="140"/>
      <c r="AG511" s="140"/>
      <c r="AH511" s="140"/>
      <c r="AI511" s="140"/>
      <c r="AJ511" s="140"/>
      <c r="AK511" s="140"/>
      <c r="AL511" s="140"/>
      <c r="AM511" s="140"/>
      <c r="AN511" s="140"/>
      <c r="AO511" s="140"/>
      <c r="AP511" s="140"/>
      <c r="AQ511" s="140"/>
      <c r="AR511" s="140"/>
      <c r="AS511" s="140"/>
      <c r="AT511" s="140"/>
      <c r="AU511" s="140"/>
      <c r="AV511" s="140"/>
      <c r="AW511" s="140"/>
      <c r="AX511" s="140"/>
      <c r="AY511" s="140"/>
      <c r="AZ511" s="140"/>
      <c r="BA511" s="140"/>
      <c r="BB511" s="140"/>
      <c r="BC511" s="140"/>
      <c r="BD511" s="140"/>
      <c r="BE511" s="140"/>
    </row>
    <row r="512">
      <c r="A512" s="108"/>
      <c r="B512" s="107"/>
      <c r="C512" s="107"/>
      <c r="D512" s="107"/>
      <c r="E512" s="107"/>
      <c r="F512" s="107"/>
      <c r="G512" s="208"/>
      <c r="H512" s="131"/>
      <c r="I512" s="211"/>
      <c r="J512" s="107"/>
      <c r="K512" s="202"/>
      <c r="L512" s="107"/>
      <c r="M512" s="107"/>
      <c r="N512" s="206"/>
      <c r="O512" s="108" t="b">
        <v>0</v>
      </c>
      <c r="P512" s="207"/>
      <c r="Q512" s="140"/>
      <c r="R512" s="140"/>
      <c r="S512" s="140"/>
      <c r="T512" s="140"/>
      <c r="U512" s="140"/>
      <c r="V512" s="140"/>
      <c r="W512" s="140"/>
      <c r="X512" s="140"/>
      <c r="Y512" s="140"/>
      <c r="Z512" s="140"/>
      <c r="AA512" s="140"/>
      <c r="AB512" s="140"/>
      <c r="AC512" s="140"/>
      <c r="AD512" s="140"/>
      <c r="AE512" s="140"/>
      <c r="AF512" s="140"/>
      <c r="AG512" s="140"/>
      <c r="AH512" s="140"/>
      <c r="AI512" s="140"/>
      <c r="AJ512" s="140"/>
      <c r="AK512" s="140"/>
      <c r="AL512" s="140"/>
      <c r="AM512" s="140"/>
      <c r="AN512" s="140"/>
      <c r="AO512" s="140"/>
      <c r="AP512" s="140"/>
      <c r="AQ512" s="140"/>
      <c r="AR512" s="140"/>
      <c r="AS512" s="140"/>
      <c r="AT512" s="140"/>
      <c r="AU512" s="140"/>
      <c r="AV512" s="140"/>
      <c r="AW512" s="140"/>
      <c r="AX512" s="140"/>
      <c r="AY512" s="140"/>
      <c r="AZ512" s="140"/>
      <c r="BA512" s="140"/>
      <c r="BB512" s="140"/>
      <c r="BC512" s="140"/>
      <c r="BD512" s="140"/>
      <c r="BE512" s="140"/>
    </row>
    <row r="513">
      <c r="A513" s="108"/>
      <c r="B513" s="107"/>
      <c r="C513" s="107"/>
      <c r="D513" s="107"/>
      <c r="E513" s="107"/>
      <c r="F513" s="107"/>
      <c r="G513" s="208"/>
      <c r="H513" s="131"/>
      <c r="I513" s="211"/>
      <c r="J513" s="107"/>
      <c r="K513" s="202"/>
      <c r="L513" s="107"/>
      <c r="M513" s="107"/>
      <c r="N513" s="206"/>
      <c r="O513" s="108" t="b">
        <v>0</v>
      </c>
      <c r="P513" s="207"/>
      <c r="Q513" s="140"/>
      <c r="R513" s="140"/>
      <c r="S513" s="140"/>
      <c r="T513" s="140"/>
      <c r="U513" s="140"/>
      <c r="V513" s="140"/>
      <c r="W513" s="140"/>
      <c r="X513" s="140"/>
      <c r="Y513" s="140"/>
      <c r="Z513" s="140"/>
      <c r="AA513" s="140"/>
      <c r="AB513" s="140"/>
      <c r="AC513" s="140"/>
      <c r="AD513" s="140"/>
      <c r="AE513" s="140"/>
      <c r="AF513" s="140"/>
      <c r="AG513" s="140"/>
      <c r="AH513" s="140"/>
      <c r="AI513" s="140"/>
      <c r="AJ513" s="140"/>
      <c r="AK513" s="140"/>
      <c r="AL513" s="140"/>
      <c r="AM513" s="140"/>
      <c r="AN513" s="140"/>
      <c r="AO513" s="140"/>
      <c r="AP513" s="140"/>
      <c r="AQ513" s="140"/>
      <c r="AR513" s="140"/>
      <c r="AS513" s="140"/>
      <c r="AT513" s="140"/>
      <c r="AU513" s="140"/>
      <c r="AV513" s="140"/>
      <c r="AW513" s="140"/>
      <c r="AX513" s="140"/>
      <c r="AY513" s="140"/>
      <c r="AZ513" s="140"/>
      <c r="BA513" s="140"/>
      <c r="BB513" s="140"/>
      <c r="BC513" s="140"/>
      <c r="BD513" s="140"/>
      <c r="BE513" s="140"/>
    </row>
    <row r="514">
      <c r="A514" s="108"/>
      <c r="B514" s="107"/>
      <c r="C514" s="107"/>
      <c r="D514" s="107"/>
      <c r="E514" s="107"/>
      <c r="F514" s="107"/>
      <c r="G514" s="208"/>
      <c r="H514" s="131"/>
      <c r="I514" s="211"/>
      <c r="J514" s="107"/>
      <c r="K514" s="202"/>
      <c r="L514" s="107"/>
      <c r="M514" s="107"/>
      <c r="N514" s="206"/>
      <c r="O514" s="108" t="b">
        <v>0</v>
      </c>
      <c r="P514" s="207"/>
      <c r="Q514" s="140"/>
      <c r="R514" s="140"/>
      <c r="S514" s="140"/>
      <c r="T514" s="140"/>
      <c r="U514" s="140"/>
      <c r="V514" s="140"/>
      <c r="W514" s="140"/>
      <c r="X514" s="140"/>
      <c r="Y514" s="140"/>
      <c r="Z514" s="140"/>
      <c r="AA514" s="140"/>
      <c r="AB514" s="140"/>
      <c r="AC514" s="140"/>
      <c r="AD514" s="140"/>
      <c r="AE514" s="140"/>
      <c r="AF514" s="140"/>
      <c r="AG514" s="140"/>
      <c r="AH514" s="140"/>
      <c r="AI514" s="140"/>
      <c r="AJ514" s="140"/>
      <c r="AK514" s="140"/>
      <c r="AL514" s="140"/>
      <c r="AM514" s="140"/>
      <c r="AN514" s="140"/>
      <c r="AO514" s="140"/>
      <c r="AP514" s="140"/>
      <c r="AQ514" s="140"/>
      <c r="AR514" s="140"/>
      <c r="AS514" s="140"/>
      <c r="AT514" s="140"/>
      <c r="AU514" s="140"/>
      <c r="AV514" s="140"/>
      <c r="AW514" s="140"/>
      <c r="AX514" s="140"/>
      <c r="AY514" s="140"/>
      <c r="AZ514" s="140"/>
      <c r="BA514" s="140"/>
      <c r="BB514" s="140"/>
      <c r="BC514" s="140"/>
      <c r="BD514" s="140"/>
      <c r="BE514" s="140"/>
    </row>
    <row r="515">
      <c r="A515" s="108"/>
      <c r="B515" s="107"/>
      <c r="C515" s="107"/>
      <c r="D515" s="107"/>
      <c r="E515" s="107"/>
      <c r="F515" s="107"/>
      <c r="G515" s="208"/>
      <c r="H515" s="131"/>
      <c r="I515" s="211"/>
      <c r="J515" s="107"/>
      <c r="K515" s="202"/>
      <c r="L515" s="107"/>
      <c r="M515" s="107"/>
      <c r="N515" s="206"/>
      <c r="O515" s="108" t="b">
        <v>0</v>
      </c>
      <c r="P515" s="207"/>
      <c r="Q515" s="140"/>
      <c r="R515" s="140"/>
      <c r="S515" s="140"/>
      <c r="T515" s="140"/>
      <c r="U515" s="140"/>
      <c r="V515" s="140"/>
      <c r="W515" s="140"/>
      <c r="X515" s="140"/>
      <c r="Y515" s="140"/>
      <c r="Z515" s="140"/>
      <c r="AA515" s="140"/>
      <c r="AB515" s="140"/>
      <c r="AC515" s="140"/>
      <c r="AD515" s="140"/>
      <c r="AE515" s="140"/>
      <c r="AF515" s="140"/>
      <c r="AG515" s="140"/>
      <c r="AH515" s="140"/>
      <c r="AI515" s="140"/>
      <c r="AJ515" s="140"/>
      <c r="AK515" s="140"/>
      <c r="AL515" s="140"/>
      <c r="AM515" s="140"/>
      <c r="AN515" s="140"/>
      <c r="AO515" s="140"/>
      <c r="AP515" s="140"/>
      <c r="AQ515" s="140"/>
      <c r="AR515" s="140"/>
      <c r="AS515" s="140"/>
      <c r="AT515" s="140"/>
      <c r="AU515" s="140"/>
      <c r="AV515" s="140"/>
      <c r="AW515" s="140"/>
      <c r="AX515" s="140"/>
      <c r="AY515" s="140"/>
      <c r="AZ515" s="140"/>
      <c r="BA515" s="140"/>
      <c r="BB515" s="140"/>
      <c r="BC515" s="140"/>
      <c r="BD515" s="140"/>
      <c r="BE515" s="140"/>
    </row>
    <row r="516">
      <c r="A516" s="108"/>
      <c r="B516" s="107"/>
      <c r="C516" s="107"/>
      <c r="D516" s="107"/>
      <c r="E516" s="107"/>
      <c r="F516" s="107"/>
      <c r="G516" s="208"/>
      <c r="H516" s="131"/>
      <c r="I516" s="211"/>
      <c r="J516" s="107"/>
      <c r="K516" s="202"/>
      <c r="L516" s="107"/>
      <c r="M516" s="107"/>
      <c r="N516" s="206"/>
      <c r="O516" s="108" t="b">
        <v>0</v>
      </c>
      <c r="P516" s="207"/>
      <c r="Q516" s="140"/>
      <c r="R516" s="140"/>
      <c r="S516" s="140"/>
      <c r="T516" s="140"/>
      <c r="U516" s="140"/>
      <c r="V516" s="140"/>
      <c r="W516" s="140"/>
      <c r="X516" s="140"/>
      <c r="Y516" s="140"/>
      <c r="Z516" s="140"/>
      <c r="AA516" s="140"/>
      <c r="AB516" s="140"/>
      <c r="AC516" s="140"/>
      <c r="AD516" s="140"/>
      <c r="AE516" s="140"/>
      <c r="AF516" s="140"/>
      <c r="AG516" s="140"/>
      <c r="AH516" s="140"/>
      <c r="AI516" s="140"/>
      <c r="AJ516" s="140"/>
      <c r="AK516" s="140"/>
      <c r="AL516" s="140"/>
      <c r="AM516" s="140"/>
      <c r="AN516" s="140"/>
      <c r="AO516" s="140"/>
      <c r="AP516" s="140"/>
      <c r="AQ516" s="140"/>
      <c r="AR516" s="140"/>
      <c r="AS516" s="140"/>
      <c r="AT516" s="140"/>
      <c r="AU516" s="140"/>
      <c r="AV516" s="140"/>
      <c r="AW516" s="140"/>
      <c r="AX516" s="140"/>
      <c r="AY516" s="140"/>
      <c r="AZ516" s="140"/>
      <c r="BA516" s="140"/>
      <c r="BB516" s="140"/>
      <c r="BC516" s="140"/>
      <c r="BD516" s="140"/>
      <c r="BE516" s="140"/>
    </row>
    <row r="517">
      <c r="A517" s="108"/>
      <c r="B517" s="107"/>
      <c r="C517" s="107"/>
      <c r="D517" s="107"/>
      <c r="E517" s="107"/>
      <c r="F517" s="107"/>
      <c r="G517" s="208"/>
      <c r="H517" s="131"/>
      <c r="I517" s="211"/>
      <c r="J517" s="107"/>
      <c r="K517" s="202"/>
      <c r="L517" s="107"/>
      <c r="M517" s="107"/>
      <c r="N517" s="206"/>
      <c r="O517" s="108" t="b">
        <v>0</v>
      </c>
      <c r="P517" s="207"/>
      <c r="Q517" s="140"/>
      <c r="R517" s="140"/>
      <c r="S517" s="140"/>
      <c r="T517" s="140"/>
      <c r="U517" s="140"/>
      <c r="V517" s="140"/>
      <c r="W517" s="140"/>
      <c r="X517" s="140"/>
      <c r="Y517" s="140"/>
      <c r="Z517" s="140"/>
      <c r="AA517" s="140"/>
      <c r="AB517" s="140"/>
      <c r="AC517" s="140"/>
      <c r="AD517" s="140"/>
      <c r="AE517" s="140"/>
      <c r="AF517" s="140"/>
      <c r="AG517" s="140"/>
      <c r="AH517" s="140"/>
      <c r="AI517" s="140"/>
      <c r="AJ517" s="140"/>
      <c r="AK517" s="140"/>
      <c r="AL517" s="140"/>
      <c r="AM517" s="140"/>
      <c r="AN517" s="140"/>
      <c r="AO517" s="140"/>
      <c r="AP517" s="140"/>
      <c r="AQ517" s="140"/>
      <c r="AR517" s="140"/>
      <c r="AS517" s="140"/>
      <c r="AT517" s="140"/>
      <c r="AU517" s="140"/>
      <c r="AV517" s="140"/>
      <c r="AW517" s="140"/>
      <c r="AX517" s="140"/>
      <c r="AY517" s="140"/>
      <c r="AZ517" s="140"/>
      <c r="BA517" s="140"/>
      <c r="BB517" s="140"/>
      <c r="BC517" s="140"/>
      <c r="BD517" s="140"/>
      <c r="BE517" s="140"/>
    </row>
    <row r="518">
      <c r="A518" s="108"/>
      <c r="B518" s="107"/>
      <c r="C518" s="107"/>
      <c r="D518" s="107"/>
      <c r="E518" s="107"/>
      <c r="F518" s="107"/>
      <c r="G518" s="208"/>
      <c r="H518" s="131"/>
      <c r="I518" s="211"/>
      <c r="J518" s="107"/>
      <c r="K518" s="202"/>
      <c r="L518" s="107"/>
      <c r="M518" s="107"/>
      <c r="N518" s="206"/>
      <c r="O518" s="108" t="b">
        <v>0</v>
      </c>
      <c r="P518" s="207"/>
      <c r="Q518" s="140"/>
      <c r="R518" s="140"/>
      <c r="S518" s="140"/>
      <c r="T518" s="140"/>
      <c r="U518" s="140"/>
      <c r="V518" s="140"/>
      <c r="W518" s="140"/>
      <c r="X518" s="140"/>
      <c r="Y518" s="140"/>
      <c r="Z518" s="140"/>
      <c r="AA518" s="140"/>
      <c r="AB518" s="140"/>
      <c r="AC518" s="140"/>
      <c r="AD518" s="140"/>
      <c r="AE518" s="140"/>
      <c r="AF518" s="140"/>
      <c r="AG518" s="140"/>
      <c r="AH518" s="140"/>
      <c r="AI518" s="140"/>
      <c r="AJ518" s="140"/>
      <c r="AK518" s="140"/>
      <c r="AL518" s="140"/>
      <c r="AM518" s="140"/>
      <c r="AN518" s="140"/>
      <c r="AO518" s="140"/>
      <c r="AP518" s="140"/>
      <c r="AQ518" s="140"/>
      <c r="AR518" s="140"/>
      <c r="AS518" s="140"/>
      <c r="AT518" s="140"/>
      <c r="AU518" s="140"/>
      <c r="AV518" s="140"/>
      <c r="AW518" s="140"/>
      <c r="AX518" s="140"/>
      <c r="AY518" s="140"/>
      <c r="AZ518" s="140"/>
      <c r="BA518" s="140"/>
      <c r="BB518" s="140"/>
      <c r="BC518" s="140"/>
      <c r="BD518" s="140"/>
      <c r="BE518" s="140"/>
    </row>
    <row r="519">
      <c r="A519" s="108"/>
      <c r="B519" s="107"/>
      <c r="C519" s="107"/>
      <c r="D519" s="107"/>
      <c r="E519" s="107"/>
      <c r="F519" s="107"/>
      <c r="G519" s="208"/>
      <c r="H519" s="131"/>
      <c r="I519" s="211"/>
      <c r="J519" s="107"/>
      <c r="K519" s="202"/>
      <c r="L519" s="107"/>
      <c r="M519" s="107"/>
      <c r="N519" s="206"/>
      <c r="O519" s="108" t="b">
        <v>0</v>
      </c>
      <c r="P519" s="207"/>
      <c r="Q519" s="140"/>
      <c r="R519" s="140"/>
      <c r="S519" s="140"/>
      <c r="T519" s="140"/>
      <c r="U519" s="140"/>
      <c r="V519" s="140"/>
      <c r="W519" s="140"/>
      <c r="X519" s="140"/>
      <c r="Y519" s="140"/>
      <c r="Z519" s="140"/>
      <c r="AA519" s="140"/>
      <c r="AB519" s="140"/>
      <c r="AC519" s="140"/>
      <c r="AD519" s="140"/>
      <c r="AE519" s="140"/>
      <c r="AF519" s="140"/>
      <c r="AG519" s="140"/>
      <c r="AH519" s="140"/>
      <c r="AI519" s="140"/>
      <c r="AJ519" s="140"/>
      <c r="AK519" s="140"/>
      <c r="AL519" s="140"/>
      <c r="AM519" s="140"/>
      <c r="AN519" s="140"/>
      <c r="AO519" s="140"/>
      <c r="AP519" s="140"/>
      <c r="AQ519" s="140"/>
      <c r="AR519" s="140"/>
      <c r="AS519" s="140"/>
      <c r="AT519" s="140"/>
      <c r="AU519" s="140"/>
      <c r="AV519" s="140"/>
      <c r="AW519" s="140"/>
      <c r="AX519" s="140"/>
      <c r="AY519" s="140"/>
      <c r="AZ519" s="140"/>
      <c r="BA519" s="140"/>
      <c r="BB519" s="140"/>
      <c r="BC519" s="140"/>
      <c r="BD519" s="140"/>
      <c r="BE519" s="140"/>
    </row>
    <row r="520">
      <c r="A520" s="108"/>
      <c r="B520" s="107"/>
      <c r="C520" s="107"/>
      <c r="D520" s="107"/>
      <c r="E520" s="107"/>
      <c r="F520" s="107"/>
      <c r="G520" s="208"/>
      <c r="H520" s="131"/>
      <c r="I520" s="211"/>
      <c r="J520" s="107"/>
      <c r="K520" s="202"/>
      <c r="L520" s="107"/>
      <c r="M520" s="107"/>
      <c r="N520" s="206"/>
      <c r="O520" s="108" t="b">
        <v>0</v>
      </c>
      <c r="P520" s="207"/>
      <c r="Q520" s="140"/>
      <c r="R520" s="140"/>
      <c r="S520" s="140"/>
      <c r="T520" s="140"/>
      <c r="U520" s="140"/>
      <c r="V520" s="140"/>
      <c r="W520" s="140"/>
      <c r="X520" s="140"/>
      <c r="Y520" s="140"/>
      <c r="Z520" s="140"/>
      <c r="AA520" s="140"/>
      <c r="AB520" s="140"/>
      <c r="AC520" s="140"/>
      <c r="AD520" s="140"/>
      <c r="AE520" s="140"/>
      <c r="AF520" s="140"/>
      <c r="AG520" s="140"/>
      <c r="AH520" s="140"/>
      <c r="AI520" s="140"/>
      <c r="AJ520" s="140"/>
      <c r="AK520" s="140"/>
      <c r="AL520" s="140"/>
      <c r="AM520" s="140"/>
      <c r="AN520" s="140"/>
      <c r="AO520" s="140"/>
      <c r="AP520" s="140"/>
      <c r="AQ520" s="140"/>
      <c r="AR520" s="140"/>
      <c r="AS520" s="140"/>
      <c r="AT520" s="140"/>
      <c r="AU520" s="140"/>
      <c r="AV520" s="140"/>
      <c r="AW520" s="140"/>
      <c r="AX520" s="140"/>
      <c r="AY520" s="140"/>
      <c r="AZ520" s="140"/>
      <c r="BA520" s="140"/>
      <c r="BB520" s="140"/>
      <c r="BC520" s="140"/>
      <c r="BD520" s="140"/>
      <c r="BE520" s="140"/>
    </row>
    <row r="521">
      <c r="A521" s="108"/>
      <c r="B521" s="107"/>
      <c r="C521" s="107"/>
      <c r="D521" s="107"/>
      <c r="E521" s="107"/>
      <c r="F521" s="107"/>
      <c r="G521" s="208"/>
      <c r="H521" s="131"/>
      <c r="I521" s="211"/>
      <c r="J521" s="107"/>
      <c r="K521" s="202"/>
      <c r="L521" s="107"/>
      <c r="M521" s="107"/>
      <c r="N521" s="206"/>
      <c r="O521" s="108" t="b">
        <v>0</v>
      </c>
      <c r="P521" s="207"/>
      <c r="Q521" s="140"/>
      <c r="R521" s="140"/>
      <c r="S521" s="140"/>
      <c r="T521" s="140"/>
      <c r="U521" s="140"/>
      <c r="V521" s="140"/>
      <c r="W521" s="140"/>
      <c r="X521" s="140"/>
      <c r="Y521" s="140"/>
      <c r="Z521" s="140"/>
      <c r="AA521" s="140"/>
      <c r="AB521" s="140"/>
      <c r="AC521" s="140"/>
      <c r="AD521" s="140"/>
      <c r="AE521" s="140"/>
      <c r="AF521" s="140"/>
      <c r="AG521" s="140"/>
      <c r="AH521" s="140"/>
      <c r="AI521" s="140"/>
      <c r="AJ521" s="140"/>
      <c r="AK521" s="140"/>
      <c r="AL521" s="140"/>
      <c r="AM521" s="140"/>
      <c r="AN521" s="140"/>
      <c r="AO521" s="140"/>
      <c r="AP521" s="140"/>
      <c r="AQ521" s="140"/>
      <c r="AR521" s="140"/>
      <c r="AS521" s="140"/>
      <c r="AT521" s="140"/>
      <c r="AU521" s="140"/>
      <c r="AV521" s="140"/>
      <c r="AW521" s="140"/>
      <c r="AX521" s="140"/>
      <c r="AY521" s="140"/>
      <c r="AZ521" s="140"/>
      <c r="BA521" s="140"/>
      <c r="BB521" s="140"/>
      <c r="BC521" s="140"/>
      <c r="BD521" s="140"/>
      <c r="BE521" s="140"/>
    </row>
    <row r="522">
      <c r="A522" s="108"/>
      <c r="B522" s="107"/>
      <c r="C522" s="107"/>
      <c r="D522" s="107"/>
      <c r="E522" s="107"/>
      <c r="F522" s="107"/>
      <c r="G522" s="208"/>
      <c r="H522" s="131"/>
      <c r="I522" s="211"/>
      <c r="J522" s="107"/>
      <c r="K522" s="202"/>
      <c r="L522" s="107"/>
      <c r="M522" s="107"/>
      <c r="N522" s="206"/>
      <c r="O522" s="108" t="b">
        <v>0</v>
      </c>
      <c r="P522" s="207"/>
      <c r="Q522" s="140"/>
      <c r="R522" s="140"/>
      <c r="S522" s="140"/>
      <c r="T522" s="140"/>
      <c r="U522" s="140"/>
      <c r="V522" s="140"/>
      <c r="W522" s="140"/>
      <c r="X522" s="140"/>
      <c r="Y522" s="140"/>
      <c r="Z522" s="140"/>
      <c r="AA522" s="140"/>
      <c r="AB522" s="140"/>
      <c r="AC522" s="140"/>
      <c r="AD522" s="140"/>
      <c r="AE522" s="140"/>
      <c r="AF522" s="140"/>
      <c r="AG522" s="140"/>
      <c r="AH522" s="140"/>
      <c r="AI522" s="140"/>
      <c r="AJ522" s="140"/>
      <c r="AK522" s="140"/>
      <c r="AL522" s="140"/>
      <c r="AM522" s="140"/>
      <c r="AN522" s="140"/>
      <c r="AO522" s="140"/>
      <c r="AP522" s="140"/>
      <c r="AQ522" s="140"/>
      <c r="AR522" s="140"/>
      <c r="AS522" s="140"/>
      <c r="AT522" s="140"/>
      <c r="AU522" s="140"/>
      <c r="AV522" s="140"/>
      <c r="AW522" s="140"/>
      <c r="AX522" s="140"/>
      <c r="AY522" s="140"/>
      <c r="AZ522" s="140"/>
      <c r="BA522" s="140"/>
      <c r="BB522" s="140"/>
      <c r="BC522" s="140"/>
      <c r="BD522" s="140"/>
      <c r="BE522" s="140"/>
    </row>
    <row r="523">
      <c r="A523" s="108"/>
      <c r="B523" s="107"/>
      <c r="C523" s="107"/>
      <c r="D523" s="107"/>
      <c r="E523" s="107"/>
      <c r="F523" s="107"/>
      <c r="G523" s="208"/>
      <c r="H523" s="131"/>
      <c r="I523" s="211"/>
      <c r="J523" s="107"/>
      <c r="K523" s="202"/>
      <c r="L523" s="107"/>
      <c r="M523" s="107"/>
      <c r="N523" s="206"/>
      <c r="O523" s="108" t="b">
        <v>0</v>
      </c>
      <c r="P523" s="207"/>
      <c r="Q523" s="140"/>
      <c r="R523" s="140"/>
      <c r="S523" s="140"/>
      <c r="T523" s="140"/>
      <c r="U523" s="140"/>
      <c r="V523" s="140"/>
      <c r="W523" s="140"/>
      <c r="X523" s="140"/>
      <c r="Y523" s="140"/>
      <c r="Z523" s="140"/>
      <c r="AA523" s="140"/>
      <c r="AB523" s="140"/>
      <c r="AC523" s="140"/>
      <c r="AD523" s="140"/>
      <c r="AE523" s="140"/>
      <c r="AF523" s="140"/>
      <c r="AG523" s="140"/>
      <c r="AH523" s="140"/>
      <c r="AI523" s="140"/>
      <c r="AJ523" s="140"/>
      <c r="AK523" s="140"/>
      <c r="AL523" s="140"/>
      <c r="AM523" s="140"/>
      <c r="AN523" s="140"/>
      <c r="AO523" s="140"/>
      <c r="AP523" s="140"/>
      <c r="AQ523" s="140"/>
      <c r="AR523" s="140"/>
      <c r="AS523" s="140"/>
      <c r="AT523" s="140"/>
      <c r="AU523" s="140"/>
      <c r="AV523" s="140"/>
      <c r="AW523" s="140"/>
      <c r="AX523" s="140"/>
      <c r="AY523" s="140"/>
      <c r="AZ523" s="140"/>
      <c r="BA523" s="140"/>
      <c r="BB523" s="140"/>
      <c r="BC523" s="140"/>
      <c r="BD523" s="140"/>
      <c r="BE523" s="140"/>
    </row>
    <row r="524">
      <c r="A524" s="108"/>
      <c r="B524" s="107"/>
      <c r="C524" s="107"/>
      <c r="D524" s="107"/>
      <c r="E524" s="107"/>
      <c r="F524" s="107"/>
      <c r="G524" s="208"/>
      <c r="H524" s="131"/>
      <c r="I524" s="211"/>
      <c r="J524" s="107"/>
      <c r="K524" s="202"/>
      <c r="L524" s="107"/>
      <c r="M524" s="107"/>
      <c r="N524" s="206"/>
      <c r="O524" s="108" t="b">
        <v>0</v>
      </c>
      <c r="P524" s="207"/>
      <c r="Q524" s="140"/>
      <c r="R524" s="140"/>
      <c r="S524" s="140"/>
      <c r="T524" s="140"/>
      <c r="U524" s="140"/>
      <c r="V524" s="140"/>
      <c r="W524" s="140"/>
      <c r="X524" s="140"/>
      <c r="Y524" s="140"/>
      <c r="Z524" s="140"/>
      <c r="AA524" s="140"/>
      <c r="AB524" s="140"/>
      <c r="AC524" s="140"/>
      <c r="AD524" s="140"/>
      <c r="AE524" s="140"/>
      <c r="AF524" s="140"/>
      <c r="AG524" s="140"/>
      <c r="AH524" s="140"/>
      <c r="AI524" s="140"/>
      <c r="AJ524" s="140"/>
      <c r="AK524" s="140"/>
      <c r="AL524" s="140"/>
      <c r="AM524" s="140"/>
      <c r="AN524" s="140"/>
      <c r="AO524" s="140"/>
      <c r="AP524" s="140"/>
      <c r="AQ524" s="140"/>
      <c r="AR524" s="140"/>
      <c r="AS524" s="140"/>
      <c r="AT524" s="140"/>
      <c r="AU524" s="140"/>
      <c r="AV524" s="140"/>
      <c r="AW524" s="140"/>
      <c r="AX524" s="140"/>
      <c r="AY524" s="140"/>
      <c r="AZ524" s="140"/>
      <c r="BA524" s="140"/>
      <c r="BB524" s="140"/>
      <c r="BC524" s="140"/>
      <c r="BD524" s="140"/>
      <c r="BE524" s="140"/>
    </row>
    <row r="525">
      <c r="A525" s="108"/>
      <c r="B525" s="107"/>
      <c r="C525" s="107"/>
      <c r="D525" s="107"/>
      <c r="E525" s="107"/>
      <c r="F525" s="107"/>
      <c r="G525" s="208"/>
      <c r="H525" s="131"/>
      <c r="I525" s="211"/>
      <c r="J525" s="107"/>
      <c r="K525" s="202"/>
      <c r="L525" s="107"/>
      <c r="M525" s="107"/>
      <c r="N525" s="206"/>
      <c r="O525" s="108" t="b">
        <v>0</v>
      </c>
      <c r="P525" s="207"/>
      <c r="Q525" s="140"/>
      <c r="R525" s="140"/>
      <c r="S525" s="140"/>
      <c r="T525" s="140"/>
      <c r="U525" s="140"/>
      <c r="V525" s="140"/>
      <c r="W525" s="140"/>
      <c r="X525" s="140"/>
      <c r="Y525" s="140"/>
      <c r="Z525" s="140"/>
      <c r="AA525" s="140"/>
      <c r="AB525" s="140"/>
      <c r="AC525" s="140"/>
      <c r="AD525" s="140"/>
      <c r="AE525" s="140"/>
      <c r="AF525" s="140"/>
      <c r="AG525" s="140"/>
      <c r="AH525" s="140"/>
      <c r="AI525" s="140"/>
      <c r="AJ525" s="140"/>
      <c r="AK525" s="140"/>
      <c r="AL525" s="140"/>
      <c r="AM525" s="140"/>
      <c r="AN525" s="140"/>
      <c r="AO525" s="140"/>
      <c r="AP525" s="140"/>
      <c r="AQ525" s="140"/>
      <c r="AR525" s="140"/>
      <c r="AS525" s="140"/>
      <c r="AT525" s="140"/>
      <c r="AU525" s="140"/>
      <c r="AV525" s="140"/>
      <c r="AW525" s="140"/>
      <c r="AX525" s="140"/>
      <c r="AY525" s="140"/>
      <c r="AZ525" s="140"/>
      <c r="BA525" s="140"/>
      <c r="BB525" s="140"/>
      <c r="BC525" s="140"/>
      <c r="BD525" s="140"/>
      <c r="BE525" s="140"/>
    </row>
    <row r="526">
      <c r="A526" s="108"/>
      <c r="B526" s="107"/>
      <c r="C526" s="107"/>
      <c r="D526" s="107"/>
      <c r="E526" s="107"/>
      <c r="F526" s="107"/>
      <c r="G526" s="208"/>
      <c r="H526" s="131"/>
      <c r="I526" s="211"/>
      <c r="J526" s="107"/>
      <c r="K526" s="202"/>
      <c r="L526" s="107"/>
      <c r="M526" s="107"/>
      <c r="N526" s="206"/>
      <c r="O526" s="108" t="b">
        <v>0</v>
      </c>
      <c r="P526" s="207"/>
      <c r="Q526" s="140"/>
      <c r="R526" s="140"/>
      <c r="S526" s="140"/>
      <c r="T526" s="140"/>
      <c r="U526" s="140"/>
      <c r="V526" s="140"/>
      <c r="W526" s="140"/>
      <c r="X526" s="140"/>
      <c r="Y526" s="140"/>
      <c r="Z526" s="140"/>
      <c r="AA526" s="140"/>
      <c r="AB526" s="140"/>
      <c r="AC526" s="140"/>
      <c r="AD526" s="140"/>
      <c r="AE526" s="140"/>
      <c r="AF526" s="140"/>
      <c r="AG526" s="140"/>
      <c r="AH526" s="140"/>
      <c r="AI526" s="140"/>
      <c r="AJ526" s="140"/>
      <c r="AK526" s="140"/>
      <c r="AL526" s="140"/>
      <c r="AM526" s="140"/>
      <c r="AN526" s="140"/>
      <c r="AO526" s="140"/>
      <c r="AP526" s="140"/>
      <c r="AQ526" s="140"/>
      <c r="AR526" s="140"/>
      <c r="AS526" s="140"/>
      <c r="AT526" s="140"/>
      <c r="AU526" s="140"/>
      <c r="AV526" s="140"/>
      <c r="AW526" s="140"/>
      <c r="AX526" s="140"/>
      <c r="AY526" s="140"/>
      <c r="AZ526" s="140"/>
      <c r="BA526" s="140"/>
      <c r="BB526" s="140"/>
      <c r="BC526" s="140"/>
      <c r="BD526" s="140"/>
      <c r="BE526" s="140"/>
    </row>
    <row r="527">
      <c r="A527" s="108"/>
      <c r="B527" s="107"/>
      <c r="C527" s="107"/>
      <c r="D527" s="107"/>
      <c r="E527" s="107"/>
      <c r="F527" s="107"/>
      <c r="G527" s="208"/>
      <c r="H527" s="131"/>
      <c r="I527" s="211"/>
      <c r="J527" s="107"/>
      <c r="K527" s="202"/>
      <c r="L527" s="107"/>
      <c r="M527" s="107"/>
      <c r="N527" s="206"/>
      <c r="O527" s="108" t="b">
        <v>0</v>
      </c>
      <c r="P527" s="207"/>
      <c r="Q527" s="140"/>
      <c r="R527" s="140"/>
      <c r="S527" s="140"/>
      <c r="T527" s="140"/>
      <c r="U527" s="140"/>
      <c r="V527" s="140"/>
      <c r="W527" s="140"/>
      <c r="X527" s="140"/>
      <c r="Y527" s="140"/>
      <c r="Z527" s="140"/>
      <c r="AA527" s="140"/>
      <c r="AB527" s="140"/>
      <c r="AC527" s="140"/>
      <c r="AD527" s="140"/>
      <c r="AE527" s="140"/>
      <c r="AF527" s="140"/>
      <c r="AG527" s="140"/>
      <c r="AH527" s="140"/>
      <c r="AI527" s="140"/>
      <c r="AJ527" s="140"/>
      <c r="AK527" s="140"/>
      <c r="AL527" s="140"/>
      <c r="AM527" s="140"/>
      <c r="AN527" s="140"/>
      <c r="AO527" s="140"/>
      <c r="AP527" s="140"/>
      <c r="AQ527" s="140"/>
      <c r="AR527" s="140"/>
      <c r="AS527" s="140"/>
      <c r="AT527" s="140"/>
      <c r="AU527" s="140"/>
      <c r="AV527" s="140"/>
      <c r="AW527" s="140"/>
      <c r="AX527" s="140"/>
      <c r="AY527" s="140"/>
      <c r="AZ527" s="140"/>
      <c r="BA527" s="140"/>
      <c r="BB527" s="140"/>
      <c r="BC527" s="140"/>
      <c r="BD527" s="140"/>
      <c r="BE527" s="140"/>
    </row>
    <row r="528">
      <c r="A528" s="108"/>
      <c r="B528" s="107"/>
      <c r="C528" s="107"/>
      <c r="D528" s="107"/>
      <c r="E528" s="107"/>
      <c r="F528" s="107"/>
      <c r="G528" s="208"/>
      <c r="H528" s="131"/>
      <c r="I528" s="211"/>
      <c r="J528" s="107"/>
      <c r="K528" s="202"/>
      <c r="L528" s="107"/>
      <c r="M528" s="107"/>
      <c r="N528" s="206"/>
      <c r="O528" s="108" t="b">
        <v>0</v>
      </c>
      <c r="P528" s="207"/>
      <c r="Q528" s="140"/>
      <c r="R528" s="140"/>
      <c r="S528" s="140"/>
      <c r="T528" s="140"/>
      <c r="U528" s="140"/>
      <c r="V528" s="140"/>
      <c r="W528" s="140"/>
      <c r="X528" s="140"/>
      <c r="Y528" s="140"/>
      <c r="Z528" s="140"/>
      <c r="AA528" s="140"/>
      <c r="AB528" s="140"/>
      <c r="AC528" s="140"/>
      <c r="AD528" s="140"/>
      <c r="AE528" s="140"/>
      <c r="AF528" s="140"/>
      <c r="AG528" s="140"/>
      <c r="AH528" s="140"/>
      <c r="AI528" s="140"/>
      <c r="AJ528" s="140"/>
      <c r="AK528" s="140"/>
      <c r="AL528" s="140"/>
      <c r="AM528" s="140"/>
      <c r="AN528" s="140"/>
      <c r="AO528" s="140"/>
      <c r="AP528" s="140"/>
      <c r="AQ528" s="140"/>
      <c r="AR528" s="140"/>
      <c r="AS528" s="140"/>
      <c r="AT528" s="140"/>
      <c r="AU528" s="140"/>
      <c r="AV528" s="140"/>
      <c r="AW528" s="140"/>
      <c r="AX528" s="140"/>
      <c r="AY528" s="140"/>
      <c r="AZ528" s="140"/>
      <c r="BA528" s="140"/>
      <c r="BB528" s="140"/>
      <c r="BC528" s="140"/>
      <c r="BD528" s="140"/>
      <c r="BE528" s="140"/>
    </row>
    <row r="529">
      <c r="A529" s="108"/>
      <c r="B529" s="107"/>
      <c r="C529" s="107"/>
      <c r="D529" s="107"/>
      <c r="E529" s="107"/>
      <c r="F529" s="107"/>
      <c r="G529" s="208"/>
      <c r="H529" s="131"/>
      <c r="I529" s="211"/>
      <c r="J529" s="107"/>
      <c r="K529" s="202"/>
      <c r="L529" s="107"/>
      <c r="M529" s="107"/>
      <c r="N529" s="206"/>
      <c r="O529" s="108" t="b">
        <v>0</v>
      </c>
      <c r="P529" s="207"/>
      <c r="Q529" s="140"/>
      <c r="R529" s="140"/>
      <c r="S529" s="140"/>
      <c r="T529" s="140"/>
      <c r="U529" s="140"/>
      <c r="V529" s="140"/>
      <c r="W529" s="140"/>
      <c r="X529" s="140"/>
      <c r="Y529" s="140"/>
      <c r="Z529" s="140"/>
      <c r="AA529" s="140"/>
      <c r="AB529" s="140"/>
      <c r="AC529" s="140"/>
      <c r="AD529" s="140"/>
      <c r="AE529" s="140"/>
      <c r="AF529" s="140"/>
      <c r="AG529" s="140"/>
      <c r="AH529" s="140"/>
      <c r="AI529" s="140"/>
      <c r="AJ529" s="140"/>
      <c r="AK529" s="140"/>
      <c r="AL529" s="140"/>
      <c r="AM529" s="140"/>
      <c r="AN529" s="140"/>
      <c r="AO529" s="140"/>
      <c r="AP529" s="140"/>
      <c r="AQ529" s="140"/>
      <c r="AR529" s="140"/>
      <c r="AS529" s="140"/>
      <c r="AT529" s="140"/>
      <c r="AU529" s="140"/>
      <c r="AV529" s="140"/>
      <c r="AW529" s="140"/>
      <c r="AX529" s="140"/>
      <c r="AY529" s="140"/>
      <c r="AZ529" s="140"/>
      <c r="BA529" s="140"/>
      <c r="BB529" s="140"/>
      <c r="BC529" s="140"/>
      <c r="BD529" s="140"/>
      <c r="BE529" s="140"/>
    </row>
    <row r="530">
      <c r="A530" s="108"/>
      <c r="B530" s="107"/>
      <c r="C530" s="107"/>
      <c r="D530" s="107"/>
      <c r="E530" s="107"/>
      <c r="F530" s="107"/>
      <c r="G530" s="208"/>
      <c r="H530" s="131"/>
      <c r="I530" s="211"/>
      <c r="J530" s="107"/>
      <c r="K530" s="202"/>
      <c r="L530" s="107"/>
      <c r="M530" s="107"/>
      <c r="N530" s="206"/>
      <c r="O530" s="108" t="b">
        <v>0</v>
      </c>
      <c r="P530" s="207"/>
      <c r="Q530" s="140"/>
      <c r="R530" s="140"/>
      <c r="S530" s="140"/>
      <c r="T530" s="140"/>
      <c r="U530" s="140"/>
      <c r="V530" s="140"/>
      <c r="W530" s="140"/>
      <c r="X530" s="140"/>
      <c r="Y530" s="140"/>
      <c r="Z530" s="140"/>
      <c r="AA530" s="140"/>
      <c r="AB530" s="140"/>
      <c r="AC530" s="140"/>
      <c r="AD530" s="140"/>
      <c r="AE530" s="140"/>
      <c r="AF530" s="140"/>
      <c r="AG530" s="140"/>
      <c r="AH530" s="140"/>
      <c r="AI530" s="140"/>
      <c r="AJ530" s="140"/>
      <c r="AK530" s="140"/>
      <c r="AL530" s="140"/>
      <c r="AM530" s="140"/>
      <c r="AN530" s="140"/>
      <c r="AO530" s="140"/>
      <c r="AP530" s="140"/>
      <c r="AQ530" s="140"/>
      <c r="AR530" s="140"/>
      <c r="AS530" s="140"/>
      <c r="AT530" s="140"/>
      <c r="AU530" s="140"/>
      <c r="AV530" s="140"/>
      <c r="AW530" s="140"/>
      <c r="AX530" s="140"/>
      <c r="AY530" s="140"/>
      <c r="AZ530" s="140"/>
      <c r="BA530" s="140"/>
      <c r="BB530" s="140"/>
      <c r="BC530" s="140"/>
      <c r="BD530" s="140"/>
      <c r="BE530" s="140"/>
    </row>
    <row r="531">
      <c r="A531" s="108"/>
      <c r="B531" s="107"/>
      <c r="C531" s="107"/>
      <c r="D531" s="107"/>
      <c r="E531" s="107"/>
      <c r="F531" s="107"/>
      <c r="G531" s="208"/>
      <c r="H531" s="131"/>
      <c r="I531" s="211"/>
      <c r="J531" s="107"/>
      <c r="K531" s="202"/>
      <c r="L531" s="107"/>
      <c r="M531" s="107"/>
      <c r="N531" s="206"/>
      <c r="O531" s="108" t="b">
        <v>0</v>
      </c>
      <c r="P531" s="207"/>
      <c r="Q531" s="140"/>
      <c r="R531" s="140"/>
      <c r="S531" s="140"/>
      <c r="T531" s="140"/>
      <c r="U531" s="140"/>
      <c r="V531" s="140"/>
      <c r="W531" s="140"/>
      <c r="X531" s="140"/>
      <c r="Y531" s="140"/>
      <c r="Z531" s="140"/>
      <c r="AA531" s="140"/>
      <c r="AB531" s="140"/>
      <c r="AC531" s="140"/>
      <c r="AD531" s="140"/>
      <c r="AE531" s="140"/>
      <c r="AF531" s="140"/>
      <c r="AG531" s="140"/>
      <c r="AH531" s="140"/>
      <c r="AI531" s="140"/>
      <c r="AJ531" s="140"/>
      <c r="AK531" s="140"/>
      <c r="AL531" s="140"/>
      <c r="AM531" s="140"/>
      <c r="AN531" s="140"/>
      <c r="AO531" s="140"/>
      <c r="AP531" s="140"/>
      <c r="AQ531" s="140"/>
      <c r="AR531" s="140"/>
      <c r="AS531" s="140"/>
      <c r="AT531" s="140"/>
      <c r="AU531" s="140"/>
      <c r="AV531" s="140"/>
      <c r="AW531" s="140"/>
      <c r="AX531" s="140"/>
      <c r="AY531" s="140"/>
      <c r="AZ531" s="140"/>
      <c r="BA531" s="140"/>
      <c r="BB531" s="140"/>
      <c r="BC531" s="140"/>
      <c r="BD531" s="140"/>
      <c r="BE531" s="140"/>
    </row>
    <row r="532">
      <c r="A532" s="108"/>
      <c r="B532" s="107"/>
      <c r="C532" s="107"/>
      <c r="D532" s="107"/>
      <c r="E532" s="107"/>
      <c r="F532" s="107"/>
      <c r="G532" s="208"/>
      <c r="H532" s="131"/>
      <c r="I532" s="211"/>
      <c r="J532" s="107"/>
      <c r="K532" s="202"/>
      <c r="L532" s="107"/>
      <c r="M532" s="107"/>
      <c r="N532" s="206"/>
      <c r="O532" s="108" t="b">
        <v>0</v>
      </c>
      <c r="P532" s="207"/>
      <c r="Q532" s="140"/>
      <c r="R532" s="140"/>
      <c r="S532" s="140"/>
      <c r="T532" s="140"/>
      <c r="U532" s="140"/>
      <c r="V532" s="140"/>
      <c r="W532" s="140"/>
      <c r="X532" s="140"/>
      <c r="Y532" s="140"/>
      <c r="Z532" s="140"/>
      <c r="AA532" s="140"/>
      <c r="AB532" s="140"/>
      <c r="AC532" s="140"/>
      <c r="AD532" s="140"/>
      <c r="AE532" s="140"/>
      <c r="AF532" s="140"/>
      <c r="AG532" s="140"/>
      <c r="AH532" s="140"/>
      <c r="AI532" s="140"/>
      <c r="AJ532" s="140"/>
      <c r="AK532" s="140"/>
      <c r="AL532" s="140"/>
      <c r="AM532" s="140"/>
      <c r="AN532" s="140"/>
      <c r="AO532" s="140"/>
      <c r="AP532" s="140"/>
      <c r="AQ532" s="140"/>
      <c r="AR532" s="140"/>
      <c r="AS532" s="140"/>
      <c r="AT532" s="140"/>
      <c r="AU532" s="140"/>
      <c r="AV532" s="140"/>
      <c r="AW532" s="140"/>
      <c r="AX532" s="140"/>
      <c r="AY532" s="140"/>
      <c r="AZ532" s="140"/>
      <c r="BA532" s="140"/>
      <c r="BB532" s="140"/>
      <c r="BC532" s="140"/>
      <c r="BD532" s="140"/>
      <c r="BE532" s="140"/>
    </row>
    <row r="533">
      <c r="A533" s="108"/>
      <c r="B533" s="107"/>
      <c r="C533" s="107"/>
      <c r="D533" s="107"/>
      <c r="E533" s="107"/>
      <c r="F533" s="107"/>
      <c r="G533" s="208"/>
      <c r="H533" s="131"/>
      <c r="I533" s="211"/>
      <c r="J533" s="107"/>
      <c r="K533" s="202"/>
      <c r="L533" s="107"/>
      <c r="M533" s="107"/>
      <c r="N533" s="206"/>
      <c r="O533" s="108" t="b">
        <v>0</v>
      </c>
      <c r="P533" s="207"/>
      <c r="Q533" s="140"/>
      <c r="R533" s="140"/>
      <c r="S533" s="140"/>
      <c r="T533" s="140"/>
      <c r="U533" s="140"/>
      <c r="V533" s="140"/>
      <c r="W533" s="140"/>
      <c r="X533" s="140"/>
      <c r="Y533" s="140"/>
      <c r="Z533" s="140"/>
      <c r="AA533" s="140"/>
      <c r="AB533" s="140"/>
      <c r="AC533" s="140"/>
      <c r="AD533" s="140"/>
      <c r="AE533" s="140"/>
      <c r="AF533" s="140"/>
      <c r="AG533" s="140"/>
      <c r="AH533" s="140"/>
      <c r="AI533" s="140"/>
      <c r="AJ533" s="140"/>
      <c r="AK533" s="140"/>
      <c r="AL533" s="140"/>
      <c r="AM533" s="140"/>
      <c r="AN533" s="140"/>
      <c r="AO533" s="140"/>
      <c r="AP533" s="140"/>
      <c r="AQ533" s="140"/>
      <c r="AR533" s="140"/>
      <c r="AS533" s="140"/>
      <c r="AT533" s="140"/>
      <c r="AU533" s="140"/>
      <c r="AV533" s="140"/>
      <c r="AW533" s="140"/>
      <c r="AX533" s="140"/>
      <c r="AY533" s="140"/>
      <c r="AZ533" s="140"/>
      <c r="BA533" s="140"/>
      <c r="BB533" s="140"/>
      <c r="BC533" s="140"/>
      <c r="BD533" s="140"/>
      <c r="BE533" s="140"/>
    </row>
    <row r="534">
      <c r="A534" s="108"/>
      <c r="B534" s="107"/>
      <c r="C534" s="107"/>
      <c r="D534" s="107"/>
      <c r="E534" s="107"/>
      <c r="F534" s="107"/>
      <c r="G534" s="208"/>
      <c r="H534" s="131"/>
      <c r="I534" s="211"/>
      <c r="J534" s="107"/>
      <c r="K534" s="202"/>
      <c r="L534" s="107"/>
      <c r="M534" s="107"/>
      <c r="N534" s="206"/>
      <c r="O534" s="108" t="b">
        <v>0</v>
      </c>
      <c r="P534" s="207"/>
      <c r="Q534" s="140"/>
      <c r="R534" s="140"/>
      <c r="S534" s="140"/>
      <c r="T534" s="140"/>
      <c r="U534" s="140"/>
      <c r="V534" s="140"/>
      <c r="W534" s="140"/>
      <c r="X534" s="140"/>
      <c r="Y534" s="140"/>
      <c r="Z534" s="140"/>
      <c r="AA534" s="140"/>
      <c r="AB534" s="140"/>
      <c r="AC534" s="140"/>
      <c r="AD534" s="140"/>
      <c r="AE534" s="140"/>
      <c r="AF534" s="140"/>
      <c r="AG534" s="140"/>
      <c r="AH534" s="140"/>
      <c r="AI534" s="140"/>
      <c r="AJ534" s="140"/>
      <c r="AK534" s="140"/>
      <c r="AL534" s="140"/>
      <c r="AM534" s="140"/>
      <c r="AN534" s="140"/>
      <c r="AO534" s="140"/>
      <c r="AP534" s="140"/>
      <c r="AQ534" s="140"/>
      <c r="AR534" s="140"/>
      <c r="AS534" s="140"/>
      <c r="AT534" s="140"/>
      <c r="AU534" s="140"/>
      <c r="AV534" s="140"/>
      <c r="AW534" s="140"/>
      <c r="AX534" s="140"/>
      <c r="AY534" s="140"/>
      <c r="AZ534" s="140"/>
      <c r="BA534" s="140"/>
      <c r="BB534" s="140"/>
      <c r="BC534" s="140"/>
      <c r="BD534" s="140"/>
      <c r="BE534" s="140"/>
    </row>
    <row r="535">
      <c r="A535" s="108"/>
      <c r="B535" s="107"/>
      <c r="C535" s="107"/>
      <c r="D535" s="107"/>
      <c r="E535" s="107"/>
      <c r="F535" s="107"/>
      <c r="G535" s="208"/>
      <c r="H535" s="131"/>
      <c r="I535" s="211"/>
      <c r="J535" s="107"/>
      <c r="K535" s="202"/>
      <c r="L535" s="107"/>
      <c r="M535" s="107"/>
      <c r="N535" s="206"/>
      <c r="O535" s="108" t="b">
        <v>0</v>
      </c>
      <c r="P535" s="207"/>
      <c r="Q535" s="140"/>
      <c r="R535" s="140"/>
      <c r="S535" s="140"/>
      <c r="T535" s="140"/>
      <c r="U535" s="140"/>
      <c r="V535" s="140"/>
      <c r="W535" s="140"/>
      <c r="X535" s="140"/>
      <c r="Y535" s="140"/>
      <c r="Z535" s="140"/>
      <c r="AA535" s="140"/>
      <c r="AB535" s="140"/>
      <c r="AC535" s="140"/>
      <c r="AD535" s="140"/>
      <c r="AE535" s="140"/>
      <c r="AF535" s="140"/>
      <c r="AG535" s="140"/>
      <c r="AH535" s="140"/>
      <c r="AI535" s="140"/>
      <c r="AJ535" s="140"/>
      <c r="AK535" s="140"/>
      <c r="AL535" s="140"/>
      <c r="AM535" s="140"/>
      <c r="AN535" s="140"/>
      <c r="AO535" s="140"/>
      <c r="AP535" s="140"/>
      <c r="AQ535" s="140"/>
      <c r="AR535" s="140"/>
      <c r="AS535" s="140"/>
      <c r="AT535" s="140"/>
      <c r="AU535" s="140"/>
      <c r="AV535" s="140"/>
      <c r="AW535" s="140"/>
      <c r="AX535" s="140"/>
      <c r="AY535" s="140"/>
      <c r="AZ535" s="140"/>
      <c r="BA535" s="140"/>
      <c r="BB535" s="140"/>
      <c r="BC535" s="140"/>
      <c r="BD535" s="140"/>
      <c r="BE535" s="140"/>
    </row>
    <row r="536">
      <c r="A536" s="108"/>
      <c r="B536" s="107"/>
      <c r="C536" s="107"/>
      <c r="D536" s="107"/>
      <c r="E536" s="107"/>
      <c r="F536" s="107"/>
      <c r="G536" s="208"/>
      <c r="H536" s="131"/>
      <c r="I536" s="211"/>
      <c r="J536" s="107"/>
      <c r="K536" s="202"/>
      <c r="L536" s="107"/>
      <c r="M536" s="107"/>
      <c r="N536" s="206"/>
      <c r="O536" s="108" t="b">
        <v>0</v>
      </c>
      <c r="P536" s="207"/>
      <c r="Q536" s="140"/>
      <c r="R536" s="140"/>
      <c r="S536" s="140"/>
      <c r="T536" s="140"/>
      <c r="U536" s="140"/>
      <c r="V536" s="140"/>
      <c r="W536" s="140"/>
      <c r="X536" s="140"/>
      <c r="Y536" s="140"/>
      <c r="Z536" s="140"/>
      <c r="AA536" s="140"/>
      <c r="AB536" s="140"/>
      <c r="AC536" s="140"/>
      <c r="AD536" s="140"/>
      <c r="AE536" s="140"/>
      <c r="AF536" s="140"/>
      <c r="AG536" s="140"/>
      <c r="AH536" s="140"/>
      <c r="AI536" s="140"/>
      <c r="AJ536" s="140"/>
      <c r="AK536" s="140"/>
      <c r="AL536" s="140"/>
      <c r="AM536" s="140"/>
      <c r="AN536" s="140"/>
      <c r="AO536" s="140"/>
      <c r="AP536" s="140"/>
      <c r="AQ536" s="140"/>
      <c r="AR536" s="140"/>
      <c r="AS536" s="140"/>
      <c r="AT536" s="140"/>
      <c r="AU536" s="140"/>
      <c r="AV536" s="140"/>
      <c r="AW536" s="140"/>
      <c r="AX536" s="140"/>
      <c r="AY536" s="140"/>
      <c r="AZ536" s="140"/>
      <c r="BA536" s="140"/>
      <c r="BB536" s="140"/>
      <c r="BC536" s="140"/>
      <c r="BD536" s="140"/>
      <c r="BE536" s="140"/>
    </row>
    <row r="537">
      <c r="A537" s="108"/>
      <c r="B537" s="107"/>
      <c r="C537" s="107"/>
      <c r="D537" s="107"/>
      <c r="E537" s="107"/>
      <c r="F537" s="107"/>
      <c r="G537" s="208"/>
      <c r="H537" s="131"/>
      <c r="I537" s="211"/>
      <c r="J537" s="107"/>
      <c r="K537" s="202"/>
      <c r="L537" s="107"/>
      <c r="M537" s="107"/>
      <c r="N537" s="206"/>
      <c r="O537" s="108" t="b">
        <v>0</v>
      </c>
      <c r="P537" s="207"/>
      <c r="Q537" s="140"/>
      <c r="R537" s="140"/>
      <c r="S537" s="140"/>
      <c r="T537" s="140"/>
      <c r="U537" s="140"/>
      <c r="V537" s="140"/>
      <c r="W537" s="140"/>
      <c r="X537" s="140"/>
      <c r="Y537" s="140"/>
      <c r="Z537" s="140"/>
      <c r="AA537" s="140"/>
      <c r="AB537" s="140"/>
      <c r="AC537" s="140"/>
      <c r="AD537" s="140"/>
      <c r="AE537" s="140"/>
      <c r="AF537" s="140"/>
      <c r="AG537" s="140"/>
      <c r="AH537" s="140"/>
      <c r="AI537" s="140"/>
      <c r="AJ537" s="140"/>
      <c r="AK537" s="140"/>
      <c r="AL537" s="140"/>
      <c r="AM537" s="140"/>
      <c r="AN537" s="140"/>
      <c r="AO537" s="140"/>
      <c r="AP537" s="140"/>
      <c r="AQ537" s="140"/>
      <c r="AR537" s="140"/>
      <c r="AS537" s="140"/>
      <c r="AT537" s="140"/>
      <c r="AU537" s="140"/>
      <c r="AV537" s="140"/>
      <c r="AW537" s="140"/>
      <c r="AX537" s="140"/>
      <c r="AY537" s="140"/>
      <c r="AZ537" s="140"/>
      <c r="BA537" s="140"/>
      <c r="BB537" s="140"/>
      <c r="BC537" s="140"/>
      <c r="BD537" s="140"/>
      <c r="BE537" s="140"/>
    </row>
    <row r="538">
      <c r="A538" s="108"/>
      <c r="B538" s="107"/>
      <c r="C538" s="107"/>
      <c r="D538" s="107"/>
      <c r="E538" s="107"/>
      <c r="F538" s="107"/>
      <c r="G538" s="208"/>
      <c r="H538" s="131"/>
      <c r="I538" s="211"/>
      <c r="J538" s="107"/>
      <c r="K538" s="202"/>
      <c r="L538" s="107"/>
      <c r="M538" s="107"/>
      <c r="N538" s="206"/>
      <c r="O538" s="108" t="b">
        <v>0</v>
      </c>
      <c r="P538" s="207"/>
      <c r="Q538" s="140"/>
      <c r="R538" s="140"/>
      <c r="S538" s="140"/>
      <c r="T538" s="140"/>
      <c r="U538" s="140"/>
      <c r="V538" s="140"/>
      <c r="W538" s="140"/>
      <c r="X538" s="140"/>
      <c r="Y538" s="140"/>
      <c r="Z538" s="140"/>
      <c r="AA538" s="140"/>
      <c r="AB538" s="140"/>
      <c r="AC538" s="140"/>
      <c r="AD538" s="140"/>
      <c r="AE538" s="140"/>
      <c r="AF538" s="140"/>
      <c r="AG538" s="140"/>
      <c r="AH538" s="140"/>
      <c r="AI538" s="140"/>
      <c r="AJ538" s="140"/>
      <c r="AK538" s="140"/>
      <c r="AL538" s="140"/>
      <c r="AM538" s="140"/>
      <c r="AN538" s="140"/>
      <c r="AO538" s="140"/>
      <c r="AP538" s="140"/>
      <c r="AQ538" s="140"/>
      <c r="AR538" s="140"/>
      <c r="AS538" s="140"/>
      <c r="AT538" s="140"/>
      <c r="AU538" s="140"/>
      <c r="AV538" s="140"/>
      <c r="AW538" s="140"/>
      <c r="AX538" s="140"/>
      <c r="AY538" s="140"/>
      <c r="AZ538" s="140"/>
      <c r="BA538" s="140"/>
      <c r="BB538" s="140"/>
      <c r="BC538" s="140"/>
      <c r="BD538" s="140"/>
      <c r="BE538" s="140"/>
    </row>
    <row r="539">
      <c r="A539" s="108"/>
      <c r="B539" s="107"/>
      <c r="C539" s="107"/>
      <c r="D539" s="107"/>
      <c r="E539" s="107"/>
      <c r="F539" s="107"/>
      <c r="G539" s="208"/>
      <c r="H539" s="131"/>
      <c r="I539" s="211"/>
      <c r="J539" s="107"/>
      <c r="K539" s="202"/>
      <c r="L539" s="107"/>
      <c r="M539" s="107"/>
      <c r="N539" s="206"/>
      <c r="O539" s="108" t="b">
        <v>0</v>
      </c>
      <c r="P539" s="207"/>
      <c r="Q539" s="140"/>
      <c r="R539" s="140"/>
      <c r="S539" s="140"/>
      <c r="T539" s="140"/>
      <c r="U539" s="140"/>
      <c r="V539" s="140"/>
      <c r="W539" s="140"/>
      <c r="X539" s="140"/>
      <c r="Y539" s="140"/>
      <c r="Z539" s="140"/>
      <c r="AA539" s="140"/>
      <c r="AB539" s="140"/>
      <c r="AC539" s="140"/>
      <c r="AD539" s="140"/>
      <c r="AE539" s="140"/>
      <c r="AF539" s="140"/>
      <c r="AG539" s="140"/>
      <c r="AH539" s="140"/>
      <c r="AI539" s="140"/>
      <c r="AJ539" s="140"/>
      <c r="AK539" s="140"/>
      <c r="AL539" s="140"/>
      <c r="AM539" s="140"/>
      <c r="AN539" s="140"/>
      <c r="AO539" s="140"/>
      <c r="AP539" s="140"/>
      <c r="AQ539" s="140"/>
      <c r="AR539" s="140"/>
      <c r="AS539" s="140"/>
      <c r="AT539" s="140"/>
      <c r="AU539" s="140"/>
      <c r="AV539" s="140"/>
      <c r="AW539" s="140"/>
      <c r="AX539" s="140"/>
      <c r="AY539" s="140"/>
      <c r="AZ539" s="140"/>
      <c r="BA539" s="140"/>
      <c r="BB539" s="140"/>
      <c r="BC539" s="140"/>
      <c r="BD539" s="140"/>
      <c r="BE539" s="140"/>
    </row>
    <row r="540">
      <c r="A540" s="108"/>
      <c r="B540" s="107"/>
      <c r="C540" s="107"/>
      <c r="D540" s="107"/>
      <c r="E540" s="107"/>
      <c r="F540" s="107"/>
      <c r="G540" s="208"/>
      <c r="H540" s="131"/>
      <c r="I540" s="211"/>
      <c r="J540" s="107"/>
      <c r="K540" s="202"/>
      <c r="L540" s="107"/>
      <c r="M540" s="107"/>
      <c r="N540" s="206"/>
      <c r="O540" s="108" t="b">
        <v>0</v>
      </c>
      <c r="P540" s="207"/>
      <c r="Q540" s="140"/>
      <c r="R540" s="140"/>
      <c r="S540" s="140"/>
      <c r="T540" s="140"/>
      <c r="U540" s="140"/>
      <c r="V540" s="140"/>
      <c r="W540" s="140"/>
      <c r="X540" s="140"/>
      <c r="Y540" s="140"/>
      <c r="Z540" s="140"/>
      <c r="AA540" s="140"/>
      <c r="AB540" s="140"/>
      <c r="AC540" s="140"/>
      <c r="AD540" s="140"/>
      <c r="AE540" s="140"/>
      <c r="AF540" s="140"/>
      <c r="AG540" s="140"/>
      <c r="AH540" s="140"/>
      <c r="AI540" s="140"/>
      <c r="AJ540" s="140"/>
      <c r="AK540" s="140"/>
      <c r="AL540" s="140"/>
      <c r="AM540" s="140"/>
      <c r="AN540" s="140"/>
      <c r="AO540" s="140"/>
      <c r="AP540" s="140"/>
      <c r="AQ540" s="140"/>
      <c r="AR540" s="140"/>
      <c r="AS540" s="140"/>
      <c r="AT540" s="140"/>
      <c r="AU540" s="140"/>
      <c r="AV540" s="140"/>
      <c r="AW540" s="140"/>
      <c r="AX540" s="140"/>
      <c r="AY540" s="140"/>
      <c r="AZ540" s="140"/>
      <c r="BA540" s="140"/>
      <c r="BB540" s="140"/>
      <c r="BC540" s="140"/>
      <c r="BD540" s="140"/>
      <c r="BE540" s="140"/>
    </row>
    <row r="541">
      <c r="A541" s="108"/>
      <c r="B541" s="107"/>
      <c r="C541" s="107"/>
      <c r="D541" s="107"/>
      <c r="E541" s="107"/>
      <c r="F541" s="107"/>
      <c r="G541" s="208"/>
      <c r="H541" s="131"/>
      <c r="I541" s="211"/>
      <c r="J541" s="107"/>
      <c r="K541" s="202"/>
      <c r="L541" s="107"/>
      <c r="M541" s="107"/>
      <c r="N541" s="206"/>
      <c r="O541" s="108" t="b">
        <v>0</v>
      </c>
      <c r="P541" s="207"/>
      <c r="Q541" s="140"/>
      <c r="R541" s="140"/>
      <c r="S541" s="140"/>
      <c r="T541" s="140"/>
      <c r="U541" s="140"/>
      <c r="V541" s="140"/>
      <c r="W541" s="140"/>
      <c r="X541" s="140"/>
      <c r="Y541" s="140"/>
      <c r="Z541" s="140"/>
      <c r="AA541" s="140"/>
      <c r="AB541" s="140"/>
      <c r="AC541" s="140"/>
      <c r="AD541" s="140"/>
      <c r="AE541" s="140"/>
      <c r="AF541" s="140"/>
      <c r="AG541" s="140"/>
      <c r="AH541" s="140"/>
      <c r="AI541" s="140"/>
      <c r="AJ541" s="140"/>
      <c r="AK541" s="140"/>
      <c r="AL541" s="140"/>
      <c r="AM541" s="140"/>
      <c r="AN541" s="140"/>
      <c r="AO541" s="140"/>
      <c r="AP541" s="140"/>
      <c r="AQ541" s="140"/>
      <c r="AR541" s="140"/>
      <c r="AS541" s="140"/>
      <c r="AT541" s="140"/>
      <c r="AU541" s="140"/>
      <c r="AV541" s="140"/>
      <c r="AW541" s="140"/>
      <c r="AX541" s="140"/>
      <c r="AY541" s="140"/>
      <c r="AZ541" s="140"/>
      <c r="BA541" s="140"/>
      <c r="BB541" s="140"/>
      <c r="BC541" s="140"/>
      <c r="BD541" s="140"/>
      <c r="BE541" s="140"/>
    </row>
    <row r="542">
      <c r="A542" s="108"/>
      <c r="B542" s="107"/>
      <c r="C542" s="107"/>
      <c r="D542" s="107"/>
      <c r="E542" s="107"/>
      <c r="F542" s="107"/>
      <c r="G542" s="208"/>
      <c r="H542" s="131"/>
      <c r="I542" s="211"/>
      <c r="J542" s="107"/>
      <c r="K542" s="202"/>
      <c r="L542" s="107"/>
      <c r="M542" s="107"/>
      <c r="N542" s="206"/>
      <c r="O542" s="108" t="b">
        <v>0</v>
      </c>
      <c r="P542" s="207"/>
      <c r="Q542" s="140"/>
      <c r="R542" s="140"/>
      <c r="S542" s="140"/>
      <c r="T542" s="140"/>
      <c r="U542" s="140"/>
      <c r="V542" s="140"/>
      <c r="W542" s="140"/>
      <c r="X542" s="140"/>
      <c r="Y542" s="140"/>
      <c r="Z542" s="140"/>
      <c r="AA542" s="140"/>
      <c r="AB542" s="140"/>
      <c r="AC542" s="140"/>
      <c r="AD542" s="140"/>
      <c r="AE542" s="140"/>
      <c r="AF542" s="140"/>
      <c r="AG542" s="140"/>
      <c r="AH542" s="140"/>
      <c r="AI542" s="140"/>
      <c r="AJ542" s="140"/>
      <c r="AK542" s="140"/>
      <c r="AL542" s="140"/>
      <c r="AM542" s="140"/>
      <c r="AN542" s="140"/>
      <c r="AO542" s="140"/>
      <c r="AP542" s="140"/>
      <c r="AQ542" s="140"/>
      <c r="AR542" s="140"/>
      <c r="AS542" s="140"/>
      <c r="AT542" s="140"/>
      <c r="AU542" s="140"/>
      <c r="AV542" s="140"/>
      <c r="AW542" s="140"/>
      <c r="AX542" s="140"/>
      <c r="AY542" s="140"/>
      <c r="AZ542" s="140"/>
      <c r="BA542" s="140"/>
      <c r="BB542" s="140"/>
      <c r="BC542" s="140"/>
      <c r="BD542" s="140"/>
      <c r="BE542" s="140"/>
    </row>
    <row r="543">
      <c r="A543" s="108"/>
      <c r="B543" s="107"/>
      <c r="C543" s="107"/>
      <c r="D543" s="107"/>
      <c r="E543" s="107"/>
      <c r="F543" s="107"/>
      <c r="G543" s="208"/>
      <c r="H543" s="131"/>
      <c r="I543" s="211"/>
      <c r="J543" s="107"/>
      <c r="K543" s="202"/>
      <c r="L543" s="107"/>
      <c r="M543" s="107"/>
      <c r="N543" s="206"/>
      <c r="O543" s="108" t="b">
        <v>0</v>
      </c>
      <c r="P543" s="207"/>
      <c r="Q543" s="140"/>
      <c r="R543" s="140"/>
      <c r="S543" s="140"/>
      <c r="T543" s="140"/>
      <c r="U543" s="140"/>
      <c r="V543" s="140"/>
      <c r="W543" s="140"/>
      <c r="X543" s="140"/>
      <c r="Y543" s="140"/>
      <c r="Z543" s="140"/>
      <c r="AA543" s="140"/>
      <c r="AB543" s="140"/>
      <c r="AC543" s="140"/>
      <c r="AD543" s="140"/>
      <c r="AE543" s="140"/>
      <c r="AF543" s="140"/>
      <c r="AG543" s="140"/>
      <c r="AH543" s="140"/>
      <c r="AI543" s="140"/>
      <c r="AJ543" s="140"/>
      <c r="AK543" s="140"/>
      <c r="AL543" s="140"/>
      <c r="AM543" s="140"/>
      <c r="AN543" s="140"/>
      <c r="AO543" s="140"/>
      <c r="AP543" s="140"/>
      <c r="AQ543" s="140"/>
      <c r="AR543" s="140"/>
      <c r="AS543" s="140"/>
      <c r="AT543" s="140"/>
      <c r="AU543" s="140"/>
      <c r="AV543" s="140"/>
      <c r="AW543" s="140"/>
      <c r="AX543" s="140"/>
      <c r="AY543" s="140"/>
      <c r="AZ543" s="140"/>
      <c r="BA543" s="140"/>
      <c r="BB543" s="140"/>
      <c r="BC543" s="140"/>
      <c r="BD543" s="140"/>
      <c r="BE543" s="140"/>
    </row>
    <row r="544">
      <c r="A544" s="108"/>
      <c r="B544" s="107"/>
      <c r="C544" s="107"/>
      <c r="D544" s="107"/>
      <c r="E544" s="107"/>
      <c r="F544" s="107"/>
      <c r="G544" s="208"/>
      <c r="H544" s="131"/>
      <c r="I544" s="211"/>
      <c r="J544" s="107"/>
      <c r="K544" s="202"/>
      <c r="L544" s="107"/>
      <c r="M544" s="107"/>
      <c r="N544" s="206"/>
      <c r="O544" s="108" t="b">
        <v>0</v>
      </c>
      <c r="P544" s="207"/>
      <c r="Q544" s="140"/>
      <c r="R544" s="140"/>
      <c r="S544" s="140"/>
      <c r="T544" s="140"/>
      <c r="U544" s="140"/>
      <c r="V544" s="140"/>
      <c r="W544" s="140"/>
      <c r="X544" s="140"/>
      <c r="Y544" s="140"/>
      <c r="Z544" s="140"/>
      <c r="AA544" s="140"/>
      <c r="AB544" s="140"/>
      <c r="AC544" s="140"/>
      <c r="AD544" s="140"/>
      <c r="AE544" s="140"/>
      <c r="AF544" s="140"/>
      <c r="AG544" s="140"/>
      <c r="AH544" s="140"/>
      <c r="AI544" s="140"/>
      <c r="AJ544" s="140"/>
      <c r="AK544" s="140"/>
      <c r="AL544" s="140"/>
      <c r="AM544" s="140"/>
      <c r="AN544" s="140"/>
      <c r="AO544" s="140"/>
      <c r="AP544" s="140"/>
      <c r="AQ544" s="140"/>
      <c r="AR544" s="140"/>
      <c r="AS544" s="140"/>
      <c r="AT544" s="140"/>
      <c r="AU544" s="140"/>
      <c r="AV544" s="140"/>
      <c r="AW544" s="140"/>
      <c r="AX544" s="140"/>
      <c r="AY544" s="140"/>
      <c r="AZ544" s="140"/>
      <c r="BA544" s="140"/>
      <c r="BB544" s="140"/>
      <c r="BC544" s="140"/>
      <c r="BD544" s="140"/>
      <c r="BE544" s="140"/>
    </row>
    <row r="545">
      <c r="A545" s="108"/>
      <c r="B545" s="107"/>
      <c r="C545" s="107"/>
      <c r="D545" s="107"/>
      <c r="E545" s="107"/>
      <c r="F545" s="107"/>
      <c r="G545" s="208"/>
      <c r="H545" s="131"/>
      <c r="I545" s="211"/>
      <c r="J545" s="107"/>
      <c r="K545" s="202"/>
      <c r="L545" s="107"/>
      <c r="M545" s="107"/>
      <c r="N545" s="206"/>
      <c r="O545" s="108" t="b">
        <v>0</v>
      </c>
      <c r="P545" s="207"/>
      <c r="Q545" s="140"/>
      <c r="R545" s="140"/>
      <c r="S545" s="140"/>
      <c r="T545" s="140"/>
      <c r="U545" s="140"/>
      <c r="V545" s="140"/>
      <c r="W545" s="140"/>
      <c r="X545" s="140"/>
      <c r="Y545" s="140"/>
      <c r="Z545" s="140"/>
      <c r="AA545" s="140"/>
      <c r="AB545" s="140"/>
      <c r="AC545" s="140"/>
      <c r="AD545" s="140"/>
      <c r="AE545" s="140"/>
      <c r="AF545" s="140"/>
      <c r="AG545" s="140"/>
      <c r="AH545" s="140"/>
      <c r="AI545" s="140"/>
      <c r="AJ545" s="140"/>
      <c r="AK545" s="140"/>
      <c r="AL545" s="140"/>
      <c r="AM545" s="140"/>
      <c r="AN545" s="140"/>
      <c r="AO545" s="140"/>
      <c r="AP545" s="140"/>
      <c r="AQ545" s="140"/>
      <c r="AR545" s="140"/>
      <c r="AS545" s="140"/>
      <c r="AT545" s="140"/>
      <c r="AU545" s="140"/>
      <c r="AV545" s="140"/>
      <c r="AW545" s="140"/>
      <c r="AX545" s="140"/>
      <c r="AY545" s="140"/>
      <c r="AZ545" s="140"/>
      <c r="BA545" s="140"/>
      <c r="BB545" s="140"/>
      <c r="BC545" s="140"/>
      <c r="BD545" s="140"/>
      <c r="BE545" s="140"/>
    </row>
    <row r="546">
      <c r="A546" s="108"/>
      <c r="B546" s="107"/>
      <c r="C546" s="107"/>
      <c r="D546" s="107"/>
      <c r="E546" s="107"/>
      <c r="F546" s="107"/>
      <c r="G546" s="208"/>
      <c r="H546" s="131"/>
      <c r="I546" s="211"/>
      <c r="J546" s="107"/>
      <c r="K546" s="202"/>
      <c r="L546" s="107"/>
      <c r="M546" s="107"/>
      <c r="N546" s="206"/>
      <c r="O546" s="108" t="b">
        <v>0</v>
      </c>
      <c r="P546" s="207"/>
      <c r="Q546" s="140"/>
      <c r="R546" s="140"/>
      <c r="S546" s="140"/>
      <c r="T546" s="140"/>
      <c r="U546" s="140"/>
      <c r="V546" s="140"/>
      <c r="W546" s="140"/>
      <c r="X546" s="140"/>
      <c r="Y546" s="140"/>
      <c r="Z546" s="140"/>
      <c r="AA546" s="140"/>
      <c r="AB546" s="140"/>
      <c r="AC546" s="140"/>
      <c r="AD546" s="140"/>
      <c r="AE546" s="140"/>
      <c r="AF546" s="140"/>
      <c r="AG546" s="140"/>
      <c r="AH546" s="140"/>
      <c r="AI546" s="140"/>
      <c r="AJ546" s="140"/>
      <c r="AK546" s="140"/>
      <c r="AL546" s="140"/>
      <c r="AM546" s="140"/>
      <c r="AN546" s="140"/>
      <c r="AO546" s="140"/>
      <c r="AP546" s="140"/>
      <c r="AQ546" s="140"/>
      <c r="AR546" s="140"/>
      <c r="AS546" s="140"/>
      <c r="AT546" s="140"/>
      <c r="AU546" s="140"/>
      <c r="AV546" s="140"/>
      <c r="AW546" s="140"/>
      <c r="AX546" s="140"/>
      <c r="AY546" s="140"/>
      <c r="AZ546" s="140"/>
      <c r="BA546" s="140"/>
      <c r="BB546" s="140"/>
      <c r="BC546" s="140"/>
      <c r="BD546" s="140"/>
      <c r="BE546" s="140"/>
    </row>
    <row r="547">
      <c r="A547" s="108"/>
      <c r="B547" s="107"/>
      <c r="C547" s="107"/>
      <c r="D547" s="107"/>
      <c r="E547" s="107"/>
      <c r="F547" s="107"/>
      <c r="G547" s="208"/>
      <c r="H547" s="131"/>
      <c r="I547" s="211"/>
      <c r="J547" s="107"/>
      <c r="K547" s="202"/>
      <c r="L547" s="107"/>
      <c r="M547" s="107"/>
      <c r="N547" s="206"/>
      <c r="O547" s="108" t="b">
        <v>0</v>
      </c>
      <c r="P547" s="207"/>
      <c r="Q547" s="140"/>
      <c r="R547" s="140"/>
      <c r="S547" s="140"/>
      <c r="T547" s="140"/>
      <c r="U547" s="140"/>
      <c r="V547" s="140"/>
      <c r="W547" s="140"/>
      <c r="X547" s="140"/>
      <c r="Y547" s="140"/>
      <c r="Z547" s="140"/>
      <c r="AA547" s="140"/>
      <c r="AB547" s="140"/>
      <c r="AC547" s="140"/>
      <c r="AD547" s="140"/>
      <c r="AE547" s="140"/>
      <c r="AF547" s="140"/>
      <c r="AG547" s="140"/>
      <c r="AH547" s="140"/>
      <c r="AI547" s="140"/>
      <c r="AJ547" s="140"/>
      <c r="AK547" s="140"/>
      <c r="AL547" s="140"/>
      <c r="AM547" s="140"/>
      <c r="AN547" s="140"/>
      <c r="AO547" s="140"/>
      <c r="AP547" s="140"/>
      <c r="AQ547" s="140"/>
      <c r="AR547" s="140"/>
      <c r="AS547" s="140"/>
      <c r="AT547" s="140"/>
      <c r="AU547" s="140"/>
      <c r="AV547" s="140"/>
      <c r="AW547" s="140"/>
      <c r="AX547" s="140"/>
      <c r="AY547" s="140"/>
      <c r="AZ547" s="140"/>
      <c r="BA547" s="140"/>
      <c r="BB547" s="140"/>
      <c r="BC547" s="140"/>
      <c r="BD547" s="140"/>
      <c r="BE547" s="140"/>
    </row>
    <row r="548">
      <c r="A548" s="108"/>
      <c r="B548" s="107"/>
      <c r="C548" s="107"/>
      <c r="D548" s="107"/>
      <c r="E548" s="107"/>
      <c r="F548" s="107"/>
      <c r="G548" s="208"/>
      <c r="H548" s="131"/>
      <c r="I548" s="211"/>
      <c r="J548" s="107"/>
      <c r="K548" s="202"/>
      <c r="L548" s="107"/>
      <c r="M548" s="107"/>
      <c r="N548" s="206"/>
      <c r="O548" s="108" t="b">
        <v>0</v>
      </c>
      <c r="P548" s="207"/>
      <c r="Q548" s="140"/>
      <c r="R548" s="140"/>
      <c r="S548" s="140"/>
      <c r="T548" s="140"/>
      <c r="U548" s="140"/>
      <c r="V548" s="140"/>
      <c r="W548" s="140"/>
      <c r="X548" s="140"/>
      <c r="Y548" s="140"/>
      <c r="Z548" s="140"/>
      <c r="AA548" s="140"/>
      <c r="AB548" s="140"/>
      <c r="AC548" s="140"/>
      <c r="AD548" s="140"/>
      <c r="AE548" s="140"/>
      <c r="AF548" s="140"/>
      <c r="AG548" s="140"/>
      <c r="AH548" s="140"/>
      <c r="AI548" s="140"/>
      <c r="AJ548" s="140"/>
      <c r="AK548" s="140"/>
      <c r="AL548" s="140"/>
      <c r="AM548" s="140"/>
      <c r="AN548" s="140"/>
      <c r="AO548" s="140"/>
      <c r="AP548" s="140"/>
      <c r="AQ548" s="140"/>
      <c r="AR548" s="140"/>
      <c r="AS548" s="140"/>
      <c r="AT548" s="140"/>
      <c r="AU548" s="140"/>
      <c r="AV548" s="140"/>
      <c r="AW548" s="140"/>
      <c r="AX548" s="140"/>
      <c r="AY548" s="140"/>
      <c r="AZ548" s="140"/>
      <c r="BA548" s="140"/>
      <c r="BB548" s="140"/>
      <c r="BC548" s="140"/>
      <c r="BD548" s="140"/>
      <c r="BE548" s="140"/>
    </row>
    <row r="549">
      <c r="A549" s="108"/>
      <c r="B549" s="107"/>
      <c r="C549" s="107"/>
      <c r="D549" s="107"/>
      <c r="E549" s="107"/>
      <c r="F549" s="107"/>
      <c r="G549" s="208"/>
      <c r="H549" s="131"/>
      <c r="I549" s="211"/>
      <c r="J549" s="107"/>
      <c r="K549" s="202"/>
      <c r="L549" s="107"/>
      <c r="M549" s="107"/>
      <c r="N549" s="206"/>
      <c r="O549" s="108" t="b">
        <v>0</v>
      </c>
      <c r="P549" s="207"/>
      <c r="Q549" s="140"/>
      <c r="R549" s="140"/>
      <c r="S549" s="140"/>
      <c r="T549" s="140"/>
      <c r="U549" s="140"/>
      <c r="V549" s="140"/>
      <c r="W549" s="140"/>
      <c r="X549" s="140"/>
      <c r="Y549" s="140"/>
      <c r="Z549" s="140"/>
      <c r="AA549" s="140"/>
      <c r="AB549" s="140"/>
      <c r="AC549" s="140"/>
      <c r="AD549" s="140"/>
      <c r="AE549" s="140"/>
      <c r="AF549" s="140"/>
      <c r="AG549" s="140"/>
      <c r="AH549" s="140"/>
      <c r="AI549" s="140"/>
      <c r="AJ549" s="140"/>
      <c r="AK549" s="140"/>
      <c r="AL549" s="140"/>
      <c r="AM549" s="140"/>
      <c r="AN549" s="140"/>
      <c r="AO549" s="140"/>
      <c r="AP549" s="140"/>
      <c r="AQ549" s="140"/>
      <c r="AR549" s="140"/>
      <c r="AS549" s="140"/>
      <c r="AT549" s="140"/>
      <c r="AU549" s="140"/>
      <c r="AV549" s="140"/>
      <c r="AW549" s="140"/>
      <c r="AX549" s="140"/>
      <c r="AY549" s="140"/>
      <c r="AZ549" s="140"/>
      <c r="BA549" s="140"/>
      <c r="BB549" s="140"/>
      <c r="BC549" s="140"/>
      <c r="BD549" s="140"/>
      <c r="BE549" s="140"/>
    </row>
    <row r="550">
      <c r="A550" s="108"/>
      <c r="B550" s="107"/>
      <c r="C550" s="107"/>
      <c r="D550" s="107"/>
      <c r="E550" s="107"/>
      <c r="F550" s="107"/>
      <c r="G550" s="208"/>
      <c r="H550" s="131"/>
      <c r="I550" s="211"/>
      <c r="J550" s="107"/>
      <c r="K550" s="202"/>
      <c r="L550" s="107"/>
      <c r="M550" s="107"/>
      <c r="N550" s="206"/>
      <c r="O550" s="108" t="b">
        <v>0</v>
      </c>
      <c r="P550" s="207"/>
      <c r="Q550" s="140"/>
      <c r="R550" s="140"/>
      <c r="S550" s="140"/>
      <c r="T550" s="140"/>
      <c r="U550" s="140"/>
      <c r="V550" s="140"/>
      <c r="W550" s="140"/>
      <c r="X550" s="140"/>
      <c r="Y550" s="140"/>
      <c r="Z550" s="140"/>
      <c r="AA550" s="140"/>
      <c r="AB550" s="140"/>
      <c r="AC550" s="140"/>
      <c r="AD550" s="140"/>
      <c r="AE550" s="140"/>
      <c r="AF550" s="140"/>
      <c r="AG550" s="140"/>
      <c r="AH550" s="140"/>
      <c r="AI550" s="140"/>
      <c r="AJ550" s="140"/>
      <c r="AK550" s="140"/>
      <c r="AL550" s="140"/>
      <c r="AM550" s="140"/>
      <c r="AN550" s="140"/>
      <c r="AO550" s="140"/>
      <c r="AP550" s="140"/>
      <c r="AQ550" s="140"/>
      <c r="AR550" s="140"/>
      <c r="AS550" s="140"/>
      <c r="AT550" s="140"/>
      <c r="AU550" s="140"/>
      <c r="AV550" s="140"/>
      <c r="AW550" s="140"/>
      <c r="AX550" s="140"/>
      <c r="AY550" s="140"/>
      <c r="AZ550" s="140"/>
      <c r="BA550" s="140"/>
      <c r="BB550" s="140"/>
      <c r="BC550" s="140"/>
      <c r="BD550" s="140"/>
      <c r="BE550" s="140"/>
    </row>
    <row r="551">
      <c r="A551" s="108"/>
      <c r="B551" s="107"/>
      <c r="C551" s="107"/>
      <c r="D551" s="107"/>
      <c r="E551" s="107"/>
      <c r="F551" s="107"/>
      <c r="G551" s="208"/>
      <c r="H551" s="131"/>
      <c r="I551" s="211"/>
      <c r="J551" s="107"/>
      <c r="K551" s="202"/>
      <c r="L551" s="107"/>
      <c r="M551" s="107"/>
      <c r="N551" s="206"/>
      <c r="O551" s="108" t="b">
        <v>0</v>
      </c>
      <c r="P551" s="207"/>
      <c r="Q551" s="140"/>
      <c r="R551" s="140"/>
      <c r="S551" s="140"/>
      <c r="T551" s="140"/>
      <c r="U551" s="140"/>
      <c r="V551" s="140"/>
      <c r="W551" s="140"/>
      <c r="X551" s="140"/>
      <c r="Y551" s="140"/>
      <c r="Z551" s="140"/>
      <c r="AA551" s="140"/>
      <c r="AB551" s="140"/>
      <c r="AC551" s="140"/>
      <c r="AD551" s="140"/>
      <c r="AE551" s="140"/>
      <c r="AF551" s="140"/>
      <c r="AG551" s="140"/>
      <c r="AH551" s="140"/>
      <c r="AI551" s="140"/>
      <c r="AJ551" s="140"/>
      <c r="AK551" s="140"/>
      <c r="AL551" s="140"/>
      <c r="AM551" s="140"/>
      <c r="AN551" s="140"/>
      <c r="AO551" s="140"/>
      <c r="AP551" s="140"/>
      <c r="AQ551" s="140"/>
      <c r="AR551" s="140"/>
      <c r="AS551" s="140"/>
      <c r="AT551" s="140"/>
      <c r="AU551" s="140"/>
      <c r="AV551" s="140"/>
      <c r="AW551" s="140"/>
      <c r="AX551" s="140"/>
      <c r="AY551" s="140"/>
      <c r="AZ551" s="140"/>
      <c r="BA551" s="140"/>
      <c r="BB551" s="140"/>
      <c r="BC551" s="140"/>
      <c r="BD551" s="140"/>
      <c r="BE551" s="140"/>
    </row>
    <row r="552">
      <c r="A552" s="108"/>
      <c r="B552" s="107"/>
      <c r="C552" s="107"/>
      <c r="D552" s="107"/>
      <c r="E552" s="107"/>
      <c r="F552" s="107"/>
      <c r="G552" s="208"/>
      <c r="H552" s="131"/>
      <c r="I552" s="211"/>
      <c r="J552" s="107"/>
      <c r="K552" s="202"/>
      <c r="L552" s="107"/>
      <c r="M552" s="107"/>
      <c r="N552" s="206"/>
      <c r="O552" s="108" t="b">
        <v>0</v>
      </c>
      <c r="P552" s="207"/>
      <c r="Q552" s="140"/>
      <c r="R552" s="140"/>
      <c r="S552" s="140"/>
      <c r="T552" s="140"/>
      <c r="U552" s="140"/>
      <c r="V552" s="140"/>
      <c r="W552" s="140"/>
      <c r="X552" s="140"/>
      <c r="Y552" s="140"/>
      <c r="Z552" s="140"/>
      <c r="AA552" s="140"/>
      <c r="AB552" s="140"/>
      <c r="AC552" s="140"/>
      <c r="AD552" s="140"/>
      <c r="AE552" s="140"/>
      <c r="AF552" s="140"/>
      <c r="AG552" s="140"/>
      <c r="AH552" s="140"/>
      <c r="AI552" s="140"/>
      <c r="AJ552" s="140"/>
      <c r="AK552" s="140"/>
      <c r="AL552" s="140"/>
      <c r="AM552" s="140"/>
      <c r="AN552" s="140"/>
      <c r="AO552" s="140"/>
      <c r="AP552" s="140"/>
      <c r="AQ552" s="140"/>
      <c r="AR552" s="140"/>
      <c r="AS552" s="140"/>
      <c r="AT552" s="140"/>
      <c r="AU552" s="140"/>
      <c r="AV552" s="140"/>
      <c r="AW552" s="140"/>
      <c r="AX552" s="140"/>
      <c r="AY552" s="140"/>
      <c r="AZ552" s="140"/>
      <c r="BA552" s="140"/>
      <c r="BB552" s="140"/>
      <c r="BC552" s="140"/>
      <c r="BD552" s="140"/>
      <c r="BE552" s="140"/>
    </row>
    <row r="553">
      <c r="A553" s="108"/>
      <c r="B553" s="107"/>
      <c r="C553" s="107"/>
      <c r="D553" s="107"/>
      <c r="E553" s="107"/>
      <c r="F553" s="107"/>
      <c r="G553" s="208"/>
      <c r="H553" s="131"/>
      <c r="I553" s="211"/>
      <c r="J553" s="107"/>
      <c r="K553" s="202"/>
      <c r="L553" s="107"/>
      <c r="M553" s="107"/>
      <c r="N553" s="206"/>
      <c r="O553" s="108" t="b">
        <v>0</v>
      </c>
      <c r="P553" s="207"/>
      <c r="Q553" s="140"/>
      <c r="R553" s="140"/>
      <c r="S553" s="140"/>
      <c r="T553" s="140"/>
      <c r="U553" s="140"/>
      <c r="V553" s="140"/>
      <c r="W553" s="140"/>
      <c r="X553" s="140"/>
      <c r="Y553" s="140"/>
      <c r="Z553" s="140"/>
      <c r="AA553" s="140"/>
      <c r="AB553" s="140"/>
      <c r="AC553" s="140"/>
      <c r="AD553" s="140"/>
      <c r="AE553" s="140"/>
      <c r="AF553" s="140"/>
      <c r="AG553" s="140"/>
      <c r="AH553" s="140"/>
      <c r="AI553" s="140"/>
      <c r="AJ553" s="140"/>
      <c r="AK553" s="140"/>
      <c r="AL553" s="140"/>
      <c r="AM553" s="140"/>
      <c r="AN553" s="140"/>
      <c r="AO553" s="140"/>
      <c r="AP553" s="140"/>
      <c r="AQ553" s="140"/>
      <c r="AR553" s="140"/>
      <c r="AS553" s="140"/>
      <c r="AT553" s="140"/>
      <c r="AU553" s="140"/>
      <c r="AV553" s="140"/>
      <c r="AW553" s="140"/>
      <c r="AX553" s="140"/>
      <c r="AY553" s="140"/>
      <c r="AZ553" s="140"/>
      <c r="BA553" s="140"/>
      <c r="BB553" s="140"/>
      <c r="BC553" s="140"/>
      <c r="BD553" s="140"/>
      <c r="BE553" s="140"/>
    </row>
    <row r="554">
      <c r="A554" s="108"/>
      <c r="B554" s="107"/>
      <c r="C554" s="107"/>
      <c r="D554" s="107"/>
      <c r="E554" s="107"/>
      <c r="F554" s="107"/>
      <c r="G554" s="208"/>
      <c r="H554" s="131"/>
      <c r="I554" s="211"/>
      <c r="J554" s="107"/>
      <c r="K554" s="202"/>
      <c r="L554" s="107"/>
      <c r="M554" s="107"/>
      <c r="N554" s="206"/>
      <c r="O554" s="108" t="b">
        <v>0</v>
      </c>
      <c r="P554" s="207"/>
      <c r="Q554" s="140"/>
      <c r="R554" s="140"/>
      <c r="S554" s="140"/>
      <c r="T554" s="140"/>
      <c r="U554" s="140"/>
      <c r="V554" s="140"/>
      <c r="W554" s="140"/>
      <c r="X554" s="140"/>
      <c r="Y554" s="140"/>
      <c r="Z554" s="140"/>
      <c r="AA554" s="140"/>
      <c r="AB554" s="140"/>
      <c r="AC554" s="140"/>
      <c r="AD554" s="140"/>
      <c r="AE554" s="140"/>
      <c r="AF554" s="140"/>
      <c r="AG554" s="140"/>
      <c r="AH554" s="140"/>
      <c r="AI554" s="140"/>
      <c r="AJ554" s="140"/>
      <c r="AK554" s="140"/>
      <c r="AL554" s="140"/>
      <c r="AM554" s="140"/>
      <c r="AN554" s="140"/>
      <c r="AO554" s="140"/>
      <c r="AP554" s="140"/>
      <c r="AQ554" s="140"/>
      <c r="AR554" s="140"/>
      <c r="AS554" s="140"/>
      <c r="AT554" s="140"/>
      <c r="AU554" s="140"/>
      <c r="AV554" s="140"/>
      <c r="AW554" s="140"/>
      <c r="AX554" s="140"/>
      <c r="AY554" s="140"/>
      <c r="AZ554" s="140"/>
      <c r="BA554" s="140"/>
      <c r="BB554" s="140"/>
      <c r="BC554" s="140"/>
      <c r="BD554" s="140"/>
      <c r="BE554" s="140"/>
    </row>
    <row r="555">
      <c r="A555" s="108"/>
      <c r="B555" s="107"/>
      <c r="C555" s="107"/>
      <c r="D555" s="107"/>
      <c r="E555" s="107"/>
      <c r="F555" s="107"/>
      <c r="G555" s="208"/>
      <c r="H555" s="131"/>
      <c r="I555" s="211"/>
      <c r="J555" s="107"/>
      <c r="K555" s="202"/>
      <c r="L555" s="107"/>
      <c r="M555" s="107"/>
      <c r="N555" s="206"/>
      <c r="O555" s="108" t="b">
        <v>0</v>
      </c>
      <c r="P555" s="207"/>
      <c r="Q555" s="140"/>
      <c r="R555" s="140"/>
      <c r="S555" s="140"/>
      <c r="T555" s="140"/>
      <c r="U555" s="140"/>
      <c r="V555" s="140"/>
      <c r="W555" s="140"/>
      <c r="X555" s="140"/>
      <c r="Y555" s="140"/>
      <c r="Z555" s="140"/>
      <c r="AA555" s="140"/>
      <c r="AB555" s="140"/>
      <c r="AC555" s="140"/>
      <c r="AD555" s="140"/>
      <c r="AE555" s="140"/>
      <c r="AF555" s="140"/>
      <c r="AG555" s="140"/>
      <c r="AH555" s="140"/>
      <c r="AI555" s="140"/>
      <c r="AJ555" s="140"/>
      <c r="AK555" s="140"/>
      <c r="AL555" s="140"/>
      <c r="AM555" s="140"/>
      <c r="AN555" s="140"/>
      <c r="AO555" s="140"/>
      <c r="AP555" s="140"/>
      <c r="AQ555" s="140"/>
      <c r="AR555" s="140"/>
      <c r="AS555" s="140"/>
      <c r="AT555" s="140"/>
      <c r="AU555" s="140"/>
      <c r="AV555" s="140"/>
      <c r="AW555" s="140"/>
      <c r="AX555" s="140"/>
      <c r="AY555" s="140"/>
      <c r="AZ555" s="140"/>
      <c r="BA555" s="140"/>
      <c r="BB555" s="140"/>
      <c r="BC555" s="140"/>
      <c r="BD555" s="140"/>
      <c r="BE555" s="140"/>
    </row>
    <row r="556">
      <c r="A556" s="108"/>
      <c r="B556" s="107"/>
      <c r="C556" s="107"/>
      <c r="D556" s="107"/>
      <c r="E556" s="107"/>
      <c r="F556" s="107"/>
      <c r="G556" s="208"/>
      <c r="H556" s="131"/>
      <c r="I556" s="211"/>
      <c r="J556" s="107"/>
      <c r="K556" s="202"/>
      <c r="L556" s="107"/>
      <c r="M556" s="107"/>
      <c r="N556" s="206"/>
      <c r="O556" s="108" t="b">
        <v>0</v>
      </c>
      <c r="P556" s="207"/>
      <c r="Q556" s="140"/>
      <c r="R556" s="140"/>
      <c r="S556" s="140"/>
      <c r="T556" s="140"/>
      <c r="U556" s="140"/>
      <c r="V556" s="140"/>
      <c r="W556" s="140"/>
      <c r="X556" s="140"/>
      <c r="Y556" s="140"/>
      <c r="Z556" s="140"/>
      <c r="AA556" s="140"/>
      <c r="AB556" s="140"/>
      <c r="AC556" s="140"/>
      <c r="AD556" s="140"/>
      <c r="AE556" s="140"/>
      <c r="AF556" s="140"/>
      <c r="AG556" s="140"/>
      <c r="AH556" s="140"/>
      <c r="AI556" s="140"/>
      <c r="AJ556" s="140"/>
      <c r="AK556" s="140"/>
      <c r="AL556" s="140"/>
      <c r="AM556" s="140"/>
      <c r="AN556" s="140"/>
      <c r="AO556" s="140"/>
      <c r="AP556" s="140"/>
      <c r="AQ556" s="140"/>
      <c r="AR556" s="140"/>
      <c r="AS556" s="140"/>
      <c r="AT556" s="140"/>
      <c r="AU556" s="140"/>
      <c r="AV556" s="140"/>
      <c r="AW556" s="140"/>
      <c r="AX556" s="140"/>
      <c r="AY556" s="140"/>
      <c r="AZ556" s="140"/>
      <c r="BA556" s="140"/>
      <c r="BB556" s="140"/>
      <c r="BC556" s="140"/>
      <c r="BD556" s="140"/>
      <c r="BE556" s="140"/>
    </row>
    <row r="557">
      <c r="A557" s="108"/>
      <c r="B557" s="107"/>
      <c r="C557" s="107"/>
      <c r="D557" s="107"/>
      <c r="E557" s="107"/>
      <c r="F557" s="107"/>
      <c r="G557" s="208"/>
      <c r="H557" s="131"/>
      <c r="I557" s="211"/>
      <c r="J557" s="107"/>
      <c r="K557" s="202"/>
      <c r="L557" s="107"/>
      <c r="M557" s="107"/>
      <c r="N557" s="206"/>
      <c r="O557" s="108" t="b">
        <v>0</v>
      </c>
      <c r="P557" s="207"/>
      <c r="Q557" s="140"/>
      <c r="R557" s="140"/>
      <c r="S557" s="140"/>
      <c r="T557" s="140"/>
      <c r="U557" s="140"/>
      <c r="V557" s="140"/>
      <c r="W557" s="140"/>
      <c r="X557" s="140"/>
      <c r="Y557" s="140"/>
      <c r="Z557" s="140"/>
      <c r="AA557" s="140"/>
      <c r="AB557" s="140"/>
      <c r="AC557" s="140"/>
      <c r="AD557" s="140"/>
      <c r="AE557" s="140"/>
      <c r="AF557" s="140"/>
      <c r="AG557" s="140"/>
      <c r="AH557" s="140"/>
      <c r="AI557" s="140"/>
      <c r="AJ557" s="140"/>
      <c r="AK557" s="140"/>
      <c r="AL557" s="140"/>
      <c r="AM557" s="140"/>
      <c r="AN557" s="140"/>
      <c r="AO557" s="140"/>
      <c r="AP557" s="140"/>
      <c r="AQ557" s="140"/>
      <c r="AR557" s="140"/>
      <c r="AS557" s="140"/>
      <c r="AT557" s="140"/>
      <c r="AU557" s="140"/>
      <c r="AV557" s="140"/>
      <c r="AW557" s="140"/>
      <c r="AX557" s="140"/>
      <c r="AY557" s="140"/>
      <c r="AZ557" s="140"/>
      <c r="BA557" s="140"/>
      <c r="BB557" s="140"/>
      <c r="BC557" s="140"/>
      <c r="BD557" s="140"/>
      <c r="BE557" s="140"/>
    </row>
    <row r="558">
      <c r="A558" s="108"/>
      <c r="B558" s="107"/>
      <c r="C558" s="107"/>
      <c r="D558" s="107"/>
      <c r="E558" s="107"/>
      <c r="F558" s="107"/>
      <c r="G558" s="208"/>
      <c r="H558" s="131"/>
      <c r="I558" s="211"/>
      <c r="J558" s="107"/>
      <c r="K558" s="202"/>
      <c r="L558" s="107"/>
      <c r="M558" s="107"/>
      <c r="N558" s="206"/>
      <c r="O558" s="108" t="b">
        <v>0</v>
      </c>
      <c r="P558" s="207"/>
      <c r="Q558" s="140"/>
      <c r="R558" s="140"/>
      <c r="S558" s="140"/>
      <c r="T558" s="140"/>
      <c r="U558" s="140"/>
      <c r="V558" s="140"/>
      <c r="W558" s="140"/>
      <c r="X558" s="140"/>
      <c r="Y558" s="140"/>
      <c r="Z558" s="140"/>
      <c r="AA558" s="140"/>
      <c r="AB558" s="140"/>
      <c r="AC558" s="140"/>
      <c r="AD558" s="140"/>
      <c r="AE558" s="140"/>
      <c r="AF558" s="140"/>
      <c r="AG558" s="140"/>
      <c r="AH558" s="140"/>
      <c r="AI558" s="140"/>
      <c r="AJ558" s="140"/>
      <c r="AK558" s="140"/>
      <c r="AL558" s="140"/>
      <c r="AM558" s="140"/>
      <c r="AN558" s="140"/>
      <c r="AO558" s="140"/>
      <c r="AP558" s="140"/>
      <c r="AQ558" s="140"/>
      <c r="AR558" s="140"/>
      <c r="AS558" s="140"/>
      <c r="AT558" s="140"/>
      <c r="AU558" s="140"/>
      <c r="AV558" s="140"/>
      <c r="AW558" s="140"/>
      <c r="AX558" s="140"/>
      <c r="AY558" s="140"/>
      <c r="AZ558" s="140"/>
      <c r="BA558" s="140"/>
      <c r="BB558" s="140"/>
      <c r="BC558" s="140"/>
      <c r="BD558" s="140"/>
      <c r="BE558" s="140"/>
    </row>
    <row r="559">
      <c r="A559" s="108"/>
      <c r="B559" s="107"/>
      <c r="C559" s="107"/>
      <c r="D559" s="107"/>
      <c r="E559" s="107"/>
      <c r="F559" s="107"/>
      <c r="G559" s="208"/>
      <c r="H559" s="131"/>
      <c r="I559" s="211"/>
      <c r="J559" s="107"/>
      <c r="K559" s="202"/>
      <c r="L559" s="107"/>
      <c r="M559" s="107"/>
      <c r="N559" s="206"/>
      <c r="O559" s="108" t="b">
        <v>0</v>
      </c>
      <c r="P559" s="207"/>
      <c r="Q559" s="140"/>
      <c r="R559" s="140"/>
      <c r="S559" s="140"/>
      <c r="T559" s="140"/>
      <c r="U559" s="140"/>
      <c r="V559" s="140"/>
      <c r="W559" s="140"/>
      <c r="X559" s="140"/>
      <c r="Y559" s="140"/>
      <c r="Z559" s="140"/>
      <c r="AA559" s="140"/>
      <c r="AB559" s="140"/>
      <c r="AC559" s="140"/>
      <c r="AD559" s="140"/>
      <c r="AE559" s="140"/>
      <c r="AF559" s="140"/>
      <c r="AG559" s="140"/>
      <c r="AH559" s="140"/>
      <c r="AI559" s="140"/>
      <c r="AJ559" s="140"/>
      <c r="AK559" s="140"/>
      <c r="AL559" s="140"/>
      <c r="AM559" s="140"/>
      <c r="AN559" s="140"/>
      <c r="AO559" s="140"/>
      <c r="AP559" s="140"/>
      <c r="AQ559" s="140"/>
      <c r="AR559" s="140"/>
      <c r="AS559" s="140"/>
      <c r="AT559" s="140"/>
      <c r="AU559" s="140"/>
      <c r="AV559" s="140"/>
      <c r="AW559" s="140"/>
      <c r="AX559" s="140"/>
      <c r="AY559" s="140"/>
      <c r="AZ559" s="140"/>
      <c r="BA559" s="140"/>
      <c r="BB559" s="140"/>
      <c r="BC559" s="140"/>
      <c r="BD559" s="140"/>
      <c r="BE559" s="140"/>
    </row>
    <row r="560">
      <c r="A560" s="108"/>
      <c r="B560" s="107"/>
      <c r="C560" s="107"/>
      <c r="D560" s="107"/>
      <c r="E560" s="107"/>
      <c r="F560" s="107"/>
      <c r="G560" s="208"/>
      <c r="H560" s="131"/>
      <c r="I560" s="211"/>
      <c r="J560" s="107"/>
      <c r="K560" s="202"/>
      <c r="L560" s="107"/>
      <c r="M560" s="107"/>
      <c r="N560" s="206"/>
      <c r="O560" s="108" t="b">
        <v>0</v>
      </c>
      <c r="P560" s="207"/>
      <c r="Q560" s="140"/>
      <c r="R560" s="140"/>
      <c r="S560" s="140"/>
      <c r="T560" s="140"/>
      <c r="U560" s="140"/>
      <c r="V560" s="140"/>
      <c r="W560" s="140"/>
      <c r="X560" s="140"/>
      <c r="Y560" s="140"/>
      <c r="Z560" s="140"/>
      <c r="AA560" s="140"/>
      <c r="AB560" s="140"/>
      <c r="AC560" s="140"/>
      <c r="AD560" s="140"/>
      <c r="AE560" s="140"/>
      <c r="AF560" s="140"/>
      <c r="AG560" s="140"/>
      <c r="AH560" s="140"/>
      <c r="AI560" s="140"/>
      <c r="AJ560" s="140"/>
      <c r="AK560" s="140"/>
      <c r="AL560" s="140"/>
      <c r="AM560" s="140"/>
      <c r="AN560" s="140"/>
      <c r="AO560" s="140"/>
      <c r="AP560" s="140"/>
      <c r="AQ560" s="140"/>
      <c r="AR560" s="140"/>
      <c r="AS560" s="140"/>
      <c r="AT560" s="140"/>
      <c r="AU560" s="140"/>
      <c r="AV560" s="140"/>
      <c r="AW560" s="140"/>
      <c r="AX560" s="140"/>
      <c r="AY560" s="140"/>
      <c r="AZ560" s="140"/>
      <c r="BA560" s="140"/>
      <c r="BB560" s="140"/>
      <c r="BC560" s="140"/>
      <c r="BD560" s="140"/>
      <c r="BE560" s="140"/>
    </row>
    <row r="561">
      <c r="A561" s="108"/>
      <c r="B561" s="107"/>
      <c r="C561" s="107"/>
      <c r="D561" s="107"/>
      <c r="E561" s="107"/>
      <c r="F561" s="107"/>
      <c r="G561" s="208"/>
      <c r="H561" s="131"/>
      <c r="I561" s="211"/>
      <c r="J561" s="107"/>
      <c r="K561" s="202"/>
      <c r="L561" s="107"/>
      <c r="M561" s="107"/>
      <c r="N561" s="206"/>
      <c r="O561" s="108" t="b">
        <v>0</v>
      </c>
      <c r="P561" s="207"/>
      <c r="Q561" s="140"/>
      <c r="R561" s="140"/>
      <c r="S561" s="140"/>
      <c r="T561" s="140"/>
      <c r="U561" s="140"/>
      <c r="V561" s="140"/>
      <c r="W561" s="140"/>
      <c r="X561" s="140"/>
      <c r="Y561" s="140"/>
      <c r="Z561" s="140"/>
      <c r="AA561" s="140"/>
      <c r="AB561" s="140"/>
      <c r="AC561" s="140"/>
      <c r="AD561" s="140"/>
      <c r="AE561" s="140"/>
      <c r="AF561" s="140"/>
      <c r="AG561" s="140"/>
      <c r="AH561" s="140"/>
      <c r="AI561" s="140"/>
      <c r="AJ561" s="140"/>
      <c r="AK561" s="140"/>
      <c r="AL561" s="140"/>
      <c r="AM561" s="140"/>
      <c r="AN561" s="140"/>
      <c r="AO561" s="140"/>
      <c r="AP561" s="140"/>
      <c r="AQ561" s="140"/>
      <c r="AR561" s="140"/>
      <c r="AS561" s="140"/>
      <c r="AT561" s="140"/>
      <c r="AU561" s="140"/>
      <c r="AV561" s="140"/>
      <c r="AW561" s="140"/>
      <c r="AX561" s="140"/>
      <c r="AY561" s="140"/>
      <c r="AZ561" s="140"/>
      <c r="BA561" s="140"/>
      <c r="BB561" s="140"/>
      <c r="BC561" s="140"/>
      <c r="BD561" s="140"/>
      <c r="BE561" s="140"/>
    </row>
    <row r="562">
      <c r="A562" s="108"/>
      <c r="B562" s="107"/>
      <c r="C562" s="107"/>
      <c r="D562" s="107"/>
      <c r="E562" s="107"/>
      <c r="F562" s="107"/>
      <c r="G562" s="208"/>
      <c r="H562" s="131"/>
      <c r="I562" s="211"/>
      <c r="J562" s="107"/>
      <c r="K562" s="202"/>
      <c r="L562" s="107"/>
      <c r="M562" s="107"/>
      <c r="N562" s="206"/>
      <c r="O562" s="108" t="b">
        <v>0</v>
      </c>
      <c r="P562" s="207"/>
      <c r="Q562" s="140"/>
      <c r="R562" s="140"/>
      <c r="S562" s="140"/>
      <c r="T562" s="140"/>
      <c r="U562" s="140"/>
      <c r="V562" s="140"/>
      <c r="W562" s="140"/>
      <c r="X562" s="140"/>
      <c r="Y562" s="140"/>
      <c r="Z562" s="140"/>
      <c r="AA562" s="140"/>
      <c r="AB562" s="140"/>
      <c r="AC562" s="140"/>
      <c r="AD562" s="140"/>
      <c r="AE562" s="140"/>
      <c r="AF562" s="140"/>
      <c r="AG562" s="140"/>
      <c r="AH562" s="140"/>
      <c r="AI562" s="140"/>
      <c r="AJ562" s="140"/>
      <c r="AK562" s="140"/>
      <c r="AL562" s="140"/>
      <c r="AM562" s="140"/>
      <c r="AN562" s="140"/>
      <c r="AO562" s="140"/>
      <c r="AP562" s="140"/>
      <c r="AQ562" s="140"/>
      <c r="AR562" s="140"/>
      <c r="AS562" s="140"/>
      <c r="AT562" s="140"/>
      <c r="AU562" s="140"/>
      <c r="AV562" s="140"/>
      <c r="AW562" s="140"/>
      <c r="AX562" s="140"/>
      <c r="AY562" s="140"/>
      <c r="AZ562" s="140"/>
      <c r="BA562" s="140"/>
      <c r="BB562" s="140"/>
      <c r="BC562" s="140"/>
      <c r="BD562" s="140"/>
      <c r="BE562" s="140"/>
    </row>
    <row r="563">
      <c r="A563" s="108"/>
      <c r="B563" s="107"/>
      <c r="C563" s="107"/>
      <c r="D563" s="107"/>
      <c r="E563" s="107"/>
      <c r="F563" s="107"/>
      <c r="G563" s="208"/>
      <c r="H563" s="131"/>
      <c r="I563" s="211"/>
      <c r="J563" s="107"/>
      <c r="K563" s="202"/>
      <c r="L563" s="107"/>
      <c r="M563" s="107"/>
      <c r="N563" s="206"/>
      <c r="O563" s="108" t="b">
        <v>0</v>
      </c>
      <c r="P563" s="207"/>
      <c r="Q563" s="140"/>
      <c r="R563" s="140"/>
      <c r="S563" s="140"/>
      <c r="T563" s="140"/>
      <c r="U563" s="140"/>
      <c r="V563" s="140"/>
      <c r="W563" s="140"/>
      <c r="X563" s="140"/>
      <c r="Y563" s="140"/>
      <c r="Z563" s="140"/>
      <c r="AA563" s="140"/>
      <c r="AB563" s="140"/>
      <c r="AC563" s="140"/>
      <c r="AD563" s="140"/>
      <c r="AE563" s="140"/>
      <c r="AF563" s="140"/>
      <c r="AG563" s="140"/>
      <c r="AH563" s="140"/>
      <c r="AI563" s="140"/>
      <c r="AJ563" s="140"/>
      <c r="AK563" s="140"/>
      <c r="AL563" s="140"/>
      <c r="AM563" s="140"/>
      <c r="AN563" s="140"/>
      <c r="AO563" s="140"/>
      <c r="AP563" s="140"/>
      <c r="AQ563" s="140"/>
      <c r="AR563" s="140"/>
      <c r="AS563" s="140"/>
      <c r="AT563" s="140"/>
      <c r="AU563" s="140"/>
      <c r="AV563" s="140"/>
      <c r="AW563" s="140"/>
      <c r="AX563" s="140"/>
      <c r="AY563" s="140"/>
      <c r="AZ563" s="140"/>
      <c r="BA563" s="140"/>
      <c r="BB563" s="140"/>
      <c r="BC563" s="140"/>
      <c r="BD563" s="140"/>
      <c r="BE563" s="140"/>
    </row>
    <row r="564">
      <c r="A564" s="108"/>
      <c r="B564" s="107"/>
      <c r="C564" s="107"/>
      <c r="D564" s="107"/>
      <c r="E564" s="107"/>
      <c r="F564" s="107"/>
      <c r="G564" s="208"/>
      <c r="H564" s="131"/>
      <c r="I564" s="211"/>
      <c r="J564" s="107"/>
      <c r="K564" s="202"/>
      <c r="L564" s="107"/>
      <c r="M564" s="107"/>
      <c r="N564" s="206"/>
      <c r="O564" s="108" t="b">
        <v>0</v>
      </c>
      <c r="P564" s="207"/>
      <c r="Q564" s="140"/>
      <c r="R564" s="140"/>
      <c r="S564" s="140"/>
      <c r="T564" s="140"/>
      <c r="U564" s="140"/>
      <c r="V564" s="140"/>
      <c r="W564" s="140"/>
      <c r="X564" s="140"/>
      <c r="Y564" s="140"/>
      <c r="Z564" s="140"/>
      <c r="AA564" s="140"/>
      <c r="AB564" s="140"/>
      <c r="AC564" s="140"/>
      <c r="AD564" s="140"/>
      <c r="AE564" s="140"/>
      <c r="AF564" s="140"/>
      <c r="AG564" s="140"/>
      <c r="AH564" s="140"/>
      <c r="AI564" s="140"/>
      <c r="AJ564" s="140"/>
      <c r="AK564" s="140"/>
      <c r="AL564" s="140"/>
      <c r="AM564" s="140"/>
      <c r="AN564" s="140"/>
      <c r="AO564" s="140"/>
      <c r="AP564" s="140"/>
      <c r="AQ564" s="140"/>
      <c r="AR564" s="140"/>
      <c r="AS564" s="140"/>
      <c r="AT564" s="140"/>
      <c r="AU564" s="140"/>
      <c r="AV564" s="140"/>
      <c r="AW564" s="140"/>
      <c r="AX564" s="140"/>
      <c r="AY564" s="140"/>
      <c r="AZ564" s="140"/>
      <c r="BA564" s="140"/>
      <c r="BB564" s="140"/>
      <c r="BC564" s="140"/>
      <c r="BD564" s="140"/>
      <c r="BE564" s="140"/>
    </row>
    <row r="565">
      <c r="A565" s="108"/>
      <c r="B565" s="107"/>
      <c r="C565" s="107"/>
      <c r="D565" s="107"/>
      <c r="E565" s="107"/>
      <c r="F565" s="107"/>
      <c r="G565" s="208"/>
      <c r="H565" s="131"/>
      <c r="I565" s="211"/>
      <c r="J565" s="107"/>
      <c r="K565" s="202"/>
      <c r="L565" s="107"/>
      <c r="M565" s="107"/>
      <c r="N565" s="206"/>
      <c r="O565" s="108" t="b">
        <v>0</v>
      </c>
      <c r="P565" s="207"/>
      <c r="Q565" s="140"/>
      <c r="R565" s="140"/>
      <c r="S565" s="140"/>
      <c r="T565" s="140"/>
      <c r="U565" s="140"/>
      <c r="V565" s="140"/>
      <c r="W565" s="140"/>
      <c r="X565" s="140"/>
      <c r="Y565" s="140"/>
      <c r="Z565" s="140"/>
      <c r="AA565" s="140"/>
      <c r="AB565" s="140"/>
      <c r="AC565" s="140"/>
      <c r="AD565" s="140"/>
      <c r="AE565" s="140"/>
      <c r="AF565" s="140"/>
      <c r="AG565" s="140"/>
      <c r="AH565" s="140"/>
      <c r="AI565" s="140"/>
      <c r="AJ565" s="140"/>
      <c r="AK565" s="140"/>
      <c r="AL565" s="140"/>
      <c r="AM565" s="140"/>
      <c r="AN565" s="140"/>
      <c r="AO565" s="140"/>
      <c r="AP565" s="140"/>
      <c r="AQ565" s="140"/>
      <c r="AR565" s="140"/>
      <c r="AS565" s="140"/>
      <c r="AT565" s="140"/>
      <c r="AU565" s="140"/>
      <c r="AV565" s="140"/>
      <c r="AW565" s="140"/>
      <c r="AX565" s="140"/>
      <c r="AY565" s="140"/>
      <c r="AZ565" s="140"/>
      <c r="BA565" s="140"/>
      <c r="BB565" s="140"/>
      <c r="BC565" s="140"/>
      <c r="BD565" s="140"/>
      <c r="BE565" s="140"/>
    </row>
    <row r="566">
      <c r="A566" s="108"/>
      <c r="B566" s="107"/>
      <c r="C566" s="107"/>
      <c r="D566" s="107"/>
      <c r="E566" s="107"/>
      <c r="F566" s="107"/>
      <c r="G566" s="208"/>
      <c r="H566" s="131"/>
      <c r="I566" s="211"/>
      <c r="J566" s="107"/>
      <c r="K566" s="202"/>
      <c r="L566" s="107"/>
      <c r="M566" s="107"/>
      <c r="N566" s="206"/>
      <c r="O566" s="108" t="b">
        <v>0</v>
      </c>
      <c r="P566" s="207"/>
      <c r="Q566" s="140"/>
      <c r="R566" s="140"/>
      <c r="S566" s="140"/>
      <c r="T566" s="140"/>
      <c r="U566" s="140"/>
      <c r="V566" s="140"/>
      <c r="W566" s="140"/>
      <c r="X566" s="140"/>
      <c r="Y566" s="140"/>
      <c r="Z566" s="140"/>
      <c r="AA566" s="140"/>
      <c r="AB566" s="140"/>
      <c r="AC566" s="140"/>
      <c r="AD566" s="140"/>
      <c r="AE566" s="140"/>
      <c r="AF566" s="140"/>
      <c r="AG566" s="140"/>
      <c r="AH566" s="140"/>
      <c r="AI566" s="140"/>
      <c r="AJ566" s="140"/>
      <c r="AK566" s="140"/>
      <c r="AL566" s="140"/>
      <c r="AM566" s="140"/>
      <c r="AN566" s="140"/>
      <c r="AO566" s="140"/>
      <c r="AP566" s="140"/>
      <c r="AQ566" s="140"/>
      <c r="AR566" s="140"/>
      <c r="AS566" s="140"/>
      <c r="AT566" s="140"/>
      <c r="AU566" s="140"/>
      <c r="AV566" s="140"/>
      <c r="AW566" s="140"/>
      <c r="AX566" s="140"/>
      <c r="AY566" s="140"/>
      <c r="AZ566" s="140"/>
      <c r="BA566" s="140"/>
      <c r="BB566" s="140"/>
      <c r="BC566" s="140"/>
      <c r="BD566" s="140"/>
      <c r="BE566" s="140"/>
    </row>
    <row r="567">
      <c r="A567" s="108"/>
      <c r="B567" s="107"/>
      <c r="C567" s="107"/>
      <c r="D567" s="107"/>
      <c r="E567" s="107"/>
      <c r="F567" s="107"/>
      <c r="G567" s="208"/>
      <c r="H567" s="131"/>
      <c r="I567" s="211"/>
      <c r="J567" s="107"/>
      <c r="K567" s="202"/>
      <c r="L567" s="107"/>
      <c r="M567" s="107"/>
      <c r="N567" s="206"/>
      <c r="O567" s="108" t="b">
        <v>0</v>
      </c>
      <c r="P567" s="207"/>
      <c r="Q567" s="140"/>
      <c r="R567" s="140"/>
      <c r="S567" s="140"/>
      <c r="T567" s="140"/>
      <c r="U567" s="140"/>
      <c r="V567" s="140"/>
      <c r="W567" s="140"/>
      <c r="X567" s="140"/>
      <c r="Y567" s="140"/>
      <c r="Z567" s="140"/>
      <c r="AA567" s="140"/>
      <c r="AB567" s="140"/>
      <c r="AC567" s="140"/>
      <c r="AD567" s="140"/>
      <c r="AE567" s="140"/>
      <c r="AF567" s="140"/>
      <c r="AG567" s="140"/>
      <c r="AH567" s="140"/>
      <c r="AI567" s="140"/>
      <c r="AJ567" s="140"/>
      <c r="AK567" s="140"/>
      <c r="AL567" s="140"/>
      <c r="AM567" s="140"/>
      <c r="AN567" s="140"/>
      <c r="AO567" s="140"/>
      <c r="AP567" s="140"/>
      <c r="AQ567" s="140"/>
      <c r="AR567" s="140"/>
      <c r="AS567" s="140"/>
      <c r="AT567" s="140"/>
      <c r="AU567" s="140"/>
      <c r="AV567" s="140"/>
      <c r="AW567" s="140"/>
      <c r="AX567" s="140"/>
      <c r="AY567" s="140"/>
      <c r="AZ567" s="140"/>
      <c r="BA567" s="140"/>
      <c r="BB567" s="140"/>
      <c r="BC567" s="140"/>
      <c r="BD567" s="140"/>
      <c r="BE567" s="140"/>
    </row>
    <row r="568">
      <c r="A568" s="108"/>
      <c r="B568" s="107"/>
      <c r="C568" s="107"/>
      <c r="D568" s="107"/>
      <c r="E568" s="107"/>
      <c r="F568" s="107"/>
      <c r="G568" s="208"/>
      <c r="H568" s="131"/>
      <c r="I568" s="211"/>
      <c r="J568" s="107"/>
      <c r="K568" s="202"/>
      <c r="L568" s="107"/>
      <c r="M568" s="107"/>
      <c r="N568" s="206"/>
      <c r="O568" s="108" t="b">
        <v>0</v>
      </c>
      <c r="P568" s="207"/>
      <c r="Q568" s="140"/>
      <c r="R568" s="140"/>
      <c r="S568" s="140"/>
      <c r="T568" s="140"/>
      <c r="U568" s="140"/>
      <c r="V568" s="140"/>
      <c r="W568" s="140"/>
      <c r="X568" s="140"/>
      <c r="Y568" s="140"/>
      <c r="Z568" s="140"/>
      <c r="AA568" s="140"/>
      <c r="AB568" s="140"/>
      <c r="AC568" s="140"/>
      <c r="AD568" s="140"/>
      <c r="AE568" s="140"/>
      <c r="AF568" s="140"/>
      <c r="AG568" s="140"/>
      <c r="AH568" s="140"/>
      <c r="AI568" s="140"/>
      <c r="AJ568" s="140"/>
      <c r="AK568" s="140"/>
      <c r="AL568" s="140"/>
      <c r="AM568" s="140"/>
      <c r="AN568" s="140"/>
      <c r="AO568" s="140"/>
      <c r="AP568" s="140"/>
      <c r="AQ568" s="140"/>
      <c r="AR568" s="140"/>
      <c r="AS568" s="140"/>
      <c r="AT568" s="140"/>
      <c r="AU568" s="140"/>
      <c r="AV568" s="140"/>
      <c r="AW568" s="140"/>
      <c r="AX568" s="140"/>
      <c r="AY568" s="140"/>
      <c r="AZ568" s="140"/>
      <c r="BA568" s="140"/>
      <c r="BB568" s="140"/>
      <c r="BC568" s="140"/>
      <c r="BD568" s="140"/>
      <c r="BE568" s="140"/>
    </row>
    <row r="569">
      <c r="A569" s="108"/>
      <c r="B569" s="107"/>
      <c r="C569" s="107"/>
      <c r="D569" s="107"/>
      <c r="E569" s="107"/>
      <c r="F569" s="107"/>
      <c r="G569" s="208"/>
      <c r="H569" s="131"/>
      <c r="I569" s="211"/>
      <c r="J569" s="107"/>
      <c r="K569" s="202"/>
      <c r="L569" s="107"/>
      <c r="M569" s="107"/>
      <c r="N569" s="206"/>
      <c r="O569" s="108" t="b">
        <v>0</v>
      </c>
      <c r="P569" s="207"/>
      <c r="Q569" s="140"/>
      <c r="R569" s="140"/>
      <c r="S569" s="140"/>
      <c r="T569" s="140"/>
      <c r="U569" s="140"/>
      <c r="V569" s="140"/>
      <c r="W569" s="140"/>
      <c r="X569" s="140"/>
      <c r="Y569" s="140"/>
      <c r="Z569" s="140"/>
      <c r="AA569" s="140"/>
      <c r="AB569" s="140"/>
      <c r="AC569" s="140"/>
      <c r="AD569" s="140"/>
      <c r="AE569" s="140"/>
      <c r="AF569" s="140"/>
      <c r="AG569" s="140"/>
      <c r="AH569" s="140"/>
      <c r="AI569" s="140"/>
      <c r="AJ569" s="140"/>
      <c r="AK569" s="140"/>
      <c r="AL569" s="140"/>
      <c r="AM569" s="140"/>
      <c r="AN569" s="140"/>
      <c r="AO569" s="140"/>
      <c r="AP569" s="140"/>
      <c r="AQ569" s="140"/>
      <c r="AR569" s="140"/>
      <c r="AS569" s="140"/>
      <c r="AT569" s="140"/>
      <c r="AU569" s="140"/>
      <c r="AV569" s="140"/>
      <c r="AW569" s="140"/>
      <c r="AX569" s="140"/>
      <c r="AY569" s="140"/>
      <c r="AZ569" s="140"/>
      <c r="BA569" s="140"/>
      <c r="BB569" s="140"/>
      <c r="BC569" s="140"/>
      <c r="BD569" s="140"/>
      <c r="BE569" s="140"/>
    </row>
    <row r="570">
      <c r="A570" s="108"/>
      <c r="B570" s="107"/>
      <c r="C570" s="107"/>
      <c r="D570" s="107"/>
      <c r="E570" s="107"/>
      <c r="F570" s="107"/>
      <c r="G570" s="208"/>
      <c r="H570" s="131"/>
      <c r="I570" s="211"/>
      <c r="J570" s="107"/>
      <c r="K570" s="202"/>
      <c r="L570" s="107"/>
      <c r="M570" s="107"/>
      <c r="N570" s="206"/>
      <c r="O570" s="108" t="b">
        <v>0</v>
      </c>
      <c r="P570" s="207"/>
      <c r="Q570" s="140"/>
      <c r="R570" s="140"/>
      <c r="S570" s="140"/>
      <c r="T570" s="140"/>
      <c r="U570" s="140"/>
      <c r="V570" s="140"/>
      <c r="W570" s="140"/>
      <c r="X570" s="140"/>
      <c r="Y570" s="140"/>
      <c r="Z570" s="140"/>
      <c r="AA570" s="140"/>
      <c r="AB570" s="140"/>
      <c r="AC570" s="140"/>
      <c r="AD570" s="140"/>
      <c r="AE570" s="140"/>
      <c r="AF570" s="140"/>
      <c r="AG570" s="140"/>
      <c r="AH570" s="140"/>
      <c r="AI570" s="140"/>
      <c r="AJ570" s="140"/>
      <c r="AK570" s="140"/>
      <c r="AL570" s="140"/>
      <c r="AM570" s="140"/>
      <c r="AN570" s="140"/>
      <c r="AO570" s="140"/>
      <c r="AP570" s="140"/>
      <c r="AQ570" s="140"/>
      <c r="AR570" s="140"/>
      <c r="AS570" s="140"/>
      <c r="AT570" s="140"/>
      <c r="AU570" s="140"/>
      <c r="AV570" s="140"/>
      <c r="AW570" s="140"/>
      <c r="AX570" s="140"/>
      <c r="AY570" s="140"/>
      <c r="AZ570" s="140"/>
      <c r="BA570" s="140"/>
      <c r="BB570" s="140"/>
      <c r="BC570" s="140"/>
      <c r="BD570" s="140"/>
      <c r="BE570" s="140"/>
    </row>
    <row r="571">
      <c r="A571" s="108"/>
      <c r="B571" s="107"/>
      <c r="C571" s="107"/>
      <c r="D571" s="107"/>
      <c r="E571" s="107"/>
      <c r="F571" s="107"/>
      <c r="G571" s="208"/>
      <c r="H571" s="131"/>
      <c r="I571" s="211"/>
      <c r="J571" s="107"/>
      <c r="K571" s="202"/>
      <c r="L571" s="107"/>
      <c r="M571" s="107"/>
      <c r="N571" s="206"/>
      <c r="O571" s="108" t="b">
        <v>0</v>
      </c>
      <c r="P571" s="207"/>
      <c r="Q571" s="140"/>
      <c r="R571" s="140"/>
      <c r="S571" s="140"/>
      <c r="T571" s="140"/>
      <c r="U571" s="140"/>
      <c r="V571" s="140"/>
      <c r="W571" s="140"/>
      <c r="X571" s="140"/>
      <c r="Y571" s="140"/>
      <c r="Z571" s="140"/>
      <c r="AA571" s="140"/>
      <c r="AB571" s="140"/>
      <c r="AC571" s="140"/>
      <c r="AD571" s="140"/>
      <c r="AE571" s="140"/>
      <c r="AF571" s="140"/>
      <c r="AG571" s="140"/>
      <c r="AH571" s="140"/>
      <c r="AI571" s="140"/>
      <c r="AJ571" s="140"/>
      <c r="AK571" s="140"/>
      <c r="AL571" s="140"/>
      <c r="AM571" s="140"/>
      <c r="AN571" s="140"/>
      <c r="AO571" s="140"/>
      <c r="AP571" s="140"/>
      <c r="AQ571" s="140"/>
      <c r="AR571" s="140"/>
      <c r="AS571" s="140"/>
      <c r="AT571" s="140"/>
      <c r="AU571" s="140"/>
      <c r="AV571" s="140"/>
      <c r="AW571" s="140"/>
      <c r="AX571" s="140"/>
      <c r="AY571" s="140"/>
      <c r="AZ571" s="140"/>
      <c r="BA571" s="140"/>
      <c r="BB571" s="140"/>
      <c r="BC571" s="140"/>
      <c r="BD571" s="140"/>
      <c r="BE571" s="140"/>
    </row>
    <row r="572">
      <c r="A572" s="108"/>
      <c r="B572" s="107"/>
      <c r="C572" s="107"/>
      <c r="D572" s="107"/>
      <c r="E572" s="107"/>
      <c r="F572" s="107"/>
      <c r="G572" s="208"/>
      <c r="H572" s="131"/>
      <c r="I572" s="211"/>
      <c r="J572" s="107"/>
      <c r="K572" s="202"/>
      <c r="L572" s="107"/>
      <c r="M572" s="107"/>
      <c r="N572" s="206"/>
      <c r="O572" s="108" t="b">
        <v>0</v>
      </c>
      <c r="P572" s="207"/>
      <c r="Q572" s="140"/>
      <c r="R572" s="140"/>
      <c r="S572" s="140"/>
      <c r="T572" s="140"/>
      <c r="U572" s="140"/>
      <c r="V572" s="140"/>
      <c r="W572" s="140"/>
      <c r="X572" s="140"/>
      <c r="Y572" s="140"/>
      <c r="Z572" s="140"/>
      <c r="AA572" s="140"/>
      <c r="AB572" s="140"/>
      <c r="AC572" s="140"/>
      <c r="AD572" s="140"/>
      <c r="AE572" s="140"/>
      <c r="AF572" s="140"/>
      <c r="AG572" s="140"/>
      <c r="AH572" s="140"/>
      <c r="AI572" s="140"/>
      <c r="AJ572" s="140"/>
      <c r="AK572" s="140"/>
      <c r="AL572" s="140"/>
      <c r="AM572" s="140"/>
      <c r="AN572" s="140"/>
      <c r="AO572" s="140"/>
      <c r="AP572" s="140"/>
      <c r="AQ572" s="140"/>
      <c r="AR572" s="140"/>
      <c r="AS572" s="140"/>
      <c r="AT572" s="140"/>
      <c r="AU572" s="140"/>
      <c r="AV572" s="140"/>
      <c r="AW572" s="140"/>
      <c r="AX572" s="140"/>
      <c r="AY572" s="140"/>
      <c r="AZ572" s="140"/>
      <c r="BA572" s="140"/>
      <c r="BB572" s="140"/>
      <c r="BC572" s="140"/>
      <c r="BD572" s="140"/>
      <c r="BE572" s="140"/>
    </row>
    <row r="573">
      <c r="A573" s="108"/>
      <c r="B573" s="107"/>
      <c r="C573" s="107"/>
      <c r="D573" s="107"/>
      <c r="E573" s="107"/>
      <c r="F573" s="107"/>
      <c r="G573" s="208"/>
      <c r="H573" s="131"/>
      <c r="I573" s="211"/>
      <c r="J573" s="107"/>
      <c r="K573" s="202"/>
      <c r="L573" s="107"/>
      <c r="M573" s="107"/>
      <c r="N573" s="206"/>
      <c r="O573" s="108" t="b">
        <v>0</v>
      </c>
      <c r="P573" s="207"/>
      <c r="Q573" s="140"/>
      <c r="R573" s="140"/>
      <c r="S573" s="140"/>
      <c r="T573" s="140"/>
      <c r="U573" s="140"/>
      <c r="V573" s="140"/>
      <c r="W573" s="140"/>
      <c r="X573" s="140"/>
      <c r="Y573" s="140"/>
      <c r="Z573" s="140"/>
      <c r="AA573" s="140"/>
      <c r="AB573" s="140"/>
      <c r="AC573" s="140"/>
      <c r="AD573" s="140"/>
      <c r="AE573" s="140"/>
      <c r="AF573" s="140"/>
      <c r="AG573" s="140"/>
      <c r="AH573" s="140"/>
      <c r="AI573" s="140"/>
      <c r="AJ573" s="140"/>
      <c r="AK573" s="140"/>
      <c r="AL573" s="140"/>
      <c r="AM573" s="140"/>
      <c r="AN573" s="140"/>
      <c r="AO573" s="140"/>
      <c r="AP573" s="140"/>
      <c r="AQ573" s="140"/>
      <c r="AR573" s="140"/>
      <c r="AS573" s="140"/>
      <c r="AT573" s="140"/>
      <c r="AU573" s="140"/>
      <c r="AV573" s="140"/>
      <c r="AW573" s="140"/>
      <c r="AX573" s="140"/>
      <c r="AY573" s="140"/>
      <c r="AZ573" s="140"/>
      <c r="BA573" s="140"/>
      <c r="BB573" s="140"/>
      <c r="BC573" s="140"/>
      <c r="BD573" s="140"/>
      <c r="BE573" s="140"/>
    </row>
    <row r="574">
      <c r="A574" s="108"/>
      <c r="B574" s="107"/>
      <c r="C574" s="107"/>
      <c r="D574" s="107"/>
      <c r="E574" s="107"/>
      <c r="F574" s="107"/>
      <c r="G574" s="208"/>
      <c r="H574" s="131"/>
      <c r="I574" s="211"/>
      <c r="J574" s="107"/>
      <c r="K574" s="202"/>
      <c r="L574" s="107"/>
      <c r="M574" s="107"/>
      <c r="N574" s="206"/>
      <c r="O574" s="108" t="b">
        <v>0</v>
      </c>
      <c r="P574" s="207"/>
      <c r="Q574" s="140"/>
      <c r="R574" s="140"/>
      <c r="S574" s="140"/>
      <c r="T574" s="140"/>
      <c r="U574" s="140"/>
      <c r="V574" s="140"/>
      <c r="W574" s="140"/>
      <c r="X574" s="140"/>
      <c r="Y574" s="140"/>
      <c r="Z574" s="140"/>
      <c r="AA574" s="140"/>
      <c r="AB574" s="140"/>
      <c r="AC574" s="140"/>
      <c r="AD574" s="140"/>
      <c r="AE574" s="140"/>
      <c r="AF574" s="140"/>
      <c r="AG574" s="140"/>
      <c r="AH574" s="140"/>
      <c r="AI574" s="140"/>
      <c r="AJ574" s="140"/>
      <c r="AK574" s="140"/>
      <c r="AL574" s="140"/>
      <c r="AM574" s="140"/>
      <c r="AN574" s="140"/>
      <c r="AO574" s="140"/>
      <c r="AP574" s="140"/>
      <c r="AQ574" s="140"/>
      <c r="AR574" s="140"/>
      <c r="AS574" s="140"/>
      <c r="AT574" s="140"/>
      <c r="AU574" s="140"/>
      <c r="AV574" s="140"/>
      <c r="AW574" s="140"/>
      <c r="AX574" s="140"/>
      <c r="AY574" s="140"/>
      <c r="AZ574" s="140"/>
      <c r="BA574" s="140"/>
      <c r="BB574" s="140"/>
      <c r="BC574" s="140"/>
      <c r="BD574" s="140"/>
      <c r="BE574" s="140"/>
    </row>
    <row r="575">
      <c r="A575" s="108"/>
      <c r="B575" s="107"/>
      <c r="C575" s="107"/>
      <c r="D575" s="107"/>
      <c r="E575" s="107"/>
      <c r="F575" s="107"/>
      <c r="G575" s="208"/>
      <c r="H575" s="131"/>
      <c r="I575" s="211"/>
      <c r="J575" s="107"/>
      <c r="K575" s="202"/>
      <c r="L575" s="107"/>
      <c r="M575" s="107"/>
      <c r="N575" s="206"/>
      <c r="O575" s="108" t="b">
        <v>0</v>
      </c>
      <c r="P575" s="207"/>
      <c r="Q575" s="140"/>
      <c r="R575" s="140"/>
      <c r="S575" s="140"/>
      <c r="T575" s="140"/>
      <c r="U575" s="140"/>
      <c r="V575" s="140"/>
      <c r="W575" s="140"/>
      <c r="X575" s="140"/>
      <c r="Y575" s="140"/>
      <c r="Z575" s="140"/>
      <c r="AA575" s="140"/>
      <c r="AB575" s="140"/>
      <c r="AC575" s="140"/>
      <c r="AD575" s="140"/>
      <c r="AE575" s="140"/>
      <c r="AF575" s="140"/>
      <c r="AG575" s="140"/>
      <c r="AH575" s="140"/>
      <c r="AI575" s="140"/>
      <c r="AJ575" s="140"/>
      <c r="AK575" s="140"/>
      <c r="AL575" s="140"/>
      <c r="AM575" s="140"/>
      <c r="AN575" s="140"/>
      <c r="AO575" s="140"/>
      <c r="AP575" s="140"/>
      <c r="AQ575" s="140"/>
      <c r="AR575" s="140"/>
      <c r="AS575" s="140"/>
      <c r="AT575" s="140"/>
      <c r="AU575" s="140"/>
      <c r="AV575" s="140"/>
      <c r="AW575" s="140"/>
      <c r="AX575" s="140"/>
      <c r="AY575" s="140"/>
      <c r="AZ575" s="140"/>
      <c r="BA575" s="140"/>
      <c r="BB575" s="140"/>
      <c r="BC575" s="140"/>
      <c r="BD575" s="140"/>
      <c r="BE575" s="140"/>
    </row>
    <row r="576">
      <c r="A576" s="108"/>
      <c r="B576" s="107"/>
      <c r="C576" s="107"/>
      <c r="D576" s="107"/>
      <c r="E576" s="107"/>
      <c r="F576" s="107"/>
      <c r="G576" s="208"/>
      <c r="H576" s="131"/>
      <c r="I576" s="211"/>
      <c r="J576" s="107"/>
      <c r="K576" s="202"/>
      <c r="L576" s="107"/>
      <c r="M576" s="107"/>
      <c r="N576" s="206"/>
      <c r="O576" s="108" t="b">
        <v>0</v>
      </c>
      <c r="P576" s="207"/>
      <c r="Q576" s="140"/>
      <c r="R576" s="140"/>
      <c r="S576" s="140"/>
      <c r="T576" s="140"/>
      <c r="U576" s="140"/>
      <c r="V576" s="140"/>
      <c r="W576" s="140"/>
      <c r="X576" s="140"/>
      <c r="Y576" s="140"/>
      <c r="Z576" s="140"/>
      <c r="AA576" s="140"/>
      <c r="AB576" s="140"/>
      <c r="AC576" s="140"/>
      <c r="AD576" s="140"/>
      <c r="AE576" s="140"/>
      <c r="AF576" s="140"/>
      <c r="AG576" s="140"/>
      <c r="AH576" s="140"/>
      <c r="AI576" s="140"/>
      <c r="AJ576" s="140"/>
      <c r="AK576" s="140"/>
      <c r="AL576" s="140"/>
      <c r="AM576" s="140"/>
      <c r="AN576" s="140"/>
      <c r="AO576" s="140"/>
      <c r="AP576" s="140"/>
      <c r="AQ576" s="140"/>
      <c r="AR576" s="140"/>
      <c r="AS576" s="140"/>
      <c r="AT576" s="140"/>
      <c r="AU576" s="140"/>
      <c r="AV576" s="140"/>
      <c r="AW576" s="140"/>
      <c r="AX576" s="140"/>
      <c r="AY576" s="140"/>
      <c r="AZ576" s="140"/>
      <c r="BA576" s="140"/>
      <c r="BB576" s="140"/>
      <c r="BC576" s="140"/>
      <c r="BD576" s="140"/>
      <c r="BE576" s="140"/>
    </row>
    <row r="577">
      <c r="A577" s="108"/>
      <c r="B577" s="107"/>
      <c r="C577" s="107"/>
      <c r="D577" s="107"/>
      <c r="E577" s="107"/>
      <c r="F577" s="107"/>
      <c r="G577" s="208"/>
      <c r="H577" s="131"/>
      <c r="I577" s="211"/>
      <c r="J577" s="107"/>
      <c r="K577" s="202"/>
      <c r="L577" s="107"/>
      <c r="M577" s="107"/>
      <c r="N577" s="206"/>
      <c r="O577" s="108" t="b">
        <v>0</v>
      </c>
      <c r="P577" s="207"/>
      <c r="Q577" s="140"/>
      <c r="R577" s="140"/>
      <c r="S577" s="140"/>
      <c r="T577" s="140"/>
      <c r="U577" s="140"/>
      <c r="V577" s="140"/>
      <c r="W577" s="140"/>
      <c r="X577" s="140"/>
      <c r="Y577" s="140"/>
      <c r="Z577" s="140"/>
      <c r="AA577" s="140"/>
      <c r="AB577" s="140"/>
      <c r="AC577" s="140"/>
      <c r="AD577" s="140"/>
      <c r="AE577" s="140"/>
      <c r="AF577" s="140"/>
      <c r="AG577" s="140"/>
      <c r="AH577" s="140"/>
      <c r="AI577" s="140"/>
      <c r="AJ577" s="140"/>
      <c r="AK577" s="140"/>
      <c r="AL577" s="140"/>
      <c r="AM577" s="140"/>
      <c r="AN577" s="140"/>
      <c r="AO577" s="140"/>
      <c r="AP577" s="140"/>
      <c r="AQ577" s="140"/>
      <c r="AR577" s="140"/>
      <c r="AS577" s="140"/>
      <c r="AT577" s="140"/>
      <c r="AU577" s="140"/>
      <c r="AV577" s="140"/>
      <c r="AW577" s="140"/>
      <c r="AX577" s="140"/>
      <c r="AY577" s="140"/>
      <c r="AZ577" s="140"/>
      <c r="BA577" s="140"/>
      <c r="BB577" s="140"/>
      <c r="BC577" s="140"/>
      <c r="BD577" s="140"/>
      <c r="BE577" s="140"/>
    </row>
    <row r="578">
      <c r="A578" s="108"/>
      <c r="B578" s="107"/>
      <c r="C578" s="107"/>
      <c r="D578" s="107"/>
      <c r="E578" s="107"/>
      <c r="F578" s="107"/>
      <c r="G578" s="208"/>
      <c r="H578" s="131"/>
      <c r="I578" s="211"/>
      <c r="J578" s="107"/>
      <c r="K578" s="202"/>
      <c r="L578" s="107"/>
      <c r="M578" s="107"/>
      <c r="N578" s="206"/>
      <c r="O578" s="108" t="b">
        <v>0</v>
      </c>
      <c r="P578" s="207"/>
      <c r="Q578" s="140"/>
      <c r="R578" s="140"/>
      <c r="S578" s="140"/>
      <c r="T578" s="140"/>
      <c r="U578" s="140"/>
      <c r="V578" s="140"/>
      <c r="W578" s="140"/>
      <c r="X578" s="140"/>
      <c r="Y578" s="140"/>
      <c r="Z578" s="140"/>
      <c r="AA578" s="140"/>
      <c r="AB578" s="140"/>
      <c r="AC578" s="140"/>
      <c r="AD578" s="140"/>
      <c r="AE578" s="140"/>
      <c r="AF578" s="140"/>
      <c r="AG578" s="140"/>
      <c r="AH578" s="140"/>
      <c r="AI578" s="140"/>
      <c r="AJ578" s="140"/>
      <c r="AK578" s="140"/>
      <c r="AL578" s="140"/>
      <c r="AM578" s="140"/>
      <c r="AN578" s="140"/>
      <c r="AO578" s="140"/>
      <c r="AP578" s="140"/>
      <c r="AQ578" s="140"/>
      <c r="AR578" s="140"/>
      <c r="AS578" s="140"/>
      <c r="AT578" s="140"/>
      <c r="AU578" s="140"/>
      <c r="AV578" s="140"/>
      <c r="AW578" s="140"/>
      <c r="AX578" s="140"/>
      <c r="AY578" s="140"/>
      <c r="AZ578" s="140"/>
      <c r="BA578" s="140"/>
      <c r="BB578" s="140"/>
      <c r="BC578" s="140"/>
      <c r="BD578" s="140"/>
      <c r="BE578" s="140"/>
    </row>
    <row r="579">
      <c r="A579" s="108"/>
      <c r="B579" s="107"/>
      <c r="C579" s="107"/>
      <c r="D579" s="107"/>
      <c r="E579" s="107"/>
      <c r="F579" s="107"/>
      <c r="G579" s="208"/>
      <c r="H579" s="131"/>
      <c r="I579" s="211"/>
      <c r="J579" s="107"/>
      <c r="K579" s="202"/>
      <c r="L579" s="107"/>
      <c r="M579" s="107"/>
      <c r="N579" s="206"/>
      <c r="O579" s="108" t="b">
        <v>0</v>
      </c>
      <c r="P579" s="207"/>
      <c r="Q579" s="140"/>
      <c r="R579" s="140"/>
      <c r="S579" s="140"/>
      <c r="T579" s="140"/>
      <c r="U579" s="140"/>
      <c r="V579" s="140"/>
      <c r="W579" s="140"/>
      <c r="X579" s="140"/>
      <c r="Y579" s="140"/>
      <c r="Z579" s="140"/>
      <c r="AA579" s="140"/>
      <c r="AB579" s="140"/>
      <c r="AC579" s="140"/>
      <c r="AD579" s="140"/>
      <c r="AE579" s="140"/>
      <c r="AF579" s="140"/>
      <c r="AG579" s="140"/>
      <c r="AH579" s="140"/>
      <c r="AI579" s="140"/>
      <c r="AJ579" s="140"/>
      <c r="AK579" s="140"/>
      <c r="AL579" s="140"/>
      <c r="AM579" s="140"/>
      <c r="AN579" s="140"/>
      <c r="AO579" s="140"/>
      <c r="AP579" s="140"/>
      <c r="AQ579" s="140"/>
      <c r="AR579" s="140"/>
      <c r="AS579" s="140"/>
      <c r="AT579" s="140"/>
      <c r="AU579" s="140"/>
      <c r="AV579" s="140"/>
      <c r="AW579" s="140"/>
      <c r="AX579" s="140"/>
      <c r="AY579" s="140"/>
      <c r="AZ579" s="140"/>
      <c r="BA579" s="140"/>
      <c r="BB579" s="140"/>
      <c r="BC579" s="140"/>
      <c r="BD579" s="140"/>
      <c r="BE579" s="140"/>
    </row>
    <row r="580">
      <c r="A580" s="108"/>
      <c r="B580" s="107"/>
      <c r="C580" s="107"/>
      <c r="D580" s="107"/>
      <c r="E580" s="107"/>
      <c r="F580" s="107"/>
      <c r="G580" s="208"/>
      <c r="H580" s="131"/>
      <c r="I580" s="211"/>
      <c r="J580" s="107"/>
      <c r="K580" s="202"/>
      <c r="L580" s="107"/>
      <c r="M580" s="107"/>
      <c r="N580" s="206"/>
      <c r="O580" s="108" t="b">
        <v>0</v>
      </c>
      <c r="P580" s="207"/>
      <c r="Q580" s="140"/>
      <c r="R580" s="140"/>
      <c r="S580" s="140"/>
      <c r="T580" s="140"/>
      <c r="U580" s="140"/>
      <c r="V580" s="140"/>
      <c r="W580" s="140"/>
      <c r="X580" s="140"/>
      <c r="Y580" s="140"/>
      <c r="Z580" s="140"/>
      <c r="AA580" s="140"/>
      <c r="AB580" s="140"/>
      <c r="AC580" s="140"/>
      <c r="AD580" s="140"/>
      <c r="AE580" s="140"/>
      <c r="AF580" s="140"/>
      <c r="AG580" s="140"/>
      <c r="AH580" s="140"/>
      <c r="AI580" s="140"/>
      <c r="AJ580" s="140"/>
      <c r="AK580" s="140"/>
      <c r="AL580" s="140"/>
      <c r="AM580" s="140"/>
      <c r="AN580" s="140"/>
      <c r="AO580" s="140"/>
      <c r="AP580" s="140"/>
      <c r="AQ580" s="140"/>
      <c r="AR580" s="140"/>
      <c r="AS580" s="140"/>
      <c r="AT580" s="140"/>
      <c r="AU580" s="140"/>
      <c r="AV580" s="140"/>
      <c r="AW580" s="140"/>
      <c r="AX580" s="140"/>
      <c r="AY580" s="140"/>
      <c r="AZ580" s="140"/>
      <c r="BA580" s="140"/>
      <c r="BB580" s="140"/>
      <c r="BC580" s="140"/>
      <c r="BD580" s="140"/>
      <c r="BE580" s="140"/>
    </row>
    <row r="581">
      <c r="A581" s="108"/>
      <c r="B581" s="107"/>
      <c r="C581" s="107"/>
      <c r="D581" s="107"/>
      <c r="E581" s="107"/>
      <c r="F581" s="107"/>
      <c r="G581" s="208"/>
      <c r="H581" s="131"/>
      <c r="I581" s="211"/>
      <c r="J581" s="107"/>
      <c r="K581" s="202"/>
      <c r="L581" s="107"/>
      <c r="M581" s="107"/>
      <c r="N581" s="206"/>
      <c r="O581" s="108" t="b">
        <v>0</v>
      </c>
      <c r="P581" s="207"/>
      <c r="Q581" s="140"/>
      <c r="R581" s="140"/>
      <c r="S581" s="140"/>
      <c r="T581" s="140"/>
      <c r="U581" s="140"/>
      <c r="V581" s="140"/>
      <c r="W581" s="140"/>
      <c r="X581" s="140"/>
      <c r="Y581" s="140"/>
      <c r="Z581" s="140"/>
      <c r="AA581" s="140"/>
      <c r="AB581" s="140"/>
      <c r="AC581" s="140"/>
      <c r="AD581" s="140"/>
      <c r="AE581" s="140"/>
      <c r="AF581" s="140"/>
      <c r="AG581" s="140"/>
      <c r="AH581" s="140"/>
      <c r="AI581" s="140"/>
      <c r="AJ581" s="140"/>
      <c r="AK581" s="140"/>
      <c r="AL581" s="140"/>
      <c r="AM581" s="140"/>
      <c r="AN581" s="140"/>
      <c r="AO581" s="140"/>
      <c r="AP581" s="140"/>
      <c r="AQ581" s="140"/>
      <c r="AR581" s="140"/>
      <c r="AS581" s="140"/>
      <c r="AT581" s="140"/>
      <c r="AU581" s="140"/>
      <c r="AV581" s="140"/>
      <c r="AW581" s="140"/>
      <c r="AX581" s="140"/>
      <c r="AY581" s="140"/>
      <c r="AZ581" s="140"/>
      <c r="BA581" s="140"/>
      <c r="BB581" s="140"/>
      <c r="BC581" s="140"/>
      <c r="BD581" s="140"/>
      <c r="BE581" s="140"/>
    </row>
    <row r="582">
      <c r="A582" s="108"/>
      <c r="B582" s="107"/>
      <c r="C582" s="107"/>
      <c r="D582" s="107"/>
      <c r="E582" s="107"/>
      <c r="F582" s="107"/>
      <c r="G582" s="208"/>
      <c r="H582" s="131"/>
      <c r="I582" s="211"/>
      <c r="J582" s="107"/>
      <c r="K582" s="202"/>
      <c r="L582" s="107"/>
      <c r="M582" s="107"/>
      <c r="N582" s="206"/>
      <c r="O582" s="108" t="b">
        <v>0</v>
      </c>
      <c r="P582" s="207"/>
      <c r="Q582" s="140"/>
      <c r="R582" s="140"/>
      <c r="S582" s="140"/>
      <c r="T582" s="140"/>
      <c r="U582" s="140"/>
      <c r="V582" s="140"/>
      <c r="W582" s="140"/>
      <c r="X582" s="140"/>
      <c r="Y582" s="140"/>
      <c r="Z582" s="140"/>
      <c r="AA582" s="140"/>
      <c r="AB582" s="140"/>
      <c r="AC582" s="140"/>
      <c r="AD582" s="140"/>
      <c r="AE582" s="140"/>
      <c r="AF582" s="140"/>
      <c r="AG582" s="140"/>
      <c r="AH582" s="140"/>
      <c r="AI582" s="140"/>
      <c r="AJ582" s="140"/>
      <c r="AK582" s="140"/>
      <c r="AL582" s="140"/>
      <c r="AM582" s="140"/>
      <c r="AN582" s="140"/>
      <c r="AO582" s="140"/>
      <c r="AP582" s="140"/>
      <c r="AQ582" s="140"/>
      <c r="AR582" s="140"/>
      <c r="AS582" s="140"/>
      <c r="AT582" s="140"/>
      <c r="AU582" s="140"/>
      <c r="AV582" s="140"/>
      <c r="AW582" s="140"/>
      <c r="AX582" s="140"/>
      <c r="AY582" s="140"/>
      <c r="AZ582" s="140"/>
      <c r="BA582" s="140"/>
      <c r="BB582" s="140"/>
      <c r="BC582" s="140"/>
      <c r="BD582" s="140"/>
      <c r="BE582" s="140"/>
    </row>
    <row r="583">
      <c r="A583" s="108"/>
      <c r="B583" s="107"/>
      <c r="C583" s="107"/>
      <c r="D583" s="107"/>
      <c r="E583" s="107"/>
      <c r="F583" s="107"/>
      <c r="G583" s="208"/>
      <c r="H583" s="131"/>
      <c r="I583" s="211"/>
      <c r="J583" s="107"/>
      <c r="K583" s="202"/>
      <c r="L583" s="107"/>
      <c r="M583" s="107"/>
      <c r="N583" s="206"/>
      <c r="O583" s="108" t="b">
        <v>0</v>
      </c>
      <c r="P583" s="207"/>
      <c r="Q583" s="140"/>
      <c r="R583" s="140"/>
      <c r="S583" s="140"/>
      <c r="T583" s="140"/>
      <c r="U583" s="140"/>
      <c r="V583" s="140"/>
      <c r="W583" s="140"/>
      <c r="X583" s="140"/>
      <c r="Y583" s="140"/>
      <c r="Z583" s="140"/>
      <c r="AA583" s="140"/>
      <c r="AB583" s="140"/>
      <c r="AC583" s="140"/>
      <c r="AD583" s="140"/>
      <c r="AE583" s="140"/>
      <c r="AF583" s="140"/>
      <c r="AG583" s="140"/>
      <c r="AH583" s="140"/>
      <c r="AI583" s="140"/>
      <c r="AJ583" s="140"/>
      <c r="AK583" s="140"/>
      <c r="AL583" s="140"/>
      <c r="AM583" s="140"/>
      <c r="AN583" s="140"/>
      <c r="AO583" s="140"/>
      <c r="AP583" s="140"/>
      <c r="AQ583" s="140"/>
      <c r="AR583" s="140"/>
      <c r="AS583" s="140"/>
      <c r="AT583" s="140"/>
      <c r="AU583" s="140"/>
      <c r="AV583" s="140"/>
      <c r="AW583" s="140"/>
      <c r="AX583" s="140"/>
      <c r="AY583" s="140"/>
      <c r="AZ583" s="140"/>
      <c r="BA583" s="140"/>
      <c r="BB583" s="140"/>
      <c r="BC583" s="140"/>
      <c r="BD583" s="140"/>
      <c r="BE583" s="140"/>
    </row>
    <row r="584">
      <c r="A584" s="108"/>
      <c r="B584" s="107"/>
      <c r="C584" s="107"/>
      <c r="D584" s="107"/>
      <c r="E584" s="107"/>
      <c r="F584" s="107"/>
      <c r="G584" s="208"/>
      <c r="H584" s="131"/>
      <c r="I584" s="211"/>
      <c r="J584" s="107"/>
      <c r="K584" s="202"/>
      <c r="L584" s="107"/>
      <c r="M584" s="107"/>
      <c r="N584" s="206"/>
      <c r="O584" s="108" t="b">
        <v>0</v>
      </c>
      <c r="P584" s="207"/>
      <c r="Q584" s="140"/>
      <c r="R584" s="140"/>
      <c r="S584" s="140"/>
      <c r="T584" s="140"/>
      <c r="U584" s="140"/>
      <c r="V584" s="140"/>
      <c r="W584" s="140"/>
      <c r="X584" s="140"/>
      <c r="Y584" s="140"/>
      <c r="Z584" s="140"/>
      <c r="AA584" s="140"/>
      <c r="AB584" s="140"/>
      <c r="AC584" s="140"/>
      <c r="AD584" s="140"/>
      <c r="AE584" s="140"/>
      <c r="AF584" s="140"/>
      <c r="AG584" s="140"/>
      <c r="AH584" s="140"/>
      <c r="AI584" s="140"/>
      <c r="AJ584" s="140"/>
      <c r="AK584" s="140"/>
      <c r="AL584" s="140"/>
      <c r="AM584" s="140"/>
      <c r="AN584" s="140"/>
      <c r="AO584" s="140"/>
      <c r="AP584" s="140"/>
      <c r="AQ584" s="140"/>
      <c r="AR584" s="140"/>
      <c r="AS584" s="140"/>
      <c r="AT584" s="140"/>
      <c r="AU584" s="140"/>
      <c r="AV584" s="140"/>
      <c r="AW584" s="140"/>
      <c r="AX584" s="140"/>
      <c r="AY584" s="140"/>
      <c r="AZ584" s="140"/>
      <c r="BA584" s="140"/>
      <c r="BB584" s="140"/>
      <c r="BC584" s="140"/>
      <c r="BD584" s="140"/>
      <c r="BE584" s="140"/>
    </row>
    <row r="585">
      <c r="A585" s="108"/>
      <c r="B585" s="107"/>
      <c r="C585" s="107"/>
      <c r="D585" s="107"/>
      <c r="E585" s="107"/>
      <c r="F585" s="107"/>
      <c r="G585" s="208"/>
      <c r="H585" s="131"/>
      <c r="I585" s="211"/>
      <c r="J585" s="107"/>
      <c r="K585" s="202"/>
      <c r="L585" s="107"/>
      <c r="M585" s="107"/>
      <c r="N585" s="206"/>
      <c r="O585" s="108" t="b">
        <v>0</v>
      </c>
      <c r="P585" s="207"/>
      <c r="Q585" s="140"/>
      <c r="R585" s="140"/>
      <c r="S585" s="140"/>
      <c r="T585" s="140"/>
      <c r="U585" s="140"/>
      <c r="V585" s="140"/>
      <c r="W585" s="140"/>
      <c r="X585" s="140"/>
      <c r="Y585" s="140"/>
      <c r="Z585" s="140"/>
      <c r="AA585" s="140"/>
      <c r="AB585" s="140"/>
      <c r="AC585" s="140"/>
      <c r="AD585" s="140"/>
      <c r="AE585" s="140"/>
      <c r="AF585" s="140"/>
      <c r="AG585" s="140"/>
      <c r="AH585" s="140"/>
      <c r="AI585" s="140"/>
      <c r="AJ585" s="140"/>
      <c r="AK585" s="140"/>
      <c r="AL585" s="140"/>
      <c r="AM585" s="140"/>
      <c r="AN585" s="140"/>
      <c r="AO585" s="140"/>
      <c r="AP585" s="140"/>
      <c r="AQ585" s="140"/>
      <c r="AR585" s="140"/>
      <c r="AS585" s="140"/>
      <c r="AT585" s="140"/>
      <c r="AU585" s="140"/>
      <c r="AV585" s="140"/>
      <c r="AW585" s="140"/>
      <c r="AX585" s="140"/>
      <c r="AY585" s="140"/>
      <c r="AZ585" s="140"/>
      <c r="BA585" s="140"/>
      <c r="BB585" s="140"/>
      <c r="BC585" s="140"/>
      <c r="BD585" s="140"/>
      <c r="BE585" s="140"/>
    </row>
    <row r="586">
      <c r="A586" s="108"/>
      <c r="B586" s="107"/>
      <c r="C586" s="107"/>
      <c r="D586" s="107"/>
      <c r="E586" s="107"/>
      <c r="F586" s="107"/>
      <c r="G586" s="208"/>
      <c r="H586" s="131"/>
      <c r="I586" s="211"/>
      <c r="J586" s="107"/>
      <c r="K586" s="202"/>
      <c r="L586" s="107"/>
      <c r="M586" s="107"/>
      <c r="N586" s="206"/>
      <c r="O586" s="108" t="b">
        <v>0</v>
      </c>
      <c r="P586" s="207"/>
      <c r="Q586" s="140"/>
      <c r="R586" s="140"/>
      <c r="S586" s="140"/>
      <c r="T586" s="140"/>
      <c r="U586" s="140"/>
      <c r="V586" s="140"/>
      <c r="W586" s="140"/>
      <c r="X586" s="140"/>
      <c r="Y586" s="140"/>
      <c r="Z586" s="140"/>
      <c r="AA586" s="140"/>
      <c r="AB586" s="140"/>
      <c r="AC586" s="140"/>
      <c r="AD586" s="140"/>
      <c r="AE586" s="140"/>
      <c r="AF586" s="140"/>
      <c r="AG586" s="140"/>
      <c r="AH586" s="140"/>
      <c r="AI586" s="140"/>
      <c r="AJ586" s="140"/>
      <c r="AK586" s="140"/>
      <c r="AL586" s="140"/>
      <c r="AM586" s="140"/>
      <c r="AN586" s="140"/>
      <c r="AO586" s="140"/>
      <c r="AP586" s="140"/>
      <c r="AQ586" s="140"/>
      <c r="AR586" s="140"/>
      <c r="AS586" s="140"/>
      <c r="AT586" s="140"/>
      <c r="AU586" s="140"/>
      <c r="AV586" s="140"/>
      <c r="AW586" s="140"/>
      <c r="AX586" s="140"/>
      <c r="AY586" s="140"/>
      <c r="AZ586" s="140"/>
      <c r="BA586" s="140"/>
      <c r="BB586" s="140"/>
      <c r="BC586" s="140"/>
      <c r="BD586" s="140"/>
      <c r="BE586" s="140"/>
    </row>
    <row r="587">
      <c r="A587" s="108"/>
      <c r="B587" s="107"/>
      <c r="C587" s="107"/>
      <c r="D587" s="107"/>
      <c r="E587" s="107"/>
      <c r="F587" s="107"/>
      <c r="G587" s="208"/>
      <c r="H587" s="131"/>
      <c r="I587" s="211"/>
      <c r="J587" s="107"/>
      <c r="K587" s="202"/>
      <c r="L587" s="107"/>
      <c r="M587" s="107"/>
      <c r="N587" s="206"/>
      <c r="O587" s="108" t="b">
        <v>0</v>
      </c>
      <c r="P587" s="207"/>
      <c r="Q587" s="140"/>
      <c r="R587" s="140"/>
      <c r="S587" s="140"/>
      <c r="T587" s="140"/>
      <c r="U587" s="140"/>
      <c r="V587" s="140"/>
      <c r="W587" s="140"/>
      <c r="X587" s="140"/>
      <c r="Y587" s="140"/>
      <c r="Z587" s="140"/>
      <c r="AA587" s="140"/>
      <c r="AB587" s="140"/>
      <c r="AC587" s="140"/>
      <c r="AD587" s="140"/>
      <c r="AE587" s="140"/>
      <c r="AF587" s="140"/>
      <c r="AG587" s="140"/>
      <c r="AH587" s="140"/>
      <c r="AI587" s="140"/>
      <c r="AJ587" s="140"/>
      <c r="AK587" s="140"/>
      <c r="AL587" s="140"/>
      <c r="AM587" s="140"/>
      <c r="AN587" s="140"/>
      <c r="AO587" s="140"/>
      <c r="AP587" s="140"/>
      <c r="AQ587" s="140"/>
      <c r="AR587" s="140"/>
      <c r="AS587" s="140"/>
      <c r="AT587" s="140"/>
      <c r="AU587" s="140"/>
      <c r="AV587" s="140"/>
      <c r="AW587" s="140"/>
      <c r="AX587" s="140"/>
      <c r="AY587" s="140"/>
      <c r="AZ587" s="140"/>
      <c r="BA587" s="140"/>
      <c r="BB587" s="140"/>
      <c r="BC587" s="140"/>
      <c r="BD587" s="140"/>
      <c r="BE587" s="140"/>
    </row>
    <row r="588">
      <c r="A588" s="108"/>
      <c r="B588" s="107"/>
      <c r="C588" s="107"/>
      <c r="D588" s="107"/>
      <c r="E588" s="107"/>
      <c r="F588" s="107"/>
      <c r="G588" s="208"/>
      <c r="H588" s="131"/>
      <c r="I588" s="211"/>
      <c r="J588" s="107"/>
      <c r="K588" s="202"/>
      <c r="L588" s="107"/>
      <c r="M588" s="107"/>
      <c r="N588" s="206"/>
      <c r="O588" s="108" t="b">
        <v>0</v>
      </c>
      <c r="P588" s="207"/>
      <c r="Q588" s="140"/>
      <c r="R588" s="140"/>
      <c r="S588" s="140"/>
      <c r="T588" s="140"/>
      <c r="U588" s="140"/>
      <c r="V588" s="140"/>
      <c r="W588" s="140"/>
      <c r="X588" s="140"/>
      <c r="Y588" s="140"/>
      <c r="Z588" s="140"/>
      <c r="AA588" s="140"/>
      <c r="AB588" s="140"/>
      <c r="AC588" s="140"/>
      <c r="AD588" s="140"/>
      <c r="AE588" s="140"/>
      <c r="AF588" s="140"/>
      <c r="AG588" s="140"/>
      <c r="AH588" s="140"/>
      <c r="AI588" s="140"/>
      <c r="AJ588" s="140"/>
      <c r="AK588" s="140"/>
      <c r="AL588" s="140"/>
      <c r="AM588" s="140"/>
      <c r="AN588" s="140"/>
      <c r="AO588" s="140"/>
      <c r="AP588" s="140"/>
      <c r="AQ588" s="140"/>
      <c r="AR588" s="140"/>
      <c r="AS588" s="140"/>
      <c r="AT588" s="140"/>
      <c r="AU588" s="140"/>
      <c r="AV588" s="140"/>
      <c r="AW588" s="140"/>
      <c r="AX588" s="140"/>
      <c r="AY588" s="140"/>
      <c r="AZ588" s="140"/>
      <c r="BA588" s="140"/>
      <c r="BB588" s="140"/>
      <c r="BC588" s="140"/>
      <c r="BD588" s="140"/>
      <c r="BE588" s="140"/>
    </row>
    <row r="589">
      <c r="A589" s="108"/>
      <c r="B589" s="107"/>
      <c r="C589" s="107"/>
      <c r="D589" s="107"/>
      <c r="E589" s="107"/>
      <c r="F589" s="107"/>
      <c r="G589" s="208"/>
      <c r="H589" s="131"/>
      <c r="I589" s="211"/>
      <c r="J589" s="107"/>
      <c r="K589" s="202"/>
      <c r="L589" s="107"/>
      <c r="M589" s="107"/>
      <c r="N589" s="206"/>
      <c r="O589" s="108" t="b">
        <v>0</v>
      </c>
      <c r="P589" s="207"/>
      <c r="Q589" s="140"/>
      <c r="R589" s="140"/>
      <c r="S589" s="140"/>
      <c r="T589" s="140"/>
      <c r="U589" s="140"/>
      <c r="V589" s="140"/>
      <c r="W589" s="140"/>
      <c r="X589" s="140"/>
      <c r="Y589" s="140"/>
      <c r="Z589" s="140"/>
      <c r="AA589" s="140"/>
      <c r="AB589" s="140"/>
      <c r="AC589" s="140"/>
      <c r="AD589" s="140"/>
      <c r="AE589" s="140"/>
      <c r="AF589" s="140"/>
      <c r="AG589" s="140"/>
      <c r="AH589" s="140"/>
      <c r="AI589" s="140"/>
      <c r="AJ589" s="140"/>
      <c r="AK589" s="140"/>
      <c r="AL589" s="140"/>
      <c r="AM589" s="140"/>
      <c r="AN589" s="140"/>
      <c r="AO589" s="140"/>
      <c r="AP589" s="140"/>
      <c r="AQ589" s="140"/>
      <c r="AR589" s="140"/>
      <c r="AS589" s="140"/>
      <c r="AT589" s="140"/>
      <c r="AU589" s="140"/>
      <c r="AV589" s="140"/>
      <c r="AW589" s="140"/>
      <c r="AX589" s="140"/>
      <c r="AY589" s="140"/>
      <c r="AZ589" s="140"/>
      <c r="BA589" s="140"/>
      <c r="BB589" s="140"/>
      <c r="BC589" s="140"/>
      <c r="BD589" s="140"/>
      <c r="BE589" s="140"/>
    </row>
    <row r="590">
      <c r="A590" s="108"/>
      <c r="B590" s="107"/>
      <c r="C590" s="107"/>
      <c r="D590" s="107"/>
      <c r="E590" s="107"/>
      <c r="F590" s="107"/>
      <c r="G590" s="208"/>
      <c r="H590" s="131"/>
      <c r="I590" s="211"/>
      <c r="J590" s="107"/>
      <c r="K590" s="202"/>
      <c r="L590" s="107"/>
      <c r="M590" s="107"/>
      <c r="N590" s="206"/>
      <c r="O590" s="108" t="b">
        <v>0</v>
      </c>
      <c r="P590" s="207"/>
      <c r="Q590" s="140"/>
      <c r="R590" s="140"/>
      <c r="S590" s="140"/>
      <c r="T590" s="140"/>
      <c r="U590" s="140"/>
      <c r="V590" s="140"/>
      <c r="W590" s="140"/>
      <c r="X590" s="140"/>
      <c r="Y590" s="140"/>
      <c r="Z590" s="140"/>
      <c r="AA590" s="140"/>
      <c r="AB590" s="140"/>
      <c r="AC590" s="140"/>
      <c r="AD590" s="140"/>
      <c r="AE590" s="140"/>
      <c r="AF590" s="140"/>
      <c r="AG590" s="140"/>
      <c r="AH590" s="140"/>
      <c r="AI590" s="140"/>
      <c r="AJ590" s="140"/>
      <c r="AK590" s="140"/>
      <c r="AL590" s="140"/>
      <c r="AM590" s="140"/>
      <c r="AN590" s="140"/>
      <c r="AO590" s="140"/>
      <c r="AP590" s="140"/>
      <c r="AQ590" s="140"/>
      <c r="AR590" s="140"/>
      <c r="AS590" s="140"/>
      <c r="AT590" s="140"/>
      <c r="AU590" s="140"/>
      <c r="AV590" s="140"/>
      <c r="AW590" s="140"/>
      <c r="AX590" s="140"/>
      <c r="AY590" s="140"/>
      <c r="AZ590" s="140"/>
      <c r="BA590" s="140"/>
      <c r="BB590" s="140"/>
      <c r="BC590" s="140"/>
      <c r="BD590" s="140"/>
      <c r="BE590" s="140"/>
    </row>
    <row r="591">
      <c r="A591" s="108"/>
      <c r="B591" s="107"/>
      <c r="C591" s="107"/>
      <c r="D591" s="107"/>
      <c r="E591" s="107"/>
      <c r="F591" s="107"/>
      <c r="G591" s="208"/>
      <c r="H591" s="131"/>
      <c r="I591" s="211"/>
      <c r="J591" s="107"/>
      <c r="K591" s="202"/>
      <c r="L591" s="107"/>
      <c r="M591" s="107"/>
      <c r="N591" s="206"/>
      <c r="O591" s="108" t="b">
        <v>0</v>
      </c>
      <c r="P591" s="207"/>
      <c r="Q591" s="140"/>
      <c r="R591" s="140"/>
      <c r="S591" s="140"/>
      <c r="T591" s="140"/>
      <c r="U591" s="140"/>
      <c r="V591" s="140"/>
      <c r="W591" s="140"/>
      <c r="X591" s="140"/>
      <c r="Y591" s="140"/>
      <c r="Z591" s="140"/>
      <c r="AA591" s="140"/>
      <c r="AB591" s="140"/>
      <c r="AC591" s="140"/>
      <c r="AD591" s="140"/>
      <c r="AE591" s="140"/>
      <c r="AF591" s="140"/>
      <c r="AG591" s="140"/>
      <c r="AH591" s="140"/>
      <c r="AI591" s="140"/>
      <c r="AJ591" s="140"/>
      <c r="AK591" s="140"/>
      <c r="AL591" s="140"/>
      <c r="AM591" s="140"/>
      <c r="AN591" s="140"/>
      <c r="AO591" s="140"/>
      <c r="AP591" s="140"/>
      <c r="AQ591" s="140"/>
      <c r="AR591" s="140"/>
      <c r="AS591" s="140"/>
      <c r="AT591" s="140"/>
      <c r="AU591" s="140"/>
      <c r="AV591" s="140"/>
      <c r="AW591" s="140"/>
      <c r="AX591" s="140"/>
      <c r="AY591" s="140"/>
      <c r="AZ591" s="140"/>
      <c r="BA591" s="140"/>
      <c r="BB591" s="140"/>
      <c r="BC591" s="140"/>
      <c r="BD591" s="140"/>
      <c r="BE591" s="140"/>
    </row>
    <row r="592">
      <c r="A592" s="108"/>
      <c r="B592" s="107"/>
      <c r="C592" s="107"/>
      <c r="D592" s="107"/>
      <c r="E592" s="107"/>
      <c r="F592" s="107"/>
      <c r="G592" s="208"/>
      <c r="H592" s="131"/>
      <c r="I592" s="211"/>
      <c r="J592" s="107"/>
      <c r="K592" s="202"/>
      <c r="L592" s="107"/>
      <c r="M592" s="107"/>
      <c r="N592" s="206"/>
      <c r="O592" s="108" t="b">
        <v>0</v>
      </c>
      <c r="P592" s="207"/>
      <c r="Q592" s="140"/>
      <c r="R592" s="140"/>
      <c r="S592" s="140"/>
      <c r="T592" s="140"/>
      <c r="U592" s="140"/>
      <c r="V592" s="140"/>
      <c r="W592" s="140"/>
      <c r="X592" s="140"/>
      <c r="Y592" s="140"/>
      <c r="Z592" s="140"/>
      <c r="AA592" s="140"/>
      <c r="AB592" s="140"/>
      <c r="AC592" s="140"/>
      <c r="AD592" s="140"/>
      <c r="AE592" s="140"/>
      <c r="AF592" s="140"/>
      <c r="AG592" s="140"/>
      <c r="AH592" s="140"/>
      <c r="AI592" s="140"/>
      <c r="AJ592" s="140"/>
      <c r="AK592" s="140"/>
      <c r="AL592" s="140"/>
      <c r="AM592" s="140"/>
      <c r="AN592" s="140"/>
      <c r="AO592" s="140"/>
      <c r="AP592" s="140"/>
      <c r="AQ592" s="140"/>
      <c r="AR592" s="140"/>
      <c r="AS592" s="140"/>
      <c r="AT592" s="140"/>
      <c r="AU592" s="140"/>
      <c r="AV592" s="140"/>
      <c r="AW592" s="140"/>
      <c r="AX592" s="140"/>
      <c r="AY592" s="140"/>
      <c r="AZ592" s="140"/>
      <c r="BA592" s="140"/>
      <c r="BB592" s="140"/>
      <c r="BC592" s="140"/>
      <c r="BD592" s="140"/>
      <c r="BE592" s="140"/>
    </row>
    <row r="593">
      <c r="A593" s="108"/>
      <c r="B593" s="107"/>
      <c r="C593" s="107"/>
      <c r="D593" s="107"/>
      <c r="E593" s="107"/>
      <c r="F593" s="107"/>
      <c r="G593" s="208"/>
      <c r="H593" s="131"/>
      <c r="I593" s="211"/>
      <c r="J593" s="107"/>
      <c r="K593" s="202"/>
      <c r="L593" s="107"/>
      <c r="M593" s="107"/>
      <c r="N593" s="206"/>
      <c r="O593" s="108" t="b">
        <v>0</v>
      </c>
      <c r="P593" s="207"/>
      <c r="Q593" s="140"/>
      <c r="R593" s="140"/>
      <c r="S593" s="140"/>
      <c r="T593" s="140"/>
      <c r="U593" s="140"/>
      <c r="V593" s="140"/>
      <c r="W593" s="140"/>
      <c r="X593" s="140"/>
      <c r="Y593" s="140"/>
      <c r="Z593" s="140"/>
      <c r="AA593" s="140"/>
      <c r="AB593" s="140"/>
      <c r="AC593" s="140"/>
      <c r="AD593" s="140"/>
      <c r="AE593" s="140"/>
      <c r="AF593" s="140"/>
      <c r="AG593" s="140"/>
      <c r="AH593" s="140"/>
      <c r="AI593" s="140"/>
      <c r="AJ593" s="140"/>
      <c r="AK593" s="140"/>
      <c r="AL593" s="140"/>
      <c r="AM593" s="140"/>
      <c r="AN593" s="140"/>
      <c r="AO593" s="140"/>
      <c r="AP593" s="140"/>
      <c r="AQ593" s="140"/>
      <c r="AR593" s="140"/>
      <c r="AS593" s="140"/>
      <c r="AT593" s="140"/>
      <c r="AU593" s="140"/>
      <c r="AV593" s="140"/>
      <c r="AW593" s="140"/>
      <c r="AX593" s="140"/>
      <c r="AY593" s="140"/>
      <c r="AZ593" s="140"/>
      <c r="BA593" s="140"/>
      <c r="BB593" s="140"/>
      <c r="BC593" s="140"/>
      <c r="BD593" s="140"/>
      <c r="BE593" s="140"/>
    </row>
    <row r="594">
      <c r="A594" s="108"/>
      <c r="B594" s="107"/>
      <c r="C594" s="107"/>
      <c r="D594" s="107"/>
      <c r="E594" s="107"/>
      <c r="F594" s="107"/>
      <c r="G594" s="208"/>
      <c r="H594" s="131"/>
      <c r="I594" s="211"/>
      <c r="J594" s="107"/>
      <c r="K594" s="202"/>
      <c r="L594" s="107"/>
      <c r="M594" s="107"/>
      <c r="N594" s="206"/>
      <c r="O594" s="108" t="b">
        <v>0</v>
      </c>
      <c r="P594" s="207"/>
      <c r="Q594" s="140"/>
      <c r="R594" s="140"/>
      <c r="S594" s="140"/>
      <c r="T594" s="140"/>
      <c r="U594" s="140"/>
      <c r="V594" s="140"/>
      <c r="W594" s="140"/>
      <c r="X594" s="140"/>
      <c r="Y594" s="140"/>
      <c r="Z594" s="140"/>
      <c r="AA594" s="140"/>
      <c r="AB594" s="140"/>
      <c r="AC594" s="140"/>
      <c r="AD594" s="140"/>
      <c r="AE594" s="140"/>
      <c r="AF594" s="140"/>
      <c r="AG594" s="140"/>
      <c r="AH594" s="140"/>
      <c r="AI594" s="140"/>
      <c r="AJ594" s="140"/>
      <c r="AK594" s="140"/>
      <c r="AL594" s="140"/>
      <c r="AM594" s="140"/>
      <c r="AN594" s="140"/>
      <c r="AO594" s="140"/>
      <c r="AP594" s="140"/>
      <c r="AQ594" s="140"/>
      <c r="AR594" s="140"/>
      <c r="AS594" s="140"/>
      <c r="AT594" s="140"/>
      <c r="AU594" s="140"/>
      <c r="AV594" s="140"/>
      <c r="AW594" s="140"/>
      <c r="AX594" s="140"/>
      <c r="AY594" s="140"/>
      <c r="AZ594" s="140"/>
      <c r="BA594" s="140"/>
      <c r="BB594" s="140"/>
      <c r="BC594" s="140"/>
      <c r="BD594" s="140"/>
      <c r="BE594" s="140"/>
    </row>
    <row r="595">
      <c r="A595" s="108"/>
      <c r="B595" s="107"/>
      <c r="C595" s="107"/>
      <c r="D595" s="107"/>
      <c r="E595" s="107"/>
      <c r="F595" s="107"/>
      <c r="G595" s="208"/>
      <c r="H595" s="131"/>
      <c r="I595" s="211"/>
      <c r="J595" s="107"/>
      <c r="K595" s="202"/>
      <c r="L595" s="107"/>
      <c r="M595" s="107"/>
      <c r="N595" s="206"/>
      <c r="O595" s="108" t="b">
        <v>0</v>
      </c>
      <c r="P595" s="207"/>
      <c r="Q595" s="140"/>
      <c r="R595" s="140"/>
      <c r="S595" s="140"/>
      <c r="T595" s="140"/>
      <c r="U595" s="140"/>
      <c r="V595" s="140"/>
      <c r="W595" s="140"/>
      <c r="X595" s="140"/>
      <c r="Y595" s="140"/>
      <c r="Z595" s="140"/>
      <c r="AA595" s="140"/>
      <c r="AB595" s="140"/>
      <c r="AC595" s="140"/>
      <c r="AD595" s="140"/>
      <c r="AE595" s="140"/>
      <c r="AF595" s="140"/>
      <c r="AG595" s="140"/>
      <c r="AH595" s="140"/>
      <c r="AI595" s="140"/>
      <c r="AJ595" s="140"/>
      <c r="AK595" s="140"/>
      <c r="AL595" s="140"/>
      <c r="AM595" s="140"/>
      <c r="AN595" s="140"/>
      <c r="AO595" s="140"/>
      <c r="AP595" s="140"/>
      <c r="AQ595" s="140"/>
      <c r="AR595" s="140"/>
      <c r="AS595" s="140"/>
      <c r="AT595" s="140"/>
      <c r="AU595" s="140"/>
      <c r="AV595" s="140"/>
      <c r="AW595" s="140"/>
      <c r="AX595" s="140"/>
      <c r="AY595" s="140"/>
      <c r="AZ595" s="140"/>
      <c r="BA595" s="140"/>
      <c r="BB595" s="140"/>
      <c r="BC595" s="140"/>
      <c r="BD595" s="140"/>
      <c r="BE595" s="140"/>
    </row>
    <row r="596">
      <c r="A596" s="108"/>
      <c r="B596" s="107"/>
      <c r="C596" s="107"/>
      <c r="D596" s="107"/>
      <c r="E596" s="107"/>
      <c r="F596" s="107"/>
      <c r="G596" s="208"/>
      <c r="H596" s="131"/>
      <c r="I596" s="211"/>
      <c r="J596" s="107"/>
      <c r="K596" s="202"/>
      <c r="L596" s="107"/>
      <c r="M596" s="107"/>
      <c r="N596" s="206"/>
      <c r="O596" s="108" t="b">
        <v>0</v>
      </c>
      <c r="P596" s="207"/>
      <c r="Q596" s="140"/>
      <c r="R596" s="140"/>
      <c r="S596" s="140"/>
      <c r="T596" s="140"/>
      <c r="U596" s="140"/>
      <c r="V596" s="140"/>
      <c r="W596" s="140"/>
      <c r="X596" s="140"/>
      <c r="Y596" s="140"/>
      <c r="Z596" s="140"/>
      <c r="AA596" s="140"/>
      <c r="AB596" s="140"/>
      <c r="AC596" s="140"/>
      <c r="AD596" s="140"/>
      <c r="AE596" s="140"/>
      <c r="AF596" s="140"/>
      <c r="AG596" s="140"/>
      <c r="AH596" s="140"/>
      <c r="AI596" s="140"/>
      <c r="AJ596" s="140"/>
      <c r="AK596" s="140"/>
      <c r="AL596" s="140"/>
      <c r="AM596" s="140"/>
      <c r="AN596" s="140"/>
      <c r="AO596" s="140"/>
      <c r="AP596" s="140"/>
      <c r="AQ596" s="140"/>
      <c r="AR596" s="140"/>
      <c r="AS596" s="140"/>
      <c r="AT596" s="140"/>
      <c r="AU596" s="140"/>
      <c r="AV596" s="140"/>
      <c r="AW596" s="140"/>
      <c r="AX596" s="140"/>
      <c r="AY596" s="140"/>
      <c r="AZ596" s="140"/>
      <c r="BA596" s="140"/>
      <c r="BB596" s="140"/>
      <c r="BC596" s="140"/>
      <c r="BD596" s="140"/>
      <c r="BE596" s="140"/>
    </row>
    <row r="597">
      <c r="A597" s="108"/>
      <c r="B597" s="107"/>
      <c r="C597" s="107"/>
      <c r="D597" s="107"/>
      <c r="E597" s="107"/>
      <c r="F597" s="107"/>
      <c r="G597" s="208"/>
      <c r="H597" s="131"/>
      <c r="I597" s="211"/>
      <c r="J597" s="107"/>
      <c r="K597" s="202"/>
      <c r="L597" s="107"/>
      <c r="M597" s="107"/>
      <c r="N597" s="206"/>
      <c r="O597" s="108" t="b">
        <v>0</v>
      </c>
      <c r="P597" s="207"/>
      <c r="Q597" s="140"/>
      <c r="R597" s="140"/>
      <c r="S597" s="140"/>
      <c r="T597" s="140"/>
      <c r="U597" s="140"/>
      <c r="V597" s="140"/>
      <c r="W597" s="140"/>
      <c r="X597" s="140"/>
      <c r="Y597" s="140"/>
      <c r="Z597" s="140"/>
      <c r="AA597" s="140"/>
      <c r="AB597" s="140"/>
      <c r="AC597" s="140"/>
      <c r="AD597" s="140"/>
      <c r="AE597" s="140"/>
      <c r="AF597" s="140"/>
      <c r="AG597" s="140"/>
      <c r="AH597" s="140"/>
      <c r="AI597" s="140"/>
      <c r="AJ597" s="140"/>
      <c r="AK597" s="140"/>
      <c r="AL597" s="140"/>
      <c r="AM597" s="140"/>
      <c r="AN597" s="140"/>
      <c r="AO597" s="140"/>
      <c r="AP597" s="140"/>
      <c r="AQ597" s="140"/>
      <c r="AR597" s="140"/>
      <c r="AS597" s="140"/>
      <c r="AT597" s="140"/>
      <c r="AU597" s="140"/>
      <c r="AV597" s="140"/>
      <c r="AW597" s="140"/>
      <c r="AX597" s="140"/>
      <c r="AY597" s="140"/>
      <c r="AZ597" s="140"/>
      <c r="BA597" s="140"/>
      <c r="BB597" s="140"/>
      <c r="BC597" s="140"/>
      <c r="BD597" s="140"/>
      <c r="BE597" s="140"/>
    </row>
    <row r="598">
      <c r="A598" s="108"/>
      <c r="B598" s="107"/>
      <c r="C598" s="107"/>
      <c r="D598" s="107"/>
      <c r="E598" s="107"/>
      <c r="F598" s="107"/>
      <c r="G598" s="208"/>
      <c r="H598" s="131"/>
      <c r="I598" s="211"/>
      <c r="J598" s="107"/>
      <c r="K598" s="202"/>
      <c r="L598" s="107"/>
      <c r="M598" s="107"/>
      <c r="N598" s="206"/>
      <c r="O598" s="108" t="b">
        <v>0</v>
      </c>
      <c r="P598" s="207"/>
      <c r="Q598" s="140"/>
      <c r="R598" s="140"/>
      <c r="S598" s="140"/>
      <c r="T598" s="140"/>
      <c r="U598" s="140"/>
      <c r="V598" s="140"/>
      <c r="W598" s="140"/>
      <c r="X598" s="140"/>
      <c r="Y598" s="140"/>
      <c r="Z598" s="140"/>
      <c r="AA598" s="140"/>
      <c r="AB598" s="140"/>
      <c r="AC598" s="140"/>
      <c r="AD598" s="140"/>
      <c r="AE598" s="140"/>
      <c r="AF598" s="140"/>
      <c r="AG598" s="140"/>
      <c r="AH598" s="140"/>
      <c r="AI598" s="140"/>
      <c r="AJ598" s="140"/>
      <c r="AK598" s="140"/>
      <c r="AL598" s="140"/>
      <c r="AM598" s="140"/>
      <c r="AN598" s="140"/>
      <c r="AO598" s="140"/>
      <c r="AP598" s="140"/>
      <c r="AQ598" s="140"/>
      <c r="AR598" s="140"/>
      <c r="AS598" s="140"/>
      <c r="AT598" s="140"/>
      <c r="AU598" s="140"/>
      <c r="AV598" s="140"/>
      <c r="AW598" s="140"/>
      <c r="AX598" s="140"/>
      <c r="AY598" s="140"/>
      <c r="AZ598" s="140"/>
      <c r="BA598" s="140"/>
      <c r="BB598" s="140"/>
      <c r="BC598" s="140"/>
      <c r="BD598" s="140"/>
      <c r="BE598" s="140"/>
    </row>
    <row r="599">
      <c r="A599" s="108"/>
      <c r="B599" s="107"/>
      <c r="C599" s="107"/>
      <c r="D599" s="107"/>
      <c r="E599" s="107"/>
      <c r="F599" s="107"/>
      <c r="G599" s="208"/>
      <c r="H599" s="131"/>
      <c r="I599" s="211"/>
      <c r="J599" s="107"/>
      <c r="K599" s="202"/>
      <c r="L599" s="107"/>
      <c r="M599" s="107"/>
      <c r="N599" s="206"/>
      <c r="O599" s="108" t="b">
        <v>0</v>
      </c>
      <c r="P599" s="207"/>
      <c r="Q599" s="140"/>
      <c r="R599" s="140"/>
      <c r="S599" s="140"/>
      <c r="T599" s="140"/>
      <c r="U599" s="140"/>
      <c r="V599" s="140"/>
      <c r="W599" s="140"/>
      <c r="X599" s="140"/>
      <c r="Y599" s="140"/>
      <c r="Z599" s="140"/>
      <c r="AA599" s="140"/>
      <c r="AB599" s="140"/>
      <c r="AC599" s="140"/>
      <c r="AD599" s="140"/>
      <c r="AE599" s="140"/>
      <c r="AF599" s="140"/>
      <c r="AG599" s="140"/>
      <c r="AH599" s="140"/>
      <c r="AI599" s="140"/>
      <c r="AJ599" s="140"/>
      <c r="AK599" s="140"/>
      <c r="AL599" s="140"/>
      <c r="AM599" s="140"/>
      <c r="AN599" s="140"/>
      <c r="AO599" s="140"/>
      <c r="AP599" s="140"/>
      <c r="AQ599" s="140"/>
      <c r="AR599" s="140"/>
      <c r="AS599" s="140"/>
      <c r="AT599" s="140"/>
      <c r="AU599" s="140"/>
      <c r="AV599" s="140"/>
      <c r="AW599" s="140"/>
      <c r="AX599" s="140"/>
      <c r="AY599" s="140"/>
      <c r="AZ599" s="140"/>
      <c r="BA599" s="140"/>
      <c r="BB599" s="140"/>
      <c r="BC599" s="140"/>
      <c r="BD599" s="140"/>
      <c r="BE599" s="140"/>
    </row>
    <row r="600">
      <c r="A600" s="108"/>
      <c r="B600" s="107"/>
      <c r="C600" s="107"/>
      <c r="D600" s="107"/>
      <c r="E600" s="107"/>
      <c r="F600" s="107"/>
      <c r="G600" s="208"/>
      <c r="H600" s="131"/>
      <c r="I600" s="211"/>
      <c r="J600" s="107"/>
      <c r="K600" s="202"/>
      <c r="L600" s="107"/>
      <c r="M600" s="107"/>
      <c r="N600" s="206"/>
      <c r="O600" s="108" t="b">
        <v>0</v>
      </c>
      <c r="P600" s="207"/>
      <c r="Q600" s="140"/>
      <c r="R600" s="140"/>
      <c r="S600" s="140"/>
      <c r="T600" s="140"/>
      <c r="U600" s="140"/>
      <c r="V600" s="140"/>
      <c r="W600" s="140"/>
      <c r="X600" s="140"/>
      <c r="Y600" s="140"/>
      <c r="Z600" s="140"/>
      <c r="AA600" s="140"/>
      <c r="AB600" s="140"/>
      <c r="AC600" s="140"/>
      <c r="AD600" s="140"/>
      <c r="AE600" s="140"/>
      <c r="AF600" s="140"/>
      <c r="AG600" s="140"/>
      <c r="AH600" s="140"/>
      <c r="AI600" s="140"/>
      <c r="AJ600" s="140"/>
      <c r="AK600" s="140"/>
      <c r="AL600" s="140"/>
      <c r="AM600" s="140"/>
      <c r="AN600" s="140"/>
      <c r="AO600" s="140"/>
      <c r="AP600" s="140"/>
      <c r="AQ600" s="140"/>
      <c r="AR600" s="140"/>
      <c r="AS600" s="140"/>
      <c r="AT600" s="140"/>
      <c r="AU600" s="140"/>
      <c r="AV600" s="140"/>
      <c r="AW600" s="140"/>
      <c r="AX600" s="140"/>
      <c r="AY600" s="140"/>
      <c r="AZ600" s="140"/>
      <c r="BA600" s="140"/>
      <c r="BB600" s="140"/>
      <c r="BC600" s="140"/>
      <c r="BD600" s="140"/>
      <c r="BE600" s="140"/>
    </row>
    <row r="601">
      <c r="A601" s="108"/>
      <c r="B601" s="107"/>
      <c r="C601" s="107"/>
      <c r="D601" s="107"/>
      <c r="E601" s="107"/>
      <c r="F601" s="107"/>
      <c r="G601" s="208"/>
      <c r="H601" s="131"/>
      <c r="I601" s="211"/>
      <c r="J601" s="107"/>
      <c r="K601" s="202"/>
      <c r="L601" s="107"/>
      <c r="M601" s="107"/>
      <c r="N601" s="206"/>
      <c r="O601" s="108" t="b">
        <v>0</v>
      </c>
      <c r="P601" s="207"/>
      <c r="Q601" s="140"/>
      <c r="R601" s="140"/>
      <c r="S601" s="140"/>
      <c r="T601" s="140"/>
      <c r="U601" s="140"/>
      <c r="V601" s="140"/>
      <c r="W601" s="140"/>
      <c r="X601" s="140"/>
      <c r="Y601" s="140"/>
      <c r="Z601" s="140"/>
      <c r="AA601" s="140"/>
      <c r="AB601" s="140"/>
      <c r="AC601" s="140"/>
      <c r="AD601" s="140"/>
      <c r="AE601" s="140"/>
      <c r="AF601" s="140"/>
      <c r="AG601" s="140"/>
      <c r="AH601" s="140"/>
      <c r="AI601" s="140"/>
      <c r="AJ601" s="140"/>
      <c r="AK601" s="140"/>
      <c r="AL601" s="140"/>
      <c r="AM601" s="140"/>
      <c r="AN601" s="140"/>
      <c r="AO601" s="140"/>
      <c r="AP601" s="140"/>
      <c r="AQ601" s="140"/>
      <c r="AR601" s="140"/>
      <c r="AS601" s="140"/>
      <c r="AT601" s="140"/>
      <c r="AU601" s="140"/>
      <c r="AV601" s="140"/>
      <c r="AW601" s="140"/>
      <c r="AX601" s="140"/>
      <c r="AY601" s="140"/>
      <c r="AZ601" s="140"/>
      <c r="BA601" s="140"/>
      <c r="BB601" s="140"/>
      <c r="BC601" s="140"/>
      <c r="BD601" s="140"/>
      <c r="BE601" s="140"/>
    </row>
    <row r="602">
      <c r="A602" s="108"/>
      <c r="B602" s="107"/>
      <c r="C602" s="107"/>
      <c r="D602" s="107"/>
      <c r="E602" s="107"/>
      <c r="F602" s="107"/>
      <c r="G602" s="208"/>
      <c r="H602" s="131"/>
      <c r="I602" s="211"/>
      <c r="J602" s="107"/>
      <c r="K602" s="202"/>
      <c r="L602" s="107"/>
      <c r="M602" s="107"/>
      <c r="N602" s="206"/>
      <c r="O602" s="108" t="b">
        <v>0</v>
      </c>
      <c r="P602" s="207"/>
      <c r="Q602" s="140"/>
      <c r="R602" s="140"/>
      <c r="S602" s="140"/>
      <c r="T602" s="140"/>
      <c r="U602" s="140"/>
      <c r="V602" s="140"/>
      <c r="W602" s="140"/>
      <c r="X602" s="140"/>
      <c r="Y602" s="140"/>
      <c r="Z602" s="140"/>
      <c r="AA602" s="140"/>
      <c r="AB602" s="140"/>
      <c r="AC602" s="140"/>
      <c r="AD602" s="140"/>
      <c r="AE602" s="140"/>
      <c r="AF602" s="140"/>
      <c r="AG602" s="140"/>
      <c r="AH602" s="140"/>
      <c r="AI602" s="140"/>
      <c r="AJ602" s="140"/>
      <c r="AK602" s="140"/>
      <c r="AL602" s="140"/>
      <c r="AM602" s="140"/>
      <c r="AN602" s="140"/>
      <c r="AO602" s="140"/>
      <c r="AP602" s="140"/>
      <c r="AQ602" s="140"/>
      <c r="AR602" s="140"/>
      <c r="AS602" s="140"/>
      <c r="AT602" s="140"/>
      <c r="AU602" s="140"/>
      <c r="AV602" s="140"/>
      <c r="AW602" s="140"/>
      <c r="AX602" s="140"/>
      <c r="AY602" s="140"/>
      <c r="AZ602" s="140"/>
      <c r="BA602" s="140"/>
      <c r="BB602" s="140"/>
      <c r="BC602" s="140"/>
      <c r="BD602" s="140"/>
      <c r="BE602" s="140"/>
    </row>
    <row r="603">
      <c r="A603" s="108"/>
      <c r="B603" s="107"/>
      <c r="C603" s="107"/>
      <c r="D603" s="107"/>
      <c r="E603" s="107"/>
      <c r="F603" s="107"/>
      <c r="G603" s="208"/>
      <c r="H603" s="131"/>
      <c r="I603" s="211"/>
      <c r="J603" s="107"/>
      <c r="K603" s="202"/>
      <c r="L603" s="107"/>
      <c r="M603" s="107"/>
      <c r="N603" s="206"/>
      <c r="O603" s="108" t="b">
        <v>0</v>
      </c>
      <c r="P603" s="207"/>
      <c r="Q603" s="140"/>
      <c r="R603" s="140"/>
      <c r="S603" s="140"/>
      <c r="T603" s="140"/>
      <c r="U603" s="140"/>
      <c r="V603" s="140"/>
      <c r="W603" s="140"/>
      <c r="X603" s="140"/>
      <c r="Y603" s="140"/>
      <c r="Z603" s="140"/>
      <c r="AA603" s="140"/>
      <c r="AB603" s="140"/>
      <c r="AC603" s="140"/>
      <c r="AD603" s="140"/>
      <c r="AE603" s="140"/>
      <c r="AF603" s="140"/>
      <c r="AG603" s="140"/>
      <c r="AH603" s="140"/>
      <c r="AI603" s="140"/>
      <c r="AJ603" s="140"/>
      <c r="AK603" s="140"/>
      <c r="AL603" s="140"/>
      <c r="AM603" s="140"/>
      <c r="AN603" s="140"/>
      <c r="AO603" s="140"/>
      <c r="AP603" s="140"/>
      <c r="AQ603" s="140"/>
      <c r="AR603" s="140"/>
      <c r="AS603" s="140"/>
      <c r="AT603" s="140"/>
      <c r="AU603" s="140"/>
      <c r="AV603" s="140"/>
      <c r="AW603" s="140"/>
      <c r="AX603" s="140"/>
      <c r="AY603" s="140"/>
      <c r="AZ603" s="140"/>
      <c r="BA603" s="140"/>
      <c r="BB603" s="140"/>
      <c r="BC603" s="140"/>
      <c r="BD603" s="140"/>
      <c r="BE603" s="140"/>
    </row>
    <row r="604">
      <c r="A604" s="108"/>
      <c r="B604" s="107"/>
      <c r="C604" s="107"/>
      <c r="D604" s="107"/>
      <c r="E604" s="107"/>
      <c r="F604" s="107"/>
      <c r="G604" s="208"/>
      <c r="H604" s="131"/>
      <c r="I604" s="211"/>
      <c r="J604" s="107"/>
      <c r="K604" s="202"/>
      <c r="L604" s="107"/>
      <c r="M604" s="107"/>
      <c r="N604" s="206"/>
      <c r="O604" s="108" t="b">
        <v>0</v>
      </c>
      <c r="P604" s="207"/>
      <c r="Q604" s="140"/>
      <c r="R604" s="140"/>
      <c r="S604" s="140"/>
      <c r="T604" s="140"/>
      <c r="U604" s="140"/>
      <c r="V604" s="140"/>
      <c r="W604" s="140"/>
      <c r="X604" s="140"/>
      <c r="Y604" s="140"/>
      <c r="Z604" s="140"/>
      <c r="AA604" s="140"/>
      <c r="AB604" s="140"/>
      <c r="AC604" s="140"/>
      <c r="AD604" s="140"/>
      <c r="AE604" s="140"/>
      <c r="AF604" s="140"/>
      <c r="AG604" s="140"/>
      <c r="AH604" s="140"/>
      <c r="AI604" s="140"/>
      <c r="AJ604" s="140"/>
      <c r="AK604" s="140"/>
      <c r="AL604" s="140"/>
      <c r="AM604" s="140"/>
      <c r="AN604" s="140"/>
      <c r="AO604" s="140"/>
      <c r="AP604" s="140"/>
      <c r="AQ604" s="140"/>
      <c r="AR604" s="140"/>
      <c r="AS604" s="140"/>
      <c r="AT604" s="140"/>
      <c r="AU604" s="140"/>
      <c r="AV604" s="140"/>
      <c r="AW604" s="140"/>
      <c r="AX604" s="140"/>
      <c r="AY604" s="140"/>
      <c r="AZ604" s="140"/>
      <c r="BA604" s="140"/>
      <c r="BB604" s="140"/>
      <c r="BC604" s="140"/>
      <c r="BD604" s="140"/>
      <c r="BE604" s="140"/>
    </row>
    <row r="605">
      <c r="A605" s="108"/>
      <c r="B605" s="107"/>
      <c r="C605" s="107"/>
      <c r="D605" s="107"/>
      <c r="E605" s="107"/>
      <c r="F605" s="107"/>
      <c r="G605" s="208"/>
      <c r="H605" s="131"/>
      <c r="I605" s="211"/>
      <c r="J605" s="107"/>
      <c r="K605" s="202"/>
      <c r="L605" s="107"/>
      <c r="M605" s="107"/>
      <c r="N605" s="206"/>
      <c r="O605" s="108" t="b">
        <v>0</v>
      </c>
      <c r="P605" s="207"/>
      <c r="Q605" s="140"/>
      <c r="R605" s="140"/>
      <c r="S605" s="140"/>
      <c r="T605" s="140"/>
      <c r="U605" s="140"/>
      <c r="V605" s="140"/>
      <c r="W605" s="140"/>
      <c r="X605" s="140"/>
      <c r="Y605" s="140"/>
      <c r="Z605" s="140"/>
      <c r="AA605" s="140"/>
      <c r="AB605" s="140"/>
      <c r="AC605" s="140"/>
      <c r="AD605" s="140"/>
      <c r="AE605" s="140"/>
      <c r="AF605" s="140"/>
      <c r="AG605" s="140"/>
      <c r="AH605" s="140"/>
      <c r="AI605" s="140"/>
      <c r="AJ605" s="140"/>
      <c r="AK605" s="140"/>
      <c r="AL605" s="140"/>
      <c r="AM605" s="140"/>
      <c r="AN605" s="140"/>
      <c r="AO605" s="140"/>
      <c r="AP605" s="140"/>
      <c r="AQ605" s="140"/>
      <c r="AR605" s="140"/>
      <c r="AS605" s="140"/>
      <c r="AT605" s="140"/>
      <c r="AU605" s="140"/>
      <c r="AV605" s="140"/>
      <c r="AW605" s="140"/>
      <c r="AX605" s="140"/>
      <c r="AY605" s="140"/>
      <c r="AZ605" s="140"/>
      <c r="BA605" s="140"/>
      <c r="BB605" s="140"/>
      <c r="BC605" s="140"/>
      <c r="BD605" s="140"/>
      <c r="BE605" s="140"/>
    </row>
    <row r="606">
      <c r="A606" s="108"/>
      <c r="B606" s="107"/>
      <c r="C606" s="107"/>
      <c r="D606" s="107"/>
      <c r="E606" s="107"/>
      <c r="F606" s="107"/>
      <c r="G606" s="208"/>
      <c r="H606" s="131"/>
      <c r="I606" s="211"/>
      <c r="J606" s="107"/>
      <c r="K606" s="202"/>
      <c r="L606" s="107"/>
      <c r="M606" s="107"/>
      <c r="N606" s="206"/>
      <c r="O606" s="108" t="b">
        <v>0</v>
      </c>
      <c r="P606" s="207"/>
      <c r="Q606" s="140"/>
      <c r="R606" s="140"/>
      <c r="S606" s="140"/>
      <c r="T606" s="140"/>
      <c r="U606" s="140"/>
      <c r="V606" s="140"/>
      <c r="W606" s="140"/>
      <c r="X606" s="140"/>
      <c r="Y606" s="140"/>
      <c r="Z606" s="140"/>
      <c r="AA606" s="140"/>
      <c r="AB606" s="140"/>
      <c r="AC606" s="140"/>
      <c r="AD606" s="140"/>
      <c r="AE606" s="140"/>
      <c r="AF606" s="140"/>
      <c r="AG606" s="140"/>
      <c r="AH606" s="140"/>
      <c r="AI606" s="140"/>
      <c r="AJ606" s="140"/>
      <c r="AK606" s="140"/>
      <c r="AL606" s="140"/>
      <c r="AM606" s="140"/>
      <c r="AN606" s="140"/>
      <c r="AO606" s="140"/>
      <c r="AP606" s="140"/>
      <c r="AQ606" s="140"/>
      <c r="AR606" s="140"/>
      <c r="AS606" s="140"/>
      <c r="AT606" s="140"/>
      <c r="AU606" s="140"/>
      <c r="AV606" s="140"/>
      <c r="AW606" s="140"/>
      <c r="AX606" s="140"/>
      <c r="AY606" s="140"/>
      <c r="AZ606" s="140"/>
      <c r="BA606" s="140"/>
      <c r="BB606" s="140"/>
      <c r="BC606" s="140"/>
      <c r="BD606" s="140"/>
      <c r="BE606" s="140"/>
    </row>
    <row r="607">
      <c r="A607" s="108"/>
      <c r="B607" s="107"/>
      <c r="C607" s="107"/>
      <c r="D607" s="107"/>
      <c r="E607" s="107"/>
      <c r="F607" s="107"/>
      <c r="G607" s="208"/>
      <c r="H607" s="131"/>
      <c r="I607" s="211"/>
      <c r="J607" s="107"/>
      <c r="K607" s="202"/>
      <c r="L607" s="107"/>
      <c r="M607" s="107"/>
      <c r="N607" s="206"/>
      <c r="O607" s="108" t="b">
        <v>0</v>
      </c>
      <c r="P607" s="207"/>
      <c r="Q607" s="140"/>
      <c r="R607" s="140"/>
      <c r="S607" s="140"/>
      <c r="T607" s="140"/>
      <c r="U607" s="140"/>
      <c r="V607" s="140"/>
      <c r="W607" s="140"/>
      <c r="X607" s="140"/>
      <c r="Y607" s="140"/>
      <c r="Z607" s="140"/>
      <c r="AA607" s="140"/>
      <c r="AB607" s="140"/>
      <c r="AC607" s="140"/>
      <c r="AD607" s="140"/>
      <c r="AE607" s="140"/>
      <c r="AF607" s="140"/>
      <c r="AG607" s="140"/>
      <c r="AH607" s="140"/>
      <c r="AI607" s="140"/>
      <c r="AJ607" s="140"/>
      <c r="AK607" s="140"/>
      <c r="AL607" s="140"/>
      <c r="AM607" s="140"/>
      <c r="AN607" s="140"/>
      <c r="AO607" s="140"/>
      <c r="AP607" s="140"/>
      <c r="AQ607" s="140"/>
      <c r="AR607" s="140"/>
      <c r="AS607" s="140"/>
      <c r="AT607" s="140"/>
      <c r="AU607" s="140"/>
      <c r="AV607" s="140"/>
      <c r="AW607" s="140"/>
      <c r="AX607" s="140"/>
      <c r="AY607" s="140"/>
      <c r="AZ607" s="140"/>
      <c r="BA607" s="140"/>
      <c r="BB607" s="140"/>
      <c r="BC607" s="140"/>
      <c r="BD607" s="140"/>
      <c r="BE607" s="140"/>
    </row>
    <row r="608">
      <c r="A608" s="108"/>
      <c r="B608" s="107"/>
      <c r="C608" s="107"/>
      <c r="D608" s="107"/>
      <c r="E608" s="107"/>
      <c r="F608" s="107"/>
      <c r="G608" s="208"/>
      <c r="H608" s="131"/>
      <c r="I608" s="211"/>
      <c r="J608" s="107"/>
      <c r="K608" s="202"/>
      <c r="L608" s="107"/>
      <c r="M608" s="107"/>
      <c r="N608" s="206"/>
      <c r="O608" s="108" t="b">
        <v>0</v>
      </c>
      <c r="P608" s="207"/>
      <c r="Q608" s="140"/>
      <c r="R608" s="140"/>
      <c r="S608" s="140"/>
      <c r="T608" s="140"/>
      <c r="U608" s="140"/>
      <c r="V608" s="140"/>
      <c r="W608" s="140"/>
      <c r="X608" s="140"/>
      <c r="Y608" s="140"/>
      <c r="Z608" s="140"/>
      <c r="AA608" s="140"/>
      <c r="AB608" s="140"/>
      <c r="AC608" s="140"/>
      <c r="AD608" s="140"/>
      <c r="AE608" s="140"/>
      <c r="AF608" s="140"/>
      <c r="AG608" s="140"/>
      <c r="AH608" s="140"/>
      <c r="AI608" s="140"/>
      <c r="AJ608" s="140"/>
      <c r="AK608" s="140"/>
      <c r="AL608" s="140"/>
      <c r="AM608" s="140"/>
      <c r="AN608" s="140"/>
      <c r="AO608" s="140"/>
      <c r="AP608" s="140"/>
      <c r="AQ608" s="140"/>
      <c r="AR608" s="140"/>
      <c r="AS608" s="140"/>
      <c r="AT608" s="140"/>
      <c r="AU608" s="140"/>
      <c r="AV608" s="140"/>
      <c r="AW608" s="140"/>
      <c r="AX608" s="140"/>
      <c r="AY608" s="140"/>
      <c r="AZ608" s="140"/>
      <c r="BA608" s="140"/>
      <c r="BB608" s="140"/>
      <c r="BC608" s="140"/>
      <c r="BD608" s="140"/>
      <c r="BE608" s="140"/>
    </row>
    <row r="609">
      <c r="A609" s="108"/>
      <c r="B609" s="107"/>
      <c r="C609" s="107"/>
      <c r="D609" s="107"/>
      <c r="E609" s="107"/>
      <c r="F609" s="107"/>
      <c r="G609" s="208"/>
      <c r="H609" s="131"/>
      <c r="I609" s="211"/>
      <c r="J609" s="107"/>
      <c r="K609" s="202"/>
      <c r="L609" s="107"/>
      <c r="M609" s="107"/>
      <c r="N609" s="206"/>
      <c r="O609" s="108" t="b">
        <v>0</v>
      </c>
      <c r="P609" s="207"/>
      <c r="Q609" s="140"/>
      <c r="R609" s="140"/>
      <c r="S609" s="140"/>
      <c r="T609" s="140"/>
      <c r="U609" s="140"/>
      <c r="V609" s="140"/>
      <c r="W609" s="140"/>
      <c r="X609" s="140"/>
      <c r="Y609" s="140"/>
      <c r="Z609" s="140"/>
      <c r="AA609" s="140"/>
      <c r="AB609" s="140"/>
      <c r="AC609" s="140"/>
      <c r="AD609" s="140"/>
      <c r="AE609" s="140"/>
      <c r="AF609" s="140"/>
      <c r="AG609" s="140"/>
      <c r="AH609" s="140"/>
      <c r="AI609" s="140"/>
      <c r="AJ609" s="140"/>
      <c r="AK609" s="140"/>
      <c r="AL609" s="140"/>
      <c r="AM609" s="140"/>
      <c r="AN609" s="140"/>
      <c r="AO609" s="140"/>
      <c r="AP609" s="140"/>
      <c r="AQ609" s="140"/>
      <c r="AR609" s="140"/>
      <c r="AS609" s="140"/>
      <c r="AT609" s="140"/>
      <c r="AU609" s="140"/>
      <c r="AV609" s="140"/>
      <c r="AW609" s="140"/>
      <c r="AX609" s="140"/>
      <c r="AY609" s="140"/>
      <c r="AZ609" s="140"/>
      <c r="BA609" s="140"/>
      <c r="BB609" s="140"/>
      <c r="BC609" s="140"/>
      <c r="BD609" s="140"/>
      <c r="BE609" s="140"/>
    </row>
    <row r="610">
      <c r="A610" s="108"/>
      <c r="B610" s="107"/>
      <c r="C610" s="107"/>
      <c r="D610" s="107"/>
      <c r="E610" s="107"/>
      <c r="F610" s="107"/>
      <c r="G610" s="208"/>
      <c r="H610" s="131"/>
      <c r="I610" s="211"/>
      <c r="J610" s="107"/>
      <c r="K610" s="202"/>
      <c r="L610" s="107"/>
      <c r="M610" s="107"/>
      <c r="N610" s="206"/>
      <c r="O610" s="108" t="b">
        <v>0</v>
      </c>
      <c r="P610" s="207"/>
      <c r="Q610" s="140"/>
      <c r="R610" s="140"/>
      <c r="S610" s="140"/>
      <c r="T610" s="140"/>
      <c r="U610" s="140"/>
      <c r="V610" s="140"/>
      <c r="W610" s="140"/>
      <c r="X610" s="140"/>
      <c r="Y610" s="140"/>
      <c r="Z610" s="140"/>
      <c r="AA610" s="140"/>
      <c r="AB610" s="140"/>
      <c r="AC610" s="140"/>
      <c r="AD610" s="140"/>
      <c r="AE610" s="140"/>
      <c r="AF610" s="140"/>
      <c r="AG610" s="140"/>
      <c r="AH610" s="140"/>
      <c r="AI610" s="140"/>
      <c r="AJ610" s="140"/>
      <c r="AK610" s="140"/>
      <c r="AL610" s="140"/>
      <c r="AM610" s="140"/>
      <c r="AN610" s="140"/>
      <c r="AO610" s="140"/>
      <c r="AP610" s="140"/>
      <c r="AQ610" s="140"/>
      <c r="AR610" s="140"/>
      <c r="AS610" s="140"/>
      <c r="AT610" s="140"/>
      <c r="AU610" s="140"/>
      <c r="AV610" s="140"/>
      <c r="AW610" s="140"/>
      <c r="AX610" s="140"/>
      <c r="AY610" s="140"/>
      <c r="AZ610" s="140"/>
      <c r="BA610" s="140"/>
      <c r="BB610" s="140"/>
      <c r="BC610" s="140"/>
      <c r="BD610" s="140"/>
      <c r="BE610" s="140"/>
    </row>
    <row r="611">
      <c r="A611" s="108"/>
      <c r="B611" s="107"/>
      <c r="C611" s="107"/>
      <c r="D611" s="107"/>
      <c r="E611" s="107"/>
      <c r="F611" s="107"/>
      <c r="G611" s="208"/>
      <c r="H611" s="131"/>
      <c r="I611" s="211"/>
      <c r="J611" s="107"/>
      <c r="K611" s="202"/>
      <c r="L611" s="107"/>
      <c r="M611" s="107"/>
      <c r="N611" s="206"/>
      <c r="O611" s="108" t="b">
        <v>0</v>
      </c>
      <c r="P611" s="207"/>
      <c r="Q611" s="140"/>
      <c r="R611" s="140"/>
      <c r="S611" s="140"/>
      <c r="T611" s="140"/>
      <c r="U611" s="140"/>
      <c r="V611" s="140"/>
      <c r="W611" s="140"/>
      <c r="X611" s="140"/>
      <c r="Y611" s="140"/>
      <c r="Z611" s="140"/>
      <c r="AA611" s="140"/>
      <c r="AB611" s="140"/>
      <c r="AC611" s="140"/>
      <c r="AD611" s="140"/>
      <c r="AE611" s="140"/>
      <c r="AF611" s="140"/>
      <c r="AG611" s="140"/>
      <c r="AH611" s="140"/>
      <c r="AI611" s="140"/>
      <c r="AJ611" s="140"/>
      <c r="AK611" s="140"/>
      <c r="AL611" s="140"/>
      <c r="AM611" s="140"/>
      <c r="AN611" s="140"/>
      <c r="AO611" s="140"/>
      <c r="AP611" s="140"/>
      <c r="AQ611" s="140"/>
      <c r="AR611" s="140"/>
      <c r="AS611" s="140"/>
      <c r="AT611" s="140"/>
      <c r="AU611" s="140"/>
      <c r="AV611" s="140"/>
      <c r="AW611" s="140"/>
      <c r="AX611" s="140"/>
      <c r="AY611" s="140"/>
      <c r="AZ611" s="140"/>
      <c r="BA611" s="140"/>
      <c r="BB611" s="140"/>
      <c r="BC611" s="140"/>
      <c r="BD611" s="140"/>
      <c r="BE611" s="140"/>
    </row>
    <row r="612">
      <c r="A612" s="108"/>
      <c r="B612" s="107"/>
      <c r="C612" s="107"/>
      <c r="D612" s="107"/>
      <c r="E612" s="107"/>
      <c r="F612" s="107"/>
      <c r="G612" s="208"/>
      <c r="H612" s="131"/>
      <c r="I612" s="211"/>
      <c r="J612" s="107"/>
      <c r="K612" s="202"/>
      <c r="L612" s="107"/>
      <c r="M612" s="107"/>
      <c r="N612" s="206"/>
      <c r="O612" s="108" t="b">
        <v>0</v>
      </c>
      <c r="P612" s="207"/>
      <c r="Q612" s="140"/>
      <c r="R612" s="140"/>
      <c r="S612" s="140"/>
      <c r="T612" s="140"/>
      <c r="U612" s="140"/>
      <c r="V612" s="140"/>
      <c r="W612" s="140"/>
      <c r="X612" s="140"/>
      <c r="Y612" s="140"/>
      <c r="Z612" s="140"/>
      <c r="AA612" s="140"/>
      <c r="AB612" s="140"/>
      <c r="AC612" s="140"/>
      <c r="AD612" s="140"/>
      <c r="AE612" s="140"/>
      <c r="AF612" s="140"/>
      <c r="AG612" s="140"/>
      <c r="AH612" s="140"/>
      <c r="AI612" s="140"/>
      <c r="AJ612" s="140"/>
      <c r="AK612" s="140"/>
      <c r="AL612" s="140"/>
      <c r="AM612" s="140"/>
      <c r="AN612" s="140"/>
      <c r="AO612" s="140"/>
      <c r="AP612" s="140"/>
      <c r="AQ612" s="140"/>
      <c r="AR612" s="140"/>
      <c r="AS612" s="140"/>
      <c r="AT612" s="140"/>
      <c r="AU612" s="140"/>
      <c r="AV612" s="140"/>
      <c r="AW612" s="140"/>
      <c r="AX612" s="140"/>
      <c r="AY612" s="140"/>
      <c r="AZ612" s="140"/>
      <c r="BA612" s="140"/>
      <c r="BB612" s="140"/>
      <c r="BC612" s="140"/>
      <c r="BD612" s="140"/>
      <c r="BE612" s="140"/>
    </row>
    <row r="613">
      <c r="A613" s="108"/>
      <c r="B613" s="107"/>
      <c r="C613" s="107"/>
      <c r="D613" s="107"/>
      <c r="E613" s="107"/>
      <c r="F613" s="107"/>
      <c r="G613" s="208"/>
      <c r="H613" s="131"/>
      <c r="I613" s="211"/>
      <c r="J613" s="107"/>
      <c r="K613" s="202"/>
      <c r="L613" s="107"/>
      <c r="M613" s="107"/>
      <c r="N613" s="206"/>
      <c r="O613" s="108" t="b">
        <v>0</v>
      </c>
      <c r="P613" s="207"/>
      <c r="Q613" s="140"/>
      <c r="R613" s="140"/>
      <c r="S613" s="140"/>
      <c r="T613" s="140"/>
      <c r="U613" s="140"/>
      <c r="V613" s="140"/>
      <c r="W613" s="140"/>
      <c r="X613" s="140"/>
      <c r="Y613" s="140"/>
      <c r="Z613" s="140"/>
      <c r="AA613" s="140"/>
      <c r="AB613" s="140"/>
      <c r="AC613" s="140"/>
      <c r="AD613" s="140"/>
      <c r="AE613" s="140"/>
      <c r="AF613" s="140"/>
      <c r="AG613" s="140"/>
      <c r="AH613" s="140"/>
      <c r="AI613" s="140"/>
      <c r="AJ613" s="140"/>
      <c r="AK613" s="140"/>
      <c r="AL613" s="140"/>
      <c r="AM613" s="140"/>
      <c r="AN613" s="140"/>
      <c r="AO613" s="140"/>
      <c r="AP613" s="140"/>
      <c r="AQ613" s="140"/>
      <c r="AR613" s="140"/>
      <c r="AS613" s="140"/>
      <c r="AT613" s="140"/>
      <c r="AU613" s="140"/>
      <c r="AV613" s="140"/>
      <c r="AW613" s="140"/>
      <c r="AX613" s="140"/>
      <c r="AY613" s="140"/>
      <c r="AZ613" s="140"/>
      <c r="BA613" s="140"/>
      <c r="BB613" s="140"/>
      <c r="BC613" s="140"/>
      <c r="BD613" s="140"/>
      <c r="BE613" s="140"/>
    </row>
    <row r="614">
      <c r="A614" s="108"/>
      <c r="B614" s="107"/>
      <c r="C614" s="107"/>
      <c r="D614" s="107"/>
      <c r="E614" s="107"/>
      <c r="F614" s="107"/>
      <c r="G614" s="208"/>
      <c r="H614" s="131"/>
      <c r="I614" s="211"/>
      <c r="J614" s="107"/>
      <c r="K614" s="202"/>
      <c r="L614" s="107"/>
      <c r="M614" s="107"/>
      <c r="N614" s="206"/>
      <c r="O614" s="108" t="b">
        <v>0</v>
      </c>
      <c r="P614" s="207"/>
      <c r="Q614" s="140"/>
      <c r="R614" s="140"/>
      <c r="S614" s="140"/>
      <c r="T614" s="140"/>
      <c r="U614" s="140"/>
      <c r="V614" s="140"/>
      <c r="W614" s="140"/>
      <c r="X614" s="140"/>
      <c r="Y614" s="140"/>
      <c r="Z614" s="140"/>
      <c r="AA614" s="140"/>
      <c r="AB614" s="140"/>
      <c r="AC614" s="140"/>
      <c r="AD614" s="140"/>
      <c r="AE614" s="140"/>
      <c r="AF614" s="140"/>
      <c r="AG614" s="140"/>
      <c r="AH614" s="140"/>
      <c r="AI614" s="140"/>
      <c r="AJ614" s="140"/>
      <c r="AK614" s="140"/>
      <c r="AL614" s="140"/>
      <c r="AM614" s="140"/>
      <c r="AN614" s="140"/>
      <c r="AO614" s="140"/>
      <c r="AP614" s="140"/>
      <c r="AQ614" s="140"/>
      <c r="AR614" s="140"/>
      <c r="AS614" s="140"/>
      <c r="AT614" s="140"/>
      <c r="AU614" s="140"/>
      <c r="AV614" s="140"/>
      <c r="AW614" s="140"/>
      <c r="AX614" s="140"/>
      <c r="AY614" s="140"/>
      <c r="AZ614" s="140"/>
      <c r="BA614" s="140"/>
      <c r="BB614" s="140"/>
      <c r="BC614" s="140"/>
      <c r="BD614" s="140"/>
      <c r="BE614" s="140"/>
    </row>
    <row r="615">
      <c r="A615" s="108"/>
      <c r="B615" s="107"/>
      <c r="C615" s="107"/>
      <c r="D615" s="107"/>
      <c r="E615" s="107"/>
      <c r="F615" s="107"/>
      <c r="G615" s="208"/>
      <c r="H615" s="131"/>
      <c r="I615" s="211"/>
      <c r="J615" s="107"/>
      <c r="K615" s="202"/>
      <c r="L615" s="107"/>
      <c r="M615" s="107"/>
      <c r="N615" s="206"/>
      <c r="O615" s="108" t="b">
        <v>0</v>
      </c>
      <c r="P615" s="207"/>
      <c r="Q615" s="140"/>
      <c r="R615" s="140"/>
      <c r="S615" s="140"/>
      <c r="T615" s="140"/>
      <c r="U615" s="140"/>
      <c r="V615" s="140"/>
      <c r="W615" s="140"/>
      <c r="X615" s="140"/>
      <c r="Y615" s="140"/>
      <c r="Z615" s="140"/>
      <c r="AA615" s="140"/>
      <c r="AB615" s="140"/>
      <c r="AC615" s="140"/>
      <c r="AD615" s="140"/>
      <c r="AE615" s="140"/>
      <c r="AF615" s="140"/>
      <c r="AG615" s="140"/>
      <c r="AH615" s="140"/>
      <c r="AI615" s="140"/>
      <c r="AJ615" s="140"/>
      <c r="AK615" s="140"/>
      <c r="AL615" s="140"/>
      <c r="AM615" s="140"/>
      <c r="AN615" s="140"/>
      <c r="AO615" s="140"/>
      <c r="AP615" s="140"/>
      <c r="AQ615" s="140"/>
      <c r="AR615" s="140"/>
      <c r="AS615" s="140"/>
      <c r="AT615" s="140"/>
      <c r="AU615" s="140"/>
      <c r="AV615" s="140"/>
      <c r="AW615" s="140"/>
      <c r="AX615" s="140"/>
      <c r="AY615" s="140"/>
      <c r="AZ615" s="140"/>
      <c r="BA615" s="140"/>
      <c r="BB615" s="140"/>
      <c r="BC615" s="140"/>
      <c r="BD615" s="140"/>
      <c r="BE615" s="140"/>
    </row>
    <row r="616">
      <c r="A616" s="108"/>
      <c r="B616" s="107"/>
      <c r="C616" s="107"/>
      <c r="D616" s="107"/>
      <c r="E616" s="107"/>
      <c r="F616" s="107"/>
      <c r="G616" s="208"/>
      <c r="H616" s="131"/>
      <c r="I616" s="211"/>
      <c r="J616" s="107"/>
      <c r="K616" s="202"/>
      <c r="L616" s="107"/>
      <c r="M616" s="107"/>
      <c r="N616" s="206"/>
      <c r="O616" s="108" t="b">
        <v>0</v>
      </c>
      <c r="P616" s="207"/>
      <c r="Q616" s="140"/>
      <c r="R616" s="140"/>
      <c r="S616" s="140"/>
      <c r="T616" s="140"/>
      <c r="U616" s="140"/>
      <c r="V616" s="140"/>
      <c r="W616" s="140"/>
      <c r="X616" s="140"/>
      <c r="Y616" s="140"/>
      <c r="Z616" s="140"/>
      <c r="AA616" s="140"/>
      <c r="AB616" s="140"/>
      <c r="AC616" s="140"/>
      <c r="AD616" s="140"/>
      <c r="AE616" s="140"/>
      <c r="AF616" s="140"/>
      <c r="AG616" s="140"/>
      <c r="AH616" s="140"/>
      <c r="AI616" s="140"/>
      <c r="AJ616" s="140"/>
      <c r="AK616" s="140"/>
      <c r="AL616" s="140"/>
      <c r="AM616" s="140"/>
      <c r="AN616" s="140"/>
      <c r="AO616" s="140"/>
      <c r="AP616" s="140"/>
      <c r="AQ616" s="140"/>
      <c r="AR616" s="140"/>
      <c r="AS616" s="140"/>
      <c r="AT616" s="140"/>
      <c r="AU616" s="140"/>
      <c r="AV616" s="140"/>
      <c r="AW616" s="140"/>
      <c r="AX616" s="140"/>
      <c r="AY616" s="140"/>
      <c r="AZ616" s="140"/>
      <c r="BA616" s="140"/>
      <c r="BB616" s="140"/>
      <c r="BC616" s="140"/>
      <c r="BD616" s="140"/>
      <c r="BE616" s="140"/>
    </row>
    <row r="617">
      <c r="A617" s="108"/>
      <c r="B617" s="107"/>
      <c r="C617" s="107"/>
      <c r="D617" s="107"/>
      <c r="E617" s="107"/>
      <c r="F617" s="107"/>
      <c r="G617" s="208"/>
      <c r="H617" s="131"/>
      <c r="I617" s="211"/>
      <c r="J617" s="107"/>
      <c r="K617" s="202"/>
      <c r="L617" s="107"/>
      <c r="M617" s="107"/>
      <c r="N617" s="206"/>
      <c r="O617" s="108" t="b">
        <v>0</v>
      </c>
      <c r="P617" s="207"/>
      <c r="Q617" s="140"/>
      <c r="R617" s="140"/>
      <c r="S617" s="140"/>
      <c r="T617" s="140"/>
      <c r="U617" s="140"/>
      <c r="V617" s="140"/>
      <c r="W617" s="140"/>
      <c r="X617" s="140"/>
      <c r="Y617" s="140"/>
      <c r="Z617" s="140"/>
      <c r="AA617" s="140"/>
      <c r="AB617" s="140"/>
      <c r="AC617" s="140"/>
      <c r="AD617" s="140"/>
      <c r="AE617" s="140"/>
      <c r="AF617" s="140"/>
      <c r="AG617" s="140"/>
      <c r="AH617" s="140"/>
      <c r="AI617" s="140"/>
      <c r="AJ617" s="140"/>
      <c r="AK617" s="140"/>
      <c r="AL617" s="140"/>
      <c r="AM617" s="140"/>
      <c r="AN617" s="140"/>
      <c r="AO617" s="140"/>
      <c r="AP617" s="140"/>
      <c r="AQ617" s="140"/>
      <c r="AR617" s="140"/>
      <c r="AS617" s="140"/>
      <c r="AT617" s="140"/>
      <c r="AU617" s="140"/>
      <c r="AV617" s="140"/>
      <c r="AW617" s="140"/>
      <c r="AX617" s="140"/>
      <c r="AY617" s="140"/>
      <c r="AZ617" s="140"/>
      <c r="BA617" s="140"/>
      <c r="BB617" s="140"/>
      <c r="BC617" s="140"/>
      <c r="BD617" s="140"/>
      <c r="BE617" s="140"/>
    </row>
    <row r="618">
      <c r="A618" s="108"/>
      <c r="B618" s="107"/>
      <c r="C618" s="107"/>
      <c r="D618" s="107"/>
      <c r="E618" s="107"/>
      <c r="F618" s="107"/>
      <c r="G618" s="208"/>
      <c r="H618" s="131"/>
      <c r="I618" s="211"/>
      <c r="J618" s="107"/>
      <c r="K618" s="202"/>
      <c r="L618" s="107"/>
      <c r="M618" s="107"/>
      <c r="N618" s="206"/>
      <c r="O618" s="108" t="b">
        <v>0</v>
      </c>
      <c r="P618" s="207"/>
      <c r="Q618" s="140"/>
      <c r="R618" s="140"/>
      <c r="S618" s="140"/>
      <c r="T618" s="140"/>
      <c r="U618" s="140"/>
      <c r="V618" s="140"/>
      <c r="W618" s="140"/>
      <c r="X618" s="140"/>
      <c r="Y618" s="140"/>
      <c r="Z618" s="140"/>
      <c r="AA618" s="140"/>
      <c r="AB618" s="140"/>
      <c r="AC618" s="140"/>
      <c r="AD618" s="140"/>
      <c r="AE618" s="140"/>
      <c r="AF618" s="140"/>
      <c r="AG618" s="140"/>
      <c r="AH618" s="140"/>
      <c r="AI618" s="140"/>
      <c r="AJ618" s="140"/>
      <c r="AK618" s="140"/>
      <c r="AL618" s="140"/>
      <c r="AM618" s="140"/>
      <c r="AN618" s="140"/>
      <c r="AO618" s="140"/>
      <c r="AP618" s="140"/>
      <c r="AQ618" s="140"/>
      <c r="AR618" s="140"/>
      <c r="AS618" s="140"/>
      <c r="AT618" s="140"/>
      <c r="AU618" s="140"/>
      <c r="AV618" s="140"/>
      <c r="AW618" s="140"/>
      <c r="AX618" s="140"/>
      <c r="AY618" s="140"/>
      <c r="AZ618" s="140"/>
      <c r="BA618" s="140"/>
      <c r="BB618" s="140"/>
      <c r="BC618" s="140"/>
      <c r="BD618" s="140"/>
      <c r="BE618" s="140"/>
    </row>
    <row r="619">
      <c r="A619" s="108"/>
      <c r="B619" s="107"/>
      <c r="C619" s="107"/>
      <c r="D619" s="107"/>
      <c r="E619" s="107"/>
      <c r="F619" s="107"/>
      <c r="G619" s="208"/>
      <c r="H619" s="131"/>
      <c r="I619" s="211"/>
      <c r="J619" s="107"/>
      <c r="K619" s="202"/>
      <c r="L619" s="107"/>
      <c r="M619" s="107"/>
      <c r="N619" s="206"/>
      <c r="O619" s="108" t="b">
        <v>0</v>
      </c>
      <c r="P619" s="207"/>
      <c r="Q619" s="140"/>
      <c r="R619" s="140"/>
      <c r="S619" s="140"/>
      <c r="T619" s="140"/>
      <c r="U619" s="140"/>
      <c r="V619" s="140"/>
      <c r="W619" s="140"/>
      <c r="X619" s="140"/>
      <c r="Y619" s="140"/>
      <c r="Z619" s="140"/>
      <c r="AA619" s="140"/>
      <c r="AB619" s="140"/>
      <c r="AC619" s="140"/>
      <c r="AD619" s="140"/>
      <c r="AE619" s="140"/>
      <c r="AF619" s="140"/>
      <c r="AG619" s="140"/>
      <c r="AH619" s="140"/>
      <c r="AI619" s="140"/>
      <c r="AJ619" s="140"/>
      <c r="AK619" s="140"/>
      <c r="AL619" s="140"/>
      <c r="AM619" s="140"/>
      <c r="AN619" s="140"/>
      <c r="AO619" s="140"/>
      <c r="AP619" s="140"/>
      <c r="AQ619" s="140"/>
      <c r="AR619" s="140"/>
      <c r="AS619" s="140"/>
      <c r="AT619" s="140"/>
      <c r="AU619" s="140"/>
      <c r="AV619" s="140"/>
      <c r="AW619" s="140"/>
      <c r="AX619" s="140"/>
      <c r="AY619" s="140"/>
      <c r="AZ619" s="140"/>
      <c r="BA619" s="140"/>
      <c r="BB619" s="140"/>
      <c r="BC619" s="140"/>
      <c r="BD619" s="140"/>
      <c r="BE619" s="140"/>
    </row>
    <row r="620">
      <c r="A620" s="108"/>
      <c r="B620" s="107"/>
      <c r="C620" s="107"/>
      <c r="D620" s="107"/>
      <c r="E620" s="107"/>
      <c r="F620" s="107"/>
      <c r="G620" s="208"/>
      <c r="H620" s="131"/>
      <c r="I620" s="211"/>
      <c r="J620" s="107"/>
      <c r="K620" s="202"/>
      <c r="L620" s="107"/>
      <c r="M620" s="107"/>
      <c r="N620" s="206"/>
      <c r="O620" s="108" t="b">
        <v>0</v>
      </c>
      <c r="P620" s="207"/>
      <c r="Q620" s="140"/>
      <c r="R620" s="140"/>
      <c r="S620" s="140"/>
      <c r="T620" s="140"/>
      <c r="U620" s="140"/>
      <c r="V620" s="140"/>
      <c r="W620" s="140"/>
      <c r="X620" s="140"/>
      <c r="Y620" s="140"/>
      <c r="Z620" s="140"/>
      <c r="AA620" s="140"/>
      <c r="AB620" s="140"/>
      <c r="AC620" s="140"/>
      <c r="AD620" s="140"/>
      <c r="AE620" s="140"/>
      <c r="AF620" s="140"/>
      <c r="AG620" s="140"/>
      <c r="AH620" s="140"/>
      <c r="AI620" s="140"/>
      <c r="AJ620" s="140"/>
      <c r="AK620" s="140"/>
      <c r="AL620" s="140"/>
      <c r="AM620" s="140"/>
      <c r="AN620" s="140"/>
      <c r="AO620" s="140"/>
      <c r="AP620" s="140"/>
      <c r="AQ620" s="140"/>
      <c r="AR620" s="140"/>
      <c r="AS620" s="140"/>
      <c r="AT620" s="140"/>
      <c r="AU620" s="140"/>
      <c r="AV620" s="140"/>
      <c r="AW620" s="140"/>
      <c r="AX620" s="140"/>
      <c r="AY620" s="140"/>
      <c r="AZ620" s="140"/>
      <c r="BA620" s="140"/>
      <c r="BB620" s="140"/>
      <c r="BC620" s="140"/>
      <c r="BD620" s="140"/>
      <c r="BE620" s="140"/>
    </row>
    <row r="621">
      <c r="A621" s="108"/>
      <c r="B621" s="107"/>
      <c r="C621" s="107"/>
      <c r="D621" s="107"/>
      <c r="E621" s="107"/>
      <c r="F621" s="107"/>
      <c r="G621" s="208"/>
      <c r="H621" s="131"/>
      <c r="I621" s="211"/>
      <c r="J621" s="107"/>
      <c r="K621" s="202"/>
      <c r="L621" s="107"/>
      <c r="M621" s="107"/>
      <c r="N621" s="206"/>
      <c r="O621" s="108" t="b">
        <v>0</v>
      </c>
      <c r="P621" s="207"/>
      <c r="Q621" s="140"/>
      <c r="R621" s="140"/>
      <c r="S621" s="140"/>
      <c r="T621" s="140"/>
      <c r="U621" s="140"/>
      <c r="V621" s="140"/>
      <c r="W621" s="140"/>
      <c r="X621" s="140"/>
      <c r="Y621" s="140"/>
      <c r="Z621" s="140"/>
      <c r="AA621" s="140"/>
      <c r="AB621" s="140"/>
      <c r="AC621" s="140"/>
      <c r="AD621" s="140"/>
      <c r="AE621" s="140"/>
      <c r="AF621" s="140"/>
      <c r="AG621" s="140"/>
      <c r="AH621" s="140"/>
      <c r="AI621" s="140"/>
      <c r="AJ621" s="140"/>
      <c r="AK621" s="140"/>
      <c r="AL621" s="140"/>
      <c r="AM621" s="140"/>
      <c r="AN621" s="140"/>
      <c r="AO621" s="140"/>
      <c r="AP621" s="140"/>
      <c r="AQ621" s="140"/>
      <c r="AR621" s="140"/>
      <c r="AS621" s="140"/>
      <c r="AT621" s="140"/>
      <c r="AU621" s="140"/>
      <c r="AV621" s="140"/>
      <c r="AW621" s="140"/>
      <c r="AX621" s="140"/>
      <c r="AY621" s="140"/>
      <c r="AZ621" s="140"/>
      <c r="BA621" s="140"/>
      <c r="BB621" s="140"/>
      <c r="BC621" s="140"/>
      <c r="BD621" s="140"/>
      <c r="BE621" s="140"/>
    </row>
    <row r="622">
      <c r="A622" s="108"/>
      <c r="B622" s="107"/>
      <c r="C622" s="107"/>
      <c r="D622" s="107"/>
      <c r="E622" s="107"/>
      <c r="F622" s="107"/>
      <c r="G622" s="208"/>
      <c r="H622" s="131"/>
      <c r="I622" s="211"/>
      <c r="J622" s="107"/>
      <c r="K622" s="202"/>
      <c r="L622" s="107"/>
      <c r="M622" s="107"/>
      <c r="N622" s="206"/>
      <c r="O622" s="108" t="b">
        <v>0</v>
      </c>
      <c r="P622" s="207"/>
      <c r="Q622" s="140"/>
      <c r="R622" s="140"/>
      <c r="S622" s="140"/>
      <c r="T622" s="140"/>
      <c r="U622" s="140"/>
      <c r="V622" s="140"/>
      <c r="W622" s="140"/>
      <c r="X622" s="140"/>
      <c r="Y622" s="140"/>
      <c r="Z622" s="140"/>
      <c r="AA622" s="140"/>
      <c r="AB622" s="140"/>
      <c r="AC622" s="140"/>
      <c r="AD622" s="140"/>
      <c r="AE622" s="140"/>
      <c r="AF622" s="140"/>
      <c r="AG622" s="140"/>
      <c r="AH622" s="140"/>
      <c r="AI622" s="140"/>
      <c r="AJ622" s="140"/>
      <c r="AK622" s="140"/>
      <c r="AL622" s="140"/>
      <c r="AM622" s="140"/>
      <c r="AN622" s="140"/>
      <c r="AO622" s="140"/>
      <c r="AP622" s="140"/>
      <c r="AQ622" s="140"/>
      <c r="AR622" s="140"/>
      <c r="AS622" s="140"/>
      <c r="AT622" s="140"/>
      <c r="AU622" s="140"/>
      <c r="AV622" s="140"/>
      <c r="AW622" s="140"/>
      <c r="AX622" s="140"/>
      <c r="AY622" s="140"/>
      <c r="AZ622" s="140"/>
      <c r="BA622" s="140"/>
      <c r="BB622" s="140"/>
      <c r="BC622" s="140"/>
      <c r="BD622" s="140"/>
      <c r="BE622" s="140"/>
    </row>
    <row r="623">
      <c r="A623" s="108"/>
      <c r="B623" s="107"/>
      <c r="C623" s="107"/>
      <c r="D623" s="107"/>
      <c r="E623" s="107"/>
      <c r="F623" s="107"/>
      <c r="G623" s="208"/>
      <c r="H623" s="131"/>
      <c r="I623" s="211"/>
      <c r="J623" s="107"/>
      <c r="K623" s="202"/>
      <c r="L623" s="107"/>
      <c r="M623" s="107"/>
      <c r="N623" s="206"/>
      <c r="O623" s="108" t="b">
        <v>0</v>
      </c>
      <c r="P623" s="207"/>
      <c r="Q623" s="140"/>
      <c r="R623" s="140"/>
      <c r="S623" s="140"/>
      <c r="T623" s="140"/>
      <c r="U623" s="140"/>
      <c r="V623" s="140"/>
      <c r="W623" s="140"/>
      <c r="X623" s="140"/>
      <c r="Y623" s="140"/>
      <c r="Z623" s="140"/>
      <c r="AA623" s="140"/>
      <c r="AB623" s="140"/>
      <c r="AC623" s="140"/>
      <c r="AD623" s="140"/>
      <c r="AE623" s="140"/>
      <c r="AF623" s="140"/>
      <c r="AG623" s="140"/>
      <c r="AH623" s="140"/>
      <c r="AI623" s="140"/>
      <c r="AJ623" s="140"/>
      <c r="AK623" s="140"/>
      <c r="AL623" s="140"/>
      <c r="AM623" s="140"/>
      <c r="AN623" s="140"/>
      <c r="AO623" s="140"/>
      <c r="AP623" s="140"/>
      <c r="AQ623" s="140"/>
      <c r="AR623" s="140"/>
      <c r="AS623" s="140"/>
      <c r="AT623" s="140"/>
      <c r="AU623" s="140"/>
      <c r="AV623" s="140"/>
      <c r="AW623" s="140"/>
      <c r="AX623" s="140"/>
      <c r="AY623" s="140"/>
      <c r="AZ623" s="140"/>
      <c r="BA623" s="140"/>
      <c r="BB623" s="140"/>
      <c r="BC623" s="140"/>
      <c r="BD623" s="140"/>
      <c r="BE623" s="140"/>
    </row>
    <row r="624">
      <c r="A624" s="108"/>
      <c r="B624" s="107"/>
      <c r="C624" s="107"/>
      <c r="D624" s="107"/>
      <c r="E624" s="107"/>
      <c r="F624" s="107"/>
      <c r="G624" s="208"/>
      <c r="H624" s="131"/>
      <c r="I624" s="211"/>
      <c r="J624" s="107"/>
      <c r="K624" s="202"/>
      <c r="L624" s="107"/>
      <c r="M624" s="107"/>
      <c r="N624" s="206"/>
      <c r="O624" s="108" t="b">
        <v>0</v>
      </c>
      <c r="P624" s="207"/>
      <c r="Q624" s="140"/>
      <c r="R624" s="140"/>
      <c r="S624" s="140"/>
      <c r="T624" s="140"/>
      <c r="U624" s="140"/>
      <c r="V624" s="140"/>
      <c r="W624" s="140"/>
      <c r="X624" s="140"/>
      <c r="Y624" s="140"/>
      <c r="Z624" s="140"/>
      <c r="AA624" s="140"/>
      <c r="AB624" s="140"/>
      <c r="AC624" s="140"/>
      <c r="AD624" s="140"/>
      <c r="AE624" s="140"/>
      <c r="AF624" s="140"/>
      <c r="AG624" s="140"/>
      <c r="AH624" s="140"/>
      <c r="AI624" s="140"/>
      <c r="AJ624" s="140"/>
      <c r="AK624" s="140"/>
      <c r="AL624" s="140"/>
      <c r="AM624" s="140"/>
      <c r="AN624" s="140"/>
      <c r="AO624" s="140"/>
      <c r="AP624" s="140"/>
      <c r="AQ624" s="140"/>
      <c r="AR624" s="140"/>
      <c r="AS624" s="140"/>
      <c r="AT624" s="140"/>
      <c r="AU624" s="140"/>
      <c r="AV624" s="140"/>
      <c r="AW624" s="140"/>
      <c r="AX624" s="140"/>
      <c r="AY624" s="140"/>
      <c r="AZ624" s="140"/>
      <c r="BA624" s="140"/>
      <c r="BB624" s="140"/>
      <c r="BC624" s="140"/>
      <c r="BD624" s="140"/>
      <c r="BE624" s="140"/>
    </row>
    <row r="625">
      <c r="A625" s="108"/>
      <c r="B625" s="107"/>
      <c r="C625" s="107"/>
      <c r="D625" s="107"/>
      <c r="E625" s="107"/>
      <c r="F625" s="107"/>
      <c r="G625" s="208"/>
      <c r="H625" s="131"/>
      <c r="I625" s="211"/>
      <c r="J625" s="107"/>
      <c r="K625" s="202"/>
      <c r="L625" s="107"/>
      <c r="M625" s="107"/>
      <c r="N625" s="206"/>
      <c r="O625" s="108" t="b">
        <v>0</v>
      </c>
      <c r="P625" s="207"/>
      <c r="Q625" s="140"/>
      <c r="R625" s="140"/>
      <c r="S625" s="140"/>
      <c r="T625" s="140"/>
      <c r="U625" s="140"/>
      <c r="V625" s="140"/>
      <c r="W625" s="140"/>
      <c r="X625" s="140"/>
      <c r="Y625" s="140"/>
      <c r="Z625" s="140"/>
      <c r="AA625" s="140"/>
      <c r="AB625" s="140"/>
      <c r="AC625" s="140"/>
      <c r="AD625" s="140"/>
      <c r="AE625" s="140"/>
      <c r="AF625" s="140"/>
      <c r="AG625" s="140"/>
      <c r="AH625" s="140"/>
      <c r="AI625" s="140"/>
      <c r="AJ625" s="140"/>
      <c r="AK625" s="140"/>
      <c r="AL625" s="140"/>
      <c r="AM625" s="140"/>
      <c r="AN625" s="140"/>
      <c r="AO625" s="140"/>
      <c r="AP625" s="140"/>
      <c r="AQ625" s="140"/>
      <c r="AR625" s="140"/>
      <c r="AS625" s="140"/>
      <c r="AT625" s="140"/>
      <c r="AU625" s="140"/>
      <c r="AV625" s="140"/>
      <c r="AW625" s="140"/>
      <c r="AX625" s="140"/>
      <c r="AY625" s="140"/>
      <c r="AZ625" s="140"/>
      <c r="BA625" s="140"/>
      <c r="BB625" s="140"/>
      <c r="BC625" s="140"/>
      <c r="BD625" s="140"/>
      <c r="BE625" s="140"/>
    </row>
    <row r="626">
      <c r="A626" s="108"/>
      <c r="B626" s="107"/>
      <c r="C626" s="107"/>
      <c r="D626" s="107"/>
      <c r="E626" s="107"/>
      <c r="F626" s="107"/>
      <c r="G626" s="208"/>
      <c r="H626" s="131"/>
      <c r="I626" s="211"/>
      <c r="J626" s="107"/>
      <c r="K626" s="202"/>
      <c r="L626" s="107"/>
      <c r="M626" s="107"/>
      <c r="N626" s="206"/>
      <c r="O626" s="108" t="b">
        <v>0</v>
      </c>
      <c r="P626" s="207"/>
      <c r="Q626" s="140"/>
      <c r="R626" s="140"/>
      <c r="S626" s="140"/>
      <c r="T626" s="140"/>
      <c r="U626" s="140"/>
      <c r="V626" s="140"/>
      <c r="W626" s="140"/>
      <c r="X626" s="140"/>
      <c r="Y626" s="140"/>
      <c r="Z626" s="140"/>
      <c r="AA626" s="140"/>
      <c r="AB626" s="140"/>
      <c r="AC626" s="140"/>
      <c r="AD626" s="140"/>
      <c r="AE626" s="140"/>
      <c r="AF626" s="140"/>
      <c r="AG626" s="140"/>
      <c r="AH626" s="140"/>
      <c r="AI626" s="140"/>
      <c r="AJ626" s="140"/>
      <c r="AK626" s="140"/>
      <c r="AL626" s="140"/>
      <c r="AM626" s="140"/>
      <c r="AN626" s="140"/>
      <c r="AO626" s="140"/>
      <c r="AP626" s="140"/>
      <c r="AQ626" s="140"/>
      <c r="AR626" s="140"/>
      <c r="AS626" s="140"/>
      <c r="AT626" s="140"/>
      <c r="AU626" s="140"/>
      <c r="AV626" s="140"/>
      <c r="AW626" s="140"/>
      <c r="AX626" s="140"/>
      <c r="AY626" s="140"/>
      <c r="AZ626" s="140"/>
      <c r="BA626" s="140"/>
      <c r="BB626" s="140"/>
      <c r="BC626" s="140"/>
      <c r="BD626" s="140"/>
      <c r="BE626" s="140"/>
    </row>
    <row r="627">
      <c r="A627" s="108"/>
      <c r="B627" s="107"/>
      <c r="C627" s="107"/>
      <c r="D627" s="107"/>
      <c r="E627" s="107"/>
      <c r="F627" s="107"/>
      <c r="G627" s="208"/>
      <c r="H627" s="131"/>
      <c r="I627" s="211"/>
      <c r="J627" s="107"/>
      <c r="K627" s="202"/>
      <c r="L627" s="107"/>
      <c r="M627" s="107"/>
      <c r="N627" s="206"/>
      <c r="O627" s="108" t="b">
        <v>0</v>
      </c>
      <c r="P627" s="207"/>
      <c r="Q627" s="140"/>
      <c r="R627" s="140"/>
      <c r="S627" s="140"/>
      <c r="T627" s="140"/>
      <c r="U627" s="140"/>
      <c r="V627" s="140"/>
      <c r="W627" s="140"/>
      <c r="X627" s="140"/>
      <c r="Y627" s="140"/>
      <c r="Z627" s="140"/>
      <c r="AA627" s="140"/>
      <c r="AB627" s="140"/>
      <c r="AC627" s="140"/>
      <c r="AD627" s="140"/>
      <c r="AE627" s="140"/>
      <c r="AF627" s="140"/>
      <c r="AG627" s="140"/>
      <c r="AH627" s="140"/>
      <c r="AI627" s="140"/>
      <c r="AJ627" s="140"/>
      <c r="AK627" s="140"/>
      <c r="AL627" s="140"/>
      <c r="AM627" s="140"/>
      <c r="AN627" s="140"/>
      <c r="AO627" s="140"/>
      <c r="AP627" s="140"/>
      <c r="AQ627" s="140"/>
      <c r="AR627" s="140"/>
      <c r="AS627" s="140"/>
      <c r="AT627" s="140"/>
      <c r="AU627" s="140"/>
      <c r="AV627" s="140"/>
      <c r="AW627" s="140"/>
      <c r="AX627" s="140"/>
      <c r="AY627" s="140"/>
      <c r="AZ627" s="140"/>
      <c r="BA627" s="140"/>
      <c r="BB627" s="140"/>
      <c r="BC627" s="140"/>
      <c r="BD627" s="140"/>
      <c r="BE627" s="140"/>
    </row>
    <row r="628">
      <c r="A628" s="108"/>
      <c r="B628" s="107"/>
      <c r="C628" s="107"/>
      <c r="D628" s="107"/>
      <c r="E628" s="107"/>
      <c r="F628" s="107"/>
      <c r="G628" s="208"/>
      <c r="H628" s="131"/>
      <c r="I628" s="211"/>
      <c r="J628" s="107"/>
      <c r="K628" s="202"/>
      <c r="L628" s="107"/>
      <c r="M628" s="107"/>
      <c r="N628" s="206"/>
      <c r="O628" s="108" t="b">
        <v>0</v>
      </c>
      <c r="P628" s="207"/>
      <c r="Q628" s="140"/>
      <c r="R628" s="140"/>
      <c r="S628" s="140"/>
      <c r="T628" s="140"/>
      <c r="U628" s="140"/>
      <c r="V628" s="140"/>
      <c r="W628" s="140"/>
      <c r="X628" s="140"/>
      <c r="Y628" s="140"/>
      <c r="Z628" s="140"/>
      <c r="AA628" s="140"/>
      <c r="AB628" s="140"/>
      <c r="AC628" s="140"/>
      <c r="AD628" s="140"/>
      <c r="AE628" s="140"/>
      <c r="AF628" s="140"/>
      <c r="AG628" s="140"/>
      <c r="AH628" s="140"/>
      <c r="AI628" s="140"/>
      <c r="AJ628" s="140"/>
      <c r="AK628" s="140"/>
      <c r="AL628" s="140"/>
      <c r="AM628" s="140"/>
      <c r="AN628" s="140"/>
      <c r="AO628" s="140"/>
      <c r="AP628" s="140"/>
      <c r="AQ628" s="140"/>
      <c r="AR628" s="140"/>
      <c r="AS628" s="140"/>
      <c r="AT628" s="140"/>
      <c r="AU628" s="140"/>
      <c r="AV628" s="140"/>
      <c r="AW628" s="140"/>
      <c r="AX628" s="140"/>
      <c r="AY628" s="140"/>
      <c r="AZ628" s="140"/>
      <c r="BA628" s="140"/>
      <c r="BB628" s="140"/>
      <c r="BC628" s="140"/>
      <c r="BD628" s="140"/>
      <c r="BE628" s="140"/>
    </row>
    <row r="629">
      <c r="A629" s="108"/>
      <c r="B629" s="107"/>
      <c r="C629" s="107"/>
      <c r="D629" s="107"/>
      <c r="E629" s="107"/>
      <c r="F629" s="107"/>
      <c r="G629" s="208"/>
      <c r="H629" s="131"/>
      <c r="I629" s="211"/>
      <c r="J629" s="107"/>
      <c r="K629" s="202"/>
      <c r="L629" s="107"/>
      <c r="M629" s="107"/>
      <c r="N629" s="206"/>
      <c r="O629" s="108" t="b">
        <v>0</v>
      </c>
      <c r="P629" s="207"/>
      <c r="Q629" s="140"/>
      <c r="R629" s="140"/>
      <c r="S629" s="140"/>
      <c r="T629" s="140"/>
      <c r="U629" s="140"/>
      <c r="V629" s="140"/>
      <c r="W629" s="140"/>
      <c r="X629" s="140"/>
      <c r="Y629" s="140"/>
      <c r="Z629" s="140"/>
      <c r="AA629" s="140"/>
      <c r="AB629" s="140"/>
      <c r="AC629" s="140"/>
      <c r="AD629" s="140"/>
      <c r="AE629" s="140"/>
      <c r="AF629" s="140"/>
      <c r="AG629" s="140"/>
      <c r="AH629" s="140"/>
      <c r="AI629" s="140"/>
      <c r="AJ629" s="140"/>
      <c r="AK629" s="140"/>
      <c r="AL629" s="140"/>
      <c r="AM629" s="140"/>
      <c r="AN629" s="140"/>
      <c r="AO629" s="140"/>
      <c r="AP629" s="140"/>
      <c r="AQ629" s="140"/>
      <c r="AR629" s="140"/>
      <c r="AS629" s="140"/>
      <c r="AT629" s="140"/>
      <c r="AU629" s="140"/>
      <c r="AV629" s="140"/>
      <c r="AW629" s="140"/>
      <c r="AX629" s="140"/>
      <c r="AY629" s="140"/>
      <c r="AZ629" s="140"/>
      <c r="BA629" s="140"/>
      <c r="BB629" s="140"/>
      <c r="BC629" s="140"/>
      <c r="BD629" s="140"/>
      <c r="BE629" s="140"/>
    </row>
    <row r="630">
      <c r="A630" s="108"/>
      <c r="B630" s="107"/>
      <c r="C630" s="107"/>
      <c r="D630" s="107"/>
      <c r="E630" s="107"/>
      <c r="F630" s="107"/>
      <c r="G630" s="208"/>
      <c r="H630" s="131"/>
      <c r="I630" s="211"/>
      <c r="J630" s="107"/>
      <c r="K630" s="202"/>
      <c r="L630" s="107"/>
      <c r="M630" s="107"/>
      <c r="N630" s="206"/>
      <c r="O630" s="108" t="b">
        <v>0</v>
      </c>
      <c r="P630" s="207"/>
      <c r="Q630" s="140"/>
      <c r="R630" s="140"/>
      <c r="S630" s="140"/>
      <c r="T630" s="140"/>
      <c r="U630" s="140"/>
      <c r="V630" s="140"/>
      <c r="W630" s="140"/>
      <c r="X630" s="140"/>
      <c r="Y630" s="140"/>
      <c r="Z630" s="140"/>
      <c r="AA630" s="140"/>
      <c r="AB630" s="140"/>
      <c r="AC630" s="140"/>
      <c r="AD630" s="140"/>
      <c r="AE630" s="140"/>
      <c r="AF630" s="140"/>
      <c r="AG630" s="140"/>
      <c r="AH630" s="140"/>
      <c r="AI630" s="140"/>
      <c r="AJ630" s="140"/>
      <c r="AK630" s="140"/>
      <c r="AL630" s="140"/>
      <c r="AM630" s="140"/>
      <c r="AN630" s="140"/>
      <c r="AO630" s="140"/>
      <c r="AP630" s="140"/>
      <c r="AQ630" s="140"/>
      <c r="AR630" s="140"/>
      <c r="AS630" s="140"/>
      <c r="AT630" s="140"/>
      <c r="AU630" s="140"/>
      <c r="AV630" s="140"/>
      <c r="AW630" s="140"/>
      <c r="AX630" s="140"/>
      <c r="AY630" s="140"/>
      <c r="AZ630" s="140"/>
      <c r="BA630" s="140"/>
      <c r="BB630" s="140"/>
      <c r="BC630" s="140"/>
      <c r="BD630" s="140"/>
      <c r="BE630" s="140"/>
    </row>
    <row r="631">
      <c r="A631" s="108"/>
      <c r="B631" s="107"/>
      <c r="C631" s="107"/>
      <c r="D631" s="107"/>
      <c r="E631" s="107"/>
      <c r="F631" s="107"/>
      <c r="G631" s="208"/>
      <c r="H631" s="131"/>
      <c r="I631" s="211"/>
      <c r="J631" s="107"/>
      <c r="K631" s="202"/>
      <c r="L631" s="107"/>
      <c r="M631" s="107"/>
      <c r="N631" s="206"/>
      <c r="O631" s="108" t="b">
        <v>0</v>
      </c>
      <c r="P631" s="207"/>
      <c r="Q631" s="140"/>
      <c r="R631" s="140"/>
      <c r="S631" s="140"/>
      <c r="T631" s="140"/>
      <c r="U631" s="140"/>
      <c r="V631" s="140"/>
      <c r="W631" s="140"/>
      <c r="X631" s="140"/>
      <c r="Y631" s="140"/>
      <c r="Z631" s="140"/>
      <c r="AA631" s="140"/>
      <c r="AB631" s="140"/>
      <c r="AC631" s="140"/>
      <c r="AD631" s="140"/>
      <c r="AE631" s="140"/>
      <c r="AF631" s="140"/>
      <c r="AG631" s="140"/>
      <c r="AH631" s="140"/>
      <c r="AI631" s="140"/>
      <c r="AJ631" s="140"/>
      <c r="AK631" s="140"/>
      <c r="AL631" s="140"/>
      <c r="AM631" s="140"/>
      <c r="AN631" s="140"/>
      <c r="AO631" s="140"/>
      <c r="AP631" s="140"/>
      <c r="AQ631" s="140"/>
      <c r="AR631" s="140"/>
      <c r="AS631" s="140"/>
      <c r="AT631" s="140"/>
      <c r="AU631" s="140"/>
      <c r="AV631" s="140"/>
      <c r="AW631" s="140"/>
      <c r="AX631" s="140"/>
      <c r="AY631" s="140"/>
      <c r="AZ631" s="140"/>
      <c r="BA631" s="140"/>
      <c r="BB631" s="140"/>
      <c r="BC631" s="140"/>
      <c r="BD631" s="140"/>
      <c r="BE631" s="140"/>
    </row>
    <row r="632">
      <c r="A632" s="108"/>
      <c r="B632" s="107"/>
      <c r="C632" s="107"/>
      <c r="D632" s="107"/>
      <c r="E632" s="107"/>
      <c r="F632" s="107"/>
      <c r="G632" s="208"/>
      <c r="H632" s="131"/>
      <c r="I632" s="211"/>
      <c r="J632" s="107"/>
      <c r="K632" s="202"/>
      <c r="L632" s="107"/>
      <c r="M632" s="107"/>
      <c r="N632" s="206"/>
      <c r="O632" s="108" t="b">
        <v>0</v>
      </c>
      <c r="P632" s="207"/>
      <c r="Q632" s="140"/>
      <c r="R632" s="140"/>
      <c r="S632" s="140"/>
      <c r="T632" s="140"/>
      <c r="U632" s="140"/>
      <c r="V632" s="140"/>
      <c r="W632" s="140"/>
      <c r="X632" s="140"/>
      <c r="Y632" s="140"/>
      <c r="Z632" s="140"/>
      <c r="AA632" s="140"/>
      <c r="AB632" s="140"/>
      <c r="AC632" s="140"/>
      <c r="AD632" s="140"/>
      <c r="AE632" s="140"/>
      <c r="AF632" s="140"/>
      <c r="AG632" s="140"/>
      <c r="AH632" s="140"/>
      <c r="AI632" s="140"/>
      <c r="AJ632" s="140"/>
      <c r="AK632" s="140"/>
      <c r="AL632" s="140"/>
      <c r="AM632" s="140"/>
      <c r="AN632" s="140"/>
      <c r="AO632" s="140"/>
      <c r="AP632" s="140"/>
      <c r="AQ632" s="140"/>
      <c r="AR632" s="140"/>
      <c r="AS632" s="140"/>
      <c r="AT632" s="140"/>
      <c r="AU632" s="140"/>
      <c r="AV632" s="140"/>
      <c r="AW632" s="140"/>
      <c r="AX632" s="140"/>
      <c r="AY632" s="140"/>
      <c r="AZ632" s="140"/>
      <c r="BA632" s="140"/>
      <c r="BB632" s="140"/>
      <c r="BC632" s="140"/>
      <c r="BD632" s="140"/>
      <c r="BE632" s="140"/>
    </row>
    <row r="633">
      <c r="A633" s="108"/>
      <c r="B633" s="107"/>
      <c r="C633" s="107"/>
      <c r="D633" s="107"/>
      <c r="E633" s="107"/>
      <c r="F633" s="107"/>
      <c r="G633" s="208"/>
      <c r="H633" s="131"/>
      <c r="I633" s="211"/>
      <c r="J633" s="107"/>
      <c r="K633" s="202"/>
      <c r="L633" s="107"/>
      <c r="M633" s="107"/>
      <c r="N633" s="206"/>
      <c r="O633" s="108" t="b">
        <v>0</v>
      </c>
      <c r="P633" s="207"/>
      <c r="Q633" s="140"/>
      <c r="R633" s="140"/>
      <c r="S633" s="140"/>
      <c r="T633" s="140"/>
      <c r="U633" s="140"/>
      <c r="V633" s="140"/>
      <c r="W633" s="140"/>
      <c r="X633" s="140"/>
      <c r="Y633" s="140"/>
      <c r="Z633" s="140"/>
      <c r="AA633" s="140"/>
      <c r="AB633" s="140"/>
      <c r="AC633" s="140"/>
      <c r="AD633" s="140"/>
      <c r="AE633" s="140"/>
      <c r="AF633" s="140"/>
      <c r="AG633" s="140"/>
      <c r="AH633" s="140"/>
      <c r="AI633" s="140"/>
      <c r="AJ633" s="140"/>
      <c r="AK633" s="140"/>
      <c r="AL633" s="140"/>
      <c r="AM633" s="140"/>
      <c r="AN633" s="140"/>
      <c r="AO633" s="140"/>
      <c r="AP633" s="140"/>
      <c r="AQ633" s="140"/>
      <c r="AR633" s="140"/>
      <c r="AS633" s="140"/>
      <c r="AT633" s="140"/>
      <c r="AU633" s="140"/>
      <c r="AV633" s="140"/>
      <c r="AW633" s="140"/>
      <c r="AX633" s="140"/>
      <c r="AY633" s="140"/>
      <c r="AZ633" s="140"/>
      <c r="BA633" s="140"/>
      <c r="BB633" s="140"/>
      <c r="BC633" s="140"/>
      <c r="BD633" s="140"/>
      <c r="BE633" s="140"/>
    </row>
    <row r="634">
      <c r="A634" s="108"/>
      <c r="B634" s="107"/>
      <c r="C634" s="107"/>
      <c r="D634" s="107"/>
      <c r="E634" s="107"/>
      <c r="F634" s="107"/>
      <c r="G634" s="208"/>
      <c r="H634" s="131"/>
      <c r="I634" s="211"/>
      <c r="J634" s="107"/>
      <c r="K634" s="202"/>
      <c r="L634" s="107"/>
      <c r="M634" s="107"/>
      <c r="N634" s="206"/>
      <c r="O634" s="108" t="b">
        <v>0</v>
      </c>
      <c r="P634" s="207"/>
      <c r="Q634" s="140"/>
      <c r="R634" s="140"/>
      <c r="S634" s="140"/>
      <c r="T634" s="140"/>
      <c r="U634" s="140"/>
      <c r="V634" s="140"/>
      <c r="W634" s="140"/>
      <c r="X634" s="140"/>
      <c r="Y634" s="140"/>
      <c r="Z634" s="140"/>
      <c r="AA634" s="140"/>
      <c r="AB634" s="140"/>
      <c r="AC634" s="140"/>
      <c r="AD634" s="140"/>
      <c r="AE634" s="140"/>
      <c r="AF634" s="140"/>
      <c r="AG634" s="140"/>
      <c r="AH634" s="140"/>
      <c r="AI634" s="140"/>
      <c r="AJ634" s="140"/>
      <c r="AK634" s="140"/>
      <c r="AL634" s="140"/>
      <c r="AM634" s="140"/>
      <c r="AN634" s="140"/>
      <c r="AO634" s="140"/>
      <c r="AP634" s="140"/>
      <c r="AQ634" s="140"/>
      <c r="AR634" s="140"/>
      <c r="AS634" s="140"/>
      <c r="AT634" s="140"/>
      <c r="AU634" s="140"/>
      <c r="AV634" s="140"/>
      <c r="AW634" s="140"/>
      <c r="AX634" s="140"/>
      <c r="AY634" s="140"/>
      <c r="AZ634" s="140"/>
      <c r="BA634" s="140"/>
      <c r="BB634" s="140"/>
      <c r="BC634" s="140"/>
      <c r="BD634" s="140"/>
      <c r="BE634" s="140"/>
    </row>
    <row r="635">
      <c r="A635" s="108"/>
      <c r="B635" s="107"/>
      <c r="C635" s="107"/>
      <c r="D635" s="107"/>
      <c r="E635" s="107"/>
      <c r="F635" s="107"/>
      <c r="G635" s="208"/>
      <c r="H635" s="131"/>
      <c r="I635" s="211"/>
      <c r="J635" s="107"/>
      <c r="K635" s="202"/>
      <c r="L635" s="107"/>
      <c r="M635" s="107"/>
      <c r="N635" s="206"/>
      <c r="O635" s="108" t="b">
        <v>0</v>
      </c>
      <c r="P635" s="207"/>
      <c r="Q635" s="140"/>
      <c r="R635" s="140"/>
      <c r="S635" s="140"/>
      <c r="T635" s="140"/>
      <c r="U635" s="140"/>
      <c r="V635" s="140"/>
      <c r="W635" s="140"/>
      <c r="X635" s="140"/>
      <c r="Y635" s="140"/>
      <c r="Z635" s="140"/>
      <c r="AA635" s="140"/>
      <c r="AB635" s="140"/>
      <c r="AC635" s="140"/>
      <c r="AD635" s="140"/>
      <c r="AE635" s="140"/>
      <c r="AF635" s="140"/>
      <c r="AG635" s="140"/>
      <c r="AH635" s="140"/>
      <c r="AI635" s="140"/>
      <c r="AJ635" s="140"/>
      <c r="AK635" s="140"/>
      <c r="AL635" s="140"/>
      <c r="AM635" s="140"/>
      <c r="AN635" s="140"/>
      <c r="AO635" s="140"/>
      <c r="AP635" s="140"/>
      <c r="AQ635" s="140"/>
      <c r="AR635" s="140"/>
      <c r="AS635" s="140"/>
      <c r="AT635" s="140"/>
      <c r="AU635" s="140"/>
      <c r="AV635" s="140"/>
      <c r="AW635" s="140"/>
      <c r="AX635" s="140"/>
      <c r="AY635" s="140"/>
      <c r="AZ635" s="140"/>
      <c r="BA635" s="140"/>
      <c r="BB635" s="140"/>
      <c r="BC635" s="140"/>
      <c r="BD635" s="140"/>
      <c r="BE635" s="140"/>
    </row>
    <row r="636">
      <c r="A636" s="108"/>
      <c r="B636" s="107"/>
      <c r="C636" s="107"/>
      <c r="D636" s="107"/>
      <c r="E636" s="107"/>
      <c r="F636" s="107"/>
      <c r="G636" s="208"/>
      <c r="H636" s="131"/>
      <c r="I636" s="211"/>
      <c r="J636" s="107"/>
      <c r="K636" s="202"/>
      <c r="L636" s="107"/>
      <c r="M636" s="107"/>
      <c r="N636" s="206"/>
      <c r="O636" s="108" t="b">
        <v>0</v>
      </c>
      <c r="P636" s="207"/>
      <c r="Q636" s="140"/>
      <c r="R636" s="140"/>
      <c r="S636" s="140"/>
      <c r="T636" s="140"/>
      <c r="U636" s="140"/>
      <c r="V636" s="140"/>
      <c r="W636" s="140"/>
      <c r="X636" s="140"/>
      <c r="Y636" s="140"/>
      <c r="Z636" s="140"/>
      <c r="AA636" s="140"/>
      <c r="AB636" s="140"/>
      <c r="AC636" s="140"/>
      <c r="AD636" s="140"/>
      <c r="AE636" s="140"/>
      <c r="AF636" s="140"/>
      <c r="AG636" s="140"/>
      <c r="AH636" s="140"/>
      <c r="AI636" s="140"/>
      <c r="AJ636" s="140"/>
      <c r="AK636" s="140"/>
      <c r="AL636" s="140"/>
      <c r="AM636" s="140"/>
      <c r="AN636" s="140"/>
      <c r="AO636" s="140"/>
      <c r="AP636" s="140"/>
      <c r="AQ636" s="140"/>
      <c r="AR636" s="140"/>
      <c r="AS636" s="140"/>
      <c r="AT636" s="140"/>
      <c r="AU636" s="140"/>
      <c r="AV636" s="140"/>
      <c r="AW636" s="140"/>
      <c r="AX636" s="140"/>
      <c r="AY636" s="140"/>
      <c r="AZ636" s="140"/>
      <c r="BA636" s="140"/>
      <c r="BB636" s="140"/>
      <c r="BC636" s="140"/>
      <c r="BD636" s="140"/>
      <c r="BE636" s="140"/>
    </row>
    <row r="637">
      <c r="A637" s="108"/>
      <c r="B637" s="107"/>
      <c r="C637" s="107"/>
      <c r="D637" s="107"/>
      <c r="E637" s="107"/>
      <c r="F637" s="107"/>
      <c r="G637" s="208"/>
      <c r="H637" s="131"/>
      <c r="I637" s="211"/>
      <c r="J637" s="107"/>
      <c r="K637" s="202"/>
      <c r="L637" s="107"/>
      <c r="M637" s="107"/>
      <c r="N637" s="206"/>
      <c r="O637" s="108" t="b">
        <v>0</v>
      </c>
      <c r="P637" s="207"/>
      <c r="Q637" s="140"/>
      <c r="R637" s="140"/>
      <c r="S637" s="140"/>
      <c r="T637" s="140"/>
      <c r="U637" s="140"/>
      <c r="V637" s="140"/>
      <c r="W637" s="140"/>
      <c r="X637" s="140"/>
      <c r="Y637" s="140"/>
      <c r="Z637" s="140"/>
      <c r="AA637" s="140"/>
      <c r="AB637" s="140"/>
      <c r="AC637" s="140"/>
      <c r="AD637" s="140"/>
      <c r="AE637" s="140"/>
      <c r="AF637" s="140"/>
      <c r="AG637" s="140"/>
      <c r="AH637" s="140"/>
      <c r="AI637" s="140"/>
      <c r="AJ637" s="140"/>
      <c r="AK637" s="140"/>
      <c r="AL637" s="140"/>
      <c r="AM637" s="140"/>
      <c r="AN637" s="140"/>
      <c r="AO637" s="140"/>
      <c r="AP637" s="140"/>
      <c r="AQ637" s="140"/>
      <c r="AR637" s="140"/>
      <c r="AS637" s="140"/>
      <c r="AT637" s="140"/>
      <c r="AU637" s="140"/>
      <c r="AV637" s="140"/>
      <c r="AW637" s="140"/>
      <c r="AX637" s="140"/>
      <c r="AY637" s="140"/>
      <c r="AZ637" s="140"/>
      <c r="BA637" s="140"/>
      <c r="BB637" s="140"/>
      <c r="BC637" s="140"/>
      <c r="BD637" s="140"/>
      <c r="BE637" s="140"/>
    </row>
    <row r="638">
      <c r="A638" s="108"/>
      <c r="B638" s="107"/>
      <c r="C638" s="107"/>
      <c r="D638" s="107"/>
      <c r="E638" s="107"/>
      <c r="F638" s="107"/>
      <c r="G638" s="208"/>
      <c r="H638" s="131"/>
      <c r="I638" s="211"/>
      <c r="J638" s="107"/>
      <c r="K638" s="202"/>
      <c r="L638" s="107"/>
      <c r="M638" s="107"/>
      <c r="N638" s="206"/>
      <c r="O638" s="108" t="b">
        <v>0</v>
      </c>
      <c r="P638" s="207"/>
      <c r="Q638" s="140"/>
      <c r="R638" s="140"/>
      <c r="S638" s="140"/>
      <c r="T638" s="140"/>
      <c r="U638" s="140"/>
      <c r="V638" s="140"/>
      <c r="W638" s="140"/>
      <c r="X638" s="140"/>
      <c r="Y638" s="140"/>
      <c r="Z638" s="140"/>
      <c r="AA638" s="140"/>
      <c r="AB638" s="140"/>
      <c r="AC638" s="140"/>
      <c r="AD638" s="140"/>
      <c r="AE638" s="140"/>
      <c r="AF638" s="140"/>
      <c r="AG638" s="140"/>
      <c r="AH638" s="140"/>
      <c r="AI638" s="140"/>
      <c r="AJ638" s="140"/>
      <c r="AK638" s="140"/>
      <c r="AL638" s="140"/>
      <c r="AM638" s="140"/>
      <c r="AN638" s="140"/>
      <c r="AO638" s="140"/>
      <c r="AP638" s="140"/>
      <c r="AQ638" s="140"/>
      <c r="AR638" s="140"/>
      <c r="AS638" s="140"/>
      <c r="AT638" s="140"/>
      <c r="AU638" s="140"/>
      <c r="AV638" s="140"/>
      <c r="AW638" s="140"/>
      <c r="AX638" s="140"/>
      <c r="AY638" s="140"/>
      <c r="AZ638" s="140"/>
      <c r="BA638" s="140"/>
      <c r="BB638" s="140"/>
      <c r="BC638" s="140"/>
      <c r="BD638" s="140"/>
      <c r="BE638" s="140"/>
    </row>
    <row r="639">
      <c r="A639" s="108"/>
      <c r="B639" s="107"/>
      <c r="C639" s="107"/>
      <c r="D639" s="107"/>
      <c r="E639" s="107"/>
      <c r="F639" s="107"/>
      <c r="G639" s="208"/>
      <c r="H639" s="131"/>
      <c r="I639" s="211"/>
      <c r="J639" s="107"/>
      <c r="K639" s="202"/>
      <c r="L639" s="107"/>
      <c r="M639" s="107"/>
      <c r="N639" s="206"/>
      <c r="O639" s="108" t="b">
        <v>0</v>
      </c>
      <c r="P639" s="207"/>
      <c r="Q639" s="140"/>
      <c r="R639" s="140"/>
      <c r="S639" s="140"/>
      <c r="T639" s="140"/>
      <c r="U639" s="140"/>
      <c r="V639" s="140"/>
      <c r="W639" s="140"/>
      <c r="X639" s="140"/>
      <c r="Y639" s="140"/>
      <c r="Z639" s="140"/>
      <c r="AA639" s="140"/>
      <c r="AB639" s="140"/>
      <c r="AC639" s="140"/>
      <c r="AD639" s="140"/>
      <c r="AE639" s="140"/>
      <c r="AF639" s="140"/>
      <c r="AG639" s="140"/>
      <c r="AH639" s="140"/>
      <c r="AI639" s="140"/>
      <c r="AJ639" s="140"/>
      <c r="AK639" s="140"/>
      <c r="AL639" s="140"/>
      <c r="AM639" s="140"/>
      <c r="AN639" s="140"/>
      <c r="AO639" s="140"/>
      <c r="AP639" s="140"/>
      <c r="AQ639" s="140"/>
      <c r="AR639" s="140"/>
      <c r="AS639" s="140"/>
      <c r="AT639" s="140"/>
      <c r="AU639" s="140"/>
      <c r="AV639" s="140"/>
      <c r="AW639" s="140"/>
      <c r="AX639" s="140"/>
      <c r="AY639" s="140"/>
      <c r="AZ639" s="140"/>
      <c r="BA639" s="140"/>
      <c r="BB639" s="140"/>
      <c r="BC639" s="140"/>
      <c r="BD639" s="140"/>
      <c r="BE639" s="140"/>
    </row>
    <row r="640">
      <c r="A640" s="108"/>
      <c r="B640" s="107"/>
      <c r="C640" s="107"/>
      <c r="D640" s="107"/>
      <c r="E640" s="107"/>
      <c r="F640" s="107"/>
      <c r="G640" s="208"/>
      <c r="H640" s="131"/>
      <c r="I640" s="211"/>
      <c r="J640" s="107"/>
      <c r="K640" s="202"/>
      <c r="L640" s="107"/>
      <c r="M640" s="107"/>
      <c r="N640" s="206"/>
      <c r="O640" s="108" t="b">
        <v>0</v>
      </c>
      <c r="P640" s="207"/>
      <c r="Q640" s="140"/>
      <c r="R640" s="140"/>
      <c r="S640" s="140"/>
      <c r="T640" s="140"/>
      <c r="U640" s="140"/>
      <c r="V640" s="140"/>
      <c r="W640" s="140"/>
      <c r="X640" s="140"/>
      <c r="Y640" s="140"/>
      <c r="Z640" s="140"/>
      <c r="AA640" s="140"/>
      <c r="AB640" s="140"/>
      <c r="AC640" s="140"/>
      <c r="AD640" s="140"/>
      <c r="AE640" s="140"/>
      <c r="AF640" s="140"/>
      <c r="AG640" s="140"/>
      <c r="AH640" s="140"/>
      <c r="AI640" s="140"/>
      <c r="AJ640" s="140"/>
      <c r="AK640" s="140"/>
      <c r="AL640" s="140"/>
      <c r="AM640" s="140"/>
      <c r="AN640" s="140"/>
      <c r="AO640" s="140"/>
      <c r="AP640" s="140"/>
      <c r="AQ640" s="140"/>
      <c r="AR640" s="140"/>
      <c r="AS640" s="140"/>
      <c r="AT640" s="140"/>
      <c r="AU640" s="140"/>
      <c r="AV640" s="140"/>
      <c r="AW640" s="140"/>
      <c r="AX640" s="140"/>
      <c r="AY640" s="140"/>
      <c r="AZ640" s="140"/>
      <c r="BA640" s="140"/>
      <c r="BB640" s="140"/>
      <c r="BC640" s="140"/>
      <c r="BD640" s="140"/>
      <c r="BE640" s="140"/>
    </row>
    <row r="641">
      <c r="A641" s="108"/>
      <c r="B641" s="107"/>
      <c r="C641" s="107"/>
      <c r="D641" s="107"/>
      <c r="E641" s="107"/>
      <c r="F641" s="107"/>
      <c r="G641" s="208"/>
      <c r="H641" s="131"/>
      <c r="I641" s="211"/>
      <c r="J641" s="107"/>
      <c r="K641" s="202"/>
      <c r="L641" s="107"/>
      <c r="M641" s="107"/>
      <c r="N641" s="206"/>
      <c r="O641" s="108" t="b">
        <v>0</v>
      </c>
      <c r="P641" s="207"/>
      <c r="Q641" s="140"/>
      <c r="R641" s="140"/>
      <c r="S641" s="140"/>
      <c r="T641" s="140"/>
      <c r="U641" s="140"/>
      <c r="V641" s="140"/>
      <c r="W641" s="140"/>
      <c r="X641" s="140"/>
      <c r="Y641" s="140"/>
      <c r="Z641" s="140"/>
      <c r="AA641" s="140"/>
      <c r="AB641" s="140"/>
      <c r="AC641" s="140"/>
      <c r="AD641" s="140"/>
      <c r="AE641" s="140"/>
      <c r="AF641" s="140"/>
      <c r="AG641" s="140"/>
      <c r="AH641" s="140"/>
      <c r="AI641" s="140"/>
      <c r="AJ641" s="140"/>
      <c r="AK641" s="140"/>
      <c r="AL641" s="140"/>
      <c r="AM641" s="140"/>
      <c r="AN641" s="140"/>
      <c r="AO641" s="140"/>
      <c r="AP641" s="140"/>
      <c r="AQ641" s="140"/>
      <c r="AR641" s="140"/>
      <c r="AS641" s="140"/>
      <c r="AT641" s="140"/>
      <c r="AU641" s="140"/>
      <c r="AV641" s="140"/>
      <c r="AW641" s="140"/>
      <c r="AX641" s="140"/>
      <c r="AY641" s="140"/>
      <c r="AZ641" s="140"/>
      <c r="BA641" s="140"/>
      <c r="BB641" s="140"/>
      <c r="BC641" s="140"/>
      <c r="BD641" s="140"/>
      <c r="BE641" s="140"/>
    </row>
    <row r="642">
      <c r="A642" s="108"/>
      <c r="B642" s="107"/>
      <c r="C642" s="107"/>
      <c r="D642" s="107"/>
      <c r="E642" s="107"/>
      <c r="F642" s="107"/>
      <c r="G642" s="208"/>
      <c r="H642" s="131"/>
      <c r="I642" s="211"/>
      <c r="J642" s="107"/>
      <c r="K642" s="202"/>
      <c r="L642" s="107"/>
      <c r="M642" s="107"/>
      <c r="N642" s="206"/>
      <c r="O642" s="108" t="b">
        <v>0</v>
      </c>
      <c r="P642" s="207"/>
      <c r="Q642" s="140"/>
      <c r="R642" s="140"/>
      <c r="S642" s="140"/>
      <c r="T642" s="140"/>
      <c r="U642" s="140"/>
      <c r="V642" s="140"/>
      <c r="W642" s="140"/>
      <c r="X642" s="140"/>
      <c r="Y642" s="140"/>
      <c r="Z642" s="140"/>
      <c r="AA642" s="140"/>
      <c r="AB642" s="140"/>
      <c r="AC642" s="140"/>
      <c r="AD642" s="140"/>
      <c r="AE642" s="140"/>
      <c r="AF642" s="140"/>
      <c r="AG642" s="140"/>
      <c r="AH642" s="140"/>
      <c r="AI642" s="140"/>
      <c r="AJ642" s="140"/>
      <c r="AK642" s="140"/>
      <c r="AL642" s="140"/>
      <c r="AM642" s="140"/>
      <c r="AN642" s="140"/>
      <c r="AO642" s="140"/>
      <c r="AP642" s="140"/>
      <c r="AQ642" s="140"/>
      <c r="AR642" s="140"/>
      <c r="AS642" s="140"/>
      <c r="AT642" s="140"/>
      <c r="AU642" s="140"/>
      <c r="AV642" s="140"/>
      <c r="AW642" s="140"/>
      <c r="AX642" s="140"/>
      <c r="AY642" s="140"/>
      <c r="AZ642" s="140"/>
      <c r="BA642" s="140"/>
      <c r="BB642" s="140"/>
      <c r="BC642" s="140"/>
      <c r="BD642" s="140"/>
      <c r="BE642" s="140"/>
    </row>
    <row r="643">
      <c r="A643" s="108"/>
      <c r="B643" s="107"/>
      <c r="C643" s="107"/>
      <c r="D643" s="107"/>
      <c r="E643" s="107"/>
      <c r="F643" s="107"/>
      <c r="G643" s="208"/>
      <c r="H643" s="131"/>
      <c r="I643" s="211"/>
      <c r="J643" s="107"/>
      <c r="K643" s="202"/>
      <c r="L643" s="107"/>
      <c r="M643" s="107"/>
      <c r="N643" s="206"/>
      <c r="O643" s="108" t="b">
        <v>0</v>
      </c>
      <c r="P643" s="207"/>
      <c r="Q643" s="140"/>
      <c r="R643" s="140"/>
      <c r="S643" s="140"/>
      <c r="T643" s="140"/>
      <c r="U643" s="140"/>
      <c r="V643" s="140"/>
      <c r="W643" s="140"/>
      <c r="X643" s="140"/>
      <c r="Y643" s="140"/>
      <c r="Z643" s="140"/>
      <c r="AA643" s="140"/>
      <c r="AB643" s="140"/>
      <c r="AC643" s="140"/>
      <c r="AD643" s="140"/>
      <c r="AE643" s="140"/>
      <c r="AF643" s="140"/>
      <c r="AG643" s="140"/>
      <c r="AH643" s="140"/>
      <c r="AI643" s="140"/>
      <c r="AJ643" s="140"/>
      <c r="AK643" s="140"/>
      <c r="AL643" s="140"/>
      <c r="AM643" s="140"/>
      <c r="AN643" s="140"/>
      <c r="AO643" s="140"/>
      <c r="AP643" s="140"/>
      <c r="AQ643" s="140"/>
      <c r="AR643" s="140"/>
      <c r="AS643" s="140"/>
      <c r="AT643" s="140"/>
      <c r="AU643" s="140"/>
      <c r="AV643" s="140"/>
      <c r="AW643" s="140"/>
      <c r="AX643" s="140"/>
      <c r="AY643" s="140"/>
      <c r="AZ643" s="140"/>
      <c r="BA643" s="140"/>
      <c r="BB643" s="140"/>
      <c r="BC643" s="140"/>
      <c r="BD643" s="140"/>
      <c r="BE643" s="140"/>
    </row>
    <row r="644">
      <c r="A644" s="108"/>
      <c r="B644" s="107"/>
      <c r="C644" s="107"/>
      <c r="D644" s="107"/>
      <c r="E644" s="107"/>
      <c r="F644" s="107"/>
      <c r="G644" s="208"/>
      <c r="H644" s="131"/>
      <c r="I644" s="211"/>
      <c r="J644" s="107"/>
      <c r="K644" s="202"/>
      <c r="L644" s="107"/>
      <c r="M644" s="107"/>
      <c r="N644" s="206"/>
      <c r="O644" s="108" t="b">
        <v>0</v>
      </c>
      <c r="P644" s="207"/>
      <c r="Q644" s="140"/>
      <c r="R644" s="140"/>
      <c r="S644" s="140"/>
      <c r="T644" s="140"/>
      <c r="U644" s="140"/>
      <c r="V644" s="140"/>
      <c r="W644" s="140"/>
      <c r="X644" s="140"/>
      <c r="Y644" s="140"/>
      <c r="Z644" s="140"/>
      <c r="AA644" s="140"/>
      <c r="AB644" s="140"/>
      <c r="AC644" s="140"/>
      <c r="AD644" s="140"/>
      <c r="AE644" s="140"/>
      <c r="AF644" s="140"/>
      <c r="AG644" s="140"/>
      <c r="AH644" s="140"/>
      <c r="AI644" s="140"/>
      <c r="AJ644" s="140"/>
      <c r="AK644" s="140"/>
      <c r="AL644" s="140"/>
      <c r="AM644" s="140"/>
      <c r="AN644" s="140"/>
      <c r="AO644" s="140"/>
      <c r="AP644" s="140"/>
      <c r="AQ644" s="140"/>
      <c r="AR644" s="140"/>
      <c r="AS644" s="140"/>
      <c r="AT644" s="140"/>
      <c r="AU644" s="140"/>
      <c r="AV644" s="140"/>
      <c r="AW644" s="140"/>
      <c r="AX644" s="140"/>
      <c r="AY644" s="140"/>
      <c r="AZ644" s="140"/>
      <c r="BA644" s="140"/>
      <c r="BB644" s="140"/>
      <c r="BC644" s="140"/>
      <c r="BD644" s="140"/>
      <c r="BE644" s="140"/>
    </row>
    <row r="645">
      <c r="A645" s="108"/>
      <c r="B645" s="107"/>
      <c r="C645" s="107"/>
      <c r="D645" s="107"/>
      <c r="E645" s="107"/>
      <c r="F645" s="107"/>
      <c r="G645" s="208"/>
      <c r="H645" s="131"/>
      <c r="I645" s="211"/>
      <c r="J645" s="107"/>
      <c r="K645" s="202"/>
      <c r="L645" s="107"/>
      <c r="M645" s="107"/>
      <c r="N645" s="206"/>
      <c r="O645" s="108" t="b">
        <v>0</v>
      </c>
      <c r="P645" s="207"/>
      <c r="Q645" s="140"/>
      <c r="R645" s="140"/>
      <c r="S645" s="140"/>
      <c r="T645" s="140"/>
      <c r="U645" s="140"/>
      <c r="V645" s="140"/>
      <c r="W645" s="140"/>
      <c r="X645" s="140"/>
      <c r="Y645" s="140"/>
      <c r="Z645" s="140"/>
      <c r="AA645" s="140"/>
      <c r="AB645" s="140"/>
      <c r="AC645" s="140"/>
      <c r="AD645" s="140"/>
      <c r="AE645" s="140"/>
      <c r="AF645" s="140"/>
      <c r="AG645" s="140"/>
      <c r="AH645" s="140"/>
      <c r="AI645" s="140"/>
      <c r="AJ645" s="140"/>
      <c r="AK645" s="140"/>
      <c r="AL645" s="140"/>
      <c r="AM645" s="140"/>
      <c r="AN645" s="140"/>
      <c r="AO645" s="140"/>
      <c r="AP645" s="140"/>
      <c r="AQ645" s="140"/>
      <c r="AR645" s="140"/>
      <c r="AS645" s="140"/>
      <c r="AT645" s="140"/>
      <c r="AU645" s="140"/>
      <c r="AV645" s="140"/>
      <c r="AW645" s="140"/>
      <c r="AX645" s="140"/>
      <c r="AY645" s="140"/>
      <c r="AZ645" s="140"/>
      <c r="BA645" s="140"/>
      <c r="BB645" s="140"/>
      <c r="BC645" s="140"/>
      <c r="BD645" s="140"/>
      <c r="BE645" s="140"/>
    </row>
    <row r="646">
      <c r="A646" s="108"/>
      <c r="B646" s="107"/>
      <c r="C646" s="107"/>
      <c r="D646" s="107"/>
      <c r="E646" s="107"/>
      <c r="F646" s="107"/>
      <c r="G646" s="208"/>
      <c r="H646" s="131"/>
      <c r="I646" s="211"/>
      <c r="J646" s="107"/>
      <c r="K646" s="202"/>
      <c r="L646" s="107"/>
      <c r="M646" s="107"/>
      <c r="N646" s="206"/>
      <c r="O646" s="108" t="b">
        <v>0</v>
      </c>
      <c r="P646" s="207"/>
      <c r="Q646" s="140"/>
      <c r="R646" s="140"/>
      <c r="S646" s="140"/>
      <c r="T646" s="140"/>
      <c r="U646" s="140"/>
      <c r="V646" s="140"/>
      <c r="W646" s="140"/>
      <c r="X646" s="140"/>
      <c r="Y646" s="140"/>
      <c r="Z646" s="140"/>
      <c r="AA646" s="140"/>
      <c r="AB646" s="140"/>
      <c r="AC646" s="140"/>
      <c r="AD646" s="140"/>
      <c r="AE646" s="140"/>
      <c r="AF646" s="140"/>
      <c r="AG646" s="140"/>
      <c r="AH646" s="140"/>
      <c r="AI646" s="140"/>
      <c r="AJ646" s="140"/>
      <c r="AK646" s="140"/>
      <c r="AL646" s="140"/>
      <c r="AM646" s="140"/>
      <c r="AN646" s="140"/>
      <c r="AO646" s="140"/>
      <c r="AP646" s="140"/>
      <c r="AQ646" s="140"/>
      <c r="AR646" s="140"/>
      <c r="AS646" s="140"/>
      <c r="AT646" s="140"/>
      <c r="AU646" s="140"/>
      <c r="AV646" s="140"/>
      <c r="AW646" s="140"/>
      <c r="AX646" s="140"/>
      <c r="AY646" s="140"/>
      <c r="AZ646" s="140"/>
      <c r="BA646" s="140"/>
      <c r="BB646" s="140"/>
      <c r="BC646" s="140"/>
      <c r="BD646" s="140"/>
      <c r="BE646" s="140"/>
    </row>
    <row r="647">
      <c r="A647" s="108"/>
      <c r="B647" s="107"/>
      <c r="C647" s="107"/>
      <c r="D647" s="107"/>
      <c r="E647" s="107"/>
      <c r="F647" s="107"/>
      <c r="G647" s="208"/>
      <c r="H647" s="131"/>
      <c r="I647" s="211"/>
      <c r="J647" s="107"/>
      <c r="K647" s="202"/>
      <c r="L647" s="107"/>
      <c r="M647" s="107"/>
      <c r="N647" s="206"/>
      <c r="O647" s="108" t="b">
        <v>0</v>
      </c>
      <c r="P647" s="207"/>
      <c r="Q647" s="140"/>
      <c r="R647" s="140"/>
      <c r="S647" s="140"/>
      <c r="T647" s="140"/>
      <c r="U647" s="140"/>
      <c r="V647" s="140"/>
      <c r="W647" s="140"/>
      <c r="X647" s="140"/>
      <c r="Y647" s="140"/>
      <c r="Z647" s="140"/>
      <c r="AA647" s="140"/>
      <c r="AB647" s="140"/>
      <c r="AC647" s="140"/>
      <c r="AD647" s="140"/>
      <c r="AE647" s="140"/>
      <c r="AF647" s="140"/>
      <c r="AG647" s="140"/>
      <c r="AH647" s="140"/>
      <c r="AI647" s="140"/>
      <c r="AJ647" s="140"/>
      <c r="AK647" s="140"/>
      <c r="AL647" s="140"/>
      <c r="AM647" s="140"/>
      <c r="AN647" s="140"/>
      <c r="AO647" s="140"/>
      <c r="AP647" s="140"/>
      <c r="AQ647" s="140"/>
      <c r="AR647" s="140"/>
      <c r="AS647" s="140"/>
      <c r="AT647" s="140"/>
      <c r="AU647" s="140"/>
      <c r="AV647" s="140"/>
      <c r="AW647" s="140"/>
      <c r="AX647" s="140"/>
      <c r="AY647" s="140"/>
      <c r="AZ647" s="140"/>
      <c r="BA647" s="140"/>
      <c r="BB647" s="140"/>
      <c r="BC647" s="140"/>
      <c r="BD647" s="140"/>
      <c r="BE647" s="140"/>
    </row>
    <row r="648">
      <c r="A648" s="108"/>
      <c r="B648" s="107"/>
      <c r="C648" s="107"/>
      <c r="D648" s="107"/>
      <c r="E648" s="107"/>
      <c r="F648" s="107"/>
      <c r="G648" s="208"/>
      <c r="H648" s="131"/>
      <c r="I648" s="211"/>
      <c r="J648" s="107"/>
      <c r="K648" s="202"/>
      <c r="L648" s="107"/>
      <c r="M648" s="107"/>
      <c r="N648" s="206"/>
      <c r="O648" s="108" t="b">
        <v>0</v>
      </c>
      <c r="P648" s="207"/>
      <c r="Q648" s="140"/>
      <c r="R648" s="140"/>
      <c r="S648" s="140"/>
      <c r="T648" s="140"/>
      <c r="U648" s="140"/>
      <c r="V648" s="140"/>
      <c r="W648" s="140"/>
      <c r="X648" s="140"/>
      <c r="Y648" s="140"/>
      <c r="Z648" s="140"/>
      <c r="AA648" s="140"/>
      <c r="AB648" s="140"/>
      <c r="AC648" s="140"/>
      <c r="AD648" s="140"/>
      <c r="AE648" s="140"/>
      <c r="AF648" s="140"/>
      <c r="AG648" s="140"/>
      <c r="AH648" s="140"/>
      <c r="AI648" s="140"/>
      <c r="AJ648" s="140"/>
      <c r="AK648" s="140"/>
      <c r="AL648" s="140"/>
      <c r="AM648" s="140"/>
      <c r="AN648" s="140"/>
      <c r="AO648" s="140"/>
      <c r="AP648" s="140"/>
      <c r="AQ648" s="140"/>
      <c r="AR648" s="140"/>
      <c r="AS648" s="140"/>
      <c r="AT648" s="140"/>
      <c r="AU648" s="140"/>
      <c r="AV648" s="140"/>
      <c r="AW648" s="140"/>
      <c r="AX648" s="140"/>
      <c r="AY648" s="140"/>
      <c r="AZ648" s="140"/>
      <c r="BA648" s="140"/>
      <c r="BB648" s="140"/>
      <c r="BC648" s="140"/>
      <c r="BD648" s="140"/>
      <c r="BE648" s="140"/>
    </row>
    <row r="649">
      <c r="A649" s="108"/>
      <c r="B649" s="107"/>
      <c r="C649" s="107"/>
      <c r="D649" s="107"/>
      <c r="E649" s="107"/>
      <c r="F649" s="107"/>
      <c r="G649" s="208"/>
      <c r="H649" s="131"/>
      <c r="I649" s="211"/>
      <c r="J649" s="107"/>
      <c r="K649" s="202"/>
      <c r="L649" s="107"/>
      <c r="M649" s="107"/>
      <c r="N649" s="206"/>
      <c r="O649" s="108" t="b">
        <v>0</v>
      </c>
      <c r="P649" s="207"/>
      <c r="Q649" s="140"/>
      <c r="R649" s="140"/>
      <c r="S649" s="140"/>
      <c r="T649" s="140"/>
      <c r="U649" s="140"/>
      <c r="V649" s="140"/>
      <c r="W649" s="140"/>
      <c r="X649" s="140"/>
      <c r="Y649" s="140"/>
      <c r="Z649" s="140"/>
      <c r="AA649" s="140"/>
      <c r="AB649" s="140"/>
      <c r="AC649" s="140"/>
      <c r="AD649" s="140"/>
      <c r="AE649" s="140"/>
      <c r="AF649" s="140"/>
      <c r="AG649" s="140"/>
      <c r="AH649" s="140"/>
      <c r="AI649" s="140"/>
      <c r="AJ649" s="140"/>
      <c r="AK649" s="140"/>
      <c r="AL649" s="140"/>
      <c r="AM649" s="140"/>
      <c r="AN649" s="140"/>
      <c r="AO649" s="140"/>
      <c r="AP649" s="140"/>
      <c r="AQ649" s="140"/>
      <c r="AR649" s="140"/>
      <c r="AS649" s="140"/>
      <c r="AT649" s="140"/>
      <c r="AU649" s="140"/>
      <c r="AV649" s="140"/>
      <c r="AW649" s="140"/>
      <c r="AX649" s="140"/>
      <c r="AY649" s="140"/>
      <c r="AZ649" s="140"/>
      <c r="BA649" s="140"/>
      <c r="BB649" s="140"/>
      <c r="BC649" s="140"/>
      <c r="BD649" s="140"/>
      <c r="BE649" s="140"/>
    </row>
    <row r="650">
      <c r="A650" s="108"/>
      <c r="B650" s="107"/>
      <c r="C650" s="107"/>
      <c r="D650" s="107"/>
      <c r="E650" s="107"/>
      <c r="F650" s="107"/>
      <c r="G650" s="208"/>
      <c r="H650" s="131"/>
      <c r="I650" s="211"/>
      <c r="J650" s="107"/>
      <c r="K650" s="202"/>
      <c r="L650" s="107"/>
      <c r="M650" s="107"/>
      <c r="N650" s="206"/>
      <c r="O650" s="108" t="b">
        <v>0</v>
      </c>
      <c r="P650" s="207"/>
      <c r="Q650" s="140"/>
      <c r="R650" s="140"/>
      <c r="S650" s="140"/>
      <c r="T650" s="140"/>
      <c r="U650" s="140"/>
      <c r="V650" s="140"/>
      <c r="W650" s="140"/>
      <c r="X650" s="140"/>
      <c r="Y650" s="140"/>
      <c r="Z650" s="140"/>
      <c r="AA650" s="140"/>
      <c r="AB650" s="140"/>
      <c r="AC650" s="140"/>
      <c r="AD650" s="140"/>
      <c r="AE650" s="140"/>
      <c r="AF650" s="140"/>
      <c r="AG650" s="140"/>
      <c r="AH650" s="140"/>
      <c r="AI650" s="140"/>
      <c r="AJ650" s="140"/>
      <c r="AK650" s="140"/>
      <c r="AL650" s="140"/>
      <c r="AM650" s="140"/>
      <c r="AN650" s="140"/>
      <c r="AO650" s="140"/>
      <c r="AP650" s="140"/>
      <c r="AQ650" s="140"/>
      <c r="AR650" s="140"/>
      <c r="AS650" s="140"/>
      <c r="AT650" s="140"/>
      <c r="AU650" s="140"/>
      <c r="AV650" s="140"/>
      <c r="AW650" s="140"/>
      <c r="AX650" s="140"/>
      <c r="AY650" s="140"/>
      <c r="AZ650" s="140"/>
      <c r="BA650" s="140"/>
      <c r="BB650" s="140"/>
      <c r="BC650" s="140"/>
      <c r="BD650" s="140"/>
      <c r="BE650" s="140"/>
    </row>
    <row r="651">
      <c r="A651" s="108"/>
      <c r="B651" s="107"/>
      <c r="C651" s="107"/>
      <c r="D651" s="107"/>
      <c r="E651" s="107"/>
      <c r="F651" s="107"/>
      <c r="G651" s="208"/>
      <c r="H651" s="131"/>
      <c r="I651" s="211"/>
      <c r="J651" s="107"/>
      <c r="K651" s="202"/>
      <c r="L651" s="107"/>
      <c r="M651" s="107"/>
      <c r="N651" s="206"/>
      <c r="O651" s="108" t="b">
        <v>0</v>
      </c>
      <c r="P651" s="207"/>
      <c r="Q651" s="140"/>
      <c r="R651" s="140"/>
      <c r="S651" s="140"/>
      <c r="T651" s="140"/>
      <c r="U651" s="140"/>
      <c r="V651" s="140"/>
      <c r="W651" s="140"/>
      <c r="X651" s="140"/>
      <c r="Y651" s="140"/>
      <c r="Z651" s="140"/>
      <c r="AA651" s="140"/>
      <c r="AB651" s="140"/>
      <c r="AC651" s="140"/>
      <c r="AD651" s="140"/>
      <c r="AE651" s="140"/>
      <c r="AF651" s="140"/>
      <c r="AG651" s="140"/>
      <c r="AH651" s="140"/>
      <c r="AI651" s="140"/>
      <c r="AJ651" s="140"/>
      <c r="AK651" s="140"/>
      <c r="AL651" s="140"/>
      <c r="AM651" s="140"/>
      <c r="AN651" s="140"/>
      <c r="AO651" s="140"/>
      <c r="AP651" s="140"/>
      <c r="AQ651" s="140"/>
      <c r="AR651" s="140"/>
      <c r="AS651" s="140"/>
      <c r="AT651" s="140"/>
      <c r="AU651" s="140"/>
      <c r="AV651" s="140"/>
      <c r="AW651" s="140"/>
      <c r="AX651" s="140"/>
      <c r="AY651" s="140"/>
      <c r="AZ651" s="140"/>
      <c r="BA651" s="140"/>
      <c r="BB651" s="140"/>
      <c r="BC651" s="140"/>
      <c r="BD651" s="140"/>
      <c r="BE651" s="140"/>
    </row>
    <row r="652">
      <c r="A652" s="108"/>
      <c r="B652" s="107"/>
      <c r="C652" s="107"/>
      <c r="D652" s="107"/>
      <c r="E652" s="107"/>
      <c r="F652" s="107"/>
      <c r="G652" s="208"/>
      <c r="H652" s="131"/>
      <c r="I652" s="211"/>
      <c r="J652" s="107"/>
      <c r="K652" s="202"/>
      <c r="L652" s="107"/>
      <c r="M652" s="107"/>
      <c r="N652" s="206"/>
      <c r="O652" s="108" t="b">
        <v>0</v>
      </c>
      <c r="P652" s="207"/>
      <c r="Q652" s="140"/>
      <c r="R652" s="140"/>
      <c r="S652" s="140"/>
      <c r="T652" s="140"/>
      <c r="U652" s="140"/>
      <c r="V652" s="140"/>
      <c r="W652" s="140"/>
      <c r="X652" s="140"/>
      <c r="Y652" s="140"/>
      <c r="Z652" s="140"/>
      <c r="AA652" s="140"/>
      <c r="AB652" s="140"/>
      <c r="AC652" s="140"/>
      <c r="AD652" s="140"/>
      <c r="AE652" s="140"/>
      <c r="AF652" s="140"/>
      <c r="AG652" s="140"/>
      <c r="AH652" s="140"/>
      <c r="AI652" s="140"/>
      <c r="AJ652" s="140"/>
      <c r="AK652" s="140"/>
      <c r="AL652" s="140"/>
      <c r="AM652" s="140"/>
      <c r="AN652" s="140"/>
      <c r="AO652" s="140"/>
      <c r="AP652" s="140"/>
      <c r="AQ652" s="140"/>
      <c r="AR652" s="140"/>
      <c r="AS652" s="140"/>
      <c r="AT652" s="140"/>
      <c r="AU652" s="140"/>
      <c r="AV652" s="140"/>
      <c r="AW652" s="140"/>
      <c r="AX652" s="140"/>
      <c r="AY652" s="140"/>
      <c r="AZ652" s="140"/>
      <c r="BA652" s="140"/>
      <c r="BB652" s="140"/>
      <c r="BC652" s="140"/>
      <c r="BD652" s="140"/>
      <c r="BE652" s="140"/>
    </row>
    <row r="653">
      <c r="A653" s="108"/>
      <c r="B653" s="107"/>
      <c r="C653" s="107"/>
      <c r="D653" s="107"/>
      <c r="E653" s="107"/>
      <c r="F653" s="107"/>
      <c r="G653" s="208"/>
      <c r="H653" s="131"/>
      <c r="I653" s="211"/>
      <c r="J653" s="107"/>
      <c r="K653" s="202"/>
      <c r="L653" s="107"/>
      <c r="M653" s="107"/>
      <c r="N653" s="206"/>
      <c r="O653" s="108" t="b">
        <v>0</v>
      </c>
      <c r="P653" s="207"/>
      <c r="Q653" s="140"/>
      <c r="R653" s="140"/>
      <c r="S653" s="140"/>
      <c r="T653" s="140"/>
      <c r="U653" s="140"/>
      <c r="V653" s="140"/>
      <c r="W653" s="140"/>
      <c r="X653" s="140"/>
      <c r="Y653" s="140"/>
      <c r="Z653" s="140"/>
      <c r="AA653" s="140"/>
      <c r="AB653" s="140"/>
      <c r="AC653" s="140"/>
      <c r="AD653" s="140"/>
      <c r="AE653" s="140"/>
      <c r="AF653" s="140"/>
      <c r="AG653" s="140"/>
      <c r="AH653" s="140"/>
      <c r="AI653" s="140"/>
      <c r="AJ653" s="140"/>
      <c r="AK653" s="140"/>
      <c r="AL653" s="140"/>
      <c r="AM653" s="140"/>
      <c r="AN653" s="140"/>
      <c r="AO653" s="140"/>
      <c r="AP653" s="140"/>
      <c r="AQ653" s="140"/>
      <c r="AR653" s="140"/>
      <c r="AS653" s="140"/>
      <c r="AT653" s="140"/>
      <c r="AU653" s="140"/>
      <c r="AV653" s="140"/>
      <c r="AW653" s="140"/>
      <c r="AX653" s="140"/>
      <c r="AY653" s="140"/>
      <c r="AZ653" s="140"/>
      <c r="BA653" s="140"/>
      <c r="BB653" s="140"/>
      <c r="BC653" s="140"/>
      <c r="BD653" s="140"/>
      <c r="BE653" s="140"/>
    </row>
    <row r="654">
      <c r="A654" s="108"/>
      <c r="B654" s="107"/>
      <c r="C654" s="107"/>
      <c r="D654" s="107"/>
      <c r="E654" s="107"/>
      <c r="F654" s="107"/>
      <c r="G654" s="208"/>
      <c r="H654" s="131"/>
      <c r="I654" s="211"/>
      <c r="J654" s="107"/>
      <c r="K654" s="202"/>
      <c r="L654" s="107"/>
      <c r="M654" s="107"/>
      <c r="N654" s="206"/>
      <c r="O654" s="108" t="b">
        <v>0</v>
      </c>
      <c r="P654" s="207"/>
      <c r="Q654" s="140"/>
      <c r="R654" s="140"/>
      <c r="S654" s="140"/>
      <c r="T654" s="140"/>
      <c r="U654" s="140"/>
      <c r="V654" s="140"/>
      <c r="W654" s="140"/>
      <c r="X654" s="140"/>
      <c r="Y654" s="140"/>
      <c r="Z654" s="140"/>
      <c r="AA654" s="140"/>
      <c r="AB654" s="140"/>
      <c r="AC654" s="140"/>
      <c r="AD654" s="140"/>
      <c r="AE654" s="140"/>
      <c r="AF654" s="140"/>
      <c r="AG654" s="140"/>
      <c r="AH654" s="140"/>
      <c r="AI654" s="140"/>
      <c r="AJ654" s="140"/>
      <c r="AK654" s="140"/>
      <c r="AL654" s="140"/>
      <c r="AM654" s="140"/>
      <c r="AN654" s="140"/>
      <c r="AO654" s="140"/>
      <c r="AP654" s="140"/>
      <c r="AQ654" s="140"/>
      <c r="AR654" s="140"/>
      <c r="AS654" s="140"/>
      <c r="AT654" s="140"/>
      <c r="AU654" s="140"/>
      <c r="AV654" s="140"/>
      <c r="AW654" s="140"/>
      <c r="AX654" s="140"/>
      <c r="AY654" s="140"/>
      <c r="AZ654" s="140"/>
      <c r="BA654" s="140"/>
      <c r="BB654" s="140"/>
      <c r="BC654" s="140"/>
      <c r="BD654" s="140"/>
      <c r="BE654" s="140"/>
    </row>
    <row r="655">
      <c r="A655" s="108"/>
      <c r="B655" s="107"/>
      <c r="C655" s="107"/>
      <c r="D655" s="107"/>
      <c r="E655" s="107"/>
      <c r="F655" s="107"/>
      <c r="G655" s="208"/>
      <c r="H655" s="131"/>
      <c r="I655" s="211"/>
      <c r="J655" s="107"/>
      <c r="K655" s="202"/>
      <c r="L655" s="107"/>
      <c r="M655" s="107"/>
      <c r="N655" s="206"/>
      <c r="O655" s="108" t="b">
        <v>0</v>
      </c>
      <c r="P655" s="207"/>
      <c r="Q655" s="140"/>
      <c r="R655" s="140"/>
      <c r="S655" s="140"/>
      <c r="T655" s="140"/>
      <c r="U655" s="140"/>
      <c r="V655" s="140"/>
      <c r="W655" s="140"/>
      <c r="X655" s="140"/>
      <c r="Y655" s="140"/>
      <c r="Z655" s="140"/>
      <c r="AA655" s="140"/>
      <c r="AB655" s="140"/>
      <c r="AC655" s="140"/>
      <c r="AD655" s="140"/>
      <c r="AE655" s="140"/>
      <c r="AF655" s="140"/>
      <c r="AG655" s="140"/>
      <c r="AH655" s="140"/>
      <c r="AI655" s="140"/>
      <c r="AJ655" s="140"/>
      <c r="AK655" s="140"/>
      <c r="AL655" s="140"/>
      <c r="AM655" s="140"/>
      <c r="AN655" s="140"/>
      <c r="AO655" s="140"/>
      <c r="AP655" s="140"/>
      <c r="AQ655" s="140"/>
      <c r="AR655" s="140"/>
      <c r="AS655" s="140"/>
      <c r="AT655" s="140"/>
      <c r="AU655" s="140"/>
      <c r="AV655" s="140"/>
      <c r="AW655" s="140"/>
      <c r="AX655" s="140"/>
      <c r="AY655" s="140"/>
      <c r="AZ655" s="140"/>
      <c r="BA655" s="140"/>
      <c r="BB655" s="140"/>
      <c r="BC655" s="140"/>
      <c r="BD655" s="140"/>
      <c r="BE655" s="140"/>
    </row>
    <row r="656">
      <c r="A656" s="108"/>
      <c r="B656" s="107"/>
      <c r="C656" s="107"/>
      <c r="D656" s="107"/>
      <c r="E656" s="107"/>
      <c r="F656" s="107"/>
      <c r="G656" s="208"/>
      <c r="H656" s="131"/>
      <c r="I656" s="211"/>
      <c r="J656" s="107"/>
      <c r="K656" s="202"/>
      <c r="L656" s="107"/>
      <c r="M656" s="107"/>
      <c r="N656" s="206"/>
      <c r="O656" s="108" t="b">
        <v>0</v>
      </c>
      <c r="P656" s="207"/>
      <c r="Q656" s="140"/>
      <c r="R656" s="140"/>
      <c r="S656" s="140"/>
      <c r="T656" s="140"/>
      <c r="U656" s="140"/>
      <c r="V656" s="140"/>
      <c r="W656" s="140"/>
      <c r="X656" s="140"/>
      <c r="Y656" s="140"/>
      <c r="Z656" s="140"/>
      <c r="AA656" s="140"/>
      <c r="AB656" s="140"/>
      <c r="AC656" s="140"/>
      <c r="AD656" s="140"/>
      <c r="AE656" s="140"/>
      <c r="AF656" s="140"/>
      <c r="AG656" s="140"/>
      <c r="AH656" s="140"/>
      <c r="AI656" s="140"/>
      <c r="AJ656" s="140"/>
      <c r="AK656" s="140"/>
      <c r="AL656" s="140"/>
      <c r="AM656" s="140"/>
      <c r="AN656" s="140"/>
      <c r="AO656" s="140"/>
      <c r="AP656" s="140"/>
      <c r="AQ656" s="140"/>
      <c r="AR656" s="140"/>
      <c r="AS656" s="140"/>
      <c r="AT656" s="140"/>
      <c r="AU656" s="140"/>
      <c r="AV656" s="140"/>
      <c r="AW656" s="140"/>
      <c r="AX656" s="140"/>
      <c r="AY656" s="140"/>
      <c r="AZ656" s="140"/>
      <c r="BA656" s="140"/>
      <c r="BB656" s="140"/>
      <c r="BC656" s="140"/>
      <c r="BD656" s="140"/>
      <c r="BE656" s="140"/>
    </row>
    <row r="657">
      <c r="A657" s="108"/>
      <c r="B657" s="107"/>
      <c r="C657" s="107"/>
      <c r="D657" s="107"/>
      <c r="E657" s="107"/>
      <c r="F657" s="107"/>
      <c r="G657" s="208"/>
      <c r="H657" s="131"/>
      <c r="I657" s="211"/>
      <c r="J657" s="107"/>
      <c r="K657" s="202"/>
      <c r="L657" s="107"/>
      <c r="M657" s="107"/>
      <c r="N657" s="206"/>
      <c r="O657" s="108" t="b">
        <v>0</v>
      </c>
      <c r="P657" s="207"/>
      <c r="Q657" s="140"/>
      <c r="R657" s="140"/>
      <c r="S657" s="140"/>
      <c r="T657" s="140"/>
      <c r="U657" s="140"/>
      <c r="V657" s="140"/>
      <c r="W657" s="140"/>
      <c r="X657" s="140"/>
      <c r="Y657" s="140"/>
      <c r="Z657" s="140"/>
      <c r="AA657" s="140"/>
      <c r="AB657" s="140"/>
      <c r="AC657" s="140"/>
      <c r="AD657" s="140"/>
      <c r="AE657" s="140"/>
      <c r="AF657" s="140"/>
      <c r="AG657" s="140"/>
      <c r="AH657" s="140"/>
      <c r="AI657" s="140"/>
      <c r="AJ657" s="140"/>
      <c r="AK657" s="140"/>
      <c r="AL657" s="140"/>
      <c r="AM657" s="140"/>
      <c r="AN657" s="140"/>
      <c r="AO657" s="140"/>
      <c r="AP657" s="140"/>
      <c r="AQ657" s="140"/>
      <c r="AR657" s="140"/>
      <c r="AS657" s="140"/>
      <c r="AT657" s="140"/>
      <c r="AU657" s="140"/>
      <c r="AV657" s="140"/>
      <c r="AW657" s="140"/>
      <c r="AX657" s="140"/>
      <c r="AY657" s="140"/>
      <c r="AZ657" s="140"/>
      <c r="BA657" s="140"/>
      <c r="BB657" s="140"/>
      <c r="BC657" s="140"/>
      <c r="BD657" s="140"/>
      <c r="BE657" s="140"/>
    </row>
    <row r="658">
      <c r="A658" s="108"/>
      <c r="B658" s="107"/>
      <c r="C658" s="107"/>
      <c r="D658" s="107"/>
      <c r="E658" s="107"/>
      <c r="F658" s="107"/>
      <c r="G658" s="208"/>
      <c r="H658" s="131"/>
      <c r="I658" s="211"/>
      <c r="J658" s="107"/>
      <c r="K658" s="202"/>
      <c r="L658" s="107"/>
      <c r="M658" s="107"/>
      <c r="N658" s="206"/>
      <c r="O658" s="108" t="b">
        <v>0</v>
      </c>
      <c r="P658" s="207"/>
      <c r="Q658" s="140"/>
      <c r="R658" s="140"/>
      <c r="S658" s="140"/>
      <c r="T658" s="140"/>
      <c r="U658" s="140"/>
      <c r="V658" s="140"/>
      <c r="W658" s="140"/>
      <c r="X658" s="140"/>
      <c r="Y658" s="140"/>
      <c r="Z658" s="140"/>
      <c r="AA658" s="140"/>
      <c r="AB658" s="140"/>
      <c r="AC658" s="140"/>
      <c r="AD658" s="140"/>
      <c r="AE658" s="140"/>
      <c r="AF658" s="140"/>
      <c r="AG658" s="140"/>
      <c r="AH658" s="140"/>
      <c r="AI658" s="140"/>
      <c r="AJ658" s="140"/>
      <c r="AK658" s="140"/>
      <c r="AL658" s="140"/>
      <c r="AM658" s="140"/>
      <c r="AN658" s="140"/>
      <c r="AO658" s="140"/>
      <c r="AP658" s="140"/>
      <c r="AQ658" s="140"/>
      <c r="AR658" s="140"/>
      <c r="AS658" s="140"/>
      <c r="AT658" s="140"/>
      <c r="AU658" s="140"/>
      <c r="AV658" s="140"/>
      <c r="AW658" s="140"/>
      <c r="AX658" s="140"/>
      <c r="AY658" s="140"/>
      <c r="AZ658" s="140"/>
      <c r="BA658" s="140"/>
      <c r="BB658" s="140"/>
      <c r="BC658" s="140"/>
      <c r="BD658" s="140"/>
      <c r="BE658" s="140"/>
    </row>
    <row r="659">
      <c r="A659" s="108"/>
      <c r="B659" s="107"/>
      <c r="C659" s="107"/>
      <c r="D659" s="107"/>
      <c r="E659" s="107"/>
      <c r="F659" s="107"/>
      <c r="G659" s="208"/>
      <c r="H659" s="131"/>
      <c r="I659" s="211"/>
      <c r="J659" s="107"/>
      <c r="K659" s="202"/>
      <c r="L659" s="107"/>
      <c r="M659" s="107"/>
      <c r="N659" s="206"/>
      <c r="O659" s="108" t="b">
        <v>0</v>
      </c>
      <c r="P659" s="207"/>
      <c r="Q659" s="140"/>
      <c r="R659" s="140"/>
      <c r="S659" s="140"/>
      <c r="T659" s="140"/>
      <c r="U659" s="140"/>
      <c r="V659" s="140"/>
      <c r="W659" s="140"/>
      <c r="X659" s="140"/>
      <c r="Y659" s="140"/>
      <c r="Z659" s="140"/>
      <c r="AA659" s="140"/>
      <c r="AB659" s="140"/>
      <c r="AC659" s="140"/>
      <c r="AD659" s="140"/>
      <c r="AE659" s="140"/>
      <c r="AF659" s="140"/>
      <c r="AG659" s="140"/>
      <c r="AH659" s="140"/>
      <c r="AI659" s="140"/>
      <c r="AJ659" s="140"/>
      <c r="AK659" s="140"/>
      <c r="AL659" s="140"/>
      <c r="AM659" s="140"/>
      <c r="AN659" s="140"/>
      <c r="AO659" s="140"/>
      <c r="AP659" s="140"/>
      <c r="AQ659" s="140"/>
      <c r="AR659" s="140"/>
      <c r="AS659" s="140"/>
      <c r="AT659" s="140"/>
      <c r="AU659" s="140"/>
      <c r="AV659" s="140"/>
      <c r="AW659" s="140"/>
      <c r="AX659" s="140"/>
      <c r="AY659" s="140"/>
      <c r="AZ659" s="140"/>
      <c r="BA659" s="140"/>
      <c r="BB659" s="140"/>
      <c r="BC659" s="140"/>
      <c r="BD659" s="140"/>
      <c r="BE659" s="140"/>
    </row>
    <row r="660">
      <c r="A660" s="108"/>
      <c r="B660" s="107"/>
      <c r="C660" s="107"/>
      <c r="D660" s="107"/>
      <c r="E660" s="107"/>
      <c r="F660" s="107"/>
      <c r="G660" s="208"/>
      <c r="H660" s="131"/>
      <c r="I660" s="211"/>
      <c r="J660" s="107"/>
      <c r="K660" s="202"/>
      <c r="L660" s="107"/>
      <c r="M660" s="107"/>
      <c r="N660" s="206"/>
      <c r="O660" s="108" t="b">
        <v>0</v>
      </c>
      <c r="P660" s="207"/>
      <c r="Q660" s="140"/>
      <c r="R660" s="140"/>
      <c r="S660" s="140"/>
      <c r="T660" s="140"/>
      <c r="U660" s="140"/>
      <c r="V660" s="140"/>
      <c r="W660" s="140"/>
      <c r="X660" s="140"/>
      <c r="Y660" s="140"/>
      <c r="Z660" s="140"/>
      <c r="AA660" s="140"/>
      <c r="AB660" s="140"/>
      <c r="AC660" s="140"/>
      <c r="AD660" s="140"/>
      <c r="AE660" s="140"/>
      <c r="AF660" s="140"/>
      <c r="AG660" s="140"/>
      <c r="AH660" s="140"/>
      <c r="AI660" s="140"/>
      <c r="AJ660" s="140"/>
      <c r="AK660" s="140"/>
      <c r="AL660" s="140"/>
      <c r="AM660" s="140"/>
      <c r="AN660" s="140"/>
      <c r="AO660" s="140"/>
      <c r="AP660" s="140"/>
      <c r="AQ660" s="140"/>
      <c r="AR660" s="140"/>
      <c r="AS660" s="140"/>
      <c r="AT660" s="140"/>
      <c r="AU660" s="140"/>
      <c r="AV660" s="140"/>
      <c r="AW660" s="140"/>
      <c r="AX660" s="140"/>
      <c r="AY660" s="140"/>
      <c r="AZ660" s="140"/>
      <c r="BA660" s="140"/>
      <c r="BB660" s="140"/>
      <c r="BC660" s="140"/>
      <c r="BD660" s="140"/>
      <c r="BE660" s="140"/>
    </row>
    <row r="661">
      <c r="A661" s="108"/>
      <c r="B661" s="107"/>
      <c r="C661" s="107"/>
      <c r="D661" s="107"/>
      <c r="E661" s="107"/>
      <c r="F661" s="107"/>
      <c r="G661" s="208"/>
      <c r="H661" s="131"/>
      <c r="I661" s="211"/>
      <c r="J661" s="107"/>
      <c r="K661" s="202"/>
      <c r="L661" s="107"/>
      <c r="M661" s="107"/>
      <c r="N661" s="206"/>
      <c r="O661" s="108" t="b">
        <v>0</v>
      </c>
      <c r="P661" s="207"/>
      <c r="Q661" s="140"/>
      <c r="R661" s="140"/>
      <c r="S661" s="140"/>
      <c r="T661" s="140"/>
      <c r="U661" s="140"/>
      <c r="V661" s="140"/>
      <c r="W661" s="140"/>
      <c r="X661" s="140"/>
      <c r="Y661" s="140"/>
      <c r="Z661" s="140"/>
      <c r="AA661" s="140"/>
      <c r="AB661" s="140"/>
      <c r="AC661" s="140"/>
      <c r="AD661" s="140"/>
      <c r="AE661" s="140"/>
      <c r="AF661" s="140"/>
      <c r="AG661" s="140"/>
      <c r="AH661" s="140"/>
      <c r="AI661" s="140"/>
      <c r="AJ661" s="140"/>
      <c r="AK661" s="140"/>
      <c r="AL661" s="140"/>
      <c r="AM661" s="140"/>
      <c r="AN661" s="140"/>
      <c r="AO661" s="140"/>
      <c r="AP661" s="140"/>
      <c r="AQ661" s="140"/>
      <c r="AR661" s="140"/>
      <c r="AS661" s="140"/>
      <c r="AT661" s="140"/>
      <c r="AU661" s="140"/>
      <c r="AV661" s="140"/>
      <c r="AW661" s="140"/>
      <c r="AX661" s="140"/>
      <c r="AY661" s="140"/>
      <c r="AZ661" s="140"/>
      <c r="BA661" s="140"/>
      <c r="BB661" s="140"/>
      <c r="BC661" s="140"/>
      <c r="BD661" s="140"/>
      <c r="BE661" s="140"/>
    </row>
    <row r="662">
      <c r="A662" s="108"/>
      <c r="B662" s="107"/>
      <c r="C662" s="107"/>
      <c r="D662" s="107"/>
      <c r="E662" s="107"/>
      <c r="F662" s="107"/>
      <c r="G662" s="208"/>
      <c r="H662" s="131"/>
      <c r="I662" s="211"/>
      <c r="J662" s="107"/>
      <c r="K662" s="202"/>
      <c r="L662" s="107"/>
      <c r="M662" s="107"/>
      <c r="N662" s="206"/>
      <c r="O662" s="108" t="b">
        <v>0</v>
      </c>
      <c r="P662" s="207"/>
      <c r="Q662" s="140"/>
      <c r="R662" s="140"/>
      <c r="S662" s="140"/>
      <c r="T662" s="140"/>
      <c r="U662" s="140"/>
      <c r="V662" s="140"/>
      <c r="W662" s="140"/>
      <c r="X662" s="140"/>
      <c r="Y662" s="140"/>
      <c r="Z662" s="140"/>
      <c r="AA662" s="140"/>
      <c r="AB662" s="140"/>
      <c r="AC662" s="140"/>
      <c r="AD662" s="140"/>
      <c r="AE662" s="140"/>
      <c r="AF662" s="140"/>
      <c r="AG662" s="140"/>
      <c r="AH662" s="140"/>
      <c r="AI662" s="140"/>
      <c r="AJ662" s="140"/>
      <c r="AK662" s="140"/>
      <c r="AL662" s="140"/>
      <c r="AM662" s="140"/>
      <c r="AN662" s="140"/>
      <c r="AO662" s="140"/>
      <c r="AP662" s="140"/>
      <c r="AQ662" s="140"/>
      <c r="AR662" s="140"/>
      <c r="AS662" s="140"/>
      <c r="AT662" s="140"/>
      <c r="AU662" s="140"/>
      <c r="AV662" s="140"/>
      <c r="AW662" s="140"/>
      <c r="AX662" s="140"/>
      <c r="AY662" s="140"/>
      <c r="AZ662" s="140"/>
      <c r="BA662" s="140"/>
      <c r="BB662" s="140"/>
      <c r="BC662" s="140"/>
      <c r="BD662" s="140"/>
      <c r="BE662" s="140"/>
    </row>
    <row r="663">
      <c r="A663" s="108"/>
      <c r="B663" s="107"/>
      <c r="C663" s="107"/>
      <c r="D663" s="107"/>
      <c r="E663" s="107"/>
      <c r="F663" s="107"/>
      <c r="G663" s="208"/>
      <c r="H663" s="131"/>
      <c r="I663" s="211"/>
      <c r="J663" s="107"/>
      <c r="K663" s="202"/>
      <c r="L663" s="107"/>
      <c r="M663" s="107"/>
      <c r="N663" s="206"/>
      <c r="O663" s="108" t="b">
        <v>0</v>
      </c>
      <c r="P663" s="207"/>
      <c r="Q663" s="140"/>
      <c r="R663" s="140"/>
      <c r="S663" s="140"/>
      <c r="T663" s="140"/>
      <c r="U663" s="140"/>
      <c r="V663" s="140"/>
      <c r="W663" s="140"/>
      <c r="X663" s="140"/>
      <c r="Y663" s="140"/>
      <c r="Z663" s="140"/>
      <c r="AA663" s="140"/>
      <c r="AB663" s="140"/>
      <c r="AC663" s="140"/>
      <c r="AD663" s="140"/>
      <c r="AE663" s="140"/>
      <c r="AF663" s="140"/>
      <c r="AG663" s="140"/>
      <c r="AH663" s="140"/>
      <c r="AI663" s="140"/>
      <c r="AJ663" s="140"/>
      <c r="AK663" s="140"/>
      <c r="AL663" s="140"/>
      <c r="AM663" s="140"/>
      <c r="AN663" s="140"/>
      <c r="AO663" s="140"/>
      <c r="AP663" s="140"/>
      <c r="AQ663" s="140"/>
      <c r="AR663" s="140"/>
      <c r="AS663" s="140"/>
      <c r="AT663" s="140"/>
      <c r="AU663" s="140"/>
      <c r="AV663" s="140"/>
      <c r="AW663" s="140"/>
      <c r="AX663" s="140"/>
      <c r="AY663" s="140"/>
      <c r="AZ663" s="140"/>
      <c r="BA663" s="140"/>
      <c r="BB663" s="140"/>
      <c r="BC663" s="140"/>
      <c r="BD663" s="140"/>
      <c r="BE663" s="140"/>
    </row>
    <row r="664">
      <c r="A664" s="108"/>
      <c r="B664" s="107"/>
      <c r="C664" s="107"/>
      <c r="D664" s="107"/>
      <c r="E664" s="107"/>
      <c r="F664" s="107"/>
      <c r="G664" s="208"/>
      <c r="H664" s="131"/>
      <c r="I664" s="211"/>
      <c r="J664" s="107"/>
      <c r="K664" s="202"/>
      <c r="L664" s="107"/>
      <c r="M664" s="107"/>
      <c r="N664" s="206"/>
      <c r="O664" s="108" t="b">
        <v>0</v>
      </c>
      <c r="P664" s="207"/>
      <c r="Q664" s="140"/>
      <c r="R664" s="140"/>
      <c r="S664" s="140"/>
      <c r="T664" s="140"/>
      <c r="U664" s="140"/>
      <c r="V664" s="140"/>
      <c r="W664" s="140"/>
      <c r="X664" s="140"/>
      <c r="Y664" s="140"/>
      <c r="Z664" s="140"/>
      <c r="AA664" s="140"/>
      <c r="AB664" s="140"/>
      <c r="AC664" s="140"/>
      <c r="AD664" s="140"/>
      <c r="AE664" s="140"/>
      <c r="AF664" s="140"/>
      <c r="AG664" s="140"/>
      <c r="AH664" s="140"/>
      <c r="AI664" s="140"/>
      <c r="AJ664" s="140"/>
      <c r="AK664" s="140"/>
      <c r="AL664" s="140"/>
      <c r="AM664" s="140"/>
      <c r="AN664" s="140"/>
      <c r="AO664" s="140"/>
      <c r="AP664" s="140"/>
      <c r="AQ664" s="140"/>
      <c r="AR664" s="140"/>
      <c r="AS664" s="140"/>
      <c r="AT664" s="140"/>
      <c r="AU664" s="140"/>
      <c r="AV664" s="140"/>
      <c r="AW664" s="140"/>
      <c r="AX664" s="140"/>
      <c r="AY664" s="140"/>
      <c r="AZ664" s="140"/>
      <c r="BA664" s="140"/>
      <c r="BB664" s="140"/>
      <c r="BC664" s="140"/>
      <c r="BD664" s="140"/>
      <c r="BE664" s="140"/>
    </row>
    <row r="665">
      <c r="A665" s="108"/>
      <c r="B665" s="107"/>
      <c r="C665" s="107"/>
      <c r="D665" s="107"/>
      <c r="E665" s="107"/>
      <c r="F665" s="107"/>
      <c r="G665" s="208"/>
      <c r="H665" s="131"/>
      <c r="I665" s="211"/>
      <c r="J665" s="107"/>
      <c r="K665" s="202"/>
      <c r="L665" s="107"/>
      <c r="M665" s="107"/>
      <c r="N665" s="206"/>
      <c r="O665" s="108" t="b">
        <v>0</v>
      </c>
      <c r="P665" s="207"/>
      <c r="Q665" s="140"/>
      <c r="R665" s="140"/>
      <c r="S665" s="140"/>
      <c r="T665" s="140"/>
      <c r="U665" s="140"/>
      <c r="V665" s="140"/>
      <c r="W665" s="140"/>
      <c r="X665" s="140"/>
      <c r="Y665" s="140"/>
      <c r="Z665" s="140"/>
      <c r="AA665" s="140"/>
      <c r="AB665" s="140"/>
      <c r="AC665" s="140"/>
      <c r="AD665" s="140"/>
      <c r="AE665" s="140"/>
      <c r="AF665" s="140"/>
      <c r="AG665" s="140"/>
      <c r="AH665" s="140"/>
      <c r="AI665" s="140"/>
      <c r="AJ665" s="140"/>
      <c r="AK665" s="140"/>
      <c r="AL665" s="140"/>
      <c r="AM665" s="140"/>
      <c r="AN665" s="140"/>
      <c r="AO665" s="140"/>
      <c r="AP665" s="140"/>
      <c r="AQ665" s="140"/>
      <c r="AR665" s="140"/>
      <c r="AS665" s="140"/>
      <c r="AT665" s="140"/>
      <c r="AU665" s="140"/>
      <c r="AV665" s="140"/>
      <c r="AW665" s="140"/>
      <c r="AX665" s="140"/>
      <c r="AY665" s="140"/>
      <c r="AZ665" s="140"/>
      <c r="BA665" s="140"/>
      <c r="BB665" s="140"/>
      <c r="BC665" s="140"/>
      <c r="BD665" s="140"/>
      <c r="BE665" s="140"/>
    </row>
    <row r="666">
      <c r="A666" s="108"/>
      <c r="B666" s="107"/>
      <c r="C666" s="107"/>
      <c r="D666" s="107"/>
      <c r="E666" s="107"/>
      <c r="F666" s="107"/>
      <c r="G666" s="208"/>
      <c r="H666" s="131"/>
      <c r="I666" s="211"/>
      <c r="J666" s="107"/>
      <c r="K666" s="202"/>
      <c r="L666" s="107"/>
      <c r="M666" s="107"/>
      <c r="N666" s="206"/>
      <c r="O666" s="108" t="b">
        <v>0</v>
      </c>
      <c r="P666" s="207"/>
      <c r="Q666" s="140"/>
      <c r="R666" s="140"/>
      <c r="S666" s="140"/>
      <c r="T666" s="140"/>
      <c r="U666" s="140"/>
      <c r="V666" s="140"/>
      <c r="W666" s="140"/>
      <c r="X666" s="140"/>
      <c r="Y666" s="140"/>
      <c r="Z666" s="140"/>
      <c r="AA666" s="140"/>
      <c r="AB666" s="140"/>
      <c r="AC666" s="140"/>
      <c r="AD666" s="140"/>
      <c r="AE666" s="140"/>
      <c r="AF666" s="140"/>
      <c r="AG666" s="140"/>
      <c r="AH666" s="140"/>
      <c r="AI666" s="140"/>
      <c r="AJ666" s="140"/>
      <c r="AK666" s="140"/>
      <c r="AL666" s="140"/>
      <c r="AM666" s="140"/>
      <c r="AN666" s="140"/>
      <c r="AO666" s="140"/>
      <c r="AP666" s="140"/>
      <c r="AQ666" s="140"/>
      <c r="AR666" s="140"/>
      <c r="AS666" s="140"/>
      <c r="AT666" s="140"/>
      <c r="AU666" s="140"/>
      <c r="AV666" s="140"/>
      <c r="AW666" s="140"/>
      <c r="AX666" s="140"/>
      <c r="AY666" s="140"/>
      <c r="AZ666" s="140"/>
      <c r="BA666" s="140"/>
      <c r="BB666" s="140"/>
      <c r="BC666" s="140"/>
      <c r="BD666" s="140"/>
      <c r="BE666" s="140"/>
    </row>
    <row r="667">
      <c r="A667" s="108"/>
      <c r="B667" s="107"/>
      <c r="C667" s="107"/>
      <c r="D667" s="107"/>
      <c r="E667" s="107"/>
      <c r="F667" s="107"/>
      <c r="G667" s="208"/>
      <c r="H667" s="131"/>
      <c r="I667" s="211"/>
      <c r="J667" s="107"/>
      <c r="K667" s="202"/>
      <c r="L667" s="107"/>
      <c r="M667" s="107"/>
      <c r="N667" s="206"/>
      <c r="O667" s="108" t="b">
        <v>0</v>
      </c>
      <c r="P667" s="207"/>
      <c r="Q667" s="140"/>
      <c r="R667" s="140"/>
      <c r="S667" s="140"/>
      <c r="T667" s="140"/>
      <c r="U667" s="140"/>
      <c r="V667" s="140"/>
      <c r="W667" s="140"/>
      <c r="X667" s="140"/>
      <c r="Y667" s="140"/>
      <c r="Z667" s="140"/>
      <c r="AA667" s="140"/>
      <c r="AB667" s="140"/>
      <c r="AC667" s="140"/>
      <c r="AD667" s="140"/>
      <c r="AE667" s="140"/>
      <c r="AF667" s="140"/>
      <c r="AG667" s="140"/>
      <c r="AH667" s="140"/>
      <c r="AI667" s="140"/>
      <c r="AJ667" s="140"/>
      <c r="AK667" s="140"/>
      <c r="AL667" s="140"/>
      <c r="AM667" s="140"/>
      <c r="AN667" s="140"/>
      <c r="AO667" s="140"/>
      <c r="AP667" s="140"/>
      <c r="AQ667" s="140"/>
      <c r="AR667" s="140"/>
      <c r="AS667" s="140"/>
      <c r="AT667" s="140"/>
      <c r="AU667" s="140"/>
      <c r="AV667" s="140"/>
      <c r="AW667" s="140"/>
      <c r="AX667" s="140"/>
      <c r="AY667" s="140"/>
      <c r="AZ667" s="140"/>
      <c r="BA667" s="140"/>
      <c r="BB667" s="140"/>
      <c r="BC667" s="140"/>
      <c r="BD667" s="140"/>
      <c r="BE667" s="140"/>
    </row>
    <row r="668">
      <c r="A668" s="108"/>
      <c r="B668" s="107"/>
      <c r="C668" s="107"/>
      <c r="D668" s="107"/>
      <c r="E668" s="107"/>
      <c r="F668" s="107"/>
      <c r="G668" s="208"/>
      <c r="H668" s="131"/>
      <c r="I668" s="211"/>
      <c r="J668" s="107"/>
      <c r="K668" s="202"/>
      <c r="L668" s="107"/>
      <c r="M668" s="107"/>
      <c r="N668" s="206"/>
      <c r="O668" s="108" t="b">
        <v>0</v>
      </c>
      <c r="P668" s="207"/>
      <c r="Q668" s="140"/>
      <c r="R668" s="140"/>
      <c r="S668" s="140"/>
      <c r="T668" s="140"/>
      <c r="U668" s="140"/>
      <c r="V668" s="140"/>
      <c r="W668" s="140"/>
      <c r="X668" s="140"/>
      <c r="Y668" s="140"/>
      <c r="Z668" s="140"/>
      <c r="AA668" s="140"/>
      <c r="AB668" s="140"/>
      <c r="AC668" s="140"/>
      <c r="AD668" s="140"/>
      <c r="AE668" s="140"/>
      <c r="AF668" s="140"/>
      <c r="AG668" s="140"/>
      <c r="AH668" s="140"/>
      <c r="AI668" s="140"/>
      <c r="AJ668" s="140"/>
      <c r="AK668" s="140"/>
      <c r="AL668" s="140"/>
      <c r="AM668" s="140"/>
      <c r="AN668" s="140"/>
      <c r="AO668" s="140"/>
      <c r="AP668" s="140"/>
      <c r="AQ668" s="140"/>
      <c r="AR668" s="140"/>
      <c r="AS668" s="140"/>
      <c r="AT668" s="140"/>
      <c r="AU668" s="140"/>
      <c r="AV668" s="140"/>
      <c r="AW668" s="140"/>
      <c r="AX668" s="140"/>
      <c r="AY668" s="140"/>
      <c r="AZ668" s="140"/>
      <c r="BA668" s="140"/>
      <c r="BB668" s="140"/>
      <c r="BC668" s="140"/>
      <c r="BD668" s="140"/>
      <c r="BE668" s="140"/>
    </row>
    <row r="669">
      <c r="A669" s="108"/>
      <c r="B669" s="107"/>
      <c r="C669" s="107"/>
      <c r="D669" s="107"/>
      <c r="E669" s="107"/>
      <c r="F669" s="107"/>
      <c r="G669" s="208"/>
      <c r="H669" s="131"/>
      <c r="I669" s="211"/>
      <c r="J669" s="107"/>
      <c r="K669" s="202"/>
      <c r="L669" s="107"/>
      <c r="M669" s="107"/>
      <c r="N669" s="206"/>
      <c r="O669" s="108" t="b">
        <v>0</v>
      </c>
      <c r="P669" s="207"/>
      <c r="Q669" s="140"/>
      <c r="R669" s="140"/>
      <c r="S669" s="140"/>
      <c r="T669" s="140"/>
      <c r="U669" s="140"/>
      <c r="V669" s="140"/>
      <c r="W669" s="140"/>
      <c r="X669" s="140"/>
      <c r="Y669" s="140"/>
      <c r="Z669" s="140"/>
      <c r="AA669" s="140"/>
      <c r="AB669" s="140"/>
      <c r="AC669" s="140"/>
      <c r="AD669" s="140"/>
      <c r="AE669" s="140"/>
      <c r="AF669" s="140"/>
      <c r="AG669" s="140"/>
      <c r="AH669" s="140"/>
      <c r="AI669" s="140"/>
      <c r="AJ669" s="140"/>
      <c r="AK669" s="140"/>
      <c r="AL669" s="140"/>
      <c r="AM669" s="140"/>
      <c r="AN669" s="140"/>
      <c r="AO669" s="140"/>
      <c r="AP669" s="140"/>
      <c r="AQ669" s="140"/>
      <c r="AR669" s="140"/>
      <c r="AS669" s="140"/>
      <c r="AT669" s="140"/>
      <c r="AU669" s="140"/>
      <c r="AV669" s="140"/>
      <c r="AW669" s="140"/>
      <c r="AX669" s="140"/>
      <c r="AY669" s="140"/>
      <c r="AZ669" s="140"/>
      <c r="BA669" s="140"/>
      <c r="BB669" s="140"/>
      <c r="BC669" s="140"/>
      <c r="BD669" s="140"/>
      <c r="BE669" s="140"/>
    </row>
    <row r="670">
      <c r="A670" s="108"/>
      <c r="B670" s="107"/>
      <c r="C670" s="107"/>
      <c r="D670" s="107"/>
      <c r="E670" s="107"/>
      <c r="F670" s="107"/>
      <c r="G670" s="208"/>
      <c r="H670" s="131"/>
      <c r="I670" s="211"/>
      <c r="J670" s="107"/>
      <c r="K670" s="202"/>
      <c r="L670" s="107"/>
      <c r="M670" s="107"/>
      <c r="N670" s="206"/>
      <c r="O670" s="108" t="b">
        <v>0</v>
      </c>
      <c r="P670" s="207"/>
      <c r="Q670" s="140"/>
      <c r="R670" s="140"/>
      <c r="S670" s="140"/>
      <c r="T670" s="140"/>
      <c r="U670" s="140"/>
      <c r="V670" s="140"/>
      <c r="W670" s="140"/>
      <c r="X670" s="140"/>
      <c r="Y670" s="140"/>
      <c r="Z670" s="140"/>
      <c r="AA670" s="140"/>
      <c r="AB670" s="140"/>
      <c r="AC670" s="140"/>
      <c r="AD670" s="140"/>
      <c r="AE670" s="140"/>
      <c r="AF670" s="140"/>
      <c r="AG670" s="140"/>
      <c r="AH670" s="140"/>
      <c r="AI670" s="140"/>
      <c r="AJ670" s="140"/>
      <c r="AK670" s="140"/>
      <c r="AL670" s="140"/>
      <c r="AM670" s="140"/>
      <c r="AN670" s="140"/>
      <c r="AO670" s="140"/>
      <c r="AP670" s="140"/>
      <c r="AQ670" s="140"/>
      <c r="AR670" s="140"/>
      <c r="AS670" s="140"/>
      <c r="AT670" s="140"/>
      <c r="AU670" s="140"/>
      <c r="AV670" s="140"/>
      <c r="AW670" s="140"/>
      <c r="AX670" s="140"/>
      <c r="AY670" s="140"/>
      <c r="AZ670" s="140"/>
      <c r="BA670" s="140"/>
      <c r="BB670" s="140"/>
      <c r="BC670" s="140"/>
      <c r="BD670" s="140"/>
      <c r="BE670" s="140"/>
    </row>
    <row r="671">
      <c r="A671" s="108"/>
      <c r="B671" s="107"/>
      <c r="C671" s="107"/>
      <c r="D671" s="107"/>
      <c r="E671" s="107"/>
      <c r="F671" s="107"/>
      <c r="G671" s="208"/>
      <c r="H671" s="131"/>
      <c r="I671" s="211"/>
      <c r="J671" s="107"/>
      <c r="K671" s="202"/>
      <c r="L671" s="107"/>
      <c r="M671" s="107"/>
      <c r="N671" s="206"/>
      <c r="O671" s="108" t="b">
        <v>0</v>
      </c>
      <c r="P671" s="207"/>
      <c r="Q671" s="140"/>
      <c r="R671" s="140"/>
      <c r="S671" s="140"/>
      <c r="T671" s="140"/>
      <c r="U671" s="140"/>
      <c r="V671" s="140"/>
      <c r="W671" s="140"/>
      <c r="X671" s="140"/>
      <c r="Y671" s="140"/>
      <c r="Z671" s="140"/>
      <c r="AA671" s="140"/>
      <c r="AB671" s="140"/>
      <c r="AC671" s="140"/>
      <c r="AD671" s="140"/>
      <c r="AE671" s="140"/>
      <c r="AF671" s="140"/>
      <c r="AG671" s="140"/>
      <c r="AH671" s="140"/>
      <c r="AI671" s="140"/>
      <c r="AJ671" s="140"/>
      <c r="AK671" s="140"/>
      <c r="AL671" s="140"/>
      <c r="AM671" s="140"/>
      <c r="AN671" s="140"/>
      <c r="AO671" s="140"/>
      <c r="AP671" s="140"/>
      <c r="AQ671" s="140"/>
      <c r="AR671" s="140"/>
      <c r="AS671" s="140"/>
      <c r="AT671" s="140"/>
      <c r="AU671" s="140"/>
      <c r="AV671" s="140"/>
      <c r="AW671" s="140"/>
      <c r="AX671" s="140"/>
      <c r="AY671" s="140"/>
      <c r="AZ671" s="140"/>
      <c r="BA671" s="140"/>
      <c r="BB671" s="140"/>
      <c r="BC671" s="140"/>
      <c r="BD671" s="140"/>
      <c r="BE671" s="140"/>
    </row>
    <row r="672">
      <c r="A672" s="108"/>
      <c r="B672" s="107"/>
      <c r="C672" s="107"/>
      <c r="D672" s="107"/>
      <c r="E672" s="107"/>
      <c r="F672" s="107"/>
      <c r="G672" s="208"/>
      <c r="H672" s="131"/>
      <c r="I672" s="211"/>
      <c r="J672" s="107"/>
      <c r="K672" s="202"/>
      <c r="L672" s="107"/>
      <c r="M672" s="107"/>
      <c r="N672" s="206"/>
      <c r="O672" s="108" t="b">
        <v>0</v>
      </c>
      <c r="P672" s="207"/>
      <c r="Q672" s="140"/>
      <c r="R672" s="140"/>
      <c r="S672" s="140"/>
      <c r="T672" s="140"/>
      <c r="U672" s="140"/>
      <c r="V672" s="140"/>
      <c r="W672" s="140"/>
      <c r="X672" s="140"/>
      <c r="Y672" s="140"/>
      <c r="Z672" s="140"/>
      <c r="AA672" s="140"/>
      <c r="AB672" s="140"/>
      <c r="AC672" s="140"/>
      <c r="AD672" s="140"/>
      <c r="AE672" s="140"/>
      <c r="AF672" s="140"/>
      <c r="AG672" s="140"/>
      <c r="AH672" s="140"/>
      <c r="AI672" s="140"/>
      <c r="AJ672" s="140"/>
      <c r="AK672" s="140"/>
      <c r="AL672" s="140"/>
      <c r="AM672" s="140"/>
      <c r="AN672" s="140"/>
      <c r="AO672" s="140"/>
      <c r="AP672" s="140"/>
      <c r="AQ672" s="140"/>
      <c r="AR672" s="140"/>
      <c r="AS672" s="140"/>
      <c r="AT672" s="140"/>
      <c r="AU672" s="140"/>
      <c r="AV672" s="140"/>
      <c r="AW672" s="140"/>
      <c r="AX672" s="140"/>
      <c r="AY672" s="140"/>
      <c r="AZ672" s="140"/>
      <c r="BA672" s="140"/>
      <c r="BB672" s="140"/>
      <c r="BC672" s="140"/>
      <c r="BD672" s="140"/>
      <c r="BE672" s="140"/>
    </row>
    <row r="673">
      <c r="A673" s="108"/>
      <c r="B673" s="107"/>
      <c r="C673" s="107"/>
      <c r="D673" s="107"/>
      <c r="E673" s="107"/>
      <c r="F673" s="107"/>
      <c r="G673" s="208"/>
      <c r="H673" s="131"/>
      <c r="I673" s="211"/>
      <c r="J673" s="107"/>
      <c r="K673" s="202"/>
      <c r="L673" s="107"/>
      <c r="M673" s="107"/>
      <c r="N673" s="206"/>
      <c r="O673" s="108" t="b">
        <v>0</v>
      </c>
      <c r="P673" s="207"/>
      <c r="Q673" s="140"/>
      <c r="R673" s="140"/>
      <c r="S673" s="140"/>
      <c r="T673" s="140"/>
      <c r="U673" s="140"/>
      <c r="V673" s="140"/>
      <c r="W673" s="140"/>
      <c r="X673" s="140"/>
      <c r="Y673" s="140"/>
      <c r="Z673" s="140"/>
      <c r="AA673" s="140"/>
      <c r="AB673" s="140"/>
      <c r="AC673" s="140"/>
      <c r="AD673" s="140"/>
      <c r="AE673" s="140"/>
      <c r="AF673" s="140"/>
      <c r="AG673" s="140"/>
      <c r="AH673" s="140"/>
      <c r="AI673" s="140"/>
      <c r="AJ673" s="140"/>
      <c r="AK673" s="140"/>
      <c r="AL673" s="140"/>
      <c r="AM673" s="140"/>
      <c r="AN673" s="140"/>
      <c r="AO673" s="140"/>
      <c r="AP673" s="140"/>
      <c r="AQ673" s="140"/>
      <c r="AR673" s="140"/>
      <c r="AS673" s="140"/>
      <c r="AT673" s="140"/>
      <c r="AU673" s="140"/>
      <c r="AV673" s="140"/>
      <c r="AW673" s="140"/>
      <c r="AX673" s="140"/>
      <c r="AY673" s="140"/>
      <c r="AZ673" s="140"/>
      <c r="BA673" s="140"/>
      <c r="BB673" s="140"/>
      <c r="BC673" s="140"/>
      <c r="BD673" s="140"/>
      <c r="BE673" s="140"/>
    </row>
    <row r="674">
      <c r="A674" s="108"/>
      <c r="B674" s="107"/>
      <c r="C674" s="107"/>
      <c r="D674" s="107"/>
      <c r="E674" s="107"/>
      <c r="F674" s="107"/>
      <c r="G674" s="208"/>
      <c r="H674" s="131"/>
      <c r="I674" s="211"/>
      <c r="J674" s="107"/>
      <c r="K674" s="202"/>
      <c r="L674" s="107"/>
      <c r="M674" s="107"/>
      <c r="N674" s="206"/>
      <c r="O674" s="108" t="b">
        <v>0</v>
      </c>
      <c r="P674" s="207"/>
      <c r="Q674" s="140"/>
      <c r="R674" s="140"/>
      <c r="S674" s="140"/>
      <c r="T674" s="140"/>
      <c r="U674" s="140"/>
      <c r="V674" s="140"/>
      <c r="W674" s="140"/>
      <c r="X674" s="140"/>
      <c r="Y674" s="140"/>
      <c r="Z674" s="140"/>
      <c r="AA674" s="140"/>
      <c r="AB674" s="140"/>
      <c r="AC674" s="140"/>
      <c r="AD674" s="140"/>
      <c r="AE674" s="140"/>
      <c r="AF674" s="140"/>
      <c r="AG674" s="140"/>
      <c r="AH674" s="140"/>
      <c r="AI674" s="140"/>
      <c r="AJ674" s="140"/>
      <c r="AK674" s="140"/>
      <c r="AL674" s="140"/>
      <c r="AM674" s="140"/>
      <c r="AN674" s="140"/>
      <c r="AO674" s="140"/>
      <c r="AP674" s="140"/>
      <c r="AQ674" s="140"/>
      <c r="AR674" s="140"/>
      <c r="AS674" s="140"/>
      <c r="AT674" s="140"/>
      <c r="AU674" s="140"/>
      <c r="AV674" s="140"/>
      <c r="AW674" s="140"/>
      <c r="AX674" s="140"/>
      <c r="AY674" s="140"/>
      <c r="AZ674" s="140"/>
      <c r="BA674" s="140"/>
      <c r="BB674" s="140"/>
      <c r="BC674" s="140"/>
      <c r="BD674" s="140"/>
      <c r="BE674" s="140"/>
    </row>
    <row r="675">
      <c r="A675" s="108"/>
      <c r="B675" s="107"/>
      <c r="C675" s="107"/>
      <c r="D675" s="107"/>
      <c r="E675" s="107"/>
      <c r="F675" s="107"/>
      <c r="G675" s="208"/>
      <c r="H675" s="131"/>
      <c r="I675" s="211"/>
      <c r="J675" s="107"/>
      <c r="K675" s="202"/>
      <c r="L675" s="107"/>
      <c r="M675" s="107"/>
      <c r="N675" s="206"/>
      <c r="O675" s="108" t="b">
        <v>0</v>
      </c>
      <c r="P675" s="207"/>
      <c r="Q675" s="140"/>
      <c r="R675" s="140"/>
      <c r="S675" s="140"/>
      <c r="T675" s="140"/>
      <c r="U675" s="140"/>
      <c r="V675" s="140"/>
      <c r="W675" s="140"/>
      <c r="X675" s="140"/>
      <c r="Y675" s="140"/>
      <c r="Z675" s="140"/>
      <c r="AA675" s="140"/>
      <c r="AB675" s="140"/>
      <c r="AC675" s="140"/>
      <c r="AD675" s="140"/>
      <c r="AE675" s="140"/>
      <c r="AF675" s="140"/>
      <c r="AG675" s="140"/>
      <c r="AH675" s="140"/>
      <c r="AI675" s="140"/>
      <c r="AJ675" s="140"/>
      <c r="AK675" s="140"/>
      <c r="AL675" s="140"/>
      <c r="AM675" s="140"/>
      <c r="AN675" s="140"/>
      <c r="AO675" s="140"/>
      <c r="AP675" s="140"/>
      <c r="AQ675" s="140"/>
      <c r="AR675" s="140"/>
      <c r="AS675" s="140"/>
      <c r="AT675" s="140"/>
      <c r="AU675" s="140"/>
      <c r="AV675" s="140"/>
      <c r="AW675" s="140"/>
      <c r="AX675" s="140"/>
      <c r="AY675" s="140"/>
      <c r="AZ675" s="140"/>
      <c r="BA675" s="140"/>
      <c r="BB675" s="140"/>
      <c r="BC675" s="140"/>
      <c r="BD675" s="140"/>
      <c r="BE675" s="140"/>
    </row>
    <row r="676">
      <c r="A676" s="108"/>
      <c r="B676" s="107"/>
      <c r="C676" s="107"/>
      <c r="D676" s="107"/>
      <c r="E676" s="107"/>
      <c r="F676" s="107"/>
      <c r="G676" s="208"/>
      <c r="H676" s="131"/>
      <c r="I676" s="211"/>
      <c r="J676" s="107"/>
      <c r="K676" s="202"/>
      <c r="L676" s="107"/>
      <c r="M676" s="107"/>
      <c r="N676" s="206"/>
      <c r="O676" s="108" t="b">
        <v>0</v>
      </c>
      <c r="P676" s="207"/>
      <c r="Q676" s="140"/>
      <c r="R676" s="140"/>
      <c r="S676" s="140"/>
      <c r="T676" s="140"/>
      <c r="U676" s="140"/>
      <c r="V676" s="140"/>
      <c r="W676" s="140"/>
      <c r="X676" s="140"/>
      <c r="Y676" s="140"/>
      <c r="Z676" s="140"/>
      <c r="AA676" s="140"/>
      <c r="AB676" s="140"/>
      <c r="AC676" s="140"/>
      <c r="AD676" s="140"/>
      <c r="AE676" s="140"/>
      <c r="AF676" s="140"/>
      <c r="AG676" s="140"/>
      <c r="AH676" s="140"/>
      <c r="AI676" s="140"/>
      <c r="AJ676" s="140"/>
      <c r="AK676" s="140"/>
      <c r="AL676" s="140"/>
      <c r="AM676" s="140"/>
      <c r="AN676" s="140"/>
      <c r="AO676" s="140"/>
      <c r="AP676" s="140"/>
      <c r="AQ676" s="140"/>
      <c r="AR676" s="140"/>
      <c r="AS676" s="140"/>
      <c r="AT676" s="140"/>
      <c r="AU676" s="140"/>
      <c r="AV676" s="140"/>
      <c r="AW676" s="140"/>
      <c r="AX676" s="140"/>
      <c r="AY676" s="140"/>
      <c r="AZ676" s="140"/>
      <c r="BA676" s="140"/>
      <c r="BB676" s="140"/>
      <c r="BC676" s="140"/>
      <c r="BD676" s="140"/>
      <c r="BE676" s="140"/>
    </row>
    <row r="677">
      <c r="A677" s="108"/>
      <c r="B677" s="107"/>
      <c r="C677" s="107"/>
      <c r="D677" s="107"/>
      <c r="E677" s="107"/>
      <c r="F677" s="107"/>
      <c r="G677" s="208"/>
      <c r="H677" s="131"/>
      <c r="I677" s="211"/>
      <c r="J677" s="107"/>
      <c r="K677" s="202"/>
      <c r="L677" s="107"/>
      <c r="M677" s="107"/>
      <c r="N677" s="206"/>
      <c r="O677" s="108" t="b">
        <v>0</v>
      </c>
      <c r="P677" s="207"/>
      <c r="Q677" s="140"/>
      <c r="R677" s="140"/>
      <c r="S677" s="140"/>
      <c r="T677" s="140"/>
      <c r="U677" s="140"/>
      <c r="V677" s="140"/>
      <c r="W677" s="140"/>
      <c r="X677" s="140"/>
      <c r="Y677" s="140"/>
      <c r="Z677" s="140"/>
      <c r="AA677" s="140"/>
      <c r="AB677" s="140"/>
      <c r="AC677" s="140"/>
      <c r="AD677" s="140"/>
      <c r="AE677" s="140"/>
      <c r="AF677" s="140"/>
      <c r="AG677" s="140"/>
      <c r="AH677" s="140"/>
      <c r="AI677" s="140"/>
      <c r="AJ677" s="140"/>
      <c r="AK677" s="140"/>
      <c r="AL677" s="140"/>
      <c r="AM677" s="140"/>
      <c r="AN677" s="140"/>
      <c r="AO677" s="140"/>
      <c r="AP677" s="140"/>
      <c r="AQ677" s="140"/>
      <c r="AR677" s="140"/>
      <c r="AS677" s="140"/>
      <c r="AT677" s="140"/>
      <c r="AU677" s="140"/>
      <c r="AV677" s="140"/>
      <c r="AW677" s="140"/>
      <c r="AX677" s="140"/>
      <c r="AY677" s="140"/>
      <c r="AZ677" s="140"/>
      <c r="BA677" s="140"/>
      <c r="BB677" s="140"/>
      <c r="BC677" s="140"/>
      <c r="BD677" s="140"/>
      <c r="BE677" s="140"/>
    </row>
    <row r="678">
      <c r="A678" s="108"/>
      <c r="B678" s="107"/>
      <c r="C678" s="107"/>
      <c r="D678" s="107"/>
      <c r="E678" s="107"/>
      <c r="F678" s="107"/>
      <c r="G678" s="208"/>
      <c r="H678" s="131"/>
      <c r="I678" s="211"/>
      <c r="J678" s="107"/>
      <c r="K678" s="202"/>
      <c r="L678" s="107"/>
      <c r="M678" s="107"/>
      <c r="N678" s="206"/>
      <c r="O678" s="108" t="b">
        <v>0</v>
      </c>
      <c r="P678" s="207"/>
      <c r="Q678" s="140"/>
      <c r="R678" s="140"/>
      <c r="S678" s="140"/>
      <c r="T678" s="140"/>
      <c r="U678" s="140"/>
      <c r="V678" s="140"/>
      <c r="W678" s="140"/>
      <c r="X678" s="140"/>
      <c r="Y678" s="140"/>
      <c r="Z678" s="140"/>
      <c r="AA678" s="140"/>
      <c r="AB678" s="140"/>
      <c r="AC678" s="140"/>
      <c r="AD678" s="140"/>
      <c r="AE678" s="140"/>
      <c r="AF678" s="140"/>
      <c r="AG678" s="140"/>
      <c r="AH678" s="140"/>
      <c r="AI678" s="140"/>
      <c r="AJ678" s="140"/>
      <c r="AK678" s="140"/>
      <c r="AL678" s="140"/>
      <c r="AM678" s="140"/>
      <c r="AN678" s="140"/>
      <c r="AO678" s="140"/>
      <c r="AP678" s="140"/>
      <c r="AQ678" s="140"/>
      <c r="AR678" s="140"/>
      <c r="AS678" s="140"/>
      <c r="AT678" s="140"/>
      <c r="AU678" s="140"/>
      <c r="AV678" s="140"/>
      <c r="AW678" s="140"/>
      <c r="AX678" s="140"/>
      <c r="AY678" s="140"/>
      <c r="AZ678" s="140"/>
      <c r="BA678" s="140"/>
      <c r="BB678" s="140"/>
      <c r="BC678" s="140"/>
      <c r="BD678" s="140"/>
      <c r="BE678" s="140"/>
    </row>
    <row r="679">
      <c r="A679" s="108"/>
      <c r="B679" s="107"/>
      <c r="C679" s="107"/>
      <c r="D679" s="107"/>
      <c r="E679" s="107"/>
      <c r="F679" s="107"/>
      <c r="G679" s="208"/>
      <c r="H679" s="131"/>
      <c r="I679" s="211"/>
      <c r="J679" s="107"/>
      <c r="K679" s="202"/>
      <c r="L679" s="107"/>
      <c r="M679" s="107"/>
      <c r="N679" s="206"/>
      <c r="O679" s="108" t="b">
        <v>0</v>
      </c>
      <c r="P679" s="207"/>
      <c r="Q679" s="140"/>
      <c r="R679" s="140"/>
      <c r="S679" s="140"/>
      <c r="T679" s="140"/>
      <c r="U679" s="140"/>
      <c r="V679" s="140"/>
      <c r="W679" s="140"/>
      <c r="X679" s="140"/>
      <c r="Y679" s="140"/>
      <c r="Z679" s="140"/>
      <c r="AA679" s="140"/>
      <c r="AB679" s="140"/>
      <c r="AC679" s="140"/>
      <c r="AD679" s="140"/>
      <c r="AE679" s="140"/>
      <c r="AF679" s="140"/>
      <c r="AG679" s="140"/>
      <c r="AH679" s="140"/>
      <c r="AI679" s="140"/>
      <c r="AJ679" s="140"/>
      <c r="AK679" s="140"/>
      <c r="AL679" s="140"/>
      <c r="AM679" s="140"/>
      <c r="AN679" s="140"/>
      <c r="AO679" s="140"/>
      <c r="AP679" s="140"/>
      <c r="AQ679" s="140"/>
      <c r="AR679" s="140"/>
      <c r="AS679" s="140"/>
      <c r="AT679" s="140"/>
      <c r="AU679" s="140"/>
      <c r="AV679" s="140"/>
      <c r="AW679" s="140"/>
      <c r="AX679" s="140"/>
      <c r="AY679" s="140"/>
      <c r="AZ679" s="140"/>
      <c r="BA679" s="140"/>
      <c r="BB679" s="140"/>
      <c r="BC679" s="140"/>
      <c r="BD679" s="140"/>
      <c r="BE679" s="140"/>
    </row>
    <row r="680">
      <c r="A680" s="108"/>
      <c r="B680" s="107"/>
      <c r="C680" s="107"/>
      <c r="D680" s="107"/>
      <c r="E680" s="107"/>
      <c r="F680" s="107"/>
      <c r="G680" s="208"/>
      <c r="H680" s="131"/>
      <c r="I680" s="211"/>
      <c r="J680" s="107"/>
      <c r="K680" s="202"/>
      <c r="L680" s="107"/>
      <c r="M680" s="107"/>
      <c r="N680" s="206"/>
      <c r="O680" s="108" t="b">
        <v>0</v>
      </c>
      <c r="P680" s="207"/>
      <c r="Q680" s="140"/>
      <c r="R680" s="140"/>
      <c r="S680" s="140"/>
      <c r="T680" s="140"/>
      <c r="U680" s="140"/>
      <c r="V680" s="140"/>
      <c r="W680" s="140"/>
      <c r="X680" s="140"/>
      <c r="Y680" s="140"/>
      <c r="Z680" s="140"/>
      <c r="AA680" s="140"/>
      <c r="AB680" s="140"/>
      <c r="AC680" s="140"/>
      <c r="AD680" s="140"/>
      <c r="AE680" s="140"/>
      <c r="AF680" s="140"/>
      <c r="AG680" s="140"/>
      <c r="AH680" s="140"/>
      <c r="AI680" s="140"/>
      <c r="AJ680" s="140"/>
      <c r="AK680" s="140"/>
      <c r="AL680" s="140"/>
      <c r="AM680" s="140"/>
      <c r="AN680" s="140"/>
      <c r="AO680" s="140"/>
      <c r="AP680" s="140"/>
      <c r="AQ680" s="140"/>
      <c r="AR680" s="140"/>
      <c r="AS680" s="140"/>
      <c r="AT680" s="140"/>
      <c r="AU680" s="140"/>
      <c r="AV680" s="140"/>
      <c r="AW680" s="140"/>
      <c r="AX680" s="140"/>
      <c r="AY680" s="140"/>
      <c r="AZ680" s="140"/>
      <c r="BA680" s="140"/>
      <c r="BB680" s="140"/>
      <c r="BC680" s="140"/>
      <c r="BD680" s="140"/>
      <c r="BE680" s="140"/>
    </row>
    <row r="681">
      <c r="A681" s="108"/>
      <c r="B681" s="107"/>
      <c r="C681" s="107"/>
      <c r="D681" s="107"/>
      <c r="E681" s="107"/>
      <c r="F681" s="107"/>
      <c r="G681" s="208"/>
      <c r="H681" s="131"/>
      <c r="I681" s="211"/>
      <c r="J681" s="107"/>
      <c r="K681" s="202"/>
      <c r="L681" s="107"/>
      <c r="M681" s="107"/>
      <c r="N681" s="206"/>
      <c r="O681" s="108" t="b">
        <v>0</v>
      </c>
      <c r="P681" s="207"/>
      <c r="Q681" s="140"/>
      <c r="R681" s="140"/>
      <c r="S681" s="140"/>
      <c r="T681" s="140"/>
      <c r="U681" s="140"/>
      <c r="V681" s="140"/>
      <c r="W681" s="140"/>
      <c r="X681" s="140"/>
      <c r="Y681" s="140"/>
      <c r="Z681" s="140"/>
      <c r="AA681" s="140"/>
      <c r="AB681" s="140"/>
      <c r="AC681" s="140"/>
      <c r="AD681" s="140"/>
      <c r="AE681" s="140"/>
      <c r="AF681" s="140"/>
      <c r="AG681" s="140"/>
      <c r="AH681" s="140"/>
      <c r="AI681" s="140"/>
      <c r="AJ681" s="140"/>
      <c r="AK681" s="140"/>
      <c r="AL681" s="140"/>
      <c r="AM681" s="140"/>
      <c r="AN681" s="140"/>
      <c r="AO681" s="140"/>
      <c r="AP681" s="140"/>
      <c r="AQ681" s="140"/>
      <c r="AR681" s="140"/>
      <c r="AS681" s="140"/>
      <c r="AT681" s="140"/>
      <c r="AU681" s="140"/>
      <c r="AV681" s="140"/>
      <c r="AW681" s="140"/>
      <c r="AX681" s="140"/>
      <c r="AY681" s="140"/>
      <c r="AZ681" s="140"/>
      <c r="BA681" s="140"/>
      <c r="BB681" s="140"/>
      <c r="BC681" s="140"/>
      <c r="BD681" s="140"/>
      <c r="BE681" s="140"/>
    </row>
    <row r="682">
      <c r="A682" s="108"/>
      <c r="B682" s="107"/>
      <c r="C682" s="107"/>
      <c r="D682" s="107"/>
      <c r="E682" s="107"/>
      <c r="F682" s="107"/>
      <c r="G682" s="208"/>
      <c r="H682" s="131"/>
      <c r="I682" s="211"/>
      <c r="J682" s="107"/>
      <c r="K682" s="202"/>
      <c r="L682" s="107"/>
      <c r="M682" s="107"/>
      <c r="N682" s="206"/>
      <c r="O682" s="108" t="b">
        <v>0</v>
      </c>
      <c r="P682" s="207"/>
      <c r="Q682" s="140"/>
      <c r="R682" s="140"/>
      <c r="S682" s="140"/>
      <c r="T682" s="140"/>
      <c r="U682" s="140"/>
      <c r="V682" s="140"/>
      <c r="W682" s="140"/>
      <c r="X682" s="140"/>
      <c r="Y682" s="140"/>
      <c r="Z682" s="140"/>
      <c r="AA682" s="140"/>
      <c r="AB682" s="140"/>
      <c r="AC682" s="140"/>
      <c r="AD682" s="140"/>
      <c r="AE682" s="140"/>
      <c r="AF682" s="140"/>
      <c r="AG682" s="140"/>
      <c r="AH682" s="140"/>
      <c r="AI682" s="140"/>
      <c r="AJ682" s="140"/>
      <c r="AK682" s="140"/>
      <c r="AL682" s="140"/>
      <c r="AM682" s="140"/>
      <c r="AN682" s="140"/>
      <c r="AO682" s="140"/>
      <c r="AP682" s="140"/>
      <c r="AQ682" s="140"/>
      <c r="AR682" s="140"/>
      <c r="AS682" s="140"/>
      <c r="AT682" s="140"/>
      <c r="AU682" s="140"/>
      <c r="AV682" s="140"/>
      <c r="AW682" s="140"/>
      <c r="AX682" s="140"/>
      <c r="AY682" s="140"/>
      <c r="AZ682" s="140"/>
      <c r="BA682" s="140"/>
      <c r="BB682" s="140"/>
      <c r="BC682" s="140"/>
      <c r="BD682" s="140"/>
      <c r="BE682" s="140"/>
    </row>
    <row r="683">
      <c r="A683" s="108"/>
      <c r="B683" s="107"/>
      <c r="C683" s="107"/>
      <c r="D683" s="107"/>
      <c r="E683" s="107"/>
      <c r="F683" s="107"/>
      <c r="G683" s="208"/>
      <c r="H683" s="131"/>
      <c r="I683" s="211"/>
      <c r="J683" s="107"/>
      <c r="K683" s="202"/>
      <c r="L683" s="107"/>
      <c r="M683" s="107"/>
      <c r="N683" s="206"/>
      <c r="O683" s="108" t="b">
        <v>0</v>
      </c>
      <c r="P683" s="207"/>
      <c r="Q683" s="140"/>
      <c r="R683" s="140"/>
      <c r="S683" s="140"/>
      <c r="T683" s="140"/>
      <c r="U683" s="140"/>
      <c r="V683" s="140"/>
      <c r="W683" s="140"/>
      <c r="X683" s="140"/>
      <c r="Y683" s="140"/>
      <c r="Z683" s="140"/>
      <c r="AA683" s="140"/>
      <c r="AB683" s="140"/>
      <c r="AC683" s="140"/>
      <c r="AD683" s="140"/>
      <c r="AE683" s="140"/>
      <c r="AF683" s="140"/>
      <c r="AG683" s="140"/>
      <c r="AH683" s="140"/>
      <c r="AI683" s="140"/>
      <c r="AJ683" s="140"/>
      <c r="AK683" s="140"/>
      <c r="AL683" s="140"/>
      <c r="AM683" s="140"/>
      <c r="AN683" s="140"/>
      <c r="AO683" s="140"/>
      <c r="AP683" s="140"/>
      <c r="AQ683" s="140"/>
      <c r="AR683" s="140"/>
      <c r="AS683" s="140"/>
      <c r="AT683" s="140"/>
      <c r="AU683" s="140"/>
      <c r="AV683" s="140"/>
      <c r="AW683" s="140"/>
      <c r="AX683" s="140"/>
      <c r="AY683" s="140"/>
      <c r="AZ683" s="140"/>
      <c r="BA683" s="140"/>
      <c r="BB683" s="140"/>
      <c r="BC683" s="140"/>
      <c r="BD683" s="140"/>
      <c r="BE683" s="140"/>
    </row>
    <row r="684">
      <c r="A684" s="108"/>
      <c r="B684" s="107"/>
      <c r="C684" s="107"/>
      <c r="D684" s="107"/>
      <c r="E684" s="107"/>
      <c r="F684" s="107"/>
      <c r="G684" s="208"/>
      <c r="H684" s="131"/>
      <c r="I684" s="211"/>
      <c r="J684" s="107"/>
      <c r="K684" s="202"/>
      <c r="L684" s="107"/>
      <c r="M684" s="107"/>
      <c r="N684" s="206"/>
      <c r="O684" s="108" t="b">
        <v>0</v>
      </c>
      <c r="P684" s="207"/>
      <c r="Q684" s="140"/>
      <c r="R684" s="140"/>
      <c r="S684" s="140"/>
      <c r="T684" s="140"/>
      <c r="U684" s="140"/>
      <c r="V684" s="140"/>
      <c r="W684" s="140"/>
      <c r="X684" s="140"/>
      <c r="Y684" s="140"/>
      <c r="Z684" s="140"/>
      <c r="AA684" s="140"/>
      <c r="AB684" s="140"/>
      <c r="AC684" s="140"/>
      <c r="AD684" s="140"/>
      <c r="AE684" s="140"/>
      <c r="AF684" s="140"/>
      <c r="AG684" s="140"/>
      <c r="AH684" s="140"/>
      <c r="AI684" s="140"/>
      <c r="AJ684" s="140"/>
      <c r="AK684" s="140"/>
      <c r="AL684" s="140"/>
      <c r="AM684" s="140"/>
      <c r="AN684" s="140"/>
      <c r="AO684" s="140"/>
      <c r="AP684" s="140"/>
      <c r="AQ684" s="140"/>
      <c r="AR684" s="140"/>
      <c r="AS684" s="140"/>
      <c r="AT684" s="140"/>
      <c r="AU684" s="140"/>
      <c r="AV684" s="140"/>
      <c r="AW684" s="140"/>
      <c r="AX684" s="140"/>
      <c r="AY684" s="140"/>
      <c r="AZ684" s="140"/>
      <c r="BA684" s="140"/>
      <c r="BB684" s="140"/>
      <c r="BC684" s="140"/>
      <c r="BD684" s="140"/>
      <c r="BE684" s="140"/>
    </row>
    <row r="685">
      <c r="A685" s="108"/>
      <c r="B685" s="107"/>
      <c r="C685" s="107"/>
      <c r="D685" s="107"/>
      <c r="E685" s="107"/>
      <c r="F685" s="107"/>
      <c r="G685" s="208"/>
      <c r="H685" s="131"/>
      <c r="I685" s="211"/>
      <c r="J685" s="107"/>
      <c r="K685" s="202"/>
      <c r="L685" s="107"/>
      <c r="M685" s="107"/>
      <c r="N685" s="206"/>
      <c r="O685" s="108" t="b">
        <v>0</v>
      </c>
      <c r="P685" s="207"/>
      <c r="Q685" s="140"/>
      <c r="R685" s="140"/>
      <c r="S685" s="140"/>
      <c r="T685" s="140"/>
      <c r="U685" s="140"/>
      <c r="V685" s="140"/>
      <c r="W685" s="140"/>
      <c r="X685" s="140"/>
      <c r="Y685" s="140"/>
      <c r="Z685" s="140"/>
      <c r="AA685" s="140"/>
      <c r="AB685" s="140"/>
      <c r="AC685" s="140"/>
      <c r="AD685" s="140"/>
      <c r="AE685" s="140"/>
      <c r="AF685" s="140"/>
      <c r="AG685" s="140"/>
      <c r="AH685" s="140"/>
      <c r="AI685" s="140"/>
      <c r="AJ685" s="140"/>
      <c r="AK685" s="140"/>
      <c r="AL685" s="140"/>
      <c r="AM685" s="140"/>
      <c r="AN685" s="140"/>
      <c r="AO685" s="140"/>
      <c r="AP685" s="140"/>
      <c r="AQ685" s="140"/>
      <c r="AR685" s="140"/>
      <c r="AS685" s="140"/>
      <c r="AT685" s="140"/>
      <c r="AU685" s="140"/>
      <c r="AV685" s="140"/>
      <c r="AW685" s="140"/>
      <c r="AX685" s="140"/>
      <c r="AY685" s="140"/>
      <c r="AZ685" s="140"/>
      <c r="BA685" s="140"/>
      <c r="BB685" s="140"/>
      <c r="BC685" s="140"/>
      <c r="BD685" s="140"/>
      <c r="BE685" s="140"/>
    </row>
    <row r="686">
      <c r="A686" s="108"/>
      <c r="B686" s="107"/>
      <c r="C686" s="107"/>
      <c r="D686" s="107"/>
      <c r="E686" s="107"/>
      <c r="F686" s="107"/>
      <c r="G686" s="208"/>
      <c r="H686" s="131"/>
      <c r="I686" s="211"/>
      <c r="J686" s="107"/>
      <c r="K686" s="202"/>
      <c r="L686" s="107"/>
      <c r="M686" s="107"/>
      <c r="N686" s="206"/>
      <c r="O686" s="108" t="b">
        <v>0</v>
      </c>
      <c r="P686" s="207"/>
      <c r="Q686" s="140"/>
      <c r="R686" s="140"/>
      <c r="S686" s="140"/>
      <c r="T686" s="140"/>
      <c r="U686" s="140"/>
      <c r="V686" s="140"/>
      <c r="W686" s="140"/>
      <c r="X686" s="140"/>
      <c r="Y686" s="140"/>
      <c r="Z686" s="140"/>
      <c r="AA686" s="140"/>
      <c r="AB686" s="140"/>
      <c r="AC686" s="140"/>
      <c r="AD686" s="140"/>
      <c r="AE686" s="140"/>
      <c r="AF686" s="140"/>
      <c r="AG686" s="140"/>
      <c r="AH686" s="140"/>
      <c r="AI686" s="140"/>
      <c r="AJ686" s="140"/>
      <c r="AK686" s="140"/>
      <c r="AL686" s="140"/>
      <c r="AM686" s="140"/>
      <c r="AN686" s="140"/>
      <c r="AO686" s="140"/>
      <c r="AP686" s="140"/>
      <c r="AQ686" s="140"/>
      <c r="AR686" s="140"/>
      <c r="AS686" s="140"/>
      <c r="AT686" s="140"/>
      <c r="AU686" s="140"/>
      <c r="AV686" s="140"/>
      <c r="AW686" s="140"/>
      <c r="AX686" s="140"/>
      <c r="AY686" s="140"/>
      <c r="AZ686" s="140"/>
      <c r="BA686" s="140"/>
      <c r="BB686" s="140"/>
      <c r="BC686" s="140"/>
      <c r="BD686" s="140"/>
      <c r="BE686" s="140"/>
    </row>
    <row r="687">
      <c r="A687" s="108"/>
      <c r="B687" s="107"/>
      <c r="C687" s="107"/>
      <c r="D687" s="107"/>
      <c r="E687" s="107"/>
      <c r="F687" s="107"/>
      <c r="G687" s="208"/>
      <c r="H687" s="131"/>
      <c r="I687" s="211"/>
      <c r="J687" s="107"/>
      <c r="K687" s="202"/>
      <c r="L687" s="107"/>
      <c r="M687" s="107"/>
      <c r="N687" s="206"/>
      <c r="O687" s="108" t="b">
        <v>0</v>
      </c>
      <c r="P687" s="207"/>
      <c r="Q687" s="140"/>
      <c r="R687" s="140"/>
      <c r="S687" s="140"/>
      <c r="T687" s="140"/>
      <c r="U687" s="140"/>
      <c r="V687" s="140"/>
      <c r="W687" s="140"/>
      <c r="X687" s="140"/>
      <c r="Y687" s="140"/>
      <c r="Z687" s="140"/>
      <c r="AA687" s="140"/>
      <c r="AB687" s="140"/>
      <c r="AC687" s="140"/>
      <c r="AD687" s="140"/>
      <c r="AE687" s="140"/>
      <c r="AF687" s="140"/>
      <c r="AG687" s="140"/>
      <c r="AH687" s="140"/>
      <c r="AI687" s="140"/>
      <c r="AJ687" s="140"/>
      <c r="AK687" s="140"/>
      <c r="AL687" s="140"/>
      <c r="AM687" s="140"/>
      <c r="AN687" s="140"/>
      <c r="AO687" s="140"/>
      <c r="AP687" s="140"/>
      <c r="AQ687" s="140"/>
      <c r="AR687" s="140"/>
      <c r="AS687" s="140"/>
      <c r="AT687" s="140"/>
      <c r="AU687" s="140"/>
      <c r="AV687" s="140"/>
      <c r="AW687" s="140"/>
      <c r="AX687" s="140"/>
      <c r="AY687" s="140"/>
      <c r="AZ687" s="140"/>
      <c r="BA687" s="140"/>
      <c r="BB687" s="140"/>
      <c r="BC687" s="140"/>
      <c r="BD687" s="140"/>
      <c r="BE687" s="140"/>
    </row>
    <row r="688">
      <c r="A688" s="108"/>
      <c r="B688" s="107"/>
      <c r="C688" s="107"/>
      <c r="D688" s="107"/>
      <c r="E688" s="107"/>
      <c r="F688" s="107"/>
      <c r="G688" s="208"/>
      <c r="H688" s="131"/>
      <c r="I688" s="211"/>
      <c r="J688" s="107"/>
      <c r="K688" s="202"/>
      <c r="L688" s="107"/>
      <c r="M688" s="107"/>
      <c r="N688" s="206"/>
      <c r="O688" s="108" t="b">
        <v>0</v>
      </c>
      <c r="P688" s="207"/>
      <c r="Q688" s="140"/>
      <c r="R688" s="140"/>
      <c r="S688" s="140"/>
      <c r="T688" s="140"/>
      <c r="U688" s="140"/>
      <c r="V688" s="140"/>
      <c r="W688" s="140"/>
      <c r="X688" s="140"/>
      <c r="Y688" s="140"/>
      <c r="Z688" s="140"/>
      <c r="AA688" s="140"/>
      <c r="AB688" s="140"/>
      <c r="AC688" s="140"/>
      <c r="AD688" s="140"/>
      <c r="AE688" s="140"/>
      <c r="AF688" s="140"/>
      <c r="AG688" s="140"/>
      <c r="AH688" s="140"/>
      <c r="AI688" s="140"/>
      <c r="AJ688" s="140"/>
      <c r="AK688" s="140"/>
      <c r="AL688" s="140"/>
      <c r="AM688" s="140"/>
      <c r="AN688" s="140"/>
      <c r="AO688" s="140"/>
      <c r="AP688" s="140"/>
      <c r="AQ688" s="140"/>
      <c r="AR688" s="140"/>
      <c r="AS688" s="140"/>
      <c r="AT688" s="140"/>
      <c r="AU688" s="140"/>
      <c r="AV688" s="140"/>
      <c r="AW688" s="140"/>
      <c r="AX688" s="140"/>
      <c r="AY688" s="140"/>
      <c r="AZ688" s="140"/>
      <c r="BA688" s="140"/>
      <c r="BB688" s="140"/>
      <c r="BC688" s="140"/>
      <c r="BD688" s="140"/>
      <c r="BE688" s="140"/>
    </row>
    <row r="689">
      <c r="A689" s="108"/>
      <c r="B689" s="107"/>
      <c r="C689" s="107"/>
      <c r="D689" s="107"/>
      <c r="E689" s="107"/>
      <c r="F689" s="107"/>
      <c r="G689" s="208"/>
      <c r="H689" s="131"/>
      <c r="I689" s="211"/>
      <c r="J689" s="107"/>
      <c r="K689" s="202"/>
      <c r="L689" s="107"/>
      <c r="M689" s="107"/>
      <c r="N689" s="206"/>
      <c r="O689" s="108" t="b">
        <v>0</v>
      </c>
      <c r="P689" s="207"/>
      <c r="Q689" s="140"/>
      <c r="R689" s="140"/>
      <c r="S689" s="140"/>
      <c r="T689" s="140"/>
      <c r="U689" s="140"/>
      <c r="V689" s="140"/>
      <c r="W689" s="140"/>
      <c r="X689" s="140"/>
      <c r="Y689" s="140"/>
      <c r="Z689" s="140"/>
      <c r="AA689" s="140"/>
      <c r="AB689" s="140"/>
      <c r="AC689" s="140"/>
      <c r="AD689" s="140"/>
      <c r="AE689" s="140"/>
      <c r="AF689" s="140"/>
      <c r="AG689" s="140"/>
      <c r="AH689" s="140"/>
      <c r="AI689" s="140"/>
      <c r="AJ689" s="140"/>
      <c r="AK689" s="140"/>
      <c r="AL689" s="140"/>
      <c r="AM689" s="140"/>
      <c r="AN689" s="140"/>
      <c r="AO689" s="140"/>
      <c r="AP689" s="140"/>
      <c r="AQ689" s="140"/>
      <c r="AR689" s="140"/>
      <c r="AS689" s="140"/>
      <c r="AT689" s="140"/>
      <c r="AU689" s="140"/>
      <c r="AV689" s="140"/>
      <c r="AW689" s="140"/>
      <c r="AX689" s="140"/>
      <c r="AY689" s="140"/>
      <c r="AZ689" s="140"/>
      <c r="BA689" s="140"/>
      <c r="BB689" s="140"/>
      <c r="BC689" s="140"/>
      <c r="BD689" s="140"/>
      <c r="BE689" s="140"/>
    </row>
    <row r="690">
      <c r="A690" s="108"/>
      <c r="B690" s="107"/>
      <c r="C690" s="107"/>
      <c r="D690" s="107"/>
      <c r="E690" s="107"/>
      <c r="F690" s="107"/>
      <c r="G690" s="208"/>
      <c r="H690" s="131"/>
      <c r="I690" s="211"/>
      <c r="J690" s="107"/>
      <c r="K690" s="202"/>
      <c r="L690" s="107"/>
      <c r="M690" s="107"/>
      <c r="N690" s="206"/>
      <c r="O690" s="108" t="b">
        <v>0</v>
      </c>
      <c r="P690" s="207"/>
      <c r="Q690" s="140"/>
      <c r="R690" s="140"/>
      <c r="S690" s="140"/>
      <c r="T690" s="140"/>
      <c r="U690" s="140"/>
      <c r="V690" s="140"/>
      <c r="W690" s="140"/>
      <c r="X690" s="140"/>
      <c r="Y690" s="140"/>
      <c r="Z690" s="140"/>
      <c r="AA690" s="140"/>
      <c r="AB690" s="140"/>
      <c r="AC690" s="140"/>
      <c r="AD690" s="140"/>
      <c r="AE690" s="140"/>
      <c r="AF690" s="140"/>
      <c r="AG690" s="140"/>
      <c r="AH690" s="140"/>
      <c r="AI690" s="140"/>
      <c r="AJ690" s="140"/>
      <c r="AK690" s="140"/>
      <c r="AL690" s="140"/>
      <c r="AM690" s="140"/>
      <c r="AN690" s="140"/>
      <c r="AO690" s="140"/>
      <c r="AP690" s="140"/>
      <c r="AQ690" s="140"/>
      <c r="AR690" s="140"/>
      <c r="AS690" s="140"/>
      <c r="AT690" s="140"/>
      <c r="AU690" s="140"/>
      <c r="AV690" s="140"/>
      <c r="AW690" s="140"/>
      <c r="AX690" s="140"/>
      <c r="AY690" s="140"/>
      <c r="AZ690" s="140"/>
      <c r="BA690" s="140"/>
      <c r="BB690" s="140"/>
      <c r="BC690" s="140"/>
      <c r="BD690" s="140"/>
      <c r="BE690" s="140"/>
    </row>
    <row r="691">
      <c r="A691" s="108"/>
      <c r="B691" s="107"/>
      <c r="C691" s="107"/>
      <c r="D691" s="107"/>
      <c r="E691" s="107"/>
      <c r="F691" s="107"/>
      <c r="G691" s="208"/>
      <c r="H691" s="131"/>
      <c r="I691" s="211"/>
      <c r="J691" s="107"/>
      <c r="K691" s="202"/>
      <c r="L691" s="107"/>
      <c r="M691" s="107"/>
      <c r="N691" s="206"/>
      <c r="O691" s="108" t="b">
        <v>0</v>
      </c>
      <c r="P691" s="207"/>
      <c r="Q691" s="140"/>
      <c r="R691" s="140"/>
      <c r="S691" s="140"/>
      <c r="T691" s="140"/>
      <c r="U691" s="140"/>
      <c r="V691" s="140"/>
      <c r="W691" s="140"/>
      <c r="X691" s="140"/>
      <c r="Y691" s="140"/>
      <c r="Z691" s="140"/>
      <c r="AA691" s="140"/>
      <c r="AB691" s="140"/>
      <c r="AC691" s="140"/>
      <c r="AD691" s="140"/>
      <c r="AE691" s="140"/>
      <c r="AF691" s="140"/>
      <c r="AG691" s="140"/>
      <c r="AH691" s="140"/>
      <c r="AI691" s="140"/>
      <c r="AJ691" s="140"/>
      <c r="AK691" s="140"/>
      <c r="AL691" s="140"/>
      <c r="AM691" s="140"/>
      <c r="AN691" s="140"/>
      <c r="AO691" s="140"/>
      <c r="AP691" s="140"/>
      <c r="AQ691" s="140"/>
      <c r="AR691" s="140"/>
      <c r="AS691" s="140"/>
      <c r="AT691" s="140"/>
      <c r="AU691" s="140"/>
      <c r="AV691" s="140"/>
      <c r="AW691" s="140"/>
      <c r="AX691" s="140"/>
      <c r="AY691" s="140"/>
      <c r="AZ691" s="140"/>
      <c r="BA691" s="140"/>
      <c r="BB691" s="140"/>
      <c r="BC691" s="140"/>
      <c r="BD691" s="140"/>
      <c r="BE691" s="140"/>
    </row>
    <row r="692">
      <c r="A692" s="108"/>
      <c r="B692" s="107"/>
      <c r="C692" s="107"/>
      <c r="D692" s="107"/>
      <c r="E692" s="107"/>
      <c r="F692" s="107"/>
      <c r="G692" s="208"/>
      <c r="H692" s="131"/>
      <c r="I692" s="211"/>
      <c r="J692" s="107"/>
      <c r="K692" s="202"/>
      <c r="L692" s="107"/>
      <c r="M692" s="107"/>
      <c r="N692" s="206"/>
      <c r="O692" s="108" t="b">
        <v>0</v>
      </c>
      <c r="P692" s="207"/>
      <c r="Q692" s="140"/>
      <c r="R692" s="140"/>
      <c r="S692" s="140"/>
      <c r="T692" s="140"/>
      <c r="U692" s="140"/>
      <c r="V692" s="140"/>
      <c r="W692" s="140"/>
      <c r="X692" s="140"/>
      <c r="Y692" s="140"/>
      <c r="Z692" s="140"/>
      <c r="AA692" s="140"/>
      <c r="AB692" s="140"/>
      <c r="AC692" s="140"/>
      <c r="AD692" s="140"/>
      <c r="AE692" s="140"/>
      <c r="AF692" s="140"/>
      <c r="AG692" s="140"/>
      <c r="AH692" s="140"/>
      <c r="AI692" s="140"/>
      <c r="AJ692" s="140"/>
      <c r="AK692" s="140"/>
      <c r="AL692" s="140"/>
      <c r="AM692" s="140"/>
      <c r="AN692" s="140"/>
      <c r="AO692" s="140"/>
      <c r="AP692" s="140"/>
      <c r="AQ692" s="140"/>
      <c r="AR692" s="140"/>
      <c r="AS692" s="140"/>
      <c r="AT692" s="140"/>
      <c r="AU692" s="140"/>
      <c r="AV692" s="140"/>
      <c r="AW692" s="140"/>
      <c r="AX692" s="140"/>
      <c r="AY692" s="140"/>
      <c r="AZ692" s="140"/>
      <c r="BA692" s="140"/>
      <c r="BB692" s="140"/>
      <c r="BC692" s="140"/>
      <c r="BD692" s="140"/>
      <c r="BE692" s="140"/>
    </row>
    <row r="693">
      <c r="A693" s="108"/>
      <c r="B693" s="107"/>
      <c r="C693" s="107"/>
      <c r="D693" s="107"/>
      <c r="E693" s="107"/>
      <c r="F693" s="107"/>
      <c r="G693" s="208"/>
      <c r="H693" s="131"/>
      <c r="I693" s="211"/>
      <c r="J693" s="107"/>
      <c r="K693" s="202"/>
      <c r="L693" s="107"/>
      <c r="M693" s="107"/>
      <c r="N693" s="206"/>
      <c r="O693" s="108" t="b">
        <v>0</v>
      </c>
      <c r="P693" s="207"/>
      <c r="Q693" s="140"/>
      <c r="R693" s="140"/>
      <c r="S693" s="140"/>
      <c r="T693" s="140"/>
      <c r="U693" s="140"/>
      <c r="V693" s="140"/>
      <c r="W693" s="140"/>
      <c r="X693" s="140"/>
      <c r="Y693" s="140"/>
      <c r="Z693" s="140"/>
      <c r="AA693" s="140"/>
      <c r="AB693" s="140"/>
      <c r="AC693" s="140"/>
      <c r="AD693" s="140"/>
      <c r="AE693" s="140"/>
      <c r="AF693" s="140"/>
      <c r="AG693" s="140"/>
      <c r="AH693" s="140"/>
      <c r="AI693" s="140"/>
      <c r="AJ693" s="140"/>
      <c r="AK693" s="140"/>
      <c r="AL693" s="140"/>
      <c r="AM693" s="140"/>
      <c r="AN693" s="140"/>
      <c r="AO693" s="140"/>
      <c r="AP693" s="140"/>
      <c r="AQ693" s="140"/>
      <c r="AR693" s="140"/>
      <c r="AS693" s="140"/>
      <c r="AT693" s="140"/>
      <c r="AU693" s="140"/>
      <c r="AV693" s="140"/>
      <c r="AW693" s="140"/>
      <c r="AX693" s="140"/>
      <c r="AY693" s="140"/>
      <c r="AZ693" s="140"/>
      <c r="BA693" s="140"/>
      <c r="BB693" s="140"/>
      <c r="BC693" s="140"/>
      <c r="BD693" s="140"/>
      <c r="BE693" s="140"/>
    </row>
    <row r="694">
      <c r="A694" s="108"/>
      <c r="B694" s="107"/>
      <c r="C694" s="107"/>
      <c r="D694" s="107"/>
      <c r="E694" s="107"/>
      <c r="F694" s="107"/>
      <c r="G694" s="208"/>
      <c r="H694" s="131"/>
      <c r="I694" s="211"/>
      <c r="J694" s="107"/>
      <c r="K694" s="202"/>
      <c r="L694" s="107"/>
      <c r="M694" s="107"/>
      <c r="N694" s="206"/>
      <c r="O694" s="108" t="b">
        <v>0</v>
      </c>
      <c r="P694" s="207"/>
      <c r="Q694" s="140"/>
      <c r="R694" s="140"/>
      <c r="S694" s="140"/>
      <c r="T694" s="140"/>
      <c r="U694" s="140"/>
      <c r="V694" s="140"/>
      <c r="W694" s="140"/>
      <c r="X694" s="140"/>
      <c r="Y694" s="140"/>
      <c r="Z694" s="140"/>
      <c r="AA694" s="140"/>
      <c r="AB694" s="140"/>
      <c r="AC694" s="140"/>
      <c r="AD694" s="140"/>
      <c r="AE694" s="140"/>
      <c r="AF694" s="140"/>
      <c r="AG694" s="140"/>
      <c r="AH694" s="140"/>
      <c r="AI694" s="140"/>
      <c r="AJ694" s="140"/>
      <c r="AK694" s="140"/>
      <c r="AL694" s="140"/>
      <c r="AM694" s="140"/>
      <c r="AN694" s="140"/>
      <c r="AO694" s="140"/>
      <c r="AP694" s="140"/>
      <c r="AQ694" s="140"/>
      <c r="AR694" s="140"/>
      <c r="AS694" s="140"/>
      <c r="AT694" s="140"/>
      <c r="AU694" s="140"/>
      <c r="AV694" s="140"/>
      <c r="AW694" s="140"/>
      <c r="AX694" s="140"/>
      <c r="AY694" s="140"/>
      <c r="AZ694" s="140"/>
      <c r="BA694" s="140"/>
      <c r="BB694" s="140"/>
      <c r="BC694" s="140"/>
      <c r="BD694" s="140"/>
      <c r="BE694" s="140"/>
    </row>
    <row r="695">
      <c r="A695" s="108"/>
      <c r="B695" s="107"/>
      <c r="C695" s="107"/>
      <c r="D695" s="107"/>
      <c r="E695" s="107"/>
      <c r="F695" s="107"/>
      <c r="G695" s="208"/>
      <c r="H695" s="131"/>
      <c r="I695" s="211"/>
      <c r="J695" s="107"/>
      <c r="K695" s="202"/>
      <c r="L695" s="107"/>
      <c r="M695" s="107"/>
      <c r="N695" s="206"/>
      <c r="O695" s="108" t="b">
        <v>0</v>
      </c>
      <c r="P695" s="207"/>
      <c r="Q695" s="140"/>
      <c r="R695" s="140"/>
      <c r="S695" s="140"/>
      <c r="T695" s="140"/>
      <c r="U695" s="140"/>
      <c r="V695" s="140"/>
      <c r="W695" s="140"/>
      <c r="X695" s="140"/>
      <c r="Y695" s="140"/>
      <c r="Z695" s="140"/>
      <c r="AA695" s="140"/>
      <c r="AB695" s="140"/>
      <c r="AC695" s="140"/>
      <c r="AD695" s="140"/>
      <c r="AE695" s="140"/>
      <c r="AF695" s="140"/>
      <c r="AG695" s="140"/>
      <c r="AH695" s="140"/>
      <c r="AI695" s="140"/>
      <c r="AJ695" s="140"/>
      <c r="AK695" s="140"/>
      <c r="AL695" s="140"/>
      <c r="AM695" s="140"/>
      <c r="AN695" s="140"/>
      <c r="AO695" s="140"/>
      <c r="AP695" s="140"/>
      <c r="AQ695" s="140"/>
      <c r="AR695" s="140"/>
      <c r="AS695" s="140"/>
      <c r="AT695" s="140"/>
      <c r="AU695" s="140"/>
      <c r="AV695" s="140"/>
      <c r="AW695" s="140"/>
      <c r="AX695" s="140"/>
      <c r="AY695" s="140"/>
      <c r="AZ695" s="140"/>
      <c r="BA695" s="140"/>
      <c r="BB695" s="140"/>
      <c r="BC695" s="140"/>
      <c r="BD695" s="140"/>
      <c r="BE695" s="140"/>
    </row>
    <row r="696">
      <c r="A696" s="108"/>
      <c r="B696" s="107"/>
      <c r="C696" s="107"/>
      <c r="D696" s="107"/>
      <c r="E696" s="107"/>
      <c r="F696" s="107"/>
      <c r="G696" s="208"/>
      <c r="H696" s="131"/>
      <c r="I696" s="211"/>
      <c r="J696" s="107"/>
      <c r="K696" s="202"/>
      <c r="L696" s="107"/>
      <c r="M696" s="107"/>
      <c r="N696" s="206"/>
      <c r="O696" s="108" t="b">
        <v>0</v>
      </c>
      <c r="P696" s="207"/>
      <c r="Q696" s="140"/>
      <c r="R696" s="140"/>
      <c r="S696" s="140"/>
      <c r="T696" s="140"/>
      <c r="U696" s="140"/>
      <c r="V696" s="140"/>
      <c r="W696" s="140"/>
      <c r="X696" s="140"/>
      <c r="Y696" s="140"/>
      <c r="Z696" s="140"/>
      <c r="AA696" s="140"/>
      <c r="AB696" s="140"/>
      <c r="AC696" s="140"/>
      <c r="AD696" s="140"/>
      <c r="AE696" s="140"/>
      <c r="AF696" s="140"/>
      <c r="AG696" s="140"/>
      <c r="AH696" s="140"/>
      <c r="AI696" s="140"/>
      <c r="AJ696" s="140"/>
      <c r="AK696" s="140"/>
      <c r="AL696" s="140"/>
      <c r="AM696" s="140"/>
      <c r="AN696" s="140"/>
      <c r="AO696" s="140"/>
      <c r="AP696" s="140"/>
      <c r="AQ696" s="140"/>
      <c r="AR696" s="140"/>
      <c r="AS696" s="140"/>
      <c r="AT696" s="140"/>
      <c r="AU696" s="140"/>
      <c r="AV696" s="140"/>
      <c r="AW696" s="140"/>
      <c r="AX696" s="140"/>
      <c r="AY696" s="140"/>
      <c r="AZ696" s="140"/>
      <c r="BA696" s="140"/>
      <c r="BB696" s="140"/>
      <c r="BC696" s="140"/>
      <c r="BD696" s="140"/>
      <c r="BE696" s="140"/>
    </row>
    <row r="697">
      <c r="A697" s="108"/>
      <c r="B697" s="107"/>
      <c r="C697" s="107"/>
      <c r="D697" s="107"/>
      <c r="E697" s="107"/>
      <c r="F697" s="107"/>
      <c r="G697" s="208"/>
      <c r="H697" s="131"/>
      <c r="I697" s="211"/>
      <c r="J697" s="107"/>
      <c r="K697" s="202"/>
      <c r="L697" s="107"/>
      <c r="M697" s="107"/>
      <c r="N697" s="206"/>
      <c r="O697" s="108" t="b">
        <v>0</v>
      </c>
      <c r="P697" s="207"/>
      <c r="Q697" s="140"/>
      <c r="R697" s="140"/>
      <c r="S697" s="140"/>
      <c r="T697" s="140"/>
      <c r="U697" s="140"/>
      <c r="V697" s="140"/>
      <c r="W697" s="140"/>
      <c r="X697" s="140"/>
      <c r="Y697" s="140"/>
      <c r="Z697" s="140"/>
      <c r="AA697" s="140"/>
      <c r="AB697" s="140"/>
      <c r="AC697" s="140"/>
      <c r="AD697" s="140"/>
      <c r="AE697" s="140"/>
      <c r="AF697" s="140"/>
      <c r="AG697" s="140"/>
      <c r="AH697" s="140"/>
      <c r="AI697" s="140"/>
      <c r="AJ697" s="140"/>
      <c r="AK697" s="140"/>
      <c r="AL697" s="140"/>
      <c r="AM697" s="140"/>
      <c r="AN697" s="140"/>
      <c r="AO697" s="140"/>
      <c r="AP697" s="140"/>
      <c r="AQ697" s="140"/>
      <c r="AR697" s="140"/>
      <c r="AS697" s="140"/>
      <c r="AT697" s="140"/>
      <c r="AU697" s="140"/>
      <c r="AV697" s="140"/>
      <c r="AW697" s="140"/>
      <c r="AX697" s="140"/>
      <c r="AY697" s="140"/>
      <c r="AZ697" s="140"/>
      <c r="BA697" s="140"/>
      <c r="BB697" s="140"/>
      <c r="BC697" s="140"/>
      <c r="BD697" s="140"/>
      <c r="BE697" s="140"/>
    </row>
    <row r="698">
      <c r="A698" s="108"/>
      <c r="B698" s="107"/>
      <c r="C698" s="107"/>
      <c r="D698" s="107"/>
      <c r="E698" s="107"/>
      <c r="F698" s="107"/>
      <c r="G698" s="208"/>
      <c r="H698" s="131"/>
      <c r="I698" s="211"/>
      <c r="J698" s="107"/>
      <c r="K698" s="202"/>
      <c r="L698" s="107"/>
      <c r="M698" s="107"/>
      <c r="N698" s="206"/>
      <c r="O698" s="108" t="b">
        <v>0</v>
      </c>
      <c r="P698" s="207"/>
      <c r="Q698" s="140"/>
      <c r="R698" s="140"/>
      <c r="S698" s="140"/>
      <c r="T698" s="140"/>
      <c r="U698" s="140"/>
      <c r="V698" s="140"/>
      <c r="W698" s="140"/>
      <c r="X698" s="140"/>
      <c r="Y698" s="140"/>
      <c r="Z698" s="140"/>
      <c r="AA698" s="140"/>
      <c r="AB698" s="140"/>
      <c r="AC698" s="140"/>
      <c r="AD698" s="140"/>
      <c r="AE698" s="140"/>
      <c r="AF698" s="140"/>
      <c r="AG698" s="140"/>
      <c r="AH698" s="140"/>
      <c r="AI698" s="140"/>
      <c r="AJ698" s="140"/>
      <c r="AK698" s="140"/>
      <c r="AL698" s="140"/>
      <c r="AM698" s="140"/>
      <c r="AN698" s="140"/>
      <c r="AO698" s="140"/>
      <c r="AP698" s="140"/>
      <c r="AQ698" s="140"/>
      <c r="AR698" s="140"/>
      <c r="AS698" s="140"/>
      <c r="AT698" s="140"/>
      <c r="AU698" s="140"/>
      <c r="AV698" s="140"/>
      <c r="AW698" s="140"/>
      <c r="AX698" s="140"/>
      <c r="AY698" s="140"/>
      <c r="AZ698" s="140"/>
      <c r="BA698" s="140"/>
      <c r="BB698" s="140"/>
      <c r="BC698" s="140"/>
      <c r="BD698" s="140"/>
      <c r="BE698" s="140"/>
    </row>
    <row r="699">
      <c r="A699" s="108"/>
      <c r="B699" s="107"/>
      <c r="C699" s="107"/>
      <c r="D699" s="107"/>
      <c r="E699" s="107"/>
      <c r="F699" s="107"/>
      <c r="G699" s="208"/>
      <c r="H699" s="131"/>
      <c r="I699" s="211"/>
      <c r="J699" s="107"/>
      <c r="K699" s="202"/>
      <c r="L699" s="107"/>
      <c r="M699" s="107"/>
      <c r="N699" s="206"/>
      <c r="O699" s="108" t="b">
        <v>0</v>
      </c>
      <c r="P699" s="207"/>
      <c r="Q699" s="140"/>
      <c r="R699" s="140"/>
      <c r="S699" s="140"/>
      <c r="T699" s="140"/>
      <c r="U699" s="140"/>
      <c r="V699" s="140"/>
      <c r="W699" s="140"/>
      <c r="X699" s="140"/>
      <c r="Y699" s="140"/>
      <c r="Z699" s="140"/>
      <c r="AA699" s="140"/>
      <c r="AB699" s="140"/>
      <c r="AC699" s="140"/>
      <c r="AD699" s="140"/>
      <c r="AE699" s="140"/>
      <c r="AF699" s="140"/>
      <c r="AG699" s="140"/>
      <c r="AH699" s="140"/>
      <c r="AI699" s="140"/>
      <c r="AJ699" s="140"/>
      <c r="AK699" s="140"/>
      <c r="AL699" s="140"/>
      <c r="AM699" s="140"/>
      <c r="AN699" s="140"/>
      <c r="AO699" s="140"/>
      <c r="AP699" s="140"/>
      <c r="AQ699" s="140"/>
      <c r="AR699" s="140"/>
      <c r="AS699" s="140"/>
      <c r="AT699" s="140"/>
      <c r="AU699" s="140"/>
      <c r="AV699" s="140"/>
      <c r="AW699" s="140"/>
      <c r="AX699" s="140"/>
      <c r="AY699" s="140"/>
      <c r="AZ699" s="140"/>
      <c r="BA699" s="140"/>
      <c r="BB699" s="140"/>
      <c r="BC699" s="140"/>
      <c r="BD699" s="140"/>
      <c r="BE699" s="140"/>
    </row>
    <row r="700">
      <c r="A700" s="108"/>
      <c r="B700" s="107"/>
      <c r="C700" s="107"/>
      <c r="D700" s="107"/>
      <c r="E700" s="107"/>
      <c r="F700" s="107"/>
      <c r="G700" s="208"/>
      <c r="H700" s="131"/>
      <c r="I700" s="211"/>
      <c r="J700" s="107"/>
      <c r="K700" s="202"/>
      <c r="L700" s="107"/>
      <c r="M700" s="107"/>
      <c r="N700" s="206"/>
      <c r="O700" s="108" t="b">
        <v>0</v>
      </c>
      <c r="P700" s="207"/>
      <c r="Q700" s="140"/>
      <c r="R700" s="140"/>
      <c r="S700" s="140"/>
      <c r="T700" s="140"/>
      <c r="U700" s="140"/>
      <c r="V700" s="140"/>
      <c r="W700" s="140"/>
      <c r="X700" s="140"/>
      <c r="Y700" s="140"/>
      <c r="Z700" s="140"/>
      <c r="AA700" s="140"/>
      <c r="AB700" s="140"/>
      <c r="AC700" s="140"/>
      <c r="AD700" s="140"/>
      <c r="AE700" s="140"/>
      <c r="AF700" s="140"/>
      <c r="AG700" s="140"/>
      <c r="AH700" s="140"/>
      <c r="AI700" s="140"/>
      <c r="AJ700" s="140"/>
      <c r="AK700" s="140"/>
      <c r="AL700" s="140"/>
      <c r="AM700" s="140"/>
      <c r="AN700" s="140"/>
      <c r="AO700" s="140"/>
      <c r="AP700" s="140"/>
      <c r="AQ700" s="140"/>
      <c r="AR700" s="140"/>
      <c r="AS700" s="140"/>
      <c r="AT700" s="140"/>
      <c r="AU700" s="140"/>
      <c r="AV700" s="140"/>
      <c r="AW700" s="140"/>
      <c r="AX700" s="140"/>
      <c r="AY700" s="140"/>
      <c r="AZ700" s="140"/>
      <c r="BA700" s="140"/>
      <c r="BB700" s="140"/>
      <c r="BC700" s="140"/>
      <c r="BD700" s="140"/>
      <c r="BE700" s="140"/>
    </row>
    <row r="701">
      <c r="A701" s="108"/>
      <c r="B701" s="107"/>
      <c r="C701" s="107"/>
      <c r="D701" s="107"/>
      <c r="E701" s="107"/>
      <c r="F701" s="107"/>
      <c r="G701" s="208"/>
      <c r="H701" s="131"/>
      <c r="I701" s="211"/>
      <c r="J701" s="107"/>
      <c r="K701" s="202"/>
      <c r="L701" s="107"/>
      <c r="M701" s="107"/>
      <c r="N701" s="206"/>
      <c r="O701" s="108" t="b">
        <v>0</v>
      </c>
      <c r="P701" s="207"/>
      <c r="Q701" s="140"/>
      <c r="R701" s="140"/>
      <c r="S701" s="140"/>
      <c r="T701" s="140"/>
      <c r="U701" s="140"/>
      <c r="V701" s="140"/>
      <c r="W701" s="140"/>
      <c r="X701" s="140"/>
      <c r="Y701" s="140"/>
      <c r="Z701" s="140"/>
      <c r="AA701" s="140"/>
      <c r="AB701" s="140"/>
      <c r="AC701" s="140"/>
      <c r="AD701" s="140"/>
      <c r="AE701" s="140"/>
      <c r="AF701" s="140"/>
      <c r="AG701" s="140"/>
      <c r="AH701" s="140"/>
      <c r="AI701" s="140"/>
      <c r="AJ701" s="140"/>
      <c r="AK701" s="140"/>
      <c r="AL701" s="140"/>
      <c r="AM701" s="140"/>
      <c r="AN701" s="140"/>
      <c r="AO701" s="140"/>
      <c r="AP701" s="140"/>
      <c r="AQ701" s="140"/>
      <c r="AR701" s="140"/>
      <c r="AS701" s="140"/>
      <c r="AT701" s="140"/>
      <c r="AU701" s="140"/>
      <c r="AV701" s="140"/>
      <c r="AW701" s="140"/>
      <c r="AX701" s="140"/>
      <c r="AY701" s="140"/>
      <c r="AZ701" s="140"/>
      <c r="BA701" s="140"/>
      <c r="BB701" s="140"/>
      <c r="BC701" s="140"/>
      <c r="BD701" s="140"/>
      <c r="BE701" s="140"/>
    </row>
    <row r="702">
      <c r="A702" s="108"/>
      <c r="B702" s="107"/>
      <c r="C702" s="107"/>
      <c r="D702" s="107"/>
      <c r="E702" s="107"/>
      <c r="F702" s="107"/>
      <c r="G702" s="208"/>
      <c r="H702" s="131"/>
      <c r="I702" s="211"/>
      <c r="J702" s="107"/>
      <c r="K702" s="202"/>
      <c r="L702" s="107"/>
      <c r="M702" s="107"/>
      <c r="N702" s="206"/>
      <c r="O702" s="108" t="b">
        <v>0</v>
      </c>
      <c r="P702" s="207"/>
      <c r="Q702" s="140"/>
      <c r="R702" s="140"/>
      <c r="S702" s="140"/>
      <c r="T702" s="140"/>
      <c r="U702" s="140"/>
      <c r="V702" s="140"/>
      <c r="W702" s="140"/>
      <c r="X702" s="140"/>
      <c r="Y702" s="140"/>
      <c r="Z702" s="140"/>
      <c r="AA702" s="140"/>
      <c r="AB702" s="140"/>
      <c r="AC702" s="140"/>
      <c r="AD702" s="140"/>
      <c r="AE702" s="140"/>
      <c r="AF702" s="140"/>
      <c r="AG702" s="140"/>
      <c r="AH702" s="140"/>
      <c r="AI702" s="140"/>
      <c r="AJ702" s="140"/>
      <c r="AK702" s="140"/>
      <c r="AL702" s="140"/>
      <c r="AM702" s="140"/>
      <c r="AN702" s="140"/>
      <c r="AO702" s="140"/>
      <c r="AP702" s="140"/>
      <c r="AQ702" s="140"/>
      <c r="AR702" s="140"/>
      <c r="AS702" s="140"/>
      <c r="AT702" s="140"/>
      <c r="AU702" s="140"/>
      <c r="AV702" s="140"/>
      <c r="AW702" s="140"/>
      <c r="AX702" s="140"/>
      <c r="AY702" s="140"/>
      <c r="AZ702" s="140"/>
      <c r="BA702" s="140"/>
      <c r="BB702" s="140"/>
      <c r="BC702" s="140"/>
      <c r="BD702" s="140"/>
      <c r="BE702" s="140"/>
    </row>
    <row r="703">
      <c r="A703" s="108"/>
      <c r="B703" s="107"/>
      <c r="C703" s="107"/>
      <c r="D703" s="107"/>
      <c r="E703" s="107"/>
      <c r="F703" s="107"/>
      <c r="G703" s="208"/>
      <c r="H703" s="131"/>
      <c r="I703" s="211"/>
      <c r="J703" s="107"/>
      <c r="K703" s="202"/>
      <c r="L703" s="107"/>
      <c r="M703" s="107"/>
      <c r="N703" s="206"/>
      <c r="O703" s="108" t="b">
        <v>0</v>
      </c>
      <c r="P703" s="207"/>
      <c r="Q703" s="140"/>
      <c r="R703" s="140"/>
      <c r="S703" s="140"/>
      <c r="T703" s="140"/>
      <c r="U703" s="140"/>
      <c r="V703" s="140"/>
      <c r="W703" s="140"/>
      <c r="X703" s="140"/>
      <c r="Y703" s="140"/>
      <c r="Z703" s="140"/>
      <c r="AA703" s="140"/>
      <c r="AB703" s="140"/>
      <c r="AC703" s="140"/>
      <c r="AD703" s="140"/>
      <c r="AE703" s="140"/>
      <c r="AF703" s="140"/>
      <c r="AG703" s="140"/>
      <c r="AH703" s="140"/>
      <c r="AI703" s="140"/>
      <c r="AJ703" s="140"/>
      <c r="AK703" s="140"/>
      <c r="AL703" s="140"/>
      <c r="AM703" s="140"/>
      <c r="AN703" s="140"/>
      <c r="AO703" s="140"/>
      <c r="AP703" s="140"/>
      <c r="AQ703" s="140"/>
      <c r="AR703" s="140"/>
      <c r="AS703" s="140"/>
      <c r="AT703" s="140"/>
      <c r="AU703" s="140"/>
      <c r="AV703" s="140"/>
      <c r="AW703" s="140"/>
      <c r="AX703" s="140"/>
      <c r="AY703" s="140"/>
      <c r="AZ703" s="140"/>
      <c r="BA703" s="140"/>
      <c r="BB703" s="140"/>
      <c r="BC703" s="140"/>
      <c r="BD703" s="140"/>
      <c r="BE703" s="140"/>
    </row>
    <row r="704">
      <c r="A704" s="108"/>
      <c r="B704" s="107"/>
      <c r="C704" s="107"/>
      <c r="D704" s="107"/>
      <c r="E704" s="107"/>
      <c r="F704" s="107"/>
      <c r="G704" s="208"/>
      <c r="H704" s="131"/>
      <c r="I704" s="211"/>
      <c r="J704" s="107"/>
      <c r="K704" s="202"/>
      <c r="L704" s="107"/>
      <c r="M704" s="107"/>
      <c r="N704" s="206"/>
      <c r="O704" s="108" t="b">
        <v>0</v>
      </c>
      <c r="P704" s="207"/>
      <c r="Q704" s="140"/>
      <c r="R704" s="140"/>
      <c r="S704" s="140"/>
      <c r="T704" s="140"/>
      <c r="U704" s="140"/>
      <c r="V704" s="140"/>
      <c r="W704" s="140"/>
      <c r="X704" s="140"/>
      <c r="Y704" s="140"/>
      <c r="Z704" s="140"/>
      <c r="AA704" s="140"/>
      <c r="AB704" s="140"/>
      <c r="AC704" s="140"/>
      <c r="AD704" s="140"/>
      <c r="AE704" s="140"/>
      <c r="AF704" s="140"/>
      <c r="AG704" s="140"/>
      <c r="AH704" s="140"/>
      <c r="AI704" s="140"/>
      <c r="AJ704" s="140"/>
      <c r="AK704" s="140"/>
      <c r="AL704" s="140"/>
      <c r="AM704" s="140"/>
      <c r="AN704" s="140"/>
      <c r="AO704" s="140"/>
      <c r="AP704" s="140"/>
      <c r="AQ704" s="140"/>
      <c r="AR704" s="140"/>
      <c r="AS704" s="140"/>
      <c r="AT704" s="140"/>
      <c r="AU704" s="140"/>
      <c r="AV704" s="140"/>
      <c r="AW704" s="140"/>
      <c r="AX704" s="140"/>
      <c r="AY704" s="140"/>
      <c r="AZ704" s="140"/>
      <c r="BA704" s="140"/>
      <c r="BB704" s="140"/>
      <c r="BC704" s="140"/>
      <c r="BD704" s="140"/>
      <c r="BE704" s="140"/>
    </row>
    <row r="705">
      <c r="A705" s="108"/>
      <c r="B705" s="107"/>
      <c r="C705" s="107"/>
      <c r="D705" s="107"/>
      <c r="E705" s="107"/>
      <c r="F705" s="107"/>
      <c r="G705" s="208"/>
      <c r="H705" s="131"/>
      <c r="I705" s="211"/>
      <c r="J705" s="107"/>
      <c r="K705" s="202"/>
      <c r="L705" s="107"/>
      <c r="M705" s="107"/>
      <c r="N705" s="206"/>
      <c r="O705" s="108" t="b">
        <v>0</v>
      </c>
      <c r="P705" s="207"/>
      <c r="Q705" s="140"/>
      <c r="R705" s="140"/>
      <c r="S705" s="140"/>
      <c r="T705" s="140"/>
      <c r="U705" s="140"/>
      <c r="V705" s="140"/>
      <c r="W705" s="140"/>
      <c r="X705" s="140"/>
      <c r="Y705" s="140"/>
      <c r="Z705" s="140"/>
      <c r="AA705" s="140"/>
      <c r="AB705" s="140"/>
      <c r="AC705" s="140"/>
      <c r="AD705" s="140"/>
      <c r="AE705" s="140"/>
      <c r="AF705" s="140"/>
      <c r="AG705" s="140"/>
      <c r="AH705" s="140"/>
      <c r="AI705" s="140"/>
      <c r="AJ705" s="140"/>
      <c r="AK705" s="140"/>
      <c r="AL705" s="140"/>
      <c r="AM705" s="140"/>
      <c r="AN705" s="140"/>
      <c r="AO705" s="140"/>
      <c r="AP705" s="140"/>
      <c r="AQ705" s="140"/>
      <c r="AR705" s="140"/>
      <c r="AS705" s="140"/>
      <c r="AT705" s="140"/>
      <c r="AU705" s="140"/>
      <c r="AV705" s="140"/>
      <c r="AW705" s="140"/>
      <c r="AX705" s="140"/>
      <c r="AY705" s="140"/>
      <c r="AZ705" s="140"/>
      <c r="BA705" s="140"/>
      <c r="BB705" s="140"/>
      <c r="BC705" s="140"/>
      <c r="BD705" s="140"/>
      <c r="BE705" s="140"/>
    </row>
    <row r="706">
      <c r="A706" s="108"/>
      <c r="B706" s="107"/>
      <c r="C706" s="107"/>
      <c r="D706" s="107"/>
      <c r="E706" s="107"/>
      <c r="F706" s="107"/>
      <c r="G706" s="208"/>
      <c r="H706" s="131"/>
      <c r="I706" s="211"/>
      <c r="J706" s="107"/>
      <c r="K706" s="202"/>
      <c r="L706" s="107"/>
      <c r="M706" s="107"/>
      <c r="N706" s="206"/>
      <c r="O706" s="108" t="b">
        <v>0</v>
      </c>
      <c r="P706" s="207"/>
      <c r="Q706" s="140"/>
      <c r="R706" s="140"/>
      <c r="S706" s="140"/>
      <c r="T706" s="140"/>
      <c r="U706" s="140"/>
      <c r="V706" s="140"/>
      <c r="W706" s="140"/>
      <c r="X706" s="140"/>
      <c r="Y706" s="140"/>
      <c r="Z706" s="140"/>
      <c r="AA706" s="140"/>
      <c r="AB706" s="140"/>
      <c r="AC706" s="140"/>
      <c r="AD706" s="140"/>
      <c r="AE706" s="140"/>
      <c r="AF706" s="140"/>
      <c r="AG706" s="140"/>
      <c r="AH706" s="140"/>
      <c r="AI706" s="140"/>
      <c r="AJ706" s="140"/>
      <c r="AK706" s="140"/>
      <c r="AL706" s="140"/>
      <c r="AM706" s="140"/>
      <c r="AN706" s="140"/>
      <c r="AO706" s="140"/>
      <c r="AP706" s="140"/>
      <c r="AQ706" s="140"/>
      <c r="AR706" s="140"/>
      <c r="AS706" s="140"/>
      <c r="AT706" s="140"/>
      <c r="AU706" s="140"/>
      <c r="AV706" s="140"/>
      <c r="AW706" s="140"/>
      <c r="AX706" s="140"/>
      <c r="AY706" s="140"/>
      <c r="AZ706" s="140"/>
      <c r="BA706" s="140"/>
      <c r="BB706" s="140"/>
      <c r="BC706" s="140"/>
      <c r="BD706" s="140"/>
      <c r="BE706" s="140"/>
    </row>
    <row r="707">
      <c r="A707" s="108"/>
      <c r="B707" s="107"/>
      <c r="C707" s="107"/>
      <c r="D707" s="107"/>
      <c r="E707" s="107"/>
      <c r="F707" s="107"/>
      <c r="G707" s="208"/>
      <c r="H707" s="131"/>
      <c r="I707" s="211"/>
      <c r="J707" s="107"/>
      <c r="K707" s="202"/>
      <c r="L707" s="107"/>
      <c r="M707" s="107"/>
      <c r="N707" s="206"/>
      <c r="O707" s="108" t="b">
        <v>0</v>
      </c>
      <c r="P707" s="207"/>
      <c r="Q707" s="140"/>
      <c r="R707" s="140"/>
      <c r="S707" s="140"/>
      <c r="T707" s="140"/>
      <c r="U707" s="140"/>
      <c r="V707" s="140"/>
      <c r="W707" s="140"/>
      <c r="X707" s="140"/>
      <c r="Y707" s="140"/>
      <c r="Z707" s="140"/>
      <c r="AA707" s="140"/>
      <c r="AB707" s="140"/>
      <c r="AC707" s="140"/>
      <c r="AD707" s="140"/>
      <c r="AE707" s="140"/>
      <c r="AF707" s="140"/>
      <c r="AG707" s="140"/>
      <c r="AH707" s="140"/>
      <c r="AI707" s="140"/>
      <c r="AJ707" s="140"/>
      <c r="AK707" s="140"/>
      <c r="AL707" s="140"/>
      <c r="AM707" s="140"/>
      <c r="AN707" s="140"/>
      <c r="AO707" s="140"/>
      <c r="AP707" s="140"/>
      <c r="AQ707" s="140"/>
      <c r="AR707" s="140"/>
      <c r="AS707" s="140"/>
      <c r="AT707" s="140"/>
      <c r="AU707" s="140"/>
      <c r="AV707" s="140"/>
      <c r="AW707" s="140"/>
      <c r="AX707" s="140"/>
      <c r="AY707" s="140"/>
      <c r="AZ707" s="140"/>
      <c r="BA707" s="140"/>
      <c r="BB707" s="140"/>
      <c r="BC707" s="140"/>
      <c r="BD707" s="140"/>
      <c r="BE707" s="140"/>
    </row>
    <row r="708">
      <c r="A708" s="108"/>
      <c r="B708" s="107"/>
      <c r="C708" s="107"/>
      <c r="D708" s="107"/>
      <c r="E708" s="107"/>
      <c r="F708" s="107"/>
      <c r="G708" s="208"/>
      <c r="H708" s="131"/>
      <c r="I708" s="211"/>
      <c r="J708" s="107"/>
      <c r="K708" s="202"/>
      <c r="L708" s="107"/>
      <c r="M708" s="107"/>
      <c r="N708" s="206"/>
      <c r="O708" s="108" t="b">
        <v>0</v>
      </c>
      <c r="P708" s="207"/>
      <c r="Q708" s="140"/>
      <c r="R708" s="140"/>
      <c r="S708" s="140"/>
      <c r="T708" s="140"/>
      <c r="U708" s="140"/>
      <c r="V708" s="140"/>
      <c r="W708" s="140"/>
      <c r="X708" s="140"/>
      <c r="Y708" s="140"/>
      <c r="Z708" s="140"/>
      <c r="AA708" s="140"/>
      <c r="AB708" s="140"/>
      <c r="AC708" s="140"/>
      <c r="AD708" s="140"/>
      <c r="AE708" s="140"/>
      <c r="AF708" s="140"/>
      <c r="AG708" s="140"/>
      <c r="AH708" s="140"/>
      <c r="AI708" s="140"/>
      <c r="AJ708" s="140"/>
      <c r="AK708" s="140"/>
      <c r="AL708" s="140"/>
      <c r="AM708" s="140"/>
      <c r="AN708" s="140"/>
      <c r="AO708" s="140"/>
      <c r="AP708" s="140"/>
      <c r="AQ708" s="140"/>
      <c r="AR708" s="140"/>
      <c r="AS708" s="140"/>
      <c r="AT708" s="140"/>
      <c r="AU708" s="140"/>
      <c r="AV708" s="140"/>
      <c r="AW708" s="140"/>
      <c r="AX708" s="140"/>
      <c r="AY708" s="140"/>
      <c r="AZ708" s="140"/>
      <c r="BA708" s="140"/>
      <c r="BB708" s="140"/>
      <c r="BC708" s="140"/>
      <c r="BD708" s="140"/>
      <c r="BE708" s="140"/>
    </row>
    <row r="709">
      <c r="A709" s="108"/>
      <c r="B709" s="107"/>
      <c r="C709" s="107"/>
      <c r="D709" s="107"/>
      <c r="E709" s="107"/>
      <c r="F709" s="107"/>
      <c r="G709" s="208"/>
      <c r="H709" s="131"/>
      <c r="I709" s="211"/>
      <c r="J709" s="107"/>
      <c r="K709" s="202"/>
      <c r="L709" s="107"/>
      <c r="M709" s="107"/>
      <c r="N709" s="206"/>
      <c r="O709" s="108" t="b">
        <v>0</v>
      </c>
      <c r="P709" s="207"/>
      <c r="Q709" s="140"/>
      <c r="R709" s="140"/>
      <c r="S709" s="140"/>
      <c r="T709" s="140"/>
      <c r="U709" s="140"/>
      <c r="V709" s="140"/>
      <c r="W709" s="140"/>
      <c r="X709" s="140"/>
      <c r="Y709" s="140"/>
      <c r="Z709" s="140"/>
      <c r="AA709" s="140"/>
      <c r="AB709" s="140"/>
      <c r="AC709" s="140"/>
      <c r="AD709" s="140"/>
      <c r="AE709" s="140"/>
      <c r="AF709" s="140"/>
      <c r="AG709" s="140"/>
      <c r="AH709" s="140"/>
      <c r="AI709" s="140"/>
      <c r="AJ709" s="140"/>
      <c r="AK709" s="140"/>
      <c r="AL709" s="140"/>
      <c r="AM709" s="140"/>
      <c r="AN709" s="140"/>
      <c r="AO709" s="140"/>
      <c r="AP709" s="140"/>
      <c r="AQ709" s="140"/>
      <c r="AR709" s="140"/>
      <c r="AS709" s="140"/>
      <c r="AT709" s="140"/>
      <c r="AU709" s="140"/>
      <c r="AV709" s="140"/>
      <c r="AW709" s="140"/>
      <c r="AX709" s="140"/>
      <c r="AY709" s="140"/>
      <c r="AZ709" s="140"/>
      <c r="BA709" s="140"/>
      <c r="BB709" s="140"/>
      <c r="BC709" s="140"/>
      <c r="BD709" s="140"/>
      <c r="BE709" s="140"/>
    </row>
    <row r="710">
      <c r="A710" s="108"/>
      <c r="B710" s="107"/>
      <c r="C710" s="107"/>
      <c r="D710" s="107"/>
      <c r="E710" s="107"/>
      <c r="F710" s="107"/>
      <c r="G710" s="208"/>
      <c r="H710" s="131"/>
      <c r="I710" s="211"/>
      <c r="J710" s="107"/>
      <c r="K710" s="202"/>
      <c r="L710" s="107"/>
      <c r="M710" s="107"/>
      <c r="N710" s="206"/>
      <c r="O710" s="108" t="b">
        <v>0</v>
      </c>
      <c r="P710" s="207"/>
      <c r="Q710" s="140"/>
      <c r="R710" s="140"/>
      <c r="S710" s="140"/>
      <c r="T710" s="140"/>
      <c r="U710" s="140"/>
      <c r="V710" s="140"/>
      <c r="W710" s="140"/>
      <c r="X710" s="140"/>
      <c r="Y710" s="140"/>
      <c r="Z710" s="140"/>
      <c r="AA710" s="140"/>
      <c r="AB710" s="140"/>
      <c r="AC710" s="140"/>
      <c r="AD710" s="140"/>
      <c r="AE710" s="140"/>
      <c r="AF710" s="140"/>
      <c r="AG710" s="140"/>
      <c r="AH710" s="140"/>
      <c r="AI710" s="140"/>
      <c r="AJ710" s="140"/>
      <c r="AK710" s="140"/>
      <c r="AL710" s="140"/>
      <c r="AM710" s="140"/>
      <c r="AN710" s="140"/>
      <c r="AO710" s="140"/>
      <c r="AP710" s="140"/>
      <c r="AQ710" s="140"/>
      <c r="AR710" s="140"/>
      <c r="AS710" s="140"/>
      <c r="AT710" s="140"/>
      <c r="AU710" s="140"/>
      <c r="AV710" s="140"/>
      <c r="AW710" s="140"/>
      <c r="AX710" s="140"/>
      <c r="AY710" s="140"/>
      <c r="AZ710" s="140"/>
      <c r="BA710" s="140"/>
      <c r="BB710" s="140"/>
      <c r="BC710" s="140"/>
      <c r="BD710" s="140"/>
      <c r="BE710" s="140"/>
    </row>
    <row r="711">
      <c r="A711" s="108"/>
      <c r="B711" s="107"/>
      <c r="C711" s="107"/>
      <c r="D711" s="107"/>
      <c r="E711" s="107"/>
      <c r="F711" s="107"/>
      <c r="G711" s="208"/>
      <c r="H711" s="131"/>
      <c r="I711" s="211"/>
      <c r="J711" s="107"/>
      <c r="K711" s="202"/>
      <c r="L711" s="107"/>
      <c r="M711" s="107"/>
      <c r="N711" s="206"/>
      <c r="O711" s="108" t="b">
        <v>0</v>
      </c>
      <c r="P711" s="207"/>
      <c r="Q711" s="140"/>
      <c r="R711" s="140"/>
      <c r="S711" s="140"/>
      <c r="T711" s="140"/>
      <c r="U711" s="140"/>
      <c r="V711" s="140"/>
      <c r="W711" s="140"/>
      <c r="X711" s="140"/>
      <c r="Y711" s="140"/>
      <c r="Z711" s="140"/>
      <c r="AA711" s="140"/>
      <c r="AB711" s="140"/>
      <c r="AC711" s="140"/>
      <c r="AD711" s="140"/>
      <c r="AE711" s="140"/>
      <c r="AF711" s="140"/>
      <c r="AG711" s="140"/>
      <c r="AH711" s="140"/>
      <c r="AI711" s="140"/>
      <c r="AJ711" s="140"/>
      <c r="AK711" s="140"/>
      <c r="AL711" s="140"/>
      <c r="AM711" s="140"/>
      <c r="AN711" s="140"/>
      <c r="AO711" s="140"/>
      <c r="AP711" s="140"/>
      <c r="AQ711" s="140"/>
      <c r="AR711" s="140"/>
      <c r="AS711" s="140"/>
      <c r="AT711" s="140"/>
      <c r="AU711" s="140"/>
      <c r="AV711" s="140"/>
      <c r="AW711" s="140"/>
      <c r="AX711" s="140"/>
      <c r="AY711" s="140"/>
      <c r="AZ711" s="140"/>
      <c r="BA711" s="140"/>
      <c r="BB711" s="140"/>
      <c r="BC711" s="140"/>
      <c r="BD711" s="140"/>
      <c r="BE711" s="140"/>
    </row>
    <row r="712">
      <c r="A712" s="108"/>
      <c r="B712" s="107"/>
      <c r="C712" s="107"/>
      <c r="D712" s="107"/>
      <c r="E712" s="107"/>
      <c r="F712" s="107"/>
      <c r="G712" s="208"/>
      <c r="H712" s="131"/>
      <c r="I712" s="211"/>
      <c r="J712" s="107"/>
      <c r="K712" s="202"/>
      <c r="L712" s="107"/>
      <c r="M712" s="107"/>
      <c r="N712" s="206"/>
      <c r="O712" s="108" t="b">
        <v>0</v>
      </c>
      <c r="P712" s="207"/>
      <c r="Q712" s="140"/>
      <c r="R712" s="140"/>
      <c r="S712" s="140"/>
      <c r="T712" s="140"/>
      <c r="U712" s="140"/>
      <c r="V712" s="140"/>
      <c r="W712" s="140"/>
      <c r="X712" s="140"/>
      <c r="Y712" s="140"/>
      <c r="Z712" s="140"/>
      <c r="AA712" s="140"/>
      <c r="AB712" s="140"/>
      <c r="AC712" s="140"/>
      <c r="AD712" s="140"/>
      <c r="AE712" s="140"/>
      <c r="AF712" s="140"/>
      <c r="AG712" s="140"/>
      <c r="AH712" s="140"/>
      <c r="AI712" s="140"/>
      <c r="AJ712" s="140"/>
      <c r="AK712" s="140"/>
      <c r="AL712" s="140"/>
      <c r="AM712" s="140"/>
      <c r="AN712" s="140"/>
      <c r="AO712" s="140"/>
      <c r="AP712" s="140"/>
      <c r="AQ712" s="140"/>
      <c r="AR712" s="140"/>
      <c r="AS712" s="140"/>
      <c r="AT712" s="140"/>
      <c r="AU712" s="140"/>
      <c r="AV712" s="140"/>
      <c r="AW712" s="140"/>
      <c r="AX712" s="140"/>
      <c r="AY712" s="140"/>
      <c r="AZ712" s="140"/>
      <c r="BA712" s="140"/>
      <c r="BB712" s="140"/>
      <c r="BC712" s="140"/>
      <c r="BD712" s="140"/>
      <c r="BE712" s="140"/>
    </row>
    <row r="713">
      <c r="A713" s="108"/>
      <c r="B713" s="107"/>
      <c r="C713" s="107"/>
      <c r="D713" s="107"/>
      <c r="E713" s="107"/>
      <c r="F713" s="107"/>
      <c r="G713" s="208"/>
      <c r="H713" s="131"/>
      <c r="I713" s="211"/>
      <c r="J713" s="107"/>
      <c r="K713" s="202"/>
      <c r="L713" s="107"/>
      <c r="M713" s="107"/>
      <c r="N713" s="206"/>
      <c r="O713" s="108" t="b">
        <v>0</v>
      </c>
      <c r="P713" s="207"/>
      <c r="Q713" s="140"/>
      <c r="R713" s="140"/>
      <c r="S713" s="140"/>
      <c r="T713" s="140"/>
      <c r="U713" s="140"/>
      <c r="V713" s="140"/>
      <c r="W713" s="140"/>
      <c r="X713" s="140"/>
      <c r="Y713" s="140"/>
      <c r="Z713" s="140"/>
      <c r="AA713" s="140"/>
      <c r="AB713" s="140"/>
      <c r="AC713" s="140"/>
      <c r="AD713" s="140"/>
      <c r="AE713" s="140"/>
      <c r="AF713" s="140"/>
      <c r="AG713" s="140"/>
      <c r="AH713" s="140"/>
      <c r="AI713" s="140"/>
      <c r="AJ713" s="140"/>
      <c r="AK713" s="140"/>
      <c r="AL713" s="140"/>
      <c r="AM713" s="140"/>
      <c r="AN713" s="140"/>
      <c r="AO713" s="140"/>
      <c r="AP713" s="140"/>
      <c r="AQ713" s="140"/>
      <c r="AR713" s="140"/>
      <c r="AS713" s="140"/>
      <c r="AT713" s="140"/>
      <c r="AU713" s="140"/>
      <c r="AV713" s="140"/>
      <c r="AW713" s="140"/>
      <c r="AX713" s="140"/>
      <c r="AY713" s="140"/>
      <c r="AZ713" s="140"/>
      <c r="BA713" s="140"/>
      <c r="BB713" s="140"/>
      <c r="BC713" s="140"/>
      <c r="BD713" s="140"/>
      <c r="BE713" s="140"/>
    </row>
    <row r="714">
      <c r="A714" s="108"/>
      <c r="B714" s="107"/>
      <c r="C714" s="107"/>
      <c r="D714" s="107"/>
      <c r="E714" s="107"/>
      <c r="F714" s="107"/>
      <c r="G714" s="208"/>
      <c r="H714" s="131"/>
      <c r="I714" s="211"/>
      <c r="J714" s="107"/>
      <c r="K714" s="202"/>
      <c r="L714" s="107"/>
      <c r="M714" s="107"/>
      <c r="N714" s="206"/>
      <c r="O714" s="108" t="b">
        <v>0</v>
      </c>
      <c r="P714" s="207"/>
      <c r="Q714" s="140"/>
      <c r="R714" s="140"/>
      <c r="S714" s="140"/>
      <c r="T714" s="140"/>
      <c r="U714" s="140"/>
      <c r="V714" s="140"/>
      <c r="W714" s="140"/>
      <c r="X714" s="140"/>
      <c r="Y714" s="140"/>
      <c r="Z714" s="140"/>
      <c r="AA714" s="140"/>
      <c r="AB714" s="140"/>
      <c r="AC714" s="140"/>
      <c r="AD714" s="140"/>
      <c r="AE714" s="140"/>
      <c r="AF714" s="140"/>
      <c r="AG714" s="140"/>
      <c r="AH714" s="140"/>
      <c r="AI714" s="140"/>
      <c r="AJ714" s="140"/>
      <c r="AK714" s="140"/>
      <c r="AL714" s="140"/>
      <c r="AM714" s="140"/>
      <c r="AN714" s="140"/>
      <c r="AO714" s="140"/>
      <c r="AP714" s="140"/>
      <c r="AQ714" s="140"/>
      <c r="AR714" s="140"/>
      <c r="AS714" s="140"/>
      <c r="AT714" s="140"/>
      <c r="AU714" s="140"/>
      <c r="AV714" s="140"/>
      <c r="AW714" s="140"/>
      <c r="AX714" s="140"/>
      <c r="AY714" s="140"/>
      <c r="AZ714" s="140"/>
      <c r="BA714" s="140"/>
      <c r="BB714" s="140"/>
      <c r="BC714" s="140"/>
      <c r="BD714" s="140"/>
      <c r="BE714" s="140"/>
    </row>
    <row r="715">
      <c r="A715" s="108"/>
      <c r="B715" s="107"/>
      <c r="C715" s="107"/>
      <c r="D715" s="107"/>
      <c r="E715" s="107"/>
      <c r="F715" s="107"/>
      <c r="G715" s="208"/>
      <c r="H715" s="131"/>
      <c r="I715" s="211"/>
      <c r="J715" s="107"/>
      <c r="K715" s="202"/>
      <c r="L715" s="107"/>
      <c r="M715" s="107"/>
      <c r="N715" s="206"/>
      <c r="O715" s="108" t="b">
        <v>0</v>
      </c>
      <c r="P715" s="207"/>
      <c r="Q715" s="140"/>
      <c r="R715" s="140"/>
      <c r="S715" s="140"/>
      <c r="T715" s="140"/>
      <c r="U715" s="140"/>
      <c r="V715" s="140"/>
      <c r="W715" s="140"/>
      <c r="X715" s="140"/>
      <c r="Y715" s="140"/>
      <c r="Z715" s="140"/>
      <c r="AA715" s="140"/>
      <c r="AB715" s="140"/>
      <c r="AC715" s="140"/>
      <c r="AD715" s="140"/>
      <c r="AE715" s="140"/>
      <c r="AF715" s="140"/>
      <c r="AG715" s="140"/>
      <c r="AH715" s="140"/>
      <c r="AI715" s="140"/>
      <c r="AJ715" s="140"/>
      <c r="AK715" s="140"/>
      <c r="AL715" s="140"/>
      <c r="AM715" s="140"/>
      <c r="AN715" s="140"/>
      <c r="AO715" s="140"/>
      <c r="AP715" s="140"/>
      <c r="AQ715" s="140"/>
      <c r="AR715" s="140"/>
      <c r="AS715" s="140"/>
      <c r="AT715" s="140"/>
      <c r="AU715" s="140"/>
      <c r="AV715" s="140"/>
      <c r="AW715" s="140"/>
      <c r="AX715" s="140"/>
      <c r="AY715" s="140"/>
      <c r="AZ715" s="140"/>
      <c r="BA715" s="140"/>
      <c r="BB715" s="140"/>
      <c r="BC715" s="140"/>
      <c r="BD715" s="140"/>
      <c r="BE715" s="140"/>
    </row>
    <row r="716">
      <c r="A716" s="108"/>
      <c r="B716" s="107"/>
      <c r="C716" s="107"/>
      <c r="D716" s="107"/>
      <c r="E716" s="107"/>
      <c r="F716" s="107"/>
      <c r="G716" s="208"/>
      <c r="H716" s="131"/>
      <c r="I716" s="211"/>
      <c r="J716" s="107"/>
      <c r="K716" s="202"/>
      <c r="L716" s="107"/>
      <c r="M716" s="107"/>
      <c r="N716" s="206"/>
      <c r="O716" s="108" t="b">
        <v>0</v>
      </c>
      <c r="P716" s="207"/>
      <c r="Q716" s="140"/>
      <c r="R716" s="140"/>
      <c r="S716" s="140"/>
      <c r="T716" s="140"/>
      <c r="U716" s="140"/>
      <c r="V716" s="140"/>
      <c r="W716" s="140"/>
      <c r="X716" s="140"/>
      <c r="Y716" s="140"/>
      <c r="Z716" s="140"/>
      <c r="AA716" s="140"/>
      <c r="AB716" s="140"/>
      <c r="AC716" s="140"/>
      <c r="AD716" s="140"/>
      <c r="AE716" s="140"/>
      <c r="AF716" s="140"/>
      <c r="AG716" s="140"/>
      <c r="AH716" s="140"/>
      <c r="AI716" s="140"/>
      <c r="AJ716" s="140"/>
      <c r="AK716" s="140"/>
      <c r="AL716" s="140"/>
      <c r="AM716" s="140"/>
      <c r="AN716" s="140"/>
      <c r="AO716" s="140"/>
      <c r="AP716" s="140"/>
      <c r="AQ716" s="140"/>
      <c r="AR716" s="140"/>
      <c r="AS716" s="140"/>
      <c r="AT716" s="140"/>
      <c r="AU716" s="140"/>
      <c r="AV716" s="140"/>
      <c r="AW716" s="140"/>
      <c r="AX716" s="140"/>
      <c r="AY716" s="140"/>
      <c r="AZ716" s="140"/>
      <c r="BA716" s="140"/>
      <c r="BB716" s="140"/>
      <c r="BC716" s="140"/>
      <c r="BD716" s="140"/>
      <c r="BE716" s="140"/>
    </row>
    <row r="717">
      <c r="A717" s="108"/>
      <c r="B717" s="107"/>
      <c r="C717" s="107"/>
      <c r="D717" s="107"/>
      <c r="E717" s="107"/>
      <c r="F717" s="107"/>
      <c r="G717" s="208"/>
      <c r="H717" s="131"/>
      <c r="I717" s="211"/>
      <c r="J717" s="107"/>
      <c r="K717" s="202"/>
      <c r="L717" s="107"/>
      <c r="M717" s="107"/>
      <c r="N717" s="206"/>
      <c r="O717" s="108" t="b">
        <v>0</v>
      </c>
      <c r="P717" s="207"/>
      <c r="Q717" s="140"/>
      <c r="R717" s="140"/>
      <c r="S717" s="140"/>
      <c r="T717" s="140"/>
      <c r="U717" s="140"/>
      <c r="V717" s="140"/>
      <c r="W717" s="140"/>
      <c r="X717" s="140"/>
      <c r="Y717" s="140"/>
      <c r="Z717" s="140"/>
      <c r="AA717" s="140"/>
      <c r="AB717" s="140"/>
      <c r="AC717" s="140"/>
      <c r="AD717" s="140"/>
      <c r="AE717" s="140"/>
      <c r="AF717" s="140"/>
      <c r="AG717" s="140"/>
      <c r="AH717" s="140"/>
      <c r="AI717" s="140"/>
      <c r="AJ717" s="140"/>
      <c r="AK717" s="140"/>
      <c r="AL717" s="140"/>
      <c r="AM717" s="140"/>
      <c r="AN717" s="140"/>
      <c r="AO717" s="140"/>
      <c r="AP717" s="140"/>
      <c r="AQ717" s="140"/>
      <c r="AR717" s="140"/>
      <c r="AS717" s="140"/>
      <c r="AT717" s="140"/>
      <c r="AU717" s="140"/>
      <c r="AV717" s="140"/>
      <c r="AW717" s="140"/>
      <c r="AX717" s="140"/>
      <c r="AY717" s="140"/>
      <c r="AZ717" s="140"/>
      <c r="BA717" s="140"/>
      <c r="BB717" s="140"/>
      <c r="BC717" s="140"/>
      <c r="BD717" s="140"/>
      <c r="BE717" s="140"/>
    </row>
    <row r="718">
      <c r="A718" s="108"/>
      <c r="B718" s="107"/>
      <c r="C718" s="107"/>
      <c r="D718" s="107"/>
      <c r="E718" s="107"/>
      <c r="F718" s="107"/>
      <c r="G718" s="208"/>
      <c r="H718" s="131"/>
      <c r="I718" s="211"/>
      <c r="J718" s="107"/>
      <c r="K718" s="202"/>
      <c r="L718" s="107"/>
      <c r="M718" s="107"/>
      <c r="N718" s="206"/>
      <c r="O718" s="108" t="b">
        <v>0</v>
      </c>
      <c r="P718" s="207"/>
      <c r="Q718" s="140"/>
      <c r="R718" s="140"/>
      <c r="S718" s="140"/>
      <c r="T718" s="140"/>
      <c r="U718" s="140"/>
      <c r="V718" s="140"/>
      <c r="W718" s="140"/>
      <c r="X718" s="140"/>
      <c r="Y718" s="140"/>
      <c r="Z718" s="140"/>
      <c r="AA718" s="140"/>
      <c r="AB718" s="140"/>
      <c r="AC718" s="140"/>
      <c r="AD718" s="140"/>
      <c r="AE718" s="140"/>
      <c r="AF718" s="140"/>
      <c r="AG718" s="140"/>
      <c r="AH718" s="140"/>
      <c r="AI718" s="140"/>
      <c r="AJ718" s="140"/>
      <c r="AK718" s="140"/>
      <c r="AL718" s="140"/>
      <c r="AM718" s="140"/>
      <c r="AN718" s="140"/>
      <c r="AO718" s="140"/>
      <c r="AP718" s="140"/>
      <c r="AQ718" s="140"/>
      <c r="AR718" s="140"/>
      <c r="AS718" s="140"/>
      <c r="AT718" s="140"/>
      <c r="AU718" s="140"/>
      <c r="AV718" s="140"/>
      <c r="AW718" s="140"/>
      <c r="AX718" s="140"/>
      <c r="AY718" s="140"/>
      <c r="AZ718" s="140"/>
      <c r="BA718" s="140"/>
      <c r="BB718" s="140"/>
      <c r="BC718" s="140"/>
      <c r="BD718" s="140"/>
      <c r="BE718" s="140"/>
    </row>
    <row r="719">
      <c r="A719" s="108"/>
      <c r="B719" s="107"/>
      <c r="C719" s="107"/>
      <c r="D719" s="107"/>
      <c r="E719" s="107"/>
      <c r="F719" s="107"/>
      <c r="G719" s="208"/>
      <c r="H719" s="131"/>
      <c r="I719" s="211"/>
      <c r="J719" s="107"/>
      <c r="K719" s="202"/>
      <c r="L719" s="107"/>
      <c r="M719" s="107"/>
      <c r="N719" s="206"/>
      <c r="O719" s="108" t="b">
        <v>0</v>
      </c>
      <c r="P719" s="207"/>
      <c r="Q719" s="140"/>
      <c r="R719" s="140"/>
      <c r="S719" s="140"/>
      <c r="T719" s="140"/>
      <c r="U719" s="140"/>
      <c r="V719" s="140"/>
      <c r="W719" s="140"/>
      <c r="X719" s="140"/>
      <c r="Y719" s="140"/>
      <c r="Z719" s="140"/>
      <c r="AA719" s="140"/>
      <c r="AB719" s="140"/>
      <c r="AC719" s="140"/>
      <c r="AD719" s="140"/>
      <c r="AE719" s="140"/>
      <c r="AF719" s="140"/>
      <c r="AG719" s="140"/>
      <c r="AH719" s="140"/>
      <c r="AI719" s="140"/>
      <c r="AJ719" s="140"/>
      <c r="AK719" s="140"/>
      <c r="AL719" s="140"/>
      <c r="AM719" s="140"/>
      <c r="AN719" s="140"/>
      <c r="AO719" s="140"/>
      <c r="AP719" s="140"/>
      <c r="AQ719" s="140"/>
      <c r="AR719" s="140"/>
      <c r="AS719" s="140"/>
      <c r="AT719" s="140"/>
      <c r="AU719" s="140"/>
      <c r="AV719" s="140"/>
      <c r="AW719" s="140"/>
      <c r="AX719" s="140"/>
      <c r="AY719" s="140"/>
      <c r="AZ719" s="140"/>
      <c r="BA719" s="140"/>
      <c r="BB719" s="140"/>
      <c r="BC719" s="140"/>
      <c r="BD719" s="140"/>
      <c r="BE719" s="140"/>
    </row>
    <row r="720">
      <c r="A720" s="108"/>
      <c r="B720" s="107"/>
      <c r="C720" s="107"/>
      <c r="D720" s="107"/>
      <c r="E720" s="107"/>
      <c r="F720" s="107"/>
      <c r="G720" s="208"/>
      <c r="H720" s="131"/>
      <c r="I720" s="211"/>
      <c r="J720" s="107"/>
      <c r="K720" s="202"/>
      <c r="L720" s="107"/>
      <c r="M720" s="107"/>
      <c r="N720" s="206"/>
      <c r="O720" s="108" t="b">
        <v>0</v>
      </c>
      <c r="P720" s="207"/>
      <c r="Q720" s="140"/>
      <c r="R720" s="140"/>
      <c r="S720" s="140"/>
      <c r="T720" s="140"/>
      <c r="U720" s="140"/>
      <c r="V720" s="140"/>
      <c r="W720" s="140"/>
      <c r="X720" s="140"/>
      <c r="Y720" s="140"/>
      <c r="Z720" s="140"/>
      <c r="AA720" s="140"/>
      <c r="AB720" s="140"/>
      <c r="AC720" s="140"/>
      <c r="AD720" s="140"/>
      <c r="AE720" s="140"/>
      <c r="AF720" s="140"/>
      <c r="AG720" s="140"/>
      <c r="AH720" s="140"/>
      <c r="AI720" s="140"/>
      <c r="AJ720" s="140"/>
      <c r="AK720" s="140"/>
      <c r="AL720" s="140"/>
      <c r="AM720" s="140"/>
      <c r="AN720" s="140"/>
      <c r="AO720" s="140"/>
      <c r="AP720" s="140"/>
      <c r="AQ720" s="140"/>
      <c r="AR720" s="140"/>
      <c r="AS720" s="140"/>
      <c r="AT720" s="140"/>
      <c r="AU720" s="140"/>
      <c r="AV720" s="140"/>
      <c r="AW720" s="140"/>
      <c r="AX720" s="140"/>
      <c r="AY720" s="140"/>
      <c r="AZ720" s="140"/>
      <c r="BA720" s="140"/>
      <c r="BB720" s="140"/>
      <c r="BC720" s="140"/>
      <c r="BD720" s="140"/>
      <c r="BE720" s="140"/>
    </row>
    <row r="721">
      <c r="A721" s="108"/>
      <c r="B721" s="107"/>
      <c r="C721" s="107"/>
      <c r="D721" s="107"/>
      <c r="E721" s="107"/>
      <c r="F721" s="107"/>
      <c r="G721" s="208"/>
      <c r="H721" s="131"/>
      <c r="I721" s="211"/>
      <c r="J721" s="107"/>
      <c r="K721" s="202"/>
      <c r="L721" s="107"/>
      <c r="M721" s="107"/>
      <c r="N721" s="206"/>
      <c r="O721" s="108" t="b">
        <v>0</v>
      </c>
      <c r="P721" s="207"/>
      <c r="Q721" s="140"/>
      <c r="R721" s="140"/>
      <c r="S721" s="140"/>
      <c r="T721" s="140"/>
      <c r="U721" s="140"/>
      <c r="V721" s="140"/>
      <c r="W721" s="140"/>
      <c r="X721" s="140"/>
      <c r="Y721" s="140"/>
      <c r="Z721" s="140"/>
      <c r="AA721" s="140"/>
      <c r="AB721" s="140"/>
      <c r="AC721" s="140"/>
      <c r="AD721" s="140"/>
      <c r="AE721" s="140"/>
      <c r="AF721" s="140"/>
      <c r="AG721" s="140"/>
      <c r="AH721" s="140"/>
      <c r="AI721" s="140"/>
      <c r="AJ721" s="140"/>
      <c r="AK721" s="140"/>
      <c r="AL721" s="140"/>
      <c r="AM721" s="140"/>
      <c r="AN721" s="140"/>
      <c r="AO721" s="140"/>
      <c r="AP721" s="140"/>
      <c r="AQ721" s="140"/>
      <c r="AR721" s="140"/>
      <c r="AS721" s="140"/>
      <c r="AT721" s="140"/>
      <c r="AU721" s="140"/>
      <c r="AV721" s="140"/>
      <c r="AW721" s="140"/>
      <c r="AX721" s="140"/>
      <c r="AY721" s="140"/>
      <c r="AZ721" s="140"/>
      <c r="BA721" s="140"/>
      <c r="BB721" s="140"/>
      <c r="BC721" s="140"/>
      <c r="BD721" s="140"/>
      <c r="BE721" s="140"/>
    </row>
    <row r="722">
      <c r="A722" s="108"/>
      <c r="B722" s="107"/>
      <c r="C722" s="107"/>
      <c r="D722" s="107"/>
      <c r="E722" s="107"/>
      <c r="F722" s="107"/>
      <c r="G722" s="208"/>
      <c r="H722" s="131"/>
      <c r="I722" s="211"/>
      <c r="J722" s="107"/>
      <c r="K722" s="202"/>
      <c r="L722" s="107"/>
      <c r="M722" s="107"/>
      <c r="N722" s="206"/>
      <c r="O722" s="108" t="b">
        <v>0</v>
      </c>
      <c r="P722" s="207"/>
      <c r="Q722" s="140"/>
      <c r="R722" s="140"/>
      <c r="S722" s="140"/>
      <c r="T722" s="140"/>
      <c r="U722" s="140"/>
      <c r="V722" s="140"/>
      <c r="W722" s="140"/>
      <c r="X722" s="140"/>
      <c r="Y722" s="140"/>
      <c r="Z722" s="140"/>
      <c r="AA722" s="140"/>
      <c r="AB722" s="140"/>
      <c r="AC722" s="140"/>
      <c r="AD722" s="140"/>
      <c r="AE722" s="140"/>
      <c r="AF722" s="140"/>
      <c r="AG722" s="140"/>
      <c r="AH722" s="140"/>
      <c r="AI722" s="140"/>
      <c r="AJ722" s="140"/>
      <c r="AK722" s="140"/>
      <c r="AL722" s="140"/>
      <c r="AM722" s="140"/>
      <c r="AN722" s="140"/>
      <c r="AO722" s="140"/>
      <c r="AP722" s="140"/>
      <c r="AQ722" s="140"/>
      <c r="AR722" s="140"/>
      <c r="AS722" s="140"/>
      <c r="AT722" s="140"/>
      <c r="AU722" s="140"/>
      <c r="AV722" s="140"/>
      <c r="AW722" s="140"/>
      <c r="AX722" s="140"/>
      <c r="AY722" s="140"/>
      <c r="AZ722" s="140"/>
      <c r="BA722" s="140"/>
      <c r="BB722" s="140"/>
      <c r="BC722" s="140"/>
      <c r="BD722" s="140"/>
      <c r="BE722" s="140"/>
    </row>
    <row r="723">
      <c r="A723" s="108"/>
      <c r="B723" s="107"/>
      <c r="C723" s="107"/>
      <c r="D723" s="107"/>
      <c r="E723" s="107"/>
      <c r="F723" s="107"/>
      <c r="G723" s="208"/>
      <c r="H723" s="131"/>
      <c r="I723" s="211"/>
      <c r="J723" s="107"/>
      <c r="K723" s="202"/>
      <c r="L723" s="107"/>
      <c r="M723" s="107"/>
      <c r="N723" s="206"/>
      <c r="O723" s="108" t="b">
        <v>0</v>
      </c>
      <c r="P723" s="207"/>
      <c r="Q723" s="140"/>
      <c r="R723" s="140"/>
      <c r="S723" s="140"/>
      <c r="T723" s="140"/>
      <c r="U723" s="140"/>
      <c r="V723" s="140"/>
      <c r="W723" s="140"/>
      <c r="X723" s="140"/>
      <c r="Y723" s="140"/>
      <c r="Z723" s="140"/>
      <c r="AA723" s="140"/>
      <c r="AB723" s="140"/>
      <c r="AC723" s="140"/>
      <c r="AD723" s="140"/>
      <c r="AE723" s="140"/>
      <c r="AF723" s="140"/>
      <c r="AG723" s="140"/>
      <c r="AH723" s="140"/>
      <c r="AI723" s="140"/>
      <c r="AJ723" s="140"/>
      <c r="AK723" s="140"/>
      <c r="AL723" s="140"/>
      <c r="AM723" s="140"/>
      <c r="AN723" s="140"/>
      <c r="AO723" s="140"/>
      <c r="AP723" s="140"/>
      <c r="AQ723" s="140"/>
      <c r="AR723" s="140"/>
      <c r="AS723" s="140"/>
      <c r="AT723" s="140"/>
      <c r="AU723" s="140"/>
      <c r="AV723" s="140"/>
      <c r="AW723" s="140"/>
      <c r="AX723" s="140"/>
      <c r="AY723" s="140"/>
      <c r="AZ723" s="140"/>
      <c r="BA723" s="140"/>
      <c r="BB723" s="140"/>
      <c r="BC723" s="140"/>
      <c r="BD723" s="140"/>
      <c r="BE723" s="140"/>
    </row>
    <row r="724">
      <c r="A724" s="108"/>
      <c r="B724" s="107"/>
      <c r="C724" s="107"/>
      <c r="D724" s="107"/>
      <c r="E724" s="107"/>
      <c r="F724" s="107"/>
      <c r="G724" s="208"/>
      <c r="H724" s="131"/>
      <c r="I724" s="211"/>
      <c r="J724" s="107"/>
      <c r="K724" s="202"/>
      <c r="L724" s="107"/>
      <c r="M724" s="107"/>
      <c r="N724" s="206"/>
      <c r="O724" s="108" t="b">
        <v>0</v>
      </c>
      <c r="P724" s="207"/>
      <c r="Q724" s="140"/>
      <c r="R724" s="140"/>
      <c r="S724" s="140"/>
      <c r="T724" s="140"/>
      <c r="U724" s="140"/>
      <c r="V724" s="140"/>
      <c r="W724" s="140"/>
      <c r="X724" s="140"/>
      <c r="Y724" s="140"/>
      <c r="Z724" s="140"/>
      <c r="AA724" s="140"/>
      <c r="AB724" s="140"/>
      <c r="AC724" s="140"/>
      <c r="AD724" s="140"/>
      <c r="AE724" s="140"/>
      <c r="AF724" s="140"/>
      <c r="AG724" s="140"/>
      <c r="AH724" s="140"/>
      <c r="AI724" s="140"/>
      <c r="AJ724" s="140"/>
      <c r="AK724" s="140"/>
      <c r="AL724" s="140"/>
      <c r="AM724" s="140"/>
      <c r="AN724" s="140"/>
      <c r="AO724" s="140"/>
      <c r="AP724" s="140"/>
      <c r="AQ724" s="140"/>
      <c r="AR724" s="140"/>
      <c r="AS724" s="140"/>
      <c r="AT724" s="140"/>
      <c r="AU724" s="140"/>
      <c r="AV724" s="140"/>
      <c r="AW724" s="140"/>
      <c r="AX724" s="140"/>
      <c r="AY724" s="140"/>
      <c r="AZ724" s="140"/>
      <c r="BA724" s="140"/>
      <c r="BB724" s="140"/>
      <c r="BC724" s="140"/>
      <c r="BD724" s="140"/>
      <c r="BE724" s="140"/>
    </row>
    <row r="725">
      <c r="A725" s="108"/>
      <c r="B725" s="107"/>
      <c r="C725" s="107"/>
      <c r="D725" s="107"/>
      <c r="E725" s="107"/>
      <c r="F725" s="107"/>
      <c r="G725" s="208"/>
      <c r="H725" s="131"/>
      <c r="I725" s="211"/>
      <c r="J725" s="107"/>
      <c r="K725" s="202"/>
      <c r="L725" s="107"/>
      <c r="M725" s="107"/>
      <c r="N725" s="206"/>
      <c r="O725" s="108" t="b">
        <v>0</v>
      </c>
      <c r="P725" s="207"/>
      <c r="Q725" s="140"/>
      <c r="R725" s="140"/>
      <c r="S725" s="140"/>
      <c r="T725" s="140"/>
      <c r="U725" s="140"/>
      <c r="V725" s="140"/>
      <c r="W725" s="140"/>
      <c r="X725" s="140"/>
      <c r="Y725" s="140"/>
      <c r="Z725" s="140"/>
      <c r="AA725" s="140"/>
      <c r="AB725" s="140"/>
      <c r="AC725" s="140"/>
      <c r="AD725" s="140"/>
      <c r="AE725" s="140"/>
      <c r="AF725" s="140"/>
      <c r="AG725" s="140"/>
      <c r="AH725" s="140"/>
      <c r="AI725" s="140"/>
      <c r="AJ725" s="140"/>
      <c r="AK725" s="140"/>
      <c r="AL725" s="140"/>
      <c r="AM725" s="140"/>
      <c r="AN725" s="140"/>
      <c r="AO725" s="140"/>
      <c r="AP725" s="140"/>
      <c r="AQ725" s="140"/>
      <c r="AR725" s="140"/>
      <c r="AS725" s="140"/>
      <c r="AT725" s="140"/>
      <c r="AU725" s="140"/>
      <c r="AV725" s="140"/>
      <c r="AW725" s="140"/>
      <c r="AX725" s="140"/>
      <c r="AY725" s="140"/>
      <c r="AZ725" s="140"/>
      <c r="BA725" s="140"/>
      <c r="BB725" s="140"/>
      <c r="BC725" s="140"/>
      <c r="BD725" s="140"/>
      <c r="BE725" s="140"/>
    </row>
    <row r="726">
      <c r="A726" s="108"/>
      <c r="B726" s="107"/>
      <c r="C726" s="107"/>
      <c r="D726" s="107"/>
      <c r="E726" s="107"/>
      <c r="F726" s="107"/>
      <c r="G726" s="208"/>
      <c r="H726" s="131"/>
      <c r="I726" s="211"/>
      <c r="J726" s="107"/>
      <c r="K726" s="202"/>
      <c r="L726" s="107"/>
      <c r="M726" s="107"/>
      <c r="N726" s="206"/>
      <c r="O726" s="108" t="b">
        <v>0</v>
      </c>
      <c r="P726" s="207"/>
      <c r="Q726" s="140"/>
      <c r="R726" s="140"/>
      <c r="S726" s="140"/>
      <c r="T726" s="140"/>
      <c r="U726" s="140"/>
      <c r="V726" s="140"/>
      <c r="W726" s="140"/>
      <c r="X726" s="140"/>
      <c r="Y726" s="140"/>
      <c r="Z726" s="140"/>
      <c r="AA726" s="140"/>
      <c r="AB726" s="140"/>
      <c r="AC726" s="140"/>
      <c r="AD726" s="140"/>
      <c r="AE726" s="140"/>
      <c r="AF726" s="140"/>
      <c r="AG726" s="140"/>
      <c r="AH726" s="140"/>
      <c r="AI726" s="140"/>
      <c r="AJ726" s="140"/>
      <c r="AK726" s="140"/>
      <c r="AL726" s="140"/>
      <c r="AM726" s="140"/>
      <c r="AN726" s="140"/>
      <c r="AO726" s="140"/>
      <c r="AP726" s="140"/>
      <c r="AQ726" s="140"/>
      <c r="AR726" s="140"/>
      <c r="AS726" s="140"/>
      <c r="AT726" s="140"/>
      <c r="AU726" s="140"/>
      <c r="AV726" s="140"/>
      <c r="AW726" s="140"/>
      <c r="AX726" s="140"/>
      <c r="AY726" s="140"/>
      <c r="AZ726" s="140"/>
      <c r="BA726" s="140"/>
      <c r="BB726" s="140"/>
      <c r="BC726" s="140"/>
      <c r="BD726" s="140"/>
      <c r="BE726" s="140"/>
    </row>
    <row r="727">
      <c r="A727" s="108"/>
      <c r="B727" s="107"/>
      <c r="C727" s="107"/>
      <c r="D727" s="107"/>
      <c r="E727" s="107"/>
      <c r="F727" s="107"/>
      <c r="G727" s="208"/>
      <c r="H727" s="131"/>
      <c r="I727" s="211"/>
      <c r="J727" s="107"/>
      <c r="K727" s="202"/>
      <c r="L727" s="107"/>
      <c r="M727" s="107"/>
      <c r="N727" s="206"/>
      <c r="O727" s="108" t="b">
        <v>0</v>
      </c>
      <c r="P727" s="207"/>
      <c r="Q727" s="140"/>
      <c r="R727" s="140"/>
      <c r="S727" s="140"/>
      <c r="T727" s="140"/>
      <c r="U727" s="140"/>
      <c r="V727" s="140"/>
      <c r="W727" s="140"/>
      <c r="X727" s="140"/>
      <c r="Y727" s="140"/>
      <c r="Z727" s="140"/>
      <c r="AA727" s="140"/>
      <c r="AB727" s="140"/>
      <c r="AC727" s="140"/>
      <c r="AD727" s="140"/>
      <c r="AE727" s="140"/>
      <c r="AF727" s="140"/>
      <c r="AG727" s="140"/>
      <c r="AH727" s="140"/>
      <c r="AI727" s="140"/>
      <c r="AJ727" s="140"/>
      <c r="AK727" s="140"/>
      <c r="AL727" s="140"/>
      <c r="AM727" s="140"/>
      <c r="AN727" s="140"/>
      <c r="AO727" s="140"/>
      <c r="AP727" s="140"/>
      <c r="AQ727" s="140"/>
      <c r="AR727" s="140"/>
      <c r="AS727" s="140"/>
      <c r="AT727" s="140"/>
      <c r="AU727" s="140"/>
      <c r="AV727" s="140"/>
      <c r="AW727" s="140"/>
      <c r="AX727" s="140"/>
      <c r="AY727" s="140"/>
      <c r="AZ727" s="140"/>
      <c r="BA727" s="140"/>
      <c r="BB727" s="140"/>
      <c r="BC727" s="140"/>
      <c r="BD727" s="140"/>
      <c r="BE727" s="140"/>
    </row>
    <row r="728">
      <c r="A728" s="108"/>
      <c r="B728" s="107"/>
      <c r="C728" s="107"/>
      <c r="D728" s="107"/>
      <c r="E728" s="107"/>
      <c r="F728" s="107"/>
      <c r="G728" s="208"/>
      <c r="H728" s="131"/>
      <c r="I728" s="211"/>
      <c r="J728" s="107"/>
      <c r="K728" s="202"/>
      <c r="L728" s="107"/>
      <c r="M728" s="107"/>
      <c r="N728" s="206"/>
      <c r="O728" s="108" t="b">
        <v>0</v>
      </c>
      <c r="P728" s="207"/>
      <c r="Q728" s="140"/>
      <c r="R728" s="140"/>
      <c r="S728" s="140"/>
      <c r="T728" s="140"/>
      <c r="U728" s="140"/>
      <c r="V728" s="140"/>
      <c r="W728" s="140"/>
      <c r="X728" s="140"/>
      <c r="Y728" s="140"/>
      <c r="Z728" s="140"/>
      <c r="AA728" s="140"/>
      <c r="AB728" s="140"/>
      <c r="AC728" s="140"/>
      <c r="AD728" s="140"/>
      <c r="AE728" s="140"/>
      <c r="AF728" s="140"/>
      <c r="AG728" s="140"/>
      <c r="AH728" s="140"/>
      <c r="AI728" s="140"/>
      <c r="AJ728" s="140"/>
      <c r="AK728" s="140"/>
      <c r="AL728" s="140"/>
      <c r="AM728" s="140"/>
      <c r="AN728" s="140"/>
      <c r="AO728" s="140"/>
      <c r="AP728" s="140"/>
      <c r="AQ728" s="140"/>
      <c r="AR728" s="140"/>
      <c r="AS728" s="140"/>
      <c r="AT728" s="140"/>
      <c r="AU728" s="140"/>
      <c r="AV728" s="140"/>
      <c r="AW728" s="140"/>
      <c r="AX728" s="140"/>
      <c r="AY728" s="140"/>
      <c r="AZ728" s="140"/>
      <c r="BA728" s="140"/>
      <c r="BB728" s="140"/>
      <c r="BC728" s="140"/>
      <c r="BD728" s="140"/>
      <c r="BE728" s="140"/>
    </row>
    <row r="729">
      <c r="A729" s="108"/>
      <c r="B729" s="107"/>
      <c r="C729" s="107"/>
      <c r="D729" s="107"/>
      <c r="E729" s="107"/>
      <c r="F729" s="107"/>
      <c r="G729" s="208"/>
      <c r="H729" s="131"/>
      <c r="I729" s="211"/>
      <c r="J729" s="107"/>
      <c r="K729" s="202"/>
      <c r="L729" s="107"/>
      <c r="M729" s="107"/>
      <c r="N729" s="206"/>
      <c r="O729" s="108" t="b">
        <v>0</v>
      </c>
      <c r="P729" s="207"/>
      <c r="Q729" s="140"/>
      <c r="R729" s="140"/>
      <c r="S729" s="140"/>
      <c r="T729" s="140"/>
      <c r="U729" s="140"/>
      <c r="V729" s="140"/>
      <c r="W729" s="140"/>
      <c r="X729" s="140"/>
      <c r="Y729" s="140"/>
      <c r="Z729" s="140"/>
      <c r="AA729" s="140"/>
      <c r="AB729" s="140"/>
      <c r="AC729" s="140"/>
      <c r="AD729" s="140"/>
      <c r="AE729" s="140"/>
      <c r="AF729" s="140"/>
      <c r="AG729" s="140"/>
      <c r="AH729" s="140"/>
      <c r="AI729" s="140"/>
      <c r="AJ729" s="140"/>
      <c r="AK729" s="140"/>
      <c r="AL729" s="140"/>
      <c r="AM729" s="140"/>
      <c r="AN729" s="140"/>
      <c r="AO729" s="140"/>
      <c r="AP729" s="140"/>
      <c r="AQ729" s="140"/>
      <c r="AR729" s="140"/>
      <c r="AS729" s="140"/>
      <c r="AT729" s="140"/>
      <c r="AU729" s="140"/>
      <c r="AV729" s="140"/>
      <c r="AW729" s="140"/>
      <c r="AX729" s="140"/>
      <c r="AY729" s="140"/>
      <c r="AZ729" s="140"/>
      <c r="BA729" s="140"/>
      <c r="BB729" s="140"/>
      <c r="BC729" s="140"/>
      <c r="BD729" s="140"/>
      <c r="BE729" s="140"/>
    </row>
    <row r="730">
      <c r="A730" s="108"/>
      <c r="B730" s="107"/>
      <c r="C730" s="107"/>
      <c r="D730" s="107"/>
      <c r="E730" s="107"/>
      <c r="F730" s="107"/>
      <c r="G730" s="208"/>
      <c r="H730" s="131"/>
      <c r="I730" s="211"/>
      <c r="J730" s="107"/>
      <c r="K730" s="202"/>
      <c r="L730" s="107"/>
      <c r="M730" s="107"/>
      <c r="N730" s="206"/>
      <c r="O730" s="108" t="b">
        <v>0</v>
      </c>
      <c r="P730" s="207"/>
      <c r="Q730" s="140"/>
      <c r="R730" s="140"/>
      <c r="S730" s="140"/>
      <c r="T730" s="140"/>
      <c r="U730" s="140"/>
      <c r="V730" s="140"/>
      <c r="W730" s="140"/>
      <c r="X730" s="140"/>
      <c r="Y730" s="140"/>
      <c r="Z730" s="140"/>
      <c r="AA730" s="140"/>
      <c r="AB730" s="140"/>
      <c r="AC730" s="140"/>
      <c r="AD730" s="140"/>
      <c r="AE730" s="140"/>
      <c r="AF730" s="140"/>
      <c r="AG730" s="140"/>
      <c r="AH730" s="140"/>
      <c r="AI730" s="140"/>
      <c r="AJ730" s="140"/>
      <c r="AK730" s="140"/>
      <c r="AL730" s="140"/>
      <c r="AM730" s="140"/>
      <c r="AN730" s="140"/>
      <c r="AO730" s="140"/>
      <c r="AP730" s="140"/>
      <c r="AQ730" s="140"/>
      <c r="AR730" s="140"/>
      <c r="AS730" s="140"/>
      <c r="AT730" s="140"/>
      <c r="AU730" s="140"/>
      <c r="AV730" s="140"/>
      <c r="AW730" s="140"/>
      <c r="AX730" s="140"/>
      <c r="AY730" s="140"/>
      <c r="AZ730" s="140"/>
      <c r="BA730" s="140"/>
      <c r="BB730" s="140"/>
      <c r="BC730" s="140"/>
      <c r="BD730" s="140"/>
      <c r="BE730" s="140"/>
    </row>
    <row r="731">
      <c r="A731" s="108"/>
      <c r="B731" s="107"/>
      <c r="C731" s="107"/>
      <c r="D731" s="107"/>
      <c r="E731" s="107"/>
      <c r="F731" s="107"/>
      <c r="G731" s="208"/>
      <c r="H731" s="131"/>
      <c r="I731" s="211"/>
      <c r="J731" s="107"/>
      <c r="K731" s="202"/>
      <c r="L731" s="107"/>
      <c r="M731" s="107"/>
      <c r="N731" s="206"/>
      <c r="O731" s="108" t="b">
        <v>0</v>
      </c>
      <c r="P731" s="207"/>
      <c r="Q731" s="140"/>
      <c r="R731" s="140"/>
      <c r="S731" s="140"/>
      <c r="T731" s="140"/>
      <c r="U731" s="140"/>
      <c r="V731" s="140"/>
      <c r="W731" s="140"/>
      <c r="X731" s="140"/>
      <c r="Y731" s="140"/>
      <c r="Z731" s="140"/>
      <c r="AA731" s="140"/>
      <c r="AB731" s="140"/>
      <c r="AC731" s="140"/>
      <c r="AD731" s="140"/>
      <c r="AE731" s="140"/>
      <c r="AF731" s="140"/>
      <c r="AG731" s="140"/>
      <c r="AH731" s="140"/>
      <c r="AI731" s="140"/>
      <c r="AJ731" s="140"/>
      <c r="AK731" s="140"/>
      <c r="AL731" s="140"/>
      <c r="AM731" s="140"/>
      <c r="AN731" s="140"/>
      <c r="AO731" s="140"/>
      <c r="AP731" s="140"/>
      <c r="AQ731" s="140"/>
      <c r="AR731" s="140"/>
      <c r="AS731" s="140"/>
      <c r="AT731" s="140"/>
      <c r="AU731" s="140"/>
      <c r="AV731" s="140"/>
      <c r="AW731" s="140"/>
      <c r="AX731" s="140"/>
      <c r="AY731" s="140"/>
      <c r="AZ731" s="140"/>
      <c r="BA731" s="140"/>
      <c r="BB731" s="140"/>
      <c r="BC731" s="140"/>
      <c r="BD731" s="140"/>
      <c r="BE731" s="140"/>
    </row>
    <row r="732">
      <c r="A732" s="108"/>
      <c r="B732" s="107"/>
      <c r="C732" s="107"/>
      <c r="D732" s="107"/>
      <c r="E732" s="107"/>
      <c r="F732" s="107"/>
      <c r="G732" s="208"/>
      <c r="H732" s="131"/>
      <c r="I732" s="211"/>
      <c r="J732" s="107"/>
      <c r="K732" s="202"/>
      <c r="L732" s="107"/>
      <c r="M732" s="107"/>
      <c r="N732" s="206"/>
      <c r="O732" s="108" t="b">
        <v>0</v>
      </c>
      <c r="P732" s="207"/>
      <c r="Q732" s="140"/>
      <c r="R732" s="140"/>
      <c r="S732" s="140"/>
      <c r="T732" s="140"/>
      <c r="U732" s="140"/>
      <c r="V732" s="140"/>
      <c r="W732" s="140"/>
      <c r="X732" s="140"/>
      <c r="Y732" s="140"/>
      <c r="Z732" s="140"/>
      <c r="AA732" s="140"/>
      <c r="AB732" s="140"/>
      <c r="AC732" s="140"/>
      <c r="AD732" s="140"/>
      <c r="AE732" s="140"/>
      <c r="AF732" s="140"/>
      <c r="AG732" s="140"/>
      <c r="AH732" s="140"/>
      <c r="AI732" s="140"/>
      <c r="AJ732" s="140"/>
      <c r="AK732" s="140"/>
      <c r="AL732" s="140"/>
      <c r="AM732" s="140"/>
      <c r="AN732" s="140"/>
      <c r="AO732" s="140"/>
      <c r="AP732" s="140"/>
      <c r="AQ732" s="140"/>
      <c r="AR732" s="140"/>
      <c r="AS732" s="140"/>
      <c r="AT732" s="140"/>
      <c r="AU732" s="140"/>
      <c r="AV732" s="140"/>
      <c r="AW732" s="140"/>
      <c r="AX732" s="140"/>
      <c r="AY732" s="140"/>
      <c r="AZ732" s="140"/>
      <c r="BA732" s="140"/>
      <c r="BB732" s="140"/>
      <c r="BC732" s="140"/>
      <c r="BD732" s="140"/>
      <c r="BE732" s="140"/>
    </row>
    <row r="733">
      <c r="A733" s="108"/>
      <c r="B733" s="107"/>
      <c r="C733" s="107"/>
      <c r="D733" s="107"/>
      <c r="E733" s="107"/>
      <c r="F733" s="107"/>
      <c r="G733" s="208"/>
      <c r="H733" s="131"/>
      <c r="I733" s="211"/>
      <c r="J733" s="107"/>
      <c r="K733" s="202"/>
      <c r="L733" s="107"/>
      <c r="M733" s="107"/>
      <c r="N733" s="206"/>
      <c r="O733" s="108" t="b">
        <v>0</v>
      </c>
      <c r="P733" s="207"/>
      <c r="Q733" s="140"/>
      <c r="R733" s="140"/>
      <c r="S733" s="140"/>
      <c r="T733" s="140"/>
      <c r="U733" s="140"/>
      <c r="V733" s="140"/>
      <c r="W733" s="140"/>
      <c r="X733" s="140"/>
      <c r="Y733" s="140"/>
      <c r="Z733" s="140"/>
      <c r="AA733" s="140"/>
      <c r="AB733" s="140"/>
      <c r="AC733" s="140"/>
      <c r="AD733" s="140"/>
      <c r="AE733" s="140"/>
      <c r="AF733" s="140"/>
      <c r="AG733" s="140"/>
      <c r="AH733" s="140"/>
      <c r="AI733" s="140"/>
      <c r="AJ733" s="140"/>
      <c r="AK733" s="140"/>
      <c r="AL733" s="140"/>
      <c r="AM733" s="140"/>
      <c r="AN733" s="140"/>
      <c r="AO733" s="140"/>
      <c r="AP733" s="140"/>
      <c r="AQ733" s="140"/>
      <c r="AR733" s="140"/>
      <c r="AS733" s="140"/>
      <c r="AT733" s="140"/>
      <c r="AU733" s="140"/>
      <c r="AV733" s="140"/>
      <c r="AW733" s="140"/>
      <c r="AX733" s="140"/>
      <c r="AY733" s="140"/>
      <c r="AZ733" s="140"/>
      <c r="BA733" s="140"/>
      <c r="BB733" s="140"/>
      <c r="BC733" s="140"/>
      <c r="BD733" s="140"/>
      <c r="BE733" s="140"/>
    </row>
    <row r="734">
      <c r="A734" s="108"/>
      <c r="B734" s="107"/>
      <c r="C734" s="107"/>
      <c r="D734" s="107"/>
      <c r="E734" s="107"/>
      <c r="F734" s="107"/>
      <c r="G734" s="208"/>
      <c r="H734" s="131"/>
      <c r="I734" s="211"/>
      <c r="J734" s="107"/>
      <c r="K734" s="202"/>
      <c r="L734" s="107"/>
      <c r="M734" s="107"/>
      <c r="N734" s="206"/>
      <c r="O734" s="108" t="b">
        <v>0</v>
      </c>
      <c r="P734" s="207"/>
      <c r="Q734" s="140"/>
      <c r="R734" s="140"/>
      <c r="S734" s="140"/>
      <c r="T734" s="140"/>
      <c r="U734" s="140"/>
      <c r="V734" s="140"/>
      <c r="W734" s="140"/>
      <c r="X734" s="140"/>
      <c r="Y734" s="140"/>
      <c r="Z734" s="140"/>
      <c r="AA734" s="140"/>
      <c r="AB734" s="140"/>
      <c r="AC734" s="140"/>
      <c r="AD734" s="140"/>
      <c r="AE734" s="140"/>
      <c r="AF734" s="140"/>
      <c r="AG734" s="140"/>
      <c r="AH734" s="140"/>
      <c r="AI734" s="140"/>
      <c r="AJ734" s="140"/>
      <c r="AK734" s="140"/>
      <c r="AL734" s="140"/>
      <c r="AM734" s="140"/>
      <c r="AN734" s="140"/>
      <c r="AO734" s="140"/>
      <c r="AP734" s="140"/>
      <c r="AQ734" s="140"/>
      <c r="AR734" s="140"/>
      <c r="AS734" s="140"/>
      <c r="AT734" s="140"/>
      <c r="AU734" s="140"/>
      <c r="AV734" s="140"/>
      <c r="AW734" s="140"/>
      <c r="AX734" s="140"/>
      <c r="AY734" s="140"/>
      <c r="AZ734" s="140"/>
      <c r="BA734" s="140"/>
      <c r="BB734" s="140"/>
      <c r="BC734" s="140"/>
      <c r="BD734" s="140"/>
      <c r="BE734" s="140"/>
    </row>
    <row r="735">
      <c r="A735" s="108"/>
      <c r="B735" s="107"/>
      <c r="C735" s="107"/>
      <c r="D735" s="107"/>
      <c r="E735" s="107"/>
      <c r="F735" s="107"/>
      <c r="G735" s="208"/>
      <c r="H735" s="131"/>
      <c r="I735" s="211"/>
      <c r="J735" s="107"/>
      <c r="K735" s="202"/>
      <c r="L735" s="107"/>
      <c r="M735" s="107"/>
      <c r="N735" s="206"/>
      <c r="O735" s="108" t="b">
        <v>0</v>
      </c>
      <c r="P735" s="207"/>
      <c r="Q735" s="140"/>
      <c r="R735" s="140"/>
      <c r="S735" s="140"/>
      <c r="T735" s="140"/>
      <c r="U735" s="140"/>
      <c r="V735" s="140"/>
      <c r="W735" s="140"/>
      <c r="X735" s="140"/>
      <c r="Y735" s="140"/>
      <c r="Z735" s="140"/>
      <c r="AA735" s="140"/>
      <c r="AB735" s="140"/>
      <c r="AC735" s="140"/>
      <c r="AD735" s="140"/>
      <c r="AE735" s="140"/>
      <c r="AF735" s="140"/>
      <c r="AG735" s="140"/>
      <c r="AH735" s="140"/>
      <c r="AI735" s="140"/>
      <c r="AJ735" s="140"/>
      <c r="AK735" s="140"/>
      <c r="AL735" s="140"/>
      <c r="AM735" s="140"/>
      <c r="AN735" s="140"/>
      <c r="AO735" s="140"/>
      <c r="AP735" s="140"/>
      <c r="AQ735" s="140"/>
      <c r="AR735" s="140"/>
      <c r="AS735" s="140"/>
      <c r="AT735" s="140"/>
      <c r="AU735" s="140"/>
      <c r="AV735" s="140"/>
      <c r="AW735" s="140"/>
      <c r="AX735" s="140"/>
      <c r="AY735" s="140"/>
      <c r="AZ735" s="140"/>
      <c r="BA735" s="140"/>
      <c r="BB735" s="140"/>
      <c r="BC735" s="140"/>
      <c r="BD735" s="140"/>
      <c r="BE735" s="140"/>
    </row>
    <row r="736">
      <c r="A736" s="108"/>
      <c r="B736" s="107"/>
      <c r="C736" s="107"/>
      <c r="D736" s="107"/>
      <c r="E736" s="107"/>
      <c r="F736" s="107"/>
      <c r="G736" s="208"/>
      <c r="H736" s="131"/>
      <c r="I736" s="211"/>
      <c r="J736" s="107"/>
      <c r="K736" s="202"/>
      <c r="L736" s="107"/>
      <c r="M736" s="107"/>
      <c r="N736" s="206"/>
      <c r="O736" s="108" t="b">
        <v>0</v>
      </c>
      <c r="P736" s="207"/>
      <c r="Q736" s="140"/>
      <c r="R736" s="140"/>
      <c r="S736" s="140"/>
      <c r="T736" s="140"/>
      <c r="U736" s="140"/>
      <c r="V736" s="140"/>
      <c r="W736" s="140"/>
      <c r="X736" s="140"/>
      <c r="Y736" s="140"/>
      <c r="Z736" s="140"/>
      <c r="AA736" s="140"/>
      <c r="AB736" s="140"/>
      <c r="AC736" s="140"/>
      <c r="AD736" s="140"/>
      <c r="AE736" s="140"/>
      <c r="AF736" s="140"/>
      <c r="AG736" s="140"/>
      <c r="AH736" s="140"/>
      <c r="AI736" s="140"/>
      <c r="AJ736" s="140"/>
      <c r="AK736" s="140"/>
      <c r="AL736" s="140"/>
      <c r="AM736" s="140"/>
      <c r="AN736" s="140"/>
      <c r="AO736" s="140"/>
      <c r="AP736" s="140"/>
      <c r="AQ736" s="140"/>
      <c r="AR736" s="140"/>
      <c r="AS736" s="140"/>
      <c r="AT736" s="140"/>
      <c r="AU736" s="140"/>
      <c r="AV736" s="140"/>
      <c r="AW736" s="140"/>
      <c r="AX736" s="140"/>
      <c r="AY736" s="140"/>
      <c r="AZ736" s="140"/>
      <c r="BA736" s="140"/>
      <c r="BB736" s="140"/>
      <c r="BC736" s="140"/>
      <c r="BD736" s="140"/>
      <c r="BE736" s="140"/>
    </row>
    <row r="737">
      <c r="A737" s="108"/>
      <c r="B737" s="107"/>
      <c r="C737" s="107"/>
      <c r="D737" s="107"/>
      <c r="E737" s="107"/>
      <c r="F737" s="107"/>
      <c r="G737" s="208"/>
      <c r="H737" s="131"/>
      <c r="I737" s="211"/>
      <c r="J737" s="107"/>
      <c r="K737" s="202"/>
      <c r="L737" s="107"/>
      <c r="M737" s="107"/>
      <c r="N737" s="206"/>
      <c r="O737" s="108" t="b">
        <v>0</v>
      </c>
      <c r="P737" s="207"/>
      <c r="Q737" s="140"/>
      <c r="R737" s="140"/>
      <c r="S737" s="140"/>
      <c r="T737" s="140"/>
      <c r="U737" s="140"/>
      <c r="V737" s="140"/>
      <c r="W737" s="140"/>
      <c r="X737" s="140"/>
      <c r="Y737" s="140"/>
      <c r="Z737" s="140"/>
      <c r="AA737" s="140"/>
      <c r="AB737" s="140"/>
      <c r="AC737" s="140"/>
      <c r="AD737" s="140"/>
      <c r="AE737" s="140"/>
      <c r="AF737" s="140"/>
      <c r="AG737" s="140"/>
      <c r="AH737" s="140"/>
      <c r="AI737" s="140"/>
      <c r="AJ737" s="140"/>
      <c r="AK737" s="140"/>
      <c r="AL737" s="140"/>
      <c r="AM737" s="140"/>
      <c r="AN737" s="140"/>
      <c r="AO737" s="140"/>
      <c r="AP737" s="140"/>
      <c r="AQ737" s="140"/>
      <c r="AR737" s="140"/>
      <c r="AS737" s="140"/>
      <c r="AT737" s="140"/>
      <c r="AU737" s="140"/>
      <c r="AV737" s="140"/>
      <c r="AW737" s="140"/>
      <c r="AX737" s="140"/>
      <c r="AY737" s="140"/>
      <c r="AZ737" s="140"/>
      <c r="BA737" s="140"/>
      <c r="BB737" s="140"/>
      <c r="BC737" s="140"/>
      <c r="BD737" s="140"/>
      <c r="BE737" s="140"/>
    </row>
    <row r="738">
      <c r="A738" s="108"/>
      <c r="B738" s="107"/>
      <c r="C738" s="107"/>
      <c r="D738" s="107"/>
      <c r="E738" s="107"/>
      <c r="F738" s="107"/>
      <c r="G738" s="208"/>
      <c r="H738" s="131"/>
      <c r="I738" s="211"/>
      <c r="J738" s="107"/>
      <c r="K738" s="202"/>
      <c r="L738" s="107"/>
      <c r="M738" s="107"/>
      <c r="N738" s="206"/>
      <c r="O738" s="108" t="b">
        <v>0</v>
      </c>
      <c r="P738" s="207"/>
      <c r="Q738" s="140"/>
      <c r="R738" s="140"/>
      <c r="S738" s="140"/>
      <c r="T738" s="140"/>
      <c r="U738" s="140"/>
      <c r="V738" s="140"/>
      <c r="W738" s="140"/>
      <c r="X738" s="140"/>
      <c r="Y738" s="140"/>
      <c r="Z738" s="140"/>
      <c r="AA738" s="140"/>
      <c r="AB738" s="140"/>
      <c r="AC738" s="140"/>
      <c r="AD738" s="140"/>
      <c r="AE738" s="140"/>
      <c r="AF738" s="140"/>
      <c r="AG738" s="140"/>
      <c r="AH738" s="140"/>
      <c r="AI738" s="140"/>
      <c r="AJ738" s="140"/>
      <c r="AK738" s="140"/>
      <c r="AL738" s="140"/>
      <c r="AM738" s="140"/>
      <c r="AN738" s="140"/>
      <c r="AO738" s="140"/>
      <c r="AP738" s="140"/>
      <c r="AQ738" s="140"/>
      <c r="AR738" s="140"/>
      <c r="AS738" s="140"/>
      <c r="AT738" s="140"/>
      <c r="AU738" s="140"/>
      <c r="AV738" s="140"/>
      <c r="AW738" s="140"/>
      <c r="AX738" s="140"/>
      <c r="AY738" s="140"/>
      <c r="AZ738" s="140"/>
      <c r="BA738" s="140"/>
      <c r="BB738" s="140"/>
      <c r="BC738" s="140"/>
      <c r="BD738" s="140"/>
      <c r="BE738" s="140"/>
    </row>
    <row r="739">
      <c r="A739" s="108"/>
      <c r="B739" s="107"/>
      <c r="C739" s="107"/>
      <c r="D739" s="107"/>
      <c r="E739" s="107"/>
      <c r="F739" s="107"/>
      <c r="G739" s="208"/>
      <c r="H739" s="131"/>
      <c r="I739" s="211"/>
      <c r="J739" s="107"/>
      <c r="K739" s="202"/>
      <c r="L739" s="107"/>
      <c r="M739" s="107"/>
      <c r="N739" s="206"/>
      <c r="O739" s="108" t="b">
        <v>0</v>
      </c>
      <c r="P739" s="207"/>
      <c r="Q739" s="140"/>
      <c r="R739" s="140"/>
      <c r="S739" s="140"/>
      <c r="T739" s="140"/>
      <c r="U739" s="140"/>
      <c r="V739" s="140"/>
      <c r="W739" s="140"/>
      <c r="X739" s="140"/>
      <c r="Y739" s="140"/>
      <c r="Z739" s="140"/>
      <c r="AA739" s="140"/>
      <c r="AB739" s="140"/>
      <c r="AC739" s="140"/>
      <c r="AD739" s="140"/>
      <c r="AE739" s="140"/>
      <c r="AF739" s="140"/>
      <c r="AG739" s="140"/>
      <c r="AH739" s="140"/>
      <c r="AI739" s="140"/>
      <c r="AJ739" s="140"/>
      <c r="AK739" s="140"/>
      <c r="AL739" s="140"/>
      <c r="AM739" s="140"/>
      <c r="AN739" s="140"/>
      <c r="AO739" s="140"/>
      <c r="AP739" s="140"/>
      <c r="AQ739" s="140"/>
      <c r="AR739" s="140"/>
      <c r="AS739" s="140"/>
      <c r="AT739" s="140"/>
      <c r="AU739" s="140"/>
      <c r="AV739" s="140"/>
      <c r="AW739" s="140"/>
      <c r="AX739" s="140"/>
      <c r="AY739" s="140"/>
      <c r="AZ739" s="140"/>
      <c r="BA739" s="140"/>
      <c r="BB739" s="140"/>
      <c r="BC739" s="140"/>
      <c r="BD739" s="140"/>
      <c r="BE739" s="140"/>
    </row>
    <row r="740">
      <c r="A740" s="108"/>
      <c r="B740" s="107"/>
      <c r="C740" s="107"/>
      <c r="D740" s="107"/>
      <c r="E740" s="107"/>
      <c r="F740" s="107"/>
      <c r="G740" s="208"/>
      <c r="H740" s="131"/>
      <c r="I740" s="211"/>
      <c r="J740" s="107"/>
      <c r="K740" s="202"/>
      <c r="L740" s="107"/>
      <c r="M740" s="107"/>
      <c r="N740" s="206"/>
      <c r="O740" s="108" t="b">
        <v>0</v>
      </c>
      <c r="P740" s="207"/>
      <c r="Q740" s="140"/>
      <c r="R740" s="140"/>
      <c r="S740" s="140"/>
      <c r="T740" s="140"/>
      <c r="U740" s="140"/>
      <c r="V740" s="140"/>
      <c r="W740" s="140"/>
      <c r="X740" s="140"/>
      <c r="Y740" s="140"/>
      <c r="Z740" s="140"/>
      <c r="AA740" s="140"/>
      <c r="AB740" s="140"/>
      <c r="AC740" s="140"/>
      <c r="AD740" s="140"/>
      <c r="AE740" s="140"/>
      <c r="AF740" s="140"/>
      <c r="AG740" s="140"/>
      <c r="AH740" s="140"/>
      <c r="AI740" s="140"/>
      <c r="AJ740" s="140"/>
      <c r="AK740" s="140"/>
      <c r="AL740" s="140"/>
      <c r="AM740" s="140"/>
      <c r="AN740" s="140"/>
      <c r="AO740" s="140"/>
      <c r="AP740" s="140"/>
      <c r="AQ740" s="140"/>
      <c r="AR740" s="140"/>
      <c r="AS740" s="140"/>
      <c r="AT740" s="140"/>
      <c r="AU740" s="140"/>
      <c r="AV740" s="140"/>
      <c r="AW740" s="140"/>
      <c r="AX740" s="140"/>
      <c r="AY740" s="140"/>
      <c r="AZ740" s="140"/>
      <c r="BA740" s="140"/>
      <c r="BB740" s="140"/>
      <c r="BC740" s="140"/>
      <c r="BD740" s="140"/>
      <c r="BE740" s="140"/>
    </row>
    <row r="741">
      <c r="A741" s="108"/>
      <c r="B741" s="107"/>
      <c r="C741" s="107"/>
      <c r="D741" s="107"/>
      <c r="E741" s="107"/>
      <c r="F741" s="107"/>
      <c r="G741" s="208"/>
      <c r="H741" s="131"/>
      <c r="I741" s="211"/>
      <c r="J741" s="107"/>
      <c r="K741" s="202"/>
      <c r="L741" s="107"/>
      <c r="M741" s="107"/>
      <c r="N741" s="206"/>
      <c r="O741" s="108" t="b">
        <v>0</v>
      </c>
      <c r="P741" s="207"/>
      <c r="Q741" s="140"/>
      <c r="R741" s="140"/>
      <c r="S741" s="140"/>
      <c r="T741" s="140"/>
      <c r="U741" s="140"/>
      <c r="V741" s="140"/>
      <c r="W741" s="140"/>
      <c r="X741" s="140"/>
      <c r="Y741" s="140"/>
      <c r="Z741" s="140"/>
      <c r="AA741" s="140"/>
      <c r="AB741" s="140"/>
      <c r="AC741" s="140"/>
      <c r="AD741" s="140"/>
      <c r="AE741" s="140"/>
      <c r="AF741" s="140"/>
      <c r="AG741" s="140"/>
      <c r="AH741" s="140"/>
      <c r="AI741" s="140"/>
      <c r="AJ741" s="140"/>
      <c r="AK741" s="140"/>
      <c r="AL741" s="140"/>
      <c r="AM741" s="140"/>
      <c r="AN741" s="140"/>
      <c r="AO741" s="140"/>
      <c r="AP741" s="140"/>
      <c r="AQ741" s="140"/>
      <c r="AR741" s="140"/>
      <c r="AS741" s="140"/>
      <c r="AT741" s="140"/>
      <c r="AU741" s="140"/>
      <c r="AV741" s="140"/>
      <c r="AW741" s="140"/>
      <c r="AX741" s="140"/>
      <c r="AY741" s="140"/>
      <c r="AZ741" s="140"/>
      <c r="BA741" s="140"/>
      <c r="BB741" s="140"/>
      <c r="BC741" s="140"/>
      <c r="BD741" s="140"/>
      <c r="BE741" s="140"/>
    </row>
    <row r="742">
      <c r="A742" s="108"/>
      <c r="B742" s="107"/>
      <c r="C742" s="107"/>
      <c r="D742" s="107"/>
      <c r="E742" s="107"/>
      <c r="F742" s="107"/>
      <c r="G742" s="208"/>
      <c r="H742" s="131"/>
      <c r="I742" s="211"/>
      <c r="J742" s="107"/>
      <c r="K742" s="202"/>
      <c r="L742" s="107"/>
      <c r="M742" s="107"/>
      <c r="N742" s="206"/>
      <c r="O742" s="108" t="b">
        <v>0</v>
      </c>
      <c r="P742" s="207"/>
      <c r="Q742" s="140"/>
      <c r="R742" s="140"/>
      <c r="S742" s="140"/>
      <c r="T742" s="140"/>
      <c r="U742" s="140"/>
      <c r="V742" s="140"/>
      <c r="W742" s="140"/>
      <c r="X742" s="140"/>
      <c r="Y742" s="140"/>
      <c r="Z742" s="140"/>
      <c r="AA742" s="140"/>
      <c r="AB742" s="140"/>
      <c r="AC742" s="140"/>
      <c r="AD742" s="140"/>
      <c r="AE742" s="140"/>
      <c r="AF742" s="140"/>
      <c r="AG742" s="140"/>
      <c r="AH742" s="140"/>
      <c r="AI742" s="140"/>
      <c r="AJ742" s="140"/>
      <c r="AK742" s="140"/>
      <c r="AL742" s="140"/>
      <c r="AM742" s="140"/>
      <c r="AN742" s="140"/>
      <c r="AO742" s="140"/>
      <c r="AP742" s="140"/>
      <c r="AQ742" s="140"/>
      <c r="AR742" s="140"/>
      <c r="AS742" s="140"/>
      <c r="AT742" s="140"/>
      <c r="AU742" s="140"/>
      <c r="AV742" s="140"/>
      <c r="AW742" s="140"/>
      <c r="AX742" s="140"/>
      <c r="AY742" s="140"/>
      <c r="AZ742" s="140"/>
      <c r="BA742" s="140"/>
      <c r="BB742" s="140"/>
      <c r="BC742" s="140"/>
      <c r="BD742" s="140"/>
      <c r="BE742" s="140"/>
    </row>
    <row r="743">
      <c r="A743" s="108"/>
      <c r="B743" s="107"/>
      <c r="C743" s="107"/>
      <c r="D743" s="107"/>
      <c r="E743" s="107"/>
      <c r="F743" s="107"/>
      <c r="G743" s="208"/>
      <c r="H743" s="131"/>
      <c r="I743" s="211"/>
      <c r="J743" s="107"/>
      <c r="K743" s="202"/>
      <c r="L743" s="107"/>
      <c r="M743" s="107"/>
      <c r="N743" s="206"/>
      <c r="O743" s="108" t="b">
        <v>0</v>
      </c>
      <c r="P743" s="207"/>
      <c r="Q743" s="140"/>
      <c r="R743" s="140"/>
      <c r="S743" s="140"/>
      <c r="T743" s="140"/>
      <c r="U743" s="140"/>
      <c r="V743" s="140"/>
      <c r="W743" s="140"/>
      <c r="X743" s="140"/>
      <c r="Y743" s="140"/>
      <c r="Z743" s="140"/>
      <c r="AA743" s="140"/>
      <c r="AB743" s="140"/>
      <c r="AC743" s="140"/>
      <c r="AD743" s="140"/>
      <c r="AE743" s="140"/>
      <c r="AF743" s="140"/>
      <c r="AG743" s="140"/>
      <c r="AH743" s="140"/>
      <c r="AI743" s="140"/>
      <c r="AJ743" s="140"/>
      <c r="AK743" s="140"/>
      <c r="AL743" s="140"/>
      <c r="AM743" s="140"/>
      <c r="AN743" s="140"/>
      <c r="AO743" s="140"/>
      <c r="AP743" s="140"/>
      <c r="AQ743" s="140"/>
      <c r="AR743" s="140"/>
      <c r="AS743" s="140"/>
      <c r="AT743" s="140"/>
      <c r="AU743" s="140"/>
      <c r="AV743" s="140"/>
      <c r="AW743" s="140"/>
      <c r="AX743" s="140"/>
      <c r="AY743" s="140"/>
      <c r="AZ743" s="140"/>
      <c r="BA743" s="140"/>
      <c r="BB743" s="140"/>
      <c r="BC743" s="140"/>
      <c r="BD743" s="140"/>
      <c r="BE743" s="140"/>
    </row>
    <row r="744">
      <c r="A744" s="108"/>
      <c r="B744" s="107"/>
      <c r="C744" s="107"/>
      <c r="D744" s="107"/>
      <c r="E744" s="107"/>
      <c r="F744" s="107"/>
      <c r="G744" s="208"/>
      <c r="H744" s="131"/>
      <c r="I744" s="211"/>
      <c r="J744" s="107"/>
      <c r="K744" s="202"/>
      <c r="L744" s="107"/>
      <c r="M744" s="107"/>
      <c r="N744" s="206"/>
      <c r="O744" s="108" t="b">
        <v>0</v>
      </c>
      <c r="P744" s="207"/>
      <c r="Q744" s="140"/>
      <c r="R744" s="140"/>
      <c r="S744" s="140"/>
      <c r="T744" s="140"/>
      <c r="U744" s="140"/>
      <c r="V744" s="140"/>
      <c r="W744" s="140"/>
      <c r="X744" s="140"/>
      <c r="Y744" s="140"/>
      <c r="Z744" s="140"/>
      <c r="AA744" s="140"/>
      <c r="AB744" s="140"/>
      <c r="AC744" s="140"/>
      <c r="AD744" s="140"/>
      <c r="AE744" s="140"/>
      <c r="AF744" s="140"/>
      <c r="AG744" s="140"/>
      <c r="AH744" s="140"/>
      <c r="AI744" s="140"/>
      <c r="AJ744" s="140"/>
      <c r="AK744" s="140"/>
      <c r="AL744" s="140"/>
      <c r="AM744" s="140"/>
      <c r="AN744" s="140"/>
      <c r="AO744" s="140"/>
      <c r="AP744" s="140"/>
      <c r="AQ744" s="140"/>
      <c r="AR744" s="140"/>
      <c r="AS744" s="140"/>
      <c r="AT744" s="140"/>
      <c r="AU744" s="140"/>
      <c r="AV744" s="140"/>
      <c r="AW744" s="140"/>
      <c r="AX744" s="140"/>
      <c r="AY744" s="140"/>
      <c r="AZ744" s="140"/>
      <c r="BA744" s="140"/>
      <c r="BB744" s="140"/>
      <c r="BC744" s="140"/>
      <c r="BD744" s="140"/>
      <c r="BE744" s="140"/>
    </row>
    <row r="745">
      <c r="A745" s="108"/>
      <c r="B745" s="107"/>
      <c r="C745" s="107"/>
      <c r="D745" s="107"/>
      <c r="E745" s="107"/>
      <c r="F745" s="107"/>
      <c r="G745" s="208"/>
      <c r="H745" s="131"/>
      <c r="I745" s="211"/>
      <c r="J745" s="107"/>
      <c r="K745" s="202"/>
      <c r="L745" s="107"/>
      <c r="M745" s="107"/>
      <c r="N745" s="206"/>
      <c r="O745" s="108" t="b">
        <v>0</v>
      </c>
      <c r="P745" s="207"/>
      <c r="Q745" s="140"/>
      <c r="R745" s="140"/>
      <c r="S745" s="140"/>
      <c r="T745" s="140"/>
      <c r="U745" s="140"/>
      <c r="V745" s="140"/>
      <c r="W745" s="140"/>
      <c r="X745" s="140"/>
      <c r="Y745" s="140"/>
      <c r="Z745" s="140"/>
      <c r="AA745" s="140"/>
      <c r="AB745" s="140"/>
      <c r="AC745" s="140"/>
      <c r="AD745" s="140"/>
      <c r="AE745" s="140"/>
      <c r="AF745" s="140"/>
      <c r="AG745" s="140"/>
      <c r="AH745" s="140"/>
      <c r="AI745" s="140"/>
      <c r="AJ745" s="140"/>
      <c r="AK745" s="140"/>
      <c r="AL745" s="140"/>
      <c r="AM745" s="140"/>
      <c r="AN745" s="140"/>
      <c r="AO745" s="140"/>
      <c r="AP745" s="140"/>
      <c r="AQ745" s="140"/>
      <c r="AR745" s="140"/>
      <c r="AS745" s="140"/>
      <c r="AT745" s="140"/>
      <c r="AU745" s="140"/>
      <c r="AV745" s="140"/>
      <c r="AW745" s="140"/>
      <c r="AX745" s="140"/>
      <c r="AY745" s="140"/>
      <c r="AZ745" s="140"/>
      <c r="BA745" s="140"/>
      <c r="BB745" s="140"/>
      <c r="BC745" s="140"/>
      <c r="BD745" s="140"/>
      <c r="BE745" s="140"/>
    </row>
    <row r="746">
      <c r="A746" s="108"/>
      <c r="B746" s="107"/>
      <c r="C746" s="107"/>
      <c r="D746" s="107"/>
      <c r="E746" s="107"/>
      <c r="F746" s="107"/>
      <c r="G746" s="208"/>
      <c r="H746" s="131"/>
      <c r="I746" s="211"/>
      <c r="J746" s="107"/>
      <c r="K746" s="202"/>
      <c r="L746" s="107"/>
      <c r="M746" s="107"/>
      <c r="N746" s="206"/>
      <c r="O746" s="108" t="b">
        <v>0</v>
      </c>
      <c r="P746" s="207"/>
      <c r="Q746" s="140"/>
      <c r="R746" s="140"/>
      <c r="S746" s="140"/>
      <c r="T746" s="140"/>
      <c r="U746" s="140"/>
      <c r="V746" s="140"/>
      <c r="W746" s="140"/>
      <c r="X746" s="140"/>
      <c r="Y746" s="140"/>
      <c r="Z746" s="140"/>
      <c r="AA746" s="140"/>
      <c r="AB746" s="140"/>
      <c r="AC746" s="140"/>
      <c r="AD746" s="140"/>
      <c r="AE746" s="140"/>
      <c r="AF746" s="140"/>
      <c r="AG746" s="140"/>
      <c r="AH746" s="140"/>
      <c r="AI746" s="140"/>
      <c r="AJ746" s="140"/>
      <c r="AK746" s="140"/>
      <c r="AL746" s="140"/>
      <c r="AM746" s="140"/>
      <c r="AN746" s="140"/>
      <c r="AO746" s="140"/>
      <c r="AP746" s="140"/>
      <c r="AQ746" s="140"/>
      <c r="AR746" s="140"/>
      <c r="AS746" s="140"/>
      <c r="AT746" s="140"/>
      <c r="AU746" s="140"/>
      <c r="AV746" s="140"/>
      <c r="AW746" s="140"/>
      <c r="AX746" s="140"/>
      <c r="AY746" s="140"/>
      <c r="AZ746" s="140"/>
      <c r="BA746" s="140"/>
      <c r="BB746" s="140"/>
      <c r="BC746" s="140"/>
      <c r="BD746" s="140"/>
      <c r="BE746" s="140"/>
    </row>
    <row r="747">
      <c r="A747" s="108"/>
      <c r="B747" s="107"/>
      <c r="C747" s="107"/>
      <c r="D747" s="107"/>
      <c r="E747" s="107"/>
      <c r="F747" s="107"/>
      <c r="G747" s="208"/>
      <c r="H747" s="131"/>
      <c r="I747" s="211"/>
      <c r="J747" s="107"/>
      <c r="K747" s="202"/>
      <c r="L747" s="107"/>
      <c r="M747" s="107"/>
      <c r="N747" s="206"/>
      <c r="O747" s="108" t="b">
        <v>0</v>
      </c>
      <c r="P747" s="207"/>
      <c r="Q747" s="140"/>
      <c r="R747" s="140"/>
      <c r="S747" s="140"/>
      <c r="T747" s="140"/>
      <c r="U747" s="140"/>
      <c r="V747" s="140"/>
      <c r="W747" s="140"/>
      <c r="X747" s="140"/>
      <c r="Y747" s="140"/>
      <c r="Z747" s="140"/>
      <c r="AA747" s="140"/>
      <c r="AB747" s="140"/>
      <c r="AC747" s="140"/>
      <c r="AD747" s="140"/>
      <c r="AE747" s="140"/>
      <c r="AF747" s="140"/>
      <c r="AG747" s="140"/>
      <c r="AH747" s="140"/>
      <c r="AI747" s="140"/>
      <c r="AJ747" s="140"/>
      <c r="AK747" s="140"/>
      <c r="AL747" s="140"/>
      <c r="AM747" s="140"/>
      <c r="AN747" s="140"/>
      <c r="AO747" s="140"/>
      <c r="AP747" s="140"/>
      <c r="AQ747" s="140"/>
      <c r="AR747" s="140"/>
      <c r="AS747" s="140"/>
      <c r="AT747" s="140"/>
      <c r="AU747" s="140"/>
      <c r="AV747" s="140"/>
      <c r="AW747" s="140"/>
      <c r="AX747" s="140"/>
      <c r="AY747" s="140"/>
      <c r="AZ747" s="140"/>
      <c r="BA747" s="140"/>
      <c r="BB747" s="140"/>
      <c r="BC747" s="140"/>
      <c r="BD747" s="140"/>
      <c r="BE747" s="140"/>
    </row>
    <row r="748">
      <c r="A748" s="108"/>
      <c r="B748" s="107"/>
      <c r="C748" s="107"/>
      <c r="D748" s="107"/>
      <c r="E748" s="107"/>
      <c r="F748" s="107"/>
      <c r="G748" s="208"/>
      <c r="H748" s="131"/>
      <c r="I748" s="211"/>
      <c r="J748" s="107"/>
      <c r="K748" s="202"/>
      <c r="L748" s="107"/>
      <c r="M748" s="107"/>
      <c r="N748" s="206"/>
      <c r="O748" s="108" t="b">
        <v>0</v>
      </c>
      <c r="P748" s="207"/>
      <c r="Q748" s="140"/>
      <c r="R748" s="140"/>
      <c r="S748" s="140"/>
      <c r="T748" s="140"/>
      <c r="U748" s="140"/>
      <c r="V748" s="140"/>
      <c r="W748" s="140"/>
      <c r="X748" s="140"/>
      <c r="Y748" s="140"/>
      <c r="Z748" s="140"/>
      <c r="AA748" s="140"/>
      <c r="AB748" s="140"/>
      <c r="AC748" s="140"/>
      <c r="AD748" s="140"/>
      <c r="AE748" s="140"/>
      <c r="AF748" s="140"/>
      <c r="AG748" s="140"/>
      <c r="AH748" s="140"/>
      <c r="AI748" s="140"/>
      <c r="AJ748" s="140"/>
      <c r="AK748" s="140"/>
      <c r="AL748" s="140"/>
      <c r="AM748" s="140"/>
      <c r="AN748" s="140"/>
      <c r="AO748" s="140"/>
      <c r="AP748" s="140"/>
      <c r="AQ748" s="140"/>
      <c r="AR748" s="140"/>
      <c r="AS748" s="140"/>
      <c r="AT748" s="140"/>
      <c r="AU748" s="140"/>
      <c r="AV748" s="140"/>
      <c r="AW748" s="140"/>
      <c r="AX748" s="140"/>
      <c r="AY748" s="140"/>
      <c r="AZ748" s="140"/>
      <c r="BA748" s="140"/>
      <c r="BB748" s="140"/>
      <c r="BC748" s="140"/>
      <c r="BD748" s="140"/>
      <c r="BE748" s="140"/>
    </row>
    <row r="749">
      <c r="A749" s="108"/>
      <c r="B749" s="107"/>
      <c r="C749" s="107"/>
      <c r="D749" s="107"/>
      <c r="E749" s="107"/>
      <c r="F749" s="107"/>
      <c r="G749" s="208"/>
      <c r="H749" s="131"/>
      <c r="I749" s="211"/>
      <c r="J749" s="107"/>
      <c r="K749" s="202"/>
      <c r="L749" s="107"/>
      <c r="M749" s="107"/>
      <c r="N749" s="206"/>
      <c r="O749" s="108" t="b">
        <v>0</v>
      </c>
      <c r="P749" s="207"/>
      <c r="Q749" s="140"/>
      <c r="R749" s="140"/>
      <c r="S749" s="140"/>
      <c r="T749" s="140"/>
      <c r="U749" s="140"/>
      <c r="V749" s="140"/>
      <c r="W749" s="140"/>
      <c r="X749" s="140"/>
      <c r="Y749" s="140"/>
      <c r="Z749" s="140"/>
      <c r="AA749" s="140"/>
      <c r="AB749" s="140"/>
      <c r="AC749" s="140"/>
      <c r="AD749" s="140"/>
      <c r="AE749" s="140"/>
      <c r="AF749" s="140"/>
      <c r="AG749" s="140"/>
      <c r="AH749" s="140"/>
      <c r="AI749" s="140"/>
      <c r="AJ749" s="140"/>
      <c r="AK749" s="140"/>
      <c r="AL749" s="140"/>
      <c r="AM749" s="140"/>
      <c r="AN749" s="140"/>
      <c r="AO749" s="140"/>
      <c r="AP749" s="140"/>
      <c r="AQ749" s="140"/>
      <c r="AR749" s="140"/>
      <c r="AS749" s="140"/>
      <c r="AT749" s="140"/>
      <c r="AU749" s="140"/>
      <c r="AV749" s="140"/>
      <c r="AW749" s="140"/>
      <c r="AX749" s="140"/>
      <c r="AY749" s="140"/>
      <c r="AZ749" s="140"/>
      <c r="BA749" s="140"/>
      <c r="BB749" s="140"/>
      <c r="BC749" s="140"/>
      <c r="BD749" s="140"/>
      <c r="BE749" s="140"/>
    </row>
    <row r="750">
      <c r="A750" s="108"/>
      <c r="B750" s="107"/>
      <c r="C750" s="107"/>
      <c r="D750" s="107"/>
      <c r="E750" s="107"/>
      <c r="F750" s="107"/>
      <c r="G750" s="208"/>
      <c r="H750" s="131"/>
      <c r="I750" s="211"/>
      <c r="J750" s="107"/>
      <c r="K750" s="202"/>
      <c r="L750" s="107"/>
      <c r="M750" s="107"/>
      <c r="N750" s="206"/>
      <c r="O750" s="108" t="b">
        <v>0</v>
      </c>
      <c r="P750" s="207"/>
      <c r="Q750" s="140"/>
      <c r="R750" s="140"/>
      <c r="S750" s="140"/>
      <c r="T750" s="140"/>
      <c r="U750" s="140"/>
      <c r="V750" s="140"/>
      <c r="W750" s="140"/>
      <c r="X750" s="140"/>
      <c r="Y750" s="140"/>
      <c r="Z750" s="140"/>
      <c r="AA750" s="140"/>
      <c r="AB750" s="140"/>
      <c r="AC750" s="140"/>
      <c r="AD750" s="140"/>
      <c r="AE750" s="140"/>
      <c r="AF750" s="140"/>
      <c r="AG750" s="140"/>
      <c r="AH750" s="140"/>
      <c r="AI750" s="140"/>
      <c r="AJ750" s="140"/>
      <c r="AK750" s="140"/>
      <c r="AL750" s="140"/>
      <c r="AM750" s="140"/>
      <c r="AN750" s="140"/>
      <c r="AO750" s="140"/>
      <c r="AP750" s="140"/>
      <c r="AQ750" s="140"/>
      <c r="AR750" s="140"/>
      <c r="AS750" s="140"/>
      <c r="AT750" s="140"/>
      <c r="AU750" s="140"/>
      <c r="AV750" s="140"/>
      <c r="AW750" s="140"/>
      <c r="AX750" s="140"/>
      <c r="AY750" s="140"/>
      <c r="AZ750" s="140"/>
      <c r="BA750" s="140"/>
      <c r="BB750" s="140"/>
      <c r="BC750" s="140"/>
      <c r="BD750" s="140"/>
      <c r="BE750" s="140"/>
    </row>
    <row r="751">
      <c r="A751" s="108"/>
      <c r="B751" s="107"/>
      <c r="C751" s="107"/>
      <c r="D751" s="107"/>
      <c r="E751" s="107"/>
      <c r="F751" s="107"/>
      <c r="G751" s="208"/>
      <c r="H751" s="131"/>
      <c r="I751" s="211"/>
      <c r="J751" s="107"/>
      <c r="K751" s="202"/>
      <c r="L751" s="107"/>
      <c r="M751" s="107"/>
      <c r="N751" s="206"/>
      <c r="O751" s="108" t="b">
        <v>0</v>
      </c>
      <c r="P751" s="207"/>
      <c r="Q751" s="140"/>
      <c r="R751" s="140"/>
      <c r="S751" s="140"/>
      <c r="T751" s="140"/>
      <c r="U751" s="140"/>
      <c r="V751" s="140"/>
      <c r="W751" s="140"/>
      <c r="X751" s="140"/>
      <c r="Y751" s="140"/>
      <c r="Z751" s="140"/>
      <c r="AA751" s="140"/>
      <c r="AB751" s="140"/>
      <c r="AC751" s="140"/>
      <c r="AD751" s="140"/>
      <c r="AE751" s="140"/>
      <c r="AF751" s="140"/>
      <c r="AG751" s="140"/>
      <c r="AH751" s="140"/>
      <c r="AI751" s="140"/>
      <c r="AJ751" s="140"/>
      <c r="AK751" s="140"/>
      <c r="AL751" s="140"/>
      <c r="AM751" s="140"/>
      <c r="AN751" s="140"/>
      <c r="AO751" s="140"/>
      <c r="AP751" s="140"/>
      <c r="AQ751" s="140"/>
      <c r="AR751" s="140"/>
      <c r="AS751" s="140"/>
      <c r="AT751" s="140"/>
      <c r="AU751" s="140"/>
      <c r="AV751" s="140"/>
      <c r="AW751" s="140"/>
      <c r="AX751" s="140"/>
      <c r="AY751" s="140"/>
      <c r="AZ751" s="140"/>
      <c r="BA751" s="140"/>
      <c r="BB751" s="140"/>
      <c r="BC751" s="140"/>
      <c r="BD751" s="140"/>
      <c r="BE751" s="140"/>
    </row>
    <row r="752">
      <c r="A752" s="108"/>
      <c r="B752" s="107"/>
      <c r="C752" s="107"/>
      <c r="D752" s="107"/>
      <c r="E752" s="107"/>
      <c r="F752" s="107"/>
      <c r="G752" s="208"/>
      <c r="H752" s="131"/>
      <c r="I752" s="211"/>
      <c r="J752" s="107"/>
      <c r="K752" s="202"/>
      <c r="L752" s="107"/>
      <c r="M752" s="107"/>
      <c r="N752" s="206"/>
      <c r="O752" s="108" t="b">
        <v>0</v>
      </c>
      <c r="P752" s="207"/>
      <c r="Q752" s="140"/>
      <c r="R752" s="140"/>
      <c r="S752" s="140"/>
      <c r="T752" s="140"/>
      <c r="U752" s="140"/>
      <c r="V752" s="140"/>
      <c r="W752" s="140"/>
      <c r="X752" s="140"/>
      <c r="Y752" s="140"/>
      <c r="Z752" s="140"/>
      <c r="AA752" s="140"/>
      <c r="AB752" s="140"/>
      <c r="AC752" s="140"/>
      <c r="AD752" s="140"/>
      <c r="AE752" s="140"/>
      <c r="AF752" s="140"/>
      <c r="AG752" s="140"/>
      <c r="AH752" s="140"/>
      <c r="AI752" s="140"/>
      <c r="AJ752" s="140"/>
      <c r="AK752" s="140"/>
      <c r="AL752" s="140"/>
      <c r="AM752" s="140"/>
      <c r="AN752" s="140"/>
      <c r="AO752" s="140"/>
      <c r="AP752" s="140"/>
      <c r="AQ752" s="140"/>
      <c r="AR752" s="140"/>
      <c r="AS752" s="140"/>
      <c r="AT752" s="140"/>
      <c r="AU752" s="140"/>
      <c r="AV752" s="140"/>
      <c r="AW752" s="140"/>
      <c r="AX752" s="140"/>
      <c r="AY752" s="140"/>
      <c r="AZ752" s="140"/>
      <c r="BA752" s="140"/>
      <c r="BB752" s="140"/>
      <c r="BC752" s="140"/>
      <c r="BD752" s="140"/>
      <c r="BE752" s="140"/>
    </row>
    <row r="753">
      <c r="A753" s="108"/>
      <c r="B753" s="107"/>
      <c r="C753" s="107"/>
      <c r="D753" s="107"/>
      <c r="E753" s="107"/>
      <c r="F753" s="107"/>
      <c r="G753" s="208"/>
      <c r="H753" s="131"/>
      <c r="I753" s="211"/>
      <c r="J753" s="107"/>
      <c r="K753" s="202"/>
      <c r="L753" s="107"/>
      <c r="M753" s="107"/>
      <c r="N753" s="206"/>
      <c r="O753" s="108" t="b">
        <v>0</v>
      </c>
      <c r="P753" s="207"/>
      <c r="Q753" s="140"/>
      <c r="R753" s="140"/>
      <c r="S753" s="140"/>
      <c r="T753" s="140"/>
      <c r="U753" s="140"/>
      <c r="V753" s="140"/>
      <c r="W753" s="140"/>
      <c r="X753" s="140"/>
      <c r="Y753" s="140"/>
      <c r="Z753" s="140"/>
      <c r="AA753" s="140"/>
      <c r="AB753" s="140"/>
      <c r="AC753" s="140"/>
      <c r="AD753" s="140"/>
      <c r="AE753" s="140"/>
      <c r="AF753" s="140"/>
      <c r="AG753" s="140"/>
      <c r="AH753" s="140"/>
      <c r="AI753" s="140"/>
      <c r="AJ753" s="140"/>
      <c r="AK753" s="140"/>
      <c r="AL753" s="140"/>
      <c r="AM753" s="140"/>
      <c r="AN753" s="140"/>
      <c r="AO753" s="140"/>
      <c r="AP753" s="140"/>
      <c r="AQ753" s="140"/>
      <c r="AR753" s="140"/>
      <c r="AS753" s="140"/>
      <c r="AT753" s="140"/>
      <c r="AU753" s="140"/>
      <c r="AV753" s="140"/>
      <c r="AW753" s="140"/>
      <c r="AX753" s="140"/>
      <c r="AY753" s="140"/>
      <c r="AZ753" s="140"/>
      <c r="BA753" s="140"/>
      <c r="BB753" s="140"/>
      <c r="BC753" s="140"/>
      <c r="BD753" s="140"/>
      <c r="BE753" s="140"/>
    </row>
    <row r="754">
      <c r="A754" s="108"/>
      <c r="B754" s="107"/>
      <c r="C754" s="107"/>
      <c r="D754" s="107"/>
      <c r="E754" s="107"/>
      <c r="F754" s="107"/>
      <c r="G754" s="208"/>
      <c r="H754" s="131"/>
      <c r="I754" s="211"/>
      <c r="J754" s="107"/>
      <c r="K754" s="202"/>
      <c r="L754" s="107"/>
      <c r="M754" s="107"/>
      <c r="N754" s="206"/>
      <c r="O754" s="108" t="b">
        <v>0</v>
      </c>
      <c r="P754" s="207"/>
      <c r="Q754" s="140"/>
      <c r="R754" s="140"/>
      <c r="S754" s="140"/>
      <c r="T754" s="140"/>
      <c r="U754" s="140"/>
      <c r="V754" s="140"/>
      <c r="W754" s="140"/>
      <c r="X754" s="140"/>
      <c r="Y754" s="140"/>
      <c r="Z754" s="140"/>
      <c r="AA754" s="140"/>
      <c r="AB754" s="140"/>
      <c r="AC754" s="140"/>
      <c r="AD754" s="140"/>
      <c r="AE754" s="140"/>
      <c r="AF754" s="140"/>
      <c r="AG754" s="140"/>
      <c r="AH754" s="140"/>
      <c r="AI754" s="140"/>
      <c r="AJ754" s="140"/>
      <c r="AK754" s="140"/>
      <c r="AL754" s="140"/>
      <c r="AM754" s="140"/>
      <c r="AN754" s="140"/>
      <c r="AO754" s="140"/>
      <c r="AP754" s="140"/>
      <c r="AQ754" s="140"/>
      <c r="AR754" s="140"/>
      <c r="AS754" s="140"/>
      <c r="AT754" s="140"/>
      <c r="AU754" s="140"/>
      <c r="AV754" s="140"/>
      <c r="AW754" s="140"/>
      <c r="AX754" s="140"/>
      <c r="AY754" s="140"/>
      <c r="AZ754" s="140"/>
      <c r="BA754" s="140"/>
      <c r="BB754" s="140"/>
      <c r="BC754" s="140"/>
      <c r="BD754" s="140"/>
      <c r="BE754" s="140"/>
    </row>
    <row r="755">
      <c r="A755" s="108"/>
      <c r="B755" s="107"/>
      <c r="C755" s="107"/>
      <c r="D755" s="107"/>
      <c r="E755" s="107"/>
      <c r="F755" s="107"/>
      <c r="G755" s="208"/>
      <c r="H755" s="131"/>
      <c r="I755" s="211"/>
      <c r="J755" s="107"/>
      <c r="K755" s="202"/>
      <c r="L755" s="107"/>
      <c r="M755" s="107"/>
      <c r="N755" s="206"/>
      <c r="O755" s="108" t="b">
        <v>0</v>
      </c>
      <c r="P755" s="207"/>
      <c r="Q755" s="140"/>
      <c r="R755" s="140"/>
      <c r="S755" s="140"/>
      <c r="T755" s="140"/>
      <c r="U755" s="140"/>
      <c r="V755" s="140"/>
      <c r="W755" s="140"/>
      <c r="X755" s="140"/>
      <c r="Y755" s="140"/>
      <c r="Z755" s="140"/>
      <c r="AA755" s="140"/>
      <c r="AB755" s="140"/>
      <c r="AC755" s="140"/>
      <c r="AD755" s="140"/>
      <c r="AE755" s="140"/>
      <c r="AF755" s="140"/>
      <c r="AG755" s="140"/>
      <c r="AH755" s="140"/>
      <c r="AI755" s="140"/>
      <c r="AJ755" s="140"/>
      <c r="AK755" s="140"/>
      <c r="AL755" s="140"/>
      <c r="AM755" s="140"/>
      <c r="AN755" s="140"/>
      <c r="AO755" s="140"/>
      <c r="AP755" s="140"/>
      <c r="AQ755" s="140"/>
      <c r="AR755" s="140"/>
      <c r="AS755" s="140"/>
      <c r="AT755" s="140"/>
      <c r="AU755" s="140"/>
      <c r="AV755" s="140"/>
      <c r="AW755" s="140"/>
      <c r="AX755" s="140"/>
      <c r="AY755" s="140"/>
      <c r="AZ755" s="140"/>
      <c r="BA755" s="140"/>
      <c r="BB755" s="140"/>
      <c r="BC755" s="140"/>
      <c r="BD755" s="140"/>
      <c r="BE755" s="140"/>
    </row>
    <row r="756">
      <c r="A756" s="108"/>
      <c r="B756" s="107"/>
      <c r="C756" s="107"/>
      <c r="D756" s="107"/>
      <c r="E756" s="107"/>
      <c r="F756" s="107"/>
      <c r="G756" s="208"/>
      <c r="H756" s="131"/>
      <c r="I756" s="211"/>
      <c r="J756" s="107"/>
      <c r="K756" s="202"/>
      <c r="L756" s="107"/>
      <c r="M756" s="107"/>
      <c r="N756" s="206"/>
      <c r="O756" s="108" t="b">
        <v>0</v>
      </c>
      <c r="P756" s="207"/>
      <c r="Q756" s="140"/>
      <c r="R756" s="140"/>
      <c r="S756" s="140"/>
      <c r="T756" s="140"/>
      <c r="U756" s="140"/>
      <c r="V756" s="140"/>
      <c r="W756" s="140"/>
      <c r="X756" s="140"/>
      <c r="Y756" s="140"/>
      <c r="Z756" s="140"/>
      <c r="AA756" s="140"/>
      <c r="AB756" s="140"/>
      <c r="AC756" s="140"/>
      <c r="AD756" s="140"/>
      <c r="AE756" s="140"/>
      <c r="AF756" s="140"/>
      <c r="AG756" s="140"/>
      <c r="AH756" s="140"/>
      <c r="AI756" s="140"/>
      <c r="AJ756" s="140"/>
      <c r="AK756" s="140"/>
      <c r="AL756" s="140"/>
      <c r="AM756" s="140"/>
      <c r="AN756" s="140"/>
      <c r="AO756" s="140"/>
      <c r="AP756" s="140"/>
      <c r="AQ756" s="140"/>
      <c r="AR756" s="140"/>
      <c r="AS756" s="140"/>
      <c r="AT756" s="140"/>
      <c r="AU756" s="140"/>
      <c r="AV756" s="140"/>
      <c r="AW756" s="140"/>
      <c r="AX756" s="140"/>
      <c r="AY756" s="140"/>
      <c r="AZ756" s="140"/>
      <c r="BA756" s="140"/>
      <c r="BB756" s="140"/>
      <c r="BC756" s="140"/>
      <c r="BD756" s="140"/>
      <c r="BE756" s="140"/>
    </row>
    <row r="757">
      <c r="A757" s="108"/>
      <c r="B757" s="107"/>
      <c r="C757" s="107"/>
      <c r="D757" s="107"/>
      <c r="E757" s="107"/>
      <c r="F757" s="107"/>
      <c r="G757" s="208"/>
      <c r="H757" s="131"/>
      <c r="I757" s="211"/>
      <c r="J757" s="107"/>
      <c r="K757" s="202"/>
      <c r="L757" s="107"/>
      <c r="M757" s="107"/>
      <c r="N757" s="206"/>
      <c r="O757" s="108" t="b">
        <v>0</v>
      </c>
      <c r="P757" s="207"/>
      <c r="Q757" s="140"/>
      <c r="R757" s="140"/>
      <c r="S757" s="140"/>
      <c r="T757" s="140"/>
      <c r="U757" s="140"/>
      <c r="V757" s="140"/>
      <c r="W757" s="140"/>
      <c r="X757" s="140"/>
      <c r="Y757" s="140"/>
      <c r="Z757" s="140"/>
      <c r="AA757" s="140"/>
      <c r="AB757" s="140"/>
      <c r="AC757" s="140"/>
      <c r="AD757" s="140"/>
      <c r="AE757" s="140"/>
      <c r="AF757" s="140"/>
      <c r="AG757" s="140"/>
      <c r="AH757" s="140"/>
      <c r="AI757" s="140"/>
      <c r="AJ757" s="140"/>
      <c r="AK757" s="140"/>
      <c r="AL757" s="140"/>
      <c r="AM757" s="140"/>
      <c r="AN757" s="140"/>
      <c r="AO757" s="140"/>
      <c r="AP757" s="140"/>
      <c r="AQ757" s="140"/>
      <c r="AR757" s="140"/>
      <c r="AS757" s="140"/>
      <c r="AT757" s="140"/>
      <c r="AU757" s="140"/>
      <c r="AV757" s="140"/>
      <c r="AW757" s="140"/>
      <c r="AX757" s="140"/>
      <c r="AY757" s="140"/>
      <c r="AZ757" s="140"/>
      <c r="BA757" s="140"/>
      <c r="BB757" s="140"/>
      <c r="BC757" s="140"/>
      <c r="BD757" s="140"/>
      <c r="BE757" s="140"/>
    </row>
    <row r="758">
      <c r="A758" s="108"/>
      <c r="B758" s="107"/>
      <c r="C758" s="107"/>
      <c r="D758" s="107"/>
      <c r="E758" s="107"/>
      <c r="F758" s="107"/>
      <c r="G758" s="208"/>
      <c r="H758" s="131"/>
      <c r="I758" s="211"/>
      <c r="J758" s="107"/>
      <c r="K758" s="202"/>
      <c r="L758" s="107"/>
      <c r="M758" s="107"/>
      <c r="N758" s="206"/>
      <c r="O758" s="108" t="b">
        <v>0</v>
      </c>
      <c r="P758" s="207"/>
      <c r="Q758" s="140"/>
      <c r="R758" s="140"/>
      <c r="S758" s="140"/>
      <c r="T758" s="140"/>
      <c r="U758" s="140"/>
      <c r="V758" s="140"/>
      <c r="W758" s="140"/>
      <c r="X758" s="140"/>
      <c r="Y758" s="140"/>
      <c r="Z758" s="140"/>
      <c r="AA758" s="140"/>
      <c r="AB758" s="140"/>
      <c r="AC758" s="140"/>
      <c r="AD758" s="140"/>
      <c r="AE758" s="140"/>
      <c r="AF758" s="140"/>
      <c r="AG758" s="140"/>
      <c r="AH758" s="140"/>
      <c r="AI758" s="140"/>
      <c r="AJ758" s="140"/>
      <c r="AK758" s="140"/>
      <c r="AL758" s="140"/>
      <c r="AM758" s="140"/>
      <c r="AN758" s="140"/>
      <c r="AO758" s="140"/>
      <c r="AP758" s="140"/>
      <c r="AQ758" s="140"/>
      <c r="AR758" s="140"/>
      <c r="AS758" s="140"/>
      <c r="AT758" s="140"/>
      <c r="AU758" s="140"/>
      <c r="AV758" s="140"/>
      <c r="AW758" s="140"/>
      <c r="AX758" s="140"/>
      <c r="AY758" s="140"/>
      <c r="AZ758" s="140"/>
      <c r="BA758" s="140"/>
      <c r="BB758" s="140"/>
      <c r="BC758" s="140"/>
      <c r="BD758" s="140"/>
      <c r="BE758" s="140"/>
    </row>
    <row r="759">
      <c r="A759" s="108"/>
      <c r="B759" s="107"/>
      <c r="C759" s="107"/>
      <c r="D759" s="107"/>
      <c r="E759" s="107"/>
      <c r="F759" s="107"/>
      <c r="G759" s="208"/>
      <c r="H759" s="131"/>
      <c r="I759" s="211"/>
      <c r="J759" s="107"/>
      <c r="K759" s="202"/>
      <c r="L759" s="107"/>
      <c r="M759" s="107"/>
      <c r="N759" s="206"/>
      <c r="O759" s="108" t="b">
        <v>0</v>
      </c>
      <c r="P759" s="207"/>
      <c r="Q759" s="140"/>
      <c r="R759" s="140"/>
      <c r="S759" s="140"/>
      <c r="T759" s="140"/>
      <c r="U759" s="140"/>
      <c r="V759" s="140"/>
      <c r="W759" s="140"/>
      <c r="X759" s="140"/>
      <c r="Y759" s="140"/>
      <c r="Z759" s="140"/>
      <c r="AA759" s="140"/>
      <c r="AB759" s="140"/>
      <c r="AC759" s="140"/>
      <c r="AD759" s="140"/>
      <c r="AE759" s="140"/>
      <c r="AF759" s="140"/>
      <c r="AG759" s="140"/>
      <c r="AH759" s="140"/>
      <c r="AI759" s="140"/>
      <c r="AJ759" s="140"/>
      <c r="AK759" s="140"/>
      <c r="AL759" s="140"/>
      <c r="AM759" s="140"/>
      <c r="AN759" s="140"/>
      <c r="AO759" s="140"/>
      <c r="AP759" s="140"/>
      <c r="AQ759" s="140"/>
      <c r="AR759" s="140"/>
      <c r="AS759" s="140"/>
      <c r="AT759" s="140"/>
      <c r="AU759" s="140"/>
      <c r="AV759" s="140"/>
      <c r="AW759" s="140"/>
      <c r="AX759" s="140"/>
      <c r="AY759" s="140"/>
      <c r="AZ759" s="140"/>
      <c r="BA759" s="140"/>
      <c r="BB759" s="140"/>
      <c r="BC759" s="140"/>
      <c r="BD759" s="140"/>
      <c r="BE759" s="140"/>
    </row>
    <row r="760">
      <c r="A760" s="108"/>
      <c r="B760" s="107"/>
      <c r="C760" s="107"/>
      <c r="D760" s="107"/>
      <c r="E760" s="107"/>
      <c r="F760" s="107"/>
      <c r="G760" s="208"/>
      <c r="H760" s="131"/>
      <c r="I760" s="211"/>
      <c r="J760" s="107"/>
      <c r="K760" s="202"/>
      <c r="L760" s="107"/>
      <c r="M760" s="107"/>
      <c r="N760" s="206"/>
      <c r="O760" s="108" t="b">
        <v>0</v>
      </c>
      <c r="P760" s="207"/>
      <c r="Q760" s="140"/>
      <c r="R760" s="140"/>
      <c r="S760" s="140"/>
      <c r="T760" s="140"/>
      <c r="U760" s="140"/>
      <c r="V760" s="140"/>
      <c r="W760" s="140"/>
      <c r="X760" s="140"/>
      <c r="Y760" s="140"/>
      <c r="Z760" s="140"/>
      <c r="AA760" s="140"/>
      <c r="AB760" s="140"/>
      <c r="AC760" s="140"/>
      <c r="AD760" s="140"/>
      <c r="AE760" s="140"/>
      <c r="AF760" s="140"/>
      <c r="AG760" s="140"/>
      <c r="AH760" s="140"/>
      <c r="AI760" s="140"/>
      <c r="AJ760" s="140"/>
      <c r="AK760" s="140"/>
      <c r="AL760" s="140"/>
      <c r="AM760" s="140"/>
      <c r="AN760" s="140"/>
      <c r="AO760" s="140"/>
      <c r="AP760" s="140"/>
      <c r="AQ760" s="140"/>
      <c r="AR760" s="140"/>
      <c r="AS760" s="140"/>
      <c r="AT760" s="140"/>
      <c r="AU760" s="140"/>
      <c r="AV760" s="140"/>
      <c r="AW760" s="140"/>
      <c r="AX760" s="140"/>
      <c r="AY760" s="140"/>
      <c r="AZ760" s="140"/>
      <c r="BA760" s="140"/>
      <c r="BB760" s="140"/>
      <c r="BC760" s="140"/>
      <c r="BD760" s="140"/>
      <c r="BE760" s="140"/>
    </row>
    <row r="761">
      <c r="A761" s="108"/>
      <c r="B761" s="107"/>
      <c r="C761" s="107"/>
      <c r="D761" s="107"/>
      <c r="E761" s="107"/>
      <c r="F761" s="107"/>
      <c r="G761" s="208"/>
      <c r="H761" s="131"/>
      <c r="I761" s="211"/>
      <c r="J761" s="107"/>
      <c r="K761" s="202"/>
      <c r="L761" s="107"/>
      <c r="M761" s="107"/>
      <c r="N761" s="206"/>
      <c r="O761" s="108" t="b">
        <v>0</v>
      </c>
      <c r="P761" s="207"/>
      <c r="Q761" s="140"/>
      <c r="R761" s="140"/>
      <c r="S761" s="140"/>
      <c r="T761" s="140"/>
      <c r="U761" s="140"/>
      <c r="V761" s="140"/>
      <c r="W761" s="140"/>
      <c r="X761" s="140"/>
      <c r="Y761" s="140"/>
      <c r="Z761" s="140"/>
      <c r="AA761" s="140"/>
      <c r="AB761" s="140"/>
      <c r="AC761" s="140"/>
      <c r="AD761" s="140"/>
      <c r="AE761" s="140"/>
      <c r="AF761" s="140"/>
      <c r="AG761" s="140"/>
      <c r="AH761" s="140"/>
      <c r="AI761" s="140"/>
      <c r="AJ761" s="140"/>
      <c r="AK761" s="140"/>
      <c r="AL761" s="140"/>
      <c r="AM761" s="140"/>
      <c r="AN761" s="140"/>
      <c r="AO761" s="140"/>
      <c r="AP761" s="140"/>
      <c r="AQ761" s="140"/>
      <c r="AR761" s="140"/>
      <c r="AS761" s="140"/>
      <c r="AT761" s="140"/>
      <c r="AU761" s="140"/>
      <c r="AV761" s="140"/>
      <c r="AW761" s="140"/>
      <c r="AX761" s="140"/>
      <c r="AY761" s="140"/>
      <c r="AZ761" s="140"/>
      <c r="BA761" s="140"/>
      <c r="BB761" s="140"/>
      <c r="BC761" s="140"/>
      <c r="BD761" s="140"/>
      <c r="BE761" s="140"/>
    </row>
    <row r="762">
      <c r="A762" s="108"/>
      <c r="B762" s="107"/>
      <c r="C762" s="107"/>
      <c r="D762" s="107"/>
      <c r="E762" s="107"/>
      <c r="F762" s="107"/>
      <c r="G762" s="208"/>
      <c r="H762" s="131"/>
      <c r="I762" s="211"/>
      <c r="J762" s="107"/>
      <c r="K762" s="202"/>
      <c r="L762" s="107"/>
      <c r="M762" s="107"/>
      <c r="N762" s="206"/>
      <c r="O762" s="108" t="b">
        <v>0</v>
      </c>
      <c r="P762" s="207"/>
      <c r="Q762" s="140"/>
      <c r="R762" s="140"/>
      <c r="S762" s="140"/>
      <c r="T762" s="140"/>
      <c r="U762" s="140"/>
      <c r="V762" s="140"/>
      <c r="W762" s="140"/>
      <c r="X762" s="140"/>
      <c r="Y762" s="140"/>
      <c r="Z762" s="140"/>
      <c r="AA762" s="140"/>
      <c r="AB762" s="140"/>
      <c r="AC762" s="140"/>
      <c r="AD762" s="140"/>
      <c r="AE762" s="140"/>
      <c r="AF762" s="140"/>
      <c r="AG762" s="140"/>
      <c r="AH762" s="140"/>
      <c r="AI762" s="140"/>
      <c r="AJ762" s="140"/>
      <c r="AK762" s="140"/>
      <c r="AL762" s="140"/>
      <c r="AM762" s="140"/>
      <c r="AN762" s="140"/>
      <c r="AO762" s="140"/>
      <c r="AP762" s="140"/>
      <c r="AQ762" s="140"/>
      <c r="AR762" s="140"/>
      <c r="AS762" s="140"/>
      <c r="AT762" s="140"/>
      <c r="AU762" s="140"/>
      <c r="AV762" s="140"/>
      <c r="AW762" s="140"/>
      <c r="AX762" s="140"/>
      <c r="AY762" s="140"/>
      <c r="AZ762" s="140"/>
      <c r="BA762" s="140"/>
      <c r="BB762" s="140"/>
      <c r="BC762" s="140"/>
      <c r="BD762" s="140"/>
      <c r="BE762" s="140"/>
    </row>
    <row r="763">
      <c r="A763" s="108"/>
      <c r="B763" s="107"/>
      <c r="C763" s="107"/>
      <c r="D763" s="107"/>
      <c r="E763" s="107"/>
      <c r="F763" s="107"/>
      <c r="G763" s="208"/>
      <c r="H763" s="131"/>
      <c r="I763" s="211"/>
      <c r="J763" s="107"/>
      <c r="K763" s="202"/>
      <c r="L763" s="107"/>
      <c r="M763" s="107"/>
      <c r="N763" s="206"/>
      <c r="O763" s="108" t="b">
        <v>0</v>
      </c>
      <c r="P763" s="207"/>
      <c r="Q763" s="140"/>
      <c r="R763" s="140"/>
      <c r="S763" s="140"/>
      <c r="T763" s="140"/>
      <c r="U763" s="140"/>
      <c r="V763" s="140"/>
      <c r="W763" s="140"/>
      <c r="X763" s="140"/>
      <c r="Y763" s="140"/>
      <c r="Z763" s="140"/>
      <c r="AA763" s="140"/>
      <c r="AB763" s="140"/>
      <c r="AC763" s="140"/>
      <c r="AD763" s="140"/>
      <c r="AE763" s="140"/>
      <c r="AF763" s="140"/>
      <c r="AG763" s="140"/>
      <c r="AH763" s="140"/>
      <c r="AI763" s="140"/>
      <c r="AJ763" s="140"/>
      <c r="AK763" s="140"/>
      <c r="AL763" s="140"/>
      <c r="AM763" s="140"/>
      <c r="AN763" s="140"/>
      <c r="AO763" s="140"/>
      <c r="AP763" s="140"/>
      <c r="AQ763" s="140"/>
      <c r="AR763" s="140"/>
      <c r="AS763" s="140"/>
      <c r="AT763" s="140"/>
      <c r="AU763" s="140"/>
      <c r="AV763" s="140"/>
      <c r="AW763" s="140"/>
      <c r="AX763" s="140"/>
      <c r="AY763" s="140"/>
      <c r="AZ763" s="140"/>
      <c r="BA763" s="140"/>
      <c r="BB763" s="140"/>
      <c r="BC763" s="140"/>
      <c r="BD763" s="140"/>
      <c r="BE763" s="140"/>
    </row>
    <row r="764">
      <c r="A764" s="108"/>
      <c r="B764" s="107"/>
      <c r="C764" s="107"/>
      <c r="D764" s="107"/>
      <c r="E764" s="107"/>
      <c r="F764" s="107"/>
      <c r="G764" s="208"/>
      <c r="H764" s="131"/>
      <c r="I764" s="211"/>
      <c r="J764" s="107"/>
      <c r="K764" s="202"/>
      <c r="L764" s="107"/>
      <c r="M764" s="107"/>
      <c r="N764" s="206"/>
      <c r="O764" s="108" t="b">
        <v>0</v>
      </c>
      <c r="P764" s="207"/>
      <c r="Q764" s="140"/>
      <c r="R764" s="140"/>
      <c r="S764" s="140"/>
      <c r="T764" s="140"/>
      <c r="U764" s="140"/>
      <c r="V764" s="140"/>
      <c r="W764" s="140"/>
      <c r="X764" s="140"/>
      <c r="Y764" s="140"/>
      <c r="Z764" s="140"/>
      <c r="AA764" s="140"/>
      <c r="AB764" s="140"/>
      <c r="AC764" s="140"/>
      <c r="AD764" s="140"/>
      <c r="AE764" s="140"/>
      <c r="AF764" s="140"/>
      <c r="AG764" s="140"/>
      <c r="AH764" s="140"/>
      <c r="AI764" s="140"/>
      <c r="AJ764" s="140"/>
      <c r="AK764" s="140"/>
      <c r="AL764" s="140"/>
      <c r="AM764" s="140"/>
      <c r="AN764" s="140"/>
      <c r="AO764" s="140"/>
      <c r="AP764" s="140"/>
      <c r="AQ764" s="140"/>
      <c r="AR764" s="140"/>
      <c r="AS764" s="140"/>
      <c r="AT764" s="140"/>
      <c r="AU764" s="140"/>
      <c r="AV764" s="140"/>
      <c r="AW764" s="140"/>
      <c r="AX764" s="140"/>
      <c r="AY764" s="140"/>
      <c r="AZ764" s="140"/>
      <c r="BA764" s="140"/>
      <c r="BB764" s="140"/>
      <c r="BC764" s="140"/>
      <c r="BD764" s="140"/>
      <c r="BE764" s="140"/>
    </row>
    <row r="765">
      <c r="A765" s="108"/>
      <c r="B765" s="107"/>
      <c r="C765" s="107"/>
      <c r="D765" s="107"/>
      <c r="E765" s="107"/>
      <c r="F765" s="107"/>
      <c r="G765" s="208"/>
      <c r="H765" s="131"/>
      <c r="I765" s="211"/>
      <c r="J765" s="107"/>
      <c r="K765" s="202"/>
      <c r="L765" s="107"/>
      <c r="M765" s="107"/>
      <c r="N765" s="206"/>
      <c r="O765" s="108" t="b">
        <v>0</v>
      </c>
      <c r="P765" s="207"/>
      <c r="Q765" s="140"/>
      <c r="R765" s="140"/>
      <c r="S765" s="140"/>
      <c r="T765" s="140"/>
      <c r="U765" s="140"/>
      <c r="V765" s="140"/>
      <c r="W765" s="140"/>
      <c r="X765" s="140"/>
      <c r="Y765" s="140"/>
      <c r="Z765" s="140"/>
      <c r="AA765" s="140"/>
      <c r="AB765" s="140"/>
      <c r="AC765" s="140"/>
      <c r="AD765" s="140"/>
      <c r="AE765" s="140"/>
      <c r="AF765" s="140"/>
      <c r="AG765" s="140"/>
      <c r="AH765" s="140"/>
      <c r="AI765" s="140"/>
      <c r="AJ765" s="140"/>
      <c r="AK765" s="140"/>
      <c r="AL765" s="140"/>
      <c r="AM765" s="140"/>
      <c r="AN765" s="140"/>
      <c r="AO765" s="140"/>
      <c r="AP765" s="140"/>
      <c r="AQ765" s="140"/>
      <c r="AR765" s="140"/>
      <c r="AS765" s="140"/>
      <c r="AT765" s="140"/>
      <c r="AU765" s="140"/>
      <c r="AV765" s="140"/>
      <c r="AW765" s="140"/>
      <c r="AX765" s="140"/>
      <c r="AY765" s="140"/>
      <c r="AZ765" s="140"/>
      <c r="BA765" s="140"/>
      <c r="BB765" s="140"/>
      <c r="BC765" s="140"/>
      <c r="BD765" s="140"/>
      <c r="BE765" s="140"/>
    </row>
    <row r="766">
      <c r="A766" s="108"/>
      <c r="B766" s="107"/>
      <c r="C766" s="107"/>
      <c r="D766" s="107"/>
      <c r="E766" s="107"/>
      <c r="F766" s="107"/>
      <c r="G766" s="208"/>
      <c r="H766" s="131"/>
      <c r="I766" s="211"/>
      <c r="J766" s="107"/>
      <c r="K766" s="202"/>
      <c r="L766" s="107"/>
      <c r="M766" s="107"/>
      <c r="N766" s="206"/>
      <c r="O766" s="108" t="b">
        <v>0</v>
      </c>
      <c r="P766" s="207"/>
      <c r="Q766" s="140"/>
      <c r="R766" s="140"/>
      <c r="S766" s="140"/>
      <c r="T766" s="140"/>
      <c r="U766" s="140"/>
      <c r="V766" s="140"/>
      <c r="W766" s="140"/>
      <c r="X766" s="140"/>
      <c r="Y766" s="140"/>
      <c r="Z766" s="140"/>
      <c r="AA766" s="140"/>
      <c r="AB766" s="140"/>
      <c r="AC766" s="140"/>
      <c r="AD766" s="140"/>
      <c r="AE766" s="140"/>
      <c r="AF766" s="140"/>
      <c r="AG766" s="140"/>
      <c r="AH766" s="140"/>
      <c r="AI766" s="140"/>
      <c r="AJ766" s="140"/>
      <c r="AK766" s="140"/>
      <c r="AL766" s="140"/>
      <c r="AM766" s="140"/>
      <c r="AN766" s="140"/>
      <c r="AO766" s="140"/>
      <c r="AP766" s="140"/>
      <c r="AQ766" s="140"/>
      <c r="AR766" s="140"/>
      <c r="AS766" s="140"/>
      <c r="AT766" s="140"/>
      <c r="AU766" s="140"/>
      <c r="AV766" s="140"/>
      <c r="AW766" s="140"/>
      <c r="AX766" s="140"/>
      <c r="AY766" s="140"/>
      <c r="AZ766" s="140"/>
      <c r="BA766" s="140"/>
      <c r="BB766" s="140"/>
      <c r="BC766" s="140"/>
      <c r="BD766" s="140"/>
      <c r="BE766" s="140"/>
    </row>
    <row r="767">
      <c r="A767" s="108"/>
      <c r="B767" s="107"/>
      <c r="C767" s="107"/>
      <c r="D767" s="107"/>
      <c r="E767" s="107"/>
      <c r="F767" s="107"/>
      <c r="G767" s="208"/>
      <c r="H767" s="131"/>
      <c r="I767" s="211"/>
      <c r="J767" s="107"/>
      <c r="K767" s="202"/>
      <c r="L767" s="107"/>
      <c r="M767" s="107"/>
      <c r="N767" s="206"/>
      <c r="O767" s="108" t="b">
        <v>0</v>
      </c>
      <c r="P767" s="207"/>
      <c r="Q767" s="140"/>
      <c r="R767" s="140"/>
      <c r="S767" s="140"/>
      <c r="T767" s="140"/>
      <c r="U767" s="140"/>
      <c r="V767" s="140"/>
      <c r="W767" s="140"/>
      <c r="X767" s="140"/>
      <c r="Y767" s="140"/>
      <c r="Z767" s="140"/>
      <c r="AA767" s="140"/>
      <c r="AB767" s="140"/>
      <c r="AC767" s="140"/>
      <c r="AD767" s="140"/>
      <c r="AE767" s="140"/>
      <c r="AF767" s="140"/>
      <c r="AG767" s="140"/>
      <c r="AH767" s="140"/>
      <c r="AI767" s="140"/>
      <c r="AJ767" s="140"/>
      <c r="AK767" s="140"/>
      <c r="AL767" s="140"/>
      <c r="AM767" s="140"/>
      <c r="AN767" s="140"/>
      <c r="AO767" s="140"/>
      <c r="AP767" s="140"/>
      <c r="AQ767" s="140"/>
      <c r="AR767" s="140"/>
      <c r="AS767" s="140"/>
      <c r="AT767" s="140"/>
      <c r="AU767" s="140"/>
      <c r="AV767" s="140"/>
      <c r="AW767" s="140"/>
      <c r="AX767" s="140"/>
      <c r="AY767" s="140"/>
      <c r="AZ767" s="140"/>
      <c r="BA767" s="140"/>
      <c r="BB767" s="140"/>
      <c r="BC767" s="140"/>
      <c r="BD767" s="140"/>
      <c r="BE767" s="140"/>
    </row>
    <row r="768">
      <c r="A768" s="108"/>
      <c r="B768" s="107"/>
      <c r="C768" s="107"/>
      <c r="D768" s="107"/>
      <c r="E768" s="107"/>
      <c r="F768" s="107"/>
      <c r="G768" s="208"/>
      <c r="H768" s="131"/>
      <c r="I768" s="211"/>
      <c r="J768" s="107"/>
      <c r="K768" s="202"/>
      <c r="L768" s="107"/>
      <c r="M768" s="107"/>
      <c r="N768" s="206"/>
      <c r="O768" s="108" t="b">
        <v>0</v>
      </c>
      <c r="P768" s="207"/>
      <c r="Q768" s="140"/>
      <c r="R768" s="140"/>
      <c r="S768" s="140"/>
      <c r="T768" s="140"/>
      <c r="U768" s="140"/>
      <c r="V768" s="140"/>
      <c r="W768" s="140"/>
      <c r="X768" s="140"/>
      <c r="Y768" s="140"/>
      <c r="Z768" s="140"/>
      <c r="AA768" s="140"/>
      <c r="AB768" s="140"/>
      <c r="AC768" s="140"/>
      <c r="AD768" s="140"/>
      <c r="AE768" s="140"/>
      <c r="AF768" s="140"/>
      <c r="AG768" s="140"/>
      <c r="AH768" s="140"/>
      <c r="AI768" s="140"/>
      <c r="AJ768" s="140"/>
      <c r="AK768" s="140"/>
      <c r="AL768" s="140"/>
      <c r="AM768" s="140"/>
      <c r="AN768" s="140"/>
      <c r="AO768" s="140"/>
      <c r="AP768" s="140"/>
      <c r="AQ768" s="140"/>
      <c r="AR768" s="140"/>
      <c r="AS768" s="140"/>
      <c r="AT768" s="140"/>
      <c r="AU768" s="140"/>
      <c r="AV768" s="140"/>
      <c r="AW768" s="140"/>
      <c r="AX768" s="140"/>
      <c r="AY768" s="140"/>
      <c r="AZ768" s="140"/>
      <c r="BA768" s="140"/>
      <c r="BB768" s="140"/>
      <c r="BC768" s="140"/>
      <c r="BD768" s="140"/>
      <c r="BE768" s="140"/>
    </row>
    <row r="769">
      <c r="A769" s="108"/>
      <c r="B769" s="107"/>
      <c r="C769" s="107"/>
      <c r="D769" s="107"/>
      <c r="E769" s="107"/>
      <c r="F769" s="107"/>
      <c r="G769" s="208"/>
      <c r="H769" s="131"/>
      <c r="I769" s="211"/>
      <c r="J769" s="107"/>
      <c r="K769" s="202"/>
      <c r="L769" s="107"/>
      <c r="M769" s="107"/>
      <c r="N769" s="206"/>
      <c r="O769" s="108" t="b">
        <v>0</v>
      </c>
      <c r="P769" s="207"/>
      <c r="Q769" s="140"/>
      <c r="R769" s="140"/>
      <c r="S769" s="140"/>
      <c r="T769" s="140"/>
      <c r="U769" s="140"/>
      <c r="V769" s="140"/>
      <c r="W769" s="140"/>
      <c r="X769" s="140"/>
      <c r="Y769" s="140"/>
      <c r="Z769" s="140"/>
      <c r="AA769" s="140"/>
      <c r="AB769" s="140"/>
      <c r="AC769" s="140"/>
      <c r="AD769" s="140"/>
      <c r="AE769" s="140"/>
      <c r="AF769" s="140"/>
      <c r="AG769" s="140"/>
      <c r="AH769" s="140"/>
      <c r="AI769" s="140"/>
      <c r="AJ769" s="140"/>
      <c r="AK769" s="140"/>
      <c r="AL769" s="140"/>
      <c r="AM769" s="140"/>
      <c r="AN769" s="140"/>
      <c r="AO769" s="140"/>
      <c r="AP769" s="140"/>
      <c r="AQ769" s="140"/>
      <c r="AR769" s="140"/>
      <c r="AS769" s="140"/>
      <c r="AT769" s="140"/>
      <c r="AU769" s="140"/>
      <c r="AV769" s="140"/>
      <c r="AW769" s="140"/>
      <c r="AX769" s="140"/>
      <c r="AY769" s="140"/>
      <c r="AZ769" s="140"/>
      <c r="BA769" s="140"/>
      <c r="BB769" s="140"/>
      <c r="BC769" s="140"/>
      <c r="BD769" s="140"/>
      <c r="BE769" s="140"/>
    </row>
    <row r="770">
      <c r="A770" s="108"/>
      <c r="B770" s="107"/>
      <c r="C770" s="107"/>
      <c r="D770" s="107"/>
      <c r="E770" s="107"/>
      <c r="F770" s="107"/>
      <c r="G770" s="208"/>
      <c r="H770" s="131"/>
      <c r="I770" s="211"/>
      <c r="J770" s="107"/>
      <c r="K770" s="202"/>
      <c r="L770" s="107"/>
      <c r="M770" s="107"/>
      <c r="N770" s="206"/>
      <c r="O770" s="108" t="b">
        <v>0</v>
      </c>
      <c r="P770" s="207"/>
      <c r="Q770" s="140"/>
      <c r="R770" s="140"/>
      <c r="S770" s="140"/>
      <c r="T770" s="140"/>
      <c r="U770" s="140"/>
      <c r="V770" s="140"/>
      <c r="W770" s="140"/>
      <c r="X770" s="140"/>
      <c r="Y770" s="140"/>
      <c r="Z770" s="140"/>
      <c r="AA770" s="140"/>
      <c r="AB770" s="140"/>
      <c r="AC770" s="140"/>
      <c r="AD770" s="140"/>
      <c r="AE770" s="140"/>
      <c r="AF770" s="140"/>
      <c r="AG770" s="140"/>
      <c r="AH770" s="140"/>
      <c r="AI770" s="140"/>
      <c r="AJ770" s="140"/>
      <c r="AK770" s="140"/>
      <c r="AL770" s="140"/>
      <c r="AM770" s="140"/>
      <c r="AN770" s="140"/>
      <c r="AO770" s="140"/>
      <c r="AP770" s="140"/>
      <c r="AQ770" s="140"/>
      <c r="AR770" s="140"/>
      <c r="AS770" s="140"/>
      <c r="AT770" s="140"/>
      <c r="AU770" s="140"/>
      <c r="AV770" s="140"/>
      <c r="AW770" s="140"/>
      <c r="AX770" s="140"/>
      <c r="AY770" s="140"/>
      <c r="AZ770" s="140"/>
      <c r="BA770" s="140"/>
      <c r="BB770" s="140"/>
      <c r="BC770" s="140"/>
      <c r="BD770" s="140"/>
      <c r="BE770" s="140"/>
    </row>
    <row r="771">
      <c r="A771" s="108"/>
      <c r="B771" s="107"/>
      <c r="C771" s="107"/>
      <c r="D771" s="107"/>
      <c r="E771" s="107"/>
      <c r="F771" s="107"/>
      <c r="G771" s="208"/>
      <c r="H771" s="131"/>
      <c r="I771" s="211"/>
      <c r="J771" s="107"/>
      <c r="K771" s="202"/>
      <c r="L771" s="107"/>
      <c r="M771" s="107"/>
      <c r="N771" s="206"/>
      <c r="O771" s="108" t="b">
        <v>0</v>
      </c>
      <c r="P771" s="207"/>
      <c r="Q771" s="140"/>
      <c r="R771" s="140"/>
      <c r="S771" s="140"/>
      <c r="T771" s="140"/>
      <c r="U771" s="140"/>
      <c r="V771" s="140"/>
      <c r="W771" s="140"/>
      <c r="X771" s="140"/>
      <c r="Y771" s="140"/>
      <c r="Z771" s="140"/>
      <c r="AA771" s="140"/>
      <c r="AB771" s="140"/>
      <c r="AC771" s="140"/>
      <c r="AD771" s="140"/>
      <c r="AE771" s="140"/>
      <c r="AF771" s="140"/>
      <c r="AG771" s="140"/>
      <c r="AH771" s="140"/>
      <c r="AI771" s="140"/>
      <c r="AJ771" s="140"/>
      <c r="AK771" s="140"/>
      <c r="AL771" s="140"/>
      <c r="AM771" s="140"/>
      <c r="AN771" s="140"/>
      <c r="AO771" s="140"/>
      <c r="AP771" s="140"/>
      <c r="AQ771" s="140"/>
      <c r="AR771" s="140"/>
      <c r="AS771" s="140"/>
      <c r="AT771" s="140"/>
      <c r="AU771" s="140"/>
      <c r="AV771" s="140"/>
      <c r="AW771" s="140"/>
      <c r="AX771" s="140"/>
      <c r="AY771" s="140"/>
      <c r="AZ771" s="140"/>
      <c r="BA771" s="140"/>
      <c r="BB771" s="140"/>
      <c r="BC771" s="140"/>
      <c r="BD771" s="140"/>
      <c r="BE771" s="140"/>
    </row>
    <row r="772">
      <c r="A772" s="108"/>
      <c r="B772" s="107"/>
      <c r="C772" s="107"/>
      <c r="D772" s="107"/>
      <c r="E772" s="107"/>
      <c r="F772" s="107"/>
      <c r="G772" s="208"/>
      <c r="H772" s="131"/>
      <c r="I772" s="211"/>
      <c r="J772" s="107"/>
      <c r="K772" s="202"/>
      <c r="L772" s="107"/>
      <c r="M772" s="107"/>
      <c r="N772" s="206"/>
      <c r="O772" s="108" t="b">
        <v>0</v>
      </c>
      <c r="P772" s="207"/>
      <c r="Q772" s="140"/>
      <c r="R772" s="140"/>
      <c r="S772" s="140"/>
      <c r="T772" s="140"/>
      <c r="U772" s="140"/>
      <c r="V772" s="140"/>
      <c r="W772" s="140"/>
      <c r="X772" s="140"/>
      <c r="Y772" s="140"/>
      <c r="Z772" s="140"/>
      <c r="AA772" s="140"/>
      <c r="AB772" s="140"/>
      <c r="AC772" s="140"/>
      <c r="AD772" s="140"/>
      <c r="AE772" s="140"/>
      <c r="AF772" s="140"/>
      <c r="AG772" s="140"/>
      <c r="AH772" s="140"/>
      <c r="AI772" s="140"/>
      <c r="AJ772" s="140"/>
      <c r="AK772" s="140"/>
      <c r="AL772" s="140"/>
      <c r="AM772" s="140"/>
      <c r="AN772" s="140"/>
      <c r="AO772" s="140"/>
      <c r="AP772" s="140"/>
      <c r="AQ772" s="140"/>
      <c r="AR772" s="140"/>
      <c r="AS772" s="140"/>
      <c r="AT772" s="140"/>
      <c r="AU772" s="140"/>
      <c r="AV772" s="140"/>
      <c r="AW772" s="140"/>
      <c r="AX772" s="140"/>
      <c r="AY772" s="140"/>
      <c r="AZ772" s="140"/>
      <c r="BA772" s="140"/>
      <c r="BB772" s="140"/>
      <c r="BC772" s="140"/>
      <c r="BD772" s="140"/>
      <c r="BE772" s="140"/>
    </row>
    <row r="773">
      <c r="A773" s="108"/>
      <c r="B773" s="107"/>
      <c r="C773" s="107"/>
      <c r="D773" s="107"/>
      <c r="E773" s="107"/>
      <c r="F773" s="107"/>
      <c r="G773" s="208"/>
      <c r="H773" s="131"/>
      <c r="I773" s="211"/>
      <c r="J773" s="107"/>
      <c r="K773" s="202"/>
      <c r="L773" s="107"/>
      <c r="M773" s="107"/>
      <c r="N773" s="206"/>
      <c r="O773" s="108" t="b">
        <v>0</v>
      </c>
      <c r="P773" s="207"/>
      <c r="Q773" s="140"/>
      <c r="R773" s="140"/>
      <c r="S773" s="140"/>
      <c r="T773" s="140"/>
      <c r="U773" s="140"/>
      <c r="V773" s="140"/>
      <c r="W773" s="140"/>
      <c r="X773" s="140"/>
      <c r="Y773" s="140"/>
      <c r="Z773" s="140"/>
      <c r="AA773" s="140"/>
      <c r="AB773" s="140"/>
      <c r="AC773" s="140"/>
      <c r="AD773" s="140"/>
      <c r="AE773" s="140"/>
      <c r="AF773" s="140"/>
      <c r="AG773" s="140"/>
      <c r="AH773" s="140"/>
      <c r="AI773" s="140"/>
      <c r="AJ773" s="140"/>
      <c r="AK773" s="140"/>
      <c r="AL773" s="140"/>
      <c r="AM773" s="140"/>
      <c r="AN773" s="140"/>
      <c r="AO773" s="140"/>
      <c r="AP773" s="140"/>
      <c r="AQ773" s="140"/>
      <c r="AR773" s="140"/>
      <c r="AS773" s="140"/>
      <c r="AT773" s="140"/>
      <c r="AU773" s="140"/>
      <c r="AV773" s="140"/>
      <c r="AW773" s="140"/>
      <c r="AX773" s="140"/>
      <c r="AY773" s="140"/>
      <c r="AZ773" s="140"/>
      <c r="BA773" s="140"/>
      <c r="BB773" s="140"/>
      <c r="BC773" s="140"/>
      <c r="BD773" s="140"/>
      <c r="BE773" s="140"/>
    </row>
    <row r="774">
      <c r="A774" s="108"/>
      <c r="B774" s="107"/>
      <c r="C774" s="107"/>
      <c r="D774" s="107"/>
      <c r="E774" s="107"/>
      <c r="F774" s="107"/>
      <c r="G774" s="208"/>
      <c r="H774" s="131"/>
      <c r="I774" s="211"/>
      <c r="J774" s="107"/>
      <c r="K774" s="202"/>
      <c r="L774" s="107"/>
      <c r="M774" s="107"/>
      <c r="N774" s="206"/>
      <c r="O774" s="108" t="b">
        <v>0</v>
      </c>
      <c r="P774" s="207"/>
      <c r="Q774" s="140"/>
      <c r="R774" s="140"/>
      <c r="S774" s="140"/>
      <c r="T774" s="140"/>
      <c r="U774" s="140"/>
      <c r="V774" s="140"/>
      <c r="W774" s="140"/>
      <c r="X774" s="140"/>
      <c r="Y774" s="140"/>
      <c r="Z774" s="140"/>
      <c r="AA774" s="140"/>
      <c r="AB774" s="140"/>
      <c r="AC774" s="140"/>
      <c r="AD774" s="140"/>
      <c r="AE774" s="140"/>
      <c r="AF774" s="140"/>
      <c r="AG774" s="140"/>
      <c r="AH774" s="140"/>
      <c r="AI774" s="140"/>
      <c r="AJ774" s="140"/>
      <c r="AK774" s="140"/>
      <c r="AL774" s="140"/>
      <c r="AM774" s="140"/>
      <c r="AN774" s="140"/>
      <c r="AO774" s="140"/>
      <c r="AP774" s="140"/>
      <c r="AQ774" s="140"/>
      <c r="AR774" s="140"/>
      <c r="AS774" s="140"/>
      <c r="AT774" s="140"/>
      <c r="AU774" s="140"/>
      <c r="AV774" s="140"/>
      <c r="AW774" s="140"/>
      <c r="AX774" s="140"/>
      <c r="AY774" s="140"/>
      <c r="AZ774" s="140"/>
      <c r="BA774" s="140"/>
      <c r="BB774" s="140"/>
      <c r="BC774" s="140"/>
      <c r="BD774" s="140"/>
      <c r="BE774" s="140"/>
    </row>
    <row r="775">
      <c r="A775" s="108"/>
      <c r="B775" s="107"/>
      <c r="C775" s="107"/>
      <c r="D775" s="107"/>
      <c r="E775" s="107"/>
      <c r="F775" s="107"/>
      <c r="G775" s="208"/>
      <c r="H775" s="131"/>
      <c r="I775" s="211"/>
      <c r="J775" s="107"/>
      <c r="K775" s="202"/>
      <c r="L775" s="107"/>
      <c r="M775" s="107"/>
      <c r="N775" s="206"/>
      <c r="O775" s="108" t="b">
        <v>0</v>
      </c>
      <c r="P775" s="207"/>
      <c r="Q775" s="140"/>
      <c r="R775" s="140"/>
      <c r="S775" s="140"/>
      <c r="T775" s="140"/>
      <c r="U775" s="140"/>
      <c r="V775" s="140"/>
      <c r="W775" s="140"/>
      <c r="X775" s="140"/>
      <c r="Y775" s="140"/>
      <c r="Z775" s="140"/>
      <c r="AA775" s="140"/>
      <c r="AB775" s="140"/>
      <c r="AC775" s="140"/>
      <c r="AD775" s="140"/>
      <c r="AE775" s="140"/>
      <c r="AF775" s="140"/>
      <c r="AG775" s="140"/>
      <c r="AH775" s="140"/>
      <c r="AI775" s="140"/>
      <c r="AJ775" s="140"/>
      <c r="AK775" s="140"/>
      <c r="AL775" s="140"/>
      <c r="AM775" s="140"/>
      <c r="AN775" s="140"/>
      <c r="AO775" s="140"/>
      <c r="AP775" s="140"/>
      <c r="AQ775" s="140"/>
      <c r="AR775" s="140"/>
      <c r="AS775" s="140"/>
      <c r="AT775" s="140"/>
      <c r="AU775" s="140"/>
      <c r="AV775" s="140"/>
      <c r="AW775" s="140"/>
      <c r="AX775" s="140"/>
      <c r="AY775" s="140"/>
      <c r="AZ775" s="140"/>
      <c r="BA775" s="140"/>
      <c r="BB775" s="140"/>
      <c r="BC775" s="140"/>
      <c r="BD775" s="140"/>
      <c r="BE775" s="140"/>
    </row>
    <row r="776">
      <c r="A776" s="108"/>
      <c r="B776" s="107"/>
      <c r="C776" s="107"/>
      <c r="D776" s="107"/>
      <c r="E776" s="107"/>
      <c r="F776" s="107"/>
      <c r="G776" s="208"/>
      <c r="H776" s="131"/>
      <c r="I776" s="211"/>
      <c r="J776" s="107"/>
      <c r="K776" s="202"/>
      <c r="L776" s="107"/>
      <c r="M776" s="107"/>
      <c r="N776" s="206"/>
      <c r="O776" s="108" t="b">
        <v>0</v>
      </c>
      <c r="P776" s="207"/>
      <c r="Q776" s="140"/>
      <c r="R776" s="140"/>
      <c r="S776" s="140"/>
      <c r="T776" s="140"/>
      <c r="U776" s="140"/>
      <c r="V776" s="140"/>
      <c r="W776" s="140"/>
      <c r="X776" s="140"/>
      <c r="Y776" s="140"/>
      <c r="Z776" s="140"/>
      <c r="AA776" s="140"/>
      <c r="AB776" s="140"/>
      <c r="AC776" s="140"/>
      <c r="AD776" s="140"/>
      <c r="AE776" s="140"/>
      <c r="AF776" s="140"/>
      <c r="AG776" s="140"/>
      <c r="AH776" s="140"/>
      <c r="AI776" s="140"/>
      <c r="AJ776" s="140"/>
      <c r="AK776" s="140"/>
      <c r="AL776" s="140"/>
      <c r="AM776" s="140"/>
      <c r="AN776" s="140"/>
      <c r="AO776" s="140"/>
      <c r="AP776" s="140"/>
      <c r="AQ776" s="140"/>
      <c r="AR776" s="140"/>
      <c r="AS776" s="140"/>
      <c r="AT776" s="140"/>
      <c r="AU776" s="140"/>
      <c r="AV776" s="140"/>
      <c r="AW776" s="140"/>
      <c r="AX776" s="140"/>
      <c r="AY776" s="140"/>
      <c r="AZ776" s="140"/>
      <c r="BA776" s="140"/>
      <c r="BB776" s="140"/>
      <c r="BC776" s="140"/>
      <c r="BD776" s="140"/>
      <c r="BE776" s="140"/>
    </row>
    <row r="777">
      <c r="A777" s="108"/>
      <c r="B777" s="107"/>
      <c r="C777" s="107"/>
      <c r="D777" s="107"/>
      <c r="E777" s="107"/>
      <c r="F777" s="107"/>
      <c r="G777" s="208"/>
      <c r="H777" s="131"/>
      <c r="I777" s="211"/>
      <c r="J777" s="107"/>
      <c r="K777" s="202"/>
      <c r="L777" s="107"/>
      <c r="M777" s="107"/>
      <c r="N777" s="206"/>
      <c r="O777" s="108" t="b">
        <v>0</v>
      </c>
      <c r="P777" s="207"/>
      <c r="Q777" s="140"/>
      <c r="R777" s="140"/>
      <c r="S777" s="140"/>
      <c r="T777" s="140"/>
      <c r="U777" s="140"/>
      <c r="V777" s="140"/>
      <c r="W777" s="140"/>
      <c r="X777" s="140"/>
      <c r="Y777" s="140"/>
      <c r="Z777" s="140"/>
      <c r="AA777" s="140"/>
      <c r="AB777" s="140"/>
      <c r="AC777" s="140"/>
      <c r="AD777" s="140"/>
      <c r="AE777" s="140"/>
      <c r="AF777" s="140"/>
      <c r="AG777" s="140"/>
      <c r="AH777" s="140"/>
      <c r="AI777" s="140"/>
      <c r="AJ777" s="140"/>
      <c r="AK777" s="140"/>
      <c r="AL777" s="140"/>
      <c r="AM777" s="140"/>
      <c r="AN777" s="140"/>
      <c r="AO777" s="140"/>
      <c r="AP777" s="140"/>
      <c r="AQ777" s="140"/>
      <c r="AR777" s="140"/>
      <c r="AS777" s="140"/>
      <c r="AT777" s="140"/>
      <c r="AU777" s="140"/>
      <c r="AV777" s="140"/>
      <c r="AW777" s="140"/>
      <c r="AX777" s="140"/>
      <c r="AY777" s="140"/>
      <c r="AZ777" s="140"/>
      <c r="BA777" s="140"/>
      <c r="BB777" s="140"/>
      <c r="BC777" s="140"/>
      <c r="BD777" s="140"/>
      <c r="BE777" s="140"/>
    </row>
    <row r="778">
      <c r="A778" s="108"/>
      <c r="B778" s="107"/>
      <c r="C778" s="107"/>
      <c r="D778" s="107"/>
      <c r="E778" s="107"/>
      <c r="F778" s="107"/>
      <c r="G778" s="208"/>
      <c r="H778" s="131"/>
      <c r="I778" s="211"/>
      <c r="J778" s="107"/>
      <c r="K778" s="202"/>
      <c r="L778" s="107"/>
      <c r="M778" s="107"/>
      <c r="N778" s="206"/>
      <c r="O778" s="108" t="b">
        <v>0</v>
      </c>
      <c r="P778" s="207"/>
      <c r="Q778" s="140"/>
      <c r="R778" s="140"/>
      <c r="S778" s="140"/>
      <c r="T778" s="140"/>
      <c r="U778" s="140"/>
      <c r="V778" s="140"/>
      <c r="W778" s="140"/>
      <c r="X778" s="140"/>
      <c r="Y778" s="140"/>
      <c r="Z778" s="140"/>
      <c r="AA778" s="140"/>
      <c r="AB778" s="140"/>
      <c r="AC778" s="140"/>
      <c r="AD778" s="140"/>
      <c r="AE778" s="140"/>
      <c r="AF778" s="140"/>
      <c r="AG778" s="140"/>
      <c r="AH778" s="140"/>
      <c r="AI778" s="140"/>
      <c r="AJ778" s="140"/>
      <c r="AK778" s="140"/>
      <c r="AL778" s="140"/>
      <c r="AM778" s="140"/>
      <c r="AN778" s="140"/>
      <c r="AO778" s="140"/>
      <c r="AP778" s="140"/>
      <c r="AQ778" s="140"/>
      <c r="AR778" s="140"/>
      <c r="AS778" s="140"/>
      <c r="AT778" s="140"/>
      <c r="AU778" s="140"/>
      <c r="AV778" s="140"/>
      <c r="AW778" s="140"/>
      <c r="AX778" s="140"/>
      <c r="AY778" s="140"/>
      <c r="AZ778" s="140"/>
      <c r="BA778" s="140"/>
      <c r="BB778" s="140"/>
      <c r="BC778" s="140"/>
      <c r="BD778" s="140"/>
      <c r="BE778" s="140"/>
    </row>
    <row r="779">
      <c r="A779" s="108"/>
      <c r="B779" s="107"/>
      <c r="C779" s="107"/>
      <c r="D779" s="107"/>
      <c r="E779" s="107"/>
      <c r="F779" s="107"/>
      <c r="G779" s="208"/>
      <c r="H779" s="131"/>
      <c r="I779" s="211"/>
      <c r="J779" s="107"/>
      <c r="K779" s="202"/>
      <c r="L779" s="107"/>
      <c r="M779" s="107"/>
      <c r="N779" s="206"/>
      <c r="O779" s="108" t="b">
        <v>0</v>
      </c>
      <c r="P779" s="207"/>
      <c r="Q779" s="140"/>
      <c r="R779" s="140"/>
      <c r="S779" s="140"/>
      <c r="T779" s="140"/>
      <c r="U779" s="140"/>
      <c r="V779" s="140"/>
      <c r="W779" s="140"/>
      <c r="X779" s="140"/>
      <c r="Y779" s="140"/>
      <c r="Z779" s="140"/>
      <c r="AA779" s="140"/>
      <c r="AB779" s="140"/>
      <c r="AC779" s="140"/>
      <c r="AD779" s="140"/>
      <c r="AE779" s="140"/>
      <c r="AF779" s="140"/>
      <c r="AG779" s="140"/>
      <c r="AH779" s="140"/>
      <c r="AI779" s="140"/>
      <c r="AJ779" s="140"/>
      <c r="AK779" s="140"/>
      <c r="AL779" s="140"/>
      <c r="AM779" s="140"/>
      <c r="AN779" s="140"/>
      <c r="AO779" s="140"/>
      <c r="AP779" s="140"/>
      <c r="AQ779" s="140"/>
      <c r="AR779" s="140"/>
      <c r="AS779" s="140"/>
      <c r="AT779" s="140"/>
      <c r="AU779" s="140"/>
      <c r="AV779" s="140"/>
      <c r="AW779" s="140"/>
      <c r="AX779" s="140"/>
      <c r="AY779" s="140"/>
      <c r="AZ779" s="140"/>
      <c r="BA779" s="140"/>
      <c r="BB779" s="140"/>
      <c r="BC779" s="140"/>
      <c r="BD779" s="140"/>
      <c r="BE779" s="140"/>
    </row>
    <row r="780">
      <c r="A780" s="108"/>
      <c r="B780" s="107"/>
      <c r="C780" s="107"/>
      <c r="D780" s="107"/>
      <c r="E780" s="107"/>
      <c r="F780" s="107"/>
      <c r="G780" s="208"/>
      <c r="H780" s="131"/>
      <c r="I780" s="211"/>
      <c r="J780" s="107"/>
      <c r="K780" s="202"/>
      <c r="L780" s="107"/>
      <c r="M780" s="107"/>
      <c r="N780" s="206"/>
      <c r="O780" s="108" t="b">
        <v>0</v>
      </c>
      <c r="P780" s="207"/>
      <c r="Q780" s="140"/>
      <c r="R780" s="140"/>
      <c r="S780" s="140"/>
      <c r="T780" s="140"/>
      <c r="U780" s="140"/>
      <c r="V780" s="140"/>
      <c r="W780" s="140"/>
      <c r="X780" s="140"/>
      <c r="Y780" s="140"/>
      <c r="Z780" s="140"/>
      <c r="AA780" s="140"/>
      <c r="AB780" s="140"/>
      <c r="AC780" s="140"/>
      <c r="AD780" s="140"/>
      <c r="AE780" s="140"/>
      <c r="AF780" s="140"/>
      <c r="AG780" s="140"/>
      <c r="AH780" s="140"/>
      <c r="AI780" s="140"/>
      <c r="AJ780" s="140"/>
      <c r="AK780" s="140"/>
      <c r="AL780" s="140"/>
      <c r="AM780" s="140"/>
      <c r="AN780" s="140"/>
      <c r="AO780" s="140"/>
      <c r="AP780" s="140"/>
      <c r="AQ780" s="140"/>
      <c r="AR780" s="140"/>
      <c r="AS780" s="140"/>
      <c r="AT780" s="140"/>
      <c r="AU780" s="140"/>
      <c r="AV780" s="140"/>
      <c r="AW780" s="140"/>
      <c r="AX780" s="140"/>
      <c r="AY780" s="140"/>
      <c r="AZ780" s="140"/>
      <c r="BA780" s="140"/>
      <c r="BB780" s="140"/>
      <c r="BC780" s="140"/>
      <c r="BD780" s="140"/>
      <c r="BE780" s="140"/>
    </row>
    <row r="781">
      <c r="A781" s="108"/>
      <c r="B781" s="107"/>
      <c r="C781" s="107"/>
      <c r="D781" s="107"/>
      <c r="E781" s="107"/>
      <c r="F781" s="107"/>
      <c r="G781" s="208"/>
      <c r="H781" s="131"/>
      <c r="I781" s="211"/>
      <c r="J781" s="107"/>
      <c r="K781" s="202"/>
      <c r="L781" s="107"/>
      <c r="M781" s="107"/>
      <c r="N781" s="206"/>
      <c r="O781" s="108" t="b">
        <v>0</v>
      </c>
      <c r="P781" s="207"/>
      <c r="Q781" s="140"/>
      <c r="R781" s="140"/>
      <c r="S781" s="140"/>
      <c r="T781" s="140"/>
      <c r="U781" s="140"/>
      <c r="V781" s="140"/>
      <c r="W781" s="140"/>
      <c r="X781" s="140"/>
      <c r="Y781" s="140"/>
      <c r="Z781" s="140"/>
      <c r="AA781" s="140"/>
      <c r="AB781" s="140"/>
      <c r="AC781" s="140"/>
      <c r="AD781" s="140"/>
      <c r="AE781" s="140"/>
      <c r="AF781" s="140"/>
      <c r="AG781" s="140"/>
      <c r="AH781" s="140"/>
      <c r="AI781" s="140"/>
      <c r="AJ781" s="140"/>
      <c r="AK781" s="140"/>
      <c r="AL781" s="140"/>
      <c r="AM781" s="140"/>
      <c r="AN781" s="140"/>
      <c r="AO781" s="140"/>
      <c r="AP781" s="140"/>
      <c r="AQ781" s="140"/>
      <c r="AR781" s="140"/>
      <c r="AS781" s="140"/>
      <c r="AT781" s="140"/>
      <c r="AU781" s="140"/>
      <c r="AV781" s="140"/>
      <c r="AW781" s="140"/>
      <c r="AX781" s="140"/>
      <c r="AY781" s="140"/>
      <c r="AZ781" s="140"/>
      <c r="BA781" s="140"/>
      <c r="BB781" s="140"/>
      <c r="BC781" s="140"/>
      <c r="BD781" s="140"/>
      <c r="BE781" s="140"/>
    </row>
    <row r="782">
      <c r="A782" s="108"/>
      <c r="B782" s="107"/>
      <c r="C782" s="107"/>
      <c r="D782" s="107"/>
      <c r="E782" s="107"/>
      <c r="F782" s="107"/>
      <c r="G782" s="208"/>
      <c r="H782" s="131"/>
      <c r="I782" s="211"/>
      <c r="J782" s="107"/>
      <c r="K782" s="202"/>
      <c r="L782" s="107"/>
      <c r="M782" s="107"/>
      <c r="N782" s="206"/>
      <c r="O782" s="108" t="b">
        <v>0</v>
      </c>
      <c r="P782" s="207"/>
      <c r="Q782" s="140"/>
      <c r="R782" s="140"/>
      <c r="S782" s="140"/>
      <c r="T782" s="140"/>
      <c r="U782" s="140"/>
      <c r="V782" s="140"/>
      <c r="W782" s="140"/>
      <c r="X782" s="140"/>
      <c r="Y782" s="140"/>
      <c r="Z782" s="140"/>
      <c r="AA782" s="140"/>
      <c r="AB782" s="140"/>
      <c r="AC782" s="140"/>
      <c r="AD782" s="140"/>
      <c r="AE782" s="140"/>
      <c r="AF782" s="140"/>
      <c r="AG782" s="140"/>
      <c r="AH782" s="140"/>
      <c r="AI782" s="140"/>
      <c r="AJ782" s="140"/>
      <c r="AK782" s="140"/>
      <c r="AL782" s="140"/>
      <c r="AM782" s="140"/>
      <c r="AN782" s="140"/>
      <c r="AO782" s="140"/>
      <c r="AP782" s="140"/>
      <c r="AQ782" s="140"/>
      <c r="AR782" s="140"/>
      <c r="AS782" s="140"/>
      <c r="AT782" s="140"/>
      <c r="AU782" s="140"/>
      <c r="AV782" s="140"/>
      <c r="AW782" s="140"/>
      <c r="AX782" s="140"/>
      <c r="AY782" s="140"/>
      <c r="AZ782" s="140"/>
      <c r="BA782" s="140"/>
      <c r="BB782" s="140"/>
      <c r="BC782" s="140"/>
      <c r="BD782" s="140"/>
      <c r="BE782" s="140"/>
    </row>
    <row r="783">
      <c r="A783" s="108"/>
      <c r="B783" s="107"/>
      <c r="C783" s="107"/>
      <c r="D783" s="107"/>
      <c r="E783" s="107"/>
      <c r="F783" s="107"/>
      <c r="G783" s="208"/>
      <c r="H783" s="131"/>
      <c r="I783" s="211"/>
      <c r="J783" s="107"/>
      <c r="K783" s="202"/>
      <c r="L783" s="107"/>
      <c r="M783" s="107"/>
      <c r="N783" s="206"/>
      <c r="O783" s="108" t="b">
        <v>0</v>
      </c>
      <c r="P783" s="207"/>
      <c r="Q783" s="140"/>
      <c r="R783" s="140"/>
      <c r="S783" s="140"/>
      <c r="T783" s="140"/>
      <c r="U783" s="140"/>
      <c r="V783" s="140"/>
      <c r="W783" s="140"/>
      <c r="X783" s="140"/>
      <c r="Y783" s="140"/>
      <c r="Z783" s="140"/>
      <c r="AA783" s="140"/>
      <c r="AB783" s="140"/>
      <c r="AC783" s="140"/>
      <c r="AD783" s="140"/>
      <c r="AE783" s="140"/>
      <c r="AF783" s="140"/>
      <c r="AG783" s="140"/>
      <c r="AH783" s="140"/>
      <c r="AI783" s="140"/>
      <c r="AJ783" s="140"/>
      <c r="AK783" s="140"/>
      <c r="AL783" s="140"/>
      <c r="AM783" s="140"/>
      <c r="AN783" s="140"/>
      <c r="AO783" s="140"/>
      <c r="AP783" s="140"/>
      <c r="AQ783" s="140"/>
      <c r="AR783" s="140"/>
      <c r="AS783" s="140"/>
      <c r="AT783" s="140"/>
      <c r="AU783" s="140"/>
      <c r="AV783" s="140"/>
      <c r="AW783" s="140"/>
      <c r="AX783" s="140"/>
      <c r="AY783" s="140"/>
      <c r="AZ783" s="140"/>
      <c r="BA783" s="140"/>
      <c r="BB783" s="140"/>
      <c r="BC783" s="140"/>
      <c r="BD783" s="140"/>
      <c r="BE783" s="140"/>
    </row>
    <row r="784">
      <c r="A784" s="108"/>
      <c r="B784" s="107"/>
      <c r="C784" s="107"/>
      <c r="D784" s="107"/>
      <c r="E784" s="107"/>
      <c r="F784" s="107"/>
      <c r="G784" s="208"/>
      <c r="H784" s="131"/>
      <c r="I784" s="211"/>
      <c r="J784" s="107"/>
      <c r="K784" s="202"/>
      <c r="L784" s="107"/>
      <c r="M784" s="107"/>
      <c r="N784" s="206"/>
      <c r="O784" s="108" t="b">
        <v>0</v>
      </c>
      <c r="P784" s="207"/>
      <c r="Q784" s="140"/>
      <c r="R784" s="140"/>
      <c r="S784" s="140"/>
      <c r="T784" s="140"/>
      <c r="U784" s="140"/>
      <c r="V784" s="140"/>
      <c r="W784" s="140"/>
      <c r="X784" s="140"/>
      <c r="Y784" s="140"/>
      <c r="Z784" s="140"/>
      <c r="AA784" s="140"/>
      <c r="AB784" s="140"/>
      <c r="AC784" s="140"/>
      <c r="AD784" s="140"/>
      <c r="AE784" s="140"/>
      <c r="AF784" s="140"/>
      <c r="AG784" s="140"/>
      <c r="AH784" s="140"/>
      <c r="AI784" s="140"/>
      <c r="AJ784" s="140"/>
      <c r="AK784" s="140"/>
      <c r="AL784" s="140"/>
      <c r="AM784" s="140"/>
      <c r="AN784" s="140"/>
      <c r="AO784" s="140"/>
      <c r="AP784" s="140"/>
      <c r="AQ784" s="140"/>
      <c r="AR784" s="140"/>
      <c r="AS784" s="140"/>
      <c r="AT784" s="140"/>
      <c r="AU784" s="140"/>
      <c r="AV784" s="140"/>
      <c r="AW784" s="140"/>
      <c r="AX784" s="140"/>
      <c r="AY784" s="140"/>
      <c r="AZ784" s="140"/>
      <c r="BA784" s="140"/>
      <c r="BB784" s="140"/>
      <c r="BC784" s="140"/>
      <c r="BD784" s="140"/>
      <c r="BE784" s="140"/>
    </row>
    <row r="785">
      <c r="A785" s="108"/>
      <c r="B785" s="107"/>
      <c r="C785" s="107"/>
      <c r="D785" s="107"/>
      <c r="E785" s="107"/>
      <c r="F785" s="107"/>
      <c r="G785" s="208"/>
      <c r="H785" s="131"/>
      <c r="I785" s="211"/>
      <c r="J785" s="107"/>
      <c r="K785" s="202"/>
      <c r="L785" s="107"/>
      <c r="M785" s="107"/>
      <c r="N785" s="206"/>
      <c r="O785" s="108" t="b">
        <v>0</v>
      </c>
      <c r="P785" s="207"/>
      <c r="Q785" s="140"/>
      <c r="R785" s="140"/>
      <c r="S785" s="140"/>
      <c r="T785" s="140"/>
      <c r="U785" s="140"/>
      <c r="V785" s="140"/>
      <c r="W785" s="140"/>
      <c r="X785" s="140"/>
      <c r="Y785" s="140"/>
      <c r="Z785" s="140"/>
      <c r="AA785" s="140"/>
      <c r="AB785" s="140"/>
      <c r="AC785" s="140"/>
      <c r="AD785" s="140"/>
      <c r="AE785" s="140"/>
      <c r="AF785" s="140"/>
      <c r="AG785" s="140"/>
      <c r="AH785" s="140"/>
      <c r="AI785" s="140"/>
      <c r="AJ785" s="140"/>
      <c r="AK785" s="140"/>
      <c r="AL785" s="140"/>
      <c r="AM785" s="140"/>
      <c r="AN785" s="140"/>
      <c r="AO785" s="140"/>
      <c r="AP785" s="140"/>
      <c r="AQ785" s="140"/>
      <c r="AR785" s="140"/>
      <c r="AS785" s="140"/>
      <c r="AT785" s="140"/>
      <c r="AU785" s="140"/>
      <c r="AV785" s="140"/>
      <c r="AW785" s="140"/>
      <c r="AX785" s="140"/>
      <c r="AY785" s="140"/>
      <c r="AZ785" s="140"/>
      <c r="BA785" s="140"/>
      <c r="BB785" s="140"/>
      <c r="BC785" s="140"/>
      <c r="BD785" s="140"/>
      <c r="BE785" s="140"/>
    </row>
    <row r="786">
      <c r="A786" s="108"/>
      <c r="B786" s="107"/>
      <c r="C786" s="107"/>
      <c r="D786" s="107"/>
      <c r="E786" s="107"/>
      <c r="F786" s="107"/>
      <c r="G786" s="208"/>
      <c r="H786" s="131"/>
      <c r="I786" s="211"/>
      <c r="J786" s="107"/>
      <c r="K786" s="202"/>
      <c r="L786" s="107"/>
      <c r="M786" s="107"/>
      <c r="N786" s="206"/>
      <c r="O786" s="108" t="b">
        <v>0</v>
      </c>
      <c r="P786" s="207"/>
      <c r="Q786" s="140"/>
      <c r="R786" s="140"/>
      <c r="S786" s="140"/>
      <c r="T786" s="140"/>
      <c r="U786" s="140"/>
      <c r="V786" s="140"/>
      <c r="W786" s="140"/>
      <c r="X786" s="140"/>
      <c r="Y786" s="140"/>
      <c r="Z786" s="140"/>
      <c r="AA786" s="140"/>
      <c r="AB786" s="140"/>
      <c r="AC786" s="140"/>
      <c r="AD786" s="140"/>
      <c r="AE786" s="140"/>
      <c r="AF786" s="140"/>
      <c r="AG786" s="140"/>
      <c r="AH786" s="140"/>
      <c r="AI786" s="140"/>
      <c r="AJ786" s="140"/>
      <c r="AK786" s="140"/>
      <c r="AL786" s="140"/>
      <c r="AM786" s="140"/>
      <c r="AN786" s="140"/>
      <c r="AO786" s="140"/>
      <c r="AP786" s="140"/>
      <c r="AQ786" s="140"/>
      <c r="AR786" s="140"/>
      <c r="AS786" s="140"/>
      <c r="AT786" s="140"/>
      <c r="AU786" s="140"/>
      <c r="AV786" s="140"/>
      <c r="AW786" s="140"/>
      <c r="AX786" s="140"/>
      <c r="AY786" s="140"/>
      <c r="AZ786" s="140"/>
      <c r="BA786" s="140"/>
      <c r="BB786" s="140"/>
      <c r="BC786" s="140"/>
      <c r="BD786" s="140"/>
      <c r="BE786" s="140"/>
    </row>
    <row r="787">
      <c r="A787" s="108"/>
      <c r="B787" s="107"/>
      <c r="C787" s="107"/>
      <c r="D787" s="107"/>
      <c r="E787" s="107"/>
      <c r="F787" s="107"/>
      <c r="G787" s="208"/>
      <c r="H787" s="131"/>
      <c r="I787" s="211"/>
      <c r="J787" s="107"/>
      <c r="K787" s="202"/>
      <c r="L787" s="107"/>
      <c r="M787" s="107"/>
      <c r="N787" s="206"/>
      <c r="O787" s="108" t="b">
        <v>0</v>
      </c>
      <c r="P787" s="207"/>
      <c r="Q787" s="140"/>
      <c r="R787" s="140"/>
      <c r="S787" s="140"/>
      <c r="T787" s="140"/>
      <c r="U787" s="140"/>
      <c r="V787" s="140"/>
      <c r="W787" s="140"/>
      <c r="X787" s="140"/>
      <c r="Y787" s="140"/>
      <c r="Z787" s="140"/>
      <c r="AA787" s="140"/>
      <c r="AB787" s="140"/>
      <c r="AC787" s="140"/>
      <c r="AD787" s="140"/>
      <c r="AE787" s="140"/>
      <c r="AF787" s="140"/>
      <c r="AG787" s="140"/>
      <c r="AH787" s="140"/>
      <c r="AI787" s="140"/>
      <c r="AJ787" s="140"/>
      <c r="AK787" s="140"/>
      <c r="AL787" s="140"/>
      <c r="AM787" s="140"/>
      <c r="AN787" s="140"/>
      <c r="AO787" s="140"/>
      <c r="AP787" s="140"/>
      <c r="AQ787" s="140"/>
      <c r="AR787" s="140"/>
      <c r="AS787" s="140"/>
      <c r="AT787" s="140"/>
      <c r="AU787" s="140"/>
      <c r="AV787" s="140"/>
      <c r="AW787" s="140"/>
      <c r="AX787" s="140"/>
      <c r="AY787" s="140"/>
      <c r="AZ787" s="140"/>
      <c r="BA787" s="140"/>
      <c r="BB787" s="140"/>
      <c r="BC787" s="140"/>
      <c r="BD787" s="140"/>
      <c r="BE787" s="140"/>
    </row>
    <row r="788">
      <c r="A788" s="108"/>
      <c r="B788" s="107"/>
      <c r="C788" s="107"/>
      <c r="D788" s="107"/>
      <c r="E788" s="107"/>
      <c r="F788" s="107"/>
      <c r="G788" s="208"/>
      <c r="H788" s="131"/>
      <c r="I788" s="211"/>
      <c r="J788" s="107"/>
      <c r="K788" s="202"/>
      <c r="L788" s="107"/>
      <c r="M788" s="107"/>
      <c r="N788" s="206"/>
      <c r="O788" s="108" t="b">
        <v>0</v>
      </c>
      <c r="P788" s="207"/>
      <c r="Q788" s="140"/>
      <c r="R788" s="140"/>
      <c r="S788" s="140"/>
      <c r="T788" s="140"/>
      <c r="U788" s="140"/>
      <c r="V788" s="140"/>
      <c r="W788" s="140"/>
      <c r="X788" s="140"/>
      <c r="Y788" s="140"/>
      <c r="Z788" s="140"/>
      <c r="AA788" s="140"/>
      <c r="AB788" s="140"/>
      <c r="AC788" s="140"/>
      <c r="AD788" s="140"/>
      <c r="AE788" s="140"/>
      <c r="AF788" s="140"/>
      <c r="AG788" s="140"/>
      <c r="AH788" s="140"/>
      <c r="AI788" s="140"/>
      <c r="AJ788" s="140"/>
      <c r="AK788" s="140"/>
      <c r="AL788" s="140"/>
      <c r="AM788" s="140"/>
      <c r="AN788" s="140"/>
      <c r="AO788" s="140"/>
      <c r="AP788" s="140"/>
      <c r="AQ788" s="140"/>
      <c r="AR788" s="140"/>
      <c r="AS788" s="140"/>
      <c r="AT788" s="140"/>
      <c r="AU788" s="140"/>
      <c r="AV788" s="140"/>
      <c r="AW788" s="140"/>
      <c r="AX788" s="140"/>
      <c r="AY788" s="140"/>
      <c r="AZ788" s="140"/>
      <c r="BA788" s="140"/>
      <c r="BB788" s="140"/>
      <c r="BC788" s="140"/>
      <c r="BD788" s="140"/>
      <c r="BE788" s="140"/>
    </row>
    <row r="789">
      <c r="A789" s="108"/>
      <c r="B789" s="107"/>
      <c r="C789" s="107"/>
      <c r="D789" s="107"/>
      <c r="E789" s="107"/>
      <c r="F789" s="107"/>
      <c r="G789" s="208"/>
      <c r="H789" s="131"/>
      <c r="I789" s="211"/>
      <c r="J789" s="107"/>
      <c r="K789" s="202"/>
      <c r="L789" s="107"/>
      <c r="M789" s="107"/>
      <c r="N789" s="206"/>
      <c r="O789" s="108" t="b">
        <v>0</v>
      </c>
      <c r="P789" s="207"/>
      <c r="Q789" s="140"/>
      <c r="R789" s="140"/>
      <c r="S789" s="140"/>
      <c r="T789" s="140"/>
      <c r="U789" s="140"/>
      <c r="V789" s="140"/>
      <c r="W789" s="140"/>
      <c r="X789" s="140"/>
      <c r="Y789" s="140"/>
      <c r="Z789" s="140"/>
      <c r="AA789" s="140"/>
      <c r="AB789" s="140"/>
      <c r="AC789" s="140"/>
      <c r="AD789" s="140"/>
      <c r="AE789" s="140"/>
      <c r="AF789" s="140"/>
      <c r="AG789" s="140"/>
      <c r="AH789" s="140"/>
      <c r="AI789" s="140"/>
      <c r="AJ789" s="140"/>
      <c r="AK789" s="140"/>
      <c r="AL789" s="140"/>
      <c r="AM789" s="140"/>
      <c r="AN789" s="140"/>
      <c r="AO789" s="140"/>
      <c r="AP789" s="140"/>
      <c r="AQ789" s="140"/>
      <c r="AR789" s="140"/>
      <c r="AS789" s="140"/>
      <c r="AT789" s="140"/>
      <c r="AU789" s="140"/>
      <c r="AV789" s="140"/>
      <c r="AW789" s="140"/>
      <c r="AX789" s="140"/>
      <c r="AY789" s="140"/>
      <c r="AZ789" s="140"/>
      <c r="BA789" s="140"/>
      <c r="BB789" s="140"/>
      <c r="BC789" s="140"/>
      <c r="BD789" s="140"/>
      <c r="BE789" s="140"/>
    </row>
    <row r="790">
      <c r="A790" s="108"/>
      <c r="B790" s="107"/>
      <c r="C790" s="107"/>
      <c r="D790" s="107"/>
      <c r="E790" s="107"/>
      <c r="F790" s="107"/>
      <c r="G790" s="208"/>
      <c r="H790" s="131"/>
      <c r="I790" s="211"/>
      <c r="J790" s="107"/>
      <c r="K790" s="202"/>
      <c r="L790" s="107"/>
      <c r="M790" s="107"/>
      <c r="N790" s="206"/>
      <c r="O790" s="108" t="b">
        <v>0</v>
      </c>
      <c r="P790" s="207"/>
      <c r="Q790" s="140"/>
      <c r="R790" s="140"/>
      <c r="S790" s="140"/>
      <c r="T790" s="140"/>
      <c r="U790" s="140"/>
      <c r="V790" s="140"/>
      <c r="W790" s="140"/>
      <c r="X790" s="140"/>
      <c r="Y790" s="140"/>
      <c r="Z790" s="140"/>
      <c r="AA790" s="140"/>
      <c r="AB790" s="140"/>
      <c r="AC790" s="140"/>
      <c r="AD790" s="140"/>
      <c r="AE790" s="140"/>
      <c r="AF790" s="140"/>
      <c r="AG790" s="140"/>
      <c r="AH790" s="140"/>
      <c r="AI790" s="140"/>
      <c r="AJ790" s="140"/>
      <c r="AK790" s="140"/>
      <c r="AL790" s="140"/>
      <c r="AM790" s="140"/>
      <c r="AN790" s="140"/>
      <c r="AO790" s="140"/>
      <c r="AP790" s="140"/>
      <c r="AQ790" s="140"/>
      <c r="AR790" s="140"/>
      <c r="AS790" s="140"/>
      <c r="AT790" s="140"/>
      <c r="AU790" s="140"/>
      <c r="AV790" s="140"/>
      <c r="AW790" s="140"/>
      <c r="AX790" s="140"/>
      <c r="AY790" s="140"/>
      <c r="AZ790" s="140"/>
      <c r="BA790" s="140"/>
      <c r="BB790" s="140"/>
      <c r="BC790" s="140"/>
      <c r="BD790" s="140"/>
      <c r="BE790" s="140"/>
    </row>
    <row r="791">
      <c r="A791" s="108"/>
      <c r="B791" s="107"/>
      <c r="C791" s="107"/>
      <c r="D791" s="107"/>
      <c r="E791" s="107"/>
      <c r="F791" s="107"/>
      <c r="G791" s="208"/>
      <c r="H791" s="131"/>
      <c r="I791" s="211"/>
      <c r="J791" s="107"/>
      <c r="K791" s="202"/>
      <c r="L791" s="107"/>
      <c r="M791" s="107"/>
      <c r="N791" s="206"/>
      <c r="O791" s="108" t="b">
        <v>0</v>
      </c>
      <c r="P791" s="207"/>
      <c r="Q791" s="140"/>
      <c r="R791" s="140"/>
      <c r="S791" s="140"/>
      <c r="T791" s="140"/>
      <c r="U791" s="140"/>
      <c r="V791" s="140"/>
      <c r="W791" s="140"/>
      <c r="X791" s="140"/>
      <c r="Y791" s="140"/>
      <c r="Z791" s="140"/>
      <c r="AA791" s="140"/>
      <c r="AB791" s="140"/>
      <c r="AC791" s="140"/>
      <c r="AD791" s="140"/>
      <c r="AE791" s="140"/>
      <c r="AF791" s="140"/>
      <c r="AG791" s="140"/>
      <c r="AH791" s="140"/>
      <c r="AI791" s="140"/>
      <c r="AJ791" s="140"/>
      <c r="AK791" s="140"/>
      <c r="AL791" s="140"/>
      <c r="AM791" s="140"/>
      <c r="AN791" s="140"/>
      <c r="AO791" s="140"/>
      <c r="AP791" s="140"/>
      <c r="AQ791" s="140"/>
      <c r="AR791" s="140"/>
      <c r="AS791" s="140"/>
      <c r="AT791" s="140"/>
      <c r="AU791" s="140"/>
      <c r="AV791" s="140"/>
      <c r="AW791" s="140"/>
      <c r="AX791" s="140"/>
      <c r="AY791" s="140"/>
      <c r="AZ791" s="140"/>
      <c r="BA791" s="140"/>
      <c r="BB791" s="140"/>
      <c r="BC791" s="140"/>
      <c r="BD791" s="140"/>
      <c r="BE791" s="140"/>
    </row>
    <row r="792">
      <c r="A792" s="108"/>
      <c r="B792" s="107"/>
      <c r="C792" s="107"/>
      <c r="D792" s="107"/>
      <c r="E792" s="107"/>
      <c r="F792" s="107"/>
      <c r="G792" s="208"/>
      <c r="H792" s="131"/>
      <c r="I792" s="211"/>
      <c r="J792" s="107"/>
      <c r="K792" s="202"/>
      <c r="L792" s="107"/>
      <c r="M792" s="107"/>
      <c r="N792" s="206"/>
      <c r="O792" s="108" t="b">
        <v>0</v>
      </c>
      <c r="P792" s="207"/>
      <c r="Q792" s="140"/>
      <c r="R792" s="140"/>
      <c r="S792" s="140"/>
      <c r="T792" s="140"/>
      <c r="U792" s="140"/>
      <c r="V792" s="140"/>
      <c r="W792" s="140"/>
      <c r="X792" s="140"/>
      <c r="Y792" s="140"/>
      <c r="Z792" s="140"/>
      <c r="AA792" s="140"/>
      <c r="AB792" s="140"/>
      <c r="AC792" s="140"/>
      <c r="AD792" s="140"/>
      <c r="AE792" s="140"/>
      <c r="AF792" s="140"/>
      <c r="AG792" s="140"/>
      <c r="AH792" s="140"/>
      <c r="AI792" s="140"/>
      <c r="AJ792" s="140"/>
      <c r="AK792" s="140"/>
      <c r="AL792" s="140"/>
      <c r="AM792" s="140"/>
      <c r="AN792" s="140"/>
      <c r="AO792" s="140"/>
      <c r="AP792" s="140"/>
      <c r="AQ792" s="140"/>
      <c r="AR792" s="140"/>
      <c r="AS792" s="140"/>
      <c r="AT792" s="140"/>
      <c r="AU792" s="140"/>
      <c r="AV792" s="140"/>
      <c r="AW792" s="140"/>
      <c r="AX792" s="140"/>
      <c r="AY792" s="140"/>
      <c r="AZ792" s="140"/>
      <c r="BA792" s="140"/>
      <c r="BB792" s="140"/>
      <c r="BC792" s="140"/>
      <c r="BD792" s="140"/>
      <c r="BE792" s="140"/>
    </row>
    <row r="793">
      <c r="A793" s="108"/>
      <c r="B793" s="107"/>
      <c r="C793" s="107"/>
      <c r="D793" s="107"/>
      <c r="E793" s="107"/>
      <c r="F793" s="107"/>
      <c r="G793" s="208"/>
      <c r="H793" s="131"/>
      <c r="I793" s="211"/>
      <c r="J793" s="107"/>
      <c r="K793" s="202"/>
      <c r="L793" s="107"/>
      <c r="M793" s="107"/>
      <c r="N793" s="206"/>
      <c r="O793" s="108" t="b">
        <v>0</v>
      </c>
      <c r="P793" s="207"/>
      <c r="Q793" s="140"/>
      <c r="R793" s="140"/>
      <c r="S793" s="140"/>
      <c r="T793" s="140"/>
      <c r="U793" s="140"/>
      <c r="V793" s="140"/>
      <c r="W793" s="140"/>
      <c r="X793" s="140"/>
      <c r="Y793" s="140"/>
      <c r="Z793" s="140"/>
      <c r="AA793" s="140"/>
      <c r="AB793" s="140"/>
      <c r="AC793" s="140"/>
      <c r="AD793" s="140"/>
      <c r="AE793" s="140"/>
      <c r="AF793" s="140"/>
      <c r="AG793" s="140"/>
      <c r="AH793" s="140"/>
      <c r="AI793" s="140"/>
      <c r="AJ793" s="140"/>
      <c r="AK793" s="140"/>
      <c r="AL793" s="140"/>
      <c r="AM793" s="140"/>
      <c r="AN793" s="140"/>
      <c r="AO793" s="140"/>
      <c r="AP793" s="140"/>
      <c r="AQ793" s="140"/>
      <c r="AR793" s="140"/>
      <c r="AS793" s="140"/>
      <c r="AT793" s="140"/>
      <c r="AU793" s="140"/>
      <c r="AV793" s="140"/>
      <c r="AW793" s="140"/>
      <c r="AX793" s="140"/>
      <c r="AY793" s="140"/>
      <c r="AZ793" s="140"/>
      <c r="BA793" s="140"/>
      <c r="BB793" s="140"/>
      <c r="BC793" s="140"/>
      <c r="BD793" s="140"/>
      <c r="BE793" s="140"/>
    </row>
    <row r="794">
      <c r="A794" s="108"/>
      <c r="B794" s="107"/>
      <c r="C794" s="107"/>
      <c r="D794" s="107"/>
      <c r="E794" s="107"/>
      <c r="F794" s="107"/>
      <c r="G794" s="208"/>
      <c r="H794" s="131"/>
      <c r="I794" s="211"/>
      <c r="J794" s="107"/>
      <c r="K794" s="202"/>
      <c r="L794" s="107"/>
      <c r="M794" s="107"/>
      <c r="N794" s="206"/>
      <c r="O794" s="108" t="b">
        <v>0</v>
      </c>
      <c r="P794" s="207"/>
      <c r="Q794" s="140"/>
      <c r="R794" s="140"/>
      <c r="S794" s="140"/>
      <c r="T794" s="140"/>
      <c r="U794" s="140"/>
      <c r="V794" s="140"/>
      <c r="W794" s="140"/>
      <c r="X794" s="140"/>
      <c r="Y794" s="140"/>
      <c r="Z794" s="140"/>
      <c r="AA794" s="140"/>
      <c r="AB794" s="140"/>
      <c r="AC794" s="140"/>
      <c r="AD794" s="140"/>
      <c r="AE794" s="140"/>
      <c r="AF794" s="140"/>
      <c r="AG794" s="140"/>
      <c r="AH794" s="140"/>
      <c r="AI794" s="140"/>
      <c r="AJ794" s="140"/>
      <c r="AK794" s="140"/>
      <c r="AL794" s="140"/>
      <c r="AM794" s="140"/>
      <c r="AN794" s="140"/>
      <c r="AO794" s="140"/>
      <c r="AP794" s="140"/>
      <c r="AQ794" s="140"/>
      <c r="AR794" s="140"/>
      <c r="AS794" s="140"/>
      <c r="AT794" s="140"/>
      <c r="AU794" s="140"/>
      <c r="AV794" s="140"/>
      <c r="AW794" s="140"/>
      <c r="AX794" s="140"/>
      <c r="AY794" s="140"/>
      <c r="AZ794" s="140"/>
      <c r="BA794" s="140"/>
      <c r="BB794" s="140"/>
      <c r="BC794" s="140"/>
      <c r="BD794" s="140"/>
      <c r="BE794" s="140"/>
    </row>
    <row r="795">
      <c r="A795" s="108"/>
      <c r="B795" s="107"/>
      <c r="C795" s="107"/>
      <c r="D795" s="107"/>
      <c r="E795" s="107"/>
      <c r="F795" s="107"/>
      <c r="G795" s="208"/>
      <c r="H795" s="131"/>
      <c r="I795" s="211"/>
      <c r="J795" s="107"/>
      <c r="K795" s="202"/>
      <c r="L795" s="107"/>
      <c r="M795" s="107"/>
      <c r="N795" s="206"/>
      <c r="O795" s="108" t="b">
        <v>0</v>
      </c>
      <c r="P795" s="207"/>
      <c r="Q795" s="140"/>
      <c r="R795" s="140"/>
      <c r="S795" s="140"/>
      <c r="T795" s="140"/>
      <c r="U795" s="140"/>
      <c r="V795" s="140"/>
      <c r="W795" s="140"/>
      <c r="X795" s="140"/>
      <c r="Y795" s="140"/>
      <c r="Z795" s="140"/>
      <c r="AA795" s="140"/>
      <c r="AB795" s="140"/>
      <c r="AC795" s="140"/>
      <c r="AD795" s="140"/>
      <c r="AE795" s="140"/>
      <c r="AF795" s="140"/>
      <c r="AG795" s="140"/>
      <c r="AH795" s="140"/>
      <c r="AI795" s="140"/>
      <c r="AJ795" s="140"/>
      <c r="AK795" s="140"/>
      <c r="AL795" s="140"/>
      <c r="AM795" s="140"/>
      <c r="AN795" s="140"/>
      <c r="AO795" s="140"/>
      <c r="AP795" s="140"/>
      <c r="AQ795" s="140"/>
      <c r="AR795" s="140"/>
      <c r="AS795" s="140"/>
      <c r="AT795" s="140"/>
      <c r="AU795" s="140"/>
      <c r="AV795" s="140"/>
      <c r="AW795" s="140"/>
      <c r="AX795" s="140"/>
      <c r="AY795" s="140"/>
      <c r="AZ795" s="140"/>
      <c r="BA795" s="140"/>
      <c r="BB795" s="140"/>
      <c r="BC795" s="140"/>
      <c r="BD795" s="140"/>
      <c r="BE795" s="140"/>
    </row>
    <row r="796">
      <c r="A796" s="108"/>
      <c r="B796" s="107"/>
      <c r="C796" s="107"/>
      <c r="D796" s="107"/>
      <c r="E796" s="107"/>
      <c r="F796" s="107"/>
      <c r="G796" s="208"/>
      <c r="H796" s="131"/>
      <c r="I796" s="211"/>
      <c r="J796" s="107"/>
      <c r="K796" s="202"/>
      <c r="L796" s="107"/>
      <c r="M796" s="107"/>
      <c r="N796" s="206"/>
      <c r="O796" s="108" t="b">
        <v>0</v>
      </c>
      <c r="P796" s="207"/>
      <c r="Q796" s="140"/>
      <c r="R796" s="140"/>
      <c r="S796" s="140"/>
      <c r="T796" s="140"/>
      <c r="U796" s="140"/>
      <c r="V796" s="140"/>
      <c r="W796" s="140"/>
      <c r="X796" s="140"/>
      <c r="Y796" s="140"/>
      <c r="Z796" s="140"/>
      <c r="AA796" s="140"/>
      <c r="AB796" s="140"/>
      <c r="AC796" s="140"/>
      <c r="AD796" s="140"/>
      <c r="AE796" s="140"/>
      <c r="AF796" s="140"/>
      <c r="AG796" s="140"/>
      <c r="AH796" s="140"/>
      <c r="AI796" s="140"/>
      <c r="AJ796" s="140"/>
      <c r="AK796" s="140"/>
      <c r="AL796" s="140"/>
      <c r="AM796" s="140"/>
      <c r="AN796" s="140"/>
      <c r="AO796" s="140"/>
      <c r="AP796" s="140"/>
      <c r="AQ796" s="140"/>
      <c r="AR796" s="140"/>
      <c r="AS796" s="140"/>
      <c r="AT796" s="140"/>
      <c r="AU796" s="140"/>
      <c r="AV796" s="140"/>
      <c r="AW796" s="140"/>
      <c r="AX796" s="140"/>
      <c r="AY796" s="140"/>
      <c r="AZ796" s="140"/>
      <c r="BA796" s="140"/>
      <c r="BB796" s="140"/>
      <c r="BC796" s="140"/>
      <c r="BD796" s="140"/>
      <c r="BE796" s="140"/>
    </row>
    <row r="797">
      <c r="A797" s="108"/>
      <c r="B797" s="107"/>
      <c r="C797" s="107"/>
      <c r="D797" s="107"/>
      <c r="E797" s="107"/>
      <c r="F797" s="107"/>
      <c r="G797" s="208"/>
      <c r="H797" s="131"/>
      <c r="I797" s="211"/>
      <c r="J797" s="107"/>
      <c r="K797" s="202"/>
      <c r="L797" s="107"/>
      <c r="M797" s="107"/>
      <c r="N797" s="206"/>
      <c r="O797" s="108" t="b">
        <v>0</v>
      </c>
      <c r="P797" s="207"/>
      <c r="Q797" s="140"/>
      <c r="R797" s="140"/>
      <c r="S797" s="140"/>
      <c r="T797" s="140"/>
      <c r="U797" s="140"/>
      <c r="V797" s="140"/>
      <c r="W797" s="140"/>
      <c r="X797" s="140"/>
      <c r="Y797" s="140"/>
      <c r="Z797" s="140"/>
      <c r="AA797" s="140"/>
      <c r="AB797" s="140"/>
      <c r="AC797" s="140"/>
      <c r="AD797" s="140"/>
      <c r="AE797" s="140"/>
      <c r="AF797" s="140"/>
      <c r="AG797" s="140"/>
      <c r="AH797" s="140"/>
      <c r="AI797" s="140"/>
      <c r="AJ797" s="140"/>
      <c r="AK797" s="140"/>
      <c r="AL797" s="140"/>
      <c r="AM797" s="140"/>
      <c r="AN797" s="140"/>
      <c r="AO797" s="140"/>
      <c r="AP797" s="140"/>
      <c r="AQ797" s="140"/>
      <c r="AR797" s="140"/>
      <c r="AS797" s="140"/>
      <c r="AT797" s="140"/>
      <c r="AU797" s="140"/>
      <c r="AV797" s="140"/>
      <c r="AW797" s="140"/>
      <c r="AX797" s="140"/>
      <c r="AY797" s="140"/>
      <c r="AZ797" s="140"/>
      <c r="BA797" s="140"/>
      <c r="BB797" s="140"/>
      <c r="BC797" s="140"/>
      <c r="BD797" s="140"/>
      <c r="BE797" s="140"/>
    </row>
    <row r="798">
      <c r="A798" s="108"/>
      <c r="B798" s="107"/>
      <c r="C798" s="107"/>
      <c r="D798" s="107"/>
      <c r="E798" s="107"/>
      <c r="F798" s="107"/>
      <c r="G798" s="208"/>
      <c r="H798" s="131"/>
      <c r="I798" s="211"/>
      <c r="J798" s="107"/>
      <c r="K798" s="202"/>
      <c r="L798" s="107"/>
      <c r="M798" s="107"/>
      <c r="N798" s="206"/>
      <c r="O798" s="108" t="b">
        <v>0</v>
      </c>
      <c r="P798" s="207"/>
      <c r="Q798" s="140"/>
      <c r="R798" s="140"/>
      <c r="S798" s="140"/>
      <c r="T798" s="140"/>
      <c r="U798" s="140"/>
      <c r="V798" s="140"/>
      <c r="W798" s="140"/>
      <c r="X798" s="140"/>
      <c r="Y798" s="140"/>
      <c r="Z798" s="140"/>
      <c r="AA798" s="140"/>
      <c r="AB798" s="140"/>
      <c r="AC798" s="140"/>
      <c r="AD798" s="140"/>
      <c r="AE798" s="140"/>
      <c r="AF798" s="140"/>
      <c r="AG798" s="140"/>
      <c r="AH798" s="140"/>
      <c r="AI798" s="140"/>
      <c r="AJ798" s="140"/>
      <c r="AK798" s="140"/>
      <c r="AL798" s="140"/>
      <c r="AM798" s="140"/>
      <c r="AN798" s="140"/>
      <c r="AO798" s="140"/>
      <c r="AP798" s="140"/>
      <c r="AQ798" s="140"/>
      <c r="AR798" s="140"/>
      <c r="AS798" s="140"/>
      <c r="AT798" s="140"/>
      <c r="AU798" s="140"/>
      <c r="AV798" s="140"/>
      <c r="AW798" s="140"/>
      <c r="AX798" s="140"/>
      <c r="AY798" s="140"/>
      <c r="AZ798" s="140"/>
      <c r="BA798" s="140"/>
      <c r="BB798" s="140"/>
      <c r="BC798" s="140"/>
      <c r="BD798" s="140"/>
      <c r="BE798" s="140"/>
    </row>
    <row r="799">
      <c r="A799" s="108"/>
      <c r="B799" s="107"/>
      <c r="C799" s="107"/>
      <c r="D799" s="107"/>
      <c r="E799" s="107"/>
      <c r="F799" s="107"/>
      <c r="G799" s="208"/>
      <c r="H799" s="131"/>
      <c r="I799" s="211"/>
      <c r="J799" s="107"/>
      <c r="K799" s="202"/>
      <c r="L799" s="107"/>
      <c r="M799" s="107"/>
      <c r="N799" s="206"/>
      <c r="O799" s="108" t="b">
        <v>0</v>
      </c>
      <c r="P799" s="207"/>
      <c r="Q799" s="140"/>
      <c r="R799" s="140"/>
      <c r="S799" s="140"/>
      <c r="T799" s="140"/>
      <c r="U799" s="140"/>
      <c r="V799" s="140"/>
      <c r="W799" s="140"/>
      <c r="X799" s="140"/>
      <c r="Y799" s="140"/>
      <c r="Z799" s="140"/>
      <c r="AA799" s="140"/>
      <c r="AB799" s="140"/>
      <c r="AC799" s="140"/>
      <c r="AD799" s="140"/>
      <c r="AE799" s="140"/>
      <c r="AF799" s="140"/>
      <c r="AG799" s="140"/>
      <c r="AH799" s="140"/>
      <c r="AI799" s="140"/>
      <c r="AJ799" s="140"/>
      <c r="AK799" s="140"/>
      <c r="AL799" s="140"/>
      <c r="AM799" s="140"/>
      <c r="AN799" s="140"/>
      <c r="AO799" s="140"/>
      <c r="AP799" s="140"/>
      <c r="AQ799" s="140"/>
      <c r="AR799" s="140"/>
      <c r="AS799" s="140"/>
      <c r="AT799" s="140"/>
      <c r="AU799" s="140"/>
      <c r="AV799" s="140"/>
      <c r="AW799" s="140"/>
      <c r="AX799" s="140"/>
      <c r="AY799" s="140"/>
      <c r="AZ799" s="140"/>
      <c r="BA799" s="140"/>
      <c r="BB799" s="140"/>
      <c r="BC799" s="140"/>
      <c r="BD799" s="140"/>
      <c r="BE799" s="140"/>
    </row>
    <row r="800">
      <c r="A800" s="108"/>
      <c r="B800" s="107"/>
      <c r="C800" s="107"/>
      <c r="D800" s="107"/>
      <c r="E800" s="107"/>
      <c r="F800" s="107"/>
      <c r="G800" s="208"/>
      <c r="H800" s="131"/>
      <c r="I800" s="211"/>
      <c r="J800" s="107"/>
      <c r="K800" s="202"/>
      <c r="L800" s="107"/>
      <c r="M800" s="107"/>
      <c r="N800" s="206"/>
      <c r="O800" s="108" t="b">
        <v>0</v>
      </c>
      <c r="P800" s="207"/>
      <c r="Q800" s="140"/>
      <c r="R800" s="140"/>
      <c r="S800" s="140"/>
      <c r="T800" s="140"/>
      <c r="U800" s="140"/>
      <c r="V800" s="140"/>
      <c r="W800" s="140"/>
      <c r="X800" s="140"/>
      <c r="Y800" s="140"/>
      <c r="Z800" s="140"/>
      <c r="AA800" s="140"/>
      <c r="AB800" s="140"/>
      <c r="AC800" s="140"/>
      <c r="AD800" s="140"/>
      <c r="AE800" s="140"/>
      <c r="AF800" s="140"/>
      <c r="AG800" s="140"/>
      <c r="AH800" s="140"/>
      <c r="AI800" s="140"/>
      <c r="AJ800" s="140"/>
      <c r="AK800" s="140"/>
      <c r="AL800" s="140"/>
      <c r="AM800" s="140"/>
      <c r="AN800" s="140"/>
      <c r="AO800" s="140"/>
      <c r="AP800" s="140"/>
      <c r="AQ800" s="140"/>
      <c r="AR800" s="140"/>
      <c r="AS800" s="140"/>
      <c r="AT800" s="140"/>
      <c r="AU800" s="140"/>
      <c r="AV800" s="140"/>
      <c r="AW800" s="140"/>
      <c r="AX800" s="140"/>
      <c r="AY800" s="140"/>
      <c r="AZ800" s="140"/>
      <c r="BA800" s="140"/>
      <c r="BB800" s="140"/>
      <c r="BC800" s="140"/>
      <c r="BD800" s="140"/>
      <c r="BE800" s="140"/>
    </row>
    <row r="801">
      <c r="A801" s="108"/>
      <c r="B801" s="107"/>
      <c r="C801" s="107"/>
      <c r="D801" s="107"/>
      <c r="E801" s="107"/>
      <c r="F801" s="107"/>
      <c r="G801" s="208"/>
      <c r="H801" s="131"/>
      <c r="I801" s="211"/>
      <c r="J801" s="107"/>
      <c r="K801" s="202"/>
      <c r="L801" s="107"/>
      <c r="M801" s="107"/>
      <c r="N801" s="206"/>
      <c r="O801" s="108" t="b">
        <v>0</v>
      </c>
      <c r="P801" s="207"/>
      <c r="Q801" s="140"/>
      <c r="R801" s="140"/>
      <c r="S801" s="140"/>
      <c r="T801" s="140"/>
      <c r="U801" s="140"/>
      <c r="V801" s="140"/>
      <c r="W801" s="140"/>
      <c r="X801" s="140"/>
      <c r="Y801" s="140"/>
      <c r="Z801" s="140"/>
      <c r="AA801" s="140"/>
      <c r="AB801" s="140"/>
      <c r="AC801" s="140"/>
      <c r="AD801" s="140"/>
      <c r="AE801" s="140"/>
      <c r="AF801" s="140"/>
      <c r="AG801" s="140"/>
      <c r="AH801" s="140"/>
      <c r="AI801" s="140"/>
      <c r="AJ801" s="140"/>
      <c r="AK801" s="140"/>
      <c r="AL801" s="140"/>
      <c r="AM801" s="140"/>
      <c r="AN801" s="140"/>
      <c r="AO801" s="140"/>
      <c r="AP801" s="140"/>
      <c r="AQ801" s="140"/>
      <c r="AR801" s="140"/>
      <c r="AS801" s="140"/>
      <c r="AT801" s="140"/>
      <c r="AU801" s="140"/>
      <c r="AV801" s="140"/>
      <c r="AW801" s="140"/>
      <c r="AX801" s="140"/>
      <c r="AY801" s="140"/>
      <c r="AZ801" s="140"/>
      <c r="BA801" s="140"/>
      <c r="BB801" s="140"/>
      <c r="BC801" s="140"/>
      <c r="BD801" s="140"/>
      <c r="BE801" s="140"/>
    </row>
    <row r="802">
      <c r="A802" s="108"/>
      <c r="B802" s="107"/>
      <c r="C802" s="107"/>
      <c r="D802" s="107"/>
      <c r="E802" s="107"/>
      <c r="F802" s="107"/>
      <c r="G802" s="208"/>
      <c r="H802" s="131"/>
      <c r="I802" s="211"/>
      <c r="J802" s="107"/>
      <c r="K802" s="202"/>
      <c r="L802" s="107"/>
      <c r="M802" s="107"/>
      <c r="N802" s="206"/>
      <c r="O802" s="108" t="b">
        <v>0</v>
      </c>
      <c r="P802" s="207"/>
      <c r="Q802" s="140"/>
      <c r="R802" s="140"/>
      <c r="S802" s="140"/>
      <c r="T802" s="140"/>
      <c r="U802" s="140"/>
      <c r="V802" s="140"/>
      <c r="W802" s="140"/>
      <c r="X802" s="140"/>
      <c r="Y802" s="140"/>
      <c r="Z802" s="140"/>
      <c r="AA802" s="140"/>
      <c r="AB802" s="140"/>
      <c r="AC802" s="140"/>
      <c r="AD802" s="140"/>
      <c r="AE802" s="140"/>
      <c r="AF802" s="140"/>
      <c r="AG802" s="140"/>
      <c r="AH802" s="140"/>
      <c r="AI802" s="140"/>
      <c r="AJ802" s="140"/>
      <c r="AK802" s="140"/>
      <c r="AL802" s="140"/>
      <c r="AM802" s="140"/>
      <c r="AN802" s="140"/>
      <c r="AO802" s="140"/>
      <c r="AP802" s="140"/>
      <c r="AQ802" s="140"/>
      <c r="AR802" s="140"/>
      <c r="AS802" s="140"/>
      <c r="AT802" s="140"/>
      <c r="AU802" s="140"/>
      <c r="AV802" s="140"/>
      <c r="AW802" s="140"/>
      <c r="AX802" s="140"/>
      <c r="AY802" s="140"/>
      <c r="AZ802" s="140"/>
      <c r="BA802" s="140"/>
      <c r="BB802" s="140"/>
      <c r="BC802" s="140"/>
      <c r="BD802" s="140"/>
      <c r="BE802" s="140"/>
    </row>
    <row r="803">
      <c r="A803" s="108"/>
      <c r="B803" s="107"/>
      <c r="C803" s="107"/>
      <c r="D803" s="107"/>
      <c r="E803" s="107"/>
      <c r="F803" s="107"/>
      <c r="G803" s="208"/>
      <c r="H803" s="131"/>
      <c r="I803" s="211"/>
      <c r="J803" s="107"/>
      <c r="K803" s="202"/>
      <c r="L803" s="107"/>
      <c r="M803" s="107"/>
      <c r="N803" s="206"/>
      <c r="O803" s="108" t="b">
        <v>0</v>
      </c>
      <c r="P803" s="207"/>
      <c r="Q803" s="140"/>
      <c r="R803" s="140"/>
      <c r="S803" s="140"/>
      <c r="T803" s="140"/>
      <c r="U803" s="140"/>
      <c r="V803" s="140"/>
      <c r="W803" s="140"/>
      <c r="X803" s="140"/>
      <c r="Y803" s="140"/>
      <c r="Z803" s="140"/>
      <c r="AA803" s="140"/>
      <c r="AB803" s="140"/>
      <c r="AC803" s="140"/>
      <c r="AD803" s="140"/>
      <c r="AE803" s="140"/>
      <c r="AF803" s="140"/>
      <c r="AG803" s="140"/>
      <c r="AH803" s="140"/>
      <c r="AI803" s="140"/>
      <c r="AJ803" s="140"/>
      <c r="AK803" s="140"/>
      <c r="AL803" s="140"/>
      <c r="AM803" s="140"/>
      <c r="AN803" s="140"/>
      <c r="AO803" s="140"/>
      <c r="AP803" s="140"/>
      <c r="AQ803" s="140"/>
      <c r="AR803" s="140"/>
      <c r="AS803" s="140"/>
      <c r="AT803" s="140"/>
      <c r="AU803" s="140"/>
      <c r="AV803" s="140"/>
      <c r="AW803" s="140"/>
      <c r="AX803" s="140"/>
      <c r="AY803" s="140"/>
      <c r="AZ803" s="140"/>
      <c r="BA803" s="140"/>
      <c r="BB803" s="140"/>
      <c r="BC803" s="140"/>
      <c r="BD803" s="140"/>
      <c r="BE803" s="140"/>
    </row>
    <row r="804">
      <c r="A804" s="108"/>
      <c r="B804" s="107"/>
      <c r="C804" s="107"/>
      <c r="D804" s="107"/>
      <c r="E804" s="107"/>
      <c r="F804" s="107"/>
      <c r="G804" s="208"/>
      <c r="H804" s="131"/>
      <c r="I804" s="211"/>
      <c r="J804" s="107"/>
      <c r="K804" s="202"/>
      <c r="L804" s="107"/>
      <c r="M804" s="107"/>
      <c r="N804" s="206"/>
      <c r="O804" s="108" t="b">
        <v>0</v>
      </c>
      <c r="P804" s="207"/>
      <c r="Q804" s="140"/>
      <c r="R804" s="140"/>
      <c r="S804" s="140"/>
      <c r="T804" s="140"/>
      <c r="U804" s="140"/>
      <c r="V804" s="140"/>
      <c r="W804" s="140"/>
      <c r="X804" s="140"/>
      <c r="Y804" s="140"/>
      <c r="Z804" s="140"/>
      <c r="AA804" s="140"/>
      <c r="AB804" s="140"/>
      <c r="AC804" s="140"/>
      <c r="AD804" s="140"/>
      <c r="AE804" s="140"/>
      <c r="AF804" s="140"/>
      <c r="AG804" s="140"/>
      <c r="AH804" s="140"/>
      <c r="AI804" s="140"/>
      <c r="AJ804" s="140"/>
      <c r="AK804" s="140"/>
      <c r="AL804" s="140"/>
      <c r="AM804" s="140"/>
      <c r="AN804" s="140"/>
      <c r="AO804" s="140"/>
      <c r="AP804" s="140"/>
      <c r="AQ804" s="140"/>
      <c r="AR804" s="140"/>
      <c r="AS804" s="140"/>
      <c r="AT804" s="140"/>
      <c r="AU804" s="140"/>
      <c r="AV804" s="140"/>
      <c r="AW804" s="140"/>
      <c r="AX804" s="140"/>
      <c r="AY804" s="140"/>
      <c r="AZ804" s="140"/>
      <c r="BA804" s="140"/>
      <c r="BB804" s="140"/>
      <c r="BC804" s="140"/>
      <c r="BD804" s="140"/>
      <c r="BE804" s="140"/>
    </row>
    <row r="805">
      <c r="A805" s="108"/>
      <c r="B805" s="107"/>
      <c r="C805" s="107"/>
      <c r="D805" s="107"/>
      <c r="E805" s="107"/>
      <c r="F805" s="107"/>
      <c r="G805" s="208"/>
      <c r="H805" s="131"/>
      <c r="I805" s="211"/>
      <c r="J805" s="107"/>
      <c r="K805" s="202"/>
      <c r="L805" s="107"/>
      <c r="M805" s="107"/>
      <c r="N805" s="206"/>
      <c r="O805" s="108" t="b">
        <v>0</v>
      </c>
      <c r="P805" s="207"/>
      <c r="Q805" s="140"/>
      <c r="R805" s="140"/>
      <c r="S805" s="140"/>
      <c r="T805" s="140"/>
      <c r="U805" s="140"/>
      <c r="V805" s="140"/>
      <c r="W805" s="140"/>
      <c r="X805" s="140"/>
      <c r="Y805" s="140"/>
      <c r="Z805" s="140"/>
      <c r="AA805" s="140"/>
      <c r="AB805" s="140"/>
      <c r="AC805" s="140"/>
      <c r="AD805" s="140"/>
      <c r="AE805" s="140"/>
      <c r="AF805" s="140"/>
      <c r="AG805" s="140"/>
      <c r="AH805" s="140"/>
      <c r="AI805" s="140"/>
      <c r="AJ805" s="140"/>
      <c r="AK805" s="140"/>
      <c r="AL805" s="140"/>
      <c r="AM805" s="140"/>
      <c r="AN805" s="140"/>
      <c r="AO805" s="140"/>
      <c r="AP805" s="140"/>
      <c r="AQ805" s="140"/>
      <c r="AR805" s="140"/>
      <c r="AS805" s="140"/>
      <c r="AT805" s="140"/>
      <c r="AU805" s="140"/>
      <c r="AV805" s="140"/>
      <c r="AW805" s="140"/>
      <c r="AX805" s="140"/>
      <c r="AY805" s="140"/>
      <c r="AZ805" s="140"/>
      <c r="BA805" s="140"/>
      <c r="BB805" s="140"/>
      <c r="BC805" s="140"/>
      <c r="BD805" s="140"/>
      <c r="BE805" s="140"/>
    </row>
    <row r="806">
      <c r="A806" s="108"/>
      <c r="B806" s="107"/>
      <c r="C806" s="107"/>
      <c r="D806" s="107"/>
      <c r="E806" s="107"/>
      <c r="F806" s="107"/>
      <c r="G806" s="208"/>
      <c r="H806" s="131"/>
      <c r="I806" s="211"/>
      <c r="J806" s="107"/>
      <c r="K806" s="202"/>
      <c r="L806" s="107"/>
      <c r="M806" s="107"/>
      <c r="N806" s="206"/>
      <c r="O806" s="108" t="b">
        <v>0</v>
      </c>
      <c r="P806" s="207"/>
      <c r="Q806" s="140"/>
      <c r="R806" s="140"/>
      <c r="S806" s="140"/>
      <c r="T806" s="140"/>
      <c r="U806" s="140"/>
      <c r="V806" s="140"/>
      <c r="W806" s="140"/>
      <c r="X806" s="140"/>
      <c r="Y806" s="140"/>
      <c r="Z806" s="140"/>
      <c r="AA806" s="140"/>
      <c r="AB806" s="140"/>
      <c r="AC806" s="140"/>
      <c r="AD806" s="140"/>
      <c r="AE806" s="140"/>
      <c r="AF806" s="140"/>
      <c r="AG806" s="140"/>
      <c r="AH806" s="140"/>
      <c r="AI806" s="140"/>
      <c r="AJ806" s="140"/>
      <c r="AK806" s="140"/>
      <c r="AL806" s="140"/>
      <c r="AM806" s="140"/>
      <c r="AN806" s="140"/>
      <c r="AO806" s="140"/>
      <c r="AP806" s="140"/>
      <c r="AQ806" s="140"/>
      <c r="AR806" s="140"/>
      <c r="AS806" s="140"/>
      <c r="AT806" s="140"/>
      <c r="AU806" s="140"/>
      <c r="AV806" s="140"/>
      <c r="AW806" s="140"/>
      <c r="AX806" s="140"/>
      <c r="AY806" s="140"/>
      <c r="AZ806" s="140"/>
      <c r="BA806" s="140"/>
      <c r="BB806" s="140"/>
      <c r="BC806" s="140"/>
      <c r="BD806" s="140"/>
      <c r="BE806" s="140"/>
    </row>
    <row r="807">
      <c r="A807" s="108"/>
      <c r="B807" s="107"/>
      <c r="C807" s="107"/>
      <c r="D807" s="107"/>
      <c r="E807" s="107"/>
      <c r="F807" s="107"/>
      <c r="G807" s="208"/>
      <c r="H807" s="131"/>
      <c r="I807" s="211"/>
      <c r="J807" s="107"/>
      <c r="K807" s="202"/>
      <c r="L807" s="107"/>
      <c r="M807" s="107"/>
      <c r="N807" s="206"/>
      <c r="O807" s="108" t="b">
        <v>0</v>
      </c>
      <c r="P807" s="207"/>
      <c r="Q807" s="140"/>
      <c r="R807" s="140"/>
      <c r="S807" s="140"/>
      <c r="T807" s="140"/>
      <c r="U807" s="140"/>
      <c r="V807" s="140"/>
      <c r="W807" s="140"/>
      <c r="X807" s="140"/>
      <c r="Y807" s="140"/>
      <c r="Z807" s="140"/>
      <c r="AA807" s="140"/>
      <c r="AB807" s="140"/>
      <c r="AC807" s="140"/>
      <c r="AD807" s="140"/>
      <c r="AE807" s="140"/>
      <c r="AF807" s="140"/>
      <c r="AG807" s="140"/>
      <c r="AH807" s="140"/>
      <c r="AI807" s="140"/>
      <c r="AJ807" s="140"/>
      <c r="AK807" s="140"/>
      <c r="AL807" s="140"/>
      <c r="AM807" s="140"/>
      <c r="AN807" s="140"/>
      <c r="AO807" s="140"/>
      <c r="AP807" s="140"/>
      <c r="AQ807" s="140"/>
      <c r="AR807" s="140"/>
      <c r="AS807" s="140"/>
      <c r="AT807" s="140"/>
      <c r="AU807" s="140"/>
      <c r="AV807" s="140"/>
      <c r="AW807" s="140"/>
      <c r="AX807" s="140"/>
      <c r="AY807" s="140"/>
      <c r="AZ807" s="140"/>
      <c r="BA807" s="140"/>
      <c r="BB807" s="140"/>
      <c r="BC807" s="140"/>
      <c r="BD807" s="140"/>
      <c r="BE807" s="140"/>
    </row>
    <row r="808">
      <c r="A808" s="108"/>
      <c r="B808" s="107"/>
      <c r="C808" s="107"/>
      <c r="D808" s="107"/>
      <c r="E808" s="107"/>
      <c r="F808" s="107"/>
      <c r="G808" s="208"/>
      <c r="H808" s="131"/>
      <c r="I808" s="211"/>
      <c r="J808" s="107"/>
      <c r="K808" s="202"/>
      <c r="L808" s="107"/>
      <c r="M808" s="107"/>
      <c r="N808" s="206"/>
      <c r="O808" s="108" t="b">
        <v>0</v>
      </c>
      <c r="P808" s="207"/>
      <c r="Q808" s="140"/>
      <c r="R808" s="140"/>
      <c r="S808" s="140"/>
      <c r="T808" s="140"/>
      <c r="U808" s="140"/>
      <c r="V808" s="140"/>
      <c r="W808" s="140"/>
      <c r="X808" s="140"/>
      <c r="Y808" s="140"/>
      <c r="Z808" s="140"/>
      <c r="AA808" s="140"/>
      <c r="AB808" s="140"/>
      <c r="AC808" s="140"/>
      <c r="AD808" s="140"/>
      <c r="AE808" s="140"/>
      <c r="AF808" s="140"/>
      <c r="AG808" s="140"/>
      <c r="AH808" s="140"/>
      <c r="AI808" s="140"/>
      <c r="AJ808" s="140"/>
      <c r="AK808" s="140"/>
      <c r="AL808" s="140"/>
      <c r="AM808" s="140"/>
      <c r="AN808" s="140"/>
      <c r="AO808" s="140"/>
      <c r="AP808" s="140"/>
      <c r="AQ808" s="140"/>
      <c r="AR808" s="140"/>
      <c r="AS808" s="140"/>
      <c r="AT808" s="140"/>
      <c r="AU808" s="140"/>
      <c r="AV808" s="140"/>
      <c r="AW808" s="140"/>
      <c r="AX808" s="140"/>
      <c r="AY808" s="140"/>
      <c r="AZ808" s="140"/>
      <c r="BA808" s="140"/>
      <c r="BB808" s="140"/>
      <c r="BC808" s="140"/>
      <c r="BD808" s="140"/>
      <c r="BE808" s="140"/>
    </row>
    <row r="809">
      <c r="A809" s="108"/>
      <c r="B809" s="107"/>
      <c r="C809" s="107"/>
      <c r="D809" s="107"/>
      <c r="E809" s="107"/>
      <c r="F809" s="107"/>
      <c r="G809" s="208"/>
      <c r="H809" s="131"/>
      <c r="I809" s="211"/>
      <c r="J809" s="107"/>
      <c r="K809" s="202"/>
      <c r="L809" s="107"/>
      <c r="M809" s="107"/>
      <c r="N809" s="206"/>
      <c r="O809" s="108" t="b">
        <v>0</v>
      </c>
      <c r="P809" s="207"/>
      <c r="Q809" s="140"/>
      <c r="R809" s="140"/>
      <c r="S809" s="140"/>
      <c r="T809" s="140"/>
      <c r="U809" s="140"/>
      <c r="V809" s="140"/>
      <c r="W809" s="140"/>
      <c r="X809" s="140"/>
      <c r="Y809" s="140"/>
      <c r="Z809" s="140"/>
      <c r="AA809" s="140"/>
      <c r="AB809" s="140"/>
      <c r="AC809" s="140"/>
      <c r="AD809" s="140"/>
      <c r="AE809" s="140"/>
      <c r="AF809" s="140"/>
      <c r="AG809" s="140"/>
      <c r="AH809" s="140"/>
      <c r="AI809" s="140"/>
      <c r="AJ809" s="140"/>
      <c r="AK809" s="140"/>
      <c r="AL809" s="140"/>
      <c r="AM809" s="140"/>
      <c r="AN809" s="140"/>
      <c r="AO809" s="140"/>
      <c r="AP809" s="140"/>
      <c r="AQ809" s="140"/>
      <c r="AR809" s="140"/>
      <c r="AS809" s="140"/>
      <c r="AT809" s="140"/>
      <c r="AU809" s="140"/>
      <c r="AV809" s="140"/>
      <c r="AW809" s="140"/>
      <c r="AX809" s="140"/>
      <c r="AY809" s="140"/>
      <c r="AZ809" s="140"/>
      <c r="BA809" s="140"/>
      <c r="BB809" s="140"/>
      <c r="BC809" s="140"/>
      <c r="BD809" s="140"/>
      <c r="BE809" s="140"/>
    </row>
    <row r="810">
      <c r="A810" s="108"/>
      <c r="B810" s="107"/>
      <c r="C810" s="107"/>
      <c r="D810" s="107"/>
      <c r="E810" s="107"/>
      <c r="F810" s="107"/>
      <c r="G810" s="208"/>
      <c r="H810" s="131"/>
      <c r="I810" s="211"/>
      <c r="J810" s="107"/>
      <c r="K810" s="202"/>
      <c r="L810" s="107"/>
      <c r="M810" s="107"/>
      <c r="N810" s="206"/>
      <c r="O810" s="108" t="b">
        <v>0</v>
      </c>
      <c r="P810" s="207"/>
      <c r="Q810" s="140"/>
      <c r="R810" s="140"/>
      <c r="S810" s="140"/>
      <c r="T810" s="140"/>
      <c r="U810" s="140"/>
      <c r="V810" s="140"/>
      <c r="W810" s="140"/>
      <c r="X810" s="140"/>
      <c r="Y810" s="140"/>
      <c r="Z810" s="140"/>
      <c r="AA810" s="140"/>
      <c r="AB810" s="140"/>
      <c r="AC810" s="140"/>
      <c r="AD810" s="140"/>
      <c r="AE810" s="140"/>
      <c r="AF810" s="140"/>
      <c r="AG810" s="140"/>
      <c r="AH810" s="140"/>
      <c r="AI810" s="140"/>
      <c r="AJ810" s="140"/>
      <c r="AK810" s="140"/>
      <c r="AL810" s="140"/>
      <c r="AM810" s="140"/>
      <c r="AN810" s="140"/>
      <c r="AO810" s="140"/>
      <c r="AP810" s="140"/>
      <c r="AQ810" s="140"/>
      <c r="AR810" s="140"/>
      <c r="AS810" s="140"/>
      <c r="AT810" s="140"/>
      <c r="AU810" s="140"/>
      <c r="AV810" s="140"/>
      <c r="AW810" s="140"/>
      <c r="AX810" s="140"/>
      <c r="AY810" s="140"/>
      <c r="AZ810" s="140"/>
      <c r="BA810" s="140"/>
      <c r="BB810" s="140"/>
      <c r="BC810" s="140"/>
      <c r="BD810" s="140"/>
      <c r="BE810" s="140"/>
    </row>
    <row r="811">
      <c r="A811" s="108"/>
      <c r="B811" s="107"/>
      <c r="C811" s="107"/>
      <c r="D811" s="107"/>
      <c r="E811" s="107"/>
      <c r="F811" s="107"/>
      <c r="G811" s="208"/>
      <c r="H811" s="131"/>
      <c r="I811" s="211"/>
      <c r="J811" s="107"/>
      <c r="K811" s="202"/>
      <c r="L811" s="107"/>
      <c r="M811" s="107"/>
      <c r="N811" s="206"/>
      <c r="O811" s="108" t="b">
        <v>0</v>
      </c>
      <c r="P811" s="207"/>
      <c r="Q811" s="140"/>
      <c r="R811" s="140"/>
      <c r="S811" s="140"/>
      <c r="T811" s="140"/>
      <c r="U811" s="140"/>
      <c r="V811" s="140"/>
      <c r="W811" s="140"/>
      <c r="X811" s="140"/>
      <c r="Y811" s="140"/>
      <c r="Z811" s="140"/>
      <c r="AA811" s="140"/>
      <c r="AB811" s="140"/>
      <c r="AC811" s="140"/>
      <c r="AD811" s="140"/>
      <c r="AE811" s="140"/>
      <c r="AF811" s="140"/>
      <c r="AG811" s="140"/>
      <c r="AH811" s="140"/>
      <c r="AI811" s="140"/>
      <c r="AJ811" s="140"/>
      <c r="AK811" s="140"/>
      <c r="AL811" s="140"/>
      <c r="AM811" s="140"/>
      <c r="AN811" s="140"/>
      <c r="AO811" s="140"/>
      <c r="AP811" s="140"/>
      <c r="AQ811" s="140"/>
      <c r="AR811" s="140"/>
      <c r="AS811" s="140"/>
      <c r="AT811" s="140"/>
      <c r="AU811" s="140"/>
      <c r="AV811" s="140"/>
      <c r="AW811" s="140"/>
      <c r="AX811" s="140"/>
      <c r="AY811" s="140"/>
      <c r="AZ811" s="140"/>
      <c r="BA811" s="140"/>
      <c r="BB811" s="140"/>
      <c r="BC811" s="140"/>
      <c r="BD811" s="140"/>
      <c r="BE811" s="140"/>
    </row>
    <row r="812">
      <c r="A812" s="108"/>
      <c r="B812" s="107"/>
      <c r="C812" s="107"/>
      <c r="D812" s="107"/>
      <c r="E812" s="107"/>
      <c r="F812" s="107"/>
      <c r="G812" s="208"/>
      <c r="H812" s="131"/>
      <c r="I812" s="211"/>
      <c r="J812" s="107"/>
      <c r="K812" s="202"/>
      <c r="L812" s="107"/>
      <c r="M812" s="107"/>
      <c r="N812" s="206"/>
      <c r="O812" s="108" t="b">
        <v>0</v>
      </c>
      <c r="P812" s="207"/>
      <c r="Q812" s="140"/>
      <c r="R812" s="140"/>
      <c r="S812" s="140"/>
      <c r="T812" s="140"/>
      <c r="U812" s="140"/>
      <c r="V812" s="140"/>
      <c r="W812" s="140"/>
      <c r="X812" s="140"/>
      <c r="Y812" s="140"/>
      <c r="Z812" s="140"/>
      <c r="AA812" s="140"/>
      <c r="AB812" s="140"/>
      <c r="AC812" s="140"/>
      <c r="AD812" s="140"/>
      <c r="AE812" s="140"/>
      <c r="AF812" s="140"/>
      <c r="AG812" s="140"/>
      <c r="AH812" s="140"/>
      <c r="AI812" s="140"/>
      <c r="AJ812" s="140"/>
      <c r="AK812" s="140"/>
      <c r="AL812" s="140"/>
      <c r="AM812" s="140"/>
      <c r="AN812" s="140"/>
      <c r="AO812" s="140"/>
      <c r="AP812" s="140"/>
      <c r="AQ812" s="140"/>
      <c r="AR812" s="140"/>
      <c r="AS812" s="140"/>
      <c r="AT812" s="140"/>
      <c r="AU812" s="140"/>
      <c r="AV812" s="140"/>
      <c r="AW812" s="140"/>
      <c r="AX812" s="140"/>
      <c r="AY812" s="140"/>
      <c r="AZ812" s="140"/>
      <c r="BA812" s="140"/>
      <c r="BB812" s="140"/>
      <c r="BC812" s="140"/>
      <c r="BD812" s="140"/>
      <c r="BE812" s="140"/>
    </row>
    <row r="813">
      <c r="A813" s="108"/>
      <c r="B813" s="107"/>
      <c r="C813" s="107"/>
      <c r="D813" s="107"/>
      <c r="E813" s="107"/>
      <c r="F813" s="107"/>
      <c r="G813" s="208"/>
      <c r="H813" s="131"/>
      <c r="I813" s="211"/>
      <c r="J813" s="107"/>
      <c r="K813" s="202"/>
      <c r="L813" s="107"/>
      <c r="M813" s="107"/>
      <c r="N813" s="206"/>
      <c r="O813" s="108" t="b">
        <v>0</v>
      </c>
      <c r="P813" s="207"/>
      <c r="Q813" s="140"/>
      <c r="R813" s="140"/>
      <c r="S813" s="140"/>
      <c r="T813" s="140"/>
      <c r="U813" s="140"/>
      <c r="V813" s="140"/>
      <c r="W813" s="140"/>
      <c r="X813" s="140"/>
      <c r="Y813" s="140"/>
      <c r="Z813" s="140"/>
      <c r="AA813" s="140"/>
      <c r="AB813" s="140"/>
      <c r="AC813" s="140"/>
      <c r="AD813" s="140"/>
      <c r="AE813" s="140"/>
      <c r="AF813" s="140"/>
      <c r="AG813" s="140"/>
      <c r="AH813" s="140"/>
      <c r="AI813" s="140"/>
      <c r="AJ813" s="140"/>
      <c r="AK813" s="140"/>
      <c r="AL813" s="140"/>
      <c r="AM813" s="140"/>
      <c r="AN813" s="140"/>
      <c r="AO813" s="140"/>
      <c r="AP813" s="140"/>
      <c r="AQ813" s="140"/>
      <c r="AR813" s="140"/>
      <c r="AS813" s="140"/>
      <c r="AT813" s="140"/>
      <c r="AU813" s="140"/>
      <c r="AV813" s="140"/>
      <c r="AW813" s="140"/>
      <c r="AX813" s="140"/>
      <c r="AY813" s="140"/>
      <c r="AZ813" s="140"/>
      <c r="BA813" s="140"/>
      <c r="BB813" s="140"/>
      <c r="BC813" s="140"/>
      <c r="BD813" s="140"/>
      <c r="BE813" s="140"/>
    </row>
    <row r="814">
      <c r="A814" s="108"/>
      <c r="B814" s="107"/>
      <c r="C814" s="107"/>
      <c r="D814" s="107"/>
      <c r="E814" s="107"/>
      <c r="F814" s="107"/>
      <c r="G814" s="208"/>
      <c r="H814" s="131"/>
      <c r="I814" s="211"/>
      <c r="J814" s="107"/>
      <c r="K814" s="202"/>
      <c r="L814" s="107"/>
      <c r="M814" s="107"/>
      <c r="N814" s="206"/>
      <c r="O814" s="108" t="b">
        <v>0</v>
      </c>
      <c r="P814" s="207"/>
      <c r="Q814" s="140"/>
      <c r="R814" s="140"/>
      <c r="S814" s="140"/>
      <c r="T814" s="140"/>
      <c r="U814" s="140"/>
      <c r="V814" s="140"/>
      <c r="W814" s="140"/>
      <c r="X814" s="140"/>
      <c r="Y814" s="140"/>
      <c r="Z814" s="140"/>
      <c r="AA814" s="140"/>
      <c r="AB814" s="140"/>
      <c r="AC814" s="140"/>
      <c r="AD814" s="140"/>
      <c r="AE814" s="140"/>
      <c r="AF814" s="140"/>
      <c r="AG814" s="140"/>
      <c r="AH814" s="140"/>
      <c r="AI814" s="140"/>
      <c r="AJ814" s="140"/>
      <c r="AK814" s="140"/>
      <c r="AL814" s="140"/>
      <c r="AM814" s="140"/>
      <c r="AN814" s="140"/>
      <c r="AO814" s="140"/>
      <c r="AP814" s="140"/>
      <c r="AQ814" s="140"/>
      <c r="AR814" s="140"/>
      <c r="AS814" s="140"/>
      <c r="AT814" s="140"/>
      <c r="AU814" s="140"/>
      <c r="AV814" s="140"/>
      <c r="AW814" s="140"/>
      <c r="AX814" s="140"/>
      <c r="AY814" s="140"/>
      <c r="AZ814" s="140"/>
      <c r="BA814" s="140"/>
      <c r="BB814" s="140"/>
      <c r="BC814" s="140"/>
      <c r="BD814" s="140"/>
      <c r="BE814" s="140"/>
    </row>
    <row r="815">
      <c r="A815" s="108"/>
      <c r="B815" s="107"/>
      <c r="C815" s="107"/>
      <c r="D815" s="107"/>
      <c r="E815" s="107"/>
      <c r="F815" s="107"/>
      <c r="G815" s="208"/>
      <c r="H815" s="131"/>
      <c r="I815" s="211"/>
      <c r="J815" s="107"/>
      <c r="K815" s="202"/>
      <c r="L815" s="107"/>
      <c r="M815" s="107"/>
      <c r="N815" s="206"/>
      <c r="O815" s="108" t="b">
        <v>0</v>
      </c>
      <c r="P815" s="207"/>
      <c r="Q815" s="140"/>
      <c r="R815" s="140"/>
      <c r="S815" s="140"/>
      <c r="T815" s="140"/>
      <c r="U815" s="140"/>
      <c r="V815" s="140"/>
      <c r="W815" s="140"/>
      <c r="X815" s="140"/>
      <c r="Y815" s="140"/>
      <c r="Z815" s="140"/>
      <c r="AA815" s="140"/>
      <c r="AB815" s="140"/>
      <c r="AC815" s="140"/>
      <c r="AD815" s="140"/>
      <c r="AE815" s="140"/>
      <c r="AF815" s="140"/>
      <c r="AG815" s="140"/>
      <c r="AH815" s="140"/>
      <c r="AI815" s="140"/>
      <c r="AJ815" s="140"/>
      <c r="AK815" s="140"/>
      <c r="AL815" s="140"/>
      <c r="AM815" s="140"/>
      <c r="AN815" s="140"/>
      <c r="AO815" s="140"/>
      <c r="AP815" s="140"/>
      <c r="AQ815" s="140"/>
      <c r="AR815" s="140"/>
      <c r="AS815" s="140"/>
      <c r="AT815" s="140"/>
      <c r="AU815" s="140"/>
      <c r="AV815" s="140"/>
      <c r="AW815" s="140"/>
      <c r="AX815" s="140"/>
      <c r="AY815" s="140"/>
      <c r="AZ815" s="140"/>
      <c r="BA815" s="140"/>
      <c r="BB815" s="140"/>
      <c r="BC815" s="140"/>
      <c r="BD815" s="140"/>
      <c r="BE815" s="140"/>
    </row>
    <row r="816">
      <c r="A816" s="108"/>
      <c r="B816" s="107"/>
      <c r="C816" s="107"/>
      <c r="D816" s="107"/>
      <c r="E816" s="107"/>
      <c r="F816" s="107"/>
      <c r="G816" s="208"/>
      <c r="H816" s="131"/>
      <c r="I816" s="211"/>
      <c r="J816" s="107"/>
      <c r="K816" s="202"/>
      <c r="L816" s="107"/>
      <c r="M816" s="107"/>
      <c r="N816" s="206"/>
      <c r="O816" s="108" t="b">
        <v>0</v>
      </c>
      <c r="P816" s="207"/>
      <c r="Q816" s="140"/>
      <c r="R816" s="140"/>
      <c r="S816" s="140"/>
      <c r="T816" s="140"/>
      <c r="U816" s="140"/>
      <c r="V816" s="140"/>
      <c r="W816" s="140"/>
      <c r="X816" s="140"/>
      <c r="Y816" s="140"/>
      <c r="Z816" s="140"/>
      <c r="AA816" s="140"/>
      <c r="AB816" s="140"/>
      <c r="AC816" s="140"/>
      <c r="AD816" s="140"/>
      <c r="AE816" s="140"/>
      <c r="AF816" s="140"/>
      <c r="AG816" s="140"/>
      <c r="AH816" s="140"/>
      <c r="AI816" s="140"/>
      <c r="AJ816" s="140"/>
      <c r="AK816" s="140"/>
      <c r="AL816" s="140"/>
      <c r="AM816" s="140"/>
      <c r="AN816" s="140"/>
      <c r="AO816" s="140"/>
      <c r="AP816" s="140"/>
      <c r="AQ816" s="140"/>
      <c r="AR816" s="140"/>
      <c r="AS816" s="140"/>
      <c r="AT816" s="140"/>
      <c r="AU816" s="140"/>
      <c r="AV816" s="140"/>
      <c r="AW816" s="140"/>
      <c r="AX816" s="140"/>
      <c r="AY816" s="140"/>
      <c r="AZ816" s="140"/>
      <c r="BA816" s="140"/>
      <c r="BB816" s="140"/>
      <c r="BC816" s="140"/>
      <c r="BD816" s="140"/>
      <c r="BE816" s="140"/>
    </row>
    <row r="817">
      <c r="A817" s="108"/>
      <c r="B817" s="107"/>
      <c r="C817" s="107"/>
      <c r="D817" s="107"/>
      <c r="E817" s="107"/>
      <c r="F817" s="107"/>
      <c r="G817" s="208"/>
      <c r="H817" s="131"/>
      <c r="I817" s="211"/>
      <c r="J817" s="107"/>
      <c r="K817" s="202"/>
      <c r="L817" s="107"/>
      <c r="M817" s="107"/>
      <c r="N817" s="206"/>
      <c r="O817" s="108" t="b">
        <v>0</v>
      </c>
      <c r="P817" s="207"/>
      <c r="Q817" s="140"/>
      <c r="R817" s="140"/>
      <c r="S817" s="140"/>
      <c r="T817" s="140"/>
      <c r="U817" s="140"/>
      <c r="V817" s="140"/>
      <c r="W817" s="140"/>
      <c r="X817" s="140"/>
      <c r="Y817" s="140"/>
      <c r="Z817" s="140"/>
      <c r="AA817" s="140"/>
      <c r="AB817" s="140"/>
      <c r="AC817" s="140"/>
      <c r="AD817" s="140"/>
      <c r="AE817" s="140"/>
      <c r="AF817" s="140"/>
      <c r="AG817" s="140"/>
      <c r="AH817" s="140"/>
      <c r="AI817" s="140"/>
      <c r="AJ817" s="140"/>
      <c r="AK817" s="140"/>
      <c r="AL817" s="140"/>
      <c r="AM817" s="140"/>
      <c r="AN817" s="140"/>
      <c r="AO817" s="140"/>
      <c r="AP817" s="140"/>
      <c r="AQ817" s="140"/>
      <c r="AR817" s="140"/>
      <c r="AS817" s="140"/>
      <c r="AT817" s="140"/>
      <c r="AU817" s="140"/>
      <c r="AV817" s="140"/>
      <c r="AW817" s="140"/>
      <c r="AX817" s="140"/>
      <c r="AY817" s="140"/>
      <c r="AZ817" s="140"/>
      <c r="BA817" s="140"/>
      <c r="BB817" s="140"/>
      <c r="BC817" s="140"/>
      <c r="BD817" s="140"/>
      <c r="BE817" s="140"/>
    </row>
    <row r="818">
      <c r="A818" s="108"/>
      <c r="B818" s="107"/>
      <c r="C818" s="107"/>
      <c r="D818" s="107"/>
      <c r="E818" s="107"/>
      <c r="F818" s="107"/>
      <c r="G818" s="208"/>
      <c r="H818" s="131"/>
      <c r="I818" s="211"/>
      <c r="J818" s="107"/>
      <c r="K818" s="202"/>
      <c r="L818" s="107"/>
      <c r="M818" s="107"/>
      <c r="N818" s="206"/>
      <c r="O818" s="108" t="b">
        <v>0</v>
      </c>
      <c r="P818" s="207"/>
      <c r="Q818" s="140"/>
      <c r="R818" s="140"/>
      <c r="S818" s="140"/>
      <c r="T818" s="140"/>
      <c r="U818" s="140"/>
      <c r="V818" s="140"/>
      <c r="W818" s="140"/>
      <c r="X818" s="140"/>
      <c r="Y818" s="140"/>
      <c r="Z818" s="140"/>
      <c r="AA818" s="140"/>
      <c r="AB818" s="140"/>
      <c r="AC818" s="140"/>
      <c r="AD818" s="140"/>
      <c r="AE818" s="140"/>
      <c r="AF818" s="140"/>
      <c r="AG818" s="140"/>
      <c r="AH818" s="140"/>
      <c r="AI818" s="140"/>
      <c r="AJ818" s="140"/>
      <c r="AK818" s="140"/>
      <c r="AL818" s="140"/>
      <c r="AM818" s="140"/>
      <c r="AN818" s="140"/>
      <c r="AO818" s="140"/>
      <c r="AP818" s="140"/>
      <c r="AQ818" s="140"/>
      <c r="AR818" s="140"/>
      <c r="AS818" s="140"/>
      <c r="AT818" s="140"/>
      <c r="AU818" s="140"/>
      <c r="AV818" s="140"/>
      <c r="AW818" s="140"/>
      <c r="AX818" s="140"/>
      <c r="AY818" s="140"/>
      <c r="AZ818" s="140"/>
      <c r="BA818" s="140"/>
      <c r="BB818" s="140"/>
      <c r="BC818" s="140"/>
      <c r="BD818" s="140"/>
      <c r="BE818" s="140"/>
    </row>
    <row r="819">
      <c r="A819" s="108"/>
      <c r="B819" s="107"/>
      <c r="C819" s="107"/>
      <c r="D819" s="107"/>
      <c r="E819" s="107"/>
      <c r="F819" s="107"/>
      <c r="G819" s="208"/>
      <c r="H819" s="131"/>
      <c r="I819" s="211"/>
      <c r="J819" s="107"/>
      <c r="K819" s="202"/>
      <c r="L819" s="107"/>
      <c r="M819" s="107"/>
      <c r="N819" s="206"/>
      <c r="O819" s="108" t="b">
        <v>0</v>
      </c>
      <c r="P819" s="207"/>
      <c r="Q819" s="140"/>
      <c r="R819" s="140"/>
      <c r="S819" s="140"/>
      <c r="T819" s="140"/>
      <c r="U819" s="140"/>
      <c r="V819" s="140"/>
      <c r="W819" s="140"/>
      <c r="X819" s="140"/>
      <c r="Y819" s="140"/>
      <c r="Z819" s="140"/>
      <c r="AA819" s="140"/>
      <c r="AB819" s="140"/>
      <c r="AC819" s="140"/>
      <c r="AD819" s="140"/>
      <c r="AE819" s="140"/>
      <c r="AF819" s="140"/>
      <c r="AG819" s="140"/>
      <c r="AH819" s="140"/>
      <c r="AI819" s="140"/>
      <c r="AJ819" s="140"/>
      <c r="AK819" s="140"/>
      <c r="AL819" s="140"/>
      <c r="AM819" s="140"/>
      <c r="AN819" s="140"/>
      <c r="AO819" s="140"/>
      <c r="AP819" s="140"/>
      <c r="AQ819" s="140"/>
      <c r="AR819" s="140"/>
      <c r="AS819" s="140"/>
      <c r="AT819" s="140"/>
      <c r="AU819" s="140"/>
      <c r="AV819" s="140"/>
      <c r="AW819" s="140"/>
      <c r="AX819" s="140"/>
      <c r="AY819" s="140"/>
      <c r="AZ819" s="140"/>
      <c r="BA819" s="140"/>
      <c r="BB819" s="140"/>
      <c r="BC819" s="140"/>
      <c r="BD819" s="140"/>
      <c r="BE819" s="140"/>
    </row>
    <row r="820">
      <c r="A820" s="108"/>
      <c r="B820" s="107"/>
      <c r="C820" s="107"/>
      <c r="D820" s="107"/>
      <c r="E820" s="107"/>
      <c r="F820" s="107"/>
      <c r="G820" s="208"/>
      <c r="H820" s="131"/>
      <c r="I820" s="211"/>
      <c r="J820" s="107"/>
      <c r="K820" s="202"/>
      <c r="L820" s="107"/>
      <c r="M820" s="107"/>
      <c r="N820" s="206"/>
      <c r="O820" s="108" t="b">
        <v>0</v>
      </c>
      <c r="P820" s="207"/>
      <c r="Q820" s="140"/>
      <c r="R820" s="140"/>
      <c r="S820" s="140"/>
      <c r="T820" s="140"/>
      <c r="U820" s="140"/>
      <c r="V820" s="140"/>
      <c r="W820" s="140"/>
      <c r="X820" s="140"/>
      <c r="Y820" s="140"/>
      <c r="Z820" s="140"/>
      <c r="AA820" s="140"/>
      <c r="AB820" s="140"/>
      <c r="AC820" s="140"/>
      <c r="AD820" s="140"/>
      <c r="AE820" s="140"/>
      <c r="AF820" s="140"/>
      <c r="AG820" s="140"/>
      <c r="AH820" s="140"/>
      <c r="AI820" s="140"/>
      <c r="AJ820" s="140"/>
      <c r="AK820" s="140"/>
      <c r="AL820" s="140"/>
      <c r="AM820" s="140"/>
      <c r="AN820" s="140"/>
      <c r="AO820" s="140"/>
      <c r="AP820" s="140"/>
      <c r="AQ820" s="140"/>
      <c r="AR820" s="140"/>
      <c r="AS820" s="140"/>
      <c r="AT820" s="140"/>
      <c r="AU820" s="140"/>
      <c r="AV820" s="140"/>
      <c r="AW820" s="140"/>
      <c r="AX820" s="140"/>
      <c r="AY820" s="140"/>
      <c r="AZ820" s="140"/>
      <c r="BA820" s="140"/>
      <c r="BB820" s="140"/>
      <c r="BC820" s="140"/>
      <c r="BD820" s="140"/>
      <c r="BE820" s="140"/>
    </row>
    <row r="821">
      <c r="A821" s="108"/>
      <c r="B821" s="107"/>
      <c r="C821" s="107"/>
      <c r="D821" s="107"/>
      <c r="E821" s="107"/>
      <c r="F821" s="107"/>
      <c r="G821" s="208"/>
      <c r="H821" s="131"/>
      <c r="I821" s="211"/>
      <c r="J821" s="107"/>
      <c r="K821" s="202"/>
      <c r="L821" s="107"/>
      <c r="M821" s="107"/>
      <c r="N821" s="206"/>
      <c r="O821" s="108" t="b">
        <v>0</v>
      </c>
      <c r="P821" s="207"/>
      <c r="Q821" s="140"/>
      <c r="R821" s="140"/>
      <c r="S821" s="140"/>
      <c r="T821" s="140"/>
      <c r="U821" s="140"/>
      <c r="V821" s="140"/>
      <c r="W821" s="140"/>
      <c r="X821" s="140"/>
      <c r="Y821" s="140"/>
      <c r="Z821" s="140"/>
      <c r="AA821" s="140"/>
      <c r="AB821" s="140"/>
      <c r="AC821" s="140"/>
      <c r="AD821" s="140"/>
      <c r="AE821" s="140"/>
      <c r="AF821" s="140"/>
      <c r="AG821" s="140"/>
      <c r="AH821" s="140"/>
      <c r="AI821" s="140"/>
      <c r="AJ821" s="140"/>
      <c r="AK821" s="140"/>
      <c r="AL821" s="140"/>
      <c r="AM821" s="140"/>
      <c r="AN821" s="140"/>
      <c r="AO821" s="140"/>
      <c r="AP821" s="140"/>
      <c r="AQ821" s="140"/>
      <c r="AR821" s="140"/>
      <c r="AS821" s="140"/>
      <c r="AT821" s="140"/>
      <c r="AU821" s="140"/>
      <c r="AV821" s="140"/>
      <c r="AW821" s="140"/>
      <c r="AX821" s="140"/>
      <c r="AY821" s="140"/>
      <c r="AZ821" s="140"/>
      <c r="BA821" s="140"/>
      <c r="BB821" s="140"/>
      <c r="BC821" s="140"/>
      <c r="BD821" s="140"/>
      <c r="BE821" s="140"/>
    </row>
    <row r="822">
      <c r="A822" s="108"/>
      <c r="B822" s="107"/>
      <c r="C822" s="107"/>
      <c r="D822" s="107"/>
      <c r="E822" s="107"/>
      <c r="F822" s="107"/>
      <c r="G822" s="208"/>
      <c r="H822" s="131"/>
      <c r="I822" s="211"/>
      <c r="J822" s="107"/>
      <c r="K822" s="202"/>
      <c r="L822" s="107"/>
      <c r="M822" s="107"/>
      <c r="N822" s="206"/>
      <c r="O822" s="108" t="b">
        <v>0</v>
      </c>
      <c r="P822" s="207"/>
      <c r="Q822" s="140"/>
      <c r="R822" s="140"/>
      <c r="S822" s="140"/>
      <c r="T822" s="140"/>
      <c r="U822" s="140"/>
      <c r="V822" s="140"/>
      <c r="W822" s="140"/>
      <c r="X822" s="140"/>
      <c r="Y822" s="140"/>
      <c r="Z822" s="140"/>
      <c r="AA822" s="140"/>
      <c r="AB822" s="140"/>
      <c r="AC822" s="140"/>
      <c r="AD822" s="140"/>
      <c r="AE822" s="140"/>
      <c r="AF822" s="140"/>
      <c r="AG822" s="140"/>
      <c r="AH822" s="140"/>
      <c r="AI822" s="140"/>
      <c r="AJ822" s="140"/>
      <c r="AK822" s="140"/>
      <c r="AL822" s="140"/>
      <c r="AM822" s="140"/>
      <c r="AN822" s="140"/>
      <c r="AO822" s="140"/>
      <c r="AP822" s="140"/>
      <c r="AQ822" s="140"/>
      <c r="AR822" s="140"/>
      <c r="AS822" s="140"/>
      <c r="AT822" s="140"/>
      <c r="AU822" s="140"/>
      <c r="AV822" s="140"/>
      <c r="AW822" s="140"/>
      <c r="AX822" s="140"/>
      <c r="AY822" s="140"/>
      <c r="AZ822" s="140"/>
      <c r="BA822" s="140"/>
      <c r="BB822" s="140"/>
      <c r="BC822" s="140"/>
      <c r="BD822" s="140"/>
      <c r="BE822" s="140"/>
    </row>
    <row r="823">
      <c r="A823" s="108"/>
      <c r="B823" s="107"/>
      <c r="C823" s="107"/>
      <c r="D823" s="107"/>
      <c r="E823" s="107"/>
      <c r="F823" s="107"/>
      <c r="G823" s="208"/>
      <c r="H823" s="131"/>
      <c r="I823" s="211"/>
      <c r="J823" s="107"/>
      <c r="K823" s="202"/>
      <c r="L823" s="107"/>
      <c r="M823" s="107"/>
      <c r="N823" s="206"/>
      <c r="O823" s="108" t="b">
        <v>0</v>
      </c>
      <c r="P823" s="207"/>
      <c r="Q823" s="140"/>
      <c r="R823" s="140"/>
      <c r="S823" s="140"/>
      <c r="T823" s="140"/>
      <c r="U823" s="140"/>
      <c r="V823" s="140"/>
      <c r="W823" s="140"/>
      <c r="X823" s="140"/>
      <c r="Y823" s="140"/>
      <c r="Z823" s="140"/>
      <c r="AA823" s="140"/>
      <c r="AB823" s="140"/>
      <c r="AC823" s="140"/>
      <c r="AD823" s="140"/>
      <c r="AE823" s="140"/>
      <c r="AF823" s="140"/>
      <c r="AG823" s="140"/>
      <c r="AH823" s="140"/>
      <c r="AI823" s="140"/>
      <c r="AJ823" s="140"/>
      <c r="AK823" s="140"/>
      <c r="AL823" s="140"/>
      <c r="AM823" s="140"/>
      <c r="AN823" s="140"/>
      <c r="AO823" s="140"/>
      <c r="AP823" s="140"/>
      <c r="AQ823" s="140"/>
      <c r="AR823" s="140"/>
      <c r="AS823" s="140"/>
      <c r="AT823" s="140"/>
      <c r="AU823" s="140"/>
      <c r="AV823" s="140"/>
      <c r="AW823" s="140"/>
      <c r="AX823" s="140"/>
      <c r="AY823" s="140"/>
      <c r="AZ823" s="140"/>
      <c r="BA823" s="140"/>
      <c r="BB823" s="140"/>
      <c r="BC823" s="140"/>
      <c r="BD823" s="140"/>
      <c r="BE823" s="140"/>
    </row>
    <row r="824">
      <c r="A824" s="108"/>
      <c r="B824" s="107"/>
      <c r="C824" s="107"/>
      <c r="D824" s="107"/>
      <c r="E824" s="107"/>
      <c r="F824" s="107"/>
      <c r="G824" s="208"/>
      <c r="H824" s="131"/>
      <c r="I824" s="211"/>
      <c r="J824" s="107"/>
      <c r="K824" s="202"/>
      <c r="L824" s="107"/>
      <c r="M824" s="107"/>
      <c r="N824" s="206"/>
      <c r="O824" s="108" t="b">
        <v>0</v>
      </c>
      <c r="P824" s="207"/>
      <c r="Q824" s="140"/>
      <c r="R824" s="140"/>
      <c r="S824" s="140"/>
      <c r="T824" s="140"/>
      <c r="U824" s="140"/>
      <c r="V824" s="140"/>
      <c r="W824" s="140"/>
      <c r="X824" s="140"/>
      <c r="Y824" s="140"/>
      <c r="Z824" s="140"/>
      <c r="AA824" s="140"/>
      <c r="AB824" s="140"/>
      <c r="AC824" s="140"/>
      <c r="AD824" s="140"/>
      <c r="AE824" s="140"/>
      <c r="AF824" s="140"/>
      <c r="AG824" s="140"/>
      <c r="AH824" s="140"/>
      <c r="AI824" s="140"/>
      <c r="AJ824" s="140"/>
      <c r="AK824" s="140"/>
      <c r="AL824" s="140"/>
      <c r="AM824" s="140"/>
      <c r="AN824" s="140"/>
      <c r="AO824" s="140"/>
      <c r="AP824" s="140"/>
      <c r="AQ824" s="140"/>
      <c r="AR824" s="140"/>
      <c r="AS824" s="140"/>
      <c r="AT824" s="140"/>
      <c r="AU824" s="140"/>
      <c r="AV824" s="140"/>
      <c r="AW824" s="140"/>
      <c r="AX824" s="140"/>
      <c r="AY824" s="140"/>
      <c r="AZ824" s="140"/>
      <c r="BA824" s="140"/>
      <c r="BB824" s="140"/>
      <c r="BC824" s="140"/>
      <c r="BD824" s="140"/>
      <c r="BE824" s="140"/>
    </row>
    <row r="825">
      <c r="A825" s="108"/>
      <c r="B825" s="107"/>
      <c r="C825" s="107"/>
      <c r="D825" s="107"/>
      <c r="E825" s="107"/>
      <c r="F825" s="107"/>
      <c r="G825" s="208"/>
      <c r="H825" s="131"/>
      <c r="I825" s="211"/>
      <c r="J825" s="107"/>
      <c r="K825" s="202"/>
      <c r="L825" s="107"/>
      <c r="M825" s="107"/>
      <c r="N825" s="206"/>
      <c r="O825" s="108" t="b">
        <v>0</v>
      </c>
      <c r="P825" s="207"/>
      <c r="Q825" s="140"/>
      <c r="R825" s="140"/>
      <c r="S825" s="140"/>
      <c r="T825" s="140"/>
      <c r="U825" s="140"/>
      <c r="V825" s="140"/>
      <c r="W825" s="140"/>
      <c r="X825" s="140"/>
      <c r="Y825" s="140"/>
      <c r="Z825" s="140"/>
      <c r="AA825" s="140"/>
      <c r="AB825" s="140"/>
      <c r="AC825" s="140"/>
      <c r="AD825" s="140"/>
      <c r="AE825" s="140"/>
      <c r="AF825" s="140"/>
      <c r="AG825" s="140"/>
      <c r="AH825" s="140"/>
      <c r="AI825" s="140"/>
      <c r="AJ825" s="140"/>
      <c r="AK825" s="140"/>
      <c r="AL825" s="140"/>
      <c r="AM825" s="140"/>
      <c r="AN825" s="140"/>
      <c r="AO825" s="140"/>
      <c r="AP825" s="140"/>
      <c r="AQ825" s="140"/>
      <c r="AR825" s="140"/>
      <c r="AS825" s="140"/>
      <c r="AT825" s="140"/>
      <c r="AU825" s="140"/>
      <c r="AV825" s="140"/>
      <c r="AW825" s="140"/>
      <c r="AX825" s="140"/>
      <c r="AY825" s="140"/>
      <c r="AZ825" s="140"/>
      <c r="BA825" s="140"/>
      <c r="BB825" s="140"/>
      <c r="BC825" s="140"/>
      <c r="BD825" s="140"/>
      <c r="BE825" s="140"/>
    </row>
    <row r="826">
      <c r="A826" s="108"/>
      <c r="B826" s="107"/>
      <c r="C826" s="107"/>
      <c r="D826" s="107"/>
      <c r="E826" s="107"/>
      <c r="F826" s="107"/>
      <c r="G826" s="208"/>
      <c r="H826" s="131"/>
      <c r="I826" s="211"/>
      <c r="J826" s="107"/>
      <c r="K826" s="202"/>
      <c r="L826" s="107"/>
      <c r="M826" s="107"/>
      <c r="N826" s="206"/>
      <c r="O826" s="108" t="b">
        <v>0</v>
      </c>
      <c r="P826" s="207"/>
      <c r="Q826" s="140"/>
      <c r="R826" s="140"/>
      <c r="S826" s="140"/>
      <c r="T826" s="140"/>
      <c r="U826" s="140"/>
      <c r="V826" s="140"/>
      <c r="W826" s="140"/>
      <c r="X826" s="140"/>
      <c r="Y826" s="140"/>
      <c r="Z826" s="140"/>
      <c r="AA826" s="140"/>
      <c r="AB826" s="140"/>
      <c r="AC826" s="140"/>
      <c r="AD826" s="140"/>
      <c r="AE826" s="140"/>
      <c r="AF826" s="140"/>
      <c r="AG826" s="140"/>
      <c r="AH826" s="140"/>
      <c r="AI826" s="140"/>
      <c r="AJ826" s="140"/>
      <c r="AK826" s="140"/>
      <c r="AL826" s="140"/>
      <c r="AM826" s="140"/>
      <c r="AN826" s="140"/>
      <c r="AO826" s="140"/>
      <c r="AP826" s="140"/>
      <c r="AQ826" s="140"/>
      <c r="AR826" s="140"/>
      <c r="AS826" s="140"/>
      <c r="AT826" s="140"/>
      <c r="AU826" s="140"/>
      <c r="AV826" s="140"/>
      <c r="AW826" s="140"/>
      <c r="AX826" s="140"/>
      <c r="AY826" s="140"/>
      <c r="AZ826" s="140"/>
      <c r="BA826" s="140"/>
      <c r="BB826" s="140"/>
      <c r="BC826" s="140"/>
      <c r="BD826" s="140"/>
      <c r="BE826" s="140"/>
    </row>
    <row r="827">
      <c r="A827" s="108"/>
      <c r="B827" s="107"/>
      <c r="C827" s="107"/>
      <c r="D827" s="107"/>
      <c r="E827" s="107"/>
      <c r="F827" s="107"/>
      <c r="G827" s="208"/>
      <c r="H827" s="131"/>
      <c r="I827" s="211"/>
      <c r="J827" s="107"/>
      <c r="K827" s="202"/>
      <c r="L827" s="107"/>
      <c r="M827" s="107"/>
      <c r="N827" s="206"/>
      <c r="O827" s="108" t="b">
        <v>0</v>
      </c>
      <c r="P827" s="207"/>
      <c r="Q827" s="140"/>
      <c r="R827" s="140"/>
      <c r="S827" s="140"/>
      <c r="T827" s="140"/>
      <c r="U827" s="140"/>
      <c r="V827" s="140"/>
      <c r="W827" s="140"/>
      <c r="X827" s="140"/>
      <c r="Y827" s="140"/>
      <c r="Z827" s="140"/>
      <c r="AA827" s="140"/>
      <c r="AB827" s="140"/>
      <c r="AC827" s="140"/>
      <c r="AD827" s="140"/>
      <c r="AE827" s="140"/>
      <c r="AF827" s="140"/>
      <c r="AG827" s="140"/>
      <c r="AH827" s="140"/>
      <c r="AI827" s="140"/>
      <c r="AJ827" s="140"/>
      <c r="AK827" s="140"/>
      <c r="AL827" s="140"/>
      <c r="AM827" s="140"/>
      <c r="AN827" s="140"/>
      <c r="AO827" s="140"/>
      <c r="AP827" s="140"/>
      <c r="AQ827" s="140"/>
      <c r="AR827" s="140"/>
      <c r="AS827" s="140"/>
      <c r="AT827" s="140"/>
      <c r="AU827" s="140"/>
      <c r="AV827" s="140"/>
      <c r="AW827" s="140"/>
      <c r="AX827" s="140"/>
      <c r="AY827" s="140"/>
      <c r="AZ827" s="140"/>
      <c r="BA827" s="140"/>
      <c r="BB827" s="140"/>
      <c r="BC827" s="140"/>
      <c r="BD827" s="140"/>
      <c r="BE827" s="140"/>
    </row>
    <row r="828">
      <c r="A828" s="108"/>
      <c r="B828" s="107"/>
      <c r="C828" s="107"/>
      <c r="D828" s="107"/>
      <c r="E828" s="107"/>
      <c r="F828" s="107"/>
      <c r="G828" s="208"/>
      <c r="H828" s="131"/>
      <c r="I828" s="211"/>
      <c r="J828" s="107"/>
      <c r="K828" s="202"/>
      <c r="L828" s="107"/>
      <c r="M828" s="107"/>
      <c r="N828" s="206"/>
      <c r="O828" s="108" t="b">
        <v>0</v>
      </c>
      <c r="P828" s="207"/>
      <c r="Q828" s="140"/>
      <c r="R828" s="140"/>
      <c r="S828" s="140"/>
      <c r="T828" s="140"/>
      <c r="U828" s="140"/>
      <c r="V828" s="140"/>
      <c r="W828" s="140"/>
      <c r="X828" s="140"/>
      <c r="Y828" s="140"/>
      <c r="Z828" s="140"/>
      <c r="AA828" s="140"/>
      <c r="AB828" s="140"/>
      <c r="AC828" s="140"/>
      <c r="AD828" s="140"/>
      <c r="AE828" s="140"/>
      <c r="AF828" s="140"/>
      <c r="AG828" s="140"/>
      <c r="AH828" s="140"/>
      <c r="AI828" s="140"/>
      <c r="AJ828" s="140"/>
      <c r="AK828" s="140"/>
      <c r="AL828" s="140"/>
      <c r="AM828" s="140"/>
      <c r="AN828" s="140"/>
      <c r="AO828" s="140"/>
      <c r="AP828" s="140"/>
      <c r="AQ828" s="140"/>
      <c r="AR828" s="140"/>
      <c r="AS828" s="140"/>
      <c r="AT828" s="140"/>
      <c r="AU828" s="140"/>
      <c r="AV828" s="140"/>
      <c r="AW828" s="140"/>
      <c r="AX828" s="140"/>
      <c r="AY828" s="140"/>
      <c r="AZ828" s="140"/>
      <c r="BA828" s="140"/>
      <c r="BB828" s="140"/>
      <c r="BC828" s="140"/>
      <c r="BD828" s="140"/>
      <c r="BE828" s="140"/>
    </row>
    <row r="829">
      <c r="A829" s="108"/>
      <c r="B829" s="107"/>
      <c r="C829" s="107"/>
      <c r="D829" s="107"/>
      <c r="E829" s="107"/>
      <c r="F829" s="107"/>
      <c r="G829" s="208"/>
      <c r="H829" s="131"/>
      <c r="I829" s="211"/>
      <c r="J829" s="107"/>
      <c r="K829" s="202"/>
      <c r="L829" s="107"/>
      <c r="M829" s="107"/>
      <c r="N829" s="206"/>
      <c r="O829" s="108" t="b">
        <v>0</v>
      </c>
      <c r="P829" s="207"/>
      <c r="Q829" s="140"/>
      <c r="R829" s="140"/>
      <c r="S829" s="140"/>
      <c r="T829" s="140"/>
      <c r="U829" s="140"/>
      <c r="V829" s="140"/>
      <c r="W829" s="140"/>
      <c r="X829" s="140"/>
      <c r="Y829" s="140"/>
      <c r="Z829" s="140"/>
      <c r="AA829" s="140"/>
      <c r="AB829" s="140"/>
      <c r="AC829" s="140"/>
      <c r="AD829" s="140"/>
      <c r="AE829" s="140"/>
      <c r="AF829" s="140"/>
      <c r="AG829" s="140"/>
      <c r="AH829" s="140"/>
      <c r="AI829" s="140"/>
      <c r="AJ829" s="140"/>
      <c r="AK829" s="140"/>
      <c r="AL829" s="140"/>
      <c r="AM829" s="140"/>
      <c r="AN829" s="140"/>
      <c r="AO829" s="140"/>
      <c r="AP829" s="140"/>
      <c r="AQ829" s="140"/>
      <c r="AR829" s="140"/>
      <c r="AS829" s="140"/>
      <c r="AT829" s="140"/>
      <c r="AU829" s="140"/>
      <c r="AV829" s="140"/>
      <c r="AW829" s="140"/>
      <c r="AX829" s="140"/>
      <c r="AY829" s="140"/>
      <c r="AZ829" s="140"/>
      <c r="BA829" s="140"/>
      <c r="BB829" s="140"/>
      <c r="BC829" s="140"/>
      <c r="BD829" s="140"/>
      <c r="BE829" s="140"/>
    </row>
    <row r="830">
      <c r="A830" s="108"/>
      <c r="B830" s="107"/>
      <c r="C830" s="107"/>
      <c r="D830" s="107"/>
      <c r="E830" s="107"/>
      <c r="F830" s="107"/>
      <c r="G830" s="208"/>
      <c r="H830" s="131"/>
      <c r="I830" s="211"/>
      <c r="J830" s="107"/>
      <c r="K830" s="202"/>
      <c r="L830" s="107"/>
      <c r="M830" s="107"/>
      <c r="N830" s="206"/>
      <c r="O830" s="108" t="b">
        <v>0</v>
      </c>
      <c r="P830" s="207"/>
      <c r="Q830" s="140"/>
      <c r="R830" s="140"/>
      <c r="S830" s="140"/>
      <c r="T830" s="140"/>
      <c r="U830" s="140"/>
      <c r="V830" s="140"/>
      <c r="W830" s="140"/>
      <c r="X830" s="140"/>
      <c r="Y830" s="140"/>
      <c r="Z830" s="140"/>
      <c r="AA830" s="140"/>
      <c r="AB830" s="140"/>
      <c r="AC830" s="140"/>
      <c r="AD830" s="140"/>
      <c r="AE830" s="140"/>
      <c r="AF830" s="140"/>
      <c r="AG830" s="140"/>
      <c r="AH830" s="140"/>
      <c r="AI830" s="140"/>
      <c r="AJ830" s="140"/>
      <c r="AK830" s="140"/>
      <c r="AL830" s="140"/>
      <c r="AM830" s="140"/>
      <c r="AN830" s="140"/>
      <c r="AO830" s="140"/>
      <c r="AP830" s="140"/>
      <c r="AQ830" s="140"/>
      <c r="AR830" s="140"/>
      <c r="AS830" s="140"/>
      <c r="AT830" s="140"/>
      <c r="AU830" s="140"/>
      <c r="AV830" s="140"/>
      <c r="AW830" s="140"/>
      <c r="AX830" s="140"/>
      <c r="AY830" s="140"/>
      <c r="AZ830" s="140"/>
      <c r="BA830" s="140"/>
      <c r="BB830" s="140"/>
      <c r="BC830" s="140"/>
      <c r="BD830" s="140"/>
      <c r="BE830" s="140"/>
    </row>
    <row r="831">
      <c r="A831" s="108"/>
      <c r="B831" s="107"/>
      <c r="C831" s="107"/>
      <c r="D831" s="107"/>
      <c r="E831" s="107"/>
      <c r="F831" s="107"/>
      <c r="G831" s="208"/>
      <c r="H831" s="131"/>
      <c r="I831" s="211"/>
      <c r="J831" s="107"/>
      <c r="K831" s="202"/>
      <c r="L831" s="107"/>
      <c r="M831" s="107"/>
      <c r="N831" s="206"/>
      <c r="O831" s="108" t="b">
        <v>0</v>
      </c>
      <c r="P831" s="207"/>
      <c r="Q831" s="140"/>
      <c r="R831" s="140"/>
      <c r="S831" s="140"/>
      <c r="T831" s="140"/>
      <c r="U831" s="140"/>
      <c r="V831" s="140"/>
      <c r="W831" s="140"/>
      <c r="X831" s="140"/>
      <c r="Y831" s="140"/>
      <c r="Z831" s="140"/>
      <c r="AA831" s="140"/>
      <c r="AB831" s="140"/>
      <c r="AC831" s="140"/>
      <c r="AD831" s="140"/>
      <c r="AE831" s="140"/>
      <c r="AF831" s="140"/>
      <c r="AG831" s="140"/>
      <c r="AH831" s="140"/>
      <c r="AI831" s="140"/>
      <c r="AJ831" s="140"/>
      <c r="AK831" s="140"/>
      <c r="AL831" s="140"/>
      <c r="AM831" s="140"/>
      <c r="AN831" s="140"/>
      <c r="AO831" s="140"/>
      <c r="AP831" s="140"/>
      <c r="AQ831" s="140"/>
      <c r="AR831" s="140"/>
      <c r="AS831" s="140"/>
      <c r="AT831" s="140"/>
      <c r="AU831" s="140"/>
      <c r="AV831" s="140"/>
      <c r="AW831" s="140"/>
      <c r="AX831" s="140"/>
      <c r="AY831" s="140"/>
      <c r="AZ831" s="140"/>
      <c r="BA831" s="140"/>
      <c r="BB831" s="140"/>
      <c r="BC831" s="140"/>
      <c r="BD831" s="140"/>
      <c r="BE831" s="140"/>
    </row>
    <row r="832">
      <c r="A832" s="108"/>
      <c r="B832" s="107"/>
      <c r="C832" s="107"/>
      <c r="D832" s="107"/>
      <c r="E832" s="107"/>
      <c r="F832" s="107"/>
      <c r="G832" s="208"/>
      <c r="H832" s="131"/>
      <c r="I832" s="211"/>
      <c r="J832" s="107"/>
      <c r="K832" s="202"/>
      <c r="L832" s="107"/>
      <c r="M832" s="107"/>
      <c r="N832" s="206"/>
      <c r="O832" s="108" t="b">
        <v>0</v>
      </c>
      <c r="P832" s="207"/>
      <c r="Q832" s="140"/>
      <c r="R832" s="140"/>
      <c r="S832" s="140"/>
      <c r="T832" s="140"/>
      <c r="U832" s="140"/>
      <c r="V832" s="140"/>
      <c r="W832" s="140"/>
      <c r="X832" s="140"/>
      <c r="Y832" s="140"/>
      <c r="Z832" s="140"/>
      <c r="AA832" s="140"/>
      <c r="AB832" s="140"/>
      <c r="AC832" s="140"/>
      <c r="AD832" s="140"/>
      <c r="AE832" s="140"/>
      <c r="AF832" s="140"/>
      <c r="AG832" s="140"/>
      <c r="AH832" s="140"/>
      <c r="AI832" s="140"/>
      <c r="AJ832" s="140"/>
      <c r="AK832" s="140"/>
      <c r="AL832" s="140"/>
      <c r="AM832" s="140"/>
      <c r="AN832" s="140"/>
      <c r="AO832" s="140"/>
      <c r="AP832" s="140"/>
      <c r="AQ832" s="140"/>
      <c r="AR832" s="140"/>
      <c r="AS832" s="140"/>
      <c r="AT832" s="140"/>
      <c r="AU832" s="140"/>
      <c r="AV832" s="140"/>
      <c r="AW832" s="140"/>
      <c r="AX832" s="140"/>
      <c r="AY832" s="140"/>
      <c r="AZ832" s="140"/>
      <c r="BA832" s="140"/>
      <c r="BB832" s="140"/>
      <c r="BC832" s="140"/>
      <c r="BD832" s="140"/>
      <c r="BE832" s="140"/>
    </row>
    <row r="833">
      <c r="A833" s="108"/>
      <c r="B833" s="107"/>
      <c r="C833" s="107"/>
      <c r="D833" s="107"/>
      <c r="E833" s="107"/>
      <c r="F833" s="107"/>
      <c r="G833" s="208"/>
      <c r="H833" s="131"/>
      <c r="I833" s="211"/>
      <c r="J833" s="107"/>
      <c r="K833" s="202"/>
      <c r="L833" s="107"/>
      <c r="M833" s="107"/>
      <c r="N833" s="206"/>
      <c r="O833" s="108" t="b">
        <v>0</v>
      </c>
      <c r="P833" s="207"/>
      <c r="Q833" s="140"/>
      <c r="R833" s="140"/>
      <c r="S833" s="140"/>
      <c r="T833" s="140"/>
      <c r="U833" s="140"/>
      <c r="V833" s="140"/>
      <c r="W833" s="140"/>
      <c r="X833" s="140"/>
      <c r="Y833" s="140"/>
      <c r="Z833" s="140"/>
      <c r="AA833" s="140"/>
      <c r="AB833" s="140"/>
      <c r="AC833" s="140"/>
      <c r="AD833" s="140"/>
      <c r="AE833" s="140"/>
      <c r="AF833" s="140"/>
      <c r="AG833" s="140"/>
      <c r="AH833" s="140"/>
      <c r="AI833" s="140"/>
      <c r="AJ833" s="140"/>
      <c r="AK833" s="140"/>
      <c r="AL833" s="140"/>
      <c r="AM833" s="140"/>
      <c r="AN833" s="140"/>
      <c r="AO833" s="140"/>
      <c r="AP833" s="140"/>
      <c r="AQ833" s="140"/>
      <c r="AR833" s="140"/>
      <c r="AS833" s="140"/>
      <c r="AT833" s="140"/>
      <c r="AU833" s="140"/>
      <c r="AV833" s="140"/>
      <c r="AW833" s="140"/>
      <c r="AX833" s="140"/>
      <c r="AY833" s="140"/>
      <c r="AZ833" s="140"/>
      <c r="BA833" s="140"/>
      <c r="BB833" s="140"/>
      <c r="BC833" s="140"/>
      <c r="BD833" s="140"/>
      <c r="BE833" s="140"/>
    </row>
    <row r="834">
      <c r="A834" s="108"/>
      <c r="B834" s="107"/>
      <c r="C834" s="107"/>
      <c r="D834" s="107"/>
      <c r="E834" s="107"/>
      <c r="F834" s="107"/>
      <c r="G834" s="208"/>
      <c r="H834" s="131"/>
      <c r="I834" s="211"/>
      <c r="J834" s="107"/>
      <c r="K834" s="202"/>
      <c r="L834" s="107"/>
      <c r="M834" s="107"/>
      <c r="N834" s="206"/>
      <c r="O834" s="108" t="b">
        <v>0</v>
      </c>
      <c r="P834" s="207"/>
      <c r="Q834" s="140"/>
      <c r="R834" s="140"/>
      <c r="S834" s="140"/>
      <c r="T834" s="140"/>
      <c r="U834" s="140"/>
      <c r="V834" s="140"/>
      <c r="W834" s="140"/>
      <c r="X834" s="140"/>
      <c r="Y834" s="140"/>
      <c r="Z834" s="140"/>
      <c r="AA834" s="140"/>
      <c r="AB834" s="140"/>
      <c r="AC834" s="140"/>
      <c r="AD834" s="140"/>
      <c r="AE834" s="140"/>
      <c r="AF834" s="140"/>
      <c r="AG834" s="140"/>
      <c r="AH834" s="140"/>
      <c r="AI834" s="140"/>
      <c r="AJ834" s="140"/>
      <c r="AK834" s="140"/>
      <c r="AL834" s="140"/>
      <c r="AM834" s="140"/>
      <c r="AN834" s="140"/>
      <c r="AO834" s="140"/>
      <c r="AP834" s="140"/>
      <c r="AQ834" s="140"/>
      <c r="AR834" s="140"/>
      <c r="AS834" s="140"/>
      <c r="AT834" s="140"/>
      <c r="AU834" s="140"/>
      <c r="AV834" s="140"/>
      <c r="AW834" s="140"/>
      <c r="AX834" s="140"/>
      <c r="AY834" s="140"/>
      <c r="AZ834" s="140"/>
      <c r="BA834" s="140"/>
      <c r="BB834" s="140"/>
      <c r="BC834" s="140"/>
      <c r="BD834" s="140"/>
      <c r="BE834" s="140"/>
    </row>
    <row r="835">
      <c r="A835" s="108"/>
      <c r="B835" s="107"/>
      <c r="C835" s="107"/>
      <c r="D835" s="107"/>
      <c r="E835" s="107"/>
      <c r="F835" s="107"/>
      <c r="G835" s="208"/>
      <c r="H835" s="131"/>
      <c r="I835" s="211"/>
      <c r="J835" s="107"/>
      <c r="K835" s="202"/>
      <c r="L835" s="107"/>
      <c r="M835" s="107"/>
      <c r="N835" s="206"/>
      <c r="O835" s="108" t="b">
        <v>0</v>
      </c>
      <c r="P835" s="207"/>
      <c r="Q835" s="140"/>
      <c r="R835" s="140"/>
      <c r="S835" s="140"/>
      <c r="T835" s="140"/>
      <c r="U835" s="140"/>
      <c r="V835" s="140"/>
      <c r="W835" s="140"/>
      <c r="X835" s="140"/>
      <c r="Y835" s="140"/>
      <c r="Z835" s="140"/>
      <c r="AA835" s="140"/>
      <c r="AB835" s="140"/>
      <c r="AC835" s="140"/>
      <c r="AD835" s="140"/>
      <c r="AE835" s="140"/>
      <c r="AF835" s="140"/>
      <c r="AG835" s="140"/>
      <c r="AH835" s="140"/>
      <c r="AI835" s="140"/>
      <c r="AJ835" s="140"/>
      <c r="AK835" s="140"/>
      <c r="AL835" s="140"/>
      <c r="AM835" s="140"/>
      <c r="AN835" s="140"/>
      <c r="AO835" s="140"/>
      <c r="AP835" s="140"/>
      <c r="AQ835" s="140"/>
      <c r="AR835" s="140"/>
      <c r="AS835" s="140"/>
      <c r="AT835" s="140"/>
      <c r="AU835" s="140"/>
      <c r="AV835" s="140"/>
      <c r="AW835" s="140"/>
      <c r="AX835" s="140"/>
      <c r="AY835" s="140"/>
      <c r="AZ835" s="140"/>
      <c r="BA835" s="140"/>
      <c r="BB835" s="140"/>
      <c r="BC835" s="140"/>
      <c r="BD835" s="140"/>
      <c r="BE835" s="140"/>
    </row>
    <row r="836">
      <c r="A836" s="108"/>
      <c r="B836" s="107"/>
      <c r="C836" s="107"/>
      <c r="D836" s="107"/>
      <c r="E836" s="107"/>
      <c r="F836" s="107"/>
      <c r="G836" s="208"/>
      <c r="H836" s="131"/>
      <c r="I836" s="211"/>
      <c r="J836" s="107"/>
      <c r="K836" s="202"/>
      <c r="L836" s="107"/>
      <c r="M836" s="107"/>
      <c r="N836" s="206"/>
      <c r="O836" s="108" t="b">
        <v>0</v>
      </c>
      <c r="P836" s="207"/>
      <c r="Q836" s="140"/>
      <c r="R836" s="140"/>
      <c r="S836" s="140"/>
      <c r="T836" s="140"/>
      <c r="U836" s="140"/>
      <c r="V836" s="140"/>
      <c r="W836" s="140"/>
      <c r="X836" s="140"/>
      <c r="Y836" s="140"/>
      <c r="Z836" s="140"/>
      <c r="AA836" s="140"/>
      <c r="AB836" s="140"/>
      <c r="AC836" s="140"/>
      <c r="AD836" s="140"/>
      <c r="AE836" s="140"/>
      <c r="AF836" s="140"/>
      <c r="AG836" s="140"/>
      <c r="AH836" s="140"/>
      <c r="AI836" s="140"/>
      <c r="AJ836" s="140"/>
      <c r="AK836" s="140"/>
      <c r="AL836" s="140"/>
      <c r="AM836" s="140"/>
      <c r="AN836" s="140"/>
      <c r="AO836" s="140"/>
      <c r="AP836" s="140"/>
      <c r="AQ836" s="140"/>
      <c r="AR836" s="140"/>
      <c r="AS836" s="140"/>
      <c r="AT836" s="140"/>
      <c r="AU836" s="140"/>
      <c r="AV836" s="140"/>
      <c r="AW836" s="140"/>
      <c r="AX836" s="140"/>
      <c r="AY836" s="140"/>
      <c r="AZ836" s="140"/>
      <c r="BA836" s="140"/>
      <c r="BB836" s="140"/>
      <c r="BC836" s="140"/>
      <c r="BD836" s="140"/>
      <c r="BE836" s="140"/>
    </row>
    <row r="837">
      <c r="A837" s="108"/>
      <c r="B837" s="107"/>
      <c r="C837" s="107"/>
      <c r="D837" s="107"/>
      <c r="E837" s="107"/>
      <c r="F837" s="107"/>
      <c r="G837" s="208"/>
      <c r="H837" s="131"/>
      <c r="I837" s="211"/>
      <c r="J837" s="107"/>
      <c r="K837" s="202"/>
      <c r="L837" s="107"/>
      <c r="M837" s="107"/>
      <c r="N837" s="206"/>
      <c r="O837" s="108" t="b">
        <v>0</v>
      </c>
      <c r="P837" s="207"/>
      <c r="Q837" s="140"/>
      <c r="R837" s="140"/>
      <c r="S837" s="140"/>
      <c r="T837" s="140"/>
      <c r="U837" s="140"/>
      <c r="V837" s="140"/>
      <c r="W837" s="140"/>
      <c r="X837" s="140"/>
      <c r="Y837" s="140"/>
      <c r="Z837" s="140"/>
      <c r="AA837" s="140"/>
      <c r="AB837" s="140"/>
      <c r="AC837" s="140"/>
      <c r="AD837" s="140"/>
      <c r="AE837" s="140"/>
      <c r="AF837" s="140"/>
      <c r="AG837" s="140"/>
      <c r="AH837" s="140"/>
      <c r="AI837" s="140"/>
      <c r="AJ837" s="140"/>
      <c r="AK837" s="140"/>
      <c r="AL837" s="140"/>
      <c r="AM837" s="140"/>
      <c r="AN837" s="140"/>
      <c r="AO837" s="140"/>
      <c r="AP837" s="140"/>
      <c r="AQ837" s="140"/>
      <c r="AR837" s="140"/>
      <c r="AS837" s="140"/>
      <c r="AT837" s="140"/>
      <c r="AU837" s="140"/>
      <c r="AV837" s="140"/>
      <c r="AW837" s="140"/>
      <c r="AX837" s="140"/>
      <c r="AY837" s="140"/>
      <c r="AZ837" s="140"/>
      <c r="BA837" s="140"/>
      <c r="BB837" s="140"/>
      <c r="BC837" s="140"/>
      <c r="BD837" s="140"/>
      <c r="BE837" s="140"/>
    </row>
    <row r="838">
      <c r="A838" s="108"/>
      <c r="B838" s="107"/>
      <c r="C838" s="107"/>
      <c r="D838" s="107"/>
      <c r="E838" s="107"/>
      <c r="F838" s="107"/>
      <c r="G838" s="208"/>
      <c r="H838" s="131"/>
      <c r="I838" s="211"/>
      <c r="J838" s="107"/>
      <c r="K838" s="202"/>
      <c r="L838" s="107"/>
      <c r="M838" s="107"/>
      <c r="N838" s="206"/>
      <c r="O838" s="108" t="b">
        <v>0</v>
      </c>
      <c r="P838" s="207"/>
      <c r="Q838" s="140"/>
      <c r="R838" s="140"/>
      <c r="S838" s="140"/>
      <c r="T838" s="140"/>
      <c r="U838" s="140"/>
      <c r="V838" s="140"/>
      <c r="W838" s="140"/>
      <c r="X838" s="140"/>
      <c r="Y838" s="140"/>
      <c r="Z838" s="140"/>
      <c r="AA838" s="140"/>
      <c r="AB838" s="140"/>
      <c r="AC838" s="140"/>
      <c r="AD838" s="140"/>
      <c r="AE838" s="140"/>
      <c r="AF838" s="140"/>
      <c r="AG838" s="140"/>
      <c r="AH838" s="140"/>
      <c r="AI838" s="140"/>
      <c r="AJ838" s="140"/>
      <c r="AK838" s="140"/>
      <c r="AL838" s="140"/>
      <c r="AM838" s="140"/>
      <c r="AN838" s="140"/>
      <c r="AO838" s="140"/>
      <c r="AP838" s="140"/>
      <c r="AQ838" s="140"/>
      <c r="AR838" s="140"/>
      <c r="AS838" s="140"/>
      <c r="AT838" s="140"/>
      <c r="AU838" s="140"/>
      <c r="AV838" s="140"/>
      <c r="AW838" s="140"/>
      <c r="AX838" s="140"/>
      <c r="AY838" s="140"/>
      <c r="AZ838" s="140"/>
      <c r="BA838" s="140"/>
      <c r="BB838" s="140"/>
      <c r="BC838" s="140"/>
      <c r="BD838" s="140"/>
      <c r="BE838" s="140"/>
    </row>
    <row r="839">
      <c r="A839" s="108"/>
      <c r="B839" s="107"/>
      <c r="C839" s="107"/>
      <c r="D839" s="107"/>
      <c r="E839" s="107"/>
      <c r="F839" s="107"/>
      <c r="G839" s="208"/>
      <c r="H839" s="131"/>
      <c r="I839" s="211"/>
      <c r="J839" s="107"/>
      <c r="K839" s="202"/>
      <c r="L839" s="107"/>
      <c r="M839" s="107"/>
      <c r="N839" s="206"/>
      <c r="O839" s="108" t="b">
        <v>0</v>
      </c>
      <c r="P839" s="207"/>
      <c r="Q839" s="140"/>
      <c r="R839" s="140"/>
      <c r="S839" s="140"/>
      <c r="T839" s="140"/>
      <c r="U839" s="140"/>
      <c r="V839" s="140"/>
      <c r="W839" s="140"/>
      <c r="X839" s="140"/>
      <c r="Y839" s="140"/>
      <c r="Z839" s="140"/>
      <c r="AA839" s="140"/>
      <c r="AB839" s="140"/>
      <c r="AC839" s="140"/>
      <c r="AD839" s="140"/>
      <c r="AE839" s="140"/>
      <c r="AF839" s="140"/>
      <c r="AG839" s="140"/>
      <c r="AH839" s="140"/>
      <c r="AI839" s="140"/>
      <c r="AJ839" s="140"/>
      <c r="AK839" s="140"/>
      <c r="AL839" s="140"/>
      <c r="AM839" s="140"/>
      <c r="AN839" s="140"/>
      <c r="AO839" s="140"/>
      <c r="AP839" s="140"/>
      <c r="AQ839" s="140"/>
      <c r="AR839" s="140"/>
      <c r="AS839" s="140"/>
      <c r="AT839" s="140"/>
      <c r="AU839" s="140"/>
      <c r="AV839" s="140"/>
      <c r="AW839" s="140"/>
      <c r="AX839" s="140"/>
      <c r="AY839" s="140"/>
      <c r="AZ839" s="140"/>
      <c r="BA839" s="140"/>
      <c r="BB839" s="140"/>
      <c r="BC839" s="140"/>
      <c r="BD839" s="140"/>
      <c r="BE839" s="140"/>
    </row>
    <row r="840">
      <c r="A840" s="108"/>
      <c r="B840" s="107"/>
      <c r="C840" s="107"/>
      <c r="D840" s="107"/>
      <c r="E840" s="107"/>
      <c r="F840" s="107"/>
      <c r="G840" s="208"/>
      <c r="H840" s="131"/>
      <c r="I840" s="211"/>
      <c r="J840" s="107"/>
      <c r="K840" s="202"/>
      <c r="L840" s="107"/>
      <c r="M840" s="107"/>
      <c r="N840" s="206"/>
      <c r="O840" s="108" t="b">
        <v>0</v>
      </c>
      <c r="P840" s="207"/>
      <c r="Q840" s="140"/>
      <c r="R840" s="140"/>
      <c r="S840" s="140"/>
      <c r="T840" s="140"/>
      <c r="U840" s="140"/>
      <c r="V840" s="140"/>
      <c r="W840" s="140"/>
      <c r="X840" s="140"/>
      <c r="Y840" s="140"/>
      <c r="Z840" s="140"/>
      <c r="AA840" s="140"/>
      <c r="AB840" s="140"/>
      <c r="AC840" s="140"/>
      <c r="AD840" s="140"/>
      <c r="AE840" s="140"/>
      <c r="AF840" s="140"/>
      <c r="AG840" s="140"/>
      <c r="AH840" s="140"/>
      <c r="AI840" s="140"/>
      <c r="AJ840" s="140"/>
      <c r="AK840" s="140"/>
      <c r="AL840" s="140"/>
      <c r="AM840" s="140"/>
      <c r="AN840" s="140"/>
      <c r="AO840" s="140"/>
      <c r="AP840" s="140"/>
      <c r="AQ840" s="140"/>
      <c r="AR840" s="140"/>
      <c r="AS840" s="140"/>
      <c r="AT840" s="140"/>
      <c r="AU840" s="140"/>
      <c r="AV840" s="140"/>
      <c r="AW840" s="140"/>
      <c r="AX840" s="140"/>
      <c r="AY840" s="140"/>
      <c r="AZ840" s="140"/>
      <c r="BA840" s="140"/>
      <c r="BB840" s="140"/>
      <c r="BC840" s="140"/>
      <c r="BD840" s="140"/>
      <c r="BE840" s="140"/>
    </row>
    <row r="841">
      <c r="A841" s="108"/>
      <c r="B841" s="107"/>
      <c r="C841" s="107"/>
      <c r="D841" s="107"/>
      <c r="E841" s="107"/>
      <c r="F841" s="107"/>
      <c r="G841" s="208"/>
      <c r="H841" s="131"/>
      <c r="I841" s="211"/>
      <c r="J841" s="107"/>
      <c r="K841" s="202"/>
      <c r="L841" s="107"/>
      <c r="M841" s="107"/>
      <c r="N841" s="206"/>
      <c r="O841" s="108" t="b">
        <v>0</v>
      </c>
      <c r="P841" s="207"/>
      <c r="Q841" s="140"/>
      <c r="R841" s="140"/>
      <c r="S841" s="140"/>
      <c r="T841" s="140"/>
      <c r="U841" s="140"/>
      <c r="V841" s="140"/>
      <c r="W841" s="140"/>
      <c r="X841" s="140"/>
      <c r="Y841" s="140"/>
      <c r="Z841" s="140"/>
      <c r="AA841" s="140"/>
      <c r="AB841" s="140"/>
      <c r="AC841" s="140"/>
      <c r="AD841" s="140"/>
      <c r="AE841" s="140"/>
      <c r="AF841" s="140"/>
      <c r="AG841" s="140"/>
      <c r="AH841" s="140"/>
      <c r="AI841" s="140"/>
      <c r="AJ841" s="140"/>
      <c r="AK841" s="140"/>
      <c r="AL841" s="140"/>
      <c r="AM841" s="140"/>
      <c r="AN841" s="140"/>
      <c r="AO841" s="140"/>
      <c r="AP841" s="140"/>
      <c r="AQ841" s="140"/>
      <c r="AR841" s="140"/>
      <c r="AS841" s="140"/>
      <c r="AT841" s="140"/>
      <c r="AU841" s="140"/>
      <c r="AV841" s="140"/>
      <c r="AW841" s="140"/>
      <c r="AX841" s="140"/>
      <c r="AY841" s="140"/>
      <c r="AZ841" s="140"/>
      <c r="BA841" s="140"/>
      <c r="BB841" s="140"/>
      <c r="BC841" s="140"/>
      <c r="BD841" s="140"/>
      <c r="BE841" s="140"/>
    </row>
    <row r="842">
      <c r="A842" s="108"/>
      <c r="B842" s="107"/>
      <c r="C842" s="107"/>
      <c r="D842" s="107"/>
      <c r="E842" s="107"/>
      <c r="F842" s="107"/>
      <c r="G842" s="208"/>
      <c r="H842" s="131"/>
      <c r="I842" s="211"/>
      <c r="J842" s="107"/>
      <c r="K842" s="202"/>
      <c r="L842" s="107"/>
      <c r="M842" s="107"/>
      <c r="N842" s="206"/>
      <c r="O842" s="108" t="b">
        <v>0</v>
      </c>
      <c r="P842" s="207"/>
      <c r="Q842" s="140"/>
      <c r="R842" s="140"/>
      <c r="S842" s="140"/>
      <c r="T842" s="140"/>
      <c r="U842" s="140"/>
      <c r="V842" s="140"/>
      <c r="W842" s="140"/>
      <c r="X842" s="140"/>
      <c r="Y842" s="140"/>
      <c r="Z842" s="140"/>
      <c r="AA842" s="140"/>
      <c r="AB842" s="140"/>
      <c r="AC842" s="140"/>
      <c r="AD842" s="140"/>
      <c r="AE842" s="140"/>
      <c r="AF842" s="140"/>
      <c r="AG842" s="140"/>
      <c r="AH842" s="140"/>
      <c r="AI842" s="140"/>
      <c r="AJ842" s="140"/>
      <c r="AK842" s="140"/>
      <c r="AL842" s="140"/>
      <c r="AM842" s="140"/>
      <c r="AN842" s="140"/>
      <c r="AO842" s="140"/>
      <c r="AP842" s="140"/>
      <c r="AQ842" s="140"/>
      <c r="AR842" s="140"/>
      <c r="AS842" s="140"/>
      <c r="AT842" s="140"/>
      <c r="AU842" s="140"/>
      <c r="AV842" s="140"/>
      <c r="AW842" s="140"/>
      <c r="AX842" s="140"/>
      <c r="AY842" s="140"/>
      <c r="AZ842" s="140"/>
      <c r="BA842" s="140"/>
      <c r="BB842" s="140"/>
      <c r="BC842" s="140"/>
      <c r="BD842" s="140"/>
      <c r="BE842" s="140"/>
    </row>
    <row r="843">
      <c r="A843" s="108"/>
      <c r="B843" s="107"/>
      <c r="C843" s="107"/>
      <c r="D843" s="107"/>
      <c r="E843" s="107"/>
      <c r="F843" s="107"/>
      <c r="G843" s="208"/>
      <c r="H843" s="131"/>
      <c r="I843" s="211"/>
      <c r="J843" s="107"/>
      <c r="K843" s="202"/>
      <c r="L843" s="107"/>
      <c r="M843" s="107"/>
      <c r="N843" s="206"/>
      <c r="O843" s="108" t="b">
        <v>0</v>
      </c>
      <c r="P843" s="207"/>
      <c r="Q843" s="140"/>
      <c r="R843" s="140"/>
      <c r="S843" s="140"/>
      <c r="T843" s="140"/>
      <c r="U843" s="140"/>
      <c r="V843" s="140"/>
      <c r="W843" s="140"/>
      <c r="X843" s="140"/>
      <c r="Y843" s="140"/>
      <c r="Z843" s="140"/>
      <c r="AA843" s="140"/>
      <c r="AB843" s="140"/>
      <c r="AC843" s="140"/>
      <c r="AD843" s="140"/>
      <c r="AE843" s="140"/>
      <c r="AF843" s="140"/>
      <c r="AG843" s="140"/>
      <c r="AH843" s="140"/>
      <c r="AI843" s="140"/>
      <c r="AJ843" s="140"/>
      <c r="AK843" s="140"/>
      <c r="AL843" s="140"/>
      <c r="AM843" s="140"/>
      <c r="AN843" s="140"/>
      <c r="AO843" s="140"/>
      <c r="AP843" s="140"/>
      <c r="AQ843" s="140"/>
      <c r="AR843" s="140"/>
      <c r="AS843" s="140"/>
      <c r="AT843" s="140"/>
      <c r="AU843" s="140"/>
      <c r="AV843" s="140"/>
      <c r="AW843" s="140"/>
      <c r="AX843" s="140"/>
      <c r="AY843" s="140"/>
      <c r="AZ843" s="140"/>
      <c r="BA843" s="140"/>
      <c r="BB843" s="140"/>
      <c r="BC843" s="140"/>
      <c r="BD843" s="140"/>
      <c r="BE843" s="140"/>
    </row>
    <row r="844">
      <c r="A844" s="108"/>
      <c r="B844" s="107"/>
      <c r="C844" s="107"/>
      <c r="D844" s="107"/>
      <c r="E844" s="107"/>
      <c r="F844" s="107"/>
      <c r="G844" s="208"/>
      <c r="H844" s="131"/>
      <c r="I844" s="211"/>
      <c r="J844" s="107"/>
      <c r="K844" s="202"/>
      <c r="L844" s="107"/>
      <c r="M844" s="107"/>
      <c r="N844" s="206"/>
      <c r="O844" s="108" t="b">
        <v>0</v>
      </c>
      <c r="P844" s="207"/>
      <c r="Q844" s="140"/>
      <c r="R844" s="140"/>
      <c r="S844" s="140"/>
      <c r="T844" s="140"/>
      <c r="U844" s="140"/>
      <c r="V844" s="140"/>
      <c r="W844" s="140"/>
      <c r="X844" s="140"/>
      <c r="Y844" s="140"/>
      <c r="Z844" s="140"/>
      <c r="AA844" s="140"/>
      <c r="AB844" s="140"/>
      <c r="AC844" s="140"/>
      <c r="AD844" s="140"/>
      <c r="AE844" s="140"/>
      <c r="AF844" s="140"/>
      <c r="AG844" s="140"/>
      <c r="AH844" s="140"/>
      <c r="AI844" s="140"/>
      <c r="AJ844" s="140"/>
      <c r="AK844" s="140"/>
      <c r="AL844" s="140"/>
      <c r="AM844" s="140"/>
      <c r="AN844" s="140"/>
      <c r="AO844" s="140"/>
      <c r="AP844" s="140"/>
      <c r="AQ844" s="140"/>
      <c r="AR844" s="140"/>
      <c r="AS844" s="140"/>
      <c r="AT844" s="140"/>
      <c r="AU844" s="140"/>
      <c r="AV844" s="140"/>
      <c r="AW844" s="140"/>
      <c r="AX844" s="140"/>
      <c r="AY844" s="140"/>
      <c r="AZ844" s="140"/>
      <c r="BA844" s="140"/>
      <c r="BB844" s="140"/>
      <c r="BC844" s="140"/>
      <c r="BD844" s="140"/>
      <c r="BE844" s="140"/>
    </row>
    <row r="845">
      <c r="A845" s="108"/>
      <c r="B845" s="107"/>
      <c r="C845" s="107"/>
      <c r="D845" s="107"/>
      <c r="E845" s="107"/>
      <c r="F845" s="107"/>
      <c r="G845" s="208"/>
      <c r="H845" s="131"/>
      <c r="I845" s="211"/>
      <c r="J845" s="107"/>
      <c r="K845" s="202"/>
      <c r="L845" s="107"/>
      <c r="M845" s="107"/>
      <c r="N845" s="206"/>
      <c r="O845" s="108" t="b">
        <v>0</v>
      </c>
      <c r="P845" s="207"/>
      <c r="Q845" s="140"/>
      <c r="R845" s="140"/>
      <c r="S845" s="140"/>
      <c r="T845" s="140"/>
      <c r="U845" s="140"/>
      <c r="V845" s="140"/>
      <c r="W845" s="140"/>
      <c r="X845" s="140"/>
      <c r="Y845" s="140"/>
      <c r="Z845" s="140"/>
      <c r="AA845" s="140"/>
      <c r="AB845" s="140"/>
      <c r="AC845" s="140"/>
      <c r="AD845" s="140"/>
      <c r="AE845" s="140"/>
      <c r="AF845" s="140"/>
      <c r="AG845" s="140"/>
      <c r="AH845" s="140"/>
      <c r="AI845" s="140"/>
      <c r="AJ845" s="140"/>
      <c r="AK845" s="140"/>
      <c r="AL845" s="140"/>
      <c r="AM845" s="140"/>
      <c r="AN845" s="140"/>
      <c r="AO845" s="140"/>
      <c r="AP845" s="140"/>
      <c r="AQ845" s="140"/>
      <c r="AR845" s="140"/>
      <c r="AS845" s="140"/>
      <c r="AT845" s="140"/>
      <c r="AU845" s="140"/>
      <c r="AV845" s="140"/>
      <c r="AW845" s="140"/>
      <c r="AX845" s="140"/>
      <c r="AY845" s="140"/>
      <c r="AZ845" s="140"/>
      <c r="BA845" s="140"/>
      <c r="BB845" s="140"/>
      <c r="BC845" s="140"/>
      <c r="BD845" s="140"/>
      <c r="BE845" s="140"/>
    </row>
    <row r="846">
      <c r="A846" s="108"/>
      <c r="B846" s="107"/>
      <c r="C846" s="107"/>
      <c r="D846" s="107"/>
      <c r="E846" s="107"/>
      <c r="F846" s="107"/>
      <c r="G846" s="208"/>
      <c r="H846" s="131"/>
      <c r="I846" s="211"/>
      <c r="J846" s="107"/>
      <c r="K846" s="202"/>
      <c r="L846" s="107"/>
      <c r="M846" s="107"/>
      <c r="N846" s="206"/>
      <c r="O846" s="108" t="b">
        <v>0</v>
      </c>
      <c r="P846" s="207"/>
      <c r="Q846" s="140"/>
      <c r="R846" s="140"/>
      <c r="S846" s="140"/>
      <c r="T846" s="140"/>
      <c r="U846" s="140"/>
      <c r="V846" s="140"/>
      <c r="W846" s="140"/>
      <c r="X846" s="140"/>
      <c r="Y846" s="140"/>
      <c r="Z846" s="140"/>
      <c r="AA846" s="140"/>
      <c r="AB846" s="140"/>
      <c r="AC846" s="140"/>
      <c r="AD846" s="140"/>
      <c r="AE846" s="140"/>
      <c r="AF846" s="140"/>
      <c r="AG846" s="140"/>
      <c r="AH846" s="140"/>
      <c r="AI846" s="140"/>
      <c r="AJ846" s="140"/>
      <c r="AK846" s="140"/>
      <c r="AL846" s="140"/>
      <c r="AM846" s="140"/>
      <c r="AN846" s="140"/>
      <c r="AO846" s="140"/>
      <c r="AP846" s="140"/>
      <c r="AQ846" s="140"/>
      <c r="AR846" s="140"/>
      <c r="AS846" s="140"/>
      <c r="AT846" s="140"/>
      <c r="AU846" s="140"/>
      <c r="AV846" s="140"/>
      <c r="AW846" s="140"/>
      <c r="AX846" s="140"/>
      <c r="AY846" s="140"/>
      <c r="AZ846" s="140"/>
      <c r="BA846" s="140"/>
      <c r="BB846" s="140"/>
      <c r="BC846" s="140"/>
      <c r="BD846" s="140"/>
      <c r="BE846" s="140"/>
    </row>
    <row r="847">
      <c r="A847" s="108"/>
      <c r="B847" s="107"/>
      <c r="C847" s="107"/>
      <c r="D847" s="107"/>
      <c r="E847" s="107"/>
      <c r="F847" s="107"/>
      <c r="G847" s="208"/>
      <c r="H847" s="131"/>
      <c r="I847" s="211"/>
      <c r="J847" s="107"/>
      <c r="K847" s="202"/>
      <c r="L847" s="107"/>
      <c r="M847" s="107"/>
      <c r="N847" s="206"/>
      <c r="O847" s="108" t="b">
        <v>0</v>
      </c>
      <c r="P847" s="207"/>
      <c r="Q847" s="140"/>
      <c r="R847" s="140"/>
      <c r="S847" s="140"/>
      <c r="T847" s="140"/>
      <c r="U847" s="140"/>
      <c r="V847" s="140"/>
      <c r="W847" s="140"/>
      <c r="X847" s="140"/>
      <c r="Y847" s="140"/>
      <c r="Z847" s="140"/>
      <c r="AA847" s="140"/>
      <c r="AB847" s="140"/>
      <c r="AC847" s="140"/>
      <c r="AD847" s="140"/>
      <c r="AE847" s="140"/>
      <c r="AF847" s="140"/>
      <c r="AG847" s="140"/>
      <c r="AH847" s="140"/>
      <c r="AI847" s="140"/>
      <c r="AJ847" s="140"/>
      <c r="AK847" s="140"/>
      <c r="AL847" s="140"/>
      <c r="AM847" s="140"/>
      <c r="AN847" s="140"/>
      <c r="AO847" s="140"/>
      <c r="AP847" s="140"/>
      <c r="AQ847" s="140"/>
      <c r="AR847" s="140"/>
      <c r="AS847" s="140"/>
      <c r="AT847" s="140"/>
      <c r="AU847" s="140"/>
      <c r="AV847" s="140"/>
      <c r="AW847" s="140"/>
      <c r="AX847" s="140"/>
      <c r="AY847" s="140"/>
      <c r="AZ847" s="140"/>
      <c r="BA847" s="140"/>
      <c r="BB847" s="140"/>
      <c r="BC847" s="140"/>
      <c r="BD847" s="140"/>
      <c r="BE847" s="140"/>
    </row>
    <row r="848">
      <c r="A848" s="108"/>
      <c r="B848" s="107"/>
      <c r="C848" s="107"/>
      <c r="D848" s="107"/>
      <c r="E848" s="107"/>
      <c r="F848" s="107"/>
      <c r="G848" s="208"/>
      <c r="H848" s="131"/>
      <c r="I848" s="211"/>
      <c r="J848" s="107"/>
      <c r="K848" s="202"/>
      <c r="L848" s="107"/>
      <c r="M848" s="107"/>
      <c r="N848" s="206"/>
      <c r="O848" s="108" t="b">
        <v>0</v>
      </c>
      <c r="P848" s="207"/>
      <c r="Q848" s="140"/>
      <c r="R848" s="140"/>
      <c r="S848" s="140"/>
      <c r="T848" s="140"/>
      <c r="U848" s="140"/>
      <c r="V848" s="140"/>
      <c r="W848" s="140"/>
      <c r="X848" s="140"/>
      <c r="Y848" s="140"/>
      <c r="Z848" s="140"/>
      <c r="AA848" s="140"/>
      <c r="AB848" s="140"/>
      <c r="AC848" s="140"/>
      <c r="AD848" s="140"/>
      <c r="AE848" s="140"/>
      <c r="AF848" s="140"/>
      <c r="AG848" s="140"/>
      <c r="AH848" s="140"/>
      <c r="AI848" s="140"/>
      <c r="AJ848" s="140"/>
      <c r="AK848" s="140"/>
      <c r="AL848" s="140"/>
      <c r="AM848" s="140"/>
      <c r="AN848" s="140"/>
      <c r="AO848" s="140"/>
      <c r="AP848" s="140"/>
      <c r="AQ848" s="140"/>
      <c r="AR848" s="140"/>
      <c r="AS848" s="140"/>
      <c r="AT848" s="140"/>
      <c r="AU848" s="140"/>
      <c r="AV848" s="140"/>
      <c r="AW848" s="140"/>
      <c r="AX848" s="140"/>
      <c r="AY848" s="140"/>
      <c r="AZ848" s="140"/>
      <c r="BA848" s="140"/>
      <c r="BB848" s="140"/>
      <c r="BC848" s="140"/>
      <c r="BD848" s="140"/>
      <c r="BE848" s="140"/>
    </row>
    <row r="849">
      <c r="A849" s="108"/>
      <c r="B849" s="107"/>
      <c r="C849" s="107"/>
      <c r="D849" s="107"/>
      <c r="E849" s="107"/>
      <c r="F849" s="107"/>
      <c r="G849" s="208"/>
      <c r="H849" s="131"/>
      <c r="I849" s="211"/>
      <c r="J849" s="107"/>
      <c r="K849" s="202"/>
      <c r="L849" s="107"/>
      <c r="M849" s="107"/>
      <c r="N849" s="206"/>
      <c r="O849" s="108" t="b">
        <v>0</v>
      </c>
      <c r="P849" s="207"/>
      <c r="Q849" s="140"/>
      <c r="R849" s="140"/>
      <c r="S849" s="140"/>
      <c r="T849" s="140"/>
      <c r="U849" s="140"/>
      <c r="V849" s="140"/>
      <c r="W849" s="140"/>
      <c r="X849" s="140"/>
      <c r="Y849" s="140"/>
      <c r="Z849" s="140"/>
      <c r="AA849" s="140"/>
      <c r="AB849" s="140"/>
      <c r="AC849" s="140"/>
      <c r="AD849" s="140"/>
      <c r="AE849" s="140"/>
      <c r="AF849" s="140"/>
      <c r="AG849" s="140"/>
      <c r="AH849" s="140"/>
      <c r="AI849" s="140"/>
      <c r="AJ849" s="140"/>
      <c r="AK849" s="140"/>
      <c r="AL849" s="140"/>
      <c r="AM849" s="140"/>
      <c r="AN849" s="140"/>
      <c r="AO849" s="140"/>
      <c r="AP849" s="140"/>
      <c r="AQ849" s="140"/>
      <c r="AR849" s="140"/>
      <c r="AS849" s="140"/>
      <c r="AT849" s="140"/>
      <c r="AU849" s="140"/>
      <c r="AV849" s="140"/>
      <c r="AW849" s="140"/>
      <c r="AX849" s="140"/>
      <c r="AY849" s="140"/>
      <c r="AZ849" s="140"/>
      <c r="BA849" s="140"/>
      <c r="BB849" s="140"/>
      <c r="BC849" s="140"/>
      <c r="BD849" s="140"/>
      <c r="BE849" s="140"/>
    </row>
    <row r="850">
      <c r="A850" s="108"/>
      <c r="B850" s="107"/>
      <c r="C850" s="107"/>
      <c r="D850" s="107"/>
      <c r="E850" s="107"/>
      <c r="F850" s="107"/>
      <c r="G850" s="208"/>
      <c r="H850" s="131"/>
      <c r="I850" s="211"/>
      <c r="J850" s="107"/>
      <c r="K850" s="202"/>
      <c r="L850" s="107"/>
      <c r="M850" s="107"/>
      <c r="N850" s="206"/>
      <c r="O850" s="108" t="b">
        <v>0</v>
      </c>
      <c r="P850" s="207"/>
      <c r="Q850" s="140"/>
      <c r="R850" s="140"/>
      <c r="S850" s="140"/>
      <c r="T850" s="140"/>
      <c r="U850" s="140"/>
      <c r="V850" s="140"/>
      <c r="W850" s="140"/>
      <c r="X850" s="140"/>
      <c r="Y850" s="140"/>
      <c r="Z850" s="140"/>
      <c r="AA850" s="140"/>
      <c r="AB850" s="140"/>
      <c r="AC850" s="140"/>
      <c r="AD850" s="140"/>
      <c r="AE850" s="140"/>
      <c r="AF850" s="140"/>
      <c r="AG850" s="140"/>
      <c r="AH850" s="140"/>
      <c r="AI850" s="140"/>
      <c r="AJ850" s="140"/>
      <c r="AK850" s="140"/>
      <c r="AL850" s="140"/>
      <c r="AM850" s="140"/>
      <c r="AN850" s="140"/>
      <c r="AO850" s="140"/>
      <c r="AP850" s="140"/>
      <c r="AQ850" s="140"/>
      <c r="AR850" s="140"/>
      <c r="AS850" s="140"/>
      <c r="AT850" s="140"/>
      <c r="AU850" s="140"/>
      <c r="AV850" s="140"/>
      <c r="AW850" s="140"/>
      <c r="AX850" s="140"/>
      <c r="AY850" s="140"/>
      <c r="AZ850" s="140"/>
      <c r="BA850" s="140"/>
      <c r="BB850" s="140"/>
      <c r="BC850" s="140"/>
      <c r="BD850" s="140"/>
      <c r="BE850" s="140"/>
    </row>
    <row r="851">
      <c r="A851" s="108"/>
      <c r="B851" s="107"/>
      <c r="C851" s="107"/>
      <c r="D851" s="107"/>
      <c r="E851" s="107"/>
      <c r="F851" s="107"/>
      <c r="G851" s="208"/>
      <c r="H851" s="131"/>
      <c r="I851" s="211"/>
      <c r="J851" s="107"/>
      <c r="K851" s="202"/>
      <c r="L851" s="107"/>
      <c r="M851" s="107"/>
      <c r="N851" s="206"/>
      <c r="O851" s="108" t="b">
        <v>0</v>
      </c>
      <c r="P851" s="207"/>
      <c r="Q851" s="140"/>
      <c r="R851" s="140"/>
      <c r="S851" s="140"/>
      <c r="T851" s="140"/>
      <c r="U851" s="140"/>
      <c r="V851" s="140"/>
      <c r="W851" s="140"/>
      <c r="X851" s="140"/>
      <c r="Y851" s="140"/>
      <c r="Z851" s="140"/>
      <c r="AA851" s="140"/>
      <c r="AB851" s="140"/>
      <c r="AC851" s="140"/>
      <c r="AD851" s="140"/>
      <c r="AE851" s="140"/>
      <c r="AF851" s="140"/>
      <c r="AG851" s="140"/>
      <c r="AH851" s="140"/>
      <c r="AI851" s="140"/>
      <c r="AJ851" s="140"/>
      <c r="AK851" s="140"/>
      <c r="AL851" s="140"/>
      <c r="AM851" s="140"/>
      <c r="AN851" s="140"/>
      <c r="AO851" s="140"/>
      <c r="AP851" s="140"/>
      <c r="AQ851" s="140"/>
      <c r="AR851" s="140"/>
      <c r="AS851" s="140"/>
      <c r="AT851" s="140"/>
      <c r="AU851" s="140"/>
      <c r="AV851" s="140"/>
      <c r="AW851" s="140"/>
      <c r="AX851" s="140"/>
      <c r="AY851" s="140"/>
      <c r="AZ851" s="140"/>
      <c r="BA851" s="140"/>
      <c r="BB851" s="140"/>
      <c r="BC851" s="140"/>
      <c r="BD851" s="140"/>
      <c r="BE851" s="140"/>
    </row>
    <row r="852">
      <c r="A852" s="108"/>
      <c r="B852" s="107"/>
      <c r="C852" s="107"/>
      <c r="D852" s="107"/>
      <c r="E852" s="107"/>
      <c r="F852" s="107"/>
      <c r="G852" s="208"/>
      <c r="H852" s="131"/>
      <c r="I852" s="211"/>
      <c r="J852" s="107"/>
      <c r="K852" s="202"/>
      <c r="L852" s="107"/>
      <c r="M852" s="107"/>
      <c r="N852" s="206"/>
      <c r="O852" s="108" t="b">
        <v>0</v>
      </c>
      <c r="P852" s="207"/>
      <c r="Q852" s="140"/>
      <c r="R852" s="140"/>
      <c r="S852" s="140"/>
      <c r="T852" s="140"/>
      <c r="U852" s="140"/>
      <c r="V852" s="140"/>
      <c r="W852" s="140"/>
      <c r="X852" s="140"/>
      <c r="Y852" s="140"/>
      <c r="Z852" s="140"/>
      <c r="AA852" s="140"/>
      <c r="AB852" s="140"/>
      <c r="AC852" s="140"/>
      <c r="AD852" s="140"/>
      <c r="AE852" s="140"/>
      <c r="AF852" s="140"/>
      <c r="AG852" s="140"/>
      <c r="AH852" s="140"/>
      <c r="AI852" s="140"/>
      <c r="AJ852" s="140"/>
      <c r="AK852" s="140"/>
      <c r="AL852" s="140"/>
      <c r="AM852" s="140"/>
      <c r="AN852" s="140"/>
      <c r="AO852" s="140"/>
      <c r="AP852" s="140"/>
      <c r="AQ852" s="140"/>
      <c r="AR852" s="140"/>
      <c r="AS852" s="140"/>
      <c r="AT852" s="140"/>
      <c r="AU852" s="140"/>
      <c r="AV852" s="140"/>
      <c r="AW852" s="140"/>
      <c r="AX852" s="140"/>
      <c r="AY852" s="140"/>
      <c r="AZ852" s="140"/>
      <c r="BA852" s="140"/>
      <c r="BB852" s="140"/>
      <c r="BC852" s="140"/>
      <c r="BD852" s="140"/>
      <c r="BE852" s="140"/>
    </row>
    <row r="853">
      <c r="A853" s="108"/>
      <c r="B853" s="107"/>
      <c r="C853" s="107"/>
      <c r="D853" s="107"/>
      <c r="E853" s="107"/>
      <c r="F853" s="107"/>
      <c r="G853" s="208"/>
      <c r="H853" s="131"/>
      <c r="I853" s="211"/>
      <c r="J853" s="107"/>
      <c r="K853" s="202"/>
      <c r="L853" s="107"/>
      <c r="M853" s="107"/>
      <c r="N853" s="206"/>
      <c r="O853" s="108" t="b">
        <v>0</v>
      </c>
      <c r="P853" s="207"/>
      <c r="Q853" s="140"/>
      <c r="R853" s="140"/>
      <c r="S853" s="140"/>
      <c r="T853" s="140"/>
      <c r="U853" s="140"/>
      <c r="V853" s="140"/>
      <c r="W853" s="140"/>
      <c r="X853" s="140"/>
      <c r="Y853" s="140"/>
      <c r="Z853" s="140"/>
      <c r="AA853" s="140"/>
      <c r="AB853" s="140"/>
      <c r="AC853" s="140"/>
      <c r="AD853" s="140"/>
      <c r="AE853" s="140"/>
      <c r="AF853" s="140"/>
      <c r="AG853" s="140"/>
      <c r="AH853" s="140"/>
      <c r="AI853" s="140"/>
      <c r="AJ853" s="140"/>
      <c r="AK853" s="140"/>
      <c r="AL853" s="140"/>
      <c r="AM853" s="140"/>
      <c r="AN853" s="140"/>
      <c r="AO853" s="140"/>
      <c r="AP853" s="140"/>
      <c r="AQ853" s="140"/>
      <c r="AR853" s="140"/>
      <c r="AS853" s="140"/>
      <c r="AT853" s="140"/>
      <c r="AU853" s="140"/>
      <c r="AV853" s="140"/>
      <c r="AW853" s="140"/>
      <c r="AX853" s="140"/>
      <c r="AY853" s="140"/>
      <c r="AZ853" s="140"/>
      <c r="BA853" s="140"/>
      <c r="BB853" s="140"/>
      <c r="BC853" s="140"/>
      <c r="BD853" s="140"/>
      <c r="BE853" s="140"/>
    </row>
    <row r="854">
      <c r="A854" s="108"/>
      <c r="B854" s="107"/>
      <c r="C854" s="107"/>
      <c r="D854" s="107"/>
      <c r="E854" s="107"/>
      <c r="F854" s="107"/>
      <c r="G854" s="208"/>
      <c r="H854" s="131"/>
      <c r="I854" s="211"/>
      <c r="J854" s="107"/>
      <c r="K854" s="202"/>
      <c r="L854" s="107"/>
      <c r="M854" s="107"/>
      <c r="N854" s="206"/>
      <c r="O854" s="108" t="b">
        <v>0</v>
      </c>
      <c r="P854" s="207"/>
      <c r="Q854" s="140"/>
      <c r="R854" s="140"/>
      <c r="S854" s="140"/>
      <c r="T854" s="140"/>
      <c r="U854" s="140"/>
      <c r="V854" s="140"/>
      <c r="W854" s="140"/>
      <c r="X854" s="140"/>
      <c r="Y854" s="140"/>
      <c r="Z854" s="140"/>
      <c r="AA854" s="140"/>
      <c r="AB854" s="140"/>
      <c r="AC854" s="140"/>
      <c r="AD854" s="140"/>
      <c r="AE854" s="140"/>
      <c r="AF854" s="140"/>
      <c r="AG854" s="140"/>
      <c r="AH854" s="140"/>
      <c r="AI854" s="140"/>
      <c r="AJ854" s="140"/>
      <c r="AK854" s="140"/>
      <c r="AL854" s="140"/>
      <c r="AM854" s="140"/>
      <c r="AN854" s="140"/>
      <c r="AO854" s="140"/>
      <c r="AP854" s="140"/>
      <c r="AQ854" s="140"/>
      <c r="AR854" s="140"/>
      <c r="AS854" s="140"/>
      <c r="AT854" s="140"/>
      <c r="AU854" s="140"/>
      <c r="AV854" s="140"/>
      <c r="AW854" s="140"/>
      <c r="AX854" s="140"/>
      <c r="AY854" s="140"/>
      <c r="AZ854" s="140"/>
      <c r="BA854" s="140"/>
      <c r="BB854" s="140"/>
      <c r="BC854" s="140"/>
      <c r="BD854" s="140"/>
      <c r="BE854" s="140"/>
    </row>
    <row r="855">
      <c r="A855" s="108"/>
      <c r="B855" s="107"/>
      <c r="C855" s="107"/>
      <c r="D855" s="107"/>
      <c r="E855" s="107"/>
      <c r="F855" s="107"/>
      <c r="G855" s="208"/>
      <c r="H855" s="131"/>
      <c r="I855" s="211"/>
      <c r="J855" s="107"/>
      <c r="K855" s="202"/>
      <c r="L855" s="107"/>
      <c r="M855" s="107"/>
      <c r="N855" s="206"/>
      <c r="O855" s="108" t="b">
        <v>0</v>
      </c>
      <c r="P855" s="207"/>
      <c r="Q855" s="140"/>
      <c r="R855" s="140"/>
      <c r="S855" s="140"/>
      <c r="T855" s="140"/>
      <c r="U855" s="140"/>
      <c r="V855" s="140"/>
      <c r="W855" s="140"/>
      <c r="X855" s="140"/>
      <c r="Y855" s="140"/>
      <c r="Z855" s="140"/>
      <c r="AA855" s="140"/>
      <c r="AB855" s="140"/>
      <c r="AC855" s="140"/>
      <c r="AD855" s="140"/>
      <c r="AE855" s="140"/>
      <c r="AF855" s="140"/>
      <c r="AG855" s="140"/>
      <c r="AH855" s="140"/>
      <c r="AI855" s="140"/>
      <c r="AJ855" s="140"/>
      <c r="AK855" s="140"/>
      <c r="AL855" s="140"/>
      <c r="AM855" s="140"/>
      <c r="AN855" s="140"/>
      <c r="AO855" s="140"/>
      <c r="AP855" s="140"/>
      <c r="AQ855" s="140"/>
      <c r="AR855" s="140"/>
      <c r="AS855" s="140"/>
      <c r="AT855" s="140"/>
      <c r="AU855" s="140"/>
      <c r="AV855" s="140"/>
      <c r="AW855" s="140"/>
      <c r="AX855" s="140"/>
      <c r="AY855" s="140"/>
      <c r="AZ855" s="140"/>
      <c r="BA855" s="140"/>
      <c r="BB855" s="140"/>
      <c r="BC855" s="140"/>
      <c r="BD855" s="140"/>
      <c r="BE855" s="140"/>
    </row>
    <row r="856">
      <c r="A856" s="108"/>
      <c r="B856" s="107"/>
      <c r="C856" s="107"/>
      <c r="D856" s="107"/>
      <c r="E856" s="107"/>
      <c r="F856" s="107"/>
      <c r="G856" s="208"/>
      <c r="H856" s="131"/>
      <c r="I856" s="211"/>
      <c r="J856" s="107"/>
      <c r="K856" s="202"/>
      <c r="L856" s="107"/>
      <c r="M856" s="107"/>
      <c r="N856" s="206"/>
      <c r="O856" s="108" t="b">
        <v>0</v>
      </c>
      <c r="P856" s="207"/>
      <c r="Q856" s="140"/>
      <c r="R856" s="140"/>
      <c r="S856" s="140"/>
      <c r="T856" s="140"/>
      <c r="U856" s="140"/>
      <c r="V856" s="140"/>
      <c r="W856" s="140"/>
      <c r="X856" s="140"/>
      <c r="Y856" s="140"/>
      <c r="Z856" s="140"/>
      <c r="AA856" s="140"/>
      <c r="AB856" s="140"/>
      <c r="AC856" s="140"/>
      <c r="AD856" s="140"/>
      <c r="AE856" s="140"/>
      <c r="AF856" s="140"/>
      <c r="AG856" s="140"/>
      <c r="AH856" s="140"/>
      <c r="AI856" s="140"/>
      <c r="AJ856" s="140"/>
      <c r="AK856" s="140"/>
      <c r="AL856" s="140"/>
      <c r="AM856" s="140"/>
      <c r="AN856" s="140"/>
      <c r="AO856" s="140"/>
      <c r="AP856" s="140"/>
      <c r="AQ856" s="140"/>
      <c r="AR856" s="140"/>
      <c r="AS856" s="140"/>
      <c r="AT856" s="140"/>
      <c r="AU856" s="140"/>
      <c r="AV856" s="140"/>
      <c r="AW856" s="140"/>
      <c r="AX856" s="140"/>
      <c r="AY856" s="140"/>
      <c r="AZ856" s="140"/>
      <c r="BA856" s="140"/>
      <c r="BB856" s="140"/>
      <c r="BC856" s="140"/>
      <c r="BD856" s="140"/>
      <c r="BE856" s="140"/>
    </row>
    <row r="857">
      <c r="A857" s="108"/>
      <c r="B857" s="107"/>
      <c r="C857" s="107"/>
      <c r="D857" s="107"/>
      <c r="E857" s="107"/>
      <c r="F857" s="107"/>
      <c r="G857" s="208"/>
      <c r="H857" s="131"/>
      <c r="I857" s="211"/>
      <c r="J857" s="107"/>
      <c r="K857" s="202"/>
      <c r="L857" s="107"/>
      <c r="M857" s="107"/>
      <c r="N857" s="206"/>
      <c r="O857" s="108" t="b">
        <v>0</v>
      </c>
      <c r="P857" s="207"/>
      <c r="Q857" s="140"/>
      <c r="R857" s="140"/>
      <c r="S857" s="140"/>
      <c r="T857" s="140"/>
      <c r="U857" s="140"/>
      <c r="V857" s="140"/>
      <c r="W857" s="140"/>
      <c r="X857" s="140"/>
      <c r="Y857" s="140"/>
      <c r="Z857" s="140"/>
      <c r="AA857" s="140"/>
      <c r="AB857" s="140"/>
      <c r="AC857" s="140"/>
      <c r="AD857" s="140"/>
      <c r="AE857" s="140"/>
      <c r="AF857" s="140"/>
      <c r="AG857" s="140"/>
      <c r="AH857" s="140"/>
      <c r="AI857" s="140"/>
      <c r="AJ857" s="140"/>
      <c r="AK857" s="140"/>
      <c r="AL857" s="140"/>
      <c r="AM857" s="140"/>
      <c r="AN857" s="140"/>
      <c r="AO857" s="140"/>
      <c r="AP857" s="140"/>
      <c r="AQ857" s="140"/>
      <c r="AR857" s="140"/>
      <c r="AS857" s="140"/>
      <c r="AT857" s="140"/>
      <c r="AU857" s="140"/>
      <c r="AV857" s="140"/>
      <c r="AW857" s="140"/>
      <c r="AX857" s="140"/>
      <c r="AY857" s="140"/>
      <c r="AZ857" s="140"/>
      <c r="BA857" s="140"/>
      <c r="BB857" s="140"/>
      <c r="BC857" s="140"/>
      <c r="BD857" s="140"/>
      <c r="BE857" s="140"/>
    </row>
    <row r="858">
      <c r="A858" s="108"/>
      <c r="B858" s="107"/>
      <c r="C858" s="107"/>
      <c r="D858" s="107"/>
      <c r="E858" s="107"/>
      <c r="F858" s="107"/>
      <c r="G858" s="208"/>
      <c r="H858" s="131"/>
      <c r="I858" s="211"/>
      <c r="J858" s="107"/>
      <c r="K858" s="202"/>
      <c r="L858" s="107"/>
      <c r="M858" s="107"/>
      <c r="N858" s="206"/>
      <c r="O858" s="108" t="b">
        <v>0</v>
      </c>
      <c r="P858" s="207"/>
      <c r="Q858" s="140"/>
      <c r="R858" s="140"/>
      <c r="S858" s="140"/>
      <c r="T858" s="140"/>
      <c r="U858" s="140"/>
      <c r="V858" s="140"/>
      <c r="W858" s="140"/>
      <c r="X858" s="140"/>
      <c r="Y858" s="140"/>
      <c r="Z858" s="140"/>
      <c r="AA858" s="140"/>
      <c r="AB858" s="140"/>
      <c r="AC858" s="140"/>
      <c r="AD858" s="140"/>
      <c r="AE858" s="140"/>
      <c r="AF858" s="140"/>
      <c r="AG858" s="140"/>
      <c r="AH858" s="140"/>
      <c r="AI858" s="140"/>
      <c r="AJ858" s="140"/>
      <c r="AK858" s="140"/>
      <c r="AL858" s="140"/>
      <c r="AM858" s="140"/>
      <c r="AN858" s="140"/>
      <c r="AO858" s="140"/>
      <c r="AP858" s="140"/>
      <c r="AQ858" s="140"/>
      <c r="AR858" s="140"/>
      <c r="AS858" s="140"/>
      <c r="AT858" s="140"/>
      <c r="AU858" s="140"/>
      <c r="AV858" s="140"/>
      <c r="AW858" s="140"/>
      <c r="AX858" s="140"/>
      <c r="AY858" s="140"/>
      <c r="AZ858" s="140"/>
      <c r="BA858" s="140"/>
      <c r="BB858" s="140"/>
      <c r="BC858" s="140"/>
      <c r="BD858" s="140"/>
      <c r="BE858" s="140"/>
    </row>
    <row r="859">
      <c r="A859" s="108"/>
      <c r="B859" s="107"/>
      <c r="C859" s="107"/>
      <c r="D859" s="107"/>
      <c r="E859" s="107"/>
      <c r="F859" s="107"/>
      <c r="G859" s="208"/>
      <c r="H859" s="131"/>
      <c r="I859" s="211"/>
      <c r="J859" s="107"/>
      <c r="K859" s="202"/>
      <c r="L859" s="107"/>
      <c r="M859" s="107"/>
      <c r="N859" s="206"/>
      <c r="O859" s="108" t="b">
        <v>0</v>
      </c>
      <c r="P859" s="207"/>
      <c r="Q859" s="140"/>
      <c r="R859" s="140"/>
      <c r="S859" s="140"/>
      <c r="T859" s="140"/>
      <c r="U859" s="140"/>
      <c r="V859" s="140"/>
      <c r="W859" s="140"/>
      <c r="X859" s="140"/>
      <c r="Y859" s="140"/>
      <c r="Z859" s="140"/>
      <c r="AA859" s="140"/>
      <c r="AB859" s="140"/>
      <c r="AC859" s="140"/>
      <c r="AD859" s="140"/>
      <c r="AE859" s="140"/>
      <c r="AF859" s="140"/>
      <c r="AG859" s="140"/>
      <c r="AH859" s="140"/>
      <c r="AI859" s="140"/>
      <c r="AJ859" s="140"/>
      <c r="AK859" s="140"/>
      <c r="AL859" s="140"/>
      <c r="AM859" s="140"/>
      <c r="AN859" s="140"/>
      <c r="AO859" s="140"/>
      <c r="AP859" s="140"/>
      <c r="AQ859" s="140"/>
      <c r="AR859" s="140"/>
      <c r="AS859" s="140"/>
      <c r="AT859" s="140"/>
      <c r="AU859" s="140"/>
      <c r="AV859" s="140"/>
      <c r="AW859" s="140"/>
      <c r="AX859" s="140"/>
      <c r="AY859" s="140"/>
      <c r="AZ859" s="140"/>
      <c r="BA859" s="140"/>
      <c r="BB859" s="140"/>
      <c r="BC859" s="140"/>
      <c r="BD859" s="140"/>
      <c r="BE859" s="140"/>
    </row>
    <row r="860">
      <c r="A860" s="108"/>
      <c r="B860" s="107"/>
      <c r="C860" s="107"/>
      <c r="D860" s="107"/>
      <c r="E860" s="107"/>
      <c r="F860" s="107"/>
      <c r="G860" s="208"/>
      <c r="H860" s="131"/>
      <c r="I860" s="211"/>
      <c r="J860" s="107"/>
      <c r="K860" s="202"/>
      <c r="L860" s="107"/>
      <c r="M860" s="107"/>
      <c r="N860" s="206"/>
      <c r="O860" s="108" t="b">
        <v>0</v>
      </c>
      <c r="P860" s="207"/>
      <c r="Q860" s="140"/>
      <c r="R860" s="140"/>
      <c r="S860" s="140"/>
      <c r="T860" s="140"/>
      <c r="U860" s="140"/>
      <c r="V860" s="140"/>
      <c r="W860" s="140"/>
      <c r="X860" s="140"/>
      <c r="Y860" s="140"/>
      <c r="Z860" s="140"/>
      <c r="AA860" s="140"/>
      <c r="AB860" s="140"/>
      <c r="AC860" s="140"/>
      <c r="AD860" s="140"/>
      <c r="AE860" s="140"/>
      <c r="AF860" s="140"/>
      <c r="AG860" s="140"/>
      <c r="AH860" s="140"/>
      <c r="AI860" s="140"/>
      <c r="AJ860" s="140"/>
      <c r="AK860" s="140"/>
      <c r="AL860" s="140"/>
      <c r="AM860" s="140"/>
      <c r="AN860" s="140"/>
      <c r="AO860" s="140"/>
      <c r="AP860" s="140"/>
      <c r="AQ860" s="140"/>
      <c r="AR860" s="140"/>
      <c r="AS860" s="140"/>
      <c r="AT860" s="140"/>
      <c r="AU860" s="140"/>
      <c r="AV860" s="140"/>
      <c r="AW860" s="140"/>
      <c r="AX860" s="140"/>
      <c r="AY860" s="140"/>
      <c r="AZ860" s="140"/>
      <c r="BA860" s="140"/>
      <c r="BB860" s="140"/>
      <c r="BC860" s="140"/>
      <c r="BD860" s="140"/>
      <c r="BE860" s="140"/>
    </row>
    <row r="861">
      <c r="A861" s="108"/>
      <c r="B861" s="107"/>
      <c r="C861" s="107"/>
      <c r="D861" s="107"/>
      <c r="E861" s="107"/>
      <c r="F861" s="107"/>
      <c r="G861" s="208"/>
      <c r="H861" s="131"/>
      <c r="I861" s="211"/>
      <c r="J861" s="107"/>
      <c r="K861" s="202"/>
      <c r="L861" s="107"/>
      <c r="M861" s="107"/>
      <c r="N861" s="206"/>
      <c r="O861" s="108" t="b">
        <v>0</v>
      </c>
      <c r="P861" s="207"/>
      <c r="Q861" s="140"/>
      <c r="R861" s="140"/>
      <c r="S861" s="140"/>
      <c r="T861" s="140"/>
      <c r="U861" s="140"/>
      <c r="V861" s="140"/>
      <c r="W861" s="140"/>
      <c r="X861" s="140"/>
      <c r="Y861" s="140"/>
      <c r="Z861" s="140"/>
      <c r="AA861" s="140"/>
      <c r="AB861" s="140"/>
      <c r="AC861" s="140"/>
      <c r="AD861" s="140"/>
      <c r="AE861" s="140"/>
      <c r="AF861" s="140"/>
      <c r="AG861" s="140"/>
      <c r="AH861" s="140"/>
      <c r="AI861" s="140"/>
      <c r="AJ861" s="140"/>
      <c r="AK861" s="140"/>
      <c r="AL861" s="140"/>
      <c r="AM861" s="140"/>
      <c r="AN861" s="140"/>
      <c r="AO861" s="140"/>
      <c r="AP861" s="140"/>
      <c r="AQ861" s="140"/>
      <c r="AR861" s="140"/>
      <c r="AS861" s="140"/>
      <c r="AT861" s="140"/>
      <c r="AU861" s="140"/>
      <c r="AV861" s="140"/>
      <c r="AW861" s="140"/>
      <c r="AX861" s="140"/>
      <c r="AY861" s="140"/>
      <c r="AZ861" s="140"/>
      <c r="BA861" s="140"/>
      <c r="BB861" s="140"/>
      <c r="BC861" s="140"/>
      <c r="BD861" s="140"/>
      <c r="BE861" s="140"/>
    </row>
    <row r="862">
      <c r="A862" s="108"/>
      <c r="B862" s="107"/>
      <c r="C862" s="107"/>
      <c r="D862" s="107"/>
      <c r="E862" s="107"/>
      <c r="F862" s="107"/>
      <c r="G862" s="208"/>
      <c r="H862" s="131"/>
      <c r="I862" s="211"/>
      <c r="J862" s="107"/>
      <c r="K862" s="202"/>
      <c r="L862" s="107"/>
      <c r="M862" s="107"/>
      <c r="N862" s="206"/>
      <c r="O862" s="108" t="b">
        <v>0</v>
      </c>
      <c r="P862" s="207"/>
      <c r="Q862" s="140"/>
      <c r="R862" s="140"/>
      <c r="S862" s="140"/>
      <c r="T862" s="140"/>
      <c r="U862" s="140"/>
      <c r="V862" s="140"/>
      <c r="W862" s="140"/>
      <c r="X862" s="140"/>
      <c r="Y862" s="140"/>
      <c r="Z862" s="140"/>
      <c r="AA862" s="140"/>
      <c r="AB862" s="140"/>
      <c r="AC862" s="140"/>
      <c r="AD862" s="140"/>
      <c r="AE862" s="140"/>
      <c r="AF862" s="140"/>
      <c r="AG862" s="140"/>
      <c r="AH862" s="140"/>
      <c r="AI862" s="140"/>
      <c r="AJ862" s="140"/>
      <c r="AK862" s="140"/>
      <c r="AL862" s="140"/>
      <c r="AM862" s="140"/>
      <c r="AN862" s="140"/>
      <c r="AO862" s="140"/>
      <c r="AP862" s="140"/>
      <c r="AQ862" s="140"/>
      <c r="AR862" s="140"/>
      <c r="AS862" s="140"/>
      <c r="AT862" s="140"/>
      <c r="AU862" s="140"/>
      <c r="AV862" s="140"/>
      <c r="AW862" s="140"/>
      <c r="AX862" s="140"/>
      <c r="AY862" s="140"/>
      <c r="AZ862" s="140"/>
      <c r="BA862" s="140"/>
      <c r="BB862" s="140"/>
      <c r="BC862" s="140"/>
      <c r="BD862" s="140"/>
      <c r="BE862" s="140"/>
    </row>
    <row r="863">
      <c r="A863" s="108"/>
      <c r="B863" s="107"/>
      <c r="C863" s="107"/>
      <c r="D863" s="107"/>
      <c r="E863" s="107"/>
      <c r="F863" s="107"/>
      <c r="G863" s="208"/>
      <c r="H863" s="131"/>
      <c r="I863" s="211"/>
      <c r="J863" s="107"/>
      <c r="K863" s="202"/>
      <c r="L863" s="107"/>
      <c r="M863" s="107"/>
      <c r="N863" s="206"/>
      <c r="O863" s="108" t="b">
        <v>0</v>
      </c>
      <c r="P863" s="207"/>
      <c r="Q863" s="140"/>
      <c r="R863" s="140"/>
      <c r="S863" s="140"/>
      <c r="T863" s="140"/>
      <c r="U863" s="140"/>
      <c r="V863" s="140"/>
      <c r="W863" s="140"/>
      <c r="X863" s="140"/>
      <c r="Y863" s="140"/>
      <c r="Z863" s="140"/>
      <c r="AA863" s="140"/>
      <c r="AB863" s="140"/>
      <c r="AC863" s="140"/>
      <c r="AD863" s="140"/>
      <c r="AE863" s="140"/>
      <c r="AF863" s="140"/>
      <c r="AG863" s="140"/>
      <c r="AH863" s="140"/>
      <c r="AI863" s="140"/>
      <c r="AJ863" s="140"/>
      <c r="AK863" s="140"/>
      <c r="AL863" s="140"/>
      <c r="AM863" s="140"/>
      <c r="AN863" s="140"/>
      <c r="AO863" s="140"/>
      <c r="AP863" s="140"/>
      <c r="AQ863" s="140"/>
      <c r="AR863" s="140"/>
      <c r="AS863" s="140"/>
      <c r="AT863" s="140"/>
      <c r="AU863" s="140"/>
      <c r="AV863" s="140"/>
      <c r="AW863" s="140"/>
      <c r="AX863" s="140"/>
      <c r="AY863" s="140"/>
      <c r="AZ863" s="140"/>
      <c r="BA863" s="140"/>
      <c r="BB863" s="140"/>
      <c r="BC863" s="140"/>
      <c r="BD863" s="140"/>
      <c r="BE863" s="140"/>
    </row>
    <row r="864">
      <c r="A864" s="108"/>
      <c r="B864" s="107"/>
      <c r="C864" s="107"/>
      <c r="D864" s="107"/>
      <c r="E864" s="107"/>
      <c r="F864" s="107"/>
      <c r="G864" s="208"/>
      <c r="H864" s="131"/>
      <c r="I864" s="211"/>
      <c r="J864" s="107"/>
      <c r="K864" s="202"/>
      <c r="L864" s="107"/>
      <c r="M864" s="107"/>
      <c r="N864" s="206"/>
      <c r="O864" s="108" t="b">
        <v>0</v>
      </c>
      <c r="P864" s="207"/>
      <c r="Q864" s="140"/>
      <c r="R864" s="140"/>
      <c r="S864" s="140"/>
      <c r="T864" s="140"/>
      <c r="U864" s="140"/>
      <c r="V864" s="140"/>
      <c r="W864" s="140"/>
      <c r="X864" s="140"/>
      <c r="Y864" s="140"/>
      <c r="Z864" s="140"/>
      <c r="AA864" s="140"/>
      <c r="AB864" s="140"/>
      <c r="AC864" s="140"/>
      <c r="AD864" s="140"/>
      <c r="AE864" s="140"/>
      <c r="AF864" s="140"/>
      <c r="AG864" s="140"/>
      <c r="AH864" s="140"/>
      <c r="AI864" s="140"/>
      <c r="AJ864" s="140"/>
      <c r="AK864" s="140"/>
      <c r="AL864" s="140"/>
      <c r="AM864" s="140"/>
      <c r="AN864" s="140"/>
      <c r="AO864" s="140"/>
      <c r="AP864" s="140"/>
      <c r="AQ864" s="140"/>
      <c r="AR864" s="140"/>
      <c r="AS864" s="140"/>
      <c r="AT864" s="140"/>
      <c r="AU864" s="140"/>
      <c r="AV864" s="140"/>
      <c r="AW864" s="140"/>
      <c r="AX864" s="140"/>
      <c r="AY864" s="140"/>
      <c r="AZ864" s="140"/>
      <c r="BA864" s="140"/>
      <c r="BB864" s="140"/>
      <c r="BC864" s="140"/>
      <c r="BD864" s="140"/>
      <c r="BE864" s="140"/>
    </row>
    <row r="865">
      <c r="A865" s="108"/>
      <c r="B865" s="107"/>
      <c r="C865" s="107"/>
      <c r="D865" s="107"/>
      <c r="E865" s="107"/>
      <c r="F865" s="107"/>
      <c r="G865" s="208"/>
      <c r="H865" s="131"/>
      <c r="I865" s="211"/>
      <c r="J865" s="107"/>
      <c r="K865" s="202"/>
      <c r="L865" s="107"/>
      <c r="M865" s="107"/>
      <c r="N865" s="206"/>
      <c r="O865" s="108" t="b">
        <v>0</v>
      </c>
      <c r="P865" s="207"/>
      <c r="Q865" s="140"/>
      <c r="R865" s="140"/>
      <c r="S865" s="140"/>
      <c r="T865" s="140"/>
      <c r="U865" s="140"/>
      <c r="V865" s="140"/>
      <c r="W865" s="140"/>
      <c r="X865" s="140"/>
      <c r="Y865" s="140"/>
      <c r="Z865" s="140"/>
      <c r="AA865" s="140"/>
      <c r="AB865" s="140"/>
      <c r="AC865" s="140"/>
      <c r="AD865" s="140"/>
      <c r="AE865" s="140"/>
      <c r="AF865" s="140"/>
      <c r="AG865" s="140"/>
      <c r="AH865" s="140"/>
      <c r="AI865" s="140"/>
      <c r="AJ865" s="140"/>
      <c r="AK865" s="140"/>
      <c r="AL865" s="140"/>
      <c r="AM865" s="140"/>
      <c r="AN865" s="140"/>
      <c r="AO865" s="140"/>
      <c r="AP865" s="140"/>
      <c r="AQ865" s="140"/>
      <c r="AR865" s="140"/>
      <c r="AS865" s="140"/>
      <c r="AT865" s="140"/>
      <c r="AU865" s="140"/>
      <c r="AV865" s="140"/>
      <c r="AW865" s="140"/>
      <c r="AX865" s="140"/>
      <c r="AY865" s="140"/>
      <c r="AZ865" s="140"/>
      <c r="BA865" s="140"/>
      <c r="BB865" s="140"/>
      <c r="BC865" s="140"/>
      <c r="BD865" s="140"/>
      <c r="BE865" s="140"/>
    </row>
    <row r="866">
      <c r="A866" s="108"/>
      <c r="B866" s="107"/>
      <c r="C866" s="107"/>
      <c r="D866" s="107"/>
      <c r="E866" s="107"/>
      <c r="F866" s="107"/>
      <c r="G866" s="208"/>
      <c r="H866" s="131"/>
      <c r="I866" s="211"/>
      <c r="J866" s="107"/>
      <c r="K866" s="202"/>
      <c r="L866" s="107"/>
      <c r="M866" s="107"/>
      <c r="N866" s="206"/>
      <c r="O866" s="108" t="b">
        <v>0</v>
      </c>
      <c r="P866" s="207"/>
      <c r="Q866" s="140"/>
      <c r="R866" s="140"/>
      <c r="S866" s="140"/>
      <c r="T866" s="140"/>
      <c r="U866" s="140"/>
      <c r="V866" s="140"/>
      <c r="W866" s="140"/>
      <c r="X866" s="140"/>
      <c r="Y866" s="140"/>
      <c r="Z866" s="140"/>
      <c r="AA866" s="140"/>
      <c r="AB866" s="140"/>
      <c r="AC866" s="140"/>
      <c r="AD866" s="140"/>
      <c r="AE866" s="140"/>
      <c r="AF866" s="140"/>
      <c r="AG866" s="140"/>
      <c r="AH866" s="140"/>
      <c r="AI866" s="140"/>
      <c r="AJ866" s="140"/>
      <c r="AK866" s="140"/>
      <c r="AL866" s="140"/>
      <c r="AM866" s="140"/>
      <c r="AN866" s="140"/>
      <c r="AO866" s="140"/>
      <c r="AP866" s="140"/>
      <c r="AQ866" s="140"/>
      <c r="AR866" s="140"/>
      <c r="AS866" s="140"/>
      <c r="AT866" s="140"/>
      <c r="AU866" s="140"/>
      <c r="AV866" s="140"/>
      <c r="AW866" s="140"/>
      <c r="AX866" s="140"/>
      <c r="AY866" s="140"/>
      <c r="AZ866" s="140"/>
      <c r="BA866" s="140"/>
      <c r="BB866" s="140"/>
      <c r="BC866" s="140"/>
      <c r="BD866" s="140"/>
      <c r="BE866" s="140"/>
    </row>
    <row r="867">
      <c r="A867" s="108"/>
      <c r="B867" s="107"/>
      <c r="C867" s="107"/>
      <c r="D867" s="107"/>
      <c r="E867" s="107"/>
      <c r="F867" s="107"/>
      <c r="G867" s="208"/>
      <c r="H867" s="131"/>
      <c r="I867" s="211"/>
      <c r="J867" s="107"/>
      <c r="K867" s="202"/>
      <c r="L867" s="107"/>
      <c r="M867" s="107"/>
      <c r="N867" s="206"/>
      <c r="O867" s="108" t="b">
        <v>0</v>
      </c>
      <c r="P867" s="207"/>
      <c r="Q867" s="140"/>
      <c r="R867" s="140"/>
      <c r="S867" s="140"/>
      <c r="T867" s="140"/>
      <c r="U867" s="140"/>
      <c r="V867" s="140"/>
      <c r="W867" s="140"/>
      <c r="X867" s="140"/>
      <c r="Y867" s="140"/>
      <c r="Z867" s="140"/>
      <c r="AA867" s="140"/>
      <c r="AB867" s="140"/>
      <c r="AC867" s="140"/>
      <c r="AD867" s="140"/>
      <c r="AE867" s="140"/>
      <c r="AF867" s="140"/>
      <c r="AG867" s="140"/>
      <c r="AH867" s="140"/>
      <c r="AI867" s="140"/>
      <c r="AJ867" s="140"/>
      <c r="AK867" s="140"/>
      <c r="AL867" s="140"/>
      <c r="AM867" s="140"/>
      <c r="AN867" s="140"/>
      <c r="AO867" s="140"/>
      <c r="AP867" s="140"/>
      <c r="AQ867" s="140"/>
      <c r="AR867" s="140"/>
      <c r="AS867" s="140"/>
      <c r="AT867" s="140"/>
      <c r="AU867" s="140"/>
      <c r="AV867" s="140"/>
      <c r="AW867" s="140"/>
      <c r="AX867" s="140"/>
      <c r="AY867" s="140"/>
      <c r="AZ867" s="140"/>
      <c r="BA867" s="140"/>
      <c r="BB867" s="140"/>
      <c r="BC867" s="140"/>
      <c r="BD867" s="140"/>
      <c r="BE867" s="140"/>
    </row>
    <row r="868">
      <c r="A868" s="108"/>
      <c r="B868" s="107"/>
      <c r="C868" s="107"/>
      <c r="D868" s="107"/>
      <c r="E868" s="107"/>
      <c r="F868" s="107"/>
      <c r="G868" s="208"/>
      <c r="H868" s="131"/>
      <c r="I868" s="211"/>
      <c r="J868" s="107"/>
      <c r="K868" s="202"/>
      <c r="L868" s="107"/>
      <c r="M868" s="107"/>
      <c r="N868" s="206"/>
      <c r="O868" s="108" t="b">
        <v>0</v>
      </c>
      <c r="P868" s="207"/>
      <c r="Q868" s="140"/>
      <c r="R868" s="140"/>
      <c r="S868" s="140"/>
      <c r="T868" s="140"/>
      <c r="U868" s="140"/>
      <c r="V868" s="140"/>
      <c r="W868" s="140"/>
      <c r="X868" s="140"/>
      <c r="Y868" s="140"/>
      <c r="Z868" s="140"/>
      <c r="AA868" s="140"/>
      <c r="AB868" s="140"/>
      <c r="AC868" s="140"/>
      <c r="AD868" s="140"/>
      <c r="AE868" s="140"/>
      <c r="AF868" s="140"/>
      <c r="AG868" s="140"/>
      <c r="AH868" s="140"/>
      <c r="AI868" s="140"/>
      <c r="AJ868" s="140"/>
      <c r="AK868" s="140"/>
      <c r="AL868" s="140"/>
      <c r="AM868" s="140"/>
      <c r="AN868" s="140"/>
      <c r="AO868" s="140"/>
      <c r="AP868" s="140"/>
      <c r="AQ868" s="140"/>
      <c r="AR868" s="140"/>
      <c r="AS868" s="140"/>
      <c r="AT868" s="140"/>
      <c r="AU868" s="140"/>
      <c r="AV868" s="140"/>
      <c r="AW868" s="140"/>
      <c r="AX868" s="140"/>
      <c r="AY868" s="140"/>
      <c r="AZ868" s="140"/>
      <c r="BA868" s="140"/>
      <c r="BB868" s="140"/>
      <c r="BC868" s="140"/>
      <c r="BD868" s="140"/>
      <c r="BE868" s="140"/>
    </row>
    <row r="869">
      <c r="A869" s="108"/>
      <c r="B869" s="107"/>
      <c r="C869" s="107"/>
      <c r="D869" s="107"/>
      <c r="E869" s="107"/>
      <c r="F869" s="107"/>
      <c r="G869" s="208"/>
      <c r="H869" s="131"/>
      <c r="I869" s="211"/>
      <c r="J869" s="107"/>
      <c r="K869" s="202"/>
      <c r="L869" s="107"/>
      <c r="M869" s="107"/>
      <c r="N869" s="206"/>
      <c r="O869" s="108" t="b">
        <v>0</v>
      </c>
      <c r="P869" s="207"/>
      <c r="Q869" s="140"/>
      <c r="R869" s="140"/>
      <c r="S869" s="140"/>
      <c r="T869" s="140"/>
      <c r="U869" s="140"/>
      <c r="V869" s="140"/>
      <c r="W869" s="140"/>
      <c r="X869" s="140"/>
      <c r="Y869" s="140"/>
      <c r="Z869" s="140"/>
      <c r="AA869" s="140"/>
      <c r="AB869" s="140"/>
      <c r="AC869" s="140"/>
      <c r="AD869" s="140"/>
      <c r="AE869" s="140"/>
      <c r="AF869" s="140"/>
      <c r="AG869" s="140"/>
      <c r="AH869" s="140"/>
      <c r="AI869" s="140"/>
      <c r="AJ869" s="140"/>
      <c r="AK869" s="140"/>
      <c r="AL869" s="140"/>
      <c r="AM869" s="140"/>
      <c r="AN869" s="140"/>
      <c r="AO869" s="140"/>
      <c r="AP869" s="140"/>
      <c r="AQ869" s="140"/>
      <c r="AR869" s="140"/>
      <c r="AS869" s="140"/>
      <c r="AT869" s="140"/>
      <c r="AU869" s="140"/>
      <c r="AV869" s="140"/>
      <c r="AW869" s="140"/>
      <c r="AX869" s="140"/>
      <c r="AY869" s="140"/>
      <c r="AZ869" s="140"/>
      <c r="BA869" s="140"/>
      <c r="BB869" s="140"/>
      <c r="BC869" s="140"/>
      <c r="BD869" s="140"/>
      <c r="BE869" s="140"/>
    </row>
    <row r="870">
      <c r="A870" s="108"/>
      <c r="B870" s="107"/>
      <c r="C870" s="107"/>
      <c r="D870" s="107"/>
      <c r="E870" s="107"/>
      <c r="F870" s="107"/>
      <c r="G870" s="208"/>
      <c r="H870" s="131"/>
      <c r="I870" s="211"/>
      <c r="J870" s="107"/>
      <c r="K870" s="202"/>
      <c r="L870" s="107"/>
      <c r="M870" s="107"/>
      <c r="N870" s="206"/>
      <c r="O870" s="108" t="b">
        <v>0</v>
      </c>
      <c r="P870" s="207"/>
      <c r="Q870" s="140"/>
      <c r="R870" s="140"/>
      <c r="S870" s="140"/>
      <c r="T870" s="140"/>
      <c r="U870" s="140"/>
      <c r="V870" s="140"/>
      <c r="W870" s="140"/>
      <c r="X870" s="140"/>
      <c r="Y870" s="140"/>
      <c r="Z870" s="140"/>
      <c r="AA870" s="140"/>
      <c r="AB870" s="140"/>
      <c r="AC870" s="140"/>
      <c r="AD870" s="140"/>
      <c r="AE870" s="140"/>
      <c r="AF870" s="140"/>
      <c r="AG870" s="140"/>
      <c r="AH870" s="140"/>
      <c r="AI870" s="140"/>
      <c r="AJ870" s="140"/>
      <c r="AK870" s="140"/>
      <c r="AL870" s="140"/>
      <c r="AM870" s="140"/>
      <c r="AN870" s="140"/>
      <c r="AO870" s="140"/>
      <c r="AP870" s="140"/>
      <c r="AQ870" s="140"/>
      <c r="AR870" s="140"/>
      <c r="AS870" s="140"/>
      <c r="AT870" s="140"/>
      <c r="AU870" s="140"/>
      <c r="AV870" s="140"/>
      <c r="AW870" s="140"/>
      <c r="AX870" s="140"/>
      <c r="AY870" s="140"/>
      <c r="AZ870" s="140"/>
      <c r="BA870" s="140"/>
      <c r="BB870" s="140"/>
      <c r="BC870" s="140"/>
      <c r="BD870" s="140"/>
      <c r="BE870" s="140"/>
    </row>
    <row r="871">
      <c r="A871" s="108"/>
      <c r="B871" s="107"/>
      <c r="C871" s="107"/>
      <c r="D871" s="107"/>
      <c r="E871" s="107"/>
      <c r="F871" s="107"/>
      <c r="G871" s="208"/>
      <c r="H871" s="131"/>
      <c r="I871" s="211"/>
      <c r="J871" s="107"/>
      <c r="K871" s="202"/>
      <c r="L871" s="107"/>
      <c r="M871" s="107"/>
      <c r="N871" s="206"/>
      <c r="O871" s="108" t="b">
        <v>0</v>
      </c>
      <c r="P871" s="207"/>
      <c r="Q871" s="140"/>
      <c r="R871" s="140"/>
      <c r="S871" s="140"/>
      <c r="T871" s="140"/>
      <c r="U871" s="140"/>
      <c r="V871" s="140"/>
      <c r="W871" s="140"/>
      <c r="X871" s="140"/>
      <c r="Y871" s="140"/>
      <c r="Z871" s="140"/>
      <c r="AA871" s="140"/>
      <c r="AB871" s="140"/>
      <c r="AC871" s="140"/>
      <c r="AD871" s="140"/>
      <c r="AE871" s="140"/>
      <c r="AF871" s="140"/>
      <c r="AG871" s="140"/>
      <c r="AH871" s="140"/>
      <c r="AI871" s="140"/>
      <c r="AJ871" s="140"/>
      <c r="AK871" s="140"/>
      <c r="AL871" s="140"/>
      <c r="AM871" s="140"/>
      <c r="AN871" s="140"/>
      <c r="AO871" s="140"/>
      <c r="AP871" s="140"/>
      <c r="AQ871" s="140"/>
      <c r="AR871" s="140"/>
      <c r="AS871" s="140"/>
      <c r="AT871" s="140"/>
      <c r="AU871" s="140"/>
      <c r="AV871" s="140"/>
      <c r="AW871" s="140"/>
      <c r="AX871" s="140"/>
      <c r="AY871" s="140"/>
      <c r="AZ871" s="140"/>
      <c r="BA871" s="140"/>
      <c r="BB871" s="140"/>
      <c r="BC871" s="140"/>
      <c r="BD871" s="140"/>
      <c r="BE871" s="140"/>
    </row>
    <row r="872">
      <c r="A872" s="108"/>
      <c r="B872" s="107"/>
      <c r="C872" s="107"/>
      <c r="D872" s="107"/>
      <c r="E872" s="107"/>
      <c r="F872" s="107"/>
      <c r="G872" s="208"/>
      <c r="H872" s="131"/>
      <c r="I872" s="211"/>
      <c r="J872" s="107"/>
      <c r="K872" s="202"/>
      <c r="L872" s="107"/>
      <c r="M872" s="107"/>
      <c r="N872" s="206"/>
      <c r="O872" s="108" t="b">
        <v>0</v>
      </c>
      <c r="P872" s="207"/>
      <c r="Q872" s="140"/>
      <c r="R872" s="140"/>
      <c r="S872" s="140"/>
      <c r="T872" s="140"/>
      <c r="U872" s="140"/>
      <c r="V872" s="140"/>
      <c r="W872" s="140"/>
      <c r="X872" s="140"/>
      <c r="Y872" s="140"/>
      <c r="Z872" s="140"/>
      <c r="AA872" s="140"/>
      <c r="AB872" s="140"/>
      <c r="AC872" s="140"/>
      <c r="AD872" s="140"/>
      <c r="AE872" s="140"/>
      <c r="AF872" s="140"/>
      <c r="AG872" s="140"/>
      <c r="AH872" s="140"/>
      <c r="AI872" s="140"/>
      <c r="AJ872" s="140"/>
      <c r="AK872" s="140"/>
      <c r="AL872" s="140"/>
      <c r="AM872" s="140"/>
      <c r="AN872" s="140"/>
      <c r="AO872" s="140"/>
      <c r="AP872" s="140"/>
      <c r="AQ872" s="140"/>
      <c r="AR872" s="140"/>
      <c r="AS872" s="140"/>
      <c r="AT872" s="140"/>
      <c r="AU872" s="140"/>
      <c r="AV872" s="140"/>
      <c r="AW872" s="140"/>
      <c r="AX872" s="140"/>
      <c r="AY872" s="140"/>
      <c r="AZ872" s="140"/>
      <c r="BA872" s="140"/>
      <c r="BB872" s="140"/>
      <c r="BC872" s="140"/>
      <c r="BD872" s="140"/>
      <c r="BE872" s="140"/>
    </row>
    <row r="873">
      <c r="A873" s="108"/>
      <c r="B873" s="107"/>
      <c r="C873" s="107"/>
      <c r="D873" s="107"/>
      <c r="E873" s="107"/>
      <c r="F873" s="107"/>
      <c r="G873" s="208"/>
      <c r="H873" s="131"/>
      <c r="I873" s="211"/>
      <c r="J873" s="107"/>
      <c r="K873" s="202"/>
      <c r="L873" s="107"/>
      <c r="M873" s="107"/>
      <c r="N873" s="206"/>
      <c r="O873" s="108" t="b">
        <v>0</v>
      </c>
      <c r="P873" s="207"/>
      <c r="Q873" s="140"/>
      <c r="R873" s="140"/>
      <c r="S873" s="140"/>
      <c r="T873" s="140"/>
      <c r="U873" s="140"/>
      <c r="V873" s="140"/>
      <c r="W873" s="140"/>
      <c r="X873" s="140"/>
      <c r="Y873" s="140"/>
      <c r="Z873" s="140"/>
      <c r="AA873" s="140"/>
      <c r="AB873" s="140"/>
      <c r="AC873" s="140"/>
      <c r="AD873" s="140"/>
      <c r="AE873" s="140"/>
      <c r="AF873" s="140"/>
      <c r="AG873" s="140"/>
      <c r="AH873" s="140"/>
      <c r="AI873" s="140"/>
      <c r="AJ873" s="140"/>
      <c r="AK873" s="140"/>
      <c r="AL873" s="140"/>
      <c r="AM873" s="140"/>
      <c r="AN873" s="140"/>
      <c r="AO873" s="140"/>
      <c r="AP873" s="140"/>
      <c r="AQ873" s="140"/>
      <c r="AR873" s="140"/>
      <c r="AS873" s="140"/>
      <c r="AT873" s="140"/>
      <c r="AU873" s="140"/>
      <c r="AV873" s="140"/>
      <c r="AW873" s="140"/>
      <c r="AX873" s="140"/>
      <c r="AY873" s="140"/>
      <c r="AZ873" s="140"/>
      <c r="BA873" s="140"/>
      <c r="BB873" s="140"/>
      <c r="BC873" s="140"/>
      <c r="BD873" s="140"/>
      <c r="BE873" s="140"/>
    </row>
    <row r="874">
      <c r="A874" s="108"/>
      <c r="B874" s="107"/>
      <c r="C874" s="107"/>
      <c r="D874" s="107"/>
      <c r="E874" s="107"/>
      <c r="F874" s="107"/>
      <c r="G874" s="208"/>
      <c r="H874" s="131"/>
      <c r="I874" s="211"/>
      <c r="J874" s="107"/>
      <c r="K874" s="202"/>
      <c r="L874" s="107"/>
      <c r="M874" s="107"/>
      <c r="N874" s="206"/>
      <c r="O874" s="108" t="b">
        <v>0</v>
      </c>
      <c r="P874" s="207"/>
      <c r="Q874" s="140"/>
      <c r="R874" s="140"/>
      <c r="S874" s="140"/>
      <c r="T874" s="140"/>
      <c r="U874" s="140"/>
      <c r="V874" s="140"/>
      <c r="W874" s="140"/>
      <c r="X874" s="140"/>
      <c r="Y874" s="140"/>
      <c r="Z874" s="140"/>
      <c r="AA874" s="140"/>
      <c r="AB874" s="140"/>
      <c r="AC874" s="140"/>
      <c r="AD874" s="140"/>
      <c r="AE874" s="140"/>
      <c r="AF874" s="140"/>
      <c r="AG874" s="140"/>
      <c r="AH874" s="140"/>
      <c r="AI874" s="140"/>
      <c r="AJ874" s="140"/>
      <c r="AK874" s="140"/>
      <c r="AL874" s="140"/>
      <c r="AM874" s="140"/>
      <c r="AN874" s="140"/>
      <c r="AO874" s="140"/>
      <c r="AP874" s="140"/>
      <c r="AQ874" s="140"/>
      <c r="AR874" s="140"/>
      <c r="AS874" s="140"/>
      <c r="AT874" s="140"/>
      <c r="AU874" s="140"/>
      <c r="AV874" s="140"/>
      <c r="AW874" s="140"/>
      <c r="AX874" s="140"/>
      <c r="AY874" s="140"/>
      <c r="AZ874" s="140"/>
      <c r="BA874" s="140"/>
      <c r="BB874" s="140"/>
      <c r="BC874" s="140"/>
      <c r="BD874" s="140"/>
      <c r="BE874" s="140"/>
    </row>
    <row r="875">
      <c r="A875" s="108"/>
      <c r="B875" s="107"/>
      <c r="C875" s="107"/>
      <c r="D875" s="107"/>
      <c r="E875" s="107"/>
      <c r="F875" s="107"/>
      <c r="G875" s="208"/>
      <c r="H875" s="131"/>
      <c r="I875" s="211"/>
      <c r="J875" s="107"/>
      <c r="K875" s="202"/>
      <c r="L875" s="107"/>
      <c r="M875" s="107"/>
      <c r="N875" s="206"/>
      <c r="O875" s="108" t="b">
        <v>0</v>
      </c>
      <c r="P875" s="207"/>
      <c r="Q875" s="140"/>
      <c r="R875" s="140"/>
      <c r="S875" s="140"/>
      <c r="T875" s="140"/>
      <c r="U875" s="140"/>
      <c r="V875" s="140"/>
      <c r="W875" s="140"/>
      <c r="X875" s="140"/>
      <c r="Y875" s="140"/>
      <c r="Z875" s="140"/>
      <c r="AA875" s="140"/>
      <c r="AB875" s="140"/>
      <c r="AC875" s="140"/>
      <c r="AD875" s="140"/>
      <c r="AE875" s="140"/>
      <c r="AF875" s="140"/>
      <c r="AG875" s="140"/>
      <c r="AH875" s="140"/>
      <c r="AI875" s="140"/>
      <c r="AJ875" s="140"/>
      <c r="AK875" s="140"/>
      <c r="AL875" s="140"/>
      <c r="AM875" s="140"/>
      <c r="AN875" s="140"/>
      <c r="AO875" s="140"/>
      <c r="AP875" s="140"/>
      <c r="AQ875" s="140"/>
      <c r="AR875" s="140"/>
      <c r="AS875" s="140"/>
      <c r="AT875" s="140"/>
      <c r="AU875" s="140"/>
      <c r="AV875" s="140"/>
      <c r="AW875" s="140"/>
      <c r="AX875" s="140"/>
      <c r="AY875" s="140"/>
      <c r="AZ875" s="140"/>
      <c r="BA875" s="140"/>
      <c r="BB875" s="140"/>
      <c r="BC875" s="140"/>
      <c r="BD875" s="140"/>
      <c r="BE875" s="140"/>
    </row>
    <row r="876">
      <c r="A876" s="108"/>
      <c r="B876" s="107"/>
      <c r="C876" s="107"/>
      <c r="D876" s="107"/>
      <c r="E876" s="107"/>
      <c r="F876" s="107"/>
      <c r="G876" s="208"/>
      <c r="H876" s="131"/>
      <c r="I876" s="211"/>
      <c r="J876" s="107"/>
      <c r="K876" s="202"/>
      <c r="L876" s="107"/>
      <c r="M876" s="107"/>
      <c r="N876" s="206"/>
      <c r="O876" s="108" t="b">
        <v>0</v>
      </c>
      <c r="P876" s="207"/>
      <c r="Q876" s="140"/>
      <c r="R876" s="140"/>
      <c r="S876" s="140"/>
      <c r="T876" s="140"/>
      <c r="U876" s="140"/>
      <c r="V876" s="140"/>
      <c r="W876" s="140"/>
      <c r="X876" s="140"/>
      <c r="Y876" s="140"/>
      <c r="Z876" s="140"/>
      <c r="AA876" s="140"/>
      <c r="AB876" s="140"/>
      <c r="AC876" s="140"/>
      <c r="AD876" s="140"/>
      <c r="AE876" s="140"/>
      <c r="AF876" s="140"/>
      <c r="AG876" s="140"/>
      <c r="AH876" s="140"/>
      <c r="AI876" s="140"/>
      <c r="AJ876" s="140"/>
      <c r="AK876" s="140"/>
      <c r="AL876" s="140"/>
      <c r="AM876" s="140"/>
      <c r="AN876" s="140"/>
      <c r="AO876" s="140"/>
      <c r="AP876" s="140"/>
      <c r="AQ876" s="140"/>
      <c r="AR876" s="140"/>
      <c r="AS876" s="140"/>
      <c r="AT876" s="140"/>
      <c r="AU876" s="140"/>
      <c r="AV876" s="140"/>
      <c r="AW876" s="140"/>
      <c r="AX876" s="140"/>
      <c r="AY876" s="140"/>
      <c r="AZ876" s="140"/>
      <c r="BA876" s="140"/>
      <c r="BB876" s="140"/>
      <c r="BC876" s="140"/>
      <c r="BD876" s="140"/>
      <c r="BE876" s="140"/>
    </row>
    <row r="877">
      <c r="A877" s="108"/>
      <c r="B877" s="107"/>
      <c r="C877" s="107"/>
      <c r="D877" s="107"/>
      <c r="E877" s="107"/>
      <c r="F877" s="107"/>
      <c r="G877" s="208"/>
      <c r="H877" s="131"/>
      <c r="I877" s="211"/>
      <c r="J877" s="107"/>
      <c r="K877" s="202"/>
      <c r="L877" s="107"/>
      <c r="M877" s="107"/>
      <c r="N877" s="206"/>
      <c r="O877" s="108" t="b">
        <v>0</v>
      </c>
      <c r="P877" s="207"/>
      <c r="Q877" s="140"/>
      <c r="R877" s="140"/>
      <c r="S877" s="140"/>
      <c r="T877" s="140"/>
      <c r="U877" s="140"/>
      <c r="V877" s="140"/>
      <c r="W877" s="140"/>
      <c r="X877" s="140"/>
      <c r="Y877" s="140"/>
      <c r="Z877" s="140"/>
      <c r="AA877" s="140"/>
      <c r="AB877" s="140"/>
      <c r="AC877" s="140"/>
      <c r="AD877" s="140"/>
      <c r="AE877" s="140"/>
      <c r="AF877" s="140"/>
      <c r="AG877" s="140"/>
      <c r="AH877" s="140"/>
      <c r="AI877" s="140"/>
      <c r="AJ877" s="140"/>
      <c r="AK877" s="140"/>
      <c r="AL877" s="140"/>
      <c r="AM877" s="140"/>
      <c r="AN877" s="140"/>
      <c r="AO877" s="140"/>
      <c r="AP877" s="140"/>
      <c r="AQ877" s="140"/>
      <c r="AR877" s="140"/>
      <c r="AS877" s="140"/>
      <c r="AT877" s="140"/>
      <c r="AU877" s="140"/>
      <c r="AV877" s="140"/>
      <c r="AW877" s="140"/>
      <c r="AX877" s="140"/>
      <c r="AY877" s="140"/>
      <c r="AZ877" s="140"/>
      <c r="BA877" s="140"/>
      <c r="BB877" s="140"/>
      <c r="BC877" s="140"/>
      <c r="BD877" s="140"/>
      <c r="BE877" s="140"/>
    </row>
    <row r="878">
      <c r="A878" s="108"/>
      <c r="B878" s="107"/>
      <c r="C878" s="107"/>
      <c r="D878" s="107"/>
      <c r="E878" s="107"/>
      <c r="F878" s="107"/>
      <c r="G878" s="208"/>
      <c r="H878" s="131"/>
      <c r="I878" s="211"/>
      <c r="J878" s="107"/>
      <c r="K878" s="202"/>
      <c r="L878" s="107"/>
      <c r="M878" s="107"/>
      <c r="N878" s="206"/>
      <c r="O878" s="108" t="b">
        <v>0</v>
      </c>
      <c r="P878" s="207"/>
      <c r="Q878" s="140"/>
      <c r="R878" s="140"/>
      <c r="S878" s="140"/>
      <c r="T878" s="140"/>
      <c r="U878" s="140"/>
      <c r="V878" s="140"/>
      <c r="W878" s="140"/>
      <c r="X878" s="140"/>
      <c r="Y878" s="140"/>
      <c r="Z878" s="140"/>
      <c r="AA878" s="140"/>
      <c r="AB878" s="140"/>
      <c r="AC878" s="140"/>
      <c r="AD878" s="140"/>
      <c r="AE878" s="140"/>
      <c r="AF878" s="140"/>
      <c r="AG878" s="140"/>
      <c r="AH878" s="140"/>
      <c r="AI878" s="140"/>
      <c r="AJ878" s="140"/>
      <c r="AK878" s="140"/>
      <c r="AL878" s="140"/>
      <c r="AM878" s="140"/>
      <c r="AN878" s="140"/>
      <c r="AO878" s="140"/>
      <c r="AP878" s="140"/>
      <c r="AQ878" s="140"/>
      <c r="AR878" s="140"/>
      <c r="AS878" s="140"/>
      <c r="AT878" s="140"/>
      <c r="AU878" s="140"/>
      <c r="AV878" s="140"/>
      <c r="AW878" s="140"/>
      <c r="AX878" s="140"/>
      <c r="AY878" s="140"/>
      <c r="AZ878" s="140"/>
      <c r="BA878" s="140"/>
      <c r="BB878" s="140"/>
      <c r="BC878" s="140"/>
      <c r="BD878" s="140"/>
      <c r="BE878" s="140"/>
    </row>
    <row r="879">
      <c r="A879" s="108"/>
      <c r="B879" s="107"/>
      <c r="C879" s="107"/>
      <c r="D879" s="107"/>
      <c r="E879" s="107"/>
      <c r="F879" s="107"/>
      <c r="G879" s="208"/>
      <c r="H879" s="131"/>
      <c r="I879" s="211"/>
      <c r="J879" s="107"/>
      <c r="K879" s="202"/>
      <c r="L879" s="107"/>
      <c r="M879" s="107"/>
      <c r="N879" s="206"/>
      <c r="O879" s="108" t="b">
        <v>0</v>
      </c>
      <c r="P879" s="207"/>
      <c r="Q879" s="140"/>
      <c r="R879" s="140"/>
      <c r="S879" s="140"/>
      <c r="T879" s="140"/>
      <c r="U879" s="140"/>
      <c r="V879" s="140"/>
      <c r="W879" s="140"/>
      <c r="X879" s="140"/>
      <c r="Y879" s="140"/>
      <c r="Z879" s="140"/>
      <c r="AA879" s="140"/>
      <c r="AB879" s="140"/>
      <c r="AC879" s="140"/>
      <c r="AD879" s="140"/>
      <c r="AE879" s="140"/>
      <c r="AF879" s="140"/>
      <c r="AG879" s="140"/>
      <c r="AH879" s="140"/>
      <c r="AI879" s="140"/>
      <c r="AJ879" s="140"/>
      <c r="AK879" s="140"/>
      <c r="AL879" s="140"/>
      <c r="AM879" s="140"/>
      <c r="AN879" s="140"/>
      <c r="AO879" s="140"/>
      <c r="AP879" s="140"/>
      <c r="AQ879" s="140"/>
      <c r="AR879" s="140"/>
      <c r="AS879" s="140"/>
      <c r="AT879" s="140"/>
      <c r="AU879" s="140"/>
      <c r="AV879" s="140"/>
      <c r="AW879" s="140"/>
      <c r="AX879" s="140"/>
      <c r="AY879" s="140"/>
      <c r="AZ879" s="140"/>
      <c r="BA879" s="140"/>
      <c r="BB879" s="140"/>
      <c r="BC879" s="140"/>
      <c r="BD879" s="140"/>
      <c r="BE879" s="140"/>
    </row>
    <row r="880">
      <c r="A880" s="108"/>
      <c r="B880" s="107"/>
      <c r="C880" s="107"/>
      <c r="D880" s="107"/>
      <c r="E880" s="107"/>
      <c r="F880" s="107"/>
      <c r="G880" s="208"/>
      <c r="H880" s="131"/>
      <c r="I880" s="211"/>
      <c r="J880" s="107"/>
      <c r="K880" s="202"/>
      <c r="L880" s="107"/>
      <c r="M880" s="107"/>
      <c r="N880" s="206"/>
      <c r="O880" s="108" t="b">
        <v>0</v>
      </c>
      <c r="P880" s="207"/>
      <c r="Q880" s="140"/>
      <c r="R880" s="140"/>
      <c r="S880" s="140"/>
      <c r="T880" s="140"/>
      <c r="U880" s="140"/>
      <c r="V880" s="140"/>
      <c r="W880" s="140"/>
      <c r="X880" s="140"/>
      <c r="Y880" s="140"/>
      <c r="Z880" s="140"/>
      <c r="AA880" s="140"/>
      <c r="AB880" s="140"/>
      <c r="AC880" s="140"/>
      <c r="AD880" s="140"/>
      <c r="AE880" s="140"/>
      <c r="AF880" s="140"/>
      <c r="AG880" s="140"/>
      <c r="AH880" s="140"/>
      <c r="AI880" s="140"/>
      <c r="AJ880" s="140"/>
      <c r="AK880" s="140"/>
      <c r="AL880" s="140"/>
      <c r="AM880" s="140"/>
      <c r="AN880" s="140"/>
      <c r="AO880" s="140"/>
      <c r="AP880" s="140"/>
      <c r="AQ880" s="140"/>
      <c r="AR880" s="140"/>
      <c r="AS880" s="140"/>
      <c r="AT880" s="140"/>
      <c r="AU880" s="140"/>
      <c r="AV880" s="140"/>
      <c r="AW880" s="140"/>
      <c r="AX880" s="140"/>
      <c r="AY880" s="140"/>
      <c r="AZ880" s="140"/>
      <c r="BA880" s="140"/>
      <c r="BB880" s="140"/>
      <c r="BC880" s="140"/>
      <c r="BD880" s="140"/>
      <c r="BE880" s="140"/>
    </row>
    <row r="881">
      <c r="A881" s="108"/>
      <c r="B881" s="107"/>
      <c r="C881" s="107"/>
      <c r="D881" s="107"/>
      <c r="E881" s="107"/>
      <c r="F881" s="107"/>
      <c r="G881" s="208"/>
      <c r="H881" s="131"/>
      <c r="I881" s="211"/>
      <c r="J881" s="107"/>
      <c r="K881" s="202"/>
      <c r="L881" s="107"/>
      <c r="M881" s="107"/>
      <c r="N881" s="206"/>
      <c r="O881" s="108" t="b">
        <v>0</v>
      </c>
      <c r="P881" s="207"/>
      <c r="Q881" s="140"/>
      <c r="R881" s="140"/>
      <c r="S881" s="140"/>
      <c r="T881" s="140"/>
      <c r="U881" s="140"/>
      <c r="V881" s="140"/>
      <c r="W881" s="140"/>
      <c r="X881" s="140"/>
      <c r="Y881" s="140"/>
      <c r="Z881" s="140"/>
      <c r="AA881" s="140"/>
      <c r="AB881" s="140"/>
      <c r="AC881" s="140"/>
      <c r="AD881" s="140"/>
      <c r="AE881" s="140"/>
      <c r="AF881" s="140"/>
      <c r="AG881" s="140"/>
      <c r="AH881" s="140"/>
      <c r="AI881" s="140"/>
      <c r="AJ881" s="140"/>
      <c r="AK881" s="140"/>
      <c r="AL881" s="140"/>
      <c r="AM881" s="140"/>
      <c r="AN881" s="140"/>
      <c r="AO881" s="140"/>
      <c r="AP881" s="140"/>
      <c r="AQ881" s="140"/>
      <c r="AR881" s="140"/>
      <c r="AS881" s="140"/>
      <c r="AT881" s="140"/>
      <c r="AU881" s="140"/>
      <c r="AV881" s="140"/>
      <c r="AW881" s="140"/>
      <c r="AX881" s="140"/>
      <c r="AY881" s="140"/>
      <c r="AZ881" s="140"/>
      <c r="BA881" s="140"/>
      <c r="BB881" s="140"/>
      <c r="BC881" s="140"/>
      <c r="BD881" s="140"/>
      <c r="BE881" s="140"/>
    </row>
    <row r="882">
      <c r="A882" s="108"/>
      <c r="B882" s="107"/>
      <c r="C882" s="107"/>
      <c r="D882" s="107"/>
      <c r="E882" s="107"/>
      <c r="F882" s="107"/>
      <c r="G882" s="208"/>
      <c r="H882" s="131"/>
      <c r="I882" s="211"/>
      <c r="J882" s="107"/>
      <c r="K882" s="202"/>
      <c r="L882" s="107"/>
      <c r="M882" s="107"/>
      <c r="N882" s="206"/>
      <c r="O882" s="108" t="b">
        <v>0</v>
      </c>
      <c r="P882" s="207"/>
      <c r="Q882" s="140"/>
      <c r="R882" s="140"/>
      <c r="S882" s="140"/>
      <c r="T882" s="140"/>
      <c r="U882" s="140"/>
      <c r="V882" s="140"/>
      <c r="W882" s="140"/>
      <c r="X882" s="140"/>
      <c r="Y882" s="140"/>
      <c r="Z882" s="140"/>
      <c r="AA882" s="140"/>
      <c r="AB882" s="140"/>
      <c r="AC882" s="140"/>
      <c r="AD882" s="140"/>
      <c r="AE882" s="140"/>
      <c r="AF882" s="140"/>
      <c r="AG882" s="140"/>
      <c r="AH882" s="140"/>
      <c r="AI882" s="140"/>
      <c r="AJ882" s="140"/>
      <c r="AK882" s="140"/>
      <c r="AL882" s="140"/>
      <c r="AM882" s="140"/>
      <c r="AN882" s="140"/>
      <c r="AO882" s="140"/>
      <c r="AP882" s="140"/>
      <c r="AQ882" s="140"/>
      <c r="AR882" s="140"/>
      <c r="AS882" s="140"/>
      <c r="AT882" s="140"/>
      <c r="AU882" s="140"/>
      <c r="AV882" s="140"/>
      <c r="AW882" s="140"/>
      <c r="AX882" s="140"/>
      <c r="AY882" s="140"/>
      <c r="AZ882" s="140"/>
      <c r="BA882" s="140"/>
      <c r="BB882" s="140"/>
      <c r="BC882" s="140"/>
      <c r="BD882" s="140"/>
      <c r="BE882" s="140"/>
    </row>
    <row r="883">
      <c r="A883" s="108"/>
      <c r="B883" s="107"/>
      <c r="C883" s="107"/>
      <c r="D883" s="107"/>
      <c r="E883" s="107"/>
      <c r="F883" s="107"/>
      <c r="G883" s="208"/>
      <c r="H883" s="131"/>
      <c r="I883" s="211"/>
      <c r="J883" s="107"/>
      <c r="K883" s="202"/>
      <c r="L883" s="107"/>
      <c r="M883" s="107"/>
      <c r="N883" s="206"/>
      <c r="O883" s="108" t="b">
        <v>0</v>
      </c>
      <c r="P883" s="207"/>
      <c r="Q883" s="140"/>
      <c r="R883" s="140"/>
      <c r="S883" s="140"/>
      <c r="T883" s="140"/>
      <c r="U883" s="140"/>
      <c r="V883" s="140"/>
      <c r="W883" s="140"/>
      <c r="X883" s="140"/>
      <c r="Y883" s="140"/>
      <c r="Z883" s="140"/>
      <c r="AA883" s="140"/>
      <c r="AB883" s="140"/>
      <c r="AC883" s="140"/>
      <c r="AD883" s="140"/>
      <c r="AE883" s="140"/>
      <c r="AF883" s="140"/>
      <c r="AG883" s="140"/>
      <c r="AH883" s="140"/>
      <c r="AI883" s="140"/>
      <c r="AJ883" s="140"/>
      <c r="AK883" s="140"/>
      <c r="AL883" s="140"/>
      <c r="AM883" s="140"/>
      <c r="AN883" s="140"/>
      <c r="AO883" s="140"/>
      <c r="AP883" s="140"/>
      <c r="AQ883" s="140"/>
      <c r="AR883" s="140"/>
      <c r="AS883" s="140"/>
      <c r="AT883" s="140"/>
      <c r="AU883" s="140"/>
      <c r="AV883" s="140"/>
      <c r="AW883" s="140"/>
      <c r="AX883" s="140"/>
      <c r="AY883" s="140"/>
      <c r="AZ883" s="140"/>
      <c r="BA883" s="140"/>
      <c r="BB883" s="140"/>
      <c r="BC883" s="140"/>
      <c r="BD883" s="140"/>
      <c r="BE883" s="140"/>
    </row>
    <row r="884">
      <c r="A884" s="108"/>
      <c r="B884" s="107"/>
      <c r="C884" s="107"/>
      <c r="D884" s="107"/>
      <c r="E884" s="107"/>
      <c r="F884" s="107"/>
      <c r="G884" s="208"/>
      <c r="H884" s="131"/>
      <c r="I884" s="211"/>
      <c r="J884" s="107"/>
      <c r="K884" s="202"/>
      <c r="L884" s="107"/>
      <c r="M884" s="107"/>
      <c r="N884" s="206"/>
      <c r="O884" s="108" t="b">
        <v>0</v>
      </c>
      <c r="P884" s="207"/>
      <c r="Q884" s="140"/>
      <c r="R884" s="140"/>
      <c r="S884" s="140"/>
      <c r="T884" s="140"/>
      <c r="U884" s="140"/>
      <c r="V884" s="140"/>
      <c r="W884" s="140"/>
      <c r="X884" s="140"/>
      <c r="Y884" s="140"/>
      <c r="Z884" s="140"/>
      <c r="AA884" s="140"/>
      <c r="AB884" s="140"/>
      <c r="AC884" s="140"/>
      <c r="AD884" s="140"/>
      <c r="AE884" s="140"/>
      <c r="AF884" s="140"/>
      <c r="AG884" s="140"/>
      <c r="AH884" s="140"/>
      <c r="AI884" s="140"/>
      <c r="AJ884" s="140"/>
      <c r="AK884" s="140"/>
      <c r="AL884" s="140"/>
      <c r="AM884" s="140"/>
      <c r="AN884" s="140"/>
      <c r="AO884" s="140"/>
      <c r="AP884" s="140"/>
      <c r="AQ884" s="140"/>
      <c r="AR884" s="140"/>
      <c r="AS884" s="140"/>
      <c r="AT884" s="140"/>
      <c r="AU884" s="140"/>
      <c r="AV884" s="140"/>
      <c r="AW884" s="140"/>
      <c r="AX884" s="140"/>
      <c r="AY884" s="140"/>
      <c r="AZ884" s="140"/>
      <c r="BA884" s="140"/>
      <c r="BB884" s="140"/>
      <c r="BC884" s="140"/>
      <c r="BD884" s="140"/>
      <c r="BE884" s="140"/>
    </row>
    <row r="885">
      <c r="A885" s="108"/>
      <c r="B885" s="107"/>
      <c r="C885" s="107"/>
      <c r="D885" s="107"/>
      <c r="E885" s="107"/>
      <c r="F885" s="107"/>
      <c r="G885" s="208"/>
      <c r="H885" s="131"/>
      <c r="I885" s="211"/>
      <c r="J885" s="107"/>
      <c r="K885" s="202"/>
      <c r="L885" s="107"/>
      <c r="M885" s="107"/>
      <c r="N885" s="206"/>
      <c r="O885" s="108" t="b">
        <v>0</v>
      </c>
      <c r="P885" s="207"/>
      <c r="Q885" s="140"/>
      <c r="R885" s="140"/>
      <c r="S885" s="140"/>
      <c r="T885" s="140"/>
      <c r="U885" s="140"/>
      <c r="V885" s="140"/>
      <c r="W885" s="140"/>
      <c r="X885" s="140"/>
      <c r="Y885" s="140"/>
      <c r="Z885" s="140"/>
      <c r="AA885" s="140"/>
      <c r="AB885" s="140"/>
      <c r="AC885" s="140"/>
      <c r="AD885" s="140"/>
      <c r="AE885" s="140"/>
      <c r="AF885" s="140"/>
      <c r="AG885" s="140"/>
      <c r="AH885" s="140"/>
      <c r="AI885" s="140"/>
      <c r="AJ885" s="140"/>
      <c r="AK885" s="140"/>
      <c r="AL885" s="140"/>
      <c r="AM885" s="140"/>
      <c r="AN885" s="140"/>
      <c r="AO885" s="140"/>
      <c r="AP885" s="140"/>
      <c r="AQ885" s="140"/>
      <c r="AR885" s="140"/>
      <c r="AS885" s="140"/>
      <c r="AT885" s="140"/>
      <c r="AU885" s="140"/>
      <c r="AV885" s="140"/>
      <c r="AW885" s="140"/>
      <c r="AX885" s="140"/>
      <c r="AY885" s="140"/>
      <c r="AZ885" s="140"/>
      <c r="BA885" s="140"/>
      <c r="BB885" s="140"/>
      <c r="BC885" s="140"/>
      <c r="BD885" s="140"/>
      <c r="BE885" s="140"/>
    </row>
    <row r="886">
      <c r="A886" s="108"/>
      <c r="B886" s="107"/>
      <c r="C886" s="107"/>
      <c r="D886" s="107"/>
      <c r="E886" s="107"/>
      <c r="F886" s="107"/>
      <c r="G886" s="208"/>
      <c r="H886" s="131"/>
      <c r="I886" s="211"/>
      <c r="J886" s="107"/>
      <c r="K886" s="202"/>
      <c r="L886" s="107"/>
      <c r="M886" s="107"/>
      <c r="N886" s="206"/>
      <c r="O886" s="108" t="b">
        <v>0</v>
      </c>
      <c r="P886" s="207"/>
      <c r="Q886" s="140"/>
      <c r="R886" s="140"/>
      <c r="S886" s="140"/>
      <c r="T886" s="140"/>
      <c r="U886" s="140"/>
      <c r="V886" s="140"/>
      <c r="W886" s="140"/>
      <c r="X886" s="140"/>
      <c r="Y886" s="140"/>
      <c r="Z886" s="140"/>
      <c r="AA886" s="140"/>
      <c r="AB886" s="140"/>
      <c r="AC886" s="140"/>
      <c r="AD886" s="140"/>
      <c r="AE886" s="140"/>
      <c r="AF886" s="140"/>
      <c r="AG886" s="140"/>
      <c r="AH886" s="140"/>
      <c r="AI886" s="140"/>
      <c r="AJ886" s="140"/>
      <c r="AK886" s="140"/>
      <c r="AL886" s="140"/>
      <c r="AM886" s="140"/>
      <c r="AN886" s="140"/>
      <c r="AO886" s="140"/>
      <c r="AP886" s="140"/>
      <c r="AQ886" s="140"/>
      <c r="AR886" s="140"/>
      <c r="AS886" s="140"/>
      <c r="AT886" s="140"/>
      <c r="AU886" s="140"/>
      <c r="AV886" s="140"/>
      <c r="AW886" s="140"/>
      <c r="AX886" s="140"/>
      <c r="AY886" s="140"/>
      <c r="AZ886" s="140"/>
      <c r="BA886" s="140"/>
      <c r="BB886" s="140"/>
      <c r="BC886" s="140"/>
      <c r="BD886" s="140"/>
      <c r="BE886" s="140"/>
    </row>
    <row r="887">
      <c r="A887" s="108"/>
      <c r="B887" s="107"/>
      <c r="C887" s="107"/>
      <c r="D887" s="107"/>
      <c r="E887" s="107"/>
      <c r="F887" s="107"/>
      <c r="G887" s="208"/>
      <c r="H887" s="131"/>
      <c r="I887" s="211"/>
      <c r="J887" s="107"/>
      <c r="K887" s="202"/>
      <c r="L887" s="107"/>
      <c r="M887" s="107"/>
      <c r="N887" s="206"/>
      <c r="O887" s="108" t="b">
        <v>0</v>
      </c>
      <c r="P887" s="207"/>
      <c r="Q887" s="140"/>
      <c r="R887" s="140"/>
      <c r="S887" s="140"/>
      <c r="T887" s="140"/>
      <c r="U887" s="140"/>
      <c r="V887" s="140"/>
      <c r="W887" s="140"/>
      <c r="X887" s="140"/>
      <c r="Y887" s="140"/>
      <c r="Z887" s="140"/>
      <c r="AA887" s="140"/>
      <c r="AB887" s="140"/>
      <c r="AC887" s="140"/>
      <c r="AD887" s="140"/>
      <c r="AE887" s="140"/>
      <c r="AF887" s="140"/>
      <c r="AG887" s="140"/>
      <c r="AH887" s="140"/>
      <c r="AI887" s="140"/>
      <c r="AJ887" s="140"/>
      <c r="AK887" s="140"/>
      <c r="AL887" s="140"/>
      <c r="AM887" s="140"/>
      <c r="AN887" s="140"/>
      <c r="AO887" s="140"/>
      <c r="AP887" s="140"/>
      <c r="AQ887" s="140"/>
      <c r="AR887" s="140"/>
      <c r="AS887" s="140"/>
      <c r="AT887" s="140"/>
      <c r="AU887" s="140"/>
      <c r="AV887" s="140"/>
      <c r="AW887" s="140"/>
      <c r="AX887" s="140"/>
      <c r="AY887" s="140"/>
      <c r="AZ887" s="140"/>
      <c r="BA887" s="140"/>
      <c r="BB887" s="140"/>
      <c r="BC887" s="140"/>
      <c r="BD887" s="140"/>
      <c r="BE887" s="140"/>
    </row>
    <row r="888">
      <c r="A888" s="108"/>
      <c r="B888" s="107"/>
      <c r="C888" s="107"/>
      <c r="D888" s="107"/>
      <c r="E888" s="107"/>
      <c r="F888" s="107"/>
      <c r="G888" s="208"/>
      <c r="H888" s="131"/>
      <c r="I888" s="211"/>
      <c r="J888" s="107"/>
      <c r="K888" s="202"/>
      <c r="L888" s="107"/>
      <c r="M888" s="107"/>
      <c r="N888" s="206"/>
      <c r="O888" s="108" t="b">
        <v>0</v>
      </c>
      <c r="P888" s="207"/>
      <c r="Q888" s="140"/>
      <c r="R888" s="140"/>
      <c r="S888" s="140"/>
      <c r="T888" s="140"/>
      <c r="U888" s="140"/>
      <c r="V888" s="140"/>
      <c r="W888" s="140"/>
      <c r="X888" s="140"/>
      <c r="Y888" s="140"/>
      <c r="Z888" s="140"/>
      <c r="AA888" s="140"/>
      <c r="AB888" s="140"/>
      <c r="AC888" s="140"/>
      <c r="AD888" s="140"/>
      <c r="AE888" s="140"/>
      <c r="AF888" s="140"/>
      <c r="AG888" s="140"/>
      <c r="AH888" s="140"/>
      <c r="AI888" s="140"/>
      <c r="AJ888" s="140"/>
      <c r="AK888" s="140"/>
      <c r="AL888" s="140"/>
      <c r="AM888" s="140"/>
      <c r="AN888" s="140"/>
      <c r="AO888" s="140"/>
      <c r="AP888" s="140"/>
      <c r="AQ888" s="140"/>
      <c r="AR888" s="140"/>
      <c r="AS888" s="140"/>
      <c r="AT888" s="140"/>
      <c r="AU888" s="140"/>
      <c r="AV888" s="140"/>
      <c r="AW888" s="140"/>
      <c r="AX888" s="140"/>
      <c r="AY888" s="140"/>
      <c r="AZ888" s="140"/>
      <c r="BA888" s="140"/>
      <c r="BB888" s="140"/>
      <c r="BC888" s="140"/>
      <c r="BD888" s="140"/>
      <c r="BE888" s="140"/>
    </row>
    <row r="889">
      <c r="A889" s="108"/>
      <c r="B889" s="107"/>
      <c r="C889" s="107"/>
      <c r="D889" s="107"/>
      <c r="E889" s="107"/>
      <c r="F889" s="107"/>
      <c r="G889" s="208"/>
      <c r="H889" s="131"/>
      <c r="I889" s="211"/>
      <c r="J889" s="107"/>
      <c r="K889" s="202"/>
      <c r="L889" s="107"/>
      <c r="M889" s="107"/>
      <c r="N889" s="206"/>
      <c r="O889" s="108" t="b">
        <v>0</v>
      </c>
      <c r="P889" s="207"/>
      <c r="Q889" s="140"/>
      <c r="R889" s="140"/>
      <c r="S889" s="140"/>
      <c r="T889" s="140"/>
      <c r="U889" s="140"/>
      <c r="V889" s="140"/>
      <c r="W889" s="140"/>
      <c r="X889" s="140"/>
      <c r="Y889" s="140"/>
      <c r="Z889" s="140"/>
      <c r="AA889" s="140"/>
      <c r="AB889" s="140"/>
      <c r="AC889" s="140"/>
      <c r="AD889" s="140"/>
      <c r="AE889" s="140"/>
      <c r="AF889" s="140"/>
      <c r="AG889" s="140"/>
      <c r="AH889" s="140"/>
      <c r="AI889" s="140"/>
      <c r="AJ889" s="140"/>
      <c r="AK889" s="140"/>
      <c r="AL889" s="140"/>
      <c r="AM889" s="140"/>
      <c r="AN889" s="140"/>
      <c r="AO889" s="140"/>
      <c r="AP889" s="140"/>
      <c r="AQ889" s="140"/>
      <c r="AR889" s="140"/>
      <c r="AS889" s="140"/>
      <c r="AT889" s="140"/>
      <c r="AU889" s="140"/>
      <c r="AV889" s="140"/>
      <c r="AW889" s="140"/>
      <c r="AX889" s="140"/>
      <c r="AY889" s="140"/>
      <c r="AZ889" s="140"/>
      <c r="BA889" s="140"/>
      <c r="BB889" s="140"/>
      <c r="BC889" s="140"/>
      <c r="BD889" s="140"/>
      <c r="BE889" s="140"/>
    </row>
    <row r="890">
      <c r="A890" s="108"/>
      <c r="B890" s="107"/>
      <c r="C890" s="107"/>
      <c r="D890" s="107"/>
      <c r="E890" s="107"/>
      <c r="F890" s="107"/>
      <c r="G890" s="208"/>
      <c r="H890" s="131"/>
      <c r="I890" s="211"/>
      <c r="J890" s="107"/>
      <c r="K890" s="202"/>
      <c r="L890" s="107"/>
      <c r="M890" s="107"/>
      <c r="N890" s="206"/>
      <c r="O890" s="108" t="b">
        <v>0</v>
      </c>
      <c r="P890" s="207"/>
      <c r="Q890" s="140"/>
      <c r="R890" s="140"/>
      <c r="S890" s="140"/>
      <c r="T890" s="140"/>
      <c r="U890" s="140"/>
      <c r="V890" s="140"/>
      <c r="W890" s="140"/>
      <c r="X890" s="140"/>
      <c r="Y890" s="140"/>
      <c r="Z890" s="140"/>
      <c r="AA890" s="140"/>
      <c r="AB890" s="140"/>
      <c r="AC890" s="140"/>
      <c r="AD890" s="140"/>
      <c r="AE890" s="140"/>
      <c r="AF890" s="140"/>
      <c r="AG890" s="140"/>
      <c r="AH890" s="140"/>
      <c r="AI890" s="140"/>
      <c r="AJ890" s="140"/>
      <c r="AK890" s="140"/>
      <c r="AL890" s="140"/>
      <c r="AM890" s="140"/>
      <c r="AN890" s="140"/>
      <c r="AO890" s="140"/>
      <c r="AP890" s="140"/>
      <c r="AQ890" s="140"/>
      <c r="AR890" s="140"/>
      <c r="AS890" s="140"/>
      <c r="AT890" s="140"/>
      <c r="AU890" s="140"/>
      <c r="AV890" s="140"/>
      <c r="AW890" s="140"/>
      <c r="AX890" s="140"/>
      <c r="AY890" s="140"/>
      <c r="AZ890" s="140"/>
      <c r="BA890" s="140"/>
      <c r="BB890" s="140"/>
      <c r="BC890" s="140"/>
      <c r="BD890" s="140"/>
      <c r="BE890" s="140"/>
    </row>
    <row r="891">
      <c r="A891" s="108"/>
      <c r="B891" s="107"/>
      <c r="C891" s="107"/>
      <c r="D891" s="107"/>
      <c r="E891" s="107"/>
      <c r="F891" s="107"/>
      <c r="G891" s="208"/>
      <c r="H891" s="131"/>
      <c r="I891" s="211"/>
      <c r="J891" s="107"/>
      <c r="K891" s="202"/>
      <c r="L891" s="107"/>
      <c r="M891" s="107"/>
      <c r="N891" s="206"/>
      <c r="O891" s="108" t="b">
        <v>0</v>
      </c>
      <c r="P891" s="207"/>
      <c r="Q891" s="140"/>
      <c r="R891" s="140"/>
      <c r="S891" s="140"/>
      <c r="T891" s="140"/>
      <c r="U891" s="140"/>
      <c r="V891" s="140"/>
      <c r="W891" s="140"/>
      <c r="X891" s="140"/>
      <c r="Y891" s="140"/>
      <c r="Z891" s="140"/>
      <c r="AA891" s="140"/>
      <c r="AB891" s="140"/>
      <c r="AC891" s="140"/>
      <c r="AD891" s="140"/>
      <c r="AE891" s="140"/>
      <c r="AF891" s="140"/>
      <c r="AG891" s="140"/>
      <c r="AH891" s="140"/>
      <c r="AI891" s="140"/>
      <c r="AJ891" s="140"/>
      <c r="AK891" s="140"/>
      <c r="AL891" s="140"/>
      <c r="AM891" s="140"/>
      <c r="AN891" s="140"/>
      <c r="AO891" s="140"/>
      <c r="AP891" s="140"/>
      <c r="AQ891" s="140"/>
      <c r="AR891" s="140"/>
      <c r="AS891" s="140"/>
      <c r="AT891" s="140"/>
      <c r="AU891" s="140"/>
      <c r="AV891" s="140"/>
      <c r="AW891" s="140"/>
      <c r="AX891" s="140"/>
      <c r="AY891" s="140"/>
      <c r="AZ891" s="140"/>
      <c r="BA891" s="140"/>
      <c r="BB891" s="140"/>
      <c r="BC891" s="140"/>
      <c r="BD891" s="140"/>
      <c r="BE891" s="140"/>
    </row>
    <row r="892">
      <c r="A892" s="108"/>
      <c r="B892" s="107"/>
      <c r="C892" s="107"/>
      <c r="D892" s="107"/>
      <c r="E892" s="107"/>
      <c r="F892" s="107"/>
      <c r="G892" s="208"/>
      <c r="H892" s="131"/>
      <c r="I892" s="211"/>
      <c r="J892" s="107"/>
      <c r="K892" s="202"/>
      <c r="L892" s="107"/>
      <c r="M892" s="107"/>
      <c r="N892" s="206"/>
      <c r="O892" s="108" t="b">
        <v>0</v>
      </c>
      <c r="P892" s="207"/>
      <c r="Q892" s="140"/>
      <c r="R892" s="140"/>
      <c r="S892" s="140"/>
      <c r="T892" s="140"/>
      <c r="U892" s="140"/>
      <c r="V892" s="140"/>
      <c r="W892" s="140"/>
      <c r="X892" s="140"/>
      <c r="Y892" s="140"/>
      <c r="Z892" s="140"/>
      <c r="AA892" s="140"/>
      <c r="AB892" s="140"/>
      <c r="AC892" s="140"/>
      <c r="AD892" s="140"/>
      <c r="AE892" s="140"/>
      <c r="AF892" s="140"/>
      <c r="AG892" s="140"/>
      <c r="AH892" s="140"/>
      <c r="AI892" s="140"/>
      <c r="AJ892" s="140"/>
      <c r="AK892" s="140"/>
      <c r="AL892" s="140"/>
      <c r="AM892" s="140"/>
      <c r="AN892" s="140"/>
      <c r="AO892" s="140"/>
      <c r="AP892" s="140"/>
      <c r="AQ892" s="140"/>
      <c r="AR892" s="140"/>
      <c r="AS892" s="140"/>
      <c r="AT892" s="140"/>
      <c r="AU892" s="140"/>
      <c r="AV892" s="140"/>
      <c r="AW892" s="140"/>
      <c r="AX892" s="140"/>
      <c r="AY892" s="140"/>
      <c r="AZ892" s="140"/>
      <c r="BA892" s="140"/>
      <c r="BB892" s="140"/>
      <c r="BC892" s="140"/>
      <c r="BD892" s="140"/>
      <c r="BE892" s="140"/>
    </row>
    <row r="893">
      <c r="A893" s="108"/>
      <c r="B893" s="107"/>
      <c r="C893" s="107"/>
      <c r="D893" s="107"/>
      <c r="E893" s="107"/>
      <c r="F893" s="107"/>
      <c r="G893" s="208"/>
      <c r="H893" s="131"/>
      <c r="I893" s="211"/>
      <c r="J893" s="107"/>
      <c r="K893" s="202"/>
      <c r="L893" s="107"/>
      <c r="M893" s="107"/>
      <c r="N893" s="206"/>
      <c r="O893" s="108" t="b">
        <v>0</v>
      </c>
      <c r="P893" s="207"/>
      <c r="Q893" s="140"/>
      <c r="R893" s="140"/>
      <c r="S893" s="140"/>
      <c r="T893" s="140"/>
      <c r="U893" s="140"/>
      <c r="V893" s="140"/>
      <c r="W893" s="140"/>
      <c r="X893" s="140"/>
      <c r="Y893" s="140"/>
      <c r="Z893" s="140"/>
      <c r="AA893" s="140"/>
      <c r="AB893" s="140"/>
      <c r="AC893" s="140"/>
      <c r="AD893" s="140"/>
      <c r="AE893" s="140"/>
      <c r="AF893" s="140"/>
      <c r="AG893" s="140"/>
      <c r="AH893" s="140"/>
      <c r="AI893" s="140"/>
      <c r="AJ893" s="140"/>
      <c r="AK893" s="140"/>
      <c r="AL893" s="140"/>
      <c r="AM893" s="140"/>
      <c r="AN893" s="140"/>
      <c r="AO893" s="140"/>
      <c r="AP893" s="140"/>
      <c r="AQ893" s="140"/>
      <c r="AR893" s="140"/>
      <c r="AS893" s="140"/>
      <c r="AT893" s="140"/>
      <c r="AU893" s="140"/>
      <c r="AV893" s="140"/>
      <c r="AW893" s="140"/>
      <c r="AX893" s="140"/>
      <c r="AY893" s="140"/>
      <c r="AZ893" s="140"/>
      <c r="BA893" s="140"/>
      <c r="BB893" s="140"/>
      <c r="BC893" s="140"/>
      <c r="BD893" s="140"/>
      <c r="BE893" s="140"/>
    </row>
    <row r="894">
      <c r="A894" s="108"/>
      <c r="B894" s="107"/>
      <c r="C894" s="107"/>
      <c r="D894" s="107"/>
      <c r="E894" s="107"/>
      <c r="F894" s="107"/>
      <c r="G894" s="208"/>
      <c r="H894" s="131"/>
      <c r="I894" s="211"/>
      <c r="J894" s="107"/>
      <c r="K894" s="202"/>
      <c r="L894" s="107"/>
      <c r="M894" s="107"/>
      <c r="N894" s="206"/>
      <c r="O894" s="108" t="b">
        <v>0</v>
      </c>
      <c r="P894" s="207"/>
      <c r="Q894" s="140"/>
      <c r="R894" s="140"/>
      <c r="S894" s="140"/>
      <c r="T894" s="140"/>
      <c r="U894" s="140"/>
      <c r="V894" s="140"/>
      <c r="W894" s="140"/>
      <c r="X894" s="140"/>
      <c r="Y894" s="140"/>
      <c r="Z894" s="140"/>
      <c r="AA894" s="140"/>
      <c r="AB894" s="140"/>
      <c r="AC894" s="140"/>
      <c r="AD894" s="140"/>
      <c r="AE894" s="140"/>
      <c r="AF894" s="140"/>
      <c r="AG894" s="140"/>
      <c r="AH894" s="140"/>
      <c r="AI894" s="140"/>
      <c r="AJ894" s="140"/>
      <c r="AK894" s="140"/>
      <c r="AL894" s="140"/>
      <c r="AM894" s="140"/>
      <c r="AN894" s="140"/>
      <c r="AO894" s="140"/>
      <c r="AP894" s="140"/>
      <c r="AQ894" s="140"/>
      <c r="AR894" s="140"/>
      <c r="AS894" s="140"/>
      <c r="AT894" s="140"/>
      <c r="AU894" s="140"/>
      <c r="AV894" s="140"/>
      <c r="AW894" s="140"/>
      <c r="AX894" s="140"/>
      <c r="AY894" s="140"/>
      <c r="AZ894" s="140"/>
      <c r="BA894" s="140"/>
      <c r="BB894" s="140"/>
      <c r="BC894" s="140"/>
      <c r="BD894" s="140"/>
      <c r="BE894" s="140"/>
    </row>
    <row r="895">
      <c r="A895" s="108"/>
      <c r="B895" s="107"/>
      <c r="C895" s="107"/>
      <c r="D895" s="107"/>
      <c r="E895" s="107"/>
      <c r="F895" s="107"/>
      <c r="G895" s="208"/>
      <c r="H895" s="131"/>
      <c r="I895" s="211"/>
      <c r="J895" s="107"/>
      <c r="K895" s="202"/>
      <c r="L895" s="107"/>
      <c r="M895" s="107"/>
      <c r="N895" s="206"/>
      <c r="O895" s="108" t="b">
        <v>0</v>
      </c>
      <c r="P895" s="207"/>
      <c r="Q895" s="140"/>
      <c r="R895" s="140"/>
      <c r="S895" s="140"/>
      <c r="T895" s="140"/>
      <c r="U895" s="140"/>
      <c r="V895" s="140"/>
      <c r="W895" s="140"/>
      <c r="X895" s="140"/>
      <c r="Y895" s="140"/>
      <c r="Z895" s="140"/>
      <c r="AA895" s="140"/>
      <c r="AB895" s="140"/>
      <c r="AC895" s="140"/>
      <c r="AD895" s="140"/>
      <c r="AE895" s="140"/>
      <c r="AF895" s="140"/>
      <c r="AG895" s="140"/>
      <c r="AH895" s="140"/>
      <c r="AI895" s="140"/>
      <c r="AJ895" s="140"/>
      <c r="AK895" s="140"/>
      <c r="AL895" s="140"/>
      <c r="AM895" s="140"/>
      <c r="AN895" s="140"/>
      <c r="AO895" s="140"/>
      <c r="AP895" s="140"/>
      <c r="AQ895" s="140"/>
      <c r="AR895" s="140"/>
      <c r="AS895" s="140"/>
      <c r="AT895" s="140"/>
      <c r="AU895" s="140"/>
      <c r="AV895" s="140"/>
      <c r="AW895" s="140"/>
      <c r="AX895" s="140"/>
      <c r="AY895" s="140"/>
      <c r="AZ895" s="140"/>
      <c r="BA895" s="140"/>
      <c r="BB895" s="140"/>
      <c r="BC895" s="140"/>
      <c r="BD895" s="140"/>
      <c r="BE895" s="140"/>
    </row>
    <row r="896">
      <c r="A896" s="108"/>
      <c r="B896" s="107"/>
      <c r="C896" s="107"/>
      <c r="D896" s="107"/>
      <c r="E896" s="107"/>
      <c r="F896" s="107"/>
      <c r="G896" s="208"/>
      <c r="H896" s="131"/>
      <c r="I896" s="211"/>
      <c r="J896" s="107"/>
      <c r="K896" s="202"/>
      <c r="L896" s="107"/>
      <c r="M896" s="107"/>
      <c r="N896" s="206"/>
      <c r="O896" s="108" t="b">
        <v>0</v>
      </c>
      <c r="P896" s="207"/>
      <c r="Q896" s="140"/>
      <c r="R896" s="140"/>
      <c r="S896" s="140"/>
      <c r="T896" s="140"/>
      <c r="U896" s="140"/>
      <c r="V896" s="140"/>
      <c r="W896" s="140"/>
      <c r="X896" s="140"/>
      <c r="Y896" s="140"/>
      <c r="Z896" s="140"/>
      <c r="AA896" s="140"/>
      <c r="AB896" s="140"/>
      <c r="AC896" s="140"/>
      <c r="AD896" s="140"/>
      <c r="AE896" s="140"/>
      <c r="AF896" s="140"/>
      <c r="AG896" s="140"/>
      <c r="AH896" s="140"/>
      <c r="AI896" s="140"/>
      <c r="AJ896" s="140"/>
      <c r="AK896" s="140"/>
      <c r="AL896" s="140"/>
      <c r="AM896" s="140"/>
      <c r="AN896" s="140"/>
      <c r="AO896" s="140"/>
      <c r="AP896" s="140"/>
      <c r="AQ896" s="140"/>
      <c r="AR896" s="140"/>
      <c r="AS896" s="140"/>
      <c r="AT896" s="140"/>
      <c r="AU896" s="140"/>
      <c r="AV896" s="140"/>
      <c r="AW896" s="140"/>
      <c r="AX896" s="140"/>
      <c r="AY896" s="140"/>
      <c r="AZ896" s="140"/>
      <c r="BA896" s="140"/>
      <c r="BB896" s="140"/>
      <c r="BC896" s="140"/>
      <c r="BD896" s="140"/>
      <c r="BE896" s="140"/>
    </row>
    <row r="897">
      <c r="A897" s="108"/>
      <c r="B897" s="107"/>
      <c r="C897" s="107"/>
      <c r="D897" s="107"/>
      <c r="E897" s="107"/>
      <c r="F897" s="107"/>
      <c r="G897" s="208"/>
      <c r="H897" s="131"/>
      <c r="I897" s="211"/>
      <c r="J897" s="107"/>
      <c r="K897" s="202"/>
      <c r="L897" s="107"/>
      <c r="M897" s="107"/>
      <c r="N897" s="206"/>
      <c r="O897" s="108" t="b">
        <v>0</v>
      </c>
      <c r="P897" s="207"/>
      <c r="Q897" s="140"/>
      <c r="R897" s="140"/>
      <c r="S897" s="140"/>
      <c r="T897" s="140"/>
      <c r="U897" s="140"/>
      <c r="V897" s="140"/>
      <c r="W897" s="140"/>
      <c r="X897" s="140"/>
      <c r="Y897" s="140"/>
      <c r="Z897" s="140"/>
      <c r="AA897" s="140"/>
      <c r="AB897" s="140"/>
      <c r="AC897" s="140"/>
      <c r="AD897" s="140"/>
      <c r="AE897" s="140"/>
      <c r="AF897" s="140"/>
      <c r="AG897" s="140"/>
      <c r="AH897" s="140"/>
      <c r="AI897" s="140"/>
      <c r="AJ897" s="140"/>
      <c r="AK897" s="140"/>
      <c r="AL897" s="140"/>
      <c r="AM897" s="140"/>
      <c r="AN897" s="140"/>
      <c r="AO897" s="140"/>
      <c r="AP897" s="140"/>
      <c r="AQ897" s="140"/>
      <c r="AR897" s="140"/>
      <c r="AS897" s="140"/>
      <c r="AT897" s="140"/>
      <c r="AU897" s="140"/>
      <c r="AV897" s="140"/>
      <c r="AW897" s="140"/>
      <c r="AX897" s="140"/>
      <c r="AY897" s="140"/>
      <c r="AZ897" s="140"/>
      <c r="BA897" s="140"/>
      <c r="BB897" s="140"/>
      <c r="BC897" s="140"/>
      <c r="BD897" s="140"/>
      <c r="BE897" s="140"/>
    </row>
    <row r="898">
      <c r="A898" s="108"/>
      <c r="B898" s="107"/>
      <c r="C898" s="107"/>
      <c r="D898" s="107"/>
      <c r="E898" s="107"/>
      <c r="F898" s="107"/>
      <c r="G898" s="208"/>
      <c r="H898" s="131"/>
      <c r="I898" s="211"/>
      <c r="J898" s="107"/>
      <c r="K898" s="202"/>
      <c r="L898" s="107"/>
      <c r="M898" s="107"/>
      <c r="N898" s="206"/>
      <c r="O898" s="108" t="b">
        <v>0</v>
      </c>
      <c r="P898" s="207"/>
      <c r="Q898" s="140"/>
      <c r="R898" s="140"/>
      <c r="S898" s="140"/>
      <c r="T898" s="140"/>
      <c r="U898" s="140"/>
      <c r="V898" s="140"/>
      <c r="W898" s="140"/>
      <c r="X898" s="140"/>
      <c r="Y898" s="140"/>
      <c r="Z898" s="140"/>
      <c r="AA898" s="140"/>
      <c r="AB898" s="140"/>
      <c r="AC898" s="140"/>
      <c r="AD898" s="140"/>
      <c r="AE898" s="140"/>
      <c r="AF898" s="140"/>
      <c r="AG898" s="140"/>
      <c r="AH898" s="140"/>
      <c r="AI898" s="140"/>
      <c r="AJ898" s="140"/>
      <c r="AK898" s="140"/>
      <c r="AL898" s="140"/>
      <c r="AM898" s="140"/>
      <c r="AN898" s="140"/>
      <c r="AO898" s="140"/>
      <c r="AP898" s="140"/>
      <c r="AQ898" s="140"/>
      <c r="AR898" s="140"/>
      <c r="AS898" s="140"/>
      <c r="AT898" s="140"/>
      <c r="AU898" s="140"/>
      <c r="AV898" s="140"/>
      <c r="AW898" s="140"/>
      <c r="AX898" s="140"/>
      <c r="AY898" s="140"/>
      <c r="AZ898" s="140"/>
      <c r="BA898" s="140"/>
      <c r="BB898" s="140"/>
      <c r="BC898" s="140"/>
      <c r="BD898" s="140"/>
      <c r="BE898" s="140"/>
    </row>
    <row r="899">
      <c r="A899" s="108"/>
      <c r="B899" s="107"/>
      <c r="C899" s="107"/>
      <c r="D899" s="107"/>
      <c r="E899" s="107"/>
      <c r="F899" s="107"/>
      <c r="G899" s="208"/>
      <c r="H899" s="131"/>
      <c r="I899" s="211"/>
      <c r="J899" s="107"/>
      <c r="K899" s="202"/>
      <c r="L899" s="107"/>
      <c r="M899" s="107"/>
      <c r="N899" s="206"/>
      <c r="O899" s="108" t="b">
        <v>0</v>
      </c>
      <c r="P899" s="207"/>
      <c r="Q899" s="140"/>
      <c r="R899" s="140"/>
      <c r="S899" s="140"/>
      <c r="T899" s="140"/>
      <c r="U899" s="140"/>
      <c r="V899" s="140"/>
      <c r="W899" s="140"/>
      <c r="X899" s="140"/>
      <c r="Y899" s="140"/>
      <c r="Z899" s="140"/>
      <c r="AA899" s="140"/>
      <c r="AB899" s="140"/>
      <c r="AC899" s="140"/>
      <c r="AD899" s="140"/>
      <c r="AE899" s="140"/>
      <c r="AF899" s="140"/>
      <c r="AG899" s="140"/>
      <c r="AH899" s="140"/>
      <c r="AI899" s="140"/>
      <c r="AJ899" s="140"/>
      <c r="AK899" s="140"/>
      <c r="AL899" s="140"/>
      <c r="AM899" s="140"/>
      <c r="AN899" s="140"/>
      <c r="AO899" s="140"/>
      <c r="AP899" s="140"/>
      <c r="AQ899" s="140"/>
      <c r="AR899" s="140"/>
      <c r="AS899" s="140"/>
      <c r="AT899" s="140"/>
      <c r="AU899" s="140"/>
      <c r="AV899" s="140"/>
      <c r="AW899" s="140"/>
      <c r="AX899" s="140"/>
      <c r="AY899" s="140"/>
      <c r="AZ899" s="140"/>
      <c r="BA899" s="140"/>
      <c r="BB899" s="140"/>
      <c r="BC899" s="140"/>
      <c r="BD899" s="140"/>
      <c r="BE899" s="140"/>
    </row>
    <row r="900">
      <c r="A900" s="108"/>
      <c r="B900" s="107"/>
      <c r="C900" s="107"/>
      <c r="D900" s="107"/>
      <c r="E900" s="107"/>
      <c r="F900" s="107"/>
      <c r="G900" s="208"/>
      <c r="H900" s="131"/>
      <c r="I900" s="211"/>
      <c r="J900" s="107"/>
      <c r="K900" s="202"/>
      <c r="L900" s="107"/>
      <c r="M900" s="107"/>
      <c r="N900" s="206"/>
      <c r="O900" s="108" t="b">
        <v>0</v>
      </c>
      <c r="P900" s="207"/>
      <c r="Q900" s="140"/>
      <c r="R900" s="140"/>
      <c r="S900" s="140"/>
      <c r="T900" s="140"/>
      <c r="U900" s="140"/>
      <c r="V900" s="140"/>
      <c r="W900" s="140"/>
      <c r="X900" s="140"/>
      <c r="Y900" s="140"/>
      <c r="Z900" s="140"/>
      <c r="AA900" s="140"/>
      <c r="AB900" s="140"/>
      <c r="AC900" s="140"/>
      <c r="AD900" s="140"/>
      <c r="AE900" s="140"/>
      <c r="AF900" s="140"/>
      <c r="AG900" s="140"/>
      <c r="AH900" s="140"/>
      <c r="AI900" s="140"/>
      <c r="AJ900" s="140"/>
      <c r="AK900" s="140"/>
      <c r="AL900" s="140"/>
      <c r="AM900" s="140"/>
      <c r="AN900" s="140"/>
      <c r="AO900" s="140"/>
      <c r="AP900" s="140"/>
      <c r="AQ900" s="140"/>
      <c r="AR900" s="140"/>
      <c r="AS900" s="140"/>
      <c r="AT900" s="140"/>
      <c r="AU900" s="140"/>
      <c r="AV900" s="140"/>
      <c r="AW900" s="140"/>
      <c r="AX900" s="140"/>
      <c r="AY900" s="140"/>
      <c r="AZ900" s="140"/>
      <c r="BA900" s="140"/>
      <c r="BB900" s="140"/>
      <c r="BC900" s="140"/>
      <c r="BD900" s="140"/>
      <c r="BE900" s="140"/>
    </row>
    <row r="901">
      <c r="A901" s="108"/>
      <c r="B901" s="107"/>
      <c r="C901" s="107"/>
      <c r="D901" s="107"/>
      <c r="E901" s="107"/>
      <c r="F901" s="107"/>
      <c r="G901" s="208"/>
      <c r="H901" s="131"/>
      <c r="I901" s="211"/>
      <c r="J901" s="107"/>
      <c r="K901" s="202"/>
      <c r="L901" s="107"/>
      <c r="M901" s="107"/>
      <c r="N901" s="206"/>
      <c r="O901" s="108" t="b">
        <v>0</v>
      </c>
      <c r="P901" s="207"/>
      <c r="Q901" s="140"/>
      <c r="R901" s="140"/>
      <c r="S901" s="140"/>
      <c r="T901" s="140"/>
      <c r="U901" s="140"/>
      <c r="V901" s="140"/>
      <c r="W901" s="140"/>
      <c r="X901" s="140"/>
      <c r="Y901" s="140"/>
      <c r="Z901" s="140"/>
      <c r="AA901" s="140"/>
      <c r="AB901" s="140"/>
      <c r="AC901" s="140"/>
      <c r="AD901" s="140"/>
      <c r="AE901" s="140"/>
      <c r="AF901" s="140"/>
      <c r="AG901" s="140"/>
      <c r="AH901" s="140"/>
      <c r="AI901" s="140"/>
      <c r="AJ901" s="140"/>
      <c r="AK901" s="140"/>
      <c r="AL901" s="140"/>
      <c r="AM901" s="140"/>
      <c r="AN901" s="140"/>
      <c r="AO901" s="140"/>
      <c r="AP901" s="140"/>
      <c r="AQ901" s="140"/>
      <c r="AR901" s="140"/>
      <c r="AS901" s="140"/>
      <c r="AT901" s="140"/>
      <c r="AU901" s="140"/>
      <c r="AV901" s="140"/>
      <c r="AW901" s="140"/>
      <c r="AX901" s="140"/>
      <c r="AY901" s="140"/>
      <c r="AZ901" s="140"/>
      <c r="BA901" s="140"/>
      <c r="BB901" s="140"/>
      <c r="BC901" s="140"/>
      <c r="BD901" s="140"/>
      <c r="BE901" s="140"/>
    </row>
    <row r="902">
      <c r="A902" s="108"/>
      <c r="B902" s="107"/>
      <c r="C902" s="107"/>
      <c r="D902" s="107"/>
      <c r="E902" s="107"/>
      <c r="F902" s="107"/>
      <c r="G902" s="208"/>
      <c r="H902" s="131"/>
      <c r="I902" s="211"/>
      <c r="J902" s="107"/>
      <c r="K902" s="202"/>
      <c r="L902" s="107"/>
      <c r="M902" s="107"/>
      <c r="N902" s="206"/>
      <c r="O902" s="108" t="b">
        <v>0</v>
      </c>
      <c r="P902" s="207"/>
      <c r="Q902" s="140"/>
      <c r="R902" s="140"/>
      <c r="S902" s="140"/>
      <c r="T902" s="140"/>
      <c r="U902" s="140"/>
      <c r="V902" s="140"/>
      <c r="W902" s="140"/>
      <c r="X902" s="140"/>
      <c r="Y902" s="140"/>
      <c r="Z902" s="140"/>
      <c r="AA902" s="140"/>
      <c r="AB902" s="140"/>
      <c r="AC902" s="140"/>
      <c r="AD902" s="140"/>
      <c r="AE902" s="140"/>
      <c r="AF902" s="140"/>
      <c r="AG902" s="140"/>
      <c r="AH902" s="140"/>
      <c r="AI902" s="140"/>
      <c r="AJ902" s="140"/>
      <c r="AK902" s="140"/>
      <c r="AL902" s="140"/>
      <c r="AM902" s="140"/>
      <c r="AN902" s="140"/>
      <c r="AO902" s="140"/>
      <c r="AP902" s="140"/>
      <c r="AQ902" s="140"/>
      <c r="AR902" s="140"/>
      <c r="AS902" s="140"/>
      <c r="AT902" s="140"/>
      <c r="AU902" s="140"/>
      <c r="AV902" s="140"/>
      <c r="AW902" s="140"/>
      <c r="AX902" s="140"/>
      <c r="AY902" s="140"/>
      <c r="AZ902" s="140"/>
      <c r="BA902" s="140"/>
      <c r="BB902" s="140"/>
      <c r="BC902" s="140"/>
      <c r="BD902" s="140"/>
      <c r="BE902" s="140"/>
    </row>
    <row r="903">
      <c r="A903" s="108"/>
      <c r="B903" s="107"/>
      <c r="C903" s="107"/>
      <c r="D903" s="107"/>
      <c r="E903" s="107"/>
      <c r="F903" s="107"/>
      <c r="G903" s="208"/>
      <c r="H903" s="131"/>
      <c r="I903" s="211"/>
      <c r="J903" s="107"/>
      <c r="K903" s="202"/>
      <c r="L903" s="107"/>
      <c r="M903" s="107"/>
      <c r="N903" s="206"/>
      <c r="O903" s="108" t="b">
        <v>0</v>
      </c>
      <c r="P903" s="207"/>
      <c r="Q903" s="140"/>
      <c r="R903" s="140"/>
      <c r="S903" s="140"/>
      <c r="T903" s="140"/>
      <c r="U903" s="140"/>
      <c r="V903" s="140"/>
      <c r="W903" s="140"/>
      <c r="X903" s="140"/>
      <c r="Y903" s="140"/>
      <c r="Z903" s="140"/>
      <c r="AA903" s="140"/>
      <c r="AB903" s="140"/>
      <c r="AC903" s="140"/>
      <c r="AD903" s="140"/>
      <c r="AE903" s="140"/>
      <c r="AF903" s="140"/>
      <c r="AG903" s="140"/>
      <c r="AH903" s="140"/>
      <c r="AI903" s="140"/>
      <c r="AJ903" s="140"/>
      <c r="AK903" s="140"/>
      <c r="AL903" s="140"/>
      <c r="AM903" s="140"/>
      <c r="AN903" s="140"/>
      <c r="AO903" s="140"/>
      <c r="AP903" s="140"/>
      <c r="AQ903" s="140"/>
      <c r="AR903" s="140"/>
      <c r="AS903" s="140"/>
      <c r="AT903" s="140"/>
      <c r="AU903" s="140"/>
      <c r="AV903" s="140"/>
      <c r="AW903" s="140"/>
      <c r="AX903" s="140"/>
      <c r="AY903" s="140"/>
      <c r="AZ903" s="140"/>
      <c r="BA903" s="140"/>
      <c r="BB903" s="140"/>
      <c r="BC903" s="140"/>
      <c r="BD903" s="140"/>
      <c r="BE903" s="140"/>
    </row>
    <row r="904">
      <c r="A904" s="108"/>
      <c r="B904" s="107"/>
      <c r="C904" s="107"/>
      <c r="D904" s="107"/>
      <c r="E904" s="107"/>
      <c r="F904" s="107"/>
      <c r="G904" s="208"/>
      <c r="H904" s="131"/>
      <c r="I904" s="211"/>
      <c r="J904" s="107"/>
      <c r="K904" s="202"/>
      <c r="L904" s="107"/>
      <c r="M904" s="107"/>
      <c r="N904" s="206"/>
      <c r="O904" s="108" t="b">
        <v>0</v>
      </c>
      <c r="P904" s="207"/>
      <c r="Q904" s="140"/>
      <c r="R904" s="140"/>
      <c r="S904" s="140"/>
      <c r="T904" s="140"/>
      <c r="U904" s="140"/>
      <c r="V904" s="140"/>
      <c r="W904" s="140"/>
      <c r="X904" s="140"/>
      <c r="Y904" s="140"/>
      <c r="Z904" s="140"/>
      <c r="AA904" s="140"/>
      <c r="AB904" s="140"/>
      <c r="AC904" s="140"/>
      <c r="AD904" s="140"/>
      <c r="AE904" s="140"/>
      <c r="AF904" s="140"/>
      <c r="AG904" s="140"/>
      <c r="AH904" s="140"/>
      <c r="AI904" s="140"/>
      <c r="AJ904" s="140"/>
      <c r="AK904" s="140"/>
      <c r="AL904" s="140"/>
      <c r="AM904" s="140"/>
      <c r="AN904" s="140"/>
      <c r="AO904" s="140"/>
      <c r="AP904" s="140"/>
      <c r="AQ904" s="140"/>
      <c r="AR904" s="140"/>
      <c r="AS904" s="140"/>
      <c r="AT904" s="140"/>
      <c r="AU904" s="140"/>
      <c r="AV904" s="140"/>
      <c r="AW904" s="140"/>
      <c r="AX904" s="140"/>
      <c r="AY904" s="140"/>
      <c r="AZ904" s="140"/>
      <c r="BA904" s="140"/>
      <c r="BB904" s="140"/>
      <c r="BC904" s="140"/>
      <c r="BD904" s="140"/>
      <c r="BE904" s="140"/>
    </row>
    <row r="905">
      <c r="A905" s="108"/>
      <c r="B905" s="107"/>
      <c r="C905" s="107"/>
      <c r="D905" s="107"/>
      <c r="E905" s="107"/>
      <c r="F905" s="107"/>
      <c r="G905" s="208"/>
      <c r="H905" s="131"/>
      <c r="I905" s="211"/>
      <c r="J905" s="107"/>
      <c r="K905" s="202"/>
      <c r="L905" s="107"/>
      <c r="M905" s="107"/>
      <c r="N905" s="206"/>
      <c r="O905" s="108" t="b">
        <v>0</v>
      </c>
      <c r="P905" s="207"/>
      <c r="Q905" s="140"/>
      <c r="R905" s="140"/>
      <c r="S905" s="140"/>
      <c r="T905" s="140"/>
      <c r="U905" s="140"/>
      <c r="V905" s="140"/>
      <c r="W905" s="140"/>
      <c r="X905" s="140"/>
      <c r="Y905" s="140"/>
      <c r="Z905" s="140"/>
      <c r="AA905" s="140"/>
      <c r="AB905" s="140"/>
      <c r="AC905" s="140"/>
      <c r="AD905" s="140"/>
      <c r="AE905" s="140"/>
      <c r="AF905" s="140"/>
      <c r="AG905" s="140"/>
      <c r="AH905" s="140"/>
      <c r="AI905" s="140"/>
      <c r="AJ905" s="140"/>
      <c r="AK905" s="140"/>
      <c r="AL905" s="140"/>
      <c r="AM905" s="140"/>
      <c r="AN905" s="140"/>
      <c r="AO905" s="140"/>
      <c r="AP905" s="140"/>
      <c r="AQ905" s="140"/>
      <c r="AR905" s="140"/>
      <c r="AS905" s="140"/>
      <c r="AT905" s="140"/>
      <c r="AU905" s="140"/>
      <c r="AV905" s="140"/>
      <c r="AW905" s="140"/>
      <c r="AX905" s="140"/>
      <c r="AY905" s="140"/>
      <c r="AZ905" s="140"/>
      <c r="BA905" s="140"/>
      <c r="BB905" s="140"/>
      <c r="BC905" s="140"/>
      <c r="BD905" s="140"/>
      <c r="BE905" s="140"/>
    </row>
    <row r="906">
      <c r="A906" s="108"/>
      <c r="B906" s="107"/>
      <c r="C906" s="107"/>
      <c r="D906" s="107"/>
      <c r="E906" s="107"/>
      <c r="F906" s="107"/>
      <c r="G906" s="208"/>
      <c r="H906" s="131"/>
      <c r="I906" s="211"/>
      <c r="J906" s="107"/>
      <c r="K906" s="202"/>
      <c r="L906" s="107"/>
      <c r="M906" s="107"/>
      <c r="N906" s="206"/>
      <c r="O906" s="108" t="b">
        <v>0</v>
      </c>
      <c r="P906" s="207"/>
      <c r="Q906" s="140"/>
      <c r="R906" s="140"/>
      <c r="S906" s="140"/>
      <c r="T906" s="140"/>
      <c r="U906" s="140"/>
      <c r="V906" s="140"/>
      <c r="W906" s="140"/>
      <c r="X906" s="140"/>
      <c r="Y906" s="140"/>
      <c r="Z906" s="140"/>
      <c r="AA906" s="140"/>
      <c r="AB906" s="140"/>
      <c r="AC906" s="140"/>
      <c r="AD906" s="140"/>
      <c r="AE906" s="140"/>
      <c r="AF906" s="140"/>
      <c r="AG906" s="140"/>
      <c r="AH906" s="140"/>
      <c r="AI906" s="140"/>
      <c r="AJ906" s="140"/>
      <c r="AK906" s="140"/>
      <c r="AL906" s="140"/>
      <c r="AM906" s="140"/>
      <c r="AN906" s="140"/>
      <c r="AO906" s="140"/>
      <c r="AP906" s="140"/>
      <c r="AQ906" s="140"/>
      <c r="AR906" s="140"/>
      <c r="AS906" s="140"/>
      <c r="AT906" s="140"/>
      <c r="AU906" s="140"/>
      <c r="AV906" s="140"/>
      <c r="AW906" s="140"/>
      <c r="AX906" s="140"/>
      <c r="AY906" s="140"/>
      <c r="AZ906" s="140"/>
      <c r="BA906" s="140"/>
      <c r="BB906" s="140"/>
      <c r="BC906" s="140"/>
      <c r="BD906" s="140"/>
      <c r="BE906" s="140"/>
    </row>
    <row r="907">
      <c r="A907" s="108"/>
      <c r="B907" s="107"/>
      <c r="C907" s="107"/>
      <c r="D907" s="107"/>
      <c r="E907" s="107"/>
      <c r="F907" s="107"/>
      <c r="G907" s="208"/>
      <c r="H907" s="131"/>
      <c r="I907" s="211"/>
      <c r="J907" s="107"/>
      <c r="K907" s="202"/>
      <c r="L907" s="107"/>
      <c r="M907" s="107"/>
      <c r="N907" s="206"/>
      <c r="O907" s="108" t="b">
        <v>0</v>
      </c>
      <c r="P907" s="207"/>
      <c r="Q907" s="140"/>
      <c r="R907" s="140"/>
      <c r="S907" s="140"/>
      <c r="T907" s="140"/>
      <c r="U907" s="140"/>
      <c r="V907" s="140"/>
      <c r="W907" s="140"/>
      <c r="X907" s="140"/>
      <c r="Y907" s="140"/>
      <c r="Z907" s="140"/>
      <c r="AA907" s="140"/>
      <c r="AB907" s="140"/>
      <c r="AC907" s="140"/>
      <c r="AD907" s="140"/>
      <c r="AE907" s="140"/>
      <c r="AF907" s="140"/>
      <c r="AG907" s="140"/>
      <c r="AH907" s="140"/>
      <c r="AI907" s="140"/>
      <c r="AJ907" s="140"/>
      <c r="AK907" s="140"/>
      <c r="AL907" s="140"/>
      <c r="AM907" s="140"/>
      <c r="AN907" s="140"/>
      <c r="AO907" s="140"/>
      <c r="AP907" s="140"/>
      <c r="AQ907" s="140"/>
      <c r="AR907" s="140"/>
      <c r="AS907" s="140"/>
      <c r="AT907" s="140"/>
      <c r="AU907" s="140"/>
      <c r="AV907" s="140"/>
      <c r="AW907" s="140"/>
      <c r="AX907" s="140"/>
      <c r="AY907" s="140"/>
      <c r="AZ907" s="140"/>
      <c r="BA907" s="140"/>
      <c r="BB907" s="140"/>
      <c r="BC907" s="140"/>
      <c r="BD907" s="140"/>
      <c r="BE907" s="140"/>
    </row>
    <row r="908">
      <c r="A908" s="108"/>
      <c r="B908" s="107"/>
      <c r="C908" s="107"/>
      <c r="D908" s="107"/>
      <c r="E908" s="107"/>
      <c r="F908" s="107"/>
      <c r="G908" s="208"/>
      <c r="H908" s="131"/>
      <c r="I908" s="211"/>
      <c r="J908" s="107"/>
      <c r="K908" s="202"/>
      <c r="L908" s="107"/>
      <c r="M908" s="107"/>
      <c r="N908" s="206"/>
      <c r="O908" s="108" t="b">
        <v>0</v>
      </c>
      <c r="P908" s="207"/>
      <c r="Q908" s="140"/>
      <c r="R908" s="140"/>
      <c r="S908" s="140"/>
      <c r="T908" s="140"/>
      <c r="U908" s="140"/>
      <c r="V908" s="140"/>
      <c r="W908" s="140"/>
      <c r="X908" s="140"/>
      <c r="Y908" s="140"/>
      <c r="Z908" s="140"/>
      <c r="AA908" s="140"/>
      <c r="AB908" s="140"/>
      <c r="AC908" s="140"/>
      <c r="AD908" s="140"/>
      <c r="AE908" s="140"/>
      <c r="AF908" s="140"/>
      <c r="AG908" s="140"/>
      <c r="AH908" s="140"/>
      <c r="AI908" s="140"/>
      <c r="AJ908" s="140"/>
      <c r="AK908" s="140"/>
      <c r="AL908" s="140"/>
      <c r="AM908" s="140"/>
      <c r="AN908" s="140"/>
      <c r="AO908" s="140"/>
      <c r="AP908" s="140"/>
      <c r="AQ908" s="140"/>
      <c r="AR908" s="140"/>
      <c r="AS908" s="140"/>
      <c r="AT908" s="140"/>
      <c r="AU908" s="140"/>
      <c r="AV908" s="140"/>
      <c r="AW908" s="140"/>
      <c r="AX908" s="140"/>
      <c r="AY908" s="140"/>
      <c r="AZ908" s="140"/>
      <c r="BA908" s="140"/>
      <c r="BB908" s="140"/>
      <c r="BC908" s="140"/>
      <c r="BD908" s="140"/>
      <c r="BE908" s="140"/>
    </row>
    <row r="909">
      <c r="A909" s="108"/>
      <c r="B909" s="107"/>
      <c r="C909" s="107"/>
      <c r="D909" s="107"/>
      <c r="E909" s="107"/>
      <c r="F909" s="107"/>
      <c r="G909" s="208"/>
      <c r="H909" s="131"/>
      <c r="I909" s="211"/>
      <c r="J909" s="107"/>
      <c r="K909" s="202"/>
      <c r="L909" s="107"/>
      <c r="M909" s="107"/>
      <c r="N909" s="206"/>
      <c r="O909" s="108" t="b">
        <v>0</v>
      </c>
      <c r="P909" s="207"/>
      <c r="Q909" s="140"/>
      <c r="R909" s="140"/>
      <c r="S909" s="140"/>
      <c r="T909" s="140"/>
      <c r="U909" s="140"/>
      <c r="V909" s="140"/>
      <c r="W909" s="140"/>
      <c r="X909" s="140"/>
      <c r="Y909" s="140"/>
      <c r="Z909" s="140"/>
      <c r="AA909" s="140"/>
      <c r="AB909" s="140"/>
      <c r="AC909" s="140"/>
      <c r="AD909" s="140"/>
      <c r="AE909" s="140"/>
      <c r="AF909" s="140"/>
      <c r="AG909" s="140"/>
      <c r="AH909" s="140"/>
      <c r="AI909" s="140"/>
      <c r="AJ909" s="140"/>
      <c r="AK909" s="140"/>
      <c r="AL909" s="140"/>
      <c r="AM909" s="140"/>
      <c r="AN909" s="140"/>
      <c r="AO909" s="140"/>
      <c r="AP909" s="140"/>
      <c r="AQ909" s="140"/>
      <c r="AR909" s="140"/>
      <c r="AS909" s="140"/>
      <c r="AT909" s="140"/>
      <c r="AU909" s="140"/>
      <c r="AV909" s="140"/>
      <c r="AW909" s="140"/>
      <c r="AX909" s="140"/>
      <c r="AY909" s="140"/>
      <c r="AZ909" s="140"/>
      <c r="BA909" s="140"/>
      <c r="BB909" s="140"/>
      <c r="BC909" s="140"/>
      <c r="BD909" s="140"/>
      <c r="BE909" s="140"/>
    </row>
    <row r="910">
      <c r="A910" s="108"/>
      <c r="B910" s="107"/>
      <c r="C910" s="107"/>
      <c r="D910" s="107"/>
      <c r="E910" s="107"/>
      <c r="F910" s="107"/>
      <c r="G910" s="208"/>
      <c r="H910" s="131"/>
      <c r="I910" s="211"/>
      <c r="J910" s="107"/>
      <c r="K910" s="202"/>
      <c r="L910" s="107"/>
      <c r="M910" s="107"/>
      <c r="N910" s="206"/>
      <c r="O910" s="108" t="b">
        <v>0</v>
      </c>
      <c r="P910" s="207"/>
      <c r="Q910" s="140"/>
      <c r="R910" s="140"/>
      <c r="S910" s="140"/>
      <c r="T910" s="140"/>
      <c r="U910" s="140"/>
      <c r="V910" s="140"/>
      <c r="W910" s="140"/>
      <c r="X910" s="140"/>
      <c r="Y910" s="140"/>
      <c r="Z910" s="140"/>
      <c r="AA910" s="140"/>
      <c r="AB910" s="140"/>
      <c r="AC910" s="140"/>
      <c r="AD910" s="140"/>
      <c r="AE910" s="140"/>
      <c r="AF910" s="140"/>
      <c r="AG910" s="140"/>
      <c r="AH910" s="140"/>
      <c r="AI910" s="140"/>
      <c r="AJ910" s="140"/>
      <c r="AK910" s="140"/>
      <c r="AL910" s="140"/>
      <c r="AM910" s="140"/>
      <c r="AN910" s="140"/>
      <c r="AO910" s="140"/>
      <c r="AP910" s="140"/>
      <c r="AQ910" s="140"/>
      <c r="AR910" s="140"/>
      <c r="AS910" s="140"/>
      <c r="AT910" s="140"/>
      <c r="AU910" s="140"/>
      <c r="AV910" s="140"/>
      <c r="AW910" s="140"/>
      <c r="AX910" s="140"/>
      <c r="AY910" s="140"/>
      <c r="AZ910" s="140"/>
      <c r="BA910" s="140"/>
      <c r="BB910" s="140"/>
      <c r="BC910" s="140"/>
      <c r="BD910" s="140"/>
      <c r="BE910" s="140"/>
    </row>
    <row r="911">
      <c r="A911" s="108"/>
      <c r="B911" s="107"/>
      <c r="C911" s="107"/>
      <c r="D911" s="107"/>
      <c r="E911" s="107"/>
      <c r="F911" s="107"/>
      <c r="G911" s="208"/>
      <c r="H911" s="131"/>
      <c r="I911" s="211"/>
      <c r="J911" s="107"/>
      <c r="K911" s="202"/>
      <c r="L911" s="107"/>
      <c r="M911" s="107"/>
      <c r="N911" s="206"/>
      <c r="O911" s="108" t="b">
        <v>0</v>
      </c>
      <c r="P911" s="207"/>
      <c r="Q911" s="140"/>
      <c r="R911" s="140"/>
      <c r="S911" s="140"/>
      <c r="T911" s="140"/>
      <c r="U911" s="140"/>
      <c r="V911" s="140"/>
      <c r="W911" s="140"/>
      <c r="X911" s="140"/>
      <c r="Y911" s="140"/>
      <c r="Z911" s="140"/>
      <c r="AA911" s="140"/>
      <c r="AB911" s="140"/>
      <c r="AC911" s="140"/>
      <c r="AD911" s="140"/>
      <c r="AE911" s="140"/>
      <c r="AF911" s="140"/>
      <c r="AG911" s="140"/>
      <c r="AH911" s="140"/>
      <c r="AI911" s="140"/>
      <c r="AJ911" s="140"/>
      <c r="AK911" s="140"/>
      <c r="AL911" s="140"/>
      <c r="AM911" s="140"/>
      <c r="AN911" s="140"/>
      <c r="AO911" s="140"/>
      <c r="AP911" s="140"/>
      <c r="AQ911" s="140"/>
      <c r="AR911" s="140"/>
      <c r="AS911" s="140"/>
      <c r="AT911" s="140"/>
      <c r="AU911" s="140"/>
      <c r="AV911" s="140"/>
      <c r="AW911" s="140"/>
      <c r="AX911" s="140"/>
      <c r="AY911" s="140"/>
      <c r="AZ911" s="140"/>
      <c r="BA911" s="140"/>
      <c r="BB911" s="140"/>
      <c r="BC911" s="140"/>
      <c r="BD911" s="140"/>
      <c r="BE911" s="140"/>
    </row>
    <row r="912">
      <c r="A912" s="108"/>
      <c r="B912" s="107"/>
      <c r="C912" s="107"/>
      <c r="D912" s="107"/>
      <c r="E912" s="107"/>
      <c r="F912" s="107"/>
      <c r="G912" s="208"/>
      <c r="H912" s="131"/>
      <c r="I912" s="211"/>
      <c r="J912" s="107"/>
      <c r="K912" s="202"/>
      <c r="L912" s="107"/>
      <c r="M912" s="107"/>
      <c r="N912" s="206"/>
      <c r="O912" s="108" t="b">
        <v>0</v>
      </c>
      <c r="P912" s="207"/>
      <c r="Q912" s="140"/>
      <c r="R912" s="140"/>
      <c r="S912" s="140"/>
      <c r="T912" s="140"/>
      <c r="U912" s="140"/>
      <c r="V912" s="140"/>
      <c r="W912" s="140"/>
      <c r="X912" s="140"/>
      <c r="Y912" s="140"/>
      <c r="Z912" s="140"/>
      <c r="AA912" s="140"/>
      <c r="AB912" s="140"/>
      <c r="AC912" s="140"/>
      <c r="AD912" s="140"/>
      <c r="AE912" s="140"/>
      <c r="AF912" s="140"/>
      <c r="AG912" s="140"/>
      <c r="AH912" s="140"/>
      <c r="AI912" s="140"/>
      <c r="AJ912" s="140"/>
      <c r="AK912" s="140"/>
      <c r="AL912" s="140"/>
      <c r="AM912" s="140"/>
      <c r="AN912" s="140"/>
      <c r="AO912" s="140"/>
      <c r="AP912" s="140"/>
      <c r="AQ912" s="140"/>
      <c r="AR912" s="140"/>
      <c r="AS912" s="140"/>
      <c r="AT912" s="140"/>
      <c r="AU912" s="140"/>
      <c r="AV912" s="140"/>
      <c r="AW912" s="140"/>
      <c r="AX912" s="140"/>
      <c r="AY912" s="140"/>
      <c r="AZ912" s="140"/>
      <c r="BA912" s="140"/>
      <c r="BB912" s="140"/>
      <c r="BC912" s="140"/>
      <c r="BD912" s="140"/>
      <c r="BE912" s="140"/>
    </row>
    <row r="913">
      <c r="A913" s="108"/>
      <c r="B913" s="107"/>
      <c r="C913" s="107"/>
      <c r="D913" s="107"/>
      <c r="E913" s="107"/>
      <c r="F913" s="107"/>
      <c r="G913" s="208"/>
      <c r="H913" s="131"/>
      <c r="I913" s="211"/>
      <c r="J913" s="107"/>
      <c r="K913" s="202"/>
      <c r="L913" s="107"/>
      <c r="M913" s="107"/>
      <c r="N913" s="206"/>
      <c r="O913" s="108" t="b">
        <v>0</v>
      </c>
      <c r="P913" s="207"/>
      <c r="Q913" s="140"/>
      <c r="R913" s="140"/>
      <c r="S913" s="140"/>
      <c r="T913" s="140"/>
      <c r="U913" s="140"/>
      <c r="V913" s="140"/>
      <c r="W913" s="140"/>
      <c r="X913" s="140"/>
      <c r="Y913" s="140"/>
      <c r="Z913" s="140"/>
      <c r="AA913" s="140"/>
      <c r="AB913" s="140"/>
      <c r="AC913" s="140"/>
      <c r="AD913" s="140"/>
      <c r="AE913" s="140"/>
      <c r="AF913" s="140"/>
      <c r="AG913" s="140"/>
      <c r="AH913" s="140"/>
      <c r="AI913" s="140"/>
      <c r="AJ913" s="140"/>
      <c r="AK913" s="140"/>
      <c r="AL913" s="140"/>
      <c r="AM913" s="140"/>
      <c r="AN913" s="140"/>
      <c r="AO913" s="140"/>
      <c r="AP913" s="140"/>
      <c r="AQ913" s="140"/>
      <c r="AR913" s="140"/>
      <c r="AS913" s="140"/>
      <c r="AT913" s="140"/>
      <c r="AU913" s="140"/>
      <c r="AV913" s="140"/>
      <c r="AW913" s="140"/>
      <c r="AX913" s="140"/>
      <c r="AY913" s="140"/>
      <c r="AZ913" s="140"/>
      <c r="BA913" s="140"/>
      <c r="BB913" s="140"/>
      <c r="BC913" s="140"/>
      <c r="BD913" s="140"/>
      <c r="BE913" s="140"/>
    </row>
    <row r="914">
      <c r="A914" s="108"/>
      <c r="B914" s="107"/>
      <c r="C914" s="107"/>
      <c r="D914" s="107"/>
      <c r="E914" s="107"/>
      <c r="F914" s="107"/>
      <c r="G914" s="208"/>
      <c r="H914" s="131"/>
      <c r="I914" s="211"/>
      <c r="J914" s="107"/>
      <c r="K914" s="202"/>
      <c r="L914" s="107"/>
      <c r="M914" s="107"/>
      <c r="N914" s="206"/>
      <c r="O914" s="108" t="b">
        <v>0</v>
      </c>
      <c r="P914" s="207"/>
      <c r="Q914" s="140"/>
      <c r="R914" s="140"/>
      <c r="S914" s="140"/>
      <c r="T914" s="140"/>
      <c r="U914" s="140"/>
      <c r="V914" s="140"/>
      <c r="W914" s="140"/>
      <c r="X914" s="140"/>
      <c r="Y914" s="140"/>
      <c r="Z914" s="140"/>
      <c r="AA914" s="140"/>
      <c r="AB914" s="140"/>
      <c r="AC914" s="140"/>
      <c r="AD914" s="140"/>
      <c r="AE914" s="140"/>
      <c r="AF914" s="140"/>
      <c r="AG914" s="140"/>
      <c r="AH914" s="140"/>
      <c r="AI914" s="140"/>
      <c r="AJ914" s="140"/>
      <c r="AK914" s="140"/>
      <c r="AL914" s="140"/>
      <c r="AM914" s="140"/>
      <c r="AN914" s="140"/>
      <c r="AO914" s="140"/>
      <c r="AP914" s="140"/>
      <c r="AQ914" s="140"/>
      <c r="AR914" s="140"/>
      <c r="AS914" s="140"/>
      <c r="AT914" s="140"/>
      <c r="AU914" s="140"/>
      <c r="AV914" s="140"/>
      <c r="AW914" s="140"/>
      <c r="AX914" s="140"/>
      <c r="AY914" s="140"/>
      <c r="AZ914" s="140"/>
      <c r="BA914" s="140"/>
      <c r="BB914" s="140"/>
      <c r="BC914" s="140"/>
      <c r="BD914" s="140"/>
      <c r="BE914" s="140"/>
    </row>
    <row r="915">
      <c r="A915" s="108"/>
      <c r="B915" s="107"/>
      <c r="C915" s="107"/>
      <c r="D915" s="107"/>
      <c r="E915" s="107"/>
      <c r="F915" s="107"/>
      <c r="G915" s="208"/>
      <c r="H915" s="131"/>
      <c r="I915" s="211"/>
      <c r="J915" s="107"/>
      <c r="K915" s="202"/>
      <c r="L915" s="107"/>
      <c r="M915" s="107"/>
      <c r="N915" s="206"/>
      <c r="O915" s="108" t="b">
        <v>0</v>
      </c>
      <c r="P915" s="207"/>
      <c r="Q915" s="140"/>
      <c r="R915" s="140"/>
      <c r="S915" s="140"/>
      <c r="T915" s="140"/>
      <c r="U915" s="140"/>
      <c r="V915" s="140"/>
      <c r="W915" s="140"/>
      <c r="X915" s="140"/>
      <c r="Y915" s="140"/>
      <c r="Z915" s="140"/>
      <c r="AA915" s="140"/>
      <c r="AB915" s="140"/>
      <c r="AC915" s="140"/>
      <c r="AD915" s="140"/>
      <c r="AE915" s="140"/>
      <c r="AF915" s="140"/>
      <c r="AG915" s="140"/>
      <c r="AH915" s="140"/>
      <c r="AI915" s="140"/>
      <c r="AJ915" s="140"/>
      <c r="AK915" s="140"/>
      <c r="AL915" s="140"/>
      <c r="AM915" s="140"/>
      <c r="AN915" s="140"/>
      <c r="AO915" s="140"/>
      <c r="AP915" s="140"/>
      <c r="AQ915" s="140"/>
      <c r="AR915" s="140"/>
      <c r="AS915" s="140"/>
      <c r="AT915" s="140"/>
      <c r="AU915" s="140"/>
      <c r="AV915" s="140"/>
      <c r="AW915" s="140"/>
      <c r="AX915" s="140"/>
      <c r="AY915" s="140"/>
      <c r="AZ915" s="140"/>
      <c r="BA915" s="140"/>
      <c r="BB915" s="140"/>
      <c r="BC915" s="140"/>
      <c r="BD915" s="140"/>
      <c r="BE915" s="140"/>
    </row>
    <row r="916">
      <c r="A916" s="108"/>
      <c r="B916" s="107"/>
      <c r="C916" s="107"/>
      <c r="D916" s="107"/>
      <c r="E916" s="107"/>
      <c r="F916" s="107"/>
      <c r="G916" s="208"/>
      <c r="H916" s="131"/>
      <c r="I916" s="211"/>
      <c r="J916" s="107"/>
      <c r="K916" s="202"/>
      <c r="L916" s="107"/>
      <c r="M916" s="107"/>
      <c r="N916" s="206"/>
      <c r="O916" s="108" t="b">
        <v>0</v>
      </c>
      <c r="P916" s="207"/>
      <c r="Q916" s="140"/>
      <c r="R916" s="140"/>
      <c r="S916" s="140"/>
      <c r="T916" s="140"/>
      <c r="U916" s="140"/>
      <c r="V916" s="140"/>
      <c r="W916" s="140"/>
      <c r="X916" s="140"/>
      <c r="Y916" s="140"/>
      <c r="Z916" s="140"/>
      <c r="AA916" s="140"/>
      <c r="AB916" s="140"/>
      <c r="AC916" s="140"/>
      <c r="AD916" s="140"/>
      <c r="AE916" s="140"/>
      <c r="AF916" s="140"/>
      <c r="AG916" s="140"/>
      <c r="AH916" s="140"/>
      <c r="AI916" s="140"/>
      <c r="AJ916" s="140"/>
      <c r="AK916" s="140"/>
      <c r="AL916" s="140"/>
      <c r="AM916" s="140"/>
      <c r="AN916" s="140"/>
      <c r="AO916" s="140"/>
      <c r="AP916" s="140"/>
      <c r="AQ916" s="140"/>
      <c r="AR916" s="140"/>
      <c r="AS916" s="140"/>
      <c r="AT916" s="140"/>
      <c r="AU916" s="140"/>
      <c r="AV916" s="140"/>
      <c r="AW916" s="140"/>
      <c r="AX916" s="140"/>
      <c r="AY916" s="140"/>
      <c r="AZ916" s="140"/>
      <c r="BA916" s="140"/>
      <c r="BB916" s="140"/>
      <c r="BC916" s="140"/>
      <c r="BD916" s="140"/>
      <c r="BE916" s="140"/>
    </row>
    <row r="917">
      <c r="A917" s="108"/>
      <c r="B917" s="107"/>
      <c r="C917" s="107"/>
      <c r="D917" s="107"/>
      <c r="E917" s="107"/>
      <c r="F917" s="107"/>
      <c r="G917" s="208"/>
      <c r="H917" s="131"/>
      <c r="I917" s="211"/>
      <c r="J917" s="107"/>
      <c r="K917" s="202"/>
      <c r="L917" s="107"/>
      <c r="M917" s="107"/>
      <c r="N917" s="206"/>
      <c r="O917" s="108" t="b">
        <v>0</v>
      </c>
      <c r="P917" s="207"/>
      <c r="Q917" s="140"/>
      <c r="R917" s="140"/>
      <c r="S917" s="140"/>
      <c r="T917" s="140"/>
      <c r="U917" s="140"/>
      <c r="V917" s="140"/>
      <c r="W917" s="140"/>
      <c r="X917" s="140"/>
      <c r="Y917" s="140"/>
      <c r="Z917" s="140"/>
      <c r="AA917" s="140"/>
      <c r="AB917" s="140"/>
      <c r="AC917" s="140"/>
      <c r="AD917" s="140"/>
      <c r="AE917" s="140"/>
      <c r="AF917" s="140"/>
      <c r="AG917" s="140"/>
      <c r="AH917" s="140"/>
      <c r="AI917" s="140"/>
      <c r="AJ917" s="140"/>
      <c r="AK917" s="140"/>
      <c r="AL917" s="140"/>
      <c r="AM917" s="140"/>
      <c r="AN917" s="140"/>
      <c r="AO917" s="140"/>
      <c r="AP917" s="140"/>
      <c r="AQ917" s="140"/>
      <c r="AR917" s="140"/>
      <c r="AS917" s="140"/>
      <c r="AT917" s="140"/>
      <c r="AU917" s="140"/>
      <c r="AV917" s="140"/>
      <c r="AW917" s="140"/>
      <c r="AX917" s="140"/>
      <c r="AY917" s="140"/>
      <c r="AZ917" s="140"/>
      <c r="BA917" s="140"/>
      <c r="BB917" s="140"/>
      <c r="BC917" s="140"/>
      <c r="BD917" s="140"/>
      <c r="BE917" s="140"/>
    </row>
    <row r="918">
      <c r="A918" s="108"/>
      <c r="B918" s="107"/>
      <c r="C918" s="107"/>
      <c r="D918" s="107"/>
      <c r="E918" s="107"/>
      <c r="F918" s="107"/>
      <c r="G918" s="208"/>
      <c r="H918" s="131"/>
      <c r="I918" s="211"/>
      <c r="J918" s="107"/>
      <c r="K918" s="202"/>
      <c r="L918" s="107"/>
      <c r="M918" s="107"/>
      <c r="N918" s="206"/>
      <c r="O918" s="108" t="b">
        <v>0</v>
      </c>
      <c r="P918" s="207"/>
      <c r="Q918" s="140"/>
      <c r="R918" s="140"/>
      <c r="S918" s="140"/>
      <c r="T918" s="140"/>
      <c r="U918" s="140"/>
      <c r="V918" s="140"/>
      <c r="W918" s="140"/>
      <c r="X918" s="140"/>
      <c r="Y918" s="140"/>
      <c r="Z918" s="140"/>
      <c r="AA918" s="140"/>
      <c r="AB918" s="140"/>
      <c r="AC918" s="140"/>
      <c r="AD918" s="140"/>
      <c r="AE918" s="140"/>
      <c r="AF918" s="140"/>
      <c r="AG918" s="140"/>
      <c r="AH918" s="140"/>
      <c r="AI918" s="140"/>
      <c r="AJ918" s="140"/>
      <c r="AK918" s="140"/>
      <c r="AL918" s="140"/>
      <c r="AM918" s="140"/>
      <c r="AN918" s="140"/>
      <c r="AO918" s="140"/>
      <c r="AP918" s="140"/>
      <c r="AQ918" s="140"/>
      <c r="AR918" s="140"/>
      <c r="AS918" s="140"/>
      <c r="AT918" s="140"/>
      <c r="AU918" s="140"/>
      <c r="AV918" s="140"/>
      <c r="AW918" s="140"/>
      <c r="AX918" s="140"/>
      <c r="AY918" s="140"/>
      <c r="AZ918" s="140"/>
      <c r="BA918" s="140"/>
      <c r="BB918" s="140"/>
      <c r="BC918" s="140"/>
      <c r="BD918" s="140"/>
      <c r="BE918" s="140"/>
    </row>
    <row r="919">
      <c r="A919" s="108"/>
      <c r="B919" s="107"/>
      <c r="C919" s="107"/>
      <c r="D919" s="107"/>
      <c r="E919" s="107"/>
      <c r="F919" s="107"/>
      <c r="G919" s="208"/>
      <c r="H919" s="131"/>
      <c r="I919" s="211"/>
      <c r="J919" s="107"/>
      <c r="K919" s="202"/>
      <c r="L919" s="107"/>
      <c r="M919" s="107"/>
      <c r="N919" s="206"/>
      <c r="O919" s="108" t="b">
        <v>0</v>
      </c>
      <c r="P919" s="207"/>
      <c r="Q919" s="140"/>
      <c r="R919" s="140"/>
      <c r="S919" s="140"/>
      <c r="T919" s="140"/>
      <c r="U919" s="140"/>
      <c r="V919" s="140"/>
      <c r="W919" s="140"/>
      <c r="X919" s="140"/>
      <c r="Y919" s="140"/>
      <c r="Z919" s="140"/>
      <c r="AA919" s="140"/>
      <c r="AB919" s="140"/>
      <c r="AC919" s="140"/>
      <c r="AD919" s="140"/>
      <c r="AE919" s="140"/>
      <c r="AF919" s="140"/>
      <c r="AG919" s="140"/>
      <c r="AH919" s="140"/>
      <c r="AI919" s="140"/>
      <c r="AJ919" s="140"/>
      <c r="AK919" s="140"/>
      <c r="AL919" s="140"/>
      <c r="AM919" s="140"/>
      <c r="AN919" s="140"/>
      <c r="AO919" s="140"/>
      <c r="AP919" s="140"/>
      <c r="AQ919" s="140"/>
      <c r="AR919" s="140"/>
      <c r="AS919" s="140"/>
      <c r="AT919" s="140"/>
      <c r="AU919" s="140"/>
      <c r="AV919" s="140"/>
      <c r="AW919" s="140"/>
      <c r="AX919" s="140"/>
      <c r="AY919" s="140"/>
      <c r="AZ919" s="140"/>
      <c r="BA919" s="140"/>
      <c r="BB919" s="140"/>
      <c r="BC919" s="140"/>
      <c r="BD919" s="140"/>
      <c r="BE919" s="140"/>
    </row>
    <row r="920">
      <c r="A920" s="108"/>
      <c r="B920" s="107"/>
      <c r="C920" s="107"/>
      <c r="D920" s="107"/>
      <c r="E920" s="107"/>
      <c r="F920" s="107"/>
      <c r="G920" s="208"/>
      <c r="H920" s="131"/>
      <c r="I920" s="211"/>
      <c r="J920" s="107"/>
      <c r="K920" s="202"/>
      <c r="L920" s="107"/>
      <c r="M920" s="107"/>
      <c r="N920" s="206"/>
      <c r="O920" s="108" t="b">
        <v>0</v>
      </c>
      <c r="P920" s="207"/>
      <c r="Q920" s="140"/>
      <c r="R920" s="140"/>
      <c r="S920" s="140"/>
      <c r="T920" s="140"/>
      <c r="U920" s="140"/>
      <c r="V920" s="140"/>
      <c r="W920" s="140"/>
      <c r="X920" s="140"/>
      <c r="Y920" s="140"/>
      <c r="Z920" s="140"/>
      <c r="AA920" s="140"/>
      <c r="AB920" s="140"/>
      <c r="AC920" s="140"/>
      <c r="AD920" s="140"/>
      <c r="AE920" s="140"/>
      <c r="AF920" s="140"/>
      <c r="AG920" s="140"/>
      <c r="AH920" s="140"/>
      <c r="AI920" s="140"/>
      <c r="AJ920" s="140"/>
      <c r="AK920" s="140"/>
      <c r="AL920" s="140"/>
      <c r="AM920" s="140"/>
      <c r="AN920" s="140"/>
      <c r="AO920" s="140"/>
      <c r="AP920" s="140"/>
      <c r="AQ920" s="140"/>
      <c r="AR920" s="140"/>
      <c r="AS920" s="140"/>
      <c r="AT920" s="140"/>
      <c r="AU920" s="140"/>
      <c r="AV920" s="140"/>
      <c r="AW920" s="140"/>
      <c r="AX920" s="140"/>
      <c r="AY920" s="140"/>
      <c r="AZ920" s="140"/>
      <c r="BA920" s="140"/>
      <c r="BB920" s="140"/>
      <c r="BC920" s="140"/>
      <c r="BD920" s="140"/>
      <c r="BE920" s="140"/>
    </row>
    <row r="921">
      <c r="A921" s="108"/>
      <c r="B921" s="107"/>
      <c r="C921" s="107"/>
      <c r="D921" s="107"/>
      <c r="E921" s="107"/>
      <c r="F921" s="107"/>
      <c r="G921" s="208"/>
      <c r="H921" s="131"/>
      <c r="I921" s="211"/>
      <c r="J921" s="107"/>
      <c r="K921" s="202"/>
      <c r="L921" s="107"/>
      <c r="M921" s="107"/>
      <c r="N921" s="206"/>
      <c r="O921" s="108" t="b">
        <v>0</v>
      </c>
      <c r="P921" s="207"/>
      <c r="Q921" s="140"/>
      <c r="R921" s="140"/>
      <c r="S921" s="140"/>
      <c r="T921" s="140"/>
      <c r="U921" s="140"/>
      <c r="V921" s="140"/>
      <c r="W921" s="140"/>
      <c r="X921" s="140"/>
      <c r="Y921" s="140"/>
      <c r="Z921" s="140"/>
      <c r="AA921" s="140"/>
      <c r="AB921" s="140"/>
      <c r="AC921" s="140"/>
      <c r="AD921" s="140"/>
      <c r="AE921" s="140"/>
      <c r="AF921" s="140"/>
      <c r="AG921" s="140"/>
      <c r="AH921" s="140"/>
      <c r="AI921" s="140"/>
      <c r="AJ921" s="140"/>
      <c r="AK921" s="140"/>
      <c r="AL921" s="140"/>
      <c r="AM921" s="140"/>
      <c r="AN921" s="140"/>
      <c r="AO921" s="140"/>
      <c r="AP921" s="140"/>
      <c r="AQ921" s="140"/>
      <c r="AR921" s="140"/>
      <c r="AS921" s="140"/>
      <c r="AT921" s="140"/>
      <c r="AU921" s="140"/>
      <c r="AV921" s="140"/>
      <c r="AW921" s="140"/>
      <c r="AX921" s="140"/>
      <c r="AY921" s="140"/>
      <c r="AZ921" s="140"/>
      <c r="BA921" s="140"/>
      <c r="BB921" s="140"/>
      <c r="BC921" s="140"/>
      <c r="BD921" s="140"/>
      <c r="BE921" s="140"/>
    </row>
    <row r="922">
      <c r="A922" s="108"/>
      <c r="B922" s="107"/>
      <c r="C922" s="107"/>
      <c r="D922" s="107"/>
      <c r="E922" s="107"/>
      <c r="F922" s="107"/>
      <c r="G922" s="208"/>
      <c r="H922" s="131"/>
      <c r="I922" s="211"/>
      <c r="J922" s="107"/>
      <c r="K922" s="202"/>
      <c r="L922" s="107"/>
      <c r="M922" s="107"/>
      <c r="N922" s="206"/>
      <c r="O922" s="108" t="b">
        <v>0</v>
      </c>
      <c r="P922" s="207"/>
      <c r="Q922" s="140"/>
      <c r="R922" s="140"/>
      <c r="S922" s="140"/>
      <c r="T922" s="140"/>
      <c r="U922" s="140"/>
      <c r="V922" s="140"/>
      <c r="W922" s="140"/>
      <c r="X922" s="140"/>
      <c r="Y922" s="140"/>
      <c r="Z922" s="140"/>
      <c r="AA922" s="140"/>
      <c r="AB922" s="140"/>
      <c r="AC922" s="140"/>
      <c r="AD922" s="140"/>
      <c r="AE922" s="140"/>
      <c r="AF922" s="140"/>
      <c r="AG922" s="140"/>
      <c r="AH922" s="140"/>
      <c r="AI922" s="140"/>
      <c r="AJ922" s="140"/>
      <c r="AK922" s="140"/>
      <c r="AL922" s="140"/>
      <c r="AM922" s="140"/>
      <c r="AN922" s="140"/>
      <c r="AO922" s="140"/>
      <c r="AP922" s="140"/>
      <c r="AQ922" s="140"/>
      <c r="AR922" s="140"/>
      <c r="AS922" s="140"/>
      <c r="AT922" s="140"/>
      <c r="AU922" s="140"/>
      <c r="AV922" s="140"/>
      <c r="AW922" s="140"/>
      <c r="AX922" s="140"/>
      <c r="AY922" s="140"/>
      <c r="AZ922" s="140"/>
      <c r="BA922" s="140"/>
      <c r="BB922" s="140"/>
      <c r="BC922" s="140"/>
      <c r="BD922" s="140"/>
      <c r="BE922" s="140"/>
    </row>
    <row r="923">
      <c r="A923" s="108"/>
      <c r="B923" s="107"/>
      <c r="C923" s="107"/>
      <c r="D923" s="107"/>
      <c r="E923" s="107"/>
      <c r="F923" s="107"/>
      <c r="G923" s="208"/>
      <c r="H923" s="131"/>
      <c r="I923" s="211"/>
      <c r="J923" s="107"/>
      <c r="K923" s="202"/>
      <c r="L923" s="107"/>
      <c r="M923" s="107"/>
      <c r="N923" s="206"/>
      <c r="O923" s="108" t="b">
        <v>0</v>
      </c>
      <c r="P923" s="207"/>
      <c r="Q923" s="140"/>
      <c r="R923" s="140"/>
      <c r="S923" s="140"/>
      <c r="T923" s="140"/>
      <c r="U923" s="140"/>
      <c r="V923" s="140"/>
      <c r="W923" s="140"/>
      <c r="X923" s="140"/>
      <c r="Y923" s="140"/>
      <c r="Z923" s="140"/>
      <c r="AA923" s="140"/>
      <c r="AB923" s="140"/>
      <c r="AC923" s="140"/>
      <c r="AD923" s="140"/>
      <c r="AE923" s="140"/>
      <c r="AF923" s="140"/>
      <c r="AG923" s="140"/>
      <c r="AH923" s="140"/>
      <c r="AI923" s="140"/>
      <c r="AJ923" s="140"/>
      <c r="AK923" s="140"/>
      <c r="AL923" s="140"/>
      <c r="AM923" s="140"/>
      <c r="AN923" s="140"/>
      <c r="AO923" s="140"/>
      <c r="AP923" s="140"/>
      <c r="AQ923" s="140"/>
      <c r="AR923" s="140"/>
      <c r="AS923" s="140"/>
      <c r="AT923" s="140"/>
      <c r="AU923" s="140"/>
      <c r="AV923" s="140"/>
      <c r="AW923" s="140"/>
      <c r="AX923" s="140"/>
      <c r="AY923" s="140"/>
      <c r="AZ923" s="140"/>
      <c r="BA923" s="140"/>
      <c r="BB923" s="140"/>
      <c r="BC923" s="140"/>
      <c r="BD923" s="140"/>
      <c r="BE923" s="140"/>
    </row>
    <row r="924">
      <c r="A924" s="108"/>
      <c r="B924" s="107"/>
      <c r="C924" s="107"/>
      <c r="D924" s="107"/>
      <c r="E924" s="107"/>
      <c r="F924" s="107"/>
      <c r="G924" s="208"/>
      <c r="H924" s="131"/>
      <c r="I924" s="211"/>
      <c r="J924" s="107"/>
      <c r="K924" s="202"/>
      <c r="L924" s="107"/>
      <c r="M924" s="107"/>
      <c r="N924" s="206"/>
      <c r="O924" s="108" t="b">
        <v>0</v>
      </c>
      <c r="P924" s="207"/>
      <c r="Q924" s="140"/>
      <c r="R924" s="140"/>
      <c r="S924" s="140"/>
      <c r="T924" s="140"/>
      <c r="U924" s="140"/>
      <c r="V924" s="140"/>
      <c r="W924" s="140"/>
      <c r="X924" s="140"/>
      <c r="Y924" s="140"/>
      <c r="Z924" s="140"/>
      <c r="AA924" s="140"/>
      <c r="AB924" s="140"/>
      <c r="AC924" s="140"/>
      <c r="AD924" s="140"/>
      <c r="AE924" s="140"/>
      <c r="AF924" s="140"/>
      <c r="AG924" s="140"/>
      <c r="AH924" s="140"/>
      <c r="AI924" s="140"/>
      <c r="AJ924" s="140"/>
      <c r="AK924" s="140"/>
      <c r="AL924" s="140"/>
      <c r="AM924" s="140"/>
      <c r="AN924" s="140"/>
      <c r="AO924" s="140"/>
      <c r="AP924" s="140"/>
      <c r="AQ924" s="140"/>
      <c r="AR924" s="140"/>
      <c r="AS924" s="140"/>
      <c r="AT924" s="140"/>
      <c r="AU924" s="140"/>
      <c r="AV924" s="140"/>
      <c r="AW924" s="140"/>
      <c r="AX924" s="140"/>
      <c r="AY924" s="140"/>
      <c r="AZ924" s="140"/>
      <c r="BA924" s="140"/>
      <c r="BB924" s="140"/>
      <c r="BC924" s="140"/>
      <c r="BD924" s="140"/>
      <c r="BE924" s="140"/>
    </row>
    <row r="925">
      <c r="A925" s="108"/>
      <c r="B925" s="107"/>
      <c r="C925" s="107"/>
      <c r="D925" s="107"/>
      <c r="E925" s="107"/>
      <c r="F925" s="107"/>
      <c r="G925" s="208"/>
      <c r="H925" s="131"/>
      <c r="I925" s="211"/>
      <c r="J925" s="107"/>
      <c r="K925" s="202"/>
      <c r="L925" s="107"/>
      <c r="M925" s="107"/>
      <c r="N925" s="206"/>
      <c r="O925" s="108" t="b">
        <v>0</v>
      </c>
      <c r="P925" s="207"/>
      <c r="Q925" s="140"/>
      <c r="R925" s="140"/>
      <c r="S925" s="140"/>
      <c r="T925" s="140"/>
      <c r="U925" s="140"/>
      <c r="V925" s="140"/>
      <c r="W925" s="140"/>
      <c r="X925" s="140"/>
      <c r="Y925" s="140"/>
      <c r="Z925" s="140"/>
      <c r="AA925" s="140"/>
      <c r="AB925" s="140"/>
      <c r="AC925" s="140"/>
      <c r="AD925" s="140"/>
      <c r="AE925" s="140"/>
      <c r="AF925" s="140"/>
      <c r="AG925" s="140"/>
      <c r="AH925" s="140"/>
      <c r="AI925" s="140"/>
      <c r="AJ925" s="140"/>
      <c r="AK925" s="140"/>
      <c r="AL925" s="140"/>
      <c r="AM925" s="140"/>
      <c r="AN925" s="140"/>
      <c r="AO925" s="140"/>
      <c r="AP925" s="140"/>
      <c r="AQ925" s="140"/>
      <c r="AR925" s="140"/>
      <c r="AS925" s="140"/>
      <c r="AT925" s="140"/>
      <c r="AU925" s="140"/>
      <c r="AV925" s="140"/>
      <c r="AW925" s="140"/>
      <c r="AX925" s="140"/>
      <c r="AY925" s="140"/>
      <c r="AZ925" s="140"/>
      <c r="BA925" s="140"/>
      <c r="BB925" s="140"/>
      <c r="BC925" s="140"/>
      <c r="BD925" s="140"/>
      <c r="BE925" s="140"/>
    </row>
    <row r="926">
      <c r="A926" s="108"/>
      <c r="B926" s="107"/>
      <c r="C926" s="107"/>
      <c r="D926" s="107"/>
      <c r="E926" s="107"/>
      <c r="F926" s="107"/>
      <c r="G926" s="208"/>
      <c r="H926" s="131"/>
      <c r="I926" s="211"/>
      <c r="J926" s="107"/>
      <c r="K926" s="202"/>
      <c r="L926" s="107"/>
      <c r="M926" s="107"/>
      <c r="N926" s="206"/>
      <c r="O926" s="108" t="b">
        <v>0</v>
      </c>
      <c r="P926" s="207"/>
      <c r="Q926" s="140"/>
      <c r="R926" s="140"/>
      <c r="S926" s="140"/>
      <c r="T926" s="140"/>
      <c r="U926" s="140"/>
      <c r="V926" s="140"/>
      <c r="W926" s="140"/>
      <c r="X926" s="140"/>
      <c r="Y926" s="140"/>
      <c r="Z926" s="140"/>
      <c r="AA926" s="140"/>
      <c r="AB926" s="140"/>
      <c r="AC926" s="140"/>
      <c r="AD926" s="140"/>
      <c r="AE926" s="140"/>
      <c r="AF926" s="140"/>
      <c r="AG926" s="140"/>
      <c r="AH926" s="140"/>
      <c r="AI926" s="140"/>
      <c r="AJ926" s="140"/>
      <c r="AK926" s="140"/>
      <c r="AL926" s="140"/>
      <c r="AM926" s="140"/>
      <c r="AN926" s="140"/>
      <c r="AO926" s="140"/>
      <c r="AP926" s="140"/>
      <c r="AQ926" s="140"/>
      <c r="AR926" s="140"/>
      <c r="AS926" s="140"/>
      <c r="AT926" s="140"/>
      <c r="AU926" s="140"/>
      <c r="AV926" s="140"/>
      <c r="AW926" s="140"/>
      <c r="AX926" s="140"/>
      <c r="AY926" s="140"/>
      <c r="AZ926" s="140"/>
      <c r="BA926" s="140"/>
      <c r="BB926" s="140"/>
      <c r="BC926" s="140"/>
      <c r="BD926" s="140"/>
      <c r="BE926" s="140"/>
    </row>
    <row r="927">
      <c r="A927" s="108"/>
      <c r="B927" s="107"/>
      <c r="C927" s="107"/>
      <c r="D927" s="107"/>
      <c r="E927" s="107"/>
      <c r="F927" s="107"/>
      <c r="G927" s="208"/>
      <c r="H927" s="131"/>
      <c r="I927" s="211"/>
      <c r="J927" s="107"/>
      <c r="K927" s="202"/>
      <c r="L927" s="107"/>
      <c r="M927" s="107"/>
      <c r="N927" s="206"/>
      <c r="O927" s="108" t="b">
        <v>0</v>
      </c>
      <c r="P927" s="207"/>
      <c r="Q927" s="140"/>
      <c r="R927" s="140"/>
      <c r="S927" s="140"/>
      <c r="T927" s="140"/>
      <c r="U927" s="140"/>
      <c r="V927" s="140"/>
      <c r="W927" s="140"/>
      <c r="X927" s="140"/>
      <c r="Y927" s="140"/>
      <c r="Z927" s="140"/>
      <c r="AA927" s="140"/>
      <c r="AB927" s="140"/>
      <c r="AC927" s="140"/>
      <c r="AD927" s="140"/>
      <c r="AE927" s="140"/>
      <c r="AF927" s="140"/>
      <c r="AG927" s="140"/>
      <c r="AH927" s="140"/>
      <c r="AI927" s="140"/>
      <c r="AJ927" s="140"/>
      <c r="AK927" s="140"/>
      <c r="AL927" s="140"/>
      <c r="AM927" s="140"/>
      <c r="AN927" s="140"/>
      <c r="AO927" s="140"/>
      <c r="AP927" s="140"/>
      <c r="AQ927" s="140"/>
      <c r="AR927" s="140"/>
      <c r="AS927" s="140"/>
      <c r="AT927" s="140"/>
      <c r="AU927" s="140"/>
      <c r="AV927" s="140"/>
      <c r="AW927" s="140"/>
      <c r="AX927" s="140"/>
      <c r="AY927" s="140"/>
      <c r="AZ927" s="140"/>
      <c r="BA927" s="140"/>
      <c r="BB927" s="140"/>
      <c r="BC927" s="140"/>
      <c r="BD927" s="140"/>
      <c r="BE927" s="140"/>
    </row>
    <row r="928">
      <c r="A928" s="108"/>
      <c r="B928" s="107"/>
      <c r="C928" s="107"/>
      <c r="D928" s="107"/>
      <c r="E928" s="107"/>
      <c r="F928" s="107"/>
      <c r="G928" s="208"/>
      <c r="H928" s="131"/>
      <c r="I928" s="211"/>
      <c r="J928" s="107"/>
      <c r="K928" s="202"/>
      <c r="L928" s="107"/>
      <c r="M928" s="107"/>
      <c r="N928" s="206"/>
      <c r="O928" s="108" t="b">
        <v>0</v>
      </c>
      <c r="P928" s="207"/>
      <c r="Q928" s="140"/>
      <c r="R928" s="140"/>
      <c r="S928" s="140"/>
      <c r="T928" s="140"/>
      <c r="U928" s="140"/>
      <c r="V928" s="140"/>
      <c r="W928" s="140"/>
      <c r="X928" s="140"/>
      <c r="Y928" s="140"/>
      <c r="Z928" s="140"/>
      <c r="AA928" s="140"/>
      <c r="AB928" s="140"/>
      <c r="AC928" s="140"/>
      <c r="AD928" s="140"/>
      <c r="AE928" s="140"/>
      <c r="AF928" s="140"/>
      <c r="AG928" s="140"/>
      <c r="AH928" s="140"/>
      <c r="AI928" s="140"/>
      <c r="AJ928" s="140"/>
      <c r="AK928" s="140"/>
      <c r="AL928" s="140"/>
      <c r="AM928" s="140"/>
      <c r="AN928" s="140"/>
      <c r="AO928" s="140"/>
      <c r="AP928" s="140"/>
      <c r="AQ928" s="140"/>
      <c r="AR928" s="140"/>
      <c r="AS928" s="140"/>
      <c r="AT928" s="140"/>
      <c r="AU928" s="140"/>
      <c r="AV928" s="140"/>
      <c r="AW928" s="140"/>
      <c r="AX928" s="140"/>
      <c r="AY928" s="140"/>
      <c r="AZ928" s="140"/>
      <c r="BA928" s="140"/>
      <c r="BB928" s="140"/>
      <c r="BC928" s="140"/>
      <c r="BD928" s="140"/>
      <c r="BE928" s="140"/>
    </row>
    <row r="929">
      <c r="A929" s="108"/>
      <c r="B929" s="107"/>
      <c r="C929" s="107"/>
      <c r="D929" s="107"/>
      <c r="E929" s="107"/>
      <c r="F929" s="107"/>
      <c r="G929" s="208"/>
      <c r="H929" s="131"/>
      <c r="I929" s="211"/>
      <c r="J929" s="107"/>
      <c r="K929" s="202"/>
      <c r="L929" s="107"/>
      <c r="M929" s="107"/>
      <c r="N929" s="206"/>
      <c r="O929" s="108" t="b">
        <v>0</v>
      </c>
      <c r="P929" s="207"/>
      <c r="Q929" s="140"/>
      <c r="R929" s="140"/>
      <c r="S929" s="140"/>
      <c r="T929" s="140"/>
      <c r="U929" s="140"/>
      <c r="V929" s="140"/>
      <c r="W929" s="140"/>
      <c r="X929" s="140"/>
      <c r="Y929" s="140"/>
      <c r="Z929" s="140"/>
      <c r="AA929" s="140"/>
      <c r="AB929" s="140"/>
      <c r="AC929" s="140"/>
      <c r="AD929" s="140"/>
      <c r="AE929" s="140"/>
      <c r="AF929" s="140"/>
      <c r="AG929" s="140"/>
      <c r="AH929" s="140"/>
      <c r="AI929" s="140"/>
      <c r="AJ929" s="140"/>
      <c r="AK929" s="140"/>
      <c r="AL929" s="140"/>
      <c r="AM929" s="140"/>
      <c r="AN929" s="140"/>
      <c r="AO929" s="140"/>
      <c r="AP929" s="140"/>
      <c r="AQ929" s="140"/>
      <c r="AR929" s="140"/>
      <c r="AS929" s="140"/>
      <c r="AT929" s="140"/>
      <c r="AU929" s="140"/>
      <c r="AV929" s="140"/>
      <c r="AW929" s="140"/>
      <c r="AX929" s="140"/>
      <c r="AY929" s="140"/>
      <c r="AZ929" s="140"/>
      <c r="BA929" s="140"/>
      <c r="BB929" s="140"/>
      <c r="BC929" s="140"/>
      <c r="BD929" s="140"/>
      <c r="BE929" s="140"/>
    </row>
    <row r="930">
      <c r="A930" s="108"/>
      <c r="B930" s="107"/>
      <c r="C930" s="107"/>
      <c r="D930" s="107"/>
      <c r="E930" s="107"/>
      <c r="F930" s="107"/>
      <c r="G930" s="208"/>
      <c r="H930" s="131"/>
      <c r="I930" s="211"/>
      <c r="J930" s="107"/>
      <c r="K930" s="202"/>
      <c r="L930" s="107"/>
      <c r="M930" s="107"/>
      <c r="N930" s="206"/>
      <c r="O930" s="108" t="b">
        <v>0</v>
      </c>
      <c r="P930" s="207"/>
      <c r="Q930" s="140"/>
      <c r="R930" s="140"/>
      <c r="S930" s="140"/>
      <c r="T930" s="140"/>
      <c r="U930" s="140"/>
      <c r="V930" s="140"/>
      <c r="W930" s="140"/>
      <c r="X930" s="140"/>
      <c r="Y930" s="140"/>
      <c r="Z930" s="140"/>
      <c r="AA930" s="140"/>
      <c r="AB930" s="140"/>
      <c r="AC930" s="140"/>
      <c r="AD930" s="140"/>
      <c r="AE930" s="140"/>
      <c r="AF930" s="140"/>
      <c r="AG930" s="140"/>
      <c r="AH930" s="140"/>
      <c r="AI930" s="140"/>
      <c r="AJ930" s="140"/>
      <c r="AK930" s="140"/>
      <c r="AL930" s="140"/>
      <c r="AM930" s="140"/>
      <c r="AN930" s="140"/>
      <c r="AO930" s="140"/>
      <c r="AP930" s="140"/>
      <c r="AQ930" s="140"/>
      <c r="AR930" s="140"/>
      <c r="AS930" s="140"/>
      <c r="AT930" s="140"/>
      <c r="AU930" s="140"/>
      <c r="AV930" s="140"/>
      <c r="AW930" s="140"/>
      <c r="AX930" s="140"/>
      <c r="AY930" s="140"/>
      <c r="AZ930" s="140"/>
      <c r="BA930" s="140"/>
      <c r="BB930" s="140"/>
      <c r="BC930" s="140"/>
      <c r="BD930" s="140"/>
      <c r="BE930" s="140"/>
    </row>
    <row r="931">
      <c r="A931" s="108"/>
      <c r="B931" s="107"/>
      <c r="C931" s="107"/>
      <c r="D931" s="107"/>
      <c r="E931" s="107"/>
      <c r="F931" s="107"/>
      <c r="G931" s="208"/>
      <c r="H931" s="131"/>
      <c r="I931" s="211"/>
      <c r="J931" s="107"/>
      <c r="K931" s="202"/>
      <c r="L931" s="107"/>
      <c r="M931" s="107"/>
      <c r="N931" s="206"/>
      <c r="O931" s="108" t="b">
        <v>0</v>
      </c>
      <c r="P931" s="207"/>
      <c r="Q931" s="140"/>
      <c r="R931" s="140"/>
      <c r="S931" s="140"/>
      <c r="T931" s="140"/>
      <c r="U931" s="140"/>
      <c r="V931" s="140"/>
      <c r="W931" s="140"/>
      <c r="X931" s="140"/>
      <c r="Y931" s="140"/>
      <c r="Z931" s="140"/>
      <c r="AA931" s="140"/>
      <c r="AB931" s="140"/>
      <c r="AC931" s="140"/>
      <c r="AD931" s="140"/>
      <c r="AE931" s="140"/>
      <c r="AF931" s="140"/>
      <c r="AG931" s="140"/>
      <c r="AH931" s="140"/>
      <c r="AI931" s="140"/>
      <c r="AJ931" s="140"/>
      <c r="AK931" s="140"/>
      <c r="AL931" s="140"/>
      <c r="AM931" s="140"/>
      <c r="AN931" s="140"/>
      <c r="AO931" s="140"/>
      <c r="AP931" s="140"/>
      <c r="AQ931" s="140"/>
      <c r="AR931" s="140"/>
      <c r="AS931" s="140"/>
      <c r="AT931" s="140"/>
      <c r="AU931" s="140"/>
      <c r="AV931" s="140"/>
      <c r="AW931" s="140"/>
      <c r="AX931" s="140"/>
      <c r="AY931" s="140"/>
      <c r="AZ931" s="140"/>
      <c r="BA931" s="140"/>
      <c r="BB931" s="140"/>
      <c r="BC931" s="140"/>
      <c r="BD931" s="140"/>
      <c r="BE931" s="140"/>
    </row>
    <row r="932">
      <c r="A932" s="108"/>
      <c r="B932" s="107"/>
      <c r="C932" s="107"/>
      <c r="D932" s="107"/>
      <c r="E932" s="107"/>
      <c r="F932" s="107"/>
      <c r="G932" s="208"/>
      <c r="H932" s="131"/>
      <c r="I932" s="211"/>
      <c r="J932" s="107"/>
      <c r="K932" s="202"/>
      <c r="L932" s="107"/>
      <c r="M932" s="107"/>
      <c r="N932" s="206"/>
      <c r="O932" s="108" t="b">
        <v>0</v>
      </c>
      <c r="P932" s="207"/>
      <c r="Q932" s="140"/>
      <c r="R932" s="140"/>
      <c r="S932" s="140"/>
      <c r="T932" s="140"/>
      <c r="U932" s="140"/>
      <c r="V932" s="140"/>
      <c r="W932" s="140"/>
      <c r="X932" s="140"/>
      <c r="Y932" s="140"/>
      <c r="Z932" s="140"/>
      <c r="AA932" s="140"/>
      <c r="AB932" s="140"/>
      <c r="AC932" s="140"/>
      <c r="AD932" s="140"/>
      <c r="AE932" s="140"/>
      <c r="AF932" s="140"/>
      <c r="AG932" s="140"/>
      <c r="AH932" s="140"/>
      <c r="AI932" s="140"/>
      <c r="AJ932" s="140"/>
      <c r="AK932" s="140"/>
      <c r="AL932" s="140"/>
      <c r="AM932" s="140"/>
      <c r="AN932" s="140"/>
      <c r="AO932" s="140"/>
      <c r="AP932" s="140"/>
      <c r="AQ932" s="140"/>
      <c r="AR932" s="140"/>
      <c r="AS932" s="140"/>
      <c r="AT932" s="140"/>
      <c r="AU932" s="140"/>
      <c r="AV932" s="140"/>
      <c r="AW932" s="140"/>
      <c r="AX932" s="140"/>
      <c r="AY932" s="140"/>
      <c r="AZ932" s="140"/>
      <c r="BA932" s="140"/>
      <c r="BB932" s="140"/>
      <c r="BC932" s="140"/>
      <c r="BD932" s="140"/>
      <c r="BE932" s="140"/>
    </row>
    <row r="933">
      <c r="A933" s="108"/>
      <c r="B933" s="107"/>
      <c r="C933" s="107"/>
      <c r="D933" s="107"/>
      <c r="E933" s="107"/>
      <c r="F933" s="107"/>
      <c r="G933" s="208"/>
      <c r="H933" s="131"/>
      <c r="I933" s="211"/>
      <c r="J933" s="107"/>
      <c r="K933" s="202"/>
      <c r="L933" s="107"/>
      <c r="M933" s="107"/>
      <c r="N933" s="206"/>
      <c r="O933" s="108" t="b">
        <v>0</v>
      </c>
      <c r="P933" s="207"/>
      <c r="Q933" s="140"/>
      <c r="R933" s="140"/>
      <c r="S933" s="140"/>
      <c r="T933" s="140"/>
      <c r="U933" s="140"/>
      <c r="V933" s="140"/>
      <c r="W933" s="140"/>
      <c r="X933" s="140"/>
      <c r="Y933" s="140"/>
      <c r="Z933" s="140"/>
      <c r="AA933" s="140"/>
      <c r="AB933" s="140"/>
      <c r="AC933" s="140"/>
      <c r="AD933" s="140"/>
      <c r="AE933" s="140"/>
      <c r="AF933" s="140"/>
      <c r="AG933" s="140"/>
      <c r="AH933" s="140"/>
      <c r="AI933" s="140"/>
      <c r="AJ933" s="140"/>
      <c r="AK933" s="140"/>
      <c r="AL933" s="140"/>
      <c r="AM933" s="140"/>
      <c r="AN933" s="140"/>
      <c r="AO933" s="140"/>
      <c r="AP933" s="140"/>
      <c r="AQ933" s="140"/>
      <c r="AR933" s="140"/>
      <c r="AS933" s="140"/>
      <c r="AT933" s="140"/>
      <c r="AU933" s="140"/>
      <c r="AV933" s="140"/>
      <c r="AW933" s="140"/>
      <c r="AX933" s="140"/>
      <c r="AY933" s="140"/>
      <c r="AZ933" s="140"/>
      <c r="BA933" s="140"/>
      <c r="BB933" s="140"/>
      <c r="BC933" s="140"/>
      <c r="BD933" s="140"/>
      <c r="BE933" s="140"/>
    </row>
    <row r="934">
      <c r="A934" s="108"/>
      <c r="B934" s="107"/>
      <c r="C934" s="107"/>
      <c r="D934" s="107"/>
      <c r="E934" s="107"/>
      <c r="F934" s="107"/>
      <c r="G934" s="208"/>
      <c r="H934" s="131"/>
      <c r="I934" s="211"/>
      <c r="J934" s="107"/>
      <c r="K934" s="202"/>
      <c r="L934" s="107"/>
      <c r="M934" s="107"/>
      <c r="N934" s="206"/>
      <c r="O934" s="108" t="b">
        <v>0</v>
      </c>
      <c r="P934" s="207"/>
      <c r="Q934" s="140"/>
      <c r="R934" s="140"/>
      <c r="S934" s="140"/>
      <c r="T934" s="140"/>
      <c r="U934" s="140"/>
      <c r="V934" s="140"/>
      <c r="W934" s="140"/>
      <c r="X934" s="140"/>
      <c r="Y934" s="140"/>
      <c r="Z934" s="140"/>
      <c r="AA934" s="140"/>
      <c r="AB934" s="140"/>
      <c r="AC934" s="140"/>
      <c r="AD934" s="140"/>
      <c r="AE934" s="140"/>
      <c r="AF934" s="140"/>
      <c r="AG934" s="140"/>
      <c r="AH934" s="140"/>
      <c r="AI934" s="140"/>
      <c r="AJ934" s="140"/>
      <c r="AK934" s="140"/>
      <c r="AL934" s="140"/>
      <c r="AM934" s="140"/>
      <c r="AN934" s="140"/>
      <c r="AO934" s="140"/>
      <c r="AP934" s="140"/>
      <c r="AQ934" s="140"/>
      <c r="AR934" s="140"/>
      <c r="AS934" s="140"/>
      <c r="AT934" s="140"/>
      <c r="AU934" s="140"/>
      <c r="AV934" s="140"/>
      <c r="AW934" s="140"/>
      <c r="AX934" s="140"/>
      <c r="AY934" s="140"/>
      <c r="AZ934" s="140"/>
      <c r="BA934" s="140"/>
      <c r="BB934" s="140"/>
      <c r="BC934" s="140"/>
      <c r="BD934" s="140"/>
      <c r="BE934" s="140"/>
    </row>
    <row r="935">
      <c r="A935" s="108"/>
      <c r="B935" s="107"/>
      <c r="C935" s="107"/>
      <c r="D935" s="107"/>
      <c r="E935" s="107"/>
      <c r="F935" s="107"/>
      <c r="G935" s="208"/>
      <c r="H935" s="131"/>
      <c r="I935" s="211"/>
      <c r="J935" s="107"/>
      <c r="K935" s="202"/>
      <c r="L935" s="107"/>
      <c r="M935" s="107"/>
      <c r="N935" s="206"/>
      <c r="O935" s="108" t="b">
        <v>0</v>
      </c>
      <c r="P935" s="207"/>
      <c r="Q935" s="140"/>
      <c r="R935" s="140"/>
      <c r="S935" s="140"/>
      <c r="T935" s="140"/>
      <c r="U935" s="140"/>
      <c r="V935" s="140"/>
      <c r="W935" s="140"/>
      <c r="X935" s="140"/>
      <c r="Y935" s="140"/>
      <c r="Z935" s="140"/>
      <c r="AA935" s="140"/>
      <c r="AB935" s="140"/>
      <c r="AC935" s="140"/>
      <c r="AD935" s="140"/>
      <c r="AE935" s="140"/>
      <c r="AF935" s="140"/>
      <c r="AG935" s="140"/>
      <c r="AH935" s="140"/>
      <c r="AI935" s="140"/>
      <c r="AJ935" s="140"/>
      <c r="AK935" s="140"/>
      <c r="AL935" s="140"/>
      <c r="AM935" s="140"/>
      <c r="AN935" s="140"/>
      <c r="AO935" s="140"/>
      <c r="AP935" s="140"/>
      <c r="AQ935" s="140"/>
      <c r="AR935" s="140"/>
      <c r="AS935" s="140"/>
      <c r="AT935" s="140"/>
      <c r="AU935" s="140"/>
      <c r="AV935" s="140"/>
      <c r="AW935" s="140"/>
      <c r="AX935" s="140"/>
      <c r="AY935" s="140"/>
      <c r="AZ935" s="140"/>
      <c r="BA935" s="140"/>
      <c r="BB935" s="140"/>
      <c r="BC935" s="140"/>
      <c r="BD935" s="140"/>
      <c r="BE935" s="140"/>
    </row>
    <row r="936">
      <c r="A936" s="108"/>
      <c r="B936" s="107"/>
      <c r="C936" s="107"/>
      <c r="D936" s="107"/>
      <c r="E936" s="107"/>
      <c r="F936" s="107"/>
      <c r="G936" s="208"/>
      <c r="H936" s="131"/>
      <c r="I936" s="211"/>
      <c r="J936" s="107"/>
      <c r="K936" s="202"/>
      <c r="L936" s="107"/>
      <c r="M936" s="107"/>
      <c r="N936" s="206"/>
      <c r="O936" s="108" t="b">
        <v>0</v>
      </c>
      <c r="P936" s="207"/>
      <c r="Q936" s="140"/>
      <c r="R936" s="140"/>
      <c r="S936" s="140"/>
      <c r="T936" s="140"/>
      <c r="U936" s="140"/>
      <c r="V936" s="140"/>
      <c r="W936" s="140"/>
      <c r="X936" s="140"/>
      <c r="Y936" s="140"/>
      <c r="Z936" s="140"/>
      <c r="AA936" s="140"/>
      <c r="AB936" s="140"/>
      <c r="AC936" s="140"/>
      <c r="AD936" s="140"/>
      <c r="AE936" s="140"/>
      <c r="AF936" s="140"/>
      <c r="AG936" s="140"/>
      <c r="AH936" s="140"/>
      <c r="AI936" s="140"/>
      <c r="AJ936" s="140"/>
      <c r="AK936" s="140"/>
      <c r="AL936" s="140"/>
      <c r="AM936" s="140"/>
      <c r="AN936" s="140"/>
      <c r="AO936" s="140"/>
      <c r="AP936" s="140"/>
      <c r="AQ936" s="140"/>
      <c r="AR936" s="140"/>
      <c r="AS936" s="140"/>
      <c r="AT936" s="140"/>
      <c r="AU936" s="140"/>
      <c r="AV936" s="140"/>
      <c r="AW936" s="140"/>
      <c r="AX936" s="140"/>
      <c r="AY936" s="140"/>
      <c r="AZ936" s="140"/>
      <c r="BA936" s="140"/>
      <c r="BB936" s="140"/>
      <c r="BC936" s="140"/>
      <c r="BD936" s="140"/>
      <c r="BE936" s="140"/>
    </row>
    <row r="937">
      <c r="A937" s="108"/>
      <c r="B937" s="107"/>
      <c r="C937" s="107"/>
      <c r="D937" s="107"/>
      <c r="E937" s="107"/>
      <c r="F937" s="107"/>
      <c r="G937" s="208"/>
      <c r="H937" s="131"/>
      <c r="I937" s="211"/>
      <c r="J937" s="107"/>
      <c r="K937" s="202"/>
      <c r="L937" s="107"/>
      <c r="M937" s="107"/>
      <c r="N937" s="206"/>
      <c r="O937" s="108" t="b">
        <v>0</v>
      </c>
      <c r="P937" s="207"/>
      <c r="Q937" s="140"/>
      <c r="R937" s="140"/>
      <c r="S937" s="140"/>
      <c r="T937" s="140"/>
      <c r="U937" s="140"/>
      <c r="V937" s="140"/>
      <c r="W937" s="140"/>
      <c r="X937" s="140"/>
      <c r="Y937" s="140"/>
      <c r="Z937" s="140"/>
      <c r="AA937" s="140"/>
      <c r="AB937" s="140"/>
      <c r="AC937" s="140"/>
      <c r="AD937" s="140"/>
      <c r="AE937" s="140"/>
      <c r="AF937" s="140"/>
      <c r="AG937" s="140"/>
      <c r="AH937" s="140"/>
      <c r="AI937" s="140"/>
      <c r="AJ937" s="140"/>
      <c r="AK937" s="140"/>
      <c r="AL937" s="140"/>
      <c r="AM937" s="140"/>
      <c r="AN937" s="140"/>
      <c r="AO937" s="140"/>
      <c r="AP937" s="140"/>
      <c r="AQ937" s="140"/>
      <c r="AR937" s="140"/>
      <c r="AS937" s="140"/>
      <c r="AT937" s="140"/>
      <c r="AU937" s="140"/>
      <c r="AV937" s="140"/>
      <c r="AW937" s="140"/>
      <c r="AX937" s="140"/>
      <c r="AY937" s="140"/>
      <c r="AZ937" s="140"/>
      <c r="BA937" s="140"/>
      <c r="BB937" s="140"/>
      <c r="BC937" s="140"/>
      <c r="BD937" s="140"/>
      <c r="BE937" s="140"/>
    </row>
    <row r="938">
      <c r="A938" s="108"/>
      <c r="B938" s="107"/>
      <c r="C938" s="107"/>
      <c r="D938" s="107"/>
      <c r="E938" s="107"/>
      <c r="F938" s="107"/>
      <c r="G938" s="208"/>
      <c r="H938" s="131"/>
      <c r="I938" s="211"/>
      <c r="J938" s="107"/>
      <c r="K938" s="202"/>
      <c r="L938" s="107"/>
      <c r="M938" s="107"/>
      <c r="N938" s="206"/>
      <c r="O938" s="108" t="b">
        <v>0</v>
      </c>
      <c r="P938" s="207"/>
      <c r="Q938" s="140"/>
      <c r="R938" s="140"/>
      <c r="S938" s="140"/>
      <c r="T938" s="140"/>
      <c r="U938" s="140"/>
      <c r="V938" s="140"/>
      <c r="W938" s="140"/>
      <c r="X938" s="140"/>
      <c r="Y938" s="140"/>
      <c r="Z938" s="140"/>
      <c r="AA938" s="140"/>
      <c r="AB938" s="140"/>
      <c r="AC938" s="140"/>
      <c r="AD938" s="140"/>
      <c r="AE938" s="140"/>
      <c r="AF938" s="140"/>
      <c r="AG938" s="140"/>
      <c r="AH938" s="140"/>
      <c r="AI938" s="140"/>
      <c r="AJ938" s="140"/>
      <c r="AK938" s="140"/>
      <c r="AL938" s="140"/>
      <c r="AM938" s="140"/>
      <c r="AN938" s="140"/>
      <c r="AO938" s="140"/>
      <c r="AP938" s="140"/>
      <c r="AQ938" s="140"/>
      <c r="AR938" s="140"/>
      <c r="AS938" s="140"/>
      <c r="AT938" s="140"/>
      <c r="AU938" s="140"/>
      <c r="AV938" s="140"/>
      <c r="AW938" s="140"/>
      <c r="AX938" s="140"/>
      <c r="AY938" s="140"/>
      <c r="AZ938" s="140"/>
      <c r="BA938" s="140"/>
      <c r="BB938" s="140"/>
      <c r="BC938" s="140"/>
      <c r="BD938" s="140"/>
      <c r="BE938" s="140"/>
    </row>
    <row r="939">
      <c r="A939" s="108"/>
      <c r="B939" s="107"/>
      <c r="C939" s="107"/>
      <c r="D939" s="107"/>
      <c r="E939" s="107"/>
      <c r="F939" s="107"/>
      <c r="G939" s="208"/>
      <c r="H939" s="131"/>
      <c r="I939" s="211"/>
      <c r="J939" s="107"/>
      <c r="K939" s="202"/>
      <c r="L939" s="107"/>
      <c r="M939" s="107"/>
      <c r="N939" s="206"/>
      <c r="O939" s="108" t="b">
        <v>0</v>
      </c>
      <c r="P939" s="207"/>
      <c r="Q939" s="140"/>
      <c r="R939" s="140"/>
      <c r="S939" s="140"/>
      <c r="T939" s="140"/>
      <c r="U939" s="140"/>
      <c r="V939" s="140"/>
      <c r="W939" s="140"/>
      <c r="X939" s="140"/>
      <c r="Y939" s="140"/>
      <c r="Z939" s="140"/>
      <c r="AA939" s="140"/>
      <c r="AB939" s="140"/>
      <c r="AC939" s="140"/>
      <c r="AD939" s="140"/>
      <c r="AE939" s="140"/>
      <c r="AF939" s="140"/>
      <c r="AG939" s="140"/>
      <c r="AH939" s="140"/>
      <c r="AI939" s="140"/>
      <c r="AJ939" s="140"/>
      <c r="AK939" s="140"/>
      <c r="AL939" s="140"/>
      <c r="AM939" s="140"/>
      <c r="AN939" s="140"/>
      <c r="AO939" s="140"/>
      <c r="AP939" s="140"/>
      <c r="AQ939" s="140"/>
      <c r="AR939" s="140"/>
      <c r="AS939" s="140"/>
      <c r="AT939" s="140"/>
      <c r="AU939" s="140"/>
      <c r="AV939" s="140"/>
      <c r="AW939" s="140"/>
      <c r="AX939" s="140"/>
      <c r="AY939" s="140"/>
      <c r="AZ939" s="140"/>
      <c r="BA939" s="140"/>
      <c r="BB939" s="140"/>
      <c r="BC939" s="140"/>
      <c r="BD939" s="140"/>
      <c r="BE939" s="140"/>
    </row>
    <row r="940">
      <c r="A940" s="108"/>
      <c r="B940" s="107"/>
      <c r="C940" s="107"/>
      <c r="D940" s="107"/>
      <c r="E940" s="107"/>
      <c r="F940" s="107"/>
      <c r="G940" s="208"/>
      <c r="H940" s="131"/>
      <c r="I940" s="211"/>
      <c r="J940" s="107"/>
      <c r="K940" s="202"/>
      <c r="L940" s="107"/>
      <c r="M940" s="107"/>
      <c r="N940" s="206"/>
      <c r="O940" s="108" t="b">
        <v>0</v>
      </c>
      <c r="P940" s="207"/>
      <c r="Q940" s="140"/>
      <c r="R940" s="140"/>
      <c r="S940" s="140"/>
      <c r="T940" s="140"/>
      <c r="U940" s="140"/>
      <c r="V940" s="140"/>
      <c r="W940" s="140"/>
      <c r="X940" s="140"/>
      <c r="Y940" s="140"/>
      <c r="Z940" s="140"/>
      <c r="AA940" s="140"/>
      <c r="AB940" s="140"/>
      <c r="AC940" s="140"/>
      <c r="AD940" s="140"/>
      <c r="AE940" s="140"/>
      <c r="AF940" s="140"/>
      <c r="AG940" s="140"/>
      <c r="AH940" s="140"/>
      <c r="AI940" s="140"/>
      <c r="AJ940" s="140"/>
      <c r="AK940" s="140"/>
      <c r="AL940" s="140"/>
      <c r="AM940" s="140"/>
      <c r="AN940" s="140"/>
      <c r="AO940" s="140"/>
      <c r="AP940" s="140"/>
      <c r="AQ940" s="140"/>
      <c r="AR940" s="140"/>
      <c r="AS940" s="140"/>
      <c r="AT940" s="140"/>
      <c r="AU940" s="140"/>
      <c r="AV940" s="140"/>
      <c r="AW940" s="140"/>
      <c r="AX940" s="140"/>
      <c r="AY940" s="140"/>
      <c r="AZ940" s="140"/>
      <c r="BA940" s="140"/>
      <c r="BB940" s="140"/>
      <c r="BC940" s="140"/>
      <c r="BD940" s="140"/>
      <c r="BE940" s="140"/>
    </row>
    <row r="941">
      <c r="A941" s="108"/>
      <c r="B941" s="107"/>
      <c r="C941" s="107"/>
      <c r="D941" s="107"/>
      <c r="E941" s="107"/>
      <c r="F941" s="107"/>
      <c r="G941" s="208"/>
      <c r="H941" s="131"/>
      <c r="I941" s="211"/>
      <c r="J941" s="107"/>
      <c r="K941" s="202"/>
      <c r="L941" s="107"/>
      <c r="M941" s="107"/>
      <c r="N941" s="206"/>
      <c r="O941" s="108" t="b">
        <v>0</v>
      </c>
      <c r="P941" s="207"/>
      <c r="Q941" s="140"/>
      <c r="R941" s="140"/>
      <c r="S941" s="140"/>
      <c r="T941" s="140"/>
      <c r="U941" s="140"/>
      <c r="V941" s="140"/>
      <c r="W941" s="140"/>
      <c r="X941" s="140"/>
      <c r="Y941" s="140"/>
      <c r="Z941" s="140"/>
      <c r="AA941" s="140"/>
      <c r="AB941" s="140"/>
      <c r="AC941" s="140"/>
      <c r="AD941" s="140"/>
      <c r="AE941" s="140"/>
      <c r="AF941" s="140"/>
      <c r="AG941" s="140"/>
      <c r="AH941" s="140"/>
      <c r="AI941" s="140"/>
      <c r="AJ941" s="140"/>
      <c r="AK941" s="140"/>
      <c r="AL941" s="140"/>
      <c r="AM941" s="140"/>
      <c r="AN941" s="140"/>
      <c r="AO941" s="140"/>
      <c r="AP941" s="140"/>
      <c r="AQ941" s="140"/>
      <c r="AR941" s="140"/>
      <c r="AS941" s="140"/>
      <c r="AT941" s="140"/>
      <c r="AU941" s="140"/>
      <c r="AV941" s="140"/>
      <c r="AW941" s="140"/>
      <c r="AX941" s="140"/>
      <c r="AY941" s="140"/>
      <c r="AZ941" s="140"/>
      <c r="BA941" s="140"/>
      <c r="BB941" s="140"/>
      <c r="BC941" s="140"/>
      <c r="BD941" s="140"/>
      <c r="BE941" s="140"/>
    </row>
    <row r="942">
      <c r="A942" s="108"/>
      <c r="B942" s="107"/>
      <c r="C942" s="107"/>
      <c r="D942" s="107"/>
      <c r="E942" s="107"/>
      <c r="F942" s="107"/>
      <c r="G942" s="208"/>
      <c r="H942" s="131"/>
      <c r="I942" s="211"/>
      <c r="J942" s="107"/>
      <c r="K942" s="202"/>
      <c r="L942" s="107"/>
      <c r="M942" s="107"/>
      <c r="N942" s="206"/>
      <c r="O942" s="108" t="b">
        <v>0</v>
      </c>
      <c r="P942" s="207"/>
      <c r="Q942" s="140"/>
      <c r="R942" s="140"/>
      <c r="S942" s="140"/>
      <c r="T942" s="140"/>
      <c r="U942" s="140"/>
      <c r="V942" s="140"/>
      <c r="W942" s="140"/>
      <c r="X942" s="140"/>
      <c r="Y942" s="140"/>
      <c r="Z942" s="140"/>
      <c r="AA942" s="140"/>
      <c r="AB942" s="140"/>
      <c r="AC942" s="140"/>
      <c r="AD942" s="140"/>
      <c r="AE942" s="140"/>
      <c r="AF942" s="140"/>
      <c r="AG942" s="140"/>
      <c r="AH942" s="140"/>
      <c r="AI942" s="140"/>
      <c r="AJ942" s="140"/>
      <c r="AK942" s="140"/>
      <c r="AL942" s="140"/>
      <c r="AM942" s="140"/>
      <c r="AN942" s="140"/>
      <c r="AO942" s="140"/>
      <c r="AP942" s="140"/>
      <c r="AQ942" s="140"/>
      <c r="AR942" s="140"/>
      <c r="AS942" s="140"/>
      <c r="AT942" s="140"/>
      <c r="AU942" s="140"/>
      <c r="AV942" s="140"/>
      <c r="AW942" s="140"/>
      <c r="AX942" s="140"/>
      <c r="AY942" s="140"/>
      <c r="AZ942" s="140"/>
      <c r="BA942" s="140"/>
      <c r="BB942" s="140"/>
      <c r="BC942" s="140"/>
      <c r="BD942" s="140"/>
      <c r="BE942" s="140"/>
    </row>
    <row r="943">
      <c r="A943" s="108"/>
      <c r="B943" s="107"/>
      <c r="C943" s="107"/>
      <c r="D943" s="107"/>
      <c r="E943" s="107"/>
      <c r="F943" s="107"/>
      <c r="G943" s="208"/>
      <c r="H943" s="131"/>
      <c r="I943" s="211"/>
      <c r="J943" s="107"/>
      <c r="K943" s="202"/>
      <c r="L943" s="107"/>
      <c r="M943" s="107"/>
      <c r="N943" s="206"/>
      <c r="O943" s="108" t="b">
        <v>0</v>
      </c>
      <c r="P943" s="207"/>
      <c r="Q943" s="140"/>
      <c r="R943" s="140"/>
      <c r="S943" s="140"/>
      <c r="T943" s="140"/>
      <c r="U943" s="140"/>
      <c r="V943" s="140"/>
      <c r="W943" s="140"/>
      <c r="X943" s="140"/>
      <c r="Y943" s="140"/>
      <c r="Z943" s="140"/>
      <c r="AA943" s="140"/>
      <c r="AB943" s="140"/>
      <c r="AC943" s="140"/>
      <c r="AD943" s="140"/>
      <c r="AE943" s="140"/>
      <c r="AF943" s="140"/>
      <c r="AG943" s="140"/>
      <c r="AH943" s="140"/>
      <c r="AI943" s="140"/>
      <c r="AJ943" s="140"/>
      <c r="AK943" s="140"/>
      <c r="AL943" s="140"/>
      <c r="AM943" s="140"/>
      <c r="AN943" s="140"/>
      <c r="AO943" s="140"/>
      <c r="AP943" s="140"/>
      <c r="AQ943" s="140"/>
      <c r="AR943" s="140"/>
      <c r="AS943" s="140"/>
      <c r="AT943" s="140"/>
      <c r="AU943" s="140"/>
      <c r="AV943" s="140"/>
      <c r="AW943" s="140"/>
      <c r="AX943" s="140"/>
      <c r="AY943" s="140"/>
      <c r="AZ943" s="140"/>
      <c r="BA943" s="140"/>
      <c r="BB943" s="140"/>
      <c r="BC943" s="140"/>
      <c r="BD943" s="140"/>
      <c r="BE943" s="140"/>
    </row>
    <row r="944">
      <c r="A944" s="108"/>
      <c r="B944" s="107"/>
      <c r="C944" s="107"/>
      <c r="D944" s="107"/>
      <c r="E944" s="107"/>
      <c r="F944" s="107"/>
      <c r="G944" s="208"/>
      <c r="H944" s="131"/>
      <c r="I944" s="211"/>
      <c r="J944" s="107"/>
      <c r="K944" s="202"/>
      <c r="L944" s="107"/>
      <c r="M944" s="107"/>
      <c r="N944" s="206"/>
      <c r="O944" s="108" t="b">
        <v>0</v>
      </c>
      <c r="P944" s="207"/>
      <c r="Q944" s="140"/>
      <c r="R944" s="140"/>
      <c r="S944" s="140"/>
      <c r="T944" s="140"/>
      <c r="U944" s="140"/>
      <c r="V944" s="140"/>
      <c r="W944" s="140"/>
      <c r="X944" s="140"/>
      <c r="Y944" s="140"/>
      <c r="Z944" s="140"/>
      <c r="AA944" s="140"/>
      <c r="AB944" s="140"/>
      <c r="AC944" s="140"/>
      <c r="AD944" s="140"/>
      <c r="AE944" s="140"/>
      <c r="AF944" s="140"/>
      <c r="AG944" s="140"/>
      <c r="AH944" s="140"/>
      <c r="AI944" s="140"/>
      <c r="AJ944" s="140"/>
      <c r="AK944" s="140"/>
      <c r="AL944" s="140"/>
      <c r="AM944" s="140"/>
      <c r="AN944" s="140"/>
      <c r="AO944" s="140"/>
      <c r="AP944" s="140"/>
      <c r="AQ944" s="140"/>
      <c r="AR944" s="140"/>
      <c r="AS944" s="140"/>
      <c r="AT944" s="140"/>
      <c r="AU944" s="140"/>
      <c r="AV944" s="140"/>
      <c r="AW944" s="140"/>
      <c r="AX944" s="140"/>
      <c r="AY944" s="140"/>
      <c r="AZ944" s="140"/>
      <c r="BA944" s="140"/>
      <c r="BB944" s="140"/>
      <c r="BC944" s="140"/>
      <c r="BD944" s="140"/>
      <c r="BE944" s="140"/>
    </row>
    <row r="945">
      <c r="A945" s="108"/>
      <c r="B945" s="107"/>
      <c r="C945" s="107"/>
      <c r="D945" s="107"/>
      <c r="E945" s="107"/>
      <c r="F945" s="107"/>
      <c r="G945" s="208"/>
      <c r="H945" s="131"/>
      <c r="I945" s="211"/>
      <c r="J945" s="107"/>
      <c r="K945" s="202"/>
      <c r="L945" s="107"/>
      <c r="M945" s="107"/>
      <c r="N945" s="206"/>
      <c r="O945" s="108" t="b">
        <v>0</v>
      </c>
      <c r="P945" s="207"/>
      <c r="Q945" s="140"/>
      <c r="R945" s="140"/>
      <c r="S945" s="140"/>
      <c r="T945" s="140"/>
      <c r="U945" s="140"/>
      <c r="V945" s="140"/>
      <c r="W945" s="140"/>
      <c r="X945" s="140"/>
      <c r="Y945" s="140"/>
      <c r="Z945" s="140"/>
      <c r="AA945" s="140"/>
      <c r="AB945" s="140"/>
      <c r="AC945" s="140"/>
      <c r="AD945" s="140"/>
      <c r="AE945" s="140"/>
      <c r="AF945" s="140"/>
      <c r="AG945" s="140"/>
      <c r="AH945" s="140"/>
      <c r="AI945" s="140"/>
      <c r="AJ945" s="140"/>
      <c r="AK945" s="140"/>
      <c r="AL945" s="140"/>
      <c r="AM945" s="140"/>
      <c r="AN945" s="140"/>
      <c r="AO945" s="140"/>
      <c r="AP945" s="140"/>
      <c r="AQ945" s="140"/>
      <c r="AR945" s="140"/>
      <c r="AS945" s="140"/>
      <c r="AT945" s="140"/>
      <c r="AU945" s="140"/>
      <c r="AV945" s="140"/>
      <c r="AW945" s="140"/>
      <c r="AX945" s="140"/>
      <c r="AY945" s="140"/>
      <c r="AZ945" s="140"/>
      <c r="BA945" s="140"/>
      <c r="BB945" s="140"/>
      <c r="BC945" s="140"/>
      <c r="BD945" s="140"/>
      <c r="BE945" s="140"/>
    </row>
    <row r="946">
      <c r="A946" s="108"/>
      <c r="B946" s="107"/>
      <c r="C946" s="107"/>
      <c r="D946" s="107"/>
      <c r="E946" s="107"/>
      <c r="F946" s="107"/>
      <c r="G946" s="208"/>
      <c r="H946" s="131"/>
      <c r="I946" s="211"/>
      <c r="J946" s="107"/>
      <c r="K946" s="202"/>
      <c r="L946" s="107"/>
      <c r="M946" s="107"/>
      <c r="N946" s="206"/>
      <c r="O946" s="108" t="b">
        <v>0</v>
      </c>
      <c r="P946" s="207"/>
      <c r="Q946" s="140"/>
      <c r="R946" s="140"/>
      <c r="S946" s="140"/>
      <c r="T946" s="140"/>
      <c r="U946" s="140"/>
      <c r="V946" s="140"/>
      <c r="W946" s="140"/>
      <c r="X946" s="140"/>
      <c r="Y946" s="140"/>
      <c r="Z946" s="140"/>
      <c r="AA946" s="140"/>
      <c r="AB946" s="140"/>
      <c r="AC946" s="140"/>
      <c r="AD946" s="140"/>
      <c r="AE946" s="140"/>
      <c r="AF946" s="140"/>
      <c r="AG946" s="140"/>
      <c r="AH946" s="140"/>
      <c r="AI946" s="140"/>
      <c r="AJ946" s="140"/>
      <c r="AK946" s="140"/>
      <c r="AL946" s="140"/>
      <c r="AM946" s="140"/>
      <c r="AN946" s="140"/>
      <c r="AO946" s="140"/>
      <c r="AP946" s="140"/>
      <c r="AQ946" s="140"/>
      <c r="AR946" s="140"/>
      <c r="AS946" s="140"/>
      <c r="AT946" s="140"/>
      <c r="AU946" s="140"/>
      <c r="AV946" s="140"/>
      <c r="AW946" s="140"/>
      <c r="AX946" s="140"/>
      <c r="AY946" s="140"/>
      <c r="AZ946" s="140"/>
      <c r="BA946" s="140"/>
      <c r="BB946" s="140"/>
      <c r="BC946" s="140"/>
      <c r="BD946" s="140"/>
      <c r="BE946" s="140"/>
    </row>
    <row r="947">
      <c r="A947" s="108"/>
      <c r="B947" s="107"/>
      <c r="C947" s="107"/>
      <c r="D947" s="107"/>
      <c r="E947" s="107"/>
      <c r="F947" s="107"/>
      <c r="G947" s="208"/>
      <c r="H947" s="131"/>
      <c r="I947" s="211"/>
      <c r="J947" s="107"/>
      <c r="K947" s="202"/>
      <c r="L947" s="107"/>
      <c r="M947" s="107"/>
      <c r="N947" s="206"/>
      <c r="O947" s="108" t="b">
        <v>0</v>
      </c>
      <c r="P947" s="207"/>
      <c r="Q947" s="140"/>
      <c r="R947" s="140"/>
      <c r="S947" s="140"/>
      <c r="T947" s="140"/>
      <c r="U947" s="140"/>
      <c r="V947" s="140"/>
      <c r="W947" s="140"/>
      <c r="X947" s="140"/>
      <c r="Y947" s="140"/>
      <c r="Z947" s="140"/>
      <c r="AA947" s="140"/>
      <c r="AB947" s="140"/>
      <c r="AC947" s="140"/>
      <c r="AD947" s="140"/>
      <c r="AE947" s="140"/>
      <c r="AF947" s="140"/>
      <c r="AG947" s="140"/>
      <c r="AH947" s="140"/>
      <c r="AI947" s="140"/>
      <c r="AJ947" s="140"/>
      <c r="AK947" s="140"/>
      <c r="AL947" s="140"/>
      <c r="AM947" s="140"/>
      <c r="AN947" s="140"/>
      <c r="AO947" s="140"/>
      <c r="AP947" s="140"/>
      <c r="AQ947" s="140"/>
      <c r="AR947" s="140"/>
      <c r="AS947" s="140"/>
      <c r="AT947" s="140"/>
      <c r="AU947" s="140"/>
      <c r="AV947" s="140"/>
      <c r="AW947" s="140"/>
      <c r="AX947" s="140"/>
      <c r="AY947" s="140"/>
      <c r="AZ947" s="140"/>
      <c r="BA947" s="140"/>
      <c r="BB947" s="140"/>
      <c r="BC947" s="140"/>
      <c r="BD947" s="140"/>
      <c r="BE947" s="140"/>
    </row>
    <row r="948">
      <c r="A948" s="108"/>
      <c r="B948" s="107"/>
      <c r="C948" s="107"/>
      <c r="D948" s="107"/>
      <c r="E948" s="107"/>
      <c r="F948" s="107"/>
      <c r="G948" s="208"/>
      <c r="H948" s="131"/>
      <c r="I948" s="211"/>
      <c r="J948" s="107"/>
      <c r="K948" s="202"/>
      <c r="L948" s="107"/>
      <c r="M948" s="107"/>
      <c r="N948" s="206"/>
      <c r="O948" s="108" t="b">
        <v>0</v>
      </c>
      <c r="P948" s="207"/>
      <c r="Q948" s="140"/>
      <c r="R948" s="140"/>
      <c r="S948" s="140"/>
      <c r="T948" s="140"/>
      <c r="U948" s="140"/>
      <c r="V948" s="140"/>
      <c r="W948" s="140"/>
      <c r="X948" s="140"/>
      <c r="Y948" s="140"/>
      <c r="Z948" s="140"/>
      <c r="AA948" s="140"/>
      <c r="AB948" s="140"/>
      <c r="AC948" s="140"/>
      <c r="AD948" s="140"/>
      <c r="AE948" s="140"/>
      <c r="AF948" s="140"/>
      <c r="AG948" s="140"/>
      <c r="AH948" s="140"/>
      <c r="AI948" s="140"/>
      <c r="AJ948" s="140"/>
      <c r="AK948" s="140"/>
      <c r="AL948" s="140"/>
      <c r="AM948" s="140"/>
      <c r="AN948" s="140"/>
      <c r="AO948" s="140"/>
      <c r="AP948" s="140"/>
      <c r="AQ948" s="140"/>
      <c r="AR948" s="140"/>
      <c r="AS948" s="140"/>
      <c r="AT948" s="140"/>
      <c r="AU948" s="140"/>
      <c r="AV948" s="140"/>
      <c r="AW948" s="140"/>
      <c r="AX948" s="140"/>
      <c r="AY948" s="140"/>
      <c r="AZ948" s="140"/>
      <c r="BA948" s="140"/>
      <c r="BB948" s="140"/>
      <c r="BC948" s="140"/>
      <c r="BD948" s="140"/>
      <c r="BE948" s="140"/>
    </row>
    <row r="949">
      <c r="A949" s="108"/>
      <c r="B949" s="107"/>
      <c r="C949" s="107"/>
      <c r="D949" s="107"/>
      <c r="E949" s="107"/>
      <c r="F949" s="107"/>
      <c r="G949" s="208"/>
      <c r="H949" s="131"/>
      <c r="I949" s="211"/>
      <c r="J949" s="107"/>
      <c r="K949" s="202"/>
      <c r="L949" s="107"/>
      <c r="M949" s="107"/>
      <c r="N949" s="206"/>
      <c r="O949" s="108" t="b">
        <v>0</v>
      </c>
      <c r="P949" s="207"/>
      <c r="Q949" s="140"/>
      <c r="R949" s="140"/>
      <c r="S949" s="140"/>
      <c r="T949" s="140"/>
      <c r="U949" s="140"/>
      <c r="V949" s="140"/>
      <c r="W949" s="140"/>
      <c r="X949" s="140"/>
      <c r="Y949" s="140"/>
      <c r="Z949" s="140"/>
      <c r="AA949" s="140"/>
      <c r="AB949" s="140"/>
      <c r="AC949" s="140"/>
      <c r="AD949" s="140"/>
      <c r="AE949" s="140"/>
      <c r="AF949" s="140"/>
      <c r="AG949" s="140"/>
      <c r="AH949" s="140"/>
      <c r="AI949" s="140"/>
      <c r="AJ949" s="140"/>
      <c r="AK949" s="140"/>
      <c r="AL949" s="140"/>
      <c r="AM949" s="140"/>
      <c r="AN949" s="140"/>
      <c r="AO949" s="140"/>
      <c r="AP949" s="140"/>
      <c r="AQ949" s="140"/>
      <c r="AR949" s="140"/>
      <c r="AS949" s="140"/>
      <c r="AT949" s="140"/>
      <c r="AU949" s="140"/>
      <c r="AV949" s="140"/>
      <c r="AW949" s="140"/>
      <c r="AX949" s="140"/>
      <c r="AY949" s="140"/>
      <c r="AZ949" s="140"/>
      <c r="BA949" s="140"/>
      <c r="BB949" s="140"/>
      <c r="BC949" s="140"/>
      <c r="BD949" s="140"/>
      <c r="BE949" s="140"/>
    </row>
    <row r="950">
      <c r="A950" s="108"/>
      <c r="B950" s="107"/>
      <c r="C950" s="107"/>
      <c r="D950" s="107"/>
      <c r="E950" s="107"/>
      <c r="F950" s="107"/>
      <c r="G950" s="208"/>
      <c r="H950" s="131"/>
      <c r="I950" s="211"/>
      <c r="J950" s="107"/>
      <c r="K950" s="202"/>
      <c r="L950" s="107"/>
      <c r="M950" s="107"/>
      <c r="N950" s="206"/>
      <c r="O950" s="108" t="b">
        <v>0</v>
      </c>
      <c r="P950" s="207"/>
      <c r="Q950" s="140"/>
      <c r="R950" s="140"/>
      <c r="S950" s="140"/>
      <c r="T950" s="140"/>
      <c r="U950" s="140"/>
      <c r="V950" s="140"/>
      <c r="W950" s="140"/>
      <c r="X950" s="140"/>
      <c r="Y950" s="140"/>
      <c r="Z950" s="140"/>
      <c r="AA950" s="140"/>
      <c r="AB950" s="140"/>
      <c r="AC950" s="140"/>
      <c r="AD950" s="140"/>
      <c r="AE950" s="140"/>
      <c r="AF950" s="140"/>
      <c r="AG950" s="140"/>
      <c r="AH950" s="140"/>
      <c r="AI950" s="140"/>
      <c r="AJ950" s="140"/>
      <c r="AK950" s="140"/>
      <c r="AL950" s="140"/>
      <c r="AM950" s="140"/>
      <c r="AN950" s="140"/>
      <c r="AO950" s="140"/>
      <c r="AP950" s="140"/>
      <c r="AQ950" s="140"/>
      <c r="AR950" s="140"/>
      <c r="AS950" s="140"/>
      <c r="AT950" s="140"/>
      <c r="AU950" s="140"/>
      <c r="AV950" s="140"/>
      <c r="AW950" s="140"/>
      <c r="AX950" s="140"/>
      <c r="AY950" s="140"/>
      <c r="AZ950" s="140"/>
      <c r="BA950" s="140"/>
      <c r="BB950" s="140"/>
      <c r="BC950" s="140"/>
      <c r="BD950" s="140"/>
      <c r="BE950" s="140"/>
    </row>
    <row r="951">
      <c r="A951" s="108"/>
      <c r="B951" s="107"/>
      <c r="C951" s="107"/>
      <c r="D951" s="107"/>
      <c r="E951" s="107"/>
      <c r="F951" s="107"/>
      <c r="G951" s="208"/>
      <c r="H951" s="131"/>
      <c r="I951" s="211"/>
      <c r="J951" s="107"/>
      <c r="K951" s="202"/>
      <c r="L951" s="107"/>
      <c r="M951" s="107"/>
      <c r="N951" s="206"/>
      <c r="O951" s="108" t="b">
        <v>0</v>
      </c>
      <c r="P951" s="207"/>
      <c r="Q951" s="140"/>
      <c r="R951" s="140"/>
      <c r="S951" s="140"/>
      <c r="T951" s="140"/>
      <c r="U951" s="140"/>
      <c r="V951" s="140"/>
      <c r="W951" s="140"/>
      <c r="X951" s="140"/>
      <c r="Y951" s="140"/>
      <c r="Z951" s="140"/>
      <c r="AA951" s="140"/>
      <c r="AB951" s="140"/>
      <c r="AC951" s="140"/>
      <c r="AD951" s="140"/>
      <c r="AE951" s="140"/>
      <c r="AF951" s="140"/>
      <c r="AG951" s="140"/>
      <c r="AH951" s="140"/>
      <c r="AI951" s="140"/>
      <c r="AJ951" s="140"/>
      <c r="AK951" s="140"/>
      <c r="AL951" s="140"/>
      <c r="AM951" s="140"/>
      <c r="AN951" s="140"/>
      <c r="AO951" s="140"/>
      <c r="AP951" s="140"/>
      <c r="AQ951" s="140"/>
      <c r="AR951" s="140"/>
      <c r="AS951" s="140"/>
      <c r="AT951" s="140"/>
      <c r="AU951" s="140"/>
      <c r="AV951" s="140"/>
      <c r="AW951" s="140"/>
      <c r="AX951" s="140"/>
      <c r="AY951" s="140"/>
      <c r="AZ951" s="140"/>
      <c r="BA951" s="140"/>
      <c r="BB951" s="140"/>
      <c r="BC951" s="140"/>
      <c r="BD951" s="140"/>
      <c r="BE951" s="140"/>
    </row>
    <row r="952">
      <c r="A952" s="108"/>
      <c r="B952" s="107"/>
      <c r="C952" s="107"/>
      <c r="D952" s="107"/>
      <c r="E952" s="107"/>
      <c r="F952" s="107"/>
      <c r="G952" s="208"/>
      <c r="H952" s="131"/>
      <c r="I952" s="211"/>
      <c r="J952" s="107"/>
      <c r="K952" s="202"/>
      <c r="L952" s="107"/>
      <c r="M952" s="107"/>
      <c r="N952" s="206"/>
      <c r="O952" s="108" t="b">
        <v>0</v>
      </c>
      <c r="P952" s="207"/>
      <c r="Q952" s="140"/>
      <c r="R952" s="140"/>
      <c r="S952" s="140"/>
      <c r="T952" s="140"/>
      <c r="U952" s="140"/>
      <c r="V952" s="140"/>
      <c r="W952" s="140"/>
      <c r="X952" s="140"/>
      <c r="Y952" s="140"/>
      <c r="Z952" s="140"/>
      <c r="AA952" s="140"/>
      <c r="AB952" s="140"/>
      <c r="AC952" s="140"/>
      <c r="AD952" s="140"/>
      <c r="AE952" s="140"/>
      <c r="AF952" s="140"/>
      <c r="AG952" s="140"/>
      <c r="AH952" s="140"/>
      <c r="AI952" s="140"/>
      <c r="AJ952" s="140"/>
      <c r="AK952" s="140"/>
      <c r="AL952" s="140"/>
      <c r="AM952" s="140"/>
      <c r="AN952" s="140"/>
      <c r="AO952" s="140"/>
      <c r="AP952" s="140"/>
      <c r="AQ952" s="140"/>
      <c r="AR952" s="140"/>
      <c r="AS952" s="140"/>
      <c r="AT952" s="140"/>
      <c r="AU952" s="140"/>
      <c r="AV952" s="140"/>
      <c r="AW952" s="140"/>
      <c r="AX952" s="140"/>
      <c r="AY952" s="140"/>
      <c r="AZ952" s="140"/>
      <c r="BA952" s="140"/>
      <c r="BB952" s="140"/>
      <c r="BC952" s="140"/>
      <c r="BD952" s="140"/>
      <c r="BE952" s="140"/>
    </row>
    <row r="953">
      <c r="A953" s="108"/>
      <c r="B953" s="107"/>
      <c r="C953" s="107"/>
      <c r="D953" s="107"/>
      <c r="E953" s="107"/>
      <c r="F953" s="107"/>
      <c r="G953" s="208"/>
      <c r="H953" s="131"/>
      <c r="I953" s="211"/>
      <c r="J953" s="107"/>
      <c r="K953" s="202"/>
      <c r="L953" s="107"/>
      <c r="M953" s="107"/>
      <c r="N953" s="206"/>
      <c r="O953" s="108" t="b">
        <v>0</v>
      </c>
      <c r="P953" s="207"/>
      <c r="Q953" s="140"/>
      <c r="R953" s="140"/>
      <c r="S953" s="140"/>
      <c r="T953" s="140"/>
      <c r="U953" s="140"/>
      <c r="V953" s="140"/>
      <c r="W953" s="140"/>
      <c r="X953" s="140"/>
      <c r="Y953" s="140"/>
      <c r="Z953" s="140"/>
      <c r="AA953" s="140"/>
      <c r="AB953" s="140"/>
      <c r="AC953" s="140"/>
      <c r="AD953" s="140"/>
      <c r="AE953" s="140"/>
      <c r="AF953" s="140"/>
      <c r="AG953" s="140"/>
      <c r="AH953" s="140"/>
      <c r="AI953" s="140"/>
      <c r="AJ953" s="140"/>
      <c r="AK953" s="140"/>
      <c r="AL953" s="140"/>
      <c r="AM953" s="140"/>
      <c r="AN953" s="140"/>
      <c r="AO953" s="140"/>
      <c r="AP953" s="140"/>
      <c r="AQ953" s="140"/>
      <c r="AR953" s="140"/>
      <c r="AS953" s="140"/>
      <c r="AT953" s="140"/>
      <c r="AU953" s="140"/>
      <c r="AV953" s="140"/>
      <c r="AW953" s="140"/>
      <c r="AX953" s="140"/>
      <c r="AY953" s="140"/>
      <c r="AZ953" s="140"/>
      <c r="BA953" s="140"/>
      <c r="BB953" s="140"/>
      <c r="BC953" s="140"/>
      <c r="BD953" s="140"/>
      <c r="BE953" s="140"/>
    </row>
    <row r="954">
      <c r="A954" s="108"/>
      <c r="B954" s="107"/>
      <c r="C954" s="107"/>
      <c r="D954" s="107"/>
      <c r="E954" s="107"/>
      <c r="F954" s="107"/>
      <c r="G954" s="208"/>
      <c r="H954" s="131"/>
      <c r="I954" s="211"/>
      <c r="J954" s="107"/>
      <c r="K954" s="202"/>
      <c r="L954" s="107"/>
      <c r="M954" s="107"/>
      <c r="N954" s="206"/>
      <c r="O954" s="108" t="b">
        <v>0</v>
      </c>
      <c r="P954" s="207"/>
      <c r="Q954" s="140"/>
      <c r="R954" s="140"/>
      <c r="S954" s="140"/>
      <c r="T954" s="140"/>
      <c r="U954" s="140"/>
      <c r="V954" s="140"/>
      <c r="W954" s="140"/>
      <c r="X954" s="140"/>
      <c r="Y954" s="140"/>
      <c r="Z954" s="140"/>
      <c r="AA954" s="140"/>
      <c r="AB954" s="140"/>
      <c r="AC954" s="140"/>
      <c r="AD954" s="140"/>
      <c r="AE954" s="140"/>
      <c r="AF954" s="140"/>
      <c r="AG954" s="140"/>
      <c r="AH954" s="140"/>
      <c r="AI954" s="140"/>
      <c r="AJ954" s="140"/>
      <c r="AK954" s="140"/>
      <c r="AL954" s="140"/>
      <c r="AM954" s="140"/>
      <c r="AN954" s="140"/>
      <c r="AO954" s="140"/>
      <c r="AP954" s="140"/>
      <c r="AQ954" s="140"/>
      <c r="AR954" s="140"/>
      <c r="AS954" s="140"/>
      <c r="AT954" s="140"/>
      <c r="AU954" s="140"/>
      <c r="AV954" s="140"/>
      <c r="AW954" s="140"/>
      <c r="AX954" s="140"/>
      <c r="AY954" s="140"/>
      <c r="AZ954" s="140"/>
      <c r="BA954" s="140"/>
      <c r="BB954" s="140"/>
      <c r="BC954" s="140"/>
      <c r="BD954" s="140"/>
      <c r="BE954" s="140"/>
    </row>
    <row r="955">
      <c r="A955" s="108"/>
      <c r="B955" s="107"/>
      <c r="C955" s="107"/>
      <c r="D955" s="107"/>
      <c r="E955" s="107"/>
      <c r="F955" s="107"/>
      <c r="G955" s="208"/>
      <c r="H955" s="131"/>
      <c r="I955" s="211"/>
      <c r="J955" s="107"/>
      <c r="K955" s="202"/>
      <c r="L955" s="107"/>
      <c r="M955" s="107"/>
      <c r="N955" s="206"/>
      <c r="O955" s="108" t="b">
        <v>0</v>
      </c>
      <c r="P955" s="207"/>
      <c r="Q955" s="140"/>
      <c r="R955" s="140"/>
      <c r="S955" s="140"/>
      <c r="T955" s="140"/>
      <c r="U955" s="140"/>
      <c r="V955" s="140"/>
      <c r="W955" s="140"/>
      <c r="X955" s="140"/>
      <c r="Y955" s="140"/>
      <c r="Z955" s="140"/>
      <c r="AA955" s="140"/>
      <c r="AB955" s="140"/>
      <c r="AC955" s="140"/>
      <c r="AD955" s="140"/>
      <c r="AE955" s="140"/>
      <c r="AF955" s="140"/>
      <c r="AG955" s="140"/>
      <c r="AH955" s="140"/>
      <c r="AI955" s="140"/>
      <c r="AJ955" s="140"/>
      <c r="AK955" s="140"/>
      <c r="AL955" s="140"/>
      <c r="AM955" s="140"/>
      <c r="AN955" s="140"/>
      <c r="AO955" s="140"/>
      <c r="AP955" s="140"/>
      <c r="AQ955" s="140"/>
      <c r="AR955" s="140"/>
      <c r="AS955" s="140"/>
      <c r="AT955" s="140"/>
      <c r="AU955" s="140"/>
      <c r="AV955" s="140"/>
      <c r="AW955" s="140"/>
      <c r="AX955" s="140"/>
      <c r="AY955" s="140"/>
      <c r="AZ955" s="140"/>
      <c r="BA955" s="140"/>
      <c r="BB955" s="140"/>
      <c r="BC955" s="140"/>
      <c r="BD955" s="140"/>
      <c r="BE955" s="140"/>
    </row>
    <row r="956">
      <c r="A956" s="108"/>
      <c r="B956" s="107"/>
      <c r="C956" s="107"/>
      <c r="D956" s="107"/>
      <c r="E956" s="107"/>
      <c r="F956" s="107"/>
      <c r="G956" s="208"/>
      <c r="H956" s="131"/>
      <c r="I956" s="211"/>
      <c r="J956" s="107"/>
      <c r="K956" s="202"/>
      <c r="L956" s="107"/>
      <c r="M956" s="107"/>
      <c r="N956" s="206"/>
      <c r="O956" s="108" t="b">
        <v>0</v>
      </c>
      <c r="P956" s="207"/>
      <c r="Q956" s="140"/>
      <c r="R956" s="140"/>
      <c r="S956" s="140"/>
      <c r="T956" s="140"/>
      <c r="U956" s="140"/>
      <c r="V956" s="140"/>
      <c r="W956" s="140"/>
      <c r="X956" s="140"/>
      <c r="Y956" s="140"/>
      <c r="Z956" s="140"/>
      <c r="AA956" s="140"/>
      <c r="AB956" s="140"/>
      <c r="AC956" s="140"/>
      <c r="AD956" s="140"/>
      <c r="AE956" s="140"/>
      <c r="AF956" s="140"/>
      <c r="AG956" s="140"/>
      <c r="AH956" s="140"/>
      <c r="AI956" s="140"/>
      <c r="AJ956" s="140"/>
      <c r="AK956" s="140"/>
      <c r="AL956" s="140"/>
      <c r="AM956" s="140"/>
      <c r="AN956" s="140"/>
      <c r="AO956" s="140"/>
      <c r="AP956" s="140"/>
      <c r="AQ956" s="140"/>
      <c r="AR956" s="140"/>
      <c r="AS956" s="140"/>
      <c r="AT956" s="140"/>
      <c r="AU956" s="140"/>
      <c r="AV956" s="140"/>
      <c r="AW956" s="140"/>
      <c r="AX956" s="140"/>
      <c r="AY956" s="140"/>
      <c r="AZ956" s="140"/>
      <c r="BA956" s="140"/>
      <c r="BB956" s="140"/>
      <c r="BC956" s="140"/>
      <c r="BD956" s="140"/>
      <c r="BE956" s="140"/>
    </row>
    <row r="957">
      <c r="A957" s="108"/>
      <c r="B957" s="107"/>
      <c r="C957" s="107"/>
      <c r="D957" s="107"/>
      <c r="E957" s="107"/>
      <c r="F957" s="107"/>
      <c r="G957" s="208"/>
      <c r="H957" s="131"/>
      <c r="I957" s="211"/>
      <c r="J957" s="107"/>
      <c r="K957" s="202"/>
      <c r="L957" s="107"/>
      <c r="M957" s="107"/>
      <c r="N957" s="206"/>
      <c r="O957" s="108" t="b">
        <v>0</v>
      </c>
      <c r="P957" s="207"/>
      <c r="Q957" s="140"/>
      <c r="R957" s="140"/>
      <c r="S957" s="140"/>
      <c r="T957" s="140"/>
      <c r="U957" s="140"/>
      <c r="V957" s="140"/>
      <c r="W957" s="140"/>
      <c r="X957" s="140"/>
      <c r="Y957" s="140"/>
      <c r="Z957" s="140"/>
      <c r="AA957" s="140"/>
      <c r="AB957" s="140"/>
      <c r="AC957" s="140"/>
      <c r="AD957" s="140"/>
      <c r="AE957" s="140"/>
      <c r="AF957" s="140"/>
      <c r="AG957" s="140"/>
      <c r="AH957" s="140"/>
      <c r="AI957" s="140"/>
      <c r="AJ957" s="140"/>
      <c r="AK957" s="140"/>
      <c r="AL957" s="140"/>
      <c r="AM957" s="140"/>
      <c r="AN957" s="140"/>
      <c r="AO957" s="140"/>
      <c r="AP957" s="140"/>
      <c r="AQ957" s="140"/>
      <c r="AR957" s="140"/>
      <c r="AS957" s="140"/>
      <c r="AT957" s="140"/>
      <c r="AU957" s="140"/>
      <c r="AV957" s="140"/>
      <c r="AW957" s="140"/>
      <c r="AX957" s="140"/>
      <c r="AY957" s="140"/>
      <c r="AZ957" s="140"/>
      <c r="BA957" s="140"/>
      <c r="BB957" s="140"/>
      <c r="BC957" s="140"/>
      <c r="BD957" s="140"/>
      <c r="BE957" s="140"/>
    </row>
    <row r="958">
      <c r="A958" s="108"/>
      <c r="B958" s="107"/>
      <c r="C958" s="107"/>
      <c r="D958" s="107"/>
      <c r="E958" s="107"/>
      <c r="F958" s="107"/>
      <c r="G958" s="208"/>
      <c r="H958" s="131"/>
      <c r="I958" s="211"/>
      <c r="J958" s="107"/>
      <c r="K958" s="202"/>
      <c r="L958" s="107"/>
      <c r="M958" s="107"/>
      <c r="N958" s="206"/>
      <c r="O958" s="108" t="b">
        <v>0</v>
      </c>
      <c r="P958" s="207"/>
      <c r="Q958" s="140"/>
      <c r="R958" s="140"/>
      <c r="S958" s="140"/>
      <c r="T958" s="140"/>
      <c r="U958" s="140"/>
      <c r="V958" s="140"/>
      <c r="W958" s="140"/>
      <c r="X958" s="140"/>
      <c r="Y958" s="140"/>
      <c r="Z958" s="140"/>
      <c r="AA958" s="140"/>
      <c r="AB958" s="140"/>
      <c r="AC958" s="140"/>
      <c r="AD958" s="140"/>
      <c r="AE958" s="140"/>
      <c r="AF958" s="140"/>
      <c r="AG958" s="140"/>
      <c r="AH958" s="140"/>
      <c r="AI958" s="140"/>
      <c r="AJ958" s="140"/>
      <c r="AK958" s="140"/>
      <c r="AL958" s="140"/>
      <c r="AM958" s="140"/>
      <c r="AN958" s="140"/>
      <c r="AO958" s="140"/>
      <c r="AP958" s="140"/>
      <c r="AQ958" s="140"/>
      <c r="AR958" s="140"/>
      <c r="AS958" s="140"/>
      <c r="AT958" s="140"/>
      <c r="AU958" s="140"/>
      <c r="AV958" s="140"/>
      <c r="AW958" s="140"/>
      <c r="AX958" s="140"/>
      <c r="AY958" s="140"/>
      <c r="AZ958" s="140"/>
      <c r="BA958" s="140"/>
      <c r="BB958" s="140"/>
      <c r="BC958" s="140"/>
      <c r="BD958" s="140"/>
      <c r="BE958" s="140"/>
    </row>
    <row r="959">
      <c r="A959" s="108"/>
      <c r="B959" s="107"/>
      <c r="C959" s="107"/>
      <c r="D959" s="107"/>
      <c r="E959" s="107"/>
      <c r="F959" s="107"/>
      <c r="G959" s="208"/>
      <c r="H959" s="131"/>
      <c r="I959" s="211"/>
      <c r="J959" s="107"/>
      <c r="K959" s="202"/>
      <c r="L959" s="107"/>
      <c r="M959" s="107"/>
      <c r="N959" s="206"/>
      <c r="O959" s="108" t="b">
        <v>0</v>
      </c>
      <c r="P959" s="207"/>
      <c r="Q959" s="140"/>
      <c r="R959" s="140"/>
      <c r="S959" s="140"/>
      <c r="T959" s="140"/>
      <c r="U959" s="140"/>
      <c r="V959" s="140"/>
      <c r="W959" s="140"/>
      <c r="X959" s="140"/>
      <c r="Y959" s="140"/>
      <c r="Z959" s="140"/>
      <c r="AA959" s="140"/>
      <c r="AB959" s="140"/>
      <c r="AC959" s="140"/>
      <c r="AD959" s="140"/>
      <c r="AE959" s="140"/>
      <c r="AF959" s="140"/>
      <c r="AG959" s="140"/>
      <c r="AH959" s="140"/>
      <c r="AI959" s="140"/>
      <c r="AJ959" s="140"/>
      <c r="AK959" s="140"/>
      <c r="AL959" s="140"/>
      <c r="AM959" s="140"/>
      <c r="AN959" s="140"/>
      <c r="AO959" s="140"/>
      <c r="AP959" s="140"/>
      <c r="AQ959" s="140"/>
      <c r="AR959" s="140"/>
      <c r="AS959" s="140"/>
      <c r="AT959" s="140"/>
      <c r="AU959" s="140"/>
      <c r="AV959" s="140"/>
      <c r="AW959" s="140"/>
      <c r="AX959" s="140"/>
      <c r="AY959" s="140"/>
      <c r="AZ959" s="140"/>
      <c r="BA959" s="140"/>
      <c r="BB959" s="140"/>
      <c r="BC959" s="140"/>
      <c r="BD959" s="140"/>
      <c r="BE959" s="140"/>
    </row>
    <row r="960">
      <c r="A960" s="108"/>
      <c r="B960" s="107"/>
      <c r="C960" s="107"/>
      <c r="D960" s="107"/>
      <c r="E960" s="107"/>
      <c r="F960" s="107"/>
      <c r="G960" s="208"/>
      <c r="H960" s="131"/>
      <c r="I960" s="211"/>
      <c r="J960" s="107"/>
      <c r="K960" s="202"/>
      <c r="L960" s="107"/>
      <c r="M960" s="107"/>
      <c r="N960" s="206"/>
      <c r="O960" s="108" t="b">
        <v>0</v>
      </c>
      <c r="P960" s="207"/>
      <c r="Q960" s="140"/>
      <c r="R960" s="140"/>
      <c r="S960" s="140"/>
      <c r="T960" s="140"/>
      <c r="U960" s="140"/>
      <c r="V960" s="140"/>
      <c r="W960" s="140"/>
      <c r="X960" s="140"/>
      <c r="Y960" s="140"/>
      <c r="Z960" s="140"/>
      <c r="AA960" s="140"/>
      <c r="AB960" s="140"/>
      <c r="AC960" s="140"/>
      <c r="AD960" s="140"/>
      <c r="AE960" s="140"/>
      <c r="AF960" s="140"/>
      <c r="AG960" s="140"/>
      <c r="AH960" s="140"/>
      <c r="AI960" s="140"/>
      <c r="AJ960" s="140"/>
      <c r="AK960" s="140"/>
      <c r="AL960" s="140"/>
      <c r="AM960" s="140"/>
      <c r="AN960" s="140"/>
      <c r="AO960" s="140"/>
      <c r="AP960" s="140"/>
      <c r="AQ960" s="140"/>
      <c r="AR960" s="140"/>
      <c r="AS960" s="140"/>
      <c r="AT960" s="140"/>
      <c r="AU960" s="140"/>
      <c r="AV960" s="140"/>
      <c r="AW960" s="140"/>
      <c r="AX960" s="140"/>
      <c r="AY960" s="140"/>
      <c r="AZ960" s="140"/>
      <c r="BA960" s="140"/>
      <c r="BB960" s="140"/>
      <c r="BC960" s="140"/>
      <c r="BD960" s="140"/>
      <c r="BE960" s="140"/>
    </row>
    <row r="961">
      <c r="A961" s="108"/>
      <c r="B961" s="107"/>
      <c r="C961" s="107"/>
      <c r="D961" s="107"/>
      <c r="E961" s="107"/>
      <c r="F961" s="107"/>
      <c r="G961" s="208"/>
      <c r="H961" s="131"/>
      <c r="I961" s="211"/>
      <c r="J961" s="107"/>
      <c r="K961" s="202"/>
      <c r="L961" s="107"/>
      <c r="M961" s="107"/>
      <c r="N961" s="206"/>
      <c r="O961" s="108" t="b">
        <v>0</v>
      </c>
      <c r="P961" s="207"/>
      <c r="Q961" s="140"/>
      <c r="R961" s="140"/>
      <c r="S961" s="140"/>
      <c r="T961" s="140"/>
      <c r="U961" s="140"/>
      <c r="V961" s="140"/>
      <c r="W961" s="140"/>
      <c r="X961" s="140"/>
      <c r="Y961" s="140"/>
      <c r="Z961" s="140"/>
      <c r="AA961" s="140"/>
      <c r="AB961" s="140"/>
      <c r="AC961" s="140"/>
      <c r="AD961" s="140"/>
      <c r="AE961" s="140"/>
      <c r="AF961" s="140"/>
      <c r="AG961" s="140"/>
      <c r="AH961" s="140"/>
      <c r="AI961" s="140"/>
      <c r="AJ961" s="140"/>
      <c r="AK961" s="140"/>
      <c r="AL961" s="140"/>
      <c r="AM961" s="140"/>
      <c r="AN961" s="140"/>
      <c r="AO961" s="140"/>
      <c r="AP961" s="140"/>
      <c r="AQ961" s="140"/>
      <c r="AR961" s="140"/>
      <c r="AS961" s="140"/>
      <c r="AT961" s="140"/>
      <c r="AU961" s="140"/>
      <c r="AV961" s="140"/>
      <c r="AW961" s="140"/>
      <c r="AX961" s="140"/>
      <c r="AY961" s="140"/>
      <c r="AZ961" s="140"/>
      <c r="BA961" s="140"/>
      <c r="BB961" s="140"/>
      <c r="BC961" s="140"/>
      <c r="BD961" s="140"/>
      <c r="BE961" s="140"/>
    </row>
    <row r="962">
      <c r="A962" s="108"/>
      <c r="B962" s="107"/>
      <c r="C962" s="107"/>
      <c r="D962" s="107"/>
      <c r="E962" s="107"/>
      <c r="F962" s="107"/>
      <c r="G962" s="208"/>
      <c r="H962" s="131"/>
      <c r="I962" s="211"/>
      <c r="J962" s="107"/>
      <c r="K962" s="202"/>
      <c r="L962" s="107"/>
      <c r="M962" s="107"/>
      <c r="N962" s="206"/>
      <c r="O962" s="108" t="b">
        <v>0</v>
      </c>
      <c r="P962" s="207"/>
      <c r="Q962" s="140"/>
      <c r="R962" s="140"/>
      <c r="S962" s="140"/>
      <c r="T962" s="140"/>
      <c r="U962" s="140"/>
      <c r="V962" s="140"/>
      <c r="W962" s="140"/>
      <c r="X962" s="140"/>
      <c r="Y962" s="140"/>
      <c r="Z962" s="140"/>
      <c r="AA962" s="140"/>
      <c r="AB962" s="140"/>
      <c r="AC962" s="140"/>
      <c r="AD962" s="140"/>
      <c r="AE962" s="140"/>
      <c r="AF962" s="140"/>
      <c r="AG962" s="140"/>
      <c r="AH962" s="140"/>
      <c r="AI962" s="140"/>
      <c r="AJ962" s="140"/>
      <c r="AK962" s="140"/>
      <c r="AL962" s="140"/>
      <c r="AM962" s="140"/>
      <c r="AN962" s="140"/>
      <c r="AO962" s="140"/>
      <c r="AP962" s="140"/>
      <c r="AQ962" s="140"/>
      <c r="AR962" s="140"/>
      <c r="AS962" s="140"/>
      <c r="AT962" s="140"/>
      <c r="AU962" s="140"/>
      <c r="AV962" s="140"/>
      <c r="AW962" s="140"/>
      <c r="AX962" s="140"/>
      <c r="AY962" s="140"/>
      <c r="AZ962" s="140"/>
      <c r="BA962" s="140"/>
      <c r="BB962" s="140"/>
      <c r="BC962" s="140"/>
      <c r="BD962" s="140"/>
      <c r="BE962" s="140"/>
    </row>
    <row r="963">
      <c r="A963" s="108"/>
      <c r="B963" s="107"/>
      <c r="C963" s="107"/>
      <c r="D963" s="107"/>
      <c r="E963" s="107"/>
      <c r="F963" s="107"/>
      <c r="G963" s="208"/>
      <c r="H963" s="131"/>
      <c r="I963" s="211"/>
      <c r="J963" s="107"/>
      <c r="K963" s="202"/>
      <c r="L963" s="107"/>
      <c r="M963" s="107"/>
      <c r="N963" s="206"/>
      <c r="O963" s="108" t="b">
        <v>0</v>
      </c>
      <c r="P963" s="207"/>
      <c r="Q963" s="140"/>
      <c r="R963" s="140"/>
      <c r="S963" s="140"/>
      <c r="T963" s="140"/>
      <c r="U963" s="140"/>
      <c r="V963" s="140"/>
      <c r="W963" s="140"/>
      <c r="X963" s="140"/>
      <c r="Y963" s="140"/>
      <c r="Z963" s="140"/>
      <c r="AA963" s="140"/>
      <c r="AB963" s="140"/>
      <c r="AC963" s="140"/>
      <c r="AD963" s="140"/>
      <c r="AE963" s="140"/>
      <c r="AF963" s="140"/>
      <c r="AG963" s="140"/>
      <c r="AH963" s="140"/>
      <c r="AI963" s="140"/>
      <c r="AJ963" s="140"/>
      <c r="AK963" s="140"/>
      <c r="AL963" s="140"/>
      <c r="AM963" s="140"/>
      <c r="AN963" s="140"/>
      <c r="AO963" s="140"/>
      <c r="AP963" s="140"/>
      <c r="AQ963" s="140"/>
      <c r="AR963" s="140"/>
      <c r="AS963" s="140"/>
      <c r="AT963" s="140"/>
      <c r="AU963" s="140"/>
      <c r="AV963" s="140"/>
      <c r="AW963" s="140"/>
      <c r="AX963" s="140"/>
      <c r="AY963" s="140"/>
      <c r="AZ963" s="140"/>
      <c r="BA963" s="140"/>
      <c r="BB963" s="140"/>
      <c r="BC963" s="140"/>
      <c r="BD963" s="140"/>
      <c r="BE963" s="140"/>
    </row>
    <row r="964">
      <c r="A964" s="108"/>
      <c r="B964" s="107"/>
      <c r="C964" s="107"/>
      <c r="D964" s="107"/>
      <c r="E964" s="107"/>
      <c r="F964" s="107"/>
      <c r="G964" s="208"/>
      <c r="H964" s="131"/>
      <c r="I964" s="211"/>
      <c r="J964" s="107"/>
      <c r="K964" s="202"/>
      <c r="L964" s="107"/>
      <c r="M964" s="107"/>
      <c r="N964" s="206"/>
      <c r="O964" s="108" t="b">
        <v>0</v>
      </c>
      <c r="P964" s="207"/>
      <c r="Q964" s="140"/>
      <c r="R964" s="140"/>
      <c r="S964" s="140"/>
      <c r="T964" s="140"/>
      <c r="U964" s="140"/>
      <c r="V964" s="140"/>
      <c r="W964" s="140"/>
      <c r="X964" s="140"/>
      <c r="Y964" s="140"/>
      <c r="Z964" s="140"/>
      <c r="AA964" s="140"/>
      <c r="AB964" s="140"/>
      <c r="AC964" s="140"/>
      <c r="AD964" s="140"/>
      <c r="AE964" s="140"/>
      <c r="AF964" s="140"/>
      <c r="AG964" s="140"/>
      <c r="AH964" s="140"/>
      <c r="AI964" s="140"/>
      <c r="AJ964" s="140"/>
      <c r="AK964" s="140"/>
      <c r="AL964" s="140"/>
      <c r="AM964" s="140"/>
      <c r="AN964" s="140"/>
      <c r="AO964" s="140"/>
      <c r="AP964" s="140"/>
      <c r="AQ964" s="140"/>
      <c r="AR964" s="140"/>
      <c r="AS964" s="140"/>
      <c r="AT964" s="140"/>
      <c r="AU964" s="140"/>
      <c r="AV964" s="140"/>
      <c r="AW964" s="140"/>
      <c r="AX964" s="140"/>
      <c r="AY964" s="140"/>
      <c r="AZ964" s="140"/>
      <c r="BA964" s="140"/>
      <c r="BB964" s="140"/>
      <c r="BC964" s="140"/>
      <c r="BD964" s="140"/>
      <c r="BE964" s="140"/>
    </row>
    <row r="965">
      <c r="A965" s="108"/>
      <c r="B965" s="107"/>
      <c r="C965" s="107"/>
      <c r="D965" s="107"/>
      <c r="E965" s="107"/>
      <c r="F965" s="107"/>
      <c r="G965" s="208"/>
      <c r="H965" s="131"/>
      <c r="I965" s="211"/>
      <c r="J965" s="107"/>
      <c r="K965" s="202"/>
      <c r="L965" s="107"/>
      <c r="M965" s="107"/>
      <c r="N965" s="206"/>
      <c r="O965" s="108" t="b">
        <v>0</v>
      </c>
      <c r="P965" s="207"/>
      <c r="Q965" s="140"/>
      <c r="R965" s="140"/>
      <c r="S965" s="140"/>
      <c r="T965" s="140"/>
      <c r="U965" s="140"/>
      <c r="V965" s="140"/>
      <c r="W965" s="140"/>
      <c r="X965" s="140"/>
      <c r="Y965" s="140"/>
      <c r="Z965" s="140"/>
      <c r="AA965" s="140"/>
      <c r="AB965" s="140"/>
      <c r="AC965" s="140"/>
      <c r="AD965" s="140"/>
      <c r="AE965" s="140"/>
      <c r="AF965" s="140"/>
      <c r="AG965" s="140"/>
      <c r="AH965" s="140"/>
      <c r="AI965" s="140"/>
      <c r="AJ965" s="140"/>
      <c r="AK965" s="140"/>
      <c r="AL965" s="140"/>
      <c r="AM965" s="140"/>
      <c r="AN965" s="140"/>
      <c r="AO965" s="140"/>
      <c r="AP965" s="140"/>
      <c r="AQ965" s="140"/>
      <c r="AR965" s="140"/>
      <c r="AS965" s="140"/>
      <c r="AT965" s="140"/>
      <c r="AU965" s="140"/>
      <c r="AV965" s="140"/>
      <c r="AW965" s="140"/>
      <c r="AX965" s="140"/>
      <c r="AY965" s="140"/>
      <c r="AZ965" s="140"/>
      <c r="BA965" s="140"/>
      <c r="BB965" s="140"/>
      <c r="BC965" s="140"/>
      <c r="BD965" s="140"/>
      <c r="BE965" s="140"/>
    </row>
    <row r="966">
      <c r="A966" s="108"/>
      <c r="B966" s="107"/>
      <c r="C966" s="107"/>
      <c r="D966" s="107"/>
      <c r="E966" s="107"/>
      <c r="F966" s="107"/>
      <c r="G966" s="208"/>
      <c r="H966" s="131"/>
      <c r="I966" s="211"/>
      <c r="J966" s="107"/>
      <c r="K966" s="202"/>
      <c r="L966" s="107"/>
      <c r="M966" s="107"/>
      <c r="N966" s="206"/>
      <c r="O966" s="108" t="b">
        <v>0</v>
      </c>
      <c r="P966" s="207"/>
      <c r="Q966" s="140"/>
      <c r="R966" s="140"/>
      <c r="S966" s="140"/>
      <c r="T966" s="140"/>
      <c r="U966" s="140"/>
      <c r="V966" s="140"/>
      <c r="W966" s="140"/>
      <c r="X966" s="140"/>
      <c r="Y966" s="140"/>
      <c r="Z966" s="140"/>
      <c r="AA966" s="140"/>
      <c r="AB966" s="140"/>
      <c r="AC966" s="140"/>
      <c r="AD966" s="140"/>
      <c r="AE966" s="140"/>
      <c r="AF966" s="140"/>
      <c r="AG966" s="140"/>
      <c r="AH966" s="140"/>
      <c r="AI966" s="140"/>
      <c r="AJ966" s="140"/>
      <c r="AK966" s="140"/>
      <c r="AL966" s="140"/>
      <c r="AM966" s="140"/>
      <c r="AN966" s="140"/>
      <c r="AO966" s="140"/>
      <c r="AP966" s="140"/>
      <c r="AQ966" s="140"/>
      <c r="AR966" s="140"/>
      <c r="AS966" s="140"/>
      <c r="AT966" s="140"/>
      <c r="AU966" s="140"/>
      <c r="AV966" s="140"/>
      <c r="AW966" s="140"/>
      <c r="AX966" s="140"/>
      <c r="AY966" s="140"/>
      <c r="AZ966" s="140"/>
      <c r="BA966" s="140"/>
      <c r="BB966" s="140"/>
      <c r="BC966" s="140"/>
      <c r="BD966" s="140"/>
      <c r="BE966" s="140"/>
    </row>
    <row r="967">
      <c r="A967" s="108"/>
      <c r="B967" s="107"/>
      <c r="C967" s="107"/>
      <c r="D967" s="107"/>
      <c r="E967" s="107"/>
      <c r="F967" s="107"/>
      <c r="G967" s="208"/>
      <c r="H967" s="131"/>
      <c r="I967" s="211"/>
      <c r="J967" s="107"/>
      <c r="K967" s="202"/>
      <c r="L967" s="107"/>
      <c r="M967" s="107"/>
      <c r="N967" s="206"/>
      <c r="O967" s="108" t="b">
        <v>0</v>
      </c>
      <c r="P967" s="207"/>
      <c r="Q967" s="140"/>
      <c r="R967" s="140"/>
      <c r="S967" s="140"/>
      <c r="T967" s="140"/>
      <c r="U967" s="140"/>
      <c r="V967" s="140"/>
      <c r="W967" s="140"/>
      <c r="X967" s="140"/>
      <c r="Y967" s="140"/>
      <c r="Z967" s="140"/>
      <c r="AA967" s="140"/>
      <c r="AB967" s="140"/>
      <c r="AC967" s="140"/>
      <c r="AD967" s="140"/>
      <c r="AE967" s="140"/>
      <c r="AF967" s="140"/>
      <c r="AG967" s="140"/>
      <c r="AH967" s="140"/>
      <c r="AI967" s="140"/>
      <c r="AJ967" s="140"/>
      <c r="AK967" s="140"/>
      <c r="AL967" s="140"/>
      <c r="AM967" s="140"/>
      <c r="AN967" s="140"/>
      <c r="AO967" s="140"/>
      <c r="AP967" s="140"/>
      <c r="AQ967" s="140"/>
      <c r="AR967" s="140"/>
      <c r="AS967" s="140"/>
      <c r="AT967" s="140"/>
      <c r="AU967" s="140"/>
      <c r="AV967" s="140"/>
      <c r="AW967" s="140"/>
      <c r="AX967" s="140"/>
      <c r="AY967" s="140"/>
      <c r="AZ967" s="140"/>
      <c r="BA967" s="140"/>
      <c r="BB967" s="140"/>
      <c r="BC967" s="140"/>
      <c r="BD967" s="140"/>
      <c r="BE967" s="140"/>
    </row>
    <row r="968">
      <c r="A968" s="108"/>
      <c r="B968" s="107"/>
      <c r="C968" s="107"/>
      <c r="D968" s="107"/>
      <c r="E968" s="107"/>
      <c r="F968" s="107"/>
      <c r="G968" s="208"/>
      <c r="H968" s="131"/>
      <c r="I968" s="211"/>
      <c r="J968" s="107"/>
      <c r="K968" s="202"/>
      <c r="L968" s="107"/>
      <c r="M968" s="107"/>
      <c r="N968" s="206"/>
      <c r="O968" s="108" t="b">
        <v>0</v>
      </c>
      <c r="P968" s="207"/>
      <c r="Q968" s="140"/>
      <c r="R968" s="140"/>
      <c r="S968" s="140"/>
      <c r="T968" s="140"/>
      <c r="U968" s="140"/>
      <c r="V968" s="140"/>
      <c r="W968" s="140"/>
      <c r="X968" s="140"/>
      <c r="Y968" s="140"/>
      <c r="Z968" s="140"/>
      <c r="AA968" s="140"/>
      <c r="AB968" s="140"/>
      <c r="AC968" s="140"/>
      <c r="AD968" s="140"/>
      <c r="AE968" s="140"/>
      <c r="AF968" s="140"/>
      <c r="AG968" s="140"/>
      <c r="AH968" s="140"/>
      <c r="AI968" s="140"/>
      <c r="AJ968" s="140"/>
      <c r="AK968" s="140"/>
      <c r="AL968" s="140"/>
      <c r="AM968" s="140"/>
      <c r="AN968" s="140"/>
      <c r="AO968" s="140"/>
      <c r="AP968" s="140"/>
      <c r="AQ968" s="140"/>
      <c r="AR968" s="140"/>
      <c r="AS968" s="140"/>
      <c r="AT968" s="140"/>
      <c r="AU968" s="140"/>
      <c r="AV968" s="140"/>
      <c r="AW968" s="140"/>
      <c r="AX968" s="140"/>
      <c r="AY968" s="140"/>
      <c r="AZ968" s="140"/>
      <c r="BA968" s="140"/>
      <c r="BB968" s="140"/>
      <c r="BC968" s="140"/>
      <c r="BD968" s="140"/>
      <c r="BE968" s="140"/>
    </row>
    <row r="969">
      <c r="A969" s="108"/>
      <c r="B969" s="107"/>
      <c r="C969" s="107"/>
      <c r="D969" s="107"/>
      <c r="E969" s="107"/>
      <c r="F969" s="107"/>
      <c r="G969" s="208"/>
      <c r="H969" s="131"/>
      <c r="I969" s="211"/>
      <c r="J969" s="107"/>
      <c r="K969" s="202"/>
      <c r="L969" s="107"/>
      <c r="M969" s="107"/>
      <c r="N969" s="206"/>
      <c r="O969" s="108" t="b">
        <v>0</v>
      </c>
      <c r="P969" s="207"/>
      <c r="Q969" s="140"/>
      <c r="R969" s="140"/>
      <c r="S969" s="140"/>
      <c r="T969" s="140"/>
      <c r="U969" s="140"/>
      <c r="V969" s="140"/>
      <c r="W969" s="140"/>
      <c r="X969" s="140"/>
      <c r="Y969" s="140"/>
      <c r="Z969" s="140"/>
      <c r="AA969" s="140"/>
      <c r="AB969" s="140"/>
      <c r="AC969" s="140"/>
      <c r="AD969" s="140"/>
      <c r="AE969" s="140"/>
      <c r="AF969" s="140"/>
      <c r="AG969" s="140"/>
      <c r="AH969" s="140"/>
      <c r="AI969" s="140"/>
      <c r="AJ969" s="140"/>
      <c r="AK969" s="140"/>
      <c r="AL969" s="140"/>
      <c r="AM969" s="140"/>
      <c r="AN969" s="140"/>
      <c r="AO969" s="140"/>
      <c r="AP969" s="140"/>
      <c r="AQ969" s="140"/>
      <c r="AR969" s="140"/>
      <c r="AS969" s="140"/>
      <c r="AT969" s="140"/>
      <c r="AU969" s="140"/>
      <c r="AV969" s="140"/>
      <c r="AW969" s="140"/>
      <c r="AX969" s="140"/>
      <c r="AY969" s="140"/>
      <c r="AZ969" s="140"/>
      <c r="BA969" s="140"/>
      <c r="BB969" s="140"/>
      <c r="BC969" s="140"/>
      <c r="BD969" s="140"/>
      <c r="BE969" s="140"/>
    </row>
    <row r="970">
      <c r="A970" s="108"/>
      <c r="B970" s="107"/>
      <c r="C970" s="107"/>
      <c r="D970" s="107"/>
      <c r="E970" s="107"/>
      <c r="F970" s="107"/>
      <c r="G970" s="208"/>
      <c r="H970" s="131"/>
      <c r="I970" s="211"/>
      <c r="J970" s="107"/>
      <c r="K970" s="202"/>
      <c r="L970" s="107"/>
      <c r="M970" s="107"/>
      <c r="N970" s="206"/>
      <c r="O970" s="108" t="b">
        <v>0</v>
      </c>
      <c r="P970" s="207"/>
      <c r="Q970" s="140"/>
      <c r="R970" s="140"/>
      <c r="S970" s="140"/>
      <c r="T970" s="140"/>
      <c r="U970" s="140"/>
      <c r="V970" s="140"/>
      <c r="W970" s="140"/>
      <c r="X970" s="140"/>
      <c r="Y970" s="140"/>
      <c r="Z970" s="140"/>
      <c r="AA970" s="140"/>
      <c r="AB970" s="140"/>
      <c r="AC970" s="140"/>
      <c r="AD970" s="140"/>
      <c r="AE970" s="140"/>
      <c r="AF970" s="140"/>
      <c r="AG970" s="140"/>
      <c r="AH970" s="140"/>
      <c r="AI970" s="140"/>
      <c r="AJ970" s="140"/>
      <c r="AK970" s="140"/>
      <c r="AL970" s="140"/>
      <c r="AM970" s="140"/>
      <c r="AN970" s="140"/>
      <c r="AO970" s="140"/>
      <c r="AP970" s="140"/>
      <c r="AQ970" s="140"/>
      <c r="AR970" s="140"/>
      <c r="AS970" s="140"/>
      <c r="AT970" s="140"/>
      <c r="AU970" s="140"/>
      <c r="AV970" s="140"/>
      <c r="AW970" s="140"/>
      <c r="AX970" s="140"/>
      <c r="AY970" s="140"/>
      <c r="AZ970" s="140"/>
      <c r="BA970" s="140"/>
      <c r="BB970" s="140"/>
      <c r="BC970" s="140"/>
      <c r="BD970" s="140"/>
      <c r="BE970" s="140"/>
    </row>
    <row r="971">
      <c r="A971" s="108"/>
      <c r="B971" s="107"/>
      <c r="C971" s="107"/>
      <c r="D971" s="107"/>
      <c r="E971" s="107"/>
      <c r="F971" s="107"/>
      <c r="G971" s="208"/>
      <c r="H971" s="131"/>
      <c r="I971" s="211"/>
      <c r="J971" s="107"/>
      <c r="K971" s="202"/>
      <c r="L971" s="107"/>
      <c r="M971" s="107"/>
      <c r="N971" s="206"/>
      <c r="O971" s="108" t="b">
        <v>0</v>
      </c>
      <c r="P971" s="207"/>
      <c r="Q971" s="140"/>
      <c r="R971" s="140"/>
      <c r="S971" s="140"/>
      <c r="T971" s="140"/>
      <c r="U971" s="140"/>
      <c r="V971" s="140"/>
      <c r="W971" s="140"/>
      <c r="X971" s="140"/>
      <c r="Y971" s="140"/>
      <c r="Z971" s="140"/>
      <c r="AA971" s="140"/>
      <c r="AB971" s="140"/>
      <c r="AC971" s="140"/>
      <c r="AD971" s="140"/>
      <c r="AE971" s="140"/>
      <c r="AF971" s="140"/>
      <c r="AG971" s="140"/>
      <c r="AH971" s="140"/>
      <c r="AI971" s="140"/>
      <c r="AJ971" s="140"/>
      <c r="AK971" s="140"/>
      <c r="AL971" s="140"/>
      <c r="AM971" s="140"/>
      <c r="AN971" s="140"/>
      <c r="AO971" s="140"/>
      <c r="AP971" s="140"/>
      <c r="AQ971" s="140"/>
      <c r="AR971" s="140"/>
      <c r="AS971" s="140"/>
      <c r="AT971" s="140"/>
      <c r="AU971" s="140"/>
      <c r="AV971" s="140"/>
      <c r="AW971" s="140"/>
      <c r="AX971" s="140"/>
      <c r="AY971" s="140"/>
      <c r="AZ971" s="140"/>
      <c r="BA971" s="140"/>
      <c r="BB971" s="140"/>
      <c r="BC971" s="140"/>
      <c r="BD971" s="140"/>
      <c r="BE971" s="140"/>
    </row>
    <row r="972">
      <c r="A972" s="108"/>
      <c r="B972" s="107"/>
      <c r="C972" s="107"/>
      <c r="D972" s="107"/>
      <c r="E972" s="107"/>
      <c r="F972" s="107"/>
      <c r="G972" s="208"/>
      <c r="H972" s="131"/>
      <c r="I972" s="211"/>
      <c r="J972" s="107"/>
      <c r="K972" s="202"/>
      <c r="L972" s="107"/>
      <c r="M972" s="107"/>
      <c r="N972" s="206"/>
      <c r="O972" s="108" t="b">
        <v>0</v>
      </c>
      <c r="P972" s="207"/>
      <c r="Q972" s="140"/>
      <c r="R972" s="140"/>
      <c r="S972" s="140"/>
      <c r="T972" s="140"/>
      <c r="U972" s="140"/>
      <c r="V972" s="140"/>
      <c r="W972" s="140"/>
      <c r="X972" s="140"/>
      <c r="Y972" s="140"/>
      <c r="Z972" s="140"/>
      <c r="AA972" s="140"/>
      <c r="AB972" s="140"/>
      <c r="AC972" s="140"/>
      <c r="AD972" s="140"/>
      <c r="AE972" s="140"/>
      <c r="AF972" s="140"/>
      <c r="AG972" s="140"/>
      <c r="AH972" s="140"/>
      <c r="AI972" s="140"/>
      <c r="AJ972" s="140"/>
      <c r="AK972" s="140"/>
      <c r="AL972" s="140"/>
      <c r="AM972" s="140"/>
      <c r="AN972" s="140"/>
      <c r="AO972" s="140"/>
      <c r="AP972" s="140"/>
      <c r="AQ972" s="140"/>
      <c r="AR972" s="140"/>
      <c r="AS972" s="140"/>
      <c r="AT972" s="140"/>
      <c r="AU972" s="140"/>
      <c r="AV972" s="140"/>
      <c r="AW972" s="140"/>
      <c r="AX972" s="140"/>
      <c r="AY972" s="140"/>
      <c r="AZ972" s="140"/>
      <c r="BA972" s="140"/>
      <c r="BB972" s="140"/>
      <c r="BC972" s="140"/>
      <c r="BD972" s="140"/>
      <c r="BE972" s="140"/>
    </row>
    <row r="973">
      <c r="A973" s="108"/>
      <c r="B973" s="107"/>
      <c r="C973" s="107"/>
      <c r="D973" s="107"/>
      <c r="E973" s="107"/>
      <c r="F973" s="107"/>
      <c r="G973" s="208"/>
      <c r="H973" s="131"/>
      <c r="I973" s="211"/>
      <c r="J973" s="107"/>
      <c r="K973" s="202"/>
      <c r="L973" s="107"/>
      <c r="M973" s="107"/>
      <c r="N973" s="206"/>
      <c r="O973" s="108" t="b">
        <v>0</v>
      </c>
      <c r="P973" s="207"/>
      <c r="Q973" s="140"/>
      <c r="R973" s="140"/>
      <c r="S973" s="140"/>
      <c r="T973" s="140"/>
      <c r="U973" s="140"/>
      <c r="V973" s="140"/>
      <c r="W973" s="140"/>
      <c r="X973" s="140"/>
      <c r="Y973" s="140"/>
      <c r="Z973" s="140"/>
      <c r="AA973" s="140"/>
      <c r="AB973" s="140"/>
      <c r="AC973" s="140"/>
      <c r="AD973" s="140"/>
      <c r="AE973" s="140"/>
      <c r="AF973" s="140"/>
      <c r="AG973" s="140"/>
      <c r="AH973" s="140"/>
      <c r="AI973" s="140"/>
      <c r="AJ973" s="140"/>
      <c r="AK973" s="140"/>
      <c r="AL973" s="140"/>
      <c r="AM973" s="140"/>
      <c r="AN973" s="140"/>
      <c r="AO973" s="140"/>
      <c r="AP973" s="140"/>
      <c r="AQ973" s="140"/>
      <c r="AR973" s="140"/>
      <c r="AS973" s="140"/>
      <c r="AT973" s="140"/>
      <c r="AU973" s="140"/>
      <c r="AV973" s="140"/>
      <c r="AW973" s="140"/>
      <c r="AX973" s="140"/>
      <c r="AY973" s="140"/>
      <c r="AZ973" s="140"/>
      <c r="BA973" s="140"/>
      <c r="BB973" s="140"/>
      <c r="BC973" s="140"/>
      <c r="BD973" s="140"/>
      <c r="BE973" s="140"/>
    </row>
    <row r="974">
      <c r="A974" s="108"/>
      <c r="B974" s="107"/>
      <c r="C974" s="107"/>
      <c r="D974" s="107"/>
      <c r="E974" s="107"/>
      <c r="F974" s="107"/>
      <c r="G974" s="208"/>
      <c r="H974" s="131"/>
      <c r="I974" s="211"/>
      <c r="J974" s="107"/>
      <c r="K974" s="202"/>
      <c r="L974" s="107"/>
      <c r="M974" s="107"/>
      <c r="N974" s="206"/>
      <c r="O974" s="108" t="b">
        <v>0</v>
      </c>
      <c r="P974" s="207"/>
      <c r="Q974" s="140"/>
      <c r="R974" s="140"/>
      <c r="S974" s="140"/>
      <c r="T974" s="140"/>
      <c r="U974" s="140"/>
      <c r="V974" s="140"/>
      <c r="W974" s="140"/>
      <c r="X974" s="140"/>
      <c r="Y974" s="140"/>
      <c r="Z974" s="140"/>
      <c r="AA974" s="140"/>
      <c r="AB974" s="140"/>
      <c r="AC974" s="140"/>
      <c r="AD974" s="140"/>
      <c r="AE974" s="140"/>
      <c r="AF974" s="140"/>
      <c r="AG974" s="140"/>
      <c r="AH974" s="140"/>
      <c r="AI974" s="140"/>
      <c r="AJ974" s="140"/>
      <c r="AK974" s="140"/>
      <c r="AL974" s="140"/>
      <c r="AM974" s="140"/>
      <c r="AN974" s="140"/>
      <c r="AO974" s="140"/>
      <c r="AP974" s="140"/>
      <c r="AQ974" s="140"/>
      <c r="AR974" s="140"/>
      <c r="AS974" s="140"/>
      <c r="AT974" s="140"/>
      <c r="AU974" s="140"/>
      <c r="AV974" s="140"/>
      <c r="AW974" s="140"/>
      <c r="AX974" s="140"/>
      <c r="AY974" s="140"/>
      <c r="AZ974" s="140"/>
      <c r="BA974" s="140"/>
      <c r="BB974" s="140"/>
      <c r="BC974" s="140"/>
      <c r="BD974" s="140"/>
      <c r="BE974" s="140"/>
    </row>
    <row r="975">
      <c r="A975" s="108"/>
      <c r="B975" s="107"/>
      <c r="C975" s="107"/>
      <c r="D975" s="107"/>
      <c r="E975" s="107"/>
      <c r="F975" s="107"/>
      <c r="G975" s="208"/>
      <c r="H975" s="131"/>
      <c r="I975" s="211"/>
      <c r="J975" s="107"/>
      <c r="K975" s="202"/>
      <c r="L975" s="107"/>
      <c r="M975" s="107"/>
      <c r="N975" s="206"/>
      <c r="O975" s="108" t="b">
        <v>0</v>
      </c>
      <c r="P975" s="207"/>
      <c r="Q975" s="140"/>
      <c r="R975" s="140"/>
      <c r="S975" s="140"/>
      <c r="T975" s="140"/>
      <c r="U975" s="140"/>
      <c r="V975" s="140"/>
      <c r="W975" s="140"/>
      <c r="X975" s="140"/>
      <c r="Y975" s="140"/>
      <c r="Z975" s="140"/>
      <c r="AA975" s="140"/>
      <c r="AB975" s="140"/>
      <c r="AC975" s="140"/>
      <c r="AD975" s="140"/>
      <c r="AE975" s="140"/>
      <c r="AF975" s="140"/>
      <c r="AG975" s="140"/>
      <c r="AH975" s="140"/>
      <c r="AI975" s="140"/>
      <c r="AJ975" s="140"/>
      <c r="AK975" s="140"/>
      <c r="AL975" s="140"/>
      <c r="AM975" s="140"/>
      <c r="AN975" s="140"/>
      <c r="AO975" s="140"/>
      <c r="AP975" s="140"/>
      <c r="AQ975" s="140"/>
      <c r="AR975" s="140"/>
      <c r="AS975" s="140"/>
      <c r="AT975" s="140"/>
      <c r="AU975" s="140"/>
      <c r="AV975" s="140"/>
      <c r="AW975" s="140"/>
      <c r="AX975" s="140"/>
      <c r="AY975" s="140"/>
      <c r="AZ975" s="140"/>
      <c r="BA975" s="140"/>
      <c r="BB975" s="140"/>
      <c r="BC975" s="140"/>
      <c r="BD975" s="140"/>
      <c r="BE975" s="140"/>
    </row>
    <row r="976">
      <c r="A976" s="108"/>
      <c r="B976" s="107"/>
      <c r="C976" s="107"/>
      <c r="D976" s="107"/>
      <c r="E976" s="107"/>
      <c r="F976" s="107"/>
      <c r="G976" s="208"/>
      <c r="H976" s="131"/>
      <c r="I976" s="211"/>
      <c r="J976" s="107"/>
      <c r="K976" s="202"/>
      <c r="L976" s="107"/>
      <c r="M976" s="107"/>
      <c r="N976" s="206"/>
      <c r="O976" s="108" t="b">
        <v>0</v>
      </c>
      <c r="P976" s="207"/>
      <c r="Q976" s="140"/>
      <c r="R976" s="140"/>
      <c r="S976" s="140"/>
      <c r="T976" s="140"/>
      <c r="U976" s="140"/>
      <c r="V976" s="140"/>
      <c r="W976" s="140"/>
      <c r="X976" s="140"/>
      <c r="Y976" s="140"/>
      <c r="Z976" s="140"/>
      <c r="AA976" s="140"/>
      <c r="AB976" s="140"/>
      <c r="AC976" s="140"/>
      <c r="AD976" s="140"/>
      <c r="AE976" s="140"/>
      <c r="AF976" s="140"/>
      <c r="AG976" s="140"/>
      <c r="AH976" s="140"/>
      <c r="AI976" s="140"/>
      <c r="AJ976" s="140"/>
      <c r="AK976" s="140"/>
      <c r="AL976" s="140"/>
      <c r="AM976" s="140"/>
      <c r="AN976" s="140"/>
      <c r="AO976" s="140"/>
      <c r="AP976" s="140"/>
      <c r="AQ976" s="140"/>
      <c r="AR976" s="140"/>
      <c r="AS976" s="140"/>
      <c r="AT976" s="140"/>
      <c r="AU976" s="140"/>
      <c r="AV976" s="140"/>
      <c r="AW976" s="140"/>
      <c r="AX976" s="140"/>
      <c r="AY976" s="140"/>
      <c r="AZ976" s="140"/>
      <c r="BA976" s="140"/>
      <c r="BB976" s="140"/>
      <c r="BC976" s="140"/>
      <c r="BD976" s="140"/>
      <c r="BE976" s="140"/>
    </row>
    <row r="977">
      <c r="A977" s="108"/>
      <c r="B977" s="107"/>
      <c r="C977" s="107"/>
      <c r="D977" s="107"/>
      <c r="E977" s="107"/>
      <c r="F977" s="107"/>
      <c r="G977" s="208"/>
      <c r="H977" s="131"/>
      <c r="I977" s="211"/>
      <c r="J977" s="107"/>
      <c r="K977" s="202"/>
      <c r="L977" s="107"/>
      <c r="M977" s="107"/>
      <c r="N977" s="206"/>
      <c r="O977" s="108" t="b">
        <v>0</v>
      </c>
      <c r="P977" s="207"/>
      <c r="Q977" s="140"/>
      <c r="R977" s="140"/>
      <c r="S977" s="140"/>
      <c r="T977" s="140"/>
      <c r="U977" s="140"/>
      <c r="V977" s="140"/>
      <c r="W977" s="140"/>
      <c r="X977" s="140"/>
      <c r="Y977" s="140"/>
      <c r="Z977" s="140"/>
      <c r="AA977" s="140"/>
      <c r="AB977" s="140"/>
      <c r="AC977" s="140"/>
      <c r="AD977" s="140"/>
      <c r="AE977" s="140"/>
      <c r="AF977" s="140"/>
      <c r="AG977" s="140"/>
      <c r="AH977" s="140"/>
      <c r="AI977" s="140"/>
      <c r="AJ977" s="140"/>
      <c r="AK977" s="140"/>
      <c r="AL977" s="140"/>
      <c r="AM977" s="140"/>
      <c r="AN977" s="140"/>
      <c r="AO977" s="140"/>
      <c r="AP977" s="140"/>
      <c r="AQ977" s="140"/>
      <c r="AR977" s="140"/>
      <c r="AS977" s="140"/>
      <c r="AT977" s="140"/>
      <c r="AU977" s="140"/>
      <c r="AV977" s="140"/>
      <c r="AW977" s="140"/>
      <c r="AX977" s="140"/>
      <c r="AY977" s="140"/>
      <c r="AZ977" s="140"/>
      <c r="BA977" s="140"/>
      <c r="BB977" s="140"/>
      <c r="BC977" s="140"/>
      <c r="BD977" s="140"/>
      <c r="BE977" s="140"/>
    </row>
    <row r="978">
      <c r="A978" s="108"/>
      <c r="B978" s="107"/>
      <c r="C978" s="107"/>
      <c r="D978" s="107"/>
      <c r="E978" s="107"/>
      <c r="F978" s="107"/>
      <c r="G978" s="208"/>
      <c r="H978" s="131"/>
      <c r="I978" s="211"/>
      <c r="J978" s="107"/>
      <c r="K978" s="202"/>
      <c r="L978" s="107"/>
      <c r="M978" s="107"/>
      <c r="N978" s="206"/>
      <c r="O978" s="108" t="b">
        <v>0</v>
      </c>
      <c r="P978" s="207"/>
      <c r="Q978" s="140"/>
      <c r="R978" s="140"/>
      <c r="S978" s="140"/>
      <c r="T978" s="140"/>
      <c r="U978" s="140"/>
      <c r="V978" s="140"/>
      <c r="W978" s="140"/>
      <c r="X978" s="140"/>
      <c r="Y978" s="140"/>
      <c r="Z978" s="140"/>
      <c r="AA978" s="140"/>
      <c r="AB978" s="140"/>
      <c r="AC978" s="140"/>
      <c r="AD978" s="140"/>
      <c r="AE978" s="140"/>
      <c r="AF978" s="140"/>
      <c r="AG978" s="140"/>
      <c r="AH978" s="140"/>
      <c r="AI978" s="140"/>
      <c r="AJ978" s="140"/>
      <c r="AK978" s="140"/>
      <c r="AL978" s="140"/>
      <c r="AM978" s="140"/>
      <c r="AN978" s="140"/>
      <c r="AO978" s="140"/>
      <c r="AP978" s="140"/>
      <c r="AQ978" s="140"/>
      <c r="AR978" s="140"/>
      <c r="AS978" s="140"/>
      <c r="AT978" s="140"/>
      <c r="AU978" s="140"/>
      <c r="AV978" s="140"/>
      <c r="AW978" s="140"/>
      <c r="AX978" s="140"/>
      <c r="AY978" s="140"/>
      <c r="AZ978" s="140"/>
      <c r="BA978" s="140"/>
      <c r="BB978" s="140"/>
      <c r="BC978" s="140"/>
      <c r="BD978" s="140"/>
      <c r="BE978" s="140"/>
    </row>
    <row r="979">
      <c r="A979" s="108"/>
      <c r="B979" s="107"/>
      <c r="C979" s="107"/>
      <c r="D979" s="107"/>
      <c r="E979" s="107"/>
      <c r="F979" s="107"/>
      <c r="G979" s="208"/>
      <c r="H979" s="131"/>
      <c r="I979" s="211"/>
      <c r="J979" s="107"/>
      <c r="K979" s="202"/>
      <c r="L979" s="107"/>
      <c r="M979" s="107"/>
      <c r="N979" s="206"/>
      <c r="O979" s="108" t="b">
        <v>0</v>
      </c>
      <c r="P979" s="207"/>
      <c r="Q979" s="140"/>
      <c r="R979" s="140"/>
      <c r="S979" s="140"/>
      <c r="T979" s="140"/>
      <c r="U979" s="140"/>
      <c r="V979" s="140"/>
      <c r="W979" s="140"/>
      <c r="X979" s="140"/>
      <c r="Y979" s="140"/>
      <c r="Z979" s="140"/>
      <c r="AA979" s="140"/>
      <c r="AB979" s="140"/>
      <c r="AC979" s="140"/>
      <c r="AD979" s="140"/>
      <c r="AE979" s="140"/>
      <c r="AF979" s="140"/>
      <c r="AG979" s="140"/>
      <c r="AH979" s="140"/>
      <c r="AI979" s="140"/>
      <c r="AJ979" s="140"/>
      <c r="AK979" s="140"/>
      <c r="AL979" s="140"/>
      <c r="AM979" s="140"/>
      <c r="AN979" s="140"/>
      <c r="AO979" s="140"/>
      <c r="AP979" s="140"/>
      <c r="AQ979" s="140"/>
      <c r="AR979" s="140"/>
      <c r="AS979" s="140"/>
      <c r="AT979" s="140"/>
      <c r="AU979" s="140"/>
      <c r="AV979" s="140"/>
      <c r="AW979" s="140"/>
      <c r="AX979" s="140"/>
      <c r="AY979" s="140"/>
      <c r="AZ979" s="140"/>
      <c r="BA979" s="140"/>
      <c r="BB979" s="140"/>
      <c r="BC979" s="140"/>
      <c r="BD979" s="140"/>
      <c r="BE979" s="140"/>
    </row>
    <row r="980">
      <c r="A980" s="108"/>
      <c r="B980" s="107"/>
      <c r="C980" s="107"/>
      <c r="D980" s="107"/>
      <c r="E980" s="107"/>
      <c r="F980" s="107"/>
      <c r="G980" s="208"/>
      <c r="H980" s="131"/>
      <c r="I980" s="211"/>
      <c r="J980" s="107"/>
      <c r="K980" s="202"/>
      <c r="L980" s="107"/>
      <c r="M980" s="107"/>
      <c r="N980" s="206"/>
      <c r="O980" s="108" t="b">
        <v>0</v>
      </c>
      <c r="P980" s="207"/>
      <c r="Q980" s="140"/>
      <c r="R980" s="140"/>
      <c r="S980" s="140"/>
      <c r="T980" s="140"/>
      <c r="U980" s="140"/>
      <c r="V980" s="140"/>
      <c r="W980" s="140"/>
      <c r="X980" s="140"/>
      <c r="Y980" s="140"/>
      <c r="Z980" s="140"/>
      <c r="AA980" s="140"/>
      <c r="AB980" s="140"/>
      <c r="AC980" s="140"/>
      <c r="AD980" s="140"/>
      <c r="AE980" s="140"/>
      <c r="AF980" s="140"/>
      <c r="AG980" s="140"/>
      <c r="AH980" s="140"/>
      <c r="AI980" s="140"/>
      <c r="AJ980" s="140"/>
      <c r="AK980" s="140"/>
      <c r="AL980" s="140"/>
      <c r="AM980" s="140"/>
      <c r="AN980" s="140"/>
      <c r="AO980" s="140"/>
      <c r="AP980" s="140"/>
      <c r="AQ980" s="140"/>
      <c r="AR980" s="140"/>
      <c r="AS980" s="140"/>
      <c r="AT980" s="140"/>
      <c r="AU980" s="140"/>
      <c r="AV980" s="140"/>
      <c r="AW980" s="140"/>
      <c r="AX980" s="140"/>
      <c r="AY980" s="140"/>
      <c r="AZ980" s="140"/>
      <c r="BA980" s="140"/>
      <c r="BB980" s="140"/>
      <c r="BC980" s="140"/>
      <c r="BD980" s="140"/>
      <c r="BE980" s="140"/>
    </row>
    <row r="981">
      <c r="A981" s="108"/>
      <c r="B981" s="107"/>
      <c r="C981" s="107"/>
      <c r="D981" s="107"/>
      <c r="E981" s="107"/>
      <c r="F981" s="107"/>
      <c r="G981" s="208"/>
      <c r="H981" s="131"/>
      <c r="I981" s="211"/>
      <c r="J981" s="107"/>
      <c r="K981" s="202"/>
      <c r="L981" s="107"/>
      <c r="M981" s="107"/>
      <c r="N981" s="206"/>
      <c r="O981" s="108" t="b">
        <v>0</v>
      </c>
      <c r="P981" s="207"/>
      <c r="Q981" s="140"/>
      <c r="R981" s="140"/>
      <c r="S981" s="140"/>
      <c r="T981" s="140"/>
      <c r="U981" s="140"/>
      <c r="V981" s="140"/>
      <c r="W981" s="140"/>
      <c r="X981" s="140"/>
      <c r="Y981" s="140"/>
      <c r="Z981" s="140"/>
      <c r="AA981" s="140"/>
      <c r="AB981" s="140"/>
      <c r="AC981" s="140"/>
      <c r="AD981" s="140"/>
      <c r="AE981" s="140"/>
      <c r="AF981" s="140"/>
      <c r="AG981" s="140"/>
      <c r="AH981" s="140"/>
      <c r="AI981" s="140"/>
      <c r="AJ981" s="140"/>
      <c r="AK981" s="140"/>
      <c r="AL981" s="140"/>
      <c r="AM981" s="140"/>
      <c r="AN981" s="140"/>
      <c r="AO981" s="140"/>
      <c r="AP981" s="140"/>
      <c r="AQ981" s="140"/>
      <c r="AR981" s="140"/>
      <c r="AS981" s="140"/>
      <c r="AT981" s="140"/>
      <c r="AU981" s="140"/>
      <c r="AV981" s="140"/>
      <c r="AW981" s="140"/>
      <c r="AX981" s="140"/>
      <c r="AY981" s="140"/>
      <c r="AZ981" s="140"/>
      <c r="BA981" s="140"/>
      <c r="BB981" s="140"/>
      <c r="BC981" s="140"/>
      <c r="BD981" s="140"/>
      <c r="BE981" s="140"/>
    </row>
    <row r="982">
      <c r="A982" s="108"/>
      <c r="B982" s="107"/>
      <c r="C982" s="107"/>
      <c r="D982" s="107"/>
      <c r="E982" s="107"/>
      <c r="F982" s="107"/>
      <c r="G982" s="208"/>
      <c r="H982" s="131"/>
      <c r="I982" s="211"/>
      <c r="J982" s="107"/>
      <c r="K982" s="202"/>
      <c r="L982" s="107"/>
      <c r="M982" s="107"/>
      <c r="N982" s="206"/>
      <c r="O982" s="108" t="b">
        <v>0</v>
      </c>
      <c r="P982" s="207"/>
      <c r="Q982" s="140"/>
      <c r="R982" s="140"/>
      <c r="S982" s="140"/>
      <c r="T982" s="140"/>
      <c r="U982" s="140"/>
      <c r="V982" s="140"/>
      <c r="W982" s="140"/>
      <c r="X982" s="140"/>
      <c r="Y982" s="140"/>
      <c r="Z982" s="140"/>
      <c r="AA982" s="140"/>
      <c r="AB982" s="140"/>
      <c r="AC982" s="140"/>
      <c r="AD982" s="140"/>
      <c r="AE982" s="140"/>
      <c r="AF982" s="140"/>
      <c r="AG982" s="140"/>
      <c r="AH982" s="140"/>
      <c r="AI982" s="140"/>
      <c r="AJ982" s="140"/>
      <c r="AK982" s="140"/>
      <c r="AL982" s="140"/>
      <c r="AM982" s="140"/>
      <c r="AN982" s="140"/>
      <c r="AO982" s="140"/>
      <c r="AP982" s="140"/>
      <c r="AQ982" s="140"/>
      <c r="AR982" s="140"/>
      <c r="AS982" s="140"/>
      <c r="AT982" s="140"/>
      <c r="AU982" s="140"/>
      <c r="AV982" s="140"/>
      <c r="AW982" s="140"/>
      <c r="AX982" s="140"/>
      <c r="AY982" s="140"/>
      <c r="AZ982" s="140"/>
      <c r="BA982" s="140"/>
      <c r="BB982" s="140"/>
      <c r="BC982" s="140"/>
      <c r="BD982" s="140"/>
      <c r="BE982" s="140"/>
    </row>
    <row r="983">
      <c r="A983" s="108"/>
      <c r="B983" s="107"/>
      <c r="C983" s="107"/>
      <c r="D983" s="107"/>
      <c r="E983" s="107"/>
      <c r="F983" s="107"/>
      <c r="G983" s="208"/>
      <c r="H983" s="131"/>
      <c r="I983" s="211"/>
      <c r="J983" s="107"/>
      <c r="K983" s="202"/>
      <c r="L983" s="107"/>
      <c r="M983" s="107"/>
      <c r="N983" s="206"/>
      <c r="O983" s="108" t="b">
        <v>0</v>
      </c>
      <c r="P983" s="207"/>
      <c r="Q983" s="140"/>
      <c r="R983" s="140"/>
      <c r="S983" s="140"/>
      <c r="T983" s="140"/>
      <c r="U983" s="140"/>
      <c r="V983" s="140"/>
      <c r="W983" s="140"/>
      <c r="X983" s="140"/>
      <c r="Y983" s="140"/>
      <c r="Z983" s="140"/>
      <c r="AA983" s="140"/>
      <c r="AB983" s="140"/>
      <c r="AC983" s="140"/>
      <c r="AD983" s="140"/>
      <c r="AE983" s="140"/>
      <c r="AF983" s="140"/>
      <c r="AG983" s="140"/>
      <c r="AH983" s="140"/>
      <c r="AI983" s="140"/>
      <c r="AJ983" s="140"/>
      <c r="AK983" s="140"/>
      <c r="AL983" s="140"/>
      <c r="AM983" s="140"/>
      <c r="AN983" s="140"/>
      <c r="AO983" s="140"/>
      <c r="AP983" s="140"/>
      <c r="AQ983" s="140"/>
      <c r="AR983" s="140"/>
      <c r="AS983" s="140"/>
      <c r="AT983" s="140"/>
      <c r="AU983" s="140"/>
      <c r="AV983" s="140"/>
      <c r="AW983" s="140"/>
      <c r="AX983" s="140"/>
      <c r="AY983" s="140"/>
      <c r="AZ983" s="140"/>
      <c r="BA983" s="140"/>
      <c r="BB983" s="140"/>
      <c r="BC983" s="140"/>
      <c r="BD983" s="140"/>
      <c r="BE983" s="140"/>
    </row>
    <row r="984">
      <c r="A984" s="108"/>
      <c r="B984" s="107"/>
      <c r="C984" s="107"/>
      <c r="D984" s="107"/>
      <c r="E984" s="107"/>
      <c r="F984" s="107"/>
      <c r="G984" s="208"/>
      <c r="H984" s="131"/>
      <c r="I984" s="211"/>
      <c r="J984" s="107"/>
      <c r="K984" s="202"/>
      <c r="L984" s="107"/>
      <c r="M984" s="107"/>
      <c r="N984" s="206"/>
      <c r="O984" s="108" t="b">
        <v>0</v>
      </c>
      <c r="P984" s="207"/>
      <c r="Q984" s="140"/>
      <c r="R984" s="140"/>
      <c r="S984" s="140"/>
      <c r="T984" s="140"/>
      <c r="U984" s="140"/>
      <c r="V984" s="140"/>
      <c r="W984" s="140"/>
      <c r="X984" s="140"/>
      <c r="Y984" s="140"/>
      <c r="Z984" s="140"/>
      <c r="AA984" s="140"/>
      <c r="AB984" s="140"/>
      <c r="AC984" s="140"/>
      <c r="AD984" s="140"/>
      <c r="AE984" s="140"/>
      <c r="AF984" s="140"/>
      <c r="AG984" s="140"/>
      <c r="AH984" s="140"/>
      <c r="AI984" s="140"/>
      <c r="AJ984" s="140"/>
      <c r="AK984" s="140"/>
      <c r="AL984" s="140"/>
      <c r="AM984" s="140"/>
      <c r="AN984" s="140"/>
      <c r="AO984" s="140"/>
      <c r="AP984" s="140"/>
      <c r="AQ984" s="140"/>
      <c r="AR984" s="140"/>
      <c r="AS984" s="140"/>
      <c r="AT984" s="140"/>
      <c r="AU984" s="140"/>
      <c r="AV984" s="140"/>
      <c r="AW984" s="140"/>
      <c r="AX984" s="140"/>
      <c r="AY984" s="140"/>
      <c r="AZ984" s="140"/>
      <c r="BA984" s="140"/>
      <c r="BB984" s="140"/>
      <c r="BC984" s="140"/>
      <c r="BD984" s="140"/>
      <c r="BE984" s="140"/>
    </row>
    <row r="985">
      <c r="A985" s="108"/>
      <c r="B985" s="107"/>
      <c r="C985" s="107"/>
      <c r="D985" s="107"/>
      <c r="E985" s="107"/>
      <c r="F985" s="107"/>
      <c r="G985" s="208"/>
      <c r="H985" s="131"/>
      <c r="I985" s="211"/>
      <c r="J985" s="107"/>
      <c r="K985" s="202"/>
      <c r="L985" s="107"/>
      <c r="M985" s="107"/>
      <c r="N985" s="206"/>
      <c r="O985" s="108" t="b">
        <v>0</v>
      </c>
      <c r="P985" s="207"/>
      <c r="Q985" s="140"/>
      <c r="R985" s="140"/>
      <c r="S985" s="140"/>
      <c r="T985" s="140"/>
      <c r="U985" s="140"/>
      <c r="V985" s="140"/>
      <c r="W985" s="140"/>
      <c r="X985" s="140"/>
      <c r="Y985" s="140"/>
      <c r="Z985" s="140"/>
      <c r="AA985" s="140"/>
      <c r="AB985" s="140"/>
      <c r="AC985" s="140"/>
      <c r="AD985" s="140"/>
      <c r="AE985" s="140"/>
      <c r="AF985" s="140"/>
      <c r="AG985" s="140"/>
      <c r="AH985" s="140"/>
      <c r="AI985" s="140"/>
      <c r="AJ985" s="140"/>
      <c r="AK985" s="140"/>
      <c r="AL985" s="140"/>
      <c r="AM985" s="140"/>
      <c r="AN985" s="140"/>
      <c r="AO985" s="140"/>
      <c r="AP985" s="140"/>
      <c r="AQ985" s="140"/>
      <c r="AR985" s="140"/>
      <c r="AS985" s="140"/>
      <c r="AT985" s="140"/>
      <c r="AU985" s="140"/>
      <c r="AV985" s="140"/>
      <c r="AW985" s="140"/>
      <c r="AX985" s="140"/>
      <c r="AY985" s="140"/>
      <c r="AZ985" s="140"/>
      <c r="BA985" s="140"/>
      <c r="BB985" s="140"/>
      <c r="BC985" s="140"/>
      <c r="BD985" s="140"/>
      <c r="BE985" s="140"/>
    </row>
    <row r="986">
      <c r="A986" s="108"/>
      <c r="B986" s="107"/>
      <c r="C986" s="107"/>
      <c r="D986" s="107"/>
      <c r="E986" s="107"/>
      <c r="F986" s="107"/>
      <c r="G986" s="208"/>
      <c r="H986" s="131"/>
      <c r="I986" s="211"/>
      <c r="J986" s="107"/>
      <c r="K986" s="202"/>
      <c r="L986" s="107"/>
      <c r="M986" s="107"/>
      <c r="N986" s="206"/>
      <c r="O986" s="108" t="b">
        <v>0</v>
      </c>
      <c r="P986" s="207"/>
      <c r="Q986" s="140"/>
      <c r="R986" s="140"/>
      <c r="S986" s="140"/>
      <c r="T986" s="140"/>
      <c r="U986" s="140"/>
      <c r="V986" s="140"/>
      <c r="W986" s="140"/>
      <c r="X986" s="140"/>
      <c r="Y986" s="140"/>
      <c r="Z986" s="140"/>
      <c r="AA986" s="140"/>
      <c r="AB986" s="140"/>
      <c r="AC986" s="140"/>
      <c r="AD986" s="140"/>
      <c r="AE986" s="140"/>
      <c r="AF986" s="140"/>
      <c r="AG986" s="140"/>
      <c r="AH986" s="140"/>
      <c r="AI986" s="140"/>
      <c r="AJ986" s="140"/>
      <c r="AK986" s="140"/>
      <c r="AL986" s="140"/>
      <c r="AM986" s="140"/>
      <c r="AN986" s="140"/>
      <c r="AO986" s="140"/>
      <c r="AP986" s="140"/>
      <c r="AQ986" s="140"/>
      <c r="AR986" s="140"/>
      <c r="AS986" s="140"/>
      <c r="AT986" s="140"/>
      <c r="AU986" s="140"/>
      <c r="AV986" s="140"/>
      <c r="AW986" s="140"/>
      <c r="AX986" s="140"/>
      <c r="AY986" s="140"/>
      <c r="AZ986" s="140"/>
      <c r="BA986" s="140"/>
      <c r="BB986" s="140"/>
      <c r="BC986" s="140"/>
      <c r="BD986" s="140"/>
      <c r="BE986" s="140"/>
    </row>
    <row r="987">
      <c r="A987" s="108"/>
      <c r="B987" s="107"/>
      <c r="C987" s="107"/>
      <c r="D987" s="107"/>
      <c r="E987" s="107"/>
      <c r="F987" s="107"/>
      <c r="G987" s="208"/>
      <c r="H987" s="131"/>
      <c r="I987" s="211"/>
      <c r="J987" s="107"/>
      <c r="K987" s="202"/>
      <c r="L987" s="107"/>
      <c r="M987" s="107"/>
      <c r="N987" s="206"/>
      <c r="O987" s="108" t="b">
        <v>0</v>
      </c>
      <c r="P987" s="207"/>
      <c r="Q987" s="140"/>
      <c r="R987" s="140"/>
      <c r="S987" s="140"/>
      <c r="T987" s="140"/>
      <c r="U987" s="140"/>
      <c r="V987" s="140"/>
      <c r="W987" s="140"/>
      <c r="X987" s="140"/>
      <c r="Y987" s="140"/>
      <c r="Z987" s="140"/>
      <c r="AA987" s="140"/>
      <c r="AB987" s="140"/>
      <c r="AC987" s="140"/>
      <c r="AD987" s="140"/>
      <c r="AE987" s="140"/>
      <c r="AF987" s="140"/>
      <c r="AG987" s="140"/>
      <c r="AH987" s="140"/>
      <c r="AI987" s="140"/>
      <c r="AJ987" s="140"/>
      <c r="AK987" s="140"/>
      <c r="AL987" s="140"/>
      <c r="AM987" s="140"/>
      <c r="AN987" s="140"/>
      <c r="AO987" s="140"/>
      <c r="AP987" s="140"/>
      <c r="AQ987" s="140"/>
      <c r="AR987" s="140"/>
      <c r="AS987" s="140"/>
      <c r="AT987" s="140"/>
      <c r="AU987" s="140"/>
      <c r="AV987" s="140"/>
      <c r="AW987" s="140"/>
      <c r="AX987" s="140"/>
      <c r="AY987" s="140"/>
      <c r="AZ987" s="140"/>
      <c r="BA987" s="140"/>
      <c r="BB987" s="140"/>
      <c r="BC987" s="140"/>
      <c r="BD987" s="140"/>
      <c r="BE987" s="140"/>
    </row>
    <row r="988">
      <c r="A988" s="108"/>
      <c r="B988" s="107"/>
      <c r="C988" s="107"/>
      <c r="D988" s="107"/>
      <c r="E988" s="107"/>
      <c r="F988" s="107"/>
      <c r="G988" s="208"/>
      <c r="H988" s="131"/>
      <c r="I988" s="211"/>
      <c r="J988" s="107"/>
      <c r="K988" s="202"/>
      <c r="L988" s="107"/>
      <c r="M988" s="107"/>
      <c r="N988" s="206"/>
      <c r="O988" s="108" t="b">
        <v>0</v>
      </c>
      <c r="P988" s="207"/>
      <c r="Q988" s="140"/>
      <c r="R988" s="140"/>
      <c r="S988" s="140"/>
      <c r="T988" s="140"/>
      <c r="U988" s="140"/>
      <c r="V988" s="140"/>
      <c r="W988" s="140"/>
      <c r="X988" s="140"/>
      <c r="Y988" s="140"/>
      <c r="Z988" s="140"/>
      <c r="AA988" s="140"/>
      <c r="AB988" s="140"/>
      <c r="AC988" s="140"/>
      <c r="AD988" s="140"/>
      <c r="AE988" s="140"/>
      <c r="AF988" s="140"/>
      <c r="AG988" s="140"/>
      <c r="AH988" s="140"/>
      <c r="AI988" s="140"/>
      <c r="AJ988" s="140"/>
      <c r="AK988" s="140"/>
      <c r="AL988" s="140"/>
      <c r="AM988" s="140"/>
      <c r="AN988" s="140"/>
      <c r="AO988" s="140"/>
      <c r="AP988" s="140"/>
      <c r="AQ988" s="140"/>
      <c r="AR988" s="140"/>
      <c r="AS988" s="140"/>
      <c r="AT988" s="140"/>
      <c r="AU988" s="140"/>
      <c r="AV988" s="140"/>
      <c r="AW988" s="140"/>
      <c r="AX988" s="140"/>
      <c r="AY988" s="140"/>
      <c r="AZ988" s="140"/>
      <c r="BA988" s="140"/>
      <c r="BB988" s="140"/>
      <c r="BC988" s="140"/>
      <c r="BD988" s="140"/>
      <c r="BE988" s="140"/>
    </row>
    <row r="989">
      <c r="A989" s="108"/>
      <c r="B989" s="107"/>
      <c r="C989" s="107"/>
      <c r="D989" s="107"/>
      <c r="E989" s="107"/>
      <c r="F989" s="107"/>
      <c r="G989" s="208"/>
      <c r="H989" s="131"/>
      <c r="I989" s="211"/>
      <c r="J989" s="107"/>
      <c r="K989" s="202"/>
      <c r="L989" s="107"/>
      <c r="M989" s="107"/>
      <c r="N989" s="206"/>
      <c r="O989" s="108" t="b">
        <v>0</v>
      </c>
      <c r="P989" s="207"/>
      <c r="Q989" s="140"/>
      <c r="R989" s="140"/>
      <c r="S989" s="140"/>
      <c r="T989" s="140"/>
      <c r="U989" s="140"/>
      <c r="V989" s="140"/>
      <c r="W989" s="140"/>
      <c r="X989" s="140"/>
      <c r="Y989" s="140"/>
      <c r="Z989" s="140"/>
      <c r="AA989" s="140"/>
      <c r="AB989" s="140"/>
      <c r="AC989" s="140"/>
      <c r="AD989" s="140"/>
      <c r="AE989" s="140"/>
      <c r="AF989" s="140"/>
      <c r="AG989" s="140"/>
      <c r="AH989" s="140"/>
      <c r="AI989" s="140"/>
      <c r="AJ989" s="140"/>
      <c r="AK989" s="140"/>
      <c r="AL989" s="140"/>
      <c r="AM989" s="140"/>
      <c r="AN989" s="140"/>
      <c r="AO989" s="140"/>
      <c r="AP989" s="140"/>
      <c r="AQ989" s="140"/>
      <c r="AR989" s="140"/>
      <c r="AS989" s="140"/>
      <c r="AT989" s="140"/>
      <c r="AU989" s="140"/>
      <c r="AV989" s="140"/>
      <c r="AW989" s="140"/>
      <c r="AX989" s="140"/>
      <c r="AY989" s="140"/>
      <c r="AZ989" s="140"/>
      <c r="BA989" s="140"/>
      <c r="BB989" s="140"/>
      <c r="BC989" s="140"/>
      <c r="BD989" s="140"/>
      <c r="BE989" s="140"/>
    </row>
    <row r="990">
      <c r="A990" s="108"/>
      <c r="B990" s="107"/>
      <c r="C990" s="107"/>
      <c r="D990" s="107"/>
      <c r="E990" s="107"/>
      <c r="F990" s="107"/>
      <c r="G990" s="208"/>
      <c r="H990" s="131"/>
      <c r="I990" s="211"/>
      <c r="J990" s="107"/>
      <c r="K990" s="202"/>
      <c r="L990" s="107"/>
      <c r="M990" s="107"/>
      <c r="N990" s="206"/>
      <c r="O990" s="108" t="b">
        <v>0</v>
      </c>
      <c r="P990" s="207"/>
      <c r="Q990" s="140"/>
      <c r="R990" s="140"/>
      <c r="S990" s="140"/>
      <c r="T990" s="140"/>
      <c r="U990" s="140"/>
      <c r="V990" s="140"/>
      <c r="W990" s="140"/>
      <c r="X990" s="140"/>
      <c r="Y990" s="140"/>
      <c r="Z990" s="140"/>
      <c r="AA990" s="140"/>
      <c r="AB990" s="140"/>
      <c r="AC990" s="140"/>
      <c r="AD990" s="140"/>
      <c r="AE990" s="140"/>
      <c r="AF990" s="140"/>
      <c r="AG990" s="140"/>
      <c r="AH990" s="140"/>
      <c r="AI990" s="140"/>
      <c r="AJ990" s="140"/>
      <c r="AK990" s="140"/>
      <c r="AL990" s="140"/>
      <c r="AM990" s="140"/>
      <c r="AN990" s="140"/>
      <c r="AO990" s="140"/>
      <c r="AP990" s="140"/>
      <c r="AQ990" s="140"/>
      <c r="AR990" s="140"/>
      <c r="AS990" s="140"/>
      <c r="AT990" s="140"/>
      <c r="AU990" s="140"/>
      <c r="AV990" s="140"/>
      <c r="AW990" s="140"/>
      <c r="AX990" s="140"/>
      <c r="AY990" s="140"/>
      <c r="AZ990" s="140"/>
      <c r="BA990" s="140"/>
      <c r="BB990" s="140"/>
      <c r="BC990" s="140"/>
      <c r="BD990" s="140"/>
      <c r="BE990" s="140"/>
    </row>
    <row r="991">
      <c r="A991" s="108"/>
      <c r="B991" s="107"/>
      <c r="C991" s="107"/>
      <c r="D991" s="107"/>
      <c r="E991" s="107"/>
      <c r="F991" s="107"/>
      <c r="G991" s="208"/>
      <c r="H991" s="131"/>
      <c r="I991" s="211"/>
      <c r="J991" s="107"/>
      <c r="K991" s="202"/>
      <c r="L991" s="107"/>
      <c r="M991" s="107"/>
      <c r="N991" s="206"/>
      <c r="O991" s="108" t="b">
        <v>0</v>
      </c>
      <c r="P991" s="207"/>
      <c r="Q991" s="140"/>
      <c r="R991" s="140"/>
      <c r="S991" s="140"/>
      <c r="T991" s="140"/>
      <c r="U991" s="140"/>
      <c r="V991" s="140"/>
      <c r="W991" s="140"/>
      <c r="X991" s="140"/>
      <c r="Y991" s="140"/>
      <c r="Z991" s="140"/>
      <c r="AA991" s="140"/>
      <c r="AB991" s="140"/>
      <c r="AC991" s="140"/>
      <c r="AD991" s="140"/>
      <c r="AE991" s="140"/>
      <c r="AF991" s="140"/>
      <c r="AG991" s="140"/>
      <c r="AH991" s="140"/>
      <c r="AI991" s="140"/>
      <c r="AJ991" s="140"/>
      <c r="AK991" s="140"/>
      <c r="AL991" s="140"/>
      <c r="AM991" s="140"/>
      <c r="AN991" s="140"/>
      <c r="AO991" s="140"/>
      <c r="AP991" s="140"/>
      <c r="AQ991" s="140"/>
      <c r="AR991" s="140"/>
      <c r="AS991" s="140"/>
      <c r="AT991" s="140"/>
      <c r="AU991" s="140"/>
      <c r="AV991" s="140"/>
      <c r="AW991" s="140"/>
      <c r="AX991" s="140"/>
      <c r="AY991" s="140"/>
      <c r="AZ991" s="140"/>
      <c r="BA991" s="140"/>
      <c r="BB991" s="140"/>
      <c r="BC991" s="140"/>
      <c r="BD991" s="140"/>
      <c r="BE991" s="140"/>
    </row>
    <row r="992">
      <c r="A992" s="108"/>
      <c r="B992" s="107"/>
      <c r="C992" s="107"/>
      <c r="D992" s="107"/>
      <c r="E992" s="107"/>
      <c r="F992" s="107"/>
      <c r="G992" s="208"/>
      <c r="H992" s="131"/>
      <c r="I992" s="211"/>
      <c r="J992" s="107"/>
      <c r="K992" s="202"/>
      <c r="L992" s="107"/>
      <c r="M992" s="107"/>
      <c r="N992" s="206"/>
      <c r="O992" s="108" t="b">
        <v>0</v>
      </c>
      <c r="P992" s="207"/>
      <c r="Q992" s="140"/>
      <c r="R992" s="140"/>
      <c r="S992" s="140"/>
      <c r="T992" s="140"/>
      <c r="U992" s="140"/>
      <c r="V992" s="140"/>
      <c r="W992" s="140"/>
      <c r="X992" s="140"/>
      <c r="Y992" s="140"/>
      <c r="Z992" s="140"/>
      <c r="AA992" s="140"/>
      <c r="AB992" s="140"/>
      <c r="AC992" s="140"/>
      <c r="AD992" s="140"/>
      <c r="AE992" s="140"/>
      <c r="AF992" s="140"/>
      <c r="AG992" s="140"/>
      <c r="AH992" s="140"/>
      <c r="AI992" s="140"/>
      <c r="AJ992" s="140"/>
      <c r="AK992" s="140"/>
      <c r="AL992" s="140"/>
      <c r="AM992" s="140"/>
      <c r="AN992" s="140"/>
      <c r="AO992" s="140"/>
      <c r="AP992" s="140"/>
      <c r="AQ992" s="140"/>
      <c r="AR992" s="140"/>
      <c r="AS992" s="140"/>
      <c r="AT992" s="140"/>
      <c r="AU992" s="140"/>
      <c r="AV992" s="140"/>
      <c r="AW992" s="140"/>
      <c r="AX992" s="140"/>
      <c r="AY992" s="140"/>
      <c r="AZ992" s="140"/>
      <c r="BA992" s="140"/>
      <c r="BB992" s="140"/>
      <c r="BC992" s="140"/>
      <c r="BD992" s="140"/>
      <c r="BE992" s="140"/>
    </row>
    <row r="993">
      <c r="A993" s="108"/>
      <c r="B993" s="107"/>
      <c r="C993" s="107"/>
      <c r="D993" s="107"/>
      <c r="E993" s="107"/>
      <c r="F993" s="107"/>
      <c r="G993" s="208"/>
      <c r="H993" s="131"/>
      <c r="I993" s="211"/>
      <c r="J993" s="107"/>
      <c r="K993" s="202"/>
      <c r="L993" s="107"/>
      <c r="M993" s="107"/>
      <c r="N993" s="206"/>
      <c r="O993" s="108" t="b">
        <v>0</v>
      </c>
      <c r="P993" s="207"/>
      <c r="Q993" s="140"/>
      <c r="R993" s="140"/>
      <c r="S993" s="140"/>
      <c r="T993" s="140"/>
      <c r="U993" s="140"/>
      <c r="V993" s="140"/>
      <c r="W993" s="140"/>
      <c r="X993" s="140"/>
      <c r="Y993" s="140"/>
      <c r="Z993" s="140"/>
      <c r="AA993" s="140"/>
      <c r="AB993" s="140"/>
      <c r="AC993" s="140"/>
      <c r="AD993" s="140"/>
      <c r="AE993" s="140"/>
      <c r="AF993" s="140"/>
      <c r="AG993" s="140"/>
      <c r="AH993" s="140"/>
      <c r="AI993" s="140"/>
      <c r="AJ993" s="140"/>
      <c r="AK993" s="140"/>
      <c r="AL993" s="140"/>
      <c r="AM993" s="140"/>
      <c r="AN993" s="140"/>
      <c r="AO993" s="140"/>
      <c r="AP993" s="140"/>
      <c r="AQ993" s="140"/>
      <c r="AR993" s="140"/>
      <c r="AS993" s="140"/>
      <c r="AT993" s="140"/>
      <c r="AU993" s="140"/>
      <c r="AV993" s="140"/>
      <c r="AW993" s="140"/>
      <c r="AX993" s="140"/>
      <c r="AY993" s="140"/>
      <c r="AZ993" s="140"/>
      <c r="BA993" s="140"/>
      <c r="BB993" s="140"/>
      <c r="BC993" s="140"/>
      <c r="BD993" s="140"/>
      <c r="BE993" s="140"/>
    </row>
    <row r="994">
      <c r="A994" s="108"/>
      <c r="B994" s="107"/>
      <c r="C994" s="107"/>
      <c r="D994" s="107"/>
      <c r="E994" s="107"/>
      <c r="F994" s="107"/>
      <c r="G994" s="208"/>
      <c r="H994" s="131"/>
      <c r="I994" s="211"/>
      <c r="J994" s="107"/>
      <c r="K994" s="202"/>
      <c r="L994" s="107"/>
      <c r="M994" s="107"/>
      <c r="N994" s="206"/>
      <c r="O994" s="108" t="b">
        <v>0</v>
      </c>
      <c r="P994" s="207"/>
      <c r="Q994" s="140"/>
      <c r="R994" s="140"/>
      <c r="S994" s="140"/>
      <c r="T994" s="140"/>
      <c r="U994" s="140"/>
      <c r="V994" s="140"/>
      <c r="W994" s="140"/>
      <c r="X994" s="140"/>
      <c r="Y994" s="140"/>
      <c r="Z994" s="140"/>
      <c r="AA994" s="140"/>
      <c r="AB994" s="140"/>
      <c r="AC994" s="140"/>
      <c r="AD994" s="140"/>
      <c r="AE994" s="140"/>
      <c r="AF994" s="140"/>
      <c r="AG994" s="140"/>
      <c r="AH994" s="140"/>
      <c r="AI994" s="140"/>
      <c r="AJ994" s="140"/>
      <c r="AK994" s="140"/>
      <c r="AL994" s="140"/>
      <c r="AM994" s="140"/>
      <c r="AN994" s="140"/>
      <c r="AO994" s="140"/>
      <c r="AP994" s="140"/>
      <c r="AQ994" s="140"/>
      <c r="AR994" s="140"/>
      <c r="AS994" s="140"/>
      <c r="AT994" s="140"/>
      <c r="AU994" s="140"/>
      <c r="AV994" s="140"/>
      <c r="AW994" s="140"/>
      <c r="AX994" s="140"/>
      <c r="AY994" s="140"/>
      <c r="AZ994" s="140"/>
      <c r="BA994" s="140"/>
      <c r="BB994" s="140"/>
      <c r="BC994" s="140"/>
      <c r="BD994" s="140"/>
      <c r="BE994" s="140"/>
    </row>
    <row r="995">
      <c r="A995" s="108"/>
      <c r="B995" s="107"/>
      <c r="C995" s="107"/>
      <c r="D995" s="107"/>
      <c r="E995" s="107"/>
      <c r="F995" s="107"/>
      <c r="G995" s="208"/>
      <c r="H995" s="131"/>
      <c r="I995" s="211"/>
      <c r="J995" s="107"/>
      <c r="K995" s="202"/>
      <c r="L995" s="107"/>
      <c r="M995" s="107"/>
      <c r="N995" s="206"/>
      <c r="O995" s="108" t="b">
        <v>0</v>
      </c>
      <c r="P995" s="207"/>
      <c r="Q995" s="140"/>
      <c r="R995" s="140"/>
      <c r="S995" s="140"/>
      <c r="T995" s="140"/>
      <c r="U995" s="140"/>
      <c r="V995" s="140"/>
      <c r="W995" s="140"/>
      <c r="X995" s="140"/>
      <c r="Y995" s="140"/>
      <c r="Z995" s="140"/>
      <c r="AA995" s="140"/>
      <c r="AB995" s="140"/>
      <c r="AC995" s="140"/>
      <c r="AD995" s="140"/>
      <c r="AE995" s="140"/>
      <c r="AF995" s="140"/>
      <c r="AG995" s="140"/>
      <c r="AH995" s="140"/>
      <c r="AI995" s="140"/>
      <c r="AJ995" s="140"/>
      <c r="AK995" s="140"/>
      <c r="AL995" s="140"/>
      <c r="AM995" s="140"/>
      <c r="AN995" s="140"/>
      <c r="AO995" s="140"/>
      <c r="AP995" s="140"/>
      <c r="AQ995" s="140"/>
      <c r="AR995" s="140"/>
      <c r="AS995" s="140"/>
      <c r="AT995" s="140"/>
      <c r="AU995" s="140"/>
      <c r="AV995" s="140"/>
      <c r="AW995" s="140"/>
      <c r="AX995" s="140"/>
      <c r="AY995" s="140"/>
      <c r="AZ995" s="140"/>
      <c r="BA995" s="140"/>
      <c r="BB995" s="140"/>
      <c r="BC995" s="140"/>
      <c r="BD995" s="140"/>
      <c r="BE995" s="140"/>
    </row>
    <row r="996">
      <c r="A996" s="108"/>
      <c r="B996" s="107"/>
      <c r="C996" s="107"/>
      <c r="D996" s="107"/>
      <c r="E996" s="107"/>
      <c r="F996" s="107"/>
      <c r="G996" s="208"/>
      <c r="H996" s="131"/>
      <c r="I996" s="211"/>
      <c r="J996" s="107"/>
      <c r="K996" s="202"/>
      <c r="L996" s="107"/>
      <c r="M996" s="107"/>
      <c r="N996" s="206"/>
      <c r="O996" s="108" t="b">
        <v>0</v>
      </c>
      <c r="P996" s="207"/>
      <c r="Q996" s="140"/>
      <c r="R996" s="140"/>
      <c r="S996" s="140"/>
      <c r="T996" s="140"/>
      <c r="U996" s="140"/>
      <c r="V996" s="140"/>
      <c r="W996" s="140"/>
      <c r="X996" s="140"/>
      <c r="Y996" s="140"/>
      <c r="Z996" s="140"/>
      <c r="AA996" s="140"/>
      <c r="AB996" s="140"/>
      <c r="AC996" s="140"/>
      <c r="AD996" s="140"/>
      <c r="AE996" s="140"/>
      <c r="AF996" s="140"/>
      <c r="AG996" s="140"/>
      <c r="AH996" s="140"/>
      <c r="AI996" s="140"/>
      <c r="AJ996" s="140"/>
      <c r="AK996" s="140"/>
      <c r="AL996" s="140"/>
      <c r="AM996" s="140"/>
      <c r="AN996" s="140"/>
      <c r="AO996" s="140"/>
      <c r="AP996" s="140"/>
      <c r="AQ996" s="140"/>
      <c r="AR996" s="140"/>
      <c r="AS996" s="140"/>
      <c r="AT996" s="140"/>
      <c r="AU996" s="140"/>
      <c r="AV996" s="140"/>
      <c r="AW996" s="140"/>
      <c r="AX996" s="140"/>
      <c r="AY996" s="140"/>
      <c r="AZ996" s="140"/>
      <c r="BA996" s="140"/>
      <c r="BB996" s="140"/>
      <c r="BC996" s="140"/>
      <c r="BD996" s="140"/>
      <c r="BE996" s="140"/>
    </row>
    <row r="997">
      <c r="A997" s="108"/>
      <c r="B997" s="107"/>
      <c r="C997" s="107"/>
      <c r="D997" s="107"/>
      <c r="E997" s="107"/>
      <c r="F997" s="107"/>
      <c r="G997" s="208"/>
      <c r="H997" s="131"/>
      <c r="I997" s="211"/>
      <c r="J997" s="107"/>
      <c r="K997" s="202"/>
      <c r="L997" s="107"/>
      <c r="M997" s="107"/>
      <c r="N997" s="206"/>
      <c r="O997" s="108" t="b">
        <v>0</v>
      </c>
      <c r="P997" s="207"/>
      <c r="Q997" s="140"/>
      <c r="R997" s="140"/>
      <c r="S997" s="140"/>
      <c r="T997" s="140"/>
      <c r="U997" s="140"/>
      <c r="V997" s="140"/>
      <c r="W997" s="140"/>
      <c r="X997" s="140"/>
      <c r="Y997" s="140"/>
      <c r="Z997" s="140"/>
      <c r="AA997" s="140"/>
      <c r="AB997" s="140"/>
      <c r="AC997" s="140"/>
      <c r="AD997" s="140"/>
      <c r="AE997" s="140"/>
      <c r="AF997" s="140"/>
      <c r="AG997" s="140"/>
      <c r="AH997" s="140"/>
      <c r="AI997" s="140"/>
      <c r="AJ997" s="140"/>
      <c r="AK997" s="140"/>
      <c r="AL997" s="140"/>
      <c r="AM997" s="140"/>
      <c r="AN997" s="140"/>
      <c r="AO997" s="140"/>
      <c r="AP997" s="140"/>
      <c r="AQ997" s="140"/>
      <c r="AR997" s="140"/>
      <c r="AS997" s="140"/>
      <c r="AT997" s="140"/>
      <c r="AU997" s="140"/>
      <c r="AV997" s="140"/>
      <c r="AW997" s="140"/>
      <c r="AX997" s="140"/>
      <c r="AY997" s="140"/>
      <c r="AZ997" s="140"/>
      <c r="BA997" s="140"/>
      <c r="BB997" s="140"/>
      <c r="BC997" s="140"/>
      <c r="BD997" s="140"/>
      <c r="BE997" s="140"/>
    </row>
    <row r="998">
      <c r="A998" s="108"/>
      <c r="B998" s="107"/>
      <c r="C998" s="107"/>
      <c r="D998" s="107"/>
      <c r="E998" s="107"/>
      <c r="F998" s="107"/>
      <c r="G998" s="208"/>
      <c r="H998" s="131"/>
      <c r="I998" s="211"/>
      <c r="J998" s="107"/>
      <c r="K998" s="202"/>
      <c r="L998" s="107"/>
      <c r="M998" s="107"/>
      <c r="N998" s="206"/>
      <c r="O998" s="108" t="b">
        <v>0</v>
      </c>
      <c r="P998" s="207"/>
      <c r="Q998" s="140"/>
      <c r="R998" s="140"/>
      <c r="S998" s="140"/>
      <c r="T998" s="140"/>
      <c r="U998" s="140"/>
      <c r="V998" s="140"/>
      <c r="W998" s="140"/>
      <c r="X998" s="140"/>
      <c r="Y998" s="140"/>
      <c r="Z998" s="140"/>
      <c r="AA998" s="140"/>
      <c r="AB998" s="140"/>
      <c r="AC998" s="140"/>
      <c r="AD998" s="140"/>
      <c r="AE998" s="140"/>
      <c r="AF998" s="140"/>
      <c r="AG998" s="140"/>
      <c r="AH998" s="140"/>
      <c r="AI998" s="140"/>
      <c r="AJ998" s="140"/>
      <c r="AK998" s="140"/>
      <c r="AL998" s="140"/>
      <c r="AM998" s="140"/>
      <c r="AN998" s="140"/>
      <c r="AO998" s="140"/>
      <c r="AP998" s="140"/>
      <c r="AQ998" s="140"/>
      <c r="AR998" s="140"/>
      <c r="AS998" s="140"/>
      <c r="AT998" s="140"/>
      <c r="AU998" s="140"/>
      <c r="AV998" s="140"/>
      <c r="AW998" s="140"/>
      <c r="AX998" s="140"/>
      <c r="AY998" s="140"/>
      <c r="AZ998" s="140"/>
      <c r="BA998" s="140"/>
      <c r="BB998" s="140"/>
      <c r="BC998" s="140"/>
      <c r="BD998" s="140"/>
      <c r="BE998" s="140"/>
    </row>
    <row r="999">
      <c r="A999" s="108"/>
      <c r="B999" s="107"/>
      <c r="C999" s="107"/>
      <c r="D999" s="107"/>
      <c r="E999" s="107"/>
      <c r="F999" s="107"/>
      <c r="G999" s="208"/>
      <c r="H999" s="131"/>
      <c r="I999" s="211"/>
      <c r="J999" s="107"/>
      <c r="K999" s="202"/>
      <c r="L999" s="107"/>
      <c r="M999" s="107"/>
      <c r="N999" s="206"/>
      <c r="O999" s="108" t="b">
        <v>0</v>
      </c>
      <c r="P999" s="207"/>
      <c r="Q999" s="140"/>
      <c r="R999" s="140"/>
      <c r="S999" s="140"/>
      <c r="T999" s="140"/>
      <c r="U999" s="140"/>
      <c r="V999" s="140"/>
      <c r="W999" s="140"/>
      <c r="X999" s="140"/>
      <c r="Y999" s="140"/>
      <c r="Z999" s="140"/>
      <c r="AA999" s="140"/>
      <c r="AB999" s="140"/>
      <c r="AC999" s="140"/>
      <c r="AD999" s="140"/>
      <c r="AE999" s="140"/>
      <c r="AF999" s="140"/>
      <c r="AG999" s="140"/>
      <c r="AH999" s="140"/>
      <c r="AI999" s="140"/>
      <c r="AJ999" s="140"/>
      <c r="AK999" s="140"/>
      <c r="AL999" s="140"/>
      <c r="AM999" s="140"/>
      <c r="AN999" s="140"/>
      <c r="AO999" s="140"/>
      <c r="AP999" s="140"/>
      <c r="AQ999" s="140"/>
      <c r="AR999" s="140"/>
      <c r="AS999" s="140"/>
      <c r="AT999" s="140"/>
      <c r="AU999" s="140"/>
      <c r="AV999" s="140"/>
      <c r="AW999" s="140"/>
      <c r="AX999" s="140"/>
      <c r="AY999" s="140"/>
      <c r="AZ999" s="140"/>
      <c r="BA999" s="140"/>
      <c r="BB999" s="140"/>
      <c r="BC999" s="140"/>
      <c r="BD999" s="140"/>
      <c r="BE999" s="140"/>
    </row>
    <row r="1000">
      <c r="A1000" s="108"/>
      <c r="B1000" s="107"/>
      <c r="C1000" s="107"/>
      <c r="D1000" s="107"/>
      <c r="E1000" s="107"/>
      <c r="F1000" s="107"/>
      <c r="G1000" s="208"/>
      <c r="H1000" s="131"/>
      <c r="I1000" s="211"/>
      <c r="J1000" s="107"/>
      <c r="K1000" s="202"/>
      <c r="L1000" s="107"/>
      <c r="M1000" s="107"/>
      <c r="N1000" s="206"/>
      <c r="O1000" s="108" t="b">
        <v>0</v>
      </c>
      <c r="P1000" s="207"/>
      <c r="Q1000" s="140"/>
      <c r="R1000" s="140"/>
      <c r="S1000" s="140"/>
      <c r="T1000" s="140"/>
      <c r="U1000" s="140"/>
      <c r="V1000" s="140"/>
      <c r="W1000" s="140"/>
      <c r="X1000" s="140"/>
      <c r="Y1000" s="140"/>
      <c r="Z1000" s="140"/>
      <c r="AA1000" s="140"/>
      <c r="AB1000" s="140"/>
      <c r="AC1000" s="140"/>
      <c r="AD1000" s="140"/>
      <c r="AE1000" s="140"/>
      <c r="AF1000" s="140"/>
      <c r="AG1000" s="140"/>
      <c r="AH1000" s="140"/>
      <c r="AI1000" s="140"/>
      <c r="AJ1000" s="140"/>
      <c r="AK1000" s="140"/>
      <c r="AL1000" s="140"/>
      <c r="AM1000" s="140"/>
      <c r="AN1000" s="140"/>
      <c r="AO1000" s="140"/>
      <c r="AP1000" s="140"/>
      <c r="AQ1000" s="140"/>
      <c r="AR1000" s="140"/>
      <c r="AS1000" s="140"/>
      <c r="AT1000" s="140"/>
      <c r="AU1000" s="140"/>
      <c r="AV1000" s="140"/>
      <c r="AW1000" s="140"/>
      <c r="AX1000" s="140"/>
      <c r="AY1000" s="140"/>
      <c r="AZ1000" s="140"/>
      <c r="BA1000" s="140"/>
      <c r="BB1000" s="140"/>
      <c r="BC1000" s="140"/>
      <c r="BD1000" s="140"/>
      <c r="BE1000" s="140"/>
    </row>
    <row r="1001">
      <c r="A1001" s="108"/>
      <c r="B1001" s="107"/>
      <c r="C1001" s="107"/>
      <c r="D1001" s="107"/>
      <c r="E1001" s="107"/>
      <c r="F1001" s="107"/>
      <c r="G1001" s="208"/>
      <c r="H1001" s="131"/>
      <c r="I1001" s="211"/>
      <c r="J1001" s="107"/>
      <c r="K1001" s="202"/>
      <c r="L1001" s="107"/>
      <c r="M1001" s="107"/>
      <c r="N1001" s="206"/>
      <c r="O1001" s="108" t="b">
        <v>0</v>
      </c>
      <c r="P1001" s="207"/>
      <c r="Q1001" s="140"/>
      <c r="R1001" s="140"/>
      <c r="S1001" s="140"/>
      <c r="T1001" s="140"/>
      <c r="U1001" s="140"/>
      <c r="V1001" s="140"/>
      <c r="W1001" s="140"/>
      <c r="X1001" s="140"/>
      <c r="Y1001" s="140"/>
      <c r="Z1001" s="140"/>
      <c r="AA1001" s="140"/>
      <c r="AB1001" s="140"/>
      <c r="AC1001" s="140"/>
      <c r="AD1001" s="140"/>
      <c r="AE1001" s="140"/>
      <c r="AF1001" s="140"/>
      <c r="AG1001" s="140"/>
      <c r="AH1001" s="140"/>
      <c r="AI1001" s="140"/>
      <c r="AJ1001" s="140"/>
      <c r="AK1001" s="140"/>
      <c r="AL1001" s="140"/>
      <c r="AM1001" s="140"/>
      <c r="AN1001" s="140"/>
      <c r="AO1001" s="140"/>
      <c r="AP1001" s="140"/>
      <c r="AQ1001" s="140"/>
      <c r="AR1001" s="140"/>
      <c r="AS1001" s="140"/>
      <c r="AT1001" s="140"/>
      <c r="AU1001" s="140"/>
      <c r="AV1001" s="140"/>
      <c r="AW1001" s="140"/>
      <c r="AX1001" s="140"/>
      <c r="AY1001" s="140"/>
      <c r="AZ1001" s="140"/>
      <c r="BA1001" s="140"/>
      <c r="BB1001" s="140"/>
      <c r="BC1001" s="140"/>
      <c r="BD1001" s="140"/>
      <c r="BE1001" s="140"/>
    </row>
    <row r="1002">
      <c r="A1002" s="108"/>
      <c r="B1002" s="107"/>
      <c r="C1002" s="107"/>
      <c r="D1002" s="107"/>
      <c r="E1002" s="107"/>
      <c r="F1002" s="107"/>
      <c r="G1002" s="208"/>
      <c r="H1002" s="131"/>
      <c r="I1002" s="211"/>
      <c r="J1002" s="107"/>
      <c r="K1002" s="202"/>
      <c r="L1002" s="107"/>
      <c r="M1002" s="107"/>
      <c r="N1002" s="206"/>
      <c r="O1002" s="108" t="b">
        <v>0</v>
      </c>
      <c r="P1002" s="207"/>
      <c r="Q1002" s="140"/>
      <c r="R1002" s="140"/>
      <c r="S1002" s="140"/>
      <c r="T1002" s="140"/>
      <c r="U1002" s="140"/>
      <c r="V1002" s="140"/>
      <c r="W1002" s="140"/>
      <c r="X1002" s="140"/>
      <c r="Y1002" s="140"/>
      <c r="Z1002" s="140"/>
      <c r="AA1002" s="140"/>
      <c r="AB1002" s="140"/>
      <c r="AC1002" s="140"/>
      <c r="AD1002" s="140"/>
      <c r="AE1002" s="140"/>
      <c r="AF1002" s="140"/>
      <c r="AG1002" s="140"/>
      <c r="AH1002" s="140"/>
      <c r="AI1002" s="140"/>
      <c r="AJ1002" s="140"/>
      <c r="AK1002" s="140"/>
      <c r="AL1002" s="140"/>
      <c r="AM1002" s="140"/>
      <c r="AN1002" s="140"/>
      <c r="AO1002" s="140"/>
      <c r="AP1002" s="140"/>
      <c r="AQ1002" s="140"/>
      <c r="AR1002" s="140"/>
      <c r="AS1002" s="140"/>
      <c r="AT1002" s="140"/>
      <c r="AU1002" s="140"/>
      <c r="AV1002" s="140"/>
      <c r="AW1002" s="140"/>
      <c r="AX1002" s="140"/>
      <c r="AY1002" s="140"/>
      <c r="AZ1002" s="140"/>
      <c r="BA1002" s="140"/>
      <c r="BB1002" s="140"/>
      <c r="BC1002" s="140"/>
      <c r="BD1002" s="140"/>
      <c r="BE1002" s="140"/>
    </row>
    <row r="1003">
      <c r="A1003" s="108"/>
      <c r="B1003" s="107"/>
      <c r="C1003" s="107"/>
      <c r="D1003" s="107"/>
      <c r="E1003" s="107"/>
      <c r="F1003" s="107"/>
      <c r="G1003" s="208"/>
      <c r="H1003" s="131"/>
      <c r="I1003" s="211"/>
      <c r="J1003" s="107"/>
      <c r="K1003" s="202"/>
      <c r="L1003" s="107"/>
      <c r="M1003" s="107"/>
      <c r="N1003" s="206"/>
      <c r="O1003" s="108" t="b">
        <v>0</v>
      </c>
      <c r="P1003" s="207"/>
      <c r="Q1003" s="140"/>
      <c r="R1003" s="140"/>
      <c r="S1003" s="140"/>
      <c r="T1003" s="140"/>
      <c r="U1003" s="140"/>
      <c r="V1003" s="140"/>
      <c r="W1003" s="140"/>
      <c r="X1003" s="140"/>
      <c r="Y1003" s="140"/>
      <c r="Z1003" s="140"/>
      <c r="AA1003" s="140"/>
      <c r="AB1003" s="140"/>
      <c r="AC1003" s="140"/>
      <c r="AD1003" s="140"/>
      <c r="AE1003" s="140"/>
      <c r="AF1003" s="140"/>
      <c r="AG1003" s="140"/>
      <c r="AH1003" s="140"/>
      <c r="AI1003" s="140"/>
      <c r="AJ1003" s="140"/>
      <c r="AK1003" s="140"/>
      <c r="AL1003" s="140"/>
      <c r="AM1003" s="140"/>
      <c r="AN1003" s="140"/>
      <c r="AO1003" s="140"/>
      <c r="AP1003" s="140"/>
      <c r="AQ1003" s="140"/>
      <c r="AR1003" s="140"/>
      <c r="AS1003" s="140"/>
      <c r="AT1003" s="140"/>
      <c r="AU1003" s="140"/>
      <c r="AV1003" s="140"/>
      <c r="AW1003" s="140"/>
      <c r="AX1003" s="140"/>
      <c r="AY1003" s="140"/>
      <c r="AZ1003" s="140"/>
      <c r="BA1003" s="140"/>
      <c r="BB1003" s="140"/>
      <c r="BC1003" s="140"/>
      <c r="BD1003" s="140"/>
      <c r="BE1003" s="140"/>
    </row>
    <row r="1004">
      <c r="A1004" s="108"/>
      <c r="B1004" s="107"/>
      <c r="C1004" s="107"/>
      <c r="D1004" s="107"/>
      <c r="E1004" s="107"/>
      <c r="F1004" s="107"/>
      <c r="G1004" s="208"/>
      <c r="H1004" s="131"/>
      <c r="I1004" s="211"/>
      <c r="J1004" s="107"/>
      <c r="K1004" s="202"/>
      <c r="L1004" s="107"/>
      <c r="M1004" s="107"/>
      <c r="N1004" s="206"/>
      <c r="O1004" s="108" t="b">
        <v>0</v>
      </c>
      <c r="P1004" s="207"/>
      <c r="Q1004" s="140"/>
      <c r="R1004" s="140"/>
      <c r="S1004" s="140"/>
      <c r="T1004" s="140"/>
      <c r="U1004" s="140"/>
      <c r="V1004" s="140"/>
      <c r="W1004" s="140"/>
      <c r="X1004" s="140"/>
      <c r="Y1004" s="140"/>
      <c r="Z1004" s="140"/>
      <c r="AA1004" s="140"/>
      <c r="AB1004" s="140"/>
      <c r="AC1004" s="140"/>
      <c r="AD1004" s="140"/>
      <c r="AE1004" s="140"/>
      <c r="AF1004" s="140"/>
      <c r="AG1004" s="140"/>
      <c r="AH1004" s="140"/>
      <c r="AI1004" s="140"/>
      <c r="AJ1004" s="140"/>
      <c r="AK1004" s="140"/>
      <c r="AL1004" s="140"/>
      <c r="AM1004" s="140"/>
      <c r="AN1004" s="140"/>
      <c r="AO1004" s="140"/>
      <c r="AP1004" s="140"/>
      <c r="AQ1004" s="140"/>
      <c r="AR1004" s="140"/>
      <c r="AS1004" s="140"/>
      <c r="AT1004" s="140"/>
      <c r="AU1004" s="140"/>
      <c r="AV1004" s="140"/>
      <c r="AW1004" s="140"/>
      <c r="AX1004" s="140"/>
      <c r="AY1004" s="140"/>
      <c r="AZ1004" s="140"/>
      <c r="BA1004" s="140"/>
      <c r="BB1004" s="140"/>
      <c r="BC1004" s="140"/>
      <c r="BD1004" s="140"/>
      <c r="BE1004" s="140"/>
    </row>
    <row r="1005">
      <c r="A1005" s="108"/>
      <c r="B1005" s="107"/>
      <c r="C1005" s="107"/>
      <c r="D1005" s="107"/>
      <c r="E1005" s="107"/>
      <c r="F1005" s="107"/>
      <c r="G1005" s="208"/>
      <c r="H1005" s="131"/>
      <c r="I1005" s="211"/>
      <c r="J1005" s="107"/>
      <c r="K1005" s="202"/>
      <c r="L1005" s="107"/>
      <c r="M1005" s="107"/>
      <c r="N1005" s="206"/>
      <c r="O1005" s="108" t="b">
        <v>0</v>
      </c>
      <c r="P1005" s="207"/>
      <c r="Q1005" s="140"/>
      <c r="R1005" s="140"/>
      <c r="S1005" s="140"/>
      <c r="T1005" s="140"/>
      <c r="U1005" s="140"/>
      <c r="V1005" s="140"/>
      <c r="W1005" s="140"/>
      <c r="X1005" s="140"/>
      <c r="Y1005" s="140"/>
      <c r="Z1005" s="140"/>
      <c r="AA1005" s="140"/>
      <c r="AB1005" s="140"/>
      <c r="AC1005" s="140"/>
      <c r="AD1005" s="140"/>
      <c r="AE1005" s="140"/>
      <c r="AF1005" s="140"/>
      <c r="AG1005" s="140"/>
      <c r="AH1005" s="140"/>
      <c r="AI1005" s="140"/>
      <c r="AJ1005" s="140"/>
      <c r="AK1005" s="140"/>
      <c r="AL1005" s="140"/>
      <c r="AM1005" s="140"/>
      <c r="AN1005" s="140"/>
      <c r="AO1005" s="140"/>
      <c r="AP1005" s="140"/>
      <c r="AQ1005" s="140"/>
      <c r="AR1005" s="140"/>
      <c r="AS1005" s="140"/>
      <c r="AT1005" s="140"/>
      <c r="AU1005" s="140"/>
      <c r="AV1005" s="140"/>
      <c r="AW1005" s="140"/>
      <c r="AX1005" s="140"/>
      <c r="AY1005" s="140"/>
      <c r="AZ1005" s="140"/>
      <c r="BA1005" s="140"/>
      <c r="BB1005" s="140"/>
      <c r="BC1005" s="140"/>
      <c r="BD1005" s="140"/>
      <c r="BE1005" s="140"/>
    </row>
    <row r="1006">
      <c r="A1006" s="108"/>
      <c r="B1006" s="107"/>
      <c r="C1006" s="107"/>
      <c r="D1006" s="107"/>
      <c r="E1006" s="107"/>
      <c r="F1006" s="107"/>
      <c r="G1006" s="208"/>
      <c r="H1006" s="131"/>
      <c r="I1006" s="211"/>
      <c r="J1006" s="107"/>
      <c r="K1006" s="202"/>
      <c r="L1006" s="107"/>
      <c r="M1006" s="107"/>
      <c r="N1006" s="206"/>
      <c r="O1006" s="108" t="b">
        <v>0</v>
      </c>
      <c r="P1006" s="207"/>
      <c r="Q1006" s="140"/>
      <c r="R1006" s="140"/>
      <c r="S1006" s="140"/>
      <c r="T1006" s="140"/>
      <c r="U1006" s="140"/>
      <c r="V1006" s="140"/>
      <c r="W1006" s="140"/>
      <c r="X1006" s="140"/>
      <c r="Y1006" s="140"/>
      <c r="Z1006" s="140"/>
      <c r="AA1006" s="140"/>
      <c r="AB1006" s="140"/>
      <c r="AC1006" s="140"/>
      <c r="AD1006" s="140"/>
      <c r="AE1006" s="140"/>
      <c r="AF1006" s="140"/>
      <c r="AG1006" s="140"/>
      <c r="AH1006" s="140"/>
      <c r="AI1006" s="140"/>
      <c r="AJ1006" s="140"/>
      <c r="AK1006" s="140"/>
      <c r="AL1006" s="140"/>
      <c r="AM1006" s="140"/>
      <c r="AN1006" s="140"/>
      <c r="AO1006" s="140"/>
      <c r="AP1006" s="140"/>
      <c r="AQ1006" s="140"/>
      <c r="AR1006" s="140"/>
      <c r="AS1006" s="140"/>
      <c r="AT1006" s="140"/>
      <c r="AU1006" s="140"/>
      <c r="AV1006" s="140"/>
      <c r="AW1006" s="140"/>
      <c r="AX1006" s="140"/>
      <c r="AY1006" s="140"/>
      <c r="AZ1006" s="140"/>
      <c r="BA1006" s="140"/>
      <c r="BB1006" s="140"/>
      <c r="BC1006" s="140"/>
      <c r="BD1006" s="140"/>
      <c r="BE1006" s="140"/>
    </row>
    <row r="1007">
      <c r="A1007" s="108"/>
      <c r="B1007" s="107"/>
      <c r="C1007" s="107"/>
      <c r="D1007" s="107"/>
      <c r="E1007" s="107"/>
      <c r="F1007" s="107"/>
      <c r="G1007" s="208"/>
      <c r="H1007" s="131"/>
      <c r="I1007" s="211"/>
      <c r="J1007" s="107"/>
      <c r="K1007" s="202"/>
      <c r="L1007" s="107"/>
      <c r="M1007" s="107"/>
      <c r="N1007" s="206"/>
      <c r="O1007" s="108" t="b">
        <v>0</v>
      </c>
      <c r="P1007" s="207"/>
      <c r="Q1007" s="140"/>
      <c r="R1007" s="140"/>
      <c r="S1007" s="140"/>
      <c r="T1007" s="140"/>
      <c r="U1007" s="140"/>
      <c r="V1007" s="140"/>
      <c r="W1007" s="140"/>
      <c r="X1007" s="140"/>
      <c r="Y1007" s="140"/>
      <c r="Z1007" s="140"/>
      <c r="AA1007" s="140"/>
      <c r="AB1007" s="140"/>
      <c r="AC1007" s="140"/>
      <c r="AD1007" s="140"/>
      <c r="AE1007" s="140"/>
      <c r="AF1007" s="140"/>
      <c r="AG1007" s="140"/>
      <c r="AH1007" s="140"/>
      <c r="AI1007" s="140"/>
      <c r="AJ1007" s="140"/>
      <c r="AK1007" s="140"/>
      <c r="AL1007" s="140"/>
      <c r="AM1007" s="140"/>
      <c r="AN1007" s="140"/>
      <c r="AO1007" s="140"/>
      <c r="AP1007" s="140"/>
      <c r="AQ1007" s="140"/>
      <c r="AR1007" s="140"/>
      <c r="AS1007" s="140"/>
      <c r="AT1007" s="140"/>
      <c r="AU1007" s="140"/>
      <c r="AV1007" s="140"/>
      <c r="AW1007" s="140"/>
      <c r="AX1007" s="140"/>
      <c r="AY1007" s="140"/>
      <c r="AZ1007" s="140"/>
      <c r="BA1007" s="140"/>
      <c r="BB1007" s="140"/>
      <c r="BC1007" s="140"/>
      <c r="BD1007" s="140"/>
      <c r="BE1007" s="140"/>
    </row>
    <row r="1008">
      <c r="A1008" s="108"/>
      <c r="B1008" s="107"/>
      <c r="C1008" s="107"/>
      <c r="D1008" s="107"/>
      <c r="E1008" s="107"/>
      <c r="F1008" s="107"/>
      <c r="G1008" s="208"/>
      <c r="H1008" s="131"/>
      <c r="I1008" s="211"/>
      <c r="J1008" s="107"/>
      <c r="K1008" s="202"/>
      <c r="L1008" s="107"/>
      <c r="M1008" s="107"/>
      <c r="N1008" s="206"/>
      <c r="O1008" s="108" t="b">
        <v>0</v>
      </c>
      <c r="P1008" s="207"/>
      <c r="Q1008" s="140"/>
      <c r="R1008" s="140"/>
      <c r="S1008" s="140"/>
      <c r="T1008" s="140"/>
      <c r="U1008" s="140"/>
      <c r="V1008" s="140"/>
      <c r="W1008" s="140"/>
      <c r="X1008" s="140"/>
      <c r="Y1008" s="140"/>
      <c r="Z1008" s="140"/>
      <c r="AA1008" s="140"/>
      <c r="AB1008" s="140"/>
      <c r="AC1008" s="140"/>
      <c r="AD1008" s="140"/>
      <c r="AE1008" s="140"/>
      <c r="AF1008" s="140"/>
      <c r="AG1008" s="140"/>
      <c r="AH1008" s="140"/>
      <c r="AI1008" s="140"/>
      <c r="AJ1008" s="140"/>
      <c r="AK1008" s="140"/>
      <c r="AL1008" s="140"/>
      <c r="AM1008" s="140"/>
      <c r="AN1008" s="140"/>
      <c r="AO1008" s="140"/>
      <c r="AP1008" s="140"/>
      <c r="AQ1008" s="140"/>
      <c r="AR1008" s="140"/>
      <c r="AS1008" s="140"/>
      <c r="AT1008" s="140"/>
      <c r="AU1008" s="140"/>
      <c r="AV1008" s="140"/>
      <c r="AW1008" s="140"/>
      <c r="AX1008" s="140"/>
      <c r="AY1008" s="140"/>
      <c r="AZ1008" s="140"/>
      <c r="BA1008" s="140"/>
      <c r="BB1008" s="140"/>
      <c r="BC1008" s="140"/>
      <c r="BD1008" s="140"/>
      <c r="BE1008" s="140"/>
    </row>
    <row r="1009">
      <c r="A1009" s="108"/>
      <c r="B1009" s="107"/>
      <c r="C1009" s="107"/>
      <c r="D1009" s="107"/>
      <c r="E1009" s="107"/>
      <c r="F1009" s="107"/>
      <c r="G1009" s="208"/>
      <c r="H1009" s="131"/>
      <c r="I1009" s="211"/>
      <c r="J1009" s="107"/>
      <c r="K1009" s="202"/>
      <c r="L1009" s="107"/>
      <c r="M1009" s="107"/>
      <c r="N1009" s="206"/>
      <c r="O1009" s="108" t="b">
        <v>0</v>
      </c>
      <c r="P1009" s="207"/>
      <c r="Q1009" s="140"/>
      <c r="R1009" s="140"/>
      <c r="S1009" s="140"/>
      <c r="T1009" s="140"/>
      <c r="U1009" s="140"/>
      <c r="V1009" s="140"/>
      <c r="W1009" s="140"/>
      <c r="X1009" s="140"/>
      <c r="Y1009" s="140"/>
      <c r="Z1009" s="140"/>
      <c r="AA1009" s="140"/>
      <c r="AB1009" s="140"/>
      <c r="AC1009" s="140"/>
      <c r="AD1009" s="140"/>
      <c r="AE1009" s="140"/>
      <c r="AF1009" s="140"/>
      <c r="AG1009" s="140"/>
      <c r="AH1009" s="140"/>
      <c r="AI1009" s="140"/>
      <c r="AJ1009" s="140"/>
      <c r="AK1009" s="140"/>
      <c r="AL1009" s="140"/>
      <c r="AM1009" s="140"/>
      <c r="AN1009" s="140"/>
      <c r="AO1009" s="140"/>
      <c r="AP1009" s="140"/>
      <c r="AQ1009" s="140"/>
      <c r="AR1009" s="140"/>
      <c r="AS1009" s="140"/>
      <c r="AT1009" s="140"/>
      <c r="AU1009" s="140"/>
      <c r="AV1009" s="140"/>
      <c r="AW1009" s="140"/>
      <c r="AX1009" s="140"/>
      <c r="AY1009" s="140"/>
      <c r="AZ1009" s="140"/>
      <c r="BA1009" s="140"/>
      <c r="BB1009" s="140"/>
      <c r="BC1009" s="140"/>
      <c r="BD1009" s="140"/>
      <c r="BE1009" s="140"/>
    </row>
    <row r="1010">
      <c r="A1010" s="108"/>
      <c r="B1010" s="107"/>
      <c r="C1010" s="107"/>
      <c r="D1010" s="107"/>
      <c r="E1010" s="107"/>
      <c r="F1010" s="107"/>
      <c r="G1010" s="208"/>
      <c r="H1010" s="131"/>
      <c r="I1010" s="211"/>
      <c r="J1010" s="107"/>
      <c r="K1010" s="202"/>
      <c r="L1010" s="107"/>
      <c r="M1010" s="107"/>
      <c r="N1010" s="206"/>
      <c r="O1010" s="108" t="b">
        <v>0</v>
      </c>
      <c r="P1010" s="207"/>
      <c r="Q1010" s="140"/>
      <c r="R1010" s="140"/>
      <c r="S1010" s="140"/>
      <c r="T1010" s="140"/>
      <c r="U1010" s="140"/>
      <c r="V1010" s="140"/>
      <c r="W1010" s="140"/>
      <c r="X1010" s="140"/>
      <c r="Y1010" s="140"/>
      <c r="Z1010" s="140"/>
      <c r="AA1010" s="140"/>
      <c r="AB1010" s="140"/>
      <c r="AC1010" s="140"/>
      <c r="AD1010" s="140"/>
      <c r="AE1010" s="140"/>
      <c r="AF1010" s="140"/>
      <c r="AG1010" s="140"/>
      <c r="AH1010" s="140"/>
      <c r="AI1010" s="140"/>
      <c r="AJ1010" s="140"/>
      <c r="AK1010" s="140"/>
      <c r="AL1010" s="140"/>
      <c r="AM1010" s="140"/>
      <c r="AN1010" s="140"/>
      <c r="AO1010" s="140"/>
      <c r="AP1010" s="140"/>
      <c r="AQ1010" s="140"/>
      <c r="AR1010" s="140"/>
      <c r="AS1010" s="140"/>
      <c r="AT1010" s="140"/>
      <c r="AU1010" s="140"/>
      <c r="AV1010" s="140"/>
      <c r="AW1010" s="140"/>
      <c r="AX1010" s="140"/>
      <c r="AY1010" s="140"/>
      <c r="AZ1010" s="140"/>
      <c r="BA1010" s="140"/>
      <c r="BB1010" s="140"/>
      <c r="BC1010" s="140"/>
      <c r="BD1010" s="140"/>
      <c r="BE1010" s="140"/>
    </row>
    <row r="1011">
      <c r="A1011" s="108"/>
      <c r="B1011" s="107"/>
      <c r="C1011" s="107"/>
      <c r="D1011" s="107"/>
      <c r="E1011" s="107"/>
      <c r="F1011" s="107"/>
      <c r="G1011" s="208"/>
      <c r="H1011" s="131"/>
      <c r="I1011" s="211"/>
      <c r="J1011" s="107"/>
      <c r="K1011" s="202"/>
      <c r="L1011" s="107"/>
      <c r="M1011" s="107"/>
      <c r="N1011" s="206"/>
      <c r="O1011" s="108" t="b">
        <v>0</v>
      </c>
      <c r="P1011" s="207"/>
      <c r="Q1011" s="140"/>
      <c r="R1011" s="140"/>
      <c r="S1011" s="140"/>
      <c r="T1011" s="140"/>
      <c r="U1011" s="140"/>
      <c r="V1011" s="140"/>
      <c r="W1011" s="140"/>
      <c r="X1011" s="140"/>
      <c r="Y1011" s="140"/>
      <c r="Z1011" s="140"/>
      <c r="AA1011" s="140"/>
      <c r="AB1011" s="140"/>
      <c r="AC1011" s="140"/>
      <c r="AD1011" s="140"/>
      <c r="AE1011" s="140"/>
      <c r="AF1011" s="140"/>
      <c r="AG1011" s="140"/>
      <c r="AH1011" s="140"/>
      <c r="AI1011" s="140"/>
      <c r="AJ1011" s="140"/>
      <c r="AK1011" s="140"/>
      <c r="AL1011" s="140"/>
      <c r="AM1011" s="140"/>
      <c r="AN1011" s="140"/>
      <c r="AO1011" s="140"/>
      <c r="AP1011" s="140"/>
      <c r="AQ1011" s="140"/>
      <c r="AR1011" s="140"/>
      <c r="AS1011" s="140"/>
      <c r="AT1011" s="140"/>
      <c r="AU1011" s="140"/>
      <c r="AV1011" s="140"/>
      <c r="AW1011" s="140"/>
      <c r="AX1011" s="140"/>
      <c r="AY1011" s="140"/>
      <c r="AZ1011" s="140"/>
      <c r="BA1011" s="140"/>
      <c r="BB1011" s="140"/>
      <c r="BC1011" s="140"/>
      <c r="BD1011" s="140"/>
      <c r="BE1011" s="140"/>
    </row>
    <row r="1012">
      <c r="A1012" s="108"/>
      <c r="B1012" s="107"/>
      <c r="C1012" s="107"/>
      <c r="D1012" s="107"/>
      <c r="E1012" s="107"/>
      <c r="F1012" s="107"/>
      <c r="G1012" s="208"/>
      <c r="H1012" s="131"/>
      <c r="I1012" s="211"/>
      <c r="J1012" s="107"/>
      <c r="K1012" s="202"/>
      <c r="L1012" s="107"/>
      <c r="M1012" s="107"/>
      <c r="N1012" s="206"/>
      <c r="O1012" s="108" t="b">
        <v>0</v>
      </c>
      <c r="P1012" s="207"/>
      <c r="Q1012" s="140"/>
      <c r="R1012" s="140"/>
      <c r="S1012" s="140"/>
      <c r="T1012" s="140"/>
      <c r="U1012" s="140"/>
      <c r="V1012" s="140"/>
      <c r="W1012" s="140"/>
      <c r="X1012" s="140"/>
      <c r="Y1012" s="140"/>
      <c r="Z1012" s="140"/>
      <c r="AA1012" s="140"/>
      <c r="AB1012" s="140"/>
      <c r="AC1012" s="140"/>
      <c r="AD1012" s="140"/>
      <c r="AE1012" s="140"/>
      <c r="AF1012" s="140"/>
      <c r="AG1012" s="140"/>
      <c r="AH1012" s="140"/>
      <c r="AI1012" s="140"/>
      <c r="AJ1012" s="140"/>
      <c r="AK1012" s="140"/>
      <c r="AL1012" s="140"/>
      <c r="AM1012" s="140"/>
      <c r="AN1012" s="140"/>
      <c r="AO1012" s="140"/>
      <c r="AP1012" s="140"/>
      <c r="AQ1012" s="140"/>
      <c r="AR1012" s="140"/>
      <c r="AS1012" s="140"/>
      <c r="AT1012" s="140"/>
      <c r="AU1012" s="140"/>
      <c r="AV1012" s="140"/>
      <c r="AW1012" s="140"/>
      <c r="AX1012" s="140"/>
      <c r="AY1012" s="140"/>
      <c r="AZ1012" s="140"/>
      <c r="BA1012" s="140"/>
      <c r="BB1012" s="140"/>
      <c r="BC1012" s="140"/>
      <c r="BD1012" s="140"/>
      <c r="BE1012" s="140"/>
    </row>
    <row r="1013">
      <c r="A1013" s="108"/>
      <c r="B1013" s="107"/>
      <c r="C1013" s="107"/>
      <c r="D1013" s="107"/>
      <c r="E1013" s="107"/>
      <c r="F1013" s="107"/>
      <c r="G1013" s="208"/>
      <c r="H1013" s="131"/>
      <c r="I1013" s="211"/>
      <c r="J1013" s="107"/>
      <c r="K1013" s="202"/>
      <c r="L1013" s="107"/>
      <c r="M1013" s="107"/>
      <c r="N1013" s="206"/>
      <c r="O1013" s="108" t="b">
        <v>0</v>
      </c>
      <c r="P1013" s="207"/>
      <c r="Q1013" s="140"/>
      <c r="R1013" s="140"/>
      <c r="S1013" s="140"/>
      <c r="T1013" s="140"/>
      <c r="U1013" s="140"/>
      <c r="V1013" s="140"/>
      <c r="W1013" s="140"/>
      <c r="X1013" s="140"/>
      <c r="Y1013" s="140"/>
      <c r="Z1013" s="140"/>
      <c r="AA1013" s="140"/>
      <c r="AB1013" s="140"/>
      <c r="AC1013" s="140"/>
      <c r="AD1013" s="140"/>
      <c r="AE1013" s="140"/>
      <c r="AF1013" s="140"/>
      <c r="AG1013" s="140"/>
      <c r="AH1013" s="140"/>
      <c r="AI1013" s="140"/>
      <c r="AJ1013" s="140"/>
      <c r="AK1013" s="140"/>
      <c r="AL1013" s="140"/>
      <c r="AM1013" s="140"/>
      <c r="AN1013" s="140"/>
      <c r="AO1013" s="140"/>
      <c r="AP1013" s="140"/>
      <c r="AQ1013" s="140"/>
      <c r="AR1013" s="140"/>
      <c r="AS1013" s="140"/>
      <c r="AT1013" s="140"/>
      <c r="AU1013" s="140"/>
      <c r="AV1013" s="140"/>
      <c r="AW1013" s="140"/>
      <c r="AX1013" s="140"/>
      <c r="AY1013" s="140"/>
      <c r="AZ1013" s="140"/>
      <c r="BA1013" s="140"/>
      <c r="BB1013" s="140"/>
      <c r="BC1013" s="140"/>
      <c r="BD1013" s="140"/>
      <c r="BE1013" s="140"/>
    </row>
    <row r="1014">
      <c r="A1014" s="108"/>
      <c r="B1014" s="107"/>
      <c r="C1014" s="107"/>
      <c r="D1014" s="107"/>
      <c r="E1014" s="107"/>
      <c r="F1014" s="107"/>
      <c r="G1014" s="208"/>
      <c r="H1014" s="131"/>
      <c r="I1014" s="211"/>
      <c r="J1014" s="107"/>
      <c r="K1014" s="202"/>
      <c r="L1014" s="107"/>
      <c r="M1014" s="107"/>
      <c r="N1014" s="206"/>
      <c r="O1014" s="108" t="b">
        <v>0</v>
      </c>
      <c r="P1014" s="207"/>
      <c r="Q1014" s="140"/>
      <c r="R1014" s="140"/>
      <c r="S1014" s="140"/>
      <c r="T1014" s="140"/>
      <c r="U1014" s="140"/>
      <c r="V1014" s="140"/>
      <c r="W1014" s="140"/>
      <c r="X1014" s="140"/>
      <c r="Y1014" s="140"/>
      <c r="Z1014" s="140"/>
      <c r="AA1014" s="140"/>
      <c r="AB1014" s="140"/>
      <c r="AC1014" s="140"/>
      <c r="AD1014" s="140"/>
      <c r="AE1014" s="140"/>
      <c r="AF1014" s="140"/>
      <c r="AG1014" s="140"/>
      <c r="AH1014" s="140"/>
      <c r="AI1014" s="140"/>
      <c r="AJ1014" s="140"/>
      <c r="AK1014" s="140"/>
      <c r="AL1014" s="140"/>
      <c r="AM1014" s="140"/>
      <c r="AN1014" s="140"/>
      <c r="AO1014" s="140"/>
      <c r="AP1014" s="140"/>
      <c r="AQ1014" s="140"/>
      <c r="AR1014" s="140"/>
      <c r="AS1014" s="140"/>
      <c r="AT1014" s="140"/>
      <c r="AU1014" s="140"/>
      <c r="AV1014" s="140"/>
      <c r="AW1014" s="140"/>
      <c r="AX1014" s="140"/>
      <c r="AY1014" s="140"/>
      <c r="AZ1014" s="140"/>
      <c r="BA1014" s="140"/>
      <c r="BB1014" s="140"/>
      <c r="BC1014" s="140"/>
      <c r="BD1014" s="140"/>
      <c r="BE1014" s="140"/>
    </row>
    <row r="1015">
      <c r="A1015" s="108"/>
      <c r="B1015" s="107"/>
      <c r="C1015" s="107"/>
      <c r="D1015" s="107"/>
      <c r="E1015" s="107"/>
      <c r="F1015" s="107"/>
      <c r="G1015" s="208"/>
      <c r="H1015" s="131"/>
      <c r="I1015" s="211"/>
      <c r="J1015" s="107"/>
      <c r="K1015" s="202"/>
      <c r="L1015" s="107"/>
      <c r="M1015" s="107"/>
      <c r="N1015" s="206"/>
      <c r="O1015" s="108" t="b">
        <v>0</v>
      </c>
      <c r="P1015" s="207"/>
      <c r="Q1015" s="140"/>
      <c r="R1015" s="140"/>
      <c r="S1015" s="140"/>
      <c r="T1015" s="140"/>
      <c r="U1015" s="140"/>
      <c r="V1015" s="140"/>
      <c r="W1015" s="140"/>
      <c r="X1015" s="140"/>
      <c r="Y1015" s="140"/>
      <c r="Z1015" s="140"/>
      <c r="AA1015" s="140"/>
      <c r="AB1015" s="140"/>
      <c r="AC1015" s="140"/>
      <c r="AD1015" s="140"/>
      <c r="AE1015" s="140"/>
      <c r="AF1015" s="140"/>
      <c r="AG1015" s="140"/>
      <c r="AH1015" s="140"/>
      <c r="AI1015" s="140"/>
      <c r="AJ1015" s="140"/>
      <c r="AK1015" s="140"/>
      <c r="AL1015" s="140"/>
      <c r="AM1015" s="140"/>
      <c r="AN1015" s="140"/>
      <c r="AO1015" s="140"/>
      <c r="AP1015" s="140"/>
      <c r="AQ1015" s="140"/>
      <c r="AR1015" s="140"/>
      <c r="AS1015" s="140"/>
      <c r="AT1015" s="140"/>
      <c r="AU1015" s="140"/>
      <c r="AV1015" s="140"/>
      <c r="AW1015" s="140"/>
      <c r="AX1015" s="140"/>
      <c r="AY1015" s="140"/>
      <c r="AZ1015" s="140"/>
      <c r="BA1015" s="140"/>
      <c r="BB1015" s="140"/>
      <c r="BC1015" s="140"/>
      <c r="BD1015" s="140"/>
      <c r="BE1015" s="140"/>
    </row>
    <row r="1016">
      <c r="A1016" s="108"/>
      <c r="B1016" s="107"/>
      <c r="C1016" s="107"/>
      <c r="D1016" s="107"/>
      <c r="E1016" s="107"/>
      <c r="F1016" s="107"/>
      <c r="G1016" s="208"/>
      <c r="H1016" s="131"/>
      <c r="I1016" s="211"/>
      <c r="J1016" s="107"/>
      <c r="K1016" s="202"/>
      <c r="L1016" s="107"/>
      <c r="M1016" s="107"/>
      <c r="N1016" s="206"/>
      <c r="O1016" s="108" t="b">
        <v>0</v>
      </c>
      <c r="P1016" s="207"/>
      <c r="Q1016" s="140"/>
      <c r="R1016" s="140"/>
      <c r="S1016" s="140"/>
      <c r="T1016" s="140"/>
      <c r="U1016" s="140"/>
      <c r="V1016" s="140"/>
      <c r="W1016" s="140"/>
      <c r="X1016" s="140"/>
      <c r="Y1016" s="140"/>
      <c r="Z1016" s="140"/>
      <c r="AA1016" s="140"/>
      <c r="AB1016" s="140"/>
      <c r="AC1016" s="140"/>
      <c r="AD1016" s="140"/>
      <c r="AE1016" s="140"/>
      <c r="AF1016" s="140"/>
      <c r="AG1016" s="140"/>
      <c r="AH1016" s="140"/>
      <c r="AI1016" s="140"/>
      <c r="AJ1016" s="140"/>
      <c r="AK1016" s="140"/>
      <c r="AL1016" s="140"/>
      <c r="AM1016" s="140"/>
      <c r="AN1016" s="140"/>
      <c r="AO1016" s="140"/>
      <c r="AP1016" s="140"/>
      <c r="AQ1016" s="140"/>
      <c r="AR1016" s="140"/>
      <c r="AS1016" s="140"/>
      <c r="AT1016" s="140"/>
      <c r="AU1016" s="140"/>
      <c r="AV1016" s="140"/>
      <c r="AW1016" s="140"/>
      <c r="AX1016" s="140"/>
      <c r="AY1016" s="140"/>
      <c r="AZ1016" s="140"/>
      <c r="BA1016" s="140"/>
      <c r="BB1016" s="140"/>
      <c r="BC1016" s="140"/>
      <c r="BD1016" s="140"/>
      <c r="BE1016" s="140"/>
    </row>
    <row r="1017">
      <c r="A1017" s="108"/>
      <c r="B1017" s="107"/>
      <c r="C1017" s="107"/>
      <c r="D1017" s="107"/>
      <c r="E1017" s="107"/>
      <c r="F1017" s="107"/>
      <c r="G1017" s="208"/>
      <c r="H1017" s="131"/>
      <c r="I1017" s="211"/>
      <c r="J1017" s="107"/>
      <c r="K1017" s="202"/>
      <c r="L1017" s="107"/>
      <c r="M1017" s="107"/>
      <c r="N1017" s="206"/>
      <c r="O1017" s="108" t="b">
        <v>0</v>
      </c>
      <c r="P1017" s="207"/>
      <c r="Q1017" s="140"/>
      <c r="R1017" s="140"/>
      <c r="S1017" s="140"/>
      <c r="T1017" s="140"/>
      <c r="U1017" s="140"/>
      <c r="V1017" s="140"/>
      <c r="W1017" s="140"/>
      <c r="X1017" s="140"/>
      <c r="Y1017" s="140"/>
      <c r="Z1017" s="140"/>
      <c r="AA1017" s="140"/>
      <c r="AB1017" s="140"/>
      <c r="AC1017" s="140"/>
      <c r="AD1017" s="140"/>
      <c r="AE1017" s="140"/>
      <c r="AF1017" s="140"/>
      <c r="AG1017" s="140"/>
      <c r="AH1017" s="140"/>
      <c r="AI1017" s="140"/>
      <c r="AJ1017" s="140"/>
      <c r="AK1017" s="140"/>
      <c r="AL1017" s="140"/>
      <c r="AM1017" s="140"/>
      <c r="AN1017" s="140"/>
      <c r="AO1017" s="140"/>
      <c r="AP1017" s="140"/>
      <c r="AQ1017" s="140"/>
      <c r="AR1017" s="140"/>
      <c r="AS1017" s="140"/>
      <c r="AT1017" s="140"/>
      <c r="AU1017" s="140"/>
      <c r="AV1017" s="140"/>
      <c r="AW1017" s="140"/>
      <c r="AX1017" s="140"/>
      <c r="AY1017" s="140"/>
      <c r="AZ1017" s="140"/>
      <c r="BA1017" s="140"/>
      <c r="BB1017" s="140"/>
      <c r="BC1017" s="140"/>
      <c r="BD1017" s="140"/>
      <c r="BE1017" s="140"/>
    </row>
    <row r="1018">
      <c r="A1018" s="108"/>
      <c r="B1018" s="107"/>
      <c r="C1018" s="107"/>
      <c r="D1018" s="107"/>
      <c r="E1018" s="107"/>
      <c r="F1018" s="107"/>
      <c r="G1018" s="208"/>
      <c r="H1018" s="131"/>
      <c r="I1018" s="211"/>
      <c r="J1018" s="107"/>
      <c r="K1018" s="202"/>
      <c r="L1018" s="107"/>
      <c r="M1018" s="107"/>
      <c r="N1018" s="206"/>
      <c r="O1018" s="108" t="b">
        <v>0</v>
      </c>
      <c r="P1018" s="207"/>
      <c r="Q1018" s="140"/>
      <c r="R1018" s="140"/>
      <c r="S1018" s="140"/>
      <c r="T1018" s="140"/>
      <c r="U1018" s="140"/>
      <c r="V1018" s="140"/>
      <c r="W1018" s="140"/>
      <c r="X1018" s="140"/>
      <c r="Y1018" s="140"/>
      <c r="Z1018" s="140"/>
      <c r="AA1018" s="140"/>
      <c r="AB1018" s="140"/>
      <c r="AC1018" s="140"/>
      <c r="AD1018" s="140"/>
      <c r="AE1018" s="140"/>
      <c r="AF1018" s="140"/>
      <c r="AG1018" s="140"/>
      <c r="AH1018" s="140"/>
      <c r="AI1018" s="140"/>
      <c r="AJ1018" s="140"/>
      <c r="AK1018" s="140"/>
      <c r="AL1018" s="140"/>
      <c r="AM1018" s="140"/>
      <c r="AN1018" s="140"/>
      <c r="AO1018" s="140"/>
      <c r="AP1018" s="140"/>
      <c r="AQ1018" s="140"/>
      <c r="AR1018" s="140"/>
      <c r="AS1018" s="140"/>
      <c r="AT1018" s="140"/>
      <c r="AU1018" s="140"/>
      <c r="AV1018" s="140"/>
      <c r="AW1018" s="140"/>
      <c r="AX1018" s="140"/>
      <c r="AY1018" s="140"/>
      <c r="AZ1018" s="140"/>
      <c r="BA1018" s="140"/>
      <c r="BB1018" s="140"/>
      <c r="BC1018" s="140"/>
      <c r="BD1018" s="140"/>
      <c r="BE1018" s="140"/>
    </row>
    <row r="1019">
      <c r="A1019" s="108"/>
      <c r="B1019" s="107"/>
      <c r="C1019" s="107"/>
      <c r="D1019" s="107"/>
      <c r="E1019" s="107"/>
      <c r="F1019" s="107"/>
      <c r="G1019" s="208"/>
      <c r="H1019" s="131"/>
      <c r="I1019" s="211"/>
      <c r="J1019" s="107"/>
      <c r="K1019" s="202"/>
      <c r="L1019" s="107"/>
      <c r="M1019" s="107"/>
      <c r="N1019" s="206"/>
      <c r="O1019" s="108" t="b">
        <v>0</v>
      </c>
      <c r="P1019" s="207"/>
      <c r="Q1019" s="140"/>
      <c r="R1019" s="140"/>
      <c r="S1019" s="140"/>
      <c r="T1019" s="140"/>
      <c r="U1019" s="140"/>
      <c r="V1019" s="140"/>
      <c r="W1019" s="140"/>
      <c r="X1019" s="140"/>
      <c r="Y1019" s="140"/>
      <c r="Z1019" s="140"/>
      <c r="AA1019" s="140"/>
      <c r="AB1019" s="140"/>
      <c r="AC1019" s="140"/>
      <c r="AD1019" s="140"/>
      <c r="AE1019" s="140"/>
      <c r="AF1019" s="140"/>
      <c r="AG1019" s="140"/>
      <c r="AH1019" s="140"/>
      <c r="AI1019" s="140"/>
      <c r="AJ1019" s="140"/>
      <c r="AK1019" s="140"/>
      <c r="AL1019" s="140"/>
      <c r="AM1019" s="140"/>
      <c r="AN1019" s="140"/>
      <c r="AO1019" s="140"/>
      <c r="AP1019" s="140"/>
      <c r="AQ1019" s="140"/>
      <c r="AR1019" s="140"/>
      <c r="AS1019" s="140"/>
      <c r="AT1019" s="140"/>
      <c r="AU1019" s="140"/>
      <c r="AV1019" s="140"/>
      <c r="AW1019" s="140"/>
      <c r="AX1019" s="140"/>
      <c r="AY1019" s="140"/>
      <c r="AZ1019" s="140"/>
      <c r="BA1019" s="140"/>
      <c r="BB1019" s="140"/>
      <c r="BC1019" s="140"/>
      <c r="BD1019" s="140"/>
      <c r="BE1019" s="140"/>
    </row>
    <row r="1020">
      <c r="A1020" s="108"/>
      <c r="B1020" s="107"/>
      <c r="C1020" s="107"/>
      <c r="D1020" s="107"/>
      <c r="E1020" s="107"/>
      <c r="F1020" s="107"/>
      <c r="G1020" s="208"/>
      <c r="H1020" s="131"/>
      <c r="I1020" s="211"/>
      <c r="J1020" s="107"/>
      <c r="K1020" s="202"/>
      <c r="L1020" s="107"/>
      <c r="M1020" s="107"/>
      <c r="N1020" s="206"/>
      <c r="O1020" s="108" t="b">
        <v>0</v>
      </c>
      <c r="P1020" s="207"/>
      <c r="Q1020" s="140"/>
      <c r="R1020" s="140"/>
      <c r="S1020" s="140"/>
      <c r="T1020" s="140"/>
      <c r="U1020" s="140"/>
      <c r="V1020" s="140"/>
      <c r="W1020" s="140"/>
      <c r="X1020" s="140"/>
      <c r="Y1020" s="140"/>
      <c r="Z1020" s="140"/>
      <c r="AA1020" s="140"/>
      <c r="AB1020" s="140"/>
      <c r="AC1020" s="140"/>
      <c r="AD1020" s="140"/>
      <c r="AE1020" s="140"/>
      <c r="AF1020" s="140"/>
      <c r="AG1020" s="140"/>
      <c r="AH1020" s="140"/>
      <c r="AI1020" s="140"/>
      <c r="AJ1020" s="140"/>
      <c r="AK1020" s="140"/>
      <c r="AL1020" s="140"/>
      <c r="AM1020" s="140"/>
      <c r="AN1020" s="140"/>
      <c r="AO1020" s="140"/>
      <c r="AP1020" s="140"/>
      <c r="AQ1020" s="140"/>
      <c r="AR1020" s="140"/>
      <c r="AS1020" s="140"/>
      <c r="AT1020" s="140"/>
      <c r="AU1020" s="140"/>
      <c r="AV1020" s="140"/>
      <c r="AW1020" s="140"/>
      <c r="AX1020" s="140"/>
      <c r="AY1020" s="140"/>
      <c r="AZ1020" s="140"/>
      <c r="BA1020" s="140"/>
      <c r="BB1020" s="140"/>
      <c r="BC1020" s="140"/>
      <c r="BD1020" s="140"/>
      <c r="BE1020" s="140"/>
    </row>
    <row r="1021">
      <c r="A1021" s="108"/>
      <c r="B1021" s="107"/>
      <c r="C1021" s="107"/>
      <c r="D1021" s="107"/>
      <c r="E1021" s="107"/>
      <c r="F1021" s="107"/>
      <c r="G1021" s="208"/>
      <c r="H1021" s="131"/>
      <c r="I1021" s="211"/>
      <c r="J1021" s="107"/>
      <c r="K1021" s="202"/>
      <c r="L1021" s="107"/>
      <c r="M1021" s="107"/>
      <c r="N1021" s="206"/>
      <c r="O1021" s="108" t="b">
        <v>0</v>
      </c>
      <c r="P1021" s="207"/>
      <c r="Q1021" s="140"/>
      <c r="R1021" s="140"/>
      <c r="S1021" s="140"/>
      <c r="T1021" s="140"/>
      <c r="U1021" s="140"/>
      <c r="V1021" s="140"/>
      <c r="W1021" s="140"/>
      <c r="X1021" s="140"/>
      <c r="Y1021" s="140"/>
      <c r="Z1021" s="140"/>
      <c r="AA1021" s="140"/>
      <c r="AB1021" s="140"/>
      <c r="AC1021" s="140"/>
      <c r="AD1021" s="140"/>
      <c r="AE1021" s="140"/>
      <c r="AF1021" s="140"/>
      <c r="AG1021" s="140"/>
      <c r="AH1021" s="140"/>
      <c r="AI1021" s="140"/>
      <c r="AJ1021" s="140"/>
      <c r="AK1021" s="140"/>
      <c r="AL1021" s="140"/>
      <c r="AM1021" s="140"/>
      <c r="AN1021" s="140"/>
      <c r="AO1021" s="140"/>
      <c r="AP1021" s="140"/>
      <c r="AQ1021" s="140"/>
      <c r="AR1021" s="140"/>
      <c r="AS1021" s="140"/>
      <c r="AT1021" s="140"/>
      <c r="AU1021" s="140"/>
      <c r="AV1021" s="140"/>
      <c r="AW1021" s="140"/>
      <c r="AX1021" s="140"/>
      <c r="AY1021" s="140"/>
      <c r="AZ1021" s="140"/>
      <c r="BA1021" s="140"/>
      <c r="BB1021" s="140"/>
      <c r="BC1021" s="140"/>
      <c r="BD1021" s="140"/>
      <c r="BE1021" s="140"/>
    </row>
    <row r="1022">
      <c r="A1022" s="108"/>
      <c r="B1022" s="107"/>
      <c r="C1022" s="107"/>
      <c r="D1022" s="107"/>
      <c r="E1022" s="107"/>
      <c r="F1022" s="107"/>
      <c r="G1022" s="208"/>
      <c r="H1022" s="131"/>
      <c r="I1022" s="211"/>
      <c r="J1022" s="107"/>
      <c r="K1022" s="202"/>
      <c r="L1022" s="107"/>
      <c r="M1022" s="107"/>
      <c r="N1022" s="206"/>
      <c r="O1022" s="108" t="b">
        <v>0</v>
      </c>
      <c r="P1022" s="207"/>
      <c r="Q1022" s="140"/>
      <c r="R1022" s="140"/>
      <c r="S1022" s="140"/>
      <c r="T1022" s="140"/>
      <c r="U1022" s="140"/>
      <c r="V1022" s="140"/>
      <c r="W1022" s="140"/>
      <c r="X1022" s="140"/>
      <c r="Y1022" s="140"/>
      <c r="Z1022" s="140"/>
      <c r="AA1022" s="140"/>
      <c r="AB1022" s="140"/>
      <c r="AC1022" s="140"/>
      <c r="AD1022" s="140"/>
      <c r="AE1022" s="140"/>
      <c r="AF1022" s="140"/>
      <c r="AG1022" s="140"/>
      <c r="AH1022" s="140"/>
      <c r="AI1022" s="140"/>
      <c r="AJ1022" s="140"/>
      <c r="AK1022" s="140"/>
      <c r="AL1022" s="140"/>
      <c r="AM1022" s="140"/>
      <c r="AN1022" s="140"/>
      <c r="AO1022" s="140"/>
      <c r="AP1022" s="140"/>
      <c r="AQ1022" s="140"/>
      <c r="AR1022" s="140"/>
      <c r="AS1022" s="140"/>
      <c r="AT1022" s="140"/>
      <c r="AU1022" s="140"/>
      <c r="AV1022" s="140"/>
      <c r="AW1022" s="140"/>
      <c r="AX1022" s="140"/>
      <c r="AY1022" s="140"/>
      <c r="AZ1022" s="140"/>
      <c r="BA1022" s="140"/>
      <c r="BB1022" s="140"/>
      <c r="BC1022" s="140"/>
      <c r="BD1022" s="140"/>
      <c r="BE1022" s="140"/>
    </row>
    <row r="1023">
      <c r="A1023" s="108"/>
      <c r="B1023" s="107"/>
      <c r="C1023" s="107"/>
      <c r="D1023" s="107"/>
      <c r="E1023" s="107"/>
      <c r="F1023" s="107"/>
      <c r="G1023" s="208"/>
      <c r="H1023" s="131"/>
      <c r="I1023" s="211"/>
      <c r="J1023" s="107"/>
      <c r="K1023" s="202"/>
      <c r="L1023" s="107"/>
      <c r="M1023" s="107"/>
      <c r="N1023" s="206"/>
      <c r="O1023" s="108" t="b">
        <v>0</v>
      </c>
      <c r="P1023" s="207"/>
      <c r="Q1023" s="140"/>
      <c r="R1023" s="140"/>
      <c r="S1023" s="140"/>
      <c r="T1023" s="140"/>
      <c r="U1023" s="140"/>
      <c r="V1023" s="140"/>
      <c r="W1023" s="140"/>
      <c r="X1023" s="140"/>
      <c r="Y1023" s="140"/>
      <c r="Z1023" s="140"/>
      <c r="AA1023" s="140"/>
      <c r="AB1023" s="140"/>
      <c r="AC1023" s="140"/>
      <c r="AD1023" s="140"/>
      <c r="AE1023" s="140"/>
      <c r="AF1023" s="140"/>
      <c r="AG1023" s="140"/>
      <c r="AH1023" s="140"/>
      <c r="AI1023" s="140"/>
      <c r="AJ1023" s="140"/>
      <c r="AK1023" s="140"/>
      <c r="AL1023" s="140"/>
      <c r="AM1023" s="140"/>
      <c r="AN1023" s="140"/>
      <c r="AO1023" s="140"/>
      <c r="AP1023" s="140"/>
      <c r="AQ1023" s="140"/>
      <c r="AR1023" s="140"/>
      <c r="AS1023" s="140"/>
      <c r="AT1023" s="140"/>
      <c r="AU1023" s="140"/>
      <c r="AV1023" s="140"/>
      <c r="AW1023" s="140"/>
      <c r="AX1023" s="140"/>
      <c r="AY1023" s="140"/>
      <c r="AZ1023" s="140"/>
      <c r="BA1023" s="140"/>
      <c r="BB1023" s="140"/>
      <c r="BC1023" s="140"/>
      <c r="BD1023" s="140"/>
      <c r="BE1023" s="140"/>
    </row>
    <row r="1024">
      <c r="A1024" s="108"/>
      <c r="B1024" s="107"/>
      <c r="C1024" s="107"/>
      <c r="D1024" s="107"/>
      <c r="E1024" s="107"/>
      <c r="F1024" s="107"/>
      <c r="G1024" s="208"/>
      <c r="H1024" s="131"/>
      <c r="I1024" s="211"/>
      <c r="J1024" s="107"/>
      <c r="K1024" s="202"/>
      <c r="L1024" s="107"/>
      <c r="M1024" s="107"/>
      <c r="N1024" s="206"/>
      <c r="O1024" s="108" t="b">
        <v>0</v>
      </c>
      <c r="P1024" s="207"/>
      <c r="Q1024" s="140"/>
      <c r="R1024" s="140"/>
      <c r="S1024" s="140"/>
      <c r="T1024" s="140"/>
      <c r="U1024" s="140"/>
      <c r="V1024" s="140"/>
      <c r="W1024" s="140"/>
      <c r="X1024" s="140"/>
      <c r="Y1024" s="140"/>
      <c r="Z1024" s="140"/>
      <c r="AA1024" s="140"/>
      <c r="AB1024" s="140"/>
      <c r="AC1024" s="140"/>
      <c r="AD1024" s="140"/>
      <c r="AE1024" s="140"/>
      <c r="AF1024" s="140"/>
      <c r="AG1024" s="140"/>
      <c r="AH1024" s="140"/>
      <c r="AI1024" s="140"/>
      <c r="AJ1024" s="140"/>
      <c r="AK1024" s="140"/>
      <c r="AL1024" s="140"/>
      <c r="AM1024" s="140"/>
      <c r="AN1024" s="140"/>
      <c r="AO1024" s="140"/>
      <c r="AP1024" s="140"/>
      <c r="AQ1024" s="140"/>
      <c r="AR1024" s="140"/>
      <c r="AS1024" s="140"/>
      <c r="AT1024" s="140"/>
      <c r="AU1024" s="140"/>
      <c r="AV1024" s="140"/>
      <c r="AW1024" s="140"/>
      <c r="AX1024" s="140"/>
      <c r="AY1024" s="140"/>
      <c r="AZ1024" s="140"/>
      <c r="BA1024" s="140"/>
      <c r="BB1024" s="140"/>
      <c r="BC1024" s="140"/>
      <c r="BD1024" s="140"/>
      <c r="BE1024" s="140"/>
    </row>
    <row r="1025">
      <c r="A1025" s="108"/>
      <c r="B1025" s="107"/>
      <c r="C1025" s="107"/>
      <c r="D1025" s="107"/>
      <c r="E1025" s="107"/>
      <c r="F1025" s="107"/>
      <c r="G1025" s="208"/>
      <c r="H1025" s="131"/>
      <c r="I1025" s="211"/>
      <c r="J1025" s="107"/>
      <c r="K1025" s="202"/>
      <c r="L1025" s="107"/>
      <c r="M1025" s="107"/>
      <c r="N1025" s="206"/>
      <c r="O1025" s="108" t="b">
        <v>0</v>
      </c>
      <c r="P1025" s="207"/>
      <c r="Q1025" s="140"/>
      <c r="R1025" s="140"/>
      <c r="S1025" s="140"/>
      <c r="T1025" s="140"/>
      <c r="U1025" s="140"/>
      <c r="V1025" s="140"/>
      <c r="W1025" s="140"/>
      <c r="X1025" s="140"/>
      <c r="Y1025" s="140"/>
      <c r="Z1025" s="140"/>
      <c r="AA1025" s="140"/>
      <c r="AB1025" s="140"/>
      <c r="AC1025" s="140"/>
      <c r="AD1025" s="140"/>
      <c r="AE1025" s="140"/>
      <c r="AF1025" s="140"/>
      <c r="AG1025" s="140"/>
      <c r="AH1025" s="140"/>
      <c r="AI1025" s="140"/>
      <c r="AJ1025" s="140"/>
      <c r="AK1025" s="140"/>
      <c r="AL1025" s="140"/>
      <c r="AM1025" s="140"/>
      <c r="AN1025" s="140"/>
      <c r="AO1025" s="140"/>
      <c r="AP1025" s="140"/>
      <c r="AQ1025" s="140"/>
      <c r="AR1025" s="140"/>
      <c r="AS1025" s="140"/>
      <c r="AT1025" s="140"/>
      <c r="AU1025" s="140"/>
      <c r="AV1025" s="140"/>
      <c r="AW1025" s="140"/>
      <c r="AX1025" s="140"/>
      <c r="AY1025" s="140"/>
      <c r="AZ1025" s="140"/>
      <c r="BA1025" s="140"/>
      <c r="BB1025" s="140"/>
      <c r="BC1025" s="140"/>
      <c r="BD1025" s="140"/>
      <c r="BE1025" s="140"/>
    </row>
    <row r="1026">
      <c r="A1026" s="108"/>
      <c r="B1026" s="107"/>
      <c r="C1026" s="107"/>
      <c r="D1026" s="107"/>
      <c r="E1026" s="107"/>
      <c r="F1026" s="107"/>
      <c r="G1026" s="208"/>
      <c r="H1026" s="131"/>
      <c r="I1026" s="211"/>
      <c r="J1026" s="107"/>
      <c r="K1026" s="202"/>
      <c r="L1026" s="107"/>
      <c r="M1026" s="107"/>
      <c r="N1026" s="206"/>
      <c r="O1026" s="108" t="b">
        <v>0</v>
      </c>
      <c r="P1026" s="207"/>
      <c r="Q1026" s="140"/>
      <c r="R1026" s="140"/>
      <c r="S1026" s="140"/>
      <c r="T1026" s="140"/>
      <c r="U1026" s="140"/>
      <c r="V1026" s="140"/>
      <c r="W1026" s="140"/>
      <c r="X1026" s="140"/>
      <c r="Y1026" s="140"/>
      <c r="Z1026" s="140"/>
      <c r="AA1026" s="140"/>
      <c r="AB1026" s="140"/>
      <c r="AC1026" s="140"/>
      <c r="AD1026" s="140"/>
      <c r="AE1026" s="140"/>
      <c r="AF1026" s="140"/>
      <c r="AG1026" s="140"/>
      <c r="AH1026" s="140"/>
      <c r="AI1026" s="140"/>
      <c r="AJ1026" s="140"/>
      <c r="AK1026" s="140"/>
      <c r="AL1026" s="140"/>
      <c r="AM1026" s="140"/>
      <c r="AN1026" s="140"/>
      <c r="AO1026" s="140"/>
      <c r="AP1026" s="140"/>
      <c r="AQ1026" s="140"/>
      <c r="AR1026" s="140"/>
      <c r="AS1026" s="140"/>
      <c r="AT1026" s="140"/>
      <c r="AU1026" s="140"/>
      <c r="AV1026" s="140"/>
      <c r="AW1026" s="140"/>
      <c r="AX1026" s="140"/>
      <c r="AY1026" s="140"/>
      <c r="AZ1026" s="140"/>
      <c r="BA1026" s="140"/>
      <c r="BB1026" s="140"/>
      <c r="BC1026" s="140"/>
      <c r="BD1026" s="140"/>
      <c r="BE1026" s="140"/>
    </row>
    <row r="1027">
      <c r="A1027" s="108"/>
      <c r="B1027" s="107"/>
      <c r="C1027" s="107"/>
      <c r="D1027" s="107"/>
      <c r="E1027" s="107"/>
      <c r="F1027" s="107"/>
      <c r="G1027" s="208"/>
      <c r="H1027" s="131"/>
      <c r="I1027" s="211"/>
      <c r="J1027" s="107"/>
      <c r="K1027" s="202"/>
      <c r="L1027" s="107"/>
      <c r="M1027" s="107"/>
      <c r="N1027" s="206"/>
      <c r="O1027" s="108" t="b">
        <v>0</v>
      </c>
      <c r="P1027" s="207"/>
      <c r="Q1027" s="140"/>
      <c r="R1027" s="140"/>
      <c r="S1027" s="140"/>
      <c r="T1027" s="140"/>
      <c r="U1027" s="140"/>
      <c r="V1027" s="140"/>
      <c r="W1027" s="140"/>
      <c r="X1027" s="140"/>
      <c r="Y1027" s="140"/>
      <c r="Z1027" s="140"/>
      <c r="AA1027" s="140"/>
      <c r="AB1027" s="140"/>
      <c r="AC1027" s="140"/>
      <c r="AD1027" s="140"/>
      <c r="AE1027" s="140"/>
      <c r="AF1027" s="140"/>
      <c r="AG1027" s="140"/>
      <c r="AH1027" s="140"/>
      <c r="AI1027" s="140"/>
      <c r="AJ1027" s="140"/>
      <c r="AK1027" s="140"/>
      <c r="AL1027" s="140"/>
      <c r="AM1027" s="140"/>
      <c r="AN1027" s="140"/>
      <c r="AO1027" s="140"/>
      <c r="AP1027" s="140"/>
      <c r="AQ1027" s="140"/>
      <c r="AR1027" s="140"/>
      <c r="AS1027" s="140"/>
      <c r="AT1027" s="140"/>
      <c r="AU1027" s="140"/>
      <c r="AV1027" s="140"/>
      <c r="AW1027" s="140"/>
      <c r="AX1027" s="140"/>
      <c r="AY1027" s="140"/>
      <c r="AZ1027" s="140"/>
      <c r="BA1027" s="140"/>
      <c r="BB1027" s="140"/>
      <c r="BC1027" s="140"/>
      <c r="BD1027" s="140"/>
      <c r="BE1027" s="140"/>
    </row>
    <row r="1028">
      <c r="A1028" s="108"/>
      <c r="B1028" s="107"/>
      <c r="C1028" s="107"/>
      <c r="D1028" s="107"/>
      <c r="E1028" s="107"/>
      <c r="F1028" s="107"/>
      <c r="G1028" s="208"/>
      <c r="H1028" s="131"/>
      <c r="I1028" s="211"/>
      <c r="J1028" s="107"/>
      <c r="K1028" s="202"/>
      <c r="L1028" s="107"/>
      <c r="M1028" s="107"/>
      <c r="N1028" s="206"/>
      <c r="O1028" s="108" t="b">
        <v>0</v>
      </c>
      <c r="P1028" s="207"/>
      <c r="Q1028" s="140"/>
      <c r="R1028" s="140"/>
      <c r="S1028" s="140"/>
      <c r="T1028" s="140"/>
      <c r="U1028" s="140"/>
      <c r="V1028" s="140"/>
      <c r="W1028" s="140"/>
      <c r="X1028" s="140"/>
      <c r="Y1028" s="140"/>
      <c r="Z1028" s="140"/>
      <c r="AA1028" s="140"/>
      <c r="AB1028" s="140"/>
      <c r="AC1028" s="140"/>
      <c r="AD1028" s="140"/>
      <c r="AE1028" s="140"/>
      <c r="AF1028" s="140"/>
      <c r="AG1028" s="140"/>
      <c r="AH1028" s="140"/>
      <c r="AI1028" s="140"/>
      <c r="AJ1028" s="140"/>
      <c r="AK1028" s="140"/>
      <c r="AL1028" s="140"/>
      <c r="AM1028" s="140"/>
      <c r="AN1028" s="140"/>
      <c r="AO1028" s="140"/>
      <c r="AP1028" s="140"/>
      <c r="AQ1028" s="140"/>
      <c r="AR1028" s="140"/>
      <c r="AS1028" s="140"/>
      <c r="AT1028" s="140"/>
      <c r="AU1028" s="140"/>
      <c r="AV1028" s="140"/>
      <c r="AW1028" s="140"/>
      <c r="AX1028" s="140"/>
      <c r="AY1028" s="140"/>
      <c r="AZ1028" s="140"/>
      <c r="BA1028" s="140"/>
      <c r="BB1028" s="140"/>
      <c r="BC1028" s="140"/>
      <c r="BD1028" s="140"/>
      <c r="BE1028" s="140"/>
    </row>
    <row r="1029">
      <c r="A1029" s="108"/>
      <c r="B1029" s="107"/>
      <c r="C1029" s="107"/>
      <c r="D1029" s="107"/>
      <c r="E1029" s="107"/>
      <c r="F1029" s="107"/>
      <c r="G1029" s="208"/>
      <c r="H1029" s="131"/>
      <c r="I1029" s="211"/>
      <c r="J1029" s="107"/>
      <c r="K1029" s="202"/>
      <c r="L1029" s="107"/>
      <c r="M1029" s="107"/>
      <c r="N1029" s="206"/>
      <c r="O1029" s="108" t="b">
        <v>0</v>
      </c>
      <c r="P1029" s="207"/>
      <c r="Q1029" s="140"/>
      <c r="R1029" s="140"/>
      <c r="S1029" s="140"/>
      <c r="T1029" s="140"/>
      <c r="U1029" s="140"/>
      <c r="V1029" s="140"/>
      <c r="W1029" s="140"/>
      <c r="X1029" s="140"/>
      <c r="Y1029" s="140"/>
      <c r="Z1029" s="140"/>
      <c r="AA1029" s="140"/>
      <c r="AB1029" s="140"/>
      <c r="AC1029" s="140"/>
      <c r="AD1029" s="140"/>
      <c r="AE1029" s="140"/>
      <c r="AF1029" s="140"/>
      <c r="AG1029" s="140"/>
      <c r="AH1029" s="140"/>
      <c r="AI1029" s="140"/>
      <c r="AJ1029" s="140"/>
      <c r="AK1029" s="140"/>
      <c r="AL1029" s="140"/>
      <c r="AM1029" s="140"/>
      <c r="AN1029" s="140"/>
      <c r="AO1029" s="140"/>
      <c r="AP1029" s="140"/>
      <c r="AQ1029" s="140"/>
      <c r="AR1029" s="140"/>
      <c r="AS1029" s="140"/>
      <c r="AT1029" s="140"/>
      <c r="AU1029" s="140"/>
      <c r="AV1029" s="140"/>
      <c r="AW1029" s="140"/>
      <c r="AX1029" s="140"/>
      <c r="AY1029" s="140"/>
      <c r="AZ1029" s="140"/>
      <c r="BA1029" s="140"/>
      <c r="BB1029" s="140"/>
      <c r="BC1029" s="140"/>
      <c r="BD1029" s="140"/>
      <c r="BE1029" s="140"/>
    </row>
    <row r="1030">
      <c r="A1030" s="108"/>
      <c r="B1030" s="107"/>
      <c r="C1030" s="107"/>
      <c r="D1030" s="107"/>
      <c r="E1030" s="107"/>
      <c r="F1030" s="107"/>
      <c r="G1030" s="208"/>
      <c r="H1030" s="131"/>
      <c r="I1030" s="211"/>
      <c r="J1030" s="107"/>
      <c r="K1030" s="202"/>
      <c r="L1030" s="107"/>
      <c r="M1030" s="107"/>
      <c r="N1030" s="206"/>
      <c r="O1030" s="108" t="b">
        <v>0</v>
      </c>
      <c r="P1030" s="207"/>
      <c r="Q1030" s="140"/>
      <c r="R1030" s="140"/>
      <c r="S1030" s="140"/>
      <c r="T1030" s="140"/>
      <c r="U1030" s="140"/>
      <c r="V1030" s="140"/>
      <c r="W1030" s="140"/>
      <c r="X1030" s="140"/>
      <c r="Y1030" s="140"/>
      <c r="Z1030" s="140"/>
      <c r="AA1030" s="140"/>
      <c r="AB1030" s="140"/>
      <c r="AC1030" s="140"/>
      <c r="AD1030" s="140"/>
      <c r="AE1030" s="140"/>
      <c r="AF1030" s="140"/>
      <c r="AG1030" s="140"/>
      <c r="AH1030" s="140"/>
      <c r="AI1030" s="140"/>
      <c r="AJ1030" s="140"/>
      <c r="AK1030" s="140"/>
      <c r="AL1030" s="140"/>
      <c r="AM1030" s="140"/>
      <c r="AN1030" s="140"/>
      <c r="AO1030" s="140"/>
      <c r="AP1030" s="140"/>
      <c r="AQ1030" s="140"/>
      <c r="AR1030" s="140"/>
      <c r="AS1030" s="140"/>
      <c r="AT1030" s="140"/>
      <c r="AU1030" s="140"/>
      <c r="AV1030" s="140"/>
      <c r="AW1030" s="140"/>
      <c r="AX1030" s="140"/>
      <c r="AY1030" s="140"/>
      <c r="AZ1030" s="140"/>
      <c r="BA1030" s="140"/>
      <c r="BB1030" s="140"/>
      <c r="BC1030" s="140"/>
      <c r="BD1030" s="140"/>
      <c r="BE1030" s="140"/>
    </row>
    <row r="1031">
      <c r="A1031" s="108"/>
      <c r="B1031" s="107"/>
      <c r="C1031" s="107"/>
      <c r="D1031" s="107"/>
      <c r="E1031" s="107"/>
      <c r="F1031" s="107"/>
      <c r="G1031" s="208"/>
      <c r="H1031" s="131"/>
      <c r="I1031" s="211"/>
      <c r="J1031" s="107"/>
      <c r="K1031" s="202"/>
      <c r="L1031" s="107"/>
      <c r="M1031" s="107"/>
      <c r="N1031" s="206"/>
      <c r="O1031" s="108" t="b">
        <v>0</v>
      </c>
      <c r="P1031" s="207"/>
      <c r="Q1031" s="140"/>
      <c r="R1031" s="140"/>
      <c r="S1031" s="140"/>
      <c r="T1031" s="140"/>
      <c r="U1031" s="140"/>
      <c r="V1031" s="140"/>
      <c r="W1031" s="140"/>
      <c r="X1031" s="140"/>
      <c r="Y1031" s="140"/>
      <c r="Z1031" s="140"/>
      <c r="AA1031" s="140"/>
      <c r="AB1031" s="140"/>
      <c r="AC1031" s="140"/>
      <c r="AD1031" s="140"/>
      <c r="AE1031" s="140"/>
      <c r="AF1031" s="140"/>
      <c r="AG1031" s="140"/>
      <c r="AH1031" s="140"/>
      <c r="AI1031" s="140"/>
      <c r="AJ1031" s="140"/>
      <c r="AK1031" s="140"/>
      <c r="AL1031" s="140"/>
      <c r="AM1031" s="140"/>
      <c r="AN1031" s="140"/>
      <c r="AO1031" s="140"/>
      <c r="AP1031" s="140"/>
      <c r="AQ1031" s="140"/>
      <c r="AR1031" s="140"/>
      <c r="AS1031" s="140"/>
      <c r="AT1031" s="140"/>
      <c r="AU1031" s="140"/>
      <c r="AV1031" s="140"/>
      <c r="AW1031" s="140"/>
      <c r="AX1031" s="140"/>
      <c r="AY1031" s="140"/>
      <c r="AZ1031" s="140"/>
      <c r="BA1031" s="140"/>
      <c r="BB1031" s="140"/>
      <c r="BC1031" s="140"/>
      <c r="BD1031" s="140"/>
      <c r="BE1031" s="140"/>
    </row>
    <row r="1032">
      <c r="A1032" s="108"/>
      <c r="B1032" s="107"/>
      <c r="C1032" s="107"/>
      <c r="D1032" s="107"/>
      <c r="E1032" s="107"/>
      <c r="F1032" s="107"/>
      <c r="G1032" s="208"/>
      <c r="H1032" s="131"/>
      <c r="I1032" s="211"/>
      <c r="J1032" s="107"/>
      <c r="K1032" s="202"/>
      <c r="L1032" s="107"/>
      <c r="M1032" s="107"/>
      <c r="N1032" s="206"/>
      <c r="O1032" s="108" t="b">
        <v>0</v>
      </c>
      <c r="P1032" s="207"/>
      <c r="Q1032" s="140"/>
      <c r="R1032" s="140"/>
      <c r="S1032" s="140"/>
      <c r="T1032" s="140"/>
      <c r="U1032" s="140"/>
      <c r="V1032" s="140"/>
      <c r="W1032" s="140"/>
      <c r="X1032" s="140"/>
      <c r="Y1032" s="140"/>
      <c r="Z1032" s="140"/>
      <c r="AA1032" s="140"/>
      <c r="AB1032" s="140"/>
      <c r="AC1032" s="140"/>
      <c r="AD1032" s="140"/>
      <c r="AE1032" s="140"/>
      <c r="AF1032" s="140"/>
      <c r="AG1032" s="140"/>
      <c r="AH1032" s="140"/>
      <c r="AI1032" s="140"/>
      <c r="AJ1032" s="140"/>
      <c r="AK1032" s="140"/>
      <c r="AL1032" s="140"/>
      <c r="AM1032" s="140"/>
      <c r="AN1032" s="140"/>
      <c r="AO1032" s="140"/>
      <c r="AP1032" s="140"/>
      <c r="AQ1032" s="140"/>
      <c r="AR1032" s="140"/>
      <c r="AS1032" s="140"/>
      <c r="AT1032" s="140"/>
      <c r="AU1032" s="140"/>
      <c r="AV1032" s="140"/>
      <c r="AW1032" s="140"/>
      <c r="AX1032" s="140"/>
      <c r="AY1032" s="140"/>
      <c r="AZ1032" s="140"/>
      <c r="BA1032" s="140"/>
      <c r="BB1032" s="140"/>
      <c r="BC1032" s="140"/>
      <c r="BD1032" s="140"/>
      <c r="BE1032" s="140"/>
    </row>
    <row r="1033">
      <c r="A1033" s="108"/>
      <c r="B1033" s="107"/>
      <c r="C1033" s="107"/>
      <c r="D1033" s="107"/>
      <c r="E1033" s="107"/>
      <c r="F1033" s="107"/>
      <c r="G1033" s="208"/>
      <c r="H1033" s="131"/>
      <c r="I1033" s="211"/>
      <c r="J1033" s="107"/>
      <c r="K1033" s="202"/>
      <c r="L1033" s="107"/>
      <c r="M1033" s="107"/>
      <c r="N1033" s="206"/>
      <c r="O1033" s="108" t="b">
        <v>0</v>
      </c>
      <c r="P1033" s="207"/>
      <c r="Q1033" s="140"/>
      <c r="R1033" s="140"/>
      <c r="S1033" s="140"/>
      <c r="T1033" s="140"/>
      <c r="U1033" s="140"/>
      <c r="V1033" s="140"/>
      <c r="W1033" s="140"/>
      <c r="X1033" s="140"/>
      <c r="Y1033" s="140"/>
      <c r="Z1033" s="140"/>
      <c r="AA1033" s="140"/>
      <c r="AB1033" s="140"/>
      <c r="AC1033" s="140"/>
      <c r="AD1033" s="140"/>
      <c r="AE1033" s="140"/>
      <c r="AF1033" s="140"/>
      <c r="AG1033" s="140"/>
      <c r="AH1033" s="140"/>
      <c r="AI1033" s="140"/>
      <c r="AJ1033" s="140"/>
      <c r="AK1033" s="140"/>
      <c r="AL1033" s="140"/>
      <c r="AM1033" s="140"/>
      <c r="AN1033" s="140"/>
      <c r="AO1033" s="140"/>
      <c r="AP1033" s="140"/>
      <c r="AQ1033" s="140"/>
      <c r="AR1033" s="140"/>
      <c r="AS1033" s="140"/>
      <c r="AT1033" s="140"/>
      <c r="AU1033" s="140"/>
      <c r="AV1033" s="140"/>
      <c r="AW1033" s="140"/>
      <c r="AX1033" s="140"/>
      <c r="AY1033" s="140"/>
      <c r="AZ1033" s="140"/>
      <c r="BA1033" s="140"/>
      <c r="BB1033" s="140"/>
      <c r="BC1033" s="140"/>
      <c r="BD1033" s="140"/>
      <c r="BE1033" s="140"/>
    </row>
    <row r="1034">
      <c r="A1034" s="108"/>
      <c r="B1034" s="107"/>
      <c r="C1034" s="107"/>
      <c r="D1034" s="107"/>
      <c r="E1034" s="107"/>
      <c r="F1034" s="107"/>
      <c r="G1034" s="208"/>
      <c r="H1034" s="131"/>
      <c r="I1034" s="211"/>
      <c r="J1034" s="107"/>
      <c r="K1034" s="202"/>
      <c r="L1034" s="107"/>
      <c r="M1034" s="107"/>
      <c r="N1034" s="206"/>
      <c r="O1034" s="108" t="b">
        <v>0</v>
      </c>
      <c r="P1034" s="207"/>
      <c r="Q1034" s="140"/>
      <c r="R1034" s="140"/>
      <c r="S1034" s="140"/>
      <c r="T1034" s="140"/>
      <c r="U1034" s="140"/>
      <c r="V1034" s="140"/>
      <c r="W1034" s="140"/>
      <c r="X1034" s="140"/>
      <c r="Y1034" s="140"/>
      <c r="Z1034" s="140"/>
      <c r="AA1034" s="140"/>
      <c r="AB1034" s="140"/>
      <c r="AC1034" s="140"/>
      <c r="AD1034" s="140"/>
      <c r="AE1034" s="140"/>
      <c r="AF1034" s="140"/>
      <c r="AG1034" s="140"/>
      <c r="AH1034" s="140"/>
      <c r="AI1034" s="140"/>
      <c r="AJ1034" s="140"/>
      <c r="AK1034" s="140"/>
      <c r="AL1034" s="140"/>
      <c r="AM1034" s="140"/>
      <c r="AN1034" s="140"/>
      <c r="AO1034" s="140"/>
      <c r="AP1034" s="140"/>
      <c r="AQ1034" s="140"/>
      <c r="AR1034" s="140"/>
      <c r="AS1034" s="140"/>
      <c r="AT1034" s="140"/>
      <c r="AU1034" s="140"/>
      <c r="AV1034" s="140"/>
      <c r="AW1034" s="140"/>
      <c r="AX1034" s="140"/>
      <c r="AY1034" s="140"/>
      <c r="AZ1034" s="140"/>
      <c r="BA1034" s="140"/>
      <c r="BB1034" s="140"/>
      <c r="BC1034" s="140"/>
      <c r="BD1034" s="140"/>
      <c r="BE1034" s="140"/>
    </row>
    <row r="1035">
      <c r="A1035" s="108"/>
      <c r="B1035" s="107"/>
      <c r="C1035" s="107"/>
      <c r="D1035" s="107"/>
      <c r="E1035" s="107"/>
      <c r="F1035" s="107"/>
      <c r="G1035" s="208"/>
      <c r="H1035" s="131"/>
      <c r="I1035" s="211"/>
      <c r="J1035" s="107"/>
      <c r="K1035" s="202"/>
      <c r="L1035" s="107"/>
      <c r="M1035" s="107"/>
      <c r="N1035" s="206"/>
      <c r="O1035" s="108" t="b">
        <v>0</v>
      </c>
      <c r="P1035" s="207"/>
      <c r="Q1035" s="140"/>
      <c r="R1035" s="140"/>
      <c r="S1035" s="140"/>
      <c r="T1035" s="140"/>
      <c r="U1035" s="140"/>
      <c r="V1035" s="140"/>
      <c r="W1035" s="140"/>
      <c r="X1035" s="140"/>
      <c r="Y1035" s="140"/>
      <c r="Z1035" s="140"/>
      <c r="AA1035" s="140"/>
      <c r="AB1035" s="140"/>
      <c r="AC1035" s="140"/>
      <c r="AD1035" s="140"/>
      <c r="AE1035" s="140"/>
      <c r="AF1035" s="140"/>
      <c r="AG1035" s="140"/>
      <c r="AH1035" s="140"/>
      <c r="AI1035" s="140"/>
      <c r="AJ1035" s="140"/>
      <c r="AK1035" s="140"/>
      <c r="AL1035" s="140"/>
      <c r="AM1035" s="140"/>
      <c r="AN1035" s="140"/>
      <c r="AO1035" s="140"/>
      <c r="AP1035" s="140"/>
      <c r="AQ1035" s="140"/>
      <c r="AR1035" s="140"/>
      <c r="AS1035" s="140"/>
      <c r="AT1035" s="140"/>
      <c r="AU1035" s="140"/>
      <c r="AV1035" s="140"/>
      <c r="AW1035" s="140"/>
      <c r="AX1035" s="140"/>
      <c r="AY1035" s="140"/>
      <c r="AZ1035" s="140"/>
      <c r="BA1035" s="140"/>
      <c r="BB1035" s="140"/>
      <c r="BC1035" s="140"/>
      <c r="BD1035" s="140"/>
      <c r="BE1035" s="140"/>
    </row>
    <row r="1036">
      <c r="A1036" s="108"/>
      <c r="B1036" s="107"/>
      <c r="C1036" s="107"/>
      <c r="D1036" s="107"/>
      <c r="E1036" s="107"/>
      <c r="F1036" s="107"/>
      <c r="G1036" s="208"/>
      <c r="H1036" s="131"/>
      <c r="I1036" s="211"/>
      <c r="J1036" s="107"/>
      <c r="K1036" s="202"/>
      <c r="L1036" s="107"/>
      <c r="M1036" s="107"/>
      <c r="N1036" s="206"/>
      <c r="O1036" s="108" t="b">
        <v>0</v>
      </c>
      <c r="P1036" s="207"/>
      <c r="Q1036" s="140"/>
      <c r="R1036" s="140"/>
      <c r="S1036" s="140"/>
      <c r="T1036" s="140"/>
      <c r="U1036" s="140"/>
      <c r="V1036" s="140"/>
      <c r="W1036" s="140"/>
      <c r="X1036" s="140"/>
      <c r="Y1036" s="140"/>
      <c r="Z1036" s="140"/>
      <c r="AA1036" s="140"/>
      <c r="AB1036" s="140"/>
      <c r="AC1036" s="140"/>
      <c r="AD1036" s="140"/>
      <c r="AE1036" s="140"/>
      <c r="AF1036" s="140"/>
      <c r="AG1036" s="140"/>
      <c r="AH1036" s="140"/>
      <c r="AI1036" s="140"/>
      <c r="AJ1036" s="140"/>
      <c r="AK1036" s="140"/>
      <c r="AL1036" s="140"/>
      <c r="AM1036" s="140"/>
      <c r="AN1036" s="140"/>
      <c r="AO1036" s="140"/>
      <c r="AP1036" s="140"/>
      <c r="AQ1036" s="140"/>
      <c r="AR1036" s="140"/>
      <c r="AS1036" s="140"/>
      <c r="AT1036" s="140"/>
      <c r="AU1036" s="140"/>
      <c r="AV1036" s="140"/>
      <c r="AW1036" s="140"/>
      <c r="AX1036" s="140"/>
      <c r="AY1036" s="140"/>
      <c r="AZ1036" s="140"/>
      <c r="BA1036" s="140"/>
      <c r="BB1036" s="140"/>
      <c r="BC1036" s="140"/>
      <c r="BD1036" s="140"/>
      <c r="BE1036" s="140"/>
    </row>
    <row r="1037">
      <c r="A1037" s="108"/>
      <c r="B1037" s="107"/>
      <c r="C1037" s="107"/>
      <c r="D1037" s="107"/>
      <c r="E1037" s="107"/>
      <c r="F1037" s="107"/>
      <c r="G1037" s="208"/>
      <c r="H1037" s="131"/>
      <c r="I1037" s="211"/>
      <c r="J1037" s="107"/>
      <c r="K1037" s="202"/>
      <c r="L1037" s="107"/>
      <c r="M1037" s="107"/>
      <c r="N1037" s="206"/>
      <c r="O1037" s="108" t="b">
        <v>0</v>
      </c>
      <c r="P1037" s="207"/>
      <c r="Q1037" s="140"/>
      <c r="R1037" s="140"/>
      <c r="S1037" s="140"/>
      <c r="T1037" s="140"/>
      <c r="U1037" s="140"/>
      <c r="V1037" s="140"/>
      <c r="W1037" s="140"/>
      <c r="X1037" s="140"/>
      <c r="Y1037" s="140"/>
      <c r="Z1037" s="140"/>
      <c r="AA1037" s="140"/>
      <c r="AB1037" s="140"/>
      <c r="AC1037" s="140"/>
      <c r="AD1037" s="140"/>
      <c r="AE1037" s="140"/>
      <c r="AF1037" s="140"/>
      <c r="AG1037" s="140"/>
      <c r="AH1037" s="140"/>
      <c r="AI1037" s="140"/>
      <c r="AJ1037" s="140"/>
      <c r="AK1037" s="140"/>
      <c r="AL1037" s="140"/>
      <c r="AM1037" s="140"/>
      <c r="AN1037" s="140"/>
      <c r="AO1037" s="140"/>
      <c r="AP1037" s="140"/>
      <c r="AQ1037" s="140"/>
      <c r="AR1037" s="140"/>
      <c r="AS1037" s="140"/>
      <c r="AT1037" s="140"/>
      <c r="AU1037" s="140"/>
      <c r="AV1037" s="140"/>
      <c r="AW1037" s="140"/>
      <c r="AX1037" s="140"/>
      <c r="AY1037" s="140"/>
      <c r="AZ1037" s="140"/>
      <c r="BA1037" s="140"/>
      <c r="BB1037" s="140"/>
      <c r="BC1037" s="140"/>
      <c r="BD1037" s="140"/>
      <c r="BE1037" s="140"/>
    </row>
    <row r="1038">
      <c r="A1038" s="108"/>
      <c r="B1038" s="107"/>
      <c r="C1038" s="107"/>
      <c r="D1038" s="107"/>
      <c r="E1038" s="107"/>
      <c r="F1038" s="107"/>
      <c r="G1038" s="208"/>
      <c r="H1038" s="131"/>
      <c r="I1038" s="211"/>
      <c r="J1038" s="107"/>
      <c r="K1038" s="202"/>
      <c r="L1038" s="107"/>
      <c r="M1038" s="107"/>
      <c r="N1038" s="206"/>
      <c r="O1038" s="108" t="b">
        <v>0</v>
      </c>
      <c r="P1038" s="207"/>
      <c r="Q1038" s="140"/>
      <c r="R1038" s="140"/>
      <c r="S1038" s="140"/>
      <c r="T1038" s="140"/>
      <c r="U1038" s="140"/>
      <c r="V1038" s="140"/>
      <c r="W1038" s="140"/>
      <c r="X1038" s="140"/>
      <c r="Y1038" s="140"/>
      <c r="Z1038" s="140"/>
      <c r="AA1038" s="140"/>
      <c r="AB1038" s="140"/>
      <c r="AC1038" s="140"/>
      <c r="AD1038" s="140"/>
      <c r="AE1038" s="140"/>
      <c r="AF1038" s="140"/>
      <c r="AG1038" s="140"/>
      <c r="AH1038" s="140"/>
      <c r="AI1038" s="140"/>
      <c r="AJ1038" s="140"/>
      <c r="AK1038" s="140"/>
      <c r="AL1038" s="140"/>
      <c r="AM1038" s="140"/>
      <c r="AN1038" s="140"/>
      <c r="AO1038" s="140"/>
      <c r="AP1038" s="140"/>
      <c r="AQ1038" s="140"/>
      <c r="AR1038" s="140"/>
      <c r="AS1038" s="140"/>
      <c r="AT1038" s="140"/>
      <c r="AU1038" s="140"/>
      <c r="AV1038" s="140"/>
      <c r="AW1038" s="140"/>
      <c r="AX1038" s="140"/>
      <c r="AY1038" s="140"/>
      <c r="AZ1038" s="140"/>
      <c r="BA1038" s="140"/>
      <c r="BB1038" s="140"/>
      <c r="BC1038" s="140"/>
      <c r="BD1038" s="140"/>
      <c r="BE1038" s="140"/>
    </row>
    <row r="1039">
      <c r="A1039" s="108"/>
      <c r="B1039" s="107"/>
      <c r="C1039" s="107"/>
      <c r="D1039" s="107"/>
      <c r="E1039" s="107"/>
      <c r="F1039" s="107"/>
      <c r="G1039" s="208"/>
      <c r="H1039" s="131"/>
      <c r="I1039" s="211"/>
      <c r="J1039" s="107"/>
      <c r="K1039" s="202"/>
      <c r="L1039" s="107"/>
      <c r="M1039" s="107"/>
      <c r="N1039" s="206"/>
      <c r="O1039" s="108" t="b">
        <v>0</v>
      </c>
      <c r="P1039" s="207"/>
      <c r="Q1039" s="140"/>
      <c r="R1039" s="140"/>
      <c r="S1039" s="140"/>
      <c r="T1039" s="140"/>
      <c r="U1039" s="140"/>
      <c r="V1039" s="140"/>
      <c r="W1039" s="140"/>
      <c r="X1039" s="140"/>
      <c r="Y1039" s="140"/>
      <c r="Z1039" s="140"/>
      <c r="AA1039" s="140"/>
      <c r="AB1039" s="140"/>
      <c r="AC1039" s="140"/>
      <c r="AD1039" s="140"/>
      <c r="AE1039" s="140"/>
      <c r="AF1039" s="140"/>
      <c r="AG1039" s="140"/>
      <c r="AH1039" s="140"/>
      <c r="AI1039" s="140"/>
      <c r="AJ1039" s="140"/>
      <c r="AK1039" s="140"/>
      <c r="AL1039" s="140"/>
      <c r="AM1039" s="140"/>
      <c r="AN1039" s="140"/>
      <c r="AO1039" s="140"/>
      <c r="AP1039" s="140"/>
      <c r="AQ1039" s="140"/>
      <c r="AR1039" s="140"/>
      <c r="AS1039" s="140"/>
      <c r="AT1039" s="140"/>
      <c r="AU1039" s="140"/>
      <c r="AV1039" s="140"/>
      <c r="AW1039" s="140"/>
      <c r="AX1039" s="140"/>
      <c r="AY1039" s="140"/>
      <c r="AZ1039" s="140"/>
      <c r="BA1039" s="140"/>
      <c r="BB1039" s="140"/>
      <c r="BC1039" s="140"/>
      <c r="BD1039" s="140"/>
      <c r="BE1039" s="140"/>
    </row>
    <row r="1040">
      <c r="A1040" s="108"/>
      <c r="B1040" s="107"/>
      <c r="C1040" s="107"/>
      <c r="D1040" s="107"/>
      <c r="E1040" s="107"/>
      <c r="F1040" s="107"/>
      <c r="G1040" s="208"/>
      <c r="H1040" s="131"/>
      <c r="I1040" s="211"/>
      <c r="J1040" s="107"/>
      <c r="K1040" s="202"/>
      <c r="L1040" s="107"/>
      <c r="M1040" s="107"/>
      <c r="N1040" s="206"/>
      <c r="O1040" s="108" t="b">
        <v>0</v>
      </c>
      <c r="P1040" s="207"/>
      <c r="Q1040" s="140"/>
      <c r="R1040" s="140"/>
      <c r="S1040" s="140"/>
      <c r="T1040" s="140"/>
      <c r="U1040" s="140"/>
      <c r="V1040" s="140"/>
      <c r="W1040" s="140"/>
      <c r="X1040" s="140"/>
      <c r="Y1040" s="140"/>
      <c r="Z1040" s="140"/>
      <c r="AA1040" s="140"/>
      <c r="AB1040" s="140"/>
      <c r="AC1040" s="140"/>
      <c r="AD1040" s="140"/>
      <c r="AE1040" s="140"/>
      <c r="AF1040" s="140"/>
      <c r="AG1040" s="140"/>
      <c r="AH1040" s="140"/>
      <c r="AI1040" s="140"/>
      <c r="AJ1040" s="140"/>
      <c r="AK1040" s="140"/>
      <c r="AL1040" s="140"/>
      <c r="AM1040" s="140"/>
      <c r="AN1040" s="140"/>
      <c r="AO1040" s="140"/>
      <c r="AP1040" s="140"/>
      <c r="AQ1040" s="140"/>
      <c r="AR1040" s="140"/>
      <c r="AS1040" s="140"/>
      <c r="AT1040" s="140"/>
      <c r="AU1040" s="140"/>
      <c r="AV1040" s="140"/>
      <c r="AW1040" s="140"/>
      <c r="AX1040" s="140"/>
      <c r="AY1040" s="140"/>
      <c r="AZ1040" s="140"/>
      <c r="BA1040" s="140"/>
      <c r="BB1040" s="140"/>
      <c r="BC1040" s="140"/>
      <c r="BD1040" s="140"/>
      <c r="BE1040" s="140"/>
    </row>
    <row r="1041">
      <c r="A1041" s="108"/>
      <c r="B1041" s="107"/>
      <c r="C1041" s="107"/>
      <c r="D1041" s="107"/>
      <c r="E1041" s="107"/>
      <c r="F1041" s="107"/>
      <c r="G1041" s="208"/>
      <c r="H1041" s="131"/>
      <c r="I1041" s="211"/>
      <c r="J1041" s="107"/>
      <c r="K1041" s="202"/>
      <c r="L1041" s="107"/>
      <c r="M1041" s="107"/>
      <c r="N1041" s="206"/>
      <c r="O1041" s="108" t="b">
        <v>0</v>
      </c>
      <c r="P1041" s="207"/>
      <c r="Q1041" s="140"/>
      <c r="R1041" s="140"/>
      <c r="S1041" s="140"/>
      <c r="T1041" s="140"/>
      <c r="U1041" s="140"/>
      <c r="V1041" s="140"/>
      <c r="W1041" s="140"/>
      <c r="X1041" s="140"/>
      <c r="Y1041" s="140"/>
      <c r="Z1041" s="140"/>
      <c r="AA1041" s="140"/>
      <c r="AB1041" s="140"/>
      <c r="AC1041" s="140"/>
      <c r="AD1041" s="140"/>
      <c r="AE1041" s="140"/>
      <c r="AF1041" s="140"/>
      <c r="AG1041" s="140"/>
      <c r="AH1041" s="140"/>
      <c r="AI1041" s="140"/>
      <c r="AJ1041" s="140"/>
      <c r="AK1041" s="140"/>
      <c r="AL1041" s="140"/>
      <c r="AM1041" s="140"/>
      <c r="AN1041" s="140"/>
      <c r="AO1041" s="140"/>
      <c r="AP1041" s="140"/>
      <c r="AQ1041" s="140"/>
      <c r="AR1041" s="140"/>
      <c r="AS1041" s="140"/>
      <c r="AT1041" s="140"/>
      <c r="AU1041" s="140"/>
      <c r="AV1041" s="140"/>
      <c r="AW1041" s="140"/>
      <c r="AX1041" s="140"/>
      <c r="AY1041" s="140"/>
      <c r="AZ1041" s="140"/>
      <c r="BA1041" s="140"/>
      <c r="BB1041" s="140"/>
      <c r="BC1041" s="140"/>
      <c r="BD1041" s="140"/>
      <c r="BE1041" s="140"/>
    </row>
    <row r="1042">
      <c r="A1042" s="108"/>
      <c r="B1042" s="107"/>
      <c r="C1042" s="107"/>
      <c r="D1042" s="107"/>
      <c r="E1042" s="107"/>
      <c r="F1042" s="107"/>
      <c r="G1042" s="208"/>
      <c r="H1042" s="131"/>
      <c r="I1042" s="211"/>
      <c r="J1042" s="107"/>
      <c r="K1042" s="202"/>
      <c r="L1042" s="107"/>
      <c r="M1042" s="107"/>
      <c r="N1042" s="206"/>
      <c r="O1042" s="108" t="b">
        <v>0</v>
      </c>
      <c r="P1042" s="207"/>
      <c r="Q1042" s="140"/>
      <c r="R1042" s="140"/>
      <c r="S1042" s="140"/>
      <c r="T1042" s="140"/>
      <c r="U1042" s="140"/>
      <c r="V1042" s="140"/>
      <c r="W1042" s="140"/>
      <c r="X1042" s="140"/>
      <c r="Y1042" s="140"/>
      <c r="Z1042" s="140"/>
      <c r="AA1042" s="140"/>
      <c r="AB1042" s="140"/>
      <c r="AC1042" s="140"/>
      <c r="AD1042" s="140"/>
      <c r="AE1042" s="140"/>
      <c r="AF1042" s="140"/>
      <c r="AG1042" s="140"/>
      <c r="AH1042" s="140"/>
      <c r="AI1042" s="140"/>
      <c r="AJ1042" s="140"/>
      <c r="AK1042" s="140"/>
      <c r="AL1042" s="140"/>
      <c r="AM1042" s="140"/>
      <c r="AN1042" s="140"/>
      <c r="AO1042" s="140"/>
      <c r="AP1042" s="140"/>
      <c r="AQ1042" s="140"/>
      <c r="AR1042" s="140"/>
      <c r="AS1042" s="140"/>
      <c r="AT1042" s="140"/>
      <c r="AU1042" s="140"/>
      <c r="AV1042" s="140"/>
      <c r="AW1042" s="140"/>
      <c r="AX1042" s="140"/>
      <c r="AY1042" s="140"/>
      <c r="AZ1042" s="140"/>
      <c r="BA1042" s="140"/>
      <c r="BB1042" s="140"/>
      <c r="BC1042" s="140"/>
      <c r="BD1042" s="140"/>
      <c r="BE1042" s="140"/>
    </row>
    <row r="1043">
      <c r="A1043" s="108"/>
      <c r="B1043" s="107"/>
      <c r="C1043" s="107"/>
      <c r="D1043" s="107"/>
      <c r="E1043" s="107"/>
      <c r="F1043" s="107"/>
      <c r="G1043" s="208"/>
      <c r="H1043" s="131"/>
      <c r="I1043" s="211"/>
      <c r="J1043" s="107"/>
      <c r="K1043" s="202"/>
      <c r="L1043" s="107"/>
      <c r="M1043" s="107"/>
      <c r="N1043" s="206"/>
      <c r="O1043" s="108" t="b">
        <v>0</v>
      </c>
      <c r="P1043" s="207"/>
      <c r="Q1043" s="140"/>
      <c r="R1043" s="140"/>
      <c r="S1043" s="140"/>
      <c r="T1043" s="140"/>
      <c r="U1043" s="140"/>
      <c r="V1043" s="140"/>
      <c r="W1043" s="140"/>
      <c r="X1043" s="140"/>
      <c r="Y1043" s="140"/>
      <c r="Z1043" s="140"/>
      <c r="AA1043" s="140"/>
      <c r="AB1043" s="140"/>
      <c r="AC1043" s="140"/>
      <c r="AD1043" s="140"/>
      <c r="AE1043" s="140"/>
      <c r="AF1043" s="140"/>
      <c r="AG1043" s="140"/>
      <c r="AH1043" s="140"/>
      <c r="AI1043" s="140"/>
      <c r="AJ1043" s="140"/>
      <c r="AK1043" s="140"/>
      <c r="AL1043" s="140"/>
      <c r="AM1043" s="140"/>
      <c r="AN1043" s="140"/>
      <c r="AO1043" s="140"/>
      <c r="AP1043" s="140"/>
      <c r="AQ1043" s="140"/>
      <c r="AR1043" s="140"/>
      <c r="AS1043" s="140"/>
      <c r="AT1043" s="140"/>
      <c r="AU1043" s="140"/>
      <c r="AV1043" s="140"/>
      <c r="AW1043" s="140"/>
      <c r="AX1043" s="140"/>
      <c r="AY1043" s="140"/>
      <c r="AZ1043" s="140"/>
      <c r="BA1043" s="140"/>
      <c r="BB1043" s="140"/>
      <c r="BC1043" s="140"/>
      <c r="BD1043" s="140"/>
      <c r="BE1043" s="140"/>
    </row>
    <row r="1044">
      <c r="A1044" s="108"/>
      <c r="B1044" s="107"/>
      <c r="C1044" s="107"/>
      <c r="D1044" s="107"/>
      <c r="E1044" s="107"/>
      <c r="F1044" s="107"/>
      <c r="G1044" s="208"/>
      <c r="H1044" s="131"/>
      <c r="I1044" s="211"/>
      <c r="J1044" s="107"/>
      <c r="K1044" s="202"/>
      <c r="L1044" s="107"/>
      <c r="M1044" s="107"/>
      <c r="N1044" s="206"/>
      <c r="O1044" s="108" t="b">
        <v>0</v>
      </c>
      <c r="P1044" s="207"/>
      <c r="Q1044" s="140"/>
      <c r="R1044" s="140"/>
      <c r="S1044" s="140"/>
      <c r="T1044" s="140"/>
      <c r="U1044" s="140"/>
      <c r="V1044" s="140"/>
      <c r="W1044" s="140"/>
      <c r="X1044" s="140"/>
      <c r="Y1044" s="140"/>
      <c r="Z1044" s="140"/>
      <c r="AA1044" s="140"/>
      <c r="AB1044" s="140"/>
      <c r="AC1044" s="140"/>
      <c r="AD1044" s="140"/>
      <c r="AE1044" s="140"/>
      <c r="AF1044" s="140"/>
      <c r="AG1044" s="140"/>
      <c r="AH1044" s="140"/>
      <c r="AI1044" s="140"/>
      <c r="AJ1044" s="140"/>
      <c r="AK1044" s="140"/>
      <c r="AL1044" s="140"/>
      <c r="AM1044" s="140"/>
      <c r="AN1044" s="140"/>
      <c r="AO1044" s="140"/>
      <c r="AP1044" s="140"/>
      <c r="AQ1044" s="140"/>
      <c r="AR1044" s="140"/>
      <c r="AS1044" s="140"/>
      <c r="AT1044" s="140"/>
      <c r="AU1044" s="140"/>
      <c r="AV1044" s="140"/>
      <c r="AW1044" s="140"/>
      <c r="AX1044" s="140"/>
      <c r="AY1044" s="140"/>
      <c r="AZ1044" s="140"/>
      <c r="BA1044" s="140"/>
      <c r="BB1044" s="140"/>
      <c r="BC1044" s="140"/>
      <c r="BD1044" s="140"/>
      <c r="BE1044" s="140"/>
    </row>
    <row r="1045">
      <c r="A1045" s="108"/>
      <c r="B1045" s="107"/>
      <c r="C1045" s="107"/>
      <c r="D1045" s="107"/>
      <c r="E1045" s="107"/>
      <c r="F1045" s="107"/>
      <c r="G1045" s="208"/>
      <c r="H1045" s="131"/>
      <c r="I1045" s="211"/>
      <c r="J1045" s="107"/>
      <c r="K1045" s="202"/>
      <c r="L1045" s="107"/>
      <c r="M1045" s="107"/>
      <c r="N1045" s="206"/>
      <c r="O1045" s="108" t="b">
        <v>0</v>
      </c>
      <c r="P1045" s="207"/>
      <c r="Q1045" s="140"/>
      <c r="R1045" s="140"/>
      <c r="S1045" s="140"/>
      <c r="T1045" s="140"/>
      <c r="U1045" s="140"/>
      <c r="V1045" s="140"/>
      <c r="W1045" s="140"/>
      <c r="X1045" s="140"/>
      <c r="Y1045" s="140"/>
      <c r="Z1045" s="140"/>
      <c r="AA1045" s="140"/>
      <c r="AB1045" s="140"/>
      <c r="AC1045" s="140"/>
      <c r="AD1045" s="140"/>
      <c r="AE1045" s="140"/>
      <c r="AF1045" s="140"/>
      <c r="AG1045" s="140"/>
      <c r="AH1045" s="140"/>
      <c r="AI1045" s="140"/>
      <c r="AJ1045" s="140"/>
      <c r="AK1045" s="140"/>
      <c r="AL1045" s="140"/>
      <c r="AM1045" s="140"/>
      <c r="AN1045" s="140"/>
      <c r="AO1045" s="140"/>
      <c r="AP1045" s="140"/>
      <c r="AQ1045" s="140"/>
      <c r="AR1045" s="140"/>
      <c r="AS1045" s="140"/>
      <c r="AT1045" s="140"/>
      <c r="AU1045" s="140"/>
      <c r="AV1045" s="140"/>
      <c r="AW1045" s="140"/>
      <c r="AX1045" s="140"/>
      <c r="AY1045" s="140"/>
      <c r="AZ1045" s="140"/>
      <c r="BA1045" s="140"/>
      <c r="BB1045" s="140"/>
      <c r="BC1045" s="140"/>
      <c r="BD1045" s="140"/>
      <c r="BE1045" s="140"/>
    </row>
    <row r="1046">
      <c r="A1046" s="108"/>
      <c r="B1046" s="107"/>
      <c r="C1046" s="107"/>
      <c r="D1046" s="107"/>
      <c r="E1046" s="107"/>
      <c r="F1046" s="107"/>
      <c r="G1046" s="208"/>
      <c r="H1046" s="131"/>
      <c r="I1046" s="211"/>
      <c r="J1046" s="107"/>
      <c r="K1046" s="202"/>
      <c r="L1046" s="107"/>
      <c r="M1046" s="107"/>
      <c r="N1046" s="206"/>
      <c r="O1046" s="108" t="b">
        <v>0</v>
      </c>
      <c r="P1046" s="207"/>
      <c r="Q1046" s="140"/>
      <c r="R1046" s="140"/>
      <c r="S1046" s="140"/>
      <c r="T1046" s="140"/>
      <c r="U1046" s="140"/>
      <c r="V1046" s="140"/>
      <c r="W1046" s="140"/>
      <c r="X1046" s="140"/>
      <c r="Y1046" s="140"/>
      <c r="Z1046" s="140"/>
      <c r="AA1046" s="140"/>
      <c r="AB1046" s="140"/>
      <c r="AC1046" s="140"/>
      <c r="AD1046" s="140"/>
      <c r="AE1046" s="140"/>
      <c r="AF1046" s="140"/>
      <c r="AG1046" s="140"/>
      <c r="AH1046" s="140"/>
      <c r="AI1046" s="140"/>
      <c r="AJ1046" s="140"/>
      <c r="AK1046" s="140"/>
      <c r="AL1046" s="140"/>
      <c r="AM1046" s="140"/>
      <c r="AN1046" s="140"/>
      <c r="AO1046" s="140"/>
      <c r="AP1046" s="140"/>
      <c r="AQ1046" s="140"/>
      <c r="AR1046" s="140"/>
      <c r="AS1046" s="140"/>
      <c r="AT1046" s="140"/>
      <c r="AU1046" s="140"/>
      <c r="AV1046" s="140"/>
      <c r="AW1046" s="140"/>
      <c r="AX1046" s="140"/>
      <c r="AY1046" s="140"/>
      <c r="AZ1046" s="140"/>
      <c r="BA1046" s="140"/>
      <c r="BB1046" s="140"/>
      <c r="BC1046" s="140"/>
      <c r="BD1046" s="140"/>
      <c r="BE1046" s="140"/>
    </row>
    <row r="1047">
      <c r="A1047" s="108"/>
      <c r="B1047" s="107"/>
      <c r="C1047" s="107"/>
      <c r="D1047" s="107"/>
      <c r="E1047" s="107"/>
      <c r="F1047" s="107"/>
      <c r="G1047" s="208"/>
      <c r="H1047" s="131"/>
      <c r="I1047" s="211"/>
      <c r="J1047" s="107"/>
      <c r="K1047" s="202"/>
      <c r="L1047" s="107"/>
      <c r="M1047" s="107"/>
      <c r="N1047" s="206"/>
      <c r="O1047" s="108" t="b">
        <v>0</v>
      </c>
      <c r="P1047" s="207"/>
      <c r="Q1047" s="140"/>
      <c r="R1047" s="140"/>
      <c r="S1047" s="140"/>
      <c r="T1047" s="140"/>
      <c r="U1047" s="140"/>
      <c r="V1047" s="140"/>
      <c r="W1047" s="140"/>
      <c r="X1047" s="140"/>
      <c r="Y1047" s="140"/>
      <c r="Z1047" s="140"/>
      <c r="AA1047" s="140"/>
      <c r="AB1047" s="140"/>
      <c r="AC1047" s="140"/>
      <c r="AD1047" s="140"/>
      <c r="AE1047" s="140"/>
      <c r="AF1047" s="140"/>
      <c r="AG1047" s="140"/>
      <c r="AH1047" s="140"/>
      <c r="AI1047" s="140"/>
      <c r="AJ1047" s="140"/>
      <c r="AK1047" s="140"/>
      <c r="AL1047" s="140"/>
      <c r="AM1047" s="140"/>
      <c r="AN1047" s="140"/>
      <c r="AO1047" s="140"/>
      <c r="AP1047" s="140"/>
      <c r="AQ1047" s="140"/>
      <c r="AR1047" s="140"/>
      <c r="AS1047" s="140"/>
      <c r="AT1047" s="140"/>
      <c r="AU1047" s="140"/>
      <c r="AV1047" s="140"/>
      <c r="AW1047" s="140"/>
      <c r="AX1047" s="140"/>
      <c r="AY1047" s="140"/>
      <c r="AZ1047" s="140"/>
      <c r="BA1047" s="140"/>
      <c r="BB1047" s="140"/>
      <c r="BC1047" s="140"/>
      <c r="BD1047" s="140"/>
      <c r="BE1047" s="140"/>
    </row>
    <row r="1048">
      <c r="A1048" s="108"/>
      <c r="B1048" s="107"/>
      <c r="C1048" s="107"/>
      <c r="D1048" s="107"/>
      <c r="E1048" s="107"/>
      <c r="F1048" s="107"/>
      <c r="G1048" s="208"/>
      <c r="H1048" s="131"/>
      <c r="I1048" s="211"/>
      <c r="J1048" s="107"/>
      <c r="K1048" s="202"/>
      <c r="L1048" s="107"/>
      <c r="M1048" s="107"/>
      <c r="N1048" s="206"/>
      <c r="O1048" s="108" t="b">
        <v>0</v>
      </c>
      <c r="P1048" s="207"/>
      <c r="Q1048" s="140"/>
      <c r="R1048" s="140"/>
      <c r="S1048" s="140"/>
      <c r="T1048" s="140"/>
      <c r="U1048" s="140"/>
      <c r="V1048" s="140"/>
      <c r="W1048" s="140"/>
      <c r="X1048" s="140"/>
      <c r="Y1048" s="140"/>
      <c r="Z1048" s="140"/>
      <c r="AA1048" s="140"/>
      <c r="AB1048" s="140"/>
      <c r="AC1048" s="140"/>
      <c r="AD1048" s="140"/>
      <c r="AE1048" s="140"/>
      <c r="AF1048" s="140"/>
      <c r="AG1048" s="140"/>
      <c r="AH1048" s="140"/>
      <c r="AI1048" s="140"/>
      <c r="AJ1048" s="140"/>
      <c r="AK1048" s="140"/>
      <c r="AL1048" s="140"/>
      <c r="AM1048" s="140"/>
      <c r="AN1048" s="140"/>
      <c r="AO1048" s="140"/>
      <c r="AP1048" s="140"/>
      <c r="AQ1048" s="140"/>
      <c r="AR1048" s="140"/>
      <c r="AS1048" s="140"/>
      <c r="AT1048" s="140"/>
      <c r="AU1048" s="140"/>
      <c r="AV1048" s="140"/>
      <c r="AW1048" s="140"/>
      <c r="AX1048" s="140"/>
      <c r="AY1048" s="140"/>
      <c r="AZ1048" s="140"/>
      <c r="BA1048" s="140"/>
      <c r="BB1048" s="140"/>
      <c r="BC1048" s="140"/>
      <c r="BD1048" s="140"/>
      <c r="BE1048" s="140"/>
    </row>
    <row r="1049">
      <c r="A1049" s="108"/>
      <c r="B1049" s="107"/>
      <c r="C1049" s="107"/>
      <c r="D1049" s="107"/>
      <c r="E1049" s="107"/>
      <c r="F1049" s="107"/>
      <c r="G1049" s="208"/>
      <c r="H1049" s="131"/>
      <c r="I1049" s="211"/>
      <c r="J1049" s="107"/>
      <c r="K1049" s="202"/>
      <c r="L1049" s="107"/>
      <c r="M1049" s="107"/>
      <c r="N1049" s="206"/>
      <c r="O1049" s="108" t="b">
        <v>0</v>
      </c>
      <c r="P1049" s="207"/>
      <c r="Q1049" s="140"/>
      <c r="R1049" s="140"/>
      <c r="S1049" s="140"/>
      <c r="T1049" s="140"/>
      <c r="U1049" s="140"/>
      <c r="V1049" s="140"/>
      <c r="W1049" s="140"/>
      <c r="X1049" s="140"/>
      <c r="Y1049" s="140"/>
      <c r="Z1049" s="140"/>
      <c r="AA1049" s="140"/>
      <c r="AB1049" s="140"/>
      <c r="AC1049" s="140"/>
      <c r="AD1049" s="140"/>
      <c r="AE1049" s="140"/>
      <c r="AF1049" s="140"/>
      <c r="AG1049" s="140"/>
      <c r="AH1049" s="140"/>
      <c r="AI1049" s="140"/>
      <c r="AJ1049" s="140"/>
      <c r="AK1049" s="140"/>
      <c r="AL1049" s="140"/>
      <c r="AM1049" s="140"/>
      <c r="AN1049" s="140"/>
      <c r="AO1049" s="140"/>
      <c r="AP1049" s="140"/>
      <c r="AQ1049" s="140"/>
      <c r="AR1049" s="140"/>
      <c r="AS1049" s="140"/>
      <c r="AT1049" s="140"/>
      <c r="AU1049" s="140"/>
      <c r="AV1049" s="140"/>
      <c r="AW1049" s="140"/>
      <c r="AX1049" s="140"/>
      <c r="AY1049" s="140"/>
      <c r="AZ1049" s="140"/>
      <c r="BA1049" s="140"/>
      <c r="BB1049" s="140"/>
      <c r="BC1049" s="140"/>
      <c r="BD1049" s="140"/>
      <c r="BE1049" s="140"/>
    </row>
    <row r="1050">
      <c r="A1050" s="108"/>
      <c r="B1050" s="107"/>
      <c r="C1050" s="107"/>
      <c r="D1050" s="107"/>
      <c r="E1050" s="107"/>
      <c r="F1050" s="107"/>
      <c r="G1050" s="208"/>
      <c r="H1050" s="131"/>
      <c r="I1050" s="211"/>
      <c r="J1050" s="107"/>
      <c r="K1050" s="202"/>
      <c r="L1050" s="107"/>
      <c r="M1050" s="107"/>
      <c r="N1050" s="206"/>
      <c r="O1050" s="108" t="b">
        <v>0</v>
      </c>
      <c r="P1050" s="207"/>
      <c r="Q1050" s="140"/>
      <c r="R1050" s="140"/>
      <c r="S1050" s="140"/>
      <c r="T1050" s="140"/>
      <c r="U1050" s="140"/>
      <c r="V1050" s="140"/>
      <c r="W1050" s="140"/>
      <c r="X1050" s="140"/>
      <c r="Y1050" s="140"/>
      <c r="Z1050" s="140"/>
      <c r="AA1050" s="140"/>
      <c r="AB1050" s="140"/>
      <c r="AC1050" s="140"/>
      <c r="AD1050" s="140"/>
      <c r="AE1050" s="140"/>
      <c r="AF1050" s="140"/>
      <c r="AG1050" s="140"/>
      <c r="AH1050" s="140"/>
      <c r="AI1050" s="140"/>
      <c r="AJ1050" s="140"/>
      <c r="AK1050" s="140"/>
      <c r="AL1050" s="140"/>
      <c r="AM1050" s="140"/>
      <c r="AN1050" s="140"/>
      <c r="AO1050" s="140"/>
      <c r="AP1050" s="140"/>
      <c r="AQ1050" s="140"/>
      <c r="AR1050" s="140"/>
      <c r="AS1050" s="140"/>
      <c r="AT1050" s="140"/>
      <c r="AU1050" s="140"/>
      <c r="AV1050" s="140"/>
      <c r="AW1050" s="140"/>
      <c r="AX1050" s="140"/>
      <c r="AY1050" s="140"/>
      <c r="AZ1050" s="140"/>
      <c r="BA1050" s="140"/>
      <c r="BB1050" s="140"/>
      <c r="BC1050" s="140"/>
      <c r="BD1050" s="140"/>
      <c r="BE1050" s="140"/>
    </row>
    <row r="1051">
      <c r="A1051" s="108"/>
      <c r="B1051" s="107"/>
      <c r="C1051" s="107"/>
      <c r="D1051" s="107"/>
      <c r="E1051" s="107"/>
      <c r="F1051" s="107"/>
      <c r="G1051" s="208"/>
      <c r="H1051" s="131"/>
      <c r="I1051" s="211"/>
      <c r="J1051" s="107"/>
      <c r="K1051" s="202"/>
      <c r="L1051" s="107"/>
      <c r="M1051" s="107"/>
      <c r="N1051" s="206"/>
      <c r="O1051" s="108" t="b">
        <v>0</v>
      </c>
      <c r="P1051" s="207"/>
      <c r="Q1051" s="140"/>
      <c r="R1051" s="140"/>
      <c r="S1051" s="140"/>
      <c r="T1051" s="140"/>
      <c r="U1051" s="140"/>
      <c r="V1051" s="140"/>
      <c r="W1051" s="140"/>
      <c r="X1051" s="140"/>
      <c r="Y1051" s="140"/>
      <c r="Z1051" s="140"/>
      <c r="AA1051" s="140"/>
      <c r="AB1051" s="140"/>
      <c r="AC1051" s="140"/>
      <c r="AD1051" s="140"/>
      <c r="AE1051" s="140"/>
      <c r="AF1051" s="140"/>
      <c r="AG1051" s="140"/>
      <c r="AH1051" s="140"/>
      <c r="AI1051" s="140"/>
      <c r="AJ1051" s="140"/>
      <c r="AK1051" s="140"/>
      <c r="AL1051" s="140"/>
      <c r="AM1051" s="140"/>
      <c r="AN1051" s="140"/>
      <c r="AO1051" s="140"/>
      <c r="AP1051" s="140"/>
      <c r="AQ1051" s="140"/>
      <c r="AR1051" s="140"/>
      <c r="AS1051" s="140"/>
      <c r="AT1051" s="140"/>
      <c r="AU1051" s="140"/>
      <c r="AV1051" s="140"/>
      <c r="AW1051" s="140"/>
      <c r="AX1051" s="140"/>
      <c r="AY1051" s="140"/>
      <c r="AZ1051" s="140"/>
      <c r="BA1051" s="140"/>
      <c r="BB1051" s="140"/>
      <c r="BC1051" s="140"/>
      <c r="BD1051" s="140"/>
      <c r="BE1051" s="140"/>
    </row>
    <row r="1052">
      <c r="A1052" s="108"/>
      <c r="B1052" s="107"/>
      <c r="C1052" s="107"/>
      <c r="D1052" s="107"/>
      <c r="E1052" s="107"/>
      <c r="F1052" s="107"/>
      <c r="G1052" s="208"/>
      <c r="H1052" s="131"/>
      <c r="I1052" s="211"/>
      <c r="J1052" s="107"/>
      <c r="K1052" s="202"/>
      <c r="L1052" s="107"/>
      <c r="M1052" s="107"/>
      <c r="N1052" s="206"/>
      <c r="O1052" s="108" t="b">
        <v>0</v>
      </c>
      <c r="P1052" s="207"/>
      <c r="Q1052" s="140"/>
      <c r="R1052" s="140"/>
      <c r="S1052" s="140"/>
      <c r="T1052" s="140"/>
      <c r="U1052" s="140"/>
      <c r="V1052" s="140"/>
      <c r="W1052" s="140"/>
      <c r="X1052" s="140"/>
      <c r="Y1052" s="140"/>
      <c r="Z1052" s="140"/>
      <c r="AA1052" s="140"/>
      <c r="AB1052" s="140"/>
      <c r="AC1052" s="140"/>
      <c r="AD1052" s="140"/>
      <c r="AE1052" s="140"/>
      <c r="AF1052" s="140"/>
      <c r="AG1052" s="140"/>
      <c r="AH1052" s="140"/>
      <c r="AI1052" s="140"/>
      <c r="AJ1052" s="140"/>
      <c r="AK1052" s="140"/>
      <c r="AL1052" s="140"/>
      <c r="AM1052" s="140"/>
      <c r="AN1052" s="140"/>
      <c r="AO1052" s="140"/>
      <c r="AP1052" s="140"/>
      <c r="AQ1052" s="140"/>
      <c r="AR1052" s="140"/>
      <c r="AS1052" s="140"/>
      <c r="AT1052" s="140"/>
      <c r="AU1052" s="140"/>
      <c r="AV1052" s="140"/>
      <c r="AW1052" s="140"/>
      <c r="AX1052" s="140"/>
      <c r="AY1052" s="140"/>
      <c r="AZ1052" s="140"/>
      <c r="BA1052" s="140"/>
      <c r="BB1052" s="140"/>
      <c r="BC1052" s="140"/>
      <c r="BD1052" s="140"/>
      <c r="BE1052" s="140"/>
    </row>
    <row r="1053">
      <c r="A1053" s="108"/>
      <c r="B1053" s="107"/>
      <c r="C1053" s="107"/>
      <c r="D1053" s="107"/>
      <c r="E1053" s="107"/>
      <c r="F1053" s="107"/>
      <c r="G1053" s="208"/>
      <c r="H1053" s="131"/>
      <c r="I1053" s="211"/>
      <c r="J1053" s="107"/>
      <c r="K1053" s="202"/>
      <c r="L1053" s="107"/>
      <c r="M1053" s="107"/>
      <c r="N1053" s="206"/>
      <c r="O1053" s="108" t="b">
        <v>0</v>
      </c>
      <c r="P1053" s="207"/>
      <c r="Q1053" s="140"/>
      <c r="R1053" s="140"/>
      <c r="S1053" s="140"/>
      <c r="T1053" s="140"/>
      <c r="U1053" s="140"/>
      <c r="V1053" s="140"/>
      <c r="W1053" s="140"/>
      <c r="X1053" s="140"/>
      <c r="Y1053" s="140"/>
      <c r="Z1053" s="140"/>
      <c r="AA1053" s="140"/>
      <c r="AB1053" s="140"/>
      <c r="AC1053" s="140"/>
      <c r="AD1053" s="140"/>
      <c r="AE1053" s="140"/>
      <c r="AF1053" s="140"/>
      <c r="AG1053" s="140"/>
      <c r="AH1053" s="140"/>
      <c r="AI1053" s="140"/>
      <c r="AJ1053" s="140"/>
      <c r="AK1053" s="140"/>
      <c r="AL1053" s="140"/>
      <c r="AM1053" s="140"/>
      <c r="AN1053" s="140"/>
      <c r="AO1053" s="140"/>
      <c r="AP1053" s="140"/>
      <c r="AQ1053" s="140"/>
      <c r="AR1053" s="140"/>
      <c r="AS1053" s="140"/>
      <c r="AT1053" s="140"/>
      <c r="AU1053" s="140"/>
      <c r="AV1053" s="140"/>
      <c r="AW1053" s="140"/>
      <c r="AX1053" s="140"/>
      <c r="AY1053" s="140"/>
      <c r="AZ1053" s="140"/>
      <c r="BA1053" s="140"/>
      <c r="BB1053" s="140"/>
      <c r="BC1053" s="140"/>
      <c r="BD1053" s="140"/>
      <c r="BE1053" s="140"/>
    </row>
    <row r="1054">
      <c r="A1054" s="108"/>
      <c r="B1054" s="107"/>
      <c r="C1054" s="107"/>
      <c r="D1054" s="107"/>
      <c r="E1054" s="107"/>
      <c r="F1054" s="107"/>
      <c r="G1054" s="208"/>
      <c r="H1054" s="131"/>
      <c r="I1054" s="211"/>
      <c r="J1054" s="107"/>
      <c r="K1054" s="202"/>
      <c r="L1054" s="107"/>
      <c r="M1054" s="107"/>
      <c r="N1054" s="206"/>
      <c r="O1054" s="108" t="b">
        <v>0</v>
      </c>
      <c r="P1054" s="207"/>
      <c r="Q1054" s="140"/>
      <c r="R1054" s="140"/>
      <c r="S1054" s="140"/>
      <c r="T1054" s="140"/>
      <c r="U1054" s="140"/>
      <c r="V1054" s="140"/>
      <c r="W1054" s="140"/>
      <c r="X1054" s="140"/>
      <c r="Y1054" s="140"/>
      <c r="Z1054" s="140"/>
      <c r="AA1054" s="140"/>
      <c r="AB1054" s="140"/>
      <c r="AC1054" s="140"/>
      <c r="AD1054" s="140"/>
      <c r="AE1054" s="140"/>
      <c r="AF1054" s="140"/>
      <c r="AG1054" s="140"/>
      <c r="AH1054" s="140"/>
      <c r="AI1054" s="140"/>
      <c r="AJ1054" s="140"/>
      <c r="AK1054" s="140"/>
      <c r="AL1054" s="140"/>
      <c r="AM1054" s="140"/>
      <c r="AN1054" s="140"/>
      <c r="AO1054" s="140"/>
      <c r="AP1054" s="140"/>
      <c r="AQ1054" s="140"/>
      <c r="AR1054" s="140"/>
      <c r="AS1054" s="140"/>
      <c r="AT1054" s="140"/>
      <c r="AU1054" s="140"/>
      <c r="AV1054" s="140"/>
      <c r="AW1054" s="140"/>
      <c r="AX1054" s="140"/>
      <c r="AY1054" s="140"/>
      <c r="AZ1054" s="140"/>
      <c r="BA1054" s="140"/>
      <c r="BB1054" s="140"/>
      <c r="BC1054" s="140"/>
      <c r="BD1054" s="140"/>
      <c r="BE1054" s="140"/>
    </row>
    <row r="1055">
      <c r="A1055" s="108"/>
      <c r="B1055" s="107"/>
      <c r="C1055" s="107"/>
      <c r="D1055" s="107"/>
      <c r="E1055" s="107"/>
      <c r="F1055" s="107"/>
      <c r="G1055" s="208"/>
      <c r="H1055" s="131"/>
      <c r="I1055" s="211"/>
      <c r="J1055" s="107"/>
      <c r="K1055" s="202"/>
      <c r="L1055" s="107"/>
      <c r="M1055" s="107"/>
      <c r="N1055" s="206"/>
      <c r="O1055" s="108" t="b">
        <v>0</v>
      </c>
      <c r="P1055" s="207"/>
      <c r="Q1055" s="140"/>
      <c r="R1055" s="140"/>
      <c r="S1055" s="140"/>
      <c r="T1055" s="140"/>
      <c r="U1055" s="140"/>
      <c r="V1055" s="140"/>
      <c r="W1055" s="140"/>
      <c r="X1055" s="140"/>
      <c r="Y1055" s="140"/>
      <c r="Z1055" s="140"/>
      <c r="AA1055" s="140"/>
      <c r="AB1055" s="140"/>
      <c r="AC1055" s="140"/>
      <c r="AD1055" s="140"/>
      <c r="AE1055" s="140"/>
      <c r="AF1055" s="140"/>
      <c r="AG1055" s="140"/>
      <c r="AH1055" s="140"/>
      <c r="AI1055" s="140"/>
      <c r="AJ1055" s="140"/>
      <c r="AK1055" s="140"/>
      <c r="AL1055" s="140"/>
      <c r="AM1055" s="140"/>
      <c r="AN1055" s="140"/>
      <c r="AO1055" s="140"/>
      <c r="AP1055" s="140"/>
      <c r="AQ1055" s="140"/>
      <c r="AR1055" s="140"/>
      <c r="AS1055" s="140"/>
      <c r="AT1055" s="140"/>
      <c r="AU1055" s="140"/>
      <c r="AV1055" s="140"/>
      <c r="AW1055" s="140"/>
      <c r="AX1055" s="140"/>
      <c r="AY1055" s="140"/>
      <c r="AZ1055" s="140"/>
      <c r="BA1055" s="140"/>
      <c r="BB1055" s="140"/>
      <c r="BC1055" s="140"/>
      <c r="BD1055" s="140"/>
      <c r="BE1055" s="140"/>
    </row>
    <row r="1056">
      <c r="A1056" s="108"/>
      <c r="B1056" s="107"/>
      <c r="C1056" s="107"/>
      <c r="D1056" s="107"/>
      <c r="E1056" s="107"/>
      <c r="F1056" s="107"/>
      <c r="G1056" s="208"/>
      <c r="H1056" s="131"/>
      <c r="I1056" s="211"/>
      <c r="J1056" s="107"/>
      <c r="K1056" s="202"/>
      <c r="L1056" s="107"/>
      <c r="M1056" s="107"/>
      <c r="N1056" s="206"/>
      <c r="O1056" s="108" t="b">
        <v>0</v>
      </c>
      <c r="P1056" s="207"/>
      <c r="Q1056" s="140"/>
      <c r="R1056" s="140"/>
      <c r="S1056" s="140"/>
      <c r="T1056" s="140"/>
      <c r="U1056" s="140"/>
      <c r="V1056" s="140"/>
      <c r="W1056" s="140"/>
      <c r="X1056" s="140"/>
      <c r="Y1056" s="140"/>
      <c r="Z1056" s="140"/>
      <c r="AA1056" s="140"/>
      <c r="AB1056" s="140"/>
      <c r="AC1056" s="140"/>
      <c r="AD1056" s="140"/>
      <c r="AE1056" s="140"/>
      <c r="AF1056" s="140"/>
      <c r="AG1056" s="140"/>
      <c r="AH1056" s="140"/>
      <c r="AI1056" s="140"/>
      <c r="AJ1056" s="140"/>
      <c r="AK1056" s="140"/>
      <c r="AL1056" s="140"/>
      <c r="AM1056" s="140"/>
      <c r="AN1056" s="140"/>
      <c r="AO1056" s="140"/>
      <c r="AP1056" s="140"/>
      <c r="AQ1056" s="140"/>
      <c r="AR1056" s="140"/>
      <c r="AS1056" s="140"/>
      <c r="AT1056" s="140"/>
      <c r="AU1056" s="140"/>
      <c r="AV1056" s="140"/>
      <c r="AW1056" s="140"/>
      <c r="AX1056" s="140"/>
      <c r="AY1056" s="140"/>
      <c r="AZ1056" s="140"/>
      <c r="BA1056" s="140"/>
      <c r="BB1056" s="140"/>
      <c r="BC1056" s="140"/>
      <c r="BD1056" s="140"/>
      <c r="BE1056" s="140"/>
    </row>
    <row r="1057">
      <c r="A1057" s="108"/>
      <c r="B1057" s="107"/>
      <c r="C1057" s="107"/>
      <c r="D1057" s="107"/>
      <c r="E1057" s="107"/>
      <c r="F1057" s="107"/>
      <c r="G1057" s="208"/>
      <c r="H1057" s="131"/>
      <c r="I1057" s="211"/>
      <c r="J1057" s="107"/>
      <c r="K1057" s="202"/>
      <c r="L1057" s="107"/>
      <c r="M1057" s="107"/>
      <c r="N1057" s="206"/>
      <c r="O1057" s="108" t="b">
        <v>0</v>
      </c>
      <c r="P1057" s="207"/>
      <c r="Q1057" s="140"/>
      <c r="R1057" s="140"/>
      <c r="S1057" s="140"/>
      <c r="T1057" s="140"/>
      <c r="U1057" s="140"/>
      <c r="V1057" s="140"/>
      <c r="W1057" s="140"/>
      <c r="X1057" s="140"/>
      <c r="Y1057" s="140"/>
      <c r="Z1057" s="140"/>
      <c r="AA1057" s="140"/>
      <c r="AB1057" s="140"/>
      <c r="AC1057" s="140"/>
      <c r="AD1057" s="140"/>
      <c r="AE1057" s="140"/>
      <c r="AF1057" s="140"/>
      <c r="AG1057" s="140"/>
      <c r="AH1057" s="140"/>
      <c r="AI1057" s="140"/>
      <c r="AJ1057" s="140"/>
      <c r="AK1057" s="140"/>
      <c r="AL1057" s="140"/>
      <c r="AM1057" s="140"/>
      <c r="AN1057" s="140"/>
      <c r="AO1057" s="140"/>
      <c r="AP1057" s="140"/>
      <c r="AQ1057" s="140"/>
      <c r="AR1057" s="140"/>
      <c r="AS1057" s="140"/>
      <c r="AT1057" s="140"/>
      <c r="AU1057" s="140"/>
      <c r="AV1057" s="140"/>
      <c r="AW1057" s="140"/>
      <c r="AX1057" s="140"/>
      <c r="AY1057" s="140"/>
      <c r="AZ1057" s="140"/>
      <c r="BA1057" s="140"/>
      <c r="BB1057" s="140"/>
      <c r="BC1057" s="140"/>
      <c r="BD1057" s="140"/>
      <c r="BE1057" s="140"/>
    </row>
    <row r="1058">
      <c r="A1058" s="108"/>
      <c r="B1058" s="107"/>
      <c r="C1058" s="107"/>
      <c r="D1058" s="107"/>
      <c r="E1058" s="107"/>
      <c r="F1058" s="107"/>
      <c r="G1058" s="208"/>
      <c r="H1058" s="131"/>
      <c r="I1058" s="211"/>
      <c r="J1058" s="107"/>
      <c r="K1058" s="202"/>
      <c r="L1058" s="107"/>
      <c r="M1058" s="107"/>
      <c r="N1058" s="206"/>
      <c r="O1058" s="108" t="b">
        <v>0</v>
      </c>
      <c r="P1058" s="207"/>
      <c r="Q1058" s="140"/>
      <c r="R1058" s="140"/>
      <c r="S1058" s="140"/>
      <c r="T1058" s="140"/>
      <c r="U1058" s="140"/>
      <c r="V1058" s="140"/>
      <c r="W1058" s="140"/>
      <c r="X1058" s="140"/>
      <c r="Y1058" s="140"/>
      <c r="Z1058" s="140"/>
      <c r="AA1058" s="140"/>
      <c r="AB1058" s="140"/>
      <c r="AC1058" s="140"/>
      <c r="AD1058" s="140"/>
      <c r="AE1058" s="140"/>
      <c r="AF1058" s="140"/>
      <c r="AG1058" s="140"/>
      <c r="AH1058" s="140"/>
      <c r="AI1058" s="140"/>
      <c r="AJ1058" s="140"/>
      <c r="AK1058" s="140"/>
      <c r="AL1058" s="140"/>
      <c r="AM1058" s="140"/>
      <c r="AN1058" s="140"/>
      <c r="AO1058" s="140"/>
      <c r="AP1058" s="140"/>
      <c r="AQ1058" s="140"/>
      <c r="AR1058" s="140"/>
      <c r="AS1058" s="140"/>
      <c r="AT1058" s="140"/>
      <c r="AU1058" s="140"/>
      <c r="AV1058" s="140"/>
      <c r="AW1058" s="140"/>
      <c r="AX1058" s="140"/>
      <c r="AY1058" s="140"/>
      <c r="AZ1058" s="140"/>
      <c r="BA1058" s="140"/>
      <c r="BB1058" s="140"/>
      <c r="BC1058" s="140"/>
      <c r="BD1058" s="140"/>
      <c r="BE1058" s="140"/>
    </row>
    <row r="1059">
      <c r="A1059" s="108"/>
      <c r="B1059" s="107"/>
      <c r="C1059" s="107"/>
      <c r="D1059" s="107"/>
      <c r="E1059" s="107"/>
      <c r="F1059" s="107"/>
      <c r="G1059" s="208"/>
      <c r="H1059" s="131"/>
      <c r="I1059" s="211"/>
      <c r="J1059" s="107"/>
      <c r="K1059" s="202"/>
      <c r="L1059" s="107"/>
      <c r="M1059" s="107"/>
      <c r="N1059" s="206"/>
      <c r="O1059" s="108" t="b">
        <v>0</v>
      </c>
      <c r="P1059" s="207"/>
      <c r="Q1059" s="140"/>
      <c r="R1059" s="140"/>
      <c r="S1059" s="140"/>
      <c r="T1059" s="140"/>
      <c r="U1059" s="140"/>
      <c r="V1059" s="140"/>
      <c r="W1059" s="140"/>
      <c r="X1059" s="140"/>
      <c r="Y1059" s="140"/>
      <c r="Z1059" s="140"/>
      <c r="AA1059" s="140"/>
      <c r="AB1059" s="140"/>
      <c r="AC1059" s="140"/>
      <c r="AD1059" s="140"/>
      <c r="AE1059" s="140"/>
      <c r="AF1059" s="140"/>
      <c r="AG1059" s="140"/>
      <c r="AH1059" s="140"/>
      <c r="AI1059" s="140"/>
      <c r="AJ1059" s="140"/>
      <c r="AK1059" s="140"/>
      <c r="AL1059" s="140"/>
      <c r="AM1059" s="140"/>
      <c r="AN1059" s="140"/>
      <c r="AO1059" s="140"/>
      <c r="AP1059" s="140"/>
      <c r="AQ1059" s="140"/>
      <c r="AR1059" s="140"/>
      <c r="AS1059" s="140"/>
      <c r="AT1059" s="140"/>
      <c r="AU1059" s="140"/>
      <c r="AV1059" s="140"/>
      <c r="AW1059" s="140"/>
      <c r="AX1059" s="140"/>
      <c r="AY1059" s="140"/>
      <c r="AZ1059" s="140"/>
      <c r="BA1059" s="140"/>
      <c r="BB1059" s="140"/>
      <c r="BC1059" s="140"/>
      <c r="BD1059" s="140"/>
      <c r="BE1059" s="140"/>
    </row>
    <row r="1060">
      <c r="A1060" s="108"/>
      <c r="B1060" s="107"/>
      <c r="C1060" s="107"/>
      <c r="D1060" s="107"/>
      <c r="E1060" s="107"/>
      <c r="F1060" s="107"/>
      <c r="G1060" s="208"/>
      <c r="H1060" s="131"/>
      <c r="I1060" s="211"/>
      <c r="J1060" s="107"/>
      <c r="K1060" s="202"/>
      <c r="L1060" s="107"/>
      <c r="M1060" s="107"/>
      <c r="N1060" s="206"/>
      <c r="O1060" s="108" t="b">
        <v>0</v>
      </c>
      <c r="P1060" s="207"/>
      <c r="Q1060" s="140"/>
      <c r="R1060" s="140"/>
      <c r="S1060" s="140"/>
      <c r="T1060" s="140"/>
      <c r="U1060" s="140"/>
      <c r="V1060" s="140"/>
      <c r="W1060" s="140"/>
      <c r="X1060" s="140"/>
      <c r="Y1060" s="140"/>
      <c r="Z1060" s="140"/>
      <c r="AA1060" s="140"/>
      <c r="AB1060" s="140"/>
      <c r="AC1060" s="140"/>
      <c r="AD1060" s="140"/>
      <c r="AE1060" s="140"/>
      <c r="AF1060" s="140"/>
      <c r="AG1060" s="140"/>
      <c r="AH1060" s="140"/>
      <c r="AI1060" s="140"/>
      <c r="AJ1060" s="140"/>
      <c r="AK1060" s="140"/>
      <c r="AL1060" s="140"/>
      <c r="AM1060" s="140"/>
      <c r="AN1060" s="140"/>
      <c r="AO1060" s="140"/>
      <c r="AP1060" s="140"/>
      <c r="AQ1060" s="140"/>
      <c r="AR1060" s="140"/>
      <c r="AS1060" s="140"/>
      <c r="AT1060" s="140"/>
      <c r="AU1060" s="140"/>
      <c r="AV1060" s="140"/>
      <c r="AW1060" s="140"/>
      <c r="AX1060" s="140"/>
      <c r="AY1060" s="140"/>
      <c r="AZ1060" s="140"/>
      <c r="BA1060" s="140"/>
      <c r="BB1060" s="140"/>
      <c r="BC1060" s="140"/>
      <c r="BD1060" s="140"/>
      <c r="BE1060" s="140"/>
    </row>
    <row r="1061">
      <c r="A1061" s="108"/>
      <c r="B1061" s="107"/>
      <c r="C1061" s="107"/>
      <c r="D1061" s="107"/>
      <c r="E1061" s="107"/>
      <c r="F1061" s="107"/>
      <c r="G1061" s="208"/>
      <c r="H1061" s="131"/>
      <c r="I1061" s="211"/>
      <c r="J1061" s="107"/>
      <c r="K1061" s="202"/>
      <c r="L1061" s="107"/>
      <c r="M1061" s="107"/>
      <c r="N1061" s="206"/>
      <c r="O1061" s="108" t="b">
        <v>0</v>
      </c>
      <c r="P1061" s="207"/>
      <c r="Q1061" s="140"/>
      <c r="R1061" s="140"/>
      <c r="S1061" s="140"/>
      <c r="T1061" s="140"/>
      <c r="U1061" s="140"/>
      <c r="V1061" s="140"/>
      <c r="W1061" s="140"/>
      <c r="X1061" s="140"/>
      <c r="Y1061" s="140"/>
      <c r="Z1061" s="140"/>
      <c r="AA1061" s="140"/>
      <c r="AB1061" s="140"/>
      <c r="AC1061" s="140"/>
      <c r="AD1061" s="140"/>
      <c r="AE1061" s="140"/>
      <c r="AF1061" s="140"/>
      <c r="AG1061" s="140"/>
      <c r="AH1061" s="140"/>
      <c r="AI1061" s="140"/>
      <c r="AJ1061" s="140"/>
      <c r="AK1061" s="140"/>
      <c r="AL1061" s="140"/>
      <c r="AM1061" s="140"/>
      <c r="AN1061" s="140"/>
      <c r="AO1061" s="140"/>
      <c r="AP1061" s="140"/>
      <c r="AQ1061" s="140"/>
      <c r="AR1061" s="140"/>
      <c r="AS1061" s="140"/>
      <c r="AT1061" s="140"/>
      <c r="AU1061" s="140"/>
      <c r="AV1061" s="140"/>
      <c r="AW1061" s="140"/>
      <c r="AX1061" s="140"/>
      <c r="AY1061" s="140"/>
      <c r="AZ1061" s="140"/>
      <c r="BA1061" s="140"/>
      <c r="BB1061" s="140"/>
      <c r="BC1061" s="140"/>
      <c r="BD1061" s="140"/>
      <c r="BE1061" s="140"/>
    </row>
    <row r="1062">
      <c r="A1062" s="108"/>
      <c r="B1062" s="107"/>
      <c r="C1062" s="107"/>
      <c r="D1062" s="107"/>
      <c r="E1062" s="107"/>
      <c r="F1062" s="107"/>
      <c r="G1062" s="208"/>
      <c r="H1062" s="131"/>
      <c r="I1062" s="211"/>
      <c r="J1062" s="107"/>
      <c r="K1062" s="202"/>
      <c r="L1062" s="107"/>
      <c r="M1062" s="107"/>
      <c r="N1062" s="206"/>
      <c r="O1062" s="108" t="b">
        <v>0</v>
      </c>
      <c r="P1062" s="207"/>
      <c r="Q1062" s="140"/>
      <c r="R1062" s="140"/>
      <c r="S1062" s="140"/>
      <c r="T1062" s="140"/>
      <c r="U1062" s="140"/>
      <c r="V1062" s="140"/>
      <c r="W1062" s="140"/>
      <c r="X1062" s="140"/>
      <c r="Y1062" s="140"/>
      <c r="Z1062" s="140"/>
      <c r="AA1062" s="140"/>
      <c r="AB1062" s="140"/>
      <c r="AC1062" s="140"/>
      <c r="AD1062" s="140"/>
      <c r="AE1062" s="140"/>
      <c r="AF1062" s="140"/>
      <c r="AG1062" s="140"/>
      <c r="AH1062" s="140"/>
      <c r="AI1062" s="140"/>
      <c r="AJ1062" s="140"/>
      <c r="AK1062" s="140"/>
      <c r="AL1062" s="140"/>
      <c r="AM1062" s="140"/>
      <c r="AN1062" s="140"/>
      <c r="AO1062" s="140"/>
      <c r="AP1062" s="140"/>
      <c r="AQ1062" s="140"/>
      <c r="AR1062" s="140"/>
      <c r="AS1062" s="140"/>
      <c r="AT1062" s="140"/>
      <c r="AU1062" s="140"/>
      <c r="AV1062" s="140"/>
      <c r="AW1062" s="140"/>
      <c r="AX1062" s="140"/>
      <c r="AY1062" s="140"/>
      <c r="AZ1062" s="140"/>
      <c r="BA1062" s="140"/>
      <c r="BB1062" s="140"/>
      <c r="BC1062" s="140"/>
      <c r="BD1062" s="140"/>
      <c r="BE1062" s="140"/>
    </row>
    <row r="1063">
      <c r="A1063" s="108"/>
      <c r="B1063" s="107"/>
      <c r="C1063" s="107"/>
      <c r="D1063" s="107"/>
      <c r="E1063" s="107"/>
      <c r="F1063" s="107"/>
      <c r="G1063" s="208"/>
      <c r="H1063" s="131"/>
      <c r="I1063" s="211"/>
      <c r="J1063" s="107"/>
      <c r="K1063" s="202"/>
      <c r="L1063" s="107"/>
      <c r="M1063" s="107"/>
      <c r="N1063" s="206"/>
      <c r="O1063" s="108" t="b">
        <v>0</v>
      </c>
      <c r="P1063" s="207"/>
      <c r="Q1063" s="140"/>
      <c r="R1063" s="140"/>
      <c r="S1063" s="140"/>
      <c r="T1063" s="140"/>
      <c r="U1063" s="140"/>
      <c r="V1063" s="140"/>
      <c r="W1063" s="140"/>
      <c r="X1063" s="140"/>
      <c r="Y1063" s="140"/>
      <c r="Z1063" s="140"/>
      <c r="AA1063" s="140"/>
      <c r="AB1063" s="140"/>
      <c r="AC1063" s="140"/>
      <c r="AD1063" s="140"/>
      <c r="AE1063" s="140"/>
      <c r="AF1063" s="140"/>
      <c r="AG1063" s="140"/>
      <c r="AH1063" s="140"/>
      <c r="AI1063" s="140"/>
      <c r="AJ1063" s="140"/>
      <c r="AK1063" s="140"/>
      <c r="AL1063" s="140"/>
      <c r="AM1063" s="140"/>
      <c r="AN1063" s="140"/>
      <c r="AO1063" s="140"/>
      <c r="AP1063" s="140"/>
      <c r="AQ1063" s="140"/>
      <c r="AR1063" s="140"/>
      <c r="AS1063" s="140"/>
      <c r="AT1063" s="140"/>
      <c r="AU1063" s="140"/>
      <c r="AV1063" s="140"/>
      <c r="AW1063" s="140"/>
      <c r="AX1063" s="140"/>
      <c r="AY1063" s="140"/>
      <c r="AZ1063" s="140"/>
      <c r="BA1063" s="140"/>
      <c r="BB1063" s="140"/>
      <c r="BC1063" s="140"/>
      <c r="BD1063" s="140"/>
      <c r="BE1063" s="140"/>
    </row>
    <row r="1064">
      <c r="A1064" s="108"/>
      <c r="B1064" s="107"/>
      <c r="C1064" s="107"/>
      <c r="D1064" s="107"/>
      <c r="E1064" s="107"/>
      <c r="F1064" s="107"/>
      <c r="G1064" s="208"/>
      <c r="H1064" s="131"/>
      <c r="I1064" s="211"/>
      <c r="J1064" s="107"/>
      <c r="K1064" s="202"/>
      <c r="L1064" s="107"/>
      <c r="M1064" s="107"/>
      <c r="N1064" s="206"/>
      <c r="O1064" s="108" t="b">
        <v>0</v>
      </c>
      <c r="P1064" s="207"/>
      <c r="Q1064" s="140"/>
      <c r="R1064" s="140"/>
      <c r="S1064" s="140"/>
      <c r="T1064" s="140"/>
      <c r="U1064" s="140"/>
      <c r="V1064" s="140"/>
      <c r="W1064" s="140"/>
      <c r="X1064" s="140"/>
      <c r="Y1064" s="140"/>
      <c r="Z1064" s="140"/>
      <c r="AA1064" s="140"/>
      <c r="AB1064" s="140"/>
      <c r="AC1064" s="140"/>
      <c r="AD1064" s="140"/>
      <c r="AE1064" s="140"/>
      <c r="AF1064" s="140"/>
      <c r="AG1064" s="140"/>
      <c r="AH1064" s="140"/>
      <c r="AI1064" s="140"/>
      <c r="AJ1064" s="140"/>
      <c r="AK1064" s="140"/>
      <c r="AL1064" s="140"/>
      <c r="AM1064" s="140"/>
      <c r="AN1064" s="140"/>
      <c r="AO1064" s="140"/>
      <c r="AP1064" s="140"/>
      <c r="AQ1064" s="140"/>
      <c r="AR1064" s="140"/>
      <c r="AS1064" s="140"/>
      <c r="AT1064" s="140"/>
      <c r="AU1064" s="140"/>
      <c r="AV1064" s="140"/>
      <c r="AW1064" s="140"/>
      <c r="AX1064" s="140"/>
      <c r="AY1064" s="140"/>
      <c r="AZ1064" s="140"/>
      <c r="BA1064" s="140"/>
      <c r="BB1064" s="140"/>
      <c r="BC1064" s="140"/>
      <c r="BD1064" s="140"/>
      <c r="BE1064" s="140"/>
    </row>
    <row r="1065">
      <c r="A1065" s="108"/>
      <c r="B1065" s="107"/>
      <c r="C1065" s="107"/>
      <c r="D1065" s="107"/>
      <c r="E1065" s="107"/>
      <c r="F1065" s="107"/>
      <c r="G1065" s="208"/>
      <c r="H1065" s="131"/>
      <c r="I1065" s="211"/>
      <c r="J1065" s="107"/>
      <c r="K1065" s="202"/>
      <c r="L1065" s="107"/>
      <c r="M1065" s="107"/>
      <c r="N1065" s="206"/>
      <c r="O1065" s="108" t="b">
        <v>0</v>
      </c>
      <c r="P1065" s="207"/>
      <c r="Q1065" s="140"/>
      <c r="R1065" s="140"/>
      <c r="S1065" s="140"/>
      <c r="T1065" s="140"/>
      <c r="U1065" s="140"/>
      <c r="V1065" s="140"/>
      <c r="W1065" s="140"/>
      <c r="X1065" s="140"/>
      <c r="Y1065" s="140"/>
      <c r="Z1065" s="140"/>
      <c r="AA1065" s="140"/>
      <c r="AB1065" s="140"/>
      <c r="AC1065" s="140"/>
      <c r="AD1065" s="140"/>
      <c r="AE1065" s="140"/>
      <c r="AF1065" s="140"/>
      <c r="AG1065" s="140"/>
      <c r="AH1065" s="140"/>
      <c r="AI1065" s="140"/>
      <c r="AJ1065" s="140"/>
      <c r="AK1065" s="140"/>
      <c r="AL1065" s="140"/>
      <c r="AM1065" s="140"/>
      <c r="AN1065" s="140"/>
      <c r="AO1065" s="140"/>
      <c r="AP1065" s="140"/>
      <c r="AQ1065" s="140"/>
      <c r="AR1065" s="140"/>
      <c r="AS1065" s="140"/>
      <c r="AT1065" s="140"/>
      <c r="AU1065" s="140"/>
      <c r="AV1065" s="140"/>
      <c r="AW1065" s="140"/>
      <c r="AX1065" s="140"/>
      <c r="AY1065" s="140"/>
      <c r="AZ1065" s="140"/>
      <c r="BA1065" s="140"/>
      <c r="BB1065" s="140"/>
      <c r="BC1065" s="140"/>
      <c r="BD1065" s="140"/>
      <c r="BE1065" s="140"/>
    </row>
    <row r="1066">
      <c r="A1066" s="108"/>
      <c r="B1066" s="107"/>
      <c r="C1066" s="107"/>
      <c r="D1066" s="107"/>
      <c r="E1066" s="107"/>
      <c r="F1066" s="107"/>
      <c r="G1066" s="208"/>
      <c r="H1066" s="131"/>
      <c r="I1066" s="211"/>
      <c r="J1066" s="107"/>
      <c r="K1066" s="202"/>
      <c r="L1066" s="107"/>
      <c r="M1066" s="107"/>
      <c r="N1066" s="206"/>
      <c r="O1066" s="108" t="b">
        <v>0</v>
      </c>
      <c r="P1066" s="207"/>
      <c r="Q1066" s="140"/>
      <c r="R1066" s="140"/>
      <c r="S1066" s="140"/>
      <c r="T1066" s="140"/>
      <c r="U1066" s="140"/>
      <c r="V1066" s="140"/>
      <c r="W1066" s="140"/>
      <c r="X1066" s="140"/>
      <c r="Y1066" s="140"/>
      <c r="Z1066" s="140"/>
      <c r="AA1066" s="140"/>
      <c r="AB1066" s="140"/>
      <c r="AC1066" s="140"/>
      <c r="AD1066" s="140"/>
      <c r="AE1066" s="140"/>
      <c r="AF1066" s="140"/>
      <c r="AG1066" s="140"/>
      <c r="AH1066" s="140"/>
      <c r="AI1066" s="140"/>
      <c r="AJ1066" s="140"/>
      <c r="AK1066" s="140"/>
      <c r="AL1066" s="140"/>
      <c r="AM1066" s="140"/>
      <c r="AN1066" s="140"/>
      <c r="AO1066" s="140"/>
      <c r="AP1066" s="140"/>
      <c r="AQ1066" s="140"/>
      <c r="AR1066" s="140"/>
      <c r="AS1066" s="140"/>
      <c r="AT1066" s="140"/>
      <c r="AU1066" s="140"/>
      <c r="AV1066" s="140"/>
      <c r="AW1066" s="140"/>
      <c r="AX1066" s="140"/>
      <c r="AY1066" s="140"/>
      <c r="AZ1066" s="140"/>
      <c r="BA1066" s="140"/>
      <c r="BB1066" s="140"/>
      <c r="BC1066" s="140"/>
      <c r="BD1066" s="140"/>
      <c r="BE1066" s="140"/>
    </row>
    <row r="1067">
      <c r="A1067" s="108"/>
      <c r="B1067" s="107"/>
      <c r="C1067" s="107"/>
      <c r="D1067" s="107"/>
      <c r="E1067" s="107"/>
      <c r="F1067" s="107"/>
      <c r="G1067" s="208"/>
      <c r="H1067" s="131"/>
      <c r="I1067" s="211"/>
      <c r="J1067" s="107"/>
      <c r="K1067" s="202"/>
      <c r="L1067" s="107"/>
      <c r="M1067" s="107"/>
      <c r="N1067" s="206"/>
      <c r="O1067" s="108" t="b">
        <v>0</v>
      </c>
      <c r="P1067" s="207"/>
      <c r="Q1067" s="140"/>
      <c r="R1067" s="140"/>
      <c r="S1067" s="140"/>
      <c r="T1067" s="140"/>
      <c r="U1067" s="140"/>
      <c r="V1067" s="140"/>
      <c r="W1067" s="140"/>
      <c r="X1067" s="140"/>
      <c r="Y1067" s="140"/>
      <c r="Z1067" s="140"/>
      <c r="AA1067" s="140"/>
      <c r="AB1067" s="140"/>
      <c r="AC1067" s="140"/>
      <c r="AD1067" s="140"/>
      <c r="AE1067" s="140"/>
      <c r="AF1067" s="140"/>
      <c r="AG1067" s="140"/>
      <c r="AH1067" s="140"/>
      <c r="AI1067" s="140"/>
      <c r="AJ1067" s="140"/>
      <c r="AK1067" s="140"/>
      <c r="AL1067" s="140"/>
      <c r="AM1067" s="140"/>
      <c r="AN1067" s="140"/>
      <c r="AO1067" s="140"/>
      <c r="AP1067" s="140"/>
      <c r="AQ1067" s="140"/>
      <c r="AR1067" s="140"/>
      <c r="AS1067" s="140"/>
      <c r="AT1067" s="140"/>
      <c r="AU1067" s="140"/>
      <c r="AV1067" s="140"/>
      <c r="AW1067" s="140"/>
      <c r="AX1067" s="140"/>
      <c r="AY1067" s="140"/>
      <c r="AZ1067" s="140"/>
      <c r="BA1067" s="140"/>
      <c r="BB1067" s="140"/>
      <c r="BC1067" s="140"/>
      <c r="BD1067" s="140"/>
      <c r="BE1067" s="140"/>
    </row>
    <row r="1068">
      <c r="A1068" s="108"/>
      <c r="B1068" s="107"/>
      <c r="C1068" s="107"/>
      <c r="D1068" s="107"/>
      <c r="E1068" s="107"/>
      <c r="F1068" s="107"/>
      <c r="G1068" s="208"/>
      <c r="H1068" s="131"/>
      <c r="I1068" s="211"/>
      <c r="J1068" s="107"/>
      <c r="K1068" s="202"/>
      <c r="L1068" s="107"/>
      <c r="M1068" s="107"/>
      <c r="N1068" s="206"/>
      <c r="O1068" s="108" t="b">
        <v>0</v>
      </c>
      <c r="P1068" s="207"/>
      <c r="Q1068" s="140"/>
      <c r="R1068" s="140"/>
      <c r="S1068" s="140"/>
      <c r="T1068" s="140"/>
      <c r="U1068" s="140"/>
      <c r="V1068" s="140"/>
      <c r="W1068" s="140"/>
      <c r="X1068" s="140"/>
      <c r="Y1068" s="140"/>
      <c r="Z1068" s="140"/>
      <c r="AA1068" s="140"/>
      <c r="AB1068" s="140"/>
      <c r="AC1068" s="140"/>
      <c r="AD1068" s="140"/>
      <c r="AE1068" s="140"/>
      <c r="AF1068" s="140"/>
      <c r="AG1068" s="140"/>
      <c r="AH1068" s="140"/>
      <c r="AI1068" s="140"/>
      <c r="AJ1068" s="140"/>
      <c r="AK1068" s="140"/>
      <c r="AL1068" s="140"/>
      <c r="AM1068" s="140"/>
      <c r="AN1068" s="140"/>
      <c r="AO1068" s="140"/>
      <c r="AP1068" s="140"/>
      <c r="AQ1068" s="140"/>
      <c r="AR1068" s="140"/>
      <c r="AS1068" s="140"/>
      <c r="AT1068" s="140"/>
      <c r="AU1068" s="140"/>
      <c r="AV1068" s="140"/>
      <c r="AW1068" s="140"/>
      <c r="AX1068" s="140"/>
      <c r="AY1068" s="140"/>
      <c r="AZ1068" s="140"/>
      <c r="BA1068" s="140"/>
      <c r="BB1068" s="140"/>
      <c r="BC1068" s="140"/>
      <c r="BD1068" s="140"/>
      <c r="BE1068" s="140"/>
    </row>
    <row r="1069">
      <c r="A1069" s="108"/>
      <c r="B1069" s="107"/>
      <c r="C1069" s="107"/>
      <c r="D1069" s="107"/>
      <c r="E1069" s="107"/>
      <c r="F1069" s="107"/>
      <c r="G1069" s="208"/>
      <c r="H1069" s="131"/>
      <c r="I1069" s="211"/>
      <c r="J1069" s="107"/>
      <c r="K1069" s="202"/>
      <c r="L1069" s="107"/>
      <c r="M1069" s="107"/>
      <c r="N1069" s="206"/>
      <c r="O1069" s="108" t="b">
        <v>0</v>
      </c>
      <c r="P1069" s="207"/>
      <c r="Q1069" s="140"/>
      <c r="R1069" s="140"/>
      <c r="S1069" s="140"/>
      <c r="T1069" s="140"/>
      <c r="U1069" s="140"/>
      <c r="V1069" s="140"/>
      <c r="W1069" s="140"/>
      <c r="X1069" s="140"/>
      <c r="Y1069" s="140"/>
      <c r="Z1069" s="140"/>
      <c r="AA1069" s="140"/>
      <c r="AB1069" s="140"/>
      <c r="AC1069" s="140"/>
      <c r="AD1069" s="140"/>
      <c r="AE1069" s="140"/>
      <c r="AF1069" s="140"/>
      <c r="AG1069" s="140"/>
      <c r="AH1069" s="140"/>
      <c r="AI1069" s="140"/>
      <c r="AJ1069" s="140"/>
      <c r="AK1069" s="140"/>
      <c r="AL1069" s="140"/>
      <c r="AM1069" s="140"/>
      <c r="AN1069" s="140"/>
      <c r="AO1069" s="140"/>
      <c r="AP1069" s="140"/>
      <c r="AQ1069" s="140"/>
      <c r="AR1069" s="140"/>
      <c r="AS1069" s="140"/>
      <c r="AT1069" s="140"/>
      <c r="AU1069" s="140"/>
      <c r="AV1069" s="140"/>
      <c r="AW1069" s="140"/>
      <c r="AX1069" s="140"/>
      <c r="AY1069" s="140"/>
      <c r="AZ1069" s="140"/>
      <c r="BA1069" s="140"/>
      <c r="BB1069" s="140"/>
      <c r="BC1069" s="140"/>
      <c r="BD1069" s="140"/>
      <c r="BE1069" s="140"/>
    </row>
    <row r="1070">
      <c r="A1070" s="108"/>
      <c r="B1070" s="107"/>
      <c r="C1070" s="107"/>
      <c r="D1070" s="107"/>
      <c r="E1070" s="107"/>
      <c r="F1070" s="107"/>
      <c r="G1070" s="208"/>
      <c r="H1070" s="131"/>
      <c r="I1070" s="211"/>
      <c r="J1070" s="107"/>
      <c r="K1070" s="202"/>
      <c r="L1070" s="107"/>
      <c r="M1070" s="107"/>
      <c r="N1070" s="206"/>
      <c r="O1070" s="108" t="b">
        <v>0</v>
      </c>
      <c r="P1070" s="207"/>
      <c r="Q1070" s="140"/>
      <c r="R1070" s="140"/>
      <c r="S1070" s="140"/>
      <c r="T1070" s="140"/>
      <c r="U1070" s="140"/>
      <c r="V1070" s="140"/>
      <c r="W1070" s="140"/>
      <c r="X1070" s="140"/>
      <c r="Y1070" s="140"/>
      <c r="Z1070" s="140"/>
      <c r="AA1070" s="140"/>
      <c r="AB1070" s="140"/>
      <c r="AC1070" s="140"/>
      <c r="AD1070" s="140"/>
      <c r="AE1070" s="140"/>
      <c r="AF1070" s="140"/>
      <c r="AG1070" s="140"/>
      <c r="AH1070" s="140"/>
      <c r="AI1070" s="140"/>
      <c r="AJ1070" s="140"/>
      <c r="AK1070" s="140"/>
      <c r="AL1070" s="140"/>
      <c r="AM1070" s="140"/>
      <c r="AN1070" s="140"/>
      <c r="AO1070" s="140"/>
      <c r="AP1070" s="140"/>
      <c r="AQ1070" s="140"/>
      <c r="AR1070" s="140"/>
      <c r="AS1070" s="140"/>
      <c r="AT1070" s="140"/>
      <c r="AU1070" s="140"/>
      <c r="AV1070" s="140"/>
      <c r="AW1070" s="140"/>
      <c r="AX1070" s="140"/>
      <c r="AY1070" s="140"/>
      <c r="AZ1070" s="140"/>
      <c r="BA1070" s="140"/>
      <c r="BB1070" s="140"/>
      <c r="BC1070" s="140"/>
      <c r="BD1070" s="140"/>
      <c r="BE1070" s="140"/>
    </row>
    <row r="1071">
      <c r="A1071" s="108"/>
      <c r="B1071" s="107"/>
      <c r="C1071" s="107"/>
      <c r="D1071" s="107"/>
      <c r="E1071" s="107"/>
      <c r="F1071" s="107"/>
      <c r="G1071" s="208"/>
      <c r="H1071" s="131"/>
      <c r="I1071" s="211"/>
      <c r="J1071" s="107"/>
      <c r="K1071" s="202"/>
      <c r="L1071" s="107"/>
      <c r="M1071" s="107"/>
      <c r="N1071" s="206"/>
      <c r="O1071" s="108" t="b">
        <v>0</v>
      </c>
      <c r="P1071" s="207"/>
      <c r="Q1071" s="140"/>
      <c r="R1071" s="140"/>
      <c r="S1071" s="140"/>
      <c r="T1071" s="140"/>
      <c r="U1071" s="140"/>
      <c r="V1071" s="140"/>
      <c r="W1071" s="140"/>
      <c r="X1071" s="140"/>
      <c r="Y1071" s="140"/>
      <c r="Z1071" s="140"/>
      <c r="AA1071" s="140"/>
      <c r="AB1071" s="140"/>
      <c r="AC1071" s="140"/>
      <c r="AD1071" s="140"/>
      <c r="AE1071" s="140"/>
      <c r="AF1071" s="140"/>
      <c r="AG1071" s="140"/>
      <c r="AH1071" s="140"/>
      <c r="AI1071" s="140"/>
      <c r="AJ1071" s="140"/>
      <c r="AK1071" s="140"/>
      <c r="AL1071" s="140"/>
      <c r="AM1071" s="140"/>
      <c r="AN1071" s="140"/>
      <c r="AO1071" s="140"/>
      <c r="AP1071" s="140"/>
      <c r="AQ1071" s="140"/>
      <c r="AR1071" s="140"/>
      <c r="AS1071" s="140"/>
      <c r="AT1071" s="140"/>
      <c r="AU1071" s="140"/>
      <c r="AV1071" s="140"/>
      <c r="AW1071" s="140"/>
      <c r="AX1071" s="140"/>
      <c r="AY1071" s="140"/>
      <c r="AZ1071" s="140"/>
      <c r="BA1071" s="140"/>
      <c r="BB1071" s="140"/>
      <c r="BC1071" s="140"/>
      <c r="BD1071" s="140"/>
      <c r="BE1071" s="140"/>
    </row>
    <row r="1072">
      <c r="A1072" s="108"/>
      <c r="B1072" s="107"/>
      <c r="C1072" s="107"/>
      <c r="D1072" s="107"/>
      <c r="E1072" s="107"/>
      <c r="F1072" s="107"/>
      <c r="G1072" s="208"/>
      <c r="H1072" s="131"/>
      <c r="I1072" s="211"/>
      <c r="J1072" s="107"/>
      <c r="K1072" s="202"/>
      <c r="L1072" s="107"/>
      <c r="M1072" s="107"/>
      <c r="N1072" s="206"/>
      <c r="O1072" s="108" t="b">
        <v>0</v>
      </c>
      <c r="P1072" s="207"/>
      <c r="Q1072" s="140"/>
      <c r="R1072" s="140"/>
      <c r="S1072" s="140"/>
      <c r="T1072" s="140"/>
      <c r="U1072" s="140"/>
      <c r="V1072" s="140"/>
      <c r="W1072" s="140"/>
      <c r="X1072" s="140"/>
      <c r="Y1072" s="140"/>
      <c r="Z1072" s="140"/>
      <c r="AA1072" s="140"/>
      <c r="AB1072" s="140"/>
      <c r="AC1072" s="140"/>
      <c r="AD1072" s="140"/>
      <c r="AE1072" s="140"/>
      <c r="AF1072" s="140"/>
      <c r="AG1072" s="140"/>
      <c r="AH1072" s="140"/>
      <c r="AI1072" s="140"/>
      <c r="AJ1072" s="140"/>
      <c r="AK1072" s="140"/>
      <c r="AL1072" s="140"/>
      <c r="AM1072" s="140"/>
      <c r="AN1072" s="140"/>
      <c r="AO1072" s="140"/>
      <c r="AP1072" s="140"/>
      <c r="AQ1072" s="140"/>
      <c r="AR1072" s="140"/>
      <c r="AS1072" s="140"/>
      <c r="AT1072" s="140"/>
      <c r="AU1072" s="140"/>
      <c r="AV1072" s="140"/>
      <c r="AW1072" s="140"/>
      <c r="AX1072" s="140"/>
      <c r="AY1072" s="140"/>
      <c r="AZ1072" s="140"/>
      <c r="BA1072" s="140"/>
      <c r="BB1072" s="140"/>
      <c r="BC1072" s="140"/>
      <c r="BD1072" s="140"/>
      <c r="BE1072" s="140"/>
    </row>
    <row r="1073">
      <c r="A1073" s="108"/>
      <c r="B1073" s="107"/>
      <c r="C1073" s="107"/>
      <c r="D1073" s="107"/>
      <c r="E1073" s="107"/>
      <c r="F1073" s="107"/>
      <c r="G1073" s="208"/>
      <c r="H1073" s="131"/>
      <c r="I1073" s="211"/>
      <c r="J1073" s="107"/>
      <c r="K1073" s="202"/>
      <c r="L1073" s="107"/>
      <c r="M1073" s="107"/>
      <c r="N1073" s="206"/>
      <c r="O1073" s="108" t="b">
        <v>0</v>
      </c>
      <c r="P1073" s="207"/>
      <c r="Q1073" s="140"/>
      <c r="R1073" s="140"/>
      <c r="S1073" s="140"/>
      <c r="T1073" s="140"/>
      <c r="U1073" s="140"/>
      <c r="V1073" s="140"/>
      <c r="W1073" s="140"/>
      <c r="X1073" s="140"/>
      <c r="Y1073" s="140"/>
      <c r="Z1073" s="140"/>
      <c r="AA1073" s="140"/>
      <c r="AB1073" s="140"/>
      <c r="AC1073" s="140"/>
      <c r="AD1073" s="140"/>
      <c r="AE1073" s="140"/>
      <c r="AF1073" s="140"/>
      <c r="AG1073" s="140"/>
      <c r="AH1073" s="140"/>
      <c r="AI1073" s="140"/>
      <c r="AJ1073" s="140"/>
      <c r="AK1073" s="140"/>
      <c r="AL1073" s="140"/>
      <c r="AM1073" s="140"/>
      <c r="AN1073" s="140"/>
      <c r="AO1073" s="140"/>
      <c r="AP1073" s="140"/>
      <c r="AQ1073" s="140"/>
      <c r="AR1073" s="140"/>
      <c r="AS1073" s="140"/>
      <c r="AT1073" s="140"/>
      <c r="AU1073" s="140"/>
      <c r="AV1073" s="140"/>
      <c r="AW1073" s="140"/>
      <c r="AX1073" s="140"/>
      <c r="AY1073" s="140"/>
      <c r="AZ1073" s="140"/>
      <c r="BA1073" s="140"/>
      <c r="BB1073" s="140"/>
      <c r="BC1073" s="140"/>
      <c r="BD1073" s="140"/>
      <c r="BE1073" s="140"/>
    </row>
    <row r="1074">
      <c r="A1074" s="108"/>
      <c r="B1074" s="107"/>
      <c r="C1074" s="107"/>
      <c r="D1074" s="107"/>
      <c r="E1074" s="107"/>
      <c r="F1074" s="107"/>
      <c r="G1074" s="208"/>
      <c r="H1074" s="131"/>
      <c r="I1074" s="211"/>
      <c r="J1074" s="107"/>
      <c r="K1074" s="202"/>
      <c r="L1074" s="107"/>
      <c r="M1074" s="107"/>
      <c r="N1074" s="206"/>
      <c r="O1074" s="108" t="b">
        <v>0</v>
      </c>
      <c r="P1074" s="207"/>
      <c r="Q1074" s="140"/>
      <c r="R1074" s="140"/>
      <c r="S1074" s="140"/>
      <c r="T1074" s="140"/>
      <c r="U1074" s="140"/>
      <c r="V1074" s="140"/>
      <c r="W1074" s="140"/>
      <c r="X1074" s="140"/>
      <c r="Y1074" s="140"/>
      <c r="Z1074" s="140"/>
      <c r="AA1074" s="140"/>
      <c r="AB1074" s="140"/>
      <c r="AC1074" s="140"/>
      <c r="AD1074" s="140"/>
      <c r="AE1074" s="140"/>
      <c r="AF1074" s="140"/>
      <c r="AG1074" s="140"/>
      <c r="AH1074" s="140"/>
      <c r="AI1074" s="140"/>
      <c r="AJ1074" s="140"/>
      <c r="AK1074" s="140"/>
      <c r="AL1074" s="140"/>
      <c r="AM1074" s="140"/>
      <c r="AN1074" s="140"/>
      <c r="AO1074" s="140"/>
      <c r="AP1074" s="140"/>
      <c r="AQ1074" s="140"/>
      <c r="AR1074" s="140"/>
      <c r="AS1074" s="140"/>
      <c r="AT1074" s="140"/>
      <c r="AU1074" s="140"/>
      <c r="AV1074" s="140"/>
      <c r="AW1074" s="140"/>
      <c r="AX1074" s="140"/>
      <c r="AY1074" s="140"/>
      <c r="AZ1074" s="140"/>
      <c r="BA1074" s="140"/>
      <c r="BB1074" s="140"/>
      <c r="BC1074" s="140"/>
      <c r="BD1074" s="140"/>
      <c r="BE1074" s="140"/>
    </row>
    <row r="1075">
      <c r="A1075" s="108"/>
      <c r="B1075" s="107"/>
      <c r="C1075" s="107"/>
      <c r="D1075" s="107"/>
      <c r="E1075" s="107"/>
      <c r="F1075" s="107"/>
      <c r="G1075" s="208"/>
      <c r="H1075" s="131"/>
      <c r="I1075" s="211"/>
      <c r="J1075" s="107"/>
      <c r="K1075" s="202"/>
      <c r="L1075" s="107"/>
      <c r="M1075" s="107"/>
      <c r="N1075" s="206"/>
      <c r="O1075" s="108" t="b">
        <v>0</v>
      </c>
      <c r="P1075" s="207"/>
      <c r="Q1075" s="140"/>
      <c r="R1075" s="140"/>
      <c r="S1075" s="140"/>
      <c r="T1075" s="140"/>
      <c r="U1075" s="140"/>
      <c r="V1075" s="140"/>
      <c r="W1075" s="140"/>
      <c r="X1075" s="140"/>
      <c r="Y1075" s="140"/>
      <c r="Z1075" s="140"/>
      <c r="AA1075" s="140"/>
      <c r="AB1075" s="140"/>
      <c r="AC1075" s="140"/>
      <c r="AD1075" s="140"/>
      <c r="AE1075" s="140"/>
      <c r="AF1075" s="140"/>
      <c r="AG1075" s="140"/>
      <c r="AH1075" s="140"/>
      <c r="AI1075" s="140"/>
      <c r="AJ1075" s="140"/>
      <c r="AK1075" s="140"/>
      <c r="AL1075" s="140"/>
      <c r="AM1075" s="140"/>
      <c r="AN1075" s="140"/>
      <c r="AO1075" s="140"/>
      <c r="AP1075" s="140"/>
      <c r="AQ1075" s="140"/>
      <c r="AR1075" s="140"/>
      <c r="AS1075" s="140"/>
      <c r="AT1075" s="140"/>
      <c r="AU1075" s="140"/>
      <c r="AV1075" s="140"/>
      <c r="AW1075" s="140"/>
      <c r="AX1075" s="140"/>
      <c r="AY1075" s="140"/>
      <c r="AZ1075" s="140"/>
      <c r="BA1075" s="140"/>
      <c r="BB1075" s="140"/>
      <c r="BC1075" s="140"/>
      <c r="BD1075" s="140"/>
      <c r="BE1075" s="140"/>
    </row>
    <row r="1076">
      <c r="A1076" s="108"/>
      <c r="B1076" s="107"/>
      <c r="C1076" s="107"/>
      <c r="D1076" s="107"/>
      <c r="E1076" s="107"/>
      <c r="F1076" s="107"/>
      <c r="G1076" s="208"/>
      <c r="H1076" s="131"/>
      <c r="I1076" s="211"/>
      <c r="J1076" s="107"/>
      <c r="K1076" s="202"/>
      <c r="L1076" s="107"/>
      <c r="M1076" s="107"/>
      <c r="N1076" s="206"/>
      <c r="O1076" s="108" t="b">
        <v>0</v>
      </c>
      <c r="P1076" s="207"/>
      <c r="Q1076" s="140"/>
      <c r="R1076" s="140"/>
      <c r="S1076" s="140"/>
      <c r="T1076" s="140"/>
      <c r="U1076" s="140"/>
      <c r="V1076" s="140"/>
      <c r="W1076" s="140"/>
      <c r="X1076" s="140"/>
      <c r="Y1076" s="140"/>
      <c r="Z1076" s="140"/>
      <c r="AA1076" s="140"/>
      <c r="AB1076" s="140"/>
      <c r="AC1076" s="140"/>
      <c r="AD1076" s="140"/>
      <c r="AE1076" s="140"/>
      <c r="AF1076" s="140"/>
      <c r="AG1076" s="140"/>
      <c r="AH1076" s="140"/>
      <c r="AI1076" s="140"/>
      <c r="AJ1076" s="140"/>
      <c r="AK1076" s="140"/>
      <c r="AL1076" s="140"/>
      <c r="AM1076" s="140"/>
      <c r="AN1076" s="140"/>
      <c r="AO1076" s="140"/>
      <c r="AP1076" s="140"/>
      <c r="AQ1076" s="140"/>
      <c r="AR1076" s="140"/>
      <c r="AS1076" s="140"/>
      <c r="AT1076" s="140"/>
      <c r="AU1076" s="140"/>
      <c r="AV1076" s="140"/>
      <c r="AW1076" s="140"/>
      <c r="AX1076" s="140"/>
      <c r="AY1076" s="140"/>
      <c r="AZ1076" s="140"/>
      <c r="BA1076" s="140"/>
      <c r="BB1076" s="140"/>
      <c r="BC1076" s="140"/>
      <c r="BD1076" s="140"/>
      <c r="BE1076" s="140"/>
    </row>
    <row r="1077">
      <c r="A1077" s="108"/>
      <c r="B1077" s="107"/>
      <c r="C1077" s="107"/>
      <c r="D1077" s="107"/>
      <c r="E1077" s="107"/>
      <c r="F1077" s="107"/>
      <c r="G1077" s="208"/>
      <c r="H1077" s="131"/>
      <c r="I1077" s="211"/>
      <c r="J1077" s="107"/>
      <c r="K1077" s="202"/>
      <c r="L1077" s="107"/>
      <c r="M1077" s="107"/>
      <c r="N1077" s="206"/>
      <c r="O1077" s="108" t="b">
        <v>0</v>
      </c>
      <c r="P1077" s="207"/>
      <c r="Q1077" s="140"/>
      <c r="R1077" s="140"/>
      <c r="S1077" s="140"/>
      <c r="T1077" s="140"/>
      <c r="U1077" s="140"/>
      <c r="V1077" s="140"/>
      <c r="W1077" s="140"/>
      <c r="X1077" s="140"/>
      <c r="Y1077" s="140"/>
      <c r="Z1077" s="140"/>
      <c r="AA1077" s="140"/>
      <c r="AB1077" s="140"/>
      <c r="AC1077" s="140"/>
      <c r="AD1077" s="140"/>
      <c r="AE1077" s="140"/>
      <c r="AF1077" s="140"/>
      <c r="AG1077" s="140"/>
      <c r="AH1077" s="140"/>
      <c r="AI1077" s="140"/>
      <c r="AJ1077" s="140"/>
      <c r="AK1077" s="140"/>
      <c r="AL1077" s="140"/>
      <c r="AM1077" s="140"/>
      <c r="AN1077" s="140"/>
      <c r="AO1077" s="140"/>
      <c r="AP1077" s="140"/>
      <c r="AQ1077" s="140"/>
      <c r="AR1077" s="140"/>
      <c r="AS1077" s="140"/>
      <c r="AT1077" s="140"/>
      <c r="AU1077" s="140"/>
      <c r="AV1077" s="140"/>
      <c r="AW1077" s="140"/>
      <c r="AX1077" s="140"/>
      <c r="AY1077" s="140"/>
      <c r="AZ1077" s="140"/>
      <c r="BA1077" s="140"/>
      <c r="BB1077" s="140"/>
      <c r="BC1077" s="140"/>
      <c r="BD1077" s="140"/>
      <c r="BE1077" s="140"/>
    </row>
    <row r="1078">
      <c r="A1078" s="108"/>
      <c r="B1078" s="107"/>
      <c r="C1078" s="107"/>
      <c r="D1078" s="107"/>
      <c r="E1078" s="107"/>
      <c r="F1078" s="107"/>
      <c r="G1078" s="208"/>
      <c r="H1078" s="131"/>
      <c r="I1078" s="211"/>
      <c r="J1078" s="107"/>
      <c r="K1078" s="202"/>
      <c r="L1078" s="107"/>
      <c r="M1078" s="107"/>
      <c r="N1078" s="206"/>
      <c r="O1078" s="108" t="b">
        <v>0</v>
      </c>
      <c r="P1078" s="207"/>
      <c r="Q1078" s="140"/>
      <c r="R1078" s="140"/>
      <c r="S1078" s="140"/>
      <c r="T1078" s="140"/>
      <c r="U1078" s="140"/>
      <c r="V1078" s="140"/>
      <c r="W1078" s="140"/>
      <c r="X1078" s="140"/>
      <c r="Y1078" s="140"/>
      <c r="Z1078" s="140"/>
      <c r="AA1078" s="140"/>
      <c r="AB1078" s="140"/>
      <c r="AC1078" s="140"/>
      <c r="AD1078" s="140"/>
      <c r="AE1078" s="140"/>
      <c r="AF1078" s="140"/>
      <c r="AG1078" s="140"/>
      <c r="AH1078" s="140"/>
      <c r="AI1078" s="140"/>
      <c r="AJ1078" s="140"/>
      <c r="AK1078" s="140"/>
      <c r="AL1078" s="140"/>
      <c r="AM1078" s="140"/>
      <c r="AN1078" s="140"/>
      <c r="AO1078" s="140"/>
      <c r="AP1078" s="140"/>
      <c r="AQ1078" s="140"/>
      <c r="AR1078" s="140"/>
      <c r="AS1078" s="140"/>
      <c r="AT1078" s="140"/>
      <c r="AU1078" s="140"/>
      <c r="AV1078" s="140"/>
      <c r="AW1078" s="140"/>
      <c r="AX1078" s="140"/>
      <c r="AY1078" s="140"/>
      <c r="AZ1078" s="140"/>
      <c r="BA1078" s="140"/>
      <c r="BB1078" s="140"/>
      <c r="BC1078" s="140"/>
      <c r="BD1078" s="140"/>
      <c r="BE1078" s="140"/>
    </row>
    <row r="1079">
      <c r="A1079" s="108"/>
      <c r="B1079" s="107"/>
      <c r="C1079" s="107"/>
      <c r="D1079" s="107"/>
      <c r="E1079" s="107"/>
      <c r="F1079" s="107"/>
      <c r="G1079" s="208"/>
      <c r="H1079" s="131"/>
      <c r="I1079" s="211"/>
      <c r="J1079" s="107"/>
      <c r="K1079" s="202"/>
      <c r="L1079" s="107"/>
      <c r="M1079" s="107"/>
      <c r="N1079" s="206"/>
      <c r="O1079" s="108" t="b">
        <v>0</v>
      </c>
      <c r="P1079" s="207"/>
      <c r="Q1079" s="140"/>
      <c r="R1079" s="140"/>
      <c r="S1079" s="140"/>
      <c r="T1079" s="140"/>
      <c r="U1079" s="140"/>
      <c r="V1079" s="140"/>
      <c r="W1079" s="140"/>
      <c r="X1079" s="140"/>
      <c r="Y1079" s="140"/>
      <c r="Z1079" s="140"/>
      <c r="AA1079" s="140"/>
      <c r="AB1079" s="140"/>
      <c r="AC1079" s="140"/>
      <c r="AD1079" s="140"/>
      <c r="AE1079" s="140"/>
      <c r="AF1079" s="140"/>
      <c r="AG1079" s="140"/>
      <c r="AH1079" s="140"/>
      <c r="AI1079" s="140"/>
      <c r="AJ1079" s="140"/>
      <c r="AK1079" s="140"/>
      <c r="AL1079" s="140"/>
      <c r="AM1079" s="140"/>
      <c r="AN1079" s="140"/>
      <c r="AO1079" s="140"/>
      <c r="AP1079" s="140"/>
      <c r="AQ1079" s="140"/>
      <c r="AR1079" s="140"/>
      <c r="AS1079" s="140"/>
      <c r="AT1079" s="140"/>
      <c r="AU1079" s="140"/>
      <c r="AV1079" s="140"/>
      <c r="AW1079" s="140"/>
      <c r="AX1079" s="140"/>
      <c r="AY1079" s="140"/>
      <c r="AZ1079" s="140"/>
      <c r="BA1079" s="140"/>
      <c r="BB1079" s="140"/>
      <c r="BC1079" s="140"/>
      <c r="BD1079" s="140"/>
      <c r="BE1079" s="140"/>
    </row>
    <row r="1080">
      <c r="A1080" s="108"/>
      <c r="B1080" s="107"/>
      <c r="C1080" s="107"/>
      <c r="D1080" s="107"/>
      <c r="E1080" s="107"/>
      <c r="F1080" s="107"/>
      <c r="G1080" s="208"/>
      <c r="H1080" s="131"/>
      <c r="I1080" s="211"/>
      <c r="J1080" s="107"/>
      <c r="K1080" s="202"/>
      <c r="L1080" s="107"/>
      <c r="M1080" s="107"/>
      <c r="N1080" s="206"/>
      <c r="O1080" s="108" t="b">
        <v>0</v>
      </c>
      <c r="P1080" s="207"/>
      <c r="Q1080" s="140"/>
      <c r="R1080" s="140"/>
      <c r="S1080" s="140"/>
      <c r="T1080" s="140"/>
      <c r="U1080" s="140"/>
      <c r="V1080" s="140"/>
      <c r="W1080" s="140"/>
      <c r="X1080" s="140"/>
      <c r="Y1080" s="140"/>
      <c r="Z1080" s="140"/>
      <c r="AA1080" s="140"/>
      <c r="AB1080" s="140"/>
      <c r="AC1080" s="140"/>
      <c r="AD1080" s="140"/>
      <c r="AE1080" s="140"/>
      <c r="AF1080" s="140"/>
      <c r="AG1080" s="140"/>
      <c r="AH1080" s="140"/>
      <c r="AI1080" s="140"/>
      <c r="AJ1080" s="140"/>
      <c r="AK1080" s="140"/>
      <c r="AL1080" s="140"/>
      <c r="AM1080" s="140"/>
      <c r="AN1080" s="140"/>
      <c r="AO1080" s="140"/>
      <c r="AP1080" s="140"/>
      <c r="AQ1080" s="140"/>
      <c r="AR1080" s="140"/>
      <c r="AS1080" s="140"/>
      <c r="AT1080" s="140"/>
      <c r="AU1080" s="140"/>
      <c r="AV1080" s="140"/>
      <c r="AW1080" s="140"/>
      <c r="AX1080" s="140"/>
      <c r="AY1080" s="140"/>
      <c r="AZ1080" s="140"/>
      <c r="BA1080" s="140"/>
      <c r="BB1080" s="140"/>
      <c r="BC1080" s="140"/>
      <c r="BD1080" s="140"/>
      <c r="BE1080" s="140"/>
    </row>
    <row r="1081">
      <c r="A1081" s="108"/>
      <c r="B1081" s="107"/>
      <c r="C1081" s="107"/>
      <c r="D1081" s="107"/>
      <c r="E1081" s="107"/>
      <c r="F1081" s="107"/>
      <c r="G1081" s="208"/>
      <c r="H1081" s="131"/>
      <c r="I1081" s="211"/>
      <c r="J1081" s="107"/>
      <c r="K1081" s="202"/>
      <c r="L1081" s="107"/>
      <c r="M1081" s="107"/>
      <c r="N1081" s="206"/>
      <c r="O1081" s="108" t="b">
        <v>0</v>
      </c>
      <c r="P1081" s="207"/>
      <c r="Q1081" s="140"/>
      <c r="R1081" s="140"/>
      <c r="S1081" s="140"/>
      <c r="T1081" s="140"/>
      <c r="U1081" s="140"/>
      <c r="V1081" s="140"/>
      <c r="W1081" s="140"/>
      <c r="X1081" s="140"/>
      <c r="Y1081" s="140"/>
      <c r="Z1081" s="140"/>
      <c r="AA1081" s="140"/>
      <c r="AB1081" s="140"/>
      <c r="AC1081" s="140"/>
      <c r="AD1081" s="140"/>
      <c r="AE1081" s="140"/>
      <c r="AF1081" s="140"/>
      <c r="AG1081" s="140"/>
      <c r="AH1081" s="140"/>
      <c r="AI1081" s="140"/>
      <c r="AJ1081" s="140"/>
      <c r="AK1081" s="140"/>
      <c r="AL1081" s="140"/>
      <c r="AM1081" s="140"/>
      <c r="AN1081" s="140"/>
      <c r="AO1081" s="140"/>
      <c r="AP1081" s="140"/>
      <c r="AQ1081" s="140"/>
      <c r="AR1081" s="140"/>
      <c r="AS1081" s="140"/>
      <c r="AT1081" s="140"/>
      <c r="AU1081" s="140"/>
      <c r="AV1081" s="140"/>
      <c r="AW1081" s="140"/>
      <c r="AX1081" s="140"/>
      <c r="AY1081" s="140"/>
      <c r="AZ1081" s="140"/>
      <c r="BA1081" s="140"/>
      <c r="BB1081" s="140"/>
      <c r="BC1081" s="140"/>
      <c r="BD1081" s="140"/>
      <c r="BE1081" s="140"/>
    </row>
    <row r="1082">
      <c r="A1082" s="108"/>
      <c r="B1082" s="107"/>
      <c r="C1082" s="107"/>
      <c r="D1082" s="107"/>
      <c r="E1082" s="107"/>
      <c r="F1082" s="107"/>
      <c r="G1082" s="208"/>
      <c r="H1082" s="131"/>
      <c r="I1082" s="211"/>
      <c r="J1082" s="107"/>
      <c r="K1082" s="202"/>
      <c r="L1082" s="107"/>
      <c r="M1082" s="107"/>
      <c r="N1082" s="206"/>
      <c r="O1082" s="108" t="b">
        <v>0</v>
      </c>
      <c r="P1082" s="207"/>
      <c r="Q1082" s="140"/>
      <c r="R1082" s="140"/>
      <c r="S1082" s="140"/>
      <c r="T1082" s="140"/>
      <c r="U1082" s="140"/>
      <c r="V1082" s="140"/>
      <c r="W1082" s="140"/>
      <c r="X1082" s="140"/>
      <c r="Y1082" s="140"/>
      <c r="Z1082" s="140"/>
      <c r="AA1082" s="140"/>
      <c r="AB1082" s="140"/>
      <c r="AC1082" s="140"/>
      <c r="AD1082" s="140"/>
      <c r="AE1082" s="140"/>
      <c r="AF1082" s="140"/>
      <c r="AG1082" s="140"/>
      <c r="AH1082" s="140"/>
      <c r="AI1082" s="140"/>
      <c r="AJ1082" s="140"/>
      <c r="AK1082" s="140"/>
      <c r="AL1082" s="140"/>
      <c r="AM1082" s="140"/>
      <c r="AN1082" s="140"/>
      <c r="AO1082" s="140"/>
      <c r="AP1082" s="140"/>
      <c r="AQ1082" s="140"/>
      <c r="AR1082" s="140"/>
      <c r="AS1082" s="140"/>
      <c r="AT1082" s="140"/>
      <c r="AU1082" s="140"/>
      <c r="AV1082" s="140"/>
      <c r="AW1082" s="140"/>
      <c r="AX1082" s="140"/>
      <c r="AY1082" s="140"/>
      <c r="AZ1082" s="140"/>
      <c r="BA1082" s="140"/>
      <c r="BB1082" s="140"/>
      <c r="BC1082" s="140"/>
      <c r="BD1082" s="140"/>
      <c r="BE1082" s="140"/>
    </row>
    <row r="1083">
      <c r="A1083" s="108"/>
      <c r="B1083" s="107"/>
      <c r="C1083" s="107"/>
      <c r="D1083" s="107"/>
      <c r="E1083" s="107"/>
      <c r="F1083" s="107"/>
      <c r="G1083" s="208"/>
      <c r="H1083" s="131"/>
      <c r="I1083" s="211"/>
      <c r="J1083" s="107"/>
      <c r="K1083" s="202"/>
      <c r="L1083" s="107"/>
      <c r="M1083" s="107"/>
      <c r="N1083" s="206"/>
      <c r="O1083" s="108" t="b">
        <v>0</v>
      </c>
      <c r="P1083" s="207"/>
      <c r="Q1083" s="140"/>
      <c r="R1083" s="140"/>
      <c r="S1083" s="140"/>
      <c r="T1083" s="140"/>
      <c r="U1083" s="140"/>
      <c r="V1083" s="140"/>
      <c r="W1083" s="140"/>
      <c r="X1083" s="140"/>
      <c r="Y1083" s="140"/>
      <c r="Z1083" s="140"/>
      <c r="AA1083" s="140"/>
      <c r="AB1083" s="140"/>
      <c r="AC1083" s="140"/>
      <c r="AD1083" s="140"/>
      <c r="AE1083" s="140"/>
      <c r="AF1083" s="140"/>
      <c r="AG1083" s="140"/>
      <c r="AH1083" s="140"/>
      <c r="AI1083" s="140"/>
      <c r="AJ1083" s="140"/>
      <c r="AK1083" s="140"/>
      <c r="AL1083" s="140"/>
      <c r="AM1083" s="140"/>
      <c r="AN1083" s="140"/>
      <c r="AO1083" s="140"/>
      <c r="AP1083" s="140"/>
      <c r="AQ1083" s="140"/>
      <c r="AR1083" s="140"/>
      <c r="AS1083" s="140"/>
      <c r="AT1083" s="140"/>
      <c r="AU1083" s="140"/>
      <c r="AV1083" s="140"/>
      <c r="AW1083" s="140"/>
      <c r="AX1083" s="140"/>
      <c r="AY1083" s="140"/>
      <c r="AZ1083" s="140"/>
      <c r="BA1083" s="140"/>
      <c r="BB1083" s="140"/>
      <c r="BC1083" s="140"/>
      <c r="BD1083" s="140"/>
      <c r="BE1083" s="140"/>
    </row>
    <row r="1084">
      <c r="A1084" s="108"/>
      <c r="B1084" s="107"/>
      <c r="C1084" s="107"/>
      <c r="D1084" s="107"/>
      <c r="E1084" s="107"/>
      <c r="F1084" s="107"/>
      <c r="G1084" s="208"/>
      <c r="H1084" s="131"/>
      <c r="I1084" s="211"/>
      <c r="J1084" s="107"/>
      <c r="K1084" s="202"/>
      <c r="L1084" s="107"/>
      <c r="M1084" s="107"/>
      <c r="N1084" s="206"/>
      <c r="O1084" s="108" t="b">
        <v>0</v>
      </c>
      <c r="P1084" s="207"/>
      <c r="Q1084" s="140"/>
      <c r="R1084" s="140"/>
      <c r="S1084" s="140"/>
      <c r="T1084" s="140"/>
      <c r="U1084" s="140"/>
      <c r="V1084" s="140"/>
      <c r="W1084" s="140"/>
      <c r="X1084" s="140"/>
      <c r="Y1084" s="140"/>
      <c r="Z1084" s="140"/>
      <c r="AA1084" s="140"/>
      <c r="AB1084" s="140"/>
      <c r="AC1084" s="140"/>
      <c r="AD1084" s="140"/>
      <c r="AE1084" s="140"/>
      <c r="AF1084" s="140"/>
      <c r="AG1084" s="140"/>
      <c r="AH1084" s="140"/>
      <c r="AI1084" s="140"/>
      <c r="AJ1084" s="140"/>
      <c r="AK1084" s="140"/>
      <c r="AL1084" s="140"/>
      <c r="AM1084" s="140"/>
      <c r="AN1084" s="140"/>
      <c r="AO1084" s="140"/>
      <c r="AP1084" s="140"/>
      <c r="AQ1084" s="140"/>
      <c r="AR1084" s="140"/>
      <c r="AS1084" s="140"/>
      <c r="AT1084" s="140"/>
      <c r="AU1084" s="140"/>
      <c r="AV1084" s="140"/>
      <c r="AW1084" s="140"/>
      <c r="AX1084" s="140"/>
      <c r="AY1084" s="140"/>
      <c r="AZ1084" s="140"/>
      <c r="BA1084" s="140"/>
      <c r="BB1084" s="140"/>
      <c r="BC1084" s="140"/>
      <c r="BD1084" s="140"/>
      <c r="BE1084" s="140"/>
    </row>
    <row r="1085">
      <c r="A1085" s="108"/>
      <c r="B1085" s="107"/>
      <c r="C1085" s="107"/>
      <c r="D1085" s="107"/>
      <c r="E1085" s="107"/>
      <c r="F1085" s="107"/>
      <c r="G1085" s="208"/>
      <c r="H1085" s="131"/>
      <c r="I1085" s="211"/>
      <c r="J1085" s="107"/>
      <c r="K1085" s="202"/>
      <c r="L1085" s="107"/>
      <c r="M1085" s="107"/>
      <c r="N1085" s="206"/>
      <c r="O1085" s="108" t="b">
        <v>0</v>
      </c>
      <c r="P1085" s="207"/>
      <c r="Q1085" s="140"/>
      <c r="R1085" s="140"/>
      <c r="S1085" s="140"/>
      <c r="T1085" s="140"/>
      <c r="U1085" s="140"/>
      <c r="V1085" s="140"/>
      <c r="W1085" s="140"/>
      <c r="X1085" s="140"/>
      <c r="Y1085" s="140"/>
      <c r="Z1085" s="140"/>
      <c r="AA1085" s="140"/>
      <c r="AB1085" s="140"/>
      <c r="AC1085" s="140"/>
      <c r="AD1085" s="140"/>
      <c r="AE1085" s="140"/>
      <c r="AF1085" s="140"/>
      <c r="AG1085" s="140"/>
      <c r="AH1085" s="140"/>
      <c r="AI1085" s="140"/>
      <c r="AJ1085" s="140"/>
      <c r="AK1085" s="140"/>
      <c r="AL1085" s="140"/>
      <c r="AM1085" s="140"/>
      <c r="AN1085" s="140"/>
      <c r="AO1085" s="140"/>
      <c r="AP1085" s="140"/>
      <c r="AQ1085" s="140"/>
      <c r="AR1085" s="140"/>
      <c r="AS1085" s="140"/>
      <c r="AT1085" s="140"/>
      <c r="AU1085" s="140"/>
      <c r="AV1085" s="140"/>
      <c r="AW1085" s="140"/>
      <c r="AX1085" s="140"/>
      <c r="AY1085" s="140"/>
      <c r="AZ1085" s="140"/>
      <c r="BA1085" s="140"/>
      <c r="BB1085" s="140"/>
      <c r="BC1085" s="140"/>
      <c r="BD1085" s="140"/>
      <c r="BE1085" s="140"/>
    </row>
    <row r="1086">
      <c r="A1086" s="108"/>
      <c r="B1086" s="107"/>
      <c r="C1086" s="107"/>
      <c r="D1086" s="107"/>
      <c r="E1086" s="107"/>
      <c r="F1086" s="107"/>
      <c r="G1086" s="208"/>
      <c r="H1086" s="131"/>
      <c r="I1086" s="211"/>
      <c r="J1086" s="107"/>
      <c r="K1086" s="202"/>
      <c r="L1086" s="107"/>
      <c r="M1086" s="107"/>
      <c r="N1086" s="206"/>
      <c r="O1086" s="108" t="b">
        <v>0</v>
      </c>
      <c r="P1086" s="207"/>
      <c r="Q1086" s="140"/>
      <c r="R1086" s="140"/>
      <c r="S1086" s="140"/>
      <c r="T1086" s="140"/>
      <c r="U1086" s="140"/>
      <c r="V1086" s="140"/>
      <c r="W1086" s="140"/>
      <c r="X1086" s="140"/>
      <c r="Y1086" s="140"/>
      <c r="Z1086" s="140"/>
      <c r="AA1086" s="140"/>
      <c r="AB1086" s="140"/>
      <c r="AC1086" s="140"/>
      <c r="AD1086" s="140"/>
      <c r="AE1086" s="140"/>
      <c r="AF1086" s="140"/>
      <c r="AG1086" s="140"/>
      <c r="AH1086" s="140"/>
      <c r="AI1086" s="140"/>
      <c r="AJ1086" s="140"/>
      <c r="AK1086" s="140"/>
      <c r="AL1086" s="140"/>
      <c r="AM1086" s="140"/>
      <c r="AN1086" s="140"/>
      <c r="AO1086" s="140"/>
      <c r="AP1086" s="140"/>
      <c r="AQ1086" s="140"/>
      <c r="AR1086" s="140"/>
      <c r="AS1086" s="140"/>
      <c r="AT1086" s="140"/>
      <c r="AU1086" s="140"/>
      <c r="AV1086" s="140"/>
      <c r="AW1086" s="140"/>
      <c r="AX1086" s="140"/>
      <c r="AY1086" s="140"/>
      <c r="AZ1086" s="140"/>
      <c r="BA1086" s="140"/>
      <c r="BB1086" s="140"/>
      <c r="BC1086" s="140"/>
      <c r="BD1086" s="140"/>
      <c r="BE1086" s="140"/>
    </row>
    <row r="1087">
      <c r="A1087" s="108"/>
      <c r="B1087" s="107"/>
      <c r="C1087" s="107"/>
      <c r="D1087" s="107"/>
      <c r="E1087" s="107"/>
      <c r="F1087" s="107"/>
      <c r="G1087" s="208"/>
      <c r="H1087" s="131"/>
      <c r="I1087" s="211"/>
      <c r="J1087" s="107"/>
      <c r="K1087" s="202"/>
      <c r="L1087" s="107"/>
      <c r="M1087" s="107"/>
      <c r="N1087" s="206"/>
      <c r="O1087" s="108" t="b">
        <v>0</v>
      </c>
      <c r="P1087" s="207"/>
      <c r="Q1087" s="140"/>
      <c r="R1087" s="140"/>
      <c r="S1087" s="140"/>
      <c r="T1087" s="140"/>
      <c r="U1087" s="140"/>
      <c r="V1087" s="140"/>
      <c r="W1087" s="140"/>
      <c r="X1087" s="140"/>
      <c r="Y1087" s="140"/>
      <c r="Z1087" s="140"/>
      <c r="AA1087" s="140"/>
      <c r="AB1087" s="140"/>
      <c r="AC1087" s="140"/>
      <c r="AD1087" s="140"/>
      <c r="AE1087" s="140"/>
      <c r="AF1087" s="140"/>
      <c r="AG1087" s="140"/>
      <c r="AH1087" s="140"/>
      <c r="AI1087" s="140"/>
      <c r="AJ1087" s="140"/>
      <c r="AK1087" s="140"/>
      <c r="AL1087" s="140"/>
      <c r="AM1087" s="140"/>
      <c r="AN1087" s="140"/>
      <c r="AO1087" s="140"/>
      <c r="AP1087" s="140"/>
      <c r="AQ1087" s="140"/>
      <c r="AR1087" s="140"/>
      <c r="AS1087" s="140"/>
      <c r="AT1087" s="140"/>
      <c r="AU1087" s="140"/>
      <c r="AV1087" s="140"/>
      <c r="AW1087" s="140"/>
      <c r="AX1087" s="140"/>
      <c r="AY1087" s="140"/>
      <c r="AZ1087" s="140"/>
      <c r="BA1087" s="140"/>
      <c r="BB1087" s="140"/>
      <c r="BC1087" s="140"/>
      <c r="BD1087" s="140"/>
      <c r="BE1087" s="140"/>
    </row>
    <row r="1088">
      <c r="A1088" s="108"/>
      <c r="B1088" s="107"/>
      <c r="C1088" s="107"/>
      <c r="D1088" s="107"/>
      <c r="E1088" s="107"/>
      <c r="F1088" s="107"/>
      <c r="G1088" s="208"/>
      <c r="H1088" s="131"/>
      <c r="I1088" s="211"/>
      <c r="J1088" s="107"/>
      <c r="K1088" s="202"/>
      <c r="L1088" s="107"/>
      <c r="M1088" s="107"/>
      <c r="N1088" s="206"/>
      <c r="O1088" s="108" t="b">
        <v>0</v>
      </c>
      <c r="P1088" s="207"/>
      <c r="Q1088" s="140"/>
      <c r="R1088" s="140"/>
      <c r="S1088" s="140"/>
      <c r="T1088" s="140"/>
      <c r="U1088" s="140"/>
      <c r="V1088" s="140"/>
      <c r="W1088" s="140"/>
      <c r="X1088" s="140"/>
      <c r="Y1088" s="140"/>
      <c r="Z1088" s="140"/>
      <c r="AA1088" s="140"/>
      <c r="AB1088" s="140"/>
      <c r="AC1088" s="140"/>
      <c r="AD1088" s="140"/>
      <c r="AE1088" s="140"/>
      <c r="AF1088" s="140"/>
      <c r="AG1088" s="140"/>
      <c r="AH1088" s="140"/>
      <c r="AI1088" s="140"/>
      <c r="AJ1088" s="140"/>
      <c r="AK1088" s="140"/>
      <c r="AL1088" s="140"/>
      <c r="AM1088" s="140"/>
      <c r="AN1088" s="140"/>
      <c r="AO1088" s="140"/>
      <c r="AP1088" s="140"/>
      <c r="AQ1088" s="140"/>
      <c r="AR1088" s="140"/>
      <c r="AS1088" s="140"/>
      <c r="AT1088" s="140"/>
      <c r="AU1088" s="140"/>
      <c r="AV1088" s="140"/>
      <c r="AW1088" s="140"/>
      <c r="AX1088" s="140"/>
      <c r="AY1088" s="140"/>
      <c r="AZ1088" s="140"/>
      <c r="BA1088" s="140"/>
      <c r="BB1088" s="140"/>
      <c r="BC1088" s="140"/>
      <c r="BD1088" s="140"/>
      <c r="BE1088" s="140"/>
    </row>
    <row r="1089">
      <c r="A1089" s="108"/>
      <c r="B1089" s="107"/>
      <c r="C1089" s="107"/>
      <c r="D1089" s="107"/>
      <c r="E1089" s="107"/>
      <c r="F1089" s="107"/>
      <c r="G1089" s="208"/>
      <c r="H1089" s="131"/>
      <c r="I1089" s="211"/>
      <c r="J1089" s="107"/>
      <c r="K1089" s="202"/>
      <c r="L1089" s="107"/>
      <c r="M1089" s="107"/>
      <c r="N1089" s="206"/>
      <c r="O1089" s="108" t="b">
        <v>0</v>
      </c>
      <c r="P1089" s="207"/>
      <c r="Q1089" s="140"/>
      <c r="R1089" s="140"/>
      <c r="S1089" s="140"/>
      <c r="T1089" s="140"/>
      <c r="U1089" s="140"/>
      <c r="V1089" s="140"/>
      <c r="W1089" s="140"/>
      <c r="X1089" s="140"/>
      <c r="Y1089" s="140"/>
      <c r="Z1089" s="140"/>
      <c r="AA1089" s="140"/>
      <c r="AB1089" s="140"/>
      <c r="AC1089" s="140"/>
      <c r="AD1089" s="140"/>
      <c r="AE1089" s="140"/>
      <c r="AF1089" s="140"/>
      <c r="AG1089" s="140"/>
      <c r="AH1089" s="140"/>
      <c r="AI1089" s="140"/>
      <c r="AJ1089" s="140"/>
      <c r="AK1089" s="140"/>
      <c r="AL1089" s="140"/>
      <c r="AM1089" s="140"/>
      <c r="AN1089" s="140"/>
      <c r="AO1089" s="140"/>
      <c r="AP1089" s="140"/>
      <c r="AQ1089" s="140"/>
      <c r="AR1089" s="140"/>
      <c r="AS1089" s="140"/>
      <c r="AT1089" s="140"/>
      <c r="AU1089" s="140"/>
      <c r="AV1089" s="140"/>
      <c r="AW1089" s="140"/>
      <c r="AX1089" s="140"/>
      <c r="AY1089" s="140"/>
      <c r="AZ1089" s="140"/>
      <c r="BA1089" s="140"/>
      <c r="BB1089" s="140"/>
      <c r="BC1089" s="140"/>
      <c r="BD1089" s="140"/>
      <c r="BE1089" s="140"/>
    </row>
    <row r="1090">
      <c r="A1090" s="108"/>
      <c r="B1090" s="107"/>
      <c r="C1090" s="107"/>
      <c r="D1090" s="107"/>
      <c r="E1090" s="107"/>
      <c r="F1090" s="107"/>
      <c r="G1090" s="208"/>
      <c r="H1090" s="131"/>
      <c r="I1090" s="211"/>
      <c r="J1090" s="107"/>
      <c r="K1090" s="202"/>
      <c r="L1090" s="107"/>
      <c r="M1090" s="107"/>
      <c r="N1090" s="206"/>
      <c r="O1090" s="108" t="b">
        <v>0</v>
      </c>
      <c r="P1090" s="207"/>
      <c r="Q1090" s="140"/>
      <c r="R1090" s="140"/>
      <c r="S1090" s="140"/>
      <c r="T1090" s="140"/>
      <c r="U1090" s="140"/>
      <c r="V1090" s="140"/>
      <c r="W1090" s="140"/>
      <c r="X1090" s="140"/>
      <c r="Y1090" s="140"/>
      <c r="Z1090" s="140"/>
      <c r="AA1090" s="140"/>
      <c r="AB1090" s="140"/>
      <c r="AC1090" s="140"/>
      <c r="AD1090" s="140"/>
      <c r="AE1090" s="140"/>
      <c r="AF1090" s="140"/>
      <c r="AG1090" s="140"/>
      <c r="AH1090" s="140"/>
      <c r="AI1090" s="140"/>
      <c r="AJ1090" s="140"/>
      <c r="AK1090" s="140"/>
      <c r="AL1090" s="140"/>
      <c r="AM1090" s="140"/>
      <c r="AN1090" s="140"/>
      <c r="AO1090" s="140"/>
      <c r="AP1090" s="140"/>
      <c r="AQ1090" s="140"/>
      <c r="AR1090" s="140"/>
      <c r="AS1090" s="140"/>
      <c r="AT1090" s="140"/>
      <c r="AU1090" s="140"/>
      <c r="AV1090" s="140"/>
      <c r="AW1090" s="140"/>
      <c r="AX1090" s="140"/>
      <c r="AY1090" s="140"/>
      <c r="AZ1090" s="140"/>
      <c r="BA1090" s="140"/>
      <c r="BB1090" s="140"/>
      <c r="BC1090" s="140"/>
      <c r="BD1090" s="140"/>
      <c r="BE1090" s="140"/>
    </row>
    <row r="1091">
      <c r="A1091" s="108"/>
      <c r="B1091" s="107"/>
      <c r="C1091" s="107"/>
      <c r="D1091" s="107"/>
      <c r="E1091" s="107"/>
      <c r="F1091" s="107"/>
      <c r="G1091" s="208"/>
      <c r="H1091" s="131"/>
      <c r="I1091" s="211"/>
      <c r="J1091" s="107"/>
      <c r="K1091" s="202"/>
      <c r="L1091" s="107"/>
      <c r="M1091" s="107"/>
      <c r="N1091" s="206"/>
      <c r="O1091" s="108" t="b">
        <v>0</v>
      </c>
      <c r="P1091" s="207"/>
      <c r="Q1091" s="140"/>
      <c r="R1091" s="140"/>
      <c r="S1091" s="140"/>
      <c r="T1091" s="140"/>
      <c r="U1091" s="140"/>
      <c r="V1091" s="140"/>
      <c r="W1091" s="140"/>
      <c r="X1091" s="140"/>
      <c r="Y1091" s="140"/>
      <c r="Z1091" s="140"/>
      <c r="AA1091" s="140"/>
      <c r="AB1091" s="140"/>
      <c r="AC1091" s="140"/>
      <c r="AD1091" s="140"/>
      <c r="AE1091" s="140"/>
      <c r="AF1091" s="140"/>
      <c r="AG1091" s="140"/>
      <c r="AH1091" s="140"/>
      <c r="AI1091" s="140"/>
      <c r="AJ1091" s="140"/>
      <c r="AK1091" s="140"/>
      <c r="AL1091" s="140"/>
      <c r="AM1091" s="140"/>
      <c r="AN1091" s="140"/>
      <c r="AO1091" s="140"/>
      <c r="AP1091" s="140"/>
      <c r="AQ1091" s="140"/>
      <c r="AR1091" s="140"/>
      <c r="AS1091" s="140"/>
      <c r="AT1091" s="140"/>
      <c r="AU1091" s="140"/>
      <c r="AV1091" s="140"/>
      <c r="AW1091" s="140"/>
      <c r="AX1091" s="140"/>
      <c r="AY1091" s="140"/>
      <c r="AZ1091" s="140"/>
      <c r="BA1091" s="140"/>
      <c r="BB1091" s="140"/>
      <c r="BC1091" s="140"/>
      <c r="BD1091" s="140"/>
      <c r="BE1091" s="140"/>
    </row>
    <row r="1092">
      <c r="A1092" s="108"/>
      <c r="B1092" s="107"/>
      <c r="C1092" s="107"/>
      <c r="D1092" s="107"/>
      <c r="E1092" s="107"/>
      <c r="F1092" s="107"/>
      <c r="G1092" s="208"/>
      <c r="H1092" s="131"/>
      <c r="I1092" s="211"/>
      <c r="J1092" s="107"/>
      <c r="K1092" s="202"/>
      <c r="L1092" s="107"/>
      <c r="M1092" s="107"/>
      <c r="N1092" s="206"/>
      <c r="O1092" s="108" t="b">
        <v>0</v>
      </c>
      <c r="P1092" s="207"/>
      <c r="Q1092" s="140"/>
      <c r="R1092" s="140"/>
      <c r="S1092" s="140"/>
      <c r="T1092" s="140"/>
      <c r="U1092" s="140"/>
      <c r="V1092" s="140"/>
      <c r="W1092" s="140"/>
      <c r="X1092" s="140"/>
      <c r="Y1092" s="140"/>
      <c r="Z1092" s="140"/>
      <c r="AA1092" s="140"/>
      <c r="AB1092" s="140"/>
      <c r="AC1092" s="140"/>
      <c r="AD1092" s="140"/>
      <c r="AE1092" s="140"/>
      <c r="AF1092" s="140"/>
      <c r="AG1092" s="140"/>
      <c r="AH1092" s="140"/>
      <c r="AI1092" s="140"/>
      <c r="AJ1092" s="140"/>
      <c r="AK1092" s="140"/>
      <c r="AL1092" s="140"/>
      <c r="AM1092" s="140"/>
      <c r="AN1092" s="140"/>
      <c r="AO1092" s="140"/>
      <c r="AP1092" s="140"/>
      <c r="AQ1092" s="140"/>
      <c r="AR1092" s="140"/>
      <c r="AS1092" s="140"/>
      <c r="AT1092" s="140"/>
      <c r="AU1092" s="140"/>
      <c r="AV1092" s="140"/>
      <c r="AW1092" s="140"/>
      <c r="AX1092" s="140"/>
      <c r="AY1092" s="140"/>
      <c r="AZ1092" s="140"/>
      <c r="BA1092" s="140"/>
      <c r="BB1092" s="140"/>
      <c r="BC1092" s="140"/>
      <c r="BD1092" s="140"/>
      <c r="BE1092" s="140"/>
    </row>
    <row r="1093">
      <c r="A1093" s="108"/>
      <c r="B1093" s="107"/>
      <c r="C1093" s="107"/>
      <c r="D1093" s="107"/>
      <c r="E1093" s="107"/>
      <c r="F1093" s="107"/>
      <c r="G1093" s="208"/>
      <c r="H1093" s="131"/>
      <c r="I1093" s="211"/>
      <c r="J1093" s="107"/>
      <c r="K1093" s="202"/>
      <c r="L1093" s="107"/>
      <c r="M1093" s="107"/>
      <c r="N1093" s="206"/>
      <c r="O1093" s="108" t="b">
        <v>0</v>
      </c>
      <c r="P1093" s="207"/>
      <c r="Q1093" s="140"/>
      <c r="R1093" s="140"/>
      <c r="S1093" s="140"/>
      <c r="T1093" s="140"/>
      <c r="U1093" s="140"/>
      <c r="V1093" s="140"/>
      <c r="W1093" s="140"/>
      <c r="X1093" s="140"/>
      <c r="Y1093" s="140"/>
      <c r="Z1093" s="140"/>
      <c r="AA1093" s="140"/>
      <c r="AB1093" s="140"/>
      <c r="AC1093" s="140"/>
      <c r="AD1093" s="140"/>
      <c r="AE1093" s="140"/>
      <c r="AF1093" s="140"/>
      <c r="AG1093" s="140"/>
      <c r="AH1093" s="140"/>
      <c r="AI1093" s="140"/>
      <c r="AJ1093" s="140"/>
      <c r="AK1093" s="140"/>
      <c r="AL1093" s="140"/>
      <c r="AM1093" s="140"/>
      <c r="AN1093" s="140"/>
      <c r="AO1093" s="140"/>
      <c r="AP1093" s="140"/>
      <c r="AQ1093" s="140"/>
      <c r="AR1093" s="140"/>
      <c r="AS1093" s="140"/>
      <c r="AT1093" s="140"/>
      <c r="AU1093" s="140"/>
      <c r="AV1093" s="140"/>
      <c r="AW1093" s="140"/>
      <c r="AX1093" s="140"/>
      <c r="AY1093" s="140"/>
      <c r="AZ1093" s="140"/>
      <c r="BA1093" s="140"/>
      <c r="BB1093" s="140"/>
      <c r="BC1093" s="140"/>
      <c r="BD1093" s="140"/>
      <c r="BE1093" s="140"/>
    </row>
    <row r="1094">
      <c r="A1094" s="108"/>
      <c r="B1094" s="107"/>
      <c r="C1094" s="107"/>
      <c r="D1094" s="107"/>
      <c r="E1094" s="107"/>
      <c r="F1094" s="107"/>
      <c r="G1094" s="208"/>
      <c r="H1094" s="131"/>
      <c r="I1094" s="211"/>
      <c r="J1094" s="107"/>
      <c r="K1094" s="202"/>
      <c r="L1094" s="107"/>
      <c r="M1094" s="107"/>
      <c r="N1094" s="206"/>
      <c r="O1094" s="108" t="b">
        <v>0</v>
      </c>
      <c r="P1094" s="207"/>
      <c r="Q1094" s="140"/>
      <c r="R1094" s="140"/>
      <c r="S1094" s="140"/>
      <c r="T1094" s="140"/>
      <c r="U1094" s="140"/>
      <c r="V1094" s="140"/>
      <c r="W1094" s="140"/>
      <c r="X1094" s="140"/>
      <c r="Y1094" s="140"/>
      <c r="Z1094" s="140"/>
      <c r="AA1094" s="140"/>
      <c r="AB1094" s="140"/>
      <c r="AC1094" s="140"/>
      <c r="AD1094" s="140"/>
      <c r="AE1094" s="140"/>
      <c r="AF1094" s="140"/>
      <c r="AG1094" s="140"/>
      <c r="AH1094" s="140"/>
      <c r="AI1094" s="140"/>
      <c r="AJ1094" s="140"/>
      <c r="AK1094" s="140"/>
      <c r="AL1094" s="140"/>
      <c r="AM1094" s="140"/>
      <c r="AN1094" s="140"/>
      <c r="AO1094" s="140"/>
      <c r="AP1094" s="140"/>
      <c r="AQ1094" s="140"/>
      <c r="AR1094" s="140"/>
      <c r="AS1094" s="140"/>
      <c r="AT1094" s="140"/>
      <c r="AU1094" s="140"/>
      <c r="AV1094" s="140"/>
      <c r="AW1094" s="140"/>
      <c r="AX1094" s="140"/>
      <c r="AY1094" s="140"/>
      <c r="AZ1094" s="140"/>
      <c r="BA1094" s="140"/>
      <c r="BB1094" s="140"/>
      <c r="BC1094" s="140"/>
      <c r="BD1094" s="140"/>
      <c r="BE1094" s="140"/>
    </row>
    <row r="1095">
      <c r="A1095" s="108"/>
      <c r="B1095" s="107"/>
      <c r="C1095" s="107"/>
      <c r="D1095" s="107"/>
      <c r="E1095" s="107"/>
      <c r="F1095" s="107"/>
      <c r="G1095" s="208"/>
      <c r="H1095" s="131"/>
      <c r="I1095" s="211"/>
      <c r="J1095" s="107"/>
      <c r="K1095" s="202"/>
      <c r="L1095" s="107"/>
      <c r="M1095" s="107"/>
      <c r="N1095" s="206"/>
      <c r="O1095" s="108" t="b">
        <v>0</v>
      </c>
      <c r="P1095" s="207"/>
      <c r="Q1095" s="140"/>
      <c r="R1095" s="140"/>
      <c r="S1095" s="140"/>
      <c r="T1095" s="140"/>
      <c r="U1095" s="140"/>
      <c r="V1095" s="140"/>
      <c r="W1095" s="140"/>
      <c r="X1095" s="140"/>
      <c r="Y1095" s="140"/>
      <c r="Z1095" s="140"/>
      <c r="AA1095" s="140"/>
      <c r="AB1095" s="140"/>
      <c r="AC1095" s="140"/>
      <c r="AD1095" s="140"/>
      <c r="AE1095" s="140"/>
      <c r="AF1095" s="140"/>
      <c r="AG1095" s="140"/>
      <c r="AH1095" s="140"/>
      <c r="AI1095" s="140"/>
      <c r="AJ1095" s="140"/>
      <c r="AK1095" s="140"/>
      <c r="AL1095" s="140"/>
      <c r="AM1095" s="140"/>
      <c r="AN1095" s="140"/>
      <c r="AO1095" s="140"/>
      <c r="AP1095" s="140"/>
      <c r="AQ1095" s="140"/>
      <c r="AR1095" s="140"/>
      <c r="AS1095" s="140"/>
      <c r="AT1095" s="140"/>
      <c r="AU1095" s="140"/>
      <c r="AV1095" s="140"/>
      <c r="AW1095" s="140"/>
      <c r="AX1095" s="140"/>
      <c r="AY1095" s="140"/>
      <c r="AZ1095" s="140"/>
      <c r="BA1095" s="140"/>
      <c r="BB1095" s="140"/>
      <c r="BC1095" s="140"/>
      <c r="BD1095" s="140"/>
      <c r="BE1095" s="140"/>
    </row>
    <row r="1096">
      <c r="A1096" s="108"/>
      <c r="B1096" s="107"/>
      <c r="C1096" s="107"/>
      <c r="D1096" s="107"/>
      <c r="E1096" s="107"/>
      <c r="F1096" s="107"/>
      <c r="G1096" s="208"/>
      <c r="H1096" s="131"/>
      <c r="I1096" s="211"/>
      <c r="J1096" s="107"/>
      <c r="K1096" s="202"/>
      <c r="L1096" s="107"/>
      <c r="M1096" s="107"/>
      <c r="N1096" s="206"/>
      <c r="O1096" s="108" t="b">
        <v>0</v>
      </c>
      <c r="P1096" s="207"/>
      <c r="Q1096" s="140"/>
      <c r="R1096" s="140"/>
      <c r="S1096" s="140"/>
      <c r="T1096" s="140"/>
      <c r="U1096" s="140"/>
      <c r="V1096" s="140"/>
      <c r="W1096" s="140"/>
      <c r="X1096" s="140"/>
      <c r="Y1096" s="140"/>
      <c r="Z1096" s="140"/>
      <c r="AA1096" s="140"/>
      <c r="AB1096" s="140"/>
      <c r="AC1096" s="140"/>
      <c r="AD1096" s="140"/>
      <c r="AE1096" s="140"/>
      <c r="AF1096" s="140"/>
      <c r="AG1096" s="140"/>
      <c r="AH1096" s="140"/>
      <c r="AI1096" s="140"/>
      <c r="AJ1096" s="140"/>
      <c r="AK1096" s="140"/>
      <c r="AL1096" s="140"/>
      <c r="AM1096" s="140"/>
      <c r="AN1096" s="140"/>
      <c r="AO1096" s="140"/>
      <c r="AP1096" s="140"/>
      <c r="AQ1096" s="140"/>
      <c r="AR1096" s="140"/>
      <c r="AS1096" s="140"/>
      <c r="AT1096" s="140"/>
      <c r="AU1096" s="140"/>
      <c r="AV1096" s="140"/>
      <c r="AW1096" s="140"/>
      <c r="AX1096" s="140"/>
      <c r="AY1096" s="140"/>
      <c r="AZ1096" s="140"/>
      <c r="BA1096" s="140"/>
      <c r="BB1096" s="140"/>
      <c r="BC1096" s="140"/>
      <c r="BD1096" s="140"/>
      <c r="BE1096" s="140"/>
    </row>
    <row r="1097">
      <c r="A1097" s="108"/>
      <c r="B1097" s="107"/>
      <c r="C1097" s="107"/>
      <c r="D1097" s="107"/>
      <c r="E1097" s="107"/>
      <c r="F1097" s="107"/>
      <c r="G1097" s="208"/>
      <c r="H1097" s="131"/>
      <c r="I1097" s="211"/>
      <c r="J1097" s="107"/>
      <c r="K1097" s="202"/>
      <c r="L1097" s="107"/>
      <c r="M1097" s="107"/>
      <c r="N1097" s="206"/>
      <c r="O1097" s="108" t="b">
        <v>0</v>
      </c>
      <c r="P1097" s="207"/>
      <c r="Q1097" s="140"/>
      <c r="R1097" s="140"/>
      <c r="S1097" s="140"/>
      <c r="T1097" s="140"/>
      <c r="U1097" s="140"/>
      <c r="V1097" s="140"/>
      <c r="W1097" s="140"/>
      <c r="X1097" s="140"/>
      <c r="Y1097" s="140"/>
      <c r="Z1097" s="140"/>
      <c r="AA1097" s="140"/>
      <c r="AB1097" s="140"/>
      <c r="AC1097" s="140"/>
      <c r="AD1097" s="140"/>
      <c r="AE1097" s="140"/>
      <c r="AF1097" s="140"/>
      <c r="AG1097" s="140"/>
      <c r="AH1097" s="140"/>
      <c r="AI1097" s="140"/>
      <c r="AJ1097" s="140"/>
      <c r="AK1097" s="140"/>
      <c r="AL1097" s="140"/>
      <c r="AM1097" s="140"/>
      <c r="AN1097" s="140"/>
      <c r="AO1097" s="140"/>
      <c r="AP1097" s="140"/>
      <c r="AQ1097" s="140"/>
      <c r="AR1097" s="140"/>
      <c r="AS1097" s="140"/>
      <c r="AT1097" s="140"/>
      <c r="AU1097" s="140"/>
      <c r="AV1097" s="140"/>
      <c r="AW1097" s="140"/>
      <c r="AX1097" s="140"/>
      <c r="AY1097" s="140"/>
      <c r="AZ1097" s="140"/>
      <c r="BA1097" s="140"/>
      <c r="BB1097" s="140"/>
      <c r="BC1097" s="140"/>
      <c r="BD1097" s="140"/>
      <c r="BE1097" s="140"/>
    </row>
    <row r="1098">
      <c r="A1098" s="108"/>
      <c r="B1098" s="107"/>
      <c r="C1098" s="107"/>
      <c r="D1098" s="107"/>
      <c r="E1098" s="107"/>
      <c r="F1098" s="107"/>
      <c r="G1098" s="208"/>
      <c r="H1098" s="131"/>
      <c r="I1098" s="211"/>
      <c r="J1098" s="107"/>
      <c r="K1098" s="202"/>
      <c r="L1098" s="107"/>
      <c r="M1098" s="107"/>
      <c r="N1098" s="206"/>
      <c r="O1098" s="108" t="b">
        <v>0</v>
      </c>
      <c r="P1098" s="207"/>
      <c r="Q1098" s="140"/>
      <c r="R1098" s="140"/>
      <c r="S1098" s="140"/>
      <c r="T1098" s="140"/>
      <c r="U1098" s="140"/>
      <c r="V1098" s="140"/>
      <c r="W1098" s="140"/>
      <c r="X1098" s="140"/>
      <c r="Y1098" s="140"/>
      <c r="Z1098" s="140"/>
      <c r="AA1098" s="140"/>
      <c r="AB1098" s="140"/>
      <c r="AC1098" s="140"/>
      <c r="AD1098" s="140"/>
      <c r="AE1098" s="140"/>
      <c r="AF1098" s="140"/>
      <c r="AG1098" s="140"/>
      <c r="AH1098" s="140"/>
      <c r="AI1098" s="140"/>
      <c r="AJ1098" s="140"/>
      <c r="AK1098" s="140"/>
      <c r="AL1098" s="140"/>
      <c r="AM1098" s="140"/>
      <c r="AN1098" s="140"/>
      <c r="AO1098" s="140"/>
      <c r="AP1098" s="140"/>
      <c r="AQ1098" s="140"/>
      <c r="AR1098" s="140"/>
      <c r="AS1098" s="140"/>
      <c r="AT1098" s="140"/>
      <c r="AU1098" s="140"/>
      <c r="AV1098" s="140"/>
      <c r="AW1098" s="140"/>
      <c r="AX1098" s="140"/>
      <c r="AY1098" s="140"/>
      <c r="AZ1098" s="140"/>
      <c r="BA1098" s="140"/>
      <c r="BB1098" s="140"/>
      <c r="BC1098" s="140"/>
      <c r="BD1098" s="140"/>
      <c r="BE1098" s="140"/>
    </row>
    <row r="1099">
      <c r="A1099" s="108"/>
      <c r="B1099" s="107"/>
      <c r="C1099" s="107"/>
      <c r="D1099" s="107"/>
      <c r="E1099" s="107"/>
      <c r="F1099" s="107"/>
      <c r="G1099" s="208"/>
      <c r="H1099" s="131"/>
      <c r="I1099" s="211"/>
      <c r="J1099" s="107"/>
      <c r="K1099" s="202"/>
      <c r="L1099" s="107"/>
      <c r="M1099" s="107"/>
      <c r="N1099" s="206"/>
      <c r="O1099" s="108" t="b">
        <v>0</v>
      </c>
      <c r="P1099" s="207"/>
      <c r="Q1099" s="140"/>
      <c r="R1099" s="140"/>
      <c r="S1099" s="140"/>
      <c r="T1099" s="140"/>
      <c r="U1099" s="140"/>
      <c r="V1099" s="140"/>
      <c r="W1099" s="140"/>
      <c r="X1099" s="140"/>
      <c r="Y1099" s="140"/>
      <c r="Z1099" s="140"/>
      <c r="AA1099" s="140"/>
      <c r="AB1099" s="140"/>
      <c r="AC1099" s="140"/>
      <c r="AD1099" s="140"/>
      <c r="AE1099" s="140"/>
      <c r="AF1099" s="140"/>
      <c r="AG1099" s="140"/>
      <c r="AH1099" s="140"/>
      <c r="AI1099" s="140"/>
      <c r="AJ1099" s="140"/>
      <c r="AK1099" s="140"/>
      <c r="AL1099" s="140"/>
      <c r="AM1099" s="140"/>
      <c r="AN1099" s="140"/>
      <c r="AO1099" s="140"/>
      <c r="AP1099" s="140"/>
      <c r="AQ1099" s="140"/>
      <c r="AR1099" s="140"/>
      <c r="AS1099" s="140"/>
      <c r="AT1099" s="140"/>
      <c r="AU1099" s="140"/>
      <c r="AV1099" s="140"/>
      <c r="AW1099" s="140"/>
      <c r="AX1099" s="140"/>
      <c r="AY1099" s="140"/>
      <c r="AZ1099" s="140"/>
      <c r="BA1099" s="140"/>
      <c r="BB1099" s="140"/>
      <c r="BC1099" s="140"/>
      <c r="BD1099" s="140"/>
      <c r="BE1099" s="140"/>
    </row>
    <row r="1100">
      <c r="A1100" s="108"/>
      <c r="B1100" s="107"/>
      <c r="C1100" s="107"/>
      <c r="D1100" s="107"/>
      <c r="E1100" s="107"/>
      <c r="F1100" s="107"/>
      <c r="G1100" s="208"/>
      <c r="H1100" s="131"/>
      <c r="I1100" s="211"/>
      <c r="J1100" s="107"/>
      <c r="K1100" s="202"/>
      <c r="L1100" s="107"/>
      <c r="M1100" s="107"/>
      <c r="N1100" s="206"/>
      <c r="O1100" s="108" t="b">
        <v>0</v>
      </c>
      <c r="P1100" s="207"/>
      <c r="Q1100" s="140"/>
      <c r="R1100" s="140"/>
      <c r="S1100" s="140"/>
      <c r="T1100" s="140"/>
      <c r="U1100" s="140"/>
      <c r="V1100" s="140"/>
      <c r="W1100" s="140"/>
      <c r="X1100" s="140"/>
      <c r="Y1100" s="140"/>
      <c r="Z1100" s="140"/>
      <c r="AA1100" s="140"/>
      <c r="AB1100" s="140"/>
      <c r="AC1100" s="140"/>
      <c r="AD1100" s="140"/>
      <c r="AE1100" s="140"/>
      <c r="AF1100" s="140"/>
      <c r="AG1100" s="140"/>
      <c r="AH1100" s="140"/>
      <c r="AI1100" s="140"/>
      <c r="AJ1100" s="140"/>
      <c r="AK1100" s="140"/>
      <c r="AL1100" s="140"/>
      <c r="AM1100" s="140"/>
      <c r="AN1100" s="140"/>
      <c r="AO1100" s="140"/>
      <c r="AP1100" s="140"/>
      <c r="AQ1100" s="140"/>
      <c r="AR1100" s="140"/>
      <c r="AS1100" s="140"/>
      <c r="AT1100" s="140"/>
      <c r="AU1100" s="140"/>
      <c r="AV1100" s="140"/>
      <c r="AW1100" s="140"/>
      <c r="AX1100" s="140"/>
      <c r="AY1100" s="140"/>
      <c r="AZ1100" s="140"/>
      <c r="BA1100" s="140"/>
      <c r="BB1100" s="140"/>
      <c r="BC1100" s="140"/>
      <c r="BD1100" s="140"/>
      <c r="BE1100" s="140"/>
    </row>
    <row r="1101">
      <c r="A1101" s="108"/>
      <c r="B1101" s="107"/>
      <c r="C1101" s="107"/>
      <c r="D1101" s="107"/>
      <c r="E1101" s="107"/>
      <c r="F1101" s="107"/>
      <c r="G1101" s="208"/>
      <c r="H1101" s="131"/>
      <c r="I1101" s="211"/>
      <c r="J1101" s="107"/>
      <c r="K1101" s="202"/>
      <c r="L1101" s="107"/>
      <c r="M1101" s="107"/>
      <c r="N1101" s="206"/>
      <c r="O1101" s="108" t="b">
        <v>0</v>
      </c>
      <c r="P1101" s="207"/>
      <c r="Q1101" s="140"/>
      <c r="R1101" s="140"/>
      <c r="S1101" s="140"/>
      <c r="T1101" s="140"/>
      <c r="U1101" s="140"/>
      <c r="V1101" s="140"/>
      <c r="W1101" s="140"/>
      <c r="X1101" s="140"/>
      <c r="Y1101" s="140"/>
      <c r="Z1101" s="140"/>
      <c r="AA1101" s="140"/>
      <c r="AB1101" s="140"/>
      <c r="AC1101" s="140"/>
      <c r="AD1101" s="140"/>
      <c r="AE1101" s="140"/>
      <c r="AF1101" s="140"/>
      <c r="AG1101" s="140"/>
      <c r="AH1101" s="140"/>
      <c r="AI1101" s="140"/>
      <c r="AJ1101" s="140"/>
      <c r="AK1101" s="140"/>
      <c r="AL1101" s="140"/>
      <c r="AM1101" s="140"/>
      <c r="AN1101" s="140"/>
      <c r="AO1101" s="140"/>
      <c r="AP1101" s="140"/>
      <c r="AQ1101" s="140"/>
      <c r="AR1101" s="140"/>
      <c r="AS1101" s="140"/>
      <c r="AT1101" s="140"/>
      <c r="AU1101" s="140"/>
      <c r="AV1101" s="140"/>
      <c r="AW1101" s="140"/>
      <c r="AX1101" s="140"/>
      <c r="AY1101" s="140"/>
      <c r="AZ1101" s="140"/>
      <c r="BA1101" s="140"/>
      <c r="BB1101" s="140"/>
      <c r="BC1101" s="140"/>
      <c r="BD1101" s="140"/>
      <c r="BE1101" s="140"/>
    </row>
    <row r="1102">
      <c r="A1102" s="108"/>
      <c r="B1102" s="107"/>
      <c r="C1102" s="107"/>
      <c r="D1102" s="107"/>
      <c r="E1102" s="107"/>
      <c r="F1102" s="107"/>
      <c r="G1102" s="208"/>
      <c r="H1102" s="131"/>
      <c r="I1102" s="211"/>
      <c r="J1102" s="107"/>
      <c r="K1102" s="202"/>
      <c r="L1102" s="107"/>
      <c r="M1102" s="107"/>
      <c r="N1102" s="206"/>
      <c r="O1102" s="108" t="b">
        <v>0</v>
      </c>
      <c r="P1102" s="207"/>
      <c r="Q1102" s="140"/>
      <c r="R1102" s="140"/>
      <c r="S1102" s="140"/>
      <c r="T1102" s="140"/>
      <c r="U1102" s="140"/>
      <c r="V1102" s="140"/>
      <c r="W1102" s="140"/>
      <c r="X1102" s="140"/>
      <c r="Y1102" s="140"/>
      <c r="Z1102" s="140"/>
      <c r="AA1102" s="140"/>
      <c r="AB1102" s="140"/>
      <c r="AC1102" s="140"/>
      <c r="AD1102" s="140"/>
      <c r="AE1102" s="140"/>
      <c r="AF1102" s="140"/>
      <c r="AG1102" s="140"/>
      <c r="AH1102" s="140"/>
      <c r="AI1102" s="140"/>
      <c r="AJ1102" s="140"/>
      <c r="AK1102" s="140"/>
      <c r="AL1102" s="140"/>
      <c r="AM1102" s="140"/>
      <c r="AN1102" s="140"/>
      <c r="AO1102" s="140"/>
      <c r="AP1102" s="140"/>
      <c r="AQ1102" s="140"/>
      <c r="AR1102" s="140"/>
      <c r="AS1102" s="140"/>
      <c r="AT1102" s="140"/>
      <c r="AU1102" s="140"/>
      <c r="AV1102" s="140"/>
      <c r="AW1102" s="140"/>
      <c r="AX1102" s="140"/>
      <c r="AY1102" s="140"/>
      <c r="AZ1102" s="140"/>
      <c r="BA1102" s="140"/>
      <c r="BB1102" s="140"/>
      <c r="BC1102" s="140"/>
      <c r="BD1102" s="140"/>
      <c r="BE1102" s="140"/>
    </row>
    <row r="1103">
      <c r="A1103" s="108"/>
      <c r="B1103" s="107"/>
      <c r="C1103" s="107"/>
      <c r="D1103" s="107"/>
      <c r="E1103" s="107"/>
      <c r="F1103" s="107"/>
      <c r="G1103" s="208"/>
      <c r="H1103" s="131"/>
      <c r="I1103" s="211"/>
      <c r="J1103" s="107"/>
      <c r="K1103" s="202"/>
      <c r="L1103" s="107"/>
      <c r="M1103" s="107"/>
      <c r="N1103" s="206"/>
      <c r="O1103" s="108" t="b">
        <v>0</v>
      </c>
      <c r="P1103" s="207"/>
      <c r="Q1103" s="140"/>
      <c r="R1103" s="140"/>
      <c r="S1103" s="140"/>
      <c r="T1103" s="140"/>
      <c r="U1103" s="140"/>
      <c r="V1103" s="140"/>
      <c r="W1103" s="140"/>
      <c r="X1103" s="140"/>
      <c r="Y1103" s="140"/>
      <c r="Z1103" s="140"/>
      <c r="AA1103" s="140"/>
      <c r="AB1103" s="140"/>
      <c r="AC1103" s="140"/>
      <c r="AD1103" s="140"/>
      <c r="AE1103" s="140"/>
      <c r="AF1103" s="140"/>
      <c r="AG1103" s="140"/>
      <c r="AH1103" s="140"/>
      <c r="AI1103" s="140"/>
      <c r="AJ1103" s="140"/>
      <c r="AK1103" s="140"/>
      <c r="AL1103" s="140"/>
      <c r="AM1103" s="140"/>
      <c r="AN1103" s="140"/>
      <c r="AO1103" s="140"/>
      <c r="AP1103" s="140"/>
      <c r="AQ1103" s="140"/>
      <c r="AR1103" s="140"/>
      <c r="AS1103" s="140"/>
      <c r="AT1103" s="140"/>
      <c r="AU1103" s="140"/>
      <c r="AV1103" s="140"/>
      <c r="AW1103" s="140"/>
      <c r="AX1103" s="140"/>
      <c r="AY1103" s="140"/>
      <c r="AZ1103" s="140"/>
      <c r="BA1103" s="140"/>
      <c r="BB1103" s="140"/>
      <c r="BC1103" s="140"/>
      <c r="BD1103" s="140"/>
      <c r="BE1103" s="140"/>
    </row>
    <row r="1104">
      <c r="A1104" s="108"/>
      <c r="B1104" s="107"/>
      <c r="C1104" s="107"/>
      <c r="D1104" s="107"/>
      <c r="E1104" s="107"/>
      <c r="F1104" s="107"/>
      <c r="G1104" s="208"/>
      <c r="H1104" s="131"/>
      <c r="I1104" s="211"/>
      <c r="J1104" s="107"/>
      <c r="K1104" s="202"/>
      <c r="L1104" s="107"/>
      <c r="M1104" s="107"/>
      <c r="N1104" s="206"/>
      <c r="O1104" s="108" t="b">
        <v>0</v>
      </c>
      <c r="P1104" s="207"/>
      <c r="Q1104" s="140"/>
      <c r="R1104" s="140"/>
      <c r="S1104" s="140"/>
      <c r="T1104" s="140"/>
      <c r="U1104" s="140"/>
      <c r="V1104" s="140"/>
      <c r="W1104" s="140"/>
      <c r="X1104" s="140"/>
      <c r="Y1104" s="140"/>
      <c r="Z1104" s="140"/>
      <c r="AA1104" s="140"/>
      <c r="AB1104" s="140"/>
      <c r="AC1104" s="140"/>
      <c r="AD1104" s="140"/>
      <c r="AE1104" s="140"/>
      <c r="AF1104" s="140"/>
      <c r="AG1104" s="140"/>
      <c r="AH1104" s="140"/>
      <c r="AI1104" s="140"/>
      <c r="AJ1104" s="140"/>
      <c r="AK1104" s="140"/>
      <c r="AL1104" s="140"/>
      <c r="AM1104" s="140"/>
      <c r="AN1104" s="140"/>
      <c r="AO1104" s="140"/>
      <c r="AP1104" s="140"/>
      <c r="AQ1104" s="140"/>
      <c r="AR1104" s="140"/>
      <c r="AS1104" s="140"/>
      <c r="AT1104" s="140"/>
      <c r="AU1104" s="140"/>
      <c r="AV1104" s="140"/>
      <c r="AW1104" s="140"/>
      <c r="AX1104" s="140"/>
      <c r="AY1104" s="140"/>
      <c r="AZ1104" s="140"/>
      <c r="BA1104" s="140"/>
      <c r="BB1104" s="140"/>
      <c r="BC1104" s="140"/>
      <c r="BD1104" s="140"/>
      <c r="BE1104" s="140"/>
    </row>
    <row r="1105">
      <c r="A1105" s="108"/>
      <c r="B1105" s="107"/>
      <c r="C1105" s="107"/>
      <c r="D1105" s="107"/>
      <c r="E1105" s="107"/>
      <c r="F1105" s="107"/>
      <c r="G1105" s="208"/>
      <c r="H1105" s="131"/>
      <c r="I1105" s="211"/>
      <c r="J1105" s="107"/>
      <c r="K1105" s="202"/>
      <c r="L1105" s="107"/>
      <c r="M1105" s="107"/>
      <c r="N1105" s="206"/>
      <c r="O1105" s="108" t="b">
        <v>0</v>
      </c>
      <c r="P1105" s="207"/>
      <c r="Q1105" s="140"/>
      <c r="R1105" s="140"/>
      <c r="S1105" s="140"/>
      <c r="T1105" s="140"/>
      <c r="U1105" s="140"/>
      <c r="V1105" s="140"/>
      <c r="W1105" s="140"/>
      <c r="X1105" s="140"/>
      <c r="Y1105" s="140"/>
      <c r="Z1105" s="140"/>
      <c r="AA1105" s="140"/>
      <c r="AB1105" s="140"/>
      <c r="AC1105" s="140"/>
      <c r="AD1105" s="140"/>
      <c r="AE1105" s="140"/>
      <c r="AF1105" s="140"/>
      <c r="AG1105" s="140"/>
      <c r="AH1105" s="140"/>
      <c r="AI1105" s="140"/>
      <c r="AJ1105" s="140"/>
      <c r="AK1105" s="140"/>
      <c r="AL1105" s="140"/>
      <c r="AM1105" s="140"/>
      <c r="AN1105" s="140"/>
      <c r="AO1105" s="140"/>
      <c r="AP1105" s="140"/>
      <c r="AQ1105" s="140"/>
      <c r="AR1105" s="140"/>
      <c r="AS1105" s="140"/>
      <c r="AT1105" s="140"/>
      <c r="AU1105" s="140"/>
      <c r="AV1105" s="140"/>
      <c r="AW1105" s="140"/>
      <c r="AX1105" s="140"/>
      <c r="AY1105" s="140"/>
      <c r="AZ1105" s="140"/>
      <c r="BA1105" s="140"/>
      <c r="BB1105" s="140"/>
      <c r="BC1105" s="140"/>
      <c r="BD1105" s="140"/>
      <c r="BE1105" s="140"/>
    </row>
    <row r="1106">
      <c r="A1106" s="108"/>
      <c r="B1106" s="107"/>
      <c r="C1106" s="107"/>
      <c r="D1106" s="107"/>
      <c r="E1106" s="107"/>
      <c r="F1106" s="107"/>
      <c r="G1106" s="208"/>
      <c r="H1106" s="131"/>
      <c r="I1106" s="211"/>
      <c r="J1106" s="107"/>
      <c r="K1106" s="202"/>
      <c r="L1106" s="107"/>
      <c r="M1106" s="107"/>
      <c r="N1106" s="206"/>
      <c r="O1106" s="108" t="b">
        <v>0</v>
      </c>
      <c r="P1106" s="207"/>
      <c r="Q1106" s="140"/>
      <c r="R1106" s="140"/>
      <c r="S1106" s="140"/>
      <c r="T1106" s="140"/>
      <c r="U1106" s="140"/>
      <c r="V1106" s="140"/>
      <c r="W1106" s="140"/>
      <c r="X1106" s="140"/>
      <c r="Y1106" s="140"/>
      <c r="Z1106" s="140"/>
      <c r="AA1106" s="140"/>
      <c r="AB1106" s="140"/>
      <c r="AC1106" s="140"/>
      <c r="AD1106" s="140"/>
      <c r="AE1106" s="140"/>
      <c r="AF1106" s="140"/>
      <c r="AG1106" s="140"/>
      <c r="AH1106" s="140"/>
      <c r="AI1106" s="140"/>
      <c r="AJ1106" s="140"/>
      <c r="AK1106" s="140"/>
      <c r="AL1106" s="140"/>
      <c r="AM1106" s="140"/>
      <c r="AN1106" s="140"/>
      <c r="AO1106" s="140"/>
      <c r="AP1106" s="140"/>
      <c r="AQ1106" s="140"/>
      <c r="AR1106" s="140"/>
      <c r="AS1106" s="140"/>
      <c r="AT1106" s="140"/>
      <c r="AU1106" s="140"/>
      <c r="AV1106" s="140"/>
      <c r="AW1106" s="140"/>
      <c r="AX1106" s="140"/>
      <c r="AY1106" s="140"/>
      <c r="AZ1106" s="140"/>
      <c r="BA1106" s="140"/>
      <c r="BB1106" s="140"/>
      <c r="BC1106" s="140"/>
      <c r="BD1106" s="140"/>
      <c r="BE1106" s="140"/>
    </row>
    <row r="1107">
      <c r="A1107" s="108"/>
      <c r="B1107" s="107"/>
      <c r="C1107" s="107"/>
      <c r="D1107" s="107"/>
      <c r="E1107" s="107"/>
      <c r="F1107" s="107"/>
      <c r="G1107" s="208"/>
      <c r="H1107" s="131"/>
      <c r="I1107" s="211"/>
      <c r="J1107" s="107"/>
      <c r="K1107" s="202"/>
      <c r="L1107" s="107"/>
      <c r="M1107" s="107"/>
      <c r="N1107" s="206"/>
      <c r="O1107" s="108" t="b">
        <v>0</v>
      </c>
      <c r="P1107" s="207"/>
      <c r="Q1107" s="140"/>
      <c r="R1107" s="140"/>
      <c r="S1107" s="140"/>
      <c r="T1107" s="140"/>
      <c r="U1107" s="140"/>
      <c r="V1107" s="140"/>
      <c r="W1107" s="140"/>
      <c r="X1107" s="140"/>
      <c r="Y1107" s="140"/>
      <c r="Z1107" s="140"/>
      <c r="AA1107" s="140"/>
      <c r="AB1107" s="140"/>
      <c r="AC1107" s="140"/>
      <c r="AD1107" s="140"/>
      <c r="AE1107" s="140"/>
      <c r="AF1107" s="140"/>
      <c r="AG1107" s="140"/>
      <c r="AH1107" s="140"/>
      <c r="AI1107" s="140"/>
      <c r="AJ1107" s="140"/>
      <c r="AK1107" s="140"/>
      <c r="AL1107" s="140"/>
      <c r="AM1107" s="140"/>
      <c r="AN1107" s="140"/>
      <c r="AO1107" s="140"/>
      <c r="AP1107" s="140"/>
      <c r="AQ1107" s="140"/>
      <c r="AR1107" s="140"/>
      <c r="AS1107" s="140"/>
      <c r="AT1107" s="140"/>
      <c r="AU1107" s="140"/>
      <c r="AV1107" s="140"/>
      <c r="AW1107" s="140"/>
      <c r="AX1107" s="140"/>
      <c r="AY1107" s="140"/>
      <c r="AZ1107" s="140"/>
      <c r="BA1107" s="140"/>
      <c r="BB1107" s="140"/>
      <c r="BC1107" s="140"/>
      <c r="BD1107" s="140"/>
      <c r="BE1107" s="140"/>
    </row>
    <row r="1108">
      <c r="A1108" s="108"/>
      <c r="B1108" s="107"/>
      <c r="C1108" s="107"/>
      <c r="D1108" s="107"/>
      <c r="E1108" s="107"/>
      <c r="F1108" s="107"/>
      <c r="G1108" s="208"/>
      <c r="H1108" s="131"/>
      <c r="I1108" s="211"/>
      <c r="J1108" s="107"/>
      <c r="K1108" s="202"/>
      <c r="L1108" s="107"/>
      <c r="M1108" s="107"/>
      <c r="N1108" s="206"/>
      <c r="O1108" s="108" t="b">
        <v>0</v>
      </c>
      <c r="P1108" s="207"/>
      <c r="Q1108" s="140"/>
      <c r="R1108" s="140"/>
      <c r="S1108" s="140"/>
      <c r="T1108" s="140"/>
      <c r="U1108" s="140"/>
      <c r="V1108" s="140"/>
      <c r="W1108" s="140"/>
      <c r="X1108" s="140"/>
      <c r="Y1108" s="140"/>
      <c r="Z1108" s="140"/>
      <c r="AA1108" s="140"/>
      <c r="AB1108" s="140"/>
      <c r="AC1108" s="140"/>
      <c r="AD1108" s="140"/>
      <c r="AE1108" s="140"/>
      <c r="AF1108" s="140"/>
      <c r="AG1108" s="140"/>
      <c r="AH1108" s="140"/>
      <c r="AI1108" s="140"/>
      <c r="AJ1108" s="140"/>
      <c r="AK1108" s="140"/>
      <c r="AL1108" s="140"/>
      <c r="AM1108" s="140"/>
      <c r="AN1108" s="140"/>
      <c r="AO1108" s="140"/>
      <c r="AP1108" s="140"/>
      <c r="AQ1108" s="140"/>
      <c r="AR1108" s="140"/>
      <c r="AS1108" s="140"/>
      <c r="AT1108" s="140"/>
      <c r="AU1108" s="140"/>
      <c r="AV1108" s="140"/>
      <c r="AW1108" s="140"/>
      <c r="AX1108" s="140"/>
      <c r="AY1108" s="140"/>
      <c r="AZ1108" s="140"/>
      <c r="BA1108" s="140"/>
      <c r="BB1108" s="140"/>
      <c r="BC1108" s="140"/>
      <c r="BD1108" s="140"/>
      <c r="BE1108" s="140"/>
    </row>
    <row r="1109">
      <c r="A1109" s="108"/>
      <c r="B1109" s="107"/>
      <c r="C1109" s="107"/>
      <c r="D1109" s="107"/>
      <c r="E1109" s="107"/>
      <c r="F1109" s="107"/>
      <c r="G1109" s="208"/>
      <c r="H1109" s="131"/>
      <c r="I1109" s="211"/>
      <c r="J1109" s="107"/>
      <c r="K1109" s="202"/>
      <c r="L1109" s="107"/>
      <c r="M1109" s="107"/>
      <c r="N1109" s="206"/>
      <c r="O1109" s="108" t="b">
        <v>0</v>
      </c>
      <c r="P1109" s="207"/>
      <c r="Q1109" s="140"/>
      <c r="R1109" s="140"/>
      <c r="S1109" s="140"/>
      <c r="T1109" s="140"/>
      <c r="U1109" s="140"/>
      <c r="V1109" s="140"/>
      <c r="W1109" s="140"/>
      <c r="X1109" s="140"/>
      <c r="Y1109" s="140"/>
      <c r="Z1109" s="140"/>
      <c r="AA1109" s="140"/>
      <c r="AB1109" s="140"/>
      <c r="AC1109" s="140"/>
      <c r="AD1109" s="140"/>
      <c r="AE1109" s="140"/>
      <c r="AF1109" s="140"/>
      <c r="AG1109" s="140"/>
      <c r="AH1109" s="140"/>
      <c r="AI1109" s="140"/>
      <c r="AJ1109" s="140"/>
      <c r="AK1109" s="140"/>
      <c r="AL1109" s="140"/>
      <c r="AM1109" s="140"/>
      <c r="AN1109" s="140"/>
      <c r="AO1109" s="140"/>
      <c r="AP1109" s="140"/>
      <c r="AQ1109" s="140"/>
      <c r="AR1109" s="140"/>
      <c r="AS1109" s="140"/>
      <c r="AT1109" s="140"/>
      <c r="AU1109" s="140"/>
      <c r="AV1109" s="140"/>
      <c r="AW1109" s="140"/>
      <c r="AX1109" s="140"/>
      <c r="AY1109" s="140"/>
      <c r="AZ1109" s="140"/>
      <c r="BA1109" s="140"/>
      <c r="BB1109" s="140"/>
      <c r="BC1109" s="140"/>
      <c r="BD1109" s="140"/>
      <c r="BE1109" s="140"/>
    </row>
    <row r="1110">
      <c r="A1110" s="108"/>
      <c r="B1110" s="107"/>
      <c r="C1110" s="107"/>
      <c r="D1110" s="107"/>
      <c r="E1110" s="107"/>
      <c r="F1110" s="107"/>
      <c r="G1110" s="208"/>
      <c r="H1110" s="131"/>
      <c r="I1110" s="211"/>
      <c r="J1110" s="107"/>
      <c r="K1110" s="202"/>
      <c r="L1110" s="107"/>
      <c r="M1110" s="107"/>
      <c r="N1110" s="206"/>
      <c r="O1110" s="108" t="b">
        <v>0</v>
      </c>
      <c r="P1110" s="207"/>
      <c r="Q1110" s="140"/>
      <c r="R1110" s="140"/>
      <c r="S1110" s="140"/>
      <c r="T1110" s="140"/>
      <c r="U1110" s="140"/>
      <c r="V1110" s="140"/>
      <c r="W1110" s="140"/>
      <c r="X1110" s="140"/>
      <c r="Y1110" s="140"/>
      <c r="Z1110" s="140"/>
      <c r="AA1110" s="140"/>
      <c r="AB1110" s="140"/>
      <c r="AC1110" s="140"/>
      <c r="AD1110" s="140"/>
      <c r="AE1110" s="140"/>
      <c r="AF1110" s="140"/>
      <c r="AG1110" s="140"/>
      <c r="AH1110" s="140"/>
      <c r="AI1110" s="140"/>
      <c r="AJ1110" s="140"/>
      <c r="AK1110" s="140"/>
      <c r="AL1110" s="140"/>
      <c r="AM1110" s="140"/>
      <c r="AN1110" s="140"/>
      <c r="AO1110" s="140"/>
      <c r="AP1110" s="140"/>
      <c r="AQ1110" s="140"/>
      <c r="AR1110" s="140"/>
      <c r="AS1110" s="140"/>
      <c r="AT1110" s="140"/>
      <c r="AU1110" s="140"/>
      <c r="AV1110" s="140"/>
      <c r="AW1110" s="140"/>
      <c r="AX1110" s="140"/>
      <c r="AY1110" s="140"/>
      <c r="AZ1110" s="140"/>
      <c r="BA1110" s="140"/>
      <c r="BB1110" s="140"/>
      <c r="BC1110" s="140"/>
      <c r="BD1110" s="140"/>
      <c r="BE1110" s="140"/>
    </row>
    <row r="1111">
      <c r="A1111" s="108"/>
      <c r="B1111" s="107"/>
      <c r="C1111" s="107"/>
      <c r="D1111" s="107"/>
      <c r="E1111" s="107"/>
      <c r="F1111" s="107"/>
      <c r="G1111" s="208"/>
      <c r="H1111" s="131"/>
      <c r="I1111" s="211"/>
      <c r="J1111" s="107"/>
      <c r="K1111" s="202"/>
      <c r="L1111" s="107"/>
      <c r="M1111" s="107"/>
      <c r="N1111" s="206"/>
      <c r="O1111" s="108" t="b">
        <v>0</v>
      </c>
      <c r="P1111" s="207"/>
      <c r="Q1111" s="140"/>
      <c r="R1111" s="140"/>
      <c r="S1111" s="140"/>
      <c r="T1111" s="140"/>
      <c r="U1111" s="140"/>
      <c r="V1111" s="140"/>
      <c r="W1111" s="140"/>
      <c r="X1111" s="140"/>
      <c r="Y1111" s="140"/>
      <c r="Z1111" s="140"/>
      <c r="AA1111" s="140"/>
      <c r="AB1111" s="140"/>
      <c r="AC1111" s="140"/>
      <c r="AD1111" s="140"/>
      <c r="AE1111" s="140"/>
      <c r="AF1111" s="140"/>
      <c r="AG1111" s="140"/>
      <c r="AH1111" s="140"/>
      <c r="AI1111" s="140"/>
      <c r="AJ1111" s="140"/>
      <c r="AK1111" s="140"/>
      <c r="AL1111" s="140"/>
      <c r="AM1111" s="140"/>
      <c r="AN1111" s="140"/>
      <c r="AO1111" s="140"/>
      <c r="AP1111" s="140"/>
      <c r="AQ1111" s="140"/>
      <c r="AR1111" s="140"/>
      <c r="AS1111" s="140"/>
      <c r="AT1111" s="140"/>
      <c r="AU1111" s="140"/>
      <c r="AV1111" s="140"/>
      <c r="AW1111" s="140"/>
      <c r="AX1111" s="140"/>
      <c r="AY1111" s="140"/>
      <c r="AZ1111" s="140"/>
      <c r="BA1111" s="140"/>
      <c r="BB1111" s="140"/>
      <c r="BC1111" s="140"/>
      <c r="BD1111" s="140"/>
      <c r="BE1111" s="140"/>
    </row>
    <row r="1112">
      <c r="A1112" s="108"/>
      <c r="B1112" s="107"/>
      <c r="C1112" s="107"/>
      <c r="D1112" s="107"/>
      <c r="E1112" s="107"/>
      <c r="F1112" s="107"/>
      <c r="G1112" s="208"/>
      <c r="H1112" s="131"/>
      <c r="I1112" s="211"/>
      <c r="J1112" s="107"/>
      <c r="K1112" s="202"/>
      <c r="L1112" s="107"/>
      <c r="M1112" s="107"/>
      <c r="N1112" s="206"/>
      <c r="O1112" s="108" t="b">
        <v>0</v>
      </c>
      <c r="P1112" s="207"/>
      <c r="Q1112" s="140"/>
      <c r="R1112" s="140"/>
      <c r="S1112" s="140"/>
      <c r="T1112" s="140"/>
      <c r="U1112" s="140"/>
      <c r="V1112" s="140"/>
      <c r="W1112" s="140"/>
      <c r="X1112" s="140"/>
      <c r="Y1112" s="140"/>
      <c r="Z1112" s="140"/>
      <c r="AA1112" s="140"/>
      <c r="AB1112" s="140"/>
      <c r="AC1112" s="140"/>
      <c r="AD1112" s="140"/>
      <c r="AE1112" s="140"/>
      <c r="AF1112" s="140"/>
      <c r="AG1112" s="140"/>
      <c r="AH1112" s="140"/>
      <c r="AI1112" s="140"/>
      <c r="AJ1112" s="140"/>
      <c r="AK1112" s="140"/>
      <c r="AL1112" s="140"/>
      <c r="AM1112" s="140"/>
      <c r="AN1112" s="140"/>
      <c r="AO1112" s="140"/>
      <c r="AP1112" s="140"/>
      <c r="AQ1112" s="140"/>
      <c r="AR1112" s="140"/>
      <c r="AS1112" s="140"/>
      <c r="AT1112" s="140"/>
      <c r="AU1112" s="140"/>
      <c r="AV1112" s="140"/>
      <c r="AW1112" s="140"/>
      <c r="AX1112" s="140"/>
      <c r="AY1112" s="140"/>
      <c r="AZ1112" s="140"/>
      <c r="BA1112" s="140"/>
      <c r="BB1112" s="140"/>
      <c r="BC1112" s="140"/>
      <c r="BD1112" s="140"/>
      <c r="BE1112" s="140"/>
    </row>
    <row r="1113">
      <c r="A1113" s="108"/>
      <c r="B1113" s="107"/>
      <c r="C1113" s="107"/>
      <c r="D1113" s="107"/>
      <c r="E1113" s="107"/>
      <c r="F1113" s="107"/>
      <c r="G1113" s="208"/>
      <c r="H1113" s="131"/>
      <c r="I1113" s="211"/>
      <c r="J1113" s="107"/>
      <c r="K1113" s="202"/>
      <c r="L1113" s="107"/>
      <c r="M1113" s="107"/>
      <c r="N1113" s="206"/>
      <c r="O1113" s="108" t="b">
        <v>0</v>
      </c>
      <c r="P1113" s="207"/>
      <c r="Q1113" s="140"/>
      <c r="R1113" s="140"/>
      <c r="S1113" s="140"/>
      <c r="T1113" s="140"/>
      <c r="U1113" s="140"/>
      <c r="V1113" s="140"/>
      <c r="W1113" s="140"/>
      <c r="X1113" s="140"/>
      <c r="Y1113" s="140"/>
      <c r="Z1113" s="140"/>
      <c r="AA1113" s="140"/>
      <c r="AB1113" s="140"/>
      <c r="AC1113" s="140"/>
      <c r="AD1113" s="140"/>
      <c r="AE1113" s="140"/>
      <c r="AF1113" s="140"/>
      <c r="AG1113" s="140"/>
      <c r="AH1113" s="140"/>
      <c r="AI1113" s="140"/>
      <c r="AJ1113" s="140"/>
      <c r="AK1113" s="140"/>
      <c r="AL1113" s="140"/>
      <c r="AM1113" s="140"/>
      <c r="AN1113" s="140"/>
      <c r="AO1113" s="140"/>
      <c r="AP1113" s="140"/>
      <c r="AQ1113" s="140"/>
      <c r="AR1113" s="140"/>
      <c r="AS1113" s="140"/>
      <c r="AT1113" s="140"/>
      <c r="AU1113" s="140"/>
      <c r="AV1113" s="140"/>
      <c r="AW1113" s="140"/>
      <c r="AX1113" s="140"/>
      <c r="AY1113" s="140"/>
      <c r="AZ1113" s="140"/>
      <c r="BA1113" s="140"/>
      <c r="BB1113" s="140"/>
      <c r="BC1113" s="140"/>
      <c r="BD1113" s="140"/>
      <c r="BE1113" s="140"/>
    </row>
    <row r="1114">
      <c r="A1114" s="108"/>
      <c r="B1114" s="107"/>
      <c r="C1114" s="107"/>
      <c r="D1114" s="107"/>
      <c r="E1114" s="107"/>
      <c r="F1114" s="107"/>
      <c r="G1114" s="208"/>
      <c r="H1114" s="131"/>
      <c r="I1114" s="211"/>
      <c r="J1114" s="107"/>
      <c r="K1114" s="202"/>
      <c r="L1114" s="107"/>
      <c r="M1114" s="107"/>
      <c r="N1114" s="206"/>
      <c r="O1114" s="108" t="b">
        <v>0</v>
      </c>
      <c r="P1114" s="207"/>
      <c r="Q1114" s="140"/>
      <c r="R1114" s="140"/>
      <c r="S1114" s="140"/>
      <c r="T1114" s="140"/>
      <c r="U1114" s="140"/>
      <c r="V1114" s="140"/>
      <c r="W1114" s="140"/>
      <c r="X1114" s="140"/>
      <c r="Y1114" s="140"/>
      <c r="Z1114" s="140"/>
      <c r="AA1114" s="140"/>
      <c r="AB1114" s="140"/>
      <c r="AC1114" s="140"/>
      <c r="AD1114" s="140"/>
      <c r="AE1114" s="140"/>
      <c r="AF1114" s="140"/>
      <c r="AG1114" s="140"/>
      <c r="AH1114" s="140"/>
      <c r="AI1114" s="140"/>
      <c r="AJ1114" s="140"/>
      <c r="AK1114" s="140"/>
      <c r="AL1114" s="140"/>
      <c r="AM1114" s="140"/>
      <c r="AN1114" s="140"/>
      <c r="AO1114" s="140"/>
      <c r="AP1114" s="140"/>
      <c r="AQ1114" s="140"/>
      <c r="AR1114" s="140"/>
      <c r="AS1114" s="140"/>
      <c r="AT1114" s="140"/>
      <c r="AU1114" s="140"/>
      <c r="AV1114" s="140"/>
      <c r="AW1114" s="140"/>
      <c r="AX1114" s="140"/>
      <c r="AY1114" s="140"/>
      <c r="AZ1114" s="140"/>
      <c r="BA1114" s="140"/>
      <c r="BB1114" s="140"/>
      <c r="BC1114" s="140"/>
      <c r="BD1114" s="140"/>
      <c r="BE1114" s="140"/>
    </row>
    <row r="1115">
      <c r="A1115" s="108"/>
      <c r="B1115" s="107"/>
      <c r="C1115" s="107"/>
      <c r="D1115" s="107"/>
      <c r="E1115" s="107"/>
      <c r="F1115" s="107"/>
      <c r="G1115" s="208"/>
      <c r="H1115" s="131"/>
      <c r="I1115" s="211"/>
      <c r="J1115" s="107"/>
      <c r="K1115" s="202"/>
      <c r="L1115" s="107"/>
      <c r="M1115" s="107"/>
      <c r="N1115" s="206"/>
      <c r="O1115" s="108" t="b">
        <v>0</v>
      </c>
      <c r="P1115" s="207"/>
      <c r="Q1115" s="140"/>
      <c r="R1115" s="140"/>
      <c r="S1115" s="140"/>
      <c r="T1115" s="140"/>
      <c r="U1115" s="140"/>
      <c r="V1115" s="140"/>
      <c r="W1115" s="140"/>
      <c r="X1115" s="140"/>
      <c r="Y1115" s="140"/>
      <c r="Z1115" s="140"/>
      <c r="AA1115" s="140"/>
      <c r="AB1115" s="140"/>
      <c r="AC1115" s="140"/>
      <c r="AD1115" s="140"/>
      <c r="AE1115" s="140"/>
      <c r="AF1115" s="140"/>
      <c r="AG1115" s="140"/>
      <c r="AH1115" s="140"/>
      <c r="AI1115" s="140"/>
      <c r="AJ1115" s="140"/>
      <c r="AK1115" s="140"/>
      <c r="AL1115" s="140"/>
      <c r="AM1115" s="140"/>
      <c r="AN1115" s="140"/>
      <c r="AO1115" s="140"/>
      <c r="AP1115" s="140"/>
      <c r="AQ1115" s="140"/>
      <c r="AR1115" s="140"/>
      <c r="AS1115" s="140"/>
      <c r="AT1115" s="140"/>
      <c r="AU1115" s="140"/>
      <c r="AV1115" s="140"/>
      <c r="AW1115" s="140"/>
      <c r="AX1115" s="140"/>
      <c r="AY1115" s="140"/>
      <c r="AZ1115" s="140"/>
      <c r="BA1115" s="140"/>
      <c r="BB1115" s="140"/>
      <c r="BC1115" s="140"/>
      <c r="BD1115" s="140"/>
      <c r="BE1115" s="140"/>
    </row>
    <row r="1116">
      <c r="A1116" s="108"/>
      <c r="B1116" s="107"/>
      <c r="C1116" s="107"/>
      <c r="D1116" s="107"/>
      <c r="E1116" s="107"/>
      <c r="F1116" s="107"/>
      <c r="G1116" s="208"/>
      <c r="H1116" s="131"/>
      <c r="I1116" s="211"/>
      <c r="J1116" s="107"/>
      <c r="K1116" s="202"/>
      <c r="L1116" s="107"/>
      <c r="M1116" s="107"/>
      <c r="N1116" s="206"/>
      <c r="O1116" s="108" t="b">
        <v>0</v>
      </c>
      <c r="P1116" s="207"/>
      <c r="Q1116" s="140"/>
      <c r="R1116" s="140"/>
      <c r="S1116" s="140"/>
      <c r="T1116" s="140"/>
      <c r="U1116" s="140"/>
      <c r="V1116" s="140"/>
      <c r="W1116" s="140"/>
      <c r="X1116" s="140"/>
      <c r="Y1116" s="140"/>
      <c r="Z1116" s="140"/>
      <c r="AA1116" s="140"/>
      <c r="AB1116" s="140"/>
      <c r="AC1116" s="140"/>
      <c r="AD1116" s="140"/>
      <c r="AE1116" s="140"/>
      <c r="AF1116" s="140"/>
      <c r="AG1116" s="140"/>
      <c r="AH1116" s="140"/>
      <c r="AI1116" s="140"/>
      <c r="AJ1116" s="140"/>
      <c r="AK1116" s="140"/>
      <c r="AL1116" s="140"/>
      <c r="AM1116" s="140"/>
      <c r="AN1116" s="140"/>
      <c r="AO1116" s="140"/>
      <c r="AP1116" s="140"/>
      <c r="AQ1116" s="140"/>
      <c r="AR1116" s="140"/>
      <c r="AS1116" s="140"/>
      <c r="AT1116" s="140"/>
      <c r="AU1116" s="140"/>
      <c r="AV1116" s="140"/>
      <c r="AW1116" s="140"/>
      <c r="AX1116" s="140"/>
      <c r="AY1116" s="140"/>
      <c r="AZ1116" s="140"/>
      <c r="BA1116" s="140"/>
      <c r="BB1116" s="140"/>
      <c r="BC1116" s="140"/>
      <c r="BD1116" s="140"/>
      <c r="BE1116" s="140"/>
    </row>
    <row r="1117">
      <c r="A1117" s="108"/>
      <c r="B1117" s="107"/>
      <c r="C1117" s="107"/>
      <c r="D1117" s="107"/>
      <c r="E1117" s="107"/>
      <c r="F1117" s="107"/>
      <c r="G1117" s="208"/>
      <c r="H1117" s="131"/>
      <c r="I1117" s="211"/>
      <c r="J1117" s="107"/>
      <c r="K1117" s="202"/>
      <c r="L1117" s="107"/>
      <c r="M1117" s="107"/>
      <c r="N1117" s="206"/>
      <c r="O1117" s="108" t="b">
        <v>0</v>
      </c>
      <c r="P1117" s="207"/>
      <c r="Q1117" s="140"/>
      <c r="R1117" s="140"/>
      <c r="S1117" s="140"/>
      <c r="T1117" s="140"/>
      <c r="U1117" s="140"/>
      <c r="V1117" s="140"/>
      <c r="W1117" s="140"/>
      <c r="X1117" s="140"/>
      <c r="Y1117" s="140"/>
      <c r="Z1117" s="140"/>
      <c r="AA1117" s="140"/>
      <c r="AB1117" s="140"/>
      <c r="AC1117" s="140"/>
      <c r="AD1117" s="140"/>
      <c r="AE1117" s="140"/>
      <c r="AF1117" s="140"/>
      <c r="AG1117" s="140"/>
      <c r="AH1117" s="140"/>
      <c r="AI1117" s="140"/>
      <c r="AJ1117" s="140"/>
      <c r="AK1117" s="140"/>
      <c r="AL1117" s="140"/>
      <c r="AM1117" s="140"/>
      <c r="AN1117" s="140"/>
      <c r="AO1117" s="140"/>
      <c r="AP1117" s="140"/>
      <c r="AQ1117" s="140"/>
      <c r="AR1117" s="140"/>
      <c r="AS1117" s="140"/>
      <c r="AT1117" s="140"/>
      <c r="AU1117" s="140"/>
      <c r="AV1117" s="140"/>
      <c r="AW1117" s="140"/>
      <c r="AX1117" s="140"/>
      <c r="AY1117" s="140"/>
      <c r="AZ1117" s="140"/>
      <c r="BA1117" s="140"/>
      <c r="BB1117" s="140"/>
      <c r="BC1117" s="140"/>
      <c r="BD1117" s="140"/>
      <c r="BE1117" s="140"/>
    </row>
    <row r="1118">
      <c r="A1118" s="108"/>
      <c r="B1118" s="107"/>
      <c r="C1118" s="107"/>
      <c r="D1118" s="107"/>
      <c r="E1118" s="107"/>
      <c r="F1118" s="107"/>
      <c r="G1118" s="208"/>
      <c r="H1118" s="131"/>
      <c r="I1118" s="211"/>
      <c r="J1118" s="107"/>
      <c r="K1118" s="202"/>
      <c r="L1118" s="107"/>
      <c r="M1118" s="107"/>
      <c r="N1118" s="206"/>
      <c r="O1118" s="108" t="b">
        <v>0</v>
      </c>
      <c r="P1118" s="207"/>
      <c r="Q1118" s="140"/>
      <c r="R1118" s="140"/>
      <c r="S1118" s="140"/>
      <c r="T1118" s="140"/>
      <c r="U1118" s="140"/>
      <c r="V1118" s="140"/>
      <c r="W1118" s="140"/>
      <c r="X1118" s="140"/>
      <c r="Y1118" s="140"/>
      <c r="Z1118" s="140"/>
      <c r="AA1118" s="140"/>
      <c r="AB1118" s="140"/>
      <c r="AC1118" s="140"/>
      <c r="AD1118" s="140"/>
      <c r="AE1118" s="140"/>
      <c r="AF1118" s="140"/>
      <c r="AG1118" s="140"/>
      <c r="AH1118" s="140"/>
      <c r="AI1118" s="140"/>
      <c r="AJ1118" s="140"/>
      <c r="AK1118" s="140"/>
      <c r="AL1118" s="140"/>
      <c r="AM1118" s="140"/>
      <c r="AN1118" s="140"/>
      <c r="AO1118" s="140"/>
      <c r="AP1118" s="140"/>
      <c r="AQ1118" s="140"/>
      <c r="AR1118" s="140"/>
      <c r="AS1118" s="140"/>
      <c r="AT1118" s="140"/>
      <c r="AU1118" s="140"/>
      <c r="AV1118" s="140"/>
      <c r="AW1118" s="140"/>
      <c r="AX1118" s="140"/>
      <c r="AY1118" s="140"/>
      <c r="AZ1118" s="140"/>
      <c r="BA1118" s="140"/>
      <c r="BB1118" s="140"/>
      <c r="BC1118" s="140"/>
      <c r="BD1118" s="140"/>
      <c r="BE1118" s="140"/>
    </row>
    <row r="1119">
      <c r="A1119" s="108"/>
      <c r="B1119" s="107"/>
      <c r="C1119" s="107"/>
      <c r="D1119" s="107"/>
      <c r="E1119" s="107"/>
      <c r="F1119" s="107"/>
      <c r="G1119" s="208"/>
      <c r="H1119" s="131"/>
      <c r="I1119" s="211"/>
      <c r="J1119" s="107"/>
      <c r="K1119" s="202"/>
      <c r="L1119" s="107"/>
      <c r="M1119" s="107"/>
      <c r="N1119" s="206"/>
      <c r="O1119" s="108" t="b">
        <v>0</v>
      </c>
      <c r="P1119" s="207"/>
      <c r="Q1119" s="140"/>
      <c r="R1119" s="140"/>
      <c r="S1119" s="140"/>
      <c r="T1119" s="140"/>
      <c r="U1119" s="140"/>
      <c r="V1119" s="140"/>
      <c r="W1119" s="140"/>
      <c r="X1119" s="140"/>
      <c r="Y1119" s="140"/>
      <c r="Z1119" s="140"/>
      <c r="AA1119" s="140"/>
      <c r="AB1119" s="140"/>
      <c r="AC1119" s="140"/>
      <c r="AD1119" s="140"/>
      <c r="AE1119" s="140"/>
      <c r="AF1119" s="140"/>
      <c r="AG1119" s="140"/>
      <c r="AH1119" s="140"/>
      <c r="AI1119" s="140"/>
      <c r="AJ1119" s="140"/>
      <c r="AK1119" s="140"/>
      <c r="AL1119" s="140"/>
      <c r="AM1119" s="140"/>
      <c r="AN1119" s="140"/>
      <c r="AO1119" s="140"/>
      <c r="AP1119" s="140"/>
      <c r="AQ1119" s="140"/>
      <c r="AR1119" s="140"/>
      <c r="AS1119" s="140"/>
      <c r="AT1119" s="140"/>
      <c r="AU1119" s="140"/>
      <c r="AV1119" s="140"/>
      <c r="AW1119" s="140"/>
      <c r="AX1119" s="140"/>
      <c r="AY1119" s="140"/>
      <c r="AZ1119" s="140"/>
      <c r="BA1119" s="140"/>
      <c r="BB1119" s="140"/>
      <c r="BC1119" s="140"/>
      <c r="BD1119" s="140"/>
      <c r="BE1119" s="140"/>
    </row>
    <row r="1120">
      <c r="A1120" s="108"/>
      <c r="B1120" s="107"/>
      <c r="C1120" s="107"/>
      <c r="D1120" s="107"/>
      <c r="E1120" s="107"/>
      <c r="F1120" s="107"/>
      <c r="G1120" s="208"/>
      <c r="H1120" s="131"/>
      <c r="I1120" s="211"/>
      <c r="J1120" s="107"/>
      <c r="K1120" s="202"/>
      <c r="L1120" s="107"/>
      <c r="M1120" s="107"/>
      <c r="N1120" s="206"/>
      <c r="O1120" s="108" t="b">
        <v>0</v>
      </c>
      <c r="P1120" s="207"/>
      <c r="Q1120" s="140"/>
      <c r="R1120" s="140"/>
      <c r="S1120" s="140"/>
      <c r="T1120" s="140"/>
      <c r="U1120" s="140"/>
      <c r="V1120" s="140"/>
      <c r="W1120" s="140"/>
      <c r="X1120" s="140"/>
      <c r="Y1120" s="140"/>
      <c r="Z1120" s="140"/>
      <c r="AA1120" s="140"/>
      <c r="AB1120" s="140"/>
      <c r="AC1120" s="140"/>
      <c r="AD1120" s="140"/>
      <c r="AE1120" s="140"/>
      <c r="AF1120" s="140"/>
      <c r="AG1120" s="140"/>
      <c r="AH1120" s="140"/>
      <c r="AI1120" s="140"/>
      <c r="AJ1120" s="140"/>
      <c r="AK1120" s="140"/>
      <c r="AL1120" s="140"/>
      <c r="AM1120" s="140"/>
      <c r="AN1120" s="140"/>
      <c r="AO1120" s="140"/>
      <c r="AP1120" s="140"/>
      <c r="AQ1120" s="140"/>
      <c r="AR1120" s="140"/>
      <c r="AS1120" s="140"/>
      <c r="AT1120" s="140"/>
      <c r="AU1120" s="140"/>
      <c r="AV1120" s="140"/>
      <c r="AW1120" s="140"/>
      <c r="AX1120" s="140"/>
      <c r="AY1120" s="140"/>
      <c r="AZ1120" s="140"/>
      <c r="BA1120" s="140"/>
      <c r="BB1120" s="140"/>
      <c r="BC1120" s="140"/>
      <c r="BD1120" s="140"/>
      <c r="BE1120" s="140"/>
    </row>
    <row r="1121">
      <c r="A1121" s="108"/>
      <c r="B1121" s="107"/>
      <c r="C1121" s="107"/>
      <c r="D1121" s="107"/>
      <c r="E1121" s="107"/>
      <c r="F1121" s="107"/>
      <c r="G1121" s="208"/>
      <c r="H1121" s="131"/>
      <c r="I1121" s="211"/>
      <c r="J1121" s="107"/>
      <c r="K1121" s="202"/>
      <c r="L1121" s="107"/>
      <c r="M1121" s="107"/>
      <c r="N1121" s="206"/>
      <c r="O1121" s="108" t="b">
        <v>0</v>
      </c>
      <c r="P1121" s="207"/>
      <c r="Q1121" s="140"/>
      <c r="R1121" s="140"/>
      <c r="S1121" s="140"/>
      <c r="T1121" s="140"/>
      <c r="U1121" s="140"/>
      <c r="V1121" s="140"/>
      <c r="W1121" s="140"/>
      <c r="X1121" s="140"/>
      <c r="Y1121" s="140"/>
      <c r="Z1121" s="140"/>
      <c r="AA1121" s="140"/>
      <c r="AB1121" s="140"/>
      <c r="AC1121" s="140"/>
      <c r="AD1121" s="140"/>
      <c r="AE1121" s="140"/>
      <c r="AF1121" s="140"/>
      <c r="AG1121" s="140"/>
      <c r="AH1121" s="140"/>
      <c r="AI1121" s="140"/>
      <c r="AJ1121" s="140"/>
      <c r="AK1121" s="140"/>
      <c r="AL1121" s="140"/>
      <c r="AM1121" s="140"/>
      <c r="AN1121" s="140"/>
      <c r="AO1121" s="140"/>
      <c r="AP1121" s="140"/>
      <c r="AQ1121" s="140"/>
      <c r="AR1121" s="140"/>
      <c r="AS1121" s="140"/>
      <c r="AT1121" s="140"/>
      <c r="AU1121" s="140"/>
      <c r="AV1121" s="140"/>
      <c r="AW1121" s="140"/>
      <c r="AX1121" s="140"/>
      <c r="AY1121" s="140"/>
      <c r="AZ1121" s="140"/>
      <c r="BA1121" s="140"/>
      <c r="BB1121" s="140"/>
      <c r="BC1121" s="140"/>
      <c r="BD1121" s="140"/>
      <c r="BE1121" s="140"/>
    </row>
    <row r="1122">
      <c r="A1122" s="108"/>
      <c r="B1122" s="107"/>
      <c r="C1122" s="107"/>
      <c r="D1122" s="107"/>
      <c r="E1122" s="107"/>
      <c r="F1122" s="107"/>
      <c r="G1122" s="208"/>
      <c r="H1122" s="131"/>
      <c r="I1122" s="211"/>
      <c r="J1122" s="107"/>
      <c r="K1122" s="202"/>
      <c r="L1122" s="107"/>
      <c r="M1122" s="107"/>
      <c r="N1122" s="206"/>
      <c r="O1122" s="108" t="b">
        <v>0</v>
      </c>
      <c r="P1122" s="207"/>
      <c r="Q1122" s="140"/>
      <c r="R1122" s="140"/>
      <c r="S1122" s="140"/>
      <c r="T1122" s="140"/>
      <c r="U1122" s="140"/>
      <c r="V1122" s="140"/>
      <c r="W1122" s="140"/>
      <c r="X1122" s="140"/>
      <c r="Y1122" s="140"/>
      <c r="Z1122" s="140"/>
      <c r="AA1122" s="140"/>
      <c r="AB1122" s="140"/>
      <c r="AC1122" s="140"/>
      <c r="AD1122" s="140"/>
      <c r="AE1122" s="140"/>
      <c r="AF1122" s="140"/>
      <c r="AG1122" s="140"/>
      <c r="AH1122" s="140"/>
      <c r="AI1122" s="140"/>
      <c r="AJ1122" s="140"/>
      <c r="AK1122" s="140"/>
      <c r="AL1122" s="140"/>
      <c r="AM1122" s="140"/>
      <c r="AN1122" s="140"/>
      <c r="AO1122" s="140"/>
      <c r="AP1122" s="140"/>
      <c r="AQ1122" s="140"/>
      <c r="AR1122" s="140"/>
      <c r="AS1122" s="140"/>
      <c r="AT1122" s="140"/>
      <c r="AU1122" s="140"/>
      <c r="AV1122" s="140"/>
      <c r="AW1122" s="140"/>
      <c r="AX1122" s="140"/>
      <c r="AY1122" s="140"/>
      <c r="AZ1122" s="140"/>
      <c r="BA1122" s="140"/>
      <c r="BB1122" s="140"/>
      <c r="BC1122" s="140"/>
      <c r="BD1122" s="140"/>
      <c r="BE1122" s="140"/>
    </row>
    <row r="1123">
      <c r="A1123" s="108"/>
      <c r="B1123" s="107"/>
      <c r="C1123" s="107"/>
      <c r="D1123" s="107"/>
      <c r="E1123" s="107"/>
      <c r="F1123" s="107"/>
      <c r="G1123" s="208"/>
      <c r="H1123" s="131"/>
      <c r="I1123" s="211"/>
      <c r="J1123" s="107"/>
      <c r="K1123" s="202"/>
      <c r="L1123" s="107"/>
      <c r="M1123" s="107"/>
      <c r="N1123" s="206"/>
      <c r="O1123" s="108" t="b">
        <v>0</v>
      </c>
      <c r="P1123" s="207"/>
      <c r="Q1123" s="140"/>
      <c r="R1123" s="140"/>
      <c r="S1123" s="140"/>
      <c r="T1123" s="140"/>
      <c r="U1123" s="140"/>
      <c r="V1123" s="140"/>
      <c r="W1123" s="140"/>
      <c r="X1123" s="140"/>
      <c r="Y1123" s="140"/>
      <c r="Z1123" s="140"/>
      <c r="AA1123" s="140"/>
      <c r="AB1123" s="140"/>
      <c r="AC1123" s="140"/>
      <c r="AD1123" s="140"/>
      <c r="AE1123" s="140"/>
      <c r="AF1123" s="140"/>
      <c r="AG1123" s="140"/>
      <c r="AH1123" s="140"/>
      <c r="AI1123" s="140"/>
      <c r="AJ1123" s="140"/>
      <c r="AK1123" s="140"/>
      <c r="AL1123" s="140"/>
      <c r="AM1123" s="140"/>
      <c r="AN1123" s="140"/>
      <c r="AO1123" s="140"/>
      <c r="AP1123" s="140"/>
      <c r="AQ1123" s="140"/>
      <c r="AR1123" s="140"/>
      <c r="AS1123" s="140"/>
      <c r="AT1123" s="140"/>
      <c r="AU1123" s="140"/>
      <c r="AV1123" s="140"/>
      <c r="AW1123" s="140"/>
      <c r="AX1123" s="140"/>
      <c r="AY1123" s="140"/>
      <c r="AZ1123" s="140"/>
      <c r="BA1123" s="140"/>
      <c r="BB1123" s="140"/>
      <c r="BC1123" s="140"/>
      <c r="BD1123" s="140"/>
      <c r="BE1123" s="140"/>
    </row>
    <row r="1124">
      <c r="A1124" s="108"/>
      <c r="B1124" s="107"/>
      <c r="C1124" s="107"/>
      <c r="D1124" s="107"/>
      <c r="E1124" s="107"/>
      <c r="F1124" s="107"/>
      <c r="G1124" s="208"/>
      <c r="H1124" s="131"/>
      <c r="I1124" s="211"/>
      <c r="J1124" s="107"/>
      <c r="K1124" s="202"/>
      <c r="L1124" s="107"/>
      <c r="M1124" s="107"/>
      <c r="N1124" s="206"/>
      <c r="O1124" s="108" t="b">
        <v>0</v>
      </c>
      <c r="P1124" s="207"/>
      <c r="Q1124" s="140"/>
      <c r="R1124" s="140"/>
      <c r="S1124" s="140"/>
      <c r="T1124" s="140"/>
      <c r="U1124" s="140"/>
      <c r="V1124" s="140"/>
      <c r="W1124" s="140"/>
      <c r="X1124" s="140"/>
      <c r="Y1124" s="140"/>
      <c r="Z1124" s="140"/>
      <c r="AA1124" s="140"/>
      <c r="AB1124" s="140"/>
      <c r="AC1124" s="140"/>
      <c r="AD1124" s="140"/>
      <c r="AE1124" s="140"/>
      <c r="AF1124" s="140"/>
      <c r="AG1124" s="140"/>
      <c r="AH1124" s="140"/>
      <c r="AI1124" s="140"/>
      <c r="AJ1124" s="140"/>
      <c r="AK1124" s="140"/>
      <c r="AL1124" s="140"/>
      <c r="AM1124" s="140"/>
      <c r="AN1124" s="140"/>
      <c r="AO1124" s="140"/>
      <c r="AP1124" s="140"/>
      <c r="AQ1124" s="140"/>
      <c r="AR1124" s="140"/>
      <c r="AS1124" s="140"/>
      <c r="AT1124" s="140"/>
      <c r="AU1124" s="140"/>
      <c r="AV1124" s="140"/>
      <c r="AW1124" s="140"/>
      <c r="AX1124" s="140"/>
      <c r="AY1124" s="140"/>
      <c r="AZ1124" s="140"/>
      <c r="BA1124" s="140"/>
      <c r="BB1124" s="140"/>
      <c r="BC1124" s="140"/>
      <c r="BD1124" s="140"/>
      <c r="BE1124" s="140"/>
    </row>
    <row r="1125">
      <c r="A1125" s="108"/>
      <c r="B1125" s="107"/>
      <c r="C1125" s="107"/>
      <c r="D1125" s="107"/>
      <c r="E1125" s="107"/>
      <c r="F1125" s="107"/>
      <c r="G1125" s="208"/>
      <c r="H1125" s="131"/>
      <c r="I1125" s="211"/>
      <c r="J1125" s="107"/>
      <c r="K1125" s="202"/>
      <c r="L1125" s="107"/>
      <c r="M1125" s="107"/>
      <c r="N1125" s="206"/>
      <c r="O1125" s="108" t="b">
        <v>0</v>
      </c>
      <c r="P1125" s="207"/>
      <c r="Q1125" s="140"/>
      <c r="R1125" s="140"/>
      <c r="S1125" s="140"/>
      <c r="T1125" s="140"/>
      <c r="U1125" s="140"/>
      <c r="V1125" s="140"/>
      <c r="W1125" s="140"/>
      <c r="X1125" s="140"/>
      <c r="Y1125" s="140"/>
      <c r="Z1125" s="140"/>
      <c r="AA1125" s="140"/>
      <c r="AB1125" s="140"/>
      <c r="AC1125" s="140"/>
      <c r="AD1125" s="140"/>
      <c r="AE1125" s="140"/>
      <c r="AF1125" s="140"/>
      <c r="AG1125" s="140"/>
      <c r="AH1125" s="140"/>
      <c r="AI1125" s="140"/>
      <c r="AJ1125" s="140"/>
      <c r="AK1125" s="140"/>
      <c r="AL1125" s="140"/>
      <c r="AM1125" s="140"/>
      <c r="AN1125" s="140"/>
      <c r="AO1125" s="140"/>
      <c r="AP1125" s="140"/>
      <c r="AQ1125" s="140"/>
      <c r="AR1125" s="140"/>
      <c r="AS1125" s="140"/>
      <c r="AT1125" s="140"/>
      <c r="AU1125" s="140"/>
      <c r="AV1125" s="140"/>
      <c r="AW1125" s="140"/>
      <c r="AX1125" s="140"/>
      <c r="AY1125" s="140"/>
      <c r="AZ1125" s="140"/>
      <c r="BA1125" s="140"/>
      <c r="BB1125" s="140"/>
      <c r="BC1125" s="140"/>
      <c r="BD1125" s="140"/>
      <c r="BE1125" s="140"/>
    </row>
    <row r="1126">
      <c r="A1126" s="108"/>
      <c r="B1126" s="107"/>
      <c r="C1126" s="107"/>
      <c r="D1126" s="107"/>
      <c r="E1126" s="107"/>
      <c r="F1126" s="107"/>
      <c r="G1126" s="208"/>
      <c r="H1126" s="131"/>
      <c r="I1126" s="211"/>
      <c r="J1126" s="107"/>
      <c r="K1126" s="202"/>
      <c r="L1126" s="107"/>
      <c r="M1126" s="107"/>
      <c r="N1126" s="206"/>
      <c r="O1126" s="108" t="b">
        <v>0</v>
      </c>
      <c r="P1126" s="207"/>
      <c r="Q1126" s="140"/>
      <c r="R1126" s="140"/>
      <c r="S1126" s="140"/>
      <c r="T1126" s="140"/>
      <c r="U1126" s="140"/>
      <c r="V1126" s="140"/>
      <c r="W1126" s="140"/>
      <c r="X1126" s="140"/>
      <c r="Y1126" s="140"/>
      <c r="Z1126" s="140"/>
      <c r="AA1126" s="140"/>
      <c r="AB1126" s="140"/>
      <c r="AC1126" s="140"/>
      <c r="AD1126" s="140"/>
      <c r="AE1126" s="140"/>
      <c r="AF1126" s="140"/>
      <c r="AG1126" s="140"/>
      <c r="AH1126" s="140"/>
      <c r="AI1126" s="140"/>
      <c r="AJ1126" s="140"/>
      <c r="AK1126" s="140"/>
      <c r="AL1126" s="140"/>
      <c r="AM1126" s="140"/>
      <c r="AN1126" s="140"/>
      <c r="AO1126" s="140"/>
      <c r="AP1126" s="140"/>
      <c r="AQ1126" s="140"/>
      <c r="AR1126" s="140"/>
      <c r="AS1126" s="140"/>
      <c r="AT1126" s="140"/>
      <c r="AU1126" s="140"/>
      <c r="AV1126" s="140"/>
      <c r="AW1126" s="140"/>
      <c r="AX1126" s="140"/>
      <c r="AY1126" s="140"/>
      <c r="AZ1126" s="140"/>
      <c r="BA1126" s="140"/>
      <c r="BB1126" s="140"/>
      <c r="BC1126" s="140"/>
      <c r="BD1126" s="140"/>
      <c r="BE1126" s="140"/>
    </row>
    <row r="1127">
      <c r="A1127" s="108"/>
      <c r="B1127" s="107"/>
      <c r="C1127" s="107"/>
      <c r="D1127" s="107"/>
      <c r="E1127" s="107"/>
      <c r="F1127" s="107"/>
      <c r="G1127" s="208"/>
      <c r="H1127" s="131"/>
      <c r="I1127" s="211"/>
      <c r="J1127" s="107"/>
      <c r="K1127" s="202"/>
      <c r="L1127" s="107"/>
      <c r="M1127" s="107"/>
      <c r="N1127" s="206"/>
      <c r="O1127" s="108" t="b">
        <v>0</v>
      </c>
      <c r="P1127" s="207"/>
      <c r="Q1127" s="140"/>
      <c r="R1127" s="140"/>
      <c r="S1127" s="140"/>
      <c r="T1127" s="140"/>
      <c r="U1127" s="140"/>
      <c r="V1127" s="140"/>
      <c r="W1127" s="140"/>
      <c r="X1127" s="140"/>
      <c r="Y1127" s="140"/>
      <c r="Z1127" s="140"/>
      <c r="AA1127" s="140"/>
      <c r="AB1127" s="140"/>
      <c r="AC1127" s="140"/>
      <c r="AD1127" s="140"/>
      <c r="AE1127" s="140"/>
      <c r="AF1127" s="140"/>
      <c r="AG1127" s="140"/>
      <c r="AH1127" s="140"/>
      <c r="AI1127" s="140"/>
      <c r="AJ1127" s="140"/>
      <c r="AK1127" s="140"/>
      <c r="AL1127" s="140"/>
      <c r="AM1127" s="140"/>
      <c r="AN1127" s="140"/>
      <c r="AO1127" s="140"/>
      <c r="AP1127" s="140"/>
      <c r="AQ1127" s="140"/>
      <c r="AR1127" s="140"/>
      <c r="AS1127" s="140"/>
      <c r="AT1127" s="140"/>
      <c r="AU1127" s="140"/>
      <c r="AV1127" s="140"/>
      <c r="AW1127" s="140"/>
      <c r="AX1127" s="140"/>
      <c r="AY1127" s="140"/>
      <c r="AZ1127" s="140"/>
      <c r="BA1127" s="140"/>
      <c r="BB1127" s="140"/>
      <c r="BC1127" s="140"/>
      <c r="BD1127" s="140"/>
      <c r="BE1127" s="140"/>
    </row>
    <row r="1128">
      <c r="A1128" s="108"/>
      <c r="B1128" s="107"/>
      <c r="C1128" s="107"/>
      <c r="D1128" s="107"/>
      <c r="E1128" s="107"/>
      <c r="F1128" s="107"/>
      <c r="G1128" s="208"/>
      <c r="H1128" s="131"/>
      <c r="I1128" s="211"/>
      <c r="J1128" s="107"/>
      <c r="K1128" s="202"/>
      <c r="L1128" s="107"/>
      <c r="M1128" s="107"/>
      <c r="N1128" s="206"/>
      <c r="O1128" s="108" t="b">
        <v>0</v>
      </c>
      <c r="P1128" s="207"/>
      <c r="Q1128" s="140"/>
      <c r="R1128" s="140"/>
      <c r="S1128" s="140"/>
      <c r="T1128" s="140"/>
      <c r="U1128" s="140"/>
      <c r="V1128" s="140"/>
      <c r="W1128" s="140"/>
      <c r="X1128" s="140"/>
      <c r="Y1128" s="140"/>
      <c r="Z1128" s="140"/>
      <c r="AA1128" s="140"/>
      <c r="AB1128" s="140"/>
      <c r="AC1128" s="140"/>
      <c r="AD1128" s="140"/>
      <c r="AE1128" s="140"/>
      <c r="AF1128" s="140"/>
      <c r="AG1128" s="140"/>
      <c r="AH1128" s="140"/>
      <c r="AI1128" s="140"/>
      <c r="AJ1128" s="140"/>
      <c r="AK1128" s="140"/>
      <c r="AL1128" s="140"/>
      <c r="AM1128" s="140"/>
      <c r="AN1128" s="140"/>
      <c r="AO1128" s="140"/>
      <c r="AP1128" s="140"/>
      <c r="AQ1128" s="140"/>
      <c r="AR1128" s="140"/>
      <c r="AS1128" s="140"/>
      <c r="AT1128" s="140"/>
      <c r="AU1128" s="140"/>
      <c r="AV1128" s="140"/>
      <c r="AW1128" s="140"/>
      <c r="AX1128" s="140"/>
      <c r="AY1128" s="140"/>
      <c r="AZ1128" s="140"/>
      <c r="BA1128" s="140"/>
      <c r="BB1128" s="140"/>
      <c r="BC1128" s="140"/>
      <c r="BD1128" s="140"/>
      <c r="BE1128" s="140"/>
    </row>
    <row r="1129">
      <c r="A1129" s="108"/>
      <c r="B1129" s="107"/>
      <c r="C1129" s="107"/>
      <c r="D1129" s="107"/>
      <c r="E1129" s="107"/>
      <c r="F1129" s="107"/>
      <c r="G1129" s="208"/>
      <c r="H1129" s="131"/>
      <c r="I1129" s="211"/>
      <c r="J1129" s="107"/>
      <c r="K1129" s="202"/>
      <c r="L1129" s="107"/>
      <c r="M1129" s="107"/>
      <c r="N1129" s="206"/>
      <c r="O1129" s="108" t="b">
        <v>0</v>
      </c>
      <c r="P1129" s="207"/>
      <c r="Q1129" s="140"/>
      <c r="R1129" s="140"/>
      <c r="S1129" s="140"/>
      <c r="T1129" s="140"/>
      <c r="U1129" s="140"/>
      <c r="V1129" s="140"/>
      <c r="W1129" s="140"/>
      <c r="X1129" s="140"/>
      <c r="Y1129" s="140"/>
      <c r="Z1129" s="140"/>
      <c r="AA1129" s="140"/>
      <c r="AB1129" s="140"/>
      <c r="AC1129" s="140"/>
      <c r="AD1129" s="140"/>
      <c r="AE1129" s="140"/>
      <c r="AF1129" s="140"/>
      <c r="AG1129" s="140"/>
      <c r="AH1129" s="140"/>
      <c r="AI1129" s="140"/>
      <c r="AJ1129" s="140"/>
      <c r="AK1129" s="140"/>
      <c r="AL1129" s="140"/>
      <c r="AM1129" s="140"/>
      <c r="AN1129" s="140"/>
      <c r="AO1129" s="140"/>
      <c r="AP1129" s="140"/>
      <c r="AQ1129" s="140"/>
      <c r="AR1129" s="140"/>
      <c r="AS1129" s="140"/>
      <c r="AT1129" s="140"/>
      <c r="AU1129" s="140"/>
      <c r="AV1129" s="140"/>
      <c r="AW1129" s="140"/>
      <c r="AX1129" s="140"/>
      <c r="AY1129" s="140"/>
      <c r="AZ1129" s="140"/>
      <c r="BA1129" s="140"/>
      <c r="BB1129" s="140"/>
      <c r="BC1129" s="140"/>
      <c r="BD1129" s="140"/>
      <c r="BE1129" s="140"/>
    </row>
    <row r="1130">
      <c r="A1130" s="108"/>
      <c r="B1130" s="107"/>
      <c r="C1130" s="107"/>
      <c r="D1130" s="107"/>
      <c r="E1130" s="107"/>
      <c r="F1130" s="107"/>
      <c r="G1130" s="208"/>
      <c r="H1130" s="131"/>
      <c r="I1130" s="211"/>
      <c r="J1130" s="107"/>
      <c r="K1130" s="202"/>
      <c r="L1130" s="107"/>
      <c r="M1130" s="107"/>
      <c r="N1130" s="206"/>
      <c r="O1130" s="108" t="b">
        <v>0</v>
      </c>
      <c r="P1130" s="207"/>
      <c r="Q1130" s="140"/>
      <c r="R1130" s="140"/>
      <c r="S1130" s="140"/>
      <c r="T1130" s="140"/>
      <c r="U1130" s="140"/>
      <c r="V1130" s="140"/>
      <c r="W1130" s="140"/>
      <c r="X1130" s="140"/>
      <c r="Y1130" s="140"/>
      <c r="Z1130" s="140"/>
      <c r="AA1130" s="140"/>
      <c r="AB1130" s="140"/>
      <c r="AC1130" s="140"/>
      <c r="AD1130" s="140"/>
      <c r="AE1130" s="140"/>
      <c r="AF1130" s="140"/>
      <c r="AG1130" s="140"/>
      <c r="AH1130" s="140"/>
      <c r="AI1130" s="140"/>
      <c r="AJ1130" s="140"/>
      <c r="AK1130" s="140"/>
      <c r="AL1130" s="140"/>
      <c r="AM1130" s="140"/>
      <c r="AN1130" s="140"/>
      <c r="AO1130" s="140"/>
      <c r="AP1130" s="140"/>
      <c r="AQ1130" s="140"/>
      <c r="AR1130" s="140"/>
      <c r="AS1130" s="140"/>
      <c r="AT1130" s="140"/>
      <c r="AU1130" s="140"/>
      <c r="AV1130" s="140"/>
      <c r="AW1130" s="140"/>
      <c r="AX1130" s="140"/>
      <c r="AY1130" s="140"/>
      <c r="AZ1130" s="140"/>
      <c r="BA1130" s="140"/>
      <c r="BB1130" s="140"/>
      <c r="BC1130" s="140"/>
      <c r="BD1130" s="140"/>
      <c r="BE1130" s="140"/>
    </row>
    <row r="1131">
      <c r="A1131" s="108"/>
      <c r="B1131" s="107"/>
      <c r="C1131" s="107"/>
      <c r="D1131" s="107"/>
      <c r="E1131" s="107"/>
      <c r="F1131" s="107"/>
      <c r="G1131" s="208"/>
      <c r="H1131" s="131"/>
      <c r="I1131" s="211"/>
      <c r="J1131" s="107"/>
      <c r="K1131" s="202"/>
      <c r="L1131" s="107"/>
      <c r="M1131" s="107"/>
      <c r="N1131" s="206"/>
      <c r="O1131" s="108" t="b">
        <v>0</v>
      </c>
      <c r="P1131" s="207"/>
      <c r="Q1131" s="140"/>
      <c r="R1131" s="140"/>
      <c r="S1131" s="140"/>
      <c r="T1131" s="140"/>
      <c r="U1131" s="140"/>
      <c r="V1131" s="140"/>
      <c r="W1131" s="140"/>
      <c r="X1131" s="140"/>
      <c r="Y1131" s="140"/>
      <c r="Z1131" s="140"/>
      <c r="AA1131" s="140"/>
      <c r="AB1131" s="140"/>
      <c r="AC1131" s="140"/>
      <c r="AD1131" s="140"/>
      <c r="AE1131" s="140"/>
      <c r="AF1131" s="140"/>
      <c r="AG1131" s="140"/>
      <c r="AH1131" s="140"/>
      <c r="AI1131" s="140"/>
      <c r="AJ1131" s="140"/>
      <c r="AK1131" s="140"/>
      <c r="AL1131" s="140"/>
      <c r="AM1131" s="140"/>
      <c r="AN1131" s="140"/>
      <c r="AO1131" s="140"/>
      <c r="AP1131" s="140"/>
      <c r="AQ1131" s="140"/>
      <c r="AR1131" s="140"/>
      <c r="AS1131" s="140"/>
      <c r="AT1131" s="140"/>
      <c r="AU1131" s="140"/>
      <c r="AV1131" s="140"/>
      <c r="AW1131" s="140"/>
      <c r="AX1131" s="140"/>
      <c r="AY1131" s="140"/>
      <c r="AZ1131" s="140"/>
      <c r="BA1131" s="140"/>
      <c r="BB1131" s="140"/>
      <c r="BC1131" s="140"/>
      <c r="BD1131" s="140"/>
      <c r="BE1131" s="140"/>
    </row>
    <row r="1132">
      <c r="A1132" s="108"/>
      <c r="B1132" s="107"/>
      <c r="C1132" s="107"/>
      <c r="D1132" s="107"/>
      <c r="E1132" s="107"/>
      <c r="F1132" s="107"/>
      <c r="G1132" s="208"/>
      <c r="H1132" s="131"/>
      <c r="I1132" s="211"/>
      <c r="J1132" s="107"/>
      <c r="K1132" s="202"/>
      <c r="L1132" s="107"/>
      <c r="M1132" s="107"/>
      <c r="N1132" s="206"/>
      <c r="O1132" s="108" t="b">
        <v>0</v>
      </c>
      <c r="P1132" s="207"/>
      <c r="Q1132" s="140"/>
      <c r="R1132" s="140"/>
      <c r="S1132" s="140"/>
      <c r="T1132" s="140"/>
      <c r="U1132" s="140"/>
      <c r="V1132" s="140"/>
      <c r="W1132" s="140"/>
      <c r="X1132" s="140"/>
      <c r="Y1132" s="140"/>
      <c r="Z1132" s="140"/>
      <c r="AA1132" s="140"/>
      <c r="AB1132" s="140"/>
      <c r="AC1132" s="140"/>
      <c r="AD1132" s="140"/>
      <c r="AE1132" s="140"/>
      <c r="AF1132" s="140"/>
      <c r="AG1132" s="140"/>
      <c r="AH1132" s="140"/>
      <c r="AI1132" s="140"/>
      <c r="AJ1132" s="140"/>
      <c r="AK1132" s="140"/>
      <c r="AL1132" s="140"/>
      <c r="AM1132" s="140"/>
      <c r="AN1132" s="140"/>
      <c r="AO1132" s="140"/>
      <c r="AP1132" s="140"/>
      <c r="AQ1132" s="140"/>
      <c r="AR1132" s="140"/>
      <c r="AS1132" s="140"/>
      <c r="AT1132" s="140"/>
      <c r="AU1132" s="140"/>
      <c r="AV1132" s="140"/>
      <c r="AW1132" s="140"/>
      <c r="AX1132" s="140"/>
      <c r="AY1132" s="140"/>
      <c r="AZ1132" s="140"/>
      <c r="BA1132" s="140"/>
      <c r="BB1132" s="140"/>
      <c r="BC1132" s="140"/>
      <c r="BD1132" s="140"/>
      <c r="BE1132" s="140"/>
    </row>
    <row r="1133">
      <c r="A1133" s="108"/>
      <c r="B1133" s="107"/>
      <c r="C1133" s="107"/>
      <c r="D1133" s="107"/>
      <c r="E1133" s="107"/>
      <c r="F1133" s="107"/>
      <c r="G1133" s="208"/>
      <c r="H1133" s="131"/>
      <c r="I1133" s="211"/>
      <c r="J1133" s="107"/>
      <c r="K1133" s="202"/>
      <c r="L1133" s="107"/>
      <c r="M1133" s="107"/>
      <c r="N1133" s="206"/>
      <c r="O1133" s="108" t="b">
        <v>0</v>
      </c>
      <c r="P1133" s="207"/>
      <c r="Q1133" s="140"/>
      <c r="R1133" s="140"/>
      <c r="S1133" s="140"/>
      <c r="T1133" s="140"/>
      <c r="U1133" s="140"/>
      <c r="V1133" s="140"/>
      <c r="W1133" s="140"/>
      <c r="X1133" s="140"/>
      <c r="Y1133" s="140"/>
      <c r="Z1133" s="140"/>
      <c r="AA1133" s="140"/>
      <c r="AB1133" s="140"/>
      <c r="AC1133" s="140"/>
      <c r="AD1133" s="140"/>
      <c r="AE1133" s="140"/>
      <c r="AF1133" s="140"/>
      <c r="AG1133" s="140"/>
      <c r="AH1133" s="140"/>
      <c r="AI1133" s="140"/>
      <c r="AJ1133" s="140"/>
      <c r="AK1133" s="140"/>
      <c r="AL1133" s="140"/>
      <c r="AM1133" s="140"/>
      <c r="AN1133" s="140"/>
      <c r="AO1133" s="140"/>
      <c r="AP1133" s="140"/>
      <c r="AQ1133" s="140"/>
      <c r="AR1133" s="140"/>
      <c r="AS1133" s="140"/>
      <c r="AT1133" s="140"/>
      <c r="AU1133" s="140"/>
      <c r="AV1133" s="140"/>
      <c r="AW1133" s="140"/>
      <c r="AX1133" s="140"/>
      <c r="AY1133" s="140"/>
      <c r="AZ1133" s="140"/>
      <c r="BA1133" s="140"/>
      <c r="BB1133" s="140"/>
      <c r="BC1133" s="140"/>
      <c r="BD1133" s="140"/>
      <c r="BE1133" s="140"/>
    </row>
    <row r="1134">
      <c r="A1134" s="108"/>
      <c r="B1134" s="107"/>
      <c r="C1134" s="107"/>
      <c r="D1134" s="107"/>
      <c r="E1134" s="107"/>
      <c r="F1134" s="107"/>
      <c r="G1134" s="208"/>
      <c r="H1134" s="131"/>
      <c r="I1134" s="211"/>
      <c r="J1134" s="107"/>
      <c r="K1134" s="202"/>
      <c r="L1134" s="107"/>
      <c r="M1134" s="107"/>
      <c r="N1134" s="206"/>
      <c r="O1134" s="108" t="b">
        <v>0</v>
      </c>
      <c r="P1134" s="207"/>
      <c r="Q1134" s="140"/>
      <c r="R1134" s="140"/>
      <c r="S1134" s="140"/>
      <c r="T1134" s="140"/>
      <c r="U1134" s="140"/>
      <c r="V1134" s="140"/>
      <c r="W1134" s="140"/>
      <c r="X1134" s="140"/>
      <c r="Y1134" s="140"/>
      <c r="Z1134" s="140"/>
      <c r="AA1134" s="140"/>
      <c r="AB1134" s="140"/>
      <c r="AC1134" s="140"/>
      <c r="AD1134" s="140"/>
      <c r="AE1134" s="140"/>
      <c r="AF1134" s="140"/>
      <c r="AG1134" s="140"/>
      <c r="AH1134" s="140"/>
      <c r="AI1134" s="140"/>
      <c r="AJ1134" s="140"/>
      <c r="AK1134" s="140"/>
      <c r="AL1134" s="140"/>
      <c r="AM1134" s="140"/>
      <c r="AN1134" s="140"/>
      <c r="AO1134" s="140"/>
      <c r="AP1134" s="140"/>
      <c r="AQ1134" s="140"/>
      <c r="AR1134" s="140"/>
      <c r="AS1134" s="140"/>
      <c r="AT1134" s="140"/>
      <c r="AU1134" s="140"/>
      <c r="AV1134" s="140"/>
      <c r="AW1134" s="140"/>
      <c r="AX1134" s="140"/>
      <c r="AY1134" s="140"/>
      <c r="AZ1134" s="140"/>
      <c r="BA1134" s="140"/>
      <c r="BB1134" s="140"/>
      <c r="BC1134" s="140"/>
      <c r="BD1134" s="140"/>
      <c r="BE1134" s="140"/>
    </row>
    <row r="1135">
      <c r="A1135" s="108"/>
      <c r="B1135" s="107"/>
      <c r="C1135" s="107"/>
      <c r="D1135" s="107"/>
      <c r="E1135" s="107"/>
      <c r="F1135" s="107"/>
      <c r="G1135" s="208"/>
      <c r="H1135" s="131"/>
      <c r="I1135" s="211"/>
      <c r="J1135" s="107"/>
      <c r="K1135" s="202"/>
      <c r="L1135" s="107"/>
      <c r="M1135" s="107"/>
      <c r="N1135" s="206"/>
      <c r="O1135" s="108" t="b">
        <v>0</v>
      </c>
      <c r="P1135" s="207"/>
      <c r="Q1135" s="140"/>
      <c r="R1135" s="140"/>
      <c r="S1135" s="140"/>
      <c r="T1135" s="140"/>
      <c r="U1135" s="140"/>
      <c r="V1135" s="140"/>
      <c r="W1135" s="140"/>
      <c r="X1135" s="140"/>
      <c r="Y1135" s="140"/>
      <c r="Z1135" s="140"/>
      <c r="AA1135" s="140"/>
      <c r="AB1135" s="140"/>
      <c r="AC1135" s="140"/>
      <c r="AD1135" s="140"/>
      <c r="AE1135" s="140"/>
      <c r="AF1135" s="140"/>
      <c r="AG1135" s="140"/>
      <c r="AH1135" s="140"/>
      <c r="AI1135" s="140"/>
      <c r="AJ1135" s="140"/>
      <c r="AK1135" s="140"/>
      <c r="AL1135" s="140"/>
      <c r="AM1135" s="140"/>
      <c r="AN1135" s="140"/>
      <c r="AO1135" s="140"/>
      <c r="AP1135" s="140"/>
      <c r="AQ1135" s="140"/>
      <c r="AR1135" s="140"/>
      <c r="AS1135" s="140"/>
      <c r="AT1135" s="140"/>
      <c r="AU1135" s="140"/>
      <c r="AV1135" s="140"/>
      <c r="AW1135" s="140"/>
      <c r="AX1135" s="140"/>
      <c r="AY1135" s="140"/>
      <c r="AZ1135" s="140"/>
      <c r="BA1135" s="140"/>
      <c r="BB1135" s="140"/>
      <c r="BC1135" s="140"/>
      <c r="BD1135" s="140"/>
      <c r="BE1135" s="140"/>
    </row>
  </sheetData>
  <autoFilter ref="$A$11:$BE$135">
    <filterColumn colId="11">
      <filters>
        <filter val="TRUE"/>
      </filters>
    </filterColumn>
  </autoFilter>
  <mergeCells count="1">
    <mergeCell ref="B5:D6"/>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pageSetUpPr fitToPage="1"/>
  </sheetPr>
  <sheetViews>
    <sheetView showGridLines="0" workbookViewId="0">
      <pane ySplit="11.0" topLeftCell="A12" activePane="bottomLeft" state="frozen"/>
      <selection activeCell="B13" sqref="B13" pane="bottomLeft"/>
    </sheetView>
  </sheetViews>
  <sheetFormatPr customHeight="1" defaultColWidth="12.63" defaultRowHeight="15.75"/>
  <cols>
    <col customWidth="1" min="1" max="1" width="2.63"/>
    <col customWidth="1" min="2" max="2" width="6.38"/>
    <col customWidth="1" min="3" max="5" width="18.88"/>
    <col customWidth="1" min="7" max="7" width="10.13"/>
    <col customWidth="1" min="8" max="8" width="13.25"/>
    <col customWidth="1" hidden="1" min="9" max="9" width="13.13"/>
    <col customWidth="1" hidden="1" min="10" max="10" width="3.88"/>
    <col customWidth="1" min="11" max="11" width="30.38"/>
    <col customWidth="1" hidden="1" min="12" max="12" width="30.38"/>
    <col customWidth="1" min="13" max="13" width="27.0"/>
    <col customWidth="1" min="14" max="14" width="12.63"/>
    <col customWidth="1" min="15" max="15" width="14.38"/>
    <col customWidth="1" min="16" max="16" width="13.13"/>
    <col customWidth="1" min="17" max="17" width="12.63"/>
  </cols>
  <sheetData>
    <row r="1" ht="11.25" customHeight="1">
      <c r="A1" s="108"/>
      <c r="B1" s="108"/>
      <c r="C1" s="108"/>
      <c r="D1" s="108"/>
      <c r="E1" s="108"/>
      <c r="F1" s="182"/>
      <c r="G1" s="212"/>
      <c r="H1" s="108"/>
      <c r="I1" s="108"/>
      <c r="J1" s="109"/>
      <c r="K1" s="108"/>
      <c r="L1" s="108"/>
      <c r="M1" s="108"/>
      <c r="N1" s="133"/>
      <c r="O1" s="89"/>
      <c r="P1" s="89"/>
      <c r="Q1" s="89"/>
    </row>
    <row r="2">
      <c r="A2" s="108"/>
      <c r="B2" s="80" t="s">
        <v>89</v>
      </c>
      <c r="C2" s="79"/>
      <c r="D2" s="79"/>
      <c r="E2" s="79"/>
      <c r="F2" s="185"/>
      <c r="G2" s="212"/>
      <c r="H2" s="108"/>
      <c r="I2" s="108"/>
      <c r="J2" s="109"/>
      <c r="K2" s="108"/>
      <c r="L2" s="108"/>
      <c r="M2" s="108"/>
      <c r="N2" s="133"/>
      <c r="O2" s="89"/>
      <c r="P2" s="89"/>
      <c r="Q2" s="89"/>
    </row>
    <row r="3">
      <c r="A3" s="108"/>
      <c r="B3" s="81" t="s">
        <v>149</v>
      </c>
      <c r="C3" s="79"/>
      <c r="D3" s="79"/>
      <c r="E3" s="79"/>
      <c r="F3" s="185"/>
      <c r="G3" s="212"/>
      <c r="H3" s="108"/>
      <c r="I3" s="108"/>
      <c r="J3" s="109"/>
      <c r="K3" s="108"/>
      <c r="L3" s="108"/>
      <c r="M3" s="108"/>
      <c r="N3" s="133"/>
      <c r="O3" s="89"/>
      <c r="P3" s="89"/>
      <c r="Q3" s="89"/>
    </row>
    <row r="4">
      <c r="A4" s="108"/>
      <c r="B4" s="82" t="s">
        <v>352</v>
      </c>
      <c r="C4" s="79"/>
      <c r="D4" s="79"/>
      <c r="E4" s="79"/>
      <c r="F4" s="185"/>
      <c r="G4" s="212"/>
      <c r="H4" s="108"/>
      <c r="I4" s="108"/>
      <c r="J4" s="109"/>
      <c r="K4" s="108"/>
      <c r="L4" s="108"/>
      <c r="M4" s="108"/>
      <c r="N4" s="133"/>
      <c r="O4" s="213"/>
      <c r="P4" s="89"/>
      <c r="Q4" s="89"/>
    </row>
    <row r="5">
      <c r="A5" s="108"/>
      <c r="B5" s="111" t="s">
        <v>151</v>
      </c>
      <c r="E5" s="111"/>
      <c r="F5" s="111"/>
      <c r="G5" s="212"/>
      <c r="H5" s="108"/>
      <c r="I5" s="108"/>
      <c r="J5" s="109"/>
      <c r="K5" s="108"/>
      <c r="L5" s="108"/>
      <c r="M5" s="108"/>
      <c r="N5" s="133"/>
      <c r="O5" s="89"/>
      <c r="P5" s="89"/>
      <c r="Q5" s="89"/>
    </row>
    <row r="6">
      <c r="A6" s="108"/>
      <c r="E6" s="111"/>
      <c r="F6" s="111"/>
      <c r="G6" s="212"/>
      <c r="H6" s="214" t="s">
        <v>353</v>
      </c>
      <c r="I6" s="108"/>
      <c r="J6" s="109"/>
      <c r="K6" s="108"/>
      <c r="L6" s="108"/>
      <c r="M6" s="108"/>
      <c r="N6" s="133"/>
      <c r="O6" s="89"/>
      <c r="P6" s="89"/>
      <c r="Q6" s="89"/>
    </row>
    <row r="7">
      <c r="A7" s="108"/>
      <c r="B7" s="79"/>
      <c r="C7" s="79"/>
      <c r="D7" s="79"/>
      <c r="E7" s="79"/>
      <c r="F7" s="185"/>
      <c r="G7" s="212"/>
      <c r="H7" s="214" t="s">
        <v>354</v>
      </c>
      <c r="I7" s="84" t="s">
        <v>355</v>
      </c>
      <c r="J7" s="109"/>
      <c r="K7" s="108"/>
      <c r="L7" s="108"/>
      <c r="M7" s="108"/>
      <c r="N7" s="133"/>
      <c r="O7" s="89"/>
      <c r="P7" s="89"/>
      <c r="Q7" s="89"/>
    </row>
    <row r="8">
      <c r="A8" s="108"/>
      <c r="B8" s="80" t="s">
        <v>152</v>
      </c>
      <c r="C8" s="79"/>
      <c r="D8" s="79"/>
      <c r="E8" s="79"/>
      <c r="F8" s="185"/>
      <c r="G8" s="212"/>
      <c r="H8" s="214" t="s">
        <v>356</v>
      </c>
      <c r="I8" s="84" t="s">
        <v>357</v>
      </c>
      <c r="J8" s="109"/>
      <c r="K8" s="108"/>
      <c r="L8" s="108"/>
      <c r="M8" s="108"/>
      <c r="N8" s="133"/>
      <c r="O8" s="89"/>
      <c r="P8" s="89"/>
      <c r="Q8" s="89"/>
    </row>
    <row r="9">
      <c r="A9" s="108"/>
      <c r="B9" s="81" t="s">
        <v>358</v>
      </c>
      <c r="C9" s="79"/>
      <c r="D9" s="79"/>
      <c r="E9" s="79"/>
      <c r="F9" s="185"/>
      <c r="G9" s="212"/>
      <c r="H9" s="214" t="s">
        <v>359</v>
      </c>
      <c r="I9" s="84" t="s">
        <v>360</v>
      </c>
      <c r="J9" s="109"/>
      <c r="K9" s="108"/>
      <c r="L9" s="108"/>
      <c r="M9" s="108"/>
      <c r="N9" s="133"/>
      <c r="O9" s="89"/>
      <c r="P9" s="89"/>
      <c r="Q9" s="89"/>
    </row>
    <row r="10">
      <c r="A10" s="108"/>
      <c r="B10" s="108"/>
      <c r="C10" s="108"/>
      <c r="D10" s="108"/>
      <c r="E10" s="108"/>
      <c r="F10" s="182"/>
      <c r="G10" s="212"/>
      <c r="H10" s="215"/>
      <c r="I10" s="108"/>
      <c r="J10" s="109"/>
      <c r="K10" s="108"/>
      <c r="L10" s="108"/>
      <c r="M10" s="108"/>
      <c r="N10" s="216">
        <f>subtotal(9,N12:N1897)</f>
        <v>2591.732718</v>
      </c>
      <c r="O10" s="89"/>
      <c r="P10" s="89"/>
      <c r="Q10" s="89"/>
    </row>
    <row r="11">
      <c r="A11" s="108"/>
      <c r="B11" s="112" t="s">
        <v>361</v>
      </c>
      <c r="C11" s="112" t="s">
        <v>227</v>
      </c>
      <c r="D11" s="112" t="s">
        <v>228</v>
      </c>
      <c r="E11" s="112" t="s">
        <v>362</v>
      </c>
      <c r="F11" s="217" t="s">
        <v>233</v>
      </c>
      <c r="G11" s="218" t="s">
        <v>363</v>
      </c>
      <c r="H11" s="219" t="s">
        <v>364</v>
      </c>
      <c r="I11" s="220" t="s">
        <v>365</v>
      </c>
      <c r="J11" s="221" t="s">
        <v>366</v>
      </c>
      <c r="K11" s="112" t="s">
        <v>367</v>
      </c>
      <c r="L11" s="222" t="s">
        <v>368</v>
      </c>
      <c r="M11" s="223" t="s">
        <v>227</v>
      </c>
      <c r="N11" s="224" t="s">
        <v>369</v>
      </c>
      <c r="O11" s="225" t="s">
        <v>370</v>
      </c>
      <c r="P11" s="225" t="s">
        <v>371</v>
      </c>
      <c r="Q11" s="225"/>
    </row>
    <row r="12" hidden="1">
      <c r="A12" s="108"/>
      <c r="B12" s="202"/>
      <c r="C12" s="202" t="str">
        <f>VLOOKUP(M12,'#verificação horas por projeto'!A:B,2,FALSE)</f>
        <v>INOV00046</v>
      </c>
      <c r="D12" s="202" t="s">
        <v>29</v>
      </c>
      <c r="E12" s="107" t="s">
        <v>144</v>
      </c>
      <c r="F12" s="211">
        <v>45293.0</v>
      </c>
      <c r="G12" s="226">
        <v>0.05555555555555555</v>
      </c>
      <c r="H12" s="107" t="s">
        <v>354</v>
      </c>
      <c r="I12" s="227" t="s">
        <v>354</v>
      </c>
      <c r="J12" s="227"/>
      <c r="K12" s="115" t="s">
        <v>372</v>
      </c>
      <c r="L12" s="228"/>
      <c r="M12" s="107" t="s">
        <v>373</v>
      </c>
      <c r="N12" s="229">
        <v>0.0</v>
      </c>
      <c r="O12" s="89" t="b">
        <f t="shared" ref="O12:O1520" si="1">if(OR(I12="Treinamento",I12="Pesquisa",I12="Desenvolvimento"),TRUE,FALSE)</f>
        <v>1</v>
      </c>
      <c r="P12" s="230" t="b">
        <f t="array" ref="P12:P1897">IFERROR(VLOOKUP($C$12:$C1897,'Base Projetos'!$A:$B,2,FALSE),FALSE)</f>
        <v>0</v>
      </c>
      <c r="Q12" s="89" t="str">
        <f t="array" ref="Q12:Q1897">vlookup($E$12:$E1897,PESSOAL!B$35:$E$47,4,false)</f>
        <v>Parcial</v>
      </c>
    </row>
    <row r="13" hidden="1">
      <c r="A13" s="108"/>
      <c r="B13" s="202"/>
      <c r="C13" s="202" t="str">
        <f>VLOOKUP(M13,'#verificação horas por projeto'!A:B,2,FALSE)</f>
        <v>INOV00044</v>
      </c>
      <c r="D13" s="202" t="s">
        <v>374</v>
      </c>
      <c r="E13" s="107" t="s">
        <v>144</v>
      </c>
      <c r="F13" s="211">
        <v>45306.0</v>
      </c>
      <c r="G13" s="226">
        <v>0.1111111111111111</v>
      </c>
      <c r="H13" s="107" t="s">
        <v>359</v>
      </c>
      <c r="I13" s="227" t="s">
        <v>359</v>
      </c>
      <c r="J13" s="227"/>
      <c r="K13" s="115" t="s">
        <v>375</v>
      </c>
      <c r="L13" s="228"/>
      <c r="M13" s="107" t="s">
        <v>376</v>
      </c>
      <c r="N13" s="229">
        <v>0.0</v>
      </c>
      <c r="O13" s="89" t="b">
        <f t="shared" si="1"/>
        <v>0</v>
      </c>
      <c r="P13" s="89" t="b">
        <v>0</v>
      </c>
      <c r="Q13" s="89" t="s">
        <v>212</v>
      </c>
    </row>
    <row r="14" hidden="1">
      <c r="A14" s="108"/>
      <c r="B14" s="202"/>
      <c r="C14" s="202" t="str">
        <f>VLOOKUP(M14,'#verificação horas por projeto'!A:B,2,FALSE)</f>
        <v>INOV00013</v>
      </c>
      <c r="D14" s="202" t="s">
        <v>7</v>
      </c>
      <c r="E14" s="107" t="s">
        <v>144</v>
      </c>
      <c r="F14" s="211">
        <v>45309.0</v>
      </c>
      <c r="G14" s="226">
        <v>0.010416666666666666</v>
      </c>
      <c r="H14" s="107" t="s">
        <v>359</v>
      </c>
      <c r="I14" s="227" t="s">
        <v>359</v>
      </c>
      <c r="J14" s="227"/>
      <c r="K14" s="115" t="s">
        <v>377</v>
      </c>
      <c r="L14" s="228"/>
      <c r="M14" s="107" t="s">
        <v>378</v>
      </c>
      <c r="N14" s="229">
        <v>0.0</v>
      </c>
      <c r="O14" s="89" t="b">
        <f t="shared" si="1"/>
        <v>0</v>
      </c>
      <c r="P14" s="89" t="b">
        <v>1</v>
      </c>
      <c r="Q14" s="89" t="s">
        <v>212</v>
      </c>
    </row>
    <row r="15" hidden="1">
      <c r="A15" s="108"/>
      <c r="B15" s="202"/>
      <c r="C15" s="202" t="str">
        <f>VLOOKUP(M15,'#verificação horas por projeto'!A:B,2,FALSE)</f>
        <v>INOV00006</v>
      </c>
      <c r="D15" s="202" t="s">
        <v>5</v>
      </c>
      <c r="E15" s="107" t="s">
        <v>144</v>
      </c>
      <c r="F15" s="211">
        <v>45309.0</v>
      </c>
      <c r="G15" s="226">
        <v>0.006944444444444444</v>
      </c>
      <c r="H15" s="107" t="s">
        <v>359</v>
      </c>
      <c r="I15" s="227" t="s">
        <v>359</v>
      </c>
      <c r="J15" s="227"/>
      <c r="K15" s="115" t="s">
        <v>377</v>
      </c>
      <c r="L15" s="228"/>
      <c r="M15" s="107" t="s">
        <v>379</v>
      </c>
      <c r="N15" s="229">
        <v>0.0</v>
      </c>
      <c r="O15" s="89" t="b">
        <f t="shared" si="1"/>
        <v>0</v>
      </c>
      <c r="P15" s="89" t="b">
        <v>1</v>
      </c>
      <c r="Q15" s="89" t="s">
        <v>212</v>
      </c>
    </row>
    <row r="16" hidden="1">
      <c r="A16" s="108"/>
      <c r="B16" s="202"/>
      <c r="C16" s="202" t="str">
        <f>VLOOKUP(M16,'#verificação horas por projeto'!A:B,2,FALSE)</f>
        <v>INOV00045</v>
      </c>
      <c r="D16" s="202" t="s">
        <v>380</v>
      </c>
      <c r="E16" s="107" t="s">
        <v>144</v>
      </c>
      <c r="F16" s="211">
        <v>45330.0</v>
      </c>
      <c r="G16" s="226">
        <v>0.017361111111111112</v>
      </c>
      <c r="H16" s="107" t="s">
        <v>359</v>
      </c>
      <c r="I16" s="227" t="s">
        <v>359</v>
      </c>
      <c r="J16" s="227"/>
      <c r="K16" s="115" t="s">
        <v>381</v>
      </c>
      <c r="L16" s="228"/>
      <c r="M16" s="107" t="s">
        <v>382</v>
      </c>
      <c r="N16" s="229">
        <v>0.0</v>
      </c>
      <c r="O16" s="89" t="b">
        <f t="shared" si="1"/>
        <v>0</v>
      </c>
      <c r="P16" s="89" t="b">
        <v>0</v>
      </c>
      <c r="Q16" s="89" t="s">
        <v>212</v>
      </c>
    </row>
    <row r="17" hidden="1">
      <c r="A17" s="108"/>
      <c r="B17" s="202"/>
      <c r="C17" s="202" t="str">
        <f>VLOOKUP(M17,'#verificação horas por projeto'!A:B,2,FALSE)</f>
        <v>INOV00031</v>
      </c>
      <c r="D17" s="202" t="s">
        <v>249</v>
      </c>
      <c r="E17" s="107" t="s">
        <v>144</v>
      </c>
      <c r="F17" s="211">
        <v>45373.0</v>
      </c>
      <c r="G17" s="226">
        <v>0.125</v>
      </c>
      <c r="H17" s="107" t="s">
        <v>356</v>
      </c>
      <c r="I17" s="227" t="s">
        <v>356</v>
      </c>
      <c r="J17" s="227"/>
      <c r="K17" s="115" t="s">
        <v>383</v>
      </c>
      <c r="L17" s="228"/>
      <c r="M17" s="107" t="s">
        <v>384</v>
      </c>
      <c r="N17" s="229">
        <v>0.0</v>
      </c>
      <c r="O17" s="89" t="b">
        <f t="shared" si="1"/>
        <v>1</v>
      </c>
      <c r="P17" s="89" t="b">
        <v>0</v>
      </c>
      <c r="Q17" s="89" t="s">
        <v>212</v>
      </c>
    </row>
    <row r="18" hidden="1">
      <c r="A18" s="108"/>
      <c r="B18" s="202"/>
      <c r="C18" s="202" t="str">
        <f>VLOOKUP(M18,'#verificação horas por projeto'!A:B,2,FALSE)</f>
        <v>INOV00031</v>
      </c>
      <c r="D18" s="202" t="s">
        <v>249</v>
      </c>
      <c r="E18" s="107" t="s">
        <v>144</v>
      </c>
      <c r="F18" s="211">
        <v>45376.0</v>
      </c>
      <c r="G18" s="226">
        <v>0.03819444444444445</v>
      </c>
      <c r="H18" s="107" t="s">
        <v>356</v>
      </c>
      <c r="I18" s="227" t="s">
        <v>356</v>
      </c>
      <c r="J18" s="227"/>
      <c r="K18" s="115" t="s">
        <v>385</v>
      </c>
      <c r="L18" s="228"/>
      <c r="M18" s="107" t="s">
        <v>384</v>
      </c>
      <c r="N18" s="229">
        <v>0.0</v>
      </c>
      <c r="O18" s="89" t="b">
        <f t="shared" si="1"/>
        <v>1</v>
      </c>
      <c r="P18" s="89" t="b">
        <v>0</v>
      </c>
      <c r="Q18" s="89" t="s">
        <v>212</v>
      </c>
    </row>
    <row r="19" hidden="1">
      <c r="A19" s="108"/>
      <c r="B19" s="202"/>
      <c r="C19" s="202" t="str">
        <f>VLOOKUP(M19,'#verificação horas por projeto'!A:B,2,FALSE)</f>
        <v>INOV00001</v>
      </c>
      <c r="D19" s="202" t="s">
        <v>3</v>
      </c>
      <c r="E19" s="107" t="s">
        <v>144</v>
      </c>
      <c r="F19" s="211">
        <v>45373.0</v>
      </c>
      <c r="G19" s="226">
        <v>0.09375</v>
      </c>
      <c r="H19" s="107" t="s">
        <v>356</v>
      </c>
      <c r="I19" s="227" t="s">
        <v>356</v>
      </c>
      <c r="J19" s="227"/>
      <c r="K19" s="115" t="s">
        <v>383</v>
      </c>
      <c r="L19" s="228"/>
      <c r="M19" s="107" t="s">
        <v>386</v>
      </c>
      <c r="N19" s="229">
        <v>80.89</v>
      </c>
      <c r="O19" s="89" t="b">
        <f t="shared" si="1"/>
        <v>1</v>
      </c>
      <c r="P19" s="89" t="b">
        <v>1</v>
      </c>
      <c r="Q19" s="89" t="s">
        <v>212</v>
      </c>
    </row>
    <row r="20" hidden="1">
      <c r="A20" s="108"/>
      <c r="B20" s="202"/>
      <c r="C20" s="202" t="str">
        <f>VLOOKUP(M20,'#verificação horas por projeto'!A:B,2,FALSE)</f>
        <v>INOV00001</v>
      </c>
      <c r="D20" s="202" t="s">
        <v>3</v>
      </c>
      <c r="E20" s="107" t="s">
        <v>144</v>
      </c>
      <c r="F20" s="211">
        <v>45376.0</v>
      </c>
      <c r="G20" s="226">
        <v>0.04861111111111111</v>
      </c>
      <c r="H20" s="107" t="s">
        <v>356</v>
      </c>
      <c r="I20" s="227" t="s">
        <v>356</v>
      </c>
      <c r="J20" s="227"/>
      <c r="K20" s="115" t="s">
        <v>385</v>
      </c>
      <c r="L20" s="228"/>
      <c r="M20" s="107" t="s">
        <v>386</v>
      </c>
      <c r="N20" s="229">
        <v>41.94</v>
      </c>
      <c r="O20" s="89" t="b">
        <f t="shared" si="1"/>
        <v>1</v>
      </c>
      <c r="P20" s="89" t="b">
        <v>1</v>
      </c>
      <c r="Q20" s="89" t="s">
        <v>212</v>
      </c>
    </row>
    <row r="21" hidden="1">
      <c r="A21" s="108"/>
      <c r="B21" s="202"/>
      <c r="C21" s="202" t="str">
        <f>VLOOKUP(M21,'#verificação horas por projeto'!A:B,2,FALSE)</f>
        <v>INOV00001</v>
      </c>
      <c r="D21" s="202" t="s">
        <v>3</v>
      </c>
      <c r="E21" s="107" t="s">
        <v>144</v>
      </c>
      <c r="F21" s="211">
        <v>45357.0</v>
      </c>
      <c r="G21" s="226">
        <v>0.013888888888888888</v>
      </c>
      <c r="H21" s="107" t="s">
        <v>359</v>
      </c>
      <c r="I21" s="227" t="s">
        <v>359</v>
      </c>
      <c r="J21" s="227"/>
      <c r="K21" s="115" t="s">
        <v>387</v>
      </c>
      <c r="L21" s="228"/>
      <c r="M21" s="107" t="s">
        <v>386</v>
      </c>
      <c r="N21" s="229">
        <v>0.0</v>
      </c>
      <c r="O21" s="89" t="b">
        <f t="shared" si="1"/>
        <v>0</v>
      </c>
      <c r="P21" s="89" t="b">
        <v>1</v>
      </c>
      <c r="Q21" s="89" t="s">
        <v>212</v>
      </c>
    </row>
    <row r="22" hidden="1">
      <c r="A22" s="108"/>
      <c r="B22" s="202"/>
      <c r="C22" s="202" t="str">
        <f>VLOOKUP(M22,'#verificação horas por projeto'!A:B,2,FALSE)</f>
        <v>INOV00017</v>
      </c>
      <c r="D22" s="202" t="s">
        <v>10</v>
      </c>
      <c r="E22" s="107" t="s">
        <v>144</v>
      </c>
      <c r="F22" s="211">
        <v>45379.0</v>
      </c>
      <c r="G22" s="226">
        <v>0.052083333333333336</v>
      </c>
      <c r="H22" s="107" t="s">
        <v>356</v>
      </c>
      <c r="I22" s="227" t="s">
        <v>356</v>
      </c>
      <c r="J22" s="227"/>
      <c r="K22" s="115" t="s">
        <v>388</v>
      </c>
      <c r="L22" s="228"/>
      <c r="M22" s="107" t="s">
        <v>389</v>
      </c>
      <c r="N22" s="229">
        <v>44.94</v>
      </c>
      <c r="O22" s="89" t="b">
        <f t="shared" si="1"/>
        <v>1</v>
      </c>
      <c r="P22" s="89" t="b">
        <v>1</v>
      </c>
      <c r="Q22" s="89" t="s">
        <v>212</v>
      </c>
    </row>
    <row r="23" hidden="1">
      <c r="A23" s="108"/>
      <c r="B23" s="202"/>
      <c r="C23" s="202" t="str">
        <f>VLOOKUP(M23,'#verificação horas por projeto'!A:B,2,FALSE)</f>
        <v>INOV00001</v>
      </c>
      <c r="D23" s="202" t="s">
        <v>3</v>
      </c>
      <c r="E23" s="107" t="s">
        <v>122</v>
      </c>
      <c r="F23" s="211">
        <v>45299.0</v>
      </c>
      <c r="G23" s="226">
        <v>0.041666666666666664</v>
      </c>
      <c r="H23" s="107" t="s">
        <v>356</v>
      </c>
      <c r="I23" s="227" t="s">
        <v>356</v>
      </c>
      <c r="J23" s="227"/>
      <c r="K23" s="115" t="s">
        <v>390</v>
      </c>
      <c r="L23" s="228"/>
      <c r="M23" s="107" t="s">
        <v>386</v>
      </c>
      <c r="N23" s="229">
        <v>195.02</v>
      </c>
      <c r="O23" s="89" t="b">
        <f t="shared" si="1"/>
        <v>1</v>
      </c>
      <c r="P23" s="89" t="b">
        <v>1</v>
      </c>
      <c r="Q23" s="89" t="s">
        <v>212</v>
      </c>
    </row>
    <row r="24" hidden="1">
      <c r="A24" s="108"/>
      <c r="B24" s="202"/>
      <c r="C24" s="202" t="str">
        <f>VLOOKUP(M24,'#verificação horas por projeto'!A:B,2,FALSE)</f>
        <v>INOV00001</v>
      </c>
      <c r="D24" s="202" t="s">
        <v>3</v>
      </c>
      <c r="E24" s="107" t="s">
        <v>122</v>
      </c>
      <c r="F24" s="211">
        <v>45302.0</v>
      </c>
      <c r="G24" s="226">
        <v>0.041666666666666664</v>
      </c>
      <c r="H24" s="107" t="s">
        <v>359</v>
      </c>
      <c r="I24" s="227" t="s">
        <v>359</v>
      </c>
      <c r="J24" s="227"/>
      <c r="K24" s="115" t="s">
        <v>391</v>
      </c>
      <c r="L24" s="228"/>
      <c r="M24" s="107" t="s">
        <v>386</v>
      </c>
      <c r="N24" s="229">
        <v>0.0</v>
      </c>
      <c r="O24" s="89" t="b">
        <f t="shared" si="1"/>
        <v>0</v>
      </c>
      <c r="P24" s="89" t="b">
        <v>1</v>
      </c>
      <c r="Q24" s="89" t="s">
        <v>212</v>
      </c>
    </row>
    <row r="25" hidden="1">
      <c r="A25" s="108"/>
      <c r="B25" s="202"/>
      <c r="C25" s="202" t="str">
        <f>VLOOKUP(M25,'#verificação horas por projeto'!A:B,2,FALSE)</f>
        <v>INOV00044</v>
      </c>
      <c r="D25" s="202" t="s">
        <v>374</v>
      </c>
      <c r="E25" s="107" t="s">
        <v>122</v>
      </c>
      <c r="F25" s="211">
        <v>45308.0</v>
      </c>
      <c r="G25" s="226">
        <v>0.020833333333333332</v>
      </c>
      <c r="H25" s="107" t="s">
        <v>359</v>
      </c>
      <c r="I25" s="227" t="s">
        <v>359</v>
      </c>
      <c r="J25" s="227"/>
      <c r="K25" s="115" t="s">
        <v>392</v>
      </c>
      <c r="L25" s="228"/>
      <c r="M25" s="107" t="s">
        <v>376</v>
      </c>
      <c r="N25" s="229">
        <v>0.0</v>
      </c>
      <c r="O25" s="89" t="b">
        <f t="shared" si="1"/>
        <v>0</v>
      </c>
      <c r="P25" s="89" t="b">
        <v>0</v>
      </c>
      <c r="Q25" s="89" t="s">
        <v>212</v>
      </c>
    </row>
    <row r="26" hidden="1">
      <c r="A26" s="108"/>
      <c r="B26" s="202"/>
      <c r="C26" s="202" t="str">
        <f>VLOOKUP(M26,'#verificação horas por projeto'!A:B,2,FALSE)</f>
        <v>INOV00001</v>
      </c>
      <c r="D26" s="202" t="s">
        <v>3</v>
      </c>
      <c r="E26" s="107" t="s">
        <v>122</v>
      </c>
      <c r="F26" s="211">
        <v>45309.0</v>
      </c>
      <c r="G26" s="226">
        <v>0.041666666666666664</v>
      </c>
      <c r="H26" s="107" t="s">
        <v>354</v>
      </c>
      <c r="I26" s="227" t="s">
        <v>354</v>
      </c>
      <c r="J26" s="227"/>
      <c r="K26" s="115" t="s">
        <v>393</v>
      </c>
      <c r="L26" s="228"/>
      <c r="M26" s="107" t="s">
        <v>386</v>
      </c>
      <c r="N26" s="229">
        <v>195.02</v>
      </c>
      <c r="O26" s="89" t="b">
        <f t="shared" si="1"/>
        <v>1</v>
      </c>
      <c r="P26" s="89" t="b">
        <v>1</v>
      </c>
      <c r="Q26" s="89" t="s">
        <v>212</v>
      </c>
    </row>
    <row r="27" hidden="1">
      <c r="A27" s="108"/>
      <c r="B27" s="202"/>
      <c r="C27" s="202" t="str">
        <f>VLOOKUP(M27,'#verificação horas por projeto'!A:B,2,FALSE)</f>
        <v>INOV00001</v>
      </c>
      <c r="D27" s="202" t="s">
        <v>3</v>
      </c>
      <c r="E27" s="107" t="s">
        <v>122</v>
      </c>
      <c r="F27" s="211">
        <v>45323.0</v>
      </c>
      <c r="G27" s="226">
        <v>0.020833333333333332</v>
      </c>
      <c r="H27" s="107" t="s">
        <v>359</v>
      </c>
      <c r="I27" s="227" t="s">
        <v>359</v>
      </c>
      <c r="J27" s="227"/>
      <c r="K27" s="115" t="s">
        <v>394</v>
      </c>
      <c r="L27" s="228"/>
      <c r="M27" s="107" t="s">
        <v>386</v>
      </c>
      <c r="N27" s="229">
        <v>0.0</v>
      </c>
      <c r="O27" s="89" t="b">
        <f t="shared" si="1"/>
        <v>0</v>
      </c>
      <c r="P27" s="89" t="b">
        <v>1</v>
      </c>
      <c r="Q27" s="89" t="s">
        <v>212</v>
      </c>
    </row>
    <row r="28" hidden="1">
      <c r="A28" s="108"/>
      <c r="B28" s="202"/>
      <c r="C28" s="202" t="str">
        <f>VLOOKUP(M28,'#verificação horas por projeto'!A:B,2,FALSE)</f>
        <v>INOV00045</v>
      </c>
      <c r="D28" s="202" t="s">
        <v>380</v>
      </c>
      <c r="E28" s="107" t="s">
        <v>122</v>
      </c>
      <c r="F28" s="211">
        <v>45324.0</v>
      </c>
      <c r="G28" s="226">
        <v>0.020833333333333332</v>
      </c>
      <c r="H28" s="107" t="s">
        <v>359</v>
      </c>
      <c r="I28" s="227" t="s">
        <v>359</v>
      </c>
      <c r="J28" s="227"/>
      <c r="K28" s="115" t="s">
        <v>395</v>
      </c>
      <c r="L28" s="228"/>
      <c r="M28" s="107" t="s">
        <v>382</v>
      </c>
      <c r="N28" s="229">
        <v>0.0</v>
      </c>
      <c r="O28" s="89" t="b">
        <f t="shared" si="1"/>
        <v>0</v>
      </c>
      <c r="P28" s="89" t="b">
        <v>0</v>
      </c>
      <c r="Q28" s="89" t="s">
        <v>212</v>
      </c>
    </row>
    <row r="29" hidden="1">
      <c r="A29" s="108"/>
      <c r="B29" s="202"/>
      <c r="C29" s="202" t="str">
        <f>VLOOKUP(M29,'#verificação horas por projeto'!A:B,2,FALSE)</f>
        <v>INOV00004</v>
      </c>
      <c r="D29" s="202" t="s">
        <v>4</v>
      </c>
      <c r="E29" s="107" t="s">
        <v>122</v>
      </c>
      <c r="F29" s="211">
        <v>45329.0</v>
      </c>
      <c r="G29" s="226">
        <v>0.041666666666666664</v>
      </c>
      <c r="H29" s="107" t="s">
        <v>359</v>
      </c>
      <c r="I29" s="227" t="s">
        <v>359</v>
      </c>
      <c r="J29" s="227"/>
      <c r="K29" s="115" t="s">
        <v>396</v>
      </c>
      <c r="L29" s="228"/>
      <c r="M29" s="107" t="s">
        <v>397</v>
      </c>
      <c r="N29" s="229">
        <v>0.0</v>
      </c>
      <c r="O29" s="89" t="b">
        <f t="shared" si="1"/>
        <v>0</v>
      </c>
      <c r="P29" s="89" t="b">
        <v>1</v>
      </c>
      <c r="Q29" s="89" t="s">
        <v>212</v>
      </c>
    </row>
    <row r="30" hidden="1">
      <c r="A30" s="108"/>
      <c r="B30" s="202"/>
      <c r="C30" s="202" t="str">
        <f>VLOOKUP(M30,'#verificação horas por projeto'!A:B,2,FALSE)</f>
        <v>INOV00001</v>
      </c>
      <c r="D30" s="202" t="s">
        <v>3</v>
      </c>
      <c r="E30" s="107" t="s">
        <v>122</v>
      </c>
      <c r="F30" s="211">
        <v>45330.0</v>
      </c>
      <c r="G30" s="226">
        <v>0.0625</v>
      </c>
      <c r="H30" s="107" t="s">
        <v>359</v>
      </c>
      <c r="I30" s="227" t="s">
        <v>359</v>
      </c>
      <c r="J30" s="227"/>
      <c r="K30" s="115" t="s">
        <v>398</v>
      </c>
      <c r="L30" s="228"/>
      <c r="M30" s="107" t="s">
        <v>386</v>
      </c>
      <c r="N30" s="229">
        <v>338.72</v>
      </c>
      <c r="O30" s="89" t="b">
        <f t="shared" si="1"/>
        <v>0</v>
      </c>
      <c r="P30" s="89" t="b">
        <v>1</v>
      </c>
      <c r="Q30" s="89" t="s">
        <v>212</v>
      </c>
    </row>
    <row r="31" hidden="1">
      <c r="A31" s="108"/>
      <c r="B31" s="202"/>
      <c r="C31" s="202" t="str">
        <f>VLOOKUP(M31,'#verificação horas por projeto'!A:B,2,FALSE)</f>
        <v>INOV00046</v>
      </c>
      <c r="D31" s="202" t="s">
        <v>29</v>
      </c>
      <c r="E31" s="107" t="s">
        <v>122</v>
      </c>
      <c r="F31" s="211">
        <v>45343.0</v>
      </c>
      <c r="G31" s="226">
        <v>0.041666666666666664</v>
      </c>
      <c r="H31" s="107" t="s">
        <v>356</v>
      </c>
      <c r="I31" s="227" t="s">
        <v>356</v>
      </c>
      <c r="J31" s="227"/>
      <c r="K31" s="115" t="s">
        <v>399</v>
      </c>
      <c r="L31" s="228"/>
      <c r="M31" s="107" t="s">
        <v>373</v>
      </c>
      <c r="N31" s="229">
        <v>0.0</v>
      </c>
      <c r="O31" s="89" t="b">
        <f t="shared" si="1"/>
        <v>1</v>
      </c>
      <c r="P31" s="89" t="b">
        <v>0</v>
      </c>
      <c r="Q31" s="89" t="s">
        <v>212</v>
      </c>
    </row>
    <row r="32" hidden="1">
      <c r="A32" s="108"/>
      <c r="B32" s="202"/>
      <c r="C32" s="202" t="str">
        <f>VLOOKUP(M32,'#verificação horas por projeto'!A:B,2,FALSE)</f>
        <v>INOV00001</v>
      </c>
      <c r="D32" s="202" t="s">
        <v>3</v>
      </c>
      <c r="E32" s="107" t="s">
        <v>122</v>
      </c>
      <c r="F32" s="211">
        <v>45351.0</v>
      </c>
      <c r="G32" s="226">
        <v>0.03125</v>
      </c>
      <c r="H32" s="107" t="s">
        <v>354</v>
      </c>
      <c r="I32" s="227" t="s">
        <v>354</v>
      </c>
      <c r="J32" s="227"/>
      <c r="K32" s="115" t="s">
        <v>400</v>
      </c>
      <c r="L32" s="228"/>
      <c r="M32" s="107" t="s">
        <v>386</v>
      </c>
      <c r="N32" s="229">
        <v>169.36</v>
      </c>
      <c r="O32" s="89" t="b">
        <f t="shared" si="1"/>
        <v>1</v>
      </c>
      <c r="P32" s="89" t="b">
        <v>1</v>
      </c>
      <c r="Q32" s="89" t="s">
        <v>212</v>
      </c>
    </row>
    <row r="33" hidden="1">
      <c r="A33" s="108"/>
      <c r="B33" s="202"/>
      <c r="C33" s="202" t="str">
        <f>VLOOKUP(M33,'#verificação horas por projeto'!A:B,2,FALSE)</f>
        <v>INOV00001</v>
      </c>
      <c r="D33" s="202" t="s">
        <v>3</v>
      </c>
      <c r="E33" s="107" t="s">
        <v>122</v>
      </c>
      <c r="F33" s="211">
        <v>45355.0</v>
      </c>
      <c r="G33" s="226">
        <v>0.041666666666666664</v>
      </c>
      <c r="H33" s="107" t="s">
        <v>356</v>
      </c>
      <c r="I33" s="227" t="s">
        <v>356</v>
      </c>
      <c r="J33" s="227"/>
      <c r="K33" s="115" t="s">
        <v>401</v>
      </c>
      <c r="L33" s="228"/>
      <c r="M33" s="107" t="s">
        <v>386</v>
      </c>
      <c r="N33" s="229">
        <v>214.52</v>
      </c>
      <c r="O33" s="89" t="b">
        <f t="shared" si="1"/>
        <v>1</v>
      </c>
      <c r="P33" s="89" t="b">
        <v>1</v>
      </c>
      <c r="Q33" s="89" t="s">
        <v>212</v>
      </c>
    </row>
    <row r="34" hidden="1">
      <c r="A34" s="108"/>
      <c r="B34" s="202"/>
      <c r="C34" s="202" t="str">
        <f>VLOOKUP(M34,'#verificação horas por projeto'!A:B,2,FALSE)</f>
        <v>INOV00001</v>
      </c>
      <c r="D34" s="202" t="s">
        <v>3</v>
      </c>
      <c r="E34" s="107" t="s">
        <v>122</v>
      </c>
      <c r="F34" s="211">
        <v>45357.0</v>
      </c>
      <c r="G34" s="226">
        <v>0.0625</v>
      </c>
      <c r="H34" s="107" t="s">
        <v>356</v>
      </c>
      <c r="I34" s="227" t="s">
        <v>356</v>
      </c>
      <c r="J34" s="227"/>
      <c r="K34" s="115" t="s">
        <v>402</v>
      </c>
      <c r="L34" s="228"/>
      <c r="M34" s="107" t="s">
        <v>386</v>
      </c>
      <c r="N34" s="229">
        <v>321.78</v>
      </c>
      <c r="O34" s="89" t="b">
        <f t="shared" si="1"/>
        <v>1</v>
      </c>
      <c r="P34" s="89" t="b">
        <v>1</v>
      </c>
      <c r="Q34" s="89" t="s">
        <v>212</v>
      </c>
    </row>
    <row r="35" hidden="1">
      <c r="A35" s="108"/>
      <c r="B35" s="202"/>
      <c r="C35" s="202" t="str">
        <f>VLOOKUP(M35,'#verificação horas por projeto'!A:B,2,FALSE)</f>
        <v>INOV00001</v>
      </c>
      <c r="D35" s="202" t="s">
        <v>3</v>
      </c>
      <c r="E35" s="107" t="s">
        <v>122</v>
      </c>
      <c r="F35" s="211">
        <v>45365.0</v>
      </c>
      <c r="G35" s="226">
        <v>0.041666666666666664</v>
      </c>
      <c r="H35" s="107" t="s">
        <v>359</v>
      </c>
      <c r="I35" s="227" t="s">
        <v>359</v>
      </c>
      <c r="J35" s="227"/>
      <c r="K35" s="115" t="s">
        <v>398</v>
      </c>
      <c r="L35" s="228"/>
      <c r="M35" s="107" t="s">
        <v>386</v>
      </c>
      <c r="N35" s="229">
        <v>214.52</v>
      </c>
      <c r="O35" s="89" t="b">
        <f t="shared" si="1"/>
        <v>0</v>
      </c>
      <c r="P35" s="89" t="b">
        <v>1</v>
      </c>
      <c r="Q35" s="89" t="s">
        <v>212</v>
      </c>
    </row>
    <row r="36" hidden="1">
      <c r="A36" s="108"/>
      <c r="B36" s="202"/>
      <c r="C36" s="202" t="str">
        <f>VLOOKUP(M36,'#verificação horas por projeto'!A:B,2,FALSE)</f>
        <v>INOV00001</v>
      </c>
      <c r="D36" s="202" t="s">
        <v>3</v>
      </c>
      <c r="E36" s="107" t="s">
        <v>146</v>
      </c>
      <c r="F36" s="211">
        <v>45293.0</v>
      </c>
      <c r="G36" s="226">
        <v>0.041666666666666664</v>
      </c>
      <c r="H36" s="107" t="s">
        <v>356</v>
      </c>
      <c r="I36" s="227" t="s">
        <v>356</v>
      </c>
      <c r="J36" s="227"/>
      <c r="K36" s="115" t="s">
        <v>403</v>
      </c>
      <c r="L36" s="228"/>
      <c r="M36" s="107" t="s">
        <v>386</v>
      </c>
      <c r="N36" s="229">
        <v>51.47</v>
      </c>
      <c r="O36" s="89" t="b">
        <f t="shared" si="1"/>
        <v>1</v>
      </c>
      <c r="P36" s="89" t="b">
        <v>1</v>
      </c>
      <c r="Q36" s="89" t="s">
        <v>212</v>
      </c>
    </row>
    <row r="37" hidden="1">
      <c r="A37" s="108"/>
      <c r="B37" s="202"/>
      <c r="C37" s="202" t="str">
        <f>VLOOKUP(M37,'#verificação horas por projeto'!A:B,2,FALSE)</f>
        <v>INOV00001</v>
      </c>
      <c r="D37" s="202" t="s">
        <v>3</v>
      </c>
      <c r="E37" s="107" t="s">
        <v>146</v>
      </c>
      <c r="F37" s="211">
        <v>45296.0</v>
      </c>
      <c r="G37" s="226">
        <v>0.1111111111111111</v>
      </c>
      <c r="H37" s="107" t="s">
        <v>356</v>
      </c>
      <c r="I37" s="227" t="s">
        <v>356</v>
      </c>
      <c r="J37" s="227"/>
      <c r="K37" s="115" t="s">
        <v>404</v>
      </c>
      <c r="L37" s="228"/>
      <c r="M37" s="107" t="s">
        <v>386</v>
      </c>
      <c r="N37" s="229">
        <v>137.24</v>
      </c>
      <c r="O37" s="89" t="b">
        <f t="shared" si="1"/>
        <v>1</v>
      </c>
      <c r="P37" s="89" t="b">
        <v>1</v>
      </c>
      <c r="Q37" s="89" t="s">
        <v>212</v>
      </c>
    </row>
    <row r="38" hidden="1">
      <c r="A38" s="108"/>
      <c r="B38" s="202"/>
      <c r="C38" s="202" t="str">
        <f>VLOOKUP(M38,'#verificação horas por projeto'!A:B,2,FALSE)</f>
        <v>INOV00001</v>
      </c>
      <c r="D38" s="202" t="s">
        <v>3</v>
      </c>
      <c r="E38" s="107" t="s">
        <v>146</v>
      </c>
      <c r="F38" s="211">
        <v>45296.0</v>
      </c>
      <c r="G38" s="226">
        <v>0.041666666666666664</v>
      </c>
      <c r="H38" s="107" t="s">
        <v>354</v>
      </c>
      <c r="I38" s="227" t="s">
        <v>354</v>
      </c>
      <c r="J38" s="227"/>
      <c r="K38" s="115" t="s">
        <v>405</v>
      </c>
      <c r="L38" s="228"/>
      <c r="M38" s="107" t="s">
        <v>386</v>
      </c>
      <c r="N38" s="229">
        <v>51.47</v>
      </c>
      <c r="O38" s="89" t="b">
        <f t="shared" si="1"/>
        <v>1</v>
      </c>
      <c r="P38" s="89" t="b">
        <v>1</v>
      </c>
      <c r="Q38" s="89" t="s">
        <v>212</v>
      </c>
    </row>
    <row r="39" hidden="1">
      <c r="A39" s="108"/>
      <c r="B39" s="202"/>
      <c r="C39" s="202" t="str">
        <f>VLOOKUP(M39,'#verificação horas por projeto'!A:B,2,FALSE)</f>
        <v>INOV00001</v>
      </c>
      <c r="D39" s="202" t="s">
        <v>3</v>
      </c>
      <c r="E39" s="107" t="s">
        <v>146</v>
      </c>
      <c r="F39" s="211">
        <v>45301.0</v>
      </c>
      <c r="G39" s="226">
        <v>0.0625</v>
      </c>
      <c r="H39" s="107" t="s">
        <v>354</v>
      </c>
      <c r="I39" s="227" t="s">
        <v>354</v>
      </c>
      <c r="J39" s="227"/>
      <c r="K39" s="115" t="s">
        <v>406</v>
      </c>
      <c r="L39" s="228"/>
      <c r="M39" s="107" t="s">
        <v>386</v>
      </c>
      <c r="N39" s="229">
        <v>77.2</v>
      </c>
      <c r="O39" s="89" t="b">
        <f t="shared" si="1"/>
        <v>1</v>
      </c>
      <c r="P39" s="89" t="b">
        <v>1</v>
      </c>
      <c r="Q39" s="89" t="s">
        <v>212</v>
      </c>
    </row>
    <row r="40" hidden="1">
      <c r="A40" s="108"/>
      <c r="B40" s="202"/>
      <c r="C40" s="202" t="str">
        <f>VLOOKUP(M40,'#verificação horas por projeto'!A:B,2,FALSE)</f>
        <v>INOV00041</v>
      </c>
      <c r="D40" s="202" t="s">
        <v>28</v>
      </c>
      <c r="E40" s="107" t="s">
        <v>146</v>
      </c>
      <c r="F40" s="211">
        <v>45301.0</v>
      </c>
      <c r="G40" s="226">
        <v>0.0625</v>
      </c>
      <c r="H40" s="107" t="s">
        <v>354</v>
      </c>
      <c r="I40" s="227" t="s">
        <v>354</v>
      </c>
      <c r="J40" s="227"/>
      <c r="K40" s="115" t="s">
        <v>407</v>
      </c>
      <c r="L40" s="228"/>
      <c r="M40" s="107" t="s">
        <v>408</v>
      </c>
      <c r="N40" s="229">
        <v>77.2</v>
      </c>
      <c r="O40" s="89" t="b">
        <f t="shared" si="1"/>
        <v>1</v>
      </c>
      <c r="P40" s="89" t="b">
        <v>1</v>
      </c>
      <c r="Q40" s="89" t="s">
        <v>212</v>
      </c>
    </row>
    <row r="41" hidden="1">
      <c r="A41" s="108"/>
      <c r="B41" s="202"/>
      <c r="C41" s="202" t="str">
        <f>VLOOKUP(M41,'#verificação horas por projeto'!A:B,2,FALSE)</f>
        <v>INOV00016</v>
      </c>
      <c r="D41" s="202" t="s">
        <v>9</v>
      </c>
      <c r="E41" s="107" t="s">
        <v>146</v>
      </c>
      <c r="F41" s="211">
        <v>45306.0</v>
      </c>
      <c r="G41" s="226">
        <v>0.3125</v>
      </c>
      <c r="H41" s="107" t="s">
        <v>359</v>
      </c>
      <c r="I41" s="227" t="s">
        <v>359</v>
      </c>
      <c r="J41" s="227"/>
      <c r="K41" s="115" t="s">
        <v>409</v>
      </c>
      <c r="L41" s="228"/>
      <c r="M41" s="107" t="s">
        <v>410</v>
      </c>
      <c r="N41" s="229">
        <v>0.0</v>
      </c>
      <c r="O41" s="89" t="b">
        <f t="shared" si="1"/>
        <v>0</v>
      </c>
      <c r="P41" s="89" t="b">
        <v>1</v>
      </c>
      <c r="Q41" s="89" t="s">
        <v>212</v>
      </c>
    </row>
    <row r="42" hidden="1">
      <c r="A42" s="108"/>
      <c r="B42" s="202"/>
      <c r="C42" s="202" t="str">
        <f>VLOOKUP(M42,'#verificação horas por projeto'!A:B,2,FALSE)</f>
        <v>INOV00001</v>
      </c>
      <c r="D42" s="202" t="s">
        <v>3</v>
      </c>
      <c r="E42" s="107" t="s">
        <v>146</v>
      </c>
      <c r="F42" s="211">
        <v>45308.0</v>
      </c>
      <c r="G42" s="226">
        <v>0.020833333333333332</v>
      </c>
      <c r="H42" s="107" t="s">
        <v>353</v>
      </c>
      <c r="I42" s="227" t="s">
        <v>353</v>
      </c>
      <c r="J42" s="227"/>
      <c r="K42" s="115" t="s">
        <v>411</v>
      </c>
      <c r="L42" s="228"/>
      <c r="M42" s="107" t="s">
        <v>386</v>
      </c>
      <c r="N42" s="229">
        <v>25.73</v>
      </c>
      <c r="O42" s="89" t="b">
        <f t="shared" si="1"/>
        <v>1</v>
      </c>
      <c r="P42" s="89" t="b">
        <v>1</v>
      </c>
      <c r="Q42" s="89" t="s">
        <v>212</v>
      </c>
    </row>
    <row r="43" hidden="1">
      <c r="A43" s="108"/>
      <c r="B43" s="202"/>
      <c r="C43" s="202" t="str">
        <f>VLOOKUP(M43,'#verificação horas por projeto'!A:B,2,FALSE)</f>
        <v>INOV00001</v>
      </c>
      <c r="D43" s="202" t="s">
        <v>3</v>
      </c>
      <c r="E43" s="107" t="s">
        <v>146</v>
      </c>
      <c r="F43" s="211">
        <v>45309.0</v>
      </c>
      <c r="G43" s="226">
        <v>0.03125</v>
      </c>
      <c r="H43" s="107" t="s">
        <v>354</v>
      </c>
      <c r="I43" s="227" t="s">
        <v>354</v>
      </c>
      <c r="J43" s="227"/>
      <c r="K43" s="115" t="s">
        <v>412</v>
      </c>
      <c r="L43" s="228"/>
      <c r="M43" s="107" t="s">
        <v>386</v>
      </c>
      <c r="N43" s="229">
        <v>38.6</v>
      </c>
      <c r="O43" s="89" t="b">
        <f t="shared" si="1"/>
        <v>1</v>
      </c>
      <c r="P43" s="89" t="b">
        <v>1</v>
      </c>
      <c r="Q43" s="89" t="s">
        <v>212</v>
      </c>
    </row>
    <row r="44" hidden="1">
      <c r="A44" s="108"/>
      <c r="B44" s="202"/>
      <c r="C44" s="202" t="str">
        <f>VLOOKUP(M44,'#verificação horas por projeto'!A:B,2,FALSE)</f>
        <v>INOV00016</v>
      </c>
      <c r="D44" s="202" t="s">
        <v>9</v>
      </c>
      <c r="E44" s="107" t="s">
        <v>146</v>
      </c>
      <c r="F44" s="211">
        <v>45309.0</v>
      </c>
      <c r="G44" s="226">
        <v>0.125</v>
      </c>
      <c r="H44" s="107" t="s">
        <v>356</v>
      </c>
      <c r="I44" s="227" t="s">
        <v>356</v>
      </c>
      <c r="J44" s="227"/>
      <c r="K44" s="115" t="s">
        <v>413</v>
      </c>
      <c r="L44" s="228"/>
      <c r="M44" s="107" t="s">
        <v>410</v>
      </c>
      <c r="N44" s="229">
        <v>154.4</v>
      </c>
      <c r="O44" s="89" t="b">
        <f t="shared" si="1"/>
        <v>1</v>
      </c>
      <c r="P44" s="89" t="b">
        <v>1</v>
      </c>
      <c r="Q44" s="89" t="s">
        <v>212</v>
      </c>
    </row>
    <row r="45" hidden="1">
      <c r="A45" s="108"/>
      <c r="B45" s="202"/>
      <c r="C45" s="202" t="str">
        <f>VLOOKUP(M45,'#verificação horas por projeto'!A:B,2,FALSE)</f>
        <v>INOV00016</v>
      </c>
      <c r="D45" s="202" t="s">
        <v>9</v>
      </c>
      <c r="E45" s="107" t="s">
        <v>146</v>
      </c>
      <c r="F45" s="211">
        <v>45310.0</v>
      </c>
      <c r="G45" s="226">
        <v>0.20833333333333334</v>
      </c>
      <c r="H45" s="107" t="s">
        <v>359</v>
      </c>
      <c r="I45" s="227" t="s">
        <v>359</v>
      </c>
      <c r="J45" s="227"/>
      <c r="K45" s="115" t="s">
        <v>414</v>
      </c>
      <c r="L45" s="228"/>
      <c r="M45" s="107" t="s">
        <v>410</v>
      </c>
      <c r="N45" s="229">
        <v>0.0</v>
      </c>
      <c r="O45" s="89" t="b">
        <f t="shared" si="1"/>
        <v>0</v>
      </c>
      <c r="P45" s="89" t="b">
        <v>1</v>
      </c>
      <c r="Q45" s="89" t="s">
        <v>212</v>
      </c>
    </row>
    <row r="46" hidden="1">
      <c r="A46" s="108"/>
      <c r="B46" s="202"/>
      <c r="C46" s="202" t="str">
        <f>VLOOKUP(M46,'#verificação horas por projeto'!A:B,2,FALSE)</f>
        <v>INOV00001</v>
      </c>
      <c r="D46" s="202" t="s">
        <v>3</v>
      </c>
      <c r="E46" s="107" t="s">
        <v>146</v>
      </c>
      <c r="F46" s="211">
        <v>45315.0</v>
      </c>
      <c r="G46" s="226">
        <v>0.020833333333333332</v>
      </c>
      <c r="H46" s="107" t="s">
        <v>356</v>
      </c>
      <c r="I46" s="227" t="s">
        <v>356</v>
      </c>
      <c r="J46" s="227"/>
      <c r="K46" s="115" t="s">
        <v>415</v>
      </c>
      <c r="L46" s="228"/>
      <c r="M46" s="107" t="s">
        <v>386</v>
      </c>
      <c r="N46" s="229">
        <v>25.73</v>
      </c>
      <c r="O46" s="89" t="b">
        <f t="shared" si="1"/>
        <v>1</v>
      </c>
      <c r="P46" s="89" t="b">
        <v>1</v>
      </c>
      <c r="Q46" s="89" t="s">
        <v>212</v>
      </c>
    </row>
    <row r="47" hidden="1">
      <c r="A47" s="108"/>
      <c r="B47" s="202"/>
      <c r="C47" s="202" t="str">
        <f>VLOOKUP(M47,'#verificação horas por projeto'!A:B,2,FALSE)</f>
        <v>INOV00041</v>
      </c>
      <c r="D47" s="202" t="s">
        <v>28</v>
      </c>
      <c r="E47" s="107" t="s">
        <v>146</v>
      </c>
      <c r="F47" s="211">
        <v>45322.0</v>
      </c>
      <c r="G47" s="226">
        <v>0.020833333333333332</v>
      </c>
      <c r="H47" s="107" t="s">
        <v>356</v>
      </c>
      <c r="I47" s="227" t="s">
        <v>356</v>
      </c>
      <c r="J47" s="227"/>
      <c r="K47" s="115" t="s">
        <v>416</v>
      </c>
      <c r="L47" s="228"/>
      <c r="M47" s="107" t="s">
        <v>408</v>
      </c>
      <c r="N47" s="229">
        <v>25.73</v>
      </c>
      <c r="O47" s="89" t="b">
        <f t="shared" si="1"/>
        <v>1</v>
      </c>
      <c r="P47" s="89" t="b">
        <v>1</v>
      </c>
      <c r="Q47" s="89" t="s">
        <v>212</v>
      </c>
    </row>
    <row r="48" hidden="1">
      <c r="A48" s="108"/>
      <c r="B48" s="202"/>
      <c r="C48" s="202" t="str">
        <f>VLOOKUP(M48,'#verificação horas por projeto'!A:B,2,FALSE)</f>
        <v>INOV00001</v>
      </c>
      <c r="D48" s="202" t="s">
        <v>3</v>
      </c>
      <c r="E48" s="107" t="s">
        <v>146</v>
      </c>
      <c r="F48" s="211">
        <v>45323.0</v>
      </c>
      <c r="G48" s="226">
        <v>0.020833333333333332</v>
      </c>
      <c r="H48" s="107" t="s">
        <v>356</v>
      </c>
      <c r="I48" s="227" t="s">
        <v>356</v>
      </c>
      <c r="J48" s="227"/>
      <c r="K48" s="115" t="s">
        <v>415</v>
      </c>
      <c r="L48" s="228"/>
      <c r="M48" s="107" t="s">
        <v>386</v>
      </c>
      <c r="N48" s="229">
        <v>29.8</v>
      </c>
      <c r="O48" s="89" t="b">
        <f t="shared" si="1"/>
        <v>1</v>
      </c>
      <c r="P48" s="89" t="b">
        <v>1</v>
      </c>
      <c r="Q48" s="89" t="s">
        <v>212</v>
      </c>
    </row>
    <row r="49" hidden="1">
      <c r="A49" s="108"/>
      <c r="B49" s="202"/>
      <c r="C49" s="202" t="str">
        <f>VLOOKUP(M49,'#verificação horas por projeto'!A:B,2,FALSE)</f>
        <v>INOV00001</v>
      </c>
      <c r="D49" s="202" t="s">
        <v>3</v>
      </c>
      <c r="E49" s="107" t="s">
        <v>146</v>
      </c>
      <c r="F49" s="211">
        <v>45323.0</v>
      </c>
      <c r="G49" s="226">
        <v>0.020833333333333332</v>
      </c>
      <c r="H49" s="107" t="s">
        <v>356</v>
      </c>
      <c r="I49" s="227" t="s">
        <v>356</v>
      </c>
      <c r="J49" s="227"/>
      <c r="K49" s="115" t="s">
        <v>415</v>
      </c>
      <c r="L49" s="228"/>
      <c r="M49" s="107" t="s">
        <v>386</v>
      </c>
      <c r="N49" s="229">
        <v>29.8</v>
      </c>
      <c r="O49" s="89" t="b">
        <f t="shared" si="1"/>
        <v>1</v>
      </c>
      <c r="P49" s="89" t="b">
        <v>1</v>
      </c>
      <c r="Q49" s="89" t="s">
        <v>212</v>
      </c>
    </row>
    <row r="50" hidden="1">
      <c r="A50" s="108"/>
      <c r="B50" s="202"/>
      <c r="C50" s="202" t="str">
        <f>VLOOKUP(M50,'#verificação horas por projeto'!A:B,2,FALSE)</f>
        <v>INOV00001</v>
      </c>
      <c r="D50" s="202" t="s">
        <v>3</v>
      </c>
      <c r="E50" s="107" t="s">
        <v>146</v>
      </c>
      <c r="F50" s="211">
        <v>45329.0</v>
      </c>
      <c r="G50" s="226">
        <v>0.020833333333333332</v>
      </c>
      <c r="H50" s="107" t="s">
        <v>359</v>
      </c>
      <c r="I50" s="227" t="s">
        <v>359</v>
      </c>
      <c r="J50" s="227"/>
      <c r="K50" s="115"/>
      <c r="L50" s="228"/>
      <c r="M50" s="107" t="s">
        <v>386</v>
      </c>
      <c r="N50" s="229">
        <v>0.0</v>
      </c>
      <c r="O50" s="89" t="b">
        <f t="shared" si="1"/>
        <v>0</v>
      </c>
      <c r="P50" s="89" t="b">
        <v>1</v>
      </c>
      <c r="Q50" s="89" t="s">
        <v>212</v>
      </c>
    </row>
    <row r="51" hidden="1">
      <c r="A51" s="108"/>
      <c r="B51" s="202"/>
      <c r="C51" s="202" t="str">
        <f>VLOOKUP(M51,'#verificação horas por projeto'!A:B,2,FALSE)</f>
        <v>INOV00001</v>
      </c>
      <c r="D51" s="202" t="s">
        <v>3</v>
      </c>
      <c r="E51" s="107" t="s">
        <v>146</v>
      </c>
      <c r="F51" s="211">
        <v>45341.0</v>
      </c>
      <c r="G51" s="226">
        <v>0.5208333333333334</v>
      </c>
      <c r="H51" s="107" t="s">
        <v>359</v>
      </c>
      <c r="I51" s="227" t="s">
        <v>359</v>
      </c>
      <c r="J51" s="227"/>
      <c r="K51" s="115" t="s">
        <v>417</v>
      </c>
      <c r="L51" s="228"/>
      <c r="M51" s="107" t="s">
        <v>386</v>
      </c>
      <c r="N51" s="229">
        <v>0.0</v>
      </c>
      <c r="O51" s="89" t="b">
        <f t="shared" si="1"/>
        <v>0</v>
      </c>
      <c r="P51" s="89" t="b">
        <v>1</v>
      </c>
      <c r="Q51" s="89" t="s">
        <v>212</v>
      </c>
    </row>
    <row r="52" hidden="1">
      <c r="A52" s="108"/>
      <c r="B52" s="202"/>
      <c r="C52" s="202" t="str">
        <f>VLOOKUP(M52,'#verificação horas por projeto'!A:B,2,FALSE)</f>
        <v>INOV00001</v>
      </c>
      <c r="D52" s="202" t="s">
        <v>3</v>
      </c>
      <c r="E52" s="107" t="s">
        <v>146</v>
      </c>
      <c r="F52" s="211">
        <v>45348.0</v>
      </c>
      <c r="G52" s="226">
        <v>0.4375</v>
      </c>
      <c r="H52" s="107" t="s">
        <v>356</v>
      </c>
      <c r="I52" s="227" t="s">
        <v>356</v>
      </c>
      <c r="J52" s="227"/>
      <c r="K52" s="115" t="s">
        <v>418</v>
      </c>
      <c r="L52" s="228"/>
      <c r="M52" s="107" t="s">
        <v>386</v>
      </c>
      <c r="N52" s="229">
        <v>625.71</v>
      </c>
      <c r="O52" s="89" t="b">
        <f t="shared" si="1"/>
        <v>1</v>
      </c>
      <c r="P52" s="89" t="b">
        <v>1</v>
      </c>
      <c r="Q52" s="89" t="s">
        <v>212</v>
      </c>
    </row>
    <row r="53" hidden="1">
      <c r="A53" s="108"/>
      <c r="B53" s="202"/>
      <c r="C53" s="202" t="str">
        <f>VLOOKUP(M53,'#verificação horas por projeto'!A:B,2,FALSE)</f>
        <v>INOV00001</v>
      </c>
      <c r="D53" s="202" t="s">
        <v>3</v>
      </c>
      <c r="E53" s="107" t="s">
        <v>146</v>
      </c>
      <c r="F53" s="211">
        <v>45349.0</v>
      </c>
      <c r="G53" s="226">
        <v>0.4375</v>
      </c>
      <c r="H53" s="107" t="s">
        <v>356</v>
      </c>
      <c r="I53" s="227" t="s">
        <v>356</v>
      </c>
      <c r="J53" s="227"/>
      <c r="K53" s="115" t="s">
        <v>419</v>
      </c>
      <c r="L53" s="228"/>
      <c r="M53" s="107" t="s">
        <v>386</v>
      </c>
      <c r="N53" s="229">
        <v>625.71</v>
      </c>
      <c r="O53" s="89" t="b">
        <f t="shared" si="1"/>
        <v>1</v>
      </c>
      <c r="P53" s="89" t="b">
        <v>1</v>
      </c>
      <c r="Q53" s="89" t="s">
        <v>212</v>
      </c>
    </row>
    <row r="54" hidden="1">
      <c r="A54" s="108"/>
      <c r="B54" s="202"/>
      <c r="C54" s="202" t="str">
        <f>VLOOKUP(M54,'#verificação horas por projeto'!A:B,2,FALSE)</f>
        <v>INOV00001</v>
      </c>
      <c r="D54" s="202" t="s">
        <v>3</v>
      </c>
      <c r="E54" s="107" t="s">
        <v>146</v>
      </c>
      <c r="F54" s="211">
        <v>45350.0</v>
      </c>
      <c r="G54" s="226">
        <v>0.6458333333333334</v>
      </c>
      <c r="H54" s="107" t="s">
        <v>356</v>
      </c>
      <c r="I54" s="227" t="s">
        <v>356</v>
      </c>
      <c r="J54" s="227"/>
      <c r="K54" s="115" t="s">
        <v>419</v>
      </c>
      <c r="L54" s="228"/>
      <c r="M54" s="107" t="s">
        <v>386</v>
      </c>
      <c r="N54" s="229">
        <v>923.67</v>
      </c>
      <c r="O54" s="89" t="b">
        <f t="shared" si="1"/>
        <v>1</v>
      </c>
      <c r="P54" s="89" t="b">
        <v>1</v>
      </c>
      <c r="Q54" s="89" t="s">
        <v>212</v>
      </c>
    </row>
    <row r="55" hidden="1">
      <c r="A55" s="108"/>
      <c r="B55" s="202"/>
      <c r="C55" s="202" t="str">
        <f>VLOOKUP(M55,'#verificação horas por projeto'!A:B,2,FALSE)</f>
        <v>INOV00001</v>
      </c>
      <c r="D55" s="202" t="s">
        <v>3</v>
      </c>
      <c r="E55" s="107" t="s">
        <v>146</v>
      </c>
      <c r="F55" s="211">
        <v>45351.0</v>
      </c>
      <c r="G55" s="226">
        <v>0.3333333333333333</v>
      </c>
      <c r="H55" s="107" t="s">
        <v>356</v>
      </c>
      <c r="I55" s="227" t="s">
        <v>356</v>
      </c>
      <c r="J55" s="227"/>
      <c r="K55" s="115" t="s">
        <v>419</v>
      </c>
      <c r="L55" s="228"/>
      <c r="M55" s="107" t="s">
        <v>386</v>
      </c>
      <c r="N55" s="229">
        <v>476.73</v>
      </c>
      <c r="O55" s="89" t="b">
        <f t="shared" si="1"/>
        <v>1</v>
      </c>
      <c r="P55" s="89" t="b">
        <v>1</v>
      </c>
      <c r="Q55" s="89" t="s">
        <v>212</v>
      </c>
    </row>
    <row r="56" hidden="1">
      <c r="A56" s="108"/>
      <c r="B56" s="202"/>
      <c r="C56" s="202" t="str">
        <f>VLOOKUP(M56,'#verificação horas por projeto'!A:B,2,FALSE)</f>
        <v>INOV00001</v>
      </c>
      <c r="D56" s="202" t="s">
        <v>3</v>
      </c>
      <c r="E56" s="107" t="s">
        <v>146</v>
      </c>
      <c r="F56" s="211">
        <v>45352.0</v>
      </c>
      <c r="G56" s="226">
        <v>0.4583333333333333</v>
      </c>
      <c r="H56" s="107" t="s">
        <v>359</v>
      </c>
      <c r="I56" s="227" t="s">
        <v>359</v>
      </c>
      <c r="J56" s="227"/>
      <c r="K56" s="115" t="s">
        <v>420</v>
      </c>
      <c r="L56" s="228"/>
      <c r="M56" s="107" t="s">
        <v>386</v>
      </c>
      <c r="N56" s="229">
        <v>0.0</v>
      </c>
      <c r="O56" s="89" t="b">
        <f t="shared" si="1"/>
        <v>0</v>
      </c>
      <c r="P56" s="89" t="b">
        <v>1</v>
      </c>
      <c r="Q56" s="89" t="s">
        <v>212</v>
      </c>
    </row>
    <row r="57" hidden="1">
      <c r="A57" s="108"/>
      <c r="B57" s="202"/>
      <c r="C57" s="202" t="str">
        <f>VLOOKUP(M57,'#verificação horas por projeto'!A:B,2,FALSE)</f>
        <v>INOV00001</v>
      </c>
      <c r="D57" s="202" t="s">
        <v>3</v>
      </c>
      <c r="E57" s="107" t="s">
        <v>146</v>
      </c>
      <c r="F57" s="211">
        <v>45356.0</v>
      </c>
      <c r="G57" s="226">
        <v>0.25</v>
      </c>
      <c r="H57" s="107" t="s">
        <v>356</v>
      </c>
      <c r="I57" s="227" t="s">
        <v>356</v>
      </c>
      <c r="J57" s="227"/>
      <c r="K57" s="115" t="s">
        <v>421</v>
      </c>
      <c r="L57" s="228"/>
      <c r="M57" s="107" t="s">
        <v>386</v>
      </c>
      <c r="N57" s="229">
        <v>339.67</v>
      </c>
      <c r="O57" s="89" t="b">
        <f t="shared" si="1"/>
        <v>1</v>
      </c>
      <c r="P57" s="89" t="b">
        <v>1</v>
      </c>
      <c r="Q57" s="89" t="s">
        <v>212</v>
      </c>
    </row>
    <row r="58" hidden="1">
      <c r="A58" s="108"/>
      <c r="B58" s="202"/>
      <c r="C58" s="202" t="str">
        <f>VLOOKUP(M58,'#verificação horas por projeto'!A:B,2,FALSE)</f>
        <v>INOV00001</v>
      </c>
      <c r="D58" s="202" t="s">
        <v>3</v>
      </c>
      <c r="E58" s="107" t="s">
        <v>146</v>
      </c>
      <c r="F58" s="211">
        <v>45357.0</v>
      </c>
      <c r="G58" s="226">
        <v>0.041666666666666664</v>
      </c>
      <c r="H58" s="107" t="s">
        <v>356</v>
      </c>
      <c r="I58" s="227" t="s">
        <v>356</v>
      </c>
      <c r="J58" s="227"/>
      <c r="K58" s="115" t="s">
        <v>422</v>
      </c>
      <c r="L58" s="228"/>
      <c r="M58" s="107" t="s">
        <v>386</v>
      </c>
      <c r="N58" s="229">
        <v>56.61</v>
      </c>
      <c r="O58" s="89" t="b">
        <f t="shared" si="1"/>
        <v>1</v>
      </c>
      <c r="P58" s="89" t="b">
        <v>1</v>
      </c>
      <c r="Q58" s="89" t="s">
        <v>212</v>
      </c>
    </row>
    <row r="59" hidden="1">
      <c r="A59" s="108"/>
      <c r="B59" s="202"/>
      <c r="C59" s="202" t="str">
        <f>VLOOKUP(M59,'#verificação horas por projeto'!A:B,2,FALSE)</f>
        <v>INOV00001</v>
      </c>
      <c r="D59" s="202" t="s">
        <v>3</v>
      </c>
      <c r="E59" s="107" t="s">
        <v>146</v>
      </c>
      <c r="F59" s="211">
        <v>45357.0</v>
      </c>
      <c r="G59" s="226">
        <v>0.0625</v>
      </c>
      <c r="H59" s="107" t="s">
        <v>356</v>
      </c>
      <c r="I59" s="227" t="s">
        <v>356</v>
      </c>
      <c r="J59" s="227"/>
      <c r="K59" s="115" t="s">
        <v>423</v>
      </c>
      <c r="L59" s="228"/>
      <c r="M59" s="107" t="s">
        <v>386</v>
      </c>
      <c r="N59" s="229">
        <v>84.92</v>
      </c>
      <c r="O59" s="89" t="b">
        <f t="shared" si="1"/>
        <v>1</v>
      </c>
      <c r="P59" s="89" t="b">
        <v>1</v>
      </c>
      <c r="Q59" s="89" t="s">
        <v>212</v>
      </c>
    </row>
    <row r="60" hidden="1">
      <c r="A60" s="108"/>
      <c r="B60" s="202"/>
      <c r="C60" s="202" t="str">
        <f>VLOOKUP(M60,'#verificação horas por projeto'!A:B,2,FALSE)</f>
        <v>INOV00006</v>
      </c>
      <c r="D60" s="202" t="s">
        <v>5</v>
      </c>
      <c r="E60" s="107" t="s">
        <v>126</v>
      </c>
      <c r="F60" s="211">
        <v>45293.0</v>
      </c>
      <c r="G60" s="226">
        <v>0.16666666666666666</v>
      </c>
      <c r="H60" s="107" t="s">
        <v>356</v>
      </c>
      <c r="I60" s="227" t="s">
        <v>356</v>
      </c>
      <c r="J60" s="227"/>
      <c r="K60" s="115" t="s">
        <v>424</v>
      </c>
      <c r="L60" s="228"/>
      <c r="M60" s="107" t="s">
        <v>379</v>
      </c>
      <c r="N60" s="229">
        <v>163.42</v>
      </c>
      <c r="O60" s="89" t="b">
        <f t="shared" si="1"/>
        <v>1</v>
      </c>
      <c r="P60" s="89" t="b">
        <v>1</v>
      </c>
      <c r="Q60" s="89" t="s">
        <v>212</v>
      </c>
    </row>
    <row r="61" hidden="1">
      <c r="A61" s="108"/>
      <c r="B61" s="202"/>
      <c r="C61" s="202" t="str">
        <f>VLOOKUP(M61,'#verificação horas por projeto'!A:B,2,FALSE)</f>
        <v>INOV00035</v>
      </c>
      <c r="D61" s="202" t="s">
        <v>23</v>
      </c>
      <c r="E61" s="107" t="s">
        <v>126</v>
      </c>
      <c r="F61" s="211">
        <v>45294.0</v>
      </c>
      <c r="G61" s="226">
        <v>0.08333333333333333</v>
      </c>
      <c r="H61" s="107" t="s">
        <v>354</v>
      </c>
      <c r="I61" s="227" t="s">
        <v>354</v>
      </c>
      <c r="J61" s="227"/>
      <c r="K61" s="115" t="s">
        <v>425</v>
      </c>
      <c r="L61" s="228"/>
      <c r="M61" s="107" t="s">
        <v>426</v>
      </c>
      <c r="N61" s="229">
        <v>81.71</v>
      </c>
      <c r="O61" s="89" t="b">
        <f t="shared" si="1"/>
        <v>1</v>
      </c>
      <c r="P61" s="89" t="b">
        <v>1</v>
      </c>
      <c r="Q61" s="89" t="s">
        <v>212</v>
      </c>
    </row>
    <row r="62" hidden="1">
      <c r="A62" s="108"/>
      <c r="B62" s="202"/>
      <c r="C62" s="202" t="str">
        <f>VLOOKUP(M62,'#verificação horas por projeto'!A:B,2,FALSE)</f>
        <v>INOV00024</v>
      </c>
      <c r="D62" s="202" t="s">
        <v>14</v>
      </c>
      <c r="E62" s="107" t="s">
        <v>126</v>
      </c>
      <c r="F62" s="211">
        <v>45294.0</v>
      </c>
      <c r="G62" s="226">
        <v>0.041666666666666664</v>
      </c>
      <c r="H62" s="107" t="s">
        <v>354</v>
      </c>
      <c r="I62" s="227" t="s">
        <v>354</v>
      </c>
      <c r="J62" s="227"/>
      <c r="K62" s="115" t="s">
        <v>427</v>
      </c>
      <c r="L62" s="228"/>
      <c r="M62" s="107" t="s">
        <v>428</v>
      </c>
      <c r="N62" s="229">
        <v>40.86</v>
      </c>
      <c r="O62" s="89" t="b">
        <f t="shared" si="1"/>
        <v>1</v>
      </c>
      <c r="P62" s="89" t="b">
        <v>1</v>
      </c>
      <c r="Q62" s="89" t="s">
        <v>212</v>
      </c>
    </row>
    <row r="63" hidden="1">
      <c r="A63" s="108"/>
      <c r="B63" s="202"/>
      <c r="C63" s="202" t="str">
        <f>VLOOKUP(M63,'#verificação horas por projeto'!A:B,2,FALSE)</f>
        <v>INOV00046</v>
      </c>
      <c r="D63" s="202" t="s">
        <v>29</v>
      </c>
      <c r="E63" s="107" t="s">
        <v>126</v>
      </c>
      <c r="F63" s="211">
        <v>45294.0</v>
      </c>
      <c r="G63" s="226">
        <v>0.08333333333333333</v>
      </c>
      <c r="H63" s="107" t="s">
        <v>356</v>
      </c>
      <c r="I63" s="227" t="s">
        <v>356</v>
      </c>
      <c r="J63" s="227"/>
      <c r="K63" s="115" t="s">
        <v>429</v>
      </c>
      <c r="L63" s="228"/>
      <c r="M63" s="107" t="s">
        <v>373</v>
      </c>
      <c r="N63" s="229">
        <v>0.0</v>
      </c>
      <c r="O63" s="89" t="b">
        <f t="shared" si="1"/>
        <v>1</v>
      </c>
      <c r="P63" s="89" t="b">
        <v>0</v>
      </c>
      <c r="Q63" s="89" t="s">
        <v>212</v>
      </c>
    </row>
    <row r="64" hidden="1">
      <c r="A64" s="108"/>
      <c r="B64" s="202"/>
      <c r="C64" s="202" t="str">
        <f>VLOOKUP(M64,'#verificação horas por projeto'!A:B,2,FALSE)</f>
        <v>INOV00035</v>
      </c>
      <c r="D64" s="202" t="s">
        <v>23</v>
      </c>
      <c r="E64" s="107" t="s">
        <v>126</v>
      </c>
      <c r="F64" s="211">
        <v>45295.0</v>
      </c>
      <c r="G64" s="226">
        <v>0.125</v>
      </c>
      <c r="H64" s="107" t="s">
        <v>354</v>
      </c>
      <c r="I64" s="227" t="s">
        <v>354</v>
      </c>
      <c r="J64" s="227"/>
      <c r="K64" s="115" t="s">
        <v>425</v>
      </c>
      <c r="L64" s="228"/>
      <c r="M64" s="107" t="s">
        <v>426</v>
      </c>
      <c r="N64" s="229">
        <v>122.57</v>
      </c>
      <c r="O64" s="89" t="b">
        <f t="shared" si="1"/>
        <v>1</v>
      </c>
      <c r="P64" s="89" t="b">
        <v>1</v>
      </c>
      <c r="Q64" s="89" t="s">
        <v>212</v>
      </c>
    </row>
    <row r="65" hidden="1">
      <c r="A65" s="108"/>
      <c r="B65" s="202"/>
      <c r="C65" s="202" t="str">
        <f>VLOOKUP(M65,'#verificação horas por projeto'!A:B,2,FALSE)</f>
        <v>INOV00029</v>
      </c>
      <c r="D65" s="202" t="s">
        <v>19</v>
      </c>
      <c r="E65" s="107" t="s">
        <v>126</v>
      </c>
      <c r="F65" s="211">
        <v>45296.0</v>
      </c>
      <c r="G65" s="226">
        <v>0.08333333333333333</v>
      </c>
      <c r="H65" s="107" t="s">
        <v>354</v>
      </c>
      <c r="I65" s="227" t="s">
        <v>354</v>
      </c>
      <c r="J65" s="227"/>
      <c r="K65" s="115" t="s">
        <v>430</v>
      </c>
      <c r="L65" s="228"/>
      <c r="M65" s="107" t="s">
        <v>431</v>
      </c>
      <c r="N65" s="229">
        <v>81.71</v>
      </c>
      <c r="O65" s="89" t="b">
        <f t="shared" si="1"/>
        <v>1</v>
      </c>
      <c r="P65" s="89" t="b">
        <v>1</v>
      </c>
      <c r="Q65" s="89" t="s">
        <v>212</v>
      </c>
    </row>
    <row r="66" hidden="1">
      <c r="A66" s="108"/>
      <c r="B66" s="202"/>
      <c r="C66" s="202" t="str">
        <f>VLOOKUP(M66,'#verificação horas por projeto'!A:B,2,FALSE)</f>
        <v>INOV00046</v>
      </c>
      <c r="D66" s="202" t="s">
        <v>29</v>
      </c>
      <c r="E66" s="107" t="s">
        <v>126</v>
      </c>
      <c r="F66" s="211">
        <v>45299.0</v>
      </c>
      <c r="G66" s="226">
        <v>0.08333333333333333</v>
      </c>
      <c r="H66" s="107" t="s">
        <v>356</v>
      </c>
      <c r="I66" s="227" t="s">
        <v>356</v>
      </c>
      <c r="J66" s="227"/>
      <c r="K66" s="115" t="s">
        <v>429</v>
      </c>
      <c r="L66" s="228"/>
      <c r="M66" s="107" t="s">
        <v>373</v>
      </c>
      <c r="N66" s="229">
        <v>0.0</v>
      </c>
      <c r="O66" s="89" t="b">
        <f t="shared" si="1"/>
        <v>1</v>
      </c>
      <c r="P66" s="89" t="b">
        <v>0</v>
      </c>
      <c r="Q66" s="89" t="s">
        <v>212</v>
      </c>
    </row>
    <row r="67" hidden="1">
      <c r="A67" s="108"/>
      <c r="B67" s="202"/>
      <c r="C67" s="202" t="str">
        <f>VLOOKUP(M67,'#verificação horas por projeto'!A:B,2,FALSE)</f>
        <v>INOV00024</v>
      </c>
      <c r="D67" s="202" t="s">
        <v>14</v>
      </c>
      <c r="E67" s="107" t="s">
        <v>126</v>
      </c>
      <c r="F67" s="211">
        <v>45299.0</v>
      </c>
      <c r="G67" s="226">
        <v>0.041666666666666664</v>
      </c>
      <c r="H67" s="107" t="s">
        <v>354</v>
      </c>
      <c r="I67" s="227" t="s">
        <v>354</v>
      </c>
      <c r="J67" s="227"/>
      <c r="K67" s="115" t="s">
        <v>427</v>
      </c>
      <c r="L67" s="228"/>
      <c r="M67" s="107" t="s">
        <v>428</v>
      </c>
      <c r="N67" s="229">
        <v>40.86</v>
      </c>
      <c r="O67" s="89" t="b">
        <f t="shared" si="1"/>
        <v>1</v>
      </c>
      <c r="P67" s="89" t="b">
        <v>1</v>
      </c>
      <c r="Q67" s="89" t="s">
        <v>212</v>
      </c>
    </row>
    <row r="68" hidden="1">
      <c r="A68" s="108"/>
      <c r="B68" s="202"/>
      <c r="C68" s="202" t="str">
        <f>VLOOKUP(M68,'#verificação horas por projeto'!A:B,2,FALSE)</f>
        <v>INOV00046</v>
      </c>
      <c r="D68" s="202" t="s">
        <v>29</v>
      </c>
      <c r="E68" s="107" t="s">
        <v>126</v>
      </c>
      <c r="F68" s="211">
        <v>45300.0</v>
      </c>
      <c r="G68" s="226">
        <v>0.08333333333333333</v>
      </c>
      <c r="H68" s="107" t="s">
        <v>356</v>
      </c>
      <c r="I68" s="227" t="s">
        <v>356</v>
      </c>
      <c r="J68" s="227"/>
      <c r="K68" s="115" t="s">
        <v>429</v>
      </c>
      <c r="L68" s="228"/>
      <c r="M68" s="107" t="s">
        <v>373</v>
      </c>
      <c r="N68" s="229">
        <v>0.0</v>
      </c>
      <c r="O68" s="89" t="b">
        <f t="shared" si="1"/>
        <v>1</v>
      </c>
      <c r="P68" s="89" t="b">
        <v>0</v>
      </c>
      <c r="Q68" s="89" t="s">
        <v>212</v>
      </c>
    </row>
    <row r="69" hidden="1">
      <c r="A69" s="108"/>
      <c r="B69" s="202"/>
      <c r="C69" s="202" t="str">
        <f>VLOOKUP(M69,'#verificação horas por projeto'!A:B,2,FALSE)</f>
        <v>INOV00024</v>
      </c>
      <c r="D69" s="202" t="s">
        <v>14</v>
      </c>
      <c r="E69" s="107" t="s">
        <v>126</v>
      </c>
      <c r="F69" s="211">
        <v>45300.0</v>
      </c>
      <c r="G69" s="226">
        <v>0.041666666666666664</v>
      </c>
      <c r="H69" s="107" t="s">
        <v>354</v>
      </c>
      <c r="I69" s="227" t="s">
        <v>354</v>
      </c>
      <c r="J69" s="227"/>
      <c r="K69" s="115" t="s">
        <v>427</v>
      </c>
      <c r="L69" s="228"/>
      <c r="M69" s="107" t="s">
        <v>428</v>
      </c>
      <c r="N69" s="229">
        <v>40.86</v>
      </c>
      <c r="O69" s="89" t="b">
        <f t="shared" si="1"/>
        <v>1</v>
      </c>
      <c r="P69" s="89" t="b">
        <v>1</v>
      </c>
      <c r="Q69" s="89" t="s">
        <v>212</v>
      </c>
    </row>
    <row r="70" hidden="1">
      <c r="A70" s="108"/>
      <c r="B70" s="202"/>
      <c r="C70" s="202" t="str">
        <f>VLOOKUP(M70,'#verificação horas por projeto'!A:B,2,FALSE)</f>
        <v>INOV00006</v>
      </c>
      <c r="D70" s="202" t="s">
        <v>5</v>
      </c>
      <c r="E70" s="107" t="s">
        <v>126</v>
      </c>
      <c r="F70" s="211">
        <v>45301.0</v>
      </c>
      <c r="G70" s="226">
        <v>0.20833333333333334</v>
      </c>
      <c r="H70" s="107" t="s">
        <v>356</v>
      </c>
      <c r="I70" s="227" t="s">
        <v>356</v>
      </c>
      <c r="J70" s="227"/>
      <c r="K70" s="115" t="s">
        <v>424</v>
      </c>
      <c r="L70" s="228"/>
      <c r="M70" s="107" t="s">
        <v>379</v>
      </c>
      <c r="N70" s="229">
        <v>204.28</v>
      </c>
      <c r="O70" s="89" t="b">
        <f t="shared" si="1"/>
        <v>1</v>
      </c>
      <c r="P70" s="89" t="b">
        <v>1</v>
      </c>
      <c r="Q70" s="89" t="s">
        <v>212</v>
      </c>
    </row>
    <row r="71" hidden="1">
      <c r="A71" s="108"/>
      <c r="B71" s="202"/>
      <c r="C71" s="202" t="str">
        <f>VLOOKUP(M71,'#verificação horas por projeto'!A:B,2,FALSE)</f>
        <v>INOV00035</v>
      </c>
      <c r="D71" s="202" t="s">
        <v>23</v>
      </c>
      <c r="E71" s="107" t="s">
        <v>126</v>
      </c>
      <c r="F71" s="211">
        <v>45302.0</v>
      </c>
      <c r="G71" s="226">
        <v>0.125</v>
      </c>
      <c r="H71" s="107" t="s">
        <v>354</v>
      </c>
      <c r="I71" s="227" t="s">
        <v>354</v>
      </c>
      <c r="J71" s="227"/>
      <c r="K71" s="115" t="s">
        <v>425</v>
      </c>
      <c r="L71" s="228"/>
      <c r="M71" s="107" t="s">
        <v>426</v>
      </c>
      <c r="N71" s="229">
        <v>122.57</v>
      </c>
      <c r="O71" s="89" t="b">
        <f t="shared" si="1"/>
        <v>1</v>
      </c>
      <c r="P71" s="89" t="b">
        <v>1</v>
      </c>
      <c r="Q71" s="89" t="s">
        <v>212</v>
      </c>
    </row>
    <row r="72" hidden="1">
      <c r="A72" s="108"/>
      <c r="B72" s="202"/>
      <c r="C72" s="202" t="str">
        <f>VLOOKUP(M72,'#verificação horas por projeto'!A:B,2,FALSE)</f>
        <v>INOV00006</v>
      </c>
      <c r="D72" s="202" t="s">
        <v>5</v>
      </c>
      <c r="E72" s="107" t="s">
        <v>126</v>
      </c>
      <c r="F72" s="211">
        <v>45307.0</v>
      </c>
      <c r="G72" s="226">
        <v>0.125</v>
      </c>
      <c r="H72" s="107" t="s">
        <v>356</v>
      </c>
      <c r="I72" s="227" t="s">
        <v>356</v>
      </c>
      <c r="J72" s="227"/>
      <c r="K72" s="115" t="s">
        <v>424</v>
      </c>
      <c r="L72" s="228"/>
      <c r="M72" s="107" t="s">
        <v>379</v>
      </c>
      <c r="N72" s="229">
        <v>122.57</v>
      </c>
      <c r="O72" s="89" t="b">
        <f t="shared" si="1"/>
        <v>1</v>
      </c>
      <c r="P72" s="89" t="b">
        <v>1</v>
      </c>
      <c r="Q72" s="89" t="s">
        <v>212</v>
      </c>
    </row>
    <row r="73" hidden="1">
      <c r="A73" s="108"/>
      <c r="B73" s="202"/>
      <c r="C73" s="202" t="str">
        <f>VLOOKUP(M73,'#verificação horas por projeto'!A:B,2,FALSE)</f>
        <v>INOV00006</v>
      </c>
      <c r="D73" s="202" t="s">
        <v>5</v>
      </c>
      <c r="E73" s="107" t="s">
        <v>126</v>
      </c>
      <c r="F73" s="211">
        <v>45308.0</v>
      </c>
      <c r="G73" s="226">
        <v>0.125</v>
      </c>
      <c r="H73" s="107" t="s">
        <v>356</v>
      </c>
      <c r="I73" s="227" t="s">
        <v>356</v>
      </c>
      <c r="J73" s="227"/>
      <c r="K73" s="115" t="s">
        <v>424</v>
      </c>
      <c r="L73" s="228"/>
      <c r="M73" s="107" t="s">
        <v>379</v>
      </c>
      <c r="N73" s="229">
        <v>122.57</v>
      </c>
      <c r="O73" s="89" t="b">
        <f t="shared" si="1"/>
        <v>1</v>
      </c>
      <c r="P73" s="89" t="b">
        <v>1</v>
      </c>
      <c r="Q73" s="89" t="s">
        <v>212</v>
      </c>
    </row>
    <row r="74" hidden="1">
      <c r="A74" s="108"/>
      <c r="B74" s="202"/>
      <c r="C74" s="202" t="str">
        <f>VLOOKUP(M74,'#verificação horas por projeto'!A:B,2,FALSE)</f>
        <v>INOV00006</v>
      </c>
      <c r="D74" s="202" t="s">
        <v>5</v>
      </c>
      <c r="E74" s="107" t="s">
        <v>126</v>
      </c>
      <c r="F74" s="211">
        <v>45309.0</v>
      </c>
      <c r="G74" s="226">
        <v>0.125</v>
      </c>
      <c r="H74" s="107" t="s">
        <v>356</v>
      </c>
      <c r="I74" s="227" t="s">
        <v>356</v>
      </c>
      <c r="J74" s="227"/>
      <c r="K74" s="115" t="s">
        <v>424</v>
      </c>
      <c r="L74" s="228"/>
      <c r="M74" s="107" t="s">
        <v>379</v>
      </c>
      <c r="N74" s="229">
        <v>122.57</v>
      </c>
      <c r="O74" s="89" t="b">
        <f t="shared" si="1"/>
        <v>1</v>
      </c>
      <c r="P74" s="89" t="b">
        <v>1</v>
      </c>
      <c r="Q74" s="89" t="s">
        <v>212</v>
      </c>
    </row>
    <row r="75" hidden="1">
      <c r="A75" s="108"/>
      <c r="B75" s="202"/>
      <c r="C75" s="202" t="str">
        <f>VLOOKUP(M75,'#verificação horas por projeto'!A:B,2,FALSE)</f>
        <v>INOV00006</v>
      </c>
      <c r="D75" s="202" t="s">
        <v>5</v>
      </c>
      <c r="E75" s="107" t="s">
        <v>126</v>
      </c>
      <c r="F75" s="211">
        <v>45310.0</v>
      </c>
      <c r="G75" s="226">
        <v>0.041666666666666664</v>
      </c>
      <c r="H75" s="107" t="s">
        <v>356</v>
      </c>
      <c r="I75" s="227" t="s">
        <v>356</v>
      </c>
      <c r="J75" s="227"/>
      <c r="K75" s="115" t="s">
        <v>424</v>
      </c>
      <c r="L75" s="228"/>
      <c r="M75" s="107" t="s">
        <v>379</v>
      </c>
      <c r="N75" s="229">
        <v>40.86</v>
      </c>
      <c r="O75" s="89" t="b">
        <f t="shared" si="1"/>
        <v>1</v>
      </c>
      <c r="P75" s="89" t="b">
        <v>1</v>
      </c>
      <c r="Q75" s="89" t="s">
        <v>212</v>
      </c>
    </row>
    <row r="76" hidden="1">
      <c r="A76" s="108"/>
      <c r="B76" s="202"/>
      <c r="C76" s="202" t="str">
        <f>VLOOKUP(M76,'#verificação horas por projeto'!A:B,2,FALSE)</f>
        <v>INOV00046</v>
      </c>
      <c r="D76" s="202" t="s">
        <v>29</v>
      </c>
      <c r="E76" s="107" t="s">
        <v>126</v>
      </c>
      <c r="F76" s="211">
        <v>45311.0</v>
      </c>
      <c r="G76" s="226">
        <v>0.08333333333333333</v>
      </c>
      <c r="H76" s="107" t="s">
        <v>356</v>
      </c>
      <c r="I76" s="227" t="s">
        <v>356</v>
      </c>
      <c r="J76" s="227"/>
      <c r="K76" s="115" t="s">
        <v>429</v>
      </c>
      <c r="L76" s="228"/>
      <c r="M76" s="107" t="s">
        <v>373</v>
      </c>
      <c r="N76" s="229">
        <v>0.0</v>
      </c>
      <c r="O76" s="89" t="b">
        <f t="shared" si="1"/>
        <v>1</v>
      </c>
      <c r="P76" s="89" t="b">
        <v>0</v>
      </c>
      <c r="Q76" s="89" t="s">
        <v>212</v>
      </c>
    </row>
    <row r="77" hidden="1">
      <c r="A77" s="108"/>
      <c r="B77" s="202"/>
      <c r="C77" s="202" t="str">
        <f>VLOOKUP(M77,'#verificação horas por projeto'!A:B,2,FALSE)</f>
        <v>INOV00017</v>
      </c>
      <c r="D77" s="202" t="s">
        <v>10</v>
      </c>
      <c r="E77" s="107" t="s">
        <v>126</v>
      </c>
      <c r="F77" s="211">
        <v>45313.0</v>
      </c>
      <c r="G77" s="226">
        <v>0.08333333333333333</v>
      </c>
      <c r="H77" s="107" t="s">
        <v>356</v>
      </c>
      <c r="I77" s="227" t="s">
        <v>356</v>
      </c>
      <c r="J77" s="227"/>
      <c r="K77" s="115" t="s">
        <v>424</v>
      </c>
      <c r="L77" s="228"/>
      <c r="M77" s="107" t="s">
        <v>389</v>
      </c>
      <c r="N77" s="229">
        <v>81.71</v>
      </c>
      <c r="O77" s="89" t="b">
        <f t="shared" si="1"/>
        <v>1</v>
      </c>
      <c r="P77" s="89" t="b">
        <v>1</v>
      </c>
      <c r="Q77" s="89" t="s">
        <v>212</v>
      </c>
    </row>
    <row r="78" hidden="1">
      <c r="A78" s="108"/>
      <c r="B78" s="202"/>
      <c r="C78" s="202" t="str">
        <f>VLOOKUP(M78,'#verificação horas por projeto'!A:B,2,FALSE)</f>
        <v>INOV00004</v>
      </c>
      <c r="D78" s="202" t="s">
        <v>4</v>
      </c>
      <c r="E78" s="107" t="s">
        <v>126</v>
      </c>
      <c r="F78" s="211">
        <v>45314.0</v>
      </c>
      <c r="G78" s="226">
        <v>0.16666666666666666</v>
      </c>
      <c r="H78" s="107" t="s">
        <v>356</v>
      </c>
      <c r="I78" s="227" t="s">
        <v>356</v>
      </c>
      <c r="J78" s="227"/>
      <c r="K78" s="115" t="s">
        <v>424</v>
      </c>
      <c r="L78" s="228"/>
      <c r="M78" s="107" t="s">
        <v>397</v>
      </c>
      <c r="N78" s="229">
        <v>163.42</v>
      </c>
      <c r="O78" s="89" t="b">
        <f t="shared" si="1"/>
        <v>1</v>
      </c>
      <c r="P78" s="89" t="b">
        <v>1</v>
      </c>
      <c r="Q78" s="89" t="s">
        <v>212</v>
      </c>
    </row>
    <row r="79" hidden="1">
      <c r="A79" s="108"/>
      <c r="B79" s="202"/>
      <c r="C79" s="202" t="str">
        <f>VLOOKUP(M79,'#verificação horas por projeto'!A:B,2,FALSE)</f>
        <v>INOV00029</v>
      </c>
      <c r="D79" s="202" t="s">
        <v>19</v>
      </c>
      <c r="E79" s="107" t="s">
        <v>126</v>
      </c>
      <c r="F79" s="211">
        <v>45314.0</v>
      </c>
      <c r="G79" s="226">
        <v>0.08333333333333333</v>
      </c>
      <c r="H79" s="107" t="s">
        <v>354</v>
      </c>
      <c r="I79" s="227" t="s">
        <v>354</v>
      </c>
      <c r="J79" s="227"/>
      <c r="K79" s="115" t="s">
        <v>430</v>
      </c>
      <c r="L79" s="228"/>
      <c r="M79" s="107" t="s">
        <v>431</v>
      </c>
      <c r="N79" s="229">
        <v>81.71</v>
      </c>
      <c r="O79" s="89" t="b">
        <f t="shared" si="1"/>
        <v>1</v>
      </c>
      <c r="P79" s="89" t="b">
        <v>1</v>
      </c>
      <c r="Q79" s="89" t="s">
        <v>212</v>
      </c>
    </row>
    <row r="80" hidden="1">
      <c r="A80" s="108"/>
      <c r="B80" s="202"/>
      <c r="C80" s="202" t="str">
        <f>VLOOKUP(M80,'#verificação horas por projeto'!A:B,2,FALSE)</f>
        <v>INOV00024</v>
      </c>
      <c r="D80" s="202" t="s">
        <v>14</v>
      </c>
      <c r="E80" s="107" t="s">
        <v>126</v>
      </c>
      <c r="F80" s="211">
        <v>45315.0</v>
      </c>
      <c r="G80" s="226">
        <v>0.125</v>
      </c>
      <c r="H80" s="107" t="s">
        <v>354</v>
      </c>
      <c r="I80" s="227" t="s">
        <v>354</v>
      </c>
      <c r="J80" s="227"/>
      <c r="K80" s="115" t="s">
        <v>427</v>
      </c>
      <c r="L80" s="228"/>
      <c r="M80" s="107" t="s">
        <v>428</v>
      </c>
      <c r="N80" s="229">
        <v>122.57</v>
      </c>
      <c r="O80" s="89" t="b">
        <f t="shared" si="1"/>
        <v>1</v>
      </c>
      <c r="P80" s="89" t="b">
        <v>1</v>
      </c>
      <c r="Q80" s="89" t="s">
        <v>212</v>
      </c>
    </row>
    <row r="81" hidden="1">
      <c r="A81" s="108"/>
      <c r="B81" s="202"/>
      <c r="C81" s="202" t="str">
        <f>VLOOKUP(M81,'#verificação horas por projeto'!A:B,2,FALSE)</f>
        <v>INOV00006</v>
      </c>
      <c r="D81" s="202" t="s">
        <v>5</v>
      </c>
      <c r="E81" s="107" t="s">
        <v>126</v>
      </c>
      <c r="F81" s="211">
        <v>45317.0</v>
      </c>
      <c r="G81" s="226">
        <v>0.08333333333333333</v>
      </c>
      <c r="H81" s="107" t="s">
        <v>356</v>
      </c>
      <c r="I81" s="227" t="s">
        <v>356</v>
      </c>
      <c r="J81" s="227"/>
      <c r="K81" s="115" t="s">
        <v>424</v>
      </c>
      <c r="L81" s="228"/>
      <c r="M81" s="107" t="s">
        <v>379</v>
      </c>
      <c r="N81" s="229">
        <v>81.71</v>
      </c>
      <c r="O81" s="89" t="b">
        <f t="shared" si="1"/>
        <v>1</v>
      </c>
      <c r="P81" s="89" t="b">
        <v>1</v>
      </c>
      <c r="Q81" s="89" t="s">
        <v>212</v>
      </c>
    </row>
    <row r="82" hidden="1">
      <c r="A82" s="108"/>
      <c r="B82" s="202"/>
      <c r="C82" s="202" t="str">
        <f>VLOOKUP(M82,'#verificação horas por projeto'!A:B,2,FALSE)</f>
        <v>INOV00046</v>
      </c>
      <c r="D82" s="202" t="s">
        <v>29</v>
      </c>
      <c r="E82" s="107" t="s">
        <v>126</v>
      </c>
      <c r="F82" s="211">
        <v>45318.0</v>
      </c>
      <c r="G82" s="226">
        <v>0.125</v>
      </c>
      <c r="H82" s="107" t="s">
        <v>356</v>
      </c>
      <c r="I82" s="227" t="s">
        <v>356</v>
      </c>
      <c r="J82" s="227"/>
      <c r="K82" s="115" t="s">
        <v>429</v>
      </c>
      <c r="L82" s="228"/>
      <c r="M82" s="107" t="s">
        <v>373</v>
      </c>
      <c r="N82" s="229">
        <v>0.0</v>
      </c>
      <c r="O82" s="89" t="b">
        <f t="shared" si="1"/>
        <v>1</v>
      </c>
      <c r="P82" s="89" t="b">
        <v>0</v>
      </c>
      <c r="Q82" s="89" t="s">
        <v>212</v>
      </c>
    </row>
    <row r="83" hidden="1">
      <c r="A83" s="108"/>
      <c r="B83" s="202"/>
      <c r="C83" s="202" t="str">
        <f>VLOOKUP(M83,'#verificação horas por projeto'!A:B,2,FALSE)</f>
        <v>INOV00046</v>
      </c>
      <c r="D83" s="202" t="s">
        <v>29</v>
      </c>
      <c r="E83" s="107" t="s">
        <v>126</v>
      </c>
      <c r="F83" s="211">
        <v>45320.0</v>
      </c>
      <c r="G83" s="226">
        <v>0.08333333333333333</v>
      </c>
      <c r="H83" s="107" t="s">
        <v>356</v>
      </c>
      <c r="I83" s="227" t="s">
        <v>356</v>
      </c>
      <c r="J83" s="227"/>
      <c r="K83" s="115" t="s">
        <v>429</v>
      </c>
      <c r="L83" s="228"/>
      <c r="M83" s="107" t="s">
        <v>373</v>
      </c>
      <c r="N83" s="229">
        <v>0.0</v>
      </c>
      <c r="O83" s="89" t="b">
        <f t="shared" si="1"/>
        <v>1</v>
      </c>
      <c r="P83" s="89" t="b">
        <v>0</v>
      </c>
      <c r="Q83" s="89" t="s">
        <v>212</v>
      </c>
    </row>
    <row r="84" hidden="1">
      <c r="A84" s="108"/>
      <c r="B84" s="202"/>
      <c r="C84" s="202" t="str">
        <f>VLOOKUP(M84,'#verificação horas por projeto'!A:B,2,FALSE)</f>
        <v>INOV00028</v>
      </c>
      <c r="D84" s="202" t="s">
        <v>247</v>
      </c>
      <c r="E84" s="107" t="s">
        <v>134</v>
      </c>
      <c r="F84" s="211">
        <v>45293.0</v>
      </c>
      <c r="G84" s="226">
        <v>0.20833333333333334</v>
      </c>
      <c r="H84" s="107" t="s">
        <v>356</v>
      </c>
      <c r="I84" s="227" t="s">
        <v>356</v>
      </c>
      <c r="J84" s="227"/>
      <c r="K84" s="115" t="s">
        <v>432</v>
      </c>
      <c r="L84" s="228"/>
      <c r="M84" s="107" t="s">
        <v>433</v>
      </c>
      <c r="N84" s="229">
        <v>0.0</v>
      </c>
      <c r="O84" s="89" t="b">
        <f t="shared" si="1"/>
        <v>1</v>
      </c>
      <c r="P84" s="89" t="b">
        <v>0</v>
      </c>
      <c r="Q84" s="89" t="s">
        <v>212</v>
      </c>
    </row>
    <row r="85" hidden="1">
      <c r="A85" s="108"/>
      <c r="B85" s="202"/>
      <c r="C85" s="202" t="str">
        <f>VLOOKUP(M85,'#verificação horas por projeto'!A:B,2,FALSE)</f>
        <v>INOV00028</v>
      </c>
      <c r="D85" s="202" t="s">
        <v>247</v>
      </c>
      <c r="E85" s="107" t="s">
        <v>134</v>
      </c>
      <c r="F85" s="211">
        <v>45294.0</v>
      </c>
      <c r="G85" s="226">
        <v>0.125</v>
      </c>
      <c r="H85" s="107" t="s">
        <v>356</v>
      </c>
      <c r="I85" s="227" t="s">
        <v>356</v>
      </c>
      <c r="J85" s="227"/>
      <c r="K85" s="115" t="s">
        <v>434</v>
      </c>
      <c r="L85" s="228"/>
      <c r="M85" s="107" t="s">
        <v>433</v>
      </c>
      <c r="N85" s="229">
        <v>0.0</v>
      </c>
      <c r="O85" s="89" t="b">
        <f t="shared" si="1"/>
        <v>1</v>
      </c>
      <c r="P85" s="89" t="b">
        <v>0</v>
      </c>
      <c r="Q85" s="89" t="s">
        <v>212</v>
      </c>
    </row>
    <row r="86" hidden="1">
      <c r="A86" s="108"/>
      <c r="B86" s="202"/>
      <c r="C86" s="202" t="str">
        <f>VLOOKUP(M86,'#verificação horas por projeto'!A:B,2,FALSE)</f>
        <v>INOV00006</v>
      </c>
      <c r="D86" s="202" t="s">
        <v>5</v>
      </c>
      <c r="E86" s="107" t="s">
        <v>134</v>
      </c>
      <c r="F86" s="211">
        <v>45295.0</v>
      </c>
      <c r="G86" s="226">
        <v>0.40625</v>
      </c>
      <c r="H86" s="107" t="s">
        <v>354</v>
      </c>
      <c r="I86" s="227" t="s">
        <v>354</v>
      </c>
      <c r="J86" s="227"/>
      <c r="K86" s="115" t="s">
        <v>435</v>
      </c>
      <c r="L86" s="228"/>
      <c r="M86" s="107" t="s">
        <v>379</v>
      </c>
      <c r="N86" s="229">
        <v>778.57</v>
      </c>
      <c r="O86" s="89" t="b">
        <f t="shared" si="1"/>
        <v>1</v>
      </c>
      <c r="P86" s="89" t="b">
        <v>1</v>
      </c>
      <c r="Q86" s="89" t="s">
        <v>212</v>
      </c>
    </row>
    <row r="87" hidden="1">
      <c r="A87" s="108"/>
      <c r="B87" s="202"/>
      <c r="C87" s="202" t="str">
        <f>VLOOKUP(M87,'#verificação horas por projeto'!A:B,2,FALSE)</f>
        <v>INOV00016</v>
      </c>
      <c r="D87" s="202" t="s">
        <v>9</v>
      </c>
      <c r="E87" s="107" t="s">
        <v>134</v>
      </c>
      <c r="F87" s="211">
        <v>45296.0</v>
      </c>
      <c r="G87" s="226">
        <v>0.40625</v>
      </c>
      <c r="H87" s="107" t="s">
        <v>356</v>
      </c>
      <c r="I87" s="227" t="s">
        <v>356</v>
      </c>
      <c r="J87" s="227"/>
      <c r="K87" s="115" t="s">
        <v>436</v>
      </c>
      <c r="L87" s="228"/>
      <c r="M87" s="107" t="s">
        <v>410</v>
      </c>
      <c r="N87" s="229">
        <v>778.57</v>
      </c>
      <c r="O87" s="89" t="b">
        <f t="shared" si="1"/>
        <v>1</v>
      </c>
      <c r="P87" s="89" t="b">
        <v>1</v>
      </c>
      <c r="Q87" s="89" t="s">
        <v>212</v>
      </c>
    </row>
    <row r="88" hidden="1">
      <c r="A88" s="108"/>
      <c r="B88" s="202"/>
      <c r="C88" s="202" t="str">
        <f>VLOOKUP(M88,'#verificação horas por projeto'!A:B,2,FALSE)</f>
        <v>INOV00016</v>
      </c>
      <c r="D88" s="202" t="s">
        <v>9</v>
      </c>
      <c r="E88" s="107" t="s">
        <v>134</v>
      </c>
      <c r="F88" s="211">
        <v>45299.0</v>
      </c>
      <c r="G88" s="226">
        <v>0.14583333333333334</v>
      </c>
      <c r="H88" s="107" t="s">
        <v>356</v>
      </c>
      <c r="I88" s="227" t="s">
        <v>356</v>
      </c>
      <c r="J88" s="227"/>
      <c r="K88" s="115" t="s">
        <v>437</v>
      </c>
      <c r="L88" s="228"/>
      <c r="M88" s="107" t="s">
        <v>410</v>
      </c>
      <c r="N88" s="229">
        <v>279.49</v>
      </c>
      <c r="O88" s="89" t="b">
        <f t="shared" si="1"/>
        <v>1</v>
      </c>
      <c r="P88" s="89" t="b">
        <v>1</v>
      </c>
      <c r="Q88" s="89" t="s">
        <v>212</v>
      </c>
    </row>
    <row r="89" hidden="1">
      <c r="A89" s="108"/>
      <c r="B89" s="202"/>
      <c r="C89" s="202" t="str">
        <f>VLOOKUP(M89,'#verificação horas por projeto'!A:B,2,FALSE)</f>
        <v>INOV00044</v>
      </c>
      <c r="D89" s="202" t="s">
        <v>374</v>
      </c>
      <c r="E89" s="107" t="s">
        <v>134</v>
      </c>
      <c r="F89" s="211">
        <v>45301.0</v>
      </c>
      <c r="G89" s="226">
        <v>0.08333333333333333</v>
      </c>
      <c r="H89" s="107" t="s">
        <v>356</v>
      </c>
      <c r="I89" s="227" t="s">
        <v>356</v>
      </c>
      <c r="J89" s="227"/>
      <c r="K89" s="115" t="s">
        <v>438</v>
      </c>
      <c r="L89" s="228"/>
      <c r="M89" s="107" t="s">
        <v>376</v>
      </c>
      <c r="N89" s="229">
        <v>0.0</v>
      </c>
      <c r="O89" s="89" t="b">
        <f t="shared" si="1"/>
        <v>1</v>
      </c>
      <c r="P89" s="89" t="b">
        <v>0</v>
      </c>
      <c r="Q89" s="89" t="s">
        <v>212</v>
      </c>
    </row>
    <row r="90" hidden="1">
      <c r="A90" s="108"/>
      <c r="B90" s="202"/>
      <c r="C90" s="202" t="str">
        <f>VLOOKUP(M90,'#verificação horas por projeto'!A:B,2,FALSE)</f>
        <v>INOV00001</v>
      </c>
      <c r="D90" s="202" t="s">
        <v>3</v>
      </c>
      <c r="E90" s="107" t="s">
        <v>134</v>
      </c>
      <c r="F90" s="211">
        <v>45317.0</v>
      </c>
      <c r="G90" s="226">
        <v>0.08333333333333333</v>
      </c>
      <c r="H90" s="107" t="s">
        <v>356</v>
      </c>
      <c r="I90" s="227" t="s">
        <v>356</v>
      </c>
      <c r="J90" s="227"/>
      <c r="K90" s="115" t="s">
        <v>439</v>
      </c>
      <c r="L90" s="228"/>
      <c r="M90" s="107" t="s">
        <v>386</v>
      </c>
      <c r="N90" s="229">
        <v>159.71</v>
      </c>
      <c r="O90" s="89" t="b">
        <f t="shared" si="1"/>
        <v>1</v>
      </c>
      <c r="P90" s="89" t="b">
        <v>1</v>
      </c>
      <c r="Q90" s="89" t="s">
        <v>212</v>
      </c>
    </row>
    <row r="91" hidden="1">
      <c r="A91" s="108"/>
      <c r="B91" s="202"/>
      <c r="C91" s="202" t="str">
        <f>VLOOKUP(M91,'#verificação horas por projeto'!A:B,2,FALSE)</f>
        <v>INOV00017</v>
      </c>
      <c r="D91" s="202" t="s">
        <v>10</v>
      </c>
      <c r="E91" s="107" t="s">
        <v>134</v>
      </c>
      <c r="F91" s="211">
        <v>45317.0</v>
      </c>
      <c r="G91" s="226">
        <v>0.020833333333333332</v>
      </c>
      <c r="H91" s="107" t="s">
        <v>356</v>
      </c>
      <c r="I91" s="227" t="s">
        <v>356</v>
      </c>
      <c r="J91" s="227"/>
      <c r="K91" s="115" t="s">
        <v>440</v>
      </c>
      <c r="L91" s="228"/>
      <c r="M91" s="107" t="s">
        <v>389</v>
      </c>
      <c r="N91" s="229">
        <v>39.93</v>
      </c>
      <c r="O91" s="89" t="b">
        <f t="shared" si="1"/>
        <v>1</v>
      </c>
      <c r="P91" s="89" t="b">
        <v>1</v>
      </c>
      <c r="Q91" s="89" t="s">
        <v>212</v>
      </c>
    </row>
    <row r="92" hidden="1">
      <c r="A92" s="108"/>
      <c r="B92" s="202"/>
      <c r="C92" s="202" t="str">
        <f>VLOOKUP(M92,'#verificação horas por projeto'!A:B,2,FALSE)</f>
        <v>INOV00016</v>
      </c>
      <c r="D92" s="202" t="s">
        <v>9</v>
      </c>
      <c r="E92" s="107" t="s">
        <v>134</v>
      </c>
      <c r="F92" s="211">
        <v>45317.0</v>
      </c>
      <c r="G92" s="226">
        <v>0.020833333333333332</v>
      </c>
      <c r="H92" s="107" t="s">
        <v>356</v>
      </c>
      <c r="I92" s="227" t="s">
        <v>356</v>
      </c>
      <c r="J92" s="227"/>
      <c r="K92" s="115" t="s">
        <v>440</v>
      </c>
      <c r="L92" s="228"/>
      <c r="M92" s="107" t="s">
        <v>410</v>
      </c>
      <c r="N92" s="229">
        <v>39.93</v>
      </c>
      <c r="O92" s="89" t="b">
        <f t="shared" si="1"/>
        <v>1</v>
      </c>
      <c r="P92" s="89" t="b">
        <v>1</v>
      </c>
      <c r="Q92" s="89" t="s">
        <v>212</v>
      </c>
    </row>
    <row r="93" hidden="1">
      <c r="A93" s="108"/>
      <c r="B93" s="202"/>
      <c r="C93" s="202" t="str">
        <f>VLOOKUP(M93,'#verificação horas por projeto'!A:B,2,FALSE)</f>
        <v>INOV00014</v>
      </c>
      <c r="D93" s="202" t="s">
        <v>8</v>
      </c>
      <c r="E93" s="107" t="s">
        <v>134</v>
      </c>
      <c r="F93" s="211">
        <v>45317.0</v>
      </c>
      <c r="G93" s="226">
        <v>0.020833333333333332</v>
      </c>
      <c r="H93" s="107" t="s">
        <v>356</v>
      </c>
      <c r="I93" s="227" t="s">
        <v>356</v>
      </c>
      <c r="J93" s="227"/>
      <c r="K93" s="115" t="s">
        <v>440</v>
      </c>
      <c r="L93" s="228"/>
      <c r="M93" s="107" t="s">
        <v>441</v>
      </c>
      <c r="N93" s="229">
        <v>39.93</v>
      </c>
      <c r="O93" s="89" t="b">
        <f t="shared" si="1"/>
        <v>1</v>
      </c>
      <c r="P93" s="89" t="b">
        <v>1</v>
      </c>
      <c r="Q93" s="89" t="s">
        <v>212</v>
      </c>
    </row>
    <row r="94" hidden="1">
      <c r="A94" s="108"/>
      <c r="B94" s="202"/>
      <c r="C94" s="202" t="str">
        <f>VLOOKUP(M94,'#verificação horas por projeto'!A:B,2,FALSE)</f>
        <v>INOV00044</v>
      </c>
      <c r="D94" s="202" t="s">
        <v>374</v>
      </c>
      <c r="E94" s="107" t="s">
        <v>134</v>
      </c>
      <c r="F94" s="211">
        <v>45317.0</v>
      </c>
      <c r="G94" s="226">
        <v>0.020833333333333332</v>
      </c>
      <c r="H94" s="107" t="s">
        <v>356</v>
      </c>
      <c r="I94" s="227" t="s">
        <v>356</v>
      </c>
      <c r="J94" s="227"/>
      <c r="K94" s="115" t="s">
        <v>440</v>
      </c>
      <c r="L94" s="228"/>
      <c r="M94" s="107" t="s">
        <v>376</v>
      </c>
      <c r="N94" s="229">
        <v>0.0</v>
      </c>
      <c r="O94" s="89" t="b">
        <f t="shared" si="1"/>
        <v>1</v>
      </c>
      <c r="P94" s="89" t="b">
        <v>0</v>
      </c>
      <c r="Q94" s="89" t="s">
        <v>212</v>
      </c>
    </row>
    <row r="95" hidden="1">
      <c r="A95" s="108"/>
      <c r="B95" s="202"/>
      <c r="C95" s="202" t="str">
        <f>VLOOKUP(M95,'#verificação horas por projeto'!A:B,2,FALSE)</f>
        <v>INOV00001</v>
      </c>
      <c r="D95" s="202" t="s">
        <v>3</v>
      </c>
      <c r="E95" s="107" t="s">
        <v>134</v>
      </c>
      <c r="F95" s="211">
        <v>45320.0</v>
      </c>
      <c r="G95" s="226">
        <v>0.08333333333333333</v>
      </c>
      <c r="H95" s="107" t="s">
        <v>356</v>
      </c>
      <c r="I95" s="227" t="s">
        <v>356</v>
      </c>
      <c r="J95" s="227"/>
      <c r="K95" s="115" t="s">
        <v>442</v>
      </c>
      <c r="L95" s="228"/>
      <c r="M95" s="107" t="s">
        <v>386</v>
      </c>
      <c r="N95" s="229">
        <v>159.71</v>
      </c>
      <c r="O95" s="89" t="b">
        <f t="shared" si="1"/>
        <v>1</v>
      </c>
      <c r="P95" s="89" t="b">
        <v>1</v>
      </c>
      <c r="Q95" s="89" t="s">
        <v>212</v>
      </c>
    </row>
    <row r="96" hidden="1">
      <c r="A96" s="108"/>
      <c r="B96" s="202"/>
      <c r="C96" s="202" t="str">
        <f>VLOOKUP(M96,'#verificação horas por projeto'!A:B,2,FALSE)</f>
        <v>INOV00001</v>
      </c>
      <c r="D96" s="202" t="s">
        <v>3</v>
      </c>
      <c r="E96" s="107" t="s">
        <v>134</v>
      </c>
      <c r="F96" s="211">
        <v>45321.0</v>
      </c>
      <c r="G96" s="226">
        <v>0.125</v>
      </c>
      <c r="H96" s="107" t="s">
        <v>356</v>
      </c>
      <c r="I96" s="227" t="s">
        <v>356</v>
      </c>
      <c r="J96" s="227"/>
      <c r="K96" s="115" t="s">
        <v>443</v>
      </c>
      <c r="L96" s="228"/>
      <c r="M96" s="107" t="s">
        <v>386</v>
      </c>
      <c r="N96" s="229">
        <v>239.56</v>
      </c>
      <c r="O96" s="89" t="b">
        <f t="shared" si="1"/>
        <v>1</v>
      </c>
      <c r="P96" s="89" t="b">
        <v>1</v>
      </c>
      <c r="Q96" s="89" t="s">
        <v>212</v>
      </c>
    </row>
    <row r="97" hidden="1">
      <c r="A97" s="108"/>
      <c r="B97" s="202"/>
      <c r="C97" s="202" t="str">
        <f>VLOOKUP(M97,'#verificação horas por projeto'!A:B,2,FALSE)</f>
        <v>INOV00001</v>
      </c>
      <c r="D97" s="202" t="s">
        <v>3</v>
      </c>
      <c r="E97" s="107" t="s">
        <v>134</v>
      </c>
      <c r="F97" s="211">
        <v>45323.0</v>
      </c>
      <c r="G97" s="226">
        <v>0.08333333333333333</v>
      </c>
      <c r="H97" s="107" t="s">
        <v>356</v>
      </c>
      <c r="I97" s="227" t="s">
        <v>356</v>
      </c>
      <c r="J97" s="227"/>
      <c r="K97" s="115" t="s">
        <v>444</v>
      </c>
      <c r="L97" s="228"/>
      <c r="M97" s="107" t="s">
        <v>386</v>
      </c>
      <c r="N97" s="229">
        <v>184.92</v>
      </c>
      <c r="O97" s="89" t="b">
        <f t="shared" si="1"/>
        <v>1</v>
      </c>
      <c r="P97" s="89" t="b">
        <v>1</v>
      </c>
      <c r="Q97" s="89" t="s">
        <v>212</v>
      </c>
    </row>
    <row r="98" hidden="1">
      <c r="A98" s="108"/>
      <c r="B98" s="202"/>
      <c r="C98" s="202" t="str">
        <f>VLOOKUP(M98,'#verificação horas por projeto'!A:B,2,FALSE)</f>
        <v>INOV00045</v>
      </c>
      <c r="D98" s="202" t="s">
        <v>380</v>
      </c>
      <c r="E98" s="107" t="s">
        <v>134</v>
      </c>
      <c r="F98" s="211">
        <v>45324.0</v>
      </c>
      <c r="G98" s="226">
        <v>0.08333333333333333</v>
      </c>
      <c r="H98" s="107" t="s">
        <v>356</v>
      </c>
      <c r="I98" s="227" t="s">
        <v>356</v>
      </c>
      <c r="J98" s="227"/>
      <c r="K98" s="115" t="s">
        <v>445</v>
      </c>
      <c r="L98" s="228"/>
      <c r="M98" s="107" t="s">
        <v>382</v>
      </c>
      <c r="N98" s="229">
        <v>0.0</v>
      </c>
      <c r="O98" s="89" t="b">
        <f t="shared" si="1"/>
        <v>1</v>
      </c>
      <c r="P98" s="89" t="b">
        <v>0</v>
      </c>
      <c r="Q98" s="89" t="s">
        <v>212</v>
      </c>
    </row>
    <row r="99" hidden="1">
      <c r="A99" s="108"/>
      <c r="B99" s="202"/>
      <c r="C99" s="202" t="str">
        <f>VLOOKUP(M99,'#verificação horas por projeto'!A:B,2,FALSE)</f>
        <v>INOV00031</v>
      </c>
      <c r="D99" s="202" t="s">
        <v>249</v>
      </c>
      <c r="E99" s="107" t="s">
        <v>134</v>
      </c>
      <c r="F99" s="211">
        <v>45327.0</v>
      </c>
      <c r="G99" s="226">
        <v>0.125</v>
      </c>
      <c r="H99" s="107" t="s">
        <v>356</v>
      </c>
      <c r="I99" s="227" t="s">
        <v>356</v>
      </c>
      <c r="J99" s="227"/>
      <c r="K99" s="115" t="s">
        <v>446</v>
      </c>
      <c r="L99" s="228"/>
      <c r="M99" s="107" t="s">
        <v>384</v>
      </c>
      <c r="N99" s="229">
        <v>0.0</v>
      </c>
      <c r="O99" s="89" t="b">
        <f t="shared" si="1"/>
        <v>1</v>
      </c>
      <c r="P99" s="89" t="b">
        <v>0</v>
      </c>
      <c r="Q99" s="89" t="s">
        <v>212</v>
      </c>
    </row>
    <row r="100" hidden="1">
      <c r="A100" s="108"/>
      <c r="B100" s="202"/>
      <c r="C100" s="202" t="str">
        <f>VLOOKUP(M100,'#verificação horas por projeto'!A:B,2,FALSE)</f>
        <v>INOV00001</v>
      </c>
      <c r="D100" s="202" t="s">
        <v>3</v>
      </c>
      <c r="E100" s="107" t="s">
        <v>134</v>
      </c>
      <c r="F100" s="211">
        <v>45330.0</v>
      </c>
      <c r="G100" s="226">
        <v>0.0625</v>
      </c>
      <c r="H100" s="107" t="s">
        <v>356</v>
      </c>
      <c r="I100" s="227" t="s">
        <v>356</v>
      </c>
      <c r="J100" s="227"/>
      <c r="K100" s="115" t="s">
        <v>447</v>
      </c>
      <c r="L100" s="228"/>
      <c r="M100" s="107" t="s">
        <v>386</v>
      </c>
      <c r="N100" s="229">
        <v>138.69</v>
      </c>
      <c r="O100" s="89" t="b">
        <f t="shared" si="1"/>
        <v>1</v>
      </c>
      <c r="P100" s="89" t="b">
        <v>1</v>
      </c>
      <c r="Q100" s="89" t="s">
        <v>212</v>
      </c>
    </row>
    <row r="101" hidden="1">
      <c r="A101" s="108"/>
      <c r="B101" s="202"/>
      <c r="C101" s="202" t="str">
        <f>VLOOKUP(M101,'#verificação horas por projeto'!A:B,2,FALSE)</f>
        <v>INOV00001</v>
      </c>
      <c r="D101" s="202" t="s">
        <v>3</v>
      </c>
      <c r="E101" s="107" t="s">
        <v>134</v>
      </c>
      <c r="F101" s="211">
        <v>45331.0</v>
      </c>
      <c r="G101" s="226">
        <v>0.06597222222222222</v>
      </c>
      <c r="H101" s="107" t="s">
        <v>356</v>
      </c>
      <c r="I101" s="227" t="s">
        <v>356</v>
      </c>
      <c r="J101" s="227"/>
      <c r="K101" s="115" t="s">
        <v>448</v>
      </c>
      <c r="L101" s="228"/>
      <c r="M101" s="107" t="s">
        <v>386</v>
      </c>
      <c r="N101" s="229">
        <v>146.4</v>
      </c>
      <c r="O101" s="89" t="b">
        <f t="shared" si="1"/>
        <v>1</v>
      </c>
      <c r="P101" s="89" t="b">
        <v>1</v>
      </c>
      <c r="Q101" s="89" t="s">
        <v>212</v>
      </c>
    </row>
    <row r="102" hidden="1">
      <c r="A102" s="108"/>
      <c r="B102" s="202"/>
      <c r="C102" s="202" t="str">
        <f>VLOOKUP(M102,'#verificação horas por projeto'!A:B,2,FALSE)</f>
        <v>INOV00001</v>
      </c>
      <c r="D102" s="202" t="s">
        <v>3</v>
      </c>
      <c r="E102" s="107" t="s">
        <v>134</v>
      </c>
      <c r="F102" s="211">
        <v>45331.0</v>
      </c>
      <c r="G102" s="226">
        <v>0.059027777777777776</v>
      </c>
      <c r="H102" s="107" t="s">
        <v>356</v>
      </c>
      <c r="I102" s="227" t="s">
        <v>356</v>
      </c>
      <c r="J102" s="227"/>
      <c r="K102" s="115" t="s">
        <v>448</v>
      </c>
      <c r="L102" s="228"/>
      <c r="M102" s="107" t="s">
        <v>386</v>
      </c>
      <c r="N102" s="229">
        <v>130.99</v>
      </c>
      <c r="O102" s="89" t="b">
        <f t="shared" si="1"/>
        <v>1</v>
      </c>
      <c r="P102" s="89" t="b">
        <v>1</v>
      </c>
      <c r="Q102" s="89" t="s">
        <v>212</v>
      </c>
    </row>
    <row r="103" hidden="1">
      <c r="A103" s="108"/>
      <c r="B103" s="202"/>
      <c r="C103" s="202" t="str">
        <f>VLOOKUP(M103,'#verificação horas por projeto'!A:B,2,FALSE)</f>
        <v>INOV00014</v>
      </c>
      <c r="D103" s="202" t="s">
        <v>8</v>
      </c>
      <c r="E103" s="107" t="s">
        <v>134</v>
      </c>
      <c r="F103" s="211">
        <v>45331.0</v>
      </c>
      <c r="G103" s="226">
        <v>0.10416666666666667</v>
      </c>
      <c r="H103" s="107" t="s">
        <v>354</v>
      </c>
      <c r="I103" s="227" t="s">
        <v>354</v>
      </c>
      <c r="J103" s="227"/>
      <c r="K103" s="115" t="s">
        <v>449</v>
      </c>
      <c r="L103" s="228"/>
      <c r="M103" s="107" t="s">
        <v>441</v>
      </c>
      <c r="N103" s="229">
        <v>231.16</v>
      </c>
      <c r="O103" s="89" t="b">
        <f t="shared" si="1"/>
        <v>1</v>
      </c>
      <c r="P103" s="89" t="b">
        <v>1</v>
      </c>
      <c r="Q103" s="89" t="s">
        <v>212</v>
      </c>
    </row>
    <row r="104" hidden="1">
      <c r="A104" s="108"/>
      <c r="B104" s="202"/>
      <c r="C104" s="202" t="str">
        <f>VLOOKUP(M104,'#verificação horas por projeto'!A:B,2,FALSE)</f>
        <v>INOV00044</v>
      </c>
      <c r="D104" s="202" t="s">
        <v>374</v>
      </c>
      <c r="E104" s="107" t="s">
        <v>134</v>
      </c>
      <c r="F104" s="211">
        <v>45343.0</v>
      </c>
      <c r="G104" s="226">
        <v>0.19791666666666666</v>
      </c>
      <c r="H104" s="107" t="s">
        <v>356</v>
      </c>
      <c r="I104" s="227" t="s">
        <v>356</v>
      </c>
      <c r="J104" s="227"/>
      <c r="K104" s="115" t="s">
        <v>450</v>
      </c>
      <c r="L104" s="228"/>
      <c r="M104" s="107" t="s">
        <v>376</v>
      </c>
      <c r="N104" s="229">
        <v>0.0</v>
      </c>
      <c r="O104" s="89" t="b">
        <f t="shared" si="1"/>
        <v>1</v>
      </c>
      <c r="P104" s="89" t="b">
        <v>0</v>
      </c>
      <c r="Q104" s="89" t="s">
        <v>212</v>
      </c>
    </row>
    <row r="105" hidden="1">
      <c r="A105" s="108"/>
      <c r="B105" s="202"/>
      <c r="C105" s="202" t="str">
        <f>VLOOKUP(M105,'#verificação horas por projeto'!A:B,2,FALSE)</f>
        <v>INOV00001</v>
      </c>
      <c r="D105" s="202" t="s">
        <v>3</v>
      </c>
      <c r="E105" s="107" t="s">
        <v>134</v>
      </c>
      <c r="F105" s="211">
        <v>45347.0</v>
      </c>
      <c r="G105" s="226">
        <v>0.125</v>
      </c>
      <c r="H105" s="107" t="s">
        <v>356</v>
      </c>
      <c r="I105" s="227" t="s">
        <v>356</v>
      </c>
      <c r="J105" s="227"/>
      <c r="K105" s="115" t="s">
        <v>451</v>
      </c>
      <c r="L105" s="228"/>
      <c r="M105" s="107" t="s">
        <v>386</v>
      </c>
      <c r="N105" s="229">
        <v>0.0</v>
      </c>
      <c r="O105" s="89" t="b">
        <f t="shared" si="1"/>
        <v>1</v>
      </c>
      <c r="P105" s="89" t="b">
        <v>1</v>
      </c>
      <c r="Q105" s="89" t="s">
        <v>212</v>
      </c>
    </row>
    <row r="106" hidden="1">
      <c r="A106" s="108"/>
      <c r="B106" s="202"/>
      <c r="C106" s="202" t="str">
        <f>VLOOKUP(M106,'#verificação horas por projeto'!A:B,2,FALSE)</f>
        <v>INOV00001</v>
      </c>
      <c r="D106" s="202" t="s">
        <v>3</v>
      </c>
      <c r="E106" s="107" t="s">
        <v>134</v>
      </c>
      <c r="F106" s="211">
        <v>45348.0</v>
      </c>
      <c r="G106" s="226">
        <v>0.22916666666666666</v>
      </c>
      <c r="H106" s="107" t="s">
        <v>356</v>
      </c>
      <c r="I106" s="227" t="s">
        <v>356</v>
      </c>
      <c r="J106" s="227"/>
      <c r="K106" s="115" t="s">
        <v>452</v>
      </c>
      <c r="L106" s="228"/>
      <c r="M106" s="107" t="s">
        <v>386</v>
      </c>
      <c r="N106" s="229">
        <v>508.54</v>
      </c>
      <c r="O106" s="89" t="b">
        <f t="shared" si="1"/>
        <v>1</v>
      </c>
      <c r="P106" s="89" t="b">
        <v>1</v>
      </c>
      <c r="Q106" s="89" t="s">
        <v>212</v>
      </c>
    </row>
    <row r="107" hidden="1">
      <c r="A107" s="108"/>
      <c r="B107" s="202"/>
      <c r="C107" s="202" t="str">
        <f>VLOOKUP(M107,'#verificação horas por projeto'!A:B,2,FALSE)</f>
        <v>INOV00001</v>
      </c>
      <c r="D107" s="202" t="s">
        <v>3</v>
      </c>
      <c r="E107" s="107" t="s">
        <v>134</v>
      </c>
      <c r="F107" s="211">
        <v>45348.0</v>
      </c>
      <c r="G107" s="226">
        <v>0.20833333333333334</v>
      </c>
      <c r="H107" s="107" t="s">
        <v>356</v>
      </c>
      <c r="I107" s="227" t="s">
        <v>356</v>
      </c>
      <c r="J107" s="227"/>
      <c r="K107" s="115" t="s">
        <v>452</v>
      </c>
      <c r="L107" s="228"/>
      <c r="M107" s="107" t="s">
        <v>386</v>
      </c>
      <c r="N107" s="229">
        <v>462.31</v>
      </c>
      <c r="O107" s="89" t="b">
        <f t="shared" si="1"/>
        <v>1</v>
      </c>
      <c r="P107" s="89" t="b">
        <v>1</v>
      </c>
      <c r="Q107" s="89" t="s">
        <v>212</v>
      </c>
    </row>
    <row r="108" hidden="1">
      <c r="A108" s="108"/>
      <c r="B108" s="202"/>
      <c r="C108" s="202" t="str">
        <f>VLOOKUP(M108,'#verificação horas por projeto'!A:B,2,FALSE)</f>
        <v>INOV00001</v>
      </c>
      <c r="D108" s="202" t="s">
        <v>3</v>
      </c>
      <c r="E108" s="107" t="s">
        <v>134</v>
      </c>
      <c r="F108" s="211">
        <v>45349.0</v>
      </c>
      <c r="G108" s="226">
        <v>0.1875</v>
      </c>
      <c r="H108" s="107" t="s">
        <v>356</v>
      </c>
      <c r="I108" s="227" t="s">
        <v>356</v>
      </c>
      <c r="J108" s="227"/>
      <c r="K108" s="115" t="s">
        <v>453</v>
      </c>
      <c r="L108" s="228"/>
      <c r="M108" s="107" t="s">
        <v>386</v>
      </c>
      <c r="N108" s="229">
        <v>416.08</v>
      </c>
      <c r="O108" s="89" t="b">
        <f t="shared" si="1"/>
        <v>1</v>
      </c>
      <c r="P108" s="89" t="b">
        <v>1</v>
      </c>
      <c r="Q108" s="89" t="s">
        <v>212</v>
      </c>
    </row>
    <row r="109" hidden="1">
      <c r="A109" s="108"/>
      <c r="B109" s="202"/>
      <c r="C109" s="202" t="str">
        <f>VLOOKUP(M109,'#verificação horas por projeto'!A:B,2,FALSE)</f>
        <v>INOV00001</v>
      </c>
      <c r="D109" s="202" t="s">
        <v>3</v>
      </c>
      <c r="E109" s="107" t="s">
        <v>134</v>
      </c>
      <c r="F109" s="211">
        <v>45349.0</v>
      </c>
      <c r="G109" s="226">
        <v>0.23958333333333334</v>
      </c>
      <c r="H109" s="107" t="s">
        <v>356</v>
      </c>
      <c r="I109" s="227" t="s">
        <v>356</v>
      </c>
      <c r="J109" s="227"/>
      <c r="K109" s="115" t="s">
        <v>453</v>
      </c>
      <c r="L109" s="228"/>
      <c r="M109" s="107" t="s">
        <v>386</v>
      </c>
      <c r="N109" s="229">
        <v>531.66</v>
      </c>
      <c r="O109" s="89" t="b">
        <f t="shared" si="1"/>
        <v>1</v>
      </c>
      <c r="P109" s="89" t="b">
        <v>1</v>
      </c>
      <c r="Q109" s="89" t="s">
        <v>212</v>
      </c>
    </row>
    <row r="110" hidden="1">
      <c r="A110" s="108"/>
      <c r="B110" s="202"/>
      <c r="C110" s="202" t="str">
        <f>VLOOKUP(M110,'#verificação horas por projeto'!A:B,2,FALSE)</f>
        <v>INOV00001</v>
      </c>
      <c r="D110" s="202" t="s">
        <v>3</v>
      </c>
      <c r="E110" s="107" t="s">
        <v>134</v>
      </c>
      <c r="F110" s="211">
        <v>45350.0</v>
      </c>
      <c r="G110" s="226">
        <v>0.22916666666666666</v>
      </c>
      <c r="H110" s="107" t="s">
        <v>356</v>
      </c>
      <c r="I110" s="227" t="s">
        <v>356</v>
      </c>
      <c r="J110" s="227"/>
      <c r="K110" s="115" t="s">
        <v>453</v>
      </c>
      <c r="L110" s="228"/>
      <c r="M110" s="107" t="s">
        <v>386</v>
      </c>
      <c r="N110" s="229">
        <v>508.54</v>
      </c>
      <c r="O110" s="89" t="b">
        <f t="shared" si="1"/>
        <v>1</v>
      </c>
      <c r="P110" s="89" t="b">
        <v>1</v>
      </c>
      <c r="Q110" s="89" t="s">
        <v>212</v>
      </c>
    </row>
    <row r="111" hidden="1">
      <c r="A111" s="108"/>
      <c r="B111" s="202"/>
      <c r="C111" s="202" t="str">
        <f>VLOOKUP(M111,'#verificação horas por projeto'!A:B,2,FALSE)</f>
        <v>INOV00001</v>
      </c>
      <c r="D111" s="202" t="s">
        <v>3</v>
      </c>
      <c r="E111" s="107" t="s">
        <v>134</v>
      </c>
      <c r="F111" s="211">
        <v>45350.0</v>
      </c>
      <c r="G111" s="226">
        <v>0.23055555555555557</v>
      </c>
      <c r="H111" s="107" t="s">
        <v>356</v>
      </c>
      <c r="I111" s="227" t="s">
        <v>356</v>
      </c>
      <c r="J111" s="227"/>
      <c r="K111" s="115" t="s">
        <v>453</v>
      </c>
      <c r="L111" s="228"/>
      <c r="M111" s="107" t="s">
        <v>386</v>
      </c>
      <c r="N111" s="229">
        <v>511.62</v>
      </c>
      <c r="O111" s="89" t="b">
        <f t="shared" si="1"/>
        <v>1</v>
      </c>
      <c r="P111" s="89" t="b">
        <v>1</v>
      </c>
      <c r="Q111" s="89" t="s">
        <v>212</v>
      </c>
    </row>
    <row r="112" hidden="1">
      <c r="A112" s="108"/>
      <c r="B112" s="202"/>
      <c r="C112" s="202" t="str">
        <f>VLOOKUP(M112,'#verificação horas por projeto'!A:B,2,FALSE)</f>
        <v>INOV00001</v>
      </c>
      <c r="D112" s="202" t="s">
        <v>3</v>
      </c>
      <c r="E112" s="107" t="s">
        <v>134</v>
      </c>
      <c r="F112" s="211">
        <v>45351.0</v>
      </c>
      <c r="G112" s="226">
        <v>0.2388888888888889</v>
      </c>
      <c r="H112" s="107" t="s">
        <v>356</v>
      </c>
      <c r="I112" s="227" t="s">
        <v>356</v>
      </c>
      <c r="J112" s="227"/>
      <c r="K112" s="115" t="s">
        <v>454</v>
      </c>
      <c r="L112" s="228"/>
      <c r="M112" s="107" t="s">
        <v>386</v>
      </c>
      <c r="N112" s="229">
        <v>530.12</v>
      </c>
      <c r="O112" s="89" t="b">
        <f t="shared" si="1"/>
        <v>1</v>
      </c>
      <c r="P112" s="89" t="b">
        <v>1</v>
      </c>
      <c r="Q112" s="89" t="s">
        <v>212</v>
      </c>
    </row>
    <row r="113" hidden="1">
      <c r="A113" s="108"/>
      <c r="B113" s="202"/>
      <c r="C113" s="202" t="str">
        <f>VLOOKUP(M113,'#verificação horas por projeto'!A:B,2,FALSE)</f>
        <v>INOV00001</v>
      </c>
      <c r="D113" s="202" t="s">
        <v>3</v>
      </c>
      <c r="E113" s="107" t="s">
        <v>134</v>
      </c>
      <c r="F113" s="211">
        <v>45351.0</v>
      </c>
      <c r="G113" s="226">
        <v>0.3527777777777778</v>
      </c>
      <c r="H113" s="107" t="s">
        <v>356</v>
      </c>
      <c r="I113" s="227" t="s">
        <v>356</v>
      </c>
      <c r="J113" s="227"/>
      <c r="K113" s="115" t="s">
        <v>454</v>
      </c>
      <c r="L113" s="228"/>
      <c r="M113" s="107" t="s">
        <v>386</v>
      </c>
      <c r="N113" s="229">
        <v>782.85</v>
      </c>
      <c r="O113" s="89" t="b">
        <f t="shared" si="1"/>
        <v>1</v>
      </c>
      <c r="P113" s="89" t="b">
        <v>1</v>
      </c>
      <c r="Q113" s="89" t="s">
        <v>212</v>
      </c>
    </row>
    <row r="114" hidden="1">
      <c r="A114" s="108"/>
      <c r="B114" s="202"/>
      <c r="C114" s="202" t="str">
        <f>VLOOKUP(M114,'#verificação horas por projeto'!A:B,2,FALSE)</f>
        <v>INOV00001</v>
      </c>
      <c r="D114" s="202" t="s">
        <v>3</v>
      </c>
      <c r="E114" s="107" t="s">
        <v>134</v>
      </c>
      <c r="F114" s="211">
        <v>45352.0</v>
      </c>
      <c r="G114" s="226">
        <v>0.22777777777777777</v>
      </c>
      <c r="H114" s="107" t="s">
        <v>356</v>
      </c>
      <c r="I114" s="227" t="s">
        <v>356</v>
      </c>
      <c r="J114" s="227"/>
      <c r="K114" s="115" t="s">
        <v>455</v>
      </c>
      <c r="L114" s="228"/>
      <c r="M114" s="107" t="s">
        <v>386</v>
      </c>
      <c r="N114" s="229">
        <v>0.0</v>
      </c>
      <c r="O114" s="89" t="b">
        <f t="shared" si="1"/>
        <v>1</v>
      </c>
      <c r="P114" s="89" t="b">
        <v>1</v>
      </c>
      <c r="Q114" s="89" t="s">
        <v>212</v>
      </c>
    </row>
    <row r="115" hidden="1">
      <c r="A115" s="108"/>
      <c r="B115" s="202"/>
      <c r="C115" s="202" t="str">
        <f>VLOOKUP(M115,'#verificação horas por projeto'!A:B,2,FALSE)</f>
        <v>INOV00001</v>
      </c>
      <c r="D115" s="202" t="s">
        <v>3</v>
      </c>
      <c r="E115" s="107" t="s">
        <v>134</v>
      </c>
      <c r="F115" s="211">
        <v>45352.0</v>
      </c>
      <c r="G115" s="226">
        <v>0.10902777777777778</v>
      </c>
      <c r="H115" s="107" t="s">
        <v>356</v>
      </c>
      <c r="I115" s="227" t="s">
        <v>356</v>
      </c>
      <c r="J115" s="227"/>
      <c r="K115" s="115" t="s">
        <v>455</v>
      </c>
      <c r="L115" s="228"/>
      <c r="M115" s="107" t="s">
        <v>386</v>
      </c>
      <c r="N115" s="229">
        <v>0.0</v>
      </c>
      <c r="O115" s="89" t="b">
        <f t="shared" si="1"/>
        <v>1</v>
      </c>
      <c r="P115" s="89" t="b">
        <v>1</v>
      </c>
      <c r="Q115" s="89" t="s">
        <v>212</v>
      </c>
    </row>
    <row r="116" hidden="1">
      <c r="A116" s="108"/>
      <c r="B116" s="202"/>
      <c r="C116" s="202" t="str">
        <f>VLOOKUP(M116,'#verificação horas por projeto'!A:B,2,FALSE)</f>
        <v>INOV00020</v>
      </c>
      <c r="D116" s="202" t="s">
        <v>11</v>
      </c>
      <c r="E116" s="107" t="s">
        <v>145</v>
      </c>
      <c r="F116" s="211">
        <v>45293.0</v>
      </c>
      <c r="G116" s="226">
        <v>0.20833333333333334</v>
      </c>
      <c r="H116" s="107" t="s">
        <v>354</v>
      </c>
      <c r="I116" s="227" t="s">
        <v>354</v>
      </c>
      <c r="J116" s="227"/>
      <c r="K116" s="115" t="s">
        <v>456</v>
      </c>
      <c r="L116" s="228"/>
      <c r="M116" s="107" t="s">
        <v>457</v>
      </c>
      <c r="N116" s="229">
        <v>0.0</v>
      </c>
      <c r="O116" s="89" t="b">
        <f t="shared" si="1"/>
        <v>1</v>
      </c>
      <c r="P116" s="89" t="b">
        <v>0</v>
      </c>
      <c r="Q116" s="89" t="s">
        <v>212</v>
      </c>
    </row>
    <row r="117" hidden="1">
      <c r="A117" s="108"/>
      <c r="B117" s="202"/>
      <c r="C117" s="202" t="str">
        <f>VLOOKUP(M117,'#verificação horas por projeto'!A:B,2,FALSE)</f>
        <v>INOV00029</v>
      </c>
      <c r="D117" s="202" t="s">
        <v>19</v>
      </c>
      <c r="E117" s="107" t="s">
        <v>145</v>
      </c>
      <c r="F117" s="211">
        <v>45302.0</v>
      </c>
      <c r="G117" s="226">
        <v>0.14583333333333334</v>
      </c>
      <c r="H117" s="107" t="s">
        <v>356</v>
      </c>
      <c r="I117" s="227" t="s">
        <v>356</v>
      </c>
      <c r="J117" s="227"/>
      <c r="K117" s="115" t="s">
        <v>458</v>
      </c>
      <c r="L117" s="228"/>
      <c r="M117" s="107" t="s">
        <v>431</v>
      </c>
      <c r="N117" s="229">
        <v>119.02</v>
      </c>
      <c r="O117" s="89" t="b">
        <f t="shared" si="1"/>
        <v>1</v>
      </c>
      <c r="P117" s="89" t="b">
        <v>1</v>
      </c>
      <c r="Q117" s="89" t="s">
        <v>212</v>
      </c>
    </row>
    <row r="118" hidden="1">
      <c r="A118" s="108"/>
      <c r="B118" s="202"/>
      <c r="C118" s="202" t="str">
        <f>VLOOKUP(M118,'#verificação horas por projeto'!A:B,2,FALSE)</f>
        <v>INOV00024</v>
      </c>
      <c r="D118" s="202" t="s">
        <v>14</v>
      </c>
      <c r="E118" s="107" t="s">
        <v>145</v>
      </c>
      <c r="F118" s="211">
        <v>45302.0</v>
      </c>
      <c r="G118" s="226">
        <v>0.0625</v>
      </c>
      <c r="H118" s="107" t="s">
        <v>354</v>
      </c>
      <c r="I118" s="227" t="s">
        <v>354</v>
      </c>
      <c r="J118" s="227"/>
      <c r="K118" s="115" t="s">
        <v>459</v>
      </c>
      <c r="L118" s="228"/>
      <c r="M118" s="107" t="s">
        <v>428</v>
      </c>
      <c r="N118" s="229">
        <v>51.01</v>
      </c>
      <c r="O118" s="89" t="b">
        <f t="shared" si="1"/>
        <v>1</v>
      </c>
      <c r="P118" s="89" t="b">
        <v>1</v>
      </c>
      <c r="Q118" s="89" t="s">
        <v>212</v>
      </c>
    </row>
    <row r="119" hidden="1">
      <c r="A119" s="108"/>
      <c r="B119" s="202"/>
      <c r="C119" s="202" t="str">
        <f>VLOOKUP(M119,'#verificação horas por projeto'!A:B,2,FALSE)</f>
        <v>INOV00024</v>
      </c>
      <c r="D119" s="202" t="s">
        <v>14</v>
      </c>
      <c r="E119" s="107" t="s">
        <v>145</v>
      </c>
      <c r="F119" s="211">
        <v>45317.0</v>
      </c>
      <c r="G119" s="226">
        <v>0.0625</v>
      </c>
      <c r="H119" s="107" t="s">
        <v>354</v>
      </c>
      <c r="I119" s="227" t="s">
        <v>354</v>
      </c>
      <c r="J119" s="227"/>
      <c r="K119" s="115" t="s">
        <v>459</v>
      </c>
      <c r="L119" s="228"/>
      <c r="M119" s="107" t="s">
        <v>428</v>
      </c>
      <c r="N119" s="229">
        <v>51.01</v>
      </c>
      <c r="O119" s="89" t="b">
        <f t="shared" si="1"/>
        <v>1</v>
      </c>
      <c r="P119" s="89" t="b">
        <v>1</v>
      </c>
      <c r="Q119" s="89" t="s">
        <v>212</v>
      </c>
    </row>
    <row r="120" hidden="1">
      <c r="A120" s="108"/>
      <c r="B120" s="202"/>
      <c r="C120" s="202" t="str">
        <f>VLOOKUP(M120,'#verificação horas por projeto'!A:B,2,FALSE)</f>
        <v>INOV00020</v>
      </c>
      <c r="D120" s="202" t="s">
        <v>11</v>
      </c>
      <c r="E120" s="107" t="s">
        <v>145</v>
      </c>
      <c r="F120" s="211">
        <v>45310.0</v>
      </c>
      <c r="G120" s="226">
        <v>0.0625</v>
      </c>
      <c r="H120" s="107" t="s">
        <v>356</v>
      </c>
      <c r="I120" s="227" t="s">
        <v>356</v>
      </c>
      <c r="J120" s="227"/>
      <c r="K120" s="115" t="s">
        <v>460</v>
      </c>
      <c r="L120" s="228"/>
      <c r="M120" s="107" t="s">
        <v>457</v>
      </c>
      <c r="N120" s="229">
        <v>0.0</v>
      </c>
      <c r="O120" s="89" t="b">
        <f t="shared" si="1"/>
        <v>1</v>
      </c>
      <c r="P120" s="89" t="b">
        <v>0</v>
      </c>
      <c r="Q120" s="89" t="s">
        <v>212</v>
      </c>
    </row>
    <row r="121" hidden="1">
      <c r="A121" s="108"/>
      <c r="B121" s="202"/>
      <c r="C121" s="202" t="str">
        <f>VLOOKUP(M121,'#verificação horas por projeto'!A:B,2,FALSE)</f>
        <v>INOV00024</v>
      </c>
      <c r="D121" s="202" t="s">
        <v>14</v>
      </c>
      <c r="E121" s="107" t="s">
        <v>145</v>
      </c>
      <c r="F121" s="211">
        <v>45313.0</v>
      </c>
      <c r="G121" s="226">
        <v>0.041666666666666664</v>
      </c>
      <c r="H121" s="107" t="s">
        <v>354</v>
      </c>
      <c r="I121" s="227" t="s">
        <v>354</v>
      </c>
      <c r="J121" s="227"/>
      <c r="K121" s="115" t="s">
        <v>461</v>
      </c>
      <c r="L121" s="228"/>
      <c r="M121" s="107" t="s">
        <v>428</v>
      </c>
      <c r="N121" s="229">
        <v>34.01</v>
      </c>
      <c r="O121" s="89" t="b">
        <f t="shared" si="1"/>
        <v>1</v>
      </c>
      <c r="P121" s="89" t="b">
        <v>1</v>
      </c>
      <c r="Q121" s="89" t="s">
        <v>212</v>
      </c>
    </row>
    <row r="122" hidden="1">
      <c r="A122" s="108"/>
      <c r="B122" s="202"/>
      <c r="C122" s="202" t="str">
        <f>VLOOKUP(M122,'#verificação horas por projeto'!A:B,2,FALSE)</f>
        <v>INOV00017</v>
      </c>
      <c r="D122" s="202" t="s">
        <v>10</v>
      </c>
      <c r="E122" s="107" t="s">
        <v>144</v>
      </c>
      <c r="F122" s="211">
        <v>45383.0</v>
      </c>
      <c r="G122" s="226">
        <v>0.04861111111111111</v>
      </c>
      <c r="H122" s="107" t="s">
        <v>356</v>
      </c>
      <c r="I122" s="227" t="s">
        <v>356</v>
      </c>
      <c r="J122" s="227"/>
      <c r="K122" s="115" t="s">
        <v>388</v>
      </c>
      <c r="L122" s="228"/>
      <c r="M122" s="107" t="s">
        <v>389</v>
      </c>
      <c r="N122" s="229">
        <f>IF(AND(O122=TRUE,P122=TRUE), VLOOKUP($E122,PESSOAL!$B$35:$S$45,MONTH($F122)+6,FALSE)*G122*24,0)</f>
        <v>44.74303954</v>
      </c>
      <c r="O122" s="89" t="b">
        <f t="shared" si="1"/>
        <v>1</v>
      </c>
      <c r="P122" s="89" t="b">
        <v>1</v>
      </c>
      <c r="Q122" s="89" t="s">
        <v>212</v>
      </c>
    </row>
    <row r="123" hidden="1">
      <c r="A123" s="108"/>
      <c r="B123" s="202"/>
      <c r="C123" s="202" t="str">
        <f>VLOOKUP(M123,'#verificação horas por projeto'!A:B,2,FALSE)</f>
        <v>INOV00017</v>
      </c>
      <c r="D123" s="202" t="s">
        <v>10</v>
      </c>
      <c r="E123" s="107" t="s">
        <v>144</v>
      </c>
      <c r="F123" s="211">
        <v>45383.0</v>
      </c>
      <c r="G123" s="226">
        <v>0.06944444444444445</v>
      </c>
      <c r="H123" s="107" t="s">
        <v>356</v>
      </c>
      <c r="I123" s="227" t="s">
        <v>356</v>
      </c>
      <c r="J123" s="227"/>
      <c r="K123" s="115" t="s">
        <v>462</v>
      </c>
      <c r="L123" s="228"/>
      <c r="M123" s="107" t="s">
        <v>389</v>
      </c>
      <c r="N123" s="229">
        <f>IF(AND(O123=TRUE,P123=TRUE), VLOOKUP($E123,PESSOAL!$B$35:$S$45,MONTH($F123)+6,FALSE)*G123*24,0)</f>
        <v>63.91862792</v>
      </c>
      <c r="O123" s="89" t="b">
        <f t="shared" si="1"/>
        <v>1</v>
      </c>
      <c r="P123" s="89" t="b">
        <v>1</v>
      </c>
      <c r="Q123" s="89" t="s">
        <v>212</v>
      </c>
    </row>
    <row r="124" hidden="1">
      <c r="A124" s="108"/>
      <c r="B124" s="202"/>
      <c r="C124" s="202" t="str">
        <f>VLOOKUP(M124,'#verificação horas por projeto'!A:B,2,FALSE)</f>
        <v>INOV00017</v>
      </c>
      <c r="D124" s="202" t="s">
        <v>10</v>
      </c>
      <c r="E124" s="107" t="s">
        <v>144</v>
      </c>
      <c r="F124" s="211">
        <v>45383.0</v>
      </c>
      <c r="G124" s="226">
        <v>0.052083333333333336</v>
      </c>
      <c r="H124" s="107" t="s">
        <v>356</v>
      </c>
      <c r="I124" s="227" t="s">
        <v>356</v>
      </c>
      <c r="J124" s="227"/>
      <c r="K124" s="115" t="s">
        <v>462</v>
      </c>
      <c r="L124" s="228"/>
      <c r="M124" s="107" t="s">
        <v>389</v>
      </c>
      <c r="N124" s="229">
        <f>IF(AND(O124=TRUE,P124=TRUE), VLOOKUP($E124,PESSOAL!$B$35:$S$45,MONTH($F124)+6,FALSE)*G124*24,0)</f>
        <v>47.93897094</v>
      </c>
      <c r="O124" s="89" t="b">
        <f t="shared" si="1"/>
        <v>1</v>
      </c>
      <c r="P124" s="89" t="b">
        <v>1</v>
      </c>
      <c r="Q124" s="89" t="s">
        <v>212</v>
      </c>
    </row>
    <row r="125" hidden="1">
      <c r="A125" s="108"/>
      <c r="B125" s="202"/>
      <c r="C125" s="202" t="str">
        <f>VLOOKUP(M125,'#verificação horas por projeto'!A:B,2,FALSE)</f>
        <v>INOV00017</v>
      </c>
      <c r="D125" s="202" t="s">
        <v>10</v>
      </c>
      <c r="E125" s="107" t="s">
        <v>144</v>
      </c>
      <c r="F125" s="211">
        <v>45400.0</v>
      </c>
      <c r="G125" s="226">
        <v>0.020833333333333332</v>
      </c>
      <c r="H125" s="107" t="s">
        <v>359</v>
      </c>
      <c r="I125" s="227" t="s">
        <v>359</v>
      </c>
      <c r="J125" s="227"/>
      <c r="K125" s="115" t="s">
        <v>463</v>
      </c>
      <c r="L125" s="228"/>
      <c r="M125" s="107" t="s">
        <v>389</v>
      </c>
      <c r="N125" s="229">
        <f>IF(AND(O125=TRUE,P125=TRUE), VLOOKUP($E125,PESSOAL!$B$35:$S$45,MONTH($F125)+6,FALSE)*G125*24,0)</f>
        <v>0</v>
      </c>
      <c r="O125" s="89" t="b">
        <f t="shared" si="1"/>
        <v>0</v>
      </c>
      <c r="P125" s="89" t="b">
        <v>1</v>
      </c>
      <c r="Q125" s="89" t="s">
        <v>212</v>
      </c>
    </row>
    <row r="126" hidden="1">
      <c r="A126" s="108"/>
      <c r="B126" s="202"/>
      <c r="C126" s="202" t="str">
        <f>VLOOKUP(M126,'#verificação horas por projeto'!A:B,2,FALSE)</f>
        <v>INOV00014</v>
      </c>
      <c r="D126" s="202" t="s">
        <v>8</v>
      </c>
      <c r="E126" s="107" t="s">
        <v>144</v>
      </c>
      <c r="F126" s="211">
        <v>45419.0</v>
      </c>
      <c r="G126" s="226">
        <v>0.07291666666666667</v>
      </c>
      <c r="H126" s="107" t="s">
        <v>356</v>
      </c>
      <c r="I126" s="227" t="s">
        <v>356</v>
      </c>
      <c r="J126" s="227"/>
      <c r="K126" s="115" t="s">
        <v>464</v>
      </c>
      <c r="L126" s="228"/>
      <c r="M126" s="107" t="s">
        <v>441</v>
      </c>
      <c r="N126" s="229">
        <f>IF(AND(O126=TRUE,P126=TRUE), VLOOKUP($E126,PESSOAL!$B$35:$S$45,MONTH($F126)+6,FALSE)*G126*24,0)</f>
        <v>67.11455932</v>
      </c>
      <c r="O126" s="89" t="b">
        <f t="shared" si="1"/>
        <v>1</v>
      </c>
      <c r="P126" s="89" t="b">
        <v>1</v>
      </c>
      <c r="Q126" s="89" t="s">
        <v>212</v>
      </c>
    </row>
    <row r="127" hidden="1">
      <c r="A127" s="108"/>
      <c r="B127" s="202"/>
      <c r="C127" s="202" t="str">
        <f>VLOOKUP(M127,'#verificação horas por projeto'!A:B,2,FALSE)</f>
        <v>INOV00016</v>
      </c>
      <c r="D127" s="202" t="s">
        <v>9</v>
      </c>
      <c r="E127" s="107" t="s">
        <v>144</v>
      </c>
      <c r="F127" s="211">
        <v>45443.0</v>
      </c>
      <c r="G127" s="226">
        <v>0.09722222222222222</v>
      </c>
      <c r="H127" s="107" t="s">
        <v>356</v>
      </c>
      <c r="I127" s="227" t="s">
        <v>356</v>
      </c>
      <c r="J127" s="227"/>
      <c r="K127" s="115" t="s">
        <v>465</v>
      </c>
      <c r="L127" s="228"/>
      <c r="M127" s="107" t="s">
        <v>410</v>
      </c>
      <c r="N127" s="229">
        <f>IF(AND(O127=TRUE,P127=TRUE), VLOOKUP($E127,PESSOAL!$B$35:$S$45,MONTH($F127)+6,FALSE)*G127*24,0)</f>
        <v>89.48607909</v>
      </c>
      <c r="O127" s="89" t="b">
        <f t="shared" si="1"/>
        <v>1</v>
      </c>
      <c r="P127" s="89" t="b">
        <v>1</v>
      </c>
      <c r="Q127" s="89" t="s">
        <v>212</v>
      </c>
    </row>
    <row r="128" hidden="1">
      <c r="A128" s="108"/>
      <c r="B128" s="202"/>
      <c r="C128" s="202" t="str">
        <f>VLOOKUP(M128,'#verificação horas por projeto'!A:B,2,FALSE)</f>
        <v>INOV00001</v>
      </c>
      <c r="D128" s="202" t="s">
        <v>3</v>
      </c>
      <c r="E128" s="107" t="s">
        <v>144</v>
      </c>
      <c r="F128" s="211">
        <v>45443.0</v>
      </c>
      <c r="G128" s="226">
        <v>0.034722222222222224</v>
      </c>
      <c r="H128" s="107" t="s">
        <v>356</v>
      </c>
      <c r="I128" s="227" t="s">
        <v>356</v>
      </c>
      <c r="J128" s="227"/>
      <c r="K128" s="115" t="s">
        <v>466</v>
      </c>
      <c r="L128" s="228"/>
      <c r="M128" s="107" t="s">
        <v>386</v>
      </c>
      <c r="N128" s="229">
        <f>IF(AND(O128=TRUE,P128=TRUE), VLOOKUP($E128,PESSOAL!$B$35:$S$45,MONTH($F128)+6,FALSE)*G128*24,0)</f>
        <v>31.95931396</v>
      </c>
      <c r="O128" s="89" t="b">
        <f t="shared" si="1"/>
        <v>1</v>
      </c>
      <c r="P128" s="89" t="b">
        <v>1</v>
      </c>
      <c r="Q128" s="89" t="s">
        <v>212</v>
      </c>
    </row>
    <row r="129" hidden="1">
      <c r="A129" s="108"/>
      <c r="B129" s="202"/>
      <c r="C129" s="202" t="str">
        <f>VLOOKUP(M129,'#verificação horas por projeto'!A:B,2,FALSE)</f>
        <v>INOV00004</v>
      </c>
      <c r="D129" s="202" t="s">
        <v>4</v>
      </c>
      <c r="E129" s="107" t="s">
        <v>144</v>
      </c>
      <c r="F129" s="211">
        <v>45421.0</v>
      </c>
      <c r="G129" s="226">
        <v>0.020833333333333332</v>
      </c>
      <c r="H129" s="107" t="s">
        <v>356</v>
      </c>
      <c r="I129" s="227" t="s">
        <v>356</v>
      </c>
      <c r="J129" s="227"/>
      <c r="K129" s="115" t="s">
        <v>467</v>
      </c>
      <c r="L129" s="228"/>
      <c r="M129" s="107" t="s">
        <v>397</v>
      </c>
      <c r="N129" s="229">
        <f>IF(AND(O129=TRUE,P129=TRUE), VLOOKUP($E129,PESSOAL!$B$35:$S$45,MONTH($F129)+6,FALSE)*G129*24,0)</f>
        <v>19.17558838</v>
      </c>
      <c r="O129" s="89" t="b">
        <f t="shared" si="1"/>
        <v>1</v>
      </c>
      <c r="P129" s="89" t="b">
        <v>1</v>
      </c>
      <c r="Q129" s="89" t="s">
        <v>212</v>
      </c>
    </row>
    <row r="130" hidden="1">
      <c r="A130" s="108"/>
      <c r="B130" s="202"/>
      <c r="C130" s="202" t="str">
        <f>VLOOKUP(M130,'#verificação horas por projeto'!A:B,2,FALSE)</f>
        <v>INOV00046</v>
      </c>
      <c r="D130" s="202" t="s">
        <v>29</v>
      </c>
      <c r="E130" s="107" t="s">
        <v>144</v>
      </c>
      <c r="F130" s="211">
        <v>45422.0</v>
      </c>
      <c r="G130" s="226">
        <v>0.03125</v>
      </c>
      <c r="H130" s="107" t="s">
        <v>354</v>
      </c>
      <c r="I130" s="227" t="s">
        <v>354</v>
      </c>
      <c r="J130" s="227"/>
      <c r="K130" s="115" t="s">
        <v>468</v>
      </c>
      <c r="L130" s="228"/>
      <c r="M130" s="107" t="s">
        <v>373</v>
      </c>
      <c r="N130" s="229">
        <f>IF(AND(O130=TRUE,P130=TRUE), VLOOKUP($E130,PESSOAL!$B$35:$S$45,MONTH($F130)+6,FALSE)*G130*24,0)</f>
        <v>0</v>
      </c>
      <c r="O130" s="89" t="b">
        <f t="shared" si="1"/>
        <v>1</v>
      </c>
      <c r="P130" s="89" t="b">
        <v>0</v>
      </c>
      <c r="Q130" s="89" t="s">
        <v>212</v>
      </c>
    </row>
    <row r="131" hidden="1">
      <c r="A131" s="108"/>
      <c r="B131" s="202"/>
      <c r="C131" s="202" t="str">
        <f>VLOOKUP(M131,'#verificação horas por projeto'!A:B,2,FALSE)</f>
        <v>INOV00001</v>
      </c>
      <c r="D131" s="202" t="s">
        <v>3</v>
      </c>
      <c r="E131" s="107" t="s">
        <v>144</v>
      </c>
      <c r="F131" s="211">
        <v>45425.0</v>
      </c>
      <c r="G131" s="226">
        <v>0.020833333333333332</v>
      </c>
      <c r="H131" s="107" t="s">
        <v>359</v>
      </c>
      <c r="I131" s="227" t="s">
        <v>359</v>
      </c>
      <c r="J131" s="227"/>
      <c r="K131" s="115" t="s">
        <v>469</v>
      </c>
      <c r="L131" s="228"/>
      <c r="M131" s="107" t="s">
        <v>386</v>
      </c>
      <c r="N131" s="229">
        <f>IF(AND(O131=TRUE,P131=TRUE), VLOOKUP($E131,PESSOAL!$B$35:$S$45,MONTH($F131)+6,FALSE)*G131*24,0)</f>
        <v>0</v>
      </c>
      <c r="O131" s="89" t="b">
        <f t="shared" si="1"/>
        <v>0</v>
      </c>
      <c r="P131" s="89" t="b">
        <v>1</v>
      </c>
      <c r="Q131" s="89" t="s">
        <v>212</v>
      </c>
    </row>
    <row r="132" hidden="1">
      <c r="A132" s="108"/>
      <c r="B132" s="202"/>
      <c r="C132" s="202" t="str">
        <f>VLOOKUP(M132,'#verificação horas por projeto'!A:B,2,FALSE)</f>
        <v>INOV00004</v>
      </c>
      <c r="D132" s="202" t="s">
        <v>4</v>
      </c>
      <c r="E132" s="107" t="s">
        <v>144</v>
      </c>
      <c r="F132" s="211">
        <v>45427.0</v>
      </c>
      <c r="G132" s="226">
        <v>0.020833333333333332</v>
      </c>
      <c r="H132" s="107" t="s">
        <v>356</v>
      </c>
      <c r="I132" s="227" t="s">
        <v>356</v>
      </c>
      <c r="J132" s="227"/>
      <c r="K132" s="115" t="s">
        <v>467</v>
      </c>
      <c r="L132" s="228"/>
      <c r="M132" s="107" t="s">
        <v>397</v>
      </c>
      <c r="N132" s="229">
        <f>IF(AND(O132=TRUE,P132=TRUE), VLOOKUP($E132,PESSOAL!$B$35:$S$45,MONTH($F132)+6,FALSE)*G132*24,0)</f>
        <v>19.17558838</v>
      </c>
      <c r="O132" s="89" t="b">
        <f t="shared" si="1"/>
        <v>1</v>
      </c>
      <c r="P132" s="89" t="b">
        <v>1</v>
      </c>
      <c r="Q132" s="89" t="s">
        <v>212</v>
      </c>
    </row>
    <row r="133" hidden="1">
      <c r="A133" s="108"/>
      <c r="B133" s="202"/>
      <c r="C133" s="202" t="str">
        <f>VLOOKUP(M133,'#verificação horas por projeto'!A:B,2,FALSE)</f>
        <v>INOV00001</v>
      </c>
      <c r="D133" s="202" t="s">
        <v>3</v>
      </c>
      <c r="E133" s="107" t="s">
        <v>144</v>
      </c>
      <c r="F133" s="211">
        <v>45441.0</v>
      </c>
      <c r="G133" s="226">
        <v>0.0625</v>
      </c>
      <c r="H133" s="107" t="s">
        <v>356</v>
      </c>
      <c r="I133" s="227" t="s">
        <v>356</v>
      </c>
      <c r="J133" s="227"/>
      <c r="K133" s="115" t="s">
        <v>470</v>
      </c>
      <c r="L133" s="228"/>
      <c r="M133" s="107" t="s">
        <v>386</v>
      </c>
      <c r="N133" s="229">
        <f>IF(AND(O133=TRUE,P133=TRUE), VLOOKUP($E133,PESSOAL!$B$35:$S$45,MONTH($F133)+6,FALSE)*G133*24,0)</f>
        <v>57.52676513</v>
      </c>
      <c r="O133" s="89" t="b">
        <f t="shared" si="1"/>
        <v>1</v>
      </c>
      <c r="P133" s="89" t="b">
        <v>1</v>
      </c>
      <c r="Q133" s="89" t="s">
        <v>212</v>
      </c>
    </row>
    <row r="134" hidden="1">
      <c r="A134" s="108"/>
      <c r="B134" s="202"/>
      <c r="C134" s="202" t="str">
        <f>VLOOKUP(M134,'#verificação horas por projeto'!A:B,2,FALSE)</f>
        <v>INOV00001</v>
      </c>
      <c r="D134" s="202" t="s">
        <v>3</v>
      </c>
      <c r="E134" s="107" t="s">
        <v>144</v>
      </c>
      <c r="F134" s="211">
        <v>45433.0</v>
      </c>
      <c r="G134" s="226">
        <v>0.28125</v>
      </c>
      <c r="H134" s="107" t="s">
        <v>356</v>
      </c>
      <c r="I134" s="227" t="s">
        <v>356</v>
      </c>
      <c r="J134" s="227"/>
      <c r="K134" s="115" t="s">
        <v>471</v>
      </c>
      <c r="L134" s="228"/>
      <c r="M134" s="107" t="s">
        <v>386</v>
      </c>
      <c r="N134" s="229">
        <f>IF(AND(O134=TRUE,P134=TRUE), VLOOKUP($E134,PESSOAL!$B$35:$S$45,MONTH($F134)+6,FALSE)*G134*24,0)</f>
        <v>258.8704431</v>
      </c>
      <c r="O134" s="89" t="b">
        <f t="shared" si="1"/>
        <v>1</v>
      </c>
      <c r="P134" s="89" t="b">
        <v>1</v>
      </c>
      <c r="Q134" s="89" t="s">
        <v>212</v>
      </c>
    </row>
    <row r="135" hidden="1">
      <c r="A135" s="108"/>
      <c r="B135" s="202"/>
      <c r="C135" s="202" t="str">
        <f>VLOOKUP(M135,'#verificação horas por projeto'!A:B,2,FALSE)</f>
        <v>INOV00001</v>
      </c>
      <c r="D135" s="202" t="s">
        <v>3</v>
      </c>
      <c r="E135" s="107" t="s">
        <v>144</v>
      </c>
      <c r="F135" s="211">
        <v>45434.0</v>
      </c>
      <c r="G135" s="226">
        <v>0.4305555555555556</v>
      </c>
      <c r="H135" s="107" t="s">
        <v>356</v>
      </c>
      <c r="I135" s="227" t="s">
        <v>356</v>
      </c>
      <c r="J135" s="227"/>
      <c r="K135" s="115" t="s">
        <v>472</v>
      </c>
      <c r="L135" s="228"/>
      <c r="M135" s="107" t="s">
        <v>386</v>
      </c>
      <c r="N135" s="229">
        <f>IF(AND(O135=TRUE,P135=TRUE), VLOOKUP($E135,PESSOAL!$B$35:$S$45,MONTH($F135)+6,FALSE)*G135*24,0)</f>
        <v>396.2954931</v>
      </c>
      <c r="O135" s="89" t="b">
        <f t="shared" si="1"/>
        <v>1</v>
      </c>
      <c r="P135" s="89" t="b">
        <v>1</v>
      </c>
      <c r="Q135" s="89" t="s">
        <v>212</v>
      </c>
    </row>
    <row r="136" hidden="1">
      <c r="A136" s="108"/>
      <c r="B136" s="202"/>
      <c r="C136" s="202" t="str">
        <f>VLOOKUP(M136,'#verificação horas por projeto'!A:B,2,FALSE)</f>
        <v>INOV00001</v>
      </c>
      <c r="D136" s="202" t="s">
        <v>3</v>
      </c>
      <c r="E136" s="107" t="s">
        <v>144</v>
      </c>
      <c r="F136" s="211">
        <v>45435.0</v>
      </c>
      <c r="G136" s="226">
        <v>0.4305555555555556</v>
      </c>
      <c r="H136" s="107" t="s">
        <v>356</v>
      </c>
      <c r="I136" s="227" t="s">
        <v>356</v>
      </c>
      <c r="J136" s="227"/>
      <c r="K136" s="115" t="s">
        <v>472</v>
      </c>
      <c r="L136" s="228"/>
      <c r="M136" s="107" t="s">
        <v>386</v>
      </c>
      <c r="N136" s="229">
        <f>IF(AND(O136=TRUE,P136=TRUE), VLOOKUP($E136,PESSOAL!$B$35:$S$45,MONTH($F136)+6,FALSE)*G136*24,0)</f>
        <v>396.2954931</v>
      </c>
      <c r="O136" s="89" t="b">
        <f t="shared" si="1"/>
        <v>1</v>
      </c>
      <c r="P136" s="89" t="b">
        <v>1</v>
      </c>
      <c r="Q136" s="89" t="s">
        <v>212</v>
      </c>
    </row>
    <row r="137" hidden="1">
      <c r="A137" s="108"/>
      <c r="B137" s="202"/>
      <c r="C137" s="202" t="str">
        <f>VLOOKUP(M137,'#verificação horas por projeto'!A:B,2,FALSE)</f>
        <v>INOV00001</v>
      </c>
      <c r="D137" s="202" t="s">
        <v>3</v>
      </c>
      <c r="E137" s="107" t="s">
        <v>144</v>
      </c>
      <c r="F137" s="211">
        <v>45436.0</v>
      </c>
      <c r="G137" s="226">
        <v>0.24305555555555555</v>
      </c>
      <c r="H137" s="107" t="s">
        <v>356</v>
      </c>
      <c r="I137" s="227" t="s">
        <v>356</v>
      </c>
      <c r="J137" s="227"/>
      <c r="K137" s="115" t="s">
        <v>473</v>
      </c>
      <c r="L137" s="228"/>
      <c r="M137" s="107" t="s">
        <v>386</v>
      </c>
      <c r="N137" s="229">
        <f>IF(AND(O137=TRUE,P137=TRUE), VLOOKUP($E137,PESSOAL!$B$35:$S$45,MONTH($F137)+6,FALSE)*G137*24,0)</f>
        <v>223.7151977</v>
      </c>
      <c r="O137" s="89" t="b">
        <f t="shared" si="1"/>
        <v>1</v>
      </c>
      <c r="P137" s="89" t="b">
        <v>1</v>
      </c>
      <c r="Q137" s="89" t="s">
        <v>212</v>
      </c>
    </row>
    <row r="138" hidden="1">
      <c r="A138" s="108"/>
      <c r="B138" s="202"/>
      <c r="C138" s="202" t="str">
        <f>VLOOKUP(M138,'#verificação horas por projeto'!A:B,2,FALSE)</f>
        <v>INOV00001</v>
      </c>
      <c r="D138" s="202" t="s">
        <v>3</v>
      </c>
      <c r="E138" s="107" t="s">
        <v>144</v>
      </c>
      <c r="F138" s="211">
        <v>45432.0</v>
      </c>
      <c r="G138" s="226">
        <v>0.05555555555555555</v>
      </c>
      <c r="H138" s="107" t="s">
        <v>356</v>
      </c>
      <c r="I138" s="227" t="s">
        <v>356</v>
      </c>
      <c r="J138" s="227"/>
      <c r="K138" s="115" t="s">
        <v>474</v>
      </c>
      <c r="L138" s="228"/>
      <c r="M138" s="107" t="s">
        <v>386</v>
      </c>
      <c r="N138" s="229">
        <f>IF(AND(O138=TRUE,P138=TRUE), VLOOKUP($E138,PESSOAL!$B$35:$S$45,MONTH($F138)+6,FALSE)*G138*24,0)</f>
        <v>51.13490234</v>
      </c>
      <c r="O138" s="89" t="b">
        <f t="shared" si="1"/>
        <v>1</v>
      </c>
      <c r="P138" s="89" t="b">
        <v>1</v>
      </c>
      <c r="Q138" s="89" t="s">
        <v>212</v>
      </c>
    </row>
    <row r="139" hidden="1">
      <c r="A139" s="108"/>
      <c r="B139" s="202"/>
      <c r="C139" s="202" t="str">
        <f>VLOOKUP(M139,'#verificação horas por projeto'!A:B,2,FALSE)</f>
        <v>INOV00046</v>
      </c>
      <c r="D139" s="202" t="s">
        <v>29</v>
      </c>
      <c r="E139" s="107" t="s">
        <v>144</v>
      </c>
      <c r="F139" s="211">
        <v>45436.0</v>
      </c>
      <c r="G139" s="226">
        <v>0.03125</v>
      </c>
      <c r="H139" s="107" t="s">
        <v>354</v>
      </c>
      <c r="I139" s="227" t="s">
        <v>354</v>
      </c>
      <c r="J139" s="227"/>
      <c r="K139" s="115" t="s">
        <v>468</v>
      </c>
      <c r="L139" s="228"/>
      <c r="M139" s="107" t="s">
        <v>373</v>
      </c>
      <c r="N139" s="229">
        <f>IF(AND(O139=TRUE,P139=TRUE), VLOOKUP($E139,PESSOAL!$B$35:$S$45,MONTH($F139)+6,FALSE)*G139*24,0)</f>
        <v>0</v>
      </c>
      <c r="O139" s="89" t="b">
        <f t="shared" si="1"/>
        <v>1</v>
      </c>
      <c r="P139" s="89" t="b">
        <v>0</v>
      </c>
      <c r="Q139" s="89" t="s">
        <v>212</v>
      </c>
    </row>
    <row r="140" hidden="1">
      <c r="A140" s="108"/>
      <c r="B140" s="202"/>
      <c r="C140" s="202" t="str">
        <f>VLOOKUP(M140,'#verificação horas por projeto'!A:B,2,FALSE)</f>
        <v>INOV00001</v>
      </c>
      <c r="D140" s="202" t="s">
        <v>3</v>
      </c>
      <c r="E140" s="107" t="s">
        <v>144</v>
      </c>
      <c r="F140" s="211">
        <v>45446.0</v>
      </c>
      <c r="G140" s="226">
        <v>0.1076388888888889</v>
      </c>
      <c r="H140" s="107" t="s">
        <v>356</v>
      </c>
      <c r="I140" s="227" t="s">
        <v>356</v>
      </c>
      <c r="J140" s="227"/>
      <c r="K140" s="115" t="s">
        <v>475</v>
      </c>
      <c r="L140" s="228"/>
      <c r="M140" s="107" t="s">
        <v>386</v>
      </c>
      <c r="N140" s="229">
        <f>IF(AND(O140=TRUE,P140=TRUE), VLOOKUP($E140,PESSOAL!$B$35:$S$45,MONTH($F140)+6,FALSE)*G140*24,0)</f>
        <v>108.9812606</v>
      </c>
      <c r="O140" s="89" t="b">
        <f t="shared" si="1"/>
        <v>1</v>
      </c>
      <c r="P140" s="89" t="b">
        <v>1</v>
      </c>
      <c r="Q140" s="89" t="s">
        <v>212</v>
      </c>
    </row>
    <row r="141" hidden="1">
      <c r="A141" s="108"/>
      <c r="B141" s="202"/>
      <c r="C141" s="202" t="str">
        <f>VLOOKUP(M141,'#verificação horas por projeto'!A:B,2,FALSE)</f>
        <v>INOV00001</v>
      </c>
      <c r="D141" s="202" t="s">
        <v>3</v>
      </c>
      <c r="E141" s="107" t="s">
        <v>144</v>
      </c>
      <c r="F141" s="211">
        <v>45447.0</v>
      </c>
      <c r="G141" s="226">
        <v>0.0625</v>
      </c>
      <c r="H141" s="107" t="s">
        <v>356</v>
      </c>
      <c r="I141" s="227" t="s">
        <v>356</v>
      </c>
      <c r="J141" s="227"/>
      <c r="K141" s="115" t="s">
        <v>476</v>
      </c>
      <c r="L141" s="228"/>
      <c r="M141" s="107" t="s">
        <v>386</v>
      </c>
      <c r="N141" s="229">
        <f>IF(AND(O141=TRUE,P141=TRUE), VLOOKUP($E141,PESSOAL!$B$35:$S$45,MONTH($F141)+6,FALSE)*G141*24,0)</f>
        <v>63.27944164</v>
      </c>
      <c r="O141" s="89" t="b">
        <f t="shared" si="1"/>
        <v>1</v>
      </c>
      <c r="P141" s="89" t="b">
        <v>1</v>
      </c>
      <c r="Q141" s="89" t="s">
        <v>212</v>
      </c>
    </row>
    <row r="142" hidden="1">
      <c r="A142" s="108"/>
      <c r="B142" s="202"/>
      <c r="C142" s="202" t="str">
        <f>VLOOKUP(M142,'#verificação horas por projeto'!A:B,2,FALSE)</f>
        <v>INOV00001</v>
      </c>
      <c r="D142" s="202" t="s">
        <v>3</v>
      </c>
      <c r="E142" s="107" t="s">
        <v>144</v>
      </c>
      <c r="F142" s="211">
        <v>45387.0</v>
      </c>
      <c r="G142" s="226">
        <v>0.1111111111111111</v>
      </c>
      <c r="H142" s="107" t="s">
        <v>356</v>
      </c>
      <c r="I142" s="227" t="s">
        <v>356</v>
      </c>
      <c r="J142" s="227"/>
      <c r="K142" s="115" t="s">
        <v>476</v>
      </c>
      <c r="L142" s="228"/>
      <c r="M142" s="107" t="s">
        <v>386</v>
      </c>
      <c r="N142" s="229">
        <f>IF(AND(O142=TRUE,P142=TRUE), VLOOKUP($E142,PESSOAL!$B$35:$S$45,MONTH($F142)+6,FALSE)*G142*24,0)</f>
        <v>102.2698047</v>
      </c>
      <c r="O142" s="89" t="b">
        <f t="shared" si="1"/>
        <v>1</v>
      </c>
      <c r="P142" s="89" t="b">
        <v>1</v>
      </c>
      <c r="Q142" s="89" t="s">
        <v>212</v>
      </c>
    </row>
    <row r="143" hidden="1">
      <c r="A143" s="108"/>
      <c r="B143" s="202"/>
      <c r="C143" s="202" t="str">
        <f>VLOOKUP(M143,'#verificação horas por projeto'!A:B,2,FALSE)</f>
        <v>INOV00001</v>
      </c>
      <c r="D143" s="202" t="s">
        <v>3</v>
      </c>
      <c r="E143" s="107" t="s">
        <v>122</v>
      </c>
      <c r="F143" s="211">
        <v>45383.0</v>
      </c>
      <c r="G143" s="226">
        <v>0.041666666666666664</v>
      </c>
      <c r="H143" s="107" t="s">
        <v>356</v>
      </c>
      <c r="I143" s="227" t="s">
        <v>356</v>
      </c>
      <c r="J143" s="227"/>
      <c r="K143" s="115" t="s">
        <v>477</v>
      </c>
      <c r="L143" s="228"/>
      <c r="M143" s="107" t="s">
        <v>386</v>
      </c>
      <c r="N143" s="229">
        <f>IF(AND(O143=TRUE,P143=TRUE), VLOOKUP($E143,PESSOAL!$B$35:$S$45,MONTH($F143)+6,FALSE)*G143*24,0)</f>
        <v>195.0189566</v>
      </c>
      <c r="O143" s="89" t="b">
        <f t="shared" si="1"/>
        <v>1</v>
      </c>
      <c r="P143" s="89" t="b">
        <v>1</v>
      </c>
      <c r="Q143" s="89" t="s">
        <v>212</v>
      </c>
    </row>
    <row r="144" hidden="1">
      <c r="A144" s="108"/>
      <c r="B144" s="202"/>
      <c r="C144" s="202" t="str">
        <f>VLOOKUP(M144,'#verificação horas por projeto'!A:B,2,FALSE)</f>
        <v>INOV00041</v>
      </c>
      <c r="D144" s="202" t="s">
        <v>28</v>
      </c>
      <c r="E144" s="107" t="s">
        <v>122</v>
      </c>
      <c r="F144" s="211">
        <v>45397.0</v>
      </c>
      <c r="G144" s="226">
        <v>0.020833333333333332</v>
      </c>
      <c r="H144" s="107" t="s">
        <v>359</v>
      </c>
      <c r="I144" s="227" t="s">
        <v>359</v>
      </c>
      <c r="J144" s="227"/>
      <c r="K144" s="115" t="s">
        <v>478</v>
      </c>
      <c r="L144" s="228"/>
      <c r="M144" s="107" t="s">
        <v>408</v>
      </c>
      <c r="N144" s="229">
        <f>IF(AND(O144=TRUE,P144=TRUE), VLOOKUP($E144,PESSOAL!$B$35:$S$45,MONTH($F144)+6,FALSE)*G144*24,0)</f>
        <v>0</v>
      </c>
      <c r="O144" s="89" t="b">
        <f t="shared" si="1"/>
        <v>0</v>
      </c>
      <c r="P144" s="89" t="b">
        <v>1</v>
      </c>
      <c r="Q144" s="89" t="s">
        <v>212</v>
      </c>
    </row>
    <row r="145" hidden="1">
      <c r="A145" s="108"/>
      <c r="B145" s="202"/>
      <c r="C145" s="202" t="str">
        <f>VLOOKUP(M145,'#verificação horas por projeto'!A:B,2,FALSE)</f>
        <v>INOV00001</v>
      </c>
      <c r="D145" s="202" t="s">
        <v>3</v>
      </c>
      <c r="E145" s="107" t="s">
        <v>146</v>
      </c>
      <c r="F145" s="211">
        <v>45383.0</v>
      </c>
      <c r="G145" s="226">
        <v>0.020833333333333332</v>
      </c>
      <c r="H145" s="107" t="s">
        <v>356</v>
      </c>
      <c r="I145" s="227" t="s">
        <v>356</v>
      </c>
      <c r="J145" s="227"/>
      <c r="K145" s="115" t="s">
        <v>479</v>
      </c>
      <c r="L145" s="228"/>
      <c r="M145" s="107" t="s">
        <v>386</v>
      </c>
      <c r="N145" s="229">
        <f>IF(AND(O145=TRUE,P145=TRUE), VLOOKUP($E145,PESSOAL!$B$35:$S$45,MONTH($F145)+6,FALSE)*G145*24,0)</f>
        <v>30.19630005</v>
      </c>
      <c r="O145" s="89" t="b">
        <f t="shared" si="1"/>
        <v>1</v>
      </c>
      <c r="P145" s="89" t="b">
        <v>1</v>
      </c>
      <c r="Q145" s="89" t="s">
        <v>212</v>
      </c>
    </row>
    <row r="146" hidden="1">
      <c r="A146" s="108"/>
      <c r="B146" s="202"/>
      <c r="C146" s="202" t="str">
        <f>VLOOKUP(M146,'#verificação horas por projeto'!A:B,2,FALSE)</f>
        <v>INOV00001</v>
      </c>
      <c r="D146" s="202" t="s">
        <v>3</v>
      </c>
      <c r="E146" s="107" t="s">
        <v>146</v>
      </c>
      <c r="F146" s="211">
        <v>45383.0</v>
      </c>
      <c r="G146" s="226">
        <v>0.020833333333333332</v>
      </c>
      <c r="H146" s="107" t="s">
        <v>356</v>
      </c>
      <c r="I146" s="227" t="s">
        <v>356</v>
      </c>
      <c r="J146" s="227"/>
      <c r="K146" s="115" t="s">
        <v>480</v>
      </c>
      <c r="L146" s="228"/>
      <c r="M146" s="107" t="s">
        <v>386</v>
      </c>
      <c r="N146" s="229">
        <f>IF(AND(O146=TRUE,P146=TRUE), VLOOKUP($E146,PESSOAL!$B$35:$S$45,MONTH($F146)+6,FALSE)*G146*24,0)</f>
        <v>30.19630005</v>
      </c>
      <c r="O146" s="89" t="b">
        <f t="shared" si="1"/>
        <v>1</v>
      </c>
      <c r="P146" s="89" t="b">
        <v>1</v>
      </c>
      <c r="Q146" s="89" t="s">
        <v>212</v>
      </c>
    </row>
    <row r="147" hidden="1">
      <c r="A147" s="108"/>
      <c r="B147" s="202"/>
      <c r="C147" s="202" t="str">
        <f>VLOOKUP(M147,'#verificação horas por projeto'!A:B,2,FALSE)</f>
        <v>INOV00001</v>
      </c>
      <c r="D147" s="202" t="s">
        <v>3</v>
      </c>
      <c r="E147" s="107" t="s">
        <v>146</v>
      </c>
      <c r="F147" s="211">
        <v>45385.0</v>
      </c>
      <c r="G147" s="226">
        <v>0.08333333333333333</v>
      </c>
      <c r="H147" s="107" t="s">
        <v>354</v>
      </c>
      <c r="I147" s="227" t="s">
        <v>354</v>
      </c>
      <c r="J147" s="227"/>
      <c r="K147" s="115" t="s">
        <v>481</v>
      </c>
      <c r="L147" s="228"/>
      <c r="M147" s="107" t="s">
        <v>386</v>
      </c>
      <c r="N147" s="229">
        <f>IF(AND(O147=TRUE,P147=TRUE), VLOOKUP($E147,PESSOAL!$B$35:$S$45,MONTH($F147)+6,FALSE)*G147*24,0)</f>
        <v>120.7852002</v>
      </c>
      <c r="O147" s="89" t="b">
        <f t="shared" si="1"/>
        <v>1</v>
      </c>
      <c r="P147" s="89" t="b">
        <v>1</v>
      </c>
      <c r="Q147" s="89" t="s">
        <v>212</v>
      </c>
    </row>
    <row r="148" hidden="1">
      <c r="A148" s="108"/>
      <c r="B148" s="202"/>
      <c r="C148" s="202" t="str">
        <f>VLOOKUP(M148,'#verificação horas por projeto'!A:B,2,FALSE)</f>
        <v>INOV00001</v>
      </c>
      <c r="D148" s="202" t="s">
        <v>3</v>
      </c>
      <c r="E148" s="107" t="s">
        <v>146</v>
      </c>
      <c r="F148" s="211">
        <v>45387.0</v>
      </c>
      <c r="G148" s="226">
        <v>0.08333333333333333</v>
      </c>
      <c r="H148" s="107" t="s">
        <v>356</v>
      </c>
      <c r="I148" s="227" t="s">
        <v>356</v>
      </c>
      <c r="J148" s="227"/>
      <c r="K148" s="115" t="s">
        <v>482</v>
      </c>
      <c r="L148" s="228"/>
      <c r="M148" s="107" t="s">
        <v>386</v>
      </c>
      <c r="N148" s="229">
        <f>IF(AND(O148=TRUE,P148=TRUE), VLOOKUP($E148,PESSOAL!$B$35:$S$45,MONTH($F148)+6,FALSE)*G148*24,0)</f>
        <v>120.7852002</v>
      </c>
      <c r="O148" s="89" t="b">
        <f t="shared" si="1"/>
        <v>1</v>
      </c>
      <c r="P148" s="89" t="b">
        <v>1</v>
      </c>
      <c r="Q148" s="89" t="s">
        <v>212</v>
      </c>
    </row>
    <row r="149" hidden="1">
      <c r="A149" s="108"/>
      <c r="B149" s="202"/>
      <c r="C149" s="202" t="str">
        <f>VLOOKUP(M149,'#verificação horas por projeto'!A:B,2,FALSE)</f>
        <v>INOV00001</v>
      </c>
      <c r="D149" s="202" t="s">
        <v>3</v>
      </c>
      <c r="E149" s="107" t="s">
        <v>146</v>
      </c>
      <c r="F149" s="211">
        <v>45414.0</v>
      </c>
      <c r="G149" s="226">
        <v>0.0625</v>
      </c>
      <c r="H149" s="107" t="s">
        <v>356</v>
      </c>
      <c r="I149" s="227" t="s">
        <v>356</v>
      </c>
      <c r="J149" s="227"/>
      <c r="K149" s="115" t="s">
        <v>483</v>
      </c>
      <c r="L149" s="228"/>
      <c r="M149" s="107" t="s">
        <v>386</v>
      </c>
      <c r="N149" s="229">
        <f>IF(AND(O149=TRUE,P149=TRUE), VLOOKUP($E149,PESSOAL!$B$35:$S$45,MONTH($F149)+6,FALSE)*G149*24,0)</f>
        <v>90.58890014</v>
      </c>
      <c r="O149" s="89" t="b">
        <f t="shared" si="1"/>
        <v>1</v>
      </c>
      <c r="P149" s="89" t="b">
        <v>1</v>
      </c>
      <c r="Q149" s="89" t="s">
        <v>212</v>
      </c>
    </row>
    <row r="150" hidden="1">
      <c r="A150" s="108"/>
      <c r="B150" s="202"/>
      <c r="C150" s="202" t="str">
        <f>VLOOKUP(M150,'#verificação horas por projeto'!A:B,2,FALSE)</f>
        <v>INOV00001</v>
      </c>
      <c r="D150" s="202" t="s">
        <v>3</v>
      </c>
      <c r="E150" s="107" t="s">
        <v>146</v>
      </c>
      <c r="F150" s="211">
        <v>45421.0</v>
      </c>
      <c r="G150" s="226">
        <v>0.020833333333333332</v>
      </c>
      <c r="H150" s="107" t="s">
        <v>356</v>
      </c>
      <c r="I150" s="227" t="s">
        <v>356</v>
      </c>
      <c r="J150" s="227"/>
      <c r="K150" s="115" t="s">
        <v>484</v>
      </c>
      <c r="L150" s="228"/>
      <c r="M150" s="107" t="s">
        <v>386</v>
      </c>
      <c r="N150" s="229">
        <f>IF(AND(O150=TRUE,P150=TRUE), VLOOKUP($E150,PESSOAL!$B$35:$S$45,MONTH($F150)+6,FALSE)*G150*24,0)</f>
        <v>30.19630005</v>
      </c>
      <c r="O150" s="89" t="b">
        <f t="shared" si="1"/>
        <v>1</v>
      </c>
      <c r="P150" s="89" t="b">
        <v>1</v>
      </c>
      <c r="Q150" s="89" t="s">
        <v>212</v>
      </c>
    </row>
    <row r="151" hidden="1">
      <c r="A151" s="108"/>
      <c r="B151" s="202"/>
      <c r="C151" s="202" t="str">
        <f>VLOOKUP(M151,'#verificação horas por projeto'!A:B,2,FALSE)</f>
        <v>INOV00001</v>
      </c>
      <c r="D151" s="202" t="s">
        <v>3</v>
      </c>
      <c r="E151" s="107" t="s">
        <v>146</v>
      </c>
      <c r="F151" s="211">
        <v>45427.0</v>
      </c>
      <c r="G151" s="226">
        <v>0.041666666666666664</v>
      </c>
      <c r="H151" s="107" t="s">
        <v>356</v>
      </c>
      <c r="I151" s="227" t="s">
        <v>356</v>
      </c>
      <c r="J151" s="227"/>
      <c r="K151" s="115" t="s">
        <v>485</v>
      </c>
      <c r="L151" s="228"/>
      <c r="M151" s="107" t="s">
        <v>386</v>
      </c>
      <c r="N151" s="229">
        <f>IF(AND(O151=TRUE,P151=TRUE), VLOOKUP($E151,PESSOAL!$B$35:$S$45,MONTH($F151)+6,FALSE)*G151*24,0)</f>
        <v>60.39260009</v>
      </c>
      <c r="O151" s="89" t="b">
        <f t="shared" si="1"/>
        <v>1</v>
      </c>
      <c r="P151" s="89" t="b">
        <v>1</v>
      </c>
      <c r="Q151" s="89" t="s">
        <v>212</v>
      </c>
    </row>
    <row r="152" hidden="1">
      <c r="A152" s="108"/>
      <c r="B152" s="202"/>
      <c r="C152" s="202" t="str">
        <f>VLOOKUP(M152,'#verificação horas por projeto'!A:B,2,FALSE)</f>
        <v>INOV00001</v>
      </c>
      <c r="D152" s="202" t="s">
        <v>3</v>
      </c>
      <c r="E152" s="107" t="s">
        <v>146</v>
      </c>
      <c r="F152" s="211">
        <v>45427.0</v>
      </c>
      <c r="G152" s="226">
        <v>0.125</v>
      </c>
      <c r="H152" s="107" t="s">
        <v>356</v>
      </c>
      <c r="I152" s="227" t="s">
        <v>356</v>
      </c>
      <c r="J152" s="227"/>
      <c r="K152" s="115" t="s">
        <v>486</v>
      </c>
      <c r="L152" s="228"/>
      <c r="M152" s="107" t="s">
        <v>386</v>
      </c>
      <c r="N152" s="229">
        <f>IF(AND(O152=TRUE,P152=TRUE), VLOOKUP($E152,PESSOAL!$B$35:$S$45,MONTH($F152)+6,FALSE)*G152*24,0)</f>
        <v>181.1778003</v>
      </c>
      <c r="O152" s="89" t="b">
        <f t="shared" si="1"/>
        <v>1</v>
      </c>
      <c r="P152" s="89" t="b">
        <v>1</v>
      </c>
      <c r="Q152" s="89" t="s">
        <v>212</v>
      </c>
    </row>
    <row r="153" hidden="1">
      <c r="A153" s="108"/>
      <c r="B153" s="202"/>
      <c r="C153" s="202" t="str">
        <f>VLOOKUP(M153,'#verificação horas por projeto'!A:B,2,FALSE)</f>
        <v>INOV00001</v>
      </c>
      <c r="D153" s="202" t="s">
        <v>3</v>
      </c>
      <c r="E153" s="107" t="s">
        <v>146</v>
      </c>
      <c r="F153" s="211">
        <v>45428.0</v>
      </c>
      <c r="G153" s="226">
        <v>0.125</v>
      </c>
      <c r="H153" s="107" t="s">
        <v>356</v>
      </c>
      <c r="I153" s="227" t="s">
        <v>356</v>
      </c>
      <c r="J153" s="227"/>
      <c r="K153" s="115" t="s">
        <v>487</v>
      </c>
      <c r="L153" s="228"/>
      <c r="M153" s="107" t="s">
        <v>386</v>
      </c>
      <c r="N153" s="229">
        <f>IF(AND(O153=TRUE,P153=TRUE), VLOOKUP($E153,PESSOAL!$B$35:$S$45,MONTH($F153)+6,FALSE)*G153*24,0)</f>
        <v>181.1778003</v>
      </c>
      <c r="O153" s="89" t="b">
        <f t="shared" si="1"/>
        <v>1</v>
      </c>
      <c r="P153" s="89" t="b">
        <v>1</v>
      </c>
      <c r="Q153" s="89" t="s">
        <v>212</v>
      </c>
    </row>
    <row r="154" hidden="1">
      <c r="A154" s="108"/>
      <c r="B154" s="202"/>
      <c r="C154" s="202" t="str">
        <f>VLOOKUP(M154,'#verificação horas por projeto'!A:B,2,FALSE)</f>
        <v>INOV00001</v>
      </c>
      <c r="D154" s="202" t="s">
        <v>3</v>
      </c>
      <c r="E154" s="107" t="s">
        <v>146</v>
      </c>
      <c r="F154" s="211">
        <v>45428.0</v>
      </c>
      <c r="G154" s="226">
        <v>0.041666666666666664</v>
      </c>
      <c r="H154" s="107" t="s">
        <v>356</v>
      </c>
      <c r="I154" s="227" t="s">
        <v>356</v>
      </c>
      <c r="J154" s="227"/>
      <c r="K154" s="115" t="s">
        <v>488</v>
      </c>
      <c r="L154" s="228"/>
      <c r="M154" s="107" t="s">
        <v>386</v>
      </c>
      <c r="N154" s="229">
        <f>IF(AND(O154=TRUE,P154=TRUE), VLOOKUP($E154,PESSOAL!$B$35:$S$45,MONTH($F154)+6,FALSE)*G154*24,0)</f>
        <v>60.39260009</v>
      </c>
      <c r="O154" s="89" t="b">
        <f t="shared" si="1"/>
        <v>1</v>
      </c>
      <c r="P154" s="89" t="b">
        <v>1</v>
      </c>
      <c r="Q154" s="89" t="s">
        <v>212</v>
      </c>
    </row>
    <row r="155" hidden="1">
      <c r="A155" s="108"/>
      <c r="B155" s="202"/>
      <c r="C155" s="202" t="str">
        <f>VLOOKUP(M155,'#verificação horas por projeto'!A:B,2,FALSE)</f>
        <v>INOV00001</v>
      </c>
      <c r="D155" s="202" t="s">
        <v>3</v>
      </c>
      <c r="E155" s="107" t="s">
        <v>146</v>
      </c>
      <c r="F155" s="211">
        <v>45434.0</v>
      </c>
      <c r="G155" s="226">
        <v>0.40625</v>
      </c>
      <c r="H155" s="107" t="s">
        <v>356</v>
      </c>
      <c r="I155" s="227" t="s">
        <v>356</v>
      </c>
      <c r="J155" s="227"/>
      <c r="K155" s="115" t="s">
        <v>489</v>
      </c>
      <c r="L155" s="228"/>
      <c r="M155" s="107" t="s">
        <v>386</v>
      </c>
      <c r="N155" s="229">
        <f>IF(AND(O155=TRUE,P155=TRUE), VLOOKUP($E155,PESSOAL!$B$35:$S$45,MONTH($F155)+6,FALSE)*G155*24,0)</f>
        <v>588.8278509</v>
      </c>
      <c r="O155" s="89" t="b">
        <f t="shared" si="1"/>
        <v>1</v>
      </c>
      <c r="P155" s="89" t="b">
        <v>1</v>
      </c>
      <c r="Q155" s="89" t="s">
        <v>212</v>
      </c>
    </row>
    <row r="156" hidden="1">
      <c r="A156" s="108"/>
      <c r="B156" s="202"/>
      <c r="C156" s="202" t="str">
        <f>VLOOKUP(M156,'#verificação horas por projeto'!A:B,2,FALSE)</f>
        <v>INOV00001</v>
      </c>
      <c r="D156" s="202" t="s">
        <v>3</v>
      </c>
      <c r="E156" s="107" t="s">
        <v>146</v>
      </c>
      <c r="F156" s="211">
        <v>45435.0</v>
      </c>
      <c r="G156" s="226">
        <v>0.40625</v>
      </c>
      <c r="H156" s="107" t="s">
        <v>356</v>
      </c>
      <c r="I156" s="227" t="s">
        <v>356</v>
      </c>
      <c r="J156" s="227"/>
      <c r="K156" s="115" t="s">
        <v>490</v>
      </c>
      <c r="L156" s="228"/>
      <c r="M156" s="107" t="s">
        <v>386</v>
      </c>
      <c r="N156" s="229">
        <f>IF(AND(O156=TRUE,P156=TRUE), VLOOKUP($E156,PESSOAL!$B$35:$S$45,MONTH($F156)+6,FALSE)*G156*24,0)</f>
        <v>588.8278509</v>
      </c>
      <c r="O156" s="89" t="b">
        <f t="shared" si="1"/>
        <v>1</v>
      </c>
      <c r="P156" s="89" t="b">
        <v>1</v>
      </c>
      <c r="Q156" s="89" t="s">
        <v>212</v>
      </c>
    </row>
    <row r="157" hidden="1">
      <c r="A157" s="108"/>
      <c r="B157" s="202"/>
      <c r="C157" s="202" t="str">
        <f>VLOOKUP(M157,'#verificação horas por projeto'!A:B,2,FALSE)</f>
        <v>INOV00001</v>
      </c>
      <c r="D157" s="202" t="s">
        <v>3</v>
      </c>
      <c r="E157" s="107" t="s">
        <v>146</v>
      </c>
      <c r="F157" s="211">
        <v>45436.0</v>
      </c>
      <c r="G157" s="226">
        <v>0.041666666666666664</v>
      </c>
      <c r="H157" s="107" t="s">
        <v>356</v>
      </c>
      <c r="I157" s="227" t="s">
        <v>356</v>
      </c>
      <c r="J157" s="227"/>
      <c r="K157" s="115" t="s">
        <v>491</v>
      </c>
      <c r="L157" s="228"/>
      <c r="M157" s="107" t="s">
        <v>386</v>
      </c>
      <c r="N157" s="229">
        <f>IF(AND(O157=TRUE,P157=TRUE), VLOOKUP($E157,PESSOAL!$B$35:$S$45,MONTH($F157)+6,FALSE)*G157*24,0)</f>
        <v>60.39260009</v>
      </c>
      <c r="O157" s="89" t="b">
        <f t="shared" si="1"/>
        <v>1</v>
      </c>
      <c r="P157" s="89" t="b">
        <v>1</v>
      </c>
      <c r="Q157" s="89" t="s">
        <v>212</v>
      </c>
    </row>
    <row r="158" hidden="1">
      <c r="A158" s="108"/>
      <c r="B158" s="202"/>
      <c r="C158" s="202" t="str">
        <f>VLOOKUP(M158,'#verificação horas por projeto'!A:B,2,FALSE)</f>
        <v>INOV00001</v>
      </c>
      <c r="D158" s="202" t="s">
        <v>3</v>
      </c>
      <c r="E158" s="107" t="s">
        <v>146</v>
      </c>
      <c r="F158" s="211">
        <v>45439.0</v>
      </c>
      <c r="G158" s="226">
        <v>0.08333333333333333</v>
      </c>
      <c r="H158" s="107" t="s">
        <v>356</v>
      </c>
      <c r="I158" s="227" t="s">
        <v>356</v>
      </c>
      <c r="J158" s="227"/>
      <c r="K158" s="115" t="s">
        <v>491</v>
      </c>
      <c r="L158" s="228"/>
      <c r="M158" s="107" t="s">
        <v>386</v>
      </c>
      <c r="N158" s="229">
        <f>IF(AND(O158=TRUE,P158=TRUE), VLOOKUP($E158,PESSOAL!$B$35:$S$45,MONTH($F158)+6,FALSE)*G158*24,0)</f>
        <v>120.7852002</v>
      </c>
      <c r="O158" s="89" t="b">
        <f t="shared" si="1"/>
        <v>1</v>
      </c>
      <c r="P158" s="89" t="b">
        <v>1</v>
      </c>
      <c r="Q158" s="89" t="s">
        <v>212</v>
      </c>
    </row>
    <row r="159" hidden="1">
      <c r="A159" s="108"/>
      <c r="B159" s="202"/>
      <c r="C159" s="202" t="str">
        <f>VLOOKUP(M159,'#verificação horas por projeto'!A:B,2,FALSE)</f>
        <v>INOV00001</v>
      </c>
      <c r="D159" s="202" t="s">
        <v>3</v>
      </c>
      <c r="E159" s="107" t="s">
        <v>146</v>
      </c>
      <c r="F159" s="211">
        <v>45440.0</v>
      </c>
      <c r="G159" s="226">
        <v>0.08333333333333333</v>
      </c>
      <c r="H159" s="107" t="s">
        <v>356</v>
      </c>
      <c r="I159" s="227" t="s">
        <v>356</v>
      </c>
      <c r="J159" s="227"/>
      <c r="K159" s="115" t="s">
        <v>492</v>
      </c>
      <c r="L159" s="228"/>
      <c r="M159" s="107" t="s">
        <v>386</v>
      </c>
      <c r="N159" s="229">
        <f>IF(AND(O159=TRUE,P159=TRUE), VLOOKUP($E159,PESSOAL!$B$35:$S$45,MONTH($F159)+6,FALSE)*G159*24,0)</f>
        <v>120.7852002</v>
      </c>
      <c r="O159" s="89" t="b">
        <f t="shared" si="1"/>
        <v>1</v>
      </c>
      <c r="P159" s="89" t="b">
        <v>1</v>
      </c>
      <c r="Q159" s="89" t="s">
        <v>212</v>
      </c>
    </row>
    <row r="160" hidden="1">
      <c r="A160" s="108"/>
      <c r="B160" s="202"/>
      <c r="C160" s="202" t="str">
        <f>VLOOKUP(M160,'#verificação horas por projeto'!A:B,2,FALSE)</f>
        <v>INOV00001</v>
      </c>
      <c r="D160" s="202" t="s">
        <v>3</v>
      </c>
      <c r="E160" s="107" t="s">
        <v>146</v>
      </c>
      <c r="F160" s="211">
        <v>45446.0</v>
      </c>
      <c r="G160" s="226">
        <v>0.020833333333333332</v>
      </c>
      <c r="H160" s="107" t="s">
        <v>356</v>
      </c>
      <c r="I160" s="227" t="s">
        <v>356</v>
      </c>
      <c r="J160" s="227"/>
      <c r="K160" s="115" t="s">
        <v>493</v>
      </c>
      <c r="L160" s="228"/>
      <c r="M160" s="107" t="s">
        <v>386</v>
      </c>
      <c r="N160" s="229">
        <f>IF(AND(O160=TRUE,P160=TRUE), VLOOKUP($E160,PESSOAL!$B$35:$S$45,MONTH($F160)+6,FALSE)*G160*24,0)</f>
        <v>33.21593005</v>
      </c>
      <c r="O160" s="89" t="b">
        <f t="shared" si="1"/>
        <v>1</v>
      </c>
      <c r="P160" s="89" t="b">
        <v>1</v>
      </c>
      <c r="Q160" s="89" t="s">
        <v>212</v>
      </c>
    </row>
    <row r="161" hidden="1">
      <c r="A161" s="108"/>
      <c r="B161" s="202"/>
      <c r="C161" s="202" t="str">
        <f>VLOOKUP(M161,'#verificação horas por projeto'!A:B,2,FALSE)</f>
        <v>INOV00001</v>
      </c>
      <c r="D161" s="202" t="s">
        <v>3</v>
      </c>
      <c r="E161" s="107" t="s">
        <v>146</v>
      </c>
      <c r="F161" s="211">
        <v>45446.0</v>
      </c>
      <c r="G161" s="226">
        <v>0.027777777777777776</v>
      </c>
      <c r="H161" s="107" t="s">
        <v>356</v>
      </c>
      <c r="I161" s="227" t="s">
        <v>356</v>
      </c>
      <c r="J161" s="227"/>
      <c r="K161" s="115" t="s">
        <v>493</v>
      </c>
      <c r="L161" s="228"/>
      <c r="M161" s="107" t="s">
        <v>386</v>
      </c>
      <c r="N161" s="229">
        <f>IF(AND(O161=TRUE,P161=TRUE), VLOOKUP($E161,PESSOAL!$B$35:$S$45,MONTH($F161)+6,FALSE)*G161*24,0)</f>
        <v>44.28790674</v>
      </c>
      <c r="O161" s="89" t="b">
        <f t="shared" si="1"/>
        <v>1</v>
      </c>
      <c r="P161" s="89" t="b">
        <v>1</v>
      </c>
      <c r="Q161" s="89" t="s">
        <v>212</v>
      </c>
    </row>
    <row r="162" hidden="1">
      <c r="A162" s="108"/>
      <c r="B162" s="202"/>
      <c r="C162" s="202" t="str">
        <f>VLOOKUP(M162,'#verificação horas por projeto'!A:B,2,FALSE)</f>
        <v>INOV00001</v>
      </c>
      <c r="D162" s="202" t="s">
        <v>3</v>
      </c>
      <c r="E162" s="107" t="s">
        <v>146</v>
      </c>
      <c r="F162" s="211">
        <v>45446.0</v>
      </c>
      <c r="G162" s="226">
        <v>0.041666666666666664</v>
      </c>
      <c r="H162" s="107" t="s">
        <v>356</v>
      </c>
      <c r="I162" s="227" t="s">
        <v>356</v>
      </c>
      <c r="J162" s="227"/>
      <c r="K162" s="115" t="s">
        <v>494</v>
      </c>
      <c r="L162" s="228"/>
      <c r="M162" s="107" t="s">
        <v>386</v>
      </c>
      <c r="N162" s="229">
        <f>IF(AND(O162=TRUE,P162=TRUE), VLOOKUP($E162,PESSOAL!$B$35:$S$45,MONTH($F162)+6,FALSE)*G162*24,0)</f>
        <v>66.4318601</v>
      </c>
      <c r="O162" s="89" t="b">
        <f t="shared" si="1"/>
        <v>1</v>
      </c>
      <c r="P162" s="89" t="b">
        <v>1</v>
      </c>
      <c r="Q162" s="89" t="s">
        <v>212</v>
      </c>
    </row>
    <row r="163" hidden="1">
      <c r="A163" s="108"/>
      <c r="B163" s="202"/>
      <c r="C163" s="202" t="str">
        <f>VLOOKUP(M163,'#verificação horas por projeto'!A:B,2,FALSE)</f>
        <v>INOV00001</v>
      </c>
      <c r="D163" s="202" t="s">
        <v>3</v>
      </c>
      <c r="E163" s="107" t="s">
        <v>146</v>
      </c>
      <c r="F163" s="211">
        <v>45449.0</v>
      </c>
      <c r="G163" s="226">
        <v>0.0625</v>
      </c>
      <c r="H163" s="107" t="s">
        <v>356</v>
      </c>
      <c r="I163" s="227" t="s">
        <v>356</v>
      </c>
      <c r="J163" s="227"/>
      <c r="K163" s="115" t="s">
        <v>495</v>
      </c>
      <c r="L163" s="228"/>
      <c r="M163" s="107" t="s">
        <v>386</v>
      </c>
      <c r="N163" s="229">
        <f>IF(AND(O163=TRUE,P163=TRUE), VLOOKUP($E163,PESSOAL!$B$35:$S$45,MONTH($F163)+6,FALSE)*G163*24,0)</f>
        <v>99.64779016</v>
      </c>
      <c r="O163" s="89" t="b">
        <f t="shared" si="1"/>
        <v>1</v>
      </c>
      <c r="P163" s="89" t="b">
        <v>1</v>
      </c>
      <c r="Q163" s="89" t="s">
        <v>212</v>
      </c>
    </row>
    <row r="164" hidden="1">
      <c r="A164" s="108"/>
      <c r="B164" s="202"/>
      <c r="C164" s="202" t="str">
        <f>VLOOKUP(M164,'#verificação horas por projeto'!A:B,2,FALSE)</f>
        <v>INOV00001</v>
      </c>
      <c r="D164" s="202" t="s">
        <v>3</v>
      </c>
      <c r="E164" s="107" t="s">
        <v>146</v>
      </c>
      <c r="F164" s="211">
        <v>45453.0</v>
      </c>
      <c r="G164" s="226">
        <v>0.03125</v>
      </c>
      <c r="H164" s="107" t="s">
        <v>356</v>
      </c>
      <c r="I164" s="227" t="s">
        <v>356</v>
      </c>
      <c r="J164" s="227"/>
      <c r="K164" s="115" t="s">
        <v>496</v>
      </c>
      <c r="L164" s="228"/>
      <c r="M164" s="107" t="s">
        <v>386</v>
      </c>
      <c r="N164" s="229">
        <f>IF(AND(O164=TRUE,P164=TRUE), VLOOKUP($E164,PESSOAL!$B$35:$S$45,MONTH($F164)+6,FALSE)*G164*24,0)</f>
        <v>49.82389508</v>
      </c>
      <c r="O164" s="89" t="b">
        <f t="shared" si="1"/>
        <v>1</v>
      </c>
      <c r="P164" s="89" t="b">
        <v>1</v>
      </c>
      <c r="Q164" s="89" t="s">
        <v>212</v>
      </c>
    </row>
    <row r="165" hidden="1">
      <c r="A165" s="108"/>
      <c r="B165" s="202"/>
      <c r="C165" s="202" t="str">
        <f>VLOOKUP(M165,'#verificação horas por projeto'!A:B,2,FALSE)</f>
        <v>INOV00001</v>
      </c>
      <c r="D165" s="202" t="s">
        <v>3</v>
      </c>
      <c r="E165" s="107" t="s">
        <v>146</v>
      </c>
      <c r="F165" s="211">
        <v>45453.0</v>
      </c>
      <c r="G165" s="226">
        <v>0.020833333333333332</v>
      </c>
      <c r="H165" s="107" t="s">
        <v>354</v>
      </c>
      <c r="I165" s="227" t="s">
        <v>354</v>
      </c>
      <c r="J165" s="227"/>
      <c r="K165" s="115" t="s">
        <v>497</v>
      </c>
      <c r="L165" s="228"/>
      <c r="M165" s="107" t="s">
        <v>386</v>
      </c>
      <c r="N165" s="229">
        <f>IF(AND(O165=TRUE,P165=TRUE), VLOOKUP($E165,PESSOAL!$B$35:$S$45,MONTH($F165)+6,FALSE)*G165*24,0)</f>
        <v>33.21593005</v>
      </c>
      <c r="O165" s="89" t="b">
        <f t="shared" si="1"/>
        <v>1</v>
      </c>
      <c r="P165" s="89" t="b">
        <v>1</v>
      </c>
      <c r="Q165" s="89" t="s">
        <v>212</v>
      </c>
    </row>
    <row r="166" hidden="1">
      <c r="A166" s="108"/>
      <c r="B166" s="202"/>
      <c r="C166" s="202" t="str">
        <f>VLOOKUP(M166,'#verificação horas por projeto'!A:B,2,FALSE)</f>
        <v>INOV00001</v>
      </c>
      <c r="D166" s="202" t="s">
        <v>3</v>
      </c>
      <c r="E166" s="107" t="s">
        <v>146</v>
      </c>
      <c r="F166" s="211">
        <v>45454.0</v>
      </c>
      <c r="G166" s="226">
        <v>0.020833333333333332</v>
      </c>
      <c r="H166" s="107" t="s">
        <v>356</v>
      </c>
      <c r="I166" s="227" t="s">
        <v>356</v>
      </c>
      <c r="J166" s="227"/>
      <c r="K166" s="115" t="s">
        <v>498</v>
      </c>
      <c r="L166" s="228"/>
      <c r="M166" s="107" t="s">
        <v>386</v>
      </c>
      <c r="N166" s="229">
        <f>IF(AND(O166=TRUE,P166=TRUE), VLOOKUP($E166,PESSOAL!$B$35:$S$45,MONTH($F166)+6,FALSE)*G166*24,0)</f>
        <v>33.21593005</v>
      </c>
      <c r="O166" s="89" t="b">
        <f t="shared" si="1"/>
        <v>1</v>
      </c>
      <c r="P166" s="89" t="b">
        <v>1</v>
      </c>
      <c r="Q166" s="89" t="s">
        <v>212</v>
      </c>
    </row>
    <row r="167" hidden="1">
      <c r="A167" s="108"/>
      <c r="B167" s="202"/>
      <c r="C167" s="202" t="str">
        <f>VLOOKUP(M167,'#verificação horas por projeto'!A:B,2,FALSE)</f>
        <v>INOV00001</v>
      </c>
      <c r="D167" s="202" t="s">
        <v>3</v>
      </c>
      <c r="E167" s="107" t="s">
        <v>146</v>
      </c>
      <c r="F167" s="211">
        <v>45454.0</v>
      </c>
      <c r="G167" s="226">
        <v>0.020833333333333332</v>
      </c>
      <c r="H167" s="107" t="s">
        <v>354</v>
      </c>
      <c r="I167" s="227" t="s">
        <v>354</v>
      </c>
      <c r="J167" s="227"/>
      <c r="K167" s="115" t="s">
        <v>499</v>
      </c>
      <c r="L167" s="228"/>
      <c r="M167" s="107" t="s">
        <v>386</v>
      </c>
      <c r="N167" s="229">
        <f>IF(AND(O167=TRUE,P167=TRUE), VLOOKUP($E167,PESSOAL!$B$35:$S$45,MONTH($F167)+6,FALSE)*G167*24,0)</f>
        <v>33.21593005</v>
      </c>
      <c r="O167" s="89" t="b">
        <f t="shared" si="1"/>
        <v>1</v>
      </c>
      <c r="P167" s="89" t="b">
        <v>1</v>
      </c>
      <c r="Q167" s="89" t="s">
        <v>212</v>
      </c>
    </row>
    <row r="168" hidden="1">
      <c r="A168" s="108"/>
      <c r="B168" s="202"/>
      <c r="C168" s="202" t="str">
        <f>VLOOKUP(M168,'#verificação horas por projeto'!A:B,2,FALSE)</f>
        <v>INOV00001</v>
      </c>
      <c r="D168" s="202" t="s">
        <v>3</v>
      </c>
      <c r="E168" s="107" t="s">
        <v>146</v>
      </c>
      <c r="F168" s="211">
        <v>45461.0</v>
      </c>
      <c r="G168" s="226">
        <v>0.020833333333333332</v>
      </c>
      <c r="H168" s="107" t="s">
        <v>354</v>
      </c>
      <c r="I168" s="227" t="s">
        <v>354</v>
      </c>
      <c r="J168" s="227"/>
      <c r="K168" s="115" t="s">
        <v>500</v>
      </c>
      <c r="L168" s="228"/>
      <c r="M168" s="107" t="s">
        <v>386</v>
      </c>
      <c r="N168" s="229">
        <f>IF(AND(O168=TRUE,P168=TRUE), VLOOKUP($E168,PESSOAL!$B$35:$S$45,MONTH($F168)+6,FALSE)*G168*24,0)</f>
        <v>33.21593005</v>
      </c>
      <c r="O168" s="89" t="b">
        <f t="shared" si="1"/>
        <v>1</v>
      </c>
      <c r="P168" s="89" t="b">
        <v>1</v>
      </c>
      <c r="Q168" s="89" t="s">
        <v>212</v>
      </c>
    </row>
    <row r="169" hidden="1">
      <c r="A169" s="108"/>
      <c r="B169" s="202"/>
      <c r="C169" s="202" t="str">
        <f>VLOOKUP(M169,'#verificação horas por projeto'!A:B,2,FALSE)</f>
        <v>INOV00001</v>
      </c>
      <c r="D169" s="202" t="s">
        <v>3</v>
      </c>
      <c r="E169" s="107" t="s">
        <v>146</v>
      </c>
      <c r="F169" s="211">
        <v>45463.0</v>
      </c>
      <c r="G169" s="226">
        <v>0.041666666666666664</v>
      </c>
      <c r="H169" s="107" t="s">
        <v>359</v>
      </c>
      <c r="I169" s="227" t="s">
        <v>359</v>
      </c>
      <c r="J169" s="227"/>
      <c r="K169" s="115" t="s">
        <v>501</v>
      </c>
      <c r="L169" s="228"/>
      <c r="M169" s="107" t="s">
        <v>386</v>
      </c>
      <c r="N169" s="229">
        <f>IF(AND(O169=TRUE,P169=TRUE), VLOOKUP($E169,PESSOAL!$B$35:$S$45,MONTH($F169)+6,FALSE)*G169*24,0)</f>
        <v>0</v>
      </c>
      <c r="O169" s="89" t="b">
        <f t="shared" si="1"/>
        <v>0</v>
      </c>
      <c r="P169" s="89" t="b">
        <v>1</v>
      </c>
      <c r="Q169" s="89" t="s">
        <v>212</v>
      </c>
    </row>
    <row r="170" hidden="1">
      <c r="A170" s="108"/>
      <c r="B170" s="202"/>
      <c r="C170" s="202" t="str">
        <f>VLOOKUP(M170,'#verificação horas por projeto'!A:B,2,FALSE)</f>
        <v>INOV00001</v>
      </c>
      <c r="D170" s="202" t="s">
        <v>3</v>
      </c>
      <c r="E170" s="107" t="s">
        <v>146</v>
      </c>
      <c r="F170" s="211">
        <v>45468.0</v>
      </c>
      <c r="G170" s="226">
        <v>0.375</v>
      </c>
      <c r="H170" s="107" t="s">
        <v>356</v>
      </c>
      <c r="I170" s="227" t="s">
        <v>356</v>
      </c>
      <c r="J170" s="227"/>
      <c r="K170" s="115" t="s">
        <v>502</v>
      </c>
      <c r="L170" s="228"/>
      <c r="M170" s="107" t="s">
        <v>386</v>
      </c>
      <c r="N170" s="229">
        <f>IF(AND(O170=TRUE,P170=TRUE), VLOOKUP($E170,PESSOAL!$B$35:$S$45,MONTH($F170)+6,FALSE)*G170*24,0)</f>
        <v>597.8867409</v>
      </c>
      <c r="O170" s="89" t="b">
        <f t="shared" si="1"/>
        <v>1</v>
      </c>
      <c r="P170" s="89" t="b">
        <v>1</v>
      </c>
      <c r="Q170" s="89" t="s">
        <v>212</v>
      </c>
    </row>
    <row r="171" hidden="1">
      <c r="A171" s="108"/>
      <c r="B171" s="202"/>
      <c r="C171" s="202" t="str">
        <f>VLOOKUP(M171,'#verificação horas por projeto'!A:B,2,FALSE)</f>
        <v>INOV00001</v>
      </c>
      <c r="D171" s="202" t="s">
        <v>3</v>
      </c>
      <c r="E171" s="107" t="s">
        <v>146</v>
      </c>
      <c r="F171" s="211">
        <v>45469.0</v>
      </c>
      <c r="G171" s="226">
        <v>0.375</v>
      </c>
      <c r="H171" s="107" t="s">
        <v>356</v>
      </c>
      <c r="I171" s="227" t="s">
        <v>356</v>
      </c>
      <c r="J171" s="227"/>
      <c r="K171" s="115" t="s">
        <v>503</v>
      </c>
      <c r="L171" s="228"/>
      <c r="M171" s="107" t="s">
        <v>386</v>
      </c>
      <c r="N171" s="229">
        <f>IF(AND(O171=TRUE,P171=TRUE), VLOOKUP($E171,PESSOAL!$B$35:$S$45,MONTH($F171)+6,FALSE)*G171*24,0)</f>
        <v>597.8867409</v>
      </c>
      <c r="O171" s="89" t="b">
        <f t="shared" si="1"/>
        <v>1</v>
      </c>
      <c r="P171" s="89" t="b">
        <v>1</v>
      </c>
      <c r="Q171" s="89" t="s">
        <v>212</v>
      </c>
    </row>
    <row r="172" hidden="1">
      <c r="A172" s="108"/>
      <c r="B172" s="202"/>
      <c r="C172" s="202" t="str">
        <f>VLOOKUP(M172,'#verificação horas por projeto'!A:B,2,FALSE)</f>
        <v>INOV00001</v>
      </c>
      <c r="D172" s="202" t="s">
        <v>3</v>
      </c>
      <c r="E172" s="107" t="s">
        <v>146</v>
      </c>
      <c r="F172" s="211">
        <v>45470.0</v>
      </c>
      <c r="G172" s="226">
        <v>0.375</v>
      </c>
      <c r="H172" s="107" t="s">
        <v>356</v>
      </c>
      <c r="I172" s="227" t="s">
        <v>356</v>
      </c>
      <c r="J172" s="227"/>
      <c r="K172" s="115" t="s">
        <v>503</v>
      </c>
      <c r="L172" s="228"/>
      <c r="M172" s="107" t="s">
        <v>386</v>
      </c>
      <c r="N172" s="229">
        <f>IF(AND(O172=TRUE,P172=TRUE), VLOOKUP($E172,PESSOAL!$B$35:$S$45,MONTH($F172)+6,FALSE)*G172*24,0)</f>
        <v>597.8867409</v>
      </c>
      <c r="O172" s="89" t="b">
        <f t="shared" si="1"/>
        <v>1</v>
      </c>
      <c r="P172" s="89" t="b">
        <v>1</v>
      </c>
      <c r="Q172" s="89" t="s">
        <v>212</v>
      </c>
    </row>
    <row r="173" hidden="1">
      <c r="A173" s="108"/>
      <c r="B173" s="202"/>
      <c r="C173" s="202" t="str">
        <f>VLOOKUP(M173,'#verificação horas por projeto'!A:B,2,FALSE)</f>
        <v>INOV00001</v>
      </c>
      <c r="D173" s="202" t="s">
        <v>3</v>
      </c>
      <c r="E173" s="107" t="s">
        <v>146</v>
      </c>
      <c r="F173" s="211">
        <v>45471.0</v>
      </c>
      <c r="G173" s="226">
        <v>0.08333333333333333</v>
      </c>
      <c r="H173" s="107" t="s">
        <v>356</v>
      </c>
      <c r="I173" s="227" t="s">
        <v>356</v>
      </c>
      <c r="J173" s="227"/>
      <c r="K173" s="115" t="s">
        <v>504</v>
      </c>
      <c r="L173" s="228"/>
      <c r="M173" s="107" t="s">
        <v>386</v>
      </c>
      <c r="N173" s="229">
        <f>IF(AND(O173=TRUE,P173=TRUE), VLOOKUP($E173,PESSOAL!$B$35:$S$45,MONTH($F173)+6,FALSE)*G173*24,0)</f>
        <v>132.8637202</v>
      </c>
      <c r="O173" s="89" t="b">
        <f t="shared" si="1"/>
        <v>1</v>
      </c>
      <c r="P173" s="89" t="b">
        <v>1</v>
      </c>
      <c r="Q173" s="89" t="s">
        <v>212</v>
      </c>
    </row>
    <row r="174" hidden="1">
      <c r="A174" s="108"/>
      <c r="B174" s="202"/>
      <c r="C174" s="202" t="str">
        <f>VLOOKUP(M174,'#verificação horas por projeto'!A:B,2,FALSE)</f>
        <v>INOV00022</v>
      </c>
      <c r="D174" s="202" t="s">
        <v>12</v>
      </c>
      <c r="E174" s="107" t="s">
        <v>132</v>
      </c>
      <c r="F174" s="211">
        <v>45383.0</v>
      </c>
      <c r="G174" s="226">
        <v>0.16666666666666666</v>
      </c>
      <c r="H174" s="107" t="s">
        <v>354</v>
      </c>
      <c r="I174" s="227" t="s">
        <v>354</v>
      </c>
      <c r="J174" s="227"/>
      <c r="K174" s="115" t="s">
        <v>505</v>
      </c>
      <c r="L174" s="228"/>
      <c r="M174" s="107" t="s">
        <v>506</v>
      </c>
      <c r="N174" s="229">
        <f>IF(AND(O174=TRUE,P174=TRUE), VLOOKUP($E174,PESSOAL!$B$35:$S$45,MONTH($F174)+6,FALSE)*G174*24,0)</f>
        <v>205.1310602</v>
      </c>
      <c r="O174" s="89" t="b">
        <f t="shared" si="1"/>
        <v>1</v>
      </c>
      <c r="P174" s="89" t="b">
        <v>1</v>
      </c>
      <c r="Q174" s="89" t="s">
        <v>212</v>
      </c>
    </row>
    <row r="175" hidden="1">
      <c r="A175" s="108"/>
      <c r="B175" s="202"/>
      <c r="C175" s="202" t="str">
        <f>VLOOKUP(M175,'#verificação horas por projeto'!A:B,2,FALSE)</f>
        <v>INOV00037</v>
      </c>
      <c r="D175" s="202" t="s">
        <v>25</v>
      </c>
      <c r="E175" s="107" t="s">
        <v>132</v>
      </c>
      <c r="F175" s="211">
        <v>45387.0</v>
      </c>
      <c r="G175" s="226">
        <v>0.20833333333333334</v>
      </c>
      <c r="H175" s="107" t="s">
        <v>354</v>
      </c>
      <c r="I175" s="227" t="s">
        <v>354</v>
      </c>
      <c r="J175" s="227"/>
      <c r="K175" s="115" t="s">
        <v>507</v>
      </c>
      <c r="L175" s="228"/>
      <c r="M175" s="107" t="s">
        <v>508</v>
      </c>
      <c r="N175" s="229">
        <f>IF(AND(O175=TRUE,P175=TRUE), VLOOKUP($E175,PESSOAL!$B$35:$S$45,MONTH($F175)+6,FALSE)*G175*24,0)</f>
        <v>256.4138253</v>
      </c>
      <c r="O175" s="89" t="b">
        <f t="shared" si="1"/>
        <v>1</v>
      </c>
      <c r="P175" s="89" t="b">
        <v>1</v>
      </c>
      <c r="Q175" s="89" t="s">
        <v>212</v>
      </c>
    </row>
    <row r="176" hidden="1">
      <c r="A176" s="108"/>
      <c r="B176" s="202"/>
      <c r="C176" s="202" t="str">
        <f>VLOOKUP(M176,'#verificação horas por projeto'!A:B,2,FALSE)</f>
        <v>INOV00041</v>
      </c>
      <c r="D176" s="202" t="s">
        <v>28</v>
      </c>
      <c r="E176" s="107" t="s">
        <v>132</v>
      </c>
      <c r="F176" s="211">
        <v>45387.0</v>
      </c>
      <c r="G176" s="226">
        <v>0.16666666666666666</v>
      </c>
      <c r="H176" s="107" t="s">
        <v>354</v>
      </c>
      <c r="I176" s="227" t="s">
        <v>354</v>
      </c>
      <c r="J176" s="227"/>
      <c r="K176" s="115" t="s">
        <v>509</v>
      </c>
      <c r="L176" s="228"/>
      <c r="M176" s="107" t="s">
        <v>408</v>
      </c>
      <c r="N176" s="229">
        <f>IF(AND(O176=TRUE,P176=TRUE), VLOOKUP($E176,PESSOAL!$B$35:$S$45,MONTH($F176)+6,FALSE)*G176*24,0)</f>
        <v>205.1310602</v>
      </c>
      <c r="O176" s="89" t="b">
        <f t="shared" si="1"/>
        <v>1</v>
      </c>
      <c r="P176" s="89" t="b">
        <v>1</v>
      </c>
      <c r="Q176" s="89" t="s">
        <v>212</v>
      </c>
    </row>
    <row r="177" hidden="1">
      <c r="A177" s="108"/>
      <c r="B177" s="202"/>
      <c r="C177" s="202" t="str">
        <f>VLOOKUP(M177,'#verificação horas por projeto'!A:B,2,FALSE)</f>
        <v>INOV00037</v>
      </c>
      <c r="D177" s="202" t="s">
        <v>25</v>
      </c>
      <c r="E177" s="107" t="s">
        <v>132</v>
      </c>
      <c r="F177" s="211">
        <v>45420.0</v>
      </c>
      <c r="G177" s="226">
        <v>0.16666666666666666</v>
      </c>
      <c r="H177" s="107" t="s">
        <v>354</v>
      </c>
      <c r="I177" s="227" t="s">
        <v>354</v>
      </c>
      <c r="J177" s="227"/>
      <c r="K177" s="115" t="s">
        <v>507</v>
      </c>
      <c r="L177" s="228"/>
      <c r="M177" s="107" t="s">
        <v>508</v>
      </c>
      <c r="N177" s="229">
        <f>IF(AND(O177=TRUE,P177=TRUE), VLOOKUP($E177,PESSOAL!$B$35:$S$45,MONTH($F177)+6,FALSE)*G177*24,0)</f>
        <v>205.1310602</v>
      </c>
      <c r="O177" s="89" t="b">
        <f t="shared" si="1"/>
        <v>1</v>
      </c>
      <c r="P177" s="89" t="b">
        <v>1</v>
      </c>
      <c r="Q177" s="89" t="s">
        <v>212</v>
      </c>
    </row>
    <row r="178" hidden="1">
      <c r="A178" s="108"/>
      <c r="B178" s="202"/>
      <c r="C178" s="202" t="str">
        <f>VLOOKUP(M178,'#verificação horas por projeto'!A:B,2,FALSE)</f>
        <v>INOV00041</v>
      </c>
      <c r="D178" s="202" t="s">
        <v>28</v>
      </c>
      <c r="E178" s="107" t="s">
        <v>132</v>
      </c>
      <c r="F178" s="211">
        <v>45420.0</v>
      </c>
      <c r="G178" s="226">
        <v>0.16666666666666666</v>
      </c>
      <c r="H178" s="107" t="s">
        <v>354</v>
      </c>
      <c r="I178" s="227" t="s">
        <v>354</v>
      </c>
      <c r="J178" s="227"/>
      <c r="K178" s="115" t="s">
        <v>509</v>
      </c>
      <c r="L178" s="228"/>
      <c r="M178" s="107" t="s">
        <v>408</v>
      </c>
      <c r="N178" s="229">
        <f>IF(AND(O178=TRUE,P178=TRUE), VLOOKUP($E178,PESSOAL!$B$35:$S$45,MONTH($F178)+6,FALSE)*G178*24,0)</f>
        <v>205.1310602</v>
      </c>
      <c r="O178" s="89" t="b">
        <f t="shared" si="1"/>
        <v>1</v>
      </c>
      <c r="P178" s="89" t="b">
        <v>1</v>
      </c>
      <c r="Q178" s="89" t="s">
        <v>212</v>
      </c>
    </row>
    <row r="179" hidden="1">
      <c r="A179" s="108"/>
      <c r="B179" s="202"/>
      <c r="C179" s="202" t="str">
        <f>VLOOKUP(M179,'#verificação horas por projeto'!A:B,2,FALSE)</f>
        <v>INOV00023</v>
      </c>
      <c r="D179" s="202" t="s">
        <v>13</v>
      </c>
      <c r="E179" s="107" t="s">
        <v>132</v>
      </c>
      <c r="F179" s="211">
        <v>45424.0</v>
      </c>
      <c r="G179" s="226">
        <v>0.08333333333333333</v>
      </c>
      <c r="H179" s="107" t="s">
        <v>354</v>
      </c>
      <c r="I179" s="227" t="s">
        <v>354</v>
      </c>
      <c r="J179" s="227"/>
      <c r="K179" s="115" t="s">
        <v>505</v>
      </c>
      <c r="L179" s="228"/>
      <c r="M179" s="107" t="s">
        <v>510</v>
      </c>
      <c r="N179" s="229">
        <f>IF(AND(O179=TRUE,P179=TRUE), VLOOKUP($E179,PESSOAL!$B$35:$S$45,MONTH($F179)+6,FALSE)*G179*24,0)</f>
        <v>102.5655301</v>
      </c>
      <c r="O179" s="89" t="b">
        <f t="shared" si="1"/>
        <v>1</v>
      </c>
      <c r="P179" s="89" t="b">
        <v>1</v>
      </c>
      <c r="Q179" s="89" t="s">
        <v>212</v>
      </c>
    </row>
    <row r="180" hidden="1">
      <c r="A180" s="108"/>
      <c r="B180" s="202"/>
      <c r="C180" s="202" t="str">
        <f>VLOOKUP(M180,'#verificação horas por projeto'!A:B,2,FALSE)</f>
        <v>INOV00036</v>
      </c>
      <c r="D180" s="202" t="s">
        <v>24</v>
      </c>
      <c r="E180" s="107" t="s">
        <v>132</v>
      </c>
      <c r="F180" s="211">
        <v>45430.0</v>
      </c>
      <c r="G180" s="226">
        <v>0.08333333333333333</v>
      </c>
      <c r="H180" s="107" t="s">
        <v>354</v>
      </c>
      <c r="I180" s="227" t="s">
        <v>354</v>
      </c>
      <c r="J180" s="227"/>
      <c r="K180" s="115" t="s">
        <v>505</v>
      </c>
      <c r="L180" s="228"/>
      <c r="M180" s="107" t="s">
        <v>511</v>
      </c>
      <c r="N180" s="229">
        <f>IF(AND(O180=TRUE,P180=TRUE), VLOOKUP($E180,PESSOAL!$B$35:$S$45,MONTH($F180)+6,FALSE)*G180*24,0)</f>
        <v>102.5655301</v>
      </c>
      <c r="O180" s="89" t="b">
        <f t="shared" si="1"/>
        <v>1</v>
      </c>
      <c r="P180" s="89" t="b">
        <v>1</v>
      </c>
      <c r="Q180" s="89" t="s">
        <v>212</v>
      </c>
    </row>
    <row r="181" hidden="1">
      <c r="A181" s="108"/>
      <c r="B181" s="202"/>
      <c r="C181" s="202" t="str">
        <f>VLOOKUP(M181,'#verificação horas por projeto'!A:B,2,FALSE)</f>
        <v>INOV00024</v>
      </c>
      <c r="D181" s="202" t="s">
        <v>14</v>
      </c>
      <c r="E181" s="107" t="s">
        <v>132</v>
      </c>
      <c r="F181" s="211">
        <v>45411.0</v>
      </c>
      <c r="G181" s="226">
        <v>0.16666666666666666</v>
      </c>
      <c r="H181" s="107" t="s">
        <v>354</v>
      </c>
      <c r="I181" s="227" t="s">
        <v>354</v>
      </c>
      <c r="J181" s="227"/>
      <c r="K181" s="115" t="s">
        <v>512</v>
      </c>
      <c r="L181" s="228"/>
      <c r="M181" s="107" t="s">
        <v>428</v>
      </c>
      <c r="N181" s="229">
        <f>IF(AND(O181=TRUE,P181=TRUE), VLOOKUP($E181,PESSOAL!$B$35:$S$45,MONTH($F181)+6,FALSE)*G181*24,0)</f>
        <v>205.1310602</v>
      </c>
      <c r="O181" s="89" t="b">
        <f t="shared" si="1"/>
        <v>1</v>
      </c>
      <c r="P181" s="89" t="b">
        <v>1</v>
      </c>
      <c r="Q181" s="89" t="s">
        <v>212</v>
      </c>
    </row>
    <row r="182" hidden="1">
      <c r="A182" s="108"/>
      <c r="B182" s="202"/>
      <c r="C182" s="202" t="str">
        <f>VLOOKUP(M182,'#verificação horas por projeto'!A:B,2,FALSE)</f>
        <v>INOV00024</v>
      </c>
      <c r="D182" s="202" t="s">
        <v>14</v>
      </c>
      <c r="E182" s="107" t="s">
        <v>132</v>
      </c>
      <c r="F182" s="211">
        <v>45415.0</v>
      </c>
      <c r="G182" s="226">
        <v>0.08333333333333333</v>
      </c>
      <c r="H182" s="107" t="s">
        <v>354</v>
      </c>
      <c r="I182" s="227" t="s">
        <v>354</v>
      </c>
      <c r="J182" s="227"/>
      <c r="K182" s="115" t="s">
        <v>512</v>
      </c>
      <c r="L182" s="228"/>
      <c r="M182" s="107" t="s">
        <v>428</v>
      </c>
      <c r="N182" s="229">
        <f>IF(AND(O182=TRUE,P182=TRUE), VLOOKUP($E182,PESSOAL!$B$35:$S$45,MONTH($F182)+6,FALSE)*G182*24,0)</f>
        <v>102.5655301</v>
      </c>
      <c r="O182" s="89" t="b">
        <f t="shared" si="1"/>
        <v>1</v>
      </c>
      <c r="P182" s="89" t="b">
        <v>1</v>
      </c>
      <c r="Q182" s="89" t="s">
        <v>212</v>
      </c>
    </row>
    <row r="183" hidden="1">
      <c r="A183" s="108"/>
      <c r="B183" s="202"/>
      <c r="C183" s="202" t="str">
        <f>VLOOKUP(M183,'#verificação horas por projeto'!A:B,2,FALSE)</f>
        <v>#N/A</v>
      </c>
      <c r="D183" s="202" t="s">
        <v>36</v>
      </c>
      <c r="E183" s="107" t="s">
        <v>132</v>
      </c>
      <c r="F183" s="211">
        <v>45415.0</v>
      </c>
      <c r="G183" s="226">
        <v>0.08333333333333333</v>
      </c>
      <c r="H183" s="107" t="s">
        <v>354</v>
      </c>
      <c r="I183" s="227" t="s">
        <v>354</v>
      </c>
      <c r="J183" s="227"/>
      <c r="K183" s="115" t="s">
        <v>513</v>
      </c>
      <c r="L183" s="228"/>
      <c r="M183" s="107" t="s">
        <v>514</v>
      </c>
      <c r="N183" s="229">
        <f>IF(AND(O183=TRUE,P183=TRUE), VLOOKUP($E183,PESSOAL!$B$35:$S$45,MONTH($F183)+6,FALSE)*G183*24,0)</f>
        <v>0</v>
      </c>
      <c r="O183" s="89" t="b">
        <f t="shared" si="1"/>
        <v>1</v>
      </c>
      <c r="P183" s="89" t="b">
        <v>0</v>
      </c>
      <c r="Q183" s="89" t="s">
        <v>212</v>
      </c>
    </row>
    <row r="184">
      <c r="A184" s="108"/>
      <c r="B184" s="202"/>
      <c r="C184" s="202" t="str">
        <f>VLOOKUP(M184,'#verificação horas por projeto'!A:B,2,FALSE)</f>
        <v>INOV00035</v>
      </c>
      <c r="D184" s="202" t="s">
        <v>23</v>
      </c>
      <c r="E184" s="107" t="s">
        <v>132</v>
      </c>
      <c r="F184" s="211">
        <v>45420.0</v>
      </c>
      <c r="G184" s="226">
        <v>0.08333333333333333</v>
      </c>
      <c r="H184" s="107" t="s">
        <v>354</v>
      </c>
      <c r="I184" s="227" t="s">
        <v>354</v>
      </c>
      <c r="J184" s="227"/>
      <c r="K184" s="115" t="s">
        <v>507</v>
      </c>
      <c r="L184" s="228"/>
      <c r="M184" s="107" t="s">
        <v>426</v>
      </c>
      <c r="N184" s="229">
        <f>IF(AND(O184=TRUE,P184=TRUE), VLOOKUP($E184,PESSOAL!$B$35:$S$45,MONTH($F184)+6,FALSE)*G184*24,0)</f>
        <v>102.5655301</v>
      </c>
      <c r="O184" s="89" t="b">
        <f t="shared" si="1"/>
        <v>1</v>
      </c>
      <c r="P184" s="89" t="b">
        <v>1</v>
      </c>
      <c r="Q184" s="89" t="s">
        <v>212</v>
      </c>
    </row>
    <row r="185" hidden="1">
      <c r="A185" s="108"/>
      <c r="B185" s="202"/>
      <c r="C185" s="202" t="str">
        <f>VLOOKUP(M185,'#verificação horas por projeto'!A:B,2,FALSE)</f>
        <v>INOV00022</v>
      </c>
      <c r="D185" s="202" t="s">
        <v>12</v>
      </c>
      <c r="E185" s="107" t="s">
        <v>132</v>
      </c>
      <c r="F185" s="211">
        <v>45420.0</v>
      </c>
      <c r="G185" s="226">
        <v>0.16666666666666666</v>
      </c>
      <c r="H185" s="107" t="s">
        <v>354</v>
      </c>
      <c r="I185" s="227" t="s">
        <v>354</v>
      </c>
      <c r="J185" s="227"/>
      <c r="K185" s="115" t="s">
        <v>505</v>
      </c>
      <c r="L185" s="228"/>
      <c r="M185" s="107" t="s">
        <v>506</v>
      </c>
      <c r="N185" s="229">
        <f>IF(AND(O185=TRUE,P185=TRUE), VLOOKUP($E185,PESSOAL!$B$35:$S$45,MONTH($F185)+6,FALSE)*G185*24,0)</f>
        <v>205.1310602</v>
      </c>
      <c r="O185" s="89" t="b">
        <f t="shared" si="1"/>
        <v>1</v>
      </c>
      <c r="P185" s="89" t="b">
        <v>1</v>
      </c>
      <c r="Q185" s="89" t="s">
        <v>212</v>
      </c>
    </row>
    <row r="186" hidden="1">
      <c r="A186" s="108"/>
      <c r="B186" s="202"/>
      <c r="C186" s="202" t="str">
        <f>VLOOKUP(M186,'#verificação horas por projeto'!A:B,2,FALSE)</f>
        <v>INOV00023</v>
      </c>
      <c r="D186" s="202" t="s">
        <v>13</v>
      </c>
      <c r="E186" s="107" t="s">
        <v>132</v>
      </c>
      <c r="F186" s="211">
        <v>45422.0</v>
      </c>
      <c r="G186" s="226">
        <v>0.08333333333333333</v>
      </c>
      <c r="H186" s="107" t="s">
        <v>354</v>
      </c>
      <c r="I186" s="227" t="s">
        <v>354</v>
      </c>
      <c r="J186" s="227"/>
      <c r="K186" s="115" t="s">
        <v>505</v>
      </c>
      <c r="L186" s="228"/>
      <c r="M186" s="107" t="s">
        <v>510</v>
      </c>
      <c r="N186" s="229">
        <f>IF(AND(O186=TRUE,P186=TRUE), VLOOKUP($E186,PESSOAL!$B$35:$S$45,MONTH($F186)+6,FALSE)*G186*24,0)</f>
        <v>102.5655301</v>
      </c>
      <c r="O186" s="89" t="b">
        <f t="shared" si="1"/>
        <v>1</v>
      </c>
      <c r="P186" s="89" t="b">
        <v>1</v>
      </c>
      <c r="Q186" s="89" t="s">
        <v>212</v>
      </c>
    </row>
    <row r="187" hidden="1">
      <c r="A187" s="108"/>
      <c r="B187" s="202"/>
      <c r="C187" s="202" t="str">
        <f>VLOOKUP(M187,'#verificação horas por projeto'!A:B,2,FALSE)</f>
        <v>INOV00037</v>
      </c>
      <c r="D187" s="202" t="s">
        <v>25</v>
      </c>
      <c r="E187" s="107" t="s">
        <v>132</v>
      </c>
      <c r="F187" s="211">
        <v>45422.0</v>
      </c>
      <c r="G187" s="226">
        <v>0.125</v>
      </c>
      <c r="H187" s="107" t="s">
        <v>354</v>
      </c>
      <c r="I187" s="227" t="s">
        <v>354</v>
      </c>
      <c r="J187" s="227"/>
      <c r="K187" s="115" t="s">
        <v>507</v>
      </c>
      <c r="L187" s="228"/>
      <c r="M187" s="107" t="s">
        <v>508</v>
      </c>
      <c r="N187" s="229">
        <f>IF(AND(O187=TRUE,P187=TRUE), VLOOKUP($E187,PESSOAL!$B$35:$S$45,MONTH($F187)+6,FALSE)*G187*24,0)</f>
        <v>153.8482952</v>
      </c>
      <c r="O187" s="89" t="b">
        <f t="shared" si="1"/>
        <v>1</v>
      </c>
      <c r="P187" s="89" t="b">
        <v>1</v>
      </c>
      <c r="Q187" s="89" t="s">
        <v>212</v>
      </c>
    </row>
    <row r="188" hidden="1">
      <c r="A188" s="108"/>
      <c r="B188" s="202"/>
      <c r="C188" s="202" t="str">
        <f>VLOOKUP(M188,'#verificação horas por projeto'!A:B,2,FALSE)</f>
        <v>#N/A</v>
      </c>
      <c r="D188" s="202" t="s">
        <v>37</v>
      </c>
      <c r="E188" s="107" t="s">
        <v>132</v>
      </c>
      <c r="F188" s="211">
        <v>45426.0</v>
      </c>
      <c r="G188" s="226">
        <v>0.125</v>
      </c>
      <c r="H188" s="107" t="s">
        <v>354</v>
      </c>
      <c r="I188" s="227" t="s">
        <v>354</v>
      </c>
      <c r="J188" s="227"/>
      <c r="K188" s="115" t="s">
        <v>513</v>
      </c>
      <c r="L188" s="228"/>
      <c r="M188" s="107" t="s">
        <v>515</v>
      </c>
      <c r="N188" s="229">
        <f>IF(AND(O188=TRUE,P188=TRUE), VLOOKUP($E188,PESSOAL!$B$35:$S$45,MONTH($F188)+6,FALSE)*G188*24,0)</f>
        <v>0</v>
      </c>
      <c r="O188" s="89" t="b">
        <f t="shared" si="1"/>
        <v>1</v>
      </c>
      <c r="P188" s="89" t="b">
        <v>0</v>
      </c>
      <c r="Q188" s="89" t="s">
        <v>212</v>
      </c>
    </row>
    <row r="189" hidden="1">
      <c r="A189" s="108"/>
      <c r="B189" s="202"/>
      <c r="C189" s="202" t="str">
        <f>VLOOKUP(M189,'#verificação horas por projeto'!A:B,2,FALSE)</f>
        <v>INOV00024</v>
      </c>
      <c r="D189" s="202" t="s">
        <v>14</v>
      </c>
      <c r="E189" s="107" t="s">
        <v>132</v>
      </c>
      <c r="F189" s="211">
        <v>45427.0</v>
      </c>
      <c r="G189" s="226">
        <v>0.08333333333333333</v>
      </c>
      <c r="H189" s="107" t="s">
        <v>354</v>
      </c>
      <c r="I189" s="227" t="s">
        <v>354</v>
      </c>
      <c r="J189" s="227"/>
      <c r="K189" s="115" t="s">
        <v>512</v>
      </c>
      <c r="L189" s="228"/>
      <c r="M189" s="107" t="s">
        <v>428</v>
      </c>
      <c r="N189" s="229">
        <f>IF(AND(O189=TRUE,P189=TRUE), VLOOKUP($E189,PESSOAL!$B$35:$S$45,MONTH($F189)+6,FALSE)*G189*24,0)</f>
        <v>102.5655301</v>
      </c>
      <c r="O189" s="89" t="b">
        <f t="shared" si="1"/>
        <v>1</v>
      </c>
      <c r="P189" s="89" t="b">
        <v>1</v>
      </c>
      <c r="Q189" s="89" t="s">
        <v>212</v>
      </c>
    </row>
    <row r="190" hidden="1">
      <c r="A190" s="108"/>
      <c r="B190" s="202"/>
      <c r="C190" s="202" t="str">
        <f>VLOOKUP(M190,'#verificação horas por projeto'!A:B,2,FALSE)</f>
        <v>INOV00041</v>
      </c>
      <c r="D190" s="202" t="s">
        <v>28</v>
      </c>
      <c r="E190" s="107" t="s">
        <v>132</v>
      </c>
      <c r="F190" s="211">
        <v>45433.0</v>
      </c>
      <c r="G190" s="226">
        <v>0.125</v>
      </c>
      <c r="H190" s="107" t="s">
        <v>354</v>
      </c>
      <c r="I190" s="227" t="s">
        <v>354</v>
      </c>
      <c r="J190" s="227"/>
      <c r="K190" s="115" t="s">
        <v>509</v>
      </c>
      <c r="L190" s="228"/>
      <c r="M190" s="107" t="s">
        <v>408</v>
      </c>
      <c r="N190" s="229">
        <f>IF(AND(O190=TRUE,P190=TRUE), VLOOKUP($E190,PESSOAL!$B$35:$S$45,MONTH($F190)+6,FALSE)*G190*24,0)</f>
        <v>153.8482952</v>
      </c>
      <c r="O190" s="89" t="b">
        <f t="shared" si="1"/>
        <v>1</v>
      </c>
      <c r="P190" s="89" t="b">
        <v>1</v>
      </c>
      <c r="Q190" s="89" t="s">
        <v>212</v>
      </c>
    </row>
    <row r="191">
      <c r="A191" s="108"/>
      <c r="B191" s="202"/>
      <c r="C191" s="202" t="str">
        <f>VLOOKUP(M191,'#verificação horas por projeto'!A:B,2,FALSE)</f>
        <v>INOV00035</v>
      </c>
      <c r="D191" s="202" t="s">
        <v>23</v>
      </c>
      <c r="E191" s="107" t="s">
        <v>132</v>
      </c>
      <c r="F191" s="211">
        <v>45435.0</v>
      </c>
      <c r="G191" s="226">
        <v>0.08333333333333333</v>
      </c>
      <c r="H191" s="107" t="s">
        <v>354</v>
      </c>
      <c r="I191" s="227" t="s">
        <v>354</v>
      </c>
      <c r="J191" s="227"/>
      <c r="K191" s="115" t="s">
        <v>507</v>
      </c>
      <c r="L191" s="228"/>
      <c r="M191" s="107" t="s">
        <v>426</v>
      </c>
      <c r="N191" s="229">
        <f>IF(AND(O191=TRUE,P191=TRUE), VLOOKUP($E191,PESSOAL!$B$35:$S$45,MONTH($F191)+6,FALSE)*G191*24,0)</f>
        <v>102.5655301</v>
      </c>
      <c r="O191" s="89" t="b">
        <f t="shared" si="1"/>
        <v>1</v>
      </c>
      <c r="P191" s="89" t="b">
        <v>1</v>
      </c>
      <c r="Q191" s="89" t="s">
        <v>212</v>
      </c>
    </row>
    <row r="192" hidden="1">
      <c r="A192" s="108"/>
      <c r="B192" s="202"/>
      <c r="C192" s="202" t="str">
        <f>VLOOKUP(M192,'#verificação horas por projeto'!A:B,2,FALSE)</f>
        <v>INOV00024</v>
      </c>
      <c r="D192" s="202" t="s">
        <v>14</v>
      </c>
      <c r="E192" s="107" t="s">
        <v>132</v>
      </c>
      <c r="F192" s="211">
        <v>45435.0</v>
      </c>
      <c r="G192" s="226">
        <v>0.08333333333333333</v>
      </c>
      <c r="H192" s="107" t="s">
        <v>354</v>
      </c>
      <c r="I192" s="227" t="s">
        <v>354</v>
      </c>
      <c r="J192" s="227"/>
      <c r="K192" s="115" t="s">
        <v>512</v>
      </c>
      <c r="L192" s="228"/>
      <c r="M192" s="107" t="s">
        <v>428</v>
      </c>
      <c r="N192" s="229">
        <f>IF(AND(O192=TRUE,P192=TRUE), VLOOKUP($E192,PESSOAL!$B$35:$S$45,MONTH($F192)+6,FALSE)*G192*24,0)</f>
        <v>102.5655301</v>
      </c>
      <c r="O192" s="89" t="b">
        <f t="shared" si="1"/>
        <v>1</v>
      </c>
      <c r="P192" s="89" t="b">
        <v>1</v>
      </c>
      <c r="Q192" s="89" t="s">
        <v>212</v>
      </c>
    </row>
    <row r="193" hidden="1">
      <c r="A193" s="108"/>
      <c r="B193" s="202"/>
      <c r="C193" s="202" t="str">
        <f>VLOOKUP(M193,'#verificação horas por projeto'!A:B,2,FALSE)</f>
        <v>INOV00023</v>
      </c>
      <c r="D193" s="202" t="s">
        <v>13</v>
      </c>
      <c r="E193" s="107" t="s">
        <v>132</v>
      </c>
      <c r="F193" s="211">
        <v>45436.0</v>
      </c>
      <c r="G193" s="226">
        <v>0.125</v>
      </c>
      <c r="H193" s="107" t="s">
        <v>354</v>
      </c>
      <c r="I193" s="227" t="s">
        <v>354</v>
      </c>
      <c r="J193" s="227"/>
      <c r="K193" s="115" t="s">
        <v>505</v>
      </c>
      <c r="L193" s="228"/>
      <c r="M193" s="107" t="s">
        <v>510</v>
      </c>
      <c r="N193" s="229">
        <f>IF(AND(O193=TRUE,P193=TRUE), VLOOKUP($E193,PESSOAL!$B$35:$S$45,MONTH($F193)+6,FALSE)*G193*24,0)</f>
        <v>153.8482952</v>
      </c>
      <c r="O193" s="89" t="b">
        <f t="shared" si="1"/>
        <v>1</v>
      </c>
      <c r="P193" s="89" t="b">
        <v>1</v>
      </c>
      <c r="Q193" s="89" t="s">
        <v>212</v>
      </c>
    </row>
    <row r="194" hidden="1">
      <c r="A194" s="108"/>
      <c r="B194" s="202"/>
      <c r="C194" s="202" t="str">
        <f>VLOOKUP(M194,'#verificação horas por projeto'!A:B,2,FALSE)</f>
        <v>INOV00022</v>
      </c>
      <c r="D194" s="202" t="s">
        <v>12</v>
      </c>
      <c r="E194" s="107" t="s">
        <v>132</v>
      </c>
      <c r="F194" s="211">
        <v>45437.0</v>
      </c>
      <c r="G194" s="226">
        <v>0.16666666666666666</v>
      </c>
      <c r="H194" s="107" t="s">
        <v>354</v>
      </c>
      <c r="I194" s="227" t="s">
        <v>354</v>
      </c>
      <c r="J194" s="227"/>
      <c r="K194" s="115" t="s">
        <v>505</v>
      </c>
      <c r="L194" s="228"/>
      <c r="M194" s="107" t="s">
        <v>506</v>
      </c>
      <c r="N194" s="229">
        <f>IF(AND(O194=TRUE,P194=TRUE), VLOOKUP($E194,PESSOAL!$B$35:$S$45,MONTH($F194)+6,FALSE)*G194*24,0)</f>
        <v>205.1310602</v>
      </c>
      <c r="O194" s="89" t="b">
        <f t="shared" si="1"/>
        <v>1</v>
      </c>
      <c r="P194" s="89" t="b">
        <v>1</v>
      </c>
      <c r="Q194" s="89" t="s">
        <v>212</v>
      </c>
    </row>
    <row r="195" hidden="1">
      <c r="A195" s="108"/>
      <c r="B195" s="202"/>
      <c r="C195" s="202" t="str">
        <f>VLOOKUP(M195,'#verificação horas por projeto'!A:B,2,FALSE)</f>
        <v>INOV00024</v>
      </c>
      <c r="D195" s="202" t="s">
        <v>14</v>
      </c>
      <c r="E195" s="107" t="s">
        <v>132</v>
      </c>
      <c r="F195" s="211">
        <v>45441.0</v>
      </c>
      <c r="G195" s="226">
        <v>0.08333333333333333</v>
      </c>
      <c r="H195" s="107" t="s">
        <v>354</v>
      </c>
      <c r="I195" s="227" t="s">
        <v>354</v>
      </c>
      <c r="J195" s="227"/>
      <c r="K195" s="115" t="s">
        <v>512</v>
      </c>
      <c r="L195" s="228"/>
      <c r="M195" s="107" t="s">
        <v>428</v>
      </c>
      <c r="N195" s="229">
        <f>IF(AND(O195=TRUE,P195=TRUE), VLOOKUP($E195,PESSOAL!$B$35:$S$45,MONTH($F195)+6,FALSE)*G195*24,0)</f>
        <v>102.5655301</v>
      </c>
      <c r="O195" s="89" t="b">
        <f t="shared" si="1"/>
        <v>1</v>
      </c>
      <c r="P195" s="89" t="b">
        <v>1</v>
      </c>
      <c r="Q195" s="89" t="s">
        <v>212</v>
      </c>
    </row>
    <row r="196" hidden="1">
      <c r="A196" s="108"/>
      <c r="B196" s="202"/>
      <c r="C196" s="202" t="str">
        <f>VLOOKUP(M196,'#verificação horas por projeto'!A:B,2,FALSE)</f>
        <v>#N/A</v>
      </c>
      <c r="D196" s="202" t="s">
        <v>36</v>
      </c>
      <c r="E196" s="107" t="s">
        <v>132</v>
      </c>
      <c r="F196" s="211">
        <v>45446.0</v>
      </c>
      <c r="G196" s="226">
        <v>0.125</v>
      </c>
      <c r="H196" s="107" t="s">
        <v>354</v>
      </c>
      <c r="I196" s="227" t="s">
        <v>354</v>
      </c>
      <c r="J196" s="227"/>
      <c r="K196" s="115" t="s">
        <v>513</v>
      </c>
      <c r="L196" s="228"/>
      <c r="M196" s="107" t="s">
        <v>514</v>
      </c>
      <c r="N196" s="229">
        <f>IF(AND(O196=TRUE,P196=TRUE), VLOOKUP($E196,PESSOAL!$B$35:$S$45,MONTH($F196)+6,FALSE)*G196*24,0)</f>
        <v>0</v>
      </c>
      <c r="O196" s="89" t="b">
        <f t="shared" si="1"/>
        <v>1</v>
      </c>
      <c r="P196" s="89" t="b">
        <v>0</v>
      </c>
      <c r="Q196" s="89" t="s">
        <v>212</v>
      </c>
    </row>
    <row r="197" hidden="1">
      <c r="A197" s="108"/>
      <c r="B197" s="202"/>
      <c r="C197" s="202" t="str">
        <f>VLOOKUP(M197,'#verificação horas por projeto'!A:B,2,FALSE)</f>
        <v>INOV00024</v>
      </c>
      <c r="D197" s="202" t="s">
        <v>14</v>
      </c>
      <c r="E197" s="107" t="s">
        <v>132</v>
      </c>
      <c r="F197" s="211">
        <v>45446.0</v>
      </c>
      <c r="G197" s="226">
        <v>0.125</v>
      </c>
      <c r="H197" s="107" t="s">
        <v>354</v>
      </c>
      <c r="I197" s="227" t="s">
        <v>354</v>
      </c>
      <c r="J197" s="227"/>
      <c r="K197" s="115" t="s">
        <v>512</v>
      </c>
      <c r="L197" s="228"/>
      <c r="M197" s="107" t="s">
        <v>428</v>
      </c>
      <c r="N197" s="229">
        <f>IF(AND(O197=TRUE,P197=TRUE), VLOOKUP($E197,PESSOAL!$B$35:$S$45,MONTH($F197)+6,FALSE)*G197*24,0)</f>
        <v>169.2331247</v>
      </c>
      <c r="O197" s="89" t="b">
        <f t="shared" si="1"/>
        <v>1</v>
      </c>
      <c r="P197" s="89" t="b">
        <v>1</v>
      </c>
      <c r="Q197" s="89" t="s">
        <v>212</v>
      </c>
    </row>
    <row r="198" hidden="1">
      <c r="A198" s="108"/>
      <c r="B198" s="202"/>
      <c r="C198" s="202" t="str">
        <f>VLOOKUP(M198,'#verificação horas por projeto'!A:B,2,FALSE)</f>
        <v>INOV00037</v>
      </c>
      <c r="D198" s="202" t="s">
        <v>25</v>
      </c>
      <c r="E198" s="107" t="s">
        <v>132</v>
      </c>
      <c r="F198" s="211">
        <v>45447.0</v>
      </c>
      <c r="G198" s="226">
        <v>0.08333333333333333</v>
      </c>
      <c r="H198" s="107" t="s">
        <v>354</v>
      </c>
      <c r="I198" s="227" t="s">
        <v>354</v>
      </c>
      <c r="J198" s="227"/>
      <c r="K198" s="115" t="s">
        <v>507</v>
      </c>
      <c r="L198" s="228"/>
      <c r="M198" s="107" t="s">
        <v>508</v>
      </c>
      <c r="N198" s="229">
        <f>IF(AND(O198=TRUE,P198=TRUE), VLOOKUP($E198,PESSOAL!$B$35:$S$45,MONTH($F198)+6,FALSE)*G198*24,0)</f>
        <v>112.8220831</v>
      </c>
      <c r="O198" s="89" t="b">
        <f t="shared" si="1"/>
        <v>1</v>
      </c>
      <c r="P198" s="89" t="b">
        <v>1</v>
      </c>
      <c r="Q198" s="89" t="s">
        <v>212</v>
      </c>
    </row>
    <row r="199" hidden="1">
      <c r="A199" s="108"/>
      <c r="B199" s="202"/>
      <c r="C199" s="202" t="str">
        <f>VLOOKUP(M199,'#verificação horas por projeto'!A:B,2,FALSE)</f>
        <v>INOV00039</v>
      </c>
      <c r="D199" s="202" t="s">
        <v>27</v>
      </c>
      <c r="E199" s="107" t="s">
        <v>132</v>
      </c>
      <c r="F199" s="211">
        <v>45447.0</v>
      </c>
      <c r="G199" s="226">
        <v>0.125</v>
      </c>
      <c r="H199" s="107" t="s">
        <v>354</v>
      </c>
      <c r="I199" s="227" t="s">
        <v>354</v>
      </c>
      <c r="J199" s="227"/>
      <c r="K199" s="115" t="s">
        <v>507</v>
      </c>
      <c r="L199" s="228"/>
      <c r="M199" s="107" t="s">
        <v>516</v>
      </c>
      <c r="N199" s="229">
        <f>IF(AND(O199=TRUE,P199=TRUE), VLOOKUP($E199,PESSOAL!$B$35:$S$45,MONTH($F199)+6,FALSE)*G199*24,0)</f>
        <v>169.2331247</v>
      </c>
      <c r="O199" s="89" t="b">
        <f t="shared" si="1"/>
        <v>1</v>
      </c>
      <c r="P199" s="89" t="b">
        <v>1</v>
      </c>
      <c r="Q199" s="89" t="s">
        <v>212</v>
      </c>
    </row>
    <row r="200" hidden="1">
      <c r="A200" s="108"/>
      <c r="B200" s="202"/>
      <c r="C200" s="202" t="str">
        <f>VLOOKUP(M200,'#verificação horas por projeto'!A:B,2,FALSE)</f>
        <v>INOV00023</v>
      </c>
      <c r="D200" s="202" t="s">
        <v>13</v>
      </c>
      <c r="E200" s="107" t="s">
        <v>132</v>
      </c>
      <c r="F200" s="211">
        <v>45448.0</v>
      </c>
      <c r="G200" s="226">
        <v>0.08333333333333333</v>
      </c>
      <c r="H200" s="107" t="s">
        <v>354</v>
      </c>
      <c r="I200" s="227" t="s">
        <v>354</v>
      </c>
      <c r="J200" s="227"/>
      <c r="K200" s="115" t="s">
        <v>505</v>
      </c>
      <c r="L200" s="228"/>
      <c r="M200" s="107" t="s">
        <v>510</v>
      </c>
      <c r="N200" s="229">
        <f>IF(AND(O200=TRUE,P200=TRUE), VLOOKUP($E200,PESSOAL!$B$35:$S$45,MONTH($F200)+6,FALSE)*G200*24,0)</f>
        <v>112.8220831</v>
      </c>
      <c r="O200" s="89" t="b">
        <f t="shared" si="1"/>
        <v>1</v>
      </c>
      <c r="P200" s="89" t="b">
        <v>1</v>
      </c>
      <c r="Q200" s="89" t="s">
        <v>212</v>
      </c>
    </row>
    <row r="201" hidden="1">
      <c r="A201" s="108"/>
      <c r="B201" s="202"/>
      <c r="C201" s="202" t="str">
        <f>VLOOKUP(M201,'#verificação horas por projeto'!A:B,2,FALSE)</f>
        <v>INOV00022</v>
      </c>
      <c r="D201" s="202" t="s">
        <v>12</v>
      </c>
      <c r="E201" s="107" t="s">
        <v>132</v>
      </c>
      <c r="F201" s="211">
        <v>45448.0</v>
      </c>
      <c r="G201" s="226">
        <v>0.08333333333333333</v>
      </c>
      <c r="H201" s="107" t="s">
        <v>354</v>
      </c>
      <c r="I201" s="227" t="s">
        <v>354</v>
      </c>
      <c r="J201" s="227"/>
      <c r="K201" s="115" t="s">
        <v>517</v>
      </c>
      <c r="L201" s="228"/>
      <c r="M201" s="107" t="s">
        <v>506</v>
      </c>
      <c r="N201" s="229">
        <f>IF(AND(O201=TRUE,P201=TRUE), VLOOKUP($E201,PESSOAL!$B$35:$S$45,MONTH($F201)+6,FALSE)*G201*24,0)</f>
        <v>112.8220831</v>
      </c>
      <c r="O201" s="89" t="b">
        <f t="shared" si="1"/>
        <v>1</v>
      </c>
      <c r="P201" s="89" t="b">
        <v>1</v>
      </c>
      <c r="Q201" s="89" t="s">
        <v>212</v>
      </c>
    </row>
    <row r="202" hidden="1">
      <c r="A202" s="108"/>
      <c r="B202" s="202"/>
      <c r="C202" s="202" t="str">
        <f>VLOOKUP(M202,'#verificação horas por projeto'!A:B,2,FALSE)</f>
        <v>#N/A</v>
      </c>
      <c r="D202" s="202" t="s">
        <v>38</v>
      </c>
      <c r="E202" s="107" t="s">
        <v>132</v>
      </c>
      <c r="F202" s="211">
        <v>45449.0</v>
      </c>
      <c r="G202" s="226">
        <v>0.16666666666666666</v>
      </c>
      <c r="H202" s="107" t="s">
        <v>354</v>
      </c>
      <c r="I202" s="227" t="s">
        <v>354</v>
      </c>
      <c r="J202" s="227"/>
      <c r="K202" s="115" t="s">
        <v>518</v>
      </c>
      <c r="L202" s="228"/>
      <c r="M202" s="107" t="s">
        <v>519</v>
      </c>
      <c r="N202" s="229">
        <f>IF(AND(O202=TRUE,P202=TRUE), VLOOKUP($E202,PESSOAL!$B$35:$S$45,MONTH($F202)+6,FALSE)*G202*24,0)</f>
        <v>0</v>
      </c>
      <c r="O202" s="89" t="b">
        <f t="shared" si="1"/>
        <v>1</v>
      </c>
      <c r="P202" s="89" t="b">
        <v>0</v>
      </c>
      <c r="Q202" s="89" t="s">
        <v>212</v>
      </c>
    </row>
    <row r="203" hidden="1">
      <c r="A203" s="108"/>
      <c r="B203" s="202"/>
      <c r="C203" s="202" t="str">
        <f>VLOOKUP(M203,'#verificação horas por projeto'!A:B,2,FALSE)</f>
        <v>INOV00023</v>
      </c>
      <c r="D203" s="202" t="s">
        <v>13</v>
      </c>
      <c r="E203" s="107" t="s">
        <v>132</v>
      </c>
      <c r="F203" s="211">
        <v>45449.0</v>
      </c>
      <c r="G203" s="226">
        <v>0.08333333333333333</v>
      </c>
      <c r="H203" s="107" t="s">
        <v>354</v>
      </c>
      <c r="I203" s="227" t="s">
        <v>354</v>
      </c>
      <c r="J203" s="227"/>
      <c r="K203" s="115" t="s">
        <v>505</v>
      </c>
      <c r="L203" s="228"/>
      <c r="M203" s="107" t="s">
        <v>510</v>
      </c>
      <c r="N203" s="229">
        <f>IF(AND(O203=TRUE,P203=TRUE), VLOOKUP($E203,PESSOAL!$B$35:$S$45,MONTH($F203)+6,FALSE)*G203*24,0)</f>
        <v>112.8220831</v>
      </c>
      <c r="O203" s="89" t="b">
        <f t="shared" si="1"/>
        <v>1</v>
      </c>
      <c r="P203" s="89" t="b">
        <v>1</v>
      </c>
      <c r="Q203" s="89" t="s">
        <v>212</v>
      </c>
    </row>
    <row r="204" hidden="1">
      <c r="A204" s="108"/>
      <c r="B204" s="202"/>
      <c r="C204" s="202" t="str">
        <f>VLOOKUP(M204,'#verificação horas por projeto'!A:B,2,FALSE)</f>
        <v>INOV00039</v>
      </c>
      <c r="D204" s="202" t="s">
        <v>27</v>
      </c>
      <c r="E204" s="107" t="s">
        <v>132</v>
      </c>
      <c r="F204" s="211">
        <v>45450.0</v>
      </c>
      <c r="G204" s="226">
        <v>0.125</v>
      </c>
      <c r="H204" s="107" t="s">
        <v>354</v>
      </c>
      <c r="I204" s="227" t="s">
        <v>354</v>
      </c>
      <c r="J204" s="227"/>
      <c r="K204" s="115" t="s">
        <v>507</v>
      </c>
      <c r="L204" s="228"/>
      <c r="M204" s="107" t="s">
        <v>516</v>
      </c>
      <c r="N204" s="229">
        <f>IF(AND(O204=TRUE,P204=TRUE), VLOOKUP($E204,PESSOAL!$B$35:$S$45,MONTH($F204)+6,FALSE)*G204*24,0)</f>
        <v>169.2331247</v>
      </c>
      <c r="O204" s="89" t="b">
        <f t="shared" si="1"/>
        <v>1</v>
      </c>
      <c r="P204" s="89" t="b">
        <v>1</v>
      </c>
      <c r="Q204" s="89" t="s">
        <v>212</v>
      </c>
    </row>
    <row r="205">
      <c r="A205" s="108"/>
      <c r="B205" s="202"/>
      <c r="C205" s="202" t="str">
        <f>VLOOKUP(M205,'#verificação horas por projeto'!A:B,2,FALSE)</f>
        <v>INOV00035</v>
      </c>
      <c r="D205" s="202" t="s">
        <v>23</v>
      </c>
      <c r="E205" s="107" t="s">
        <v>132</v>
      </c>
      <c r="F205" s="211">
        <v>45450.0</v>
      </c>
      <c r="G205" s="226">
        <v>0.16666666666666666</v>
      </c>
      <c r="H205" s="107" t="s">
        <v>354</v>
      </c>
      <c r="I205" s="227" t="s">
        <v>354</v>
      </c>
      <c r="J205" s="227"/>
      <c r="K205" s="115" t="s">
        <v>512</v>
      </c>
      <c r="L205" s="228"/>
      <c r="M205" s="107" t="s">
        <v>426</v>
      </c>
      <c r="N205" s="229">
        <f>IF(AND(O205=TRUE,P205=TRUE), VLOOKUP($E205,PESSOAL!$B$35:$S$45,MONTH($F205)+6,FALSE)*G205*24,0)</f>
        <v>225.6441663</v>
      </c>
      <c r="O205" s="89" t="b">
        <f t="shared" si="1"/>
        <v>1</v>
      </c>
      <c r="P205" s="89" t="b">
        <v>1</v>
      </c>
      <c r="Q205" s="89" t="s">
        <v>212</v>
      </c>
    </row>
    <row r="206">
      <c r="A206" s="108"/>
      <c r="B206" s="202"/>
      <c r="C206" s="202" t="str">
        <f>VLOOKUP(M206,'#verificação horas por projeto'!A:B,2,FALSE)</f>
        <v>INOV00035</v>
      </c>
      <c r="D206" s="202" t="s">
        <v>23</v>
      </c>
      <c r="E206" s="107" t="s">
        <v>132</v>
      </c>
      <c r="F206" s="211">
        <v>45453.0</v>
      </c>
      <c r="G206" s="226">
        <v>0.08333333333333333</v>
      </c>
      <c r="H206" s="107" t="s">
        <v>354</v>
      </c>
      <c r="I206" s="227" t="s">
        <v>354</v>
      </c>
      <c r="J206" s="227"/>
      <c r="K206" s="115" t="s">
        <v>512</v>
      </c>
      <c r="L206" s="228"/>
      <c r="M206" s="107" t="s">
        <v>426</v>
      </c>
      <c r="N206" s="229">
        <f>IF(AND(O206=TRUE,P206=TRUE), VLOOKUP($E206,PESSOAL!$B$35:$S$45,MONTH($F206)+6,FALSE)*G206*24,0)</f>
        <v>112.8220831</v>
      </c>
      <c r="O206" s="89" t="b">
        <f t="shared" si="1"/>
        <v>1</v>
      </c>
      <c r="P206" s="89" t="b">
        <v>1</v>
      </c>
      <c r="Q206" s="89" t="s">
        <v>212</v>
      </c>
    </row>
    <row r="207">
      <c r="A207" s="108"/>
      <c r="B207" s="202"/>
      <c r="C207" s="202" t="str">
        <f>VLOOKUP(M207,'#verificação horas por projeto'!A:B,2,FALSE)</f>
        <v>INOV00035</v>
      </c>
      <c r="D207" s="202" t="s">
        <v>23</v>
      </c>
      <c r="E207" s="107" t="s">
        <v>132</v>
      </c>
      <c r="F207" s="211">
        <v>45454.0</v>
      </c>
      <c r="G207" s="226">
        <v>0.08333333333333333</v>
      </c>
      <c r="H207" s="107" t="s">
        <v>354</v>
      </c>
      <c r="I207" s="227" t="s">
        <v>354</v>
      </c>
      <c r="J207" s="227"/>
      <c r="K207" s="115" t="s">
        <v>512</v>
      </c>
      <c r="L207" s="228"/>
      <c r="M207" s="107" t="s">
        <v>426</v>
      </c>
      <c r="N207" s="229">
        <f>IF(AND(O207=TRUE,P207=TRUE), VLOOKUP($E207,PESSOAL!$B$35:$S$45,MONTH($F207)+6,FALSE)*G207*24,0)</f>
        <v>112.8220831</v>
      </c>
      <c r="O207" s="89" t="b">
        <f t="shared" si="1"/>
        <v>1</v>
      </c>
      <c r="P207" s="89" t="b">
        <v>1</v>
      </c>
      <c r="Q207" s="89" t="s">
        <v>212</v>
      </c>
    </row>
    <row r="208" hidden="1">
      <c r="A208" s="108"/>
      <c r="B208" s="202"/>
      <c r="C208" s="202" t="str">
        <f>VLOOKUP(M208,'#verificação horas por projeto'!A:B,2,FALSE)</f>
        <v>#N/A</v>
      </c>
      <c r="D208" s="202" t="s">
        <v>36</v>
      </c>
      <c r="E208" s="107" t="s">
        <v>132</v>
      </c>
      <c r="F208" s="211">
        <v>45454.0</v>
      </c>
      <c r="G208" s="226">
        <v>0.125</v>
      </c>
      <c r="H208" s="107" t="s">
        <v>354</v>
      </c>
      <c r="I208" s="227" t="s">
        <v>354</v>
      </c>
      <c r="J208" s="227"/>
      <c r="K208" s="115" t="s">
        <v>513</v>
      </c>
      <c r="L208" s="228"/>
      <c r="M208" s="107" t="s">
        <v>514</v>
      </c>
      <c r="N208" s="229">
        <f>IF(AND(O208=TRUE,P208=TRUE), VLOOKUP($E208,PESSOAL!$B$35:$S$45,MONTH($F208)+6,FALSE)*G208*24,0)</f>
        <v>0</v>
      </c>
      <c r="O208" s="89" t="b">
        <f t="shared" si="1"/>
        <v>1</v>
      </c>
      <c r="P208" s="89" t="b">
        <v>0</v>
      </c>
      <c r="Q208" s="89" t="s">
        <v>212</v>
      </c>
    </row>
    <row r="209">
      <c r="A209" s="108"/>
      <c r="B209" s="202"/>
      <c r="C209" s="202" t="str">
        <f>VLOOKUP(M209,'#verificação horas por projeto'!A:B,2,FALSE)</f>
        <v>INOV00035</v>
      </c>
      <c r="D209" s="202" t="s">
        <v>23</v>
      </c>
      <c r="E209" s="107" t="s">
        <v>132</v>
      </c>
      <c r="F209" s="211">
        <v>45455.0</v>
      </c>
      <c r="G209" s="226">
        <v>0.08333333333333333</v>
      </c>
      <c r="H209" s="107" t="s">
        <v>354</v>
      </c>
      <c r="I209" s="227" t="s">
        <v>354</v>
      </c>
      <c r="J209" s="227"/>
      <c r="K209" s="115" t="s">
        <v>512</v>
      </c>
      <c r="L209" s="228"/>
      <c r="M209" s="107" t="s">
        <v>426</v>
      </c>
      <c r="N209" s="229">
        <f>IF(AND(O209=TRUE,P209=TRUE), VLOOKUP($E209,PESSOAL!$B$35:$S$45,MONTH($F209)+6,FALSE)*G209*24,0)</f>
        <v>112.8220831</v>
      </c>
      <c r="O209" s="89" t="b">
        <f t="shared" si="1"/>
        <v>1</v>
      </c>
      <c r="P209" s="89" t="b">
        <v>1</v>
      </c>
      <c r="Q209" s="89" t="s">
        <v>212</v>
      </c>
    </row>
    <row r="210" hidden="1">
      <c r="A210" s="108"/>
      <c r="B210" s="202"/>
      <c r="C210" s="202" t="str">
        <f>VLOOKUP(M210,'#verificação horas por projeto'!A:B,2,FALSE)</f>
        <v>INOV00039</v>
      </c>
      <c r="D210" s="202" t="s">
        <v>27</v>
      </c>
      <c r="E210" s="107" t="s">
        <v>132</v>
      </c>
      <c r="F210" s="211">
        <v>45455.0</v>
      </c>
      <c r="G210" s="226">
        <v>0.20833333333333334</v>
      </c>
      <c r="H210" s="107" t="s">
        <v>354</v>
      </c>
      <c r="I210" s="227" t="s">
        <v>354</v>
      </c>
      <c r="J210" s="227"/>
      <c r="K210" s="115" t="s">
        <v>507</v>
      </c>
      <c r="L210" s="228"/>
      <c r="M210" s="107" t="s">
        <v>516</v>
      </c>
      <c r="N210" s="229">
        <f>IF(AND(O210=TRUE,P210=TRUE), VLOOKUP($E210,PESSOAL!$B$35:$S$45,MONTH($F210)+6,FALSE)*G210*24,0)</f>
        <v>282.0552078</v>
      </c>
      <c r="O210" s="89" t="b">
        <f t="shared" si="1"/>
        <v>1</v>
      </c>
      <c r="P210" s="89" t="b">
        <v>1</v>
      </c>
      <c r="Q210" s="89" t="s">
        <v>212</v>
      </c>
    </row>
    <row r="211">
      <c r="A211" s="108"/>
      <c r="B211" s="202"/>
      <c r="C211" s="202" t="str">
        <f>VLOOKUP(M211,'#verificação horas por projeto'!A:B,2,FALSE)</f>
        <v>INOV00035</v>
      </c>
      <c r="D211" s="202" t="s">
        <v>23</v>
      </c>
      <c r="E211" s="107" t="s">
        <v>132</v>
      </c>
      <c r="F211" s="211">
        <v>45456.0</v>
      </c>
      <c r="G211" s="226">
        <v>0.4166666666666667</v>
      </c>
      <c r="H211" s="107" t="s">
        <v>354</v>
      </c>
      <c r="I211" s="227" t="s">
        <v>354</v>
      </c>
      <c r="J211" s="227"/>
      <c r="K211" s="115" t="s">
        <v>520</v>
      </c>
      <c r="L211" s="228"/>
      <c r="M211" s="107" t="s">
        <v>426</v>
      </c>
      <c r="N211" s="229">
        <f>IF(AND(O211=TRUE,P211=TRUE), VLOOKUP($E211,PESSOAL!$B$35:$S$45,MONTH($F211)+6,FALSE)*G211*24,0)</f>
        <v>564.1104156</v>
      </c>
      <c r="O211" s="89" t="b">
        <f t="shared" si="1"/>
        <v>1</v>
      </c>
      <c r="P211" s="89" t="b">
        <v>1</v>
      </c>
      <c r="Q211" s="89" t="s">
        <v>212</v>
      </c>
    </row>
    <row r="212" hidden="1">
      <c r="A212" s="108"/>
      <c r="B212" s="202"/>
      <c r="C212" s="202" t="str">
        <f>VLOOKUP(M212,'#verificação horas por projeto'!A:B,2,FALSE)</f>
        <v>INOV00001</v>
      </c>
      <c r="D212" s="202" t="s">
        <v>3</v>
      </c>
      <c r="E212" s="107" t="s">
        <v>132</v>
      </c>
      <c r="F212" s="211">
        <v>45457.0</v>
      </c>
      <c r="G212" s="226">
        <v>0.4166666666666667</v>
      </c>
      <c r="H212" s="107" t="s">
        <v>354</v>
      </c>
      <c r="I212" s="227" t="s">
        <v>354</v>
      </c>
      <c r="J212" s="227"/>
      <c r="K212" s="115" t="s">
        <v>520</v>
      </c>
      <c r="L212" s="228"/>
      <c r="M212" s="107" t="s">
        <v>386</v>
      </c>
      <c r="N212" s="229">
        <f>IF(AND(O212=TRUE,P212=TRUE), VLOOKUP($E212,PESSOAL!$B$35:$S$45,MONTH($F212)+6,FALSE)*G212*24,0)</f>
        <v>564.1104156</v>
      </c>
      <c r="O212" s="89" t="b">
        <f t="shared" si="1"/>
        <v>1</v>
      </c>
      <c r="P212" s="89" t="b">
        <v>1</v>
      </c>
      <c r="Q212" s="89" t="s">
        <v>212</v>
      </c>
    </row>
    <row r="213" hidden="1">
      <c r="A213" s="108"/>
      <c r="B213" s="202"/>
      <c r="C213" s="202" t="str">
        <f>VLOOKUP(M213,'#verificação horas por projeto'!A:B,2,FALSE)</f>
        <v>INOV00024</v>
      </c>
      <c r="D213" s="202" t="s">
        <v>14</v>
      </c>
      <c r="E213" s="107" t="s">
        <v>132</v>
      </c>
      <c r="F213" s="211">
        <v>45458.0</v>
      </c>
      <c r="G213" s="226">
        <v>0.4166666666666667</v>
      </c>
      <c r="H213" s="107" t="s">
        <v>354</v>
      </c>
      <c r="I213" s="227" t="s">
        <v>354</v>
      </c>
      <c r="J213" s="227"/>
      <c r="K213" s="115" t="s">
        <v>520</v>
      </c>
      <c r="L213" s="228"/>
      <c r="M213" s="107" t="s">
        <v>428</v>
      </c>
      <c r="N213" s="229">
        <f>IF(AND(O213=TRUE,P213=TRUE), VLOOKUP($E213,PESSOAL!$B$35:$S$45,MONTH($F213)+6,FALSE)*G213*24,0)</f>
        <v>564.1104156</v>
      </c>
      <c r="O213" s="89" t="b">
        <f t="shared" si="1"/>
        <v>1</v>
      </c>
      <c r="P213" s="89" t="b">
        <v>1</v>
      </c>
      <c r="Q213" s="89" t="s">
        <v>212</v>
      </c>
    </row>
    <row r="214">
      <c r="A214" s="108"/>
      <c r="B214" s="202"/>
      <c r="C214" s="202" t="str">
        <f>VLOOKUP(M214,'#verificação horas por projeto'!A:B,2,FALSE)</f>
        <v>INOV00035</v>
      </c>
      <c r="D214" s="202" t="s">
        <v>23</v>
      </c>
      <c r="E214" s="107" t="s">
        <v>132</v>
      </c>
      <c r="F214" s="211">
        <v>45462.0</v>
      </c>
      <c r="G214" s="226">
        <v>0.125</v>
      </c>
      <c r="H214" s="107" t="s">
        <v>354</v>
      </c>
      <c r="I214" s="227" t="s">
        <v>354</v>
      </c>
      <c r="J214" s="227"/>
      <c r="K214" s="115" t="s">
        <v>520</v>
      </c>
      <c r="L214" s="228"/>
      <c r="M214" s="107" t="s">
        <v>426</v>
      </c>
      <c r="N214" s="229">
        <f>IF(AND(O214=TRUE,P214=TRUE), VLOOKUP($E214,PESSOAL!$B$35:$S$45,MONTH($F214)+6,FALSE)*G214*24,0)</f>
        <v>169.2331247</v>
      </c>
      <c r="O214" s="89" t="b">
        <f t="shared" si="1"/>
        <v>1</v>
      </c>
      <c r="P214" s="89" t="b">
        <v>1</v>
      </c>
      <c r="Q214" s="89" t="s">
        <v>212</v>
      </c>
    </row>
    <row r="215" hidden="1">
      <c r="A215" s="108"/>
      <c r="B215" s="202"/>
      <c r="C215" s="202" t="str">
        <f>VLOOKUP(M215,'#verificação horas por projeto'!A:B,2,FALSE)</f>
        <v>INOV00001</v>
      </c>
      <c r="D215" s="202" t="s">
        <v>3</v>
      </c>
      <c r="E215" s="107" t="s">
        <v>132</v>
      </c>
      <c r="F215" s="211">
        <v>45463.0</v>
      </c>
      <c r="G215" s="226">
        <v>0.08333333333333333</v>
      </c>
      <c r="H215" s="107" t="s">
        <v>354</v>
      </c>
      <c r="I215" s="227" t="s">
        <v>354</v>
      </c>
      <c r="J215" s="227"/>
      <c r="K215" s="115" t="s">
        <v>520</v>
      </c>
      <c r="L215" s="228"/>
      <c r="M215" s="107" t="s">
        <v>386</v>
      </c>
      <c r="N215" s="229">
        <f>IF(AND(O215=TRUE,P215=TRUE), VLOOKUP($E215,PESSOAL!$B$35:$S$45,MONTH($F215)+6,FALSE)*G215*24,0)</f>
        <v>112.8220831</v>
      </c>
      <c r="O215" s="89" t="b">
        <f t="shared" si="1"/>
        <v>1</v>
      </c>
      <c r="P215" s="89" t="b">
        <v>1</v>
      </c>
      <c r="Q215" s="89" t="s">
        <v>212</v>
      </c>
    </row>
    <row r="216" hidden="1">
      <c r="A216" s="108"/>
      <c r="B216" s="202"/>
      <c r="C216" s="202" t="str">
        <f>VLOOKUP(M216,'#verificação horas por projeto'!A:B,2,FALSE)</f>
        <v>INOV00041</v>
      </c>
      <c r="D216" s="202" t="s">
        <v>28</v>
      </c>
      <c r="E216" s="107" t="s">
        <v>132</v>
      </c>
      <c r="F216" s="211">
        <v>45467.0</v>
      </c>
      <c r="G216" s="226">
        <v>0.16666666666666666</v>
      </c>
      <c r="H216" s="107" t="s">
        <v>354</v>
      </c>
      <c r="I216" s="227" t="s">
        <v>354</v>
      </c>
      <c r="J216" s="227"/>
      <c r="K216" s="115" t="s">
        <v>520</v>
      </c>
      <c r="L216" s="228"/>
      <c r="M216" s="107" t="s">
        <v>408</v>
      </c>
      <c r="N216" s="229">
        <f>IF(AND(O216=TRUE,P216=TRUE), VLOOKUP($E216,PESSOAL!$B$35:$S$45,MONTH($F216)+6,FALSE)*G216*24,0)</f>
        <v>225.6441663</v>
      </c>
      <c r="O216" s="89" t="b">
        <f t="shared" si="1"/>
        <v>1</v>
      </c>
      <c r="P216" s="89" t="b">
        <v>1</v>
      </c>
      <c r="Q216" s="89" t="s">
        <v>212</v>
      </c>
    </row>
    <row r="217" hidden="1">
      <c r="A217" s="108"/>
      <c r="B217" s="202"/>
      <c r="C217" s="202" t="str">
        <f>VLOOKUP(M217,'#verificação horas por projeto'!A:B,2,FALSE)</f>
        <v>INOV00001</v>
      </c>
      <c r="D217" s="202" t="s">
        <v>3</v>
      </c>
      <c r="E217" s="107" t="s">
        <v>132</v>
      </c>
      <c r="F217" s="211">
        <v>45468.0</v>
      </c>
      <c r="G217" s="226">
        <v>0.16666666666666666</v>
      </c>
      <c r="H217" s="107" t="s">
        <v>354</v>
      </c>
      <c r="I217" s="227" t="s">
        <v>354</v>
      </c>
      <c r="J217" s="227"/>
      <c r="K217" s="115" t="s">
        <v>520</v>
      </c>
      <c r="L217" s="228"/>
      <c r="M217" s="107" t="s">
        <v>386</v>
      </c>
      <c r="N217" s="229">
        <f>IF(AND(O217=TRUE,P217=TRUE), VLOOKUP($E217,PESSOAL!$B$35:$S$45,MONTH($F217)+6,FALSE)*G217*24,0)</f>
        <v>225.6441663</v>
      </c>
      <c r="O217" s="89" t="b">
        <f t="shared" si="1"/>
        <v>1</v>
      </c>
      <c r="P217" s="89" t="b">
        <v>1</v>
      </c>
      <c r="Q217" s="89" t="s">
        <v>212</v>
      </c>
    </row>
    <row r="218" hidden="1">
      <c r="A218" s="108"/>
      <c r="B218" s="202"/>
      <c r="C218" s="202" t="str">
        <f>VLOOKUP(M218,'#verificação horas por projeto'!A:B,2,FALSE)</f>
        <v>INOV00037</v>
      </c>
      <c r="D218" s="202" t="s">
        <v>25</v>
      </c>
      <c r="E218" s="107" t="s">
        <v>132</v>
      </c>
      <c r="F218" s="211">
        <v>45469.0</v>
      </c>
      <c r="G218" s="226">
        <v>0.125</v>
      </c>
      <c r="H218" s="107" t="s">
        <v>354</v>
      </c>
      <c r="I218" s="227" t="s">
        <v>354</v>
      </c>
      <c r="J218" s="227"/>
      <c r="K218" s="115" t="s">
        <v>520</v>
      </c>
      <c r="L218" s="228"/>
      <c r="M218" s="107" t="s">
        <v>508</v>
      </c>
      <c r="N218" s="229">
        <f>IF(AND(O218=TRUE,P218=TRUE), VLOOKUP($E218,PESSOAL!$B$35:$S$45,MONTH($F218)+6,FALSE)*G218*24,0)</f>
        <v>169.2331247</v>
      </c>
      <c r="O218" s="89" t="b">
        <f t="shared" si="1"/>
        <v>1</v>
      </c>
      <c r="P218" s="89" t="b">
        <v>1</v>
      </c>
      <c r="Q218" s="89" t="s">
        <v>212</v>
      </c>
    </row>
    <row r="219" hidden="1">
      <c r="A219" s="108"/>
      <c r="B219" s="202"/>
      <c r="C219" s="202" t="str">
        <f>VLOOKUP(M219,'#verificação horas por projeto'!A:B,2,FALSE)</f>
        <v>INOV00014</v>
      </c>
      <c r="D219" s="202" t="s">
        <v>8</v>
      </c>
      <c r="E219" s="107" t="s">
        <v>131</v>
      </c>
      <c r="F219" s="211">
        <v>45385.0</v>
      </c>
      <c r="G219" s="226">
        <v>0.08333333333333333</v>
      </c>
      <c r="H219" s="107" t="s">
        <v>353</v>
      </c>
      <c r="I219" s="227" t="s">
        <v>353</v>
      </c>
      <c r="J219" s="227"/>
      <c r="K219" s="115" t="s">
        <v>521</v>
      </c>
      <c r="L219" s="228"/>
      <c r="M219" s="107" t="s">
        <v>441</v>
      </c>
      <c r="N219" s="229">
        <f>IF(AND(O219=TRUE,P219=TRUE), VLOOKUP($E219,PESSOAL!$B$35:$S$45,MONTH($F219)+6,FALSE)*G219*24,0)</f>
        <v>91.31805758</v>
      </c>
      <c r="O219" s="89" t="b">
        <f t="shared" si="1"/>
        <v>1</v>
      </c>
      <c r="P219" s="89" t="b">
        <v>1</v>
      </c>
      <c r="Q219" s="89" t="s">
        <v>212</v>
      </c>
    </row>
    <row r="220" hidden="1">
      <c r="A220" s="108"/>
      <c r="B220" s="202"/>
      <c r="C220" s="202" t="str">
        <f>VLOOKUP(M220,'#verificação horas por projeto'!A:B,2,FALSE)</f>
        <v>INOV00017</v>
      </c>
      <c r="D220" s="202" t="s">
        <v>10</v>
      </c>
      <c r="E220" s="107" t="s">
        <v>131</v>
      </c>
      <c r="F220" s="211">
        <v>45385.0</v>
      </c>
      <c r="G220" s="226">
        <v>0.08333333333333333</v>
      </c>
      <c r="H220" s="107" t="s">
        <v>353</v>
      </c>
      <c r="I220" s="227" t="s">
        <v>353</v>
      </c>
      <c r="J220" s="227"/>
      <c r="K220" s="115" t="s">
        <v>522</v>
      </c>
      <c r="L220" s="228"/>
      <c r="M220" s="107" t="s">
        <v>389</v>
      </c>
      <c r="N220" s="229">
        <f>IF(AND(O220=TRUE,P220=TRUE), VLOOKUP($E220,PESSOAL!$B$35:$S$45,MONTH($F220)+6,FALSE)*G220*24,0)</f>
        <v>91.31805758</v>
      </c>
      <c r="O220" s="89" t="b">
        <f t="shared" si="1"/>
        <v>1</v>
      </c>
      <c r="P220" s="89" t="b">
        <v>1</v>
      </c>
      <c r="Q220" s="89" t="s">
        <v>212</v>
      </c>
    </row>
    <row r="221" hidden="1">
      <c r="A221" s="108"/>
      <c r="B221" s="202"/>
      <c r="C221" s="202" t="str">
        <f>VLOOKUP(M221,'#verificação horas por projeto'!A:B,2,FALSE)</f>
        <v>INOV00006</v>
      </c>
      <c r="D221" s="202" t="s">
        <v>5</v>
      </c>
      <c r="E221" s="107" t="s">
        <v>131</v>
      </c>
      <c r="F221" s="211">
        <v>45391.0</v>
      </c>
      <c r="G221" s="226">
        <v>0.16666666666666666</v>
      </c>
      <c r="H221" s="107" t="s">
        <v>353</v>
      </c>
      <c r="I221" s="227" t="s">
        <v>353</v>
      </c>
      <c r="J221" s="227"/>
      <c r="K221" s="115" t="s">
        <v>523</v>
      </c>
      <c r="L221" s="228"/>
      <c r="M221" s="107" t="s">
        <v>379</v>
      </c>
      <c r="N221" s="229">
        <f>IF(AND(O221=TRUE,P221=TRUE), VLOOKUP($E221,PESSOAL!$B$35:$S$45,MONTH($F221)+6,FALSE)*G221*24,0)</f>
        <v>182.6361152</v>
      </c>
      <c r="O221" s="89" t="b">
        <f t="shared" si="1"/>
        <v>1</v>
      </c>
      <c r="P221" s="89" t="b">
        <v>1</v>
      </c>
      <c r="Q221" s="89" t="s">
        <v>212</v>
      </c>
    </row>
    <row r="222" hidden="1">
      <c r="A222" s="108"/>
      <c r="B222" s="202"/>
      <c r="C222" s="202" t="str">
        <f>VLOOKUP(M222,'#verificação horas por projeto'!A:B,2,FALSE)</f>
        <v>INOV00006</v>
      </c>
      <c r="D222" s="202" t="s">
        <v>5</v>
      </c>
      <c r="E222" s="107" t="s">
        <v>131</v>
      </c>
      <c r="F222" s="211">
        <v>45398.0</v>
      </c>
      <c r="G222" s="226">
        <v>0.041666666666666664</v>
      </c>
      <c r="H222" s="107" t="s">
        <v>356</v>
      </c>
      <c r="I222" s="227" t="s">
        <v>356</v>
      </c>
      <c r="J222" s="227"/>
      <c r="K222" s="115" t="s">
        <v>524</v>
      </c>
      <c r="L222" s="228"/>
      <c r="M222" s="107" t="s">
        <v>379</v>
      </c>
      <c r="N222" s="229">
        <f>IF(AND(O222=TRUE,P222=TRUE), VLOOKUP($E222,PESSOAL!$B$35:$S$45,MONTH($F222)+6,FALSE)*G222*24,0)</f>
        <v>45.65902879</v>
      </c>
      <c r="O222" s="89" t="b">
        <f t="shared" si="1"/>
        <v>1</v>
      </c>
      <c r="P222" s="89" t="b">
        <v>1</v>
      </c>
      <c r="Q222" s="89" t="s">
        <v>212</v>
      </c>
    </row>
    <row r="223" hidden="1">
      <c r="A223" s="108"/>
      <c r="B223" s="202"/>
      <c r="C223" s="202" t="str">
        <f>VLOOKUP(M223,'#verificação horas por projeto'!A:B,2,FALSE)</f>
        <v>INOV00020</v>
      </c>
      <c r="D223" s="202" t="s">
        <v>11</v>
      </c>
      <c r="E223" s="107" t="s">
        <v>131</v>
      </c>
      <c r="F223" s="211">
        <v>45404.0</v>
      </c>
      <c r="G223" s="226">
        <v>0.0625</v>
      </c>
      <c r="H223" s="107" t="s">
        <v>356</v>
      </c>
      <c r="I223" s="227" t="s">
        <v>356</v>
      </c>
      <c r="J223" s="227"/>
      <c r="K223" s="115" t="s">
        <v>525</v>
      </c>
      <c r="L223" s="228"/>
      <c r="M223" s="107" t="s">
        <v>457</v>
      </c>
      <c r="N223" s="229">
        <f>IF(AND(O223=TRUE,P223=TRUE), VLOOKUP($E223,PESSOAL!$B$35:$S$45,MONTH($F223)+6,FALSE)*G223*24,0)</f>
        <v>0</v>
      </c>
      <c r="O223" s="89" t="b">
        <f t="shared" si="1"/>
        <v>1</v>
      </c>
      <c r="P223" s="89" t="b">
        <v>0</v>
      </c>
      <c r="Q223" s="89" t="s">
        <v>212</v>
      </c>
    </row>
    <row r="224" hidden="1">
      <c r="A224" s="108"/>
      <c r="B224" s="202"/>
      <c r="C224" s="202" t="str">
        <f>VLOOKUP(M224,'#verificação horas por projeto'!A:B,2,FALSE)</f>
        <v>INOV00013</v>
      </c>
      <c r="D224" s="202" t="s">
        <v>7</v>
      </c>
      <c r="E224" s="107" t="s">
        <v>131</v>
      </c>
      <c r="F224" s="211">
        <v>45404.0</v>
      </c>
      <c r="G224" s="226">
        <v>0.041666666666666664</v>
      </c>
      <c r="H224" s="107" t="s">
        <v>356</v>
      </c>
      <c r="I224" s="227" t="s">
        <v>356</v>
      </c>
      <c r="J224" s="227"/>
      <c r="K224" s="115" t="s">
        <v>526</v>
      </c>
      <c r="L224" s="228"/>
      <c r="M224" s="107" t="s">
        <v>378</v>
      </c>
      <c r="N224" s="229">
        <f>IF(AND(O224=TRUE,P224=TRUE), VLOOKUP($E224,PESSOAL!$B$35:$S$45,MONTH($F224)+6,FALSE)*G224*24,0)</f>
        <v>45.65902879</v>
      </c>
      <c r="O224" s="89" t="b">
        <f t="shared" si="1"/>
        <v>1</v>
      </c>
      <c r="P224" s="89" t="b">
        <v>1</v>
      </c>
      <c r="Q224" s="89" t="s">
        <v>212</v>
      </c>
    </row>
    <row r="225" hidden="1">
      <c r="A225" s="108"/>
      <c r="B225" s="202"/>
      <c r="C225" s="202" t="str">
        <f>VLOOKUP(M225,'#verificação horas por projeto'!A:B,2,FALSE)</f>
        <v>INOV00017</v>
      </c>
      <c r="D225" s="202" t="s">
        <v>10</v>
      </c>
      <c r="E225" s="107" t="s">
        <v>131</v>
      </c>
      <c r="F225" s="211">
        <v>45391.0</v>
      </c>
      <c r="G225" s="226">
        <v>0.20833333333333334</v>
      </c>
      <c r="H225" s="107" t="s">
        <v>356</v>
      </c>
      <c r="I225" s="227" t="s">
        <v>356</v>
      </c>
      <c r="J225" s="227"/>
      <c r="K225" s="115" t="s">
        <v>527</v>
      </c>
      <c r="L225" s="228"/>
      <c r="M225" s="107" t="s">
        <v>389</v>
      </c>
      <c r="N225" s="229">
        <f>IF(AND(O225=TRUE,P225=TRUE), VLOOKUP($E225,PESSOAL!$B$35:$S$45,MONTH($F225)+6,FALSE)*G225*24,0)</f>
        <v>228.2951439</v>
      </c>
      <c r="O225" s="89" t="b">
        <f t="shared" si="1"/>
        <v>1</v>
      </c>
      <c r="P225" s="89" t="b">
        <v>1</v>
      </c>
      <c r="Q225" s="89" t="s">
        <v>212</v>
      </c>
    </row>
    <row r="226" hidden="1">
      <c r="A226" s="108"/>
      <c r="B226" s="202"/>
      <c r="C226" s="202" t="str">
        <f>VLOOKUP(M226,'#verificação horas por projeto'!A:B,2,FALSE)</f>
        <v>INOV00017</v>
      </c>
      <c r="D226" s="202" t="s">
        <v>10</v>
      </c>
      <c r="E226" s="107" t="s">
        <v>131</v>
      </c>
      <c r="F226" s="211">
        <v>45398.0</v>
      </c>
      <c r="G226" s="226">
        <v>0.20833333333333334</v>
      </c>
      <c r="H226" s="107" t="s">
        <v>356</v>
      </c>
      <c r="I226" s="227" t="s">
        <v>356</v>
      </c>
      <c r="J226" s="227"/>
      <c r="K226" s="115" t="s">
        <v>528</v>
      </c>
      <c r="L226" s="228"/>
      <c r="M226" s="107" t="s">
        <v>389</v>
      </c>
      <c r="N226" s="229">
        <f>IF(AND(O226=TRUE,P226=TRUE), VLOOKUP($E226,PESSOAL!$B$35:$S$45,MONTH($F226)+6,FALSE)*G226*24,0)</f>
        <v>228.2951439</v>
      </c>
      <c r="O226" s="89" t="b">
        <f t="shared" si="1"/>
        <v>1</v>
      </c>
      <c r="P226" s="89" t="b">
        <v>1</v>
      </c>
      <c r="Q226" s="89" t="s">
        <v>212</v>
      </c>
    </row>
    <row r="227" hidden="1">
      <c r="A227" s="108"/>
      <c r="B227" s="202"/>
      <c r="C227" s="202" t="str">
        <f>VLOOKUP(M227,'#verificação horas por projeto'!A:B,2,FALSE)</f>
        <v>INOV00042</v>
      </c>
      <c r="D227" s="202" t="s">
        <v>529</v>
      </c>
      <c r="E227" s="107" t="s">
        <v>131</v>
      </c>
      <c r="F227" s="211">
        <v>45400.0</v>
      </c>
      <c r="G227" s="226">
        <v>0.041666666666666664</v>
      </c>
      <c r="H227" s="107" t="s">
        <v>356</v>
      </c>
      <c r="I227" s="227" t="s">
        <v>356</v>
      </c>
      <c r="J227" s="227"/>
      <c r="K227" s="115" t="s">
        <v>530</v>
      </c>
      <c r="L227" s="228"/>
      <c r="M227" s="107" t="s">
        <v>531</v>
      </c>
      <c r="N227" s="229">
        <f>IF(AND(O227=TRUE,P227=TRUE), VLOOKUP($E227,PESSOAL!$B$35:$S$45,MONTH($F227)+6,FALSE)*G227*24,0)</f>
        <v>0</v>
      </c>
      <c r="O227" s="89" t="b">
        <f t="shared" si="1"/>
        <v>1</v>
      </c>
      <c r="P227" s="89" t="b">
        <v>0</v>
      </c>
      <c r="Q227" s="89" t="s">
        <v>212</v>
      </c>
    </row>
    <row r="228" hidden="1">
      <c r="A228" s="108"/>
      <c r="B228" s="202"/>
      <c r="C228" s="202" t="str">
        <f>VLOOKUP(M228,'#verificação horas por projeto'!A:B,2,FALSE)</f>
        <v>INOV00006</v>
      </c>
      <c r="D228" s="202" t="s">
        <v>5</v>
      </c>
      <c r="E228" s="107" t="s">
        <v>131</v>
      </c>
      <c r="F228" s="211">
        <v>45406.0</v>
      </c>
      <c r="G228" s="226">
        <v>0.08333333333333333</v>
      </c>
      <c r="H228" s="107" t="s">
        <v>356</v>
      </c>
      <c r="I228" s="227" t="s">
        <v>356</v>
      </c>
      <c r="J228" s="227"/>
      <c r="K228" s="115" t="s">
        <v>532</v>
      </c>
      <c r="L228" s="228"/>
      <c r="M228" s="107" t="s">
        <v>379</v>
      </c>
      <c r="N228" s="229">
        <f>IF(AND(O228=TRUE,P228=TRUE), VLOOKUP($E228,PESSOAL!$B$35:$S$45,MONTH($F228)+6,FALSE)*G228*24,0)</f>
        <v>91.31805758</v>
      </c>
      <c r="O228" s="89" t="b">
        <f t="shared" si="1"/>
        <v>1</v>
      </c>
      <c r="P228" s="89" t="b">
        <v>1</v>
      </c>
      <c r="Q228" s="89" t="s">
        <v>212</v>
      </c>
    </row>
    <row r="229" hidden="1">
      <c r="A229" s="108"/>
      <c r="B229" s="202"/>
      <c r="C229" s="202" t="str">
        <f>VLOOKUP(M229,'#verificação horas por projeto'!A:B,2,FALSE)</f>
        <v>INOV00032</v>
      </c>
      <c r="D229" s="202" t="s">
        <v>21</v>
      </c>
      <c r="E229" s="107" t="s">
        <v>131</v>
      </c>
      <c r="F229" s="211">
        <v>45426.0</v>
      </c>
      <c r="G229" s="226">
        <v>0.020833333333333332</v>
      </c>
      <c r="H229" s="107" t="s">
        <v>356</v>
      </c>
      <c r="I229" s="227" t="s">
        <v>356</v>
      </c>
      <c r="J229" s="227"/>
      <c r="K229" s="115" t="s">
        <v>533</v>
      </c>
      <c r="L229" s="228"/>
      <c r="M229" s="107" t="s">
        <v>534</v>
      </c>
      <c r="N229" s="229">
        <f>IF(AND(O229=TRUE,P229=TRUE), VLOOKUP($E229,PESSOAL!$B$35:$S$45,MONTH($F229)+6,FALSE)*G229*24,0)</f>
        <v>22.82951439</v>
      </c>
      <c r="O229" s="89" t="b">
        <f t="shared" si="1"/>
        <v>1</v>
      </c>
      <c r="P229" s="89" t="b">
        <v>1</v>
      </c>
      <c r="Q229" s="89" t="s">
        <v>212</v>
      </c>
    </row>
    <row r="230" hidden="1">
      <c r="A230" s="108"/>
      <c r="B230" s="202"/>
      <c r="C230" s="202" t="str">
        <f>VLOOKUP(M230,'#verificação horas por projeto'!A:B,2,FALSE)</f>
        <v>INOV00032</v>
      </c>
      <c r="D230" s="202" t="s">
        <v>21</v>
      </c>
      <c r="E230" s="107" t="s">
        <v>131</v>
      </c>
      <c r="F230" s="211">
        <v>45427.0</v>
      </c>
      <c r="G230" s="226">
        <v>0.041666666666666664</v>
      </c>
      <c r="H230" s="107" t="s">
        <v>356</v>
      </c>
      <c r="I230" s="227" t="s">
        <v>356</v>
      </c>
      <c r="J230" s="227"/>
      <c r="K230" s="115" t="s">
        <v>535</v>
      </c>
      <c r="L230" s="228"/>
      <c r="M230" s="107" t="s">
        <v>534</v>
      </c>
      <c r="N230" s="229">
        <f>IF(AND(O230=TRUE,P230=TRUE), VLOOKUP($E230,PESSOAL!$B$35:$S$45,MONTH($F230)+6,FALSE)*G230*24,0)</f>
        <v>45.65902879</v>
      </c>
      <c r="O230" s="89" t="b">
        <f t="shared" si="1"/>
        <v>1</v>
      </c>
      <c r="P230" s="89" t="b">
        <v>1</v>
      </c>
      <c r="Q230" s="89" t="s">
        <v>212</v>
      </c>
    </row>
    <row r="231" hidden="1">
      <c r="A231" s="108"/>
      <c r="B231" s="202"/>
      <c r="C231" s="202" t="str">
        <f>VLOOKUP(M231,'#verificação horas por projeto'!A:B,2,FALSE)</f>
        <v>INOV00032</v>
      </c>
      <c r="D231" s="202" t="s">
        <v>21</v>
      </c>
      <c r="E231" s="107" t="s">
        <v>131</v>
      </c>
      <c r="F231" s="211">
        <v>45428.0</v>
      </c>
      <c r="G231" s="226">
        <v>0.020833333333333332</v>
      </c>
      <c r="H231" s="107" t="s">
        <v>356</v>
      </c>
      <c r="I231" s="227" t="s">
        <v>356</v>
      </c>
      <c r="J231" s="227"/>
      <c r="K231" s="115" t="s">
        <v>535</v>
      </c>
      <c r="L231" s="228"/>
      <c r="M231" s="107" t="s">
        <v>534</v>
      </c>
      <c r="N231" s="229">
        <f>IF(AND(O231=TRUE,P231=TRUE), VLOOKUP($E231,PESSOAL!$B$35:$S$45,MONTH($F231)+6,FALSE)*G231*24,0)</f>
        <v>22.82951439</v>
      </c>
      <c r="O231" s="89" t="b">
        <f t="shared" si="1"/>
        <v>1</v>
      </c>
      <c r="P231" s="89" t="b">
        <v>1</v>
      </c>
      <c r="Q231" s="89" t="s">
        <v>212</v>
      </c>
    </row>
    <row r="232" hidden="1">
      <c r="A232" s="108"/>
      <c r="B232" s="202"/>
      <c r="C232" s="202" t="str">
        <f>VLOOKUP(M232,'#verificação horas por projeto'!A:B,2,FALSE)</f>
        <v>INOV00006</v>
      </c>
      <c r="D232" s="202" t="s">
        <v>5</v>
      </c>
      <c r="E232" s="107" t="s">
        <v>131</v>
      </c>
      <c r="F232" s="211">
        <v>45428.0</v>
      </c>
      <c r="G232" s="226">
        <v>0.041666666666666664</v>
      </c>
      <c r="H232" s="107" t="s">
        <v>356</v>
      </c>
      <c r="I232" s="227" t="s">
        <v>356</v>
      </c>
      <c r="J232" s="227"/>
      <c r="K232" s="115" t="s">
        <v>536</v>
      </c>
      <c r="L232" s="228"/>
      <c r="M232" s="107" t="s">
        <v>379</v>
      </c>
      <c r="N232" s="229">
        <f>IF(AND(O232=TRUE,P232=TRUE), VLOOKUP($E232,PESSOAL!$B$35:$S$45,MONTH($F232)+6,FALSE)*G232*24,0)</f>
        <v>45.65902879</v>
      </c>
      <c r="O232" s="89" t="b">
        <f t="shared" si="1"/>
        <v>1</v>
      </c>
      <c r="P232" s="89" t="b">
        <v>1</v>
      </c>
      <c r="Q232" s="89" t="s">
        <v>212</v>
      </c>
    </row>
    <row r="233" hidden="1">
      <c r="A233" s="108"/>
      <c r="B233" s="202"/>
      <c r="C233" s="202" t="str">
        <f>VLOOKUP(M233,'#verificação horas por projeto'!A:B,2,FALSE)</f>
        <v>INOV00006</v>
      </c>
      <c r="D233" s="202" t="s">
        <v>5</v>
      </c>
      <c r="E233" s="107" t="s">
        <v>131</v>
      </c>
      <c r="F233" s="211">
        <v>45429.0</v>
      </c>
      <c r="G233" s="226">
        <v>0.041666666666666664</v>
      </c>
      <c r="H233" s="107" t="s">
        <v>356</v>
      </c>
      <c r="I233" s="227" t="s">
        <v>356</v>
      </c>
      <c r="J233" s="227"/>
      <c r="K233" s="115" t="s">
        <v>537</v>
      </c>
      <c r="L233" s="228"/>
      <c r="M233" s="107" t="s">
        <v>379</v>
      </c>
      <c r="N233" s="229">
        <f>IF(AND(O233=TRUE,P233=TRUE), VLOOKUP($E233,PESSOAL!$B$35:$S$45,MONTH($F233)+6,FALSE)*G233*24,0)</f>
        <v>45.65902879</v>
      </c>
      <c r="O233" s="89" t="b">
        <f t="shared" si="1"/>
        <v>1</v>
      </c>
      <c r="P233" s="89" t="b">
        <v>1</v>
      </c>
      <c r="Q233" s="89" t="s">
        <v>212</v>
      </c>
    </row>
    <row r="234" hidden="1">
      <c r="A234" s="108"/>
      <c r="B234" s="202"/>
      <c r="C234" s="202" t="str">
        <f>VLOOKUP(M234,'#verificação horas por projeto'!A:B,2,FALSE)</f>
        <v>INOV00006</v>
      </c>
      <c r="D234" s="202" t="s">
        <v>5</v>
      </c>
      <c r="E234" s="107" t="s">
        <v>131</v>
      </c>
      <c r="F234" s="211">
        <v>45429.0</v>
      </c>
      <c r="G234" s="226">
        <v>0.020833333333333332</v>
      </c>
      <c r="H234" s="107" t="s">
        <v>356</v>
      </c>
      <c r="I234" s="227" t="s">
        <v>356</v>
      </c>
      <c r="J234" s="227"/>
      <c r="K234" s="115" t="s">
        <v>538</v>
      </c>
      <c r="L234" s="228"/>
      <c r="M234" s="107" t="s">
        <v>379</v>
      </c>
      <c r="N234" s="229">
        <f>IF(AND(O234=TRUE,P234=TRUE), VLOOKUP($E234,PESSOAL!$B$35:$S$45,MONTH($F234)+6,FALSE)*G234*24,0)</f>
        <v>22.82951439</v>
      </c>
      <c r="O234" s="89" t="b">
        <f t="shared" si="1"/>
        <v>1</v>
      </c>
      <c r="P234" s="89" t="b">
        <v>1</v>
      </c>
      <c r="Q234" s="89" t="s">
        <v>212</v>
      </c>
    </row>
    <row r="235" hidden="1">
      <c r="A235" s="108"/>
      <c r="B235" s="202"/>
      <c r="C235" s="202" t="str">
        <f>VLOOKUP(M235,'#verificação horas por projeto'!A:B,2,FALSE)</f>
        <v>INOV00013</v>
      </c>
      <c r="D235" s="202" t="s">
        <v>7</v>
      </c>
      <c r="E235" s="107" t="s">
        <v>131</v>
      </c>
      <c r="F235" s="211">
        <v>45432.0</v>
      </c>
      <c r="G235" s="226">
        <v>0.041666666666666664</v>
      </c>
      <c r="H235" s="107" t="s">
        <v>356</v>
      </c>
      <c r="I235" s="227" t="s">
        <v>356</v>
      </c>
      <c r="J235" s="227"/>
      <c r="K235" s="115" t="s">
        <v>526</v>
      </c>
      <c r="L235" s="228"/>
      <c r="M235" s="107" t="s">
        <v>378</v>
      </c>
      <c r="N235" s="229">
        <f>IF(AND(O235=TRUE,P235=TRUE), VLOOKUP($E235,PESSOAL!$B$35:$S$45,MONTH($F235)+6,FALSE)*G235*24,0)</f>
        <v>45.65902879</v>
      </c>
      <c r="O235" s="89" t="b">
        <f t="shared" si="1"/>
        <v>1</v>
      </c>
      <c r="P235" s="89" t="b">
        <v>1</v>
      </c>
      <c r="Q235" s="89" t="s">
        <v>212</v>
      </c>
    </row>
    <row r="236" hidden="1">
      <c r="A236" s="108"/>
      <c r="B236" s="202"/>
      <c r="C236" s="202" t="str">
        <f>VLOOKUP(M236,'#verificação horas por projeto'!A:B,2,FALSE)</f>
        <v>INOV00006</v>
      </c>
      <c r="D236" s="202" t="s">
        <v>5</v>
      </c>
      <c r="E236" s="107" t="s">
        <v>131</v>
      </c>
      <c r="F236" s="211">
        <v>45436.0</v>
      </c>
      <c r="G236" s="226">
        <v>0.041666666666666664</v>
      </c>
      <c r="H236" s="107" t="s">
        <v>356</v>
      </c>
      <c r="I236" s="227" t="s">
        <v>356</v>
      </c>
      <c r="J236" s="227"/>
      <c r="K236" s="115" t="s">
        <v>539</v>
      </c>
      <c r="L236" s="228"/>
      <c r="M236" s="107" t="s">
        <v>379</v>
      </c>
      <c r="N236" s="229">
        <f>IF(AND(O236=TRUE,P236=TRUE), VLOOKUP($E236,PESSOAL!$B$35:$S$45,MONTH($F236)+6,FALSE)*G236*24,0)</f>
        <v>45.65902879</v>
      </c>
      <c r="O236" s="89" t="b">
        <f t="shared" si="1"/>
        <v>1</v>
      </c>
      <c r="P236" s="89" t="b">
        <v>1</v>
      </c>
      <c r="Q236" s="89" t="s">
        <v>212</v>
      </c>
    </row>
    <row r="237" hidden="1">
      <c r="A237" s="108"/>
      <c r="B237" s="202"/>
      <c r="C237" s="202" t="str">
        <f>VLOOKUP(M237,'#verificação horas por projeto'!A:B,2,FALSE)</f>
        <v>INOV00046</v>
      </c>
      <c r="D237" s="202" t="s">
        <v>29</v>
      </c>
      <c r="E237" s="107" t="s">
        <v>131</v>
      </c>
      <c r="F237" s="211">
        <v>45436.0</v>
      </c>
      <c r="G237" s="226">
        <v>0.041666666666666664</v>
      </c>
      <c r="H237" s="107" t="s">
        <v>356</v>
      </c>
      <c r="I237" s="227" t="s">
        <v>356</v>
      </c>
      <c r="J237" s="227"/>
      <c r="K237" s="115" t="s">
        <v>540</v>
      </c>
      <c r="L237" s="228"/>
      <c r="M237" s="107" t="s">
        <v>373</v>
      </c>
      <c r="N237" s="229">
        <f>IF(AND(O237=TRUE,P237=TRUE), VLOOKUP($E237,PESSOAL!$B$35:$S$45,MONTH($F237)+6,FALSE)*G237*24,0)</f>
        <v>0</v>
      </c>
      <c r="O237" s="89" t="b">
        <f t="shared" si="1"/>
        <v>1</v>
      </c>
      <c r="P237" s="89" t="b">
        <v>0</v>
      </c>
      <c r="Q237" s="89" t="s">
        <v>212</v>
      </c>
    </row>
    <row r="238" hidden="1">
      <c r="A238" s="108"/>
      <c r="B238" s="202"/>
      <c r="C238" s="202" t="str">
        <f>VLOOKUP(M238,'#verificação horas por projeto'!A:B,2,FALSE)</f>
        <v>INOV00004</v>
      </c>
      <c r="D238" s="202" t="s">
        <v>4</v>
      </c>
      <c r="E238" s="107" t="s">
        <v>131</v>
      </c>
      <c r="F238" s="211">
        <v>45440.0</v>
      </c>
      <c r="G238" s="226">
        <v>0.041666666666666664</v>
      </c>
      <c r="H238" s="107" t="s">
        <v>356</v>
      </c>
      <c r="I238" s="227" t="s">
        <v>356</v>
      </c>
      <c r="J238" s="227"/>
      <c r="K238" s="115" t="s">
        <v>541</v>
      </c>
      <c r="L238" s="228"/>
      <c r="M238" s="107" t="s">
        <v>397</v>
      </c>
      <c r="N238" s="229">
        <f>IF(AND(O238=TRUE,P238=TRUE), VLOOKUP($E238,PESSOAL!$B$35:$S$45,MONTH($F238)+6,FALSE)*G238*24,0)</f>
        <v>45.65902879</v>
      </c>
      <c r="O238" s="89" t="b">
        <f t="shared" si="1"/>
        <v>1</v>
      </c>
      <c r="P238" s="89" t="b">
        <v>1</v>
      </c>
      <c r="Q238" s="89" t="s">
        <v>212</v>
      </c>
    </row>
    <row r="239" hidden="1">
      <c r="A239" s="108"/>
      <c r="B239" s="202"/>
      <c r="C239" s="202" t="str">
        <f>VLOOKUP(M239,'#verificação horas por projeto'!A:B,2,FALSE)</f>
        <v>INOV00006</v>
      </c>
      <c r="D239" s="202" t="s">
        <v>5</v>
      </c>
      <c r="E239" s="107" t="s">
        <v>131</v>
      </c>
      <c r="F239" s="211">
        <v>45443.0</v>
      </c>
      <c r="G239" s="226">
        <v>0.020833333333333332</v>
      </c>
      <c r="H239" s="107" t="s">
        <v>353</v>
      </c>
      <c r="I239" s="227" t="s">
        <v>353</v>
      </c>
      <c r="J239" s="227"/>
      <c r="K239" s="115" t="s">
        <v>542</v>
      </c>
      <c r="L239" s="228"/>
      <c r="M239" s="107" t="s">
        <v>379</v>
      </c>
      <c r="N239" s="229">
        <f>IF(AND(O239=TRUE,P239=TRUE), VLOOKUP($E239,PESSOAL!$B$35:$S$45,MONTH($F239)+6,FALSE)*G239*24,0)</f>
        <v>22.82951439</v>
      </c>
      <c r="O239" s="89" t="b">
        <f t="shared" si="1"/>
        <v>1</v>
      </c>
      <c r="P239" s="89" t="b">
        <v>1</v>
      </c>
      <c r="Q239" s="89" t="s">
        <v>212</v>
      </c>
    </row>
    <row r="240" hidden="1">
      <c r="A240" s="108"/>
      <c r="B240" s="202"/>
      <c r="C240" s="202" t="str">
        <f>VLOOKUP(M240,'#verificação horas por projeto'!A:B,2,FALSE)</f>
        <v>INOV00006</v>
      </c>
      <c r="D240" s="202" t="s">
        <v>5</v>
      </c>
      <c r="E240" s="107" t="s">
        <v>131</v>
      </c>
      <c r="F240" s="211">
        <v>45414.0</v>
      </c>
      <c r="G240" s="226">
        <v>0.041666666666666664</v>
      </c>
      <c r="H240" s="107" t="s">
        <v>356</v>
      </c>
      <c r="I240" s="227" t="s">
        <v>356</v>
      </c>
      <c r="J240" s="227"/>
      <c r="K240" s="115" t="s">
        <v>543</v>
      </c>
      <c r="L240" s="228"/>
      <c r="M240" s="107" t="s">
        <v>379</v>
      </c>
      <c r="N240" s="229">
        <f>IF(AND(O240=TRUE,P240=TRUE), VLOOKUP($E240,PESSOAL!$B$35:$S$45,MONTH($F240)+6,FALSE)*G240*24,0)</f>
        <v>45.65902879</v>
      </c>
      <c r="O240" s="89" t="b">
        <f t="shared" si="1"/>
        <v>1</v>
      </c>
      <c r="P240" s="89" t="b">
        <v>1</v>
      </c>
      <c r="Q240" s="89" t="s">
        <v>212</v>
      </c>
    </row>
    <row r="241" hidden="1">
      <c r="A241" s="108"/>
      <c r="B241" s="202"/>
      <c r="C241" s="202" t="str">
        <f>VLOOKUP(M241,'#verificação horas por projeto'!A:B,2,FALSE)</f>
        <v>INOV00017</v>
      </c>
      <c r="D241" s="202" t="s">
        <v>10</v>
      </c>
      <c r="E241" s="107" t="s">
        <v>131</v>
      </c>
      <c r="F241" s="211">
        <v>45414.0</v>
      </c>
      <c r="G241" s="226">
        <v>0.125</v>
      </c>
      <c r="H241" s="107" t="s">
        <v>356</v>
      </c>
      <c r="I241" s="227" t="s">
        <v>356</v>
      </c>
      <c r="J241" s="227"/>
      <c r="K241" s="115" t="s">
        <v>544</v>
      </c>
      <c r="L241" s="228"/>
      <c r="M241" s="107" t="s">
        <v>389</v>
      </c>
      <c r="N241" s="229">
        <f>IF(AND(O241=TRUE,P241=TRUE), VLOOKUP($E241,PESSOAL!$B$35:$S$45,MONTH($F241)+6,FALSE)*G241*24,0)</f>
        <v>136.9770864</v>
      </c>
      <c r="O241" s="89" t="b">
        <f t="shared" si="1"/>
        <v>1</v>
      </c>
      <c r="P241" s="89" t="b">
        <v>1</v>
      </c>
      <c r="Q241" s="89" t="s">
        <v>212</v>
      </c>
    </row>
    <row r="242" hidden="1">
      <c r="A242" s="108"/>
      <c r="B242" s="202"/>
      <c r="C242" s="202" t="str">
        <f>VLOOKUP(M242,'#verificação horas por projeto'!A:B,2,FALSE)</f>
        <v>INOV00042</v>
      </c>
      <c r="D242" s="202" t="s">
        <v>529</v>
      </c>
      <c r="E242" s="107" t="s">
        <v>131</v>
      </c>
      <c r="F242" s="211">
        <v>45421.0</v>
      </c>
      <c r="G242" s="226">
        <v>0.0625</v>
      </c>
      <c r="H242" s="107" t="s">
        <v>356</v>
      </c>
      <c r="I242" s="227" t="s">
        <v>356</v>
      </c>
      <c r="J242" s="227"/>
      <c r="K242" s="115" t="s">
        <v>545</v>
      </c>
      <c r="L242" s="228"/>
      <c r="M242" s="107" t="s">
        <v>531</v>
      </c>
      <c r="N242" s="229">
        <f>IF(AND(O242=TRUE,P242=TRUE), VLOOKUP($E242,PESSOAL!$B$35:$S$45,MONTH($F242)+6,FALSE)*G242*24,0)</f>
        <v>0</v>
      </c>
      <c r="O242" s="89" t="b">
        <f t="shared" si="1"/>
        <v>1</v>
      </c>
      <c r="P242" s="89" t="b">
        <v>0</v>
      </c>
      <c r="Q242" s="89" t="s">
        <v>212</v>
      </c>
    </row>
    <row r="243" hidden="1">
      <c r="A243" s="108"/>
      <c r="B243" s="202"/>
      <c r="C243" s="202" t="str">
        <f>VLOOKUP(M243,'#verificação horas por projeto'!A:B,2,FALSE)</f>
        <v>INOV00040</v>
      </c>
      <c r="D243" s="202" t="s">
        <v>251</v>
      </c>
      <c r="E243" s="107" t="s">
        <v>131</v>
      </c>
      <c r="F243" s="211">
        <v>45427.0</v>
      </c>
      <c r="G243" s="226">
        <v>0.125</v>
      </c>
      <c r="H243" s="107" t="s">
        <v>356</v>
      </c>
      <c r="I243" s="227" t="s">
        <v>356</v>
      </c>
      <c r="J243" s="227"/>
      <c r="K243" s="115" t="s">
        <v>546</v>
      </c>
      <c r="L243" s="228"/>
      <c r="M243" s="107" t="s">
        <v>547</v>
      </c>
      <c r="N243" s="229">
        <f>IF(AND(O243=TRUE,P243=TRUE), VLOOKUP($E243,PESSOAL!$B$35:$S$45,MONTH($F243)+6,FALSE)*G243*24,0)</f>
        <v>0</v>
      </c>
      <c r="O243" s="89" t="b">
        <f t="shared" si="1"/>
        <v>1</v>
      </c>
      <c r="P243" s="89" t="b">
        <v>0</v>
      </c>
      <c r="Q243" s="89" t="s">
        <v>212</v>
      </c>
    </row>
    <row r="244" hidden="1">
      <c r="A244" s="108"/>
      <c r="B244" s="202"/>
      <c r="C244" s="202" t="str">
        <f>VLOOKUP(M244,'#verificação horas por projeto'!A:B,2,FALSE)</f>
        <v>INOV00017</v>
      </c>
      <c r="D244" s="202" t="s">
        <v>10</v>
      </c>
      <c r="E244" s="107" t="s">
        <v>131</v>
      </c>
      <c r="F244" s="211">
        <v>45433.0</v>
      </c>
      <c r="G244" s="226">
        <v>0.20833333333333334</v>
      </c>
      <c r="H244" s="107" t="s">
        <v>356</v>
      </c>
      <c r="I244" s="227" t="s">
        <v>356</v>
      </c>
      <c r="J244" s="227"/>
      <c r="K244" s="115" t="s">
        <v>548</v>
      </c>
      <c r="L244" s="228"/>
      <c r="M244" s="107" t="s">
        <v>389</v>
      </c>
      <c r="N244" s="229">
        <f>IF(AND(O244=TRUE,P244=TRUE), VLOOKUP($E244,PESSOAL!$B$35:$S$45,MONTH($F244)+6,FALSE)*G244*24,0)</f>
        <v>228.2951439</v>
      </c>
      <c r="O244" s="89" t="b">
        <f t="shared" si="1"/>
        <v>1</v>
      </c>
      <c r="P244" s="89" t="b">
        <v>1</v>
      </c>
      <c r="Q244" s="89" t="s">
        <v>212</v>
      </c>
    </row>
    <row r="245" hidden="1">
      <c r="A245" s="108"/>
      <c r="B245" s="202"/>
      <c r="C245" s="202" t="str">
        <f>VLOOKUP(M245,'#verificação horas por projeto'!A:B,2,FALSE)</f>
        <v>INOV00020</v>
      </c>
      <c r="D245" s="202" t="s">
        <v>11</v>
      </c>
      <c r="E245" s="107" t="s">
        <v>131</v>
      </c>
      <c r="F245" s="211">
        <v>45448.0</v>
      </c>
      <c r="G245" s="226">
        <v>0.041666666666666664</v>
      </c>
      <c r="H245" s="107" t="s">
        <v>356</v>
      </c>
      <c r="I245" s="227" t="s">
        <v>356</v>
      </c>
      <c r="J245" s="227"/>
      <c r="K245" s="115" t="s">
        <v>549</v>
      </c>
      <c r="L245" s="228"/>
      <c r="M245" s="107" t="s">
        <v>457</v>
      </c>
      <c r="N245" s="229">
        <f>IF(AND(O245=TRUE,P245=TRUE), VLOOKUP($E245,PESSOAL!$B$35:$S$45,MONTH($F245)+6,FALSE)*G245*24,0)</f>
        <v>0</v>
      </c>
      <c r="O245" s="89" t="b">
        <f t="shared" si="1"/>
        <v>1</v>
      </c>
      <c r="P245" s="89" t="b">
        <v>0</v>
      </c>
      <c r="Q245" s="89" t="s">
        <v>212</v>
      </c>
    </row>
    <row r="246" hidden="1">
      <c r="A246" s="108"/>
      <c r="B246" s="202"/>
      <c r="C246" s="202" t="str">
        <f>VLOOKUP(M246,'#verificação horas por projeto'!A:B,2,FALSE)</f>
        <v>INOV00013</v>
      </c>
      <c r="D246" s="202" t="s">
        <v>7</v>
      </c>
      <c r="E246" s="107" t="s">
        <v>131</v>
      </c>
      <c r="F246" s="211">
        <v>45470.0</v>
      </c>
      <c r="G246" s="226">
        <v>0.020833333333333332</v>
      </c>
      <c r="H246" s="107" t="s">
        <v>356</v>
      </c>
      <c r="I246" s="227" t="s">
        <v>356</v>
      </c>
      <c r="J246" s="227"/>
      <c r="K246" s="115" t="s">
        <v>550</v>
      </c>
      <c r="L246" s="228"/>
      <c r="M246" s="107" t="s">
        <v>378</v>
      </c>
      <c r="N246" s="229">
        <f>IF(AND(O246=TRUE,P246=TRUE), VLOOKUP($E246,PESSOAL!$B$35:$S$45,MONTH($F246)+6,FALSE)*G246*24,0)</f>
        <v>25.11246583</v>
      </c>
      <c r="O246" s="89" t="b">
        <f t="shared" si="1"/>
        <v>1</v>
      </c>
      <c r="P246" s="89" t="b">
        <v>1</v>
      </c>
      <c r="Q246" s="89" t="s">
        <v>212</v>
      </c>
    </row>
    <row r="247" hidden="1">
      <c r="A247" s="108"/>
      <c r="B247" s="202"/>
      <c r="C247" s="202" t="str">
        <f>VLOOKUP(M247,'#verificação horas por projeto'!A:B,2,FALSE)</f>
        <v>INOV00006</v>
      </c>
      <c r="D247" s="202" t="s">
        <v>5</v>
      </c>
      <c r="E247" s="107" t="s">
        <v>131</v>
      </c>
      <c r="F247" s="211">
        <v>45447.0</v>
      </c>
      <c r="G247" s="226">
        <v>0.020833333333333332</v>
      </c>
      <c r="H247" s="107" t="s">
        <v>356</v>
      </c>
      <c r="I247" s="227" t="s">
        <v>356</v>
      </c>
      <c r="J247" s="227"/>
      <c r="K247" s="115" t="s">
        <v>551</v>
      </c>
      <c r="L247" s="228"/>
      <c r="M247" s="107" t="s">
        <v>379</v>
      </c>
      <c r="N247" s="229">
        <f>IF(AND(O247=TRUE,P247=TRUE), VLOOKUP($E247,PESSOAL!$B$35:$S$45,MONTH($F247)+6,FALSE)*G247*24,0)</f>
        <v>25.11246583</v>
      </c>
      <c r="O247" s="89" t="b">
        <f t="shared" si="1"/>
        <v>1</v>
      </c>
      <c r="P247" s="89" t="b">
        <v>1</v>
      </c>
      <c r="Q247" s="89" t="s">
        <v>212</v>
      </c>
    </row>
    <row r="248" hidden="1">
      <c r="A248" s="108"/>
      <c r="B248" s="202"/>
      <c r="C248" s="202" t="str">
        <f>VLOOKUP(M248,'#verificação horas por projeto'!A:B,2,FALSE)</f>
        <v>INOV00020</v>
      </c>
      <c r="D248" s="202" t="s">
        <v>11</v>
      </c>
      <c r="E248" s="107" t="s">
        <v>131</v>
      </c>
      <c r="F248" s="211">
        <v>45447.0</v>
      </c>
      <c r="G248" s="226">
        <v>0.020833333333333332</v>
      </c>
      <c r="H248" s="107" t="s">
        <v>356</v>
      </c>
      <c r="I248" s="227" t="s">
        <v>356</v>
      </c>
      <c r="J248" s="227"/>
      <c r="K248" s="115" t="s">
        <v>552</v>
      </c>
      <c r="L248" s="228"/>
      <c r="M248" s="107" t="s">
        <v>457</v>
      </c>
      <c r="N248" s="229">
        <f>IF(AND(O248=TRUE,P248=TRUE), VLOOKUP($E248,PESSOAL!$B$35:$S$45,MONTH($F248)+6,FALSE)*G248*24,0)</f>
        <v>0</v>
      </c>
      <c r="O248" s="89" t="b">
        <f t="shared" si="1"/>
        <v>1</v>
      </c>
      <c r="P248" s="89" t="b">
        <v>0</v>
      </c>
      <c r="Q248" s="89" t="s">
        <v>212</v>
      </c>
    </row>
    <row r="249" hidden="1">
      <c r="A249" s="108"/>
      <c r="B249" s="202"/>
      <c r="C249" s="202" t="str">
        <f>VLOOKUP(M249,'#verificação horas por projeto'!A:B,2,FALSE)</f>
        <v>INOV00006</v>
      </c>
      <c r="D249" s="202" t="s">
        <v>5</v>
      </c>
      <c r="E249" s="107" t="s">
        <v>131</v>
      </c>
      <c r="F249" s="211">
        <v>45448.0</v>
      </c>
      <c r="G249" s="226">
        <v>0.020833333333333332</v>
      </c>
      <c r="H249" s="107" t="s">
        <v>356</v>
      </c>
      <c r="I249" s="227" t="s">
        <v>356</v>
      </c>
      <c r="J249" s="227"/>
      <c r="K249" s="115" t="s">
        <v>551</v>
      </c>
      <c r="L249" s="228"/>
      <c r="M249" s="107" t="s">
        <v>379</v>
      </c>
      <c r="N249" s="229">
        <f>IF(AND(O249=TRUE,P249=TRUE), VLOOKUP($E249,PESSOAL!$B$35:$S$45,MONTH($F249)+6,FALSE)*G249*24,0)</f>
        <v>25.11246583</v>
      </c>
      <c r="O249" s="89" t="b">
        <f t="shared" si="1"/>
        <v>1</v>
      </c>
      <c r="P249" s="89" t="b">
        <v>1</v>
      </c>
      <c r="Q249" s="89" t="s">
        <v>212</v>
      </c>
    </row>
    <row r="250" hidden="1">
      <c r="A250" s="108"/>
      <c r="B250" s="202"/>
      <c r="C250" s="202" t="str">
        <f>VLOOKUP(M250,'#verificação horas por projeto'!A:B,2,FALSE)</f>
        <v>INOV00020</v>
      </c>
      <c r="D250" s="202" t="s">
        <v>11</v>
      </c>
      <c r="E250" s="107" t="s">
        <v>131</v>
      </c>
      <c r="F250" s="211">
        <v>45448.0</v>
      </c>
      <c r="G250" s="226">
        <v>0.020833333333333332</v>
      </c>
      <c r="H250" s="107" t="s">
        <v>356</v>
      </c>
      <c r="I250" s="227" t="s">
        <v>356</v>
      </c>
      <c r="J250" s="227"/>
      <c r="K250" s="115" t="s">
        <v>552</v>
      </c>
      <c r="L250" s="228"/>
      <c r="M250" s="107" t="s">
        <v>457</v>
      </c>
      <c r="N250" s="229">
        <f>IF(AND(O250=TRUE,P250=TRUE), VLOOKUP($E250,PESSOAL!$B$35:$S$45,MONTH($F250)+6,FALSE)*G250*24,0)</f>
        <v>0</v>
      </c>
      <c r="O250" s="89" t="b">
        <f t="shared" si="1"/>
        <v>1</v>
      </c>
      <c r="P250" s="89" t="b">
        <v>0</v>
      </c>
      <c r="Q250" s="89" t="s">
        <v>212</v>
      </c>
    </row>
    <row r="251" hidden="1">
      <c r="A251" s="108"/>
      <c r="B251" s="202"/>
      <c r="C251" s="202" t="str">
        <f>VLOOKUP(M251,'#verificação horas por projeto'!A:B,2,FALSE)</f>
        <v>INOV00017</v>
      </c>
      <c r="D251" s="202" t="s">
        <v>10</v>
      </c>
      <c r="E251" s="107" t="s">
        <v>131</v>
      </c>
      <c r="F251" s="211">
        <v>45454.0</v>
      </c>
      <c r="G251" s="226">
        <v>0.03125</v>
      </c>
      <c r="H251" s="107" t="s">
        <v>356</v>
      </c>
      <c r="I251" s="227" t="s">
        <v>356</v>
      </c>
      <c r="J251" s="227"/>
      <c r="K251" s="115" t="s">
        <v>553</v>
      </c>
      <c r="L251" s="228"/>
      <c r="M251" s="107" t="s">
        <v>389</v>
      </c>
      <c r="N251" s="229">
        <f>IF(AND(O251=TRUE,P251=TRUE), VLOOKUP($E251,PESSOAL!$B$35:$S$45,MONTH($F251)+6,FALSE)*G251*24,0)</f>
        <v>37.66869875</v>
      </c>
      <c r="O251" s="89" t="b">
        <f t="shared" si="1"/>
        <v>1</v>
      </c>
      <c r="P251" s="89" t="b">
        <v>1</v>
      </c>
      <c r="Q251" s="89" t="s">
        <v>212</v>
      </c>
    </row>
    <row r="252" hidden="1">
      <c r="A252" s="108"/>
      <c r="B252" s="202"/>
      <c r="C252" s="202" t="str">
        <f>VLOOKUP(M252,'#verificação horas por projeto'!A:B,2,FALSE)</f>
        <v>INOV00006</v>
      </c>
      <c r="D252" s="202" t="s">
        <v>5</v>
      </c>
      <c r="E252" s="107" t="s">
        <v>131</v>
      </c>
      <c r="F252" s="211">
        <v>45454.0</v>
      </c>
      <c r="G252" s="226">
        <v>0.041666666666666664</v>
      </c>
      <c r="H252" s="107" t="s">
        <v>356</v>
      </c>
      <c r="I252" s="227" t="s">
        <v>356</v>
      </c>
      <c r="J252" s="227"/>
      <c r="K252" s="115" t="s">
        <v>554</v>
      </c>
      <c r="L252" s="228"/>
      <c r="M252" s="107" t="s">
        <v>379</v>
      </c>
      <c r="N252" s="229">
        <f>IF(AND(O252=TRUE,P252=TRUE), VLOOKUP($E252,PESSOAL!$B$35:$S$45,MONTH($F252)+6,FALSE)*G252*24,0)</f>
        <v>50.22493167</v>
      </c>
      <c r="O252" s="89" t="b">
        <f t="shared" si="1"/>
        <v>1</v>
      </c>
      <c r="P252" s="89" t="b">
        <v>1</v>
      </c>
      <c r="Q252" s="89" t="s">
        <v>212</v>
      </c>
    </row>
    <row r="253" hidden="1">
      <c r="A253" s="108"/>
      <c r="B253" s="202"/>
      <c r="C253" s="202" t="str">
        <f>VLOOKUP(M253,'#verificação horas por projeto'!A:B,2,FALSE)</f>
        <v>INOV00017</v>
      </c>
      <c r="D253" s="202" t="s">
        <v>10</v>
      </c>
      <c r="E253" s="107" t="s">
        <v>131</v>
      </c>
      <c r="F253" s="211">
        <v>45462.0</v>
      </c>
      <c r="G253" s="226">
        <v>0.020833333333333332</v>
      </c>
      <c r="H253" s="107" t="s">
        <v>356</v>
      </c>
      <c r="I253" s="227" t="s">
        <v>356</v>
      </c>
      <c r="J253" s="227"/>
      <c r="K253" s="115" t="s">
        <v>555</v>
      </c>
      <c r="L253" s="228"/>
      <c r="M253" s="107" t="s">
        <v>389</v>
      </c>
      <c r="N253" s="229">
        <f>IF(AND(O253=TRUE,P253=TRUE), VLOOKUP($E253,PESSOAL!$B$35:$S$45,MONTH($F253)+6,FALSE)*G253*24,0)</f>
        <v>25.11246583</v>
      </c>
      <c r="O253" s="89" t="b">
        <f t="shared" si="1"/>
        <v>1</v>
      </c>
      <c r="P253" s="89" t="b">
        <v>1</v>
      </c>
      <c r="Q253" s="89" t="s">
        <v>212</v>
      </c>
    </row>
    <row r="254" hidden="1">
      <c r="A254" s="108"/>
      <c r="B254" s="202"/>
      <c r="C254" s="202" t="str">
        <f>VLOOKUP(M254,'#verificação horas por projeto'!A:B,2,FALSE)</f>
        <v>INOV00020</v>
      </c>
      <c r="D254" s="202" t="s">
        <v>11</v>
      </c>
      <c r="E254" s="107" t="s">
        <v>131</v>
      </c>
      <c r="F254" s="211">
        <v>45467.0</v>
      </c>
      <c r="G254" s="226">
        <v>0.041666666666666664</v>
      </c>
      <c r="H254" s="107" t="s">
        <v>356</v>
      </c>
      <c r="I254" s="227" t="s">
        <v>356</v>
      </c>
      <c r="J254" s="227"/>
      <c r="K254" s="115" t="s">
        <v>556</v>
      </c>
      <c r="L254" s="228"/>
      <c r="M254" s="107" t="s">
        <v>457</v>
      </c>
      <c r="N254" s="229">
        <f>IF(AND(O254=TRUE,P254=TRUE), VLOOKUP($E254,PESSOAL!$B$35:$S$45,MONTH($F254)+6,FALSE)*G254*24,0)</f>
        <v>0</v>
      </c>
      <c r="O254" s="89" t="b">
        <f t="shared" si="1"/>
        <v>1</v>
      </c>
      <c r="P254" s="89" t="b">
        <v>0</v>
      </c>
      <c r="Q254" s="89" t="s">
        <v>212</v>
      </c>
    </row>
    <row r="255" hidden="1">
      <c r="A255" s="108"/>
      <c r="B255" s="202"/>
      <c r="C255" s="202" t="str">
        <f>VLOOKUP(M255,'#verificação horas por projeto'!A:B,2,FALSE)</f>
        <v>INOV00006</v>
      </c>
      <c r="D255" s="202" t="s">
        <v>5</v>
      </c>
      <c r="E255" s="107" t="s">
        <v>131</v>
      </c>
      <c r="F255" s="211">
        <v>45468.0</v>
      </c>
      <c r="G255" s="226">
        <v>0.08333333333333333</v>
      </c>
      <c r="H255" s="107" t="s">
        <v>356</v>
      </c>
      <c r="I255" s="227" t="s">
        <v>356</v>
      </c>
      <c r="J255" s="227"/>
      <c r="K255" s="115" t="s">
        <v>557</v>
      </c>
      <c r="L255" s="228"/>
      <c r="M255" s="107" t="s">
        <v>379</v>
      </c>
      <c r="N255" s="229">
        <f>IF(AND(O255=TRUE,P255=TRUE), VLOOKUP($E255,PESSOAL!$B$35:$S$45,MONTH($F255)+6,FALSE)*G255*24,0)</f>
        <v>100.4498633</v>
      </c>
      <c r="O255" s="89" t="b">
        <f t="shared" si="1"/>
        <v>1</v>
      </c>
      <c r="P255" s="89" t="b">
        <v>1</v>
      </c>
      <c r="Q255" s="89" t="s">
        <v>212</v>
      </c>
    </row>
    <row r="256" hidden="1">
      <c r="A256" s="108"/>
      <c r="B256" s="202"/>
      <c r="C256" s="202" t="str">
        <f>VLOOKUP(M256,'#verificação horas por projeto'!A:B,2,FALSE)</f>
        <v>INOV00020</v>
      </c>
      <c r="D256" s="202" t="s">
        <v>11</v>
      </c>
      <c r="E256" s="107" t="s">
        <v>131</v>
      </c>
      <c r="F256" s="211">
        <v>45468.0</v>
      </c>
      <c r="G256" s="226">
        <v>0.08333333333333333</v>
      </c>
      <c r="H256" s="107" t="s">
        <v>356</v>
      </c>
      <c r="I256" s="227" t="s">
        <v>356</v>
      </c>
      <c r="J256" s="227"/>
      <c r="K256" s="115" t="s">
        <v>558</v>
      </c>
      <c r="L256" s="228"/>
      <c r="M256" s="107" t="s">
        <v>457</v>
      </c>
      <c r="N256" s="229">
        <f>IF(AND(O256=TRUE,P256=TRUE), VLOOKUP($E256,PESSOAL!$B$35:$S$45,MONTH($F256)+6,FALSE)*G256*24,0)</f>
        <v>0</v>
      </c>
      <c r="O256" s="89" t="b">
        <f t="shared" si="1"/>
        <v>1</v>
      </c>
      <c r="P256" s="89" t="b">
        <v>0</v>
      </c>
      <c r="Q256" s="89" t="s">
        <v>212</v>
      </c>
    </row>
    <row r="257" hidden="1">
      <c r="A257" s="108"/>
      <c r="B257" s="202"/>
      <c r="C257" s="202" t="str">
        <f>VLOOKUP(M257,'#verificação horas por projeto'!A:B,2,FALSE)</f>
        <v>INOV00020</v>
      </c>
      <c r="D257" s="202" t="s">
        <v>11</v>
      </c>
      <c r="E257" s="107" t="s">
        <v>131</v>
      </c>
      <c r="F257" s="211">
        <v>45470.0</v>
      </c>
      <c r="G257" s="226">
        <v>0.0625</v>
      </c>
      <c r="H257" s="107" t="s">
        <v>353</v>
      </c>
      <c r="I257" s="227" t="s">
        <v>353</v>
      </c>
      <c r="J257" s="227"/>
      <c r="K257" s="115" t="s">
        <v>559</v>
      </c>
      <c r="L257" s="228"/>
      <c r="M257" s="107" t="s">
        <v>457</v>
      </c>
      <c r="N257" s="229">
        <f>IF(AND(O257=TRUE,P257=TRUE), VLOOKUP($E257,PESSOAL!$B$35:$S$45,MONTH($F257)+6,FALSE)*G257*24,0)</f>
        <v>0</v>
      </c>
      <c r="O257" s="89" t="b">
        <f t="shared" si="1"/>
        <v>1</v>
      </c>
      <c r="P257" s="89" t="b">
        <v>0</v>
      </c>
      <c r="Q257" s="89" t="s">
        <v>212</v>
      </c>
    </row>
    <row r="258" hidden="1">
      <c r="A258" s="108"/>
      <c r="B258" s="202"/>
      <c r="C258" s="202" t="str">
        <f>VLOOKUP(M258,'#verificação horas por projeto'!A:B,2,FALSE)</f>
        <v>INOV00013</v>
      </c>
      <c r="D258" s="202" t="s">
        <v>7</v>
      </c>
      <c r="E258" s="107" t="s">
        <v>131</v>
      </c>
      <c r="F258" s="211">
        <v>45448.0</v>
      </c>
      <c r="G258" s="226">
        <v>0.08333333333333333</v>
      </c>
      <c r="H258" s="107" t="s">
        <v>356</v>
      </c>
      <c r="I258" s="227" t="s">
        <v>356</v>
      </c>
      <c r="J258" s="227"/>
      <c r="K258" s="115" t="s">
        <v>560</v>
      </c>
      <c r="L258" s="228"/>
      <c r="M258" s="107" t="s">
        <v>378</v>
      </c>
      <c r="N258" s="229">
        <f>IF(AND(O258=TRUE,P258=TRUE), VLOOKUP($E258,PESSOAL!$B$35:$S$45,MONTH($F258)+6,FALSE)*G258*24,0)</f>
        <v>100.4498633</v>
      </c>
      <c r="O258" s="89" t="b">
        <f t="shared" si="1"/>
        <v>1</v>
      </c>
      <c r="P258" s="89" t="b">
        <v>1</v>
      </c>
      <c r="Q258" s="89" t="s">
        <v>212</v>
      </c>
    </row>
    <row r="259" hidden="1">
      <c r="A259" s="108"/>
      <c r="B259" s="202"/>
      <c r="C259" s="202" t="str">
        <f>VLOOKUP(M259,'#verificação horas por projeto'!A:B,2,FALSE)</f>
        <v>INOV00040</v>
      </c>
      <c r="D259" s="202" t="s">
        <v>251</v>
      </c>
      <c r="E259" s="107" t="s">
        <v>131</v>
      </c>
      <c r="F259" s="211">
        <v>45469.0</v>
      </c>
      <c r="G259" s="226">
        <v>0.020833333333333332</v>
      </c>
      <c r="H259" s="107" t="s">
        <v>356</v>
      </c>
      <c r="I259" s="227" t="s">
        <v>356</v>
      </c>
      <c r="J259" s="227"/>
      <c r="K259" s="115" t="s">
        <v>561</v>
      </c>
      <c r="L259" s="228"/>
      <c r="M259" s="107" t="s">
        <v>547</v>
      </c>
      <c r="N259" s="229">
        <f>IF(AND(O259=TRUE,P259=TRUE), VLOOKUP($E259,PESSOAL!$B$35:$S$45,MONTH($F259)+6,FALSE)*G259*24,0)</f>
        <v>0</v>
      </c>
      <c r="O259" s="89" t="b">
        <f t="shared" si="1"/>
        <v>1</v>
      </c>
      <c r="P259" s="89" t="b">
        <v>0</v>
      </c>
      <c r="Q259" s="89" t="s">
        <v>212</v>
      </c>
    </row>
    <row r="260" hidden="1">
      <c r="A260" s="108"/>
      <c r="B260" s="202"/>
      <c r="C260" s="202" t="str">
        <f>VLOOKUP(M260,'#verificação horas por projeto'!A:B,2,FALSE)</f>
        <v>INOV00017</v>
      </c>
      <c r="D260" s="202" t="s">
        <v>10</v>
      </c>
      <c r="E260" s="107" t="s">
        <v>131</v>
      </c>
      <c r="F260" s="211">
        <v>45469.0</v>
      </c>
      <c r="G260" s="226">
        <v>0.08333333333333333</v>
      </c>
      <c r="H260" s="107" t="s">
        <v>356</v>
      </c>
      <c r="I260" s="227" t="s">
        <v>356</v>
      </c>
      <c r="J260" s="227"/>
      <c r="K260" s="115" t="s">
        <v>562</v>
      </c>
      <c r="L260" s="228"/>
      <c r="M260" s="107" t="s">
        <v>389</v>
      </c>
      <c r="N260" s="229">
        <f>IF(AND(O260=TRUE,P260=TRUE), VLOOKUP($E260,PESSOAL!$B$35:$S$45,MONTH($F260)+6,FALSE)*G260*24,0)</f>
        <v>100.4498633</v>
      </c>
      <c r="O260" s="89" t="b">
        <f t="shared" si="1"/>
        <v>1</v>
      </c>
      <c r="P260" s="89" t="b">
        <v>1</v>
      </c>
      <c r="Q260" s="89" t="s">
        <v>212</v>
      </c>
    </row>
    <row r="261" hidden="1">
      <c r="A261" s="108"/>
      <c r="B261" s="202"/>
      <c r="C261" s="202" t="str">
        <f>VLOOKUP(M261,'#verificação horas por projeto'!A:B,2,FALSE)</f>
        <v>INOV00006</v>
      </c>
      <c r="D261" s="202" t="s">
        <v>5</v>
      </c>
      <c r="E261" s="107" t="s">
        <v>126</v>
      </c>
      <c r="F261" s="211">
        <v>45383.0</v>
      </c>
      <c r="G261" s="226">
        <v>0.16666666666666666</v>
      </c>
      <c r="H261" s="107" t="s">
        <v>356</v>
      </c>
      <c r="I261" s="227" t="s">
        <v>356</v>
      </c>
      <c r="J261" s="227"/>
      <c r="K261" s="115" t="s">
        <v>563</v>
      </c>
      <c r="L261" s="228"/>
      <c r="M261" s="107" t="s">
        <v>379</v>
      </c>
      <c r="N261" s="229">
        <f>IF(AND(O261=TRUE,P261=TRUE), VLOOKUP($E261,PESSOAL!$B$35:$S$45,MONTH($F261)+6,FALSE)*G261*24,0)</f>
        <v>191.7679877</v>
      </c>
      <c r="O261" s="89" t="b">
        <f t="shared" si="1"/>
        <v>1</v>
      </c>
      <c r="P261" s="89" t="b">
        <v>1</v>
      </c>
      <c r="Q261" s="89" t="s">
        <v>212</v>
      </c>
    </row>
    <row r="262" hidden="1">
      <c r="A262" s="108"/>
      <c r="B262" s="202"/>
      <c r="C262" s="202" t="str">
        <f>VLOOKUP(M262,'#verificação horas por projeto'!A:B,2,FALSE)</f>
        <v>INOV00004</v>
      </c>
      <c r="D262" s="202" t="s">
        <v>4</v>
      </c>
      <c r="E262" s="107" t="s">
        <v>126</v>
      </c>
      <c r="F262" s="211">
        <v>45383.0</v>
      </c>
      <c r="G262" s="226">
        <v>0.041666666666666664</v>
      </c>
      <c r="H262" s="107" t="s">
        <v>356</v>
      </c>
      <c r="I262" s="227" t="s">
        <v>356</v>
      </c>
      <c r="J262" s="227"/>
      <c r="K262" s="115" t="s">
        <v>564</v>
      </c>
      <c r="L262" s="228"/>
      <c r="M262" s="107" t="s">
        <v>397</v>
      </c>
      <c r="N262" s="229">
        <f>IF(AND(O262=TRUE,P262=TRUE), VLOOKUP($E262,PESSOAL!$B$35:$S$45,MONTH($F262)+6,FALSE)*G262*24,0)</f>
        <v>47.94199692</v>
      </c>
      <c r="O262" s="89" t="b">
        <f t="shared" si="1"/>
        <v>1</v>
      </c>
      <c r="P262" s="89" t="b">
        <v>1</v>
      </c>
      <c r="Q262" s="89" t="s">
        <v>212</v>
      </c>
    </row>
    <row r="263" hidden="1">
      <c r="A263" s="108"/>
      <c r="B263" s="202"/>
      <c r="C263" s="202" t="str">
        <f>VLOOKUP(M263,'#verificação horas por projeto'!A:B,2,FALSE)</f>
        <v>INOV00004</v>
      </c>
      <c r="D263" s="202" t="s">
        <v>4</v>
      </c>
      <c r="E263" s="107" t="s">
        <v>126</v>
      </c>
      <c r="F263" s="211">
        <v>45385.0</v>
      </c>
      <c r="G263" s="226">
        <v>0.041666666666666664</v>
      </c>
      <c r="H263" s="107" t="s">
        <v>356</v>
      </c>
      <c r="I263" s="227" t="s">
        <v>356</v>
      </c>
      <c r="J263" s="227"/>
      <c r="K263" s="115" t="s">
        <v>564</v>
      </c>
      <c r="L263" s="228"/>
      <c r="M263" s="107" t="s">
        <v>397</v>
      </c>
      <c r="N263" s="229">
        <f>IF(AND(O263=TRUE,P263=TRUE), VLOOKUP($E263,PESSOAL!$B$35:$S$45,MONTH($F263)+6,FALSE)*G263*24,0)</f>
        <v>47.94199692</v>
      </c>
      <c r="O263" s="89" t="b">
        <f t="shared" si="1"/>
        <v>1</v>
      </c>
      <c r="P263" s="89" t="b">
        <v>1</v>
      </c>
      <c r="Q263" s="89" t="s">
        <v>212</v>
      </c>
    </row>
    <row r="264" hidden="1">
      <c r="A264" s="108"/>
      <c r="B264" s="202"/>
      <c r="C264" s="202" t="str">
        <f>VLOOKUP(M264,'#verificação horas por projeto'!A:B,2,FALSE)</f>
        <v>INOV00006</v>
      </c>
      <c r="D264" s="202" t="s">
        <v>5</v>
      </c>
      <c r="E264" s="107" t="s">
        <v>126</v>
      </c>
      <c r="F264" s="211">
        <v>45386.0</v>
      </c>
      <c r="G264" s="226">
        <v>0.125</v>
      </c>
      <c r="H264" s="107" t="s">
        <v>356</v>
      </c>
      <c r="I264" s="227" t="s">
        <v>356</v>
      </c>
      <c r="J264" s="227"/>
      <c r="K264" s="115" t="s">
        <v>563</v>
      </c>
      <c r="L264" s="228"/>
      <c r="M264" s="107" t="s">
        <v>379</v>
      </c>
      <c r="N264" s="229">
        <f>IF(AND(O264=TRUE,P264=TRUE), VLOOKUP($E264,PESSOAL!$B$35:$S$45,MONTH($F264)+6,FALSE)*G264*24,0)</f>
        <v>143.8259908</v>
      </c>
      <c r="O264" s="89" t="b">
        <f t="shared" si="1"/>
        <v>1</v>
      </c>
      <c r="P264" s="89" t="b">
        <v>1</v>
      </c>
      <c r="Q264" s="89" t="s">
        <v>212</v>
      </c>
    </row>
    <row r="265" hidden="1">
      <c r="A265" s="108"/>
      <c r="B265" s="202"/>
      <c r="C265" s="202" t="str">
        <f>VLOOKUP(M265,'#verificação horas por projeto'!A:B,2,FALSE)</f>
        <v>INOV00016</v>
      </c>
      <c r="D265" s="202" t="s">
        <v>9</v>
      </c>
      <c r="E265" s="107" t="s">
        <v>126</v>
      </c>
      <c r="F265" s="211">
        <v>45391.0</v>
      </c>
      <c r="G265" s="226">
        <v>0.041666666666666664</v>
      </c>
      <c r="H265" s="107" t="s">
        <v>356</v>
      </c>
      <c r="I265" s="227" t="s">
        <v>356</v>
      </c>
      <c r="J265" s="227"/>
      <c r="K265" s="115" t="s">
        <v>424</v>
      </c>
      <c r="L265" s="228"/>
      <c r="M265" s="107" t="s">
        <v>410</v>
      </c>
      <c r="N265" s="229">
        <f>IF(AND(O265=TRUE,P265=TRUE), VLOOKUP($E265,PESSOAL!$B$35:$S$45,MONTH($F265)+6,FALSE)*G265*24,0)</f>
        <v>47.94199692</v>
      </c>
      <c r="O265" s="89" t="b">
        <f t="shared" si="1"/>
        <v>1</v>
      </c>
      <c r="P265" s="89" t="b">
        <v>1</v>
      </c>
      <c r="Q265" s="89" t="s">
        <v>212</v>
      </c>
    </row>
    <row r="266" hidden="1">
      <c r="A266" s="108"/>
      <c r="B266" s="202"/>
      <c r="C266" s="202" t="str">
        <f>VLOOKUP(M266,'#verificação horas por projeto'!A:B,2,FALSE)</f>
        <v>INOV00024</v>
      </c>
      <c r="D266" s="202" t="s">
        <v>14</v>
      </c>
      <c r="E266" s="107" t="s">
        <v>126</v>
      </c>
      <c r="F266" s="211">
        <v>45394.0</v>
      </c>
      <c r="G266" s="226">
        <v>0.041666666666666664</v>
      </c>
      <c r="H266" s="107" t="s">
        <v>354</v>
      </c>
      <c r="I266" s="227" t="s">
        <v>354</v>
      </c>
      <c r="J266" s="227"/>
      <c r="K266" s="115" t="s">
        <v>565</v>
      </c>
      <c r="L266" s="228"/>
      <c r="M266" s="107" t="s">
        <v>428</v>
      </c>
      <c r="N266" s="229">
        <f>IF(AND(O266=TRUE,P266=TRUE), VLOOKUP($E266,PESSOAL!$B$35:$S$45,MONTH($F266)+6,FALSE)*G266*24,0)</f>
        <v>47.94199692</v>
      </c>
      <c r="O266" s="89" t="b">
        <f t="shared" si="1"/>
        <v>1</v>
      </c>
      <c r="P266" s="89" t="b">
        <v>1</v>
      </c>
      <c r="Q266" s="89" t="s">
        <v>212</v>
      </c>
    </row>
    <row r="267" hidden="1">
      <c r="A267" s="108"/>
      <c r="B267" s="202"/>
      <c r="C267" s="202" t="str">
        <f>VLOOKUP(M267,'#verificação horas por projeto'!A:B,2,FALSE)</f>
        <v>INOV00024</v>
      </c>
      <c r="D267" s="202" t="s">
        <v>14</v>
      </c>
      <c r="E267" s="107" t="s">
        <v>126</v>
      </c>
      <c r="F267" s="211">
        <v>45397.0</v>
      </c>
      <c r="G267" s="226">
        <v>0.041666666666666664</v>
      </c>
      <c r="H267" s="107" t="s">
        <v>354</v>
      </c>
      <c r="I267" s="227" t="s">
        <v>354</v>
      </c>
      <c r="J267" s="227"/>
      <c r="K267" s="115" t="s">
        <v>566</v>
      </c>
      <c r="L267" s="228"/>
      <c r="M267" s="107" t="s">
        <v>428</v>
      </c>
      <c r="N267" s="229">
        <f>IF(AND(O267=TRUE,P267=TRUE), VLOOKUP($E267,PESSOAL!$B$35:$S$45,MONTH($F267)+6,FALSE)*G267*24,0)</f>
        <v>47.94199692</v>
      </c>
      <c r="O267" s="89" t="b">
        <f t="shared" si="1"/>
        <v>1</v>
      </c>
      <c r="P267" s="89" t="b">
        <v>1</v>
      </c>
      <c r="Q267" s="89" t="s">
        <v>212</v>
      </c>
    </row>
    <row r="268" hidden="1">
      <c r="A268" s="108"/>
      <c r="B268" s="202"/>
      <c r="C268" s="202" t="str">
        <f>VLOOKUP(M268,'#verificação horas por projeto'!A:B,2,FALSE)</f>
        <v>INOV00006</v>
      </c>
      <c r="D268" s="202" t="s">
        <v>5</v>
      </c>
      <c r="E268" s="107" t="s">
        <v>126</v>
      </c>
      <c r="F268" s="211">
        <v>45397.0</v>
      </c>
      <c r="G268" s="226">
        <v>0.08333333333333333</v>
      </c>
      <c r="H268" s="107" t="s">
        <v>356</v>
      </c>
      <c r="I268" s="227" t="s">
        <v>356</v>
      </c>
      <c r="J268" s="227"/>
      <c r="K268" s="115" t="s">
        <v>563</v>
      </c>
      <c r="L268" s="228"/>
      <c r="M268" s="107" t="s">
        <v>379</v>
      </c>
      <c r="N268" s="229">
        <f>IF(AND(O268=TRUE,P268=TRUE), VLOOKUP($E268,PESSOAL!$B$35:$S$45,MONTH($F268)+6,FALSE)*G268*24,0)</f>
        <v>95.88399384</v>
      </c>
      <c r="O268" s="89" t="b">
        <f t="shared" si="1"/>
        <v>1</v>
      </c>
      <c r="P268" s="89" t="b">
        <v>1</v>
      </c>
      <c r="Q268" s="89" t="s">
        <v>212</v>
      </c>
    </row>
    <row r="269" hidden="1">
      <c r="A269" s="108"/>
      <c r="B269" s="202"/>
      <c r="C269" s="202" t="str">
        <f>VLOOKUP(M269,'#verificação horas por projeto'!A:B,2,FALSE)</f>
        <v>INOV00036</v>
      </c>
      <c r="D269" s="202" t="s">
        <v>24</v>
      </c>
      <c r="E269" s="107" t="s">
        <v>126</v>
      </c>
      <c r="F269" s="211">
        <v>45397.0</v>
      </c>
      <c r="G269" s="226">
        <v>0.08333333333333333</v>
      </c>
      <c r="H269" s="107" t="s">
        <v>354</v>
      </c>
      <c r="I269" s="227" t="s">
        <v>354</v>
      </c>
      <c r="J269" s="227"/>
      <c r="K269" s="115" t="s">
        <v>567</v>
      </c>
      <c r="L269" s="228"/>
      <c r="M269" s="107" t="s">
        <v>511</v>
      </c>
      <c r="N269" s="229">
        <f>IF(AND(O269=TRUE,P269=TRUE), VLOOKUP($E269,PESSOAL!$B$35:$S$45,MONTH($F269)+6,FALSE)*G269*24,0)</f>
        <v>95.88399384</v>
      </c>
      <c r="O269" s="89" t="b">
        <f t="shared" si="1"/>
        <v>1</v>
      </c>
      <c r="P269" s="89" t="b">
        <v>1</v>
      </c>
      <c r="Q269" s="89" t="s">
        <v>212</v>
      </c>
    </row>
    <row r="270" hidden="1">
      <c r="A270" s="108"/>
      <c r="B270" s="202"/>
      <c r="C270" s="202" t="str">
        <f>VLOOKUP(M270,'#verificação horas por projeto'!A:B,2,FALSE)</f>
        <v>INOV00024</v>
      </c>
      <c r="D270" s="202" t="s">
        <v>14</v>
      </c>
      <c r="E270" s="107" t="s">
        <v>126</v>
      </c>
      <c r="F270" s="211">
        <v>45397.0</v>
      </c>
      <c r="G270" s="226">
        <v>0.08333333333333333</v>
      </c>
      <c r="H270" s="107" t="s">
        <v>354</v>
      </c>
      <c r="I270" s="227" t="s">
        <v>354</v>
      </c>
      <c r="J270" s="227"/>
      <c r="K270" s="115" t="s">
        <v>566</v>
      </c>
      <c r="L270" s="228"/>
      <c r="M270" s="107" t="s">
        <v>428</v>
      </c>
      <c r="N270" s="229">
        <f>IF(AND(O270=TRUE,P270=TRUE), VLOOKUP($E270,PESSOAL!$B$35:$S$45,MONTH($F270)+6,FALSE)*G270*24,0)</f>
        <v>95.88399384</v>
      </c>
      <c r="O270" s="89" t="b">
        <f t="shared" si="1"/>
        <v>1</v>
      </c>
      <c r="P270" s="89" t="b">
        <v>1</v>
      </c>
      <c r="Q270" s="89" t="s">
        <v>212</v>
      </c>
    </row>
    <row r="271" hidden="1">
      <c r="A271" s="108"/>
      <c r="B271" s="202"/>
      <c r="C271" s="202" t="str">
        <f>VLOOKUP(M271,'#verificação horas por projeto'!A:B,2,FALSE)</f>
        <v>INOV00006</v>
      </c>
      <c r="D271" s="202" t="s">
        <v>5</v>
      </c>
      <c r="E271" s="107" t="s">
        <v>126</v>
      </c>
      <c r="F271" s="211">
        <v>45398.0</v>
      </c>
      <c r="G271" s="226">
        <v>0.125</v>
      </c>
      <c r="H271" s="107" t="s">
        <v>356</v>
      </c>
      <c r="I271" s="227" t="s">
        <v>356</v>
      </c>
      <c r="J271" s="227"/>
      <c r="K271" s="115" t="s">
        <v>568</v>
      </c>
      <c r="L271" s="228"/>
      <c r="M271" s="107" t="s">
        <v>379</v>
      </c>
      <c r="N271" s="229">
        <f>IF(AND(O271=TRUE,P271=TRUE), VLOOKUP($E271,PESSOAL!$B$35:$S$45,MONTH($F271)+6,FALSE)*G271*24,0)</f>
        <v>143.8259908</v>
      </c>
      <c r="O271" s="89" t="b">
        <f t="shared" si="1"/>
        <v>1</v>
      </c>
      <c r="P271" s="89" t="b">
        <v>1</v>
      </c>
      <c r="Q271" s="89" t="s">
        <v>212</v>
      </c>
    </row>
    <row r="272" hidden="1">
      <c r="A272" s="108"/>
      <c r="B272" s="202"/>
      <c r="C272" s="202" t="str">
        <f>VLOOKUP(M272,'#verificação horas por projeto'!A:B,2,FALSE)</f>
        <v>INOV00024</v>
      </c>
      <c r="D272" s="202" t="s">
        <v>14</v>
      </c>
      <c r="E272" s="107" t="s">
        <v>126</v>
      </c>
      <c r="F272" s="211">
        <v>45399.0</v>
      </c>
      <c r="G272" s="226">
        <v>0.08333333333333333</v>
      </c>
      <c r="H272" s="107" t="s">
        <v>354</v>
      </c>
      <c r="I272" s="227" t="s">
        <v>354</v>
      </c>
      <c r="J272" s="227"/>
      <c r="K272" s="115" t="s">
        <v>565</v>
      </c>
      <c r="L272" s="228"/>
      <c r="M272" s="107" t="s">
        <v>428</v>
      </c>
      <c r="N272" s="229">
        <f>IF(AND(O272=TRUE,P272=TRUE), VLOOKUP($E272,PESSOAL!$B$35:$S$45,MONTH($F272)+6,FALSE)*G272*24,0)</f>
        <v>95.88399384</v>
      </c>
      <c r="O272" s="89" t="b">
        <f t="shared" si="1"/>
        <v>1</v>
      </c>
      <c r="P272" s="89" t="b">
        <v>1</v>
      </c>
      <c r="Q272" s="89" t="s">
        <v>212</v>
      </c>
    </row>
    <row r="273" hidden="1">
      <c r="A273" s="108"/>
      <c r="B273" s="202"/>
      <c r="C273" s="202" t="str">
        <f>VLOOKUP(M273,'#verificação horas por projeto'!A:B,2,FALSE)</f>
        <v>INOV00036</v>
      </c>
      <c r="D273" s="202" t="s">
        <v>24</v>
      </c>
      <c r="E273" s="107" t="s">
        <v>126</v>
      </c>
      <c r="F273" s="211">
        <v>45399.0</v>
      </c>
      <c r="G273" s="226">
        <v>0.08333333333333333</v>
      </c>
      <c r="H273" s="107" t="s">
        <v>354</v>
      </c>
      <c r="I273" s="227" t="s">
        <v>354</v>
      </c>
      <c r="J273" s="227"/>
      <c r="K273" s="115" t="s">
        <v>567</v>
      </c>
      <c r="L273" s="228"/>
      <c r="M273" s="107" t="s">
        <v>511</v>
      </c>
      <c r="N273" s="229">
        <f>IF(AND(O273=TRUE,P273=TRUE), VLOOKUP($E273,PESSOAL!$B$35:$S$45,MONTH($F273)+6,FALSE)*G273*24,0)</f>
        <v>95.88399384</v>
      </c>
      <c r="O273" s="89" t="b">
        <f t="shared" si="1"/>
        <v>1</v>
      </c>
      <c r="P273" s="89" t="b">
        <v>1</v>
      </c>
      <c r="Q273" s="89" t="s">
        <v>212</v>
      </c>
    </row>
    <row r="274" hidden="1">
      <c r="A274" s="108"/>
      <c r="B274" s="202"/>
      <c r="C274" s="202" t="str">
        <f>VLOOKUP(M274,'#verificação horas por projeto'!A:B,2,FALSE)</f>
        <v>INOV00024</v>
      </c>
      <c r="D274" s="202" t="s">
        <v>14</v>
      </c>
      <c r="E274" s="107" t="s">
        <v>126</v>
      </c>
      <c r="F274" s="211">
        <v>45400.0</v>
      </c>
      <c r="G274" s="226">
        <v>0.041666666666666664</v>
      </c>
      <c r="H274" s="107" t="s">
        <v>354</v>
      </c>
      <c r="I274" s="227" t="s">
        <v>354</v>
      </c>
      <c r="J274" s="227"/>
      <c r="K274" s="115" t="s">
        <v>565</v>
      </c>
      <c r="L274" s="228"/>
      <c r="M274" s="107" t="s">
        <v>428</v>
      </c>
      <c r="N274" s="229">
        <f>IF(AND(O274=TRUE,P274=TRUE), VLOOKUP($E274,PESSOAL!$B$35:$S$45,MONTH($F274)+6,FALSE)*G274*24,0)</f>
        <v>47.94199692</v>
      </c>
      <c r="O274" s="89" t="b">
        <f t="shared" si="1"/>
        <v>1</v>
      </c>
      <c r="P274" s="89" t="b">
        <v>1</v>
      </c>
      <c r="Q274" s="89" t="s">
        <v>212</v>
      </c>
    </row>
    <row r="275" hidden="1">
      <c r="A275" s="108"/>
      <c r="B275" s="202"/>
      <c r="C275" s="202" t="str">
        <f>VLOOKUP(M275,'#verificação horas por projeto'!A:B,2,FALSE)</f>
        <v>INOV00036</v>
      </c>
      <c r="D275" s="202" t="s">
        <v>24</v>
      </c>
      <c r="E275" s="107" t="s">
        <v>126</v>
      </c>
      <c r="F275" s="211">
        <v>45400.0</v>
      </c>
      <c r="G275" s="226">
        <v>0.08333333333333333</v>
      </c>
      <c r="H275" s="107" t="s">
        <v>354</v>
      </c>
      <c r="I275" s="227" t="s">
        <v>354</v>
      </c>
      <c r="J275" s="227"/>
      <c r="K275" s="115" t="s">
        <v>567</v>
      </c>
      <c r="L275" s="228"/>
      <c r="M275" s="107" t="s">
        <v>511</v>
      </c>
      <c r="N275" s="229">
        <f>IF(AND(O275=TRUE,P275=TRUE), VLOOKUP($E275,PESSOAL!$B$35:$S$45,MONTH($F275)+6,FALSE)*G275*24,0)</f>
        <v>95.88399384</v>
      </c>
      <c r="O275" s="89" t="b">
        <f t="shared" si="1"/>
        <v>1</v>
      </c>
      <c r="P275" s="89" t="b">
        <v>1</v>
      </c>
      <c r="Q275" s="89" t="s">
        <v>212</v>
      </c>
    </row>
    <row r="276" hidden="1">
      <c r="A276" s="108"/>
      <c r="B276" s="202"/>
      <c r="C276" s="202" t="str">
        <f>VLOOKUP(M276,'#verificação horas por projeto'!A:B,2,FALSE)</f>
        <v>INOV00036</v>
      </c>
      <c r="D276" s="202" t="s">
        <v>24</v>
      </c>
      <c r="E276" s="107" t="s">
        <v>126</v>
      </c>
      <c r="F276" s="211">
        <v>45405.0</v>
      </c>
      <c r="G276" s="226">
        <v>0.125</v>
      </c>
      <c r="H276" s="107" t="s">
        <v>354</v>
      </c>
      <c r="I276" s="227" t="s">
        <v>354</v>
      </c>
      <c r="J276" s="227"/>
      <c r="K276" s="115" t="s">
        <v>567</v>
      </c>
      <c r="L276" s="228"/>
      <c r="M276" s="107" t="s">
        <v>511</v>
      </c>
      <c r="N276" s="229">
        <f>IF(AND(O276=TRUE,P276=TRUE), VLOOKUP($E276,PESSOAL!$B$35:$S$45,MONTH($F276)+6,FALSE)*G276*24,0)</f>
        <v>143.8259908</v>
      </c>
      <c r="O276" s="89" t="b">
        <f t="shared" si="1"/>
        <v>1</v>
      </c>
      <c r="P276" s="89" t="b">
        <v>1</v>
      </c>
      <c r="Q276" s="89" t="s">
        <v>212</v>
      </c>
    </row>
    <row r="277" hidden="1">
      <c r="A277" s="108"/>
      <c r="B277" s="202"/>
      <c r="C277" s="202" t="str">
        <f>VLOOKUP(M277,'#verificação horas por projeto'!A:B,2,FALSE)</f>
        <v>INOV00024</v>
      </c>
      <c r="D277" s="202" t="s">
        <v>14</v>
      </c>
      <c r="E277" s="107" t="s">
        <v>126</v>
      </c>
      <c r="F277" s="211">
        <v>45405.0</v>
      </c>
      <c r="G277" s="226">
        <v>0.125</v>
      </c>
      <c r="H277" s="107" t="s">
        <v>354</v>
      </c>
      <c r="I277" s="227" t="s">
        <v>354</v>
      </c>
      <c r="J277" s="227"/>
      <c r="K277" s="115" t="s">
        <v>565</v>
      </c>
      <c r="L277" s="228"/>
      <c r="M277" s="107" t="s">
        <v>428</v>
      </c>
      <c r="N277" s="229">
        <f>IF(AND(O277=TRUE,P277=TRUE), VLOOKUP($E277,PESSOAL!$B$35:$S$45,MONTH($F277)+6,FALSE)*G277*24,0)</f>
        <v>143.8259908</v>
      </c>
      <c r="O277" s="89" t="b">
        <f t="shared" si="1"/>
        <v>1</v>
      </c>
      <c r="P277" s="89" t="b">
        <v>1</v>
      </c>
      <c r="Q277" s="89" t="s">
        <v>212</v>
      </c>
    </row>
    <row r="278" hidden="1">
      <c r="A278" s="108"/>
      <c r="B278" s="202"/>
      <c r="C278" s="202" t="str">
        <f>VLOOKUP(M278,'#verificação horas por projeto'!A:B,2,FALSE)</f>
        <v>INOV00024</v>
      </c>
      <c r="D278" s="202" t="s">
        <v>14</v>
      </c>
      <c r="E278" s="107" t="s">
        <v>126</v>
      </c>
      <c r="F278" s="211">
        <v>45411.0</v>
      </c>
      <c r="G278" s="226">
        <v>0.16666666666666666</v>
      </c>
      <c r="H278" s="107" t="s">
        <v>354</v>
      </c>
      <c r="I278" s="227" t="s">
        <v>354</v>
      </c>
      <c r="J278" s="227"/>
      <c r="K278" s="115" t="s">
        <v>565</v>
      </c>
      <c r="L278" s="228"/>
      <c r="M278" s="107" t="s">
        <v>428</v>
      </c>
      <c r="N278" s="229">
        <f>IF(AND(O278=TRUE,P278=TRUE), VLOOKUP($E278,PESSOAL!$B$35:$S$45,MONTH($F278)+6,FALSE)*G278*24,0)</f>
        <v>191.7679877</v>
      </c>
      <c r="O278" s="89" t="b">
        <f t="shared" si="1"/>
        <v>1</v>
      </c>
      <c r="P278" s="89" t="b">
        <v>1</v>
      </c>
      <c r="Q278" s="89" t="s">
        <v>212</v>
      </c>
    </row>
    <row r="279" hidden="1">
      <c r="A279" s="108"/>
      <c r="B279" s="202"/>
      <c r="C279" s="202" t="str">
        <f>VLOOKUP(M279,'#verificação horas por projeto'!A:B,2,FALSE)</f>
        <v>INOV00024</v>
      </c>
      <c r="D279" s="202" t="s">
        <v>14</v>
      </c>
      <c r="E279" s="107" t="s">
        <v>126</v>
      </c>
      <c r="F279" s="211">
        <v>45412.0</v>
      </c>
      <c r="G279" s="226">
        <v>0.08333333333333333</v>
      </c>
      <c r="H279" s="107" t="s">
        <v>354</v>
      </c>
      <c r="I279" s="227" t="s">
        <v>354</v>
      </c>
      <c r="J279" s="227"/>
      <c r="K279" s="115" t="s">
        <v>565</v>
      </c>
      <c r="L279" s="228"/>
      <c r="M279" s="107" t="s">
        <v>428</v>
      </c>
      <c r="N279" s="229">
        <f>IF(AND(O279=TRUE,P279=TRUE), VLOOKUP($E279,PESSOAL!$B$35:$S$45,MONTH($F279)+6,FALSE)*G279*24,0)</f>
        <v>95.88399384</v>
      </c>
      <c r="O279" s="89" t="b">
        <f t="shared" si="1"/>
        <v>1</v>
      </c>
      <c r="P279" s="89" t="b">
        <v>1</v>
      </c>
      <c r="Q279" s="89" t="s">
        <v>212</v>
      </c>
    </row>
    <row r="280" hidden="1">
      <c r="A280" s="108"/>
      <c r="B280" s="202"/>
      <c r="C280" s="202" t="str">
        <f>VLOOKUP(M280,'#verificação horas por projeto'!A:B,2,FALSE)</f>
        <v>INOV00004</v>
      </c>
      <c r="D280" s="202" t="s">
        <v>4</v>
      </c>
      <c r="E280" s="107" t="s">
        <v>126</v>
      </c>
      <c r="F280" s="211">
        <v>45412.0</v>
      </c>
      <c r="G280" s="226">
        <v>0.16666666666666666</v>
      </c>
      <c r="H280" s="107" t="s">
        <v>356</v>
      </c>
      <c r="I280" s="227" t="s">
        <v>356</v>
      </c>
      <c r="J280" s="227"/>
      <c r="K280" s="115" t="s">
        <v>563</v>
      </c>
      <c r="L280" s="228"/>
      <c r="M280" s="107" t="s">
        <v>397</v>
      </c>
      <c r="N280" s="229">
        <f>IF(AND(O280=TRUE,P280=TRUE), VLOOKUP($E280,PESSOAL!$B$35:$S$45,MONTH($F280)+6,FALSE)*G280*24,0)</f>
        <v>191.7679877</v>
      </c>
      <c r="O280" s="89" t="b">
        <f t="shared" si="1"/>
        <v>1</v>
      </c>
      <c r="P280" s="89" t="b">
        <v>1</v>
      </c>
      <c r="Q280" s="89" t="s">
        <v>212</v>
      </c>
    </row>
    <row r="281" hidden="1">
      <c r="A281" s="108"/>
      <c r="B281" s="202"/>
      <c r="C281" s="202" t="str">
        <f>VLOOKUP(M281,'#verificação horas por projeto'!A:B,2,FALSE)</f>
        <v>INOV00024</v>
      </c>
      <c r="D281" s="202" t="s">
        <v>14</v>
      </c>
      <c r="E281" s="107" t="s">
        <v>126</v>
      </c>
      <c r="F281" s="211">
        <v>45414.0</v>
      </c>
      <c r="G281" s="226">
        <v>0.125</v>
      </c>
      <c r="H281" s="107" t="s">
        <v>354</v>
      </c>
      <c r="I281" s="227" t="s">
        <v>354</v>
      </c>
      <c r="J281" s="227"/>
      <c r="K281" s="115" t="s">
        <v>565</v>
      </c>
      <c r="L281" s="228"/>
      <c r="M281" s="107" t="s">
        <v>428</v>
      </c>
      <c r="N281" s="229">
        <f>IF(AND(O281=TRUE,P281=TRUE), VLOOKUP($E281,PESSOAL!$B$35:$S$45,MONTH($F281)+6,FALSE)*G281*24,0)</f>
        <v>143.8259908</v>
      </c>
      <c r="O281" s="89" t="b">
        <f t="shared" si="1"/>
        <v>1</v>
      </c>
      <c r="P281" s="89" t="b">
        <v>1</v>
      </c>
      <c r="Q281" s="89" t="s">
        <v>212</v>
      </c>
    </row>
    <row r="282" hidden="1">
      <c r="A282" s="108"/>
      <c r="B282" s="202"/>
      <c r="C282" s="202" t="str">
        <f>VLOOKUP(M282,'#verificação horas por projeto'!A:B,2,FALSE)</f>
        <v>INOV00024</v>
      </c>
      <c r="D282" s="202" t="s">
        <v>14</v>
      </c>
      <c r="E282" s="107" t="s">
        <v>126</v>
      </c>
      <c r="F282" s="211">
        <v>45415.0</v>
      </c>
      <c r="G282" s="226">
        <v>0.08333333333333333</v>
      </c>
      <c r="H282" s="107" t="s">
        <v>354</v>
      </c>
      <c r="I282" s="227" t="s">
        <v>354</v>
      </c>
      <c r="J282" s="227"/>
      <c r="K282" s="115" t="s">
        <v>565</v>
      </c>
      <c r="L282" s="228"/>
      <c r="M282" s="107" t="s">
        <v>428</v>
      </c>
      <c r="N282" s="229">
        <f>IF(AND(O282=TRUE,P282=TRUE), VLOOKUP($E282,PESSOAL!$B$35:$S$45,MONTH($F282)+6,FALSE)*G282*24,0)</f>
        <v>95.88399384</v>
      </c>
      <c r="O282" s="89" t="b">
        <f t="shared" si="1"/>
        <v>1</v>
      </c>
      <c r="P282" s="89" t="b">
        <v>1</v>
      </c>
      <c r="Q282" s="89" t="s">
        <v>212</v>
      </c>
    </row>
    <row r="283" hidden="1">
      <c r="A283" s="108"/>
      <c r="B283" s="202"/>
      <c r="C283" s="202" t="str">
        <f>VLOOKUP(M283,'#verificação horas por projeto'!A:B,2,FALSE)</f>
        <v>INOV00006</v>
      </c>
      <c r="D283" s="202" t="s">
        <v>5</v>
      </c>
      <c r="E283" s="107" t="s">
        <v>126</v>
      </c>
      <c r="F283" s="211">
        <v>45415.0</v>
      </c>
      <c r="G283" s="226">
        <v>0.125</v>
      </c>
      <c r="H283" s="107" t="s">
        <v>356</v>
      </c>
      <c r="I283" s="227" t="s">
        <v>356</v>
      </c>
      <c r="J283" s="227"/>
      <c r="K283" s="115" t="s">
        <v>563</v>
      </c>
      <c r="L283" s="228"/>
      <c r="M283" s="107" t="s">
        <v>379</v>
      </c>
      <c r="N283" s="229">
        <f>IF(AND(O283=TRUE,P283=TRUE), VLOOKUP($E283,PESSOAL!$B$35:$S$45,MONTH($F283)+6,FALSE)*G283*24,0)</f>
        <v>143.8259908</v>
      </c>
      <c r="O283" s="89" t="b">
        <f t="shared" si="1"/>
        <v>1</v>
      </c>
      <c r="P283" s="89" t="b">
        <v>1</v>
      </c>
      <c r="Q283" s="89" t="s">
        <v>212</v>
      </c>
    </row>
    <row r="284" hidden="1">
      <c r="A284" s="108"/>
      <c r="B284" s="202"/>
      <c r="C284" s="202" t="str">
        <f>VLOOKUP(M284,'#verificação horas por projeto'!A:B,2,FALSE)</f>
        <v>INOV00006</v>
      </c>
      <c r="D284" s="202" t="s">
        <v>5</v>
      </c>
      <c r="E284" s="107" t="s">
        <v>126</v>
      </c>
      <c r="F284" s="211">
        <v>45418.0</v>
      </c>
      <c r="G284" s="226">
        <v>0.20833333333333334</v>
      </c>
      <c r="H284" s="107" t="s">
        <v>356</v>
      </c>
      <c r="I284" s="227" t="s">
        <v>356</v>
      </c>
      <c r="J284" s="227"/>
      <c r="K284" s="115" t="s">
        <v>563</v>
      </c>
      <c r="L284" s="228"/>
      <c r="M284" s="107" t="s">
        <v>379</v>
      </c>
      <c r="N284" s="229">
        <f>IF(AND(O284=TRUE,P284=TRUE), VLOOKUP($E284,PESSOAL!$B$35:$S$45,MONTH($F284)+6,FALSE)*G284*24,0)</f>
        <v>239.7099846</v>
      </c>
      <c r="O284" s="89" t="b">
        <f t="shared" si="1"/>
        <v>1</v>
      </c>
      <c r="P284" s="89" t="b">
        <v>1</v>
      </c>
      <c r="Q284" s="89" t="s">
        <v>212</v>
      </c>
    </row>
    <row r="285" hidden="1">
      <c r="A285" s="108"/>
      <c r="B285" s="202"/>
      <c r="C285" s="202" t="str">
        <f>VLOOKUP(M285,'#verificação horas por projeto'!A:B,2,FALSE)</f>
        <v>INOV00024</v>
      </c>
      <c r="D285" s="202" t="s">
        <v>14</v>
      </c>
      <c r="E285" s="107" t="s">
        <v>126</v>
      </c>
      <c r="F285" s="211">
        <v>45419.0</v>
      </c>
      <c r="G285" s="226">
        <v>0.08333333333333333</v>
      </c>
      <c r="H285" s="107" t="s">
        <v>354</v>
      </c>
      <c r="I285" s="227" t="s">
        <v>354</v>
      </c>
      <c r="J285" s="227"/>
      <c r="K285" s="115" t="s">
        <v>565</v>
      </c>
      <c r="L285" s="228"/>
      <c r="M285" s="107" t="s">
        <v>428</v>
      </c>
      <c r="N285" s="229">
        <f>IF(AND(O285=TRUE,P285=TRUE), VLOOKUP($E285,PESSOAL!$B$35:$S$45,MONTH($F285)+6,FALSE)*G285*24,0)</f>
        <v>95.88399384</v>
      </c>
      <c r="O285" s="89" t="b">
        <f t="shared" si="1"/>
        <v>1</v>
      </c>
      <c r="P285" s="89" t="b">
        <v>1</v>
      </c>
      <c r="Q285" s="89" t="s">
        <v>212</v>
      </c>
    </row>
    <row r="286" hidden="1">
      <c r="A286" s="108"/>
      <c r="B286" s="202"/>
      <c r="C286" s="202" t="str">
        <f>VLOOKUP(M286,'#verificação horas por projeto'!A:B,2,FALSE)</f>
        <v>INOV00004</v>
      </c>
      <c r="D286" s="202" t="s">
        <v>4</v>
      </c>
      <c r="E286" s="107" t="s">
        <v>126</v>
      </c>
      <c r="F286" s="211">
        <v>45420.0</v>
      </c>
      <c r="G286" s="226">
        <v>0.16666666666666666</v>
      </c>
      <c r="H286" s="107" t="s">
        <v>356</v>
      </c>
      <c r="I286" s="227" t="s">
        <v>356</v>
      </c>
      <c r="J286" s="227"/>
      <c r="K286" s="115" t="s">
        <v>424</v>
      </c>
      <c r="L286" s="228"/>
      <c r="M286" s="107" t="s">
        <v>397</v>
      </c>
      <c r="N286" s="229">
        <f>IF(AND(O286=TRUE,P286=TRUE), VLOOKUP($E286,PESSOAL!$B$35:$S$45,MONTH($F286)+6,FALSE)*G286*24,0)</f>
        <v>191.7679877</v>
      </c>
      <c r="O286" s="89" t="b">
        <f t="shared" si="1"/>
        <v>1</v>
      </c>
      <c r="P286" s="89" t="b">
        <v>1</v>
      </c>
      <c r="Q286" s="89" t="s">
        <v>212</v>
      </c>
    </row>
    <row r="287" hidden="1">
      <c r="A287" s="108"/>
      <c r="B287" s="202"/>
      <c r="C287" s="202" t="str">
        <f>VLOOKUP(M287,'#verificação horas por projeto'!A:B,2,FALSE)</f>
        <v>INOV00004</v>
      </c>
      <c r="D287" s="202" t="s">
        <v>4</v>
      </c>
      <c r="E287" s="107" t="s">
        <v>126</v>
      </c>
      <c r="F287" s="211">
        <v>45421.0</v>
      </c>
      <c r="G287" s="226">
        <v>0.16666666666666666</v>
      </c>
      <c r="H287" s="107" t="s">
        <v>356</v>
      </c>
      <c r="I287" s="227" t="s">
        <v>356</v>
      </c>
      <c r="J287" s="227"/>
      <c r="K287" s="115" t="s">
        <v>424</v>
      </c>
      <c r="L287" s="228"/>
      <c r="M287" s="107" t="s">
        <v>397</v>
      </c>
      <c r="N287" s="229">
        <f>IF(AND(O287=TRUE,P287=TRUE), VLOOKUP($E287,PESSOAL!$B$35:$S$45,MONTH($F287)+6,FALSE)*G287*24,0)</f>
        <v>191.7679877</v>
      </c>
      <c r="O287" s="89" t="b">
        <f t="shared" si="1"/>
        <v>1</v>
      </c>
      <c r="P287" s="89" t="b">
        <v>1</v>
      </c>
      <c r="Q287" s="89" t="s">
        <v>212</v>
      </c>
    </row>
    <row r="288" hidden="1">
      <c r="A288" s="108"/>
      <c r="B288" s="202"/>
      <c r="C288" s="202" t="str">
        <f>VLOOKUP(M288,'#verificação horas por projeto'!A:B,2,FALSE)</f>
        <v>INOV00024</v>
      </c>
      <c r="D288" s="202" t="s">
        <v>14</v>
      </c>
      <c r="E288" s="107" t="s">
        <v>126</v>
      </c>
      <c r="F288" s="211">
        <v>45421.0</v>
      </c>
      <c r="G288" s="226">
        <v>0.08333333333333333</v>
      </c>
      <c r="H288" s="107" t="s">
        <v>354</v>
      </c>
      <c r="I288" s="227" t="s">
        <v>354</v>
      </c>
      <c r="J288" s="227"/>
      <c r="K288" s="115" t="s">
        <v>565</v>
      </c>
      <c r="L288" s="228"/>
      <c r="M288" s="107" t="s">
        <v>428</v>
      </c>
      <c r="N288" s="229">
        <f>IF(AND(O288=TRUE,P288=TRUE), VLOOKUP($E288,PESSOAL!$B$35:$S$45,MONTH($F288)+6,FALSE)*G288*24,0)</f>
        <v>95.88399384</v>
      </c>
      <c r="O288" s="89" t="b">
        <f t="shared" si="1"/>
        <v>1</v>
      </c>
      <c r="P288" s="89" t="b">
        <v>1</v>
      </c>
      <c r="Q288" s="89" t="s">
        <v>212</v>
      </c>
    </row>
    <row r="289" hidden="1">
      <c r="A289" s="108"/>
      <c r="B289" s="202"/>
      <c r="C289" s="202" t="str">
        <f>VLOOKUP(M289,'#verificação horas por projeto'!A:B,2,FALSE)</f>
        <v>INOV00004</v>
      </c>
      <c r="D289" s="202" t="s">
        <v>4</v>
      </c>
      <c r="E289" s="107" t="s">
        <v>126</v>
      </c>
      <c r="F289" s="211">
        <v>45422.0</v>
      </c>
      <c r="G289" s="226">
        <v>0.125</v>
      </c>
      <c r="H289" s="107" t="s">
        <v>356</v>
      </c>
      <c r="I289" s="227" t="s">
        <v>356</v>
      </c>
      <c r="J289" s="227"/>
      <c r="K289" s="115" t="s">
        <v>424</v>
      </c>
      <c r="L289" s="228"/>
      <c r="M289" s="107" t="s">
        <v>397</v>
      </c>
      <c r="N289" s="229">
        <f>IF(AND(O289=TRUE,P289=TRUE), VLOOKUP($E289,PESSOAL!$B$35:$S$45,MONTH($F289)+6,FALSE)*G289*24,0)</f>
        <v>143.8259908</v>
      </c>
      <c r="O289" s="89" t="b">
        <f t="shared" si="1"/>
        <v>1</v>
      </c>
      <c r="P289" s="89" t="b">
        <v>1</v>
      </c>
      <c r="Q289" s="89" t="s">
        <v>212</v>
      </c>
    </row>
    <row r="290" hidden="1">
      <c r="A290" s="108"/>
      <c r="B290" s="202"/>
      <c r="C290" s="202" t="str">
        <f>VLOOKUP(M290,'#verificação horas por projeto'!A:B,2,FALSE)</f>
        <v>INOV00046</v>
      </c>
      <c r="D290" s="202" t="s">
        <v>29</v>
      </c>
      <c r="E290" s="107" t="s">
        <v>126</v>
      </c>
      <c r="F290" s="211">
        <v>45422.0</v>
      </c>
      <c r="G290" s="226">
        <v>0.16666666666666666</v>
      </c>
      <c r="H290" s="107" t="s">
        <v>356</v>
      </c>
      <c r="I290" s="227" t="s">
        <v>356</v>
      </c>
      <c r="J290" s="227"/>
      <c r="K290" s="115" t="s">
        <v>424</v>
      </c>
      <c r="L290" s="228"/>
      <c r="M290" s="107" t="s">
        <v>373</v>
      </c>
      <c r="N290" s="229">
        <f>IF(AND(O290=TRUE,P290=TRUE), VLOOKUP($E290,PESSOAL!$B$35:$S$45,MONTH($F290)+6,FALSE)*G290*24,0)</f>
        <v>0</v>
      </c>
      <c r="O290" s="89" t="b">
        <f t="shared" si="1"/>
        <v>1</v>
      </c>
      <c r="P290" s="89" t="b">
        <v>0</v>
      </c>
      <c r="Q290" s="89" t="s">
        <v>212</v>
      </c>
    </row>
    <row r="291" hidden="1">
      <c r="A291" s="108"/>
      <c r="B291" s="202"/>
      <c r="C291" s="202" t="str">
        <f>VLOOKUP(M291,'#verificação horas por projeto'!A:B,2,FALSE)</f>
        <v>INOV00024</v>
      </c>
      <c r="D291" s="202" t="s">
        <v>14</v>
      </c>
      <c r="E291" s="107" t="s">
        <v>126</v>
      </c>
      <c r="F291" s="211">
        <v>45425.0</v>
      </c>
      <c r="G291" s="226">
        <v>0.08333333333333333</v>
      </c>
      <c r="H291" s="107" t="s">
        <v>354</v>
      </c>
      <c r="I291" s="227" t="s">
        <v>354</v>
      </c>
      <c r="J291" s="227"/>
      <c r="K291" s="115" t="s">
        <v>566</v>
      </c>
      <c r="L291" s="228"/>
      <c r="M291" s="107" t="s">
        <v>428</v>
      </c>
      <c r="N291" s="229">
        <f>IF(AND(O291=TRUE,P291=TRUE), VLOOKUP($E291,PESSOAL!$B$35:$S$45,MONTH($F291)+6,FALSE)*G291*24,0)</f>
        <v>95.88399384</v>
      </c>
      <c r="O291" s="89" t="b">
        <f t="shared" si="1"/>
        <v>1</v>
      </c>
      <c r="P291" s="89" t="b">
        <v>1</v>
      </c>
      <c r="Q291" s="89" t="s">
        <v>212</v>
      </c>
    </row>
    <row r="292" hidden="1">
      <c r="A292" s="108"/>
      <c r="B292" s="202"/>
      <c r="C292" s="202" t="str">
        <f>VLOOKUP(M292,'#verificação horas por projeto'!A:B,2,FALSE)</f>
        <v>INOV00004</v>
      </c>
      <c r="D292" s="202" t="s">
        <v>4</v>
      </c>
      <c r="E292" s="107" t="s">
        <v>126</v>
      </c>
      <c r="F292" s="211">
        <v>45425.0</v>
      </c>
      <c r="G292" s="226">
        <v>0.125</v>
      </c>
      <c r="H292" s="107" t="s">
        <v>356</v>
      </c>
      <c r="I292" s="227" t="s">
        <v>356</v>
      </c>
      <c r="J292" s="227"/>
      <c r="K292" s="115" t="s">
        <v>424</v>
      </c>
      <c r="L292" s="228"/>
      <c r="M292" s="107" t="s">
        <v>397</v>
      </c>
      <c r="N292" s="229">
        <f>IF(AND(O292=TRUE,P292=TRUE), VLOOKUP($E292,PESSOAL!$B$35:$S$45,MONTH($F292)+6,FALSE)*G292*24,0)</f>
        <v>143.8259908</v>
      </c>
      <c r="O292" s="89" t="b">
        <f t="shared" si="1"/>
        <v>1</v>
      </c>
      <c r="P292" s="89" t="b">
        <v>1</v>
      </c>
      <c r="Q292" s="89" t="s">
        <v>212</v>
      </c>
    </row>
    <row r="293" hidden="1">
      <c r="A293" s="108"/>
      <c r="B293" s="202"/>
      <c r="C293" s="202" t="str">
        <f>VLOOKUP(M293,'#verificação horas por projeto'!A:B,2,FALSE)</f>
        <v>INOV00004</v>
      </c>
      <c r="D293" s="202" t="s">
        <v>4</v>
      </c>
      <c r="E293" s="107" t="s">
        <v>126</v>
      </c>
      <c r="F293" s="211">
        <v>45426.0</v>
      </c>
      <c r="G293" s="226">
        <v>0.16666666666666666</v>
      </c>
      <c r="H293" s="107" t="s">
        <v>356</v>
      </c>
      <c r="I293" s="227" t="s">
        <v>356</v>
      </c>
      <c r="J293" s="227"/>
      <c r="K293" s="115" t="s">
        <v>424</v>
      </c>
      <c r="L293" s="228"/>
      <c r="M293" s="107" t="s">
        <v>397</v>
      </c>
      <c r="N293" s="229">
        <f>IF(AND(O293=TRUE,P293=TRUE), VLOOKUP($E293,PESSOAL!$B$35:$S$45,MONTH($F293)+6,FALSE)*G293*24,0)</f>
        <v>191.7679877</v>
      </c>
      <c r="O293" s="89" t="b">
        <f t="shared" si="1"/>
        <v>1</v>
      </c>
      <c r="P293" s="89" t="b">
        <v>1</v>
      </c>
      <c r="Q293" s="89" t="s">
        <v>212</v>
      </c>
    </row>
    <row r="294" hidden="1">
      <c r="A294" s="108"/>
      <c r="B294" s="202"/>
      <c r="C294" s="202" t="str">
        <f>VLOOKUP(M294,'#verificação horas por projeto'!A:B,2,FALSE)</f>
        <v>INOV00024</v>
      </c>
      <c r="D294" s="202" t="s">
        <v>14</v>
      </c>
      <c r="E294" s="107" t="s">
        <v>126</v>
      </c>
      <c r="F294" s="211">
        <v>45426.0</v>
      </c>
      <c r="G294" s="226">
        <v>0.08333333333333333</v>
      </c>
      <c r="H294" s="107" t="s">
        <v>354</v>
      </c>
      <c r="I294" s="227" t="s">
        <v>354</v>
      </c>
      <c r="J294" s="227"/>
      <c r="K294" s="115" t="s">
        <v>566</v>
      </c>
      <c r="L294" s="228"/>
      <c r="M294" s="107" t="s">
        <v>428</v>
      </c>
      <c r="N294" s="229">
        <f>IF(AND(O294=TRUE,P294=TRUE), VLOOKUP($E294,PESSOAL!$B$35:$S$45,MONTH($F294)+6,FALSE)*G294*24,0)</f>
        <v>95.88399384</v>
      </c>
      <c r="O294" s="89" t="b">
        <f t="shared" si="1"/>
        <v>1</v>
      </c>
      <c r="P294" s="89" t="b">
        <v>1</v>
      </c>
      <c r="Q294" s="89" t="s">
        <v>212</v>
      </c>
    </row>
    <row r="295" hidden="1">
      <c r="A295" s="108"/>
      <c r="B295" s="202"/>
      <c r="C295" s="202" t="str">
        <f>VLOOKUP(M295,'#verificação horas por projeto'!A:B,2,FALSE)</f>
        <v>INOV00004</v>
      </c>
      <c r="D295" s="202" t="s">
        <v>4</v>
      </c>
      <c r="E295" s="107" t="s">
        <v>126</v>
      </c>
      <c r="F295" s="211">
        <v>45427.0</v>
      </c>
      <c r="G295" s="226">
        <v>0.20833333333333334</v>
      </c>
      <c r="H295" s="107" t="s">
        <v>356</v>
      </c>
      <c r="I295" s="227" t="s">
        <v>356</v>
      </c>
      <c r="J295" s="227"/>
      <c r="K295" s="115" t="s">
        <v>569</v>
      </c>
      <c r="L295" s="228"/>
      <c r="M295" s="107" t="s">
        <v>397</v>
      </c>
      <c r="N295" s="229">
        <f>IF(AND(O295=TRUE,P295=TRUE), VLOOKUP($E295,PESSOAL!$B$35:$S$45,MONTH($F295)+6,FALSE)*G295*24,0)</f>
        <v>239.7099846</v>
      </c>
      <c r="O295" s="89" t="b">
        <f t="shared" si="1"/>
        <v>1</v>
      </c>
      <c r="P295" s="89" t="b">
        <v>1</v>
      </c>
      <c r="Q295" s="89" t="s">
        <v>212</v>
      </c>
    </row>
    <row r="296" hidden="1">
      <c r="A296" s="108"/>
      <c r="B296" s="202"/>
      <c r="C296" s="202" t="str">
        <f>VLOOKUP(M296,'#verificação horas por projeto'!A:B,2,FALSE)</f>
        <v>INOV00004</v>
      </c>
      <c r="D296" s="202" t="s">
        <v>4</v>
      </c>
      <c r="E296" s="107" t="s">
        <v>126</v>
      </c>
      <c r="F296" s="211">
        <v>45428.0</v>
      </c>
      <c r="G296" s="226">
        <v>0.16666666666666666</v>
      </c>
      <c r="H296" s="107" t="s">
        <v>356</v>
      </c>
      <c r="I296" s="227" t="s">
        <v>356</v>
      </c>
      <c r="J296" s="227"/>
      <c r="K296" s="115" t="s">
        <v>569</v>
      </c>
      <c r="L296" s="228"/>
      <c r="M296" s="107" t="s">
        <v>397</v>
      </c>
      <c r="N296" s="229">
        <f>IF(AND(O296=TRUE,P296=TRUE), VLOOKUP($E296,PESSOAL!$B$35:$S$45,MONTH($F296)+6,FALSE)*G296*24,0)</f>
        <v>191.7679877</v>
      </c>
      <c r="O296" s="89" t="b">
        <f t="shared" si="1"/>
        <v>1</v>
      </c>
      <c r="P296" s="89" t="b">
        <v>1</v>
      </c>
      <c r="Q296" s="89" t="s">
        <v>212</v>
      </c>
    </row>
    <row r="297" hidden="1">
      <c r="A297" s="108"/>
      <c r="B297" s="202"/>
      <c r="C297" s="202" t="str">
        <f>VLOOKUP(M297,'#verificação horas por projeto'!A:B,2,FALSE)</f>
        <v>INOV00006</v>
      </c>
      <c r="D297" s="202" t="s">
        <v>5</v>
      </c>
      <c r="E297" s="107" t="s">
        <v>126</v>
      </c>
      <c r="F297" s="211">
        <v>45429.0</v>
      </c>
      <c r="G297" s="226">
        <v>0.125</v>
      </c>
      <c r="H297" s="107" t="s">
        <v>356</v>
      </c>
      <c r="I297" s="227" t="s">
        <v>356</v>
      </c>
      <c r="J297" s="227"/>
      <c r="K297" s="115" t="s">
        <v>563</v>
      </c>
      <c r="L297" s="228"/>
      <c r="M297" s="107" t="s">
        <v>379</v>
      </c>
      <c r="N297" s="229">
        <f>IF(AND(O297=TRUE,P297=TRUE), VLOOKUP($E297,PESSOAL!$B$35:$S$45,MONTH($F297)+6,FALSE)*G297*24,0)</f>
        <v>143.8259908</v>
      </c>
      <c r="O297" s="89" t="b">
        <f t="shared" si="1"/>
        <v>1</v>
      </c>
      <c r="P297" s="89" t="b">
        <v>1</v>
      </c>
      <c r="Q297" s="89" t="s">
        <v>212</v>
      </c>
    </row>
    <row r="298" hidden="1">
      <c r="A298" s="108"/>
      <c r="B298" s="202"/>
      <c r="C298" s="202" t="str">
        <f>VLOOKUP(M298,'#verificação horas por projeto'!A:B,2,FALSE)</f>
        <v>INOV00004</v>
      </c>
      <c r="D298" s="202" t="s">
        <v>4</v>
      </c>
      <c r="E298" s="107" t="s">
        <v>126</v>
      </c>
      <c r="F298" s="211">
        <v>45429.0</v>
      </c>
      <c r="G298" s="226">
        <v>0.125</v>
      </c>
      <c r="H298" s="107" t="s">
        <v>356</v>
      </c>
      <c r="I298" s="227" t="s">
        <v>356</v>
      </c>
      <c r="J298" s="227"/>
      <c r="K298" s="115" t="s">
        <v>563</v>
      </c>
      <c r="L298" s="228"/>
      <c r="M298" s="107" t="s">
        <v>397</v>
      </c>
      <c r="N298" s="229">
        <f>IF(AND(O298=TRUE,P298=TRUE), VLOOKUP($E298,PESSOAL!$B$35:$S$45,MONTH($F298)+6,FALSE)*G298*24,0)</f>
        <v>143.8259908</v>
      </c>
      <c r="O298" s="89" t="b">
        <f t="shared" si="1"/>
        <v>1</v>
      </c>
      <c r="P298" s="89" t="b">
        <v>1</v>
      </c>
      <c r="Q298" s="89" t="s">
        <v>212</v>
      </c>
    </row>
    <row r="299" hidden="1">
      <c r="A299" s="108"/>
      <c r="B299" s="202"/>
      <c r="C299" s="202" t="str">
        <f>VLOOKUP(M299,'#verificação horas por projeto'!A:B,2,FALSE)</f>
        <v>INOV00024</v>
      </c>
      <c r="D299" s="202" t="s">
        <v>14</v>
      </c>
      <c r="E299" s="107" t="s">
        <v>126</v>
      </c>
      <c r="F299" s="211">
        <v>45432.0</v>
      </c>
      <c r="G299" s="226">
        <v>0.08333333333333333</v>
      </c>
      <c r="H299" s="107" t="s">
        <v>354</v>
      </c>
      <c r="I299" s="227" t="s">
        <v>354</v>
      </c>
      <c r="J299" s="227"/>
      <c r="K299" s="115" t="s">
        <v>566</v>
      </c>
      <c r="L299" s="228"/>
      <c r="M299" s="107" t="s">
        <v>428</v>
      </c>
      <c r="N299" s="229">
        <f>IF(AND(O299=TRUE,P299=TRUE), VLOOKUP($E299,PESSOAL!$B$35:$S$45,MONTH($F299)+6,FALSE)*G299*24,0)</f>
        <v>95.88399384</v>
      </c>
      <c r="O299" s="89" t="b">
        <f t="shared" si="1"/>
        <v>1</v>
      </c>
      <c r="P299" s="89" t="b">
        <v>1</v>
      </c>
      <c r="Q299" s="89" t="s">
        <v>212</v>
      </c>
    </row>
    <row r="300" hidden="1">
      <c r="A300" s="108"/>
      <c r="B300" s="202"/>
      <c r="C300" s="202" t="str">
        <f>VLOOKUP(M300,'#verificação horas por projeto'!A:B,2,FALSE)</f>
        <v>INOV00006</v>
      </c>
      <c r="D300" s="202" t="s">
        <v>5</v>
      </c>
      <c r="E300" s="107" t="s">
        <v>126</v>
      </c>
      <c r="F300" s="211">
        <v>45433.0</v>
      </c>
      <c r="G300" s="226">
        <v>0.08333333333333333</v>
      </c>
      <c r="H300" s="107" t="s">
        <v>356</v>
      </c>
      <c r="I300" s="227" t="s">
        <v>356</v>
      </c>
      <c r="J300" s="227"/>
      <c r="K300" s="115" t="s">
        <v>424</v>
      </c>
      <c r="L300" s="228"/>
      <c r="M300" s="107" t="s">
        <v>379</v>
      </c>
      <c r="N300" s="229">
        <f>IF(AND(O300=TRUE,P300=TRUE), VLOOKUP($E300,PESSOAL!$B$35:$S$45,MONTH($F300)+6,FALSE)*G300*24,0)</f>
        <v>95.88399384</v>
      </c>
      <c r="O300" s="89" t="b">
        <f t="shared" si="1"/>
        <v>1</v>
      </c>
      <c r="P300" s="89" t="b">
        <v>1</v>
      </c>
      <c r="Q300" s="89" t="s">
        <v>212</v>
      </c>
    </row>
    <row r="301" hidden="1">
      <c r="A301" s="108"/>
      <c r="B301" s="202"/>
      <c r="C301" s="202" t="str">
        <f>VLOOKUP(M301,'#verificação horas por projeto'!A:B,2,FALSE)</f>
        <v>INOV00004</v>
      </c>
      <c r="D301" s="202" t="s">
        <v>4</v>
      </c>
      <c r="E301" s="107" t="s">
        <v>126</v>
      </c>
      <c r="F301" s="211">
        <v>45433.0</v>
      </c>
      <c r="G301" s="226">
        <v>0.125</v>
      </c>
      <c r="H301" s="107" t="s">
        <v>356</v>
      </c>
      <c r="I301" s="227" t="s">
        <v>356</v>
      </c>
      <c r="J301" s="227"/>
      <c r="K301" s="115" t="s">
        <v>424</v>
      </c>
      <c r="L301" s="228"/>
      <c r="M301" s="107" t="s">
        <v>397</v>
      </c>
      <c r="N301" s="229">
        <f>IF(AND(O301=TRUE,P301=TRUE), VLOOKUP($E301,PESSOAL!$B$35:$S$45,MONTH($F301)+6,FALSE)*G301*24,0)</f>
        <v>143.8259908</v>
      </c>
      <c r="O301" s="89" t="b">
        <f t="shared" si="1"/>
        <v>1</v>
      </c>
      <c r="P301" s="89" t="b">
        <v>1</v>
      </c>
      <c r="Q301" s="89" t="s">
        <v>212</v>
      </c>
    </row>
    <row r="302" hidden="1">
      <c r="A302" s="108"/>
      <c r="B302" s="202"/>
      <c r="C302" s="202" t="str">
        <f>VLOOKUP(M302,'#verificação horas por projeto'!A:B,2,FALSE)</f>
        <v>INOV00046</v>
      </c>
      <c r="D302" s="202" t="s">
        <v>29</v>
      </c>
      <c r="E302" s="107" t="s">
        <v>126</v>
      </c>
      <c r="F302" s="211">
        <v>45433.0</v>
      </c>
      <c r="G302" s="226">
        <v>0.08333333333333333</v>
      </c>
      <c r="H302" s="107" t="s">
        <v>356</v>
      </c>
      <c r="I302" s="227" t="s">
        <v>356</v>
      </c>
      <c r="J302" s="227"/>
      <c r="K302" s="115" t="s">
        <v>424</v>
      </c>
      <c r="L302" s="228"/>
      <c r="M302" s="107" t="s">
        <v>373</v>
      </c>
      <c r="N302" s="229">
        <f>IF(AND(O302=TRUE,P302=TRUE), VLOOKUP($E302,PESSOAL!$B$35:$S$45,MONTH($F302)+6,FALSE)*G302*24,0)</f>
        <v>0</v>
      </c>
      <c r="O302" s="89" t="b">
        <f t="shared" si="1"/>
        <v>1</v>
      </c>
      <c r="P302" s="89" t="b">
        <v>0</v>
      </c>
      <c r="Q302" s="89" t="s">
        <v>212</v>
      </c>
    </row>
    <row r="303" hidden="1">
      <c r="A303" s="108"/>
      <c r="B303" s="202"/>
      <c r="C303" s="202" t="str">
        <f>VLOOKUP(M303,'#verificação horas por projeto'!A:B,2,FALSE)</f>
        <v>INOV00004</v>
      </c>
      <c r="D303" s="202" t="s">
        <v>4</v>
      </c>
      <c r="E303" s="107" t="s">
        <v>126</v>
      </c>
      <c r="F303" s="211">
        <v>45434.0</v>
      </c>
      <c r="G303" s="226">
        <v>0.20833333333333334</v>
      </c>
      <c r="H303" s="107" t="s">
        <v>356</v>
      </c>
      <c r="I303" s="227" t="s">
        <v>356</v>
      </c>
      <c r="J303" s="227"/>
      <c r="K303" s="115" t="s">
        <v>424</v>
      </c>
      <c r="L303" s="228"/>
      <c r="M303" s="107" t="s">
        <v>397</v>
      </c>
      <c r="N303" s="229">
        <f>IF(AND(O303=TRUE,P303=TRUE), VLOOKUP($E303,PESSOAL!$B$35:$S$45,MONTH($F303)+6,FALSE)*G303*24,0)</f>
        <v>239.7099846</v>
      </c>
      <c r="O303" s="89" t="b">
        <f t="shared" si="1"/>
        <v>1</v>
      </c>
      <c r="P303" s="89" t="b">
        <v>1</v>
      </c>
      <c r="Q303" s="89" t="s">
        <v>212</v>
      </c>
    </row>
    <row r="304" hidden="1">
      <c r="A304" s="108"/>
      <c r="B304" s="202"/>
      <c r="C304" s="202" t="str">
        <f>VLOOKUP(M304,'#verificação horas por projeto'!A:B,2,FALSE)</f>
        <v>INOV00004</v>
      </c>
      <c r="D304" s="202" t="s">
        <v>4</v>
      </c>
      <c r="E304" s="107" t="s">
        <v>126</v>
      </c>
      <c r="F304" s="211">
        <v>45435.0</v>
      </c>
      <c r="G304" s="226">
        <v>0.125</v>
      </c>
      <c r="H304" s="107" t="s">
        <v>356</v>
      </c>
      <c r="I304" s="227" t="s">
        <v>356</v>
      </c>
      <c r="J304" s="227"/>
      <c r="K304" s="115" t="s">
        <v>569</v>
      </c>
      <c r="L304" s="228"/>
      <c r="M304" s="107" t="s">
        <v>397</v>
      </c>
      <c r="N304" s="229">
        <f>IF(AND(O304=TRUE,P304=TRUE), VLOOKUP($E304,PESSOAL!$B$35:$S$45,MONTH($F304)+6,FALSE)*G304*24,0)</f>
        <v>143.8259908</v>
      </c>
      <c r="O304" s="89" t="b">
        <f t="shared" si="1"/>
        <v>1</v>
      </c>
      <c r="P304" s="89" t="b">
        <v>1</v>
      </c>
      <c r="Q304" s="89" t="s">
        <v>212</v>
      </c>
    </row>
    <row r="305" hidden="1">
      <c r="A305" s="108"/>
      <c r="B305" s="202"/>
      <c r="C305" s="202" t="str">
        <f>VLOOKUP(M305,'#verificação horas por projeto'!A:B,2,FALSE)</f>
        <v>INOV00004</v>
      </c>
      <c r="D305" s="202" t="s">
        <v>4</v>
      </c>
      <c r="E305" s="107" t="s">
        <v>126</v>
      </c>
      <c r="F305" s="211">
        <v>45436.0</v>
      </c>
      <c r="G305" s="226">
        <v>0.16666666666666666</v>
      </c>
      <c r="H305" s="107" t="s">
        <v>356</v>
      </c>
      <c r="I305" s="227" t="s">
        <v>356</v>
      </c>
      <c r="J305" s="227"/>
      <c r="K305" s="115" t="s">
        <v>569</v>
      </c>
      <c r="L305" s="228"/>
      <c r="M305" s="107" t="s">
        <v>397</v>
      </c>
      <c r="N305" s="229">
        <f>IF(AND(O305=TRUE,P305=TRUE), VLOOKUP($E305,PESSOAL!$B$35:$S$45,MONTH($F305)+6,FALSE)*G305*24,0)</f>
        <v>191.7679877</v>
      </c>
      <c r="O305" s="89" t="b">
        <f t="shared" si="1"/>
        <v>1</v>
      </c>
      <c r="P305" s="89" t="b">
        <v>1</v>
      </c>
      <c r="Q305" s="89" t="s">
        <v>212</v>
      </c>
    </row>
    <row r="306" hidden="1">
      <c r="A306" s="108"/>
      <c r="B306" s="202"/>
      <c r="C306" s="202" t="str">
        <f>VLOOKUP(M306,'#verificação horas por projeto'!A:B,2,FALSE)</f>
        <v>INOV00046</v>
      </c>
      <c r="D306" s="202" t="s">
        <v>29</v>
      </c>
      <c r="E306" s="107" t="s">
        <v>126</v>
      </c>
      <c r="F306" s="211">
        <v>45436.0</v>
      </c>
      <c r="G306" s="226">
        <v>0.125</v>
      </c>
      <c r="H306" s="107" t="s">
        <v>356</v>
      </c>
      <c r="I306" s="227" t="s">
        <v>356</v>
      </c>
      <c r="J306" s="227"/>
      <c r="K306" s="115" t="s">
        <v>424</v>
      </c>
      <c r="L306" s="228"/>
      <c r="M306" s="107" t="s">
        <v>373</v>
      </c>
      <c r="N306" s="229">
        <f>IF(AND(O306=TRUE,P306=TRUE), VLOOKUP($E306,PESSOAL!$B$35:$S$45,MONTH($F306)+6,FALSE)*G306*24,0)</f>
        <v>0</v>
      </c>
      <c r="O306" s="89" t="b">
        <f t="shared" si="1"/>
        <v>1</v>
      </c>
      <c r="P306" s="89" t="b">
        <v>0</v>
      </c>
      <c r="Q306" s="89" t="s">
        <v>212</v>
      </c>
    </row>
    <row r="307" hidden="1">
      <c r="A307" s="108"/>
      <c r="B307" s="202"/>
      <c r="C307" s="202" t="str">
        <f>VLOOKUP(M307,'#verificação horas por projeto'!A:B,2,FALSE)</f>
        <v>INOV00004</v>
      </c>
      <c r="D307" s="202" t="s">
        <v>4</v>
      </c>
      <c r="E307" s="107" t="s">
        <v>126</v>
      </c>
      <c r="F307" s="211">
        <v>45439.0</v>
      </c>
      <c r="G307" s="226">
        <v>0.16666666666666666</v>
      </c>
      <c r="H307" s="107" t="s">
        <v>356</v>
      </c>
      <c r="I307" s="227" t="s">
        <v>356</v>
      </c>
      <c r="J307" s="227"/>
      <c r="K307" s="115" t="s">
        <v>569</v>
      </c>
      <c r="L307" s="228"/>
      <c r="M307" s="107" t="s">
        <v>397</v>
      </c>
      <c r="N307" s="229">
        <f>IF(AND(O307=TRUE,P307=TRUE), VLOOKUP($E307,PESSOAL!$B$35:$S$45,MONTH($F307)+6,FALSE)*G307*24,0)</f>
        <v>191.7679877</v>
      </c>
      <c r="O307" s="89" t="b">
        <f t="shared" si="1"/>
        <v>1</v>
      </c>
      <c r="P307" s="89" t="b">
        <v>1</v>
      </c>
      <c r="Q307" s="89" t="s">
        <v>212</v>
      </c>
    </row>
    <row r="308" hidden="1">
      <c r="A308" s="108"/>
      <c r="B308" s="202"/>
      <c r="C308" s="202" t="str">
        <f>VLOOKUP(M308,'#verificação horas por projeto'!A:B,2,FALSE)</f>
        <v>INOV00004</v>
      </c>
      <c r="D308" s="202" t="s">
        <v>4</v>
      </c>
      <c r="E308" s="107" t="s">
        <v>126</v>
      </c>
      <c r="F308" s="211">
        <v>45440.0</v>
      </c>
      <c r="G308" s="226">
        <v>0.125</v>
      </c>
      <c r="H308" s="107" t="s">
        <v>356</v>
      </c>
      <c r="I308" s="227" t="s">
        <v>356</v>
      </c>
      <c r="J308" s="227"/>
      <c r="K308" s="115" t="s">
        <v>569</v>
      </c>
      <c r="L308" s="228"/>
      <c r="M308" s="107" t="s">
        <v>397</v>
      </c>
      <c r="N308" s="229">
        <f>IF(AND(O308=TRUE,P308=TRUE), VLOOKUP($E308,PESSOAL!$B$35:$S$45,MONTH($F308)+6,FALSE)*G308*24,0)</f>
        <v>143.8259908</v>
      </c>
      <c r="O308" s="89" t="b">
        <f t="shared" si="1"/>
        <v>1</v>
      </c>
      <c r="P308" s="89" t="b">
        <v>1</v>
      </c>
      <c r="Q308" s="89" t="s">
        <v>212</v>
      </c>
    </row>
    <row r="309" hidden="1">
      <c r="A309" s="108"/>
      <c r="B309" s="202"/>
      <c r="C309" s="202" t="str">
        <f>VLOOKUP(M309,'#verificação horas por projeto'!A:B,2,FALSE)</f>
        <v>INOV00046</v>
      </c>
      <c r="D309" s="202" t="s">
        <v>29</v>
      </c>
      <c r="E309" s="107" t="s">
        <v>126</v>
      </c>
      <c r="F309" s="211">
        <v>45440.0</v>
      </c>
      <c r="G309" s="226">
        <v>0.16666666666666666</v>
      </c>
      <c r="H309" s="107" t="s">
        <v>356</v>
      </c>
      <c r="I309" s="227" t="s">
        <v>356</v>
      </c>
      <c r="J309" s="227"/>
      <c r="K309" s="115" t="s">
        <v>424</v>
      </c>
      <c r="L309" s="228"/>
      <c r="M309" s="107" t="s">
        <v>373</v>
      </c>
      <c r="N309" s="229">
        <f>IF(AND(O309=TRUE,P309=TRUE), VLOOKUP($E309,PESSOAL!$B$35:$S$45,MONTH($F309)+6,FALSE)*G309*24,0)</f>
        <v>0</v>
      </c>
      <c r="O309" s="89" t="b">
        <f t="shared" si="1"/>
        <v>1</v>
      </c>
      <c r="P309" s="89" t="b">
        <v>0</v>
      </c>
      <c r="Q309" s="89" t="s">
        <v>212</v>
      </c>
    </row>
    <row r="310" hidden="1">
      <c r="A310" s="108"/>
      <c r="B310" s="202"/>
      <c r="C310" s="202" t="str">
        <f>VLOOKUP(M310,'#verificação horas por projeto'!A:B,2,FALSE)</f>
        <v>INOV00004</v>
      </c>
      <c r="D310" s="202" t="s">
        <v>4</v>
      </c>
      <c r="E310" s="107" t="s">
        <v>126</v>
      </c>
      <c r="F310" s="211">
        <v>45441.0</v>
      </c>
      <c r="G310" s="226">
        <v>0.20833333333333334</v>
      </c>
      <c r="H310" s="107" t="s">
        <v>356</v>
      </c>
      <c r="I310" s="227" t="s">
        <v>356</v>
      </c>
      <c r="J310" s="227"/>
      <c r="K310" s="115" t="s">
        <v>569</v>
      </c>
      <c r="L310" s="228"/>
      <c r="M310" s="107" t="s">
        <v>397</v>
      </c>
      <c r="N310" s="229">
        <f>IF(AND(O310=TRUE,P310=TRUE), VLOOKUP($E310,PESSOAL!$B$35:$S$45,MONTH($F310)+6,FALSE)*G310*24,0)</f>
        <v>239.7099846</v>
      </c>
      <c r="O310" s="89" t="b">
        <f t="shared" si="1"/>
        <v>1</v>
      </c>
      <c r="P310" s="89" t="b">
        <v>1</v>
      </c>
      <c r="Q310" s="89" t="s">
        <v>212</v>
      </c>
    </row>
    <row r="311" hidden="1">
      <c r="A311" s="108"/>
      <c r="B311" s="202"/>
      <c r="C311" s="202" t="str">
        <f>VLOOKUP(M311,'#verificação horas por projeto'!A:B,2,FALSE)</f>
        <v>INOV00004</v>
      </c>
      <c r="D311" s="202" t="s">
        <v>4</v>
      </c>
      <c r="E311" s="107" t="s">
        <v>126</v>
      </c>
      <c r="F311" s="211">
        <v>45443.0</v>
      </c>
      <c r="G311" s="226">
        <v>0.16666666666666666</v>
      </c>
      <c r="H311" s="107" t="s">
        <v>356</v>
      </c>
      <c r="I311" s="227" t="s">
        <v>356</v>
      </c>
      <c r="J311" s="227"/>
      <c r="K311" s="115" t="s">
        <v>569</v>
      </c>
      <c r="L311" s="228"/>
      <c r="M311" s="107" t="s">
        <v>397</v>
      </c>
      <c r="N311" s="229">
        <f>IF(AND(O311=TRUE,P311=TRUE), VLOOKUP($E311,PESSOAL!$B$35:$S$45,MONTH($F311)+6,FALSE)*G311*24,0)</f>
        <v>191.7679877</v>
      </c>
      <c r="O311" s="89" t="b">
        <f t="shared" si="1"/>
        <v>1</v>
      </c>
      <c r="P311" s="89" t="b">
        <v>1</v>
      </c>
      <c r="Q311" s="89" t="s">
        <v>212</v>
      </c>
    </row>
    <row r="312" hidden="1">
      <c r="A312" s="108"/>
      <c r="B312" s="202"/>
      <c r="C312" s="202" t="str">
        <f>VLOOKUP(M312,'#verificação horas por projeto'!A:B,2,FALSE)</f>
        <v>INOV00004</v>
      </c>
      <c r="D312" s="202" t="s">
        <v>4</v>
      </c>
      <c r="E312" s="107" t="s">
        <v>126</v>
      </c>
      <c r="F312" s="211">
        <v>45446.0</v>
      </c>
      <c r="G312" s="226">
        <v>0.125</v>
      </c>
      <c r="H312" s="107" t="s">
        <v>356</v>
      </c>
      <c r="I312" s="227" t="s">
        <v>356</v>
      </c>
      <c r="J312" s="227"/>
      <c r="K312" s="115" t="s">
        <v>569</v>
      </c>
      <c r="L312" s="228"/>
      <c r="M312" s="107" t="s">
        <v>397</v>
      </c>
      <c r="N312" s="229">
        <f>IF(AND(O312=TRUE,P312=TRUE), VLOOKUP($E312,PESSOAL!$B$35:$S$45,MONTH($F312)+6,FALSE)*G312*24,0)</f>
        <v>158.2085898</v>
      </c>
      <c r="O312" s="89" t="b">
        <f t="shared" si="1"/>
        <v>1</v>
      </c>
      <c r="P312" s="89" t="b">
        <v>1</v>
      </c>
      <c r="Q312" s="89" t="s">
        <v>212</v>
      </c>
    </row>
    <row r="313" hidden="1">
      <c r="A313" s="108"/>
      <c r="B313" s="202"/>
      <c r="C313" s="202" t="str">
        <f>VLOOKUP(M313,'#verificação horas por projeto'!A:B,2,FALSE)</f>
        <v>INOV00024</v>
      </c>
      <c r="D313" s="202" t="s">
        <v>14</v>
      </c>
      <c r="E313" s="107" t="s">
        <v>126</v>
      </c>
      <c r="F313" s="211">
        <v>45446.0</v>
      </c>
      <c r="G313" s="226">
        <v>0.08333333333333333</v>
      </c>
      <c r="H313" s="107" t="s">
        <v>354</v>
      </c>
      <c r="I313" s="227" t="s">
        <v>354</v>
      </c>
      <c r="J313" s="227"/>
      <c r="K313" s="115" t="s">
        <v>565</v>
      </c>
      <c r="L313" s="228"/>
      <c r="M313" s="107" t="s">
        <v>428</v>
      </c>
      <c r="N313" s="229">
        <f>IF(AND(O313=TRUE,P313=TRUE), VLOOKUP($E313,PESSOAL!$B$35:$S$45,MONTH($F313)+6,FALSE)*G313*24,0)</f>
        <v>105.4723932</v>
      </c>
      <c r="O313" s="89" t="b">
        <f t="shared" si="1"/>
        <v>1</v>
      </c>
      <c r="P313" s="89" t="b">
        <v>1</v>
      </c>
      <c r="Q313" s="89" t="s">
        <v>212</v>
      </c>
    </row>
    <row r="314" hidden="1">
      <c r="A314" s="108"/>
      <c r="B314" s="202"/>
      <c r="C314" s="202" t="str">
        <f>VLOOKUP(M314,'#verificação horas por projeto'!A:B,2,FALSE)</f>
        <v>INOV00006</v>
      </c>
      <c r="D314" s="202" t="s">
        <v>5</v>
      </c>
      <c r="E314" s="107" t="s">
        <v>126</v>
      </c>
      <c r="F314" s="211">
        <v>45447.0</v>
      </c>
      <c r="G314" s="226">
        <v>0.125</v>
      </c>
      <c r="H314" s="107" t="s">
        <v>356</v>
      </c>
      <c r="I314" s="227" t="s">
        <v>356</v>
      </c>
      <c r="J314" s="227"/>
      <c r="K314" s="115" t="s">
        <v>563</v>
      </c>
      <c r="L314" s="228"/>
      <c r="M314" s="107" t="s">
        <v>379</v>
      </c>
      <c r="N314" s="229">
        <f>IF(AND(O314=TRUE,P314=TRUE), VLOOKUP($E314,PESSOAL!$B$35:$S$45,MONTH($F314)+6,FALSE)*G314*24,0)</f>
        <v>158.2085898</v>
      </c>
      <c r="O314" s="89" t="b">
        <f t="shared" si="1"/>
        <v>1</v>
      </c>
      <c r="P314" s="89" t="b">
        <v>1</v>
      </c>
      <c r="Q314" s="89" t="s">
        <v>212</v>
      </c>
    </row>
    <row r="315" hidden="1">
      <c r="A315" s="108"/>
      <c r="B315" s="202"/>
      <c r="C315" s="202" t="str">
        <f>VLOOKUP(M315,'#verificação horas por projeto'!A:B,2,FALSE)</f>
        <v>INOV00004</v>
      </c>
      <c r="D315" s="202" t="s">
        <v>4</v>
      </c>
      <c r="E315" s="107" t="s">
        <v>126</v>
      </c>
      <c r="F315" s="211">
        <v>45448.0</v>
      </c>
      <c r="G315" s="226">
        <v>0.16666666666666666</v>
      </c>
      <c r="H315" s="107" t="s">
        <v>356</v>
      </c>
      <c r="I315" s="227" t="s">
        <v>356</v>
      </c>
      <c r="J315" s="227"/>
      <c r="K315" s="115" t="s">
        <v>569</v>
      </c>
      <c r="L315" s="228"/>
      <c r="M315" s="107" t="s">
        <v>397</v>
      </c>
      <c r="N315" s="229">
        <f>IF(AND(O315=TRUE,P315=TRUE), VLOOKUP($E315,PESSOAL!$B$35:$S$45,MONTH($F315)+6,FALSE)*G315*24,0)</f>
        <v>210.9447865</v>
      </c>
      <c r="O315" s="89" t="b">
        <f t="shared" si="1"/>
        <v>1</v>
      </c>
      <c r="P315" s="89" t="b">
        <v>1</v>
      </c>
      <c r="Q315" s="89" t="s">
        <v>212</v>
      </c>
    </row>
    <row r="316" hidden="1">
      <c r="A316" s="108"/>
      <c r="B316" s="202"/>
      <c r="C316" s="202" t="str">
        <f>VLOOKUP(M316,'#verificação horas por projeto'!A:B,2,FALSE)</f>
        <v>INOV00004</v>
      </c>
      <c r="D316" s="202" t="s">
        <v>4</v>
      </c>
      <c r="E316" s="107" t="s">
        <v>126</v>
      </c>
      <c r="F316" s="211">
        <v>45449.0</v>
      </c>
      <c r="G316" s="226">
        <v>0.125</v>
      </c>
      <c r="H316" s="107" t="s">
        <v>356</v>
      </c>
      <c r="I316" s="227" t="s">
        <v>356</v>
      </c>
      <c r="J316" s="227"/>
      <c r="K316" s="115" t="s">
        <v>569</v>
      </c>
      <c r="L316" s="228"/>
      <c r="M316" s="107" t="s">
        <v>397</v>
      </c>
      <c r="N316" s="229">
        <f>IF(AND(O316=TRUE,P316=TRUE), VLOOKUP($E316,PESSOAL!$B$35:$S$45,MONTH($F316)+6,FALSE)*G316*24,0)</f>
        <v>158.2085898</v>
      </c>
      <c r="O316" s="89" t="b">
        <f t="shared" si="1"/>
        <v>1</v>
      </c>
      <c r="P316" s="89" t="b">
        <v>1</v>
      </c>
      <c r="Q316" s="89" t="s">
        <v>212</v>
      </c>
    </row>
    <row r="317" hidden="1">
      <c r="A317" s="108"/>
      <c r="B317" s="202"/>
      <c r="C317" s="202" t="str">
        <f>VLOOKUP(M317,'#verificação horas por projeto'!A:B,2,FALSE)</f>
        <v>INOV00024</v>
      </c>
      <c r="D317" s="202" t="s">
        <v>14</v>
      </c>
      <c r="E317" s="107" t="s">
        <v>126</v>
      </c>
      <c r="F317" s="211">
        <v>45449.0</v>
      </c>
      <c r="G317" s="226">
        <v>0.125</v>
      </c>
      <c r="H317" s="107" t="s">
        <v>354</v>
      </c>
      <c r="I317" s="227" t="s">
        <v>354</v>
      </c>
      <c r="J317" s="227"/>
      <c r="K317" s="115" t="s">
        <v>566</v>
      </c>
      <c r="L317" s="228"/>
      <c r="M317" s="107" t="s">
        <v>428</v>
      </c>
      <c r="N317" s="229">
        <f>IF(AND(O317=TRUE,P317=TRUE), VLOOKUP($E317,PESSOAL!$B$35:$S$45,MONTH($F317)+6,FALSE)*G317*24,0)</f>
        <v>158.2085898</v>
      </c>
      <c r="O317" s="89" t="b">
        <f t="shared" si="1"/>
        <v>1</v>
      </c>
      <c r="P317" s="89" t="b">
        <v>1</v>
      </c>
      <c r="Q317" s="89" t="s">
        <v>212</v>
      </c>
    </row>
    <row r="318" hidden="1">
      <c r="A318" s="108"/>
      <c r="B318" s="202"/>
      <c r="C318" s="202" t="str">
        <f>VLOOKUP(M318,'#verificação horas por projeto'!A:B,2,FALSE)</f>
        <v>INOV00024</v>
      </c>
      <c r="D318" s="202" t="s">
        <v>14</v>
      </c>
      <c r="E318" s="107" t="s">
        <v>126</v>
      </c>
      <c r="F318" s="211">
        <v>45450.0</v>
      </c>
      <c r="G318" s="226">
        <v>0.08333333333333333</v>
      </c>
      <c r="H318" s="107" t="s">
        <v>354</v>
      </c>
      <c r="I318" s="227" t="s">
        <v>354</v>
      </c>
      <c r="J318" s="227"/>
      <c r="K318" s="115" t="s">
        <v>565</v>
      </c>
      <c r="L318" s="228"/>
      <c r="M318" s="107" t="s">
        <v>428</v>
      </c>
      <c r="N318" s="229">
        <f>IF(AND(O318=TRUE,P318=TRUE), VLOOKUP($E318,PESSOAL!$B$35:$S$45,MONTH($F318)+6,FALSE)*G318*24,0)</f>
        <v>105.4723932</v>
      </c>
      <c r="O318" s="89" t="b">
        <f t="shared" si="1"/>
        <v>1</v>
      </c>
      <c r="P318" s="89" t="b">
        <v>1</v>
      </c>
      <c r="Q318" s="89" t="s">
        <v>212</v>
      </c>
    </row>
    <row r="319" hidden="1">
      <c r="A319" s="108"/>
      <c r="B319" s="202"/>
      <c r="C319" s="202" t="str">
        <f>VLOOKUP(M319,'#verificação horas por projeto'!A:B,2,FALSE)</f>
        <v>INOV00004</v>
      </c>
      <c r="D319" s="202" t="s">
        <v>4</v>
      </c>
      <c r="E319" s="107" t="s">
        <v>126</v>
      </c>
      <c r="F319" s="211">
        <v>45450.0</v>
      </c>
      <c r="G319" s="226">
        <v>0.16666666666666666</v>
      </c>
      <c r="H319" s="107" t="s">
        <v>356</v>
      </c>
      <c r="I319" s="227" t="s">
        <v>356</v>
      </c>
      <c r="J319" s="227"/>
      <c r="K319" s="115" t="s">
        <v>569</v>
      </c>
      <c r="L319" s="228"/>
      <c r="M319" s="107" t="s">
        <v>397</v>
      </c>
      <c r="N319" s="229">
        <f>IF(AND(O319=TRUE,P319=TRUE), VLOOKUP($E319,PESSOAL!$B$35:$S$45,MONTH($F319)+6,FALSE)*G319*24,0)</f>
        <v>210.9447865</v>
      </c>
      <c r="O319" s="89" t="b">
        <f t="shared" si="1"/>
        <v>1</v>
      </c>
      <c r="P319" s="89" t="b">
        <v>1</v>
      </c>
      <c r="Q319" s="89" t="s">
        <v>212</v>
      </c>
    </row>
    <row r="320" hidden="1">
      <c r="A320" s="108"/>
      <c r="B320" s="202"/>
      <c r="C320" s="202" t="str">
        <f>VLOOKUP(M320,'#verificação horas por projeto'!A:B,2,FALSE)</f>
        <v>INOV00004</v>
      </c>
      <c r="D320" s="202" t="s">
        <v>4</v>
      </c>
      <c r="E320" s="107" t="s">
        <v>126</v>
      </c>
      <c r="F320" s="211">
        <v>45453.0</v>
      </c>
      <c r="G320" s="226">
        <v>0.16666666666666666</v>
      </c>
      <c r="H320" s="107" t="s">
        <v>356</v>
      </c>
      <c r="I320" s="227" t="s">
        <v>356</v>
      </c>
      <c r="J320" s="227"/>
      <c r="K320" s="115" t="s">
        <v>569</v>
      </c>
      <c r="L320" s="228"/>
      <c r="M320" s="107" t="s">
        <v>397</v>
      </c>
      <c r="N320" s="229">
        <f>IF(AND(O320=TRUE,P320=TRUE), VLOOKUP($E320,PESSOAL!$B$35:$S$45,MONTH($F320)+6,FALSE)*G320*24,0)</f>
        <v>210.9447865</v>
      </c>
      <c r="O320" s="89" t="b">
        <f t="shared" si="1"/>
        <v>1</v>
      </c>
      <c r="P320" s="89" t="b">
        <v>1</v>
      </c>
      <c r="Q320" s="89" t="s">
        <v>212</v>
      </c>
    </row>
    <row r="321" hidden="1">
      <c r="A321" s="108"/>
      <c r="B321" s="202"/>
      <c r="C321" s="202" t="str">
        <f>VLOOKUP(M321,'#verificação horas por projeto'!A:B,2,FALSE)</f>
        <v>INOV00046</v>
      </c>
      <c r="D321" s="202" t="s">
        <v>29</v>
      </c>
      <c r="E321" s="107" t="s">
        <v>126</v>
      </c>
      <c r="F321" s="211">
        <v>45453.0</v>
      </c>
      <c r="G321" s="226">
        <v>0.125</v>
      </c>
      <c r="H321" s="107" t="s">
        <v>356</v>
      </c>
      <c r="I321" s="227" t="s">
        <v>356</v>
      </c>
      <c r="J321" s="227"/>
      <c r="K321" s="115" t="s">
        <v>424</v>
      </c>
      <c r="L321" s="228"/>
      <c r="M321" s="107" t="s">
        <v>373</v>
      </c>
      <c r="N321" s="229">
        <f>IF(AND(O321=TRUE,P321=TRUE), VLOOKUP($E321,PESSOAL!$B$35:$S$45,MONTH($F321)+6,FALSE)*G321*24,0)</f>
        <v>0</v>
      </c>
      <c r="O321" s="89" t="b">
        <f t="shared" si="1"/>
        <v>1</v>
      </c>
      <c r="P321" s="89" t="b">
        <v>0</v>
      </c>
      <c r="Q321" s="89" t="s">
        <v>212</v>
      </c>
    </row>
    <row r="322" hidden="1">
      <c r="A322" s="108"/>
      <c r="B322" s="202"/>
      <c r="C322" s="202" t="str">
        <f>VLOOKUP(M322,'#verificação horas por projeto'!A:B,2,FALSE)</f>
        <v>INOV00014</v>
      </c>
      <c r="D322" s="202" t="s">
        <v>8</v>
      </c>
      <c r="E322" s="107" t="s">
        <v>134</v>
      </c>
      <c r="F322" s="211">
        <v>45398.0</v>
      </c>
      <c r="G322" s="226">
        <v>0.4583333333333333</v>
      </c>
      <c r="H322" s="107" t="s">
        <v>356</v>
      </c>
      <c r="I322" s="227" t="s">
        <v>356</v>
      </c>
      <c r="J322" s="227"/>
      <c r="K322" s="115" t="s">
        <v>570</v>
      </c>
      <c r="L322" s="228"/>
      <c r="M322" s="107" t="s">
        <v>441</v>
      </c>
      <c r="N322" s="229">
        <f>IF(AND(O322=TRUE,P322=TRUE), VLOOKUP($E322,PESSOAL!$B$35:$S$45,MONTH($F322)+6,FALSE)*G322*24,0)</f>
        <v>1030.756315</v>
      </c>
      <c r="O322" s="89" t="b">
        <f t="shared" si="1"/>
        <v>1</v>
      </c>
      <c r="P322" s="89" t="b">
        <v>1</v>
      </c>
      <c r="Q322" s="89" t="s">
        <v>212</v>
      </c>
    </row>
    <row r="323" hidden="1">
      <c r="A323" s="108"/>
      <c r="B323" s="202"/>
      <c r="C323" s="202" t="str">
        <f>VLOOKUP(M323,'#verificação horas por projeto'!A:B,2,FALSE)</f>
        <v>INOV00041</v>
      </c>
      <c r="D323" s="202" t="s">
        <v>28</v>
      </c>
      <c r="E323" s="107" t="s">
        <v>134</v>
      </c>
      <c r="F323" s="211">
        <v>45400.0</v>
      </c>
      <c r="G323" s="226">
        <v>0.15625</v>
      </c>
      <c r="H323" s="107" t="s">
        <v>354</v>
      </c>
      <c r="I323" s="227" t="s">
        <v>354</v>
      </c>
      <c r="J323" s="227"/>
      <c r="K323" s="115" t="s">
        <v>571</v>
      </c>
      <c r="L323" s="228"/>
      <c r="M323" s="107" t="s">
        <v>408</v>
      </c>
      <c r="N323" s="229">
        <f>IF(AND(O323=TRUE,P323=TRUE), VLOOKUP($E323,PESSOAL!$B$35:$S$45,MONTH($F323)+6,FALSE)*G323*24,0)</f>
        <v>351.3941982</v>
      </c>
      <c r="O323" s="89" t="b">
        <f t="shared" si="1"/>
        <v>1</v>
      </c>
      <c r="P323" s="89" t="b">
        <v>1</v>
      </c>
      <c r="Q323" s="89" t="s">
        <v>212</v>
      </c>
    </row>
    <row r="324" hidden="1">
      <c r="A324" s="108"/>
      <c r="B324" s="202"/>
      <c r="C324" s="202" t="str">
        <f>VLOOKUP(M324,'#verificação horas por projeto'!A:B,2,FALSE)</f>
        <v>INOV00014</v>
      </c>
      <c r="D324" s="202" t="s">
        <v>8</v>
      </c>
      <c r="E324" s="107" t="s">
        <v>134</v>
      </c>
      <c r="F324" s="211">
        <v>45414.0</v>
      </c>
      <c r="G324" s="226">
        <v>0.041666666666666664</v>
      </c>
      <c r="H324" s="107" t="s">
        <v>356</v>
      </c>
      <c r="I324" s="227" t="s">
        <v>356</v>
      </c>
      <c r="J324" s="227"/>
      <c r="K324" s="115" t="s">
        <v>572</v>
      </c>
      <c r="L324" s="228"/>
      <c r="M324" s="107" t="s">
        <v>441</v>
      </c>
      <c r="N324" s="229">
        <f>IF(AND(O324=TRUE,P324=TRUE), VLOOKUP($E324,PESSOAL!$B$35:$S$45,MONTH($F324)+6,FALSE)*G324*24,0)</f>
        <v>93.70511951</v>
      </c>
      <c r="O324" s="89" t="b">
        <f t="shared" si="1"/>
        <v>1</v>
      </c>
      <c r="P324" s="89" t="b">
        <v>1</v>
      </c>
      <c r="Q324" s="89" t="s">
        <v>212</v>
      </c>
    </row>
    <row r="325" hidden="1">
      <c r="A325" s="108"/>
      <c r="B325" s="202"/>
      <c r="C325" s="202" t="str">
        <f>VLOOKUP(M325,'#verificação horas por projeto'!A:B,2,FALSE)</f>
        <v>INOV00001</v>
      </c>
      <c r="D325" s="202" t="s">
        <v>3</v>
      </c>
      <c r="E325" s="107" t="s">
        <v>134</v>
      </c>
      <c r="F325" s="211">
        <v>45433.0</v>
      </c>
      <c r="G325" s="226">
        <v>0.1875</v>
      </c>
      <c r="H325" s="107" t="s">
        <v>356</v>
      </c>
      <c r="I325" s="227" t="s">
        <v>356</v>
      </c>
      <c r="J325" s="227"/>
      <c r="K325" s="115" t="s">
        <v>573</v>
      </c>
      <c r="L325" s="228"/>
      <c r="M325" s="107" t="s">
        <v>386</v>
      </c>
      <c r="N325" s="229">
        <f>IF(AND(O325=TRUE,P325=TRUE), VLOOKUP($E325,PESSOAL!$B$35:$S$45,MONTH($F325)+6,FALSE)*G325*24,0)</f>
        <v>421.6730378</v>
      </c>
      <c r="O325" s="89" t="b">
        <f t="shared" si="1"/>
        <v>1</v>
      </c>
      <c r="P325" s="89" t="b">
        <v>1</v>
      </c>
      <c r="Q325" s="89" t="s">
        <v>212</v>
      </c>
    </row>
    <row r="326" hidden="1">
      <c r="A326" s="108"/>
      <c r="B326" s="202"/>
      <c r="C326" s="202" t="str">
        <f>VLOOKUP(M326,'#verificação horas por projeto'!A:B,2,FALSE)</f>
        <v>INOV00001</v>
      </c>
      <c r="D326" s="202" t="s">
        <v>3</v>
      </c>
      <c r="E326" s="107" t="s">
        <v>134</v>
      </c>
      <c r="F326" s="211">
        <v>45434.0</v>
      </c>
      <c r="G326" s="226">
        <v>0.4305555555555556</v>
      </c>
      <c r="H326" s="107" t="s">
        <v>356</v>
      </c>
      <c r="I326" s="227" t="s">
        <v>356</v>
      </c>
      <c r="J326" s="227"/>
      <c r="K326" s="115" t="s">
        <v>574</v>
      </c>
      <c r="L326" s="228"/>
      <c r="M326" s="107" t="s">
        <v>386</v>
      </c>
      <c r="N326" s="229">
        <f>IF(AND(O326=TRUE,P326=TRUE), VLOOKUP($E326,PESSOAL!$B$35:$S$45,MONTH($F326)+6,FALSE)*G326*24,0)</f>
        <v>968.2862349</v>
      </c>
      <c r="O326" s="89" t="b">
        <f t="shared" si="1"/>
        <v>1</v>
      </c>
      <c r="P326" s="89" t="b">
        <v>1</v>
      </c>
      <c r="Q326" s="89" t="s">
        <v>212</v>
      </c>
    </row>
    <row r="327" hidden="1">
      <c r="A327" s="108"/>
      <c r="B327" s="202"/>
      <c r="C327" s="202" t="str">
        <f>VLOOKUP(M327,'#verificação horas por projeto'!A:B,2,FALSE)</f>
        <v>INOV00001</v>
      </c>
      <c r="D327" s="202" t="s">
        <v>3</v>
      </c>
      <c r="E327" s="107" t="s">
        <v>134</v>
      </c>
      <c r="F327" s="211">
        <v>45435.0</v>
      </c>
      <c r="G327" s="226">
        <v>0.4305555555555556</v>
      </c>
      <c r="H327" s="107" t="s">
        <v>356</v>
      </c>
      <c r="I327" s="227" t="s">
        <v>356</v>
      </c>
      <c r="J327" s="227"/>
      <c r="K327" s="115" t="s">
        <v>574</v>
      </c>
      <c r="L327" s="228"/>
      <c r="M327" s="107" t="s">
        <v>386</v>
      </c>
      <c r="N327" s="229">
        <f>IF(AND(O327=TRUE,P327=TRUE), VLOOKUP($E327,PESSOAL!$B$35:$S$45,MONTH($F327)+6,FALSE)*G327*24,0)</f>
        <v>968.2862349</v>
      </c>
      <c r="O327" s="89" t="b">
        <f t="shared" si="1"/>
        <v>1</v>
      </c>
      <c r="P327" s="89" t="b">
        <v>1</v>
      </c>
      <c r="Q327" s="89" t="s">
        <v>212</v>
      </c>
    </row>
    <row r="328" hidden="1">
      <c r="A328" s="108"/>
      <c r="B328" s="202"/>
      <c r="C328" s="202" t="str">
        <f>VLOOKUP(M328,'#verificação horas por projeto'!A:B,2,FALSE)</f>
        <v>INOV00001</v>
      </c>
      <c r="D328" s="202" t="s">
        <v>3</v>
      </c>
      <c r="E328" s="107" t="s">
        <v>134</v>
      </c>
      <c r="F328" s="211">
        <v>45436.0</v>
      </c>
      <c r="G328" s="226">
        <v>0.3277777777777778</v>
      </c>
      <c r="H328" s="107" t="s">
        <v>356</v>
      </c>
      <c r="I328" s="227" t="s">
        <v>356</v>
      </c>
      <c r="J328" s="227"/>
      <c r="K328" s="115" t="s">
        <v>573</v>
      </c>
      <c r="L328" s="228"/>
      <c r="M328" s="107" t="s">
        <v>386</v>
      </c>
      <c r="N328" s="229">
        <f>IF(AND(O328=TRUE,P328=TRUE), VLOOKUP($E328,PESSOAL!$B$35:$S$45,MONTH($F328)+6,FALSE)*G328*24,0)</f>
        <v>737.1469401</v>
      </c>
      <c r="O328" s="89" t="b">
        <f t="shared" si="1"/>
        <v>1</v>
      </c>
      <c r="P328" s="89" t="b">
        <v>1</v>
      </c>
      <c r="Q328" s="89" t="s">
        <v>212</v>
      </c>
    </row>
    <row r="329" hidden="1">
      <c r="A329" s="108"/>
      <c r="B329" s="202"/>
      <c r="C329" s="202" t="str">
        <f>VLOOKUP(M329,'#verificação horas por projeto'!A:B,2,FALSE)</f>
        <v>INOV00014</v>
      </c>
      <c r="D329" s="202" t="s">
        <v>8</v>
      </c>
      <c r="E329" s="107" t="s">
        <v>134</v>
      </c>
      <c r="F329" s="211">
        <v>45457.0</v>
      </c>
      <c r="G329" s="226">
        <v>0.375</v>
      </c>
      <c r="H329" s="107" t="s">
        <v>356</v>
      </c>
      <c r="I329" s="227" t="s">
        <v>356</v>
      </c>
      <c r="J329" s="227"/>
      <c r="K329" s="115" t="s">
        <v>575</v>
      </c>
      <c r="L329" s="228"/>
      <c r="M329" s="107" t="s">
        <v>441</v>
      </c>
      <c r="N329" s="229">
        <f>IF(AND(O329=TRUE,P329=TRUE), VLOOKUP($E329,PESSOAL!$B$35:$S$45,MONTH($F329)+6,FALSE)*G329*24,0)</f>
        <v>927.6806831</v>
      </c>
      <c r="O329" s="89" t="b">
        <f t="shared" si="1"/>
        <v>1</v>
      </c>
      <c r="P329" s="89" t="b">
        <v>1</v>
      </c>
      <c r="Q329" s="89" t="s">
        <v>212</v>
      </c>
    </row>
    <row r="330" hidden="1">
      <c r="A330" s="108"/>
      <c r="B330" s="202"/>
      <c r="C330" s="202" t="str">
        <f>VLOOKUP(M330,'#verificação horas por projeto'!A:B,2,FALSE)</f>
        <v>INOV00014</v>
      </c>
      <c r="D330" s="202" t="s">
        <v>8</v>
      </c>
      <c r="E330" s="107" t="s">
        <v>134</v>
      </c>
      <c r="F330" s="211">
        <v>45463.0</v>
      </c>
      <c r="G330" s="226">
        <v>0.041666666666666664</v>
      </c>
      <c r="H330" s="107" t="s">
        <v>356</v>
      </c>
      <c r="I330" s="227" t="s">
        <v>356</v>
      </c>
      <c r="J330" s="227"/>
      <c r="K330" s="115" t="s">
        <v>576</v>
      </c>
      <c r="L330" s="228"/>
      <c r="M330" s="107" t="s">
        <v>441</v>
      </c>
      <c r="N330" s="229">
        <f>IF(AND(O330=TRUE,P330=TRUE), VLOOKUP($E330,PESSOAL!$B$35:$S$45,MONTH($F330)+6,FALSE)*G330*24,0)</f>
        <v>103.0756315</v>
      </c>
      <c r="O330" s="89" t="b">
        <f t="shared" si="1"/>
        <v>1</v>
      </c>
      <c r="P330" s="89" t="b">
        <v>1</v>
      </c>
      <c r="Q330" s="89" t="s">
        <v>212</v>
      </c>
    </row>
    <row r="331" hidden="1">
      <c r="A331" s="108"/>
      <c r="B331" s="202"/>
      <c r="C331" s="202" t="str">
        <f>VLOOKUP(M331,'#verificação horas por projeto'!A:B,2,FALSE)</f>
        <v>INOV00001</v>
      </c>
      <c r="D331" s="202" t="s">
        <v>3</v>
      </c>
      <c r="E331" s="107" t="s">
        <v>134</v>
      </c>
      <c r="F331" s="211">
        <v>45467.0</v>
      </c>
      <c r="G331" s="226">
        <v>0.3125</v>
      </c>
      <c r="H331" s="107" t="s">
        <v>356</v>
      </c>
      <c r="I331" s="227" t="s">
        <v>356</v>
      </c>
      <c r="J331" s="227"/>
      <c r="K331" s="115" t="s">
        <v>577</v>
      </c>
      <c r="L331" s="228"/>
      <c r="M331" s="107" t="s">
        <v>386</v>
      </c>
      <c r="N331" s="229">
        <f>IF(AND(O331=TRUE,P331=TRUE), VLOOKUP($E331,PESSOAL!$B$35:$S$45,MONTH($F331)+6,FALSE)*G331*24,0)</f>
        <v>773.0672359</v>
      </c>
      <c r="O331" s="89" t="b">
        <f t="shared" si="1"/>
        <v>1</v>
      </c>
      <c r="P331" s="89" t="b">
        <v>1</v>
      </c>
      <c r="Q331" s="89" t="s">
        <v>212</v>
      </c>
    </row>
    <row r="332" hidden="1">
      <c r="A332" s="108"/>
      <c r="B332" s="202"/>
      <c r="C332" s="202" t="str">
        <f>VLOOKUP(M332,'#verificação horas por projeto'!A:B,2,FALSE)</f>
        <v>INOV00001</v>
      </c>
      <c r="D332" s="202" t="s">
        <v>3</v>
      </c>
      <c r="E332" s="107" t="s">
        <v>134</v>
      </c>
      <c r="F332" s="211">
        <v>45468.0</v>
      </c>
      <c r="G332" s="226">
        <v>0.3333333333333333</v>
      </c>
      <c r="H332" s="107" t="s">
        <v>356</v>
      </c>
      <c r="I332" s="227" t="s">
        <v>356</v>
      </c>
      <c r="J332" s="227"/>
      <c r="K332" s="115" t="s">
        <v>578</v>
      </c>
      <c r="L332" s="228"/>
      <c r="M332" s="107" t="s">
        <v>386</v>
      </c>
      <c r="N332" s="229">
        <f>IF(AND(O332=TRUE,P332=TRUE), VLOOKUP($E332,PESSOAL!$B$35:$S$45,MONTH($F332)+6,FALSE)*G332*24,0)</f>
        <v>824.6050517</v>
      </c>
      <c r="O332" s="89" t="b">
        <f t="shared" si="1"/>
        <v>1</v>
      </c>
      <c r="P332" s="89" t="b">
        <v>1</v>
      </c>
      <c r="Q332" s="89" t="s">
        <v>212</v>
      </c>
    </row>
    <row r="333" hidden="1">
      <c r="A333" s="108"/>
      <c r="B333" s="202"/>
      <c r="C333" s="202" t="str">
        <f>VLOOKUP(M333,'#verificação horas por projeto'!A:B,2,FALSE)</f>
        <v>INOV00001</v>
      </c>
      <c r="D333" s="202" t="s">
        <v>3</v>
      </c>
      <c r="E333" s="107" t="s">
        <v>134</v>
      </c>
      <c r="F333" s="211">
        <v>45468.0</v>
      </c>
      <c r="G333" s="226">
        <v>0.20833333333333334</v>
      </c>
      <c r="H333" s="107" t="s">
        <v>356</v>
      </c>
      <c r="I333" s="227" t="s">
        <v>356</v>
      </c>
      <c r="J333" s="227"/>
      <c r="K333" s="115" t="s">
        <v>579</v>
      </c>
      <c r="L333" s="228"/>
      <c r="M333" s="107" t="s">
        <v>386</v>
      </c>
      <c r="N333" s="229">
        <f>IF(AND(O333=TRUE,P333=TRUE), VLOOKUP($E333,PESSOAL!$B$35:$S$45,MONTH($F333)+6,FALSE)*G333*24,0)</f>
        <v>515.3781573</v>
      </c>
      <c r="O333" s="89" t="b">
        <f t="shared" si="1"/>
        <v>1</v>
      </c>
      <c r="P333" s="89" t="b">
        <v>1</v>
      </c>
      <c r="Q333" s="89" t="s">
        <v>212</v>
      </c>
    </row>
    <row r="334" hidden="1">
      <c r="A334" s="108"/>
      <c r="B334" s="202"/>
      <c r="C334" s="202" t="str">
        <f>VLOOKUP(M334,'#verificação horas por projeto'!A:B,2,FALSE)</f>
        <v>INOV00001</v>
      </c>
      <c r="D334" s="202" t="s">
        <v>3</v>
      </c>
      <c r="E334" s="107" t="s">
        <v>134</v>
      </c>
      <c r="F334" s="211">
        <v>45469.0</v>
      </c>
      <c r="G334" s="226">
        <v>0.3333333333333333</v>
      </c>
      <c r="H334" s="107" t="s">
        <v>356</v>
      </c>
      <c r="I334" s="227" t="s">
        <v>356</v>
      </c>
      <c r="J334" s="227"/>
      <c r="K334" s="115" t="s">
        <v>580</v>
      </c>
      <c r="L334" s="228"/>
      <c r="M334" s="107" t="s">
        <v>386</v>
      </c>
      <c r="N334" s="229">
        <f>IF(AND(O334=TRUE,P334=TRUE), VLOOKUP($E334,PESSOAL!$B$35:$S$45,MONTH($F334)+6,FALSE)*G334*24,0)</f>
        <v>824.6050517</v>
      </c>
      <c r="O334" s="89" t="b">
        <f t="shared" si="1"/>
        <v>1</v>
      </c>
      <c r="P334" s="89" t="b">
        <v>1</v>
      </c>
      <c r="Q334" s="89" t="s">
        <v>212</v>
      </c>
    </row>
    <row r="335" hidden="1">
      <c r="A335" s="108"/>
      <c r="B335" s="202"/>
      <c r="C335" s="202" t="str">
        <f>VLOOKUP(M335,'#verificação horas por projeto'!A:B,2,FALSE)</f>
        <v>INOV00001</v>
      </c>
      <c r="D335" s="202" t="s">
        <v>3</v>
      </c>
      <c r="E335" s="107" t="s">
        <v>134</v>
      </c>
      <c r="F335" s="211">
        <v>45469.0</v>
      </c>
      <c r="G335" s="226">
        <v>0.20833333333333334</v>
      </c>
      <c r="H335" s="107" t="s">
        <v>356</v>
      </c>
      <c r="I335" s="227" t="s">
        <v>356</v>
      </c>
      <c r="J335" s="227"/>
      <c r="K335" s="115" t="s">
        <v>581</v>
      </c>
      <c r="L335" s="228"/>
      <c r="M335" s="107" t="s">
        <v>386</v>
      </c>
      <c r="N335" s="229">
        <f>IF(AND(O335=TRUE,P335=TRUE), VLOOKUP($E335,PESSOAL!$B$35:$S$45,MONTH($F335)+6,FALSE)*G335*24,0)</f>
        <v>515.3781573</v>
      </c>
      <c r="O335" s="89" t="b">
        <f t="shared" si="1"/>
        <v>1</v>
      </c>
      <c r="P335" s="89" t="b">
        <v>1</v>
      </c>
      <c r="Q335" s="89" t="s">
        <v>212</v>
      </c>
    </row>
    <row r="336" hidden="1">
      <c r="A336" s="108"/>
      <c r="B336" s="202"/>
      <c r="C336" s="202" t="str">
        <f>VLOOKUP(M336,'#verificação horas por projeto'!A:B,2,FALSE)</f>
        <v>INOV00001</v>
      </c>
      <c r="D336" s="202" t="s">
        <v>3</v>
      </c>
      <c r="E336" s="107" t="s">
        <v>134</v>
      </c>
      <c r="F336" s="211">
        <v>45470.0</v>
      </c>
      <c r="G336" s="226">
        <v>0.3333333333333333</v>
      </c>
      <c r="H336" s="107" t="s">
        <v>356</v>
      </c>
      <c r="I336" s="227" t="s">
        <v>356</v>
      </c>
      <c r="J336" s="227"/>
      <c r="K336" s="115" t="s">
        <v>580</v>
      </c>
      <c r="L336" s="228"/>
      <c r="M336" s="107" t="s">
        <v>386</v>
      </c>
      <c r="N336" s="229">
        <f>IF(AND(O336=TRUE,P336=TRUE), VLOOKUP($E336,PESSOAL!$B$35:$S$45,MONTH($F336)+6,FALSE)*G336*24,0)</f>
        <v>824.6050517</v>
      </c>
      <c r="O336" s="89" t="b">
        <f t="shared" si="1"/>
        <v>1</v>
      </c>
      <c r="P336" s="89" t="b">
        <v>1</v>
      </c>
      <c r="Q336" s="89" t="s">
        <v>212</v>
      </c>
    </row>
    <row r="337" hidden="1">
      <c r="A337" s="108"/>
      <c r="B337" s="202"/>
      <c r="C337" s="202" t="str">
        <f>VLOOKUP(M337,'#verificação horas por projeto'!A:B,2,FALSE)</f>
        <v>INOV00001</v>
      </c>
      <c r="D337" s="202" t="s">
        <v>3</v>
      </c>
      <c r="E337" s="107" t="s">
        <v>134</v>
      </c>
      <c r="F337" s="211">
        <v>45470.0</v>
      </c>
      <c r="G337" s="226">
        <v>0.2708333333333333</v>
      </c>
      <c r="H337" s="107" t="s">
        <v>356</v>
      </c>
      <c r="I337" s="227" t="s">
        <v>356</v>
      </c>
      <c r="J337" s="227"/>
      <c r="K337" s="115" t="s">
        <v>581</v>
      </c>
      <c r="L337" s="228"/>
      <c r="M337" s="107" t="s">
        <v>386</v>
      </c>
      <c r="N337" s="229">
        <f>IF(AND(O337=TRUE,P337=TRUE), VLOOKUP($E337,PESSOAL!$B$35:$S$45,MONTH($F337)+6,FALSE)*G337*24,0)</f>
        <v>669.9916045</v>
      </c>
      <c r="O337" s="89" t="b">
        <f t="shared" si="1"/>
        <v>1</v>
      </c>
      <c r="P337" s="89" t="b">
        <v>1</v>
      </c>
      <c r="Q337" s="89" t="s">
        <v>212</v>
      </c>
    </row>
    <row r="338" hidden="1">
      <c r="A338" s="108"/>
      <c r="B338" s="202"/>
      <c r="C338" s="202" t="str">
        <f>VLOOKUP(M338,'#verificação horas por projeto'!A:B,2,FALSE)</f>
        <v>INOV00001</v>
      </c>
      <c r="D338" s="202" t="s">
        <v>3</v>
      </c>
      <c r="E338" s="107" t="s">
        <v>134</v>
      </c>
      <c r="F338" s="211">
        <v>45471.0</v>
      </c>
      <c r="G338" s="226">
        <v>0.23958333333333334</v>
      </c>
      <c r="H338" s="107" t="s">
        <v>356</v>
      </c>
      <c r="I338" s="227" t="s">
        <v>356</v>
      </c>
      <c r="J338" s="227"/>
      <c r="K338" s="115" t="s">
        <v>582</v>
      </c>
      <c r="L338" s="228"/>
      <c r="M338" s="107" t="s">
        <v>386</v>
      </c>
      <c r="N338" s="229">
        <f>IF(AND(O338=TRUE,P338=TRUE), VLOOKUP($E338,PESSOAL!$B$35:$S$45,MONTH($F338)+6,FALSE)*G338*24,0)</f>
        <v>592.6848809</v>
      </c>
      <c r="O338" s="89" t="b">
        <f t="shared" si="1"/>
        <v>1</v>
      </c>
      <c r="P338" s="89" t="b">
        <v>1</v>
      </c>
      <c r="Q338" s="89" t="s">
        <v>212</v>
      </c>
    </row>
    <row r="339" hidden="1">
      <c r="A339" s="108"/>
      <c r="B339" s="202"/>
      <c r="C339" s="202" t="str">
        <f>VLOOKUP(M339,'#verificação horas por projeto'!A:B,2,FALSE)</f>
        <v>INOV00001</v>
      </c>
      <c r="D339" s="202" t="s">
        <v>3</v>
      </c>
      <c r="E339" s="107" t="s">
        <v>145</v>
      </c>
      <c r="F339" s="211">
        <v>45383.0</v>
      </c>
      <c r="G339" s="226">
        <v>0.10416666666666667</v>
      </c>
      <c r="H339" s="107" t="s">
        <v>356</v>
      </c>
      <c r="I339" s="227" t="s">
        <v>356</v>
      </c>
      <c r="J339" s="227"/>
      <c r="K339" s="115" t="s">
        <v>424</v>
      </c>
      <c r="L339" s="228"/>
      <c r="M339" s="107" t="s">
        <v>386</v>
      </c>
      <c r="N339" s="229">
        <f>IF(AND(O339=TRUE,P339=TRUE), VLOOKUP($E339,PESSOAL!$B$35:$S$45,MONTH($F339)+6,FALSE)*G339*24,0)</f>
        <v>99.76184257</v>
      </c>
      <c r="O339" s="89" t="b">
        <f t="shared" si="1"/>
        <v>1</v>
      </c>
      <c r="P339" s="89" t="b">
        <v>1</v>
      </c>
      <c r="Q339" s="89" t="s">
        <v>212</v>
      </c>
    </row>
    <row r="340" hidden="1">
      <c r="A340" s="108"/>
      <c r="B340" s="202"/>
      <c r="C340" s="202" t="str">
        <f>VLOOKUP(M340,'#verificação horas por projeto'!A:B,2,FALSE)</f>
        <v>INOV00001</v>
      </c>
      <c r="D340" s="202" t="s">
        <v>3</v>
      </c>
      <c r="E340" s="107" t="s">
        <v>145</v>
      </c>
      <c r="F340" s="211">
        <v>45384.0</v>
      </c>
      <c r="G340" s="226">
        <v>0.08333333333333333</v>
      </c>
      <c r="H340" s="107" t="s">
        <v>356</v>
      </c>
      <c r="I340" s="227" t="s">
        <v>356</v>
      </c>
      <c r="J340" s="227"/>
      <c r="K340" s="115" t="s">
        <v>424</v>
      </c>
      <c r="L340" s="228"/>
      <c r="M340" s="107" t="s">
        <v>386</v>
      </c>
      <c r="N340" s="229">
        <f>IF(AND(O340=TRUE,P340=TRUE), VLOOKUP($E340,PESSOAL!$B$35:$S$45,MONTH($F340)+6,FALSE)*G340*24,0)</f>
        <v>79.80947405</v>
      </c>
      <c r="O340" s="89" t="b">
        <f t="shared" si="1"/>
        <v>1</v>
      </c>
      <c r="P340" s="89" t="b">
        <v>1</v>
      </c>
      <c r="Q340" s="89" t="s">
        <v>212</v>
      </c>
    </row>
    <row r="341" hidden="1">
      <c r="A341" s="108"/>
      <c r="B341" s="202"/>
      <c r="C341" s="202" t="str">
        <f>VLOOKUP(M341,'#verificação horas por projeto'!A:B,2,FALSE)</f>
        <v>#N/A</v>
      </c>
      <c r="D341" s="202" t="s">
        <v>36</v>
      </c>
      <c r="E341" s="107" t="s">
        <v>145</v>
      </c>
      <c r="F341" s="211">
        <v>45386.0</v>
      </c>
      <c r="G341" s="226">
        <v>0.25</v>
      </c>
      <c r="H341" s="107" t="s">
        <v>354</v>
      </c>
      <c r="I341" s="227" t="s">
        <v>354</v>
      </c>
      <c r="J341" s="227"/>
      <c r="K341" s="115" t="s">
        <v>583</v>
      </c>
      <c r="L341" s="228"/>
      <c r="M341" s="107" t="s">
        <v>514</v>
      </c>
      <c r="N341" s="229">
        <f>IF(AND(O341=TRUE,P341=TRUE), VLOOKUP($E341,PESSOAL!$B$35:$S$45,MONTH($F341)+6,FALSE)*G341*24,0)</f>
        <v>0</v>
      </c>
      <c r="O341" s="89" t="b">
        <f t="shared" si="1"/>
        <v>1</v>
      </c>
      <c r="P341" s="89" t="b">
        <v>0</v>
      </c>
      <c r="Q341" s="89" t="s">
        <v>212</v>
      </c>
    </row>
    <row r="342" hidden="1">
      <c r="A342" s="108"/>
      <c r="B342" s="202"/>
      <c r="C342" s="202" t="str">
        <f>VLOOKUP(M342,'#verificação horas por projeto'!A:B,2,FALSE)</f>
        <v>INOV00024</v>
      </c>
      <c r="D342" s="202" t="s">
        <v>14</v>
      </c>
      <c r="E342" s="107" t="s">
        <v>145</v>
      </c>
      <c r="F342" s="211">
        <v>45386.0</v>
      </c>
      <c r="G342" s="226">
        <v>0.041666666666666664</v>
      </c>
      <c r="H342" s="107" t="s">
        <v>354</v>
      </c>
      <c r="I342" s="227" t="s">
        <v>354</v>
      </c>
      <c r="J342" s="227"/>
      <c r="K342" s="115" t="s">
        <v>461</v>
      </c>
      <c r="L342" s="228"/>
      <c r="M342" s="107" t="s">
        <v>428</v>
      </c>
      <c r="N342" s="229">
        <f>IF(AND(O342=TRUE,P342=TRUE), VLOOKUP($E342,PESSOAL!$B$35:$S$45,MONTH($F342)+6,FALSE)*G342*24,0)</f>
        <v>39.90473703</v>
      </c>
      <c r="O342" s="89" t="b">
        <f t="shared" si="1"/>
        <v>1</v>
      </c>
      <c r="P342" s="89" t="b">
        <v>1</v>
      </c>
      <c r="Q342" s="89" t="s">
        <v>212</v>
      </c>
    </row>
    <row r="343" hidden="1">
      <c r="A343" s="108"/>
      <c r="B343" s="202"/>
      <c r="C343" s="202" t="str">
        <f>VLOOKUP(M343,'#verificação horas por projeto'!A:B,2,FALSE)</f>
        <v>INOV00047</v>
      </c>
      <c r="D343" s="202" t="s">
        <v>32</v>
      </c>
      <c r="E343" s="107" t="s">
        <v>145</v>
      </c>
      <c r="F343" s="211">
        <v>45391.0</v>
      </c>
      <c r="G343" s="226">
        <v>0.2916666666666667</v>
      </c>
      <c r="H343" s="107" t="s">
        <v>354</v>
      </c>
      <c r="I343" s="227" t="s">
        <v>354</v>
      </c>
      <c r="J343" s="227"/>
      <c r="K343" s="115" t="s">
        <v>563</v>
      </c>
      <c r="L343" s="228"/>
      <c r="M343" s="107" t="s">
        <v>584</v>
      </c>
      <c r="N343" s="229">
        <f>IF(AND(O343=TRUE,P343=TRUE), VLOOKUP($E343,PESSOAL!$B$35:$S$45,MONTH($F343)+6,FALSE)*G343*24,0)</f>
        <v>0</v>
      </c>
      <c r="O343" s="89" t="b">
        <f t="shared" si="1"/>
        <v>1</v>
      </c>
      <c r="P343" s="89" t="b">
        <v>0</v>
      </c>
      <c r="Q343" s="89" t="s">
        <v>212</v>
      </c>
    </row>
    <row r="344" hidden="1">
      <c r="A344" s="108"/>
      <c r="B344" s="202"/>
      <c r="C344" s="202" t="str">
        <f>VLOOKUP(M344,'#verificação horas por projeto'!A:B,2,FALSE)</f>
        <v>INOV00024</v>
      </c>
      <c r="D344" s="202" t="s">
        <v>14</v>
      </c>
      <c r="E344" s="107" t="s">
        <v>145</v>
      </c>
      <c r="F344" s="211">
        <v>45390.0</v>
      </c>
      <c r="G344" s="226">
        <v>0.08333333333333333</v>
      </c>
      <c r="H344" s="107" t="s">
        <v>354</v>
      </c>
      <c r="I344" s="227" t="s">
        <v>354</v>
      </c>
      <c r="J344" s="227"/>
      <c r="K344" s="115" t="s">
        <v>585</v>
      </c>
      <c r="L344" s="228"/>
      <c r="M344" s="107" t="s">
        <v>428</v>
      </c>
      <c r="N344" s="229">
        <f>IF(AND(O344=TRUE,P344=TRUE), VLOOKUP($E344,PESSOAL!$B$35:$S$45,MONTH($F344)+6,FALSE)*G344*24,0)</f>
        <v>79.80947405</v>
      </c>
      <c r="O344" s="89" t="b">
        <f t="shared" si="1"/>
        <v>1</v>
      </c>
      <c r="P344" s="89" t="b">
        <v>1</v>
      </c>
      <c r="Q344" s="89" t="s">
        <v>212</v>
      </c>
    </row>
    <row r="345" hidden="1">
      <c r="A345" s="108"/>
      <c r="B345" s="202"/>
      <c r="C345" s="202" t="str">
        <f>VLOOKUP(M345,'#verificação horas por projeto'!A:B,2,FALSE)</f>
        <v>INOV00020</v>
      </c>
      <c r="D345" s="202" t="s">
        <v>11</v>
      </c>
      <c r="E345" s="107" t="s">
        <v>145</v>
      </c>
      <c r="F345" s="211">
        <v>45393.0</v>
      </c>
      <c r="G345" s="226">
        <v>0.0625</v>
      </c>
      <c r="H345" s="107" t="s">
        <v>356</v>
      </c>
      <c r="I345" s="227" t="s">
        <v>356</v>
      </c>
      <c r="J345" s="227"/>
      <c r="K345" s="115" t="s">
        <v>586</v>
      </c>
      <c r="L345" s="228"/>
      <c r="M345" s="107" t="s">
        <v>457</v>
      </c>
      <c r="N345" s="229">
        <f>IF(AND(O345=TRUE,P345=TRUE), VLOOKUP($E345,PESSOAL!$B$35:$S$45,MONTH($F345)+6,FALSE)*G345*24,0)</f>
        <v>0</v>
      </c>
      <c r="O345" s="89" t="b">
        <f t="shared" si="1"/>
        <v>1</v>
      </c>
      <c r="P345" s="89" t="b">
        <v>0</v>
      </c>
      <c r="Q345" s="89" t="s">
        <v>212</v>
      </c>
    </row>
    <row r="346" hidden="1">
      <c r="A346" s="108"/>
      <c r="B346" s="202"/>
      <c r="C346" s="202" t="str">
        <f>VLOOKUP(M346,'#verificação horas por projeto'!A:B,2,FALSE)</f>
        <v>INOV00024</v>
      </c>
      <c r="D346" s="202" t="s">
        <v>14</v>
      </c>
      <c r="E346" s="107" t="s">
        <v>145</v>
      </c>
      <c r="F346" s="211">
        <v>45393.0</v>
      </c>
      <c r="G346" s="226">
        <v>0.041666666666666664</v>
      </c>
      <c r="H346" s="107" t="s">
        <v>354</v>
      </c>
      <c r="I346" s="227" t="s">
        <v>354</v>
      </c>
      <c r="J346" s="227"/>
      <c r="K346" s="115" t="s">
        <v>585</v>
      </c>
      <c r="L346" s="228"/>
      <c r="M346" s="107" t="s">
        <v>428</v>
      </c>
      <c r="N346" s="229">
        <f>IF(AND(O346=TRUE,P346=TRUE), VLOOKUP($E346,PESSOAL!$B$35:$S$45,MONTH($F346)+6,FALSE)*G346*24,0)</f>
        <v>39.90473703</v>
      </c>
      <c r="O346" s="89" t="b">
        <f t="shared" si="1"/>
        <v>1</v>
      </c>
      <c r="P346" s="89" t="b">
        <v>1</v>
      </c>
      <c r="Q346" s="89" t="s">
        <v>212</v>
      </c>
    </row>
    <row r="347" hidden="1">
      <c r="A347" s="108"/>
      <c r="B347" s="202"/>
      <c r="C347" s="202" t="str">
        <f>VLOOKUP(M347,'#verificação horas por projeto'!A:B,2,FALSE)</f>
        <v>INOV00048</v>
      </c>
      <c r="D347" s="202" t="s">
        <v>34</v>
      </c>
      <c r="E347" s="107" t="s">
        <v>145</v>
      </c>
      <c r="F347" s="211">
        <v>45394.0</v>
      </c>
      <c r="G347" s="226">
        <v>0.08333333333333333</v>
      </c>
      <c r="H347" s="107" t="s">
        <v>356</v>
      </c>
      <c r="I347" s="227" t="s">
        <v>356</v>
      </c>
      <c r="J347" s="227"/>
      <c r="K347" s="115" t="s">
        <v>424</v>
      </c>
      <c r="L347" s="228"/>
      <c r="M347" s="107" t="s">
        <v>587</v>
      </c>
      <c r="N347" s="229">
        <f>IF(AND(O347=TRUE,P347=TRUE), VLOOKUP($E347,PESSOAL!$B$35:$S$45,MONTH($F347)+6,FALSE)*G347*24,0)</f>
        <v>0</v>
      </c>
      <c r="O347" s="89" t="b">
        <f t="shared" si="1"/>
        <v>1</v>
      </c>
      <c r="P347" s="89" t="b">
        <v>0</v>
      </c>
      <c r="Q347" s="89" t="s">
        <v>212</v>
      </c>
    </row>
    <row r="348" hidden="1">
      <c r="A348" s="108"/>
      <c r="B348" s="202"/>
      <c r="C348" s="202" t="str">
        <f>VLOOKUP(M348,'#verificação horas por projeto'!A:B,2,FALSE)</f>
        <v>#N/A</v>
      </c>
      <c r="D348" s="202" t="s">
        <v>36</v>
      </c>
      <c r="E348" s="107" t="s">
        <v>145</v>
      </c>
      <c r="F348" s="211">
        <v>45397.0</v>
      </c>
      <c r="G348" s="226">
        <v>0.0625</v>
      </c>
      <c r="H348" s="107" t="s">
        <v>354</v>
      </c>
      <c r="I348" s="227" t="s">
        <v>354</v>
      </c>
      <c r="J348" s="227"/>
      <c r="K348" s="115" t="s">
        <v>588</v>
      </c>
      <c r="L348" s="228"/>
      <c r="M348" s="107" t="s">
        <v>514</v>
      </c>
      <c r="N348" s="229">
        <f>IF(AND(O348=TRUE,P348=TRUE), VLOOKUP($E348,PESSOAL!$B$35:$S$45,MONTH($F348)+6,FALSE)*G348*24,0)</f>
        <v>0</v>
      </c>
      <c r="O348" s="89" t="b">
        <f t="shared" si="1"/>
        <v>1</v>
      </c>
      <c r="P348" s="89" t="b">
        <v>0</v>
      </c>
      <c r="Q348" s="89" t="s">
        <v>212</v>
      </c>
    </row>
    <row r="349" hidden="1">
      <c r="A349" s="108"/>
      <c r="B349" s="202"/>
      <c r="C349" s="202" t="str">
        <f>VLOOKUP(M349,'#verificação horas por projeto'!A:B,2,FALSE)</f>
        <v>#N/A</v>
      </c>
      <c r="D349" s="202" t="s">
        <v>37</v>
      </c>
      <c r="E349" s="107" t="s">
        <v>145</v>
      </c>
      <c r="F349" s="211">
        <v>45398.0</v>
      </c>
      <c r="G349" s="226">
        <v>0.08333333333333333</v>
      </c>
      <c r="H349" s="107" t="s">
        <v>354</v>
      </c>
      <c r="I349" s="227" t="s">
        <v>354</v>
      </c>
      <c r="J349" s="227"/>
      <c r="K349" s="115" t="s">
        <v>589</v>
      </c>
      <c r="L349" s="228"/>
      <c r="M349" s="107" t="s">
        <v>515</v>
      </c>
      <c r="N349" s="229">
        <f>IF(AND(O349=TRUE,P349=TRUE), VLOOKUP($E349,PESSOAL!$B$35:$S$45,MONTH($F349)+6,FALSE)*G349*24,0)</f>
        <v>0</v>
      </c>
      <c r="O349" s="89" t="b">
        <f t="shared" si="1"/>
        <v>1</v>
      </c>
      <c r="P349" s="89" t="b">
        <v>0</v>
      </c>
      <c r="Q349" s="89" t="s">
        <v>212</v>
      </c>
    </row>
    <row r="350" hidden="1">
      <c r="A350" s="108"/>
      <c r="B350" s="202"/>
      <c r="C350" s="202" t="str">
        <f>VLOOKUP(M350,'#verificação horas por projeto'!A:B,2,FALSE)</f>
        <v>INOV00047</v>
      </c>
      <c r="D350" s="202" t="s">
        <v>32</v>
      </c>
      <c r="E350" s="107" t="s">
        <v>145</v>
      </c>
      <c r="F350" s="211">
        <v>45399.0</v>
      </c>
      <c r="G350" s="226">
        <v>0.22916666666666666</v>
      </c>
      <c r="H350" s="107" t="s">
        <v>356</v>
      </c>
      <c r="I350" s="227" t="s">
        <v>356</v>
      </c>
      <c r="J350" s="227"/>
      <c r="K350" s="115" t="s">
        <v>590</v>
      </c>
      <c r="L350" s="228"/>
      <c r="M350" s="107" t="s">
        <v>584</v>
      </c>
      <c r="N350" s="229">
        <f>IF(AND(O350=TRUE,P350=TRUE), VLOOKUP($E350,PESSOAL!$B$35:$S$45,MONTH($F350)+6,FALSE)*G350*24,0)</f>
        <v>0</v>
      </c>
      <c r="O350" s="89" t="b">
        <f t="shared" si="1"/>
        <v>1</v>
      </c>
      <c r="P350" s="89" t="b">
        <v>0</v>
      </c>
      <c r="Q350" s="89" t="s">
        <v>212</v>
      </c>
    </row>
    <row r="351" hidden="1">
      <c r="A351" s="108"/>
      <c r="B351" s="202"/>
      <c r="C351" s="202" t="str">
        <f>VLOOKUP(M351,'#verificação horas por projeto'!A:B,2,FALSE)</f>
        <v>INOV00047</v>
      </c>
      <c r="D351" s="202" t="s">
        <v>32</v>
      </c>
      <c r="E351" s="107" t="s">
        <v>145</v>
      </c>
      <c r="F351" s="211">
        <v>45404.0</v>
      </c>
      <c r="G351" s="226">
        <v>0.14583333333333334</v>
      </c>
      <c r="H351" s="107" t="s">
        <v>356</v>
      </c>
      <c r="I351" s="227" t="s">
        <v>356</v>
      </c>
      <c r="J351" s="227"/>
      <c r="K351" s="115" t="s">
        <v>590</v>
      </c>
      <c r="L351" s="228"/>
      <c r="M351" s="107" t="s">
        <v>584</v>
      </c>
      <c r="N351" s="229">
        <f>IF(AND(O351=TRUE,P351=TRUE), VLOOKUP($E351,PESSOAL!$B$35:$S$45,MONTH($F351)+6,FALSE)*G351*24,0)</f>
        <v>0</v>
      </c>
      <c r="O351" s="89" t="b">
        <f t="shared" si="1"/>
        <v>1</v>
      </c>
      <c r="P351" s="89" t="b">
        <v>0</v>
      </c>
      <c r="Q351" s="89" t="s">
        <v>212</v>
      </c>
    </row>
    <row r="352" hidden="1">
      <c r="A352" s="108"/>
      <c r="B352" s="202"/>
      <c r="C352" s="202" t="str">
        <f>VLOOKUP(M352,'#verificação horas por projeto'!A:B,2,FALSE)</f>
        <v>INOV00024</v>
      </c>
      <c r="D352" s="202" t="s">
        <v>14</v>
      </c>
      <c r="E352" s="107" t="s">
        <v>145</v>
      </c>
      <c r="F352" s="211">
        <v>45405.0</v>
      </c>
      <c r="G352" s="226">
        <v>0.16666666666666666</v>
      </c>
      <c r="H352" s="107" t="s">
        <v>354</v>
      </c>
      <c r="I352" s="227" t="s">
        <v>354</v>
      </c>
      <c r="J352" s="227"/>
      <c r="K352" s="115" t="s">
        <v>565</v>
      </c>
      <c r="L352" s="228"/>
      <c r="M352" s="107" t="s">
        <v>428</v>
      </c>
      <c r="N352" s="229">
        <f>IF(AND(O352=TRUE,P352=TRUE), VLOOKUP($E352,PESSOAL!$B$35:$S$45,MONTH($F352)+6,FALSE)*G352*24,0)</f>
        <v>159.6189481</v>
      </c>
      <c r="O352" s="89" t="b">
        <f t="shared" si="1"/>
        <v>1</v>
      </c>
      <c r="P352" s="89" t="b">
        <v>1</v>
      </c>
      <c r="Q352" s="89" t="s">
        <v>212</v>
      </c>
    </row>
    <row r="353" hidden="1">
      <c r="A353" s="108"/>
      <c r="B353" s="202"/>
      <c r="C353" s="202" t="str">
        <f>VLOOKUP(M353,'#verificação horas por projeto'!A:B,2,FALSE)</f>
        <v>INOV00024</v>
      </c>
      <c r="D353" s="202" t="s">
        <v>14</v>
      </c>
      <c r="E353" s="107" t="s">
        <v>145</v>
      </c>
      <c r="F353" s="211">
        <v>45411.0</v>
      </c>
      <c r="G353" s="226">
        <v>0.08333333333333333</v>
      </c>
      <c r="H353" s="107" t="s">
        <v>354</v>
      </c>
      <c r="I353" s="227" t="s">
        <v>354</v>
      </c>
      <c r="J353" s="227"/>
      <c r="K353" s="115" t="s">
        <v>565</v>
      </c>
      <c r="L353" s="228"/>
      <c r="M353" s="107" t="s">
        <v>428</v>
      </c>
      <c r="N353" s="229">
        <f>IF(AND(O353=TRUE,P353=TRUE), VLOOKUP($E353,PESSOAL!$B$35:$S$45,MONTH($F353)+6,FALSE)*G353*24,0)</f>
        <v>79.80947405</v>
      </c>
      <c r="O353" s="89" t="b">
        <f t="shared" si="1"/>
        <v>1</v>
      </c>
      <c r="P353" s="89" t="b">
        <v>1</v>
      </c>
      <c r="Q353" s="89" t="s">
        <v>212</v>
      </c>
    </row>
    <row r="354" hidden="1">
      <c r="A354" s="108"/>
      <c r="B354" s="202"/>
      <c r="C354" s="202" t="str">
        <f>VLOOKUP(M354,'#verificação horas por projeto'!A:B,2,FALSE)</f>
        <v>INOV00024</v>
      </c>
      <c r="D354" s="202" t="s">
        <v>14</v>
      </c>
      <c r="E354" s="107" t="s">
        <v>145</v>
      </c>
      <c r="F354" s="211">
        <v>45412.0</v>
      </c>
      <c r="G354" s="226">
        <v>0.08333333333333333</v>
      </c>
      <c r="H354" s="107" t="s">
        <v>354</v>
      </c>
      <c r="I354" s="227" t="s">
        <v>354</v>
      </c>
      <c r="J354" s="227"/>
      <c r="K354" s="115" t="s">
        <v>461</v>
      </c>
      <c r="L354" s="228"/>
      <c r="M354" s="107" t="s">
        <v>428</v>
      </c>
      <c r="N354" s="229">
        <f>IF(AND(O354=TRUE,P354=TRUE), VLOOKUP($E354,PESSOAL!$B$35:$S$45,MONTH($F354)+6,FALSE)*G354*24,0)</f>
        <v>79.80947405</v>
      </c>
      <c r="O354" s="89" t="b">
        <f t="shared" si="1"/>
        <v>1</v>
      </c>
      <c r="P354" s="89" t="b">
        <v>1</v>
      </c>
      <c r="Q354" s="89" t="s">
        <v>212</v>
      </c>
    </row>
    <row r="355" hidden="1">
      <c r="A355" s="108"/>
      <c r="B355" s="202"/>
      <c r="C355" s="202" t="str">
        <f>VLOOKUP(M355,'#verificação horas por projeto'!A:B,2,FALSE)</f>
        <v>INOV00047</v>
      </c>
      <c r="D355" s="202" t="s">
        <v>32</v>
      </c>
      <c r="E355" s="107" t="s">
        <v>145</v>
      </c>
      <c r="F355" s="211">
        <v>45415.0</v>
      </c>
      <c r="G355" s="226">
        <v>0.19791666666666666</v>
      </c>
      <c r="H355" s="107" t="s">
        <v>356</v>
      </c>
      <c r="I355" s="227" t="s">
        <v>356</v>
      </c>
      <c r="J355" s="227"/>
      <c r="K355" s="115" t="s">
        <v>590</v>
      </c>
      <c r="L355" s="228"/>
      <c r="M355" s="107" t="s">
        <v>584</v>
      </c>
      <c r="N355" s="229">
        <f>IF(AND(O355=TRUE,P355=TRUE), VLOOKUP($E355,PESSOAL!$B$35:$S$45,MONTH($F355)+6,FALSE)*G355*24,0)</f>
        <v>0</v>
      </c>
      <c r="O355" s="89" t="b">
        <f t="shared" si="1"/>
        <v>1</v>
      </c>
      <c r="P355" s="89" t="b">
        <v>0</v>
      </c>
      <c r="Q355" s="89" t="s">
        <v>212</v>
      </c>
    </row>
    <row r="356" hidden="1">
      <c r="A356" s="108"/>
      <c r="B356" s="202"/>
      <c r="C356" s="202" t="str">
        <f>VLOOKUP(M356,'#verificação horas por projeto'!A:B,2,FALSE)</f>
        <v>#N/A</v>
      </c>
      <c r="D356" s="202" t="s">
        <v>36</v>
      </c>
      <c r="E356" s="107" t="s">
        <v>145</v>
      </c>
      <c r="F356" s="211">
        <v>45415.0</v>
      </c>
      <c r="G356" s="226">
        <v>0.125</v>
      </c>
      <c r="H356" s="107" t="s">
        <v>354</v>
      </c>
      <c r="I356" s="227" t="s">
        <v>354</v>
      </c>
      <c r="J356" s="227"/>
      <c r="K356" s="115" t="s">
        <v>591</v>
      </c>
      <c r="L356" s="228"/>
      <c r="M356" s="107" t="s">
        <v>514</v>
      </c>
      <c r="N356" s="229">
        <f>IF(AND(O356=TRUE,P356=TRUE), VLOOKUP($E356,PESSOAL!$B$35:$S$45,MONTH($F356)+6,FALSE)*G356*24,0)</f>
        <v>0</v>
      </c>
      <c r="O356" s="89" t="b">
        <f t="shared" si="1"/>
        <v>1</v>
      </c>
      <c r="P356" s="89" t="b">
        <v>0</v>
      </c>
      <c r="Q356" s="89" t="s">
        <v>212</v>
      </c>
    </row>
    <row r="357" hidden="1">
      <c r="A357" s="108"/>
      <c r="B357" s="202"/>
      <c r="C357" s="202" t="str">
        <f>VLOOKUP(M357,'#verificação horas por projeto'!A:B,2,FALSE)</f>
        <v>INOV00048</v>
      </c>
      <c r="D357" s="202" t="s">
        <v>34</v>
      </c>
      <c r="E357" s="107" t="s">
        <v>145</v>
      </c>
      <c r="F357" s="211">
        <v>45418.0</v>
      </c>
      <c r="G357" s="226">
        <v>0.13541666666666666</v>
      </c>
      <c r="H357" s="107" t="s">
        <v>356</v>
      </c>
      <c r="I357" s="227" t="s">
        <v>356</v>
      </c>
      <c r="J357" s="227"/>
      <c r="K357" s="115" t="s">
        <v>590</v>
      </c>
      <c r="L357" s="228"/>
      <c r="M357" s="107" t="s">
        <v>587</v>
      </c>
      <c r="N357" s="229">
        <f>IF(AND(O357=TRUE,P357=TRUE), VLOOKUP($E357,PESSOAL!$B$35:$S$45,MONTH($F357)+6,FALSE)*G357*24,0)</f>
        <v>0</v>
      </c>
      <c r="O357" s="89" t="b">
        <f t="shared" si="1"/>
        <v>1</v>
      </c>
      <c r="P357" s="89" t="b">
        <v>0</v>
      </c>
      <c r="Q357" s="89" t="s">
        <v>212</v>
      </c>
    </row>
    <row r="358" hidden="1">
      <c r="A358" s="108"/>
      <c r="B358" s="202"/>
      <c r="C358" s="202" t="str">
        <f>VLOOKUP(M358,'#verificação horas por projeto'!A:B,2,FALSE)</f>
        <v>INOV00024</v>
      </c>
      <c r="D358" s="202" t="s">
        <v>14</v>
      </c>
      <c r="E358" s="107" t="s">
        <v>145</v>
      </c>
      <c r="F358" s="211">
        <v>45418.0</v>
      </c>
      <c r="G358" s="226">
        <v>0.041666666666666664</v>
      </c>
      <c r="H358" s="107" t="s">
        <v>354</v>
      </c>
      <c r="I358" s="227" t="s">
        <v>354</v>
      </c>
      <c r="J358" s="227"/>
      <c r="K358" s="115" t="s">
        <v>461</v>
      </c>
      <c r="L358" s="228"/>
      <c r="M358" s="107" t="s">
        <v>428</v>
      </c>
      <c r="N358" s="229">
        <f>IF(AND(O358=TRUE,P358=TRUE), VLOOKUP($E358,PESSOAL!$B$35:$S$45,MONTH($F358)+6,FALSE)*G358*24,0)</f>
        <v>39.90473703</v>
      </c>
      <c r="O358" s="89" t="b">
        <f t="shared" si="1"/>
        <v>1</v>
      </c>
      <c r="P358" s="89" t="b">
        <v>1</v>
      </c>
      <c r="Q358" s="89" t="s">
        <v>212</v>
      </c>
    </row>
    <row r="359" hidden="1">
      <c r="A359" s="108"/>
      <c r="B359" s="202"/>
      <c r="C359" s="202" t="str">
        <f>VLOOKUP(M359,'#verificação horas por projeto'!A:B,2,FALSE)</f>
        <v>INOV00024</v>
      </c>
      <c r="D359" s="202" t="s">
        <v>14</v>
      </c>
      <c r="E359" s="107" t="s">
        <v>145</v>
      </c>
      <c r="F359" s="211">
        <v>45421.0</v>
      </c>
      <c r="G359" s="226">
        <v>0.125</v>
      </c>
      <c r="H359" s="107" t="s">
        <v>354</v>
      </c>
      <c r="I359" s="227" t="s">
        <v>354</v>
      </c>
      <c r="J359" s="227"/>
      <c r="K359" s="115" t="s">
        <v>565</v>
      </c>
      <c r="L359" s="228"/>
      <c r="M359" s="107" t="s">
        <v>428</v>
      </c>
      <c r="N359" s="229">
        <f>IF(AND(O359=TRUE,P359=TRUE), VLOOKUP($E359,PESSOAL!$B$35:$S$45,MONTH($F359)+6,FALSE)*G359*24,0)</f>
        <v>119.7142111</v>
      </c>
      <c r="O359" s="89" t="b">
        <f t="shared" si="1"/>
        <v>1</v>
      </c>
      <c r="P359" s="89" t="b">
        <v>1</v>
      </c>
      <c r="Q359" s="89" t="s">
        <v>212</v>
      </c>
    </row>
    <row r="360" hidden="1">
      <c r="A360" s="108"/>
      <c r="B360" s="202"/>
      <c r="C360" s="202" t="str">
        <f>VLOOKUP(M360,'#verificação horas por projeto'!A:B,2,FALSE)</f>
        <v>INOV00024</v>
      </c>
      <c r="D360" s="202" t="s">
        <v>14</v>
      </c>
      <c r="E360" s="107" t="s">
        <v>145</v>
      </c>
      <c r="F360" s="211">
        <v>45421.0</v>
      </c>
      <c r="G360" s="226">
        <v>0.041666666666666664</v>
      </c>
      <c r="H360" s="107" t="s">
        <v>354</v>
      </c>
      <c r="I360" s="227" t="s">
        <v>354</v>
      </c>
      <c r="J360" s="227"/>
      <c r="K360" s="115" t="s">
        <v>461</v>
      </c>
      <c r="L360" s="228"/>
      <c r="M360" s="107" t="s">
        <v>428</v>
      </c>
      <c r="N360" s="229">
        <f>IF(AND(O360=TRUE,P360=TRUE), VLOOKUP($E360,PESSOAL!$B$35:$S$45,MONTH($F360)+6,FALSE)*G360*24,0)</f>
        <v>39.90473703</v>
      </c>
      <c r="O360" s="89" t="b">
        <f t="shared" si="1"/>
        <v>1</v>
      </c>
      <c r="P360" s="89" t="b">
        <v>1</v>
      </c>
      <c r="Q360" s="89" t="s">
        <v>212</v>
      </c>
    </row>
    <row r="361" hidden="1">
      <c r="A361" s="108"/>
      <c r="B361" s="202"/>
      <c r="C361" s="202" t="str">
        <f>VLOOKUP(M361,'#verificação horas por projeto'!A:B,2,FALSE)</f>
        <v>INOV00048</v>
      </c>
      <c r="D361" s="202" t="s">
        <v>34</v>
      </c>
      <c r="E361" s="107" t="s">
        <v>145</v>
      </c>
      <c r="F361" s="211">
        <v>45425.0</v>
      </c>
      <c r="G361" s="226">
        <v>0.08333333333333333</v>
      </c>
      <c r="H361" s="107" t="s">
        <v>356</v>
      </c>
      <c r="I361" s="227" t="s">
        <v>356</v>
      </c>
      <c r="J361" s="227"/>
      <c r="K361" s="115" t="s">
        <v>592</v>
      </c>
      <c r="L361" s="228"/>
      <c r="M361" s="107" t="s">
        <v>587</v>
      </c>
      <c r="N361" s="229">
        <f>IF(AND(O361=TRUE,P361=TRUE), VLOOKUP($E361,PESSOAL!$B$35:$S$45,MONTH($F361)+6,FALSE)*G361*24,0)</f>
        <v>0</v>
      </c>
      <c r="O361" s="89" t="b">
        <f t="shared" si="1"/>
        <v>1</v>
      </c>
      <c r="P361" s="89" t="b">
        <v>0</v>
      </c>
      <c r="Q361" s="89" t="s">
        <v>212</v>
      </c>
    </row>
    <row r="362" hidden="1">
      <c r="A362" s="108"/>
      <c r="B362" s="202"/>
      <c r="C362" s="202" t="str">
        <f>VLOOKUP(M362,'#verificação horas por projeto'!A:B,2,FALSE)</f>
        <v>#N/A</v>
      </c>
      <c r="D362" s="202" t="s">
        <v>37</v>
      </c>
      <c r="E362" s="107" t="s">
        <v>145</v>
      </c>
      <c r="F362" s="211">
        <v>45425.0</v>
      </c>
      <c r="G362" s="226">
        <v>0.0625</v>
      </c>
      <c r="H362" s="107" t="s">
        <v>354</v>
      </c>
      <c r="I362" s="227" t="s">
        <v>354</v>
      </c>
      <c r="J362" s="227"/>
      <c r="K362" s="115" t="s">
        <v>593</v>
      </c>
      <c r="L362" s="228"/>
      <c r="M362" s="107" t="s">
        <v>515</v>
      </c>
      <c r="N362" s="229">
        <f>IF(AND(O362=TRUE,P362=TRUE), VLOOKUP($E362,PESSOAL!$B$35:$S$45,MONTH($F362)+6,FALSE)*G362*24,0)</f>
        <v>0</v>
      </c>
      <c r="O362" s="89" t="b">
        <f t="shared" si="1"/>
        <v>1</v>
      </c>
      <c r="P362" s="89" t="b">
        <v>0</v>
      </c>
      <c r="Q362" s="89" t="s">
        <v>212</v>
      </c>
    </row>
    <row r="363" hidden="1">
      <c r="A363" s="108"/>
      <c r="B363" s="202"/>
      <c r="C363" s="202" t="str">
        <f>VLOOKUP(M363,'#verificação horas por projeto'!A:B,2,FALSE)</f>
        <v>INOV00024</v>
      </c>
      <c r="D363" s="202" t="s">
        <v>14</v>
      </c>
      <c r="E363" s="107" t="s">
        <v>145</v>
      </c>
      <c r="F363" s="211">
        <v>45425.0</v>
      </c>
      <c r="G363" s="226">
        <v>0.03125</v>
      </c>
      <c r="H363" s="107" t="s">
        <v>354</v>
      </c>
      <c r="I363" s="227" t="s">
        <v>354</v>
      </c>
      <c r="J363" s="227"/>
      <c r="K363" s="115" t="s">
        <v>461</v>
      </c>
      <c r="L363" s="228"/>
      <c r="M363" s="107" t="s">
        <v>428</v>
      </c>
      <c r="N363" s="229">
        <f>IF(AND(O363=TRUE,P363=TRUE), VLOOKUP($E363,PESSOAL!$B$35:$S$45,MONTH($F363)+6,FALSE)*G363*24,0)</f>
        <v>29.92855277</v>
      </c>
      <c r="O363" s="89" t="b">
        <f t="shared" si="1"/>
        <v>1</v>
      </c>
      <c r="P363" s="89" t="b">
        <v>1</v>
      </c>
      <c r="Q363" s="89" t="s">
        <v>212</v>
      </c>
    </row>
    <row r="364" hidden="1">
      <c r="A364" s="108"/>
      <c r="B364" s="202"/>
      <c r="C364" s="202" t="str">
        <f>VLOOKUP(M364,'#verificação horas por projeto'!A:B,2,FALSE)</f>
        <v>#N/A</v>
      </c>
      <c r="D364" s="202" t="s">
        <v>37</v>
      </c>
      <c r="E364" s="107" t="s">
        <v>145</v>
      </c>
      <c r="F364" s="211">
        <v>45426.0</v>
      </c>
      <c r="G364" s="226">
        <v>0.041666666666666664</v>
      </c>
      <c r="H364" s="107" t="s">
        <v>354</v>
      </c>
      <c r="I364" s="227" t="s">
        <v>354</v>
      </c>
      <c r="J364" s="227"/>
      <c r="K364" s="115" t="s">
        <v>565</v>
      </c>
      <c r="L364" s="228"/>
      <c r="M364" s="107" t="s">
        <v>515</v>
      </c>
      <c r="N364" s="229">
        <f>IF(AND(O364=TRUE,P364=TRUE), VLOOKUP($E364,PESSOAL!$B$35:$S$45,MONTH($F364)+6,FALSE)*G364*24,0)</f>
        <v>0</v>
      </c>
      <c r="O364" s="89" t="b">
        <f t="shared" si="1"/>
        <v>1</v>
      </c>
      <c r="P364" s="89" t="b">
        <v>0</v>
      </c>
      <c r="Q364" s="89" t="s">
        <v>212</v>
      </c>
    </row>
    <row r="365" hidden="1">
      <c r="A365" s="108"/>
      <c r="B365" s="202"/>
      <c r="C365" s="202" t="str">
        <f>VLOOKUP(M365,'#verificação horas por projeto'!A:B,2,FALSE)</f>
        <v>INOV00024</v>
      </c>
      <c r="D365" s="202" t="s">
        <v>14</v>
      </c>
      <c r="E365" s="107" t="s">
        <v>145</v>
      </c>
      <c r="F365" s="211">
        <v>45427.0</v>
      </c>
      <c r="G365" s="226">
        <v>0.041666666666666664</v>
      </c>
      <c r="H365" s="107" t="s">
        <v>354</v>
      </c>
      <c r="I365" s="227" t="s">
        <v>354</v>
      </c>
      <c r="J365" s="227"/>
      <c r="K365" s="115" t="s">
        <v>585</v>
      </c>
      <c r="L365" s="228"/>
      <c r="M365" s="107" t="s">
        <v>428</v>
      </c>
      <c r="N365" s="229">
        <f>IF(AND(O365=TRUE,P365=TRUE), VLOOKUP($E365,PESSOAL!$B$35:$S$45,MONTH($F365)+6,FALSE)*G365*24,0)</f>
        <v>39.90473703</v>
      </c>
      <c r="O365" s="89" t="b">
        <f t="shared" si="1"/>
        <v>1</v>
      </c>
      <c r="P365" s="89" t="b">
        <v>1</v>
      </c>
      <c r="Q365" s="89" t="s">
        <v>212</v>
      </c>
    </row>
    <row r="366" hidden="1">
      <c r="A366" s="108"/>
      <c r="B366" s="202"/>
      <c r="C366" s="202" t="str">
        <f>VLOOKUP(M366,'#verificação horas por projeto'!A:B,2,FALSE)</f>
        <v>INOV00047</v>
      </c>
      <c r="D366" s="202" t="s">
        <v>32</v>
      </c>
      <c r="E366" s="107" t="s">
        <v>145</v>
      </c>
      <c r="F366" s="211">
        <v>45427.0</v>
      </c>
      <c r="G366" s="226">
        <v>0.125</v>
      </c>
      <c r="H366" s="107" t="s">
        <v>356</v>
      </c>
      <c r="I366" s="227" t="s">
        <v>356</v>
      </c>
      <c r="J366" s="227"/>
      <c r="K366" s="115" t="s">
        <v>590</v>
      </c>
      <c r="L366" s="228"/>
      <c r="M366" s="107" t="s">
        <v>584</v>
      </c>
      <c r="N366" s="229">
        <f>IF(AND(O366=TRUE,P366=TRUE), VLOOKUP($E366,PESSOAL!$B$35:$S$45,MONTH($F366)+6,FALSE)*G366*24,0)</f>
        <v>0</v>
      </c>
      <c r="O366" s="89" t="b">
        <f t="shared" si="1"/>
        <v>1</v>
      </c>
      <c r="P366" s="89" t="b">
        <v>0</v>
      </c>
      <c r="Q366" s="89" t="s">
        <v>212</v>
      </c>
    </row>
    <row r="367" hidden="1">
      <c r="A367" s="108"/>
      <c r="B367" s="202"/>
      <c r="C367" s="202" t="str">
        <f>VLOOKUP(M367,'#verificação horas por projeto'!A:B,2,FALSE)</f>
        <v>#N/A</v>
      </c>
      <c r="D367" s="202" t="s">
        <v>37</v>
      </c>
      <c r="E367" s="107" t="s">
        <v>145</v>
      </c>
      <c r="F367" s="211">
        <v>45428.0</v>
      </c>
      <c r="G367" s="226">
        <v>0.14583333333333334</v>
      </c>
      <c r="H367" s="107" t="s">
        <v>354</v>
      </c>
      <c r="I367" s="227" t="s">
        <v>354</v>
      </c>
      <c r="J367" s="227"/>
      <c r="K367" s="115" t="s">
        <v>565</v>
      </c>
      <c r="L367" s="228"/>
      <c r="M367" s="107" t="s">
        <v>515</v>
      </c>
      <c r="N367" s="229">
        <f>IF(AND(O367=TRUE,P367=TRUE), VLOOKUP($E367,PESSOAL!$B$35:$S$45,MONTH($F367)+6,FALSE)*G367*24,0)</f>
        <v>0</v>
      </c>
      <c r="O367" s="89" t="b">
        <f t="shared" si="1"/>
        <v>1</v>
      </c>
      <c r="P367" s="89" t="b">
        <v>0</v>
      </c>
      <c r="Q367" s="89" t="s">
        <v>212</v>
      </c>
    </row>
    <row r="368" hidden="1">
      <c r="A368" s="108"/>
      <c r="B368" s="202"/>
      <c r="C368" s="202" t="str">
        <f>VLOOKUP(M368,'#verificação horas por projeto'!A:B,2,FALSE)</f>
        <v>INOV00034</v>
      </c>
      <c r="D368" s="202" t="s">
        <v>250</v>
      </c>
      <c r="E368" s="107" t="s">
        <v>145</v>
      </c>
      <c r="F368" s="211">
        <v>45433.0</v>
      </c>
      <c r="G368" s="226">
        <v>0.020833333333333332</v>
      </c>
      <c r="H368" s="107" t="s">
        <v>354</v>
      </c>
      <c r="I368" s="227" t="s">
        <v>354</v>
      </c>
      <c r="J368" s="227"/>
      <c r="K368" s="115" t="s">
        <v>594</v>
      </c>
      <c r="L368" s="228"/>
      <c r="M368" s="107" t="s">
        <v>595</v>
      </c>
      <c r="N368" s="229">
        <f>IF(AND(O368=TRUE,P368=TRUE), VLOOKUP($E368,PESSOAL!$B$35:$S$45,MONTH($F368)+6,FALSE)*G368*24,0)</f>
        <v>0</v>
      </c>
      <c r="O368" s="89" t="b">
        <f t="shared" si="1"/>
        <v>1</v>
      </c>
      <c r="P368" s="89" t="b">
        <v>0</v>
      </c>
      <c r="Q368" s="89" t="s">
        <v>212</v>
      </c>
    </row>
    <row r="369" hidden="1">
      <c r="A369" s="108"/>
      <c r="B369" s="202"/>
      <c r="C369" s="202" t="str">
        <f>VLOOKUP(M369,'#verificação horas por projeto'!A:B,2,FALSE)</f>
        <v>INOV00049</v>
      </c>
      <c r="D369" s="202" t="s">
        <v>35</v>
      </c>
      <c r="E369" s="107" t="s">
        <v>145</v>
      </c>
      <c r="F369" s="211">
        <v>45434.0</v>
      </c>
      <c r="G369" s="226">
        <v>0.041666666666666664</v>
      </c>
      <c r="H369" s="107" t="s">
        <v>354</v>
      </c>
      <c r="I369" s="227" t="s">
        <v>354</v>
      </c>
      <c r="J369" s="227"/>
      <c r="K369" s="115" t="s">
        <v>565</v>
      </c>
      <c r="L369" s="228"/>
      <c r="M369" s="107" t="s">
        <v>596</v>
      </c>
      <c r="N369" s="229">
        <f>IF(AND(O369=TRUE,P369=TRUE), VLOOKUP($E369,PESSOAL!$B$35:$S$45,MONTH($F369)+6,FALSE)*G369*24,0)</f>
        <v>0</v>
      </c>
      <c r="O369" s="89" t="b">
        <f t="shared" si="1"/>
        <v>1</v>
      </c>
      <c r="P369" s="89" t="b">
        <v>0</v>
      </c>
      <c r="Q369" s="89" t="s">
        <v>212</v>
      </c>
    </row>
    <row r="370" hidden="1">
      <c r="A370" s="108"/>
      <c r="B370" s="202"/>
      <c r="C370" s="202" t="str">
        <f>VLOOKUP(M370,'#verificação horas por projeto'!A:B,2,FALSE)</f>
        <v>INOV00024</v>
      </c>
      <c r="D370" s="202" t="s">
        <v>14</v>
      </c>
      <c r="E370" s="107" t="s">
        <v>145</v>
      </c>
      <c r="F370" s="211">
        <v>45435.0</v>
      </c>
      <c r="G370" s="226">
        <v>0.14583333333333334</v>
      </c>
      <c r="H370" s="107" t="s">
        <v>354</v>
      </c>
      <c r="I370" s="227" t="s">
        <v>354</v>
      </c>
      <c r="J370" s="227"/>
      <c r="K370" s="115" t="s">
        <v>565</v>
      </c>
      <c r="L370" s="228"/>
      <c r="M370" s="107" t="s">
        <v>428</v>
      </c>
      <c r="N370" s="229">
        <f>IF(AND(O370=TRUE,P370=TRUE), VLOOKUP($E370,PESSOAL!$B$35:$S$45,MONTH($F370)+6,FALSE)*G370*24,0)</f>
        <v>139.6665796</v>
      </c>
      <c r="O370" s="89" t="b">
        <f t="shared" si="1"/>
        <v>1</v>
      </c>
      <c r="P370" s="89" t="b">
        <v>1</v>
      </c>
      <c r="Q370" s="89" t="s">
        <v>212</v>
      </c>
    </row>
    <row r="371" hidden="1">
      <c r="A371" s="108"/>
      <c r="B371" s="202"/>
      <c r="C371" s="202" t="str">
        <f>VLOOKUP(M371,'#verificação horas por projeto'!A:B,2,FALSE)</f>
        <v>#N/A</v>
      </c>
      <c r="D371" s="202" t="s">
        <v>36</v>
      </c>
      <c r="E371" s="107" t="s">
        <v>145</v>
      </c>
      <c r="F371" s="211">
        <v>45436.0</v>
      </c>
      <c r="G371" s="226">
        <v>0.041666666666666664</v>
      </c>
      <c r="H371" s="107" t="s">
        <v>354</v>
      </c>
      <c r="I371" s="227" t="s">
        <v>354</v>
      </c>
      <c r="J371" s="227"/>
      <c r="K371" s="115" t="s">
        <v>597</v>
      </c>
      <c r="L371" s="228"/>
      <c r="M371" s="107" t="s">
        <v>514</v>
      </c>
      <c r="N371" s="229">
        <f>IF(AND(O371=TRUE,P371=TRUE), VLOOKUP($E371,PESSOAL!$B$35:$S$45,MONTH($F371)+6,FALSE)*G371*24,0)</f>
        <v>0</v>
      </c>
      <c r="O371" s="89" t="b">
        <f t="shared" si="1"/>
        <v>1</v>
      </c>
      <c r="P371" s="89" t="b">
        <v>0</v>
      </c>
      <c r="Q371" s="89" t="s">
        <v>212</v>
      </c>
    </row>
    <row r="372" hidden="1">
      <c r="A372" s="108"/>
      <c r="B372" s="202"/>
      <c r="C372" s="202" t="str">
        <f>VLOOKUP(M372,'#verificação horas por projeto'!A:B,2,FALSE)</f>
        <v>INOV00048</v>
      </c>
      <c r="D372" s="202" t="s">
        <v>34</v>
      </c>
      <c r="E372" s="107" t="s">
        <v>145</v>
      </c>
      <c r="F372" s="211">
        <v>45439.0</v>
      </c>
      <c r="G372" s="226">
        <v>0.1875</v>
      </c>
      <c r="H372" s="107" t="s">
        <v>356</v>
      </c>
      <c r="I372" s="227" t="s">
        <v>356</v>
      </c>
      <c r="J372" s="227"/>
      <c r="K372" s="115" t="s">
        <v>590</v>
      </c>
      <c r="L372" s="228"/>
      <c r="M372" s="107" t="s">
        <v>587</v>
      </c>
      <c r="N372" s="229">
        <f>IF(AND(O372=TRUE,P372=TRUE), VLOOKUP($E372,PESSOAL!$B$35:$S$45,MONTH($F372)+6,FALSE)*G372*24,0)</f>
        <v>0</v>
      </c>
      <c r="O372" s="89" t="b">
        <f t="shared" si="1"/>
        <v>1</v>
      </c>
      <c r="P372" s="89" t="b">
        <v>0</v>
      </c>
      <c r="Q372" s="89" t="s">
        <v>212</v>
      </c>
    </row>
    <row r="373" hidden="1">
      <c r="A373" s="108"/>
      <c r="B373" s="202"/>
      <c r="C373" s="202" t="str">
        <f>VLOOKUP(M373,'#verificação horas por projeto'!A:B,2,FALSE)</f>
        <v>INOV00024</v>
      </c>
      <c r="D373" s="202" t="s">
        <v>14</v>
      </c>
      <c r="E373" s="107" t="s">
        <v>145</v>
      </c>
      <c r="F373" s="211">
        <v>45441.0</v>
      </c>
      <c r="G373" s="226">
        <v>0.041666666666666664</v>
      </c>
      <c r="H373" s="107" t="s">
        <v>354</v>
      </c>
      <c r="I373" s="227" t="s">
        <v>354</v>
      </c>
      <c r="J373" s="227"/>
      <c r="K373" s="115" t="s">
        <v>565</v>
      </c>
      <c r="L373" s="228"/>
      <c r="M373" s="107" t="s">
        <v>428</v>
      </c>
      <c r="N373" s="229">
        <f>IF(AND(O373=TRUE,P373=TRUE), VLOOKUP($E373,PESSOAL!$B$35:$S$45,MONTH($F373)+6,FALSE)*G373*24,0)</f>
        <v>39.90473703</v>
      </c>
      <c r="O373" s="89" t="b">
        <f t="shared" si="1"/>
        <v>1</v>
      </c>
      <c r="P373" s="89" t="b">
        <v>1</v>
      </c>
      <c r="Q373" s="89" t="s">
        <v>212</v>
      </c>
    </row>
    <row r="374" hidden="1">
      <c r="A374" s="108"/>
      <c r="B374" s="202"/>
      <c r="C374" s="202" t="str">
        <f>VLOOKUP(M374,'#verificação horas por projeto'!A:B,2,FALSE)</f>
        <v>#N/A</v>
      </c>
      <c r="D374" s="202" t="s">
        <v>36</v>
      </c>
      <c r="E374" s="107" t="s">
        <v>145</v>
      </c>
      <c r="F374" s="211">
        <v>45446.0</v>
      </c>
      <c r="G374" s="226">
        <v>0.08333333333333333</v>
      </c>
      <c r="H374" s="107" t="s">
        <v>354</v>
      </c>
      <c r="I374" s="227" t="s">
        <v>354</v>
      </c>
      <c r="J374" s="227"/>
      <c r="K374" s="115" t="s">
        <v>598</v>
      </c>
      <c r="L374" s="228"/>
      <c r="M374" s="107" t="s">
        <v>514</v>
      </c>
      <c r="N374" s="229">
        <f>IF(AND(O374=TRUE,P374=TRUE), VLOOKUP($E374,PESSOAL!$B$35:$S$45,MONTH($F374)+6,FALSE)*G374*24,0)</f>
        <v>0</v>
      </c>
      <c r="O374" s="89" t="b">
        <f t="shared" si="1"/>
        <v>1</v>
      </c>
      <c r="P374" s="89" t="b">
        <v>0</v>
      </c>
      <c r="Q374" s="89" t="s">
        <v>212</v>
      </c>
    </row>
    <row r="375" hidden="1">
      <c r="A375" s="108"/>
      <c r="B375" s="202"/>
      <c r="C375" s="202" t="str">
        <f>VLOOKUP(M375,'#verificação horas por projeto'!A:B,2,FALSE)</f>
        <v>#N/A</v>
      </c>
      <c r="D375" s="202" t="s">
        <v>37</v>
      </c>
      <c r="E375" s="107" t="s">
        <v>145</v>
      </c>
      <c r="F375" s="211">
        <v>45447.0</v>
      </c>
      <c r="G375" s="226">
        <v>0.0625</v>
      </c>
      <c r="H375" s="107" t="s">
        <v>354</v>
      </c>
      <c r="I375" s="227" t="s">
        <v>354</v>
      </c>
      <c r="J375" s="227"/>
      <c r="K375" s="115" t="s">
        <v>599</v>
      </c>
      <c r="L375" s="228"/>
      <c r="M375" s="107" t="s">
        <v>515</v>
      </c>
      <c r="N375" s="229">
        <f>IF(AND(O375=TRUE,P375=TRUE), VLOOKUP($E375,PESSOAL!$B$35:$S$45,MONTH($F375)+6,FALSE)*G375*24,0)</f>
        <v>0</v>
      </c>
      <c r="O375" s="89" t="b">
        <f t="shared" si="1"/>
        <v>1</v>
      </c>
      <c r="P375" s="89" t="b">
        <v>0</v>
      </c>
      <c r="Q375" s="89" t="s">
        <v>212</v>
      </c>
    </row>
    <row r="376" hidden="1">
      <c r="A376" s="108"/>
      <c r="B376" s="202"/>
      <c r="C376" s="202" t="str">
        <f>VLOOKUP(M376,'#verificação horas por projeto'!A:B,2,FALSE)</f>
        <v>INOV00020</v>
      </c>
      <c r="D376" s="202" t="s">
        <v>11</v>
      </c>
      <c r="E376" s="107" t="s">
        <v>145</v>
      </c>
      <c r="F376" s="211">
        <v>45448.0</v>
      </c>
      <c r="G376" s="226">
        <v>0.2916666666666667</v>
      </c>
      <c r="H376" s="107" t="s">
        <v>356</v>
      </c>
      <c r="I376" s="227" t="s">
        <v>356</v>
      </c>
      <c r="J376" s="227"/>
      <c r="K376" s="115" t="s">
        <v>600</v>
      </c>
      <c r="L376" s="228"/>
      <c r="M376" s="107" t="s">
        <v>457</v>
      </c>
      <c r="N376" s="229">
        <f>IF(AND(O376=TRUE,P376=TRUE), VLOOKUP($E376,PESSOAL!$B$35:$S$45,MONTH($F376)+6,FALSE)*G376*24,0)</f>
        <v>0</v>
      </c>
      <c r="O376" s="89" t="b">
        <f t="shared" si="1"/>
        <v>1</v>
      </c>
      <c r="P376" s="89" t="b">
        <v>0</v>
      </c>
      <c r="Q376" s="89" t="s">
        <v>212</v>
      </c>
    </row>
    <row r="377" hidden="1">
      <c r="A377" s="108"/>
      <c r="B377" s="202"/>
      <c r="C377" s="202" t="str">
        <f>VLOOKUP(M377,'#verificação horas por projeto'!A:B,2,FALSE)</f>
        <v>INOV00048</v>
      </c>
      <c r="D377" s="202" t="s">
        <v>34</v>
      </c>
      <c r="E377" s="107" t="s">
        <v>145</v>
      </c>
      <c r="F377" s="211">
        <v>45449.0</v>
      </c>
      <c r="G377" s="226">
        <v>0.125</v>
      </c>
      <c r="H377" s="107" t="s">
        <v>356</v>
      </c>
      <c r="I377" s="227" t="s">
        <v>356</v>
      </c>
      <c r="J377" s="227"/>
      <c r="K377" s="115" t="s">
        <v>424</v>
      </c>
      <c r="L377" s="228"/>
      <c r="M377" s="107" t="s">
        <v>587</v>
      </c>
      <c r="N377" s="229">
        <f>IF(AND(O377=TRUE,P377=TRUE), VLOOKUP($E377,PESSOAL!$B$35:$S$45,MONTH($F377)+6,FALSE)*G377*24,0)</f>
        <v>0</v>
      </c>
      <c r="O377" s="89" t="b">
        <f t="shared" si="1"/>
        <v>1</v>
      </c>
      <c r="P377" s="89" t="b">
        <v>0</v>
      </c>
      <c r="Q377" s="89" t="s">
        <v>212</v>
      </c>
    </row>
    <row r="378" hidden="1">
      <c r="A378" s="108"/>
      <c r="B378" s="202"/>
      <c r="C378" s="202" t="str">
        <f>VLOOKUP(M378,'#verificação horas por projeto'!A:B,2,FALSE)</f>
        <v>#N/A</v>
      </c>
      <c r="D378" s="202" t="s">
        <v>37</v>
      </c>
      <c r="E378" s="107" t="s">
        <v>145</v>
      </c>
      <c r="F378" s="211">
        <v>45450.0</v>
      </c>
      <c r="G378" s="226">
        <v>0.10416666666666667</v>
      </c>
      <c r="H378" s="107" t="s">
        <v>354</v>
      </c>
      <c r="I378" s="227" t="s">
        <v>354</v>
      </c>
      <c r="J378" s="227"/>
      <c r="K378" s="115" t="s">
        <v>565</v>
      </c>
      <c r="L378" s="228"/>
      <c r="M378" s="107" t="s">
        <v>515</v>
      </c>
      <c r="N378" s="229">
        <f>IF(AND(O378=TRUE,P378=TRUE), VLOOKUP($E378,PESSOAL!$B$35:$S$45,MONTH($F378)+6,FALSE)*G378*24,0)</f>
        <v>0</v>
      </c>
      <c r="O378" s="89" t="b">
        <f t="shared" si="1"/>
        <v>1</v>
      </c>
      <c r="P378" s="89" t="b">
        <v>0</v>
      </c>
      <c r="Q378" s="89" t="s">
        <v>212</v>
      </c>
    </row>
    <row r="379" hidden="1">
      <c r="A379" s="108"/>
      <c r="B379" s="202"/>
      <c r="C379" s="202" t="str">
        <f>VLOOKUP(M379,'#verificação horas por projeto'!A:B,2,FALSE)</f>
        <v>INOV00048</v>
      </c>
      <c r="D379" s="202" t="s">
        <v>34</v>
      </c>
      <c r="E379" s="107" t="s">
        <v>145</v>
      </c>
      <c r="F379" s="211">
        <v>45453.0</v>
      </c>
      <c r="G379" s="226">
        <v>0.14583333333333334</v>
      </c>
      <c r="H379" s="107" t="s">
        <v>354</v>
      </c>
      <c r="I379" s="227" t="s">
        <v>354</v>
      </c>
      <c r="J379" s="227"/>
      <c r="K379" s="115" t="s">
        <v>424</v>
      </c>
      <c r="L379" s="228"/>
      <c r="M379" s="107" t="s">
        <v>587</v>
      </c>
      <c r="N379" s="229">
        <f>IF(AND(O379=TRUE,P379=TRUE), VLOOKUP($E379,PESSOAL!$B$35:$S$45,MONTH($F379)+6,FALSE)*G379*24,0)</f>
        <v>0</v>
      </c>
      <c r="O379" s="89" t="b">
        <f t="shared" si="1"/>
        <v>1</v>
      </c>
      <c r="P379" s="89" t="b">
        <v>0</v>
      </c>
      <c r="Q379" s="89" t="s">
        <v>212</v>
      </c>
    </row>
    <row r="380" hidden="1">
      <c r="A380" s="108"/>
      <c r="B380" s="202"/>
      <c r="C380" s="202" t="str">
        <f>VLOOKUP(M380,'#verificação horas por projeto'!A:B,2,FALSE)</f>
        <v>INOV00047</v>
      </c>
      <c r="D380" s="202" t="s">
        <v>32</v>
      </c>
      <c r="E380" s="107" t="s">
        <v>145</v>
      </c>
      <c r="F380" s="211">
        <v>45454.0</v>
      </c>
      <c r="G380" s="226">
        <v>0.20833333333333334</v>
      </c>
      <c r="H380" s="107" t="s">
        <v>356</v>
      </c>
      <c r="I380" s="227" t="s">
        <v>356</v>
      </c>
      <c r="J380" s="227"/>
      <c r="K380" s="115" t="s">
        <v>590</v>
      </c>
      <c r="L380" s="228"/>
      <c r="M380" s="107" t="s">
        <v>584</v>
      </c>
      <c r="N380" s="229">
        <f>IF(AND(O380=TRUE,P380=TRUE), VLOOKUP($E380,PESSOAL!$B$35:$S$45,MONTH($F380)+6,FALSE)*G380*24,0)</f>
        <v>0</v>
      </c>
      <c r="O380" s="89" t="b">
        <f t="shared" si="1"/>
        <v>1</v>
      </c>
      <c r="P380" s="89" t="b">
        <v>0</v>
      </c>
      <c r="Q380" s="89" t="s">
        <v>212</v>
      </c>
    </row>
    <row r="381" hidden="1">
      <c r="A381" s="108"/>
      <c r="B381" s="202"/>
      <c r="C381" s="202" t="str">
        <f>VLOOKUP(M381,'#verificação horas por projeto'!A:B,2,FALSE)</f>
        <v>INOV00024</v>
      </c>
      <c r="D381" s="202" t="s">
        <v>14</v>
      </c>
      <c r="E381" s="107" t="s">
        <v>145</v>
      </c>
      <c r="F381" s="211">
        <v>45455.0</v>
      </c>
      <c r="G381" s="226">
        <v>0.0625</v>
      </c>
      <c r="H381" s="107" t="s">
        <v>354</v>
      </c>
      <c r="I381" s="227" t="s">
        <v>354</v>
      </c>
      <c r="J381" s="227"/>
      <c r="K381" s="115" t="s">
        <v>565</v>
      </c>
      <c r="L381" s="228"/>
      <c r="M381" s="107" t="s">
        <v>428</v>
      </c>
      <c r="N381" s="229">
        <f>IF(AND(O381=TRUE,P381=TRUE), VLOOKUP($E381,PESSOAL!$B$35:$S$45,MONTH($F381)+6,FALSE)*G381*24,0)</f>
        <v>65.84281609</v>
      </c>
      <c r="O381" s="89" t="b">
        <f t="shared" si="1"/>
        <v>1</v>
      </c>
      <c r="P381" s="89" t="b">
        <v>1</v>
      </c>
      <c r="Q381" s="89" t="s">
        <v>212</v>
      </c>
    </row>
    <row r="382" hidden="1">
      <c r="A382" s="108"/>
      <c r="B382" s="202"/>
      <c r="C382" s="202" t="str">
        <f>VLOOKUP(M382,'#verificação horas por projeto'!A:B,2,FALSE)</f>
        <v>INOV00047</v>
      </c>
      <c r="D382" s="202" t="s">
        <v>32</v>
      </c>
      <c r="E382" s="107" t="s">
        <v>145</v>
      </c>
      <c r="F382" s="211">
        <v>45456.0</v>
      </c>
      <c r="G382" s="226">
        <v>0.34375</v>
      </c>
      <c r="H382" s="107" t="s">
        <v>356</v>
      </c>
      <c r="I382" s="227" t="s">
        <v>356</v>
      </c>
      <c r="J382" s="227"/>
      <c r="K382" s="115" t="s">
        <v>590</v>
      </c>
      <c r="L382" s="228"/>
      <c r="M382" s="107" t="s">
        <v>584</v>
      </c>
      <c r="N382" s="229">
        <f>IF(AND(O382=TRUE,P382=TRUE), VLOOKUP($E382,PESSOAL!$B$35:$S$45,MONTH($F382)+6,FALSE)*G382*24,0)</f>
        <v>0</v>
      </c>
      <c r="O382" s="89" t="b">
        <f t="shared" si="1"/>
        <v>1</v>
      </c>
      <c r="P382" s="89" t="b">
        <v>0</v>
      </c>
      <c r="Q382" s="89" t="s">
        <v>212</v>
      </c>
    </row>
    <row r="383" hidden="1">
      <c r="A383" s="108"/>
      <c r="B383" s="202"/>
      <c r="C383" s="202" t="str">
        <f>VLOOKUP(M383,'#verificação horas por projeto'!A:B,2,FALSE)</f>
        <v>#N/A</v>
      </c>
      <c r="D383" s="202" t="s">
        <v>37</v>
      </c>
      <c r="E383" s="107" t="s">
        <v>145</v>
      </c>
      <c r="F383" s="211">
        <v>45457.0</v>
      </c>
      <c r="G383" s="226">
        <v>0.041666666666666664</v>
      </c>
      <c r="H383" s="107" t="s">
        <v>354</v>
      </c>
      <c r="I383" s="227" t="s">
        <v>354</v>
      </c>
      <c r="J383" s="227"/>
      <c r="K383" s="115" t="s">
        <v>565</v>
      </c>
      <c r="L383" s="228"/>
      <c r="M383" s="107" t="s">
        <v>515</v>
      </c>
      <c r="N383" s="229">
        <f>IF(AND(O383=TRUE,P383=TRUE), VLOOKUP($E383,PESSOAL!$B$35:$S$45,MONTH($F383)+6,FALSE)*G383*24,0)</f>
        <v>0</v>
      </c>
      <c r="O383" s="89" t="b">
        <f t="shared" si="1"/>
        <v>1</v>
      </c>
      <c r="P383" s="89" t="b">
        <v>0</v>
      </c>
      <c r="Q383" s="89" t="s">
        <v>212</v>
      </c>
    </row>
    <row r="384" hidden="1">
      <c r="A384" s="108"/>
      <c r="B384" s="202"/>
      <c r="C384" s="202" t="str">
        <f>VLOOKUP(M384,'#verificação horas por projeto'!A:B,2,FALSE)</f>
        <v>#N/A</v>
      </c>
      <c r="D384" s="202" t="s">
        <v>36</v>
      </c>
      <c r="E384" s="107" t="s">
        <v>145</v>
      </c>
      <c r="F384" s="211">
        <v>45460.0</v>
      </c>
      <c r="G384" s="226">
        <v>0.041666666666666664</v>
      </c>
      <c r="H384" s="107" t="s">
        <v>354</v>
      </c>
      <c r="I384" s="227" t="s">
        <v>354</v>
      </c>
      <c r="J384" s="227"/>
      <c r="K384" s="115" t="s">
        <v>565</v>
      </c>
      <c r="L384" s="228"/>
      <c r="M384" s="107" t="s">
        <v>514</v>
      </c>
      <c r="N384" s="229">
        <f>IF(AND(O384=TRUE,P384=TRUE), VLOOKUP($E384,PESSOAL!$B$35:$S$45,MONTH($F384)+6,FALSE)*G384*24,0)</f>
        <v>0</v>
      </c>
      <c r="O384" s="89" t="b">
        <f t="shared" si="1"/>
        <v>1</v>
      </c>
      <c r="P384" s="89" t="b">
        <v>0</v>
      </c>
      <c r="Q384" s="89" t="s">
        <v>212</v>
      </c>
    </row>
    <row r="385" hidden="1">
      <c r="A385" s="108"/>
      <c r="B385" s="202"/>
      <c r="C385" s="202" t="str">
        <f>VLOOKUP(M385,'#verificação horas por projeto'!A:B,2,FALSE)</f>
        <v>INOV00024</v>
      </c>
      <c r="D385" s="202" t="s">
        <v>14</v>
      </c>
      <c r="E385" s="107" t="s">
        <v>145</v>
      </c>
      <c r="F385" s="211">
        <v>45462.0</v>
      </c>
      <c r="G385" s="226">
        <v>0.041666666666666664</v>
      </c>
      <c r="H385" s="107" t="s">
        <v>354</v>
      </c>
      <c r="I385" s="227" t="s">
        <v>354</v>
      </c>
      <c r="J385" s="227"/>
      <c r="K385" s="115" t="s">
        <v>565</v>
      </c>
      <c r="L385" s="228"/>
      <c r="M385" s="107" t="s">
        <v>428</v>
      </c>
      <c r="N385" s="229">
        <f>IF(AND(O385=TRUE,P385=TRUE), VLOOKUP($E385,PESSOAL!$B$35:$S$45,MONTH($F385)+6,FALSE)*G385*24,0)</f>
        <v>43.89521073</v>
      </c>
      <c r="O385" s="89" t="b">
        <f t="shared" si="1"/>
        <v>1</v>
      </c>
      <c r="P385" s="89" t="b">
        <v>1</v>
      </c>
      <c r="Q385" s="89" t="s">
        <v>212</v>
      </c>
    </row>
    <row r="386" hidden="1">
      <c r="A386" s="108"/>
      <c r="B386" s="202"/>
      <c r="C386" s="202" t="str">
        <f>VLOOKUP(M386,'#verificação horas por projeto'!A:B,2,FALSE)</f>
        <v>INOV00048</v>
      </c>
      <c r="D386" s="202" t="s">
        <v>34</v>
      </c>
      <c r="E386" s="107" t="s">
        <v>145</v>
      </c>
      <c r="F386" s="211">
        <v>45467.0</v>
      </c>
      <c r="G386" s="226">
        <v>0.125</v>
      </c>
      <c r="H386" s="107" t="s">
        <v>356</v>
      </c>
      <c r="I386" s="227" t="s">
        <v>356</v>
      </c>
      <c r="J386" s="227"/>
      <c r="K386" s="115" t="s">
        <v>590</v>
      </c>
      <c r="L386" s="228"/>
      <c r="M386" s="107" t="s">
        <v>587</v>
      </c>
      <c r="N386" s="229">
        <f>IF(AND(O386=TRUE,P386=TRUE), VLOOKUP($E386,PESSOAL!$B$35:$S$45,MONTH($F386)+6,FALSE)*G386*24,0)</f>
        <v>0</v>
      </c>
      <c r="O386" s="89" t="b">
        <f t="shared" si="1"/>
        <v>1</v>
      </c>
      <c r="P386" s="89" t="b">
        <v>0</v>
      </c>
      <c r="Q386" s="89" t="s">
        <v>212</v>
      </c>
    </row>
    <row r="387" hidden="1">
      <c r="A387" s="108"/>
      <c r="B387" s="202"/>
      <c r="C387" s="202" t="str">
        <f>VLOOKUP(M387,'#verificação horas por projeto'!A:B,2,FALSE)</f>
        <v>INOV00048</v>
      </c>
      <c r="D387" s="202" t="s">
        <v>34</v>
      </c>
      <c r="E387" s="107" t="s">
        <v>145</v>
      </c>
      <c r="F387" s="211">
        <v>45468.0</v>
      </c>
      <c r="G387" s="226">
        <v>0.19791666666666666</v>
      </c>
      <c r="H387" s="107" t="s">
        <v>356</v>
      </c>
      <c r="I387" s="227" t="s">
        <v>356</v>
      </c>
      <c r="J387" s="227"/>
      <c r="K387" s="115" t="s">
        <v>590</v>
      </c>
      <c r="L387" s="228"/>
      <c r="M387" s="107" t="s">
        <v>587</v>
      </c>
      <c r="N387" s="229">
        <f>IF(AND(O387=TRUE,P387=TRUE), VLOOKUP($E387,PESSOAL!$B$35:$S$45,MONTH($F387)+6,FALSE)*G387*24,0)</f>
        <v>0</v>
      </c>
      <c r="O387" s="89" t="b">
        <f t="shared" si="1"/>
        <v>1</v>
      </c>
      <c r="P387" s="89" t="b">
        <v>0</v>
      </c>
      <c r="Q387" s="89" t="s">
        <v>212</v>
      </c>
    </row>
    <row r="388" hidden="1">
      <c r="A388" s="108"/>
      <c r="B388" s="202"/>
      <c r="C388" s="202" t="str">
        <f>VLOOKUP(M388,'#verificação horas por projeto'!A:B,2,FALSE)</f>
        <v>INOV00024</v>
      </c>
      <c r="D388" s="202" t="s">
        <v>14</v>
      </c>
      <c r="E388" s="107" t="s">
        <v>145</v>
      </c>
      <c r="F388" s="211">
        <v>45469.0</v>
      </c>
      <c r="G388" s="226">
        <v>0.041666666666666664</v>
      </c>
      <c r="H388" s="107" t="s">
        <v>354</v>
      </c>
      <c r="I388" s="227" t="s">
        <v>354</v>
      </c>
      <c r="J388" s="227"/>
      <c r="K388" s="115" t="s">
        <v>565</v>
      </c>
      <c r="L388" s="228"/>
      <c r="M388" s="107" t="s">
        <v>428</v>
      </c>
      <c r="N388" s="229">
        <f>IF(AND(O388=TRUE,P388=TRUE), VLOOKUP($E388,PESSOAL!$B$35:$S$45,MONTH($F388)+6,FALSE)*G388*24,0)</f>
        <v>43.89521073</v>
      </c>
      <c r="O388" s="89" t="b">
        <f t="shared" si="1"/>
        <v>1</v>
      </c>
      <c r="P388" s="89" t="b">
        <v>1</v>
      </c>
      <c r="Q388" s="89" t="s">
        <v>212</v>
      </c>
    </row>
    <row r="389" hidden="1">
      <c r="A389" s="108"/>
      <c r="B389" s="202"/>
      <c r="C389" s="202" t="str">
        <f>VLOOKUP(M389,'#verificação horas por projeto'!A:B,2,FALSE)</f>
        <v>INOV00024</v>
      </c>
      <c r="D389" s="202" t="s">
        <v>14</v>
      </c>
      <c r="E389" s="107" t="s">
        <v>145</v>
      </c>
      <c r="F389" s="211">
        <v>45470.0</v>
      </c>
      <c r="G389" s="226">
        <v>0.041666666666666664</v>
      </c>
      <c r="H389" s="107" t="s">
        <v>354</v>
      </c>
      <c r="I389" s="227" t="s">
        <v>354</v>
      </c>
      <c r="J389" s="227"/>
      <c r="K389" s="115" t="s">
        <v>601</v>
      </c>
      <c r="L389" s="228"/>
      <c r="M389" s="107" t="s">
        <v>428</v>
      </c>
      <c r="N389" s="229">
        <f>IF(AND(O389=TRUE,P389=TRUE), VLOOKUP($E389,PESSOAL!$B$35:$S$45,MONTH($F389)+6,FALSE)*G389*24,0)</f>
        <v>43.89521073</v>
      </c>
      <c r="O389" s="89" t="b">
        <f t="shared" si="1"/>
        <v>1</v>
      </c>
      <c r="P389" s="89" t="b">
        <v>1</v>
      </c>
      <c r="Q389" s="89" t="s">
        <v>212</v>
      </c>
    </row>
    <row r="390" hidden="1">
      <c r="A390" s="108"/>
      <c r="B390" s="202"/>
      <c r="C390" s="202" t="str">
        <f>VLOOKUP(M390,'#verificação horas por projeto'!A:B,2,FALSE)</f>
        <v>INOV00048</v>
      </c>
      <c r="D390" s="202" t="s">
        <v>34</v>
      </c>
      <c r="E390" s="107" t="s">
        <v>145</v>
      </c>
      <c r="F390" s="211">
        <v>45470.0</v>
      </c>
      <c r="G390" s="226">
        <v>0.125</v>
      </c>
      <c r="H390" s="107" t="s">
        <v>356</v>
      </c>
      <c r="I390" s="227" t="s">
        <v>356</v>
      </c>
      <c r="J390" s="227"/>
      <c r="K390" s="115" t="s">
        <v>590</v>
      </c>
      <c r="L390" s="228"/>
      <c r="M390" s="107" t="s">
        <v>587</v>
      </c>
      <c r="N390" s="229">
        <f>IF(AND(O390=TRUE,P390=TRUE), VLOOKUP($E390,PESSOAL!$B$35:$S$45,MONTH($F390)+6,FALSE)*G390*24,0)</f>
        <v>0</v>
      </c>
      <c r="O390" s="89" t="b">
        <f t="shared" si="1"/>
        <v>1</v>
      </c>
      <c r="P390" s="89" t="b">
        <v>0</v>
      </c>
      <c r="Q390" s="89" t="s">
        <v>212</v>
      </c>
    </row>
    <row r="391" hidden="1">
      <c r="A391" s="108"/>
      <c r="B391" s="202"/>
      <c r="C391" s="202" t="str">
        <f>VLOOKUP(M391,'#verificação horas por projeto'!A:B,2,FALSE)</f>
        <v>INOV00001</v>
      </c>
      <c r="D391" s="202" t="s">
        <v>3</v>
      </c>
      <c r="E391" s="107" t="s">
        <v>144</v>
      </c>
      <c r="F391" s="211">
        <v>45558.0</v>
      </c>
      <c r="G391" s="226">
        <v>0.3854166666666667</v>
      </c>
      <c r="H391" s="107" t="s">
        <v>359</v>
      </c>
      <c r="I391" s="227" t="s">
        <v>356</v>
      </c>
      <c r="J391" s="227"/>
      <c r="K391" s="115" t="s">
        <v>602</v>
      </c>
      <c r="L391" s="228" t="s">
        <v>603</v>
      </c>
      <c r="M391" s="107" t="s">
        <v>386</v>
      </c>
      <c r="N391" s="229">
        <f>IF(AND(O391=TRUE,P391=TRUE), VLOOKUP($E391,PESSOAL!$B$35:$S$45,MONTH($F391)+6,FALSE)*G391*24,0)</f>
        <v>390.2235875</v>
      </c>
      <c r="O391" s="89" t="b">
        <f t="shared" si="1"/>
        <v>1</v>
      </c>
      <c r="P391" s="89" t="b">
        <v>1</v>
      </c>
      <c r="Q391" s="89" t="s">
        <v>212</v>
      </c>
    </row>
    <row r="392" hidden="1">
      <c r="A392" s="108"/>
      <c r="B392" s="202"/>
      <c r="C392" s="202" t="str">
        <f>VLOOKUP(M392,'#verificação horas por projeto'!A:B,2,FALSE)</f>
        <v>INOV00001</v>
      </c>
      <c r="D392" s="202" t="s">
        <v>3</v>
      </c>
      <c r="E392" s="107" t="s">
        <v>144</v>
      </c>
      <c r="F392" s="211">
        <v>45559.0</v>
      </c>
      <c r="G392" s="226">
        <v>0.2916666666666667</v>
      </c>
      <c r="H392" s="107" t="s">
        <v>356</v>
      </c>
      <c r="I392" s="227" t="s">
        <v>356</v>
      </c>
      <c r="J392" s="227"/>
      <c r="K392" s="115" t="s">
        <v>604</v>
      </c>
      <c r="L392" s="228"/>
      <c r="M392" s="107" t="s">
        <v>386</v>
      </c>
      <c r="N392" s="229">
        <f>IF(AND(O392=TRUE,P392=TRUE), VLOOKUP($E392,PESSOAL!$B$35:$S$45,MONTH($F392)+6,FALSE)*G392*24,0)</f>
        <v>295.3043365</v>
      </c>
      <c r="O392" s="89" t="b">
        <f t="shared" si="1"/>
        <v>1</v>
      </c>
      <c r="P392" s="89" t="b">
        <v>1</v>
      </c>
      <c r="Q392" s="89" t="s">
        <v>212</v>
      </c>
    </row>
    <row r="393" hidden="1">
      <c r="A393" s="108"/>
      <c r="B393" s="202"/>
      <c r="C393" s="202" t="str">
        <f>VLOOKUP(M393,'#verificação horas por projeto'!A:B,2,FALSE)</f>
        <v>INOV00001</v>
      </c>
      <c r="D393" s="202" t="s">
        <v>3</v>
      </c>
      <c r="E393" s="107" t="s">
        <v>144</v>
      </c>
      <c r="F393" s="211">
        <v>45560.0</v>
      </c>
      <c r="G393" s="226">
        <v>0.2916666666666667</v>
      </c>
      <c r="H393" s="107" t="s">
        <v>356</v>
      </c>
      <c r="I393" s="227" t="s">
        <v>356</v>
      </c>
      <c r="J393" s="227"/>
      <c r="K393" s="115" t="s">
        <v>604</v>
      </c>
      <c r="L393" s="228"/>
      <c r="M393" s="107" t="s">
        <v>386</v>
      </c>
      <c r="N393" s="229">
        <f>IF(AND(O393=TRUE,P393=TRUE), VLOOKUP($E393,PESSOAL!$B$35:$S$45,MONTH($F393)+6,FALSE)*G393*24,0)</f>
        <v>295.3043365</v>
      </c>
      <c r="O393" s="89" t="b">
        <f t="shared" si="1"/>
        <v>1</v>
      </c>
      <c r="P393" s="89" t="b">
        <v>1</v>
      </c>
      <c r="Q393" s="89" t="s">
        <v>212</v>
      </c>
    </row>
    <row r="394" hidden="1">
      <c r="A394" s="108"/>
      <c r="B394" s="202"/>
      <c r="C394" s="202" t="str">
        <f>VLOOKUP(M394,'#verificação horas por projeto'!A:B,2,FALSE)</f>
        <v>INOV00001</v>
      </c>
      <c r="D394" s="202" t="s">
        <v>3</v>
      </c>
      <c r="E394" s="107" t="s">
        <v>144</v>
      </c>
      <c r="F394" s="211">
        <v>45561.0</v>
      </c>
      <c r="G394" s="226">
        <v>0.23958333333333334</v>
      </c>
      <c r="H394" s="107" t="s">
        <v>359</v>
      </c>
      <c r="I394" s="227" t="s">
        <v>356</v>
      </c>
      <c r="J394" s="227"/>
      <c r="K394" s="115" t="s">
        <v>605</v>
      </c>
      <c r="L394" s="228" t="s">
        <v>603</v>
      </c>
      <c r="M394" s="107" t="s">
        <v>386</v>
      </c>
      <c r="N394" s="229">
        <f>IF(AND(O394=TRUE,P394=TRUE), VLOOKUP($E394,PESSOAL!$B$35:$S$45,MONTH($F394)+6,FALSE)*G394*24,0)</f>
        <v>242.5714192</v>
      </c>
      <c r="O394" s="89" t="b">
        <f t="shared" si="1"/>
        <v>1</v>
      </c>
      <c r="P394" s="89" t="b">
        <v>1</v>
      </c>
      <c r="Q394" s="89" t="s">
        <v>212</v>
      </c>
    </row>
    <row r="395" hidden="1">
      <c r="A395" s="108"/>
      <c r="B395" s="202"/>
      <c r="C395" s="202" t="str">
        <f>VLOOKUP(M395,'#verificação horas por projeto'!A:B,2,FALSE)</f>
        <v>INOV00001</v>
      </c>
      <c r="D395" s="202" t="s">
        <v>3</v>
      </c>
      <c r="E395" s="107" t="s">
        <v>144</v>
      </c>
      <c r="F395" s="211">
        <v>45548.0</v>
      </c>
      <c r="G395" s="226">
        <v>0.4166666666666667</v>
      </c>
      <c r="H395" s="107" t="s">
        <v>356</v>
      </c>
      <c r="I395" s="227" t="s">
        <v>356</v>
      </c>
      <c r="J395" s="227"/>
      <c r="K395" s="115" t="s">
        <v>606</v>
      </c>
      <c r="L395" s="228"/>
      <c r="M395" s="107" t="s">
        <v>386</v>
      </c>
      <c r="N395" s="229">
        <f>IF(AND(O395=TRUE,P395=TRUE), VLOOKUP($E395,PESSOAL!$B$35:$S$45,MONTH($F395)+6,FALSE)*G395*24,0)</f>
        <v>421.8633378</v>
      </c>
      <c r="O395" s="89" t="b">
        <f t="shared" si="1"/>
        <v>1</v>
      </c>
      <c r="P395" s="89" t="b">
        <v>1</v>
      </c>
      <c r="Q395" s="89" t="s">
        <v>212</v>
      </c>
    </row>
    <row r="396" hidden="1">
      <c r="A396" s="108"/>
      <c r="B396" s="202"/>
      <c r="C396" s="202" t="str">
        <f>VLOOKUP(M396,'#verificação horas por projeto'!A:B,2,FALSE)</f>
        <v>INOV00004</v>
      </c>
      <c r="D396" s="202" t="s">
        <v>4</v>
      </c>
      <c r="E396" s="107" t="s">
        <v>144</v>
      </c>
      <c r="F396" s="211">
        <v>45565.0</v>
      </c>
      <c r="G396" s="226">
        <v>0.6666666666666666</v>
      </c>
      <c r="H396" s="107" t="s">
        <v>354</v>
      </c>
      <c r="I396" s="227" t="s">
        <v>354</v>
      </c>
      <c r="J396" s="227"/>
      <c r="K396" s="115" t="s">
        <v>607</v>
      </c>
      <c r="L396" s="228"/>
      <c r="M396" s="107" t="s">
        <v>397</v>
      </c>
      <c r="N396" s="229">
        <f>IF(AND(O396=TRUE,P396=TRUE), VLOOKUP($E396,PESSOAL!$B$35:$S$45,MONTH($F396)+6,FALSE)*G396*24,0)</f>
        <v>674.9813405</v>
      </c>
      <c r="O396" s="89" t="b">
        <f t="shared" si="1"/>
        <v>1</v>
      </c>
      <c r="P396" s="89" t="b">
        <v>1</v>
      </c>
      <c r="Q396" s="89" t="s">
        <v>212</v>
      </c>
    </row>
    <row r="397" hidden="1">
      <c r="A397" s="108"/>
      <c r="B397" s="202"/>
      <c r="C397" s="202" t="str">
        <f>VLOOKUP(M397,'#verificação horas por projeto'!A:B,2,FALSE)</f>
        <v>INOV00001</v>
      </c>
      <c r="D397" s="202" t="s">
        <v>3</v>
      </c>
      <c r="E397" s="107" t="s">
        <v>144</v>
      </c>
      <c r="F397" s="211">
        <v>45561.0</v>
      </c>
      <c r="G397" s="226">
        <v>0.5625</v>
      </c>
      <c r="H397" s="107" t="s">
        <v>354</v>
      </c>
      <c r="I397" s="227" t="s">
        <v>354</v>
      </c>
      <c r="J397" s="227"/>
      <c r="K397" s="115" t="s">
        <v>608</v>
      </c>
      <c r="L397" s="228"/>
      <c r="M397" s="107" t="s">
        <v>386</v>
      </c>
      <c r="N397" s="229">
        <f>IF(AND(O397=TRUE,P397=TRUE), VLOOKUP($E397,PESSOAL!$B$35:$S$45,MONTH($F397)+6,FALSE)*G397*24,0)</f>
        <v>569.515506</v>
      </c>
      <c r="O397" s="89" t="b">
        <f t="shared" si="1"/>
        <v>1</v>
      </c>
      <c r="P397" s="89" t="b">
        <v>1</v>
      </c>
      <c r="Q397" s="89" t="s">
        <v>212</v>
      </c>
    </row>
    <row r="398" hidden="1">
      <c r="A398" s="108"/>
      <c r="B398" s="202"/>
      <c r="C398" s="202" t="str">
        <f>VLOOKUP(M398,'#verificação horas por projeto'!A:B,2,FALSE)</f>
        <v>INOV00001</v>
      </c>
      <c r="D398" s="202" t="s">
        <v>3</v>
      </c>
      <c r="E398" s="107" t="s">
        <v>144</v>
      </c>
      <c r="F398" s="211">
        <v>45562.0</v>
      </c>
      <c r="G398" s="226">
        <v>0.375</v>
      </c>
      <c r="H398" s="107" t="s">
        <v>354</v>
      </c>
      <c r="I398" s="227" t="s">
        <v>354</v>
      </c>
      <c r="J398" s="227"/>
      <c r="K398" s="115" t="s">
        <v>608</v>
      </c>
      <c r="L398" s="228"/>
      <c r="M398" s="107" t="s">
        <v>386</v>
      </c>
      <c r="N398" s="229">
        <f>IF(AND(O398=TRUE,P398=TRUE), VLOOKUP($E398,PESSOAL!$B$35:$S$45,MONTH($F398)+6,FALSE)*G398*24,0)</f>
        <v>379.677004</v>
      </c>
      <c r="O398" s="89" t="b">
        <f t="shared" si="1"/>
        <v>1</v>
      </c>
      <c r="P398" s="89" t="b">
        <v>1</v>
      </c>
      <c r="Q398" s="89" t="s">
        <v>212</v>
      </c>
    </row>
    <row r="399" hidden="1">
      <c r="A399" s="108"/>
      <c r="B399" s="202"/>
      <c r="C399" s="202" t="str">
        <f>VLOOKUP(M399,'#verificação horas por projeto'!A:B,2,FALSE)</f>
        <v>INOV00001</v>
      </c>
      <c r="D399" s="202" t="s">
        <v>3</v>
      </c>
      <c r="E399" s="107" t="s">
        <v>144</v>
      </c>
      <c r="F399" s="211">
        <v>45565.0</v>
      </c>
      <c r="G399" s="226">
        <v>0.5833333333333334</v>
      </c>
      <c r="H399" s="107" t="s">
        <v>354</v>
      </c>
      <c r="I399" s="227" t="s">
        <v>354</v>
      </c>
      <c r="J399" s="227"/>
      <c r="K399" s="115" t="s">
        <v>608</v>
      </c>
      <c r="L399" s="228"/>
      <c r="M399" s="107" t="s">
        <v>386</v>
      </c>
      <c r="N399" s="229">
        <f>IF(AND(O399=TRUE,P399=TRUE), VLOOKUP($E399,PESSOAL!$B$35:$S$45,MONTH($F399)+6,FALSE)*G399*24,0)</f>
        <v>590.6086729</v>
      </c>
      <c r="O399" s="89" t="b">
        <f t="shared" si="1"/>
        <v>1</v>
      </c>
      <c r="P399" s="89" t="b">
        <v>1</v>
      </c>
      <c r="Q399" s="89" t="s">
        <v>212</v>
      </c>
    </row>
    <row r="400" hidden="1">
      <c r="A400" s="108"/>
      <c r="B400" s="202"/>
      <c r="C400" s="202" t="str">
        <f>VLOOKUP(M400,'#verificação horas por projeto'!A:B,2,FALSE)</f>
        <v>INOV00017</v>
      </c>
      <c r="D400" s="202" t="s">
        <v>10</v>
      </c>
      <c r="E400" s="107" t="s">
        <v>144</v>
      </c>
      <c r="F400" s="211">
        <v>45477.0</v>
      </c>
      <c r="G400" s="226">
        <v>0.10416666666666667</v>
      </c>
      <c r="H400" s="107" t="s">
        <v>356</v>
      </c>
      <c r="I400" s="227" t="s">
        <v>356</v>
      </c>
      <c r="J400" s="227"/>
      <c r="K400" s="115" t="s">
        <v>609</v>
      </c>
      <c r="L400" s="228"/>
      <c r="M400" s="107" t="s">
        <v>389</v>
      </c>
      <c r="N400" s="229">
        <f>IF(AND(O400=TRUE,P400=TRUE), VLOOKUP($E400,PESSOAL!$B$35:$S$45,MONTH($F400)+6,FALSE)*G400*24,0)</f>
        <v>91.70933571</v>
      </c>
      <c r="O400" s="89" t="b">
        <f t="shared" si="1"/>
        <v>1</v>
      </c>
      <c r="P400" s="89" t="b">
        <v>1</v>
      </c>
      <c r="Q400" s="89" t="s">
        <v>212</v>
      </c>
    </row>
    <row r="401" hidden="1">
      <c r="A401" s="108"/>
      <c r="B401" s="202"/>
      <c r="C401" s="202" t="str">
        <f>VLOOKUP(M401,'#verificação horas por projeto'!A:B,2,FALSE)</f>
        <v>INOV00013</v>
      </c>
      <c r="D401" s="202" t="s">
        <v>7</v>
      </c>
      <c r="E401" s="107" t="s">
        <v>144</v>
      </c>
      <c r="F401" s="211">
        <v>45475.0</v>
      </c>
      <c r="G401" s="226">
        <v>0.020833333333333332</v>
      </c>
      <c r="H401" s="107" t="s">
        <v>356</v>
      </c>
      <c r="I401" s="227" t="s">
        <v>356</v>
      </c>
      <c r="J401" s="227"/>
      <c r="K401" s="115" t="s">
        <v>610</v>
      </c>
      <c r="L401" s="228"/>
      <c r="M401" s="107" t="s">
        <v>378</v>
      </c>
      <c r="N401" s="229">
        <f>IF(AND(O401=TRUE,P401=TRUE), VLOOKUP($E401,PESSOAL!$B$35:$S$45,MONTH($F401)+6,FALSE)*G401*24,0)</f>
        <v>18.34186714</v>
      </c>
      <c r="O401" s="89" t="b">
        <f t="shared" si="1"/>
        <v>1</v>
      </c>
      <c r="P401" s="89" t="b">
        <v>1</v>
      </c>
      <c r="Q401" s="89" t="s">
        <v>212</v>
      </c>
    </row>
    <row r="402" hidden="1">
      <c r="A402" s="108"/>
      <c r="B402" s="202"/>
      <c r="C402" s="202" t="str">
        <f>VLOOKUP(M402,'#verificação horas por projeto'!A:B,2,FALSE)</f>
        <v>INOV00017</v>
      </c>
      <c r="D402" s="202" t="s">
        <v>10</v>
      </c>
      <c r="E402" s="107" t="s">
        <v>144</v>
      </c>
      <c r="F402" s="211">
        <v>45482.0</v>
      </c>
      <c r="G402" s="226">
        <v>0.027777777777777776</v>
      </c>
      <c r="H402" s="107" t="s">
        <v>356</v>
      </c>
      <c r="I402" s="227" t="s">
        <v>356</v>
      </c>
      <c r="J402" s="227"/>
      <c r="K402" s="115" t="s">
        <v>611</v>
      </c>
      <c r="L402" s="228"/>
      <c r="M402" s="107" t="s">
        <v>389</v>
      </c>
      <c r="N402" s="229">
        <f>IF(AND(O402=TRUE,P402=TRUE), VLOOKUP($E402,PESSOAL!$B$35:$S$45,MONTH($F402)+6,FALSE)*G402*24,0)</f>
        <v>24.45582286</v>
      </c>
      <c r="O402" s="89" t="b">
        <f t="shared" si="1"/>
        <v>1</v>
      </c>
      <c r="P402" s="89" t="b">
        <v>1</v>
      </c>
      <c r="Q402" s="89" t="s">
        <v>212</v>
      </c>
    </row>
    <row r="403" hidden="1">
      <c r="A403" s="108"/>
      <c r="B403" s="202"/>
      <c r="C403" s="202" t="str">
        <f>VLOOKUP(M403,'#verificação horas por projeto'!A:B,2,FALSE)</f>
        <v>INOV00017</v>
      </c>
      <c r="D403" s="202" t="s">
        <v>10</v>
      </c>
      <c r="E403" s="107" t="s">
        <v>144</v>
      </c>
      <c r="F403" s="211">
        <v>45483.0</v>
      </c>
      <c r="G403" s="226">
        <v>0.03125</v>
      </c>
      <c r="H403" s="107" t="s">
        <v>356</v>
      </c>
      <c r="I403" s="227" t="s">
        <v>356</v>
      </c>
      <c r="J403" s="227"/>
      <c r="K403" s="115" t="s">
        <v>612</v>
      </c>
      <c r="L403" s="228"/>
      <c r="M403" s="107" t="s">
        <v>389</v>
      </c>
      <c r="N403" s="229">
        <f>IF(AND(O403=TRUE,P403=TRUE), VLOOKUP($E403,PESSOAL!$B$35:$S$45,MONTH($F403)+6,FALSE)*G403*24,0)</f>
        <v>27.51280071</v>
      </c>
      <c r="O403" s="89" t="b">
        <f t="shared" si="1"/>
        <v>1</v>
      </c>
      <c r="P403" s="89" t="b">
        <v>1</v>
      </c>
      <c r="Q403" s="89" t="s">
        <v>212</v>
      </c>
    </row>
    <row r="404" hidden="1">
      <c r="A404" s="108"/>
      <c r="B404" s="202"/>
      <c r="C404" s="202" t="str">
        <f>VLOOKUP(M404,'#verificação horas por projeto'!A:B,2,FALSE)</f>
        <v>INOV00017</v>
      </c>
      <c r="D404" s="202" t="s">
        <v>10</v>
      </c>
      <c r="E404" s="107" t="s">
        <v>144</v>
      </c>
      <c r="F404" s="211">
        <v>45483.0</v>
      </c>
      <c r="G404" s="226">
        <v>0.16666666666666666</v>
      </c>
      <c r="H404" s="107" t="s">
        <v>356</v>
      </c>
      <c r="I404" s="227" t="s">
        <v>356</v>
      </c>
      <c r="J404" s="227"/>
      <c r="K404" s="115" t="s">
        <v>613</v>
      </c>
      <c r="L404" s="228"/>
      <c r="M404" s="107" t="s">
        <v>389</v>
      </c>
      <c r="N404" s="229">
        <f>IF(AND(O404=TRUE,P404=TRUE), VLOOKUP($E404,PESSOAL!$B$35:$S$45,MONTH($F404)+6,FALSE)*G404*24,0)</f>
        <v>146.7349371</v>
      </c>
      <c r="O404" s="89" t="b">
        <f t="shared" si="1"/>
        <v>1</v>
      </c>
      <c r="P404" s="89" t="b">
        <v>1</v>
      </c>
      <c r="Q404" s="89" t="s">
        <v>212</v>
      </c>
    </row>
    <row r="405" hidden="1">
      <c r="A405" s="108"/>
      <c r="B405" s="202"/>
      <c r="C405" s="202" t="str">
        <f>VLOOKUP(M405,'#verificação horas por projeto'!A:B,2,FALSE)</f>
        <v>INOV00001</v>
      </c>
      <c r="D405" s="202" t="s">
        <v>3</v>
      </c>
      <c r="E405" s="107" t="s">
        <v>144</v>
      </c>
      <c r="F405" s="211">
        <v>45484.0</v>
      </c>
      <c r="G405" s="226">
        <v>0.020833333333333332</v>
      </c>
      <c r="H405" s="107" t="s">
        <v>354</v>
      </c>
      <c r="I405" s="227" t="s">
        <v>354</v>
      </c>
      <c r="J405" s="227"/>
      <c r="K405" s="115" t="s">
        <v>614</v>
      </c>
      <c r="L405" s="228"/>
      <c r="M405" s="107" t="s">
        <v>386</v>
      </c>
      <c r="N405" s="229">
        <f>IF(AND(O405=TRUE,P405=TRUE), VLOOKUP($E405,PESSOAL!$B$35:$S$45,MONTH($F405)+6,FALSE)*G405*24,0)</f>
        <v>18.34186714</v>
      </c>
      <c r="O405" s="89" t="b">
        <f t="shared" si="1"/>
        <v>1</v>
      </c>
      <c r="P405" s="89" t="b">
        <v>1</v>
      </c>
      <c r="Q405" s="89" t="s">
        <v>212</v>
      </c>
    </row>
    <row r="406" hidden="1">
      <c r="A406" s="108"/>
      <c r="B406" s="202"/>
      <c r="C406" s="202" t="str">
        <f>VLOOKUP(M406,'#verificação horas por projeto'!A:B,2,FALSE)</f>
        <v>INOV00001</v>
      </c>
      <c r="D406" s="202" t="s">
        <v>3</v>
      </c>
      <c r="E406" s="107" t="s">
        <v>144</v>
      </c>
      <c r="F406" s="211">
        <v>45484.0</v>
      </c>
      <c r="G406" s="226">
        <v>0.125</v>
      </c>
      <c r="H406" s="107" t="s">
        <v>354</v>
      </c>
      <c r="I406" s="227" t="s">
        <v>354</v>
      </c>
      <c r="J406" s="227"/>
      <c r="K406" s="115" t="s">
        <v>614</v>
      </c>
      <c r="L406" s="228"/>
      <c r="M406" s="107" t="s">
        <v>386</v>
      </c>
      <c r="N406" s="229">
        <f>IF(AND(O406=TRUE,P406=TRUE), VLOOKUP($E406,PESSOAL!$B$35:$S$45,MONTH($F406)+6,FALSE)*G406*24,0)</f>
        <v>110.0512029</v>
      </c>
      <c r="O406" s="89" t="b">
        <f t="shared" si="1"/>
        <v>1</v>
      </c>
      <c r="P406" s="89" t="b">
        <v>1</v>
      </c>
      <c r="Q406" s="89" t="s">
        <v>212</v>
      </c>
    </row>
    <row r="407" hidden="1">
      <c r="A407" s="108"/>
      <c r="B407" s="202"/>
      <c r="C407" s="202" t="str">
        <f>VLOOKUP(M407,'#verificação horas por projeto'!A:B,2,FALSE)</f>
        <v>INOV00001</v>
      </c>
      <c r="D407" s="202" t="s">
        <v>3</v>
      </c>
      <c r="E407" s="107" t="s">
        <v>144</v>
      </c>
      <c r="F407" s="211">
        <v>45484.0</v>
      </c>
      <c r="G407" s="226">
        <v>0.07291666666666667</v>
      </c>
      <c r="H407" s="107" t="s">
        <v>354</v>
      </c>
      <c r="I407" s="227" t="s">
        <v>354</v>
      </c>
      <c r="J407" s="227"/>
      <c r="K407" s="115" t="s">
        <v>615</v>
      </c>
      <c r="L407" s="228"/>
      <c r="M407" s="107" t="s">
        <v>386</v>
      </c>
      <c r="N407" s="229">
        <f>IF(AND(O407=TRUE,P407=TRUE), VLOOKUP($E407,PESSOAL!$B$35:$S$45,MONTH($F407)+6,FALSE)*G407*24,0)</f>
        <v>64.196535</v>
      </c>
      <c r="O407" s="89" t="b">
        <f t="shared" si="1"/>
        <v>1</v>
      </c>
      <c r="P407" s="89" t="b">
        <v>1</v>
      </c>
      <c r="Q407" s="89" t="s">
        <v>212</v>
      </c>
    </row>
    <row r="408" hidden="1">
      <c r="A408" s="108"/>
      <c r="B408" s="202"/>
      <c r="C408" s="202" t="str">
        <f>VLOOKUP(M408,'#verificação horas por projeto'!A:B,2,FALSE)</f>
        <v>INOV00017</v>
      </c>
      <c r="D408" s="202" t="s">
        <v>10</v>
      </c>
      <c r="E408" s="107" t="s">
        <v>144</v>
      </c>
      <c r="F408" s="211">
        <v>45488.0</v>
      </c>
      <c r="G408" s="226">
        <v>0.059027777777777776</v>
      </c>
      <c r="H408" s="107" t="s">
        <v>354</v>
      </c>
      <c r="I408" s="227" t="s">
        <v>354</v>
      </c>
      <c r="J408" s="227"/>
      <c r="K408" s="115" t="s">
        <v>616</v>
      </c>
      <c r="L408" s="228"/>
      <c r="M408" s="107" t="s">
        <v>389</v>
      </c>
      <c r="N408" s="229">
        <f>IF(AND(O408=TRUE,P408=TRUE), VLOOKUP($E408,PESSOAL!$B$35:$S$45,MONTH($F408)+6,FALSE)*G408*24,0)</f>
        <v>51.96862357</v>
      </c>
      <c r="O408" s="89" t="b">
        <f t="shared" si="1"/>
        <v>1</v>
      </c>
      <c r="P408" s="89" t="b">
        <v>1</v>
      </c>
      <c r="Q408" s="89" t="s">
        <v>212</v>
      </c>
    </row>
    <row r="409" hidden="1">
      <c r="A409" s="108"/>
      <c r="B409" s="202"/>
      <c r="C409" s="202" t="str">
        <f>VLOOKUP(M409,'#verificação horas por projeto'!A:B,2,FALSE)</f>
        <v>INOV00001</v>
      </c>
      <c r="D409" s="202" t="s">
        <v>3</v>
      </c>
      <c r="E409" s="107" t="s">
        <v>144</v>
      </c>
      <c r="F409" s="211">
        <v>45489.0</v>
      </c>
      <c r="G409" s="226">
        <v>0.041666666666666664</v>
      </c>
      <c r="H409" s="107" t="s">
        <v>356</v>
      </c>
      <c r="I409" s="227" t="s">
        <v>356</v>
      </c>
      <c r="J409" s="227"/>
      <c r="K409" s="115" t="s">
        <v>617</v>
      </c>
      <c r="L409" s="228"/>
      <c r="M409" s="107" t="s">
        <v>386</v>
      </c>
      <c r="N409" s="229">
        <f>IF(AND(O409=TRUE,P409=TRUE), VLOOKUP($E409,PESSOAL!$B$35:$S$45,MONTH($F409)+6,FALSE)*G409*24,0)</f>
        <v>36.68373428</v>
      </c>
      <c r="O409" s="89" t="b">
        <f t="shared" si="1"/>
        <v>1</v>
      </c>
      <c r="P409" s="89" t="b">
        <v>1</v>
      </c>
      <c r="Q409" s="89" t="s">
        <v>212</v>
      </c>
    </row>
    <row r="410" hidden="1">
      <c r="A410" s="108"/>
      <c r="B410" s="202"/>
      <c r="C410" s="202" t="str">
        <f>VLOOKUP(M410,'#verificação horas por projeto'!A:B,2,FALSE)</f>
        <v>INOV00017</v>
      </c>
      <c r="D410" s="202" t="s">
        <v>10</v>
      </c>
      <c r="E410" s="107" t="s">
        <v>144</v>
      </c>
      <c r="F410" s="211">
        <v>45489.0</v>
      </c>
      <c r="G410" s="226">
        <v>0.0625</v>
      </c>
      <c r="H410" s="107" t="s">
        <v>354</v>
      </c>
      <c r="I410" s="227" t="s">
        <v>354</v>
      </c>
      <c r="J410" s="227"/>
      <c r="K410" s="115" t="s">
        <v>613</v>
      </c>
      <c r="L410" s="228"/>
      <c r="M410" s="107" t="s">
        <v>389</v>
      </c>
      <c r="N410" s="229">
        <f>IF(AND(O410=TRUE,P410=TRUE), VLOOKUP($E410,PESSOAL!$B$35:$S$45,MONTH($F410)+6,FALSE)*G410*24,0)</f>
        <v>55.02560143</v>
      </c>
      <c r="O410" s="89" t="b">
        <f t="shared" si="1"/>
        <v>1</v>
      </c>
      <c r="P410" s="89" t="b">
        <v>1</v>
      </c>
      <c r="Q410" s="89" t="s">
        <v>212</v>
      </c>
    </row>
    <row r="411" hidden="1">
      <c r="A411" s="108"/>
      <c r="B411" s="202"/>
      <c r="C411" s="202" t="str">
        <f>VLOOKUP(M411,'#verificação horas por projeto'!A:B,2,FALSE)</f>
        <v>INOV00028</v>
      </c>
      <c r="D411" s="202" t="s">
        <v>247</v>
      </c>
      <c r="E411" s="107" t="s">
        <v>144</v>
      </c>
      <c r="F411" s="211">
        <v>45490.0</v>
      </c>
      <c r="G411" s="226">
        <v>0.10416666666666667</v>
      </c>
      <c r="H411" s="107" t="s">
        <v>354</v>
      </c>
      <c r="I411" s="227" t="s">
        <v>354</v>
      </c>
      <c r="J411" s="227"/>
      <c r="K411" s="115" t="s">
        <v>618</v>
      </c>
      <c r="L411" s="228"/>
      <c r="M411" s="107" t="s">
        <v>433</v>
      </c>
      <c r="N411" s="229">
        <f>IF(AND(O411=TRUE,P411=TRUE), VLOOKUP($E411,PESSOAL!$B$35:$S$45,MONTH($F411)+6,FALSE)*G411*24,0)</f>
        <v>0</v>
      </c>
      <c r="O411" s="89" t="b">
        <f t="shared" si="1"/>
        <v>1</v>
      </c>
      <c r="P411" s="89" t="b">
        <v>0</v>
      </c>
      <c r="Q411" s="89" t="s">
        <v>212</v>
      </c>
    </row>
    <row r="412" hidden="1">
      <c r="A412" s="108"/>
      <c r="B412" s="202"/>
      <c r="C412" s="202" t="str">
        <f>VLOOKUP(M412,'#verificação horas por projeto'!A:B,2,FALSE)</f>
        <v>INOV00028</v>
      </c>
      <c r="D412" s="202" t="s">
        <v>247</v>
      </c>
      <c r="E412" s="107" t="s">
        <v>144</v>
      </c>
      <c r="F412" s="211">
        <v>45490.0</v>
      </c>
      <c r="G412" s="226">
        <v>0.03125</v>
      </c>
      <c r="H412" s="107" t="s">
        <v>354</v>
      </c>
      <c r="I412" s="227" t="s">
        <v>354</v>
      </c>
      <c r="J412" s="227"/>
      <c r="K412" s="115" t="s">
        <v>619</v>
      </c>
      <c r="L412" s="228"/>
      <c r="M412" s="107" t="s">
        <v>433</v>
      </c>
      <c r="N412" s="229">
        <f>IF(AND(O412=TRUE,P412=TRUE), VLOOKUP($E412,PESSOAL!$B$35:$S$45,MONTH($F412)+6,FALSE)*G412*24,0)</f>
        <v>0</v>
      </c>
      <c r="O412" s="89" t="b">
        <f t="shared" si="1"/>
        <v>1</v>
      </c>
      <c r="P412" s="89" t="b">
        <v>0</v>
      </c>
      <c r="Q412" s="89" t="s">
        <v>212</v>
      </c>
    </row>
    <row r="413" hidden="1">
      <c r="A413" s="108"/>
      <c r="B413" s="202"/>
      <c r="C413" s="202" t="str">
        <f>VLOOKUP(M413,'#verificação horas por projeto'!A:B,2,FALSE)</f>
        <v>INOV00001</v>
      </c>
      <c r="D413" s="202" t="s">
        <v>3</v>
      </c>
      <c r="E413" s="107" t="s">
        <v>144</v>
      </c>
      <c r="F413" s="211">
        <v>45491.0</v>
      </c>
      <c r="G413" s="226">
        <v>0.052083333333333336</v>
      </c>
      <c r="H413" s="107" t="s">
        <v>354</v>
      </c>
      <c r="I413" s="227" t="s">
        <v>354</v>
      </c>
      <c r="J413" s="227"/>
      <c r="K413" s="115" t="s">
        <v>614</v>
      </c>
      <c r="L413" s="228"/>
      <c r="M413" s="107" t="s">
        <v>386</v>
      </c>
      <c r="N413" s="229">
        <f>IF(AND(O413=TRUE,P413=TRUE), VLOOKUP($E413,PESSOAL!$B$35:$S$45,MONTH($F413)+6,FALSE)*G413*24,0)</f>
        <v>45.85466786</v>
      </c>
      <c r="O413" s="89" t="b">
        <f t="shared" si="1"/>
        <v>1</v>
      </c>
      <c r="P413" s="89" t="b">
        <v>1</v>
      </c>
      <c r="Q413" s="89" t="s">
        <v>212</v>
      </c>
    </row>
    <row r="414" hidden="1">
      <c r="A414" s="108"/>
      <c r="B414" s="202"/>
      <c r="C414" s="202" t="str">
        <f>VLOOKUP(M414,'#verificação horas por projeto'!A:B,2,FALSE)</f>
        <v>INOV00028</v>
      </c>
      <c r="D414" s="202" t="s">
        <v>247</v>
      </c>
      <c r="E414" s="107" t="s">
        <v>144</v>
      </c>
      <c r="F414" s="211">
        <v>45491.0</v>
      </c>
      <c r="G414" s="226">
        <v>0.10416666666666667</v>
      </c>
      <c r="H414" s="107" t="s">
        <v>354</v>
      </c>
      <c r="I414" s="227" t="s">
        <v>354</v>
      </c>
      <c r="J414" s="227"/>
      <c r="K414" s="115" t="s">
        <v>618</v>
      </c>
      <c r="L414" s="228"/>
      <c r="M414" s="107" t="s">
        <v>433</v>
      </c>
      <c r="N414" s="229">
        <f>IF(AND(O414=TRUE,P414=TRUE), VLOOKUP($E414,PESSOAL!$B$35:$S$45,MONTH($F414)+6,FALSE)*G414*24,0)</f>
        <v>0</v>
      </c>
      <c r="O414" s="89" t="b">
        <f t="shared" si="1"/>
        <v>1</v>
      </c>
      <c r="P414" s="89" t="b">
        <v>0</v>
      </c>
      <c r="Q414" s="89" t="s">
        <v>212</v>
      </c>
    </row>
    <row r="415" hidden="1">
      <c r="A415" s="108"/>
      <c r="B415" s="202"/>
      <c r="C415" s="202" t="str">
        <f>VLOOKUP(M415,'#verificação horas por projeto'!A:B,2,FALSE)</f>
        <v>INOV00028</v>
      </c>
      <c r="D415" s="202" t="s">
        <v>247</v>
      </c>
      <c r="E415" s="107" t="s">
        <v>144</v>
      </c>
      <c r="F415" s="211">
        <v>45491.0</v>
      </c>
      <c r="G415" s="226">
        <v>0.0763888888888889</v>
      </c>
      <c r="H415" s="107" t="s">
        <v>354</v>
      </c>
      <c r="I415" s="227" t="s">
        <v>354</v>
      </c>
      <c r="J415" s="227"/>
      <c r="K415" s="115" t="s">
        <v>618</v>
      </c>
      <c r="L415" s="228"/>
      <c r="M415" s="107" t="s">
        <v>433</v>
      </c>
      <c r="N415" s="229">
        <f>IF(AND(O415=TRUE,P415=TRUE), VLOOKUP($E415,PESSOAL!$B$35:$S$45,MONTH($F415)+6,FALSE)*G415*24,0)</f>
        <v>0</v>
      </c>
      <c r="O415" s="89" t="b">
        <f t="shared" si="1"/>
        <v>1</v>
      </c>
      <c r="P415" s="89" t="b">
        <v>0</v>
      </c>
      <c r="Q415" s="89" t="s">
        <v>212</v>
      </c>
    </row>
    <row r="416" hidden="1">
      <c r="A416" s="108"/>
      <c r="B416" s="202"/>
      <c r="C416" s="202" t="str">
        <f>VLOOKUP(M416,'#verificação horas por projeto'!A:B,2,FALSE)</f>
        <v>INOV00017</v>
      </c>
      <c r="D416" s="202" t="s">
        <v>10</v>
      </c>
      <c r="E416" s="107" t="s">
        <v>144</v>
      </c>
      <c r="F416" s="211">
        <v>45495.0</v>
      </c>
      <c r="G416" s="226">
        <v>0.04861111111111111</v>
      </c>
      <c r="H416" s="107" t="s">
        <v>354</v>
      </c>
      <c r="I416" s="227" t="s">
        <v>354</v>
      </c>
      <c r="J416" s="227"/>
      <c r="K416" s="115" t="s">
        <v>620</v>
      </c>
      <c r="L416" s="228"/>
      <c r="M416" s="107" t="s">
        <v>389</v>
      </c>
      <c r="N416" s="229">
        <f>IF(AND(O416=TRUE,P416=TRUE), VLOOKUP($E416,PESSOAL!$B$35:$S$45,MONTH($F416)+6,FALSE)*G416*24,0)</f>
        <v>42.79769</v>
      </c>
      <c r="O416" s="89" t="b">
        <f t="shared" si="1"/>
        <v>1</v>
      </c>
      <c r="P416" s="89" t="b">
        <v>1</v>
      </c>
      <c r="Q416" s="89" t="s">
        <v>212</v>
      </c>
    </row>
    <row r="417" hidden="1">
      <c r="A417" s="108"/>
      <c r="B417" s="202"/>
      <c r="C417" s="202" t="str">
        <f>VLOOKUP(M417,'#verificação horas por projeto'!A:B,2,FALSE)</f>
        <v>INOV00040</v>
      </c>
      <c r="D417" s="202" t="s">
        <v>251</v>
      </c>
      <c r="E417" s="107" t="s">
        <v>144</v>
      </c>
      <c r="F417" s="211">
        <v>45504.0</v>
      </c>
      <c r="G417" s="226">
        <v>0.041666666666666664</v>
      </c>
      <c r="H417" s="107" t="s">
        <v>354</v>
      </c>
      <c r="I417" s="227" t="s">
        <v>354</v>
      </c>
      <c r="J417" s="227"/>
      <c r="K417" s="115" t="s">
        <v>621</v>
      </c>
      <c r="L417" s="228"/>
      <c r="M417" s="107" t="s">
        <v>547</v>
      </c>
      <c r="N417" s="229">
        <f>IF(AND(O417=TRUE,P417=TRUE), VLOOKUP($E417,PESSOAL!$B$35:$S$45,MONTH($F417)+6,FALSE)*G417*24,0)</f>
        <v>0</v>
      </c>
      <c r="O417" s="89" t="b">
        <f t="shared" si="1"/>
        <v>1</v>
      </c>
      <c r="P417" s="89" t="b">
        <v>0</v>
      </c>
      <c r="Q417" s="89" t="s">
        <v>212</v>
      </c>
    </row>
    <row r="418" hidden="1">
      <c r="A418" s="108"/>
      <c r="B418" s="202"/>
      <c r="C418" s="202" t="str">
        <f>VLOOKUP(M418,'#verificação horas por projeto'!A:B,2,FALSE)</f>
        <v>INOV00001</v>
      </c>
      <c r="D418" s="202" t="s">
        <v>3</v>
      </c>
      <c r="E418" s="107" t="s">
        <v>146</v>
      </c>
      <c r="F418" s="211">
        <v>45477.0</v>
      </c>
      <c r="G418" s="226">
        <v>0.041666666666666664</v>
      </c>
      <c r="H418" s="107" t="s">
        <v>354</v>
      </c>
      <c r="I418" s="227" t="s">
        <v>354</v>
      </c>
      <c r="J418" s="227"/>
      <c r="K418" s="115" t="s">
        <v>622</v>
      </c>
      <c r="L418" s="228"/>
      <c r="M418" s="107" t="s">
        <v>386</v>
      </c>
      <c r="N418" s="229">
        <f>IF(AND(O418=TRUE,P418=TRUE), VLOOKUP($E418,PESSOAL!$B$35:$S$45,MONTH($F418)+6,FALSE)*G418*24,0)</f>
        <v>57.76683487</v>
      </c>
      <c r="O418" s="89" t="b">
        <f t="shared" si="1"/>
        <v>1</v>
      </c>
      <c r="P418" s="89" t="b">
        <v>1</v>
      </c>
      <c r="Q418" s="89" t="s">
        <v>212</v>
      </c>
    </row>
    <row r="419" hidden="1">
      <c r="A419" s="108"/>
      <c r="B419" s="202"/>
      <c r="C419" s="202" t="str">
        <f>VLOOKUP(M419,'#verificação horas por projeto'!A:B,2,FALSE)</f>
        <v>INOV00001</v>
      </c>
      <c r="D419" s="202" t="s">
        <v>3</v>
      </c>
      <c r="E419" s="107" t="s">
        <v>146</v>
      </c>
      <c r="F419" s="211">
        <v>45478.0</v>
      </c>
      <c r="G419" s="226">
        <v>0.041666666666666664</v>
      </c>
      <c r="H419" s="107" t="s">
        <v>356</v>
      </c>
      <c r="I419" s="227" t="s">
        <v>356</v>
      </c>
      <c r="J419" s="227"/>
      <c r="K419" s="115" t="s">
        <v>623</v>
      </c>
      <c r="L419" s="228"/>
      <c r="M419" s="107" t="s">
        <v>386</v>
      </c>
      <c r="N419" s="229">
        <f>IF(AND(O419=TRUE,P419=TRUE), VLOOKUP($E419,PESSOAL!$B$35:$S$45,MONTH($F419)+6,FALSE)*G419*24,0)</f>
        <v>57.76683487</v>
      </c>
      <c r="O419" s="89" t="b">
        <f t="shared" si="1"/>
        <v>1</v>
      </c>
      <c r="P419" s="89" t="b">
        <v>1</v>
      </c>
      <c r="Q419" s="89" t="s">
        <v>212</v>
      </c>
    </row>
    <row r="420" hidden="1">
      <c r="A420" s="108"/>
      <c r="B420" s="202"/>
      <c r="C420" s="202" t="str">
        <f>VLOOKUP(M420,'#verificação horas por projeto'!A:B,2,FALSE)</f>
        <v>INOV00001</v>
      </c>
      <c r="D420" s="202" t="s">
        <v>3</v>
      </c>
      <c r="E420" s="107" t="s">
        <v>146</v>
      </c>
      <c r="F420" s="211">
        <v>45481.0</v>
      </c>
      <c r="G420" s="226">
        <v>0.0625</v>
      </c>
      <c r="H420" s="107" t="s">
        <v>356</v>
      </c>
      <c r="I420" s="227" t="s">
        <v>356</v>
      </c>
      <c r="J420" s="227"/>
      <c r="K420" s="115" t="s">
        <v>624</v>
      </c>
      <c r="L420" s="228"/>
      <c r="M420" s="107" t="s">
        <v>386</v>
      </c>
      <c r="N420" s="229">
        <f>IF(AND(O420=TRUE,P420=TRUE), VLOOKUP($E420,PESSOAL!$B$35:$S$45,MONTH($F420)+6,FALSE)*G420*24,0)</f>
        <v>86.65025231</v>
      </c>
      <c r="O420" s="89" t="b">
        <f t="shared" si="1"/>
        <v>1</v>
      </c>
      <c r="P420" s="89" t="b">
        <v>1</v>
      </c>
      <c r="Q420" s="89" t="s">
        <v>212</v>
      </c>
    </row>
    <row r="421" hidden="1">
      <c r="A421" s="108"/>
      <c r="B421" s="202"/>
      <c r="C421" s="202" t="str">
        <f>VLOOKUP(M421,'#verificação horas por projeto'!A:B,2,FALSE)</f>
        <v>INOV00001</v>
      </c>
      <c r="D421" s="202" t="s">
        <v>3</v>
      </c>
      <c r="E421" s="107" t="s">
        <v>146</v>
      </c>
      <c r="F421" s="211">
        <v>45483.0</v>
      </c>
      <c r="G421" s="226">
        <v>0.041666666666666664</v>
      </c>
      <c r="H421" s="107" t="s">
        <v>356</v>
      </c>
      <c r="I421" s="227" t="s">
        <v>356</v>
      </c>
      <c r="J421" s="227"/>
      <c r="K421" s="115" t="s">
        <v>625</v>
      </c>
      <c r="L421" s="228"/>
      <c r="M421" s="107" t="s">
        <v>386</v>
      </c>
      <c r="N421" s="229">
        <f>IF(AND(O421=TRUE,P421=TRUE), VLOOKUP($E421,PESSOAL!$B$35:$S$45,MONTH($F421)+6,FALSE)*G421*24,0)</f>
        <v>57.76683487</v>
      </c>
      <c r="O421" s="89" t="b">
        <f t="shared" si="1"/>
        <v>1</v>
      </c>
      <c r="P421" s="89" t="b">
        <v>1</v>
      </c>
      <c r="Q421" s="89" t="s">
        <v>212</v>
      </c>
    </row>
    <row r="422" hidden="1">
      <c r="A422" s="108"/>
      <c r="B422" s="202"/>
      <c r="C422" s="202" t="str">
        <f>VLOOKUP(M422,'#verificação horas por projeto'!A:B,2,FALSE)</f>
        <v>INOV00001</v>
      </c>
      <c r="D422" s="202" t="s">
        <v>3</v>
      </c>
      <c r="E422" s="107" t="s">
        <v>146</v>
      </c>
      <c r="F422" s="211">
        <v>45483.0</v>
      </c>
      <c r="G422" s="226">
        <v>0.041666666666666664</v>
      </c>
      <c r="H422" s="107" t="s">
        <v>356</v>
      </c>
      <c r="I422" s="227" t="s">
        <v>356</v>
      </c>
      <c r="J422" s="227"/>
      <c r="K422" s="115" t="s">
        <v>626</v>
      </c>
      <c r="L422" s="228"/>
      <c r="M422" s="107" t="s">
        <v>386</v>
      </c>
      <c r="N422" s="229">
        <f>IF(AND(O422=TRUE,P422=TRUE), VLOOKUP($E422,PESSOAL!$B$35:$S$45,MONTH($F422)+6,FALSE)*G422*24,0)</f>
        <v>57.76683487</v>
      </c>
      <c r="O422" s="89" t="b">
        <f t="shared" si="1"/>
        <v>1</v>
      </c>
      <c r="P422" s="89" t="b">
        <v>1</v>
      </c>
      <c r="Q422" s="89" t="s">
        <v>212</v>
      </c>
    </row>
    <row r="423" hidden="1">
      <c r="A423" s="108"/>
      <c r="B423" s="202"/>
      <c r="C423" s="202" t="str">
        <f>VLOOKUP(M423,'#verificação horas por projeto'!A:B,2,FALSE)</f>
        <v>INOV00001</v>
      </c>
      <c r="D423" s="202" t="s">
        <v>3</v>
      </c>
      <c r="E423" s="107" t="s">
        <v>146</v>
      </c>
      <c r="F423" s="211">
        <v>45484.0</v>
      </c>
      <c r="G423" s="226">
        <v>0.08333333333333333</v>
      </c>
      <c r="H423" s="107" t="s">
        <v>356</v>
      </c>
      <c r="I423" s="227" t="s">
        <v>356</v>
      </c>
      <c r="J423" s="227"/>
      <c r="K423" s="115" t="s">
        <v>627</v>
      </c>
      <c r="L423" s="228"/>
      <c r="M423" s="107" t="s">
        <v>386</v>
      </c>
      <c r="N423" s="229">
        <f>IF(AND(O423=TRUE,P423=TRUE), VLOOKUP($E423,PESSOAL!$B$35:$S$45,MONTH($F423)+6,FALSE)*G423*24,0)</f>
        <v>115.5336697</v>
      </c>
      <c r="O423" s="89" t="b">
        <f t="shared" si="1"/>
        <v>1</v>
      </c>
      <c r="P423" s="89" t="b">
        <v>1</v>
      </c>
      <c r="Q423" s="89" t="s">
        <v>212</v>
      </c>
    </row>
    <row r="424" hidden="1">
      <c r="A424" s="108"/>
      <c r="B424" s="202"/>
      <c r="C424" s="202" t="str">
        <f>VLOOKUP(M424,'#verificação horas por projeto'!A:B,2,FALSE)</f>
        <v>INOV00001</v>
      </c>
      <c r="D424" s="202" t="s">
        <v>3</v>
      </c>
      <c r="E424" s="107" t="s">
        <v>146</v>
      </c>
      <c r="F424" s="211">
        <v>45485.0</v>
      </c>
      <c r="G424" s="226">
        <v>0.08333333333333333</v>
      </c>
      <c r="H424" s="107" t="s">
        <v>356</v>
      </c>
      <c r="I424" s="227" t="s">
        <v>356</v>
      </c>
      <c r="J424" s="227"/>
      <c r="K424" s="115" t="s">
        <v>628</v>
      </c>
      <c r="L424" s="228"/>
      <c r="M424" s="107" t="s">
        <v>386</v>
      </c>
      <c r="N424" s="229">
        <f>IF(AND(O424=TRUE,P424=TRUE), VLOOKUP($E424,PESSOAL!$B$35:$S$45,MONTH($F424)+6,FALSE)*G424*24,0)</f>
        <v>115.5336697</v>
      </c>
      <c r="O424" s="89" t="b">
        <f t="shared" si="1"/>
        <v>1</v>
      </c>
      <c r="P424" s="89" t="b">
        <v>1</v>
      </c>
      <c r="Q424" s="89" t="s">
        <v>212</v>
      </c>
    </row>
    <row r="425" hidden="1">
      <c r="A425" s="108"/>
      <c r="B425" s="202"/>
      <c r="C425" s="202" t="str">
        <f>VLOOKUP(M425,'#verificação horas por projeto'!A:B,2,FALSE)</f>
        <v>INOV00001</v>
      </c>
      <c r="D425" s="202" t="s">
        <v>3</v>
      </c>
      <c r="E425" s="107" t="s">
        <v>146</v>
      </c>
      <c r="F425" s="211">
        <v>45489.0</v>
      </c>
      <c r="G425" s="226">
        <v>0.16666666666666666</v>
      </c>
      <c r="H425" s="107" t="s">
        <v>354</v>
      </c>
      <c r="I425" s="227" t="s">
        <v>354</v>
      </c>
      <c r="J425" s="227"/>
      <c r="K425" s="115" t="s">
        <v>629</v>
      </c>
      <c r="L425" s="228"/>
      <c r="M425" s="107" t="s">
        <v>386</v>
      </c>
      <c r="N425" s="229">
        <f>IF(AND(O425=TRUE,P425=TRUE), VLOOKUP($E425,PESSOAL!$B$35:$S$45,MONTH($F425)+6,FALSE)*G425*24,0)</f>
        <v>231.0673395</v>
      </c>
      <c r="O425" s="89" t="b">
        <f t="shared" si="1"/>
        <v>1</v>
      </c>
      <c r="P425" s="89" t="b">
        <v>1</v>
      </c>
      <c r="Q425" s="89" t="s">
        <v>212</v>
      </c>
    </row>
    <row r="426" hidden="1">
      <c r="A426" s="108"/>
      <c r="B426" s="202"/>
      <c r="C426" s="202" t="str">
        <f>VLOOKUP(M426,'#verificação horas por projeto'!A:B,2,FALSE)</f>
        <v>INOV00001</v>
      </c>
      <c r="D426" s="202" t="s">
        <v>3</v>
      </c>
      <c r="E426" s="107" t="s">
        <v>146</v>
      </c>
      <c r="F426" s="211">
        <v>45491.0</v>
      </c>
      <c r="G426" s="226">
        <v>0.14583333333333334</v>
      </c>
      <c r="H426" s="107" t="s">
        <v>354</v>
      </c>
      <c r="I426" s="227" t="s">
        <v>354</v>
      </c>
      <c r="J426" s="227"/>
      <c r="K426" s="115" t="s">
        <v>630</v>
      </c>
      <c r="L426" s="228"/>
      <c r="M426" s="107" t="s">
        <v>386</v>
      </c>
      <c r="N426" s="229">
        <f>IF(AND(O426=TRUE,P426=TRUE), VLOOKUP($E426,PESSOAL!$B$35:$S$45,MONTH($F426)+6,FALSE)*G426*24,0)</f>
        <v>202.1839221</v>
      </c>
      <c r="O426" s="89" t="b">
        <f t="shared" si="1"/>
        <v>1</v>
      </c>
      <c r="P426" s="89" t="b">
        <v>1</v>
      </c>
      <c r="Q426" s="89" t="s">
        <v>212</v>
      </c>
    </row>
    <row r="427" hidden="1">
      <c r="A427" s="108"/>
      <c r="B427" s="202"/>
      <c r="C427" s="202" t="str">
        <f>VLOOKUP(M427,'#verificação horas por projeto'!A:B,2,FALSE)</f>
        <v>INOV00001</v>
      </c>
      <c r="D427" s="202" t="s">
        <v>3</v>
      </c>
      <c r="E427" s="107" t="s">
        <v>146</v>
      </c>
      <c r="F427" s="211">
        <v>45492.0</v>
      </c>
      <c r="G427" s="226">
        <v>0.0625</v>
      </c>
      <c r="H427" s="107" t="s">
        <v>354</v>
      </c>
      <c r="I427" s="227" t="s">
        <v>354</v>
      </c>
      <c r="J427" s="227"/>
      <c r="K427" s="115" t="s">
        <v>631</v>
      </c>
      <c r="L427" s="228"/>
      <c r="M427" s="107" t="s">
        <v>386</v>
      </c>
      <c r="N427" s="229">
        <f>IF(AND(O427=TRUE,P427=TRUE), VLOOKUP($E427,PESSOAL!$B$35:$S$45,MONTH($F427)+6,FALSE)*G427*24,0)</f>
        <v>86.65025231</v>
      </c>
      <c r="O427" s="89" t="b">
        <f t="shared" si="1"/>
        <v>1</v>
      </c>
      <c r="P427" s="89" t="b">
        <v>1</v>
      </c>
      <c r="Q427" s="89" t="s">
        <v>212</v>
      </c>
    </row>
    <row r="428" hidden="1">
      <c r="A428" s="108"/>
      <c r="B428" s="202"/>
      <c r="C428" s="202" t="str">
        <f>VLOOKUP(M428,'#verificação horas por projeto'!A:B,2,FALSE)</f>
        <v>INOV00001</v>
      </c>
      <c r="D428" s="202" t="s">
        <v>3</v>
      </c>
      <c r="E428" s="107" t="s">
        <v>146</v>
      </c>
      <c r="F428" s="211">
        <v>45495.0</v>
      </c>
      <c r="G428" s="226">
        <v>0.08333333333333333</v>
      </c>
      <c r="H428" s="107" t="s">
        <v>356</v>
      </c>
      <c r="I428" s="227" t="s">
        <v>356</v>
      </c>
      <c r="J428" s="227"/>
      <c r="K428" s="115" t="s">
        <v>627</v>
      </c>
      <c r="L428" s="228"/>
      <c r="M428" s="107" t="s">
        <v>386</v>
      </c>
      <c r="N428" s="229">
        <f>IF(AND(O428=TRUE,P428=TRUE), VLOOKUP($E428,PESSOAL!$B$35:$S$45,MONTH($F428)+6,FALSE)*G428*24,0)</f>
        <v>115.5336697</v>
      </c>
      <c r="O428" s="89" t="b">
        <f t="shared" si="1"/>
        <v>1</v>
      </c>
      <c r="P428" s="89" t="b">
        <v>1</v>
      </c>
      <c r="Q428" s="89" t="s">
        <v>212</v>
      </c>
    </row>
    <row r="429" hidden="1">
      <c r="A429" s="108"/>
      <c r="B429" s="202"/>
      <c r="C429" s="202" t="str">
        <f>VLOOKUP(M429,'#verificação horas por projeto'!A:B,2,FALSE)</f>
        <v>INOV00001</v>
      </c>
      <c r="D429" s="202" t="s">
        <v>3</v>
      </c>
      <c r="E429" s="107" t="s">
        <v>146</v>
      </c>
      <c r="F429" s="211">
        <v>45496.0</v>
      </c>
      <c r="G429" s="226">
        <v>0.0625</v>
      </c>
      <c r="H429" s="107" t="s">
        <v>354</v>
      </c>
      <c r="I429" s="227" t="s">
        <v>354</v>
      </c>
      <c r="J429" s="227"/>
      <c r="K429" s="115" t="s">
        <v>631</v>
      </c>
      <c r="L429" s="228"/>
      <c r="M429" s="107" t="s">
        <v>386</v>
      </c>
      <c r="N429" s="229">
        <f>IF(AND(O429=TRUE,P429=TRUE), VLOOKUP($E429,PESSOAL!$B$35:$S$45,MONTH($F429)+6,FALSE)*G429*24,0)</f>
        <v>86.65025231</v>
      </c>
      <c r="O429" s="89" t="b">
        <f t="shared" si="1"/>
        <v>1</v>
      </c>
      <c r="P429" s="89" t="b">
        <v>1</v>
      </c>
      <c r="Q429" s="89" t="s">
        <v>212</v>
      </c>
    </row>
    <row r="430" hidden="1">
      <c r="A430" s="108"/>
      <c r="B430" s="202"/>
      <c r="C430" s="202" t="str">
        <f>VLOOKUP(M430,'#verificação horas por projeto'!A:B,2,FALSE)</f>
        <v>INOV00001</v>
      </c>
      <c r="D430" s="202" t="s">
        <v>3</v>
      </c>
      <c r="E430" s="107" t="s">
        <v>146</v>
      </c>
      <c r="F430" s="211">
        <v>45496.0</v>
      </c>
      <c r="G430" s="226">
        <v>0.08333333333333333</v>
      </c>
      <c r="H430" s="107" t="s">
        <v>356</v>
      </c>
      <c r="I430" s="227" t="s">
        <v>356</v>
      </c>
      <c r="J430" s="227"/>
      <c r="K430" s="115" t="s">
        <v>632</v>
      </c>
      <c r="L430" s="228"/>
      <c r="M430" s="107" t="s">
        <v>386</v>
      </c>
      <c r="N430" s="229">
        <f>IF(AND(O430=TRUE,P430=TRUE), VLOOKUP($E430,PESSOAL!$B$35:$S$45,MONTH($F430)+6,FALSE)*G430*24,0)</f>
        <v>115.5336697</v>
      </c>
      <c r="O430" s="89" t="b">
        <f t="shared" si="1"/>
        <v>1</v>
      </c>
      <c r="P430" s="89" t="b">
        <v>1</v>
      </c>
      <c r="Q430" s="89" t="s">
        <v>212</v>
      </c>
    </row>
    <row r="431" hidden="1">
      <c r="A431" s="108"/>
      <c r="B431" s="202"/>
      <c r="C431" s="202" t="str">
        <f>VLOOKUP(M431,'#verificação horas por projeto'!A:B,2,FALSE)</f>
        <v>INOV00001</v>
      </c>
      <c r="D431" s="202" t="s">
        <v>3</v>
      </c>
      <c r="E431" s="107" t="s">
        <v>146</v>
      </c>
      <c r="F431" s="211">
        <v>45504.0</v>
      </c>
      <c r="G431" s="226">
        <v>0.04861111111111111</v>
      </c>
      <c r="H431" s="107" t="s">
        <v>356</v>
      </c>
      <c r="I431" s="227" t="s">
        <v>356</v>
      </c>
      <c r="J431" s="227"/>
      <c r="K431" s="115" t="s">
        <v>632</v>
      </c>
      <c r="L431" s="228"/>
      <c r="M431" s="107" t="s">
        <v>386</v>
      </c>
      <c r="N431" s="229">
        <f>IF(AND(O431=TRUE,P431=TRUE), VLOOKUP($E431,PESSOAL!$B$35:$S$45,MONTH($F431)+6,FALSE)*G431*24,0)</f>
        <v>67.39464069</v>
      </c>
      <c r="O431" s="89" t="b">
        <f t="shared" si="1"/>
        <v>1</v>
      </c>
      <c r="P431" s="89" t="b">
        <v>1</v>
      </c>
      <c r="Q431" s="89" t="s">
        <v>212</v>
      </c>
    </row>
    <row r="432" hidden="1">
      <c r="A432" s="108"/>
      <c r="B432" s="202"/>
      <c r="C432" s="202" t="str">
        <f>VLOOKUP(M432,'#verificação horas por projeto'!A:B,2,FALSE)</f>
        <v>INOV00001</v>
      </c>
      <c r="D432" s="202" t="s">
        <v>3</v>
      </c>
      <c r="E432" s="107" t="s">
        <v>146</v>
      </c>
      <c r="F432" s="211">
        <v>45504.0</v>
      </c>
      <c r="G432" s="226">
        <v>0.041666666666666664</v>
      </c>
      <c r="H432" s="107" t="s">
        <v>354</v>
      </c>
      <c r="I432" s="227" t="s">
        <v>354</v>
      </c>
      <c r="J432" s="227"/>
      <c r="K432" s="115" t="s">
        <v>633</v>
      </c>
      <c r="L432" s="228"/>
      <c r="M432" s="107" t="s">
        <v>386</v>
      </c>
      <c r="N432" s="229">
        <f>IF(AND(O432=TRUE,P432=TRUE), VLOOKUP($E432,PESSOAL!$B$35:$S$45,MONTH($F432)+6,FALSE)*G432*24,0)</f>
        <v>57.76683487</v>
      </c>
      <c r="O432" s="89" t="b">
        <f t="shared" si="1"/>
        <v>1</v>
      </c>
      <c r="P432" s="89" t="b">
        <v>1</v>
      </c>
      <c r="Q432" s="89" t="s">
        <v>212</v>
      </c>
    </row>
    <row r="433" hidden="1">
      <c r="A433" s="108"/>
      <c r="B433" s="202"/>
      <c r="C433" s="202" t="str">
        <f>VLOOKUP(M433,'#verificação horas por projeto'!A:B,2,FALSE)</f>
        <v>INOV00001</v>
      </c>
      <c r="D433" s="202" t="s">
        <v>3</v>
      </c>
      <c r="E433" s="107" t="s">
        <v>146</v>
      </c>
      <c r="F433" s="211">
        <v>45510.0</v>
      </c>
      <c r="G433" s="226">
        <v>0.4583333333333333</v>
      </c>
      <c r="H433" s="107" t="s">
        <v>356</v>
      </c>
      <c r="I433" s="227" t="s">
        <v>356</v>
      </c>
      <c r="J433" s="227"/>
      <c r="K433" s="115" t="s">
        <v>634</v>
      </c>
      <c r="L433" s="228"/>
      <c r="M433" s="107" t="s">
        <v>386</v>
      </c>
      <c r="N433" s="229">
        <f>IF(AND(O433=TRUE,P433=TRUE), VLOOKUP($E433,PESSOAL!$B$35:$S$45,MONTH($F433)+6,FALSE)*G433*24,0)</f>
        <v>697.5346229</v>
      </c>
      <c r="O433" s="89" t="b">
        <f t="shared" si="1"/>
        <v>1</v>
      </c>
      <c r="P433" s="89" t="b">
        <v>1</v>
      </c>
      <c r="Q433" s="89" t="s">
        <v>212</v>
      </c>
    </row>
    <row r="434" hidden="1">
      <c r="A434" s="108"/>
      <c r="B434" s="202"/>
      <c r="C434" s="202" t="str">
        <f>VLOOKUP(M434,'#verificação horas por projeto'!A:B,2,FALSE)</f>
        <v>INOV00001</v>
      </c>
      <c r="D434" s="202" t="s">
        <v>3</v>
      </c>
      <c r="E434" s="107" t="s">
        <v>146</v>
      </c>
      <c r="F434" s="211">
        <v>45511.0</v>
      </c>
      <c r="G434" s="226">
        <v>0.4583333333333333</v>
      </c>
      <c r="H434" s="107" t="s">
        <v>356</v>
      </c>
      <c r="I434" s="227" t="s">
        <v>356</v>
      </c>
      <c r="J434" s="227"/>
      <c r="K434" s="115" t="s">
        <v>635</v>
      </c>
      <c r="L434" s="228"/>
      <c r="M434" s="107" t="s">
        <v>386</v>
      </c>
      <c r="N434" s="229">
        <f>IF(AND(O434=TRUE,P434=TRUE), VLOOKUP($E434,PESSOAL!$B$35:$S$45,MONTH($F434)+6,FALSE)*G434*24,0)</f>
        <v>697.5346229</v>
      </c>
      <c r="O434" s="89" t="b">
        <f t="shared" si="1"/>
        <v>1</v>
      </c>
      <c r="P434" s="89" t="b">
        <v>1</v>
      </c>
      <c r="Q434" s="89" t="s">
        <v>212</v>
      </c>
    </row>
    <row r="435" hidden="1">
      <c r="A435" s="108"/>
      <c r="B435" s="202"/>
      <c r="C435" s="202" t="str">
        <f>VLOOKUP(M435,'#verificação horas por projeto'!A:B,2,FALSE)</f>
        <v>INOV00001</v>
      </c>
      <c r="D435" s="202" t="s">
        <v>3</v>
      </c>
      <c r="E435" s="107" t="s">
        <v>146</v>
      </c>
      <c r="F435" s="211">
        <v>45518.0</v>
      </c>
      <c r="G435" s="226">
        <v>0.625</v>
      </c>
      <c r="H435" s="107" t="s">
        <v>356</v>
      </c>
      <c r="I435" s="227" t="s">
        <v>356</v>
      </c>
      <c r="J435" s="227"/>
      <c r="K435" s="115" t="s">
        <v>636</v>
      </c>
      <c r="L435" s="228"/>
      <c r="M435" s="107" t="s">
        <v>386</v>
      </c>
      <c r="N435" s="229">
        <f>IF(AND(O435=TRUE,P435=TRUE), VLOOKUP($E435,PESSOAL!$B$35:$S$45,MONTH($F435)+6,FALSE)*G435*24,0)</f>
        <v>951.1835767</v>
      </c>
      <c r="O435" s="89" t="b">
        <f t="shared" si="1"/>
        <v>1</v>
      </c>
      <c r="P435" s="89" t="b">
        <v>1</v>
      </c>
      <c r="Q435" s="89" t="s">
        <v>212</v>
      </c>
    </row>
    <row r="436" hidden="1">
      <c r="A436" s="108"/>
      <c r="B436" s="202"/>
      <c r="C436" s="202" t="str">
        <f>VLOOKUP(M436,'#verificação horas por projeto'!A:B,2,FALSE)</f>
        <v>INOV00001</v>
      </c>
      <c r="D436" s="202" t="s">
        <v>3</v>
      </c>
      <c r="E436" s="107" t="s">
        <v>146</v>
      </c>
      <c r="F436" s="211">
        <v>45518.0</v>
      </c>
      <c r="G436" s="226">
        <v>0.6875</v>
      </c>
      <c r="H436" s="107" t="s">
        <v>359</v>
      </c>
      <c r="I436" s="227" t="s">
        <v>356</v>
      </c>
      <c r="J436" s="227"/>
      <c r="K436" s="115" t="s">
        <v>637</v>
      </c>
      <c r="L436" s="228" t="s">
        <v>638</v>
      </c>
      <c r="M436" s="107" t="s">
        <v>386</v>
      </c>
      <c r="N436" s="229">
        <f>IF(AND(O436=TRUE,P436=TRUE), VLOOKUP($E436,PESSOAL!$B$35:$S$45,MONTH($F436)+6,FALSE)*G436*24,0)</f>
        <v>1046.301934</v>
      </c>
      <c r="O436" s="89" t="b">
        <f t="shared" si="1"/>
        <v>1</v>
      </c>
      <c r="P436" s="89" t="b">
        <v>1</v>
      </c>
      <c r="Q436" s="89" t="s">
        <v>212</v>
      </c>
    </row>
    <row r="437" hidden="1">
      <c r="A437" s="108"/>
      <c r="B437" s="202"/>
      <c r="C437" s="202" t="str">
        <f>VLOOKUP(M437,'#verificação horas por projeto'!A:B,2,FALSE)</f>
        <v>INOV00001</v>
      </c>
      <c r="D437" s="202" t="s">
        <v>3</v>
      </c>
      <c r="E437" s="107" t="s">
        <v>146</v>
      </c>
      <c r="F437" s="211">
        <v>45519.0</v>
      </c>
      <c r="G437" s="226">
        <v>0.625</v>
      </c>
      <c r="H437" s="107" t="s">
        <v>359</v>
      </c>
      <c r="I437" s="227" t="s">
        <v>359</v>
      </c>
      <c r="J437" s="227"/>
      <c r="K437" s="115" t="s">
        <v>415</v>
      </c>
      <c r="L437" s="228"/>
      <c r="M437" s="107" t="s">
        <v>386</v>
      </c>
      <c r="N437" s="229">
        <f>IF(AND(O437=TRUE,P437=TRUE), VLOOKUP($E437,PESSOAL!$B$35:$S$45,MONTH($F437)+6,FALSE)*G437*24,0)</f>
        <v>0</v>
      </c>
      <c r="O437" s="89" t="b">
        <f t="shared" si="1"/>
        <v>0</v>
      </c>
      <c r="P437" s="89" t="b">
        <v>1</v>
      </c>
      <c r="Q437" s="89" t="s">
        <v>212</v>
      </c>
    </row>
    <row r="438" hidden="1">
      <c r="A438" s="108"/>
      <c r="B438" s="202"/>
      <c r="C438" s="202" t="str">
        <f>VLOOKUP(M438,'#verificação horas por projeto'!A:B,2,FALSE)</f>
        <v>INOV00001</v>
      </c>
      <c r="D438" s="202" t="s">
        <v>3</v>
      </c>
      <c r="E438" s="107" t="s">
        <v>146</v>
      </c>
      <c r="F438" s="211">
        <v>45520.0</v>
      </c>
      <c r="G438" s="226">
        <v>0.4166666666666667</v>
      </c>
      <c r="H438" s="107" t="s">
        <v>356</v>
      </c>
      <c r="I438" s="227" t="s">
        <v>356</v>
      </c>
      <c r="J438" s="227"/>
      <c r="K438" s="115" t="s">
        <v>639</v>
      </c>
      <c r="L438" s="228"/>
      <c r="M438" s="107" t="s">
        <v>386</v>
      </c>
      <c r="N438" s="229">
        <f>IF(AND(O438=TRUE,P438=TRUE), VLOOKUP($E438,PESSOAL!$B$35:$S$45,MONTH($F438)+6,FALSE)*G438*24,0)</f>
        <v>634.1223845</v>
      </c>
      <c r="O438" s="89" t="b">
        <f t="shared" si="1"/>
        <v>1</v>
      </c>
      <c r="P438" s="89" t="b">
        <v>1</v>
      </c>
      <c r="Q438" s="89" t="s">
        <v>212</v>
      </c>
    </row>
    <row r="439" hidden="1">
      <c r="A439" s="108"/>
      <c r="B439" s="202"/>
      <c r="C439" s="202" t="str">
        <f>VLOOKUP(M439,'#verificação horas por projeto'!A:B,2,FALSE)</f>
        <v>INOV00001</v>
      </c>
      <c r="D439" s="202" t="s">
        <v>3</v>
      </c>
      <c r="E439" s="107" t="s">
        <v>146</v>
      </c>
      <c r="F439" s="211">
        <v>45524.0</v>
      </c>
      <c r="G439" s="226">
        <v>0.7083333333333334</v>
      </c>
      <c r="H439" s="107" t="s">
        <v>356</v>
      </c>
      <c r="I439" s="227" t="s">
        <v>356</v>
      </c>
      <c r="J439" s="227"/>
      <c r="K439" s="115" t="s">
        <v>640</v>
      </c>
      <c r="L439" s="228"/>
      <c r="M439" s="107" t="s">
        <v>386</v>
      </c>
      <c r="N439" s="229">
        <f>IF(AND(O439=TRUE,P439=TRUE), VLOOKUP($E439,PESSOAL!$B$35:$S$45,MONTH($F439)+6,FALSE)*G439*24,0)</f>
        <v>1078.008054</v>
      </c>
      <c r="O439" s="89" t="b">
        <f t="shared" si="1"/>
        <v>1</v>
      </c>
      <c r="P439" s="89" t="b">
        <v>1</v>
      </c>
      <c r="Q439" s="89" t="s">
        <v>212</v>
      </c>
    </row>
    <row r="440" hidden="1">
      <c r="A440" s="108"/>
      <c r="B440" s="202"/>
      <c r="C440" s="202" t="str">
        <f>VLOOKUP(M440,'#verificação horas por projeto'!A:B,2,FALSE)</f>
        <v>INOV00001</v>
      </c>
      <c r="D440" s="202" t="s">
        <v>3</v>
      </c>
      <c r="E440" s="107" t="s">
        <v>146</v>
      </c>
      <c r="F440" s="211">
        <v>45525.0</v>
      </c>
      <c r="G440" s="226">
        <v>0.7083333333333334</v>
      </c>
      <c r="H440" s="107" t="s">
        <v>356</v>
      </c>
      <c r="I440" s="227" t="s">
        <v>356</v>
      </c>
      <c r="J440" s="227"/>
      <c r="K440" s="115" t="s">
        <v>641</v>
      </c>
      <c r="L440" s="228"/>
      <c r="M440" s="107" t="s">
        <v>386</v>
      </c>
      <c r="N440" s="229">
        <f>IF(AND(O440=TRUE,P440=TRUE), VLOOKUP($E440,PESSOAL!$B$35:$S$45,MONTH($F440)+6,FALSE)*G440*24,0)</f>
        <v>1078.008054</v>
      </c>
      <c r="O440" s="89" t="b">
        <f t="shared" si="1"/>
        <v>1</v>
      </c>
      <c r="P440" s="89" t="b">
        <v>1</v>
      </c>
      <c r="Q440" s="89" t="s">
        <v>212</v>
      </c>
    </row>
    <row r="441" hidden="1">
      <c r="A441" s="108"/>
      <c r="B441" s="202"/>
      <c r="C441" s="202" t="str">
        <f>VLOOKUP(M441,'#verificação horas por projeto'!A:B,2,FALSE)</f>
        <v>INOV00001</v>
      </c>
      <c r="D441" s="202" t="s">
        <v>3</v>
      </c>
      <c r="E441" s="107" t="s">
        <v>146</v>
      </c>
      <c r="F441" s="211">
        <v>45526.0</v>
      </c>
      <c r="G441" s="226">
        <v>0.7083333333333334</v>
      </c>
      <c r="H441" s="107" t="s">
        <v>356</v>
      </c>
      <c r="I441" s="227" t="s">
        <v>356</v>
      </c>
      <c r="J441" s="227"/>
      <c r="K441" s="115" t="s">
        <v>641</v>
      </c>
      <c r="L441" s="228"/>
      <c r="M441" s="107" t="s">
        <v>386</v>
      </c>
      <c r="N441" s="229">
        <f>IF(AND(O441=TRUE,P441=TRUE), VLOOKUP($E441,PESSOAL!$B$35:$S$45,MONTH($F441)+6,FALSE)*G441*24,0)</f>
        <v>1078.008054</v>
      </c>
      <c r="O441" s="89" t="b">
        <f t="shared" si="1"/>
        <v>1</v>
      </c>
      <c r="P441" s="89" t="b">
        <v>1</v>
      </c>
      <c r="Q441" s="89" t="s">
        <v>212</v>
      </c>
    </row>
    <row r="442" hidden="1">
      <c r="A442" s="108"/>
      <c r="B442" s="202"/>
      <c r="C442" s="202" t="str">
        <f>VLOOKUP(M442,'#verificação horas por projeto'!A:B,2,FALSE)</f>
        <v>INOV00001</v>
      </c>
      <c r="D442" s="202" t="s">
        <v>3</v>
      </c>
      <c r="E442" s="107" t="s">
        <v>146</v>
      </c>
      <c r="F442" s="211">
        <v>45559.0</v>
      </c>
      <c r="G442" s="226">
        <v>0.4166666666666667</v>
      </c>
      <c r="H442" s="107" t="s">
        <v>356</v>
      </c>
      <c r="I442" s="227" t="s">
        <v>356</v>
      </c>
      <c r="J442" s="227"/>
      <c r="K442" s="115" t="s">
        <v>642</v>
      </c>
      <c r="L442" s="228"/>
      <c r="M442" s="107" t="s">
        <v>386</v>
      </c>
      <c r="N442" s="229">
        <f>IF(AND(O442=TRUE,P442=TRUE), VLOOKUP($E442,PESSOAL!$B$35:$S$45,MONTH($F442)+6,FALSE)*G442*24,0)</f>
        <v>664.3186885</v>
      </c>
      <c r="O442" s="89" t="b">
        <f t="shared" si="1"/>
        <v>1</v>
      </c>
      <c r="P442" s="89" t="b">
        <v>1</v>
      </c>
      <c r="Q442" s="89" t="s">
        <v>212</v>
      </c>
    </row>
    <row r="443" hidden="1">
      <c r="A443" s="108"/>
      <c r="B443" s="202"/>
      <c r="C443" s="202" t="str">
        <f>VLOOKUP(M443,'#verificação horas por projeto'!A:B,2,FALSE)</f>
        <v>INOV00001</v>
      </c>
      <c r="D443" s="202" t="s">
        <v>3</v>
      </c>
      <c r="E443" s="107" t="s">
        <v>146</v>
      </c>
      <c r="F443" s="211">
        <v>45559.0</v>
      </c>
      <c r="G443" s="226">
        <v>0.34375</v>
      </c>
      <c r="H443" s="107" t="s">
        <v>356</v>
      </c>
      <c r="I443" s="227" t="s">
        <v>356</v>
      </c>
      <c r="J443" s="227"/>
      <c r="K443" s="115" t="s">
        <v>642</v>
      </c>
      <c r="L443" s="228"/>
      <c r="M443" s="107" t="s">
        <v>386</v>
      </c>
      <c r="N443" s="229">
        <f>IF(AND(O443=TRUE,P443=TRUE), VLOOKUP($E443,PESSOAL!$B$35:$S$45,MONTH($F443)+6,FALSE)*G443*24,0)</f>
        <v>548.062918</v>
      </c>
      <c r="O443" s="89" t="b">
        <f t="shared" si="1"/>
        <v>1</v>
      </c>
      <c r="P443" s="89" t="b">
        <v>1</v>
      </c>
      <c r="Q443" s="89" t="s">
        <v>212</v>
      </c>
    </row>
    <row r="444" hidden="1">
      <c r="A444" s="108"/>
      <c r="B444" s="202"/>
      <c r="C444" s="202" t="str">
        <f>VLOOKUP(M444,'#verificação horas por projeto'!A:B,2,FALSE)</f>
        <v>INOV00001</v>
      </c>
      <c r="D444" s="202" t="s">
        <v>3</v>
      </c>
      <c r="E444" s="107" t="s">
        <v>146</v>
      </c>
      <c r="F444" s="211">
        <v>45560.0</v>
      </c>
      <c r="G444" s="226">
        <v>0.07291666666666667</v>
      </c>
      <c r="H444" s="107" t="s">
        <v>359</v>
      </c>
      <c r="I444" s="227" t="s">
        <v>356</v>
      </c>
      <c r="J444" s="227"/>
      <c r="K444" s="115" t="s">
        <v>643</v>
      </c>
      <c r="L444" s="228" t="s">
        <v>644</v>
      </c>
      <c r="M444" s="107" t="s">
        <v>386</v>
      </c>
      <c r="N444" s="229">
        <f>IF(AND(O444=TRUE,P444=TRUE), VLOOKUP($E444,PESSOAL!$B$35:$S$45,MONTH($F444)+6,FALSE)*G444*24,0)</f>
        <v>116.2557705</v>
      </c>
      <c r="O444" s="89" t="b">
        <f t="shared" si="1"/>
        <v>1</v>
      </c>
      <c r="P444" s="89" t="b">
        <v>1</v>
      </c>
      <c r="Q444" s="89" t="s">
        <v>212</v>
      </c>
    </row>
    <row r="445" hidden="1">
      <c r="A445" s="108"/>
      <c r="B445" s="202"/>
      <c r="C445" s="202" t="str">
        <f>VLOOKUP(M445,'#verificação horas por projeto'!A:B,2,FALSE)</f>
        <v>INOV00001</v>
      </c>
      <c r="D445" s="202" t="s">
        <v>3</v>
      </c>
      <c r="E445" s="107" t="s">
        <v>146</v>
      </c>
      <c r="F445" s="211">
        <v>45560.0</v>
      </c>
      <c r="G445" s="226">
        <v>0.08333333333333333</v>
      </c>
      <c r="H445" s="107" t="s">
        <v>356</v>
      </c>
      <c r="I445" s="227" t="s">
        <v>356</v>
      </c>
      <c r="J445" s="227"/>
      <c r="K445" s="115" t="s">
        <v>645</v>
      </c>
      <c r="L445" s="228"/>
      <c r="M445" s="107" t="s">
        <v>386</v>
      </c>
      <c r="N445" s="229">
        <f>IF(AND(O445=TRUE,P445=TRUE), VLOOKUP($E445,PESSOAL!$B$35:$S$45,MONTH($F445)+6,FALSE)*G445*24,0)</f>
        <v>132.8637377</v>
      </c>
      <c r="O445" s="89" t="b">
        <f t="shared" si="1"/>
        <v>1</v>
      </c>
      <c r="P445" s="89" t="b">
        <v>1</v>
      </c>
      <c r="Q445" s="89" t="s">
        <v>212</v>
      </c>
    </row>
    <row r="446" hidden="1">
      <c r="A446" s="108"/>
      <c r="B446" s="202"/>
      <c r="C446" s="202" t="str">
        <f>VLOOKUP(M446,'#verificação horas por projeto'!A:B,2,FALSE)</f>
        <v>INOV00001</v>
      </c>
      <c r="D446" s="202" t="s">
        <v>3</v>
      </c>
      <c r="E446" s="107" t="s">
        <v>146</v>
      </c>
      <c r="F446" s="211">
        <v>45565.0</v>
      </c>
      <c r="G446" s="226">
        <v>0.020833333333333332</v>
      </c>
      <c r="H446" s="107" t="s">
        <v>356</v>
      </c>
      <c r="I446" s="227" t="s">
        <v>356</v>
      </c>
      <c r="J446" s="227"/>
      <c r="K446" s="115" t="s">
        <v>646</v>
      </c>
      <c r="L446" s="228"/>
      <c r="M446" s="107" t="s">
        <v>386</v>
      </c>
      <c r="N446" s="229">
        <f>IF(AND(O446=TRUE,P446=TRUE), VLOOKUP($E446,PESSOAL!$B$35:$S$45,MONTH($F446)+6,FALSE)*G446*24,0)</f>
        <v>33.21593442</v>
      </c>
      <c r="O446" s="89" t="b">
        <f t="shared" si="1"/>
        <v>1</v>
      </c>
      <c r="P446" s="89" t="b">
        <v>1</v>
      </c>
      <c r="Q446" s="89" t="s">
        <v>212</v>
      </c>
    </row>
    <row r="447" hidden="1">
      <c r="A447" s="108"/>
      <c r="B447" s="202"/>
      <c r="C447" s="202" t="str">
        <f>VLOOKUP(M447,'#verificação horas por projeto'!A:B,2,FALSE)</f>
        <v>INOV00041</v>
      </c>
      <c r="D447" s="202" t="s">
        <v>28</v>
      </c>
      <c r="E447" s="107" t="s">
        <v>146</v>
      </c>
      <c r="F447" s="211">
        <v>45552.0</v>
      </c>
      <c r="G447" s="226">
        <v>0.08333333333333333</v>
      </c>
      <c r="H447" s="107" t="s">
        <v>354</v>
      </c>
      <c r="I447" s="227" t="s">
        <v>354</v>
      </c>
      <c r="J447" s="227"/>
      <c r="K447" s="115" t="s">
        <v>647</v>
      </c>
      <c r="L447" s="228"/>
      <c r="M447" s="107" t="s">
        <v>408</v>
      </c>
      <c r="N447" s="229">
        <f>IF(AND(O447=TRUE,P447=TRUE), VLOOKUP($E447,PESSOAL!$B$35:$S$45,MONTH($F447)+6,FALSE)*G447*24,0)</f>
        <v>132.8637377</v>
      </c>
      <c r="O447" s="89" t="b">
        <f t="shared" si="1"/>
        <v>1</v>
      </c>
      <c r="P447" s="89" t="b">
        <v>1</v>
      </c>
      <c r="Q447" s="89" t="s">
        <v>212</v>
      </c>
    </row>
    <row r="448" hidden="1">
      <c r="A448" s="108"/>
      <c r="B448" s="202"/>
      <c r="C448" s="202" t="str">
        <f>VLOOKUP(M448,'#verificação horas por projeto'!A:B,2,FALSE)</f>
        <v>INOV00001</v>
      </c>
      <c r="D448" s="202" t="s">
        <v>3</v>
      </c>
      <c r="E448" s="107" t="s">
        <v>146</v>
      </c>
      <c r="F448" s="211">
        <v>45545.0</v>
      </c>
      <c r="G448" s="226">
        <v>0.041666666666666664</v>
      </c>
      <c r="H448" s="107" t="s">
        <v>356</v>
      </c>
      <c r="I448" s="227" t="s">
        <v>356</v>
      </c>
      <c r="J448" s="227"/>
      <c r="K448" s="115" t="s">
        <v>648</v>
      </c>
      <c r="L448" s="228"/>
      <c r="M448" s="107" t="s">
        <v>386</v>
      </c>
      <c r="N448" s="229">
        <f>IF(AND(O448=TRUE,P448=TRUE), VLOOKUP($E448,PESSOAL!$B$35:$S$45,MONTH($F448)+6,FALSE)*G448*24,0)</f>
        <v>66.43186885</v>
      </c>
      <c r="O448" s="89" t="b">
        <f t="shared" si="1"/>
        <v>1</v>
      </c>
      <c r="P448" s="89" t="b">
        <v>1</v>
      </c>
      <c r="Q448" s="89" t="s">
        <v>212</v>
      </c>
    </row>
    <row r="449" hidden="1">
      <c r="A449" s="108"/>
      <c r="B449" s="202"/>
      <c r="C449" s="202" t="str">
        <f>VLOOKUP(M449,'#verificação horas por projeto'!A:B,2,FALSE)</f>
        <v>INOV00001</v>
      </c>
      <c r="D449" s="202" t="s">
        <v>3</v>
      </c>
      <c r="E449" s="107" t="s">
        <v>146</v>
      </c>
      <c r="F449" s="211">
        <v>45538.0</v>
      </c>
      <c r="G449" s="226">
        <v>0.0625</v>
      </c>
      <c r="H449" s="107" t="s">
        <v>356</v>
      </c>
      <c r="I449" s="227" t="s">
        <v>356</v>
      </c>
      <c r="J449" s="227"/>
      <c r="K449" s="115" t="s">
        <v>649</v>
      </c>
      <c r="L449" s="228"/>
      <c r="M449" s="107" t="s">
        <v>386</v>
      </c>
      <c r="N449" s="229">
        <f>IF(AND(O449=TRUE,P449=TRUE), VLOOKUP($E449,PESSOAL!$B$35:$S$45,MONTH($F449)+6,FALSE)*G449*24,0)</f>
        <v>99.64780327</v>
      </c>
      <c r="O449" s="89" t="b">
        <f t="shared" si="1"/>
        <v>1</v>
      </c>
      <c r="P449" s="89" t="b">
        <v>1</v>
      </c>
      <c r="Q449" s="89" t="s">
        <v>212</v>
      </c>
    </row>
    <row r="450" hidden="1">
      <c r="A450" s="108"/>
      <c r="B450" s="202"/>
      <c r="C450" s="202" t="str">
        <f>VLOOKUP(M450,'#verificação horas por projeto'!A:B,2,FALSE)</f>
        <v>INOV00001</v>
      </c>
      <c r="D450" s="202" t="s">
        <v>3</v>
      </c>
      <c r="E450" s="107" t="s">
        <v>146</v>
      </c>
      <c r="F450" s="211">
        <v>45553.0</v>
      </c>
      <c r="G450" s="226">
        <v>0.020833333333333332</v>
      </c>
      <c r="H450" s="107" t="s">
        <v>354</v>
      </c>
      <c r="I450" s="227" t="s">
        <v>354</v>
      </c>
      <c r="J450" s="227"/>
      <c r="K450" s="115" t="s">
        <v>650</v>
      </c>
      <c r="L450" s="228"/>
      <c r="M450" s="107" t="s">
        <v>386</v>
      </c>
      <c r="N450" s="229">
        <f>IF(AND(O450=TRUE,P450=TRUE), VLOOKUP($E450,PESSOAL!$B$35:$S$45,MONTH($F450)+6,FALSE)*G450*24,0)</f>
        <v>33.21593442</v>
      </c>
      <c r="O450" s="89" t="b">
        <f t="shared" si="1"/>
        <v>1</v>
      </c>
      <c r="P450" s="89" t="b">
        <v>1</v>
      </c>
      <c r="Q450" s="89" t="s">
        <v>212</v>
      </c>
    </row>
    <row r="451" hidden="1">
      <c r="A451" s="108"/>
      <c r="B451" s="202"/>
      <c r="C451" s="202" t="str">
        <f>VLOOKUP(M451,'#verificação horas por projeto'!A:B,2,FALSE)</f>
        <v>INOV00001</v>
      </c>
      <c r="D451" s="202" t="s">
        <v>3</v>
      </c>
      <c r="E451" s="107" t="s">
        <v>146</v>
      </c>
      <c r="F451" s="211">
        <v>45540.0</v>
      </c>
      <c r="G451" s="226">
        <v>0.08333333333333333</v>
      </c>
      <c r="H451" s="107" t="s">
        <v>356</v>
      </c>
      <c r="I451" s="227" t="s">
        <v>356</v>
      </c>
      <c r="J451" s="227"/>
      <c r="K451" s="115" t="s">
        <v>651</v>
      </c>
      <c r="L451" s="228"/>
      <c r="M451" s="107" t="s">
        <v>386</v>
      </c>
      <c r="N451" s="229">
        <f>IF(AND(O451=TRUE,P451=TRUE), VLOOKUP($E451,PESSOAL!$B$35:$S$45,MONTH($F451)+6,FALSE)*G451*24,0)</f>
        <v>132.8637377</v>
      </c>
      <c r="O451" s="89" t="b">
        <f t="shared" si="1"/>
        <v>1</v>
      </c>
      <c r="P451" s="89" t="b">
        <v>1</v>
      </c>
      <c r="Q451" s="89" t="s">
        <v>212</v>
      </c>
    </row>
    <row r="452" hidden="1">
      <c r="A452" s="108"/>
      <c r="B452" s="202"/>
      <c r="C452" s="202" t="str">
        <f>VLOOKUP(M452,'#verificação horas por projeto'!A:B,2,FALSE)</f>
        <v>INOV00037</v>
      </c>
      <c r="D452" s="202" t="s">
        <v>25</v>
      </c>
      <c r="E452" s="107" t="s">
        <v>132</v>
      </c>
      <c r="F452" s="211">
        <v>45474.0</v>
      </c>
      <c r="G452" s="226">
        <v>0.16666666666666666</v>
      </c>
      <c r="H452" s="107" t="s">
        <v>354</v>
      </c>
      <c r="I452" s="227" t="s">
        <v>354</v>
      </c>
      <c r="J452" s="227"/>
      <c r="K452" s="115" t="s">
        <v>520</v>
      </c>
      <c r="L452" s="228"/>
      <c r="M452" s="107" t="s">
        <v>508</v>
      </c>
      <c r="N452" s="229">
        <f>IF(AND(O452=TRUE,P452=TRUE), VLOOKUP($E452,PESSOAL!$B$35:$S$45,MONTH($F452)+6,FALSE)*G452*24,0)</f>
        <v>196.2123185</v>
      </c>
      <c r="O452" s="89" t="b">
        <f t="shared" si="1"/>
        <v>1</v>
      </c>
      <c r="P452" s="89" t="b">
        <v>1</v>
      </c>
      <c r="Q452" s="89" t="s">
        <v>212</v>
      </c>
    </row>
    <row r="453" hidden="1">
      <c r="A453" s="108"/>
      <c r="B453" s="202"/>
      <c r="C453" s="202" t="str">
        <f>VLOOKUP(M453,'#verificação horas por projeto'!A:B,2,FALSE)</f>
        <v>INOV00001</v>
      </c>
      <c r="D453" s="202" t="s">
        <v>3</v>
      </c>
      <c r="E453" s="107" t="s">
        <v>132</v>
      </c>
      <c r="F453" s="211">
        <v>45475.0</v>
      </c>
      <c r="G453" s="226">
        <v>0.125</v>
      </c>
      <c r="H453" s="107" t="s">
        <v>354</v>
      </c>
      <c r="I453" s="227" t="s">
        <v>354</v>
      </c>
      <c r="J453" s="227"/>
      <c r="K453" s="115" t="s">
        <v>520</v>
      </c>
      <c r="L453" s="228"/>
      <c r="M453" s="107" t="s">
        <v>386</v>
      </c>
      <c r="N453" s="229">
        <f>IF(AND(O453=TRUE,P453=TRUE), VLOOKUP($E453,PESSOAL!$B$35:$S$45,MONTH($F453)+6,FALSE)*G453*24,0)</f>
        <v>147.1592389</v>
      </c>
      <c r="O453" s="89" t="b">
        <f t="shared" si="1"/>
        <v>1</v>
      </c>
      <c r="P453" s="89" t="b">
        <v>1</v>
      </c>
      <c r="Q453" s="89" t="s">
        <v>212</v>
      </c>
    </row>
    <row r="454">
      <c r="A454" s="108"/>
      <c r="B454" s="202"/>
      <c r="C454" s="202" t="str">
        <f>VLOOKUP(M454,'#verificação horas por projeto'!A:B,2,FALSE)</f>
        <v>INOV00035</v>
      </c>
      <c r="D454" s="202" t="s">
        <v>23</v>
      </c>
      <c r="E454" s="107" t="s">
        <v>132</v>
      </c>
      <c r="F454" s="211">
        <v>45476.0</v>
      </c>
      <c r="G454" s="226">
        <v>0.20833333333333334</v>
      </c>
      <c r="H454" s="107" t="s">
        <v>354</v>
      </c>
      <c r="I454" s="227" t="s">
        <v>354</v>
      </c>
      <c r="J454" s="227"/>
      <c r="K454" s="115" t="s">
        <v>520</v>
      </c>
      <c r="L454" s="228"/>
      <c r="M454" s="107" t="s">
        <v>426</v>
      </c>
      <c r="N454" s="229">
        <f>IF(AND(O454=TRUE,P454=TRUE), VLOOKUP($E454,PESSOAL!$B$35:$S$45,MONTH($F454)+6,FALSE)*G454*24,0)</f>
        <v>245.2653981</v>
      </c>
      <c r="O454" s="89" t="b">
        <f t="shared" si="1"/>
        <v>1</v>
      </c>
      <c r="P454" s="89" t="b">
        <v>1</v>
      </c>
      <c r="Q454" s="89" t="s">
        <v>212</v>
      </c>
    </row>
    <row r="455" hidden="1">
      <c r="A455" s="108"/>
      <c r="B455" s="202"/>
      <c r="C455" s="202" t="str">
        <f>VLOOKUP(M455,'#verificação horas por projeto'!A:B,2,FALSE)</f>
        <v>INOV00041</v>
      </c>
      <c r="D455" s="202" t="s">
        <v>28</v>
      </c>
      <c r="E455" s="107" t="s">
        <v>132</v>
      </c>
      <c r="F455" s="211">
        <v>45477.0</v>
      </c>
      <c r="G455" s="226">
        <v>0.125</v>
      </c>
      <c r="H455" s="107" t="s">
        <v>354</v>
      </c>
      <c r="I455" s="227" t="s">
        <v>354</v>
      </c>
      <c r="J455" s="227"/>
      <c r="K455" s="115" t="s">
        <v>520</v>
      </c>
      <c r="L455" s="228"/>
      <c r="M455" s="107" t="s">
        <v>408</v>
      </c>
      <c r="N455" s="229">
        <f>IF(AND(O455=TRUE,P455=TRUE), VLOOKUP($E455,PESSOAL!$B$35:$S$45,MONTH($F455)+6,FALSE)*G455*24,0)</f>
        <v>147.1592389</v>
      </c>
      <c r="O455" s="89" t="b">
        <f t="shared" si="1"/>
        <v>1</v>
      </c>
      <c r="P455" s="89" t="b">
        <v>1</v>
      </c>
      <c r="Q455" s="89" t="s">
        <v>212</v>
      </c>
    </row>
    <row r="456" hidden="1">
      <c r="A456" s="108"/>
      <c r="B456" s="202"/>
      <c r="C456" s="202" t="str">
        <f>VLOOKUP(M456,'#verificação horas por projeto'!A:B,2,FALSE)</f>
        <v>INOV00024</v>
      </c>
      <c r="D456" s="202" t="s">
        <v>14</v>
      </c>
      <c r="E456" s="107" t="s">
        <v>132</v>
      </c>
      <c r="F456" s="211">
        <v>45478.0</v>
      </c>
      <c r="G456" s="226">
        <v>0.16666666666666666</v>
      </c>
      <c r="H456" s="107" t="s">
        <v>354</v>
      </c>
      <c r="I456" s="227" t="s">
        <v>354</v>
      </c>
      <c r="J456" s="227"/>
      <c r="K456" s="115" t="s">
        <v>520</v>
      </c>
      <c r="L456" s="228"/>
      <c r="M456" s="107" t="s">
        <v>428</v>
      </c>
      <c r="N456" s="229">
        <f>IF(AND(O456=TRUE,P456=TRUE), VLOOKUP($E456,PESSOAL!$B$35:$S$45,MONTH($F456)+6,FALSE)*G456*24,0)</f>
        <v>196.2123185</v>
      </c>
      <c r="O456" s="89" t="b">
        <f t="shared" si="1"/>
        <v>1</v>
      </c>
      <c r="P456" s="89" t="b">
        <v>1</v>
      </c>
      <c r="Q456" s="89" t="s">
        <v>212</v>
      </c>
    </row>
    <row r="457" hidden="1">
      <c r="A457" s="108"/>
      <c r="B457" s="202"/>
      <c r="C457" s="202" t="str">
        <f>VLOOKUP(M457,'#verificação horas por projeto'!A:B,2,FALSE)</f>
        <v>#N/A</v>
      </c>
      <c r="D457" s="202" t="s">
        <v>36</v>
      </c>
      <c r="E457" s="107" t="s">
        <v>132</v>
      </c>
      <c r="F457" s="211">
        <v>45478.0</v>
      </c>
      <c r="G457" s="226">
        <v>0.125</v>
      </c>
      <c r="H457" s="107" t="s">
        <v>354</v>
      </c>
      <c r="I457" s="227" t="s">
        <v>354</v>
      </c>
      <c r="J457" s="227"/>
      <c r="K457" s="115" t="s">
        <v>513</v>
      </c>
      <c r="L457" s="228"/>
      <c r="M457" s="107" t="s">
        <v>514</v>
      </c>
      <c r="N457" s="229">
        <f>IF(AND(O457=TRUE,P457=TRUE), VLOOKUP($E457,PESSOAL!$B$35:$S$45,MONTH($F457)+6,FALSE)*G457*24,0)</f>
        <v>0</v>
      </c>
      <c r="O457" s="89" t="b">
        <f t="shared" si="1"/>
        <v>1</v>
      </c>
      <c r="P457" s="89" t="b">
        <v>0</v>
      </c>
      <c r="Q457" s="89" t="s">
        <v>212</v>
      </c>
    </row>
    <row r="458" hidden="1">
      <c r="A458" s="108"/>
      <c r="B458" s="202"/>
      <c r="C458" s="202" t="str">
        <f>VLOOKUP(M458,'#verificação horas por projeto'!A:B,2,FALSE)</f>
        <v>#N/A</v>
      </c>
      <c r="D458" s="202" t="s">
        <v>38</v>
      </c>
      <c r="E458" s="107" t="s">
        <v>132</v>
      </c>
      <c r="F458" s="211">
        <v>45482.0</v>
      </c>
      <c r="G458" s="226">
        <v>0.16666666666666666</v>
      </c>
      <c r="H458" s="107" t="s">
        <v>356</v>
      </c>
      <c r="I458" s="227" t="s">
        <v>356</v>
      </c>
      <c r="J458" s="227"/>
      <c r="K458" s="115" t="s">
        <v>518</v>
      </c>
      <c r="L458" s="228"/>
      <c r="M458" s="107" t="s">
        <v>519</v>
      </c>
      <c r="N458" s="229">
        <f>IF(AND(O458=TRUE,P458=TRUE), VLOOKUP($E458,PESSOAL!$B$35:$S$45,MONTH($F458)+6,FALSE)*G458*24,0)</f>
        <v>0</v>
      </c>
      <c r="O458" s="89" t="b">
        <f t="shared" si="1"/>
        <v>1</v>
      </c>
      <c r="P458" s="89" t="b">
        <v>0</v>
      </c>
      <c r="Q458" s="89" t="s">
        <v>212</v>
      </c>
    </row>
    <row r="459" hidden="1">
      <c r="A459" s="108"/>
      <c r="B459" s="202"/>
      <c r="C459" s="202" t="str">
        <f>VLOOKUP(M459,'#verificação horas por projeto'!A:B,2,FALSE)</f>
        <v>INOV00039</v>
      </c>
      <c r="D459" s="202" t="s">
        <v>27</v>
      </c>
      <c r="E459" s="107" t="s">
        <v>132</v>
      </c>
      <c r="F459" s="211">
        <v>45483.0</v>
      </c>
      <c r="G459" s="226">
        <v>0.16666666666666666</v>
      </c>
      <c r="H459" s="107" t="s">
        <v>354</v>
      </c>
      <c r="I459" s="227" t="s">
        <v>354</v>
      </c>
      <c r="J459" s="227"/>
      <c r="K459" s="115" t="s">
        <v>507</v>
      </c>
      <c r="L459" s="228"/>
      <c r="M459" s="107" t="s">
        <v>516</v>
      </c>
      <c r="N459" s="229">
        <f>IF(AND(O459=TRUE,P459=TRUE), VLOOKUP($E459,PESSOAL!$B$35:$S$45,MONTH($F459)+6,FALSE)*G459*24,0)</f>
        <v>196.2123185</v>
      </c>
      <c r="O459" s="89" t="b">
        <f t="shared" si="1"/>
        <v>1</v>
      </c>
      <c r="P459" s="89" t="b">
        <v>1</v>
      </c>
      <c r="Q459" s="89" t="s">
        <v>212</v>
      </c>
    </row>
    <row r="460" hidden="1">
      <c r="A460" s="108"/>
      <c r="B460" s="202"/>
      <c r="C460" s="202" t="str">
        <f>VLOOKUP(M460,'#verificação horas por projeto'!A:B,2,FALSE)</f>
        <v>#N/A</v>
      </c>
      <c r="D460" s="202" t="s">
        <v>38</v>
      </c>
      <c r="E460" s="107" t="s">
        <v>132</v>
      </c>
      <c r="F460" s="211">
        <v>45488.0</v>
      </c>
      <c r="G460" s="226">
        <v>0.16666666666666666</v>
      </c>
      <c r="H460" s="107" t="s">
        <v>356</v>
      </c>
      <c r="I460" s="227" t="s">
        <v>356</v>
      </c>
      <c r="J460" s="227"/>
      <c r="K460" s="115" t="s">
        <v>518</v>
      </c>
      <c r="L460" s="228"/>
      <c r="M460" s="107" t="s">
        <v>519</v>
      </c>
      <c r="N460" s="229">
        <f>IF(AND(O460=TRUE,P460=TRUE), VLOOKUP($E460,PESSOAL!$B$35:$S$45,MONTH($F460)+6,FALSE)*G460*24,0)</f>
        <v>0</v>
      </c>
      <c r="O460" s="89" t="b">
        <f t="shared" si="1"/>
        <v>1</v>
      </c>
      <c r="P460" s="89" t="b">
        <v>0</v>
      </c>
      <c r="Q460" s="89" t="s">
        <v>212</v>
      </c>
    </row>
    <row r="461" hidden="1">
      <c r="A461" s="108"/>
      <c r="B461" s="202"/>
      <c r="C461" s="202" t="str">
        <f>VLOOKUP(M461,'#verificação horas por projeto'!A:B,2,FALSE)</f>
        <v>INOV00022</v>
      </c>
      <c r="D461" s="202" t="s">
        <v>12</v>
      </c>
      <c r="E461" s="107" t="s">
        <v>132</v>
      </c>
      <c r="F461" s="211">
        <v>45490.0</v>
      </c>
      <c r="G461" s="226">
        <v>0.14583333333333334</v>
      </c>
      <c r="H461" s="107" t="s">
        <v>354</v>
      </c>
      <c r="I461" s="227" t="s">
        <v>354</v>
      </c>
      <c r="J461" s="227"/>
      <c r="K461" s="115" t="s">
        <v>507</v>
      </c>
      <c r="L461" s="228"/>
      <c r="M461" s="107" t="s">
        <v>506</v>
      </c>
      <c r="N461" s="229">
        <f>IF(AND(O461=TRUE,P461=TRUE), VLOOKUP($E461,PESSOAL!$B$35:$S$45,MONTH($F461)+6,FALSE)*G461*24,0)</f>
        <v>171.6857787</v>
      </c>
      <c r="O461" s="89" t="b">
        <f t="shared" si="1"/>
        <v>1</v>
      </c>
      <c r="P461" s="89" t="b">
        <v>1</v>
      </c>
      <c r="Q461" s="89" t="s">
        <v>212</v>
      </c>
    </row>
    <row r="462" hidden="1">
      <c r="A462" s="108"/>
      <c r="B462" s="202"/>
      <c r="C462" s="202" t="str">
        <f>VLOOKUP(M462,'#verificação horas por projeto'!A:B,2,FALSE)</f>
        <v>INOV00023</v>
      </c>
      <c r="D462" s="202" t="s">
        <v>13</v>
      </c>
      <c r="E462" s="107" t="s">
        <v>132</v>
      </c>
      <c r="F462" s="211">
        <v>45491.0</v>
      </c>
      <c r="G462" s="226">
        <v>0.16666666666666666</v>
      </c>
      <c r="H462" s="107" t="s">
        <v>354</v>
      </c>
      <c r="I462" s="227" t="s">
        <v>354</v>
      </c>
      <c r="J462" s="227"/>
      <c r="K462" s="115" t="s">
        <v>507</v>
      </c>
      <c r="L462" s="228"/>
      <c r="M462" s="107" t="s">
        <v>510</v>
      </c>
      <c r="N462" s="229">
        <f>IF(AND(O462=TRUE,P462=TRUE), VLOOKUP($E462,PESSOAL!$B$35:$S$45,MONTH($F462)+6,FALSE)*G462*24,0)</f>
        <v>196.2123185</v>
      </c>
      <c r="O462" s="89" t="b">
        <f t="shared" si="1"/>
        <v>1</v>
      </c>
      <c r="P462" s="89" t="b">
        <v>1</v>
      </c>
      <c r="Q462" s="89" t="s">
        <v>212</v>
      </c>
    </row>
    <row r="463" hidden="1">
      <c r="A463" s="108"/>
      <c r="B463" s="202"/>
      <c r="C463" s="202" t="str">
        <f>VLOOKUP(M463,'#verificação horas por projeto'!A:B,2,FALSE)</f>
        <v>INOV00039</v>
      </c>
      <c r="D463" s="202" t="s">
        <v>27</v>
      </c>
      <c r="E463" s="107" t="s">
        <v>132</v>
      </c>
      <c r="F463" s="211">
        <v>45495.0</v>
      </c>
      <c r="G463" s="226">
        <v>0.16666666666666666</v>
      </c>
      <c r="H463" s="107" t="s">
        <v>354</v>
      </c>
      <c r="I463" s="227" t="s">
        <v>354</v>
      </c>
      <c r="J463" s="227"/>
      <c r="K463" s="115" t="s">
        <v>507</v>
      </c>
      <c r="L463" s="228"/>
      <c r="M463" s="107" t="s">
        <v>516</v>
      </c>
      <c r="N463" s="229">
        <f>IF(AND(O463=TRUE,P463=TRUE), VLOOKUP($E463,PESSOAL!$B$35:$S$45,MONTH($F463)+6,FALSE)*G463*24,0)</f>
        <v>196.2123185</v>
      </c>
      <c r="O463" s="89" t="b">
        <f t="shared" si="1"/>
        <v>1</v>
      </c>
      <c r="P463" s="89" t="b">
        <v>1</v>
      </c>
      <c r="Q463" s="89" t="s">
        <v>212</v>
      </c>
    </row>
    <row r="464" hidden="1">
      <c r="A464" s="108"/>
      <c r="B464" s="202"/>
      <c r="C464" s="202" t="str">
        <f>VLOOKUP(M464,'#verificação horas por projeto'!A:B,2,FALSE)</f>
        <v>INOV00037</v>
      </c>
      <c r="D464" s="202" t="s">
        <v>25</v>
      </c>
      <c r="E464" s="107" t="s">
        <v>132</v>
      </c>
      <c r="F464" s="211">
        <v>45497.0</v>
      </c>
      <c r="G464" s="226">
        <v>0.125</v>
      </c>
      <c r="H464" s="107" t="s">
        <v>354</v>
      </c>
      <c r="I464" s="227" t="s">
        <v>354</v>
      </c>
      <c r="J464" s="227"/>
      <c r="K464" s="115" t="s">
        <v>507</v>
      </c>
      <c r="L464" s="228"/>
      <c r="M464" s="107" t="s">
        <v>508</v>
      </c>
      <c r="N464" s="229">
        <f>IF(AND(O464=TRUE,P464=TRUE), VLOOKUP($E464,PESSOAL!$B$35:$S$45,MONTH($F464)+6,FALSE)*G464*24,0)</f>
        <v>147.1592389</v>
      </c>
      <c r="O464" s="89" t="b">
        <f t="shared" si="1"/>
        <v>1</v>
      </c>
      <c r="P464" s="89" t="b">
        <v>1</v>
      </c>
      <c r="Q464" s="89" t="s">
        <v>212</v>
      </c>
    </row>
    <row r="465">
      <c r="A465" s="108"/>
      <c r="B465" s="202"/>
      <c r="C465" s="202" t="str">
        <f>VLOOKUP(M465,'#verificação horas por projeto'!A:B,2,FALSE)</f>
        <v>INOV00035</v>
      </c>
      <c r="D465" s="202" t="s">
        <v>23</v>
      </c>
      <c r="E465" s="107" t="s">
        <v>132</v>
      </c>
      <c r="F465" s="211">
        <v>45497.0</v>
      </c>
      <c r="G465" s="226">
        <v>0.16666666666666666</v>
      </c>
      <c r="H465" s="107" t="s">
        <v>354</v>
      </c>
      <c r="I465" s="227" t="s">
        <v>354</v>
      </c>
      <c r="J465" s="227"/>
      <c r="K465" s="115" t="s">
        <v>652</v>
      </c>
      <c r="L465" s="228"/>
      <c r="M465" s="107" t="s">
        <v>426</v>
      </c>
      <c r="N465" s="229">
        <f>IF(AND(O465=TRUE,P465=TRUE), VLOOKUP($E465,PESSOAL!$B$35:$S$45,MONTH($F465)+6,FALSE)*G465*24,0)</f>
        <v>196.2123185</v>
      </c>
      <c r="O465" s="89" t="b">
        <f t="shared" si="1"/>
        <v>1</v>
      </c>
      <c r="P465" s="89" t="b">
        <v>1</v>
      </c>
      <c r="Q465" s="89" t="s">
        <v>212</v>
      </c>
    </row>
    <row r="466" hidden="1">
      <c r="A466" s="108"/>
      <c r="B466" s="202"/>
      <c r="C466" s="202" t="str">
        <f>VLOOKUP(M466,'#verificação horas por projeto'!A:B,2,FALSE)</f>
        <v>#N/A</v>
      </c>
      <c r="D466" s="202" t="s">
        <v>38</v>
      </c>
      <c r="E466" s="107" t="s">
        <v>132</v>
      </c>
      <c r="F466" s="211">
        <v>45498.0</v>
      </c>
      <c r="G466" s="226">
        <v>0.16666666666666666</v>
      </c>
      <c r="H466" s="107" t="s">
        <v>356</v>
      </c>
      <c r="I466" s="227" t="s">
        <v>356</v>
      </c>
      <c r="J466" s="227"/>
      <c r="K466" s="115" t="s">
        <v>518</v>
      </c>
      <c r="L466" s="228"/>
      <c r="M466" s="107" t="s">
        <v>519</v>
      </c>
      <c r="N466" s="229">
        <f>IF(AND(O466=TRUE,P466=TRUE), VLOOKUP($E466,PESSOAL!$B$35:$S$45,MONTH($F466)+6,FALSE)*G466*24,0)</f>
        <v>0</v>
      </c>
      <c r="O466" s="89" t="b">
        <f t="shared" si="1"/>
        <v>1</v>
      </c>
      <c r="P466" s="89" t="b">
        <v>0</v>
      </c>
      <c r="Q466" s="89" t="s">
        <v>212</v>
      </c>
    </row>
    <row r="467" hidden="1">
      <c r="A467" s="108"/>
      <c r="B467" s="202"/>
      <c r="C467" s="202" t="str">
        <f>VLOOKUP(M467,'#verificação horas por projeto'!A:B,2,FALSE)</f>
        <v>INOV00001</v>
      </c>
      <c r="D467" s="202" t="s">
        <v>3</v>
      </c>
      <c r="E467" s="107" t="s">
        <v>132</v>
      </c>
      <c r="F467" s="211">
        <v>45509.0</v>
      </c>
      <c r="G467" s="226">
        <v>0.16666666666666666</v>
      </c>
      <c r="H467" s="107" t="s">
        <v>356</v>
      </c>
      <c r="I467" s="227" t="s">
        <v>356</v>
      </c>
      <c r="J467" s="227"/>
      <c r="K467" s="115" t="s">
        <v>518</v>
      </c>
      <c r="L467" s="228"/>
      <c r="M467" s="107" t="s">
        <v>386</v>
      </c>
      <c r="N467" s="229">
        <f>IF(AND(O467=TRUE,P467=TRUE), VLOOKUP($E467,PESSOAL!$B$35:$S$45,MONTH($F467)+6,FALSE)*G467*24,0)</f>
        <v>254.2256017</v>
      </c>
      <c r="O467" s="89" t="b">
        <f t="shared" si="1"/>
        <v>1</v>
      </c>
      <c r="P467" s="89" t="b">
        <v>1</v>
      </c>
      <c r="Q467" s="89" t="s">
        <v>212</v>
      </c>
    </row>
    <row r="468" hidden="1">
      <c r="A468" s="108"/>
      <c r="B468" s="202"/>
      <c r="C468" s="202" t="str">
        <f>VLOOKUP(M468,'#verificação horas por projeto'!A:B,2,FALSE)</f>
        <v>INOV00037</v>
      </c>
      <c r="D468" s="202" t="s">
        <v>25</v>
      </c>
      <c r="E468" s="107" t="s">
        <v>132</v>
      </c>
      <c r="F468" s="211">
        <v>45511.0</v>
      </c>
      <c r="G468" s="226">
        <v>0.16666666666666666</v>
      </c>
      <c r="H468" s="107" t="s">
        <v>354</v>
      </c>
      <c r="I468" s="227" t="s">
        <v>354</v>
      </c>
      <c r="J468" s="227"/>
      <c r="K468" s="115" t="s">
        <v>507</v>
      </c>
      <c r="L468" s="228"/>
      <c r="M468" s="107" t="s">
        <v>508</v>
      </c>
      <c r="N468" s="229">
        <f>IF(AND(O468=TRUE,P468=TRUE), VLOOKUP($E468,PESSOAL!$B$35:$S$45,MONTH($F468)+6,FALSE)*G468*24,0)</f>
        <v>254.2256017</v>
      </c>
      <c r="O468" s="89" t="b">
        <f t="shared" si="1"/>
        <v>1</v>
      </c>
      <c r="P468" s="89" t="b">
        <v>1</v>
      </c>
      <c r="Q468" s="89" t="s">
        <v>212</v>
      </c>
    </row>
    <row r="469">
      <c r="A469" s="108"/>
      <c r="B469" s="202"/>
      <c r="C469" s="202" t="str">
        <f>VLOOKUP(M469,'#verificação horas por projeto'!A:B,2,FALSE)</f>
        <v>INOV00035</v>
      </c>
      <c r="D469" s="202" t="s">
        <v>23</v>
      </c>
      <c r="E469" s="107" t="s">
        <v>132</v>
      </c>
      <c r="F469" s="211">
        <v>45512.0</v>
      </c>
      <c r="G469" s="226">
        <v>0.125</v>
      </c>
      <c r="H469" s="107" t="s">
        <v>354</v>
      </c>
      <c r="I469" s="227" t="s">
        <v>354</v>
      </c>
      <c r="J469" s="227"/>
      <c r="K469" s="115" t="s">
        <v>652</v>
      </c>
      <c r="L469" s="228"/>
      <c r="M469" s="107" t="s">
        <v>426</v>
      </c>
      <c r="N469" s="229">
        <f>IF(AND(O469=TRUE,P469=TRUE), VLOOKUP($E469,PESSOAL!$B$35:$S$45,MONTH($F469)+6,FALSE)*G469*24,0)</f>
        <v>190.6692013</v>
      </c>
      <c r="O469" s="89" t="b">
        <f t="shared" si="1"/>
        <v>1</v>
      </c>
      <c r="P469" s="89" t="b">
        <v>1</v>
      </c>
      <c r="Q469" s="89" t="s">
        <v>212</v>
      </c>
    </row>
    <row r="470" hidden="1">
      <c r="A470" s="108"/>
      <c r="B470" s="202"/>
      <c r="C470" s="202" t="str">
        <f>VLOOKUP(M470,'#verificação horas por projeto'!A:B,2,FALSE)</f>
        <v>INOV00039</v>
      </c>
      <c r="D470" s="202" t="s">
        <v>27</v>
      </c>
      <c r="E470" s="107" t="s">
        <v>132</v>
      </c>
      <c r="F470" s="211">
        <v>45513.0</v>
      </c>
      <c r="G470" s="226">
        <v>0.125</v>
      </c>
      <c r="H470" s="107" t="s">
        <v>354</v>
      </c>
      <c r="I470" s="227" t="s">
        <v>354</v>
      </c>
      <c r="J470" s="227"/>
      <c r="K470" s="115" t="s">
        <v>507</v>
      </c>
      <c r="L470" s="228"/>
      <c r="M470" s="107" t="s">
        <v>516</v>
      </c>
      <c r="N470" s="229">
        <f>IF(AND(O470=TRUE,P470=TRUE), VLOOKUP($E470,PESSOAL!$B$35:$S$45,MONTH($F470)+6,FALSE)*G470*24,0)</f>
        <v>190.6692013</v>
      </c>
      <c r="O470" s="89" t="b">
        <f t="shared" si="1"/>
        <v>1</v>
      </c>
      <c r="P470" s="89" t="b">
        <v>1</v>
      </c>
      <c r="Q470" s="89" t="s">
        <v>212</v>
      </c>
    </row>
    <row r="471" hidden="1">
      <c r="A471" s="108"/>
      <c r="B471" s="202"/>
      <c r="C471" s="202" t="str">
        <f>VLOOKUP(M471,'#verificação horas por projeto'!A:B,2,FALSE)</f>
        <v>INOV00022</v>
      </c>
      <c r="D471" s="202" t="s">
        <v>12</v>
      </c>
      <c r="E471" s="107" t="s">
        <v>132</v>
      </c>
      <c r="F471" s="211">
        <v>45513.0</v>
      </c>
      <c r="G471" s="226">
        <v>0.125</v>
      </c>
      <c r="H471" s="107" t="s">
        <v>354</v>
      </c>
      <c r="I471" s="227" t="s">
        <v>354</v>
      </c>
      <c r="J471" s="227"/>
      <c r="K471" s="115" t="s">
        <v>517</v>
      </c>
      <c r="L471" s="228"/>
      <c r="M471" s="107" t="s">
        <v>506</v>
      </c>
      <c r="N471" s="229">
        <f>IF(AND(O471=TRUE,P471=TRUE), VLOOKUP($E471,PESSOAL!$B$35:$S$45,MONTH($F471)+6,FALSE)*G471*24,0)</f>
        <v>190.6692013</v>
      </c>
      <c r="O471" s="89" t="b">
        <f t="shared" si="1"/>
        <v>1</v>
      </c>
      <c r="P471" s="89" t="b">
        <v>1</v>
      </c>
      <c r="Q471" s="89" t="s">
        <v>212</v>
      </c>
    </row>
    <row r="472" hidden="1">
      <c r="A472" s="108"/>
      <c r="B472" s="202"/>
      <c r="C472" s="202" t="str">
        <f>VLOOKUP(M472,'#verificação horas por projeto'!A:B,2,FALSE)</f>
        <v>INOV00023</v>
      </c>
      <c r="D472" s="202" t="s">
        <v>13</v>
      </c>
      <c r="E472" s="107" t="s">
        <v>132</v>
      </c>
      <c r="F472" s="211">
        <v>45516.0</v>
      </c>
      <c r="G472" s="226">
        <v>0.125</v>
      </c>
      <c r="H472" s="107" t="s">
        <v>354</v>
      </c>
      <c r="I472" s="227" t="s">
        <v>354</v>
      </c>
      <c r="J472" s="227"/>
      <c r="K472" s="115" t="s">
        <v>507</v>
      </c>
      <c r="L472" s="228"/>
      <c r="M472" s="107" t="s">
        <v>510</v>
      </c>
      <c r="N472" s="229">
        <f>IF(AND(O472=TRUE,P472=TRUE), VLOOKUP($E472,PESSOAL!$B$35:$S$45,MONTH($F472)+6,FALSE)*G472*24,0)</f>
        <v>190.6692013</v>
      </c>
      <c r="O472" s="89" t="b">
        <f t="shared" si="1"/>
        <v>1</v>
      </c>
      <c r="P472" s="89" t="b">
        <v>1</v>
      </c>
      <c r="Q472" s="89" t="s">
        <v>212</v>
      </c>
    </row>
    <row r="473" hidden="1">
      <c r="A473" s="108"/>
      <c r="B473" s="202"/>
      <c r="C473" s="202" t="str">
        <f>VLOOKUP(M473,'#verificação horas por projeto'!A:B,2,FALSE)</f>
        <v>INOV00024</v>
      </c>
      <c r="D473" s="202" t="s">
        <v>14</v>
      </c>
      <c r="E473" s="107" t="s">
        <v>132</v>
      </c>
      <c r="F473" s="211">
        <v>45516.0</v>
      </c>
      <c r="G473" s="226">
        <v>0.16666666666666666</v>
      </c>
      <c r="H473" s="107" t="s">
        <v>354</v>
      </c>
      <c r="I473" s="227" t="s">
        <v>354</v>
      </c>
      <c r="J473" s="227"/>
      <c r="K473" s="115" t="s">
        <v>512</v>
      </c>
      <c r="L473" s="228"/>
      <c r="M473" s="107" t="s">
        <v>428</v>
      </c>
      <c r="N473" s="229">
        <f>IF(AND(O473=TRUE,P473=TRUE), VLOOKUP($E473,PESSOAL!$B$35:$S$45,MONTH($F473)+6,FALSE)*G473*24,0)</f>
        <v>254.2256017</v>
      </c>
      <c r="O473" s="89" t="b">
        <f t="shared" si="1"/>
        <v>1</v>
      </c>
      <c r="P473" s="89" t="b">
        <v>1</v>
      </c>
      <c r="Q473" s="89" t="s">
        <v>212</v>
      </c>
    </row>
    <row r="474" hidden="1">
      <c r="A474" s="108"/>
      <c r="B474" s="202"/>
      <c r="C474" s="202" t="str">
        <f>VLOOKUP(M474,'#verificação horas por projeto'!A:B,2,FALSE)</f>
        <v>#N/A</v>
      </c>
      <c r="D474" s="202" t="s">
        <v>38</v>
      </c>
      <c r="E474" s="107" t="s">
        <v>132</v>
      </c>
      <c r="F474" s="211">
        <v>45518.0</v>
      </c>
      <c r="G474" s="226">
        <v>0.20833333333333334</v>
      </c>
      <c r="H474" s="107" t="s">
        <v>356</v>
      </c>
      <c r="I474" s="227" t="s">
        <v>356</v>
      </c>
      <c r="J474" s="227"/>
      <c r="K474" s="115" t="s">
        <v>518</v>
      </c>
      <c r="L474" s="228"/>
      <c r="M474" s="107" t="s">
        <v>519</v>
      </c>
      <c r="N474" s="229">
        <f>IF(AND(O474=TRUE,P474=TRUE), VLOOKUP($E474,PESSOAL!$B$35:$S$45,MONTH($F474)+6,FALSE)*G474*24,0)</f>
        <v>0</v>
      </c>
      <c r="O474" s="89" t="b">
        <f t="shared" si="1"/>
        <v>1</v>
      </c>
      <c r="P474" s="89" t="b">
        <v>0</v>
      </c>
      <c r="Q474" s="89" t="s">
        <v>212</v>
      </c>
    </row>
    <row r="475" hidden="1">
      <c r="A475" s="108"/>
      <c r="B475" s="202"/>
      <c r="C475" s="202" t="str">
        <f>VLOOKUP(M475,'#verificação horas por projeto'!A:B,2,FALSE)</f>
        <v>#N/A</v>
      </c>
      <c r="D475" s="202" t="s">
        <v>38</v>
      </c>
      <c r="E475" s="107" t="s">
        <v>132</v>
      </c>
      <c r="F475" s="211">
        <v>45519.0</v>
      </c>
      <c r="G475" s="226">
        <v>0.16666666666666666</v>
      </c>
      <c r="H475" s="107" t="s">
        <v>356</v>
      </c>
      <c r="I475" s="227" t="s">
        <v>356</v>
      </c>
      <c r="J475" s="227"/>
      <c r="K475" s="115" t="s">
        <v>518</v>
      </c>
      <c r="L475" s="228"/>
      <c r="M475" s="107" t="s">
        <v>519</v>
      </c>
      <c r="N475" s="229">
        <f>IF(AND(O475=TRUE,P475=TRUE), VLOOKUP($E475,PESSOAL!$B$35:$S$45,MONTH($F475)+6,FALSE)*G475*24,0)</f>
        <v>0</v>
      </c>
      <c r="O475" s="89" t="b">
        <f t="shared" si="1"/>
        <v>1</v>
      </c>
      <c r="P475" s="89" t="b">
        <v>0</v>
      </c>
      <c r="Q475" s="89" t="s">
        <v>212</v>
      </c>
    </row>
    <row r="476">
      <c r="A476" s="108"/>
      <c r="B476" s="202"/>
      <c r="C476" s="202" t="str">
        <f>VLOOKUP(M476,'#verificação horas por projeto'!A:B,2,FALSE)</f>
        <v>INOV00035</v>
      </c>
      <c r="D476" s="202" t="s">
        <v>23</v>
      </c>
      <c r="E476" s="107" t="s">
        <v>132</v>
      </c>
      <c r="F476" s="211">
        <v>45520.0</v>
      </c>
      <c r="G476" s="226">
        <v>0.125</v>
      </c>
      <c r="H476" s="107" t="s">
        <v>354</v>
      </c>
      <c r="I476" s="227" t="s">
        <v>354</v>
      </c>
      <c r="J476" s="227"/>
      <c r="K476" s="115" t="s">
        <v>652</v>
      </c>
      <c r="L476" s="228"/>
      <c r="M476" s="107" t="s">
        <v>426</v>
      </c>
      <c r="N476" s="229">
        <f>IF(AND(O476=TRUE,P476=TRUE), VLOOKUP($E476,PESSOAL!$B$35:$S$45,MONTH($F476)+6,FALSE)*G476*24,0)</f>
        <v>190.6692013</v>
      </c>
      <c r="O476" s="89" t="b">
        <f t="shared" si="1"/>
        <v>1</v>
      </c>
      <c r="P476" s="89" t="b">
        <v>1</v>
      </c>
      <c r="Q476" s="89" t="s">
        <v>212</v>
      </c>
    </row>
    <row r="477" hidden="1">
      <c r="A477" s="108"/>
      <c r="B477" s="202"/>
      <c r="C477" s="202" t="str">
        <f>VLOOKUP(M477,'#verificação horas por projeto'!A:B,2,FALSE)</f>
        <v>INOV00037</v>
      </c>
      <c r="D477" s="202" t="s">
        <v>25</v>
      </c>
      <c r="E477" s="107" t="s">
        <v>132</v>
      </c>
      <c r="F477" s="211">
        <v>45523.0</v>
      </c>
      <c r="G477" s="226">
        <v>0.08333333333333333</v>
      </c>
      <c r="H477" s="107" t="s">
        <v>354</v>
      </c>
      <c r="I477" s="227" t="s">
        <v>354</v>
      </c>
      <c r="J477" s="227"/>
      <c r="K477" s="115" t="s">
        <v>507</v>
      </c>
      <c r="L477" s="228"/>
      <c r="M477" s="107" t="s">
        <v>508</v>
      </c>
      <c r="N477" s="229">
        <f>IF(AND(O477=TRUE,P477=TRUE), VLOOKUP($E477,PESSOAL!$B$35:$S$45,MONTH($F477)+6,FALSE)*G477*24,0)</f>
        <v>127.1128009</v>
      </c>
      <c r="O477" s="89" t="b">
        <f t="shared" si="1"/>
        <v>1</v>
      </c>
      <c r="P477" s="89" t="b">
        <v>1</v>
      </c>
      <c r="Q477" s="89" t="s">
        <v>212</v>
      </c>
    </row>
    <row r="478" hidden="1">
      <c r="A478" s="108"/>
      <c r="B478" s="202"/>
      <c r="C478" s="202" t="str">
        <f>VLOOKUP(M478,'#verificação horas por projeto'!A:B,2,FALSE)</f>
        <v>INOV00023</v>
      </c>
      <c r="D478" s="202" t="s">
        <v>13</v>
      </c>
      <c r="E478" s="107" t="s">
        <v>132</v>
      </c>
      <c r="F478" s="211">
        <v>45524.0</v>
      </c>
      <c r="G478" s="226">
        <v>0.16666666666666666</v>
      </c>
      <c r="H478" s="107" t="s">
        <v>354</v>
      </c>
      <c r="I478" s="227" t="s">
        <v>354</v>
      </c>
      <c r="J478" s="227"/>
      <c r="K478" s="115" t="s">
        <v>507</v>
      </c>
      <c r="L478" s="228"/>
      <c r="M478" s="107" t="s">
        <v>510</v>
      </c>
      <c r="N478" s="229">
        <f>IF(AND(O478=TRUE,P478=TRUE), VLOOKUP($E478,PESSOAL!$B$35:$S$45,MONTH($F478)+6,FALSE)*G478*24,0)</f>
        <v>254.2256017</v>
      </c>
      <c r="O478" s="89" t="b">
        <f t="shared" si="1"/>
        <v>1</v>
      </c>
      <c r="P478" s="89" t="b">
        <v>1</v>
      </c>
      <c r="Q478" s="89" t="s">
        <v>212</v>
      </c>
    </row>
    <row r="479" hidden="1">
      <c r="A479" s="108"/>
      <c r="B479" s="202"/>
      <c r="C479" s="202" t="str">
        <f>VLOOKUP(M479,'#verificação horas por projeto'!A:B,2,FALSE)</f>
        <v>#N/A</v>
      </c>
      <c r="D479" s="202" t="s">
        <v>36</v>
      </c>
      <c r="E479" s="107" t="s">
        <v>132</v>
      </c>
      <c r="F479" s="211">
        <v>45524.0</v>
      </c>
      <c r="G479" s="226">
        <v>0.16666666666666666</v>
      </c>
      <c r="H479" s="107" t="s">
        <v>354</v>
      </c>
      <c r="I479" s="227" t="s">
        <v>354</v>
      </c>
      <c r="J479" s="227"/>
      <c r="K479" s="115" t="s">
        <v>653</v>
      </c>
      <c r="L479" s="228"/>
      <c r="M479" s="107" t="s">
        <v>514</v>
      </c>
      <c r="N479" s="229">
        <f>IF(AND(O479=TRUE,P479=TRUE), VLOOKUP($E479,PESSOAL!$B$35:$S$45,MONTH($F479)+6,FALSE)*G479*24,0)</f>
        <v>0</v>
      </c>
      <c r="O479" s="89" t="b">
        <f t="shared" si="1"/>
        <v>1</v>
      </c>
      <c r="P479" s="89" t="b">
        <v>0</v>
      </c>
      <c r="Q479" s="89" t="s">
        <v>212</v>
      </c>
    </row>
    <row r="480" hidden="1">
      <c r="A480" s="108"/>
      <c r="B480" s="202"/>
      <c r="C480" s="202" t="str">
        <f>VLOOKUP(M480,'#verificação horas por projeto'!A:B,2,FALSE)</f>
        <v>#N/A</v>
      </c>
      <c r="D480" s="202" t="s">
        <v>36</v>
      </c>
      <c r="E480" s="107" t="s">
        <v>132</v>
      </c>
      <c r="F480" s="211">
        <v>45525.0</v>
      </c>
      <c r="G480" s="226">
        <v>0.20833333333333334</v>
      </c>
      <c r="H480" s="107" t="s">
        <v>354</v>
      </c>
      <c r="I480" s="227" t="s">
        <v>354</v>
      </c>
      <c r="J480" s="227"/>
      <c r="K480" s="115" t="s">
        <v>653</v>
      </c>
      <c r="L480" s="228"/>
      <c r="M480" s="107" t="s">
        <v>514</v>
      </c>
      <c r="N480" s="229">
        <f>IF(AND(O480=TRUE,P480=TRUE), VLOOKUP($E480,PESSOAL!$B$35:$S$45,MONTH($F480)+6,FALSE)*G480*24,0)</f>
        <v>0</v>
      </c>
      <c r="O480" s="89" t="b">
        <f t="shared" si="1"/>
        <v>1</v>
      </c>
      <c r="P480" s="89" t="b">
        <v>0</v>
      </c>
      <c r="Q480" s="89" t="s">
        <v>212</v>
      </c>
    </row>
    <row r="481" hidden="1">
      <c r="A481" s="108"/>
      <c r="B481" s="202"/>
      <c r="C481" s="202" t="str">
        <f>VLOOKUP(M481,'#verificação horas por projeto'!A:B,2,FALSE)</f>
        <v>#N/A</v>
      </c>
      <c r="D481" s="202" t="s">
        <v>36</v>
      </c>
      <c r="E481" s="107" t="s">
        <v>132</v>
      </c>
      <c r="F481" s="211">
        <v>45526.0</v>
      </c>
      <c r="G481" s="226">
        <v>0.20833333333333334</v>
      </c>
      <c r="H481" s="107" t="s">
        <v>354</v>
      </c>
      <c r="I481" s="227" t="s">
        <v>354</v>
      </c>
      <c r="J481" s="227"/>
      <c r="K481" s="115" t="s">
        <v>653</v>
      </c>
      <c r="L481" s="228"/>
      <c r="M481" s="107" t="s">
        <v>514</v>
      </c>
      <c r="N481" s="229">
        <f>IF(AND(O481=TRUE,P481=TRUE), VLOOKUP($E481,PESSOAL!$B$35:$S$45,MONTH($F481)+6,FALSE)*G481*24,0)</f>
        <v>0</v>
      </c>
      <c r="O481" s="89" t="b">
        <f t="shared" si="1"/>
        <v>1</v>
      </c>
      <c r="P481" s="89" t="b">
        <v>0</v>
      </c>
      <c r="Q481" s="89" t="s">
        <v>212</v>
      </c>
    </row>
    <row r="482" hidden="1">
      <c r="A482" s="108"/>
      <c r="B482" s="202"/>
      <c r="C482" s="202" t="str">
        <f>VLOOKUP(M482,'#verificação horas por projeto'!A:B,2,FALSE)</f>
        <v>#N/A</v>
      </c>
      <c r="D482" s="202" t="s">
        <v>36</v>
      </c>
      <c r="E482" s="107" t="s">
        <v>132</v>
      </c>
      <c r="F482" s="211">
        <v>45527.0</v>
      </c>
      <c r="G482" s="226">
        <v>0.20833333333333334</v>
      </c>
      <c r="H482" s="107" t="s">
        <v>354</v>
      </c>
      <c r="I482" s="227" t="s">
        <v>354</v>
      </c>
      <c r="J482" s="227"/>
      <c r="K482" s="115" t="s">
        <v>653</v>
      </c>
      <c r="L482" s="228"/>
      <c r="M482" s="107" t="s">
        <v>514</v>
      </c>
      <c r="N482" s="229">
        <f>IF(AND(O482=TRUE,P482=TRUE), VLOOKUP($E482,PESSOAL!$B$35:$S$45,MONTH($F482)+6,FALSE)*G482*24,0)</f>
        <v>0</v>
      </c>
      <c r="O482" s="89" t="b">
        <f t="shared" si="1"/>
        <v>1</v>
      </c>
      <c r="P482" s="89" t="b">
        <v>0</v>
      </c>
      <c r="Q482" s="89" t="s">
        <v>212</v>
      </c>
    </row>
    <row r="483" hidden="1">
      <c r="A483" s="108"/>
      <c r="B483" s="202"/>
      <c r="C483" s="202" t="str">
        <f>VLOOKUP(M483,'#verificação horas por projeto'!A:B,2,FALSE)</f>
        <v>#N/A</v>
      </c>
      <c r="D483" s="202" t="s">
        <v>38</v>
      </c>
      <c r="E483" s="107" t="s">
        <v>132</v>
      </c>
      <c r="F483" s="211">
        <v>45527.0</v>
      </c>
      <c r="G483" s="226">
        <v>0.16666666666666666</v>
      </c>
      <c r="H483" s="107" t="s">
        <v>356</v>
      </c>
      <c r="I483" s="227" t="s">
        <v>356</v>
      </c>
      <c r="J483" s="227"/>
      <c r="K483" s="115" t="s">
        <v>518</v>
      </c>
      <c r="L483" s="228"/>
      <c r="M483" s="107" t="s">
        <v>519</v>
      </c>
      <c r="N483" s="229">
        <f>IF(AND(O483=TRUE,P483=TRUE), VLOOKUP($E483,PESSOAL!$B$35:$S$45,MONTH($F483)+6,FALSE)*G483*24,0)</f>
        <v>0</v>
      </c>
      <c r="O483" s="89" t="b">
        <f t="shared" si="1"/>
        <v>1</v>
      </c>
      <c r="P483" s="89" t="b">
        <v>0</v>
      </c>
      <c r="Q483" s="89" t="s">
        <v>212</v>
      </c>
    </row>
    <row r="484">
      <c r="A484" s="108"/>
      <c r="B484" s="202"/>
      <c r="C484" s="202" t="str">
        <f>VLOOKUP(M484,'#verificação horas por projeto'!A:B,2,FALSE)</f>
        <v>INOV00035</v>
      </c>
      <c r="D484" s="202" t="s">
        <v>23</v>
      </c>
      <c r="E484" s="107" t="s">
        <v>132</v>
      </c>
      <c r="F484" s="211">
        <v>45548.0</v>
      </c>
      <c r="G484" s="226">
        <v>0.16666666666666666</v>
      </c>
      <c r="H484" s="107" t="s">
        <v>354</v>
      </c>
      <c r="I484" s="227" t="s">
        <v>354</v>
      </c>
      <c r="J484" s="227"/>
      <c r="K484" s="115" t="s">
        <v>652</v>
      </c>
      <c r="L484" s="228"/>
      <c r="M484" s="107" t="s">
        <v>426</v>
      </c>
      <c r="N484" s="229">
        <f>IF(AND(O484=TRUE,P484=TRUE), VLOOKUP($E484,PESSOAL!$B$35:$S$45,MONTH($F484)+6,FALSE)*G484*24,0)</f>
        <v>266.3315827</v>
      </c>
      <c r="O484" s="89" t="b">
        <f t="shared" si="1"/>
        <v>1</v>
      </c>
      <c r="P484" s="89" t="b">
        <v>1</v>
      </c>
      <c r="Q484" s="89" t="s">
        <v>212</v>
      </c>
    </row>
    <row r="485" hidden="1">
      <c r="A485" s="108"/>
      <c r="B485" s="202"/>
      <c r="C485" s="202" t="str">
        <f>VLOOKUP(M485,'#verificação horas por projeto'!A:B,2,FALSE)</f>
        <v>INOV00037</v>
      </c>
      <c r="D485" s="202" t="s">
        <v>25</v>
      </c>
      <c r="E485" s="107" t="s">
        <v>132</v>
      </c>
      <c r="F485" s="211">
        <v>45551.0</v>
      </c>
      <c r="G485" s="226">
        <v>0.08333333333333333</v>
      </c>
      <c r="H485" s="107" t="s">
        <v>354</v>
      </c>
      <c r="I485" s="227" t="s">
        <v>354</v>
      </c>
      <c r="J485" s="227"/>
      <c r="K485" s="115" t="s">
        <v>507</v>
      </c>
      <c r="L485" s="228"/>
      <c r="M485" s="107" t="s">
        <v>508</v>
      </c>
      <c r="N485" s="229">
        <f>IF(AND(O485=TRUE,P485=TRUE), VLOOKUP($E485,PESSOAL!$B$35:$S$45,MONTH($F485)+6,FALSE)*G485*24,0)</f>
        <v>133.1657914</v>
      </c>
      <c r="O485" s="89" t="b">
        <f t="shared" si="1"/>
        <v>1</v>
      </c>
      <c r="P485" s="89" t="b">
        <v>1</v>
      </c>
      <c r="Q485" s="89" t="s">
        <v>212</v>
      </c>
    </row>
    <row r="486" hidden="1">
      <c r="A486" s="108"/>
      <c r="B486" s="202"/>
      <c r="C486" s="202" t="str">
        <f>VLOOKUP(M486,'#verificação horas por projeto'!A:B,2,FALSE)</f>
        <v>INOV00039</v>
      </c>
      <c r="D486" s="202" t="s">
        <v>27</v>
      </c>
      <c r="E486" s="107" t="s">
        <v>132</v>
      </c>
      <c r="F486" s="211">
        <v>45551.0</v>
      </c>
      <c r="G486" s="226">
        <v>0.08333333333333333</v>
      </c>
      <c r="H486" s="107" t="s">
        <v>354</v>
      </c>
      <c r="I486" s="227" t="s">
        <v>354</v>
      </c>
      <c r="J486" s="227"/>
      <c r="K486" s="115" t="s">
        <v>507</v>
      </c>
      <c r="L486" s="228"/>
      <c r="M486" s="107" t="s">
        <v>516</v>
      </c>
      <c r="N486" s="229">
        <f>IF(AND(O486=TRUE,P486=TRUE), VLOOKUP($E486,PESSOAL!$B$35:$S$45,MONTH($F486)+6,FALSE)*G486*24,0)</f>
        <v>133.1657914</v>
      </c>
      <c r="O486" s="89" t="b">
        <f t="shared" si="1"/>
        <v>1</v>
      </c>
      <c r="P486" s="89" t="b">
        <v>1</v>
      </c>
      <c r="Q486" s="89" t="s">
        <v>212</v>
      </c>
    </row>
    <row r="487" hidden="1">
      <c r="A487" s="108"/>
      <c r="B487" s="202"/>
      <c r="C487" s="202" t="str">
        <f>VLOOKUP(M487,'#verificação horas por projeto'!A:B,2,FALSE)</f>
        <v>INOV00024</v>
      </c>
      <c r="D487" s="202" t="s">
        <v>14</v>
      </c>
      <c r="E487" s="107" t="s">
        <v>132</v>
      </c>
      <c r="F487" s="211">
        <v>45552.0</v>
      </c>
      <c r="G487" s="226">
        <v>0.125</v>
      </c>
      <c r="H487" s="107" t="s">
        <v>354</v>
      </c>
      <c r="I487" s="227" t="s">
        <v>354</v>
      </c>
      <c r="J487" s="227"/>
      <c r="K487" s="115" t="s">
        <v>512</v>
      </c>
      <c r="L487" s="228"/>
      <c r="M487" s="107" t="s">
        <v>428</v>
      </c>
      <c r="N487" s="229">
        <f>IF(AND(O487=TRUE,P487=TRUE), VLOOKUP($E487,PESSOAL!$B$35:$S$45,MONTH($F487)+6,FALSE)*G487*24,0)</f>
        <v>199.7486871</v>
      </c>
      <c r="O487" s="89" t="b">
        <f t="shared" si="1"/>
        <v>1</v>
      </c>
      <c r="P487" s="89" t="b">
        <v>1</v>
      </c>
      <c r="Q487" s="89" t="s">
        <v>212</v>
      </c>
    </row>
    <row r="488" hidden="1">
      <c r="A488" s="108"/>
      <c r="B488" s="202"/>
      <c r="C488" s="202" t="str">
        <f>VLOOKUP(M488,'#verificação horas por projeto'!A:B,2,FALSE)</f>
        <v>INOV00023</v>
      </c>
      <c r="D488" s="202" t="s">
        <v>13</v>
      </c>
      <c r="E488" s="107" t="s">
        <v>132</v>
      </c>
      <c r="F488" s="211">
        <v>45553.0</v>
      </c>
      <c r="G488" s="226">
        <v>0.20833333333333334</v>
      </c>
      <c r="H488" s="107" t="s">
        <v>354</v>
      </c>
      <c r="I488" s="227" t="s">
        <v>354</v>
      </c>
      <c r="J488" s="227"/>
      <c r="K488" s="115" t="s">
        <v>507</v>
      </c>
      <c r="L488" s="228"/>
      <c r="M488" s="107" t="s">
        <v>510</v>
      </c>
      <c r="N488" s="229">
        <f>IF(AND(O488=TRUE,P488=TRUE), VLOOKUP($E488,PESSOAL!$B$35:$S$45,MONTH($F488)+6,FALSE)*G488*24,0)</f>
        <v>332.9144784</v>
      </c>
      <c r="O488" s="89" t="b">
        <f t="shared" si="1"/>
        <v>1</v>
      </c>
      <c r="P488" s="89" t="b">
        <v>1</v>
      </c>
      <c r="Q488" s="89" t="s">
        <v>212</v>
      </c>
    </row>
    <row r="489" hidden="1">
      <c r="A489" s="108"/>
      <c r="B489" s="202"/>
      <c r="C489" s="202" t="str">
        <f>VLOOKUP(M489,'#verificação horas por projeto'!A:B,2,FALSE)</f>
        <v>INOV00022</v>
      </c>
      <c r="D489" s="202" t="s">
        <v>12</v>
      </c>
      <c r="E489" s="107" t="s">
        <v>132</v>
      </c>
      <c r="F489" s="211">
        <v>45554.0</v>
      </c>
      <c r="G489" s="226">
        <v>0.16666666666666666</v>
      </c>
      <c r="H489" s="107" t="s">
        <v>354</v>
      </c>
      <c r="I489" s="227" t="s">
        <v>354</v>
      </c>
      <c r="J489" s="227"/>
      <c r="K489" s="115" t="s">
        <v>517</v>
      </c>
      <c r="L489" s="228"/>
      <c r="M489" s="107" t="s">
        <v>506</v>
      </c>
      <c r="N489" s="229">
        <f>IF(AND(O489=TRUE,P489=TRUE), VLOOKUP($E489,PESSOAL!$B$35:$S$45,MONTH($F489)+6,FALSE)*G489*24,0)</f>
        <v>266.3315827</v>
      </c>
      <c r="O489" s="89" t="b">
        <f t="shared" si="1"/>
        <v>1</v>
      </c>
      <c r="P489" s="89" t="b">
        <v>1</v>
      </c>
      <c r="Q489" s="89" t="s">
        <v>212</v>
      </c>
    </row>
    <row r="490" hidden="1">
      <c r="A490" s="108"/>
      <c r="B490" s="202"/>
      <c r="C490" s="202" t="str">
        <f>VLOOKUP(M490,'#verificação horas por projeto'!A:B,2,FALSE)</f>
        <v>INOV00039</v>
      </c>
      <c r="D490" s="202" t="s">
        <v>27</v>
      </c>
      <c r="E490" s="107" t="s">
        <v>132</v>
      </c>
      <c r="F490" s="211">
        <v>45554.0</v>
      </c>
      <c r="G490" s="226">
        <v>0.16666666666666666</v>
      </c>
      <c r="H490" s="107" t="s">
        <v>354</v>
      </c>
      <c r="I490" s="227" t="s">
        <v>354</v>
      </c>
      <c r="J490" s="227"/>
      <c r="K490" s="115" t="s">
        <v>507</v>
      </c>
      <c r="L490" s="228"/>
      <c r="M490" s="107" t="s">
        <v>516</v>
      </c>
      <c r="N490" s="229">
        <f>IF(AND(O490=TRUE,P490=TRUE), VLOOKUP($E490,PESSOAL!$B$35:$S$45,MONTH($F490)+6,FALSE)*G490*24,0)</f>
        <v>266.3315827</v>
      </c>
      <c r="O490" s="89" t="b">
        <f t="shared" si="1"/>
        <v>1</v>
      </c>
      <c r="P490" s="89" t="b">
        <v>1</v>
      </c>
      <c r="Q490" s="89" t="s">
        <v>212</v>
      </c>
    </row>
    <row r="491" hidden="1">
      <c r="A491" s="108"/>
      <c r="B491" s="202"/>
      <c r="C491" s="202" t="str">
        <f>VLOOKUP(M491,'#verificação horas por projeto'!A:B,2,FALSE)</f>
        <v>#N/A</v>
      </c>
      <c r="D491" s="202" t="s">
        <v>36</v>
      </c>
      <c r="E491" s="107" t="s">
        <v>132</v>
      </c>
      <c r="F491" s="211">
        <v>45555.0</v>
      </c>
      <c r="G491" s="226">
        <v>0.125</v>
      </c>
      <c r="H491" s="107" t="s">
        <v>354</v>
      </c>
      <c r="I491" s="227" t="s">
        <v>354</v>
      </c>
      <c r="J491" s="227"/>
      <c r="K491" s="115" t="s">
        <v>653</v>
      </c>
      <c r="L491" s="228"/>
      <c r="M491" s="107" t="s">
        <v>514</v>
      </c>
      <c r="N491" s="229">
        <f>IF(AND(O491=TRUE,P491=TRUE), VLOOKUP($E491,PESSOAL!$B$35:$S$45,MONTH($F491)+6,FALSE)*G491*24,0)</f>
        <v>0</v>
      </c>
      <c r="O491" s="89" t="b">
        <f t="shared" si="1"/>
        <v>1</v>
      </c>
      <c r="P491" s="89" t="b">
        <v>0</v>
      </c>
      <c r="Q491" s="89" t="s">
        <v>212</v>
      </c>
    </row>
    <row r="492" hidden="1">
      <c r="A492" s="108"/>
      <c r="B492" s="202"/>
      <c r="C492" s="202" t="str">
        <f>VLOOKUP(M492,'#verificação horas por projeto'!A:B,2,FALSE)</f>
        <v>#N/A</v>
      </c>
      <c r="D492" s="202" t="s">
        <v>36</v>
      </c>
      <c r="E492" s="107" t="s">
        <v>132</v>
      </c>
      <c r="F492" s="211">
        <v>45558.0</v>
      </c>
      <c r="G492" s="226">
        <v>0.16666666666666666</v>
      </c>
      <c r="H492" s="107" t="s">
        <v>354</v>
      </c>
      <c r="I492" s="227" t="s">
        <v>354</v>
      </c>
      <c r="J492" s="227"/>
      <c r="K492" s="115" t="s">
        <v>653</v>
      </c>
      <c r="L492" s="228"/>
      <c r="M492" s="107" t="s">
        <v>514</v>
      </c>
      <c r="N492" s="229">
        <f>IF(AND(O492=TRUE,P492=TRUE), VLOOKUP($E492,PESSOAL!$B$35:$S$45,MONTH($F492)+6,FALSE)*G492*24,0)</f>
        <v>0</v>
      </c>
      <c r="O492" s="89" t="b">
        <f t="shared" si="1"/>
        <v>1</v>
      </c>
      <c r="P492" s="89" t="b">
        <v>0</v>
      </c>
      <c r="Q492" s="89" t="s">
        <v>212</v>
      </c>
    </row>
    <row r="493" hidden="1">
      <c r="A493" s="108"/>
      <c r="B493" s="202"/>
      <c r="C493" s="202" t="str">
        <f>VLOOKUP(M493,'#verificação horas por projeto'!A:B,2,FALSE)</f>
        <v>#N/A</v>
      </c>
      <c r="D493" s="202" t="s">
        <v>36</v>
      </c>
      <c r="E493" s="107" t="s">
        <v>132</v>
      </c>
      <c r="F493" s="211">
        <v>45559.0</v>
      </c>
      <c r="G493" s="226">
        <v>0.16666666666666666</v>
      </c>
      <c r="H493" s="107" t="s">
        <v>354</v>
      </c>
      <c r="I493" s="227" t="s">
        <v>354</v>
      </c>
      <c r="J493" s="227"/>
      <c r="K493" s="115" t="s">
        <v>653</v>
      </c>
      <c r="L493" s="228"/>
      <c r="M493" s="107" t="s">
        <v>514</v>
      </c>
      <c r="N493" s="229">
        <f>IF(AND(O493=TRUE,P493=TRUE), VLOOKUP($E493,PESSOAL!$B$35:$S$45,MONTH($F493)+6,FALSE)*G493*24,0)</f>
        <v>0</v>
      </c>
      <c r="O493" s="89" t="b">
        <f t="shared" si="1"/>
        <v>1</v>
      </c>
      <c r="P493" s="89" t="b">
        <v>0</v>
      </c>
      <c r="Q493" s="89" t="s">
        <v>212</v>
      </c>
    </row>
    <row r="494" hidden="1">
      <c r="A494" s="108"/>
      <c r="B494" s="202"/>
      <c r="C494" s="202" t="str">
        <f>VLOOKUP(M494,'#verificação horas por projeto'!A:B,2,FALSE)</f>
        <v>INOV00023</v>
      </c>
      <c r="D494" s="202" t="s">
        <v>13</v>
      </c>
      <c r="E494" s="107" t="s">
        <v>132</v>
      </c>
      <c r="F494" s="211">
        <v>45559.0</v>
      </c>
      <c r="G494" s="226">
        <v>0.16666666666666666</v>
      </c>
      <c r="H494" s="107" t="s">
        <v>354</v>
      </c>
      <c r="I494" s="227" t="s">
        <v>354</v>
      </c>
      <c r="J494" s="227"/>
      <c r="K494" s="115" t="s">
        <v>507</v>
      </c>
      <c r="L494" s="228"/>
      <c r="M494" s="107" t="s">
        <v>510</v>
      </c>
      <c r="N494" s="229">
        <f>IF(AND(O494=TRUE,P494=TRUE), VLOOKUP($E494,PESSOAL!$B$35:$S$45,MONTH($F494)+6,FALSE)*G494*24,0)</f>
        <v>266.3315827</v>
      </c>
      <c r="O494" s="89" t="b">
        <f t="shared" si="1"/>
        <v>1</v>
      </c>
      <c r="P494" s="89" t="b">
        <v>1</v>
      </c>
      <c r="Q494" s="89" t="s">
        <v>212</v>
      </c>
    </row>
    <row r="495" hidden="1">
      <c r="A495" s="108"/>
      <c r="B495" s="202"/>
      <c r="C495" s="202" t="str">
        <f>VLOOKUP(M495,'#verificação horas por projeto'!A:B,2,FALSE)</f>
        <v>INOV00037</v>
      </c>
      <c r="D495" s="202" t="s">
        <v>25</v>
      </c>
      <c r="E495" s="107" t="s">
        <v>132</v>
      </c>
      <c r="F495" s="211">
        <v>45560.0</v>
      </c>
      <c r="G495" s="226">
        <v>0.08333333333333333</v>
      </c>
      <c r="H495" s="107" t="s">
        <v>354</v>
      </c>
      <c r="I495" s="227" t="s">
        <v>354</v>
      </c>
      <c r="J495" s="227"/>
      <c r="K495" s="115" t="s">
        <v>507</v>
      </c>
      <c r="L495" s="228"/>
      <c r="M495" s="107" t="s">
        <v>508</v>
      </c>
      <c r="N495" s="229">
        <f>IF(AND(O495=TRUE,P495=TRUE), VLOOKUP($E495,PESSOAL!$B$35:$S$45,MONTH($F495)+6,FALSE)*G495*24,0)</f>
        <v>133.1657914</v>
      </c>
      <c r="O495" s="89" t="b">
        <f t="shared" si="1"/>
        <v>1</v>
      </c>
      <c r="P495" s="89" t="b">
        <v>1</v>
      </c>
      <c r="Q495" s="89" t="s">
        <v>212</v>
      </c>
    </row>
    <row r="496" hidden="1">
      <c r="A496" s="108"/>
      <c r="B496" s="202"/>
      <c r="C496" s="202" t="str">
        <f>VLOOKUP(M496,'#verificação horas por projeto'!A:B,2,FALSE)</f>
        <v>#N/A</v>
      </c>
      <c r="D496" s="202" t="s">
        <v>38</v>
      </c>
      <c r="E496" s="107" t="s">
        <v>132</v>
      </c>
      <c r="F496" s="211">
        <v>45561.0</v>
      </c>
      <c r="G496" s="226">
        <v>0.16666666666666666</v>
      </c>
      <c r="H496" s="107" t="s">
        <v>356</v>
      </c>
      <c r="I496" s="227" t="s">
        <v>356</v>
      </c>
      <c r="J496" s="227"/>
      <c r="K496" s="115" t="s">
        <v>518</v>
      </c>
      <c r="L496" s="228"/>
      <c r="M496" s="107" t="s">
        <v>519</v>
      </c>
      <c r="N496" s="229">
        <f>IF(AND(O496=TRUE,P496=TRUE), VLOOKUP($E496,PESSOAL!$B$35:$S$45,MONTH($F496)+6,FALSE)*G496*24,0)</f>
        <v>0</v>
      </c>
      <c r="O496" s="89" t="b">
        <f t="shared" si="1"/>
        <v>1</v>
      </c>
      <c r="P496" s="89" t="b">
        <v>0</v>
      </c>
      <c r="Q496" s="89" t="s">
        <v>212</v>
      </c>
    </row>
    <row r="497" hidden="1">
      <c r="A497" s="108"/>
      <c r="B497" s="202"/>
      <c r="C497" s="202" t="str">
        <f>VLOOKUP(M497,'#verificação horas por projeto'!A:B,2,FALSE)</f>
        <v>#N/A</v>
      </c>
      <c r="D497" s="202" t="s">
        <v>36</v>
      </c>
      <c r="E497" s="107" t="s">
        <v>132</v>
      </c>
      <c r="F497" s="211">
        <v>45561.0</v>
      </c>
      <c r="G497" s="226">
        <v>0.16666666666666666</v>
      </c>
      <c r="H497" s="107" t="s">
        <v>354</v>
      </c>
      <c r="I497" s="227" t="s">
        <v>354</v>
      </c>
      <c r="J497" s="227"/>
      <c r="K497" s="115" t="s">
        <v>653</v>
      </c>
      <c r="L497" s="228"/>
      <c r="M497" s="107" t="s">
        <v>514</v>
      </c>
      <c r="N497" s="229">
        <f>IF(AND(O497=TRUE,P497=TRUE), VLOOKUP($E497,PESSOAL!$B$35:$S$45,MONTH($F497)+6,FALSE)*G497*24,0)</f>
        <v>0</v>
      </c>
      <c r="O497" s="89" t="b">
        <f t="shared" si="1"/>
        <v>1</v>
      </c>
      <c r="P497" s="89" t="b">
        <v>0</v>
      </c>
      <c r="Q497" s="89" t="s">
        <v>212</v>
      </c>
    </row>
    <row r="498" hidden="1">
      <c r="A498" s="108"/>
      <c r="B498" s="202"/>
      <c r="C498" s="202" t="str">
        <f>VLOOKUP(M498,'#verificação horas por projeto'!A:B,2,FALSE)</f>
        <v>#N/A</v>
      </c>
      <c r="D498" s="202" t="s">
        <v>38</v>
      </c>
      <c r="E498" s="107" t="s">
        <v>132</v>
      </c>
      <c r="F498" s="211">
        <v>45562.0</v>
      </c>
      <c r="G498" s="226">
        <v>0.16666666666666666</v>
      </c>
      <c r="H498" s="107" t="s">
        <v>356</v>
      </c>
      <c r="I498" s="227" t="s">
        <v>356</v>
      </c>
      <c r="J498" s="227"/>
      <c r="K498" s="115" t="s">
        <v>518</v>
      </c>
      <c r="L498" s="228"/>
      <c r="M498" s="107" t="s">
        <v>519</v>
      </c>
      <c r="N498" s="229">
        <f>IF(AND(O498=TRUE,P498=TRUE), VLOOKUP($E498,PESSOAL!$B$35:$S$45,MONTH($F498)+6,FALSE)*G498*24,0)</f>
        <v>0</v>
      </c>
      <c r="O498" s="89" t="b">
        <f t="shared" si="1"/>
        <v>1</v>
      </c>
      <c r="P498" s="89" t="b">
        <v>0</v>
      </c>
      <c r="Q498" s="89" t="s">
        <v>212</v>
      </c>
    </row>
    <row r="499" hidden="1">
      <c r="A499" s="108"/>
      <c r="B499" s="202"/>
      <c r="C499" s="202" t="str">
        <f>VLOOKUP(M499,'#verificação horas por projeto'!A:B,2,FALSE)</f>
        <v>INOV00037</v>
      </c>
      <c r="D499" s="202" t="s">
        <v>25</v>
      </c>
      <c r="E499" s="107" t="s">
        <v>132</v>
      </c>
      <c r="F499" s="211">
        <v>45565.0</v>
      </c>
      <c r="G499" s="226">
        <v>0.08333333333333333</v>
      </c>
      <c r="H499" s="107" t="s">
        <v>354</v>
      </c>
      <c r="I499" s="227" t="s">
        <v>354</v>
      </c>
      <c r="J499" s="227"/>
      <c r="K499" s="115" t="s">
        <v>507</v>
      </c>
      <c r="L499" s="228"/>
      <c r="M499" s="107" t="s">
        <v>508</v>
      </c>
      <c r="N499" s="229">
        <f>IF(AND(O499=TRUE,P499=TRUE), VLOOKUP($E499,PESSOAL!$B$35:$S$45,MONTH($F499)+6,FALSE)*G499*24,0)</f>
        <v>133.1657914</v>
      </c>
      <c r="O499" s="89" t="b">
        <f t="shared" si="1"/>
        <v>1</v>
      </c>
      <c r="P499" s="89" t="b">
        <v>1</v>
      </c>
      <c r="Q499" s="89" t="s">
        <v>212</v>
      </c>
    </row>
    <row r="500" hidden="1">
      <c r="A500" s="108"/>
      <c r="B500" s="202"/>
      <c r="C500" s="202" t="str">
        <f>VLOOKUP(M500,'#verificação horas por projeto'!A:B,2,FALSE)</f>
        <v>INOV00004</v>
      </c>
      <c r="D500" s="202" t="s">
        <v>4</v>
      </c>
      <c r="E500" s="107" t="s">
        <v>126</v>
      </c>
      <c r="F500" s="211">
        <v>45475.0</v>
      </c>
      <c r="G500" s="226">
        <v>0.125</v>
      </c>
      <c r="H500" s="107" t="s">
        <v>356</v>
      </c>
      <c r="I500" s="227" t="s">
        <v>356</v>
      </c>
      <c r="J500" s="227"/>
      <c r="K500" s="115" t="s">
        <v>654</v>
      </c>
      <c r="L500" s="228"/>
      <c r="M500" s="107" t="s">
        <v>397</v>
      </c>
      <c r="N500" s="229">
        <f>IF(AND(O500=TRUE,P500=TRUE), VLOOKUP($E500,PESSOAL!$B$35:$S$45,MONTH($F500)+6,FALSE)*G500*24,0)</f>
        <v>147.1592389</v>
      </c>
      <c r="O500" s="89" t="b">
        <f t="shared" si="1"/>
        <v>1</v>
      </c>
      <c r="P500" s="89" t="b">
        <v>1</v>
      </c>
      <c r="Q500" s="89" t="s">
        <v>212</v>
      </c>
    </row>
    <row r="501" hidden="1">
      <c r="A501" s="108"/>
      <c r="B501" s="202"/>
      <c r="C501" s="202" t="str">
        <f>VLOOKUP(M501,'#verificação horas por projeto'!A:B,2,FALSE)</f>
        <v>INOV00046</v>
      </c>
      <c r="D501" s="202" t="s">
        <v>29</v>
      </c>
      <c r="E501" s="107" t="s">
        <v>126</v>
      </c>
      <c r="F501" s="211">
        <v>45475.0</v>
      </c>
      <c r="G501" s="226">
        <v>0.125</v>
      </c>
      <c r="H501" s="107" t="s">
        <v>356</v>
      </c>
      <c r="I501" s="227" t="s">
        <v>356</v>
      </c>
      <c r="J501" s="227"/>
      <c r="K501" s="115" t="s">
        <v>654</v>
      </c>
      <c r="L501" s="228"/>
      <c r="M501" s="107" t="s">
        <v>373</v>
      </c>
      <c r="N501" s="229">
        <f>IF(AND(O501=TRUE,P501=TRUE), VLOOKUP($E501,PESSOAL!$B$35:$S$45,MONTH($F501)+6,FALSE)*G501*24,0)</f>
        <v>0</v>
      </c>
      <c r="O501" s="89" t="b">
        <f t="shared" si="1"/>
        <v>1</v>
      </c>
      <c r="P501" s="89" t="b">
        <v>0</v>
      </c>
      <c r="Q501" s="89" t="s">
        <v>212</v>
      </c>
    </row>
    <row r="502" hidden="1">
      <c r="A502" s="108"/>
      <c r="B502" s="202"/>
      <c r="C502" s="202" t="str">
        <f>VLOOKUP(M502,'#verificação horas por projeto'!A:B,2,FALSE)</f>
        <v>INOV00046</v>
      </c>
      <c r="D502" s="202" t="s">
        <v>29</v>
      </c>
      <c r="E502" s="107" t="s">
        <v>126</v>
      </c>
      <c r="F502" s="211">
        <v>45476.0</v>
      </c>
      <c r="G502" s="226">
        <v>0.125</v>
      </c>
      <c r="H502" s="107" t="s">
        <v>356</v>
      </c>
      <c r="I502" s="227" t="s">
        <v>356</v>
      </c>
      <c r="J502" s="227"/>
      <c r="K502" s="115" t="s">
        <v>654</v>
      </c>
      <c r="L502" s="228"/>
      <c r="M502" s="107" t="s">
        <v>373</v>
      </c>
      <c r="N502" s="229">
        <f>IF(AND(O502=TRUE,P502=TRUE), VLOOKUP($E502,PESSOAL!$B$35:$S$45,MONTH($F502)+6,FALSE)*G502*24,0)</f>
        <v>0</v>
      </c>
      <c r="O502" s="89" t="b">
        <f t="shared" si="1"/>
        <v>1</v>
      </c>
      <c r="P502" s="89" t="b">
        <v>0</v>
      </c>
      <c r="Q502" s="89" t="s">
        <v>212</v>
      </c>
    </row>
    <row r="503" hidden="1">
      <c r="A503" s="108"/>
      <c r="B503" s="202"/>
      <c r="C503" s="202" t="str">
        <f>VLOOKUP(M503,'#verificação horas por projeto'!A:B,2,FALSE)</f>
        <v>INOV00004</v>
      </c>
      <c r="D503" s="202" t="s">
        <v>4</v>
      </c>
      <c r="E503" s="107" t="s">
        <v>126</v>
      </c>
      <c r="F503" s="211">
        <v>45476.0</v>
      </c>
      <c r="G503" s="226">
        <v>0.08333333333333333</v>
      </c>
      <c r="H503" s="107" t="s">
        <v>356</v>
      </c>
      <c r="I503" s="227" t="s">
        <v>356</v>
      </c>
      <c r="J503" s="227"/>
      <c r="K503" s="115" t="s">
        <v>654</v>
      </c>
      <c r="L503" s="228"/>
      <c r="M503" s="107" t="s">
        <v>397</v>
      </c>
      <c r="N503" s="229">
        <f>IF(AND(O503=TRUE,P503=TRUE), VLOOKUP($E503,PESSOAL!$B$35:$S$45,MONTH($F503)+6,FALSE)*G503*24,0)</f>
        <v>98.10615924</v>
      </c>
      <c r="O503" s="89" t="b">
        <f t="shared" si="1"/>
        <v>1</v>
      </c>
      <c r="P503" s="89" t="b">
        <v>1</v>
      </c>
      <c r="Q503" s="89" t="s">
        <v>212</v>
      </c>
    </row>
    <row r="504" hidden="1">
      <c r="A504" s="108"/>
      <c r="B504" s="202"/>
      <c r="C504" s="202" t="str">
        <f>VLOOKUP(M504,'#verificação horas por projeto'!A:B,2,FALSE)</f>
        <v>INOV00006</v>
      </c>
      <c r="D504" s="202" t="s">
        <v>5</v>
      </c>
      <c r="E504" s="107" t="s">
        <v>126</v>
      </c>
      <c r="F504" s="211">
        <v>45477.0</v>
      </c>
      <c r="G504" s="226">
        <v>0.16666666666666666</v>
      </c>
      <c r="H504" s="107" t="s">
        <v>356</v>
      </c>
      <c r="I504" s="227" t="s">
        <v>356</v>
      </c>
      <c r="J504" s="227"/>
      <c r="K504" s="115" t="s">
        <v>654</v>
      </c>
      <c r="L504" s="228"/>
      <c r="M504" s="107" t="s">
        <v>379</v>
      </c>
      <c r="N504" s="229">
        <f>IF(AND(O504=TRUE,P504=TRUE), VLOOKUP($E504,PESSOAL!$B$35:$S$45,MONTH($F504)+6,FALSE)*G504*24,0)</f>
        <v>196.2123185</v>
      </c>
      <c r="O504" s="89" t="b">
        <f t="shared" si="1"/>
        <v>1</v>
      </c>
      <c r="P504" s="89" t="b">
        <v>1</v>
      </c>
      <c r="Q504" s="89" t="s">
        <v>212</v>
      </c>
    </row>
    <row r="505" hidden="1">
      <c r="A505" s="108"/>
      <c r="B505" s="202"/>
      <c r="C505" s="202" t="str">
        <f>VLOOKUP(M505,'#verificação horas por projeto'!A:B,2,FALSE)</f>
        <v>INOV00006</v>
      </c>
      <c r="D505" s="202" t="s">
        <v>5</v>
      </c>
      <c r="E505" s="107" t="s">
        <v>126</v>
      </c>
      <c r="F505" s="211">
        <v>45478.0</v>
      </c>
      <c r="G505" s="226">
        <v>0.20833333333333334</v>
      </c>
      <c r="H505" s="107" t="s">
        <v>356</v>
      </c>
      <c r="I505" s="227" t="s">
        <v>356</v>
      </c>
      <c r="J505" s="227"/>
      <c r="K505" s="115" t="s">
        <v>654</v>
      </c>
      <c r="L505" s="228"/>
      <c r="M505" s="107" t="s">
        <v>379</v>
      </c>
      <c r="N505" s="229">
        <f>IF(AND(O505=TRUE,P505=TRUE), VLOOKUP($E505,PESSOAL!$B$35:$S$45,MONTH($F505)+6,FALSE)*G505*24,0)</f>
        <v>245.2653981</v>
      </c>
      <c r="O505" s="89" t="b">
        <f t="shared" si="1"/>
        <v>1</v>
      </c>
      <c r="P505" s="89" t="b">
        <v>1</v>
      </c>
      <c r="Q505" s="89" t="s">
        <v>212</v>
      </c>
    </row>
    <row r="506" hidden="1">
      <c r="A506" s="108"/>
      <c r="B506" s="202"/>
      <c r="C506" s="202" t="str">
        <f>VLOOKUP(M506,'#verificação horas por projeto'!A:B,2,FALSE)</f>
        <v>INOV00006</v>
      </c>
      <c r="D506" s="202" t="s">
        <v>5</v>
      </c>
      <c r="E506" s="107" t="s">
        <v>126</v>
      </c>
      <c r="F506" s="211">
        <v>45481.0</v>
      </c>
      <c r="G506" s="226">
        <v>0.08333333333333333</v>
      </c>
      <c r="H506" s="107" t="s">
        <v>356</v>
      </c>
      <c r="I506" s="227" t="s">
        <v>356</v>
      </c>
      <c r="J506" s="227"/>
      <c r="K506" s="115" t="s">
        <v>654</v>
      </c>
      <c r="L506" s="228"/>
      <c r="M506" s="107" t="s">
        <v>379</v>
      </c>
      <c r="N506" s="229">
        <f>IF(AND(O506=TRUE,P506=TRUE), VLOOKUP($E506,PESSOAL!$B$35:$S$45,MONTH($F506)+6,FALSE)*G506*24,0)</f>
        <v>98.10615924</v>
      </c>
      <c r="O506" s="89" t="b">
        <f t="shared" si="1"/>
        <v>1</v>
      </c>
      <c r="P506" s="89" t="b">
        <v>1</v>
      </c>
      <c r="Q506" s="89" t="s">
        <v>212</v>
      </c>
    </row>
    <row r="507" hidden="1">
      <c r="A507" s="108"/>
      <c r="B507" s="202"/>
      <c r="C507" s="202" t="str">
        <f>VLOOKUP(M507,'#verificação horas por projeto'!A:B,2,FALSE)</f>
        <v>INOV00046</v>
      </c>
      <c r="D507" s="202" t="s">
        <v>29</v>
      </c>
      <c r="E507" s="107" t="s">
        <v>126</v>
      </c>
      <c r="F507" s="211">
        <v>45481.0</v>
      </c>
      <c r="G507" s="226">
        <v>0.125</v>
      </c>
      <c r="H507" s="107" t="s">
        <v>356</v>
      </c>
      <c r="I507" s="227" t="s">
        <v>356</v>
      </c>
      <c r="J507" s="227"/>
      <c r="K507" s="115" t="s">
        <v>654</v>
      </c>
      <c r="L507" s="228"/>
      <c r="M507" s="107" t="s">
        <v>373</v>
      </c>
      <c r="N507" s="229">
        <f>IF(AND(O507=TRUE,P507=TRUE), VLOOKUP($E507,PESSOAL!$B$35:$S$45,MONTH($F507)+6,FALSE)*G507*24,0)</f>
        <v>0</v>
      </c>
      <c r="O507" s="89" t="b">
        <f t="shared" si="1"/>
        <v>1</v>
      </c>
      <c r="P507" s="89" t="b">
        <v>0</v>
      </c>
      <c r="Q507" s="89" t="s">
        <v>212</v>
      </c>
    </row>
    <row r="508" hidden="1">
      <c r="A508" s="108"/>
      <c r="B508" s="202"/>
      <c r="C508" s="202" t="str">
        <f>VLOOKUP(M508,'#verificação horas por projeto'!A:B,2,FALSE)</f>
        <v>INOV00004</v>
      </c>
      <c r="D508" s="202" t="s">
        <v>4</v>
      </c>
      <c r="E508" s="107" t="s">
        <v>126</v>
      </c>
      <c r="F508" s="211">
        <v>45482.0</v>
      </c>
      <c r="G508" s="226">
        <v>0.08333333333333333</v>
      </c>
      <c r="H508" s="107" t="s">
        <v>356</v>
      </c>
      <c r="I508" s="227" t="s">
        <v>356</v>
      </c>
      <c r="J508" s="227"/>
      <c r="K508" s="115" t="s">
        <v>654</v>
      </c>
      <c r="L508" s="228"/>
      <c r="M508" s="107" t="s">
        <v>397</v>
      </c>
      <c r="N508" s="229">
        <f>IF(AND(O508=TRUE,P508=TRUE), VLOOKUP($E508,PESSOAL!$B$35:$S$45,MONTH($F508)+6,FALSE)*G508*24,0)</f>
        <v>98.10615924</v>
      </c>
      <c r="O508" s="89" t="b">
        <f t="shared" si="1"/>
        <v>1</v>
      </c>
      <c r="P508" s="89" t="b">
        <v>1</v>
      </c>
      <c r="Q508" s="89" t="s">
        <v>212</v>
      </c>
    </row>
    <row r="509" hidden="1">
      <c r="A509" s="108"/>
      <c r="B509" s="202"/>
      <c r="C509" s="202" t="str">
        <f>VLOOKUP(M509,'#verificação horas por projeto'!A:B,2,FALSE)</f>
        <v>INOV00006</v>
      </c>
      <c r="D509" s="202" t="s">
        <v>5</v>
      </c>
      <c r="E509" s="107" t="s">
        <v>126</v>
      </c>
      <c r="F509" s="211">
        <v>45482.0</v>
      </c>
      <c r="G509" s="226">
        <v>0.16666666666666666</v>
      </c>
      <c r="H509" s="107" t="s">
        <v>356</v>
      </c>
      <c r="I509" s="227" t="s">
        <v>356</v>
      </c>
      <c r="J509" s="227"/>
      <c r="K509" s="115" t="s">
        <v>654</v>
      </c>
      <c r="L509" s="228"/>
      <c r="M509" s="107" t="s">
        <v>379</v>
      </c>
      <c r="N509" s="229">
        <f>IF(AND(O509=TRUE,P509=TRUE), VLOOKUP($E509,PESSOAL!$B$35:$S$45,MONTH($F509)+6,FALSE)*G509*24,0)</f>
        <v>196.2123185</v>
      </c>
      <c r="O509" s="89" t="b">
        <f t="shared" si="1"/>
        <v>1</v>
      </c>
      <c r="P509" s="89" t="b">
        <v>1</v>
      </c>
      <c r="Q509" s="89" t="s">
        <v>212</v>
      </c>
    </row>
    <row r="510" hidden="1">
      <c r="A510" s="108"/>
      <c r="B510" s="202"/>
      <c r="C510" s="202" t="str">
        <f>VLOOKUP(M510,'#verificação horas por projeto'!A:B,2,FALSE)</f>
        <v>INOV00004</v>
      </c>
      <c r="D510" s="202" t="s">
        <v>4</v>
      </c>
      <c r="E510" s="107" t="s">
        <v>126</v>
      </c>
      <c r="F510" s="211">
        <v>45483.0</v>
      </c>
      <c r="G510" s="226">
        <v>0.125</v>
      </c>
      <c r="H510" s="107" t="s">
        <v>356</v>
      </c>
      <c r="I510" s="227" t="s">
        <v>356</v>
      </c>
      <c r="J510" s="227"/>
      <c r="K510" s="115" t="s">
        <v>654</v>
      </c>
      <c r="L510" s="228"/>
      <c r="M510" s="107" t="s">
        <v>397</v>
      </c>
      <c r="N510" s="229">
        <f>IF(AND(O510=TRUE,P510=TRUE), VLOOKUP($E510,PESSOAL!$B$35:$S$45,MONTH($F510)+6,FALSE)*G510*24,0)</f>
        <v>147.1592389</v>
      </c>
      <c r="O510" s="89" t="b">
        <f t="shared" si="1"/>
        <v>1</v>
      </c>
      <c r="P510" s="89" t="b">
        <v>1</v>
      </c>
      <c r="Q510" s="89" t="s">
        <v>212</v>
      </c>
    </row>
    <row r="511" hidden="1">
      <c r="A511" s="108"/>
      <c r="B511" s="202"/>
      <c r="C511" s="202" t="str">
        <f>VLOOKUP(M511,'#verificação horas por projeto'!A:B,2,FALSE)</f>
        <v>INOV00046</v>
      </c>
      <c r="D511" s="202" t="s">
        <v>29</v>
      </c>
      <c r="E511" s="107" t="s">
        <v>126</v>
      </c>
      <c r="F511" s="211">
        <v>45483.0</v>
      </c>
      <c r="G511" s="226">
        <v>0.125</v>
      </c>
      <c r="H511" s="107" t="s">
        <v>356</v>
      </c>
      <c r="I511" s="227" t="s">
        <v>356</v>
      </c>
      <c r="J511" s="227"/>
      <c r="K511" s="115" t="s">
        <v>654</v>
      </c>
      <c r="L511" s="228"/>
      <c r="M511" s="107" t="s">
        <v>373</v>
      </c>
      <c r="N511" s="229">
        <f>IF(AND(O511=TRUE,P511=TRUE), VLOOKUP($E511,PESSOAL!$B$35:$S$45,MONTH($F511)+6,FALSE)*G511*24,0)</f>
        <v>0</v>
      </c>
      <c r="O511" s="89" t="b">
        <f t="shared" si="1"/>
        <v>1</v>
      </c>
      <c r="P511" s="89" t="b">
        <v>0</v>
      </c>
      <c r="Q511" s="89" t="s">
        <v>212</v>
      </c>
    </row>
    <row r="512" hidden="1">
      <c r="A512" s="108"/>
      <c r="B512" s="202"/>
      <c r="C512" s="202" t="str">
        <f>VLOOKUP(M512,'#verificação horas por projeto'!A:B,2,FALSE)</f>
        <v>INOV00004</v>
      </c>
      <c r="D512" s="202" t="s">
        <v>4</v>
      </c>
      <c r="E512" s="107" t="s">
        <v>126</v>
      </c>
      <c r="F512" s="211">
        <v>45484.0</v>
      </c>
      <c r="G512" s="226">
        <v>0.125</v>
      </c>
      <c r="H512" s="107" t="s">
        <v>356</v>
      </c>
      <c r="I512" s="227" t="s">
        <v>356</v>
      </c>
      <c r="J512" s="227"/>
      <c r="K512" s="115" t="s">
        <v>654</v>
      </c>
      <c r="L512" s="228"/>
      <c r="M512" s="107" t="s">
        <v>397</v>
      </c>
      <c r="N512" s="229">
        <f>IF(AND(O512=TRUE,P512=TRUE), VLOOKUP($E512,PESSOAL!$B$35:$S$45,MONTH($F512)+6,FALSE)*G512*24,0)</f>
        <v>147.1592389</v>
      </c>
      <c r="O512" s="89" t="b">
        <f t="shared" si="1"/>
        <v>1</v>
      </c>
      <c r="P512" s="89" t="b">
        <v>1</v>
      </c>
      <c r="Q512" s="89" t="s">
        <v>212</v>
      </c>
    </row>
    <row r="513" hidden="1">
      <c r="A513" s="108"/>
      <c r="B513" s="202"/>
      <c r="C513" s="202" t="str">
        <f>VLOOKUP(M513,'#verificação horas por projeto'!A:B,2,FALSE)</f>
        <v>INOV00006</v>
      </c>
      <c r="D513" s="202" t="s">
        <v>5</v>
      </c>
      <c r="E513" s="107" t="s">
        <v>126</v>
      </c>
      <c r="F513" s="211">
        <v>45484.0</v>
      </c>
      <c r="G513" s="226">
        <v>0.08333333333333333</v>
      </c>
      <c r="H513" s="107" t="s">
        <v>356</v>
      </c>
      <c r="I513" s="227" t="s">
        <v>356</v>
      </c>
      <c r="J513" s="227"/>
      <c r="K513" s="115" t="s">
        <v>654</v>
      </c>
      <c r="L513" s="228"/>
      <c r="M513" s="107" t="s">
        <v>379</v>
      </c>
      <c r="N513" s="229">
        <f>IF(AND(O513=TRUE,P513=TRUE), VLOOKUP($E513,PESSOAL!$B$35:$S$45,MONTH($F513)+6,FALSE)*G513*24,0)</f>
        <v>98.10615924</v>
      </c>
      <c r="O513" s="89" t="b">
        <f t="shared" si="1"/>
        <v>1</v>
      </c>
      <c r="P513" s="89" t="b">
        <v>1</v>
      </c>
      <c r="Q513" s="89" t="s">
        <v>212</v>
      </c>
    </row>
    <row r="514" hidden="1">
      <c r="A514" s="108"/>
      <c r="B514" s="202"/>
      <c r="C514" s="202" t="str">
        <f>VLOOKUP(M514,'#verificação horas por projeto'!A:B,2,FALSE)</f>
        <v>INOV00004</v>
      </c>
      <c r="D514" s="202" t="s">
        <v>4</v>
      </c>
      <c r="E514" s="107" t="s">
        <v>126</v>
      </c>
      <c r="F514" s="211">
        <v>45485.0</v>
      </c>
      <c r="G514" s="226">
        <v>0.125</v>
      </c>
      <c r="H514" s="107" t="s">
        <v>356</v>
      </c>
      <c r="I514" s="227" t="s">
        <v>356</v>
      </c>
      <c r="J514" s="227"/>
      <c r="K514" s="115" t="s">
        <v>654</v>
      </c>
      <c r="L514" s="228"/>
      <c r="M514" s="107" t="s">
        <v>397</v>
      </c>
      <c r="N514" s="229">
        <f>IF(AND(O514=TRUE,P514=TRUE), VLOOKUP($E514,PESSOAL!$B$35:$S$45,MONTH($F514)+6,FALSE)*G514*24,0)</f>
        <v>147.1592389</v>
      </c>
      <c r="O514" s="89" t="b">
        <f t="shared" si="1"/>
        <v>1</v>
      </c>
      <c r="P514" s="89" t="b">
        <v>1</v>
      </c>
      <c r="Q514" s="89" t="s">
        <v>212</v>
      </c>
    </row>
    <row r="515" hidden="1">
      <c r="A515" s="108"/>
      <c r="B515" s="202"/>
      <c r="C515" s="202" t="str">
        <f>VLOOKUP(M515,'#verificação horas por projeto'!A:B,2,FALSE)</f>
        <v>INOV00004</v>
      </c>
      <c r="D515" s="202" t="s">
        <v>4</v>
      </c>
      <c r="E515" s="107" t="s">
        <v>126</v>
      </c>
      <c r="F515" s="211">
        <v>45488.0</v>
      </c>
      <c r="G515" s="226">
        <v>0.08333333333333333</v>
      </c>
      <c r="H515" s="107" t="s">
        <v>356</v>
      </c>
      <c r="I515" s="227" t="s">
        <v>356</v>
      </c>
      <c r="J515" s="227"/>
      <c r="K515" s="115" t="s">
        <v>654</v>
      </c>
      <c r="L515" s="228"/>
      <c r="M515" s="107" t="s">
        <v>397</v>
      </c>
      <c r="N515" s="229">
        <f>IF(AND(O515=TRUE,P515=TRUE), VLOOKUP($E515,PESSOAL!$B$35:$S$45,MONTH($F515)+6,FALSE)*G515*24,0)</f>
        <v>98.10615924</v>
      </c>
      <c r="O515" s="89" t="b">
        <f t="shared" si="1"/>
        <v>1</v>
      </c>
      <c r="P515" s="89" t="b">
        <v>1</v>
      </c>
      <c r="Q515" s="89" t="s">
        <v>212</v>
      </c>
    </row>
    <row r="516" hidden="1">
      <c r="A516" s="108"/>
      <c r="B516" s="202"/>
      <c r="C516" s="202" t="str">
        <f>VLOOKUP(M516,'#verificação horas por projeto'!A:B,2,FALSE)</f>
        <v>INOV00006</v>
      </c>
      <c r="D516" s="202" t="s">
        <v>5</v>
      </c>
      <c r="E516" s="107" t="s">
        <v>126</v>
      </c>
      <c r="F516" s="211">
        <v>45488.0</v>
      </c>
      <c r="G516" s="226">
        <v>0.16666666666666666</v>
      </c>
      <c r="H516" s="107" t="s">
        <v>356</v>
      </c>
      <c r="I516" s="227" t="s">
        <v>356</v>
      </c>
      <c r="J516" s="227"/>
      <c r="K516" s="115" t="s">
        <v>654</v>
      </c>
      <c r="L516" s="228"/>
      <c r="M516" s="107" t="s">
        <v>379</v>
      </c>
      <c r="N516" s="229">
        <f>IF(AND(O516=TRUE,P516=TRUE), VLOOKUP($E516,PESSOAL!$B$35:$S$45,MONTH($F516)+6,FALSE)*G516*24,0)</f>
        <v>196.2123185</v>
      </c>
      <c r="O516" s="89" t="b">
        <f t="shared" si="1"/>
        <v>1</v>
      </c>
      <c r="P516" s="89" t="b">
        <v>1</v>
      </c>
      <c r="Q516" s="89" t="s">
        <v>212</v>
      </c>
    </row>
    <row r="517" hidden="1">
      <c r="A517" s="108"/>
      <c r="B517" s="202"/>
      <c r="C517" s="202" t="str">
        <f>VLOOKUP(M517,'#verificação horas por projeto'!A:B,2,FALSE)</f>
        <v>INOV00004</v>
      </c>
      <c r="D517" s="202" t="s">
        <v>4</v>
      </c>
      <c r="E517" s="107" t="s">
        <v>126</v>
      </c>
      <c r="F517" s="211">
        <v>45489.0</v>
      </c>
      <c r="G517" s="226">
        <v>0.20833333333333334</v>
      </c>
      <c r="H517" s="107" t="s">
        <v>356</v>
      </c>
      <c r="I517" s="227" t="s">
        <v>356</v>
      </c>
      <c r="J517" s="227"/>
      <c r="K517" s="115" t="s">
        <v>654</v>
      </c>
      <c r="L517" s="228"/>
      <c r="M517" s="107" t="s">
        <v>397</v>
      </c>
      <c r="N517" s="229">
        <f>IF(AND(O517=TRUE,P517=TRUE), VLOOKUP($E517,PESSOAL!$B$35:$S$45,MONTH($F517)+6,FALSE)*G517*24,0)</f>
        <v>245.2653981</v>
      </c>
      <c r="O517" s="89" t="b">
        <f t="shared" si="1"/>
        <v>1</v>
      </c>
      <c r="P517" s="89" t="b">
        <v>1</v>
      </c>
      <c r="Q517" s="89" t="s">
        <v>212</v>
      </c>
    </row>
    <row r="518" hidden="1">
      <c r="A518" s="108"/>
      <c r="B518" s="202"/>
      <c r="C518" s="202" t="str">
        <f>VLOOKUP(M518,'#verificação horas por projeto'!A:B,2,FALSE)</f>
        <v>INOV00004</v>
      </c>
      <c r="D518" s="202" t="s">
        <v>4</v>
      </c>
      <c r="E518" s="107" t="s">
        <v>126</v>
      </c>
      <c r="F518" s="211">
        <v>45490.0</v>
      </c>
      <c r="G518" s="226">
        <v>0.20833333333333334</v>
      </c>
      <c r="H518" s="107" t="s">
        <v>356</v>
      </c>
      <c r="I518" s="227" t="s">
        <v>356</v>
      </c>
      <c r="J518" s="227"/>
      <c r="K518" s="115" t="s">
        <v>654</v>
      </c>
      <c r="L518" s="228"/>
      <c r="M518" s="107" t="s">
        <v>397</v>
      </c>
      <c r="N518" s="229">
        <f>IF(AND(O518=TRUE,P518=TRUE), VLOOKUP($E518,PESSOAL!$B$35:$S$45,MONTH($F518)+6,FALSE)*G518*24,0)</f>
        <v>245.2653981</v>
      </c>
      <c r="O518" s="89" t="b">
        <f t="shared" si="1"/>
        <v>1</v>
      </c>
      <c r="P518" s="89" t="b">
        <v>1</v>
      </c>
      <c r="Q518" s="89" t="s">
        <v>212</v>
      </c>
    </row>
    <row r="519" hidden="1">
      <c r="A519" s="108"/>
      <c r="B519" s="202"/>
      <c r="C519" s="202" t="str">
        <f>VLOOKUP(M519,'#verificação horas por projeto'!A:B,2,FALSE)</f>
        <v>INOV00004</v>
      </c>
      <c r="D519" s="202" t="s">
        <v>4</v>
      </c>
      <c r="E519" s="107" t="s">
        <v>126</v>
      </c>
      <c r="F519" s="211">
        <v>45491.0</v>
      </c>
      <c r="G519" s="226">
        <v>0.08333333333333333</v>
      </c>
      <c r="H519" s="107" t="s">
        <v>356</v>
      </c>
      <c r="I519" s="227" t="s">
        <v>356</v>
      </c>
      <c r="J519" s="227"/>
      <c r="K519" s="115" t="s">
        <v>654</v>
      </c>
      <c r="L519" s="228"/>
      <c r="M519" s="107" t="s">
        <v>397</v>
      </c>
      <c r="N519" s="229">
        <f>IF(AND(O519=TRUE,P519=TRUE), VLOOKUP($E519,PESSOAL!$B$35:$S$45,MONTH($F519)+6,FALSE)*G519*24,0)</f>
        <v>98.10615924</v>
      </c>
      <c r="O519" s="89" t="b">
        <f t="shared" si="1"/>
        <v>1</v>
      </c>
      <c r="P519" s="89" t="b">
        <v>1</v>
      </c>
      <c r="Q519" s="89" t="s">
        <v>212</v>
      </c>
    </row>
    <row r="520" hidden="1">
      <c r="A520" s="108"/>
      <c r="B520" s="202"/>
      <c r="C520" s="202" t="str">
        <f>VLOOKUP(M520,'#verificação horas por projeto'!A:B,2,FALSE)</f>
        <v>INOV00004</v>
      </c>
      <c r="D520" s="202" t="s">
        <v>4</v>
      </c>
      <c r="E520" s="107" t="s">
        <v>126</v>
      </c>
      <c r="F520" s="211">
        <v>45492.0</v>
      </c>
      <c r="G520" s="226">
        <v>0.125</v>
      </c>
      <c r="H520" s="107" t="s">
        <v>356</v>
      </c>
      <c r="I520" s="227" t="s">
        <v>356</v>
      </c>
      <c r="J520" s="227"/>
      <c r="K520" s="115" t="s">
        <v>654</v>
      </c>
      <c r="L520" s="228"/>
      <c r="M520" s="107" t="s">
        <v>397</v>
      </c>
      <c r="N520" s="229">
        <f>IF(AND(O520=TRUE,P520=TRUE), VLOOKUP($E520,PESSOAL!$B$35:$S$45,MONTH($F520)+6,FALSE)*G520*24,0)</f>
        <v>147.1592389</v>
      </c>
      <c r="O520" s="89" t="b">
        <f t="shared" si="1"/>
        <v>1</v>
      </c>
      <c r="P520" s="89" t="b">
        <v>1</v>
      </c>
      <c r="Q520" s="89" t="s">
        <v>212</v>
      </c>
    </row>
    <row r="521" hidden="1">
      <c r="A521" s="108"/>
      <c r="B521" s="202"/>
      <c r="C521" s="202" t="str">
        <f>VLOOKUP(M521,'#verificação horas por projeto'!A:B,2,FALSE)</f>
        <v>INOV00004</v>
      </c>
      <c r="D521" s="202" t="s">
        <v>4</v>
      </c>
      <c r="E521" s="107" t="s">
        <v>126</v>
      </c>
      <c r="F521" s="211">
        <v>45496.0</v>
      </c>
      <c r="G521" s="226">
        <v>0.20833333333333334</v>
      </c>
      <c r="H521" s="107" t="s">
        <v>356</v>
      </c>
      <c r="I521" s="227" t="s">
        <v>356</v>
      </c>
      <c r="J521" s="227"/>
      <c r="K521" s="115" t="s">
        <v>654</v>
      </c>
      <c r="L521" s="228"/>
      <c r="M521" s="107" t="s">
        <v>397</v>
      </c>
      <c r="N521" s="229">
        <f>IF(AND(O521=TRUE,P521=TRUE), VLOOKUP($E521,PESSOAL!$B$35:$S$45,MONTH($F521)+6,FALSE)*G521*24,0)</f>
        <v>245.2653981</v>
      </c>
      <c r="O521" s="89" t="b">
        <f t="shared" si="1"/>
        <v>1</v>
      </c>
      <c r="P521" s="89" t="b">
        <v>1</v>
      </c>
      <c r="Q521" s="89" t="s">
        <v>212</v>
      </c>
    </row>
    <row r="522" hidden="1">
      <c r="A522" s="108"/>
      <c r="B522" s="202"/>
      <c r="C522" s="202" t="str">
        <f>VLOOKUP(M522,'#verificação horas por projeto'!A:B,2,FALSE)</f>
        <v>INOV00004</v>
      </c>
      <c r="D522" s="202" t="s">
        <v>4</v>
      </c>
      <c r="E522" s="107" t="s">
        <v>126</v>
      </c>
      <c r="F522" s="211">
        <v>45497.0</v>
      </c>
      <c r="G522" s="226">
        <v>0.125</v>
      </c>
      <c r="H522" s="107" t="s">
        <v>356</v>
      </c>
      <c r="I522" s="227" t="s">
        <v>356</v>
      </c>
      <c r="J522" s="227"/>
      <c r="K522" s="115" t="s">
        <v>654</v>
      </c>
      <c r="L522" s="228"/>
      <c r="M522" s="107" t="s">
        <v>397</v>
      </c>
      <c r="N522" s="229">
        <f>IF(AND(O522=TRUE,P522=TRUE), VLOOKUP($E522,PESSOAL!$B$35:$S$45,MONTH($F522)+6,FALSE)*G522*24,0)</f>
        <v>147.1592389</v>
      </c>
      <c r="O522" s="89" t="b">
        <f t="shared" si="1"/>
        <v>1</v>
      </c>
      <c r="P522" s="89" t="b">
        <v>1</v>
      </c>
      <c r="Q522" s="89" t="s">
        <v>212</v>
      </c>
    </row>
    <row r="523" hidden="1">
      <c r="A523" s="108"/>
      <c r="B523" s="202"/>
      <c r="C523" s="202" t="str">
        <f>VLOOKUP(M523,'#verificação horas por projeto'!A:B,2,FALSE)</f>
        <v>INOV00004</v>
      </c>
      <c r="D523" s="202" t="s">
        <v>4</v>
      </c>
      <c r="E523" s="107" t="s">
        <v>126</v>
      </c>
      <c r="F523" s="211">
        <v>45498.0</v>
      </c>
      <c r="G523" s="226">
        <v>0.08333333333333333</v>
      </c>
      <c r="H523" s="107" t="s">
        <v>356</v>
      </c>
      <c r="I523" s="227" t="s">
        <v>356</v>
      </c>
      <c r="J523" s="227"/>
      <c r="K523" s="115" t="s">
        <v>654</v>
      </c>
      <c r="L523" s="228"/>
      <c r="M523" s="107" t="s">
        <v>397</v>
      </c>
      <c r="N523" s="229">
        <f>IF(AND(O523=TRUE,P523=TRUE), VLOOKUP($E523,PESSOAL!$B$35:$S$45,MONTH($F523)+6,FALSE)*G523*24,0)</f>
        <v>98.10615924</v>
      </c>
      <c r="O523" s="89" t="b">
        <f t="shared" si="1"/>
        <v>1</v>
      </c>
      <c r="P523" s="89" t="b">
        <v>1</v>
      </c>
      <c r="Q523" s="89" t="s">
        <v>212</v>
      </c>
    </row>
    <row r="524" hidden="1">
      <c r="A524" s="108"/>
      <c r="B524" s="202"/>
      <c r="C524" s="202" t="str">
        <f>VLOOKUP(M524,'#verificação horas por projeto'!A:B,2,FALSE)</f>
        <v>INOV00004</v>
      </c>
      <c r="D524" s="202" t="s">
        <v>4</v>
      </c>
      <c r="E524" s="107" t="s">
        <v>126</v>
      </c>
      <c r="F524" s="211">
        <v>45499.0</v>
      </c>
      <c r="G524" s="226">
        <v>0.20833333333333334</v>
      </c>
      <c r="H524" s="107" t="s">
        <v>356</v>
      </c>
      <c r="I524" s="227" t="s">
        <v>356</v>
      </c>
      <c r="J524" s="227"/>
      <c r="K524" s="115" t="s">
        <v>654</v>
      </c>
      <c r="L524" s="228"/>
      <c r="M524" s="107" t="s">
        <v>397</v>
      </c>
      <c r="N524" s="229">
        <f>IF(AND(O524=TRUE,P524=TRUE), VLOOKUP($E524,PESSOAL!$B$35:$S$45,MONTH($F524)+6,FALSE)*G524*24,0)</f>
        <v>245.2653981</v>
      </c>
      <c r="O524" s="89" t="b">
        <f t="shared" si="1"/>
        <v>1</v>
      </c>
      <c r="P524" s="89" t="b">
        <v>1</v>
      </c>
      <c r="Q524" s="89" t="s">
        <v>212</v>
      </c>
    </row>
    <row r="525" hidden="1">
      <c r="A525" s="108"/>
      <c r="B525" s="202"/>
      <c r="C525" s="202" t="str">
        <f>VLOOKUP(M525,'#verificação horas por projeto'!A:B,2,FALSE)</f>
        <v>INOV00006</v>
      </c>
      <c r="D525" s="202" t="s">
        <v>5</v>
      </c>
      <c r="E525" s="107" t="s">
        <v>126</v>
      </c>
      <c r="F525" s="211">
        <v>45502.0</v>
      </c>
      <c r="G525" s="226">
        <v>0.125</v>
      </c>
      <c r="H525" s="107" t="s">
        <v>356</v>
      </c>
      <c r="I525" s="227" t="s">
        <v>356</v>
      </c>
      <c r="J525" s="227"/>
      <c r="K525" s="115" t="s">
        <v>654</v>
      </c>
      <c r="L525" s="228"/>
      <c r="M525" s="107" t="s">
        <v>379</v>
      </c>
      <c r="N525" s="229">
        <f>IF(AND(O525=TRUE,P525=TRUE), VLOOKUP($E525,PESSOAL!$B$35:$S$45,MONTH($F525)+6,FALSE)*G525*24,0)</f>
        <v>147.1592389</v>
      </c>
      <c r="O525" s="89" t="b">
        <f t="shared" si="1"/>
        <v>1</v>
      </c>
      <c r="P525" s="89" t="b">
        <v>1</v>
      </c>
      <c r="Q525" s="89" t="s">
        <v>212</v>
      </c>
    </row>
    <row r="526" hidden="1">
      <c r="A526" s="108"/>
      <c r="B526" s="202"/>
      <c r="C526" s="202" t="str">
        <f>VLOOKUP(M526,'#verificação horas por projeto'!A:B,2,FALSE)</f>
        <v>INOV00004</v>
      </c>
      <c r="D526" s="202" t="s">
        <v>4</v>
      </c>
      <c r="E526" s="107" t="s">
        <v>126</v>
      </c>
      <c r="F526" s="211">
        <v>45503.0</v>
      </c>
      <c r="G526" s="226">
        <v>0.125</v>
      </c>
      <c r="H526" s="107" t="s">
        <v>356</v>
      </c>
      <c r="I526" s="227" t="s">
        <v>356</v>
      </c>
      <c r="J526" s="227"/>
      <c r="K526" s="115" t="s">
        <v>654</v>
      </c>
      <c r="L526" s="228"/>
      <c r="M526" s="107" t="s">
        <v>397</v>
      </c>
      <c r="N526" s="229">
        <f>IF(AND(O526=TRUE,P526=TRUE), VLOOKUP($E526,PESSOAL!$B$35:$S$45,MONTH($F526)+6,FALSE)*G526*24,0)</f>
        <v>147.1592389</v>
      </c>
      <c r="O526" s="89" t="b">
        <f t="shared" si="1"/>
        <v>1</v>
      </c>
      <c r="P526" s="89" t="b">
        <v>1</v>
      </c>
      <c r="Q526" s="89" t="s">
        <v>212</v>
      </c>
    </row>
    <row r="527" hidden="1">
      <c r="A527" s="108"/>
      <c r="B527" s="202"/>
      <c r="C527" s="202" t="str">
        <f>VLOOKUP(M527,'#verificação horas por projeto'!A:B,2,FALSE)</f>
        <v>INOV00046</v>
      </c>
      <c r="D527" s="202" t="s">
        <v>29</v>
      </c>
      <c r="E527" s="107" t="s">
        <v>126</v>
      </c>
      <c r="F527" s="211">
        <v>45503.0</v>
      </c>
      <c r="G527" s="226">
        <v>0.16666666666666666</v>
      </c>
      <c r="H527" s="107" t="s">
        <v>356</v>
      </c>
      <c r="I527" s="227" t="s">
        <v>356</v>
      </c>
      <c r="J527" s="227"/>
      <c r="K527" s="115" t="s">
        <v>654</v>
      </c>
      <c r="L527" s="228"/>
      <c r="M527" s="107" t="s">
        <v>373</v>
      </c>
      <c r="N527" s="229">
        <f>IF(AND(O527=TRUE,P527=TRUE), VLOOKUP($E527,PESSOAL!$B$35:$S$45,MONTH($F527)+6,FALSE)*G527*24,0)</f>
        <v>0</v>
      </c>
      <c r="O527" s="89" t="b">
        <f t="shared" si="1"/>
        <v>1</v>
      </c>
      <c r="P527" s="89" t="b">
        <v>0</v>
      </c>
      <c r="Q527" s="89" t="s">
        <v>212</v>
      </c>
    </row>
    <row r="528" hidden="1">
      <c r="A528" s="108"/>
      <c r="B528" s="202"/>
      <c r="C528" s="202" t="str">
        <f>VLOOKUP(M528,'#verificação horas por projeto'!A:B,2,FALSE)</f>
        <v>#N/A</v>
      </c>
      <c r="D528" s="202" t="s">
        <v>37</v>
      </c>
      <c r="E528" s="107" t="s">
        <v>126</v>
      </c>
      <c r="F528" s="211">
        <v>45504.0</v>
      </c>
      <c r="G528" s="226">
        <v>0.08333333333333333</v>
      </c>
      <c r="H528" s="107" t="s">
        <v>354</v>
      </c>
      <c r="I528" s="227" t="s">
        <v>354</v>
      </c>
      <c r="J528" s="227"/>
      <c r="K528" s="115" t="s">
        <v>655</v>
      </c>
      <c r="L528" s="228"/>
      <c r="M528" s="107" t="s">
        <v>515</v>
      </c>
      <c r="N528" s="229">
        <f>IF(AND(O528=TRUE,P528=TRUE), VLOOKUP($E528,PESSOAL!$B$35:$S$45,MONTH($F528)+6,FALSE)*G528*24,0)</f>
        <v>0</v>
      </c>
      <c r="O528" s="89" t="b">
        <f t="shared" si="1"/>
        <v>1</v>
      </c>
      <c r="P528" s="89" t="b">
        <v>0</v>
      </c>
      <c r="Q528" s="89" t="s">
        <v>212</v>
      </c>
    </row>
    <row r="529" hidden="1">
      <c r="A529" s="108"/>
      <c r="B529" s="202"/>
      <c r="C529" s="202" t="str">
        <f>VLOOKUP(M529,'#verificação horas por projeto'!A:B,2,FALSE)</f>
        <v>INOV00004</v>
      </c>
      <c r="D529" s="202" t="s">
        <v>4</v>
      </c>
      <c r="E529" s="107" t="s">
        <v>126</v>
      </c>
      <c r="F529" s="211">
        <v>45505.0</v>
      </c>
      <c r="G529" s="226">
        <v>0.16666666666666666</v>
      </c>
      <c r="H529" s="107" t="s">
        <v>356</v>
      </c>
      <c r="I529" s="227" t="s">
        <v>356</v>
      </c>
      <c r="J529" s="227"/>
      <c r="K529" s="115" t="s">
        <v>654</v>
      </c>
      <c r="L529" s="228"/>
      <c r="M529" s="107" t="s">
        <v>397</v>
      </c>
      <c r="N529" s="229">
        <f>IF(AND(O529=TRUE,P529=TRUE), VLOOKUP($E529,PESSOAL!$B$35:$S$45,MONTH($F529)+6,FALSE)*G529*24,0)</f>
        <v>241.5704004</v>
      </c>
      <c r="O529" s="89" t="b">
        <f t="shared" si="1"/>
        <v>1</v>
      </c>
      <c r="P529" s="89" t="b">
        <v>1</v>
      </c>
      <c r="Q529" s="89" t="s">
        <v>212</v>
      </c>
    </row>
    <row r="530" hidden="1">
      <c r="A530" s="108"/>
      <c r="B530" s="202"/>
      <c r="C530" s="202" t="str">
        <f>VLOOKUP(M530,'#verificação horas por projeto'!A:B,2,FALSE)</f>
        <v>INOV00004</v>
      </c>
      <c r="D530" s="202" t="s">
        <v>4</v>
      </c>
      <c r="E530" s="107" t="s">
        <v>126</v>
      </c>
      <c r="F530" s="211">
        <v>45506.0</v>
      </c>
      <c r="G530" s="226">
        <v>0.20833333333333334</v>
      </c>
      <c r="H530" s="107" t="s">
        <v>356</v>
      </c>
      <c r="I530" s="227" t="s">
        <v>356</v>
      </c>
      <c r="J530" s="227"/>
      <c r="K530" s="115" t="s">
        <v>654</v>
      </c>
      <c r="L530" s="228"/>
      <c r="M530" s="107" t="s">
        <v>397</v>
      </c>
      <c r="N530" s="229">
        <f>IF(AND(O530=TRUE,P530=TRUE), VLOOKUP($E530,PESSOAL!$B$35:$S$45,MONTH($F530)+6,FALSE)*G530*24,0)</f>
        <v>301.9630005</v>
      </c>
      <c r="O530" s="89" t="b">
        <f t="shared" si="1"/>
        <v>1</v>
      </c>
      <c r="P530" s="89" t="b">
        <v>1</v>
      </c>
      <c r="Q530" s="89" t="s">
        <v>212</v>
      </c>
    </row>
    <row r="531" hidden="1">
      <c r="A531" s="108"/>
      <c r="B531" s="202"/>
      <c r="C531" s="202" t="str">
        <f>VLOOKUP(M531,'#verificação horas por projeto'!A:B,2,FALSE)</f>
        <v>INOV00006</v>
      </c>
      <c r="D531" s="202" t="s">
        <v>5</v>
      </c>
      <c r="E531" s="107" t="s">
        <v>126</v>
      </c>
      <c r="F531" s="211">
        <v>45510.0</v>
      </c>
      <c r="G531" s="226">
        <v>0.16666666666666666</v>
      </c>
      <c r="H531" s="107" t="s">
        <v>356</v>
      </c>
      <c r="I531" s="227" t="s">
        <v>356</v>
      </c>
      <c r="J531" s="227"/>
      <c r="K531" s="115" t="s">
        <v>654</v>
      </c>
      <c r="L531" s="228"/>
      <c r="M531" s="107" t="s">
        <v>379</v>
      </c>
      <c r="N531" s="229">
        <f>IF(AND(O531=TRUE,P531=TRUE), VLOOKUP($E531,PESSOAL!$B$35:$S$45,MONTH($F531)+6,FALSE)*G531*24,0)</f>
        <v>241.5704004</v>
      </c>
      <c r="O531" s="89" t="b">
        <f t="shared" si="1"/>
        <v>1</v>
      </c>
      <c r="P531" s="89" t="b">
        <v>1</v>
      </c>
      <c r="Q531" s="89" t="s">
        <v>212</v>
      </c>
    </row>
    <row r="532" hidden="1">
      <c r="A532" s="108"/>
      <c r="B532" s="202"/>
      <c r="C532" s="202" t="str">
        <f>VLOOKUP(M532,'#verificação horas por projeto'!A:B,2,FALSE)</f>
        <v>INOV00046</v>
      </c>
      <c r="D532" s="202" t="s">
        <v>29</v>
      </c>
      <c r="E532" s="107" t="s">
        <v>126</v>
      </c>
      <c r="F532" s="211">
        <v>45511.0</v>
      </c>
      <c r="G532" s="226">
        <v>0.20833333333333334</v>
      </c>
      <c r="H532" s="107" t="s">
        <v>356</v>
      </c>
      <c r="I532" s="227" t="s">
        <v>356</v>
      </c>
      <c r="J532" s="227"/>
      <c r="K532" s="115" t="s">
        <v>654</v>
      </c>
      <c r="L532" s="228"/>
      <c r="M532" s="107" t="s">
        <v>373</v>
      </c>
      <c r="N532" s="229">
        <f>IF(AND(O532=TRUE,P532=TRUE), VLOOKUP($E532,PESSOAL!$B$35:$S$45,MONTH($F532)+6,FALSE)*G532*24,0)</f>
        <v>0</v>
      </c>
      <c r="O532" s="89" t="b">
        <f t="shared" si="1"/>
        <v>1</v>
      </c>
      <c r="P532" s="89" t="b">
        <v>0</v>
      </c>
      <c r="Q532" s="89" t="s">
        <v>212</v>
      </c>
    </row>
    <row r="533" hidden="1">
      <c r="A533" s="108"/>
      <c r="B533" s="202"/>
      <c r="C533" s="202" t="str">
        <f>VLOOKUP(M533,'#verificação horas por projeto'!A:B,2,FALSE)</f>
        <v>INOV00046</v>
      </c>
      <c r="D533" s="202" t="s">
        <v>29</v>
      </c>
      <c r="E533" s="107" t="s">
        <v>126</v>
      </c>
      <c r="F533" s="211">
        <v>45512.0</v>
      </c>
      <c r="G533" s="226">
        <v>0.16666666666666666</v>
      </c>
      <c r="H533" s="107" t="s">
        <v>356</v>
      </c>
      <c r="I533" s="227" t="s">
        <v>356</v>
      </c>
      <c r="J533" s="227"/>
      <c r="K533" s="115" t="s">
        <v>654</v>
      </c>
      <c r="L533" s="228"/>
      <c r="M533" s="107" t="s">
        <v>373</v>
      </c>
      <c r="N533" s="229">
        <f>IF(AND(O533=TRUE,P533=TRUE), VLOOKUP($E533,PESSOAL!$B$35:$S$45,MONTH($F533)+6,FALSE)*G533*24,0)</f>
        <v>0</v>
      </c>
      <c r="O533" s="89" t="b">
        <f t="shared" si="1"/>
        <v>1</v>
      </c>
      <c r="P533" s="89" t="b">
        <v>0</v>
      </c>
      <c r="Q533" s="89" t="s">
        <v>212</v>
      </c>
    </row>
    <row r="534" hidden="1">
      <c r="A534" s="108"/>
      <c r="B534" s="202"/>
      <c r="C534" s="202" t="str">
        <f>VLOOKUP(M534,'#verificação horas por projeto'!A:B,2,FALSE)</f>
        <v>INOV00004</v>
      </c>
      <c r="D534" s="202" t="s">
        <v>4</v>
      </c>
      <c r="E534" s="107" t="s">
        <v>126</v>
      </c>
      <c r="F534" s="211">
        <v>45512.0</v>
      </c>
      <c r="G534" s="226">
        <v>0.125</v>
      </c>
      <c r="H534" s="107" t="s">
        <v>356</v>
      </c>
      <c r="I534" s="227" t="s">
        <v>356</v>
      </c>
      <c r="J534" s="227"/>
      <c r="K534" s="115" t="s">
        <v>654</v>
      </c>
      <c r="L534" s="228"/>
      <c r="M534" s="107" t="s">
        <v>397</v>
      </c>
      <c r="N534" s="229">
        <f>IF(AND(O534=TRUE,P534=TRUE), VLOOKUP($E534,PESSOAL!$B$35:$S$45,MONTH($F534)+6,FALSE)*G534*24,0)</f>
        <v>181.1778003</v>
      </c>
      <c r="O534" s="89" t="b">
        <f t="shared" si="1"/>
        <v>1</v>
      </c>
      <c r="P534" s="89" t="b">
        <v>1</v>
      </c>
      <c r="Q534" s="89" t="s">
        <v>212</v>
      </c>
    </row>
    <row r="535" hidden="1">
      <c r="A535" s="108"/>
      <c r="B535" s="202"/>
      <c r="C535" s="202" t="str">
        <f>VLOOKUP(M535,'#verificação horas por projeto'!A:B,2,FALSE)</f>
        <v>INOV00004</v>
      </c>
      <c r="D535" s="202" t="s">
        <v>4</v>
      </c>
      <c r="E535" s="107" t="s">
        <v>126</v>
      </c>
      <c r="F535" s="211">
        <v>45513.0</v>
      </c>
      <c r="G535" s="226">
        <v>0.16666666666666666</v>
      </c>
      <c r="H535" s="107" t="s">
        <v>356</v>
      </c>
      <c r="I535" s="227" t="s">
        <v>356</v>
      </c>
      <c r="J535" s="227"/>
      <c r="K535" s="115" t="s">
        <v>654</v>
      </c>
      <c r="L535" s="228"/>
      <c r="M535" s="107" t="s">
        <v>397</v>
      </c>
      <c r="N535" s="229">
        <f>IF(AND(O535=TRUE,P535=TRUE), VLOOKUP($E535,PESSOAL!$B$35:$S$45,MONTH($F535)+6,FALSE)*G535*24,0)</f>
        <v>241.5704004</v>
      </c>
      <c r="O535" s="89" t="b">
        <f t="shared" si="1"/>
        <v>1</v>
      </c>
      <c r="P535" s="89" t="b">
        <v>1</v>
      </c>
      <c r="Q535" s="89" t="s">
        <v>212</v>
      </c>
    </row>
    <row r="536" hidden="1">
      <c r="A536" s="108"/>
      <c r="B536" s="202"/>
      <c r="C536" s="202" t="str">
        <f>VLOOKUP(M536,'#verificação horas por projeto'!A:B,2,FALSE)</f>
        <v>INOV00004</v>
      </c>
      <c r="D536" s="202" t="s">
        <v>4</v>
      </c>
      <c r="E536" s="107" t="s">
        <v>126</v>
      </c>
      <c r="F536" s="211">
        <v>45516.0</v>
      </c>
      <c r="G536" s="226">
        <v>0.125</v>
      </c>
      <c r="H536" s="107" t="s">
        <v>356</v>
      </c>
      <c r="I536" s="227" t="s">
        <v>356</v>
      </c>
      <c r="J536" s="227"/>
      <c r="K536" s="115" t="s">
        <v>654</v>
      </c>
      <c r="L536" s="228"/>
      <c r="M536" s="107" t="s">
        <v>397</v>
      </c>
      <c r="N536" s="229">
        <f>IF(AND(O536=TRUE,P536=TRUE), VLOOKUP($E536,PESSOAL!$B$35:$S$45,MONTH($F536)+6,FALSE)*G536*24,0)</f>
        <v>181.1778003</v>
      </c>
      <c r="O536" s="89" t="b">
        <f t="shared" si="1"/>
        <v>1</v>
      </c>
      <c r="P536" s="89" t="b">
        <v>1</v>
      </c>
      <c r="Q536" s="89" t="s">
        <v>212</v>
      </c>
    </row>
    <row r="537" hidden="1">
      <c r="A537" s="108"/>
      <c r="B537" s="202"/>
      <c r="C537" s="202" t="str">
        <f>VLOOKUP(M537,'#verificação horas por projeto'!A:B,2,FALSE)</f>
        <v>INOV00006</v>
      </c>
      <c r="D537" s="202" t="s">
        <v>5</v>
      </c>
      <c r="E537" s="107" t="s">
        <v>126</v>
      </c>
      <c r="F537" s="211">
        <v>45516.0</v>
      </c>
      <c r="G537" s="226">
        <v>0.16666666666666666</v>
      </c>
      <c r="H537" s="107" t="s">
        <v>356</v>
      </c>
      <c r="I537" s="227" t="s">
        <v>356</v>
      </c>
      <c r="J537" s="227"/>
      <c r="K537" s="115" t="s">
        <v>654</v>
      </c>
      <c r="L537" s="228"/>
      <c r="M537" s="107" t="s">
        <v>379</v>
      </c>
      <c r="N537" s="229">
        <f>IF(AND(O537=TRUE,P537=TRUE), VLOOKUP($E537,PESSOAL!$B$35:$S$45,MONTH($F537)+6,FALSE)*G537*24,0)</f>
        <v>241.5704004</v>
      </c>
      <c r="O537" s="89" t="b">
        <f t="shared" si="1"/>
        <v>1</v>
      </c>
      <c r="P537" s="89" t="b">
        <v>1</v>
      </c>
      <c r="Q537" s="89" t="s">
        <v>212</v>
      </c>
    </row>
    <row r="538" hidden="1">
      <c r="A538" s="108"/>
      <c r="B538" s="202"/>
      <c r="C538" s="202" t="str">
        <f>VLOOKUP(M538,'#verificação horas por projeto'!A:B,2,FALSE)</f>
        <v>INOV00006</v>
      </c>
      <c r="D538" s="202" t="s">
        <v>5</v>
      </c>
      <c r="E538" s="107" t="s">
        <v>126</v>
      </c>
      <c r="F538" s="211">
        <v>45517.0</v>
      </c>
      <c r="G538" s="226">
        <v>0.125</v>
      </c>
      <c r="H538" s="107" t="s">
        <v>356</v>
      </c>
      <c r="I538" s="227" t="s">
        <v>356</v>
      </c>
      <c r="J538" s="227"/>
      <c r="K538" s="115" t="s">
        <v>654</v>
      </c>
      <c r="L538" s="228"/>
      <c r="M538" s="107" t="s">
        <v>379</v>
      </c>
      <c r="N538" s="229">
        <f>IF(AND(O538=TRUE,P538=TRUE), VLOOKUP($E538,PESSOAL!$B$35:$S$45,MONTH($F538)+6,FALSE)*G538*24,0)</f>
        <v>181.1778003</v>
      </c>
      <c r="O538" s="89" t="b">
        <f t="shared" si="1"/>
        <v>1</v>
      </c>
      <c r="P538" s="89" t="b">
        <v>1</v>
      </c>
      <c r="Q538" s="89" t="s">
        <v>212</v>
      </c>
    </row>
    <row r="539" hidden="1">
      <c r="A539" s="108"/>
      <c r="B539" s="202"/>
      <c r="C539" s="202" t="str">
        <f>VLOOKUP(M539,'#verificação horas por projeto'!A:B,2,FALSE)</f>
        <v>INOV00004</v>
      </c>
      <c r="D539" s="202" t="s">
        <v>4</v>
      </c>
      <c r="E539" s="107" t="s">
        <v>126</v>
      </c>
      <c r="F539" s="211">
        <v>45517.0</v>
      </c>
      <c r="G539" s="226">
        <v>0.20833333333333334</v>
      </c>
      <c r="H539" s="107" t="s">
        <v>356</v>
      </c>
      <c r="I539" s="227" t="s">
        <v>356</v>
      </c>
      <c r="J539" s="227"/>
      <c r="K539" s="115" t="s">
        <v>654</v>
      </c>
      <c r="L539" s="228"/>
      <c r="M539" s="107" t="s">
        <v>397</v>
      </c>
      <c r="N539" s="229">
        <f>IF(AND(O539=TRUE,P539=TRUE), VLOOKUP($E539,PESSOAL!$B$35:$S$45,MONTH($F539)+6,FALSE)*G539*24,0)</f>
        <v>301.9630005</v>
      </c>
      <c r="O539" s="89" t="b">
        <f t="shared" si="1"/>
        <v>1</v>
      </c>
      <c r="P539" s="89" t="b">
        <v>1</v>
      </c>
      <c r="Q539" s="89" t="s">
        <v>212</v>
      </c>
    </row>
    <row r="540" hidden="1">
      <c r="A540" s="108"/>
      <c r="B540" s="202"/>
      <c r="C540" s="202" t="str">
        <f>VLOOKUP(M540,'#verificação horas por projeto'!A:B,2,FALSE)</f>
        <v>INOV00006</v>
      </c>
      <c r="D540" s="202" t="s">
        <v>5</v>
      </c>
      <c r="E540" s="107" t="s">
        <v>126</v>
      </c>
      <c r="F540" s="211">
        <v>45518.0</v>
      </c>
      <c r="G540" s="226">
        <v>0.125</v>
      </c>
      <c r="H540" s="107" t="s">
        <v>356</v>
      </c>
      <c r="I540" s="227" t="s">
        <v>356</v>
      </c>
      <c r="J540" s="227"/>
      <c r="K540" s="115" t="s">
        <v>654</v>
      </c>
      <c r="L540" s="228"/>
      <c r="M540" s="107" t="s">
        <v>379</v>
      </c>
      <c r="N540" s="229">
        <f>IF(AND(O540=TRUE,P540=TRUE), VLOOKUP($E540,PESSOAL!$B$35:$S$45,MONTH($F540)+6,FALSE)*G540*24,0)</f>
        <v>181.1778003</v>
      </c>
      <c r="O540" s="89" t="b">
        <f t="shared" si="1"/>
        <v>1</v>
      </c>
      <c r="P540" s="89" t="b">
        <v>1</v>
      </c>
      <c r="Q540" s="89" t="s">
        <v>212</v>
      </c>
    </row>
    <row r="541" hidden="1">
      <c r="A541" s="108"/>
      <c r="B541" s="202"/>
      <c r="C541" s="202" t="str">
        <f>VLOOKUP(M541,'#verificação horas por projeto'!A:B,2,FALSE)</f>
        <v>INOV00006</v>
      </c>
      <c r="D541" s="202" t="s">
        <v>5</v>
      </c>
      <c r="E541" s="107" t="s">
        <v>126</v>
      </c>
      <c r="F541" s="211">
        <v>45524.0</v>
      </c>
      <c r="G541" s="226">
        <v>0.20833333333333334</v>
      </c>
      <c r="H541" s="107" t="s">
        <v>356</v>
      </c>
      <c r="I541" s="227" t="s">
        <v>356</v>
      </c>
      <c r="J541" s="227"/>
      <c r="K541" s="115" t="s">
        <v>654</v>
      </c>
      <c r="L541" s="228"/>
      <c r="M541" s="107" t="s">
        <v>379</v>
      </c>
      <c r="N541" s="229">
        <f>IF(AND(O541=TRUE,P541=TRUE), VLOOKUP($E541,PESSOAL!$B$35:$S$45,MONTH($F541)+6,FALSE)*G541*24,0)</f>
        <v>301.9630005</v>
      </c>
      <c r="O541" s="89" t="b">
        <f t="shared" si="1"/>
        <v>1</v>
      </c>
      <c r="P541" s="89" t="b">
        <v>1</v>
      </c>
      <c r="Q541" s="89" t="s">
        <v>212</v>
      </c>
    </row>
    <row r="542" hidden="1">
      <c r="A542" s="108"/>
      <c r="B542" s="202"/>
      <c r="C542" s="202" t="str">
        <f>VLOOKUP(M542,'#verificação horas por projeto'!A:B,2,FALSE)</f>
        <v>INOV00004</v>
      </c>
      <c r="D542" s="202" t="s">
        <v>4</v>
      </c>
      <c r="E542" s="107" t="s">
        <v>126</v>
      </c>
      <c r="F542" s="211">
        <v>45525.0</v>
      </c>
      <c r="G542" s="226">
        <v>0.125</v>
      </c>
      <c r="H542" s="107" t="s">
        <v>356</v>
      </c>
      <c r="I542" s="227" t="s">
        <v>356</v>
      </c>
      <c r="J542" s="227"/>
      <c r="K542" s="115" t="s">
        <v>654</v>
      </c>
      <c r="L542" s="228"/>
      <c r="M542" s="107" t="s">
        <v>397</v>
      </c>
      <c r="N542" s="229">
        <f>IF(AND(O542=TRUE,P542=TRUE), VLOOKUP($E542,PESSOAL!$B$35:$S$45,MONTH($F542)+6,FALSE)*G542*24,0)</f>
        <v>181.1778003</v>
      </c>
      <c r="O542" s="89" t="b">
        <f t="shared" si="1"/>
        <v>1</v>
      </c>
      <c r="P542" s="89" t="b">
        <v>1</v>
      </c>
      <c r="Q542" s="89" t="s">
        <v>212</v>
      </c>
    </row>
    <row r="543" hidden="1">
      <c r="A543" s="108"/>
      <c r="B543" s="202"/>
      <c r="C543" s="202" t="str">
        <f>VLOOKUP(M543,'#verificação horas por projeto'!A:B,2,FALSE)</f>
        <v>INOV00046</v>
      </c>
      <c r="D543" s="202" t="s">
        <v>29</v>
      </c>
      <c r="E543" s="107" t="s">
        <v>126</v>
      </c>
      <c r="F543" s="211">
        <v>45525.0</v>
      </c>
      <c r="G543" s="226">
        <v>0.20833333333333334</v>
      </c>
      <c r="H543" s="107" t="s">
        <v>356</v>
      </c>
      <c r="I543" s="227" t="s">
        <v>356</v>
      </c>
      <c r="J543" s="227"/>
      <c r="K543" s="115" t="s">
        <v>654</v>
      </c>
      <c r="L543" s="228"/>
      <c r="M543" s="107" t="s">
        <v>373</v>
      </c>
      <c r="N543" s="229">
        <f>IF(AND(O543=TRUE,P543=TRUE), VLOOKUP($E543,PESSOAL!$B$35:$S$45,MONTH($F543)+6,FALSE)*G543*24,0)</f>
        <v>0</v>
      </c>
      <c r="O543" s="89" t="b">
        <f t="shared" si="1"/>
        <v>1</v>
      </c>
      <c r="P543" s="89" t="b">
        <v>0</v>
      </c>
      <c r="Q543" s="89" t="s">
        <v>212</v>
      </c>
    </row>
    <row r="544" hidden="1">
      <c r="A544" s="108"/>
      <c r="B544" s="202"/>
      <c r="C544" s="202" t="str">
        <f>VLOOKUP(M544,'#verificação horas por projeto'!A:B,2,FALSE)</f>
        <v>INOV00023</v>
      </c>
      <c r="D544" s="202" t="s">
        <v>13</v>
      </c>
      <c r="E544" s="107" t="s">
        <v>126</v>
      </c>
      <c r="F544" s="211">
        <v>45527.0</v>
      </c>
      <c r="G544" s="226">
        <v>0.125</v>
      </c>
      <c r="H544" s="107" t="s">
        <v>354</v>
      </c>
      <c r="I544" s="227" t="s">
        <v>354</v>
      </c>
      <c r="J544" s="227"/>
      <c r="K544" s="115" t="s">
        <v>656</v>
      </c>
      <c r="L544" s="228"/>
      <c r="M544" s="107" t="s">
        <v>510</v>
      </c>
      <c r="N544" s="229">
        <f>IF(AND(O544=TRUE,P544=TRUE), VLOOKUP($E544,PESSOAL!$B$35:$S$45,MONTH($F544)+6,FALSE)*G544*24,0)</f>
        <v>181.1778003</v>
      </c>
      <c r="O544" s="89" t="b">
        <f t="shared" si="1"/>
        <v>1</v>
      </c>
      <c r="P544" s="89" t="b">
        <v>1</v>
      </c>
      <c r="Q544" s="89" t="s">
        <v>212</v>
      </c>
    </row>
    <row r="545" hidden="1">
      <c r="A545" s="108"/>
      <c r="B545" s="202"/>
      <c r="C545" s="202" t="str">
        <f>VLOOKUP(M545,'#verificação horas por projeto'!A:B,2,FALSE)</f>
        <v>INOV00004</v>
      </c>
      <c r="D545" s="202" t="s">
        <v>4</v>
      </c>
      <c r="E545" s="107" t="s">
        <v>126</v>
      </c>
      <c r="F545" s="211">
        <v>45530.0</v>
      </c>
      <c r="G545" s="226">
        <v>0.125</v>
      </c>
      <c r="H545" s="107" t="s">
        <v>356</v>
      </c>
      <c r="I545" s="227" t="s">
        <v>356</v>
      </c>
      <c r="J545" s="227"/>
      <c r="K545" s="115" t="s">
        <v>654</v>
      </c>
      <c r="L545" s="228"/>
      <c r="M545" s="107" t="s">
        <v>397</v>
      </c>
      <c r="N545" s="229">
        <f>IF(AND(O545=TRUE,P545=TRUE), VLOOKUP($E545,PESSOAL!$B$35:$S$45,MONTH($F545)+6,FALSE)*G545*24,0)</f>
        <v>181.1778003</v>
      </c>
      <c r="O545" s="89" t="b">
        <f t="shared" si="1"/>
        <v>1</v>
      </c>
      <c r="P545" s="89" t="b">
        <v>1</v>
      </c>
      <c r="Q545" s="89" t="s">
        <v>212</v>
      </c>
    </row>
    <row r="546" hidden="1">
      <c r="A546" s="108"/>
      <c r="B546" s="202"/>
      <c r="C546" s="202" t="str">
        <f>VLOOKUP(M546,'#verificação horas por projeto'!A:B,2,FALSE)</f>
        <v>INOV00004</v>
      </c>
      <c r="D546" s="202" t="s">
        <v>4</v>
      </c>
      <c r="E546" s="107" t="s">
        <v>126</v>
      </c>
      <c r="F546" s="211">
        <v>45532.0</v>
      </c>
      <c r="G546" s="226">
        <v>0.20833333333333334</v>
      </c>
      <c r="H546" s="107" t="s">
        <v>356</v>
      </c>
      <c r="I546" s="227" t="s">
        <v>356</v>
      </c>
      <c r="J546" s="227"/>
      <c r="K546" s="115" t="s">
        <v>654</v>
      </c>
      <c r="L546" s="228"/>
      <c r="M546" s="107" t="s">
        <v>397</v>
      </c>
      <c r="N546" s="229">
        <f>IF(AND(O546=TRUE,P546=TRUE), VLOOKUP($E546,PESSOAL!$B$35:$S$45,MONTH($F546)+6,FALSE)*G546*24,0)</f>
        <v>301.9630005</v>
      </c>
      <c r="O546" s="89" t="b">
        <f t="shared" si="1"/>
        <v>1</v>
      </c>
      <c r="P546" s="89" t="b">
        <v>1</v>
      </c>
      <c r="Q546" s="89" t="s">
        <v>212</v>
      </c>
    </row>
    <row r="547" hidden="1">
      <c r="A547" s="108"/>
      <c r="B547" s="202"/>
      <c r="C547" s="202" t="str">
        <f>VLOOKUP(M547,'#verificação horas por projeto'!A:B,2,FALSE)</f>
        <v>INOV00006</v>
      </c>
      <c r="D547" s="202" t="s">
        <v>5</v>
      </c>
      <c r="E547" s="107" t="s">
        <v>126</v>
      </c>
      <c r="F547" s="211">
        <v>45533.0</v>
      </c>
      <c r="G547" s="226">
        <v>0.16666666666666666</v>
      </c>
      <c r="H547" s="107" t="s">
        <v>356</v>
      </c>
      <c r="I547" s="227" t="s">
        <v>356</v>
      </c>
      <c r="J547" s="227"/>
      <c r="K547" s="115" t="s">
        <v>654</v>
      </c>
      <c r="L547" s="228"/>
      <c r="M547" s="107" t="s">
        <v>379</v>
      </c>
      <c r="N547" s="229">
        <f>IF(AND(O547=TRUE,P547=TRUE), VLOOKUP($E547,PESSOAL!$B$35:$S$45,MONTH($F547)+6,FALSE)*G547*24,0)</f>
        <v>241.5704004</v>
      </c>
      <c r="O547" s="89" t="b">
        <f t="shared" si="1"/>
        <v>1</v>
      </c>
      <c r="P547" s="89" t="b">
        <v>1</v>
      </c>
      <c r="Q547" s="89" t="s">
        <v>212</v>
      </c>
    </row>
    <row r="548" hidden="1">
      <c r="A548" s="108"/>
      <c r="B548" s="202"/>
      <c r="C548" s="202" t="str">
        <f>VLOOKUP(M548,'#verificação horas por projeto'!A:B,2,FALSE)</f>
        <v>INOV00014</v>
      </c>
      <c r="D548" s="202" t="s">
        <v>8</v>
      </c>
      <c r="E548" s="107" t="s">
        <v>126</v>
      </c>
      <c r="F548" s="211">
        <v>45533.0</v>
      </c>
      <c r="G548" s="226">
        <v>0.125</v>
      </c>
      <c r="H548" s="107" t="s">
        <v>356</v>
      </c>
      <c r="I548" s="227" t="s">
        <v>356</v>
      </c>
      <c r="J548" s="227"/>
      <c r="K548" s="115" t="s">
        <v>654</v>
      </c>
      <c r="L548" s="228"/>
      <c r="M548" s="107" t="s">
        <v>441</v>
      </c>
      <c r="N548" s="229">
        <f>IF(AND(O548=TRUE,P548=TRUE), VLOOKUP($E548,PESSOAL!$B$35:$S$45,MONTH($F548)+6,FALSE)*G548*24,0)</f>
        <v>181.1778003</v>
      </c>
      <c r="O548" s="89" t="b">
        <f t="shared" si="1"/>
        <v>1</v>
      </c>
      <c r="P548" s="89" t="b">
        <v>1</v>
      </c>
      <c r="Q548" s="89" t="s">
        <v>212</v>
      </c>
    </row>
    <row r="549" hidden="1">
      <c r="A549" s="108"/>
      <c r="B549" s="202"/>
      <c r="C549" s="202" t="str">
        <f>VLOOKUP(M549,'#verificação horas por projeto'!A:B,2,FALSE)</f>
        <v>INOV00004</v>
      </c>
      <c r="D549" s="202" t="s">
        <v>4</v>
      </c>
      <c r="E549" s="107" t="s">
        <v>126</v>
      </c>
      <c r="F549" s="211">
        <v>45534.0</v>
      </c>
      <c r="G549" s="226">
        <v>0.16666666666666666</v>
      </c>
      <c r="H549" s="107" t="s">
        <v>356</v>
      </c>
      <c r="I549" s="227" t="s">
        <v>356</v>
      </c>
      <c r="J549" s="227"/>
      <c r="K549" s="115" t="s">
        <v>654</v>
      </c>
      <c r="L549" s="228"/>
      <c r="M549" s="107" t="s">
        <v>397</v>
      </c>
      <c r="N549" s="229">
        <f>IF(AND(O549=TRUE,P549=TRUE), VLOOKUP($E549,PESSOAL!$B$35:$S$45,MONTH($F549)+6,FALSE)*G549*24,0)</f>
        <v>241.5704004</v>
      </c>
      <c r="O549" s="89" t="b">
        <f t="shared" si="1"/>
        <v>1</v>
      </c>
      <c r="P549" s="89" t="b">
        <v>1</v>
      </c>
      <c r="Q549" s="89" t="s">
        <v>212</v>
      </c>
    </row>
    <row r="550" hidden="1">
      <c r="A550" s="108"/>
      <c r="B550" s="202"/>
      <c r="C550" s="202" t="str">
        <f>VLOOKUP(M550,'#verificação horas por projeto'!A:B,2,FALSE)</f>
        <v>INOV00006</v>
      </c>
      <c r="D550" s="202" t="s">
        <v>5</v>
      </c>
      <c r="E550" s="107" t="s">
        <v>126</v>
      </c>
      <c r="F550" s="211">
        <v>45538.0</v>
      </c>
      <c r="G550" s="226">
        <v>0.125</v>
      </c>
      <c r="H550" s="107" t="s">
        <v>356</v>
      </c>
      <c r="I550" s="227" t="s">
        <v>356</v>
      </c>
      <c r="J550" s="227"/>
      <c r="K550" s="115" t="s">
        <v>654</v>
      </c>
      <c r="L550" s="228"/>
      <c r="M550" s="107" t="s">
        <v>379</v>
      </c>
      <c r="N550" s="229">
        <f>IF(AND(O550=TRUE,P550=TRUE), VLOOKUP($E550,PESSOAL!$B$35:$S$45,MONTH($F550)+6,FALSE)*G550*24,0)</f>
        <v>189.8053146</v>
      </c>
      <c r="O550" s="89" t="b">
        <f t="shared" si="1"/>
        <v>1</v>
      </c>
      <c r="P550" s="89" t="b">
        <v>1</v>
      </c>
      <c r="Q550" s="89" t="s">
        <v>212</v>
      </c>
    </row>
    <row r="551" hidden="1">
      <c r="A551" s="108"/>
      <c r="B551" s="202"/>
      <c r="C551" s="202" t="str">
        <f>VLOOKUP(M551,'#verificação horas por projeto'!A:B,2,FALSE)</f>
        <v>INOV00003</v>
      </c>
      <c r="D551" s="202" t="s">
        <v>240</v>
      </c>
      <c r="E551" s="107" t="s">
        <v>126</v>
      </c>
      <c r="F551" s="211">
        <v>45539.0</v>
      </c>
      <c r="G551" s="226">
        <v>0.375</v>
      </c>
      <c r="H551" s="107" t="s">
        <v>356</v>
      </c>
      <c r="I551" s="227" t="s">
        <v>356</v>
      </c>
      <c r="J551" s="227"/>
      <c r="K551" s="115" t="s">
        <v>654</v>
      </c>
      <c r="L551" s="228"/>
      <c r="M551" s="107" t="s">
        <v>657</v>
      </c>
      <c r="N551" s="229">
        <f>IF(AND(O551=TRUE,P551=TRUE), VLOOKUP($E551,PESSOAL!$B$35:$S$45,MONTH($F551)+6,FALSE)*G551*24,0)</f>
        <v>0</v>
      </c>
      <c r="O551" s="89" t="b">
        <f t="shared" si="1"/>
        <v>1</v>
      </c>
      <c r="P551" s="89" t="b">
        <v>0</v>
      </c>
      <c r="Q551" s="89" t="s">
        <v>212</v>
      </c>
    </row>
    <row r="552" hidden="1">
      <c r="A552" s="108"/>
      <c r="B552" s="202"/>
      <c r="C552" s="202" t="str">
        <f>VLOOKUP(M552,'#verificação horas por projeto'!A:B,2,FALSE)</f>
        <v>INOV00014</v>
      </c>
      <c r="D552" s="202" t="s">
        <v>8</v>
      </c>
      <c r="E552" s="107" t="s">
        <v>126</v>
      </c>
      <c r="F552" s="211">
        <v>45542.0</v>
      </c>
      <c r="G552" s="226">
        <v>0.4166666666666667</v>
      </c>
      <c r="H552" s="107" t="s">
        <v>356</v>
      </c>
      <c r="I552" s="227" t="s">
        <v>356</v>
      </c>
      <c r="J552" s="227"/>
      <c r="K552" s="115" t="s">
        <v>654</v>
      </c>
      <c r="L552" s="228"/>
      <c r="M552" s="107" t="s">
        <v>441</v>
      </c>
      <c r="N552" s="229">
        <f>IF(AND(O552=TRUE,P552=TRUE), VLOOKUP($E552,PESSOAL!$B$35:$S$45,MONTH($F552)+6,FALSE)*G552*24,0)</f>
        <v>632.6843819</v>
      </c>
      <c r="O552" s="89" t="b">
        <f t="shared" si="1"/>
        <v>1</v>
      </c>
      <c r="P552" s="89" t="b">
        <v>1</v>
      </c>
      <c r="Q552" s="89" t="s">
        <v>212</v>
      </c>
    </row>
    <row r="553" hidden="1">
      <c r="A553" s="108"/>
      <c r="B553" s="202"/>
      <c r="C553" s="202" t="str">
        <f>VLOOKUP(M553,'#verificação horas por projeto'!A:B,2,FALSE)</f>
        <v>INOV00006</v>
      </c>
      <c r="D553" s="202" t="s">
        <v>5</v>
      </c>
      <c r="E553" s="107" t="s">
        <v>126</v>
      </c>
      <c r="F553" s="211">
        <v>45543.0</v>
      </c>
      <c r="G553" s="226">
        <v>0.4166666666666667</v>
      </c>
      <c r="H553" s="107" t="s">
        <v>356</v>
      </c>
      <c r="I553" s="227" t="s">
        <v>356</v>
      </c>
      <c r="J553" s="227"/>
      <c r="K553" s="115" t="s">
        <v>654</v>
      </c>
      <c r="L553" s="228"/>
      <c r="M553" s="107" t="s">
        <v>379</v>
      </c>
      <c r="N553" s="229">
        <f>IF(AND(O553=TRUE,P553=TRUE), VLOOKUP($E553,PESSOAL!$B$35:$S$45,MONTH($F553)+6,FALSE)*G553*24,0)</f>
        <v>632.6843819</v>
      </c>
      <c r="O553" s="89" t="b">
        <f t="shared" si="1"/>
        <v>1</v>
      </c>
      <c r="P553" s="89" t="b">
        <v>1</v>
      </c>
      <c r="Q553" s="89" t="s">
        <v>212</v>
      </c>
    </row>
    <row r="554" hidden="1">
      <c r="A554" s="108"/>
      <c r="B554" s="202"/>
      <c r="C554" s="202" t="str">
        <f>VLOOKUP(M554,'#verificação horas por projeto'!A:B,2,FALSE)</f>
        <v>INOV00041</v>
      </c>
      <c r="D554" s="202" t="s">
        <v>28</v>
      </c>
      <c r="E554" s="107" t="s">
        <v>126</v>
      </c>
      <c r="F554" s="211">
        <v>45544.0</v>
      </c>
      <c r="G554" s="226">
        <v>0.4166666666666667</v>
      </c>
      <c r="H554" s="107" t="s">
        <v>356</v>
      </c>
      <c r="I554" s="227" t="s">
        <v>356</v>
      </c>
      <c r="J554" s="227"/>
      <c r="K554" s="115" t="s">
        <v>654</v>
      </c>
      <c r="L554" s="228"/>
      <c r="M554" s="107" t="s">
        <v>408</v>
      </c>
      <c r="N554" s="229">
        <f>IF(AND(O554=TRUE,P554=TRUE), VLOOKUP($E554,PESSOAL!$B$35:$S$45,MONTH($F554)+6,FALSE)*G554*24,0)</f>
        <v>632.6843819</v>
      </c>
      <c r="O554" s="89" t="b">
        <f t="shared" si="1"/>
        <v>1</v>
      </c>
      <c r="P554" s="89" t="b">
        <v>1</v>
      </c>
      <c r="Q554" s="89" t="s">
        <v>212</v>
      </c>
    </row>
    <row r="555" hidden="1">
      <c r="A555" s="108"/>
      <c r="B555" s="202"/>
      <c r="C555" s="202" t="str">
        <f>VLOOKUP(M555,'#verificação horas por projeto'!A:B,2,FALSE)</f>
        <v>INOV00046</v>
      </c>
      <c r="D555" s="202" t="s">
        <v>29</v>
      </c>
      <c r="E555" s="107" t="s">
        <v>126</v>
      </c>
      <c r="F555" s="211">
        <v>45545.0</v>
      </c>
      <c r="G555" s="226">
        <v>0.16666666666666666</v>
      </c>
      <c r="H555" s="107" t="s">
        <v>356</v>
      </c>
      <c r="I555" s="227" t="s">
        <v>356</v>
      </c>
      <c r="J555" s="227"/>
      <c r="K555" s="115" t="s">
        <v>654</v>
      </c>
      <c r="L555" s="228"/>
      <c r="M555" s="107" t="s">
        <v>373</v>
      </c>
      <c r="N555" s="229">
        <f>IF(AND(O555=TRUE,P555=TRUE), VLOOKUP($E555,PESSOAL!$B$35:$S$45,MONTH($F555)+6,FALSE)*G555*24,0)</f>
        <v>0</v>
      </c>
      <c r="O555" s="89" t="b">
        <f t="shared" si="1"/>
        <v>1</v>
      </c>
      <c r="P555" s="89" t="b">
        <v>0</v>
      </c>
      <c r="Q555" s="89" t="s">
        <v>212</v>
      </c>
    </row>
    <row r="556" hidden="1">
      <c r="A556" s="108"/>
      <c r="B556" s="202"/>
      <c r="C556" s="202" t="str">
        <f>VLOOKUP(M556,'#verificação horas por projeto'!A:B,2,FALSE)</f>
        <v>INOV00006</v>
      </c>
      <c r="D556" s="202" t="s">
        <v>5</v>
      </c>
      <c r="E556" s="107" t="s">
        <v>126</v>
      </c>
      <c r="F556" s="211">
        <v>45551.0</v>
      </c>
      <c r="G556" s="226">
        <v>0.16666666666666666</v>
      </c>
      <c r="H556" s="107" t="s">
        <v>356</v>
      </c>
      <c r="I556" s="227" t="s">
        <v>356</v>
      </c>
      <c r="J556" s="227"/>
      <c r="K556" s="115" t="s">
        <v>654</v>
      </c>
      <c r="L556" s="228"/>
      <c r="M556" s="107" t="s">
        <v>379</v>
      </c>
      <c r="N556" s="229">
        <f>IF(AND(O556=TRUE,P556=TRUE), VLOOKUP($E556,PESSOAL!$B$35:$S$45,MONTH($F556)+6,FALSE)*G556*24,0)</f>
        <v>253.0737528</v>
      </c>
      <c r="O556" s="89" t="b">
        <f t="shared" si="1"/>
        <v>1</v>
      </c>
      <c r="P556" s="89" t="b">
        <v>1</v>
      </c>
      <c r="Q556" s="89" t="s">
        <v>212</v>
      </c>
    </row>
    <row r="557" hidden="1">
      <c r="A557" s="108"/>
      <c r="B557" s="202"/>
      <c r="C557" s="202" t="str">
        <f>VLOOKUP(M557,'#verificação horas por projeto'!A:B,2,FALSE)</f>
        <v>INOV00004</v>
      </c>
      <c r="D557" s="202" t="s">
        <v>4</v>
      </c>
      <c r="E557" s="107" t="s">
        <v>126</v>
      </c>
      <c r="F557" s="211">
        <v>45552.0</v>
      </c>
      <c r="G557" s="226">
        <v>0.125</v>
      </c>
      <c r="H557" s="107" t="s">
        <v>356</v>
      </c>
      <c r="I557" s="227" t="s">
        <v>356</v>
      </c>
      <c r="J557" s="227"/>
      <c r="K557" s="115" t="s">
        <v>654</v>
      </c>
      <c r="L557" s="228"/>
      <c r="M557" s="107" t="s">
        <v>397</v>
      </c>
      <c r="N557" s="229">
        <f>IF(AND(O557=TRUE,P557=TRUE), VLOOKUP($E557,PESSOAL!$B$35:$S$45,MONTH($F557)+6,FALSE)*G557*24,0)</f>
        <v>189.8053146</v>
      </c>
      <c r="O557" s="89" t="b">
        <f t="shared" si="1"/>
        <v>1</v>
      </c>
      <c r="P557" s="89" t="b">
        <v>1</v>
      </c>
      <c r="Q557" s="89" t="s">
        <v>212</v>
      </c>
    </row>
    <row r="558" hidden="1">
      <c r="A558" s="108"/>
      <c r="B558" s="202"/>
      <c r="C558" s="202" t="str">
        <f>VLOOKUP(M558,'#verificação horas por projeto'!A:B,2,FALSE)</f>
        <v>INOV00004</v>
      </c>
      <c r="D558" s="202" t="s">
        <v>4</v>
      </c>
      <c r="E558" s="107" t="s">
        <v>126</v>
      </c>
      <c r="F558" s="211">
        <v>45554.0</v>
      </c>
      <c r="G558" s="226">
        <v>0.16666666666666666</v>
      </c>
      <c r="H558" s="107" t="s">
        <v>356</v>
      </c>
      <c r="I558" s="227" t="s">
        <v>356</v>
      </c>
      <c r="J558" s="227"/>
      <c r="K558" s="115" t="s">
        <v>654</v>
      </c>
      <c r="L558" s="228"/>
      <c r="M558" s="107" t="s">
        <v>397</v>
      </c>
      <c r="N558" s="229">
        <f>IF(AND(O558=TRUE,P558=TRUE), VLOOKUP($E558,PESSOAL!$B$35:$S$45,MONTH($F558)+6,FALSE)*G558*24,0)</f>
        <v>253.0737528</v>
      </c>
      <c r="O558" s="89" t="b">
        <f t="shared" si="1"/>
        <v>1</v>
      </c>
      <c r="P558" s="89" t="b">
        <v>1</v>
      </c>
      <c r="Q558" s="89" t="s">
        <v>212</v>
      </c>
    </row>
    <row r="559" hidden="1">
      <c r="A559" s="108"/>
      <c r="B559" s="202"/>
      <c r="C559" s="202" t="str">
        <f>VLOOKUP(M559,'#verificação horas por projeto'!A:B,2,FALSE)</f>
        <v>INOV00006</v>
      </c>
      <c r="D559" s="202" t="s">
        <v>5</v>
      </c>
      <c r="E559" s="107" t="s">
        <v>126</v>
      </c>
      <c r="F559" s="211">
        <v>45558.0</v>
      </c>
      <c r="G559" s="226">
        <v>0.125</v>
      </c>
      <c r="H559" s="107" t="s">
        <v>356</v>
      </c>
      <c r="I559" s="227" t="s">
        <v>356</v>
      </c>
      <c r="J559" s="227"/>
      <c r="K559" s="115" t="s">
        <v>654</v>
      </c>
      <c r="L559" s="228"/>
      <c r="M559" s="107" t="s">
        <v>379</v>
      </c>
      <c r="N559" s="229">
        <f>IF(AND(O559=TRUE,P559=TRUE), VLOOKUP($E559,PESSOAL!$B$35:$S$45,MONTH($F559)+6,FALSE)*G559*24,0)</f>
        <v>189.8053146</v>
      </c>
      <c r="O559" s="89" t="b">
        <f t="shared" si="1"/>
        <v>1</v>
      </c>
      <c r="P559" s="89" t="b">
        <v>1</v>
      </c>
      <c r="Q559" s="89" t="s">
        <v>212</v>
      </c>
    </row>
    <row r="560" hidden="1">
      <c r="A560" s="108"/>
      <c r="B560" s="202"/>
      <c r="C560" s="202" t="str">
        <f>VLOOKUP(M560,'#verificação horas por projeto'!A:B,2,FALSE)</f>
        <v>INOV00004</v>
      </c>
      <c r="D560" s="202" t="s">
        <v>4</v>
      </c>
      <c r="E560" s="107" t="s">
        <v>126</v>
      </c>
      <c r="F560" s="211">
        <v>45558.0</v>
      </c>
      <c r="G560" s="226">
        <v>0.16666666666666666</v>
      </c>
      <c r="H560" s="107" t="s">
        <v>356</v>
      </c>
      <c r="I560" s="227" t="s">
        <v>356</v>
      </c>
      <c r="J560" s="227"/>
      <c r="K560" s="115" t="s">
        <v>654</v>
      </c>
      <c r="L560" s="228"/>
      <c r="M560" s="107" t="s">
        <v>397</v>
      </c>
      <c r="N560" s="229">
        <f>IF(AND(O560=TRUE,P560=TRUE), VLOOKUP($E560,PESSOAL!$B$35:$S$45,MONTH($F560)+6,FALSE)*G560*24,0)</f>
        <v>253.0737528</v>
      </c>
      <c r="O560" s="89" t="b">
        <f t="shared" si="1"/>
        <v>1</v>
      </c>
      <c r="P560" s="89" t="b">
        <v>1</v>
      </c>
      <c r="Q560" s="89" t="s">
        <v>212</v>
      </c>
    </row>
    <row r="561" hidden="1">
      <c r="A561" s="108"/>
      <c r="B561" s="202"/>
      <c r="C561" s="202" t="str">
        <f>VLOOKUP(M561,'#verificação horas por projeto'!A:B,2,FALSE)</f>
        <v>INOV00004</v>
      </c>
      <c r="D561" s="202" t="s">
        <v>4</v>
      </c>
      <c r="E561" s="107" t="s">
        <v>126</v>
      </c>
      <c r="F561" s="211">
        <v>45561.0</v>
      </c>
      <c r="G561" s="226">
        <v>0.08333333333333333</v>
      </c>
      <c r="H561" s="107" t="s">
        <v>356</v>
      </c>
      <c r="I561" s="227" t="s">
        <v>356</v>
      </c>
      <c r="J561" s="227"/>
      <c r="K561" s="115" t="s">
        <v>654</v>
      </c>
      <c r="L561" s="228"/>
      <c r="M561" s="107" t="s">
        <v>397</v>
      </c>
      <c r="N561" s="229">
        <f>IF(AND(O561=TRUE,P561=TRUE), VLOOKUP($E561,PESSOAL!$B$35:$S$45,MONTH($F561)+6,FALSE)*G561*24,0)</f>
        <v>126.5368764</v>
      </c>
      <c r="O561" s="89" t="b">
        <f t="shared" si="1"/>
        <v>1</v>
      </c>
      <c r="P561" s="89" t="b">
        <v>1</v>
      </c>
      <c r="Q561" s="89" t="s">
        <v>212</v>
      </c>
    </row>
    <row r="562" hidden="1">
      <c r="A562" s="108"/>
      <c r="B562" s="202"/>
      <c r="C562" s="202" t="str">
        <f>VLOOKUP(M562,'#verificação horas por projeto'!A:B,2,FALSE)</f>
        <v>INOV00006</v>
      </c>
      <c r="D562" s="202" t="s">
        <v>5</v>
      </c>
      <c r="E562" s="107" t="s">
        <v>126</v>
      </c>
      <c r="F562" s="211">
        <v>45561.0</v>
      </c>
      <c r="G562" s="226">
        <v>0.16666666666666666</v>
      </c>
      <c r="H562" s="107" t="s">
        <v>356</v>
      </c>
      <c r="I562" s="227" t="s">
        <v>356</v>
      </c>
      <c r="J562" s="227"/>
      <c r="K562" s="115" t="s">
        <v>654</v>
      </c>
      <c r="L562" s="228"/>
      <c r="M562" s="107" t="s">
        <v>379</v>
      </c>
      <c r="N562" s="229">
        <f>IF(AND(O562=TRUE,P562=TRUE), VLOOKUP($E562,PESSOAL!$B$35:$S$45,MONTH($F562)+6,FALSE)*G562*24,0)</f>
        <v>253.0737528</v>
      </c>
      <c r="O562" s="89" t="b">
        <f t="shared" si="1"/>
        <v>1</v>
      </c>
      <c r="P562" s="89" t="b">
        <v>1</v>
      </c>
      <c r="Q562" s="89" t="s">
        <v>212</v>
      </c>
    </row>
    <row r="563" hidden="1">
      <c r="A563" s="108"/>
      <c r="B563" s="202"/>
      <c r="C563" s="202" t="str">
        <f>VLOOKUP(M563,'#verificação horas por projeto'!A:B,2,FALSE)</f>
        <v>INOV00004</v>
      </c>
      <c r="D563" s="202" t="s">
        <v>4</v>
      </c>
      <c r="E563" s="107" t="s">
        <v>126</v>
      </c>
      <c r="F563" s="211">
        <v>45562.0</v>
      </c>
      <c r="G563" s="226">
        <v>0.125</v>
      </c>
      <c r="H563" s="107" t="s">
        <v>356</v>
      </c>
      <c r="I563" s="227" t="s">
        <v>356</v>
      </c>
      <c r="J563" s="227"/>
      <c r="K563" s="115" t="s">
        <v>654</v>
      </c>
      <c r="L563" s="228"/>
      <c r="M563" s="107" t="s">
        <v>397</v>
      </c>
      <c r="N563" s="229">
        <f>IF(AND(O563=TRUE,P563=TRUE), VLOOKUP($E563,PESSOAL!$B$35:$S$45,MONTH($F563)+6,FALSE)*G563*24,0)</f>
        <v>189.8053146</v>
      </c>
      <c r="O563" s="89" t="b">
        <f t="shared" si="1"/>
        <v>1</v>
      </c>
      <c r="P563" s="89" t="b">
        <v>1</v>
      </c>
      <c r="Q563" s="89" t="s">
        <v>212</v>
      </c>
    </row>
    <row r="564" hidden="1">
      <c r="A564" s="108"/>
      <c r="B564" s="202"/>
      <c r="C564" s="202" t="str">
        <f>VLOOKUP(M564,'#verificação horas por projeto'!A:B,2,FALSE)</f>
        <v>INOV00046</v>
      </c>
      <c r="D564" s="202" t="s">
        <v>29</v>
      </c>
      <c r="E564" s="107" t="s">
        <v>126</v>
      </c>
      <c r="F564" s="211">
        <v>45565.0</v>
      </c>
      <c r="G564" s="226">
        <v>0.125</v>
      </c>
      <c r="H564" s="107" t="s">
        <v>356</v>
      </c>
      <c r="I564" s="227" t="s">
        <v>356</v>
      </c>
      <c r="J564" s="227"/>
      <c r="K564" s="115" t="s">
        <v>654</v>
      </c>
      <c r="L564" s="228"/>
      <c r="M564" s="107" t="s">
        <v>373</v>
      </c>
      <c r="N564" s="229">
        <f>IF(AND(O564=TRUE,P564=TRUE), VLOOKUP($E564,PESSOAL!$B$35:$S$45,MONTH($F564)+6,FALSE)*G564*24,0)</f>
        <v>0</v>
      </c>
      <c r="O564" s="89" t="b">
        <f t="shared" si="1"/>
        <v>1</v>
      </c>
      <c r="P564" s="89" t="b">
        <v>0</v>
      </c>
      <c r="Q564" s="89" t="s">
        <v>212</v>
      </c>
    </row>
    <row r="565" hidden="1">
      <c r="A565" s="108"/>
      <c r="B565" s="202"/>
      <c r="C565" s="202" t="str">
        <f>VLOOKUP(M565,'#verificação horas por projeto'!A:B,2,FALSE)</f>
        <v>INOV00004</v>
      </c>
      <c r="D565" s="202" t="s">
        <v>4</v>
      </c>
      <c r="E565" s="107" t="s">
        <v>126</v>
      </c>
      <c r="F565" s="211">
        <v>45565.0</v>
      </c>
      <c r="G565" s="226">
        <v>0.16666666666666666</v>
      </c>
      <c r="H565" s="107" t="s">
        <v>356</v>
      </c>
      <c r="I565" s="227" t="s">
        <v>356</v>
      </c>
      <c r="J565" s="227"/>
      <c r="K565" s="115" t="s">
        <v>654</v>
      </c>
      <c r="L565" s="228"/>
      <c r="M565" s="107" t="s">
        <v>397</v>
      </c>
      <c r="N565" s="229">
        <f>IF(AND(O565=TRUE,P565=TRUE), VLOOKUP($E565,PESSOAL!$B$35:$S$45,MONTH($F565)+6,FALSE)*G565*24,0)</f>
        <v>253.0737528</v>
      </c>
      <c r="O565" s="89" t="b">
        <f t="shared" si="1"/>
        <v>1</v>
      </c>
      <c r="P565" s="89" t="b">
        <v>1</v>
      </c>
      <c r="Q565" s="89" t="s">
        <v>212</v>
      </c>
    </row>
    <row r="566" hidden="1">
      <c r="A566" s="108"/>
      <c r="B566" s="202"/>
      <c r="C566" s="202" t="str">
        <f>VLOOKUP(M566,'#verificação horas por projeto'!A:B,2,FALSE)</f>
        <v>INOV00024</v>
      </c>
      <c r="D566" s="202" t="s">
        <v>14</v>
      </c>
      <c r="E566" s="107" t="s">
        <v>145</v>
      </c>
      <c r="F566" s="211">
        <v>45474.0</v>
      </c>
      <c r="G566" s="226">
        <v>0.041666666666666664</v>
      </c>
      <c r="H566" s="107" t="s">
        <v>354</v>
      </c>
      <c r="I566" s="227" t="s">
        <v>354</v>
      </c>
      <c r="J566" s="227"/>
      <c r="K566" s="115" t="s">
        <v>461</v>
      </c>
      <c r="L566" s="228"/>
      <c r="M566" s="107" t="s">
        <v>428</v>
      </c>
      <c r="N566" s="229">
        <f>IF(AND(O566=TRUE,P566=TRUE), VLOOKUP($E566,PESSOAL!$B$35:$S$45,MONTH($F566)+6,FALSE)*G566*24,0)</f>
        <v>38.16974846</v>
      </c>
      <c r="O566" s="89" t="b">
        <f t="shared" si="1"/>
        <v>1</v>
      </c>
      <c r="P566" s="89" t="b">
        <v>1</v>
      </c>
      <c r="Q566" s="89" t="s">
        <v>212</v>
      </c>
    </row>
    <row r="567" hidden="1">
      <c r="A567" s="108"/>
      <c r="B567" s="202"/>
      <c r="C567" s="202" t="str">
        <f>VLOOKUP(M567,'#verificação horas por projeto'!A:B,2,FALSE)</f>
        <v>INOV00047</v>
      </c>
      <c r="D567" s="202" t="s">
        <v>32</v>
      </c>
      <c r="E567" s="107" t="s">
        <v>145</v>
      </c>
      <c r="F567" s="211">
        <v>45475.0</v>
      </c>
      <c r="G567" s="226">
        <v>0.125</v>
      </c>
      <c r="H567" s="107" t="s">
        <v>356</v>
      </c>
      <c r="I567" s="227" t="s">
        <v>356</v>
      </c>
      <c r="J567" s="227"/>
      <c r="K567" s="115" t="s">
        <v>590</v>
      </c>
      <c r="L567" s="228"/>
      <c r="M567" s="107" t="s">
        <v>584</v>
      </c>
      <c r="N567" s="229">
        <f>IF(AND(O567=TRUE,P567=TRUE), VLOOKUP($E567,PESSOAL!$B$35:$S$45,MONTH($F567)+6,FALSE)*G567*24,0)</f>
        <v>0</v>
      </c>
      <c r="O567" s="89" t="b">
        <f t="shared" si="1"/>
        <v>1</v>
      </c>
      <c r="P567" s="89" t="b">
        <v>0</v>
      </c>
      <c r="Q567" s="89" t="s">
        <v>212</v>
      </c>
    </row>
    <row r="568" hidden="1">
      <c r="A568" s="108"/>
      <c r="B568" s="202"/>
      <c r="C568" s="202" t="str">
        <f>VLOOKUP(M568,'#verificação horas por projeto'!A:B,2,FALSE)</f>
        <v>INOV00048</v>
      </c>
      <c r="D568" s="202" t="s">
        <v>34</v>
      </c>
      <c r="E568" s="107" t="s">
        <v>145</v>
      </c>
      <c r="F568" s="211">
        <v>45475.0</v>
      </c>
      <c r="G568" s="226">
        <v>0.125</v>
      </c>
      <c r="H568" s="107" t="s">
        <v>356</v>
      </c>
      <c r="I568" s="227" t="s">
        <v>356</v>
      </c>
      <c r="J568" s="227"/>
      <c r="K568" s="115" t="s">
        <v>590</v>
      </c>
      <c r="L568" s="228"/>
      <c r="M568" s="107" t="s">
        <v>587</v>
      </c>
      <c r="N568" s="229">
        <f>IF(AND(O568=TRUE,P568=TRUE), VLOOKUP($E568,PESSOAL!$B$35:$S$45,MONTH($F568)+6,FALSE)*G568*24,0)</f>
        <v>0</v>
      </c>
      <c r="O568" s="89" t="b">
        <f t="shared" si="1"/>
        <v>1</v>
      </c>
      <c r="P568" s="89" t="b">
        <v>0</v>
      </c>
      <c r="Q568" s="89" t="s">
        <v>212</v>
      </c>
    </row>
    <row r="569" hidden="1">
      <c r="A569" s="108"/>
      <c r="B569" s="202"/>
      <c r="C569" s="202" t="str">
        <f>VLOOKUP(M569,'#verificação horas por projeto'!A:B,2,FALSE)</f>
        <v>INOV00024</v>
      </c>
      <c r="D569" s="202" t="s">
        <v>14</v>
      </c>
      <c r="E569" s="107" t="s">
        <v>145</v>
      </c>
      <c r="F569" s="211">
        <v>45476.0</v>
      </c>
      <c r="G569" s="226">
        <v>0.041666666666666664</v>
      </c>
      <c r="H569" s="107" t="s">
        <v>354</v>
      </c>
      <c r="I569" s="227" t="s">
        <v>354</v>
      </c>
      <c r="J569" s="227"/>
      <c r="K569" s="115" t="s">
        <v>461</v>
      </c>
      <c r="L569" s="228"/>
      <c r="M569" s="107" t="s">
        <v>428</v>
      </c>
      <c r="N569" s="229">
        <f>IF(AND(O569=TRUE,P569=TRUE), VLOOKUP($E569,PESSOAL!$B$35:$S$45,MONTH($F569)+6,FALSE)*G569*24,0)</f>
        <v>38.16974846</v>
      </c>
      <c r="O569" s="89" t="b">
        <f t="shared" si="1"/>
        <v>1</v>
      </c>
      <c r="P569" s="89" t="b">
        <v>1</v>
      </c>
      <c r="Q569" s="89" t="s">
        <v>212</v>
      </c>
    </row>
    <row r="570" hidden="1">
      <c r="A570" s="108"/>
      <c r="B570" s="202"/>
      <c r="C570" s="202" t="str">
        <f>VLOOKUP(M570,'#verificação horas por projeto'!A:B,2,FALSE)</f>
        <v>#N/A</v>
      </c>
      <c r="D570" s="202" t="s">
        <v>37</v>
      </c>
      <c r="E570" s="107" t="s">
        <v>145</v>
      </c>
      <c r="F570" s="211">
        <v>45477.0</v>
      </c>
      <c r="G570" s="226">
        <v>0.041666666666666664</v>
      </c>
      <c r="H570" s="107" t="s">
        <v>354</v>
      </c>
      <c r="I570" s="227" t="s">
        <v>354</v>
      </c>
      <c r="J570" s="227"/>
      <c r="K570" s="115" t="s">
        <v>461</v>
      </c>
      <c r="L570" s="228"/>
      <c r="M570" s="107" t="s">
        <v>515</v>
      </c>
      <c r="N570" s="229">
        <f>IF(AND(O570=TRUE,P570=TRUE), VLOOKUP($E570,PESSOAL!$B$35:$S$45,MONTH($F570)+6,FALSE)*G570*24,0)</f>
        <v>0</v>
      </c>
      <c r="O570" s="89" t="b">
        <f t="shared" si="1"/>
        <v>1</v>
      </c>
      <c r="P570" s="89" t="b">
        <v>0</v>
      </c>
      <c r="Q570" s="89" t="s">
        <v>212</v>
      </c>
    </row>
    <row r="571" hidden="1">
      <c r="A571" s="108"/>
      <c r="B571" s="202"/>
      <c r="C571" s="202" t="str">
        <f>VLOOKUP(M571,'#verificação horas por projeto'!A:B,2,FALSE)</f>
        <v>#N/A</v>
      </c>
      <c r="D571" s="202" t="s">
        <v>36</v>
      </c>
      <c r="E571" s="107" t="s">
        <v>145</v>
      </c>
      <c r="F571" s="211">
        <v>45478.0</v>
      </c>
      <c r="G571" s="226">
        <v>0.08333333333333333</v>
      </c>
      <c r="H571" s="107" t="s">
        <v>354</v>
      </c>
      <c r="I571" s="227" t="s">
        <v>354</v>
      </c>
      <c r="J571" s="227"/>
      <c r="K571" s="115" t="s">
        <v>658</v>
      </c>
      <c r="L571" s="228"/>
      <c r="M571" s="107" t="s">
        <v>514</v>
      </c>
      <c r="N571" s="229">
        <f>IF(AND(O571=TRUE,P571=TRUE), VLOOKUP($E571,PESSOAL!$B$35:$S$45,MONTH($F571)+6,FALSE)*G571*24,0)</f>
        <v>0</v>
      </c>
      <c r="O571" s="89" t="b">
        <f t="shared" si="1"/>
        <v>1</v>
      </c>
      <c r="P571" s="89" t="b">
        <v>0</v>
      </c>
      <c r="Q571" s="89" t="s">
        <v>212</v>
      </c>
    </row>
    <row r="572" hidden="1">
      <c r="A572" s="108"/>
      <c r="B572" s="202"/>
      <c r="C572" s="202" t="str">
        <f>VLOOKUP(M572,'#verificação horas por projeto'!A:B,2,FALSE)</f>
        <v>#N/A</v>
      </c>
      <c r="D572" s="202" t="s">
        <v>36</v>
      </c>
      <c r="E572" s="107" t="s">
        <v>145</v>
      </c>
      <c r="F572" s="211">
        <v>45481.0</v>
      </c>
      <c r="G572" s="226">
        <v>0.08333333333333333</v>
      </c>
      <c r="H572" s="107" t="s">
        <v>354</v>
      </c>
      <c r="I572" s="227" t="s">
        <v>354</v>
      </c>
      <c r="J572" s="227"/>
      <c r="K572" s="115" t="s">
        <v>658</v>
      </c>
      <c r="L572" s="228"/>
      <c r="M572" s="107" t="s">
        <v>514</v>
      </c>
      <c r="N572" s="229">
        <f>IF(AND(O572=TRUE,P572=TRUE), VLOOKUP($E572,PESSOAL!$B$35:$S$45,MONTH($F572)+6,FALSE)*G572*24,0)</f>
        <v>0</v>
      </c>
      <c r="O572" s="89" t="b">
        <f t="shared" si="1"/>
        <v>1</v>
      </c>
      <c r="P572" s="89" t="b">
        <v>0</v>
      </c>
      <c r="Q572" s="89" t="s">
        <v>212</v>
      </c>
    </row>
    <row r="573" hidden="1">
      <c r="A573" s="108"/>
      <c r="B573" s="202"/>
      <c r="C573" s="202" t="str">
        <f>VLOOKUP(M573,'#verificação horas por projeto'!A:B,2,FALSE)</f>
        <v>#N/A</v>
      </c>
      <c r="D573" s="202" t="s">
        <v>37</v>
      </c>
      <c r="E573" s="107" t="s">
        <v>145</v>
      </c>
      <c r="F573" s="211">
        <v>45488.0</v>
      </c>
      <c r="G573" s="226">
        <v>0.041666666666666664</v>
      </c>
      <c r="H573" s="107" t="s">
        <v>354</v>
      </c>
      <c r="I573" s="227" t="s">
        <v>354</v>
      </c>
      <c r="J573" s="227"/>
      <c r="K573" s="115" t="s">
        <v>659</v>
      </c>
      <c r="L573" s="228"/>
      <c r="M573" s="107" t="s">
        <v>515</v>
      </c>
      <c r="N573" s="229">
        <f>IF(AND(O573=TRUE,P573=TRUE), VLOOKUP($E573,PESSOAL!$B$35:$S$45,MONTH($F573)+6,FALSE)*G573*24,0)</f>
        <v>0</v>
      </c>
      <c r="O573" s="89" t="b">
        <f t="shared" si="1"/>
        <v>1</v>
      </c>
      <c r="P573" s="89" t="b">
        <v>0</v>
      </c>
      <c r="Q573" s="89" t="s">
        <v>212</v>
      </c>
    </row>
    <row r="574" hidden="1">
      <c r="A574" s="108"/>
      <c r="B574" s="202"/>
      <c r="C574" s="202" t="str">
        <f>VLOOKUP(M574,'#verificação horas por projeto'!A:B,2,FALSE)</f>
        <v>#N/A</v>
      </c>
      <c r="D574" s="202" t="s">
        <v>36</v>
      </c>
      <c r="E574" s="107" t="s">
        <v>145</v>
      </c>
      <c r="F574" s="211">
        <v>45488.0</v>
      </c>
      <c r="G574" s="226">
        <v>0.16666666666666666</v>
      </c>
      <c r="H574" s="107" t="s">
        <v>354</v>
      </c>
      <c r="I574" s="227" t="s">
        <v>354</v>
      </c>
      <c r="J574" s="227"/>
      <c r="K574" s="115" t="s">
        <v>660</v>
      </c>
      <c r="L574" s="228"/>
      <c r="M574" s="107" t="s">
        <v>514</v>
      </c>
      <c r="N574" s="229">
        <f>IF(AND(O574=TRUE,P574=TRUE), VLOOKUP($E574,PESSOAL!$B$35:$S$45,MONTH($F574)+6,FALSE)*G574*24,0)</f>
        <v>0</v>
      </c>
      <c r="O574" s="89" t="b">
        <f t="shared" si="1"/>
        <v>1</v>
      </c>
      <c r="P574" s="89" t="b">
        <v>0</v>
      </c>
      <c r="Q574" s="89" t="s">
        <v>212</v>
      </c>
    </row>
    <row r="575" hidden="1">
      <c r="A575" s="108"/>
      <c r="B575" s="202"/>
      <c r="C575" s="202" t="str">
        <f>VLOOKUP(M575,'#verificação horas por projeto'!A:B,2,FALSE)</f>
        <v>#N/A</v>
      </c>
      <c r="D575" s="202" t="s">
        <v>36</v>
      </c>
      <c r="E575" s="107" t="s">
        <v>145</v>
      </c>
      <c r="F575" s="211">
        <v>45489.0</v>
      </c>
      <c r="G575" s="226">
        <v>0.08333333333333333</v>
      </c>
      <c r="H575" s="107" t="s">
        <v>354</v>
      </c>
      <c r="I575" s="227" t="s">
        <v>354</v>
      </c>
      <c r="J575" s="227"/>
      <c r="K575" s="115" t="s">
        <v>660</v>
      </c>
      <c r="L575" s="228"/>
      <c r="M575" s="107" t="s">
        <v>514</v>
      </c>
      <c r="N575" s="229">
        <f>IF(AND(O575=TRUE,P575=TRUE), VLOOKUP($E575,PESSOAL!$B$35:$S$45,MONTH($F575)+6,FALSE)*G575*24,0)</f>
        <v>0</v>
      </c>
      <c r="O575" s="89" t="b">
        <f t="shared" si="1"/>
        <v>1</v>
      </c>
      <c r="P575" s="89" t="b">
        <v>0</v>
      </c>
      <c r="Q575" s="89" t="s">
        <v>212</v>
      </c>
    </row>
    <row r="576" hidden="1">
      <c r="A576" s="108"/>
      <c r="B576" s="202"/>
      <c r="C576" s="202" t="str">
        <f>VLOOKUP(M576,'#verificação horas por projeto'!A:B,2,FALSE)</f>
        <v>#N/A</v>
      </c>
      <c r="D576" s="202" t="s">
        <v>36</v>
      </c>
      <c r="E576" s="107" t="s">
        <v>145</v>
      </c>
      <c r="F576" s="211">
        <v>45490.0</v>
      </c>
      <c r="G576" s="226">
        <v>0.16666666666666666</v>
      </c>
      <c r="H576" s="107" t="s">
        <v>354</v>
      </c>
      <c r="I576" s="227" t="s">
        <v>354</v>
      </c>
      <c r="J576" s="227"/>
      <c r="K576" s="115" t="s">
        <v>660</v>
      </c>
      <c r="L576" s="228"/>
      <c r="M576" s="107" t="s">
        <v>514</v>
      </c>
      <c r="N576" s="229">
        <f>IF(AND(O576=TRUE,P576=TRUE), VLOOKUP($E576,PESSOAL!$B$35:$S$45,MONTH($F576)+6,FALSE)*G576*24,0)</f>
        <v>0</v>
      </c>
      <c r="O576" s="89" t="b">
        <f t="shared" si="1"/>
        <v>1</v>
      </c>
      <c r="P576" s="89" t="b">
        <v>0</v>
      </c>
      <c r="Q576" s="89" t="s">
        <v>212</v>
      </c>
    </row>
    <row r="577" hidden="1">
      <c r="A577" s="108"/>
      <c r="B577" s="202"/>
      <c r="C577" s="202" t="str">
        <f>VLOOKUP(M577,'#verificação horas por projeto'!A:B,2,FALSE)</f>
        <v>INOV00048</v>
      </c>
      <c r="D577" s="202" t="s">
        <v>34</v>
      </c>
      <c r="E577" s="107" t="s">
        <v>145</v>
      </c>
      <c r="F577" s="211">
        <v>45495.0</v>
      </c>
      <c r="G577" s="226">
        <v>0.10416666666666667</v>
      </c>
      <c r="H577" s="107" t="s">
        <v>356</v>
      </c>
      <c r="I577" s="227" t="s">
        <v>356</v>
      </c>
      <c r="J577" s="227"/>
      <c r="K577" s="115" t="s">
        <v>590</v>
      </c>
      <c r="L577" s="228"/>
      <c r="M577" s="107" t="s">
        <v>587</v>
      </c>
      <c r="N577" s="229">
        <f>IF(AND(O577=TRUE,P577=TRUE), VLOOKUP($E577,PESSOAL!$B$35:$S$45,MONTH($F577)+6,FALSE)*G577*24,0)</f>
        <v>0</v>
      </c>
      <c r="O577" s="89" t="b">
        <f t="shared" si="1"/>
        <v>1</v>
      </c>
      <c r="P577" s="89" t="b">
        <v>0</v>
      </c>
      <c r="Q577" s="89" t="s">
        <v>212</v>
      </c>
    </row>
    <row r="578" hidden="1">
      <c r="A578" s="108"/>
      <c r="B578" s="202"/>
      <c r="C578" s="202" t="str">
        <f>VLOOKUP(M578,'#verificação horas por projeto'!A:B,2,FALSE)</f>
        <v>#N/A</v>
      </c>
      <c r="D578" s="202" t="s">
        <v>37</v>
      </c>
      <c r="E578" s="107" t="s">
        <v>145</v>
      </c>
      <c r="F578" s="211">
        <v>45495.0</v>
      </c>
      <c r="G578" s="226">
        <v>0.08333333333333333</v>
      </c>
      <c r="H578" s="107" t="s">
        <v>354</v>
      </c>
      <c r="I578" s="227" t="s">
        <v>354</v>
      </c>
      <c r="J578" s="227"/>
      <c r="K578" s="115" t="s">
        <v>659</v>
      </c>
      <c r="L578" s="228"/>
      <c r="M578" s="107" t="s">
        <v>515</v>
      </c>
      <c r="N578" s="229">
        <f>IF(AND(O578=TRUE,P578=TRUE), VLOOKUP($E578,PESSOAL!$B$35:$S$45,MONTH($F578)+6,FALSE)*G578*24,0)</f>
        <v>0</v>
      </c>
      <c r="O578" s="89" t="b">
        <f t="shared" si="1"/>
        <v>1</v>
      </c>
      <c r="P578" s="89" t="b">
        <v>0</v>
      </c>
      <c r="Q578" s="89" t="s">
        <v>212</v>
      </c>
    </row>
    <row r="579" hidden="1">
      <c r="A579" s="108"/>
      <c r="B579" s="202"/>
      <c r="C579" s="202" t="str">
        <f>VLOOKUP(M579,'#verificação horas por projeto'!A:B,2,FALSE)</f>
        <v>INOV00024</v>
      </c>
      <c r="D579" s="202" t="s">
        <v>14</v>
      </c>
      <c r="E579" s="107" t="s">
        <v>145</v>
      </c>
      <c r="F579" s="211">
        <v>45495.0</v>
      </c>
      <c r="G579" s="226">
        <v>0.041666666666666664</v>
      </c>
      <c r="H579" s="107" t="s">
        <v>354</v>
      </c>
      <c r="I579" s="227" t="s">
        <v>354</v>
      </c>
      <c r="J579" s="227"/>
      <c r="K579" s="115" t="s">
        <v>659</v>
      </c>
      <c r="L579" s="228"/>
      <c r="M579" s="107" t="s">
        <v>428</v>
      </c>
      <c r="N579" s="229">
        <f>IF(AND(O579=TRUE,P579=TRUE), VLOOKUP($E579,PESSOAL!$B$35:$S$45,MONTH($F579)+6,FALSE)*G579*24,0)</f>
        <v>38.16974846</v>
      </c>
      <c r="O579" s="89" t="b">
        <f t="shared" si="1"/>
        <v>1</v>
      </c>
      <c r="P579" s="89" t="b">
        <v>1</v>
      </c>
      <c r="Q579" s="89" t="s">
        <v>212</v>
      </c>
    </row>
    <row r="580" hidden="1">
      <c r="A580" s="108"/>
      <c r="B580" s="202"/>
      <c r="C580" s="202" t="str">
        <f>VLOOKUP(M580,'#verificação horas por projeto'!A:B,2,FALSE)</f>
        <v>INOV00048</v>
      </c>
      <c r="D580" s="202" t="s">
        <v>34</v>
      </c>
      <c r="E580" s="107" t="s">
        <v>145</v>
      </c>
      <c r="F580" s="211">
        <v>45496.0</v>
      </c>
      <c r="G580" s="226">
        <v>0.08333333333333333</v>
      </c>
      <c r="H580" s="107" t="s">
        <v>356</v>
      </c>
      <c r="I580" s="227" t="s">
        <v>356</v>
      </c>
      <c r="J580" s="227"/>
      <c r="K580" s="115" t="s">
        <v>590</v>
      </c>
      <c r="L580" s="228"/>
      <c r="M580" s="107" t="s">
        <v>587</v>
      </c>
      <c r="N580" s="229">
        <f>IF(AND(O580=TRUE,P580=TRUE), VLOOKUP($E580,PESSOAL!$B$35:$S$45,MONTH($F580)+6,FALSE)*G580*24,0)</f>
        <v>0</v>
      </c>
      <c r="O580" s="89" t="b">
        <f t="shared" si="1"/>
        <v>1</v>
      </c>
      <c r="P580" s="89" t="b">
        <v>0</v>
      </c>
      <c r="Q580" s="89" t="s">
        <v>212</v>
      </c>
    </row>
    <row r="581" hidden="1">
      <c r="A581" s="108"/>
      <c r="B581" s="202"/>
      <c r="C581" s="202" t="str">
        <f>VLOOKUP(M581,'#verificação horas por projeto'!A:B,2,FALSE)</f>
        <v>INOV00048</v>
      </c>
      <c r="D581" s="202" t="s">
        <v>34</v>
      </c>
      <c r="E581" s="107" t="s">
        <v>145</v>
      </c>
      <c r="F581" s="211">
        <v>45497.0</v>
      </c>
      <c r="G581" s="226">
        <v>0.041666666666666664</v>
      </c>
      <c r="H581" s="107" t="s">
        <v>356</v>
      </c>
      <c r="I581" s="227" t="s">
        <v>356</v>
      </c>
      <c r="J581" s="227"/>
      <c r="K581" s="115" t="s">
        <v>590</v>
      </c>
      <c r="L581" s="228"/>
      <c r="M581" s="107" t="s">
        <v>587</v>
      </c>
      <c r="N581" s="229">
        <f>IF(AND(O581=TRUE,P581=TRUE), VLOOKUP($E581,PESSOAL!$B$35:$S$45,MONTH($F581)+6,FALSE)*G581*24,0)</f>
        <v>0</v>
      </c>
      <c r="O581" s="89" t="b">
        <f t="shared" si="1"/>
        <v>1</v>
      </c>
      <c r="P581" s="89" t="b">
        <v>0</v>
      </c>
      <c r="Q581" s="89" t="s">
        <v>212</v>
      </c>
    </row>
    <row r="582" hidden="1">
      <c r="A582" s="108"/>
      <c r="B582" s="202"/>
      <c r="C582" s="202" t="str">
        <f>VLOOKUP(M582,'#verificação horas por projeto'!A:B,2,FALSE)</f>
        <v>INOV00048</v>
      </c>
      <c r="D582" s="202" t="s">
        <v>34</v>
      </c>
      <c r="E582" s="107" t="s">
        <v>145</v>
      </c>
      <c r="F582" s="211">
        <v>45497.0</v>
      </c>
      <c r="G582" s="226">
        <v>0.08333333333333333</v>
      </c>
      <c r="H582" s="107" t="s">
        <v>356</v>
      </c>
      <c r="I582" s="227" t="s">
        <v>356</v>
      </c>
      <c r="J582" s="227"/>
      <c r="K582" s="115" t="s">
        <v>590</v>
      </c>
      <c r="L582" s="228"/>
      <c r="M582" s="107" t="s">
        <v>587</v>
      </c>
      <c r="N582" s="229">
        <f>IF(AND(O582=TRUE,P582=TRUE), VLOOKUP($E582,PESSOAL!$B$35:$S$45,MONTH($F582)+6,FALSE)*G582*24,0)</f>
        <v>0</v>
      </c>
      <c r="O582" s="89" t="b">
        <f t="shared" si="1"/>
        <v>1</v>
      </c>
      <c r="P582" s="89" t="b">
        <v>0</v>
      </c>
      <c r="Q582" s="89" t="s">
        <v>212</v>
      </c>
    </row>
    <row r="583" hidden="1">
      <c r="A583" s="108"/>
      <c r="B583" s="202"/>
      <c r="C583" s="202" t="str">
        <f>VLOOKUP(M583,'#verificação horas por projeto'!A:B,2,FALSE)</f>
        <v>INOV00024</v>
      </c>
      <c r="D583" s="202" t="s">
        <v>14</v>
      </c>
      <c r="E583" s="107" t="s">
        <v>145</v>
      </c>
      <c r="F583" s="211">
        <v>45498.0</v>
      </c>
      <c r="G583" s="226">
        <v>0.041666666666666664</v>
      </c>
      <c r="H583" s="107" t="s">
        <v>354</v>
      </c>
      <c r="I583" s="227" t="s">
        <v>354</v>
      </c>
      <c r="J583" s="227"/>
      <c r="K583" s="115" t="s">
        <v>659</v>
      </c>
      <c r="L583" s="228"/>
      <c r="M583" s="107" t="s">
        <v>428</v>
      </c>
      <c r="N583" s="229">
        <f>IF(AND(O583=TRUE,P583=TRUE), VLOOKUP($E583,PESSOAL!$B$35:$S$45,MONTH($F583)+6,FALSE)*G583*24,0)</f>
        <v>38.16974846</v>
      </c>
      <c r="O583" s="89" t="b">
        <f t="shared" si="1"/>
        <v>1</v>
      </c>
      <c r="P583" s="89" t="b">
        <v>1</v>
      </c>
      <c r="Q583" s="89" t="s">
        <v>212</v>
      </c>
    </row>
    <row r="584" hidden="1">
      <c r="A584" s="108"/>
      <c r="B584" s="202"/>
      <c r="C584" s="202" t="str">
        <f>VLOOKUP(M584,'#verificação horas por projeto'!A:B,2,FALSE)</f>
        <v>INOV00049</v>
      </c>
      <c r="D584" s="202" t="s">
        <v>35</v>
      </c>
      <c r="E584" s="107" t="s">
        <v>145</v>
      </c>
      <c r="F584" s="211">
        <v>45499.0</v>
      </c>
      <c r="G584" s="226">
        <v>0.041666666666666664</v>
      </c>
      <c r="H584" s="107" t="s">
        <v>354</v>
      </c>
      <c r="I584" s="227" t="s">
        <v>354</v>
      </c>
      <c r="J584" s="227"/>
      <c r="K584" s="115" t="s">
        <v>659</v>
      </c>
      <c r="L584" s="228"/>
      <c r="M584" s="107" t="s">
        <v>596</v>
      </c>
      <c r="N584" s="229">
        <f>IF(AND(O584=TRUE,P584=TRUE), VLOOKUP($E584,PESSOAL!$B$35:$S$45,MONTH($F584)+6,FALSE)*G584*24,0)</f>
        <v>0</v>
      </c>
      <c r="O584" s="89" t="b">
        <f t="shared" si="1"/>
        <v>1</v>
      </c>
      <c r="P584" s="89" t="b">
        <v>0</v>
      </c>
      <c r="Q584" s="89" t="s">
        <v>212</v>
      </c>
    </row>
    <row r="585" hidden="1">
      <c r="A585" s="108"/>
      <c r="B585" s="202"/>
      <c r="C585" s="202" t="str">
        <f>VLOOKUP(M585,'#verificação horas por projeto'!A:B,2,FALSE)</f>
        <v>INOV00048</v>
      </c>
      <c r="D585" s="202" t="s">
        <v>34</v>
      </c>
      <c r="E585" s="107" t="s">
        <v>145</v>
      </c>
      <c r="F585" s="211">
        <v>45502.0</v>
      </c>
      <c r="G585" s="226">
        <v>0.08333333333333333</v>
      </c>
      <c r="H585" s="107" t="s">
        <v>356</v>
      </c>
      <c r="I585" s="227" t="s">
        <v>356</v>
      </c>
      <c r="J585" s="227"/>
      <c r="K585" s="115" t="s">
        <v>590</v>
      </c>
      <c r="L585" s="228"/>
      <c r="M585" s="107" t="s">
        <v>587</v>
      </c>
      <c r="N585" s="229">
        <f>IF(AND(O585=TRUE,P585=TRUE), VLOOKUP($E585,PESSOAL!$B$35:$S$45,MONTH($F585)+6,FALSE)*G585*24,0)</f>
        <v>0</v>
      </c>
      <c r="O585" s="89" t="b">
        <f t="shared" si="1"/>
        <v>1</v>
      </c>
      <c r="P585" s="89" t="b">
        <v>0</v>
      </c>
      <c r="Q585" s="89" t="s">
        <v>212</v>
      </c>
    </row>
    <row r="586" hidden="1">
      <c r="A586" s="108"/>
      <c r="B586" s="202"/>
      <c r="C586" s="202" t="str">
        <f>VLOOKUP(M586,'#verificação horas por projeto'!A:B,2,FALSE)</f>
        <v>INOV00048</v>
      </c>
      <c r="D586" s="202" t="s">
        <v>34</v>
      </c>
      <c r="E586" s="107" t="s">
        <v>145</v>
      </c>
      <c r="F586" s="211">
        <v>45503.0</v>
      </c>
      <c r="G586" s="226">
        <v>0.125</v>
      </c>
      <c r="H586" s="107" t="s">
        <v>356</v>
      </c>
      <c r="I586" s="227" t="s">
        <v>356</v>
      </c>
      <c r="J586" s="227"/>
      <c r="K586" s="115" t="s">
        <v>590</v>
      </c>
      <c r="L586" s="228"/>
      <c r="M586" s="107" t="s">
        <v>587</v>
      </c>
      <c r="N586" s="229">
        <f>IF(AND(O586=TRUE,P586=TRUE), VLOOKUP($E586,PESSOAL!$B$35:$S$45,MONTH($F586)+6,FALSE)*G586*24,0)</f>
        <v>0</v>
      </c>
      <c r="O586" s="89" t="b">
        <f t="shared" si="1"/>
        <v>1</v>
      </c>
      <c r="P586" s="89" t="b">
        <v>0</v>
      </c>
      <c r="Q586" s="89" t="s">
        <v>212</v>
      </c>
    </row>
    <row r="587" hidden="1">
      <c r="A587" s="108"/>
      <c r="B587" s="202"/>
      <c r="C587" s="202" t="str">
        <f>VLOOKUP(M587,'#verificação horas por projeto'!A:B,2,FALSE)</f>
        <v>INOV00001</v>
      </c>
      <c r="D587" s="202" t="s">
        <v>3</v>
      </c>
      <c r="E587" s="107" t="s">
        <v>145</v>
      </c>
      <c r="F587" s="211">
        <v>45503.0</v>
      </c>
      <c r="G587" s="226">
        <v>0.08333333333333333</v>
      </c>
      <c r="H587" s="107" t="s">
        <v>354</v>
      </c>
      <c r="I587" s="227" t="s">
        <v>354</v>
      </c>
      <c r="J587" s="227"/>
      <c r="K587" s="115" t="s">
        <v>661</v>
      </c>
      <c r="L587" s="228"/>
      <c r="M587" s="107" t="s">
        <v>386</v>
      </c>
      <c r="N587" s="229">
        <f>IF(AND(O587=TRUE,P587=TRUE), VLOOKUP($E587,PESSOAL!$B$35:$S$45,MONTH($F587)+6,FALSE)*G587*24,0)</f>
        <v>76.33949692</v>
      </c>
      <c r="O587" s="89" t="b">
        <f t="shared" si="1"/>
        <v>1</v>
      </c>
      <c r="P587" s="89" t="b">
        <v>1</v>
      </c>
      <c r="Q587" s="89" t="s">
        <v>212</v>
      </c>
    </row>
    <row r="588" hidden="1">
      <c r="A588" s="108"/>
      <c r="B588" s="202"/>
      <c r="C588" s="202" t="str">
        <f>VLOOKUP(M588,'#verificação horas por projeto'!A:B,2,FALSE)</f>
        <v>INOV00024</v>
      </c>
      <c r="D588" s="202" t="s">
        <v>14</v>
      </c>
      <c r="E588" s="107" t="s">
        <v>145</v>
      </c>
      <c r="F588" s="211">
        <v>45503.0</v>
      </c>
      <c r="G588" s="226">
        <v>0.020833333333333332</v>
      </c>
      <c r="H588" s="107" t="s">
        <v>354</v>
      </c>
      <c r="I588" s="227" t="s">
        <v>354</v>
      </c>
      <c r="J588" s="227"/>
      <c r="K588" s="115" t="s">
        <v>659</v>
      </c>
      <c r="L588" s="228"/>
      <c r="M588" s="107" t="s">
        <v>428</v>
      </c>
      <c r="N588" s="229">
        <f>IF(AND(O588=TRUE,P588=TRUE), VLOOKUP($E588,PESSOAL!$B$35:$S$45,MONTH($F588)+6,FALSE)*G588*24,0)</f>
        <v>19.08487423</v>
      </c>
      <c r="O588" s="89" t="b">
        <f t="shared" si="1"/>
        <v>1</v>
      </c>
      <c r="P588" s="89" t="b">
        <v>1</v>
      </c>
      <c r="Q588" s="89" t="s">
        <v>212</v>
      </c>
    </row>
    <row r="589" hidden="1">
      <c r="A589" s="108"/>
      <c r="B589" s="202"/>
      <c r="C589" s="202" t="str">
        <f>VLOOKUP(M589,'#verificação horas por projeto'!A:B,2,FALSE)</f>
        <v>#N/A</v>
      </c>
      <c r="D589" s="202" t="s">
        <v>37</v>
      </c>
      <c r="E589" s="107" t="s">
        <v>145</v>
      </c>
      <c r="F589" s="211">
        <v>45504.0</v>
      </c>
      <c r="G589" s="226">
        <v>0.041666666666666664</v>
      </c>
      <c r="H589" s="107" t="s">
        <v>354</v>
      </c>
      <c r="I589" s="227" t="s">
        <v>354</v>
      </c>
      <c r="J589" s="227"/>
      <c r="K589" s="115" t="s">
        <v>659</v>
      </c>
      <c r="L589" s="228"/>
      <c r="M589" s="107" t="s">
        <v>515</v>
      </c>
      <c r="N589" s="229">
        <f>IF(AND(O589=TRUE,P589=TRUE), VLOOKUP($E589,PESSOAL!$B$35:$S$45,MONTH($F589)+6,FALSE)*G589*24,0)</f>
        <v>0</v>
      </c>
      <c r="O589" s="89" t="b">
        <f t="shared" si="1"/>
        <v>1</v>
      </c>
      <c r="P589" s="89" t="b">
        <v>0</v>
      </c>
      <c r="Q589" s="89" t="s">
        <v>212</v>
      </c>
    </row>
    <row r="590" hidden="1">
      <c r="A590" s="108"/>
      <c r="B590" s="202"/>
      <c r="C590" s="202" t="str">
        <f>VLOOKUP(M590,'#verificação horas por projeto'!A:B,2,FALSE)</f>
        <v>INOV00048</v>
      </c>
      <c r="D590" s="202" t="s">
        <v>34</v>
      </c>
      <c r="E590" s="107" t="s">
        <v>145</v>
      </c>
      <c r="F590" s="211">
        <v>45505.0</v>
      </c>
      <c r="G590" s="226">
        <v>0.14583333333333334</v>
      </c>
      <c r="H590" s="107" t="s">
        <v>356</v>
      </c>
      <c r="I590" s="227" t="s">
        <v>356</v>
      </c>
      <c r="J590" s="227"/>
      <c r="K590" s="115" t="s">
        <v>662</v>
      </c>
      <c r="L590" s="228"/>
      <c r="M590" s="107" t="s">
        <v>587</v>
      </c>
      <c r="N590" s="229">
        <f>IF(AND(O590=TRUE,P590=TRUE), VLOOKUP($E590,PESSOAL!$B$35:$S$45,MONTH($F590)+6,FALSE)*G590*24,0)</f>
        <v>0</v>
      </c>
      <c r="O590" s="89" t="b">
        <f t="shared" si="1"/>
        <v>1</v>
      </c>
      <c r="P590" s="89" t="b">
        <v>0</v>
      </c>
      <c r="Q590" s="89" t="s">
        <v>212</v>
      </c>
    </row>
    <row r="591" hidden="1">
      <c r="A591" s="108"/>
      <c r="B591" s="202"/>
      <c r="C591" s="202" t="str">
        <f>VLOOKUP(M591,'#verificação horas por projeto'!A:B,2,FALSE)</f>
        <v>INOV00024</v>
      </c>
      <c r="D591" s="202" t="s">
        <v>14</v>
      </c>
      <c r="E591" s="107" t="s">
        <v>145</v>
      </c>
      <c r="F591" s="211">
        <v>45509.0</v>
      </c>
      <c r="G591" s="226">
        <v>0.041666666666666664</v>
      </c>
      <c r="H591" s="107" t="s">
        <v>354</v>
      </c>
      <c r="I591" s="227" t="s">
        <v>354</v>
      </c>
      <c r="J591" s="227"/>
      <c r="K591" s="115" t="s">
        <v>659</v>
      </c>
      <c r="L591" s="228"/>
      <c r="M591" s="107" t="s">
        <v>428</v>
      </c>
      <c r="N591" s="229">
        <f>IF(AND(O591=TRUE,P591=TRUE), VLOOKUP($E591,PESSOAL!$B$35:$S$45,MONTH($F591)+6,FALSE)*G591*24,0)</f>
        <v>45.75485852</v>
      </c>
      <c r="O591" s="89" t="b">
        <f t="shared" si="1"/>
        <v>1</v>
      </c>
      <c r="P591" s="89" t="b">
        <v>1</v>
      </c>
      <c r="Q591" s="89" t="s">
        <v>212</v>
      </c>
    </row>
    <row r="592" hidden="1">
      <c r="A592" s="108"/>
      <c r="B592" s="202"/>
      <c r="C592" s="202" t="str">
        <f>VLOOKUP(M592,'#verificação horas por projeto'!A:B,2,FALSE)</f>
        <v>INOV00048</v>
      </c>
      <c r="D592" s="202" t="s">
        <v>34</v>
      </c>
      <c r="E592" s="107" t="s">
        <v>145</v>
      </c>
      <c r="F592" s="211">
        <v>45511.0</v>
      </c>
      <c r="G592" s="226">
        <v>0.0625</v>
      </c>
      <c r="H592" s="107" t="s">
        <v>356</v>
      </c>
      <c r="I592" s="227" t="s">
        <v>356</v>
      </c>
      <c r="J592" s="227"/>
      <c r="K592" s="115" t="s">
        <v>663</v>
      </c>
      <c r="L592" s="228"/>
      <c r="M592" s="107" t="s">
        <v>587</v>
      </c>
      <c r="N592" s="229">
        <f>IF(AND(O592=TRUE,P592=TRUE), VLOOKUP($E592,PESSOAL!$B$35:$S$45,MONTH($F592)+6,FALSE)*G592*24,0)</f>
        <v>0</v>
      </c>
      <c r="O592" s="89" t="b">
        <f t="shared" si="1"/>
        <v>1</v>
      </c>
      <c r="P592" s="89" t="b">
        <v>0</v>
      </c>
      <c r="Q592" s="89" t="s">
        <v>212</v>
      </c>
    </row>
    <row r="593" hidden="1">
      <c r="A593" s="108"/>
      <c r="B593" s="202"/>
      <c r="C593" s="202" t="str">
        <f>VLOOKUP(M593,'#verificação horas por projeto'!A:B,2,FALSE)</f>
        <v>#N/A</v>
      </c>
      <c r="D593" s="202" t="s">
        <v>37</v>
      </c>
      <c r="E593" s="107" t="s">
        <v>145</v>
      </c>
      <c r="F593" s="211">
        <v>45511.0</v>
      </c>
      <c r="G593" s="226">
        <v>0.041666666666666664</v>
      </c>
      <c r="H593" s="107" t="s">
        <v>354</v>
      </c>
      <c r="I593" s="227" t="s">
        <v>354</v>
      </c>
      <c r="J593" s="227"/>
      <c r="K593" s="115" t="s">
        <v>664</v>
      </c>
      <c r="L593" s="228"/>
      <c r="M593" s="107" t="s">
        <v>515</v>
      </c>
      <c r="N593" s="229">
        <f>IF(AND(O593=TRUE,P593=TRUE), VLOOKUP($E593,PESSOAL!$B$35:$S$45,MONTH($F593)+6,FALSE)*G593*24,0)</f>
        <v>0</v>
      </c>
      <c r="O593" s="89" t="b">
        <f t="shared" si="1"/>
        <v>1</v>
      </c>
      <c r="P593" s="89" t="b">
        <v>0</v>
      </c>
      <c r="Q593" s="89" t="s">
        <v>212</v>
      </c>
    </row>
    <row r="594" hidden="1">
      <c r="A594" s="108"/>
      <c r="B594" s="202"/>
      <c r="C594" s="202" t="str">
        <f>VLOOKUP(M594,'#verificação horas por projeto'!A:B,2,FALSE)</f>
        <v>INOV00001</v>
      </c>
      <c r="D594" s="202" t="s">
        <v>3</v>
      </c>
      <c r="E594" s="107" t="s">
        <v>145</v>
      </c>
      <c r="F594" s="211">
        <v>45512.0</v>
      </c>
      <c r="G594" s="226">
        <v>0.041666666666666664</v>
      </c>
      <c r="H594" s="107" t="s">
        <v>354</v>
      </c>
      <c r="I594" s="227" t="s">
        <v>354</v>
      </c>
      <c r="J594" s="227"/>
      <c r="K594" s="115" t="s">
        <v>665</v>
      </c>
      <c r="L594" s="228"/>
      <c r="M594" s="107" t="s">
        <v>386</v>
      </c>
      <c r="N594" s="229">
        <f>IF(AND(O594=TRUE,P594=TRUE), VLOOKUP($E594,PESSOAL!$B$35:$S$45,MONTH($F594)+6,FALSE)*G594*24,0)</f>
        <v>45.75485852</v>
      </c>
      <c r="O594" s="89" t="b">
        <f t="shared" si="1"/>
        <v>1</v>
      </c>
      <c r="P594" s="89" t="b">
        <v>1</v>
      </c>
      <c r="Q594" s="89" t="s">
        <v>212</v>
      </c>
    </row>
    <row r="595" hidden="1">
      <c r="A595" s="108"/>
      <c r="B595" s="202"/>
      <c r="C595" s="202" t="str">
        <f>VLOOKUP(M595,'#verificação horas por projeto'!A:B,2,FALSE)</f>
        <v>INOV00048</v>
      </c>
      <c r="D595" s="202" t="s">
        <v>34</v>
      </c>
      <c r="E595" s="107" t="s">
        <v>145</v>
      </c>
      <c r="F595" s="211">
        <v>45512.0</v>
      </c>
      <c r="G595" s="226">
        <v>0.125</v>
      </c>
      <c r="H595" s="107" t="s">
        <v>356</v>
      </c>
      <c r="I595" s="227" t="s">
        <v>356</v>
      </c>
      <c r="J595" s="227"/>
      <c r="K595" s="115" t="s">
        <v>666</v>
      </c>
      <c r="L595" s="228" t="s">
        <v>667</v>
      </c>
      <c r="M595" s="107" t="s">
        <v>587</v>
      </c>
      <c r="N595" s="229">
        <f>IF(AND(O595=TRUE,P595=TRUE), VLOOKUP($E595,PESSOAL!$B$35:$S$45,MONTH($F595)+6,FALSE)*G595*24,0)</f>
        <v>0</v>
      </c>
      <c r="O595" s="89" t="b">
        <f t="shared" si="1"/>
        <v>1</v>
      </c>
      <c r="P595" s="89" t="b">
        <v>0</v>
      </c>
      <c r="Q595" s="89" t="s">
        <v>212</v>
      </c>
    </row>
    <row r="596" hidden="1">
      <c r="A596" s="108"/>
      <c r="B596" s="202"/>
      <c r="C596" s="202" t="str">
        <f>VLOOKUP(M596,'#verificação horas por projeto'!A:B,2,FALSE)</f>
        <v>INOV00024</v>
      </c>
      <c r="D596" s="202" t="s">
        <v>14</v>
      </c>
      <c r="E596" s="107" t="s">
        <v>145</v>
      </c>
      <c r="F596" s="211">
        <v>45513.0</v>
      </c>
      <c r="G596" s="226">
        <v>0.041666666666666664</v>
      </c>
      <c r="H596" s="107" t="s">
        <v>354</v>
      </c>
      <c r="I596" s="227" t="s">
        <v>354</v>
      </c>
      <c r="J596" s="227"/>
      <c r="K596" s="115" t="s">
        <v>668</v>
      </c>
      <c r="L596" s="228"/>
      <c r="M596" s="107" t="s">
        <v>428</v>
      </c>
      <c r="N596" s="229">
        <f>IF(AND(O596=TRUE,P596=TRUE), VLOOKUP($E596,PESSOAL!$B$35:$S$45,MONTH($F596)+6,FALSE)*G596*24,0)</f>
        <v>45.75485852</v>
      </c>
      <c r="O596" s="89" t="b">
        <f t="shared" si="1"/>
        <v>1</v>
      </c>
      <c r="P596" s="89" t="b">
        <v>1</v>
      </c>
      <c r="Q596" s="89" t="s">
        <v>212</v>
      </c>
    </row>
    <row r="597" hidden="1">
      <c r="A597" s="108"/>
      <c r="B597" s="202"/>
      <c r="C597" s="202" t="str">
        <f>VLOOKUP(M597,'#verificação horas por projeto'!A:B,2,FALSE)</f>
        <v>INOV00024</v>
      </c>
      <c r="D597" s="202" t="s">
        <v>14</v>
      </c>
      <c r="E597" s="107" t="s">
        <v>145</v>
      </c>
      <c r="F597" s="211">
        <v>45513.0</v>
      </c>
      <c r="G597" s="226">
        <v>0.041666666666666664</v>
      </c>
      <c r="H597" s="107" t="s">
        <v>354</v>
      </c>
      <c r="I597" s="227" t="s">
        <v>354</v>
      </c>
      <c r="J597" s="227"/>
      <c r="K597" s="115" t="s">
        <v>659</v>
      </c>
      <c r="L597" s="228"/>
      <c r="M597" s="107" t="s">
        <v>428</v>
      </c>
      <c r="N597" s="229">
        <f>IF(AND(O597=TRUE,P597=TRUE), VLOOKUP($E597,PESSOAL!$B$35:$S$45,MONTH($F597)+6,FALSE)*G597*24,0)</f>
        <v>45.75485852</v>
      </c>
      <c r="O597" s="89" t="b">
        <f t="shared" si="1"/>
        <v>1</v>
      </c>
      <c r="P597" s="89" t="b">
        <v>1</v>
      </c>
      <c r="Q597" s="89" t="s">
        <v>212</v>
      </c>
    </row>
    <row r="598" hidden="1">
      <c r="A598" s="108"/>
      <c r="B598" s="202"/>
      <c r="C598" s="202" t="str">
        <f>VLOOKUP(M598,'#verificação horas por projeto'!A:B,2,FALSE)</f>
        <v>#N/A</v>
      </c>
      <c r="D598" s="202" t="s">
        <v>37</v>
      </c>
      <c r="E598" s="107" t="s">
        <v>145</v>
      </c>
      <c r="F598" s="211">
        <v>45513.0</v>
      </c>
      <c r="G598" s="226">
        <v>0.041666666666666664</v>
      </c>
      <c r="H598" s="107" t="s">
        <v>354</v>
      </c>
      <c r="I598" s="227" t="s">
        <v>354</v>
      </c>
      <c r="J598" s="227"/>
      <c r="K598" s="115" t="s">
        <v>659</v>
      </c>
      <c r="L598" s="228"/>
      <c r="M598" s="107" t="s">
        <v>515</v>
      </c>
      <c r="N598" s="229">
        <f>IF(AND(O598=TRUE,P598=TRUE), VLOOKUP($E598,PESSOAL!$B$35:$S$45,MONTH($F598)+6,FALSE)*G598*24,0)</f>
        <v>0</v>
      </c>
      <c r="O598" s="89" t="b">
        <f t="shared" si="1"/>
        <v>1</v>
      </c>
      <c r="P598" s="89" t="b">
        <v>0</v>
      </c>
      <c r="Q598" s="89" t="s">
        <v>212</v>
      </c>
    </row>
    <row r="599" hidden="1">
      <c r="A599" s="108"/>
      <c r="B599" s="202"/>
      <c r="C599" s="202" t="str">
        <f>VLOOKUP(M599,'#verificação horas por projeto'!A:B,2,FALSE)</f>
        <v>INOV00001</v>
      </c>
      <c r="D599" s="202" t="s">
        <v>3</v>
      </c>
      <c r="E599" s="107" t="s">
        <v>145</v>
      </c>
      <c r="F599" s="211">
        <v>45518.0</v>
      </c>
      <c r="G599" s="226">
        <v>0.041666666666666664</v>
      </c>
      <c r="H599" s="107" t="s">
        <v>354</v>
      </c>
      <c r="I599" s="227" t="s">
        <v>354</v>
      </c>
      <c r="J599" s="227"/>
      <c r="K599" s="115" t="s">
        <v>665</v>
      </c>
      <c r="L599" s="228"/>
      <c r="M599" s="107" t="s">
        <v>386</v>
      </c>
      <c r="N599" s="229">
        <f>IF(AND(O599=TRUE,P599=TRUE), VLOOKUP($E599,PESSOAL!$B$35:$S$45,MONTH($F599)+6,FALSE)*G599*24,0)</f>
        <v>45.75485852</v>
      </c>
      <c r="O599" s="89" t="b">
        <f t="shared" si="1"/>
        <v>1</v>
      </c>
      <c r="P599" s="89" t="b">
        <v>1</v>
      </c>
      <c r="Q599" s="89" t="s">
        <v>212</v>
      </c>
    </row>
    <row r="600" hidden="1">
      <c r="A600" s="108"/>
      <c r="B600" s="202"/>
      <c r="C600" s="202" t="str">
        <f>VLOOKUP(M600,'#verificação horas por projeto'!A:B,2,FALSE)</f>
        <v>#N/A</v>
      </c>
      <c r="D600" s="202" t="s">
        <v>36</v>
      </c>
      <c r="E600" s="107" t="s">
        <v>145</v>
      </c>
      <c r="F600" s="211">
        <v>45518.0</v>
      </c>
      <c r="G600" s="226">
        <v>0.08333333333333333</v>
      </c>
      <c r="H600" s="107" t="s">
        <v>354</v>
      </c>
      <c r="I600" s="227" t="s">
        <v>354</v>
      </c>
      <c r="J600" s="227"/>
      <c r="K600" s="115" t="s">
        <v>669</v>
      </c>
      <c r="L600" s="228"/>
      <c r="M600" s="107" t="s">
        <v>514</v>
      </c>
      <c r="N600" s="229">
        <f>IF(AND(O600=TRUE,P600=TRUE), VLOOKUP($E600,PESSOAL!$B$35:$S$45,MONTH($F600)+6,FALSE)*G600*24,0)</f>
        <v>0</v>
      </c>
      <c r="O600" s="89" t="b">
        <f t="shared" si="1"/>
        <v>1</v>
      </c>
      <c r="P600" s="89" t="b">
        <v>0</v>
      </c>
      <c r="Q600" s="89" t="s">
        <v>212</v>
      </c>
    </row>
    <row r="601" hidden="1">
      <c r="A601" s="108"/>
      <c r="B601" s="202"/>
      <c r="C601" s="202" t="str">
        <f>VLOOKUP(M601,'#verificação horas por projeto'!A:B,2,FALSE)</f>
        <v>INOV00048</v>
      </c>
      <c r="D601" s="202" t="s">
        <v>34</v>
      </c>
      <c r="E601" s="107" t="s">
        <v>145</v>
      </c>
      <c r="F601" s="211">
        <v>45523.0</v>
      </c>
      <c r="G601" s="226">
        <v>0.08333333333333333</v>
      </c>
      <c r="H601" s="107" t="s">
        <v>356</v>
      </c>
      <c r="I601" s="227" t="s">
        <v>356</v>
      </c>
      <c r="J601" s="227"/>
      <c r="K601" s="115" t="s">
        <v>666</v>
      </c>
      <c r="L601" s="228" t="s">
        <v>667</v>
      </c>
      <c r="M601" s="107" t="s">
        <v>587</v>
      </c>
      <c r="N601" s="229">
        <f>IF(AND(O601=TRUE,P601=TRUE), VLOOKUP($E601,PESSOAL!$B$35:$S$45,MONTH($F601)+6,FALSE)*G601*24,0)</f>
        <v>0</v>
      </c>
      <c r="O601" s="89" t="b">
        <f t="shared" si="1"/>
        <v>1</v>
      </c>
      <c r="P601" s="89" t="b">
        <v>0</v>
      </c>
      <c r="Q601" s="89" t="s">
        <v>212</v>
      </c>
    </row>
    <row r="602" hidden="1">
      <c r="A602" s="108"/>
      <c r="B602" s="202"/>
      <c r="C602" s="202" t="str">
        <f>VLOOKUP(M602,'#verificação horas por projeto'!A:B,2,FALSE)</f>
        <v>INOV00024</v>
      </c>
      <c r="D602" s="202" t="s">
        <v>14</v>
      </c>
      <c r="E602" s="107" t="s">
        <v>145</v>
      </c>
      <c r="F602" s="211">
        <v>45524.0</v>
      </c>
      <c r="G602" s="226">
        <v>0.041666666666666664</v>
      </c>
      <c r="H602" s="107" t="s">
        <v>354</v>
      </c>
      <c r="I602" s="227" t="s">
        <v>354</v>
      </c>
      <c r="J602" s="227"/>
      <c r="K602" s="115" t="s">
        <v>659</v>
      </c>
      <c r="L602" s="228"/>
      <c r="M602" s="107" t="s">
        <v>428</v>
      </c>
      <c r="N602" s="229">
        <f>IF(AND(O602=TRUE,P602=TRUE), VLOOKUP($E602,PESSOAL!$B$35:$S$45,MONTH($F602)+6,FALSE)*G602*24,0)</f>
        <v>45.75485852</v>
      </c>
      <c r="O602" s="89" t="b">
        <f t="shared" si="1"/>
        <v>1</v>
      </c>
      <c r="P602" s="89" t="b">
        <v>1</v>
      </c>
      <c r="Q602" s="89" t="s">
        <v>212</v>
      </c>
    </row>
    <row r="603" hidden="1">
      <c r="A603" s="108"/>
      <c r="B603" s="202"/>
      <c r="C603" s="202" t="str">
        <f>VLOOKUP(M603,'#verificação horas por projeto'!A:B,2,FALSE)</f>
        <v>#N/A</v>
      </c>
      <c r="D603" s="202" t="s">
        <v>37</v>
      </c>
      <c r="E603" s="107" t="s">
        <v>145</v>
      </c>
      <c r="F603" s="211">
        <v>45525.0</v>
      </c>
      <c r="G603" s="226">
        <v>0.041666666666666664</v>
      </c>
      <c r="H603" s="107" t="s">
        <v>354</v>
      </c>
      <c r="I603" s="227" t="s">
        <v>354</v>
      </c>
      <c r="J603" s="227"/>
      <c r="K603" s="115" t="s">
        <v>664</v>
      </c>
      <c r="L603" s="228"/>
      <c r="M603" s="107" t="s">
        <v>515</v>
      </c>
      <c r="N603" s="229">
        <f>IF(AND(O603=TRUE,P603=TRUE), VLOOKUP($E603,PESSOAL!$B$35:$S$45,MONTH($F603)+6,FALSE)*G603*24,0)</f>
        <v>0</v>
      </c>
      <c r="O603" s="89" t="b">
        <f t="shared" si="1"/>
        <v>1</v>
      </c>
      <c r="P603" s="89" t="b">
        <v>0</v>
      </c>
      <c r="Q603" s="89" t="s">
        <v>212</v>
      </c>
    </row>
    <row r="604" hidden="1">
      <c r="A604" s="108"/>
      <c r="B604" s="202"/>
      <c r="C604" s="202" t="str">
        <f>VLOOKUP(M604,'#verificação horas por projeto'!A:B,2,FALSE)</f>
        <v>INOV00047</v>
      </c>
      <c r="D604" s="202" t="s">
        <v>32</v>
      </c>
      <c r="E604" s="107" t="s">
        <v>145</v>
      </c>
      <c r="F604" s="211">
        <v>45526.0</v>
      </c>
      <c r="G604" s="226">
        <v>0.08333333333333333</v>
      </c>
      <c r="H604" s="107" t="s">
        <v>356</v>
      </c>
      <c r="I604" s="227" t="s">
        <v>356</v>
      </c>
      <c r="J604" s="227"/>
      <c r="K604" s="115" t="s">
        <v>670</v>
      </c>
      <c r="L604" s="228" t="s">
        <v>671</v>
      </c>
      <c r="M604" s="107" t="s">
        <v>584</v>
      </c>
      <c r="N604" s="229">
        <f>IF(AND(O604=TRUE,P604=TRUE), VLOOKUP($E604,PESSOAL!$B$35:$S$45,MONTH($F604)+6,FALSE)*G604*24,0)</f>
        <v>0</v>
      </c>
      <c r="O604" s="89" t="b">
        <f t="shared" si="1"/>
        <v>1</v>
      </c>
      <c r="P604" s="89" t="b">
        <v>0</v>
      </c>
      <c r="Q604" s="89" t="s">
        <v>212</v>
      </c>
    </row>
    <row r="605" hidden="1">
      <c r="A605" s="108"/>
      <c r="B605" s="202"/>
      <c r="C605" s="202" t="str">
        <f>VLOOKUP(M605,'#verificação horas por projeto'!A:B,2,FALSE)</f>
        <v>INOV00024</v>
      </c>
      <c r="D605" s="202" t="s">
        <v>14</v>
      </c>
      <c r="E605" s="107" t="s">
        <v>145</v>
      </c>
      <c r="F605" s="211">
        <v>45527.0</v>
      </c>
      <c r="G605" s="226">
        <v>0.041666666666666664</v>
      </c>
      <c r="H605" s="107" t="s">
        <v>354</v>
      </c>
      <c r="I605" s="227" t="s">
        <v>354</v>
      </c>
      <c r="J605" s="227"/>
      <c r="K605" s="115" t="s">
        <v>659</v>
      </c>
      <c r="L605" s="228"/>
      <c r="M605" s="107" t="s">
        <v>428</v>
      </c>
      <c r="N605" s="229">
        <f>IF(AND(O605=TRUE,P605=TRUE), VLOOKUP($E605,PESSOAL!$B$35:$S$45,MONTH($F605)+6,FALSE)*G605*24,0)</f>
        <v>45.75485852</v>
      </c>
      <c r="O605" s="89" t="b">
        <f t="shared" si="1"/>
        <v>1</v>
      </c>
      <c r="P605" s="89" t="b">
        <v>1</v>
      </c>
      <c r="Q605" s="89" t="s">
        <v>212</v>
      </c>
    </row>
    <row r="606" hidden="1">
      <c r="A606" s="108"/>
      <c r="B606" s="202"/>
      <c r="C606" s="202" t="str">
        <f>VLOOKUP(M606,'#verificação horas por projeto'!A:B,2,FALSE)</f>
        <v>INOV00047</v>
      </c>
      <c r="D606" s="202" t="s">
        <v>32</v>
      </c>
      <c r="E606" s="107" t="s">
        <v>145</v>
      </c>
      <c r="F606" s="211">
        <v>45530.0</v>
      </c>
      <c r="G606" s="226">
        <v>0.125</v>
      </c>
      <c r="H606" s="107" t="s">
        <v>356</v>
      </c>
      <c r="I606" s="227" t="s">
        <v>356</v>
      </c>
      <c r="J606" s="227"/>
      <c r="K606" s="115" t="s">
        <v>670</v>
      </c>
      <c r="L606" s="228" t="s">
        <v>671</v>
      </c>
      <c r="M606" s="107" t="s">
        <v>584</v>
      </c>
      <c r="N606" s="229">
        <f>IF(AND(O606=TRUE,P606=TRUE), VLOOKUP($E606,PESSOAL!$B$35:$S$45,MONTH($F606)+6,FALSE)*G606*24,0)</f>
        <v>0</v>
      </c>
      <c r="O606" s="89" t="b">
        <f t="shared" si="1"/>
        <v>1</v>
      </c>
      <c r="P606" s="89" t="b">
        <v>0</v>
      </c>
      <c r="Q606" s="89" t="s">
        <v>212</v>
      </c>
    </row>
    <row r="607" hidden="1">
      <c r="A607" s="108"/>
      <c r="B607" s="202"/>
      <c r="C607" s="202" t="str">
        <f>VLOOKUP(M607,'#verificação horas por projeto'!A:B,2,FALSE)</f>
        <v>#N/A</v>
      </c>
      <c r="D607" s="202" t="s">
        <v>37</v>
      </c>
      <c r="E607" s="107" t="s">
        <v>145</v>
      </c>
      <c r="F607" s="211">
        <v>45532.0</v>
      </c>
      <c r="G607" s="226">
        <v>0.027777777777777776</v>
      </c>
      <c r="H607" s="107" t="s">
        <v>354</v>
      </c>
      <c r="I607" s="227" t="s">
        <v>354</v>
      </c>
      <c r="J607" s="227"/>
      <c r="K607" s="115" t="s">
        <v>664</v>
      </c>
      <c r="L607" s="228"/>
      <c r="M607" s="107" t="s">
        <v>515</v>
      </c>
      <c r="N607" s="229">
        <f>IF(AND(O607=TRUE,P607=TRUE), VLOOKUP($E607,PESSOAL!$B$35:$S$45,MONTH($F607)+6,FALSE)*G607*24,0)</f>
        <v>0</v>
      </c>
      <c r="O607" s="89" t="b">
        <f t="shared" si="1"/>
        <v>1</v>
      </c>
      <c r="P607" s="89" t="b">
        <v>0</v>
      </c>
      <c r="Q607" s="89" t="s">
        <v>212</v>
      </c>
    </row>
    <row r="608" hidden="1">
      <c r="A608" s="108"/>
      <c r="B608" s="202"/>
      <c r="C608" s="202" t="str">
        <f>VLOOKUP(M608,'#verificação horas por projeto'!A:B,2,FALSE)</f>
        <v>INOV00024</v>
      </c>
      <c r="D608" s="202" t="s">
        <v>14</v>
      </c>
      <c r="E608" s="107" t="s">
        <v>145</v>
      </c>
      <c r="F608" s="211">
        <v>45533.0</v>
      </c>
      <c r="G608" s="226">
        <v>0.041666666666666664</v>
      </c>
      <c r="H608" s="107" t="s">
        <v>354</v>
      </c>
      <c r="I608" s="227" t="s">
        <v>354</v>
      </c>
      <c r="J608" s="227"/>
      <c r="K608" s="115" t="s">
        <v>659</v>
      </c>
      <c r="L608" s="228"/>
      <c r="M608" s="107" t="s">
        <v>428</v>
      </c>
      <c r="N608" s="229">
        <f>IF(AND(O608=TRUE,P608=TRUE), VLOOKUP($E608,PESSOAL!$B$35:$S$45,MONTH($F608)+6,FALSE)*G608*24,0)</f>
        <v>45.75485852</v>
      </c>
      <c r="O608" s="89" t="b">
        <f t="shared" si="1"/>
        <v>1</v>
      </c>
      <c r="P608" s="89" t="b">
        <v>1</v>
      </c>
      <c r="Q608" s="89" t="s">
        <v>212</v>
      </c>
    </row>
    <row r="609" hidden="1">
      <c r="A609" s="108"/>
      <c r="B609" s="202"/>
      <c r="C609" s="202" t="str">
        <f>VLOOKUP(M609,'#verificação horas por projeto'!A:B,2,FALSE)</f>
        <v>INOV00047</v>
      </c>
      <c r="D609" s="202" t="s">
        <v>32</v>
      </c>
      <c r="E609" s="107" t="s">
        <v>145</v>
      </c>
      <c r="F609" s="211">
        <v>45537.0</v>
      </c>
      <c r="G609" s="226">
        <v>0.20833333333333334</v>
      </c>
      <c r="H609" s="107" t="s">
        <v>356</v>
      </c>
      <c r="I609" s="227" t="s">
        <v>356</v>
      </c>
      <c r="J609" s="227"/>
      <c r="K609" s="115" t="s">
        <v>670</v>
      </c>
      <c r="L609" s="228" t="s">
        <v>671</v>
      </c>
      <c r="M609" s="107" t="s">
        <v>584</v>
      </c>
      <c r="N609" s="229">
        <f>IF(AND(O609=TRUE,P609=TRUE), VLOOKUP($E609,PESSOAL!$B$35:$S$45,MONTH($F609)+6,FALSE)*G609*24,0)</f>
        <v>0</v>
      </c>
      <c r="O609" s="89" t="b">
        <f t="shared" si="1"/>
        <v>1</v>
      </c>
      <c r="P609" s="89" t="b">
        <v>0</v>
      </c>
      <c r="Q609" s="89" t="s">
        <v>212</v>
      </c>
    </row>
    <row r="610" hidden="1">
      <c r="A610" s="108"/>
      <c r="B610" s="202"/>
      <c r="C610" s="202" t="str">
        <f>VLOOKUP(M610,'#verificação horas por projeto'!A:B,2,FALSE)</f>
        <v>INOV00048</v>
      </c>
      <c r="D610" s="202" t="s">
        <v>34</v>
      </c>
      <c r="E610" s="107" t="s">
        <v>145</v>
      </c>
      <c r="F610" s="211">
        <v>45538.0</v>
      </c>
      <c r="G610" s="226">
        <v>0.041666666666666664</v>
      </c>
      <c r="H610" s="107" t="s">
        <v>356</v>
      </c>
      <c r="I610" s="227" t="s">
        <v>356</v>
      </c>
      <c r="J610" s="227"/>
      <c r="K610" s="115" t="s">
        <v>672</v>
      </c>
      <c r="L610" s="228" t="s">
        <v>667</v>
      </c>
      <c r="M610" s="107" t="s">
        <v>587</v>
      </c>
      <c r="N610" s="229">
        <f>IF(AND(O610=TRUE,P610=TRUE), VLOOKUP($E610,PESSOAL!$B$35:$S$45,MONTH($F610)+6,FALSE)*G610*24,0)</f>
        <v>0</v>
      </c>
      <c r="O610" s="89" t="b">
        <f t="shared" si="1"/>
        <v>1</v>
      </c>
      <c r="P610" s="89" t="b">
        <v>0</v>
      </c>
      <c r="Q610" s="89" t="s">
        <v>212</v>
      </c>
    </row>
    <row r="611" hidden="1">
      <c r="A611" s="108"/>
      <c r="B611" s="202"/>
      <c r="C611" s="202" t="str">
        <f>VLOOKUP(M611,'#verificação horas por projeto'!A:B,2,FALSE)</f>
        <v>INOV00024</v>
      </c>
      <c r="D611" s="202" t="s">
        <v>14</v>
      </c>
      <c r="E611" s="107" t="s">
        <v>145</v>
      </c>
      <c r="F611" s="211">
        <v>45538.0</v>
      </c>
      <c r="G611" s="226">
        <v>0.041666666666666664</v>
      </c>
      <c r="H611" s="107" t="s">
        <v>354</v>
      </c>
      <c r="I611" s="227" t="s">
        <v>354</v>
      </c>
      <c r="J611" s="227"/>
      <c r="K611" s="115" t="s">
        <v>659</v>
      </c>
      <c r="L611" s="228"/>
      <c r="M611" s="107" t="s">
        <v>428</v>
      </c>
      <c r="N611" s="229">
        <f>IF(AND(O611=TRUE,P611=TRUE), VLOOKUP($E611,PESSOAL!$B$35:$S$45,MONTH($F611)+6,FALSE)*G611*24,0)</f>
        <v>47.93366131</v>
      </c>
      <c r="O611" s="89" t="b">
        <f t="shared" si="1"/>
        <v>1</v>
      </c>
      <c r="P611" s="89" t="b">
        <v>1</v>
      </c>
      <c r="Q611" s="89" t="s">
        <v>212</v>
      </c>
    </row>
    <row r="612" hidden="1">
      <c r="A612" s="108"/>
      <c r="B612" s="202"/>
      <c r="C612" s="202" t="str">
        <f>VLOOKUP(M612,'#verificação horas por projeto'!A:B,2,FALSE)</f>
        <v>#N/A</v>
      </c>
      <c r="D612" s="202" t="s">
        <v>37</v>
      </c>
      <c r="E612" s="107" t="s">
        <v>145</v>
      </c>
      <c r="F612" s="211">
        <v>45539.0</v>
      </c>
      <c r="G612" s="226">
        <v>0.041666666666666664</v>
      </c>
      <c r="H612" s="107" t="s">
        <v>354</v>
      </c>
      <c r="I612" s="227" t="s">
        <v>354</v>
      </c>
      <c r="J612" s="227"/>
      <c r="K612" s="115" t="s">
        <v>664</v>
      </c>
      <c r="L612" s="228"/>
      <c r="M612" s="107" t="s">
        <v>515</v>
      </c>
      <c r="N612" s="229">
        <f>IF(AND(O612=TRUE,P612=TRUE), VLOOKUP($E612,PESSOAL!$B$35:$S$45,MONTH($F612)+6,FALSE)*G612*24,0)</f>
        <v>0</v>
      </c>
      <c r="O612" s="89" t="b">
        <f t="shared" si="1"/>
        <v>1</v>
      </c>
      <c r="P612" s="89" t="b">
        <v>0</v>
      </c>
      <c r="Q612" s="89" t="s">
        <v>212</v>
      </c>
    </row>
    <row r="613" hidden="1">
      <c r="A613" s="108"/>
      <c r="B613" s="202"/>
      <c r="C613" s="202" t="str">
        <f>VLOOKUP(M613,'#verificação horas por projeto'!A:B,2,FALSE)</f>
        <v>#N/A</v>
      </c>
      <c r="D613" s="202" t="s">
        <v>36</v>
      </c>
      <c r="E613" s="107" t="s">
        <v>145</v>
      </c>
      <c r="F613" s="211">
        <v>45544.0</v>
      </c>
      <c r="G613" s="226">
        <v>0.125</v>
      </c>
      <c r="H613" s="107" t="s">
        <v>354</v>
      </c>
      <c r="I613" s="227" t="s">
        <v>354</v>
      </c>
      <c r="J613" s="227"/>
      <c r="K613" s="115" t="s">
        <v>673</v>
      </c>
      <c r="L613" s="228"/>
      <c r="M613" s="107" t="s">
        <v>514</v>
      </c>
      <c r="N613" s="229">
        <f>IF(AND(O613=TRUE,P613=TRUE), VLOOKUP($E613,PESSOAL!$B$35:$S$45,MONTH($F613)+6,FALSE)*G613*24,0)</f>
        <v>0</v>
      </c>
      <c r="O613" s="89" t="b">
        <f t="shared" si="1"/>
        <v>1</v>
      </c>
      <c r="P613" s="89" t="b">
        <v>0</v>
      </c>
      <c r="Q613" s="89" t="s">
        <v>212</v>
      </c>
    </row>
    <row r="614" hidden="1">
      <c r="A614" s="108"/>
      <c r="B614" s="202"/>
      <c r="C614" s="202" t="str">
        <f>VLOOKUP(M614,'#verificação horas por projeto'!A:B,2,FALSE)</f>
        <v>INOV00024</v>
      </c>
      <c r="D614" s="202" t="s">
        <v>14</v>
      </c>
      <c r="E614" s="107" t="s">
        <v>145</v>
      </c>
      <c r="F614" s="211">
        <v>45545.0</v>
      </c>
      <c r="G614" s="226">
        <v>0.125</v>
      </c>
      <c r="H614" s="107" t="s">
        <v>354</v>
      </c>
      <c r="I614" s="227" t="s">
        <v>354</v>
      </c>
      <c r="J614" s="227"/>
      <c r="K614" s="115" t="s">
        <v>674</v>
      </c>
      <c r="L614" s="228"/>
      <c r="M614" s="107" t="s">
        <v>428</v>
      </c>
      <c r="N614" s="229">
        <f>IF(AND(O614=TRUE,P614=TRUE), VLOOKUP($E614,PESSOAL!$B$35:$S$45,MONTH($F614)+6,FALSE)*G614*24,0)</f>
        <v>143.8009839</v>
      </c>
      <c r="O614" s="89" t="b">
        <f t="shared" si="1"/>
        <v>1</v>
      </c>
      <c r="P614" s="89" t="b">
        <v>1</v>
      </c>
      <c r="Q614" s="89" t="s">
        <v>212</v>
      </c>
    </row>
    <row r="615" hidden="1">
      <c r="A615" s="108"/>
      <c r="B615" s="202"/>
      <c r="C615" s="202" t="str">
        <f>VLOOKUP(M615,'#verificação horas por projeto'!A:B,2,FALSE)</f>
        <v>#N/A</v>
      </c>
      <c r="D615" s="202" t="s">
        <v>37</v>
      </c>
      <c r="E615" s="107" t="s">
        <v>145</v>
      </c>
      <c r="F615" s="211">
        <v>45546.0</v>
      </c>
      <c r="G615" s="226">
        <v>0.041666666666666664</v>
      </c>
      <c r="H615" s="107" t="s">
        <v>354</v>
      </c>
      <c r="I615" s="227" t="s">
        <v>354</v>
      </c>
      <c r="J615" s="227"/>
      <c r="K615" s="115" t="s">
        <v>664</v>
      </c>
      <c r="L615" s="228"/>
      <c r="M615" s="107" t="s">
        <v>515</v>
      </c>
      <c r="N615" s="229">
        <f>IF(AND(O615=TRUE,P615=TRUE), VLOOKUP($E615,PESSOAL!$B$35:$S$45,MONTH($F615)+6,FALSE)*G615*24,0)</f>
        <v>0</v>
      </c>
      <c r="O615" s="89" t="b">
        <f t="shared" si="1"/>
        <v>1</v>
      </c>
      <c r="P615" s="89" t="b">
        <v>0</v>
      </c>
      <c r="Q615" s="89" t="s">
        <v>212</v>
      </c>
    </row>
    <row r="616" hidden="1">
      <c r="A616" s="108"/>
      <c r="B616" s="202"/>
      <c r="C616" s="202" t="str">
        <f>VLOOKUP(M616,'#verificação horas por projeto'!A:B,2,FALSE)</f>
        <v>INOV00047</v>
      </c>
      <c r="D616" s="202" t="s">
        <v>32</v>
      </c>
      <c r="E616" s="107" t="s">
        <v>145</v>
      </c>
      <c r="F616" s="211">
        <v>45546.0</v>
      </c>
      <c r="G616" s="226">
        <v>0.125</v>
      </c>
      <c r="H616" s="107" t="s">
        <v>356</v>
      </c>
      <c r="I616" s="227" t="s">
        <v>356</v>
      </c>
      <c r="J616" s="227"/>
      <c r="K616" s="115" t="s">
        <v>670</v>
      </c>
      <c r="L616" s="228"/>
      <c r="M616" s="107" t="s">
        <v>584</v>
      </c>
      <c r="N616" s="229">
        <f>IF(AND(O616=TRUE,P616=TRUE), VLOOKUP($E616,PESSOAL!$B$35:$S$45,MONTH($F616)+6,FALSE)*G616*24,0)</f>
        <v>0</v>
      </c>
      <c r="O616" s="89" t="b">
        <f t="shared" si="1"/>
        <v>1</v>
      </c>
      <c r="P616" s="89" t="b">
        <v>0</v>
      </c>
      <c r="Q616" s="89" t="s">
        <v>212</v>
      </c>
    </row>
    <row r="617" hidden="1">
      <c r="A617" s="108"/>
      <c r="B617" s="202"/>
      <c r="C617" s="202" t="str">
        <f>VLOOKUP(M617,'#verificação horas por projeto'!A:B,2,FALSE)</f>
        <v>INOV00024</v>
      </c>
      <c r="D617" s="202" t="s">
        <v>14</v>
      </c>
      <c r="E617" s="107" t="s">
        <v>145</v>
      </c>
      <c r="F617" s="211">
        <v>45547.0</v>
      </c>
      <c r="G617" s="226">
        <v>0.125</v>
      </c>
      <c r="H617" s="107" t="s">
        <v>354</v>
      </c>
      <c r="I617" s="227" t="s">
        <v>354</v>
      </c>
      <c r="J617" s="227"/>
      <c r="K617" s="115" t="s">
        <v>674</v>
      </c>
      <c r="L617" s="228"/>
      <c r="M617" s="107" t="s">
        <v>428</v>
      </c>
      <c r="N617" s="229">
        <f>IF(AND(O617=TRUE,P617=TRUE), VLOOKUP($E617,PESSOAL!$B$35:$S$45,MONTH($F617)+6,FALSE)*G617*24,0)</f>
        <v>143.8009839</v>
      </c>
      <c r="O617" s="89" t="b">
        <f t="shared" si="1"/>
        <v>1</v>
      </c>
      <c r="P617" s="89" t="b">
        <v>1</v>
      </c>
      <c r="Q617" s="89" t="s">
        <v>212</v>
      </c>
    </row>
    <row r="618" hidden="1">
      <c r="A618" s="108"/>
      <c r="B618" s="202"/>
      <c r="C618" s="202" t="str">
        <f>VLOOKUP(M618,'#verificação horas por projeto'!A:B,2,FALSE)</f>
        <v>INOV00048</v>
      </c>
      <c r="D618" s="202" t="s">
        <v>34</v>
      </c>
      <c r="E618" s="107" t="s">
        <v>145</v>
      </c>
      <c r="F618" s="211">
        <v>45548.0</v>
      </c>
      <c r="G618" s="226">
        <v>0.08333333333333333</v>
      </c>
      <c r="H618" s="107" t="s">
        <v>354</v>
      </c>
      <c r="I618" s="227" t="s">
        <v>354</v>
      </c>
      <c r="J618" s="227"/>
      <c r="K618" s="115" t="s">
        <v>672</v>
      </c>
      <c r="L618" s="228" t="s">
        <v>667</v>
      </c>
      <c r="M618" s="107" t="s">
        <v>587</v>
      </c>
      <c r="N618" s="229">
        <f>IF(AND(O618=TRUE,P618=TRUE), VLOOKUP($E618,PESSOAL!$B$35:$S$45,MONTH($F618)+6,FALSE)*G618*24,0)</f>
        <v>0</v>
      </c>
      <c r="O618" s="89" t="b">
        <f t="shared" si="1"/>
        <v>1</v>
      </c>
      <c r="P618" s="89" t="b">
        <v>0</v>
      </c>
      <c r="Q618" s="89" t="s">
        <v>212</v>
      </c>
    </row>
    <row r="619" hidden="1">
      <c r="A619" s="108"/>
      <c r="B619" s="202"/>
      <c r="C619" s="202" t="str">
        <f>VLOOKUP(M619,'#verificação horas por projeto'!A:B,2,FALSE)</f>
        <v>INOV00024</v>
      </c>
      <c r="D619" s="202" t="s">
        <v>14</v>
      </c>
      <c r="E619" s="107" t="s">
        <v>145</v>
      </c>
      <c r="F619" s="211">
        <v>45551.0</v>
      </c>
      <c r="G619" s="226">
        <v>0.08333333333333333</v>
      </c>
      <c r="H619" s="107" t="s">
        <v>354</v>
      </c>
      <c r="I619" s="227" t="s">
        <v>354</v>
      </c>
      <c r="J619" s="227"/>
      <c r="K619" s="115" t="s">
        <v>674</v>
      </c>
      <c r="L619" s="228"/>
      <c r="M619" s="107" t="s">
        <v>428</v>
      </c>
      <c r="N619" s="229">
        <f>IF(AND(O619=TRUE,P619=TRUE), VLOOKUP($E619,PESSOAL!$B$35:$S$45,MONTH($F619)+6,FALSE)*G619*24,0)</f>
        <v>95.86732262</v>
      </c>
      <c r="O619" s="89" t="b">
        <f t="shared" si="1"/>
        <v>1</v>
      </c>
      <c r="P619" s="89" t="b">
        <v>1</v>
      </c>
      <c r="Q619" s="89" t="s">
        <v>212</v>
      </c>
    </row>
    <row r="620" hidden="1">
      <c r="A620" s="108"/>
      <c r="B620" s="202"/>
      <c r="C620" s="202" t="str">
        <f>VLOOKUP(M620,'#verificação horas por projeto'!A:B,2,FALSE)</f>
        <v>#N/A</v>
      </c>
      <c r="D620" s="202" t="s">
        <v>37</v>
      </c>
      <c r="E620" s="107" t="s">
        <v>145</v>
      </c>
      <c r="F620" s="211">
        <v>45553.0</v>
      </c>
      <c r="G620" s="226">
        <v>0.041666666666666664</v>
      </c>
      <c r="H620" s="107" t="s">
        <v>354</v>
      </c>
      <c r="I620" s="227" t="s">
        <v>354</v>
      </c>
      <c r="J620" s="227"/>
      <c r="K620" s="115" t="s">
        <v>664</v>
      </c>
      <c r="L620" s="228"/>
      <c r="M620" s="107" t="s">
        <v>515</v>
      </c>
      <c r="N620" s="229">
        <f>IF(AND(O620=TRUE,P620=TRUE), VLOOKUP($E620,PESSOAL!$B$35:$S$45,MONTH($F620)+6,FALSE)*G620*24,0)</f>
        <v>0</v>
      </c>
      <c r="O620" s="89" t="b">
        <f t="shared" si="1"/>
        <v>1</v>
      </c>
      <c r="P620" s="89" t="b">
        <v>0</v>
      </c>
      <c r="Q620" s="89" t="s">
        <v>212</v>
      </c>
    </row>
    <row r="621" hidden="1">
      <c r="A621" s="108"/>
      <c r="B621" s="202"/>
      <c r="C621" s="202" t="str">
        <f>VLOOKUP(M621,'#verificação horas por projeto'!A:B,2,FALSE)</f>
        <v>INOV00001</v>
      </c>
      <c r="D621" s="202" t="s">
        <v>3</v>
      </c>
      <c r="E621" s="107" t="s">
        <v>145</v>
      </c>
      <c r="F621" s="211">
        <v>45555.0</v>
      </c>
      <c r="G621" s="226">
        <v>0.08333333333333333</v>
      </c>
      <c r="H621" s="107" t="s">
        <v>354</v>
      </c>
      <c r="I621" s="227" t="s">
        <v>354</v>
      </c>
      <c r="J621" s="227"/>
      <c r="K621" s="115" t="s">
        <v>675</v>
      </c>
      <c r="L621" s="228"/>
      <c r="M621" s="107" t="s">
        <v>386</v>
      </c>
      <c r="N621" s="229">
        <f>IF(AND(O621=TRUE,P621=TRUE), VLOOKUP($E621,PESSOAL!$B$35:$S$45,MONTH($F621)+6,FALSE)*G621*24,0)</f>
        <v>95.86732262</v>
      </c>
      <c r="O621" s="89" t="b">
        <f t="shared" si="1"/>
        <v>1</v>
      </c>
      <c r="P621" s="89" t="b">
        <v>1</v>
      </c>
      <c r="Q621" s="89" t="s">
        <v>212</v>
      </c>
    </row>
    <row r="622" hidden="1">
      <c r="A622" s="108"/>
      <c r="B622" s="202"/>
      <c r="C622" s="202" t="str">
        <f>VLOOKUP(M622,'#verificação horas por projeto'!A:B,2,FALSE)</f>
        <v>INOV00042</v>
      </c>
      <c r="D622" s="202" t="s">
        <v>529</v>
      </c>
      <c r="E622" s="107" t="s">
        <v>145</v>
      </c>
      <c r="F622" s="211">
        <v>45555.0</v>
      </c>
      <c r="G622" s="226">
        <v>0.041666666666666664</v>
      </c>
      <c r="H622" s="107" t="s">
        <v>353</v>
      </c>
      <c r="I622" s="227" t="s">
        <v>353</v>
      </c>
      <c r="J622" s="227"/>
      <c r="K622" s="115" t="s">
        <v>676</v>
      </c>
      <c r="L622" s="228"/>
      <c r="M622" s="107" t="s">
        <v>531</v>
      </c>
      <c r="N622" s="229">
        <f>IF(AND(O622=TRUE,P622=TRUE), VLOOKUP($E622,PESSOAL!$B$35:$S$45,MONTH($F622)+6,FALSE)*G622*24,0)</f>
        <v>0</v>
      </c>
      <c r="O622" s="89" t="b">
        <f t="shared" si="1"/>
        <v>1</v>
      </c>
      <c r="P622" s="89" t="b">
        <v>0</v>
      </c>
      <c r="Q622" s="89" t="s">
        <v>212</v>
      </c>
    </row>
    <row r="623" hidden="1">
      <c r="A623" s="108"/>
      <c r="B623" s="202"/>
      <c r="C623" s="202" t="str">
        <f>VLOOKUP(M623,'#verificação horas por projeto'!A:B,2,FALSE)</f>
        <v>INOV00049</v>
      </c>
      <c r="D623" s="202" t="s">
        <v>35</v>
      </c>
      <c r="E623" s="107" t="s">
        <v>145</v>
      </c>
      <c r="F623" s="211">
        <v>45558.0</v>
      </c>
      <c r="G623" s="226">
        <v>0.041666666666666664</v>
      </c>
      <c r="H623" s="107" t="s">
        <v>354</v>
      </c>
      <c r="I623" s="227" t="s">
        <v>354</v>
      </c>
      <c r="J623" s="227"/>
      <c r="K623" s="115" t="s">
        <v>659</v>
      </c>
      <c r="L623" s="228"/>
      <c r="M623" s="107" t="s">
        <v>596</v>
      </c>
      <c r="N623" s="229">
        <f>IF(AND(O623=TRUE,P623=TRUE), VLOOKUP($E623,PESSOAL!$B$35:$S$45,MONTH($F623)+6,FALSE)*G623*24,0)</f>
        <v>0</v>
      </c>
      <c r="O623" s="89" t="b">
        <f t="shared" si="1"/>
        <v>1</v>
      </c>
      <c r="P623" s="89" t="b">
        <v>0</v>
      </c>
      <c r="Q623" s="89" t="s">
        <v>212</v>
      </c>
    </row>
    <row r="624" hidden="1">
      <c r="A624" s="108"/>
      <c r="B624" s="202"/>
      <c r="C624" s="202" t="str">
        <f>VLOOKUP(M624,'#verificação horas por projeto'!A:B,2,FALSE)</f>
        <v>INOV00001</v>
      </c>
      <c r="D624" s="202" t="s">
        <v>3</v>
      </c>
      <c r="E624" s="107" t="s">
        <v>145</v>
      </c>
      <c r="F624" s="211">
        <v>45559.0</v>
      </c>
      <c r="G624" s="226">
        <v>0.08333333333333333</v>
      </c>
      <c r="H624" s="107" t="s">
        <v>354</v>
      </c>
      <c r="I624" s="227" t="s">
        <v>354</v>
      </c>
      <c r="J624" s="227"/>
      <c r="K624" s="115" t="s">
        <v>677</v>
      </c>
      <c r="L624" s="228"/>
      <c r="M624" s="107" t="s">
        <v>386</v>
      </c>
      <c r="N624" s="229">
        <f>IF(AND(O624=TRUE,P624=TRUE), VLOOKUP($E624,PESSOAL!$B$35:$S$45,MONTH($F624)+6,FALSE)*G624*24,0)</f>
        <v>95.86732262</v>
      </c>
      <c r="O624" s="89" t="b">
        <f t="shared" si="1"/>
        <v>1</v>
      </c>
      <c r="P624" s="89" t="b">
        <v>1</v>
      </c>
      <c r="Q624" s="89" t="s">
        <v>212</v>
      </c>
    </row>
    <row r="625" hidden="1">
      <c r="A625" s="108"/>
      <c r="B625" s="202"/>
      <c r="C625" s="202" t="str">
        <f>VLOOKUP(M625,'#verificação horas por projeto'!A:B,2,FALSE)</f>
        <v>#N/A</v>
      </c>
      <c r="D625" s="202" t="s">
        <v>36</v>
      </c>
      <c r="E625" s="107" t="s">
        <v>145</v>
      </c>
      <c r="F625" s="211">
        <v>45560.0</v>
      </c>
      <c r="G625" s="226">
        <v>0.041666666666666664</v>
      </c>
      <c r="H625" s="107" t="s">
        <v>354</v>
      </c>
      <c r="I625" s="227" t="s">
        <v>354</v>
      </c>
      <c r="J625" s="227"/>
      <c r="K625" s="115" t="s">
        <v>678</v>
      </c>
      <c r="L625" s="228"/>
      <c r="M625" s="107" t="s">
        <v>514</v>
      </c>
      <c r="N625" s="229">
        <f>IF(AND(O625=TRUE,P625=TRUE), VLOOKUP($E625,PESSOAL!$B$35:$S$45,MONTH($F625)+6,FALSE)*G625*24,0)</f>
        <v>0</v>
      </c>
      <c r="O625" s="89" t="b">
        <f t="shared" si="1"/>
        <v>1</v>
      </c>
      <c r="P625" s="89" t="b">
        <v>0</v>
      </c>
      <c r="Q625" s="89" t="s">
        <v>212</v>
      </c>
    </row>
    <row r="626" hidden="1">
      <c r="A626" s="108"/>
      <c r="B626" s="202"/>
      <c r="C626" s="202" t="str">
        <f>VLOOKUP(M626,'#verificação horas por projeto'!A:B,2,FALSE)</f>
        <v>INOV00047</v>
      </c>
      <c r="D626" s="202" t="s">
        <v>32</v>
      </c>
      <c r="E626" s="107" t="s">
        <v>145</v>
      </c>
      <c r="F626" s="211">
        <v>45560.0</v>
      </c>
      <c r="G626" s="226">
        <v>0.125</v>
      </c>
      <c r="H626" s="107" t="s">
        <v>356</v>
      </c>
      <c r="I626" s="227" t="s">
        <v>356</v>
      </c>
      <c r="J626" s="227"/>
      <c r="K626" s="115" t="s">
        <v>670</v>
      </c>
      <c r="L626" s="228" t="s">
        <v>671</v>
      </c>
      <c r="M626" s="107" t="s">
        <v>584</v>
      </c>
      <c r="N626" s="229">
        <f>IF(AND(O626=TRUE,P626=TRUE), VLOOKUP($E626,PESSOAL!$B$35:$S$45,MONTH($F626)+6,FALSE)*G626*24,0)</f>
        <v>0</v>
      </c>
      <c r="O626" s="89" t="b">
        <f t="shared" si="1"/>
        <v>1</v>
      </c>
      <c r="P626" s="89" t="b">
        <v>0</v>
      </c>
      <c r="Q626" s="89" t="s">
        <v>212</v>
      </c>
    </row>
    <row r="627" hidden="1">
      <c r="A627" s="108"/>
      <c r="B627" s="202"/>
      <c r="C627" s="202" t="str">
        <f>VLOOKUP(M627,'#verificação horas por projeto'!A:B,2,FALSE)</f>
        <v>INOV00001</v>
      </c>
      <c r="D627" s="202" t="s">
        <v>3</v>
      </c>
      <c r="E627" s="107" t="s">
        <v>145</v>
      </c>
      <c r="F627" s="211">
        <v>45561.0</v>
      </c>
      <c r="G627" s="226">
        <v>0.08333333333333333</v>
      </c>
      <c r="H627" s="107" t="s">
        <v>354</v>
      </c>
      <c r="I627" s="227" t="s">
        <v>354</v>
      </c>
      <c r="J627" s="227"/>
      <c r="K627" s="115" t="s">
        <v>677</v>
      </c>
      <c r="L627" s="228"/>
      <c r="M627" s="107" t="s">
        <v>386</v>
      </c>
      <c r="N627" s="229">
        <f>IF(AND(O627=TRUE,P627=TRUE), VLOOKUP($E627,PESSOAL!$B$35:$S$45,MONTH($F627)+6,FALSE)*G627*24,0)</f>
        <v>95.86732262</v>
      </c>
      <c r="O627" s="89" t="b">
        <f t="shared" si="1"/>
        <v>1</v>
      </c>
      <c r="P627" s="89" t="b">
        <v>1</v>
      </c>
      <c r="Q627" s="89" t="s">
        <v>212</v>
      </c>
    </row>
    <row r="628" hidden="1">
      <c r="A628" s="108"/>
      <c r="B628" s="202"/>
      <c r="C628" s="202" t="str">
        <f>VLOOKUP(M628,'#verificação horas por projeto'!A:B,2,FALSE)</f>
        <v>INOV00001</v>
      </c>
      <c r="D628" s="202" t="s">
        <v>3</v>
      </c>
      <c r="E628" s="107" t="s">
        <v>145</v>
      </c>
      <c r="F628" s="211">
        <v>45565.0</v>
      </c>
      <c r="G628" s="226">
        <v>0.10416666666666667</v>
      </c>
      <c r="H628" s="107" t="s">
        <v>354</v>
      </c>
      <c r="I628" s="227" t="s">
        <v>354</v>
      </c>
      <c r="J628" s="227"/>
      <c r="K628" s="115" t="s">
        <v>677</v>
      </c>
      <c r="L628" s="228"/>
      <c r="M628" s="107" t="s">
        <v>386</v>
      </c>
      <c r="N628" s="229">
        <f>IF(AND(O628=TRUE,P628=TRUE), VLOOKUP($E628,PESSOAL!$B$35:$S$45,MONTH($F628)+6,FALSE)*G628*24,0)</f>
        <v>119.8341533</v>
      </c>
      <c r="O628" s="89" t="b">
        <f t="shared" si="1"/>
        <v>1</v>
      </c>
      <c r="P628" s="89" t="b">
        <v>1</v>
      </c>
      <c r="Q628" s="89" t="s">
        <v>212</v>
      </c>
    </row>
    <row r="629" hidden="1">
      <c r="A629" s="108"/>
      <c r="B629" s="202"/>
      <c r="C629" s="202" t="str">
        <f>VLOOKUP(M629,'#verificação horas por projeto'!A:B,2,FALSE)</f>
        <v>INOV00004</v>
      </c>
      <c r="D629" s="202" t="s">
        <v>4</v>
      </c>
      <c r="E629" s="107" t="s">
        <v>144</v>
      </c>
      <c r="F629" s="211">
        <v>45566.0</v>
      </c>
      <c r="G629" s="226">
        <v>0.10416666666666667</v>
      </c>
      <c r="H629" s="107" t="s">
        <v>354</v>
      </c>
      <c r="I629" s="227" t="s">
        <v>354</v>
      </c>
      <c r="J629" s="227"/>
      <c r="K629" s="115" t="s">
        <v>679</v>
      </c>
      <c r="L629" s="228"/>
      <c r="M629" s="107" t="s">
        <v>397</v>
      </c>
      <c r="N629" s="229">
        <f>IF(AND(O629=TRUE,P629=TRUE), VLOOKUP($E629,PESSOAL!$B$35:$S$45,MONTH($F629)+6,FALSE)*G629*24,0)</f>
        <v>114.3871463</v>
      </c>
      <c r="O629" s="89" t="b">
        <f t="shared" si="1"/>
        <v>1</v>
      </c>
      <c r="P629" s="89" t="b">
        <v>1</v>
      </c>
      <c r="Q629" s="89" t="s">
        <v>212</v>
      </c>
    </row>
    <row r="630" hidden="1">
      <c r="A630" s="108"/>
      <c r="B630" s="202"/>
      <c r="C630" s="202" t="str">
        <f>VLOOKUP(M630,'#verificação horas por projeto'!A:B,2,FALSE)</f>
        <v>INOV00004</v>
      </c>
      <c r="D630" s="202" t="s">
        <v>4</v>
      </c>
      <c r="E630" s="107" t="s">
        <v>144</v>
      </c>
      <c r="F630" s="211">
        <v>45566.0</v>
      </c>
      <c r="G630" s="226">
        <v>0.10138888888888889</v>
      </c>
      <c r="H630" s="107" t="s">
        <v>354</v>
      </c>
      <c r="I630" s="227" t="s">
        <v>354</v>
      </c>
      <c r="J630" s="227"/>
      <c r="K630" s="115" t="s">
        <v>679</v>
      </c>
      <c r="L630" s="228"/>
      <c r="M630" s="107" t="s">
        <v>397</v>
      </c>
      <c r="N630" s="229">
        <f>IF(AND(O630=TRUE,P630=TRUE), VLOOKUP($E630,PESSOAL!$B$35:$S$45,MONTH($F630)+6,FALSE)*G630*24,0)</f>
        <v>111.3368224</v>
      </c>
      <c r="O630" s="89" t="b">
        <f t="shared" si="1"/>
        <v>1</v>
      </c>
      <c r="P630" s="89" t="b">
        <v>1</v>
      </c>
      <c r="Q630" s="89" t="s">
        <v>212</v>
      </c>
    </row>
    <row r="631" hidden="1">
      <c r="A631" s="108"/>
      <c r="B631" s="202"/>
      <c r="C631" s="202" t="str">
        <f>VLOOKUP(M631,'#verificação horas por projeto'!A:B,2,FALSE)</f>
        <v>INOV00004</v>
      </c>
      <c r="D631" s="202" t="s">
        <v>4</v>
      </c>
      <c r="E631" s="107" t="s">
        <v>144</v>
      </c>
      <c r="F631" s="211">
        <v>45567.0</v>
      </c>
      <c r="G631" s="226">
        <v>0.125</v>
      </c>
      <c r="H631" s="107" t="s">
        <v>354</v>
      </c>
      <c r="I631" s="227" t="s">
        <v>354</v>
      </c>
      <c r="J631" s="227"/>
      <c r="K631" s="115" t="s">
        <v>679</v>
      </c>
      <c r="L631" s="228"/>
      <c r="M631" s="107" t="s">
        <v>397</v>
      </c>
      <c r="N631" s="229">
        <f>IF(AND(O631=TRUE,P631=TRUE), VLOOKUP($E631,PESSOAL!$B$35:$S$45,MONTH($F631)+6,FALSE)*G631*24,0)</f>
        <v>137.2645756</v>
      </c>
      <c r="O631" s="89" t="b">
        <f t="shared" si="1"/>
        <v>1</v>
      </c>
      <c r="P631" s="89" t="b">
        <v>1</v>
      </c>
      <c r="Q631" s="89" t="s">
        <v>212</v>
      </c>
    </row>
    <row r="632" hidden="1">
      <c r="A632" s="108"/>
      <c r="B632" s="202"/>
      <c r="C632" s="202" t="str">
        <f>VLOOKUP(M632,'#verificação horas por projeto'!A:B,2,FALSE)</f>
        <v>INOV00004</v>
      </c>
      <c r="D632" s="202" t="s">
        <v>4</v>
      </c>
      <c r="E632" s="107" t="s">
        <v>144</v>
      </c>
      <c r="F632" s="211">
        <v>45567.0</v>
      </c>
      <c r="G632" s="226">
        <v>0.10416666666666667</v>
      </c>
      <c r="H632" s="107" t="s">
        <v>354</v>
      </c>
      <c r="I632" s="227" t="s">
        <v>354</v>
      </c>
      <c r="J632" s="227"/>
      <c r="K632" s="115" t="s">
        <v>679</v>
      </c>
      <c r="L632" s="228"/>
      <c r="M632" s="107" t="s">
        <v>397</v>
      </c>
      <c r="N632" s="229">
        <f>IF(AND(O632=TRUE,P632=TRUE), VLOOKUP($E632,PESSOAL!$B$35:$S$45,MONTH($F632)+6,FALSE)*G632*24,0)</f>
        <v>114.3871463</v>
      </c>
      <c r="O632" s="89" t="b">
        <f t="shared" si="1"/>
        <v>1</v>
      </c>
      <c r="P632" s="89" t="b">
        <v>1</v>
      </c>
      <c r="Q632" s="89" t="s">
        <v>212</v>
      </c>
    </row>
    <row r="633" hidden="1">
      <c r="A633" s="108"/>
      <c r="B633" s="202"/>
      <c r="C633" s="202" t="str">
        <f>VLOOKUP(M633,'#verificação horas por projeto'!A:B,2,FALSE)</f>
        <v>INOV00001</v>
      </c>
      <c r="D633" s="202" t="s">
        <v>3</v>
      </c>
      <c r="E633" s="107" t="s">
        <v>144</v>
      </c>
      <c r="F633" s="211">
        <v>45568.0</v>
      </c>
      <c r="G633" s="226">
        <v>0.020833333333333332</v>
      </c>
      <c r="H633" s="107" t="s">
        <v>354</v>
      </c>
      <c r="I633" s="227" t="s">
        <v>354</v>
      </c>
      <c r="J633" s="227"/>
      <c r="K633" s="115" t="s">
        <v>608</v>
      </c>
      <c r="L633" s="228"/>
      <c r="M633" s="107" t="s">
        <v>386</v>
      </c>
      <c r="N633" s="229">
        <f>IF(AND(O633=TRUE,P633=TRUE), VLOOKUP($E633,PESSOAL!$B$35:$S$45,MONTH($F633)+6,FALSE)*G633*24,0)</f>
        <v>22.87742926</v>
      </c>
      <c r="O633" s="89" t="b">
        <f t="shared" si="1"/>
        <v>1</v>
      </c>
      <c r="P633" s="89" t="b">
        <v>1</v>
      </c>
      <c r="Q633" s="89" t="s">
        <v>212</v>
      </c>
    </row>
    <row r="634" hidden="1">
      <c r="A634" s="108"/>
      <c r="B634" s="202"/>
      <c r="C634" s="202" t="str">
        <f>VLOOKUP(M634,'#verificação horas por projeto'!A:B,2,FALSE)</f>
        <v>INOV00001</v>
      </c>
      <c r="D634" s="202" t="s">
        <v>3</v>
      </c>
      <c r="E634" s="107" t="s">
        <v>144</v>
      </c>
      <c r="F634" s="211">
        <v>45587.0</v>
      </c>
      <c r="G634" s="226">
        <v>0.15625</v>
      </c>
      <c r="H634" s="107" t="s">
        <v>354</v>
      </c>
      <c r="I634" s="227" t="s">
        <v>354</v>
      </c>
      <c r="J634" s="227"/>
      <c r="K634" s="115" t="s">
        <v>608</v>
      </c>
      <c r="L634" s="228"/>
      <c r="M634" s="107" t="s">
        <v>386</v>
      </c>
      <c r="N634" s="229">
        <f>IF(AND(O634=TRUE,P634=TRUE), VLOOKUP($E634,PESSOAL!$B$35:$S$45,MONTH($F634)+6,FALSE)*G634*24,0)</f>
        <v>171.5807195</v>
      </c>
      <c r="O634" s="89" t="b">
        <f t="shared" si="1"/>
        <v>1</v>
      </c>
      <c r="P634" s="89" t="b">
        <v>1</v>
      </c>
      <c r="Q634" s="89" t="s">
        <v>212</v>
      </c>
    </row>
    <row r="635" hidden="1">
      <c r="A635" s="108"/>
      <c r="B635" s="202"/>
      <c r="C635" s="202" t="str">
        <f>VLOOKUP(M635,'#verificação horas por projeto'!A:B,2,FALSE)</f>
        <v>INOV00001</v>
      </c>
      <c r="D635" s="202" t="s">
        <v>3</v>
      </c>
      <c r="E635" s="107" t="s">
        <v>144</v>
      </c>
      <c r="F635" s="211">
        <v>45588.0</v>
      </c>
      <c r="G635" s="226">
        <v>0.0625</v>
      </c>
      <c r="H635" s="107" t="s">
        <v>354</v>
      </c>
      <c r="I635" s="227" t="s">
        <v>354</v>
      </c>
      <c r="J635" s="227"/>
      <c r="K635" s="115" t="s">
        <v>608</v>
      </c>
      <c r="L635" s="228"/>
      <c r="M635" s="107" t="s">
        <v>386</v>
      </c>
      <c r="N635" s="229">
        <f>IF(AND(O635=TRUE,P635=TRUE), VLOOKUP($E635,PESSOAL!$B$35:$S$45,MONTH($F635)+6,FALSE)*G635*24,0)</f>
        <v>68.63228778</v>
      </c>
      <c r="O635" s="89" t="b">
        <f t="shared" si="1"/>
        <v>1</v>
      </c>
      <c r="P635" s="89" t="b">
        <v>1</v>
      </c>
      <c r="Q635" s="89" t="s">
        <v>212</v>
      </c>
    </row>
    <row r="636" hidden="1">
      <c r="A636" s="108"/>
      <c r="B636" s="202"/>
      <c r="C636" s="202" t="str">
        <f>VLOOKUP(M636,'#verificação horas por projeto'!A:B,2,FALSE)</f>
        <v>INOV00017</v>
      </c>
      <c r="D636" s="202" t="s">
        <v>10</v>
      </c>
      <c r="E636" s="107" t="s">
        <v>144</v>
      </c>
      <c r="F636" s="211">
        <v>45589.0</v>
      </c>
      <c r="G636" s="226">
        <v>0.10416666666666667</v>
      </c>
      <c r="H636" s="107" t="s">
        <v>354</v>
      </c>
      <c r="I636" s="227" t="s">
        <v>354</v>
      </c>
      <c r="J636" s="227"/>
      <c r="K636" s="115" t="s">
        <v>680</v>
      </c>
      <c r="L636" s="228"/>
      <c r="M636" s="107" t="s">
        <v>389</v>
      </c>
      <c r="N636" s="229">
        <f>IF(AND(O636=TRUE,P636=TRUE), VLOOKUP($E636,PESSOAL!$B$35:$S$45,MONTH($F636)+6,FALSE)*G636*24,0)</f>
        <v>114.3871463</v>
      </c>
      <c r="O636" s="89" t="b">
        <f t="shared" si="1"/>
        <v>1</v>
      </c>
      <c r="P636" s="89" t="b">
        <v>1</v>
      </c>
      <c r="Q636" s="89" t="s">
        <v>212</v>
      </c>
    </row>
    <row r="637" hidden="1">
      <c r="A637" s="108"/>
      <c r="B637" s="202"/>
      <c r="C637" s="202" t="str">
        <f>VLOOKUP(M637,'#verificação horas por projeto'!A:B,2,FALSE)</f>
        <v>INOV00017</v>
      </c>
      <c r="D637" s="202" t="s">
        <v>10</v>
      </c>
      <c r="E637" s="107" t="s">
        <v>144</v>
      </c>
      <c r="F637" s="211">
        <v>45590.0</v>
      </c>
      <c r="G637" s="226">
        <v>0.08333333333333333</v>
      </c>
      <c r="H637" s="107" t="s">
        <v>354</v>
      </c>
      <c r="I637" s="227" t="s">
        <v>354</v>
      </c>
      <c r="J637" s="227"/>
      <c r="K637" s="115" t="s">
        <v>680</v>
      </c>
      <c r="L637" s="228"/>
      <c r="M637" s="107" t="s">
        <v>389</v>
      </c>
      <c r="N637" s="229">
        <f>IF(AND(O637=TRUE,P637=TRUE), VLOOKUP($E637,PESSOAL!$B$35:$S$45,MONTH($F637)+6,FALSE)*G637*24,0)</f>
        <v>91.50971705</v>
      </c>
      <c r="O637" s="89" t="b">
        <f t="shared" si="1"/>
        <v>1</v>
      </c>
      <c r="P637" s="89" t="b">
        <v>1</v>
      </c>
      <c r="Q637" s="89" t="s">
        <v>212</v>
      </c>
    </row>
    <row r="638" hidden="1">
      <c r="A638" s="108"/>
      <c r="B638" s="202"/>
      <c r="C638" s="202" t="str">
        <f>VLOOKUP(M638,'#verificação horas por projeto'!A:B,2,FALSE)</f>
        <v>INOV00017</v>
      </c>
      <c r="D638" s="202" t="s">
        <v>10</v>
      </c>
      <c r="E638" s="107" t="s">
        <v>144</v>
      </c>
      <c r="F638" s="211">
        <v>45590.0</v>
      </c>
      <c r="G638" s="226">
        <v>0.0763888888888889</v>
      </c>
      <c r="H638" s="107" t="s">
        <v>354</v>
      </c>
      <c r="I638" s="227" t="s">
        <v>354</v>
      </c>
      <c r="J638" s="227"/>
      <c r="K638" s="115" t="s">
        <v>680</v>
      </c>
      <c r="L638" s="228"/>
      <c r="M638" s="107" t="s">
        <v>389</v>
      </c>
      <c r="N638" s="229">
        <f>IF(AND(O638=TRUE,P638=TRUE), VLOOKUP($E638,PESSOAL!$B$35:$S$45,MONTH($F638)+6,FALSE)*G638*24,0)</f>
        <v>83.88390729</v>
      </c>
      <c r="O638" s="89" t="b">
        <f t="shared" si="1"/>
        <v>1</v>
      </c>
      <c r="P638" s="89" t="b">
        <v>1</v>
      </c>
      <c r="Q638" s="89" t="s">
        <v>212</v>
      </c>
    </row>
    <row r="639" hidden="1">
      <c r="A639" s="108"/>
      <c r="B639" s="202"/>
      <c r="C639" s="202" t="str">
        <f>VLOOKUP(M639,'#verificação horas por projeto'!A:B,2,FALSE)</f>
        <v>INOV00020</v>
      </c>
      <c r="D639" s="202" t="s">
        <v>11</v>
      </c>
      <c r="E639" s="107" t="s">
        <v>144</v>
      </c>
      <c r="F639" s="211">
        <v>45587.0</v>
      </c>
      <c r="G639" s="226">
        <v>0.10416666666666667</v>
      </c>
      <c r="H639" s="107" t="s">
        <v>354</v>
      </c>
      <c r="I639" s="227" t="s">
        <v>354</v>
      </c>
      <c r="J639" s="227"/>
      <c r="K639" s="115" t="s">
        <v>681</v>
      </c>
      <c r="L639" s="228"/>
      <c r="M639" s="107" t="s">
        <v>457</v>
      </c>
      <c r="N639" s="229">
        <f>IF(AND(O639=TRUE,P639=TRUE), VLOOKUP($E639,PESSOAL!$B$35:$S$45,MONTH($F639)+6,FALSE)*G639*24,0)</f>
        <v>0</v>
      </c>
      <c r="O639" s="89" t="b">
        <f t="shared" si="1"/>
        <v>1</v>
      </c>
      <c r="P639" s="89" t="b">
        <v>0</v>
      </c>
      <c r="Q639" s="89" t="s">
        <v>212</v>
      </c>
    </row>
    <row r="640" hidden="1">
      <c r="A640" s="108"/>
      <c r="B640" s="202"/>
      <c r="C640" s="202" t="str">
        <f>VLOOKUP(M640,'#verificação horas por projeto'!A:B,2,FALSE)</f>
        <v>INOV00028</v>
      </c>
      <c r="D640" s="202" t="s">
        <v>247</v>
      </c>
      <c r="E640" s="107" t="s">
        <v>144</v>
      </c>
      <c r="F640" s="211">
        <v>45593.0</v>
      </c>
      <c r="G640" s="226">
        <v>0.0625</v>
      </c>
      <c r="H640" s="107" t="s">
        <v>354</v>
      </c>
      <c r="I640" s="227" t="s">
        <v>354</v>
      </c>
      <c r="J640" s="227"/>
      <c r="K640" s="115" t="s">
        <v>682</v>
      </c>
      <c r="L640" s="228"/>
      <c r="M640" s="107" t="s">
        <v>433</v>
      </c>
      <c r="N640" s="229">
        <f>IF(AND(O640=TRUE,P640=TRUE), VLOOKUP($E640,PESSOAL!$B$35:$S$45,MONTH($F640)+6,FALSE)*G640*24,0)</f>
        <v>0</v>
      </c>
      <c r="O640" s="89" t="b">
        <f t="shared" si="1"/>
        <v>1</v>
      </c>
      <c r="P640" s="89" t="b">
        <v>0</v>
      </c>
      <c r="Q640" s="89" t="s">
        <v>212</v>
      </c>
    </row>
    <row r="641" hidden="1">
      <c r="A641" s="108"/>
      <c r="B641" s="202"/>
      <c r="C641" s="202" t="str">
        <f>VLOOKUP(M641,'#verificação horas por projeto'!A:B,2,FALSE)</f>
        <v>INOV00017</v>
      </c>
      <c r="D641" s="202" t="s">
        <v>10</v>
      </c>
      <c r="E641" s="107" t="s">
        <v>144</v>
      </c>
      <c r="F641" s="211">
        <v>45593.0</v>
      </c>
      <c r="G641" s="226">
        <v>0.06527777777777778</v>
      </c>
      <c r="H641" s="107" t="s">
        <v>354</v>
      </c>
      <c r="I641" s="227" t="s">
        <v>354</v>
      </c>
      <c r="J641" s="227"/>
      <c r="K641" s="115" t="s">
        <v>680</v>
      </c>
      <c r="L641" s="228"/>
      <c r="M641" s="107" t="s">
        <v>389</v>
      </c>
      <c r="N641" s="229">
        <f>IF(AND(O641=TRUE,P641=TRUE), VLOOKUP($E641,PESSOAL!$B$35:$S$45,MONTH($F641)+6,FALSE)*G641*24,0)</f>
        <v>71.68261169</v>
      </c>
      <c r="O641" s="89" t="b">
        <f t="shared" si="1"/>
        <v>1</v>
      </c>
      <c r="P641" s="89" t="b">
        <v>1</v>
      </c>
      <c r="Q641" s="89" t="s">
        <v>212</v>
      </c>
    </row>
    <row r="642" hidden="1">
      <c r="A642" s="108"/>
      <c r="B642" s="202"/>
      <c r="C642" s="202" t="str">
        <f>VLOOKUP(M642,'#verificação horas por projeto'!A:B,2,FALSE)</f>
        <v>INOV00017</v>
      </c>
      <c r="D642" s="202" t="s">
        <v>10</v>
      </c>
      <c r="E642" s="107" t="s">
        <v>144</v>
      </c>
      <c r="F642" s="211">
        <v>45593.0</v>
      </c>
      <c r="G642" s="226">
        <v>0.10416666666666667</v>
      </c>
      <c r="H642" s="107" t="s">
        <v>354</v>
      </c>
      <c r="I642" s="227" t="s">
        <v>354</v>
      </c>
      <c r="J642" s="227"/>
      <c r="K642" s="115" t="s">
        <v>680</v>
      </c>
      <c r="L642" s="228"/>
      <c r="M642" s="107" t="s">
        <v>389</v>
      </c>
      <c r="N642" s="229">
        <f>IF(AND(O642=TRUE,P642=TRUE), VLOOKUP($E642,PESSOAL!$B$35:$S$45,MONTH($F642)+6,FALSE)*G642*24,0)</f>
        <v>114.3871463</v>
      </c>
      <c r="O642" s="89" t="b">
        <f t="shared" si="1"/>
        <v>1</v>
      </c>
      <c r="P642" s="89" t="b">
        <v>1</v>
      </c>
      <c r="Q642" s="89" t="s">
        <v>212</v>
      </c>
    </row>
    <row r="643" hidden="1">
      <c r="A643" s="108"/>
      <c r="B643" s="202"/>
      <c r="C643" s="202" t="str">
        <f>VLOOKUP(M643,'#verificação horas por projeto'!A:B,2,FALSE)</f>
        <v>INOV00001</v>
      </c>
      <c r="D643" s="202" t="s">
        <v>3</v>
      </c>
      <c r="E643" s="107" t="s">
        <v>144</v>
      </c>
      <c r="F643" s="211">
        <v>45593.0</v>
      </c>
      <c r="G643" s="226">
        <v>0.020833333333333332</v>
      </c>
      <c r="H643" s="107" t="s">
        <v>354</v>
      </c>
      <c r="I643" s="227" t="s">
        <v>354</v>
      </c>
      <c r="J643" s="227"/>
      <c r="K643" s="115" t="s">
        <v>608</v>
      </c>
      <c r="L643" s="228"/>
      <c r="M643" s="107" t="s">
        <v>386</v>
      </c>
      <c r="N643" s="229">
        <f>IF(AND(O643=TRUE,P643=TRUE), VLOOKUP($E643,PESSOAL!$B$35:$S$45,MONTH($F643)+6,FALSE)*G643*24,0)</f>
        <v>22.87742926</v>
      </c>
      <c r="O643" s="89" t="b">
        <f t="shared" si="1"/>
        <v>1</v>
      </c>
      <c r="P643" s="89" t="b">
        <v>1</v>
      </c>
      <c r="Q643" s="89" t="s">
        <v>212</v>
      </c>
    </row>
    <row r="644" hidden="1">
      <c r="A644" s="108"/>
      <c r="B644" s="202"/>
      <c r="C644" s="202" t="str">
        <f>VLOOKUP(M644,'#verificação horas por projeto'!A:B,2,FALSE)</f>
        <v>INOV00017</v>
      </c>
      <c r="D644" s="202" t="s">
        <v>10</v>
      </c>
      <c r="E644" s="107" t="s">
        <v>144</v>
      </c>
      <c r="F644" s="211">
        <v>45594.0</v>
      </c>
      <c r="G644" s="226">
        <v>0.0625</v>
      </c>
      <c r="H644" s="107" t="s">
        <v>354</v>
      </c>
      <c r="I644" s="227" t="s">
        <v>354</v>
      </c>
      <c r="J644" s="227"/>
      <c r="K644" s="115" t="s">
        <v>680</v>
      </c>
      <c r="L644" s="228"/>
      <c r="M644" s="107" t="s">
        <v>389</v>
      </c>
      <c r="N644" s="229">
        <f>IF(AND(O644=TRUE,P644=TRUE), VLOOKUP($E644,PESSOAL!$B$35:$S$45,MONTH($F644)+6,FALSE)*G644*24,0)</f>
        <v>68.63228778</v>
      </c>
      <c r="O644" s="89" t="b">
        <f t="shared" si="1"/>
        <v>1</v>
      </c>
      <c r="P644" s="89" t="b">
        <v>1</v>
      </c>
      <c r="Q644" s="89" t="s">
        <v>212</v>
      </c>
    </row>
    <row r="645" hidden="1">
      <c r="A645" s="108"/>
      <c r="B645" s="202"/>
      <c r="C645" s="202" t="str">
        <f>VLOOKUP(M645,'#verificação horas por projeto'!A:B,2,FALSE)</f>
        <v>INOV00001</v>
      </c>
      <c r="D645" s="202" t="s">
        <v>3</v>
      </c>
      <c r="E645" s="107" t="s">
        <v>144</v>
      </c>
      <c r="F645" s="211">
        <v>45594.0</v>
      </c>
      <c r="G645" s="226">
        <v>0.041666666666666664</v>
      </c>
      <c r="H645" s="107" t="s">
        <v>354</v>
      </c>
      <c r="I645" s="227" t="s">
        <v>354</v>
      </c>
      <c r="J645" s="227"/>
      <c r="K645" s="115" t="s">
        <v>608</v>
      </c>
      <c r="L645" s="228"/>
      <c r="M645" s="107" t="s">
        <v>386</v>
      </c>
      <c r="N645" s="229">
        <f>IF(AND(O645=TRUE,P645=TRUE), VLOOKUP($E645,PESSOAL!$B$35:$S$45,MONTH($F645)+6,FALSE)*G645*24,0)</f>
        <v>45.75485852</v>
      </c>
      <c r="O645" s="89" t="b">
        <f t="shared" si="1"/>
        <v>1</v>
      </c>
      <c r="P645" s="89" t="b">
        <v>1</v>
      </c>
      <c r="Q645" s="89" t="s">
        <v>212</v>
      </c>
    </row>
    <row r="646" hidden="1">
      <c r="A646" s="108"/>
      <c r="B646" s="202"/>
      <c r="C646" s="202" t="str">
        <f>VLOOKUP(M646,'#verificação horas por projeto'!A:B,2,FALSE)</f>
        <v>INOV00028</v>
      </c>
      <c r="D646" s="202" t="s">
        <v>247</v>
      </c>
      <c r="E646" s="107" t="s">
        <v>144</v>
      </c>
      <c r="F646" s="211">
        <v>45594.0</v>
      </c>
      <c r="G646" s="226">
        <v>0.1527777777777778</v>
      </c>
      <c r="H646" s="107" t="s">
        <v>354</v>
      </c>
      <c r="I646" s="227" t="s">
        <v>354</v>
      </c>
      <c r="J646" s="227"/>
      <c r="K646" s="115" t="s">
        <v>682</v>
      </c>
      <c r="L646" s="228"/>
      <c r="M646" s="107" t="s">
        <v>433</v>
      </c>
      <c r="N646" s="229">
        <f>IF(AND(O646=TRUE,P646=TRUE), VLOOKUP($E646,PESSOAL!$B$35:$S$45,MONTH($F646)+6,FALSE)*G646*24,0)</f>
        <v>0</v>
      </c>
      <c r="O646" s="89" t="b">
        <f t="shared" si="1"/>
        <v>1</v>
      </c>
      <c r="P646" s="89" t="b">
        <v>0</v>
      </c>
      <c r="Q646" s="89" t="s">
        <v>212</v>
      </c>
    </row>
    <row r="647" hidden="1">
      <c r="A647" s="108"/>
      <c r="B647" s="202"/>
      <c r="C647" s="202" t="str">
        <f>VLOOKUP(M647,'#verificação horas por projeto'!A:B,2,FALSE)</f>
        <v>INOV00001</v>
      </c>
      <c r="D647" s="202" t="s">
        <v>3</v>
      </c>
      <c r="E647" s="107" t="s">
        <v>144</v>
      </c>
      <c r="F647" s="211">
        <v>45595.0</v>
      </c>
      <c r="G647" s="226">
        <v>0.09027777777777778</v>
      </c>
      <c r="H647" s="107" t="s">
        <v>354</v>
      </c>
      <c r="I647" s="227" t="s">
        <v>354</v>
      </c>
      <c r="J647" s="227"/>
      <c r="K647" s="115" t="s">
        <v>608</v>
      </c>
      <c r="L647" s="228"/>
      <c r="M647" s="107" t="s">
        <v>386</v>
      </c>
      <c r="N647" s="229">
        <f>IF(AND(O647=TRUE,P647=TRUE), VLOOKUP($E647,PESSOAL!$B$35:$S$45,MONTH($F647)+6,FALSE)*G647*24,0)</f>
        <v>99.1355268</v>
      </c>
      <c r="O647" s="89" t="b">
        <f t="shared" si="1"/>
        <v>1</v>
      </c>
      <c r="P647" s="89" t="b">
        <v>1</v>
      </c>
      <c r="Q647" s="89" t="s">
        <v>212</v>
      </c>
    </row>
    <row r="648" hidden="1">
      <c r="A648" s="108"/>
      <c r="B648" s="202"/>
      <c r="C648" s="202" t="str">
        <f>VLOOKUP(M648,'#verificação horas por projeto'!A:B,2,FALSE)</f>
        <v>INOV00001</v>
      </c>
      <c r="D648" s="202" t="s">
        <v>3</v>
      </c>
      <c r="E648" s="107" t="s">
        <v>144</v>
      </c>
      <c r="F648" s="211">
        <v>45596.0</v>
      </c>
      <c r="G648" s="226">
        <v>0.04513888888888889</v>
      </c>
      <c r="H648" s="107" t="s">
        <v>356</v>
      </c>
      <c r="I648" s="227" t="s">
        <v>356</v>
      </c>
      <c r="J648" s="227"/>
      <c r="K648" s="115" t="s">
        <v>683</v>
      </c>
      <c r="L648" s="228"/>
      <c r="M648" s="107" t="s">
        <v>386</v>
      </c>
      <c r="N648" s="229">
        <f>IF(AND(O648=TRUE,P648=TRUE), VLOOKUP($E648,PESSOAL!$B$35:$S$45,MONTH($F648)+6,FALSE)*G648*24,0)</f>
        <v>49.5677634</v>
      </c>
      <c r="O648" s="89" t="b">
        <f t="shared" si="1"/>
        <v>1</v>
      </c>
      <c r="P648" s="89" t="b">
        <v>1</v>
      </c>
      <c r="Q648" s="89" t="s">
        <v>212</v>
      </c>
    </row>
    <row r="649" hidden="1">
      <c r="A649" s="108"/>
      <c r="B649" s="202"/>
      <c r="C649" s="202" t="str">
        <f>VLOOKUP(M649,'#verificação horas por projeto'!A:B,2,FALSE)</f>
        <v>INOV00017</v>
      </c>
      <c r="D649" s="202" t="s">
        <v>10</v>
      </c>
      <c r="E649" s="107" t="s">
        <v>144</v>
      </c>
      <c r="F649" s="211">
        <v>45601.0</v>
      </c>
      <c r="G649" s="226">
        <v>0.08333333333333333</v>
      </c>
      <c r="H649" s="107" t="s">
        <v>354</v>
      </c>
      <c r="I649" s="227" t="s">
        <v>354</v>
      </c>
      <c r="J649" s="227"/>
      <c r="K649" s="115" t="s">
        <v>680</v>
      </c>
      <c r="L649" s="228"/>
      <c r="M649" s="107" t="s">
        <v>389</v>
      </c>
      <c r="N649" s="229">
        <f>IF(AND(O649=TRUE,P649=TRUE), VLOOKUP($E649,PESSOAL!$B$35:$S$45,MONTH($F649)+6,FALSE)*G649*24,0)</f>
        <v>100.6606888</v>
      </c>
      <c r="O649" s="89" t="b">
        <f t="shared" si="1"/>
        <v>1</v>
      </c>
      <c r="P649" s="89" t="b">
        <v>1</v>
      </c>
      <c r="Q649" s="89" t="s">
        <v>212</v>
      </c>
    </row>
    <row r="650" hidden="1">
      <c r="A650" s="108"/>
      <c r="B650" s="202"/>
      <c r="C650" s="202" t="str">
        <f>VLOOKUP(M650,'#verificação horas por projeto'!A:B,2,FALSE)</f>
        <v>INOV00016</v>
      </c>
      <c r="D650" s="202" t="s">
        <v>9</v>
      </c>
      <c r="E650" s="107" t="s">
        <v>144</v>
      </c>
      <c r="F650" s="211">
        <v>45602.0</v>
      </c>
      <c r="G650" s="226">
        <v>0.125</v>
      </c>
      <c r="H650" s="107" t="s">
        <v>354</v>
      </c>
      <c r="I650" s="227" t="s">
        <v>354</v>
      </c>
      <c r="J650" s="227"/>
      <c r="K650" s="115" t="s">
        <v>684</v>
      </c>
      <c r="L650" s="228"/>
      <c r="M650" s="107" t="s">
        <v>410</v>
      </c>
      <c r="N650" s="229">
        <f>IF(AND(O650=TRUE,P650=TRUE), VLOOKUP($E650,PESSOAL!$B$35:$S$45,MONTH($F650)+6,FALSE)*G650*24,0)</f>
        <v>150.9910331</v>
      </c>
      <c r="O650" s="89" t="b">
        <f t="shared" si="1"/>
        <v>1</v>
      </c>
      <c r="P650" s="89" t="b">
        <v>1</v>
      </c>
      <c r="Q650" s="89" t="s">
        <v>212</v>
      </c>
    </row>
    <row r="651" hidden="1">
      <c r="A651" s="108"/>
      <c r="B651" s="202"/>
      <c r="C651" s="202" t="str">
        <f>VLOOKUP(M651,'#verificação horas por projeto'!A:B,2,FALSE)</f>
        <v>INOV00016</v>
      </c>
      <c r="D651" s="202" t="s">
        <v>9</v>
      </c>
      <c r="E651" s="107" t="s">
        <v>144</v>
      </c>
      <c r="F651" s="211">
        <v>45614.0</v>
      </c>
      <c r="G651" s="226">
        <v>0.0625</v>
      </c>
      <c r="H651" s="107" t="s">
        <v>354</v>
      </c>
      <c r="I651" s="227" t="s">
        <v>354</v>
      </c>
      <c r="J651" s="227"/>
      <c r="K651" s="115" t="s">
        <v>685</v>
      </c>
      <c r="L651" s="228"/>
      <c r="M651" s="107" t="s">
        <v>410</v>
      </c>
      <c r="N651" s="229">
        <f>IF(AND(O651=TRUE,P651=TRUE), VLOOKUP($E651,PESSOAL!$B$35:$S$45,MONTH($F651)+6,FALSE)*G651*24,0)</f>
        <v>75.49551656</v>
      </c>
      <c r="O651" s="89" t="b">
        <f t="shared" si="1"/>
        <v>1</v>
      </c>
      <c r="P651" s="89" t="b">
        <v>1</v>
      </c>
      <c r="Q651" s="89" t="s">
        <v>212</v>
      </c>
    </row>
    <row r="652" hidden="1">
      <c r="A652" s="108"/>
      <c r="B652" s="202"/>
      <c r="C652" s="202" t="str">
        <f>VLOOKUP(M652,'#verificação horas por projeto'!A:B,2,FALSE)</f>
        <v>INOV00001</v>
      </c>
      <c r="D652" s="202" t="s">
        <v>3</v>
      </c>
      <c r="E652" s="107" t="s">
        <v>144</v>
      </c>
      <c r="F652" s="211">
        <v>45615.0</v>
      </c>
      <c r="G652" s="226">
        <v>0.10416666666666667</v>
      </c>
      <c r="H652" s="107" t="s">
        <v>356</v>
      </c>
      <c r="I652" s="227" t="s">
        <v>356</v>
      </c>
      <c r="J652" s="227"/>
      <c r="K652" s="115" t="s">
        <v>686</v>
      </c>
      <c r="L652" s="228"/>
      <c r="M652" s="107" t="s">
        <v>386</v>
      </c>
      <c r="N652" s="229">
        <f>IF(AND(O652=TRUE,P652=TRUE), VLOOKUP($E652,PESSOAL!$B$35:$S$45,MONTH($F652)+6,FALSE)*G652*24,0)</f>
        <v>125.8258609</v>
      </c>
      <c r="O652" s="89" t="b">
        <f t="shared" si="1"/>
        <v>1</v>
      </c>
      <c r="P652" s="89" t="b">
        <v>1</v>
      </c>
      <c r="Q652" s="89" t="s">
        <v>212</v>
      </c>
    </row>
    <row r="653" hidden="1">
      <c r="A653" s="108"/>
      <c r="B653" s="202"/>
      <c r="C653" s="202" t="str">
        <f>VLOOKUP(M653,'#verificação horas por projeto'!A:B,2,FALSE)</f>
        <v>INOV00016</v>
      </c>
      <c r="D653" s="202" t="s">
        <v>9</v>
      </c>
      <c r="E653" s="107" t="s">
        <v>144</v>
      </c>
      <c r="F653" s="211">
        <v>45617.0</v>
      </c>
      <c r="G653" s="226">
        <v>0.041666666666666664</v>
      </c>
      <c r="H653" s="107" t="s">
        <v>354</v>
      </c>
      <c r="I653" s="227" t="s">
        <v>354</v>
      </c>
      <c r="J653" s="227"/>
      <c r="K653" s="115" t="s">
        <v>685</v>
      </c>
      <c r="L653" s="228"/>
      <c r="M653" s="107" t="s">
        <v>410</v>
      </c>
      <c r="N653" s="229">
        <f>IF(AND(O653=TRUE,P653=TRUE), VLOOKUP($E653,PESSOAL!$B$35:$S$45,MONTH($F653)+6,FALSE)*G653*24,0)</f>
        <v>50.33034438</v>
      </c>
      <c r="O653" s="89" t="b">
        <f t="shared" si="1"/>
        <v>1</v>
      </c>
      <c r="P653" s="89" t="b">
        <v>1</v>
      </c>
      <c r="Q653" s="89" t="s">
        <v>212</v>
      </c>
    </row>
    <row r="654" hidden="1">
      <c r="A654" s="108"/>
      <c r="B654" s="202"/>
      <c r="C654" s="202" t="str">
        <f>VLOOKUP(M654,'#verificação horas por projeto'!A:B,2,FALSE)</f>
        <v>INOV00016</v>
      </c>
      <c r="D654" s="202" t="s">
        <v>9</v>
      </c>
      <c r="E654" s="107" t="s">
        <v>144</v>
      </c>
      <c r="F654" s="211">
        <v>45617.0</v>
      </c>
      <c r="G654" s="226">
        <v>0.041666666666666664</v>
      </c>
      <c r="H654" s="107" t="s">
        <v>354</v>
      </c>
      <c r="I654" s="227" t="s">
        <v>354</v>
      </c>
      <c r="J654" s="227"/>
      <c r="K654" s="115" t="s">
        <v>685</v>
      </c>
      <c r="L654" s="228"/>
      <c r="M654" s="107" t="s">
        <v>410</v>
      </c>
      <c r="N654" s="229">
        <f>IF(AND(O654=TRUE,P654=TRUE), VLOOKUP($E654,PESSOAL!$B$35:$S$45,MONTH($F654)+6,FALSE)*G654*24,0)</f>
        <v>50.33034438</v>
      </c>
      <c r="O654" s="89" t="b">
        <f t="shared" si="1"/>
        <v>1</v>
      </c>
      <c r="P654" s="89" t="b">
        <v>1</v>
      </c>
      <c r="Q654" s="89" t="s">
        <v>212</v>
      </c>
    </row>
    <row r="655" hidden="1">
      <c r="A655" s="108"/>
      <c r="B655" s="202"/>
      <c r="C655" s="202" t="str">
        <f>VLOOKUP(M655,'#verificação horas por projeto'!A:B,2,FALSE)</f>
        <v>INOV00014</v>
      </c>
      <c r="D655" s="202" t="s">
        <v>8</v>
      </c>
      <c r="E655" s="107" t="s">
        <v>144</v>
      </c>
      <c r="F655" s="211">
        <v>45610.0</v>
      </c>
      <c r="G655" s="226">
        <v>0.14583333333333334</v>
      </c>
      <c r="H655" s="107" t="s">
        <v>354</v>
      </c>
      <c r="I655" s="227" t="s">
        <v>354</v>
      </c>
      <c r="J655" s="227"/>
      <c r="K655" s="115" t="s">
        <v>687</v>
      </c>
      <c r="L655" s="228"/>
      <c r="M655" s="107" t="s">
        <v>441</v>
      </c>
      <c r="N655" s="229">
        <f>IF(AND(O655=TRUE,P655=TRUE), VLOOKUP($E655,PESSOAL!$B$35:$S$45,MONTH($F655)+6,FALSE)*G655*24,0)</f>
        <v>176.1562053</v>
      </c>
      <c r="O655" s="89" t="b">
        <f t="shared" si="1"/>
        <v>1</v>
      </c>
      <c r="P655" s="89" t="b">
        <v>1</v>
      </c>
      <c r="Q655" s="89" t="s">
        <v>212</v>
      </c>
    </row>
    <row r="656" hidden="1">
      <c r="A656" s="108"/>
      <c r="B656" s="202"/>
      <c r="C656" s="202" t="str">
        <f>VLOOKUP(M656,'#verificação horas por projeto'!A:B,2,FALSE)</f>
        <v>INOV00045</v>
      </c>
      <c r="D656" s="202" t="s">
        <v>380</v>
      </c>
      <c r="E656" s="107" t="s">
        <v>144</v>
      </c>
      <c r="F656" s="211">
        <v>45617.0</v>
      </c>
      <c r="G656" s="226">
        <v>0.041666666666666664</v>
      </c>
      <c r="H656" s="107" t="s">
        <v>356</v>
      </c>
      <c r="I656" s="227" t="s">
        <v>356</v>
      </c>
      <c r="J656" s="227"/>
      <c r="K656" s="115" t="s">
        <v>688</v>
      </c>
      <c r="L656" s="228"/>
      <c r="M656" s="107" t="s">
        <v>382</v>
      </c>
      <c r="N656" s="229">
        <f>IF(AND(O656=TRUE,P656=TRUE), VLOOKUP($E656,PESSOAL!$B$35:$S$45,MONTH($F656)+6,FALSE)*G656*24,0)</f>
        <v>0</v>
      </c>
      <c r="O656" s="89" t="b">
        <f t="shared" si="1"/>
        <v>1</v>
      </c>
      <c r="P656" s="89" t="b">
        <v>0</v>
      </c>
      <c r="Q656" s="89" t="s">
        <v>212</v>
      </c>
    </row>
    <row r="657" hidden="1">
      <c r="A657" s="108"/>
      <c r="B657" s="202"/>
      <c r="C657" s="202" t="str">
        <f>VLOOKUP(M657,'#verificação horas por projeto'!A:B,2,FALSE)</f>
        <v>INOV00014</v>
      </c>
      <c r="D657" s="202" t="s">
        <v>8</v>
      </c>
      <c r="E657" s="107" t="s">
        <v>144</v>
      </c>
      <c r="F657" s="211">
        <v>45621.0</v>
      </c>
      <c r="G657" s="226">
        <v>0.041666666666666664</v>
      </c>
      <c r="H657" s="107" t="s">
        <v>356</v>
      </c>
      <c r="I657" s="227" t="s">
        <v>356</v>
      </c>
      <c r="J657" s="227"/>
      <c r="K657" s="115" t="s">
        <v>689</v>
      </c>
      <c r="L657" s="228"/>
      <c r="M657" s="107" t="s">
        <v>441</v>
      </c>
      <c r="N657" s="229">
        <f>IF(AND(O657=TRUE,P657=TRUE), VLOOKUP($E657,PESSOAL!$B$35:$S$45,MONTH($F657)+6,FALSE)*G657*24,0)</f>
        <v>50.33034438</v>
      </c>
      <c r="O657" s="89" t="b">
        <f t="shared" si="1"/>
        <v>1</v>
      </c>
      <c r="P657" s="89" t="b">
        <v>1</v>
      </c>
      <c r="Q657" s="89" t="s">
        <v>212</v>
      </c>
    </row>
    <row r="658" hidden="1">
      <c r="A658" s="108"/>
      <c r="B658" s="202"/>
      <c r="C658" s="202" t="str">
        <f>VLOOKUP(M658,'#verificação horas por projeto'!A:B,2,FALSE)</f>
        <v>INOV00001</v>
      </c>
      <c r="D658" s="202" t="s">
        <v>3</v>
      </c>
      <c r="E658" s="107" t="s">
        <v>144</v>
      </c>
      <c r="F658" s="211">
        <v>45621.0</v>
      </c>
      <c r="G658" s="226">
        <v>0.041666666666666664</v>
      </c>
      <c r="H658" s="107" t="s">
        <v>356</v>
      </c>
      <c r="I658" s="227" t="s">
        <v>356</v>
      </c>
      <c r="J658" s="227"/>
      <c r="K658" s="115" t="s">
        <v>690</v>
      </c>
      <c r="L658" s="228"/>
      <c r="M658" s="107" t="s">
        <v>386</v>
      </c>
      <c r="N658" s="229">
        <f>IF(AND(O658=TRUE,P658=TRUE), VLOOKUP($E658,PESSOAL!$B$35:$S$45,MONTH($F658)+6,FALSE)*G658*24,0)</f>
        <v>50.33034438</v>
      </c>
      <c r="O658" s="89" t="b">
        <f t="shared" si="1"/>
        <v>1</v>
      </c>
      <c r="P658" s="89" t="b">
        <v>1</v>
      </c>
      <c r="Q658" s="89" t="s">
        <v>212</v>
      </c>
    </row>
    <row r="659" hidden="1">
      <c r="A659" s="108"/>
      <c r="B659" s="202"/>
      <c r="C659" s="202" t="str">
        <f>VLOOKUP(M659,'#verificação horas por projeto'!A:B,2,FALSE)</f>
        <v>INOV00001</v>
      </c>
      <c r="D659" s="202" t="s">
        <v>3</v>
      </c>
      <c r="E659" s="107" t="s">
        <v>144</v>
      </c>
      <c r="F659" s="211">
        <v>45621.0</v>
      </c>
      <c r="G659" s="226">
        <v>0.0625</v>
      </c>
      <c r="H659" s="107" t="s">
        <v>356</v>
      </c>
      <c r="I659" s="227" t="s">
        <v>356</v>
      </c>
      <c r="J659" s="227"/>
      <c r="K659" s="115" t="s">
        <v>691</v>
      </c>
      <c r="L659" s="228"/>
      <c r="M659" s="107" t="s">
        <v>386</v>
      </c>
      <c r="N659" s="229">
        <f>IF(AND(O659=TRUE,P659=TRUE), VLOOKUP($E659,PESSOAL!$B$35:$S$45,MONTH($F659)+6,FALSE)*G659*24,0)</f>
        <v>75.49551656</v>
      </c>
      <c r="O659" s="89" t="b">
        <f t="shared" si="1"/>
        <v>1</v>
      </c>
      <c r="P659" s="89" t="b">
        <v>1</v>
      </c>
      <c r="Q659" s="89" t="s">
        <v>212</v>
      </c>
    </row>
    <row r="660" hidden="1">
      <c r="A660" s="108"/>
      <c r="B660" s="202"/>
      <c r="C660" s="202" t="str">
        <f>VLOOKUP(M660,'#verificação horas por projeto'!A:B,2,FALSE)</f>
        <v>INOV00016</v>
      </c>
      <c r="D660" s="202" t="s">
        <v>9</v>
      </c>
      <c r="E660" s="107" t="s">
        <v>144</v>
      </c>
      <c r="F660" s="211">
        <v>45625.0</v>
      </c>
      <c r="G660" s="226">
        <v>0.08333333333333333</v>
      </c>
      <c r="H660" s="107" t="s">
        <v>354</v>
      </c>
      <c r="I660" s="227" t="s">
        <v>354</v>
      </c>
      <c r="J660" s="227"/>
      <c r="K660" s="115" t="s">
        <v>692</v>
      </c>
      <c r="L660" s="228"/>
      <c r="M660" s="107" t="s">
        <v>410</v>
      </c>
      <c r="N660" s="229">
        <f>IF(AND(O660=TRUE,P660=TRUE), VLOOKUP($E660,PESSOAL!$B$35:$S$45,MONTH($F660)+6,FALSE)*G660*24,0)</f>
        <v>100.6606888</v>
      </c>
      <c r="O660" s="89" t="b">
        <f t="shared" si="1"/>
        <v>1</v>
      </c>
      <c r="P660" s="89" t="b">
        <v>1</v>
      </c>
      <c r="Q660" s="89" t="s">
        <v>212</v>
      </c>
    </row>
    <row r="661" hidden="1">
      <c r="A661" s="108"/>
      <c r="B661" s="202"/>
      <c r="C661" s="202" t="str">
        <f>VLOOKUP(M661,'#verificação horas por projeto'!A:B,2,FALSE)</f>
        <v>INOV00016</v>
      </c>
      <c r="D661" s="202" t="s">
        <v>9</v>
      </c>
      <c r="E661" s="107" t="s">
        <v>144</v>
      </c>
      <c r="F661" s="211">
        <v>45625.0</v>
      </c>
      <c r="G661" s="226">
        <v>0.10416666666666667</v>
      </c>
      <c r="H661" s="107" t="s">
        <v>354</v>
      </c>
      <c r="I661" s="227" t="s">
        <v>354</v>
      </c>
      <c r="J661" s="227"/>
      <c r="K661" s="115" t="s">
        <v>692</v>
      </c>
      <c r="L661" s="228"/>
      <c r="M661" s="107" t="s">
        <v>410</v>
      </c>
      <c r="N661" s="229">
        <f>IF(AND(O661=TRUE,P661=TRUE), VLOOKUP($E661,PESSOAL!$B$35:$S$45,MONTH($F661)+6,FALSE)*G661*24,0)</f>
        <v>125.8258609</v>
      </c>
      <c r="O661" s="89" t="b">
        <f t="shared" si="1"/>
        <v>1</v>
      </c>
      <c r="P661" s="89" t="b">
        <v>1</v>
      </c>
      <c r="Q661" s="89" t="s">
        <v>212</v>
      </c>
    </row>
    <row r="662" hidden="1">
      <c r="A662" s="108"/>
      <c r="B662" s="202"/>
      <c r="C662" s="202" t="str">
        <f>VLOOKUP(M662,'#verificação horas por projeto'!A:B,2,FALSE)</f>
        <v>INOV00016</v>
      </c>
      <c r="D662" s="202" t="s">
        <v>9</v>
      </c>
      <c r="E662" s="107" t="s">
        <v>144</v>
      </c>
      <c r="F662" s="211">
        <v>45625.0</v>
      </c>
      <c r="G662" s="226">
        <v>0.027777777777777776</v>
      </c>
      <c r="H662" s="107" t="s">
        <v>354</v>
      </c>
      <c r="I662" s="227" t="s">
        <v>354</v>
      </c>
      <c r="J662" s="227"/>
      <c r="K662" s="115" t="s">
        <v>693</v>
      </c>
      <c r="L662" s="228"/>
      <c r="M662" s="107" t="s">
        <v>410</v>
      </c>
      <c r="N662" s="229">
        <f>IF(AND(O662=TRUE,P662=TRUE), VLOOKUP($E662,PESSOAL!$B$35:$S$45,MONTH($F662)+6,FALSE)*G662*24,0)</f>
        <v>33.55356292</v>
      </c>
      <c r="O662" s="89" t="b">
        <f t="shared" si="1"/>
        <v>1</v>
      </c>
      <c r="P662" s="89" t="b">
        <v>1</v>
      </c>
      <c r="Q662" s="89" t="s">
        <v>212</v>
      </c>
    </row>
    <row r="663" hidden="1">
      <c r="A663" s="108"/>
      <c r="B663" s="202"/>
      <c r="C663" s="202" t="str">
        <f>VLOOKUP(M663,'#verificação horas por projeto'!A:B,2,FALSE)</f>
        <v>INOV00016</v>
      </c>
      <c r="D663" s="202" t="s">
        <v>9</v>
      </c>
      <c r="E663" s="107" t="s">
        <v>144</v>
      </c>
      <c r="F663" s="211">
        <v>45628.0</v>
      </c>
      <c r="G663" s="226">
        <v>0.08333333333333333</v>
      </c>
      <c r="H663" s="107" t="s">
        <v>354</v>
      </c>
      <c r="I663" s="227" t="s">
        <v>354</v>
      </c>
      <c r="J663" s="227"/>
      <c r="K663" s="115" t="s">
        <v>693</v>
      </c>
      <c r="L663" s="228"/>
      <c r="M663" s="107" t="s">
        <v>410</v>
      </c>
      <c r="N663" s="229">
        <f>IF(AND(O663=TRUE,P663=TRUE), VLOOKUP($E663,PESSOAL!$B$35:$S$45,MONTH($F663)+6,FALSE)*G663*24,0)</f>
        <v>95.86732262</v>
      </c>
      <c r="O663" s="89" t="b">
        <f t="shared" si="1"/>
        <v>1</v>
      </c>
      <c r="P663" s="89" t="b">
        <v>1</v>
      </c>
      <c r="Q663" s="89" t="s">
        <v>212</v>
      </c>
    </row>
    <row r="664" hidden="1">
      <c r="A664" s="108"/>
      <c r="B664" s="202"/>
      <c r="C664" s="202" t="str">
        <f>VLOOKUP(M664,'#verificação horas por projeto'!A:B,2,FALSE)</f>
        <v>INOV00006</v>
      </c>
      <c r="D664" s="202" t="s">
        <v>5</v>
      </c>
      <c r="E664" s="107" t="s">
        <v>144</v>
      </c>
      <c r="F664" s="211">
        <v>45628.0</v>
      </c>
      <c r="G664" s="226">
        <v>0.034722222222222224</v>
      </c>
      <c r="H664" s="107" t="s">
        <v>354</v>
      </c>
      <c r="I664" s="227" t="s">
        <v>354</v>
      </c>
      <c r="J664" s="227"/>
      <c r="K664" s="115" t="s">
        <v>694</v>
      </c>
      <c r="L664" s="228"/>
      <c r="M664" s="107" t="s">
        <v>379</v>
      </c>
      <c r="N664" s="229">
        <f>IF(AND(O664=TRUE,P664=TRUE), VLOOKUP($E664,PESSOAL!$B$35:$S$45,MONTH($F664)+6,FALSE)*G664*24,0)</f>
        <v>39.94471776</v>
      </c>
      <c r="O664" s="89" t="b">
        <f t="shared" si="1"/>
        <v>1</v>
      </c>
      <c r="P664" s="89" t="b">
        <v>1</v>
      </c>
      <c r="Q664" s="89" t="s">
        <v>212</v>
      </c>
    </row>
    <row r="665" hidden="1">
      <c r="A665" s="108"/>
      <c r="B665" s="202"/>
      <c r="C665" s="202" t="str">
        <f>VLOOKUP(M665,'#verificação horas por projeto'!A:B,2,FALSE)</f>
        <v>INOV00001</v>
      </c>
      <c r="D665" s="202" t="s">
        <v>3</v>
      </c>
      <c r="E665" s="107" t="s">
        <v>144</v>
      </c>
      <c r="F665" s="211">
        <v>45629.0</v>
      </c>
      <c r="G665" s="226">
        <v>0.08333333333333333</v>
      </c>
      <c r="H665" s="107" t="s">
        <v>359</v>
      </c>
      <c r="I665" s="227" t="s">
        <v>356</v>
      </c>
      <c r="J665" s="227"/>
      <c r="K665" s="115" t="s">
        <v>695</v>
      </c>
      <c r="L665" s="228" t="s">
        <v>696</v>
      </c>
      <c r="M665" s="107" t="s">
        <v>386</v>
      </c>
      <c r="N665" s="229">
        <f>IF(AND(O665=TRUE,P665=TRUE), VLOOKUP($E665,PESSOAL!$B$35:$S$45,MONTH($F665)+6,FALSE)*G665*24,0)</f>
        <v>95.86732262</v>
      </c>
      <c r="O665" s="89" t="b">
        <f t="shared" si="1"/>
        <v>1</v>
      </c>
      <c r="P665" s="89" t="b">
        <v>1</v>
      </c>
      <c r="Q665" s="89" t="s">
        <v>212</v>
      </c>
    </row>
    <row r="666" hidden="1">
      <c r="A666" s="108"/>
      <c r="B666" s="202"/>
      <c r="C666" s="202" t="str">
        <f>VLOOKUP(M666,'#verificação horas por projeto'!A:B,2,FALSE)</f>
        <v>INOV00006</v>
      </c>
      <c r="D666" s="202" t="s">
        <v>5</v>
      </c>
      <c r="E666" s="107" t="s">
        <v>144</v>
      </c>
      <c r="F666" s="211">
        <v>45629.0</v>
      </c>
      <c r="G666" s="226">
        <v>0.013888888888888888</v>
      </c>
      <c r="H666" s="107" t="s">
        <v>354</v>
      </c>
      <c r="I666" s="227" t="s">
        <v>354</v>
      </c>
      <c r="J666" s="227"/>
      <c r="K666" s="115" t="s">
        <v>694</v>
      </c>
      <c r="L666" s="228"/>
      <c r="M666" s="107" t="s">
        <v>379</v>
      </c>
      <c r="N666" s="229">
        <f>IF(AND(O666=TRUE,P666=TRUE), VLOOKUP($E666,PESSOAL!$B$35:$S$45,MONTH($F666)+6,FALSE)*G666*24,0)</f>
        <v>15.9778871</v>
      </c>
      <c r="O666" s="89" t="b">
        <f t="shared" si="1"/>
        <v>1</v>
      </c>
      <c r="P666" s="89" t="b">
        <v>1</v>
      </c>
      <c r="Q666" s="89" t="s">
        <v>212</v>
      </c>
    </row>
    <row r="667" hidden="1">
      <c r="A667" s="108"/>
      <c r="B667" s="202"/>
      <c r="C667" s="202" t="str">
        <f>VLOOKUP(M667,'#verificação horas por projeto'!A:B,2,FALSE)</f>
        <v>#N/A</v>
      </c>
      <c r="D667" s="202" t="s">
        <v>34</v>
      </c>
      <c r="E667" s="107" t="s">
        <v>144</v>
      </c>
      <c r="F667" s="211">
        <v>45643.0</v>
      </c>
      <c r="G667" s="226">
        <v>0.041666666666666664</v>
      </c>
      <c r="H667" s="107" t="s">
        <v>354</v>
      </c>
      <c r="I667" s="227" t="s">
        <v>354</v>
      </c>
      <c r="J667" s="227"/>
      <c r="K667" s="115" t="s">
        <v>697</v>
      </c>
      <c r="L667" s="228"/>
      <c r="M667" s="107" t="s">
        <v>698</v>
      </c>
      <c r="N667" s="229">
        <f>IF(AND(O667=TRUE,P667=TRUE), VLOOKUP($E667,PESSOAL!$B$35:$S$45,MONTH($F667)+6,FALSE)*G667*24,0)</f>
        <v>0</v>
      </c>
      <c r="O667" s="89" t="b">
        <f t="shared" si="1"/>
        <v>1</v>
      </c>
      <c r="P667" s="89" t="b">
        <v>0</v>
      </c>
      <c r="Q667" s="89" t="s">
        <v>212</v>
      </c>
    </row>
    <row r="668" hidden="1">
      <c r="A668" s="108"/>
      <c r="B668" s="202"/>
      <c r="C668" s="202" t="str">
        <f>VLOOKUP(M668,'#verificação horas por projeto'!A:B,2,FALSE)</f>
        <v>#N/A</v>
      </c>
      <c r="D668" s="202" t="s">
        <v>34</v>
      </c>
      <c r="E668" s="107" t="s">
        <v>144</v>
      </c>
      <c r="F668" s="211">
        <v>45643.0</v>
      </c>
      <c r="G668" s="226">
        <v>0.0625</v>
      </c>
      <c r="H668" s="107" t="s">
        <v>354</v>
      </c>
      <c r="I668" s="227" t="s">
        <v>354</v>
      </c>
      <c r="J668" s="227"/>
      <c r="K668" s="115" t="s">
        <v>697</v>
      </c>
      <c r="L668" s="228"/>
      <c r="M668" s="107" t="s">
        <v>698</v>
      </c>
      <c r="N668" s="229">
        <f>IF(AND(O668=TRUE,P668=TRUE), VLOOKUP($E668,PESSOAL!$B$35:$S$45,MONTH($F668)+6,FALSE)*G668*24,0)</f>
        <v>0</v>
      </c>
      <c r="O668" s="89" t="b">
        <f t="shared" si="1"/>
        <v>1</v>
      </c>
      <c r="P668" s="89" t="b">
        <v>0</v>
      </c>
      <c r="Q668" s="89" t="s">
        <v>212</v>
      </c>
    </row>
    <row r="669" hidden="1">
      <c r="A669" s="108"/>
      <c r="B669" s="202"/>
      <c r="C669" s="202" t="str">
        <f>VLOOKUP(M669,'#verificação horas por projeto'!A:B,2,FALSE)</f>
        <v>#N/A</v>
      </c>
      <c r="D669" s="202" t="s">
        <v>34</v>
      </c>
      <c r="E669" s="107" t="s">
        <v>144</v>
      </c>
      <c r="F669" s="211">
        <v>45643.0</v>
      </c>
      <c r="G669" s="226">
        <v>0.020833333333333332</v>
      </c>
      <c r="H669" s="107" t="s">
        <v>354</v>
      </c>
      <c r="I669" s="227" t="s">
        <v>354</v>
      </c>
      <c r="J669" s="227"/>
      <c r="K669" s="115" t="s">
        <v>697</v>
      </c>
      <c r="L669" s="228"/>
      <c r="M669" s="107" t="s">
        <v>698</v>
      </c>
      <c r="N669" s="229">
        <f>IF(AND(O669=TRUE,P669=TRUE), VLOOKUP($E669,PESSOAL!$B$35:$S$45,MONTH($F669)+6,FALSE)*G669*24,0)</f>
        <v>0</v>
      </c>
      <c r="O669" s="89" t="b">
        <f t="shared" si="1"/>
        <v>1</v>
      </c>
      <c r="P669" s="89" t="b">
        <v>0</v>
      </c>
      <c r="Q669" s="89" t="s">
        <v>212</v>
      </c>
    </row>
    <row r="670" hidden="1">
      <c r="A670" s="108"/>
      <c r="B670" s="202"/>
      <c r="C670" s="202" t="str">
        <f>VLOOKUP(M670,'#verificação horas por projeto'!A:B,2,FALSE)</f>
        <v>#N/A</v>
      </c>
      <c r="D670" s="202" t="s">
        <v>34</v>
      </c>
      <c r="E670" s="107" t="s">
        <v>144</v>
      </c>
      <c r="F670" s="211">
        <v>45643.0</v>
      </c>
      <c r="G670" s="226">
        <v>0.043055555555555555</v>
      </c>
      <c r="H670" s="107" t="s">
        <v>354</v>
      </c>
      <c r="I670" s="227" t="s">
        <v>354</v>
      </c>
      <c r="J670" s="227"/>
      <c r="K670" s="115" t="s">
        <v>697</v>
      </c>
      <c r="L670" s="228"/>
      <c r="M670" s="107" t="s">
        <v>698</v>
      </c>
      <c r="N670" s="229">
        <f>IF(AND(O670=TRUE,P670=TRUE), VLOOKUP($E670,PESSOAL!$B$35:$S$45,MONTH($F670)+6,FALSE)*G670*24,0)</f>
        <v>0</v>
      </c>
      <c r="O670" s="89" t="b">
        <f t="shared" si="1"/>
        <v>1</v>
      </c>
      <c r="P670" s="89" t="b">
        <v>0</v>
      </c>
      <c r="Q670" s="89" t="s">
        <v>212</v>
      </c>
    </row>
    <row r="671" hidden="1">
      <c r="A671" s="108"/>
      <c r="B671" s="202"/>
      <c r="C671" s="202" t="str">
        <f>VLOOKUP(M671,'#verificação horas por projeto'!A:B,2,FALSE)</f>
        <v>INOV00045</v>
      </c>
      <c r="D671" s="202" t="s">
        <v>380</v>
      </c>
      <c r="E671" s="107" t="s">
        <v>144</v>
      </c>
      <c r="F671" s="211">
        <v>45632.0</v>
      </c>
      <c r="G671" s="226">
        <v>0.125</v>
      </c>
      <c r="H671" s="107" t="s">
        <v>354</v>
      </c>
      <c r="I671" s="227" t="s">
        <v>354</v>
      </c>
      <c r="J671" s="227"/>
      <c r="K671" s="115" t="s">
        <v>699</v>
      </c>
      <c r="L671" s="228"/>
      <c r="M671" s="107" t="s">
        <v>382</v>
      </c>
      <c r="N671" s="229">
        <f>IF(AND(O671=TRUE,P671=TRUE), VLOOKUP($E671,PESSOAL!$B$35:$S$45,MONTH($F671)+6,FALSE)*G671*24,0)</f>
        <v>0</v>
      </c>
      <c r="O671" s="89" t="b">
        <f t="shared" si="1"/>
        <v>1</v>
      </c>
      <c r="P671" s="89" t="b">
        <v>0</v>
      </c>
      <c r="Q671" s="89" t="s">
        <v>212</v>
      </c>
    </row>
    <row r="672" hidden="1">
      <c r="A672" s="108"/>
      <c r="B672" s="202"/>
      <c r="C672" s="202" t="str">
        <f>VLOOKUP(M672,'#verificação horas por projeto'!A:B,2,FALSE)</f>
        <v>INOV00045</v>
      </c>
      <c r="D672" s="202" t="s">
        <v>380</v>
      </c>
      <c r="E672" s="107" t="s">
        <v>144</v>
      </c>
      <c r="F672" s="211">
        <v>45632.0</v>
      </c>
      <c r="G672" s="226">
        <v>0.08333333333333333</v>
      </c>
      <c r="H672" s="107" t="s">
        <v>354</v>
      </c>
      <c r="I672" s="227" t="s">
        <v>354</v>
      </c>
      <c r="J672" s="227"/>
      <c r="K672" s="115" t="s">
        <v>699</v>
      </c>
      <c r="L672" s="228"/>
      <c r="M672" s="107" t="s">
        <v>382</v>
      </c>
      <c r="N672" s="229">
        <f>IF(AND(O672=TRUE,P672=TRUE), VLOOKUP($E672,PESSOAL!$B$35:$S$45,MONTH($F672)+6,FALSE)*G672*24,0)</f>
        <v>0</v>
      </c>
      <c r="O672" s="89" t="b">
        <f t="shared" si="1"/>
        <v>1</v>
      </c>
      <c r="P672" s="89" t="b">
        <v>0</v>
      </c>
      <c r="Q672" s="89" t="s">
        <v>212</v>
      </c>
    </row>
    <row r="673" hidden="1">
      <c r="A673" s="108"/>
      <c r="B673" s="202"/>
      <c r="C673" s="202" t="str">
        <f>VLOOKUP(M673,'#verificação horas por projeto'!A:B,2,FALSE)</f>
        <v>INOV00014</v>
      </c>
      <c r="D673" s="202" t="s">
        <v>8</v>
      </c>
      <c r="E673" s="107" t="s">
        <v>144</v>
      </c>
      <c r="F673" s="211">
        <v>45644.0</v>
      </c>
      <c r="G673" s="226">
        <v>0.017361111111111112</v>
      </c>
      <c r="H673" s="107" t="s">
        <v>354</v>
      </c>
      <c r="I673" s="227" t="s">
        <v>354</v>
      </c>
      <c r="J673" s="227"/>
      <c r="K673" s="115" t="s">
        <v>700</v>
      </c>
      <c r="L673" s="228"/>
      <c r="M673" s="107" t="s">
        <v>441</v>
      </c>
      <c r="N673" s="229">
        <f>IF(AND(O673=TRUE,P673=TRUE), VLOOKUP($E673,PESSOAL!$B$35:$S$45,MONTH($F673)+6,FALSE)*G673*24,0)</f>
        <v>19.97235888</v>
      </c>
      <c r="O673" s="89" t="b">
        <f t="shared" si="1"/>
        <v>1</v>
      </c>
      <c r="P673" s="89" t="b">
        <v>1</v>
      </c>
      <c r="Q673" s="89" t="s">
        <v>212</v>
      </c>
    </row>
    <row r="674" hidden="1">
      <c r="A674" s="108"/>
      <c r="B674" s="202"/>
      <c r="C674" s="202" t="str">
        <f>VLOOKUP(M674,'#verificação horas por projeto'!A:B,2,FALSE)</f>
        <v>INOV00014</v>
      </c>
      <c r="D674" s="202" t="s">
        <v>8</v>
      </c>
      <c r="E674" s="107" t="s">
        <v>144</v>
      </c>
      <c r="F674" s="211">
        <v>45645.0</v>
      </c>
      <c r="G674" s="226">
        <v>0.02847222222222222</v>
      </c>
      <c r="H674" s="107" t="s">
        <v>354</v>
      </c>
      <c r="I674" s="227" t="s">
        <v>354</v>
      </c>
      <c r="J674" s="227"/>
      <c r="K674" s="115" t="s">
        <v>700</v>
      </c>
      <c r="L674" s="228"/>
      <c r="M674" s="107" t="s">
        <v>441</v>
      </c>
      <c r="N674" s="229">
        <f>IF(AND(O674=TRUE,P674=TRUE), VLOOKUP($E674,PESSOAL!$B$35:$S$45,MONTH($F674)+6,FALSE)*G674*24,0)</f>
        <v>32.75466856</v>
      </c>
      <c r="O674" s="89" t="b">
        <f t="shared" si="1"/>
        <v>1</v>
      </c>
      <c r="P674" s="89" t="b">
        <v>1</v>
      </c>
      <c r="Q674" s="89" t="s">
        <v>212</v>
      </c>
    </row>
    <row r="675" hidden="1">
      <c r="A675" s="108"/>
      <c r="B675" s="202"/>
      <c r="C675" s="202" t="str">
        <f>VLOOKUP(M675,'#verificação horas por projeto'!A:B,2,FALSE)</f>
        <v>INOV00001</v>
      </c>
      <c r="D675" s="202" t="s">
        <v>3</v>
      </c>
      <c r="E675" s="107" t="s">
        <v>146</v>
      </c>
      <c r="F675" s="211">
        <v>45566.0</v>
      </c>
      <c r="G675" s="226">
        <v>0.08333333333333333</v>
      </c>
      <c r="H675" s="107" t="s">
        <v>356</v>
      </c>
      <c r="I675" s="227" t="s">
        <v>356</v>
      </c>
      <c r="J675" s="227"/>
      <c r="K675" s="115" t="s">
        <v>701</v>
      </c>
      <c r="L675" s="228"/>
      <c r="M675" s="107" t="s">
        <v>386</v>
      </c>
      <c r="N675" s="229">
        <f>IF(AND(O675=TRUE,P675=TRUE), VLOOKUP($E675,PESSOAL!$B$35:$S$45,MONTH($F675)+6,FALSE)*G675*24,0)</f>
        <v>126.8244769</v>
      </c>
      <c r="O675" s="89" t="b">
        <f t="shared" si="1"/>
        <v>1</v>
      </c>
      <c r="P675" s="89" t="b">
        <v>1</v>
      </c>
      <c r="Q675" s="89" t="s">
        <v>212</v>
      </c>
    </row>
    <row r="676" hidden="1">
      <c r="A676" s="108"/>
      <c r="B676" s="202"/>
      <c r="C676" s="202" t="str">
        <f>VLOOKUP(M676,'#verificação horas por projeto'!A:B,2,FALSE)</f>
        <v>INOV00001</v>
      </c>
      <c r="D676" s="202" t="s">
        <v>3</v>
      </c>
      <c r="E676" s="107" t="s">
        <v>146</v>
      </c>
      <c r="F676" s="211">
        <v>45566.0</v>
      </c>
      <c r="G676" s="226">
        <v>0.020833333333333332</v>
      </c>
      <c r="H676" s="107" t="s">
        <v>359</v>
      </c>
      <c r="I676" s="227" t="s">
        <v>356</v>
      </c>
      <c r="J676" s="227"/>
      <c r="K676" s="115" t="s">
        <v>643</v>
      </c>
      <c r="L676" s="228" t="s">
        <v>702</v>
      </c>
      <c r="M676" s="107" t="s">
        <v>386</v>
      </c>
      <c r="N676" s="229">
        <f>IF(AND(O676=TRUE,P676=TRUE), VLOOKUP($E676,PESSOAL!$B$35:$S$45,MONTH($F676)+6,FALSE)*G676*24,0)</f>
        <v>31.70611922</v>
      </c>
      <c r="O676" s="89" t="b">
        <f t="shared" si="1"/>
        <v>1</v>
      </c>
      <c r="P676" s="89" t="b">
        <v>1</v>
      </c>
      <c r="Q676" s="89" t="s">
        <v>212</v>
      </c>
    </row>
    <row r="677" hidden="1">
      <c r="A677" s="108"/>
      <c r="B677" s="202"/>
      <c r="C677" s="202" t="str">
        <f>VLOOKUP(M677,'#verificação horas por projeto'!A:B,2,FALSE)</f>
        <v>INOV00001</v>
      </c>
      <c r="D677" s="202" t="s">
        <v>3</v>
      </c>
      <c r="E677" s="107" t="s">
        <v>146</v>
      </c>
      <c r="F677" s="211">
        <v>45566.0</v>
      </c>
      <c r="G677" s="226">
        <v>0.020833333333333332</v>
      </c>
      <c r="H677" s="107" t="s">
        <v>356</v>
      </c>
      <c r="I677" s="227" t="s">
        <v>356</v>
      </c>
      <c r="J677" s="227"/>
      <c r="K677" s="115" t="s">
        <v>703</v>
      </c>
      <c r="L677" s="228"/>
      <c r="M677" s="107" t="s">
        <v>386</v>
      </c>
      <c r="N677" s="229">
        <f>IF(AND(O677=TRUE,P677=TRUE), VLOOKUP($E677,PESSOAL!$B$35:$S$45,MONTH($F677)+6,FALSE)*G677*24,0)</f>
        <v>31.70611922</v>
      </c>
      <c r="O677" s="89" t="b">
        <f t="shared" si="1"/>
        <v>1</v>
      </c>
      <c r="P677" s="89" t="b">
        <v>1</v>
      </c>
      <c r="Q677" s="89" t="s">
        <v>212</v>
      </c>
    </row>
    <row r="678" hidden="1">
      <c r="A678" s="108"/>
      <c r="B678" s="202"/>
      <c r="C678" s="202" t="str">
        <f>VLOOKUP(M678,'#verificação horas por projeto'!A:B,2,FALSE)</f>
        <v>INOV00001</v>
      </c>
      <c r="D678" s="202" t="s">
        <v>3</v>
      </c>
      <c r="E678" s="107" t="s">
        <v>146</v>
      </c>
      <c r="F678" s="211">
        <v>45567.0</v>
      </c>
      <c r="G678" s="226">
        <v>0.020833333333333332</v>
      </c>
      <c r="H678" s="107" t="s">
        <v>356</v>
      </c>
      <c r="I678" s="227" t="s">
        <v>356</v>
      </c>
      <c r="J678" s="227"/>
      <c r="K678" s="115" t="s">
        <v>415</v>
      </c>
      <c r="L678" s="228"/>
      <c r="M678" s="107" t="s">
        <v>386</v>
      </c>
      <c r="N678" s="229">
        <f>IF(AND(O678=TRUE,P678=TRUE), VLOOKUP($E678,PESSOAL!$B$35:$S$45,MONTH($F678)+6,FALSE)*G678*24,0)</f>
        <v>31.70611922</v>
      </c>
      <c r="O678" s="89" t="b">
        <f t="shared" si="1"/>
        <v>1</v>
      </c>
      <c r="P678" s="89" t="b">
        <v>1</v>
      </c>
      <c r="Q678" s="89" t="s">
        <v>212</v>
      </c>
    </row>
    <row r="679" hidden="1">
      <c r="A679" s="108"/>
      <c r="B679" s="202"/>
      <c r="C679" s="202" t="str">
        <f>VLOOKUP(M679,'#verificação horas por projeto'!A:B,2,FALSE)</f>
        <v>INOV00001</v>
      </c>
      <c r="D679" s="202" t="s">
        <v>3</v>
      </c>
      <c r="E679" s="107" t="s">
        <v>146</v>
      </c>
      <c r="F679" s="211">
        <v>45568.0</v>
      </c>
      <c r="G679" s="226">
        <v>0.2916666666666667</v>
      </c>
      <c r="H679" s="107" t="s">
        <v>356</v>
      </c>
      <c r="I679" s="227" t="s">
        <v>356</v>
      </c>
      <c r="J679" s="227"/>
      <c r="K679" s="115" t="s">
        <v>701</v>
      </c>
      <c r="L679" s="228"/>
      <c r="M679" s="107" t="s">
        <v>386</v>
      </c>
      <c r="N679" s="229">
        <f>IF(AND(O679=TRUE,P679=TRUE), VLOOKUP($E679,PESSOAL!$B$35:$S$45,MONTH($F679)+6,FALSE)*G679*24,0)</f>
        <v>443.8856691</v>
      </c>
      <c r="O679" s="89" t="b">
        <f t="shared" si="1"/>
        <v>1</v>
      </c>
      <c r="P679" s="89" t="b">
        <v>1</v>
      </c>
      <c r="Q679" s="89" t="s">
        <v>212</v>
      </c>
    </row>
    <row r="680" hidden="1">
      <c r="A680" s="108"/>
      <c r="B680" s="202"/>
      <c r="C680" s="202" t="str">
        <f>VLOOKUP(M680,'#verificação horas por projeto'!A:B,2,FALSE)</f>
        <v>INOV00001</v>
      </c>
      <c r="D680" s="202" t="s">
        <v>3</v>
      </c>
      <c r="E680" s="107" t="s">
        <v>146</v>
      </c>
      <c r="F680" s="211">
        <v>45568.0</v>
      </c>
      <c r="G680" s="226">
        <v>0.0625</v>
      </c>
      <c r="H680" s="107" t="s">
        <v>356</v>
      </c>
      <c r="I680" s="227" t="s">
        <v>356</v>
      </c>
      <c r="J680" s="227"/>
      <c r="K680" s="115" t="s">
        <v>704</v>
      </c>
      <c r="L680" s="228"/>
      <c r="M680" s="107" t="s">
        <v>386</v>
      </c>
      <c r="N680" s="229">
        <f>IF(AND(O680=TRUE,P680=TRUE), VLOOKUP($E680,PESSOAL!$B$35:$S$45,MONTH($F680)+6,FALSE)*G680*24,0)</f>
        <v>95.11835767</v>
      </c>
      <c r="O680" s="89" t="b">
        <f t="shared" si="1"/>
        <v>1</v>
      </c>
      <c r="P680" s="89" t="b">
        <v>1</v>
      </c>
      <c r="Q680" s="89" t="s">
        <v>212</v>
      </c>
    </row>
    <row r="681" hidden="1">
      <c r="A681" s="108"/>
      <c r="B681" s="202"/>
      <c r="C681" s="202" t="str">
        <f>VLOOKUP(M681,'#verificação horas por projeto'!A:B,2,FALSE)</f>
        <v>INOV00001</v>
      </c>
      <c r="D681" s="202" t="s">
        <v>3</v>
      </c>
      <c r="E681" s="107" t="s">
        <v>146</v>
      </c>
      <c r="F681" s="211">
        <v>45569.0</v>
      </c>
      <c r="G681" s="226">
        <v>0.04861111111111111</v>
      </c>
      <c r="H681" s="107" t="s">
        <v>356</v>
      </c>
      <c r="I681" s="227" t="s">
        <v>356</v>
      </c>
      <c r="J681" s="227"/>
      <c r="K681" s="115" t="s">
        <v>705</v>
      </c>
      <c r="L681" s="228"/>
      <c r="M681" s="107" t="s">
        <v>386</v>
      </c>
      <c r="N681" s="229">
        <f>IF(AND(O681=TRUE,P681=TRUE), VLOOKUP($E681,PESSOAL!$B$35:$S$45,MONTH($F681)+6,FALSE)*G681*24,0)</f>
        <v>73.98094485</v>
      </c>
      <c r="O681" s="89" t="b">
        <f t="shared" si="1"/>
        <v>1</v>
      </c>
      <c r="P681" s="89" t="b">
        <v>1</v>
      </c>
      <c r="Q681" s="89" t="s">
        <v>212</v>
      </c>
    </row>
    <row r="682" hidden="1">
      <c r="A682" s="108"/>
      <c r="B682" s="202"/>
      <c r="C682" s="202" t="str">
        <f>VLOOKUP(M682,'#verificação horas por projeto'!A:B,2,FALSE)</f>
        <v>INOV00001</v>
      </c>
      <c r="D682" s="202" t="s">
        <v>3</v>
      </c>
      <c r="E682" s="107" t="s">
        <v>146</v>
      </c>
      <c r="F682" s="211">
        <v>45574.0</v>
      </c>
      <c r="G682" s="226">
        <v>0.041666666666666664</v>
      </c>
      <c r="H682" s="107" t="s">
        <v>356</v>
      </c>
      <c r="I682" s="227" t="s">
        <v>356</v>
      </c>
      <c r="J682" s="227"/>
      <c r="K682" s="115" t="s">
        <v>706</v>
      </c>
      <c r="L682" s="228"/>
      <c r="M682" s="107" t="s">
        <v>386</v>
      </c>
      <c r="N682" s="229">
        <f>IF(AND(O682=TRUE,P682=TRUE), VLOOKUP($E682,PESSOAL!$B$35:$S$45,MONTH($F682)+6,FALSE)*G682*24,0)</f>
        <v>63.41223845</v>
      </c>
      <c r="O682" s="89" t="b">
        <f t="shared" si="1"/>
        <v>1</v>
      </c>
      <c r="P682" s="89" t="b">
        <v>1</v>
      </c>
      <c r="Q682" s="89" t="s">
        <v>212</v>
      </c>
    </row>
    <row r="683" hidden="1">
      <c r="A683" s="108"/>
      <c r="B683" s="202"/>
      <c r="C683" s="202" t="str">
        <f>VLOOKUP(M683,'#verificação horas por projeto'!A:B,2,FALSE)</f>
        <v>INOV00001</v>
      </c>
      <c r="D683" s="202" t="s">
        <v>3</v>
      </c>
      <c r="E683" s="107" t="s">
        <v>146</v>
      </c>
      <c r="F683" s="211">
        <v>45575.0</v>
      </c>
      <c r="G683" s="226">
        <v>0.020833333333333332</v>
      </c>
      <c r="H683" s="107" t="s">
        <v>356</v>
      </c>
      <c r="I683" s="227" t="s">
        <v>356</v>
      </c>
      <c r="J683" s="227"/>
      <c r="K683" s="115" t="s">
        <v>707</v>
      </c>
      <c r="L683" s="228"/>
      <c r="M683" s="107" t="s">
        <v>386</v>
      </c>
      <c r="N683" s="229">
        <f>IF(AND(O683=TRUE,P683=TRUE), VLOOKUP($E683,PESSOAL!$B$35:$S$45,MONTH($F683)+6,FALSE)*G683*24,0)</f>
        <v>31.70611922</v>
      </c>
      <c r="O683" s="89" t="b">
        <f t="shared" si="1"/>
        <v>1</v>
      </c>
      <c r="P683" s="89" t="b">
        <v>1</v>
      </c>
      <c r="Q683" s="89" t="s">
        <v>212</v>
      </c>
    </row>
    <row r="684" hidden="1">
      <c r="A684" s="108"/>
      <c r="B684" s="202"/>
      <c r="C684" s="202" t="str">
        <f>VLOOKUP(M684,'#verificação horas por projeto'!A:B,2,FALSE)</f>
        <v>INOV00001</v>
      </c>
      <c r="D684" s="202" t="s">
        <v>3</v>
      </c>
      <c r="E684" s="107" t="s">
        <v>146</v>
      </c>
      <c r="F684" s="211">
        <v>45575.0</v>
      </c>
      <c r="G684" s="226">
        <v>0.04861111111111111</v>
      </c>
      <c r="H684" s="107" t="s">
        <v>356</v>
      </c>
      <c r="I684" s="227" t="s">
        <v>356</v>
      </c>
      <c r="J684" s="227"/>
      <c r="K684" s="115" t="s">
        <v>708</v>
      </c>
      <c r="L684" s="228"/>
      <c r="M684" s="107" t="s">
        <v>386</v>
      </c>
      <c r="N684" s="229">
        <f>IF(AND(O684=TRUE,P684=TRUE), VLOOKUP($E684,PESSOAL!$B$35:$S$45,MONTH($F684)+6,FALSE)*G684*24,0)</f>
        <v>73.98094485</v>
      </c>
      <c r="O684" s="89" t="b">
        <f t="shared" si="1"/>
        <v>1</v>
      </c>
      <c r="P684" s="89" t="b">
        <v>1</v>
      </c>
      <c r="Q684" s="89" t="s">
        <v>212</v>
      </c>
    </row>
    <row r="685" hidden="1">
      <c r="A685" s="108"/>
      <c r="B685" s="202"/>
      <c r="C685" s="202" t="str">
        <f>VLOOKUP(M685,'#verificação horas por projeto'!A:B,2,FALSE)</f>
        <v>INOV00001</v>
      </c>
      <c r="D685" s="202" t="s">
        <v>3</v>
      </c>
      <c r="E685" s="107" t="s">
        <v>134</v>
      </c>
      <c r="F685" s="211">
        <v>45568.0</v>
      </c>
      <c r="G685" s="226">
        <v>0.10416666666666667</v>
      </c>
      <c r="H685" s="107" t="s">
        <v>356</v>
      </c>
      <c r="I685" s="227" t="s">
        <v>356</v>
      </c>
      <c r="J685" s="227"/>
      <c r="K685" s="115" t="s">
        <v>709</v>
      </c>
      <c r="L685" s="228"/>
      <c r="M685" s="107" t="s">
        <v>386</v>
      </c>
      <c r="N685" s="229">
        <f>IF(AND(O685=TRUE,P685=TRUE), VLOOKUP($E685,PESSOAL!$B$35:$S$45,MONTH($F685)+6,FALSE)*G685*24,0)</f>
        <v>245.9758552</v>
      </c>
      <c r="O685" s="89" t="b">
        <f t="shared" si="1"/>
        <v>1</v>
      </c>
      <c r="P685" s="89" t="b">
        <v>1</v>
      </c>
      <c r="Q685" s="89" t="s">
        <v>212</v>
      </c>
    </row>
    <row r="686" hidden="1">
      <c r="A686" s="108"/>
      <c r="B686" s="202"/>
      <c r="C686" s="202" t="str">
        <f>VLOOKUP(M686,'#verificação horas por projeto'!A:B,2,FALSE)</f>
        <v>INOV00044</v>
      </c>
      <c r="D686" s="202" t="s">
        <v>374</v>
      </c>
      <c r="E686" s="107" t="s">
        <v>134</v>
      </c>
      <c r="F686" s="211">
        <v>45573.0</v>
      </c>
      <c r="G686" s="226">
        <v>0.16666666666666666</v>
      </c>
      <c r="H686" s="107" t="s">
        <v>356</v>
      </c>
      <c r="I686" s="227" t="s">
        <v>356</v>
      </c>
      <c r="J686" s="227"/>
      <c r="K686" s="115" t="s">
        <v>710</v>
      </c>
      <c r="L686" s="228"/>
      <c r="M686" s="107" t="s">
        <v>376</v>
      </c>
      <c r="N686" s="229">
        <f>IF(AND(O686=TRUE,P686=TRUE), VLOOKUP($E686,PESSOAL!$B$35:$S$45,MONTH($F686)+6,FALSE)*G686*24,0)</f>
        <v>0</v>
      </c>
      <c r="O686" s="89" t="b">
        <f t="shared" si="1"/>
        <v>1</v>
      </c>
      <c r="P686" s="89" t="b">
        <v>0</v>
      </c>
      <c r="Q686" s="89" t="s">
        <v>212</v>
      </c>
    </row>
    <row r="687" hidden="1">
      <c r="A687" s="108"/>
      <c r="B687" s="202"/>
      <c r="C687" s="202" t="str">
        <f>VLOOKUP(M687,'#verificação horas por projeto'!A:B,2,FALSE)</f>
        <v>INOV00001</v>
      </c>
      <c r="D687" s="202" t="s">
        <v>3</v>
      </c>
      <c r="E687" s="107" t="s">
        <v>134</v>
      </c>
      <c r="F687" s="211">
        <v>45588.0</v>
      </c>
      <c r="G687" s="226">
        <v>0.20833333333333334</v>
      </c>
      <c r="H687" s="107" t="s">
        <v>356</v>
      </c>
      <c r="I687" s="227" t="s">
        <v>356</v>
      </c>
      <c r="J687" s="227"/>
      <c r="K687" s="115" t="s">
        <v>711</v>
      </c>
      <c r="L687" s="228"/>
      <c r="M687" s="107" t="s">
        <v>386</v>
      </c>
      <c r="N687" s="229">
        <f>IF(AND(O687=TRUE,P687=TRUE), VLOOKUP($E687,PESSOAL!$B$35:$S$45,MONTH($F687)+6,FALSE)*G687*24,0)</f>
        <v>491.9517105</v>
      </c>
      <c r="O687" s="89" t="b">
        <f t="shared" si="1"/>
        <v>1</v>
      </c>
      <c r="P687" s="89" t="b">
        <v>1</v>
      </c>
      <c r="Q687" s="89" t="s">
        <v>212</v>
      </c>
    </row>
    <row r="688" hidden="1">
      <c r="A688" s="108"/>
      <c r="B688" s="202"/>
      <c r="C688" s="202" t="str">
        <f>VLOOKUP(M688,'#verificação horas por projeto'!A:B,2,FALSE)</f>
        <v>INOV00001</v>
      </c>
      <c r="D688" s="202" t="s">
        <v>3</v>
      </c>
      <c r="E688" s="107" t="s">
        <v>134</v>
      </c>
      <c r="F688" s="211">
        <v>45600.0</v>
      </c>
      <c r="G688" s="226">
        <v>0.25</v>
      </c>
      <c r="H688" s="107" t="s">
        <v>359</v>
      </c>
      <c r="I688" s="227" t="s">
        <v>356</v>
      </c>
      <c r="J688" s="227"/>
      <c r="K688" s="115" t="s">
        <v>712</v>
      </c>
      <c r="L688" s="228" t="s">
        <v>713</v>
      </c>
      <c r="M688" s="107" t="s">
        <v>386</v>
      </c>
      <c r="N688" s="229">
        <f>IF(AND(O688=TRUE,P688=TRUE), VLOOKUP($E688,PESSOAL!$B$35:$S$45,MONTH($F688)+6,FALSE)*G688*24,0)</f>
        <v>649.3762578</v>
      </c>
      <c r="O688" s="89" t="b">
        <f t="shared" si="1"/>
        <v>1</v>
      </c>
      <c r="P688" s="89" t="b">
        <v>1</v>
      </c>
      <c r="Q688" s="89" t="s">
        <v>212</v>
      </c>
    </row>
    <row r="689" hidden="1">
      <c r="A689" s="108"/>
      <c r="B689" s="202"/>
      <c r="C689" s="202" t="str">
        <f>VLOOKUP(M689,'#verificação horas por projeto'!A:B,2,FALSE)</f>
        <v>INOV00001</v>
      </c>
      <c r="D689" s="202" t="s">
        <v>3</v>
      </c>
      <c r="E689" s="107" t="s">
        <v>134</v>
      </c>
      <c r="F689" s="211">
        <v>45601.0</v>
      </c>
      <c r="G689" s="226">
        <v>0.40625</v>
      </c>
      <c r="H689" s="107" t="s">
        <v>356</v>
      </c>
      <c r="I689" s="227" t="s">
        <v>356</v>
      </c>
      <c r="J689" s="227"/>
      <c r="K689" s="115" t="s">
        <v>714</v>
      </c>
      <c r="L689" s="228"/>
      <c r="M689" s="107" t="s">
        <v>386</v>
      </c>
      <c r="N689" s="229">
        <f>IF(AND(O689=TRUE,P689=TRUE), VLOOKUP($E689,PESSOAL!$B$35:$S$45,MONTH($F689)+6,FALSE)*G689*24,0)</f>
        <v>1055.236419</v>
      </c>
      <c r="O689" s="89" t="b">
        <f t="shared" si="1"/>
        <v>1</v>
      </c>
      <c r="P689" s="89" t="b">
        <v>1</v>
      </c>
      <c r="Q689" s="89" t="s">
        <v>212</v>
      </c>
    </row>
    <row r="690" hidden="1">
      <c r="A690" s="108"/>
      <c r="B690" s="202"/>
      <c r="C690" s="202" t="str">
        <f>VLOOKUP(M690,'#verificação horas por projeto'!A:B,2,FALSE)</f>
        <v>INOV00001</v>
      </c>
      <c r="D690" s="202" t="s">
        <v>3</v>
      </c>
      <c r="E690" s="107" t="s">
        <v>134</v>
      </c>
      <c r="F690" s="211">
        <v>45602.0</v>
      </c>
      <c r="G690" s="226">
        <v>0.40625</v>
      </c>
      <c r="H690" s="107" t="s">
        <v>356</v>
      </c>
      <c r="I690" s="227" t="s">
        <v>356</v>
      </c>
      <c r="J690" s="227"/>
      <c r="K690" s="115" t="s">
        <v>715</v>
      </c>
      <c r="L690" s="228"/>
      <c r="M690" s="107" t="s">
        <v>386</v>
      </c>
      <c r="N690" s="229">
        <f>IF(AND(O690=TRUE,P690=TRUE), VLOOKUP($E690,PESSOAL!$B$35:$S$45,MONTH($F690)+6,FALSE)*G690*24,0)</f>
        <v>1055.236419</v>
      </c>
      <c r="O690" s="89" t="b">
        <f t="shared" si="1"/>
        <v>1</v>
      </c>
      <c r="P690" s="89" t="b">
        <v>1</v>
      </c>
      <c r="Q690" s="89" t="s">
        <v>212</v>
      </c>
    </row>
    <row r="691" hidden="1">
      <c r="A691" s="108"/>
      <c r="B691" s="202"/>
      <c r="C691" s="202" t="str">
        <f>VLOOKUP(M691,'#verificação horas por projeto'!A:B,2,FALSE)</f>
        <v>INOV00001</v>
      </c>
      <c r="D691" s="202" t="s">
        <v>3</v>
      </c>
      <c r="E691" s="107" t="s">
        <v>134</v>
      </c>
      <c r="F691" s="211">
        <v>45603.0</v>
      </c>
      <c r="G691" s="226">
        <v>0.40625</v>
      </c>
      <c r="H691" s="107" t="s">
        <v>356</v>
      </c>
      <c r="I691" s="227" t="s">
        <v>356</v>
      </c>
      <c r="J691" s="227"/>
      <c r="K691" s="115" t="s">
        <v>716</v>
      </c>
      <c r="L691" s="228"/>
      <c r="M691" s="107" t="s">
        <v>386</v>
      </c>
      <c r="N691" s="229">
        <f>IF(AND(O691=TRUE,P691=TRUE), VLOOKUP($E691,PESSOAL!$B$35:$S$45,MONTH($F691)+6,FALSE)*G691*24,0)</f>
        <v>1055.236419</v>
      </c>
      <c r="O691" s="89" t="b">
        <f t="shared" si="1"/>
        <v>1</v>
      </c>
      <c r="P691" s="89" t="b">
        <v>1</v>
      </c>
      <c r="Q691" s="89" t="s">
        <v>212</v>
      </c>
    </row>
    <row r="692" hidden="1">
      <c r="A692" s="108"/>
      <c r="B692" s="202"/>
      <c r="C692" s="202" t="str">
        <f>VLOOKUP(M692,'#verificação horas por projeto'!A:B,2,FALSE)</f>
        <v>INOV00016</v>
      </c>
      <c r="D692" s="202" t="s">
        <v>9</v>
      </c>
      <c r="E692" s="107" t="s">
        <v>134</v>
      </c>
      <c r="F692" s="211">
        <v>45617.0</v>
      </c>
      <c r="G692" s="226">
        <v>0.041666666666666664</v>
      </c>
      <c r="H692" s="107" t="s">
        <v>356</v>
      </c>
      <c r="I692" s="227" t="s">
        <v>356</v>
      </c>
      <c r="J692" s="227"/>
      <c r="K692" s="115" t="s">
        <v>717</v>
      </c>
      <c r="L692" s="228"/>
      <c r="M692" s="107" t="s">
        <v>410</v>
      </c>
      <c r="N692" s="229">
        <f>IF(AND(O692=TRUE,P692=TRUE), VLOOKUP($E692,PESSOAL!$B$35:$S$45,MONTH($F692)+6,FALSE)*G692*24,0)</f>
        <v>108.2293763</v>
      </c>
      <c r="O692" s="89" t="b">
        <f t="shared" si="1"/>
        <v>1</v>
      </c>
      <c r="P692" s="89" t="b">
        <v>1</v>
      </c>
      <c r="Q692" s="89" t="s">
        <v>212</v>
      </c>
    </row>
    <row r="693" hidden="1">
      <c r="A693" s="108"/>
      <c r="B693" s="202"/>
      <c r="C693" s="202" t="str">
        <f>VLOOKUP(M693,'#verificação horas por projeto'!A:B,2,FALSE)</f>
        <v>INOV00006</v>
      </c>
      <c r="D693" s="202" t="s">
        <v>5</v>
      </c>
      <c r="E693" s="107" t="s">
        <v>134</v>
      </c>
      <c r="F693" s="211">
        <v>45628.0</v>
      </c>
      <c r="G693" s="226">
        <v>0.0625</v>
      </c>
      <c r="H693" s="107" t="s">
        <v>356</v>
      </c>
      <c r="I693" s="227" t="s">
        <v>356</v>
      </c>
      <c r="J693" s="227"/>
      <c r="K693" s="115" t="s">
        <v>718</v>
      </c>
      <c r="L693" s="228"/>
      <c r="M693" s="107" t="s">
        <v>379</v>
      </c>
      <c r="N693" s="229">
        <f>IF(AND(O693=TRUE,P693=TRUE), VLOOKUP($E693,PESSOAL!$B$35:$S$45,MONTH($F693)+6,FALSE)*G693*24,0)</f>
        <v>154.6133947</v>
      </c>
      <c r="O693" s="89" t="b">
        <f t="shared" si="1"/>
        <v>1</v>
      </c>
      <c r="P693" s="89" t="b">
        <v>1</v>
      </c>
      <c r="Q693" s="89" t="s">
        <v>212</v>
      </c>
    </row>
    <row r="694" hidden="1">
      <c r="A694" s="108"/>
      <c r="B694" s="202"/>
      <c r="C694" s="202" t="str">
        <f>VLOOKUP(M694,'#verificação horas por projeto'!A:B,2,FALSE)</f>
        <v>INOV00001</v>
      </c>
      <c r="D694" s="202" t="s">
        <v>3</v>
      </c>
      <c r="E694" s="107" t="s">
        <v>134</v>
      </c>
      <c r="F694" s="211">
        <v>45630.0</v>
      </c>
      <c r="G694" s="226">
        <v>0.041666666666666664</v>
      </c>
      <c r="H694" s="107" t="s">
        <v>354</v>
      </c>
      <c r="I694" s="227" t="s">
        <v>354</v>
      </c>
      <c r="J694" s="227"/>
      <c r="K694" s="115" t="s">
        <v>719</v>
      </c>
      <c r="L694" s="228"/>
      <c r="M694" s="107" t="s">
        <v>386</v>
      </c>
      <c r="N694" s="229">
        <f>IF(AND(O694=TRUE,P694=TRUE), VLOOKUP($E694,PESSOAL!$B$35:$S$45,MONTH($F694)+6,FALSE)*G694*24,0)</f>
        <v>103.0755965</v>
      </c>
      <c r="O694" s="89" t="b">
        <f t="shared" si="1"/>
        <v>1</v>
      </c>
      <c r="P694" s="89" t="b">
        <v>1</v>
      </c>
      <c r="Q694" s="89" t="s">
        <v>212</v>
      </c>
    </row>
    <row r="695" hidden="1">
      <c r="A695" s="108"/>
      <c r="B695" s="202"/>
      <c r="C695" s="202" t="str">
        <f>VLOOKUP(M695,'#verificação horas por projeto'!A:B,2,FALSE)</f>
        <v>INOV00014</v>
      </c>
      <c r="D695" s="202" t="s">
        <v>8</v>
      </c>
      <c r="E695" s="107" t="s">
        <v>134</v>
      </c>
      <c r="F695" s="211">
        <v>45645.0</v>
      </c>
      <c r="G695" s="226">
        <v>0.10416666666666667</v>
      </c>
      <c r="H695" s="107" t="s">
        <v>356</v>
      </c>
      <c r="I695" s="227" t="s">
        <v>356</v>
      </c>
      <c r="J695" s="227"/>
      <c r="K695" s="115" t="s">
        <v>720</v>
      </c>
      <c r="L695" s="228"/>
      <c r="M695" s="107" t="s">
        <v>441</v>
      </c>
      <c r="N695" s="229">
        <f>IF(AND(O695=TRUE,P695=TRUE), VLOOKUP($E695,PESSOAL!$B$35:$S$45,MONTH($F695)+6,FALSE)*G695*24,0)</f>
        <v>257.6889912</v>
      </c>
      <c r="O695" s="89" t="b">
        <f t="shared" si="1"/>
        <v>1</v>
      </c>
      <c r="P695" s="89" t="b">
        <v>1</v>
      </c>
      <c r="Q695" s="89" t="s">
        <v>212</v>
      </c>
    </row>
    <row r="696" hidden="1">
      <c r="A696" s="108"/>
      <c r="B696" s="202"/>
      <c r="C696" s="202" t="str">
        <f>VLOOKUP(M696,'#verificação horas por projeto'!A:B,2,FALSE)</f>
        <v>INOV00001</v>
      </c>
      <c r="D696" s="202" t="s">
        <v>3</v>
      </c>
      <c r="E696" s="107" t="s">
        <v>145</v>
      </c>
      <c r="F696" s="211">
        <v>45566.0</v>
      </c>
      <c r="G696" s="226">
        <v>0.1875</v>
      </c>
      <c r="H696" s="107" t="s">
        <v>354</v>
      </c>
      <c r="I696" s="227" t="s">
        <v>354</v>
      </c>
      <c r="J696" s="227"/>
      <c r="K696" s="115" t="s">
        <v>677</v>
      </c>
      <c r="L696" s="228"/>
      <c r="M696" s="107" t="s">
        <v>386</v>
      </c>
      <c r="N696" s="229">
        <f>IF(AND(O696=TRUE,P696=TRUE), VLOOKUP($E696,PESSOAL!$B$35:$S$45,MONTH($F696)+6,FALSE)*G696*24,0)</f>
        <v>205.8968634</v>
      </c>
      <c r="O696" s="89" t="b">
        <f t="shared" si="1"/>
        <v>1</v>
      </c>
      <c r="P696" s="89" t="b">
        <v>1</v>
      </c>
      <c r="Q696" s="89" t="s">
        <v>212</v>
      </c>
    </row>
    <row r="697" hidden="1">
      <c r="A697" s="108"/>
      <c r="B697" s="202"/>
      <c r="C697" s="202" t="str">
        <f>VLOOKUP(M697,'#verificação horas por projeto'!A:B,2,FALSE)</f>
        <v>INOV00006</v>
      </c>
      <c r="D697" s="202" t="s">
        <v>5</v>
      </c>
      <c r="E697" s="107" t="s">
        <v>131</v>
      </c>
      <c r="F697" s="211">
        <v>45579.0</v>
      </c>
      <c r="G697" s="226">
        <v>0.041666666666666664</v>
      </c>
      <c r="H697" s="107" t="s">
        <v>356</v>
      </c>
      <c r="I697" s="227" t="s">
        <v>356</v>
      </c>
      <c r="J697" s="227"/>
      <c r="K697" s="115" t="s">
        <v>721</v>
      </c>
      <c r="L697" s="228"/>
      <c r="M697" s="107" t="s">
        <v>379</v>
      </c>
      <c r="N697" s="229">
        <f>IF(AND(O697=TRUE,P697=TRUE), VLOOKUP($E697,PESSOAL!$B$35:$S$45,MONTH($F697)+6,FALSE)*G697*24,0)</f>
        <v>51.28276506</v>
      </c>
      <c r="O697" s="89" t="b">
        <f t="shared" si="1"/>
        <v>1</v>
      </c>
      <c r="P697" s="89" t="b">
        <v>1</v>
      </c>
      <c r="Q697" s="89" t="s">
        <v>212</v>
      </c>
    </row>
    <row r="698" hidden="1">
      <c r="A698" s="108"/>
      <c r="B698" s="202"/>
      <c r="C698" s="202" t="str">
        <f>VLOOKUP(M698,'#verificação horas por projeto'!A:B,2,FALSE)</f>
        <v>INOV00006</v>
      </c>
      <c r="D698" s="202" t="s">
        <v>5</v>
      </c>
      <c r="E698" s="107" t="s">
        <v>131</v>
      </c>
      <c r="F698" s="211">
        <v>45579.0</v>
      </c>
      <c r="G698" s="226">
        <v>0.020833333333333332</v>
      </c>
      <c r="H698" s="107" t="s">
        <v>356</v>
      </c>
      <c r="I698" s="227" t="s">
        <v>356</v>
      </c>
      <c r="J698" s="227"/>
      <c r="K698" s="115" t="s">
        <v>722</v>
      </c>
      <c r="L698" s="228"/>
      <c r="M698" s="107" t="s">
        <v>379</v>
      </c>
      <c r="N698" s="229">
        <f>IF(AND(O698=TRUE,P698=TRUE), VLOOKUP($E698,PESSOAL!$B$35:$S$45,MONTH($F698)+6,FALSE)*G698*24,0)</f>
        <v>25.64138253</v>
      </c>
      <c r="O698" s="89" t="b">
        <f t="shared" si="1"/>
        <v>1</v>
      </c>
      <c r="P698" s="89" t="b">
        <v>1</v>
      </c>
      <c r="Q698" s="89" t="s">
        <v>212</v>
      </c>
    </row>
    <row r="699" hidden="1">
      <c r="A699" s="108"/>
      <c r="B699" s="202"/>
      <c r="C699" s="202" t="str">
        <f>VLOOKUP(M699,'#verificação horas por projeto'!A:B,2,FALSE)</f>
        <v>INOV00006</v>
      </c>
      <c r="D699" s="202" t="s">
        <v>5</v>
      </c>
      <c r="E699" s="107" t="s">
        <v>131</v>
      </c>
      <c r="F699" s="211">
        <v>45581.0</v>
      </c>
      <c r="G699" s="226">
        <v>0.020833333333333332</v>
      </c>
      <c r="H699" s="107" t="s">
        <v>356</v>
      </c>
      <c r="I699" s="227" t="s">
        <v>356</v>
      </c>
      <c r="J699" s="227"/>
      <c r="K699" s="115" t="s">
        <v>723</v>
      </c>
      <c r="L699" s="228"/>
      <c r="M699" s="107" t="s">
        <v>379</v>
      </c>
      <c r="N699" s="229">
        <f>IF(AND(O699=TRUE,P699=TRUE), VLOOKUP($E699,PESSOAL!$B$35:$S$45,MONTH($F699)+6,FALSE)*G699*24,0)</f>
        <v>25.64138253</v>
      </c>
      <c r="O699" s="89" t="b">
        <f t="shared" si="1"/>
        <v>1</v>
      </c>
      <c r="P699" s="89" t="b">
        <v>1</v>
      </c>
      <c r="Q699" s="89" t="s">
        <v>212</v>
      </c>
    </row>
    <row r="700" hidden="1">
      <c r="A700" s="108"/>
      <c r="B700" s="202"/>
      <c r="C700" s="202" t="str">
        <f>VLOOKUP(M700,'#verificação horas por projeto'!A:B,2,FALSE)</f>
        <v>INOV00020</v>
      </c>
      <c r="D700" s="202" t="s">
        <v>11</v>
      </c>
      <c r="E700" s="107" t="s">
        <v>131</v>
      </c>
      <c r="F700" s="211">
        <v>45581.0</v>
      </c>
      <c r="G700" s="226">
        <v>0.2916666666666667</v>
      </c>
      <c r="H700" s="107" t="s">
        <v>356</v>
      </c>
      <c r="I700" s="227" t="s">
        <v>356</v>
      </c>
      <c r="J700" s="227"/>
      <c r="K700" s="115" t="s">
        <v>724</v>
      </c>
      <c r="L700" s="228"/>
      <c r="M700" s="107" t="s">
        <v>457</v>
      </c>
      <c r="N700" s="229">
        <f>IF(AND(O700=TRUE,P700=TRUE), VLOOKUP($E700,PESSOAL!$B$35:$S$45,MONTH($F700)+6,FALSE)*G700*24,0)</f>
        <v>0</v>
      </c>
      <c r="O700" s="89" t="b">
        <f t="shared" si="1"/>
        <v>1</v>
      </c>
      <c r="P700" s="89" t="b">
        <v>0</v>
      </c>
      <c r="Q700" s="89" t="s">
        <v>212</v>
      </c>
    </row>
    <row r="701" hidden="1">
      <c r="A701" s="108"/>
      <c r="B701" s="202"/>
      <c r="C701" s="202" t="str">
        <f>VLOOKUP(M701,'#verificação horas por projeto'!A:B,2,FALSE)</f>
        <v>INOV00020</v>
      </c>
      <c r="D701" s="202" t="s">
        <v>11</v>
      </c>
      <c r="E701" s="107" t="s">
        <v>131</v>
      </c>
      <c r="F701" s="211">
        <v>45582.0</v>
      </c>
      <c r="G701" s="226">
        <v>0.041666666666666664</v>
      </c>
      <c r="H701" s="107" t="s">
        <v>356</v>
      </c>
      <c r="I701" s="227" t="s">
        <v>356</v>
      </c>
      <c r="J701" s="227"/>
      <c r="K701" s="115" t="s">
        <v>725</v>
      </c>
      <c r="L701" s="228"/>
      <c r="M701" s="107" t="s">
        <v>457</v>
      </c>
      <c r="N701" s="229">
        <f>IF(AND(O701=TRUE,P701=TRUE), VLOOKUP($E701,PESSOAL!$B$35:$S$45,MONTH($F701)+6,FALSE)*G701*24,0)</f>
        <v>0</v>
      </c>
      <c r="O701" s="89" t="b">
        <f t="shared" si="1"/>
        <v>1</v>
      </c>
      <c r="P701" s="89" t="b">
        <v>0</v>
      </c>
      <c r="Q701" s="89" t="s">
        <v>212</v>
      </c>
    </row>
    <row r="702" hidden="1">
      <c r="A702" s="108"/>
      <c r="B702" s="202"/>
      <c r="C702" s="202" t="str">
        <f>VLOOKUP(M702,'#verificação horas por projeto'!A:B,2,FALSE)</f>
        <v>INOV00020</v>
      </c>
      <c r="D702" s="202" t="s">
        <v>11</v>
      </c>
      <c r="E702" s="107" t="s">
        <v>131</v>
      </c>
      <c r="F702" s="211">
        <v>45583.0</v>
      </c>
      <c r="G702" s="226">
        <v>0.125</v>
      </c>
      <c r="H702" s="107" t="s">
        <v>356</v>
      </c>
      <c r="I702" s="227" t="s">
        <v>356</v>
      </c>
      <c r="J702" s="227"/>
      <c r="K702" s="115" t="s">
        <v>726</v>
      </c>
      <c r="L702" s="228"/>
      <c r="M702" s="107" t="s">
        <v>457</v>
      </c>
      <c r="N702" s="229">
        <f>IF(AND(O702=TRUE,P702=TRUE), VLOOKUP($E702,PESSOAL!$B$35:$S$45,MONTH($F702)+6,FALSE)*G702*24,0)</f>
        <v>0</v>
      </c>
      <c r="O702" s="89" t="b">
        <f t="shared" si="1"/>
        <v>1</v>
      </c>
      <c r="P702" s="89" t="b">
        <v>0</v>
      </c>
      <c r="Q702" s="89" t="s">
        <v>212</v>
      </c>
    </row>
    <row r="703" hidden="1">
      <c r="A703" s="108"/>
      <c r="B703" s="202"/>
      <c r="C703" s="202" t="str">
        <f>VLOOKUP(M703,'#verificação horas por projeto'!A:B,2,FALSE)</f>
        <v>INOV00006</v>
      </c>
      <c r="D703" s="202" t="s">
        <v>5</v>
      </c>
      <c r="E703" s="107" t="s">
        <v>131</v>
      </c>
      <c r="F703" s="211">
        <v>45583.0</v>
      </c>
      <c r="G703" s="226">
        <v>0.041666666666666664</v>
      </c>
      <c r="H703" s="107" t="s">
        <v>356</v>
      </c>
      <c r="I703" s="227" t="s">
        <v>356</v>
      </c>
      <c r="J703" s="227"/>
      <c r="K703" s="115" t="s">
        <v>727</v>
      </c>
      <c r="L703" s="228"/>
      <c r="M703" s="107" t="s">
        <v>379</v>
      </c>
      <c r="N703" s="229">
        <f>IF(AND(O703=TRUE,P703=TRUE), VLOOKUP($E703,PESSOAL!$B$35:$S$45,MONTH($F703)+6,FALSE)*G703*24,0)</f>
        <v>51.28276506</v>
      </c>
      <c r="O703" s="89" t="b">
        <f t="shared" si="1"/>
        <v>1</v>
      </c>
      <c r="P703" s="89" t="b">
        <v>1</v>
      </c>
      <c r="Q703" s="89" t="s">
        <v>212</v>
      </c>
    </row>
    <row r="704" hidden="1">
      <c r="A704" s="108"/>
      <c r="B704" s="202"/>
      <c r="C704" s="202" t="str">
        <f>VLOOKUP(M704,'#verificação horas por projeto'!A:B,2,FALSE)</f>
        <v>INOV00006</v>
      </c>
      <c r="D704" s="202" t="s">
        <v>5</v>
      </c>
      <c r="E704" s="107" t="s">
        <v>131</v>
      </c>
      <c r="F704" s="211">
        <v>45586.0</v>
      </c>
      <c r="G704" s="226">
        <v>0.125</v>
      </c>
      <c r="H704" s="107" t="s">
        <v>356</v>
      </c>
      <c r="I704" s="227" t="s">
        <v>356</v>
      </c>
      <c r="J704" s="227"/>
      <c r="K704" s="115" t="s">
        <v>728</v>
      </c>
      <c r="L704" s="228"/>
      <c r="M704" s="107" t="s">
        <v>379</v>
      </c>
      <c r="N704" s="229">
        <f>IF(AND(O704=TRUE,P704=TRUE), VLOOKUP($E704,PESSOAL!$B$35:$S$45,MONTH($F704)+6,FALSE)*G704*24,0)</f>
        <v>153.8482952</v>
      </c>
      <c r="O704" s="89" t="b">
        <f t="shared" si="1"/>
        <v>1</v>
      </c>
      <c r="P704" s="89" t="b">
        <v>1</v>
      </c>
      <c r="Q704" s="89" t="s">
        <v>212</v>
      </c>
    </row>
    <row r="705" hidden="1">
      <c r="A705" s="108"/>
      <c r="B705" s="202"/>
      <c r="C705" s="202" t="str">
        <f>VLOOKUP(M705,'#verificação horas por projeto'!A:B,2,FALSE)</f>
        <v>INOV00020</v>
      </c>
      <c r="D705" s="202" t="s">
        <v>11</v>
      </c>
      <c r="E705" s="107" t="s">
        <v>131</v>
      </c>
      <c r="F705" s="211">
        <v>45587.0</v>
      </c>
      <c r="G705" s="226">
        <v>0.3958333333333333</v>
      </c>
      <c r="H705" s="107" t="s">
        <v>356</v>
      </c>
      <c r="I705" s="227" t="s">
        <v>356</v>
      </c>
      <c r="J705" s="227"/>
      <c r="K705" s="115" t="s">
        <v>729</v>
      </c>
      <c r="L705" s="228"/>
      <c r="M705" s="107" t="s">
        <v>457</v>
      </c>
      <c r="N705" s="229">
        <f>IF(AND(O705=TRUE,P705=TRUE), VLOOKUP($E705,PESSOAL!$B$35:$S$45,MONTH($F705)+6,FALSE)*G705*24,0)</f>
        <v>0</v>
      </c>
      <c r="O705" s="89" t="b">
        <f t="shared" si="1"/>
        <v>1</v>
      </c>
      <c r="P705" s="89" t="b">
        <v>0</v>
      </c>
      <c r="Q705" s="89" t="s">
        <v>212</v>
      </c>
    </row>
    <row r="706" hidden="1">
      <c r="A706" s="108"/>
      <c r="B706" s="202"/>
      <c r="C706" s="202" t="str">
        <f>VLOOKUP(M706,'#verificação horas por projeto'!A:B,2,FALSE)</f>
        <v>INOV00001</v>
      </c>
      <c r="D706" s="202" t="s">
        <v>3</v>
      </c>
      <c r="E706" s="107" t="s">
        <v>131</v>
      </c>
      <c r="F706" s="211">
        <v>45589.0</v>
      </c>
      <c r="G706" s="226">
        <v>0.020833333333333332</v>
      </c>
      <c r="H706" s="107" t="s">
        <v>356</v>
      </c>
      <c r="I706" s="227" t="s">
        <v>356</v>
      </c>
      <c r="J706" s="227"/>
      <c r="K706" s="115" t="s">
        <v>730</v>
      </c>
      <c r="L706" s="228"/>
      <c r="M706" s="107" t="s">
        <v>386</v>
      </c>
      <c r="N706" s="229">
        <f>IF(AND(O706=TRUE,P706=TRUE), VLOOKUP($E706,PESSOAL!$B$35:$S$45,MONTH($F706)+6,FALSE)*G706*24,0)</f>
        <v>25.64138253</v>
      </c>
      <c r="O706" s="89" t="b">
        <f t="shared" si="1"/>
        <v>1</v>
      </c>
      <c r="P706" s="89" t="b">
        <v>1</v>
      </c>
      <c r="Q706" s="89" t="s">
        <v>212</v>
      </c>
    </row>
    <row r="707" hidden="1">
      <c r="A707" s="108"/>
      <c r="B707" s="202"/>
      <c r="C707" s="202" t="str">
        <f>VLOOKUP(M707,'#verificação horas por projeto'!A:B,2,FALSE)</f>
        <v>INOV00006</v>
      </c>
      <c r="D707" s="202" t="s">
        <v>5</v>
      </c>
      <c r="E707" s="107" t="s">
        <v>131</v>
      </c>
      <c r="F707" s="211">
        <v>45593.0</v>
      </c>
      <c r="G707" s="226">
        <v>0.020833333333333332</v>
      </c>
      <c r="H707" s="107" t="s">
        <v>356</v>
      </c>
      <c r="I707" s="227" t="s">
        <v>356</v>
      </c>
      <c r="J707" s="227"/>
      <c r="K707" s="115" t="s">
        <v>731</v>
      </c>
      <c r="L707" s="228"/>
      <c r="M707" s="107" t="s">
        <v>379</v>
      </c>
      <c r="N707" s="229">
        <f>IF(AND(O707=TRUE,P707=TRUE), VLOOKUP($E707,PESSOAL!$B$35:$S$45,MONTH($F707)+6,FALSE)*G707*24,0)</f>
        <v>25.64138253</v>
      </c>
      <c r="O707" s="89" t="b">
        <f t="shared" si="1"/>
        <v>1</v>
      </c>
      <c r="P707" s="89" t="b">
        <v>1</v>
      </c>
      <c r="Q707" s="89" t="s">
        <v>212</v>
      </c>
    </row>
    <row r="708" hidden="1">
      <c r="A708" s="108"/>
      <c r="B708" s="202"/>
      <c r="C708" s="202" t="str">
        <f>VLOOKUP(M708,'#verificação horas por projeto'!A:B,2,FALSE)</f>
        <v>INOV00006</v>
      </c>
      <c r="D708" s="202" t="s">
        <v>5</v>
      </c>
      <c r="E708" s="107" t="s">
        <v>131</v>
      </c>
      <c r="F708" s="211">
        <v>45593.0</v>
      </c>
      <c r="G708" s="226">
        <v>0.020833333333333332</v>
      </c>
      <c r="H708" s="107" t="s">
        <v>356</v>
      </c>
      <c r="I708" s="227" t="s">
        <v>356</v>
      </c>
      <c r="J708" s="227"/>
      <c r="K708" s="115" t="s">
        <v>732</v>
      </c>
      <c r="L708" s="228"/>
      <c r="M708" s="107" t="s">
        <v>379</v>
      </c>
      <c r="N708" s="229">
        <f>IF(AND(O708=TRUE,P708=TRUE), VLOOKUP($E708,PESSOAL!$B$35:$S$45,MONTH($F708)+6,FALSE)*G708*24,0)</f>
        <v>25.64138253</v>
      </c>
      <c r="O708" s="89" t="b">
        <f t="shared" si="1"/>
        <v>1</v>
      </c>
      <c r="P708" s="89" t="b">
        <v>1</v>
      </c>
      <c r="Q708" s="89" t="s">
        <v>212</v>
      </c>
    </row>
    <row r="709" hidden="1">
      <c r="A709" s="108"/>
      <c r="B709" s="202"/>
      <c r="C709" s="202" t="str">
        <f>VLOOKUP(M709,'#verificação horas por projeto'!A:B,2,FALSE)</f>
        <v>INOV00006</v>
      </c>
      <c r="D709" s="202" t="s">
        <v>5</v>
      </c>
      <c r="E709" s="107" t="s">
        <v>131</v>
      </c>
      <c r="F709" s="211">
        <v>45594.0</v>
      </c>
      <c r="G709" s="226">
        <v>0.020833333333333332</v>
      </c>
      <c r="H709" s="107" t="s">
        <v>356</v>
      </c>
      <c r="I709" s="227" t="s">
        <v>356</v>
      </c>
      <c r="J709" s="227"/>
      <c r="K709" s="115" t="s">
        <v>733</v>
      </c>
      <c r="L709" s="228"/>
      <c r="M709" s="107" t="s">
        <v>379</v>
      </c>
      <c r="N709" s="229">
        <f>IF(AND(O709=TRUE,P709=TRUE), VLOOKUP($E709,PESSOAL!$B$35:$S$45,MONTH($F709)+6,FALSE)*G709*24,0)</f>
        <v>25.64138253</v>
      </c>
      <c r="O709" s="89" t="b">
        <f t="shared" si="1"/>
        <v>1</v>
      </c>
      <c r="P709" s="89" t="b">
        <v>1</v>
      </c>
      <c r="Q709" s="89" t="s">
        <v>212</v>
      </c>
    </row>
    <row r="710" hidden="1">
      <c r="A710" s="108"/>
      <c r="B710" s="202"/>
      <c r="C710" s="202" t="str">
        <f>VLOOKUP(M710,'#verificação horas por projeto'!A:B,2,FALSE)</f>
        <v>INOV00006</v>
      </c>
      <c r="D710" s="202" t="s">
        <v>5</v>
      </c>
      <c r="E710" s="107" t="s">
        <v>131</v>
      </c>
      <c r="F710" s="211">
        <v>45595.0</v>
      </c>
      <c r="G710" s="226">
        <v>0.041666666666666664</v>
      </c>
      <c r="H710" s="107" t="s">
        <v>356</v>
      </c>
      <c r="I710" s="227" t="s">
        <v>356</v>
      </c>
      <c r="J710" s="227"/>
      <c r="K710" s="115" t="s">
        <v>734</v>
      </c>
      <c r="L710" s="228"/>
      <c r="M710" s="107" t="s">
        <v>379</v>
      </c>
      <c r="N710" s="229">
        <f>IF(AND(O710=TRUE,P710=TRUE), VLOOKUP($E710,PESSOAL!$B$35:$S$45,MONTH($F710)+6,FALSE)*G710*24,0)</f>
        <v>51.28276506</v>
      </c>
      <c r="O710" s="89" t="b">
        <f t="shared" si="1"/>
        <v>1</v>
      </c>
      <c r="P710" s="89" t="b">
        <v>1</v>
      </c>
      <c r="Q710" s="89" t="s">
        <v>212</v>
      </c>
    </row>
    <row r="711" hidden="1">
      <c r="A711" s="108"/>
      <c r="B711" s="202"/>
      <c r="C711" s="202" t="str">
        <f>VLOOKUP(M711,'#verificação horas por projeto'!A:B,2,FALSE)</f>
        <v>INOV00020</v>
      </c>
      <c r="D711" s="202" t="s">
        <v>11</v>
      </c>
      <c r="E711" s="107" t="s">
        <v>131</v>
      </c>
      <c r="F711" s="211">
        <v>45596.0</v>
      </c>
      <c r="G711" s="226">
        <v>0.3958333333333333</v>
      </c>
      <c r="H711" s="107" t="s">
        <v>356</v>
      </c>
      <c r="I711" s="227" t="s">
        <v>356</v>
      </c>
      <c r="J711" s="227"/>
      <c r="K711" s="115" t="s">
        <v>735</v>
      </c>
      <c r="L711" s="228"/>
      <c r="M711" s="107" t="s">
        <v>457</v>
      </c>
      <c r="N711" s="229">
        <f>IF(AND(O711=TRUE,P711=TRUE), VLOOKUP($E711,PESSOAL!$B$35:$S$45,MONTH($F711)+6,FALSE)*G711*24,0)</f>
        <v>0</v>
      </c>
      <c r="O711" s="89" t="b">
        <f t="shared" si="1"/>
        <v>1</v>
      </c>
      <c r="P711" s="89" t="b">
        <v>0</v>
      </c>
      <c r="Q711" s="89" t="s">
        <v>212</v>
      </c>
    </row>
    <row r="712" hidden="1">
      <c r="A712" s="108"/>
      <c r="B712" s="202"/>
      <c r="C712" s="202" t="str">
        <f>VLOOKUP(M712,'#verificação horas por projeto'!A:B,2,FALSE)</f>
        <v>INOV00006</v>
      </c>
      <c r="D712" s="202" t="s">
        <v>5</v>
      </c>
      <c r="E712" s="107" t="s">
        <v>131</v>
      </c>
      <c r="F712" s="211">
        <v>45597.0</v>
      </c>
      <c r="G712" s="226">
        <v>0.041666666666666664</v>
      </c>
      <c r="H712" s="107" t="s">
        <v>356</v>
      </c>
      <c r="I712" s="227" t="s">
        <v>356</v>
      </c>
      <c r="J712" s="227"/>
      <c r="K712" s="115" t="s">
        <v>736</v>
      </c>
      <c r="L712" s="228"/>
      <c r="M712" s="107" t="s">
        <v>379</v>
      </c>
      <c r="N712" s="229">
        <f>IF(AND(O712=TRUE,P712=TRUE), VLOOKUP($E712,PESSOAL!$B$35:$S$45,MONTH($F712)+6,FALSE)*G712*24,0)</f>
        <v>56.41104156</v>
      </c>
      <c r="O712" s="89" t="b">
        <f t="shared" si="1"/>
        <v>1</v>
      </c>
      <c r="P712" s="89" t="b">
        <v>1</v>
      </c>
      <c r="Q712" s="89" t="s">
        <v>212</v>
      </c>
    </row>
    <row r="713" hidden="1">
      <c r="A713" s="108"/>
      <c r="B713" s="202"/>
      <c r="C713" s="202" t="str">
        <f>VLOOKUP(M713,'#verificação horas por projeto'!A:B,2,FALSE)</f>
        <v>INOV00006</v>
      </c>
      <c r="D713" s="202" t="s">
        <v>5</v>
      </c>
      <c r="E713" s="107" t="s">
        <v>131</v>
      </c>
      <c r="F713" s="211">
        <v>45597.0</v>
      </c>
      <c r="G713" s="226">
        <v>0.14583333333333334</v>
      </c>
      <c r="H713" s="107" t="s">
        <v>356</v>
      </c>
      <c r="I713" s="227" t="s">
        <v>356</v>
      </c>
      <c r="J713" s="227"/>
      <c r="K713" s="115" t="s">
        <v>737</v>
      </c>
      <c r="L713" s="228"/>
      <c r="M713" s="107" t="s">
        <v>379</v>
      </c>
      <c r="N713" s="229">
        <f>IF(AND(O713=TRUE,P713=TRUE), VLOOKUP($E713,PESSOAL!$B$35:$S$45,MONTH($F713)+6,FALSE)*G713*24,0)</f>
        <v>197.4386455</v>
      </c>
      <c r="O713" s="89" t="b">
        <f t="shared" si="1"/>
        <v>1</v>
      </c>
      <c r="P713" s="89" t="b">
        <v>1</v>
      </c>
      <c r="Q713" s="89" t="s">
        <v>212</v>
      </c>
    </row>
    <row r="714" hidden="1">
      <c r="A714" s="108"/>
      <c r="B714" s="202"/>
      <c r="C714" s="202" t="str">
        <f>VLOOKUP(M714,'#verificação horas por projeto'!A:B,2,FALSE)</f>
        <v>INOV00006</v>
      </c>
      <c r="D714" s="202" t="s">
        <v>5</v>
      </c>
      <c r="E714" s="107" t="s">
        <v>131</v>
      </c>
      <c r="F714" s="211">
        <v>45601.0</v>
      </c>
      <c r="G714" s="226">
        <v>0.14583333333333334</v>
      </c>
      <c r="H714" s="107" t="s">
        <v>356</v>
      </c>
      <c r="I714" s="227" t="s">
        <v>356</v>
      </c>
      <c r="J714" s="227"/>
      <c r="K714" s="115" t="s">
        <v>738</v>
      </c>
      <c r="L714" s="228"/>
      <c r="M714" s="107" t="s">
        <v>379</v>
      </c>
      <c r="N714" s="229">
        <f>IF(AND(O714=TRUE,P714=TRUE), VLOOKUP($E714,PESSOAL!$B$35:$S$45,MONTH($F714)+6,FALSE)*G714*24,0)</f>
        <v>197.4386455</v>
      </c>
      <c r="O714" s="89" t="b">
        <f t="shared" si="1"/>
        <v>1</v>
      </c>
      <c r="P714" s="89" t="b">
        <v>1</v>
      </c>
      <c r="Q714" s="89" t="s">
        <v>212</v>
      </c>
    </row>
    <row r="715" hidden="1">
      <c r="A715" s="108"/>
      <c r="B715" s="202"/>
      <c r="C715" s="202" t="str">
        <f>VLOOKUP(M715,'#verificação horas por projeto'!A:B,2,FALSE)</f>
        <v>INOV00032</v>
      </c>
      <c r="D715" s="202" t="s">
        <v>21</v>
      </c>
      <c r="E715" s="107" t="s">
        <v>131</v>
      </c>
      <c r="F715" s="211">
        <v>45601.0</v>
      </c>
      <c r="G715" s="226">
        <v>0.041666666666666664</v>
      </c>
      <c r="H715" s="107" t="s">
        <v>356</v>
      </c>
      <c r="I715" s="227" t="s">
        <v>356</v>
      </c>
      <c r="J715" s="227"/>
      <c r="K715" s="115" t="s">
        <v>739</v>
      </c>
      <c r="L715" s="228"/>
      <c r="M715" s="107" t="s">
        <v>534</v>
      </c>
      <c r="N715" s="229">
        <f>IF(AND(O715=TRUE,P715=TRUE), VLOOKUP($E715,PESSOAL!$B$35:$S$45,MONTH($F715)+6,FALSE)*G715*24,0)</f>
        <v>56.41104156</v>
      </c>
      <c r="O715" s="89" t="b">
        <f t="shared" si="1"/>
        <v>1</v>
      </c>
      <c r="P715" s="89" t="b">
        <v>1</v>
      </c>
      <c r="Q715" s="89" t="s">
        <v>212</v>
      </c>
    </row>
    <row r="716" hidden="1">
      <c r="A716" s="108"/>
      <c r="B716" s="202"/>
      <c r="C716" s="202" t="str">
        <f>VLOOKUP(M716,'#verificação horas por projeto'!A:B,2,FALSE)</f>
        <v>INOV00001</v>
      </c>
      <c r="D716" s="202" t="s">
        <v>3</v>
      </c>
      <c r="E716" s="107" t="s">
        <v>145</v>
      </c>
      <c r="F716" s="211">
        <v>45566.0</v>
      </c>
      <c r="G716" s="226">
        <v>0.1875</v>
      </c>
      <c r="H716" s="107" t="s">
        <v>354</v>
      </c>
      <c r="I716" s="227" t="s">
        <v>354</v>
      </c>
      <c r="J716" s="227"/>
      <c r="K716" s="115" t="s">
        <v>677</v>
      </c>
      <c r="L716" s="228"/>
      <c r="M716" s="107" t="s">
        <v>386</v>
      </c>
      <c r="N716" s="229">
        <f>IF(AND(O716=TRUE,P716=TRUE), VLOOKUP($E716,PESSOAL!$B$35:$S$45,MONTH($F716)+6,FALSE)*G716*24,0)</f>
        <v>205.8968634</v>
      </c>
      <c r="O716" s="89" t="b">
        <f t="shared" si="1"/>
        <v>1</v>
      </c>
      <c r="P716" s="89" t="b">
        <v>1</v>
      </c>
      <c r="Q716" s="89" t="s">
        <v>212</v>
      </c>
    </row>
    <row r="717" hidden="1">
      <c r="A717" s="108"/>
      <c r="B717" s="202"/>
      <c r="C717" s="202" t="str">
        <f>VLOOKUP(M717,'#verificação horas por projeto'!A:B,2,FALSE)</f>
        <v>INOV00001</v>
      </c>
      <c r="D717" s="202" t="s">
        <v>3</v>
      </c>
      <c r="E717" s="107" t="s">
        <v>145</v>
      </c>
      <c r="F717" s="211">
        <v>45574.0</v>
      </c>
      <c r="G717" s="226">
        <v>0.041666666666666664</v>
      </c>
      <c r="H717" s="107" t="s">
        <v>354</v>
      </c>
      <c r="I717" s="227" t="s">
        <v>354</v>
      </c>
      <c r="J717" s="227"/>
      <c r="K717" s="115" t="s">
        <v>740</v>
      </c>
      <c r="L717" s="228"/>
      <c r="M717" s="107" t="s">
        <v>386</v>
      </c>
      <c r="N717" s="229">
        <f>IF(AND(O717=TRUE,P717=TRUE), VLOOKUP($E717,PESSOAL!$B$35:$S$45,MONTH($F717)+6,FALSE)*G717*24,0)</f>
        <v>45.75485852</v>
      </c>
      <c r="O717" s="89" t="b">
        <f t="shared" si="1"/>
        <v>1</v>
      </c>
      <c r="P717" s="89" t="b">
        <v>1</v>
      </c>
      <c r="Q717" s="89" t="s">
        <v>212</v>
      </c>
    </row>
    <row r="718" hidden="1">
      <c r="A718" s="108"/>
      <c r="B718" s="202"/>
      <c r="C718" s="202" t="str">
        <f>VLOOKUP(M718,'#verificação horas por projeto'!A:B,2,FALSE)</f>
        <v>INOV00024</v>
      </c>
      <c r="D718" s="202" t="s">
        <v>14</v>
      </c>
      <c r="E718" s="107" t="s">
        <v>145</v>
      </c>
      <c r="F718" s="211">
        <v>45575.0</v>
      </c>
      <c r="G718" s="226">
        <v>0.0625</v>
      </c>
      <c r="H718" s="107" t="s">
        <v>354</v>
      </c>
      <c r="I718" s="227" t="s">
        <v>354</v>
      </c>
      <c r="J718" s="227"/>
      <c r="K718" s="115" t="s">
        <v>741</v>
      </c>
      <c r="L718" s="228"/>
      <c r="M718" s="107" t="s">
        <v>428</v>
      </c>
      <c r="N718" s="229">
        <f>IF(AND(O718=TRUE,P718=TRUE), VLOOKUP($E718,PESSOAL!$B$35:$S$45,MONTH($F718)+6,FALSE)*G718*24,0)</f>
        <v>68.63228778</v>
      </c>
      <c r="O718" s="89" t="b">
        <f t="shared" si="1"/>
        <v>1</v>
      </c>
      <c r="P718" s="89" t="b">
        <v>1</v>
      </c>
      <c r="Q718" s="89" t="s">
        <v>212</v>
      </c>
    </row>
    <row r="719" hidden="1">
      <c r="A719" s="108"/>
      <c r="B719" s="202"/>
      <c r="C719" s="202" t="str">
        <f>VLOOKUP(M719,'#verificação horas por projeto'!A:B,2,FALSE)</f>
        <v>INOV00050</v>
      </c>
      <c r="D719" s="202" t="s">
        <v>36</v>
      </c>
      <c r="E719" s="107" t="s">
        <v>145</v>
      </c>
      <c r="F719" s="211">
        <v>45576.0</v>
      </c>
      <c r="G719" s="226">
        <v>0.041666666666666664</v>
      </c>
      <c r="H719" s="107" t="s">
        <v>354</v>
      </c>
      <c r="I719" s="227" t="s">
        <v>354</v>
      </c>
      <c r="J719" s="227"/>
      <c r="K719" s="115" t="s">
        <v>742</v>
      </c>
      <c r="L719" s="228"/>
      <c r="M719" s="107" t="s">
        <v>743</v>
      </c>
      <c r="N719" s="229">
        <f>IF(AND(O719=TRUE,P719=TRUE), VLOOKUP($E719,PESSOAL!$B$35:$S$45,MONTH($F719)+6,FALSE)*G719*24,0)</f>
        <v>0</v>
      </c>
      <c r="O719" s="89" t="b">
        <f t="shared" si="1"/>
        <v>1</v>
      </c>
      <c r="P719" s="89" t="b">
        <v>0</v>
      </c>
      <c r="Q719" s="89" t="s">
        <v>212</v>
      </c>
    </row>
    <row r="720" hidden="1">
      <c r="A720" s="108"/>
      <c r="B720" s="202"/>
      <c r="C720" s="202" t="str">
        <f>VLOOKUP(M720,'#verificação horas por projeto'!A:B,2,FALSE)</f>
        <v>INOV00048</v>
      </c>
      <c r="D720" s="202" t="s">
        <v>34</v>
      </c>
      <c r="E720" s="107" t="s">
        <v>145</v>
      </c>
      <c r="F720" s="211">
        <v>45576.0</v>
      </c>
      <c r="G720" s="226">
        <v>0.125</v>
      </c>
      <c r="H720" s="107" t="s">
        <v>356</v>
      </c>
      <c r="I720" s="227" t="s">
        <v>356</v>
      </c>
      <c r="J720" s="227"/>
      <c r="K720" s="115" t="s">
        <v>744</v>
      </c>
      <c r="L720" s="228"/>
      <c r="M720" s="107" t="s">
        <v>587</v>
      </c>
      <c r="N720" s="229">
        <f>IF(AND(O720=TRUE,P720=TRUE), VLOOKUP($E720,PESSOAL!$B$35:$S$45,MONTH($F720)+6,FALSE)*G720*24,0)</f>
        <v>0</v>
      </c>
      <c r="O720" s="89" t="b">
        <f t="shared" si="1"/>
        <v>1</v>
      </c>
      <c r="P720" s="89" t="b">
        <v>0</v>
      </c>
      <c r="Q720" s="89" t="s">
        <v>212</v>
      </c>
    </row>
    <row r="721" hidden="1">
      <c r="A721" s="108"/>
      <c r="B721" s="202"/>
      <c r="C721" s="202" t="str">
        <f>VLOOKUP(M721,'#verificação horas por projeto'!A:B,2,FALSE)</f>
        <v>INOV00049</v>
      </c>
      <c r="D721" s="202" t="s">
        <v>35</v>
      </c>
      <c r="E721" s="107" t="s">
        <v>145</v>
      </c>
      <c r="F721" s="211">
        <v>45576.0</v>
      </c>
      <c r="G721" s="226">
        <v>0.041666666666666664</v>
      </c>
      <c r="H721" s="107" t="s">
        <v>354</v>
      </c>
      <c r="I721" s="227" t="s">
        <v>354</v>
      </c>
      <c r="J721" s="227"/>
      <c r="K721" s="115" t="s">
        <v>745</v>
      </c>
      <c r="L721" s="228"/>
      <c r="M721" s="107" t="s">
        <v>596</v>
      </c>
      <c r="N721" s="229">
        <f>IF(AND(O721=TRUE,P721=TRUE), VLOOKUP($E721,PESSOAL!$B$35:$S$45,MONTH($F721)+6,FALSE)*G721*24,0)</f>
        <v>0</v>
      </c>
      <c r="O721" s="89" t="b">
        <f t="shared" si="1"/>
        <v>1</v>
      </c>
      <c r="P721" s="89" t="b">
        <v>0</v>
      </c>
      <c r="Q721" s="89" t="s">
        <v>212</v>
      </c>
    </row>
    <row r="722" hidden="1">
      <c r="A722" s="108"/>
      <c r="B722" s="202"/>
      <c r="C722" s="202" t="str">
        <f>VLOOKUP(M722,'#verificação horas por projeto'!A:B,2,FALSE)</f>
        <v>INOV00047</v>
      </c>
      <c r="D722" s="202" t="s">
        <v>32</v>
      </c>
      <c r="E722" s="107" t="s">
        <v>145</v>
      </c>
      <c r="F722" s="211">
        <v>45579.0</v>
      </c>
      <c r="G722" s="226">
        <v>0.03125</v>
      </c>
      <c r="H722" s="107" t="s">
        <v>356</v>
      </c>
      <c r="I722" s="227" t="s">
        <v>356</v>
      </c>
      <c r="J722" s="227"/>
      <c r="K722" s="115" t="s">
        <v>746</v>
      </c>
      <c r="L722" s="228"/>
      <c r="M722" s="107" t="s">
        <v>584</v>
      </c>
      <c r="N722" s="229">
        <f>IF(AND(O722=TRUE,P722=TRUE), VLOOKUP($E722,PESSOAL!$B$35:$S$45,MONTH($F722)+6,FALSE)*G722*24,0)</f>
        <v>0</v>
      </c>
      <c r="O722" s="89" t="b">
        <f t="shared" si="1"/>
        <v>1</v>
      </c>
      <c r="P722" s="89" t="b">
        <v>0</v>
      </c>
      <c r="Q722" s="89" t="s">
        <v>212</v>
      </c>
    </row>
    <row r="723" hidden="1">
      <c r="A723" s="108"/>
      <c r="B723" s="202"/>
      <c r="C723" s="202" t="str">
        <f>VLOOKUP(M723,'#verificação horas por projeto'!A:B,2,FALSE)</f>
        <v>INOV00050</v>
      </c>
      <c r="D723" s="202" t="s">
        <v>36</v>
      </c>
      <c r="E723" s="107" t="s">
        <v>145</v>
      </c>
      <c r="F723" s="211">
        <v>45579.0</v>
      </c>
      <c r="G723" s="226">
        <v>0.125</v>
      </c>
      <c r="H723" s="107" t="s">
        <v>354</v>
      </c>
      <c r="I723" s="227" t="s">
        <v>354</v>
      </c>
      <c r="J723" s="227"/>
      <c r="K723" s="115" t="s">
        <v>742</v>
      </c>
      <c r="L723" s="228"/>
      <c r="M723" s="107" t="s">
        <v>743</v>
      </c>
      <c r="N723" s="229">
        <f>IF(AND(O723=TRUE,P723=TRUE), VLOOKUP($E723,PESSOAL!$B$35:$S$45,MONTH($F723)+6,FALSE)*G723*24,0)</f>
        <v>0</v>
      </c>
      <c r="O723" s="89" t="b">
        <f t="shared" si="1"/>
        <v>1</v>
      </c>
      <c r="P723" s="89" t="b">
        <v>0</v>
      </c>
      <c r="Q723" s="89" t="s">
        <v>212</v>
      </c>
    </row>
    <row r="724" hidden="1">
      <c r="A724" s="108"/>
      <c r="B724" s="202"/>
      <c r="C724" s="202" t="str">
        <f>VLOOKUP(M724,'#verificação horas por projeto'!A:B,2,FALSE)</f>
        <v>INOV00041</v>
      </c>
      <c r="D724" s="202" t="s">
        <v>28</v>
      </c>
      <c r="E724" s="107" t="s">
        <v>145</v>
      </c>
      <c r="F724" s="211">
        <v>45580.0</v>
      </c>
      <c r="G724" s="226">
        <v>0.125</v>
      </c>
      <c r="H724" s="107" t="s">
        <v>356</v>
      </c>
      <c r="I724" s="227" t="s">
        <v>356</v>
      </c>
      <c r="J724" s="227"/>
      <c r="K724" s="115" t="s">
        <v>747</v>
      </c>
      <c r="L724" s="228"/>
      <c r="M724" s="107" t="s">
        <v>408</v>
      </c>
      <c r="N724" s="229">
        <f>IF(AND(O724=TRUE,P724=TRUE), VLOOKUP($E724,PESSOAL!$B$35:$S$45,MONTH($F724)+6,FALSE)*G724*24,0)</f>
        <v>137.2645756</v>
      </c>
      <c r="O724" s="89" t="b">
        <f t="shared" si="1"/>
        <v>1</v>
      </c>
      <c r="P724" s="89" t="b">
        <v>1</v>
      </c>
      <c r="Q724" s="89" t="s">
        <v>212</v>
      </c>
    </row>
    <row r="725" hidden="1">
      <c r="A725" s="108"/>
      <c r="B725" s="202"/>
      <c r="C725" s="202" t="str">
        <f>VLOOKUP(M725,'#verificação horas por projeto'!A:B,2,FALSE)</f>
        <v>INOV00050</v>
      </c>
      <c r="D725" s="202" t="s">
        <v>36</v>
      </c>
      <c r="E725" s="107" t="s">
        <v>145</v>
      </c>
      <c r="F725" s="211">
        <v>45580.0</v>
      </c>
      <c r="G725" s="226">
        <v>0.08333333333333333</v>
      </c>
      <c r="H725" s="107" t="s">
        <v>354</v>
      </c>
      <c r="I725" s="227" t="s">
        <v>354</v>
      </c>
      <c r="J725" s="227"/>
      <c r="K725" s="115" t="s">
        <v>742</v>
      </c>
      <c r="L725" s="228"/>
      <c r="M725" s="107" t="s">
        <v>743</v>
      </c>
      <c r="N725" s="229">
        <f>IF(AND(O725=TRUE,P725=TRUE), VLOOKUP($E725,PESSOAL!$B$35:$S$45,MONTH($F725)+6,FALSE)*G725*24,0)</f>
        <v>0</v>
      </c>
      <c r="O725" s="89" t="b">
        <f t="shared" si="1"/>
        <v>1</v>
      </c>
      <c r="P725" s="89" t="b">
        <v>0</v>
      </c>
      <c r="Q725" s="89" t="s">
        <v>212</v>
      </c>
    </row>
    <row r="726" hidden="1">
      <c r="A726" s="108"/>
      <c r="B726" s="202"/>
      <c r="C726" s="202" t="str">
        <f>VLOOKUP(M726,'#verificação horas por projeto'!A:B,2,FALSE)</f>
        <v>INOV00051</v>
      </c>
      <c r="D726" s="202" t="s">
        <v>37</v>
      </c>
      <c r="E726" s="107" t="s">
        <v>145</v>
      </c>
      <c r="F726" s="211">
        <v>45581.0</v>
      </c>
      <c r="G726" s="226">
        <v>0.041666666666666664</v>
      </c>
      <c r="H726" s="107" t="s">
        <v>354</v>
      </c>
      <c r="I726" s="227" t="s">
        <v>354</v>
      </c>
      <c r="J726" s="227"/>
      <c r="K726" s="115" t="s">
        <v>748</v>
      </c>
      <c r="L726" s="228"/>
      <c r="M726" s="107" t="s">
        <v>749</v>
      </c>
      <c r="N726" s="229">
        <f>IF(AND(O726=TRUE,P726=TRUE), VLOOKUP($E726,PESSOAL!$B$35:$S$45,MONTH($F726)+6,FALSE)*G726*24,0)</f>
        <v>0</v>
      </c>
      <c r="O726" s="89" t="b">
        <f t="shared" si="1"/>
        <v>1</v>
      </c>
      <c r="P726" s="89" t="b">
        <v>0</v>
      </c>
      <c r="Q726" s="89" t="s">
        <v>212</v>
      </c>
    </row>
    <row r="727" hidden="1">
      <c r="A727" s="108"/>
      <c r="B727" s="202"/>
      <c r="C727" s="202" t="str">
        <f>VLOOKUP(M727,'#verificação horas por projeto'!A:B,2,FALSE)</f>
        <v>INOV00001</v>
      </c>
      <c r="D727" s="202" t="s">
        <v>3</v>
      </c>
      <c r="E727" s="107" t="s">
        <v>145</v>
      </c>
      <c r="F727" s="211">
        <v>45582.0</v>
      </c>
      <c r="G727" s="226">
        <v>0.041666666666666664</v>
      </c>
      <c r="H727" s="107" t="s">
        <v>354</v>
      </c>
      <c r="I727" s="227" t="s">
        <v>354</v>
      </c>
      <c r="J727" s="227"/>
      <c r="K727" s="115" t="s">
        <v>750</v>
      </c>
      <c r="L727" s="228"/>
      <c r="M727" s="107" t="s">
        <v>386</v>
      </c>
      <c r="N727" s="229">
        <f>IF(AND(O727=TRUE,P727=TRUE), VLOOKUP($E727,PESSOAL!$B$35:$S$45,MONTH($F727)+6,FALSE)*G727*24,0)</f>
        <v>45.75485852</v>
      </c>
      <c r="O727" s="89" t="b">
        <f t="shared" si="1"/>
        <v>1</v>
      </c>
      <c r="P727" s="89" t="b">
        <v>1</v>
      </c>
      <c r="Q727" s="89" t="s">
        <v>212</v>
      </c>
    </row>
    <row r="728" hidden="1">
      <c r="A728" s="108"/>
      <c r="B728" s="202"/>
      <c r="C728" s="202" t="str">
        <f>VLOOKUP(M728,'#verificação horas por projeto'!A:B,2,FALSE)</f>
        <v>INOV00001</v>
      </c>
      <c r="D728" s="202" t="s">
        <v>3</v>
      </c>
      <c r="E728" s="107" t="s">
        <v>145</v>
      </c>
      <c r="F728" s="211">
        <v>45582.0</v>
      </c>
      <c r="G728" s="226">
        <v>0.08333333333333333</v>
      </c>
      <c r="H728" s="107" t="s">
        <v>354</v>
      </c>
      <c r="I728" s="227" t="s">
        <v>354</v>
      </c>
      <c r="J728" s="227"/>
      <c r="K728" s="115" t="s">
        <v>751</v>
      </c>
      <c r="L728" s="228"/>
      <c r="M728" s="107" t="s">
        <v>386</v>
      </c>
      <c r="N728" s="229">
        <f>IF(AND(O728=TRUE,P728=TRUE), VLOOKUP($E728,PESSOAL!$B$35:$S$45,MONTH($F728)+6,FALSE)*G728*24,0)</f>
        <v>91.50971705</v>
      </c>
      <c r="O728" s="89" t="b">
        <f t="shared" si="1"/>
        <v>1</v>
      </c>
      <c r="P728" s="89" t="b">
        <v>1</v>
      </c>
      <c r="Q728" s="89" t="s">
        <v>212</v>
      </c>
    </row>
    <row r="729" hidden="1">
      <c r="A729" s="108"/>
      <c r="B729" s="202"/>
      <c r="C729" s="202" t="str">
        <f>VLOOKUP(M729,'#verificação horas por projeto'!A:B,2,FALSE)</f>
        <v>INOV00024</v>
      </c>
      <c r="D729" s="202" t="s">
        <v>14</v>
      </c>
      <c r="E729" s="107" t="s">
        <v>145</v>
      </c>
      <c r="F729" s="211">
        <v>45588.0</v>
      </c>
      <c r="G729" s="226">
        <v>0.041666666666666664</v>
      </c>
      <c r="H729" s="107" t="s">
        <v>354</v>
      </c>
      <c r="I729" s="227" t="s">
        <v>354</v>
      </c>
      <c r="J729" s="227"/>
      <c r="K729" s="115" t="s">
        <v>741</v>
      </c>
      <c r="L729" s="228"/>
      <c r="M729" s="107" t="s">
        <v>428</v>
      </c>
      <c r="N729" s="229">
        <f>IF(AND(O729=TRUE,P729=TRUE), VLOOKUP($E729,PESSOAL!$B$35:$S$45,MONTH($F729)+6,FALSE)*G729*24,0)</f>
        <v>45.75485852</v>
      </c>
      <c r="O729" s="89" t="b">
        <f t="shared" si="1"/>
        <v>1</v>
      </c>
      <c r="P729" s="89" t="b">
        <v>1</v>
      </c>
      <c r="Q729" s="89" t="s">
        <v>212</v>
      </c>
    </row>
    <row r="730" hidden="1">
      <c r="A730" s="108"/>
      <c r="B730" s="202"/>
      <c r="C730" s="202" t="str">
        <f>VLOOKUP(M730,'#verificação horas por projeto'!A:B,2,FALSE)</f>
        <v>INOV00050</v>
      </c>
      <c r="D730" s="202" t="s">
        <v>36</v>
      </c>
      <c r="E730" s="107" t="s">
        <v>145</v>
      </c>
      <c r="F730" s="211">
        <v>45588.0</v>
      </c>
      <c r="G730" s="226">
        <v>0.0625</v>
      </c>
      <c r="H730" s="107" t="s">
        <v>354</v>
      </c>
      <c r="I730" s="227" t="s">
        <v>354</v>
      </c>
      <c r="J730" s="227"/>
      <c r="K730" s="115" t="s">
        <v>742</v>
      </c>
      <c r="L730" s="228"/>
      <c r="M730" s="107" t="s">
        <v>743</v>
      </c>
      <c r="N730" s="229">
        <f>IF(AND(O730=TRUE,P730=TRUE), VLOOKUP($E730,PESSOAL!$B$35:$S$45,MONTH($F730)+6,FALSE)*G730*24,0)</f>
        <v>0</v>
      </c>
      <c r="O730" s="89" t="b">
        <f t="shared" si="1"/>
        <v>1</v>
      </c>
      <c r="P730" s="89" t="b">
        <v>0</v>
      </c>
      <c r="Q730" s="89" t="s">
        <v>212</v>
      </c>
    </row>
    <row r="731" hidden="1">
      <c r="A731" s="108"/>
      <c r="B731" s="202"/>
      <c r="C731" s="202" t="str">
        <f>VLOOKUP(M731,'#verificação horas por projeto'!A:B,2,FALSE)</f>
        <v>INOV00041</v>
      </c>
      <c r="D731" s="202" t="s">
        <v>28</v>
      </c>
      <c r="E731" s="107" t="s">
        <v>145</v>
      </c>
      <c r="F731" s="211">
        <v>45589.0</v>
      </c>
      <c r="G731" s="226">
        <v>0.08333333333333333</v>
      </c>
      <c r="H731" s="107" t="s">
        <v>356</v>
      </c>
      <c r="I731" s="227" t="s">
        <v>356</v>
      </c>
      <c r="J731" s="227"/>
      <c r="K731" s="115" t="s">
        <v>747</v>
      </c>
      <c r="L731" s="228"/>
      <c r="M731" s="107" t="s">
        <v>408</v>
      </c>
      <c r="N731" s="229">
        <f>IF(AND(O731=TRUE,P731=TRUE), VLOOKUP($E731,PESSOAL!$B$35:$S$45,MONTH($F731)+6,FALSE)*G731*24,0)</f>
        <v>91.50971705</v>
      </c>
      <c r="O731" s="89" t="b">
        <f t="shared" si="1"/>
        <v>1</v>
      </c>
      <c r="P731" s="89" t="b">
        <v>1</v>
      </c>
      <c r="Q731" s="89" t="s">
        <v>212</v>
      </c>
    </row>
    <row r="732" hidden="1">
      <c r="A732" s="108"/>
      <c r="B732" s="202"/>
      <c r="C732" s="202" t="str">
        <f>VLOOKUP(M732,'#verificação horas por projeto'!A:B,2,FALSE)</f>
        <v>INOV00001</v>
      </c>
      <c r="D732" s="202" t="s">
        <v>3</v>
      </c>
      <c r="E732" s="107" t="s">
        <v>145</v>
      </c>
      <c r="F732" s="211">
        <v>45593.0</v>
      </c>
      <c r="G732" s="226">
        <v>0.041666666666666664</v>
      </c>
      <c r="H732" s="107" t="s">
        <v>354</v>
      </c>
      <c r="I732" s="227" t="s">
        <v>354</v>
      </c>
      <c r="J732" s="227"/>
      <c r="K732" s="115" t="s">
        <v>750</v>
      </c>
      <c r="L732" s="228"/>
      <c r="M732" s="107" t="s">
        <v>386</v>
      </c>
      <c r="N732" s="229">
        <f>IF(AND(O732=TRUE,P732=TRUE), VLOOKUP($E732,PESSOAL!$B$35:$S$45,MONTH($F732)+6,FALSE)*G732*24,0)</f>
        <v>45.75485852</v>
      </c>
      <c r="O732" s="89" t="b">
        <f t="shared" si="1"/>
        <v>1</v>
      </c>
      <c r="P732" s="89" t="b">
        <v>1</v>
      </c>
      <c r="Q732" s="89" t="s">
        <v>212</v>
      </c>
    </row>
    <row r="733" hidden="1">
      <c r="A733" s="108"/>
      <c r="B733" s="202"/>
      <c r="C733" s="202" t="str">
        <f>VLOOKUP(M733,'#verificação horas por projeto'!A:B,2,FALSE)</f>
        <v>INOV00001</v>
      </c>
      <c r="D733" s="202" t="s">
        <v>3</v>
      </c>
      <c r="E733" s="107" t="s">
        <v>145</v>
      </c>
      <c r="F733" s="211">
        <v>45594.0</v>
      </c>
      <c r="G733" s="226">
        <v>0.041666666666666664</v>
      </c>
      <c r="H733" s="107" t="s">
        <v>354</v>
      </c>
      <c r="I733" s="227" t="s">
        <v>354</v>
      </c>
      <c r="J733" s="227"/>
      <c r="K733" s="115" t="s">
        <v>750</v>
      </c>
      <c r="L733" s="228"/>
      <c r="M733" s="107" t="s">
        <v>386</v>
      </c>
      <c r="N733" s="229">
        <f>IF(AND(O733=TRUE,P733=TRUE), VLOOKUP($E733,PESSOAL!$B$35:$S$45,MONTH($F733)+6,FALSE)*G733*24,0)</f>
        <v>45.75485852</v>
      </c>
      <c r="O733" s="89" t="b">
        <f t="shared" si="1"/>
        <v>1</v>
      </c>
      <c r="P733" s="89" t="b">
        <v>1</v>
      </c>
      <c r="Q733" s="89" t="s">
        <v>212</v>
      </c>
    </row>
    <row r="734" hidden="1">
      <c r="A734" s="108"/>
      <c r="B734" s="202"/>
      <c r="C734" s="202" t="str">
        <f>VLOOKUP(M734,'#verificação horas por projeto'!A:B,2,FALSE)</f>
        <v>INOV00048</v>
      </c>
      <c r="D734" s="202" t="s">
        <v>34</v>
      </c>
      <c r="E734" s="107" t="s">
        <v>145</v>
      </c>
      <c r="F734" s="211">
        <v>45595.0</v>
      </c>
      <c r="G734" s="226">
        <v>0.125</v>
      </c>
      <c r="H734" s="107" t="s">
        <v>356</v>
      </c>
      <c r="I734" s="227" t="s">
        <v>356</v>
      </c>
      <c r="J734" s="227"/>
      <c r="K734" s="115" t="s">
        <v>752</v>
      </c>
      <c r="L734" s="228"/>
      <c r="M734" s="107" t="s">
        <v>587</v>
      </c>
      <c r="N734" s="229">
        <f>IF(AND(O734=TRUE,P734=TRUE), VLOOKUP($E734,PESSOAL!$B$35:$S$45,MONTH($F734)+6,FALSE)*G734*24,0)</f>
        <v>0</v>
      </c>
      <c r="O734" s="89" t="b">
        <f t="shared" si="1"/>
        <v>1</v>
      </c>
      <c r="P734" s="89" t="b">
        <v>0</v>
      </c>
      <c r="Q734" s="89" t="s">
        <v>212</v>
      </c>
    </row>
    <row r="735" hidden="1">
      <c r="A735" s="108"/>
      <c r="B735" s="202"/>
      <c r="C735" s="202" t="str">
        <f>VLOOKUP(M735,'#verificação horas por projeto'!A:B,2,FALSE)</f>
        <v>INOV00001</v>
      </c>
      <c r="D735" s="202" t="s">
        <v>3</v>
      </c>
      <c r="E735" s="107" t="s">
        <v>145</v>
      </c>
      <c r="F735" s="211">
        <v>45596.0</v>
      </c>
      <c r="G735" s="226">
        <v>0.0625</v>
      </c>
      <c r="H735" s="107" t="s">
        <v>354</v>
      </c>
      <c r="I735" s="227" t="s">
        <v>354</v>
      </c>
      <c r="J735" s="227"/>
      <c r="K735" s="115" t="s">
        <v>750</v>
      </c>
      <c r="L735" s="228"/>
      <c r="M735" s="107" t="s">
        <v>386</v>
      </c>
      <c r="N735" s="229">
        <f>IF(AND(O735=TRUE,P735=TRUE), VLOOKUP($E735,PESSOAL!$B$35:$S$45,MONTH($F735)+6,FALSE)*G735*24,0)</f>
        <v>68.63228778</v>
      </c>
      <c r="O735" s="89" t="b">
        <f t="shared" si="1"/>
        <v>1</v>
      </c>
      <c r="P735" s="89" t="b">
        <v>1</v>
      </c>
      <c r="Q735" s="89" t="s">
        <v>212</v>
      </c>
    </row>
    <row r="736" hidden="1">
      <c r="A736" s="108"/>
      <c r="B736" s="202"/>
      <c r="C736" s="202" t="str">
        <f>VLOOKUP(M736,'#verificação horas por projeto'!A:B,2,FALSE)</f>
        <v>INOV00053</v>
      </c>
      <c r="D736" s="202" t="s">
        <v>753</v>
      </c>
      <c r="E736" s="107" t="s">
        <v>145</v>
      </c>
      <c r="F736" s="211">
        <v>45600.0</v>
      </c>
      <c r="G736" s="226">
        <v>0.08333333333333333</v>
      </c>
      <c r="H736" s="107" t="s">
        <v>354</v>
      </c>
      <c r="I736" s="227" t="s">
        <v>354</v>
      </c>
      <c r="J736" s="227"/>
      <c r="K736" s="115" t="s">
        <v>754</v>
      </c>
      <c r="L736" s="228"/>
      <c r="M736" s="107" t="s">
        <v>755</v>
      </c>
      <c r="N736" s="229">
        <f>IF(AND(O736=TRUE,P736=TRUE), VLOOKUP($E736,PESSOAL!$B$35:$S$45,MONTH($F736)+6,FALSE)*G736*24,0)</f>
        <v>0</v>
      </c>
      <c r="O736" s="89" t="b">
        <f t="shared" si="1"/>
        <v>1</v>
      </c>
      <c r="P736" s="89" t="b">
        <v>0</v>
      </c>
      <c r="Q736" s="89" t="s">
        <v>212</v>
      </c>
    </row>
    <row r="737" hidden="1">
      <c r="A737" s="108"/>
      <c r="B737" s="202"/>
      <c r="C737" s="202" t="str">
        <f>VLOOKUP(M737,'#verificação horas por projeto'!A:B,2,FALSE)</f>
        <v>INOV00051</v>
      </c>
      <c r="D737" s="202" t="s">
        <v>37</v>
      </c>
      <c r="E737" s="107" t="s">
        <v>145</v>
      </c>
      <c r="F737" s="211">
        <v>45600.0</v>
      </c>
      <c r="G737" s="226">
        <v>0.08333333333333333</v>
      </c>
      <c r="H737" s="107" t="s">
        <v>354</v>
      </c>
      <c r="I737" s="227" t="s">
        <v>354</v>
      </c>
      <c r="J737" s="227"/>
      <c r="K737" s="115" t="s">
        <v>756</v>
      </c>
      <c r="L737" s="228"/>
      <c r="M737" s="107" t="s">
        <v>749</v>
      </c>
      <c r="N737" s="229">
        <f>IF(AND(O737=TRUE,P737=TRUE), VLOOKUP($E737,PESSOAL!$B$35:$S$45,MONTH($F737)+6,FALSE)*G737*24,0)</f>
        <v>0</v>
      </c>
      <c r="O737" s="89" t="b">
        <f t="shared" si="1"/>
        <v>1</v>
      </c>
      <c r="P737" s="89" t="b">
        <v>0</v>
      </c>
      <c r="Q737" s="89" t="s">
        <v>212</v>
      </c>
    </row>
    <row r="738" hidden="1">
      <c r="A738" s="108"/>
      <c r="B738" s="202"/>
      <c r="C738" s="202" t="str">
        <f>VLOOKUP(M738,'#verificação horas por projeto'!A:B,2,FALSE)</f>
        <v>INOV00024</v>
      </c>
      <c r="D738" s="202" t="s">
        <v>14</v>
      </c>
      <c r="E738" s="107" t="s">
        <v>145</v>
      </c>
      <c r="F738" s="211">
        <v>45601.0</v>
      </c>
      <c r="G738" s="226">
        <v>0.0625</v>
      </c>
      <c r="H738" s="107" t="s">
        <v>354</v>
      </c>
      <c r="I738" s="227" t="s">
        <v>354</v>
      </c>
      <c r="J738" s="227"/>
      <c r="K738" s="115" t="s">
        <v>757</v>
      </c>
      <c r="L738" s="228"/>
      <c r="M738" s="107" t="s">
        <v>428</v>
      </c>
      <c r="N738" s="229">
        <f>IF(AND(O738=TRUE,P738=TRUE), VLOOKUP($E738,PESSOAL!$B$35:$S$45,MONTH($F738)+6,FALSE)*G738*24,0)</f>
        <v>75.49551656</v>
      </c>
      <c r="O738" s="89" t="b">
        <f t="shared" si="1"/>
        <v>1</v>
      </c>
      <c r="P738" s="89" t="b">
        <v>1</v>
      </c>
      <c r="Q738" s="89" t="s">
        <v>212</v>
      </c>
    </row>
    <row r="739" hidden="1">
      <c r="A739" s="108"/>
      <c r="B739" s="202"/>
      <c r="C739" s="202" t="str">
        <f>VLOOKUP(M739,'#verificação horas por projeto'!A:B,2,FALSE)</f>
        <v>INOV00047</v>
      </c>
      <c r="D739" s="202" t="s">
        <v>32</v>
      </c>
      <c r="E739" s="107" t="s">
        <v>145</v>
      </c>
      <c r="F739" s="211">
        <v>45604.0</v>
      </c>
      <c r="G739" s="226">
        <v>0.041666666666666664</v>
      </c>
      <c r="H739" s="107" t="s">
        <v>356</v>
      </c>
      <c r="I739" s="227" t="s">
        <v>356</v>
      </c>
      <c r="J739" s="227"/>
      <c r="K739" s="115" t="s">
        <v>758</v>
      </c>
      <c r="L739" s="228"/>
      <c r="M739" s="107" t="s">
        <v>584</v>
      </c>
      <c r="N739" s="229">
        <f>IF(AND(O739=TRUE,P739=TRUE), VLOOKUP($E739,PESSOAL!$B$35:$S$45,MONTH($F739)+6,FALSE)*G739*24,0)</f>
        <v>0</v>
      </c>
      <c r="O739" s="89" t="b">
        <f t="shared" si="1"/>
        <v>1</v>
      </c>
      <c r="P739" s="89" t="b">
        <v>0</v>
      </c>
      <c r="Q739" s="89" t="s">
        <v>212</v>
      </c>
    </row>
    <row r="740" hidden="1">
      <c r="A740" s="108"/>
      <c r="B740" s="202"/>
      <c r="C740" s="202" t="str">
        <f>VLOOKUP(M740,'#verificação horas por projeto'!A:B,2,FALSE)</f>
        <v>INOV00050</v>
      </c>
      <c r="D740" s="202" t="s">
        <v>36</v>
      </c>
      <c r="E740" s="107" t="s">
        <v>145</v>
      </c>
      <c r="F740" s="211">
        <v>45607.0</v>
      </c>
      <c r="G740" s="226">
        <v>0.16666666666666666</v>
      </c>
      <c r="H740" s="107" t="s">
        <v>354</v>
      </c>
      <c r="I740" s="227" t="s">
        <v>354</v>
      </c>
      <c r="J740" s="227"/>
      <c r="K740" s="115" t="s">
        <v>759</v>
      </c>
      <c r="L740" s="228"/>
      <c r="M740" s="107" t="s">
        <v>743</v>
      </c>
      <c r="N740" s="229">
        <f>IF(AND(O740=TRUE,P740=TRUE), VLOOKUP($E740,PESSOAL!$B$35:$S$45,MONTH($F740)+6,FALSE)*G740*24,0)</f>
        <v>0</v>
      </c>
      <c r="O740" s="89" t="b">
        <f t="shared" si="1"/>
        <v>1</v>
      </c>
      <c r="P740" s="89" t="b">
        <v>0</v>
      </c>
      <c r="Q740" s="89" t="s">
        <v>212</v>
      </c>
    </row>
    <row r="741" hidden="1">
      <c r="A741" s="108"/>
      <c r="B741" s="202"/>
      <c r="C741" s="202" t="str">
        <f>VLOOKUP(M741,'#verificação horas por projeto'!A:B,2,FALSE)</f>
        <v>INOV00001</v>
      </c>
      <c r="D741" s="202" t="s">
        <v>3</v>
      </c>
      <c r="E741" s="107" t="s">
        <v>145</v>
      </c>
      <c r="F741" s="211">
        <v>45608.0</v>
      </c>
      <c r="G741" s="226">
        <v>0.08333333333333333</v>
      </c>
      <c r="H741" s="107" t="s">
        <v>354</v>
      </c>
      <c r="I741" s="227" t="s">
        <v>354</v>
      </c>
      <c r="J741" s="227"/>
      <c r="K741" s="115" t="s">
        <v>760</v>
      </c>
      <c r="L741" s="228"/>
      <c r="M741" s="107" t="s">
        <v>386</v>
      </c>
      <c r="N741" s="229">
        <f>IF(AND(O741=TRUE,P741=TRUE), VLOOKUP($E741,PESSOAL!$B$35:$S$45,MONTH($F741)+6,FALSE)*G741*24,0)</f>
        <v>100.6606888</v>
      </c>
      <c r="O741" s="89" t="b">
        <f t="shared" si="1"/>
        <v>1</v>
      </c>
      <c r="P741" s="89" t="b">
        <v>1</v>
      </c>
      <c r="Q741" s="89" t="s">
        <v>212</v>
      </c>
    </row>
    <row r="742" hidden="1">
      <c r="A742" s="108"/>
      <c r="B742" s="202"/>
      <c r="C742" s="202" t="str">
        <f>VLOOKUP(M742,'#verificação horas por projeto'!A:B,2,FALSE)</f>
        <v>INOV00041</v>
      </c>
      <c r="D742" s="202" t="s">
        <v>28</v>
      </c>
      <c r="E742" s="107" t="s">
        <v>145</v>
      </c>
      <c r="F742" s="211">
        <v>45608.0</v>
      </c>
      <c r="G742" s="226">
        <v>0.08333333333333333</v>
      </c>
      <c r="H742" s="107" t="s">
        <v>356</v>
      </c>
      <c r="I742" s="227" t="s">
        <v>356</v>
      </c>
      <c r="J742" s="227"/>
      <c r="K742" s="115" t="s">
        <v>761</v>
      </c>
      <c r="L742" s="228"/>
      <c r="M742" s="107" t="s">
        <v>408</v>
      </c>
      <c r="N742" s="229">
        <f>IF(AND(O742=TRUE,P742=TRUE), VLOOKUP($E742,PESSOAL!$B$35:$S$45,MONTH($F742)+6,FALSE)*G742*24,0)</f>
        <v>100.6606888</v>
      </c>
      <c r="O742" s="89" t="b">
        <f t="shared" si="1"/>
        <v>1</v>
      </c>
      <c r="P742" s="89" t="b">
        <v>1</v>
      </c>
      <c r="Q742" s="89" t="s">
        <v>212</v>
      </c>
    </row>
    <row r="743" hidden="1">
      <c r="A743" s="108"/>
      <c r="B743" s="202"/>
      <c r="C743" s="202" t="str">
        <f>VLOOKUP(M743,'#verificação horas por projeto'!A:B,2,FALSE)</f>
        <v>INOV00053</v>
      </c>
      <c r="D743" s="202" t="s">
        <v>753</v>
      </c>
      <c r="E743" s="107" t="s">
        <v>145</v>
      </c>
      <c r="F743" s="211">
        <v>45609.0</v>
      </c>
      <c r="G743" s="226">
        <v>0.08333333333333333</v>
      </c>
      <c r="H743" s="107" t="s">
        <v>354</v>
      </c>
      <c r="I743" s="227" t="s">
        <v>354</v>
      </c>
      <c r="J743" s="227"/>
      <c r="K743" s="115" t="s">
        <v>762</v>
      </c>
      <c r="L743" s="228"/>
      <c r="M743" s="107" t="s">
        <v>755</v>
      </c>
      <c r="N743" s="229">
        <f>IF(AND(O743=TRUE,P743=TRUE), VLOOKUP($E743,PESSOAL!$B$35:$S$45,MONTH($F743)+6,FALSE)*G743*24,0)</f>
        <v>0</v>
      </c>
      <c r="O743" s="89" t="b">
        <f t="shared" si="1"/>
        <v>1</v>
      </c>
      <c r="P743" s="89" t="b">
        <v>0</v>
      </c>
      <c r="Q743" s="89" t="s">
        <v>212</v>
      </c>
    </row>
    <row r="744" hidden="1">
      <c r="A744" s="108"/>
      <c r="B744" s="202"/>
      <c r="C744" s="202" t="str">
        <f>VLOOKUP(M744,'#verificação horas por projeto'!A:B,2,FALSE)</f>
        <v>INOV00024</v>
      </c>
      <c r="D744" s="202" t="s">
        <v>14</v>
      </c>
      <c r="E744" s="107" t="s">
        <v>145</v>
      </c>
      <c r="F744" s="211">
        <v>45611.0</v>
      </c>
      <c r="G744" s="226">
        <v>0.041666666666666664</v>
      </c>
      <c r="H744" s="107" t="s">
        <v>354</v>
      </c>
      <c r="I744" s="227" t="s">
        <v>354</v>
      </c>
      <c r="J744" s="227"/>
      <c r="K744" s="115" t="s">
        <v>757</v>
      </c>
      <c r="L744" s="228"/>
      <c r="M744" s="107" t="s">
        <v>428</v>
      </c>
      <c r="N744" s="229">
        <f>IF(AND(O744=TRUE,P744=TRUE), VLOOKUP($E744,PESSOAL!$B$35:$S$45,MONTH($F744)+6,FALSE)*G744*24,0)</f>
        <v>50.33034438</v>
      </c>
      <c r="O744" s="89" t="b">
        <f t="shared" si="1"/>
        <v>1</v>
      </c>
      <c r="P744" s="89" t="b">
        <v>1</v>
      </c>
      <c r="Q744" s="89" t="s">
        <v>212</v>
      </c>
    </row>
    <row r="745" hidden="1">
      <c r="A745" s="108"/>
      <c r="B745" s="202"/>
      <c r="C745" s="202" t="str">
        <f>VLOOKUP(M745,'#verificação horas por projeto'!A:B,2,FALSE)</f>
        <v>INOV00020</v>
      </c>
      <c r="D745" s="202" t="s">
        <v>11</v>
      </c>
      <c r="E745" s="107" t="s">
        <v>145</v>
      </c>
      <c r="F745" s="211">
        <v>45614.0</v>
      </c>
      <c r="G745" s="226">
        <v>0.16666666666666666</v>
      </c>
      <c r="H745" s="107" t="s">
        <v>356</v>
      </c>
      <c r="I745" s="227" t="s">
        <v>356</v>
      </c>
      <c r="J745" s="227"/>
      <c r="K745" s="115" t="s">
        <v>763</v>
      </c>
      <c r="L745" s="228"/>
      <c r="M745" s="107" t="s">
        <v>457</v>
      </c>
      <c r="N745" s="229">
        <f>IF(AND(O745=TRUE,P745=TRUE), VLOOKUP($E745,PESSOAL!$B$35:$S$45,MONTH($F745)+6,FALSE)*G745*24,0)</f>
        <v>0</v>
      </c>
      <c r="O745" s="89" t="b">
        <f t="shared" si="1"/>
        <v>1</v>
      </c>
      <c r="P745" s="89" t="b">
        <v>0</v>
      </c>
      <c r="Q745" s="89" t="s">
        <v>212</v>
      </c>
    </row>
    <row r="746" hidden="1">
      <c r="A746" s="108"/>
      <c r="B746" s="202"/>
      <c r="C746" s="202" t="str">
        <f>VLOOKUP(M746,'#verificação horas por projeto'!A:B,2,FALSE)</f>
        <v>INOV00001</v>
      </c>
      <c r="D746" s="202" t="s">
        <v>3</v>
      </c>
      <c r="E746" s="107" t="s">
        <v>145</v>
      </c>
      <c r="F746" s="211">
        <v>45615.0</v>
      </c>
      <c r="G746" s="226">
        <v>0.08333333333333333</v>
      </c>
      <c r="H746" s="107" t="s">
        <v>354</v>
      </c>
      <c r="I746" s="227" t="s">
        <v>354</v>
      </c>
      <c r="J746" s="227"/>
      <c r="K746" s="115" t="s">
        <v>764</v>
      </c>
      <c r="L746" s="228"/>
      <c r="M746" s="107" t="s">
        <v>386</v>
      </c>
      <c r="N746" s="229">
        <f>IF(AND(O746=TRUE,P746=TRUE), VLOOKUP($E746,PESSOAL!$B$35:$S$45,MONTH($F746)+6,FALSE)*G746*24,0)</f>
        <v>100.6606888</v>
      </c>
      <c r="O746" s="89" t="b">
        <f t="shared" si="1"/>
        <v>1</v>
      </c>
      <c r="P746" s="89" t="b">
        <v>1</v>
      </c>
      <c r="Q746" s="89" t="s">
        <v>212</v>
      </c>
    </row>
    <row r="747" hidden="1">
      <c r="A747" s="108"/>
      <c r="B747" s="202"/>
      <c r="C747" s="202" t="str">
        <f>VLOOKUP(M747,'#verificação horas por projeto'!A:B,2,FALSE)</f>
        <v>INOV00050</v>
      </c>
      <c r="D747" s="202" t="s">
        <v>36</v>
      </c>
      <c r="E747" s="107" t="s">
        <v>145</v>
      </c>
      <c r="F747" s="211">
        <v>45615.0</v>
      </c>
      <c r="G747" s="226">
        <v>0.0625</v>
      </c>
      <c r="H747" s="107" t="s">
        <v>354</v>
      </c>
      <c r="I747" s="227" t="s">
        <v>354</v>
      </c>
      <c r="J747" s="227"/>
      <c r="K747" s="115" t="s">
        <v>765</v>
      </c>
      <c r="L747" s="228"/>
      <c r="M747" s="107" t="s">
        <v>743</v>
      </c>
      <c r="N747" s="229">
        <f>IF(AND(O747=TRUE,P747=TRUE), VLOOKUP($E747,PESSOAL!$B$35:$S$45,MONTH($F747)+6,FALSE)*G747*24,0)</f>
        <v>0</v>
      </c>
      <c r="O747" s="89" t="b">
        <f t="shared" si="1"/>
        <v>1</v>
      </c>
      <c r="P747" s="89" t="b">
        <v>0</v>
      </c>
      <c r="Q747" s="89" t="s">
        <v>212</v>
      </c>
    </row>
    <row r="748" hidden="1">
      <c r="A748" s="108"/>
      <c r="B748" s="202"/>
      <c r="C748" s="202" t="str">
        <f>VLOOKUP(M748,'#verificação horas por projeto'!A:B,2,FALSE)</f>
        <v>INOV00024</v>
      </c>
      <c r="D748" s="202" t="s">
        <v>14</v>
      </c>
      <c r="E748" s="107" t="s">
        <v>145</v>
      </c>
      <c r="F748" s="211">
        <v>45631.0</v>
      </c>
      <c r="G748" s="226">
        <v>0.041666666666666664</v>
      </c>
      <c r="H748" s="107" t="s">
        <v>354</v>
      </c>
      <c r="I748" s="227" t="s">
        <v>354</v>
      </c>
      <c r="J748" s="227"/>
      <c r="K748" s="115" t="s">
        <v>766</v>
      </c>
      <c r="L748" s="228"/>
      <c r="M748" s="107" t="s">
        <v>428</v>
      </c>
      <c r="N748" s="229">
        <f>IF(AND(O748=TRUE,P748=TRUE), VLOOKUP($E748,PESSOAL!$B$35:$S$45,MONTH($F748)+6,FALSE)*G748*24,0)</f>
        <v>47.93366131</v>
      </c>
      <c r="O748" s="89" t="b">
        <f t="shared" si="1"/>
        <v>1</v>
      </c>
      <c r="P748" s="89" t="b">
        <v>1</v>
      </c>
      <c r="Q748" s="89" t="s">
        <v>212</v>
      </c>
    </row>
    <row r="749" hidden="1">
      <c r="A749" s="108"/>
      <c r="B749" s="202"/>
      <c r="C749" s="202" t="str">
        <f>VLOOKUP(M749,'#verificação horas por projeto'!A:B,2,FALSE)</f>
        <v>INOV00047</v>
      </c>
      <c r="D749" s="202" t="s">
        <v>32</v>
      </c>
      <c r="E749" s="107" t="s">
        <v>145</v>
      </c>
      <c r="F749" s="211">
        <v>45632.0</v>
      </c>
      <c r="G749" s="226">
        <v>0.041666666666666664</v>
      </c>
      <c r="H749" s="107" t="s">
        <v>356</v>
      </c>
      <c r="I749" s="227" t="s">
        <v>356</v>
      </c>
      <c r="J749" s="227"/>
      <c r="K749" s="115" t="s">
        <v>767</v>
      </c>
      <c r="L749" s="228"/>
      <c r="M749" s="107" t="s">
        <v>584</v>
      </c>
      <c r="N749" s="229">
        <f>IF(AND(O749=TRUE,P749=TRUE), VLOOKUP($E749,PESSOAL!$B$35:$S$45,MONTH($F749)+6,FALSE)*G749*24,0)</f>
        <v>0</v>
      </c>
      <c r="O749" s="89" t="b">
        <f t="shared" si="1"/>
        <v>1</v>
      </c>
      <c r="P749" s="89" t="b">
        <v>0</v>
      </c>
      <c r="Q749" s="89" t="s">
        <v>212</v>
      </c>
    </row>
    <row r="750" hidden="1">
      <c r="A750" s="108"/>
      <c r="B750" s="202"/>
      <c r="C750" s="202" t="str">
        <f>VLOOKUP(M750,'#verificação horas por projeto'!A:B,2,FALSE)</f>
        <v>INOV00001</v>
      </c>
      <c r="D750" s="202" t="s">
        <v>3</v>
      </c>
      <c r="E750" s="107" t="s">
        <v>145</v>
      </c>
      <c r="F750" s="211">
        <v>45635.0</v>
      </c>
      <c r="G750" s="226">
        <v>0.041666666666666664</v>
      </c>
      <c r="H750" s="107" t="s">
        <v>354</v>
      </c>
      <c r="I750" s="227" t="s">
        <v>354</v>
      </c>
      <c r="J750" s="227"/>
      <c r="K750" s="115" t="s">
        <v>768</v>
      </c>
      <c r="L750" s="228"/>
      <c r="M750" s="107" t="s">
        <v>386</v>
      </c>
      <c r="N750" s="229">
        <f>IF(AND(O750=TRUE,P750=TRUE), VLOOKUP($E750,PESSOAL!$B$35:$S$45,MONTH($F750)+6,FALSE)*G750*24,0)</f>
        <v>47.93366131</v>
      </c>
      <c r="O750" s="89" t="b">
        <f t="shared" si="1"/>
        <v>1</v>
      </c>
      <c r="P750" s="89" t="b">
        <v>1</v>
      </c>
      <c r="Q750" s="89" t="s">
        <v>212</v>
      </c>
    </row>
    <row r="751" hidden="1">
      <c r="A751" s="108"/>
      <c r="B751" s="202"/>
      <c r="C751" s="202" t="str">
        <f>VLOOKUP(M751,'#verificação horas por projeto'!A:B,2,FALSE)</f>
        <v>INOV00053</v>
      </c>
      <c r="D751" s="202" t="s">
        <v>753</v>
      </c>
      <c r="E751" s="107" t="s">
        <v>145</v>
      </c>
      <c r="F751" s="211">
        <v>45636.0</v>
      </c>
      <c r="G751" s="226">
        <v>0.16666666666666666</v>
      </c>
      <c r="H751" s="107" t="s">
        <v>356</v>
      </c>
      <c r="I751" s="227" t="s">
        <v>356</v>
      </c>
      <c r="J751" s="227"/>
      <c r="K751" s="115" t="s">
        <v>769</v>
      </c>
      <c r="L751" s="228"/>
      <c r="M751" s="107" t="s">
        <v>755</v>
      </c>
      <c r="N751" s="229">
        <f>IF(AND(O751=TRUE,P751=TRUE), VLOOKUP($E751,PESSOAL!$B$35:$S$45,MONTH($F751)+6,FALSE)*G751*24,0)</f>
        <v>0</v>
      </c>
      <c r="O751" s="89" t="b">
        <f t="shared" si="1"/>
        <v>1</v>
      </c>
      <c r="P751" s="89" t="b">
        <v>0</v>
      </c>
      <c r="Q751" s="89" t="s">
        <v>212</v>
      </c>
    </row>
    <row r="752" hidden="1">
      <c r="A752" s="108"/>
      <c r="B752" s="202"/>
      <c r="C752" s="202" t="str">
        <f>VLOOKUP(M752,'#verificação horas por projeto'!A:B,2,FALSE)</f>
        <v>INOV00001</v>
      </c>
      <c r="D752" s="202" t="s">
        <v>3</v>
      </c>
      <c r="E752" s="107" t="s">
        <v>145</v>
      </c>
      <c r="F752" s="211">
        <v>45639.0</v>
      </c>
      <c r="G752" s="226">
        <v>0.041666666666666664</v>
      </c>
      <c r="H752" s="107" t="s">
        <v>354</v>
      </c>
      <c r="I752" s="227" t="s">
        <v>354</v>
      </c>
      <c r="J752" s="227"/>
      <c r="K752" s="115" t="s">
        <v>770</v>
      </c>
      <c r="L752" s="228"/>
      <c r="M752" s="107" t="s">
        <v>386</v>
      </c>
      <c r="N752" s="229">
        <f>IF(AND(O752=TRUE,P752=TRUE), VLOOKUP($E752,PESSOAL!$B$35:$S$45,MONTH($F752)+6,FALSE)*G752*24,0)</f>
        <v>47.93366131</v>
      </c>
      <c r="O752" s="89" t="b">
        <f t="shared" si="1"/>
        <v>1</v>
      </c>
      <c r="P752" s="89" t="b">
        <v>1</v>
      </c>
      <c r="Q752" s="89" t="s">
        <v>212</v>
      </c>
    </row>
    <row r="753" hidden="1">
      <c r="A753" s="108"/>
      <c r="B753" s="202"/>
      <c r="C753" s="202" t="str">
        <f>VLOOKUP(M753,'#verificação horas por projeto'!A:B,2,FALSE)</f>
        <v>INOV00041</v>
      </c>
      <c r="D753" s="202" t="s">
        <v>28</v>
      </c>
      <c r="E753" s="107" t="s">
        <v>145</v>
      </c>
      <c r="F753" s="211">
        <v>45642.0</v>
      </c>
      <c r="G753" s="226">
        <v>0.0625</v>
      </c>
      <c r="H753" s="107" t="s">
        <v>356</v>
      </c>
      <c r="I753" s="227" t="s">
        <v>356</v>
      </c>
      <c r="J753" s="227"/>
      <c r="K753" s="115" t="s">
        <v>771</v>
      </c>
      <c r="L753" s="228"/>
      <c r="M753" s="107" t="s">
        <v>408</v>
      </c>
      <c r="N753" s="229">
        <f>IF(AND(O753=TRUE,P753=TRUE), VLOOKUP($E753,PESSOAL!$B$35:$S$45,MONTH($F753)+6,FALSE)*G753*24,0)</f>
        <v>71.90049196</v>
      </c>
      <c r="O753" s="89" t="b">
        <f t="shared" si="1"/>
        <v>1</v>
      </c>
      <c r="P753" s="89" t="b">
        <v>1</v>
      </c>
      <c r="Q753" s="89" t="s">
        <v>212</v>
      </c>
    </row>
    <row r="754" hidden="1">
      <c r="A754" s="108"/>
      <c r="B754" s="202"/>
      <c r="C754" s="202" t="str">
        <f>VLOOKUP(M754,'#verificação horas por projeto'!A:B,2,FALSE)</f>
        <v>INOV00047</v>
      </c>
      <c r="D754" s="202" t="s">
        <v>32</v>
      </c>
      <c r="E754" s="107" t="s">
        <v>145</v>
      </c>
      <c r="F754" s="211">
        <v>45643.0</v>
      </c>
      <c r="G754" s="226">
        <v>0.0625</v>
      </c>
      <c r="H754" s="107" t="s">
        <v>356</v>
      </c>
      <c r="I754" s="227" t="s">
        <v>356</v>
      </c>
      <c r="J754" s="227"/>
      <c r="K754" s="115" t="s">
        <v>772</v>
      </c>
      <c r="L754" s="228"/>
      <c r="M754" s="107" t="s">
        <v>584</v>
      </c>
      <c r="N754" s="229">
        <f>IF(AND(O754=TRUE,P754=TRUE), VLOOKUP($E754,PESSOAL!$B$35:$S$45,MONTH($F754)+6,FALSE)*G754*24,0)</f>
        <v>0</v>
      </c>
      <c r="O754" s="89" t="b">
        <f t="shared" si="1"/>
        <v>1</v>
      </c>
      <c r="P754" s="89" t="b">
        <v>0</v>
      </c>
      <c r="Q754" s="89" t="s">
        <v>212</v>
      </c>
    </row>
    <row r="755" hidden="1">
      <c r="A755" s="108"/>
      <c r="B755" s="202"/>
      <c r="C755" s="202" t="str">
        <f>VLOOKUP(M755,'#verificação horas por projeto'!A:B,2,FALSE)</f>
        <v>INOV00001</v>
      </c>
      <c r="D755" s="202" t="s">
        <v>3</v>
      </c>
      <c r="E755" s="107" t="s">
        <v>145</v>
      </c>
      <c r="F755" s="211">
        <v>45643.0</v>
      </c>
      <c r="G755" s="226">
        <v>0.041666666666666664</v>
      </c>
      <c r="H755" s="107" t="s">
        <v>356</v>
      </c>
      <c r="I755" s="227" t="s">
        <v>356</v>
      </c>
      <c r="J755" s="227"/>
      <c r="K755" s="115" t="s">
        <v>773</v>
      </c>
      <c r="L755" s="228"/>
      <c r="M755" s="107" t="s">
        <v>386</v>
      </c>
      <c r="N755" s="229">
        <f>IF(AND(O755=TRUE,P755=TRUE), VLOOKUP($E755,PESSOAL!$B$35:$S$45,MONTH($F755)+6,FALSE)*G755*24,0)</f>
        <v>47.93366131</v>
      </c>
      <c r="O755" s="89" t="b">
        <f t="shared" si="1"/>
        <v>1</v>
      </c>
      <c r="P755" s="89" t="b">
        <v>1</v>
      </c>
      <c r="Q755" s="89" t="s">
        <v>212</v>
      </c>
    </row>
    <row r="756" hidden="1">
      <c r="A756" s="108"/>
      <c r="B756" s="202"/>
      <c r="C756" s="202" t="str">
        <f>VLOOKUP(M756,'#verificação horas por projeto'!A:B,2,FALSE)</f>
        <v>INOV00041</v>
      </c>
      <c r="D756" s="202" t="s">
        <v>28</v>
      </c>
      <c r="E756" s="107" t="s">
        <v>145</v>
      </c>
      <c r="F756" s="211">
        <v>45644.0</v>
      </c>
      <c r="G756" s="226">
        <v>0.10416666666666667</v>
      </c>
      <c r="H756" s="107" t="s">
        <v>356</v>
      </c>
      <c r="I756" s="227" t="s">
        <v>356</v>
      </c>
      <c r="J756" s="227"/>
      <c r="K756" s="115" t="s">
        <v>771</v>
      </c>
      <c r="L756" s="228"/>
      <c r="M756" s="107" t="s">
        <v>408</v>
      </c>
      <c r="N756" s="229">
        <f>IF(AND(O756=TRUE,P756=TRUE), VLOOKUP($E756,PESSOAL!$B$35:$S$45,MONTH($F756)+6,FALSE)*G756*24,0)</f>
        <v>119.8341533</v>
      </c>
      <c r="O756" s="89" t="b">
        <f t="shared" si="1"/>
        <v>1</v>
      </c>
      <c r="P756" s="89" t="b">
        <v>1</v>
      </c>
      <c r="Q756" s="89" t="s">
        <v>212</v>
      </c>
    </row>
    <row r="757" hidden="1">
      <c r="A757" s="108"/>
      <c r="B757" s="202"/>
      <c r="C757" s="202" t="str">
        <f>VLOOKUP(M757,'#verificação horas por projeto'!A:B,2,FALSE)</f>
        <v>INOV00001</v>
      </c>
      <c r="D757" s="202" t="s">
        <v>3</v>
      </c>
      <c r="E757" s="107" t="s">
        <v>145</v>
      </c>
      <c r="F757" s="211">
        <v>45645.0</v>
      </c>
      <c r="G757" s="226">
        <v>0.041666666666666664</v>
      </c>
      <c r="H757" s="107" t="s">
        <v>354</v>
      </c>
      <c r="I757" s="227" t="s">
        <v>354</v>
      </c>
      <c r="J757" s="227"/>
      <c r="K757" s="115" t="s">
        <v>770</v>
      </c>
      <c r="L757" s="228"/>
      <c r="M757" s="107" t="s">
        <v>386</v>
      </c>
      <c r="N757" s="229">
        <f>IF(AND(O757=TRUE,P757=TRUE), VLOOKUP($E757,PESSOAL!$B$35:$S$45,MONTH($F757)+6,FALSE)*G757*24,0)</f>
        <v>47.93366131</v>
      </c>
      <c r="O757" s="89" t="b">
        <f t="shared" si="1"/>
        <v>1</v>
      </c>
      <c r="P757" s="89" t="b">
        <v>1</v>
      </c>
      <c r="Q757" s="89" t="s">
        <v>212</v>
      </c>
    </row>
    <row r="758" hidden="1">
      <c r="A758" s="108"/>
      <c r="B758" s="202"/>
      <c r="C758" s="202" t="str">
        <f>VLOOKUP(M758,'#verificação horas por projeto'!A:B,2,FALSE)</f>
        <v>INOV00001</v>
      </c>
      <c r="D758" s="202" t="s">
        <v>3</v>
      </c>
      <c r="E758" s="107" t="s">
        <v>145</v>
      </c>
      <c r="F758" s="211">
        <v>45645.0</v>
      </c>
      <c r="G758" s="226">
        <v>0.125</v>
      </c>
      <c r="H758" s="107" t="s">
        <v>356</v>
      </c>
      <c r="I758" s="227" t="s">
        <v>356</v>
      </c>
      <c r="J758" s="227"/>
      <c r="K758" s="115" t="s">
        <v>773</v>
      </c>
      <c r="L758" s="228"/>
      <c r="M758" s="107" t="s">
        <v>386</v>
      </c>
      <c r="N758" s="229">
        <f>IF(AND(O758=TRUE,P758=TRUE), VLOOKUP($E758,PESSOAL!$B$35:$S$45,MONTH($F758)+6,FALSE)*G758*24,0)</f>
        <v>143.8009839</v>
      </c>
      <c r="O758" s="89" t="b">
        <f t="shared" si="1"/>
        <v>1</v>
      </c>
      <c r="P758" s="89" t="b">
        <v>1</v>
      </c>
      <c r="Q758" s="89" t="s">
        <v>212</v>
      </c>
    </row>
    <row r="759" hidden="1">
      <c r="A759" s="108"/>
      <c r="B759" s="202"/>
      <c r="C759" s="202" t="str">
        <f>VLOOKUP(M759,'#verificação horas por projeto'!A:B,2,FALSE)</f>
        <v>INOV00053</v>
      </c>
      <c r="D759" s="202" t="s">
        <v>753</v>
      </c>
      <c r="E759" s="107" t="s">
        <v>145</v>
      </c>
      <c r="F759" s="211">
        <v>45646.0</v>
      </c>
      <c r="G759" s="226">
        <v>0.07291666666666667</v>
      </c>
      <c r="H759" s="107" t="s">
        <v>354</v>
      </c>
      <c r="I759" s="227" t="s">
        <v>354</v>
      </c>
      <c r="J759" s="227"/>
      <c r="K759" s="115" t="s">
        <v>774</v>
      </c>
      <c r="L759" s="228"/>
      <c r="M759" s="107" t="s">
        <v>755</v>
      </c>
      <c r="N759" s="229">
        <f>IF(AND(O759=TRUE,P759=TRUE), VLOOKUP($E759,PESSOAL!$B$35:$S$45,MONTH($F759)+6,FALSE)*G759*24,0)</f>
        <v>0</v>
      </c>
      <c r="O759" s="89" t="b">
        <f t="shared" si="1"/>
        <v>1</v>
      </c>
      <c r="P759" s="89" t="b">
        <v>0</v>
      </c>
      <c r="Q759" s="89" t="s">
        <v>212</v>
      </c>
    </row>
    <row r="760" hidden="1">
      <c r="A760" s="108"/>
      <c r="B760" s="202"/>
      <c r="C760" s="202" t="str">
        <f>VLOOKUP(M760,'#verificação horas por projeto'!A:B,2,FALSE)</f>
        <v>INOV00041</v>
      </c>
      <c r="D760" s="202" t="s">
        <v>28</v>
      </c>
      <c r="E760" s="107" t="s">
        <v>145</v>
      </c>
      <c r="F760" s="211">
        <v>45646.0</v>
      </c>
      <c r="G760" s="226">
        <v>0.0625</v>
      </c>
      <c r="H760" s="107" t="s">
        <v>356</v>
      </c>
      <c r="I760" s="227" t="s">
        <v>356</v>
      </c>
      <c r="J760" s="227"/>
      <c r="K760" s="115" t="s">
        <v>771</v>
      </c>
      <c r="L760" s="228"/>
      <c r="M760" s="107" t="s">
        <v>408</v>
      </c>
      <c r="N760" s="229">
        <f>IF(AND(O760=TRUE,P760=TRUE), VLOOKUP($E760,PESSOAL!$B$35:$S$45,MONTH($F760)+6,FALSE)*G760*24,0)</f>
        <v>71.90049196</v>
      </c>
      <c r="O760" s="89" t="b">
        <f t="shared" si="1"/>
        <v>1</v>
      </c>
      <c r="P760" s="89" t="b">
        <v>1</v>
      </c>
      <c r="Q760" s="89" t="s">
        <v>212</v>
      </c>
    </row>
    <row r="761" hidden="1">
      <c r="A761" s="108"/>
      <c r="B761" s="202"/>
      <c r="C761" s="202" t="str">
        <f>VLOOKUP(M761,'#verificação horas por projeto'!A:B,2,FALSE)</f>
        <v>INOV00049</v>
      </c>
      <c r="D761" s="202" t="s">
        <v>35</v>
      </c>
      <c r="E761" s="107" t="s">
        <v>145</v>
      </c>
      <c r="F761" s="211">
        <v>45649.0</v>
      </c>
      <c r="G761" s="226">
        <v>0.041666666666666664</v>
      </c>
      <c r="H761" s="107" t="s">
        <v>354</v>
      </c>
      <c r="I761" s="227" t="s">
        <v>354</v>
      </c>
      <c r="J761" s="227"/>
      <c r="K761" s="115" t="s">
        <v>775</v>
      </c>
      <c r="L761" s="228"/>
      <c r="M761" s="107" t="s">
        <v>596</v>
      </c>
      <c r="N761" s="229">
        <f>IF(AND(O761=TRUE,P761=TRUE), VLOOKUP($E761,PESSOAL!$B$35:$S$45,MONTH($F761)+6,FALSE)*G761*24,0)</f>
        <v>0</v>
      </c>
      <c r="O761" s="89" t="b">
        <f t="shared" si="1"/>
        <v>1</v>
      </c>
      <c r="P761" s="89" t="b">
        <v>0</v>
      </c>
      <c r="Q761" s="89" t="s">
        <v>212</v>
      </c>
    </row>
    <row r="762" hidden="1">
      <c r="A762" s="108"/>
      <c r="B762" s="202"/>
      <c r="C762" s="202" t="str">
        <f>VLOOKUP(M762,'#verificação horas por projeto'!A:B,2,FALSE)</f>
        <v>INOV00041</v>
      </c>
      <c r="D762" s="202" t="s">
        <v>28</v>
      </c>
      <c r="E762" s="107" t="s">
        <v>145</v>
      </c>
      <c r="F762" s="211">
        <v>45652.0</v>
      </c>
      <c r="G762" s="226">
        <v>0.20833333333333334</v>
      </c>
      <c r="H762" s="107" t="s">
        <v>356</v>
      </c>
      <c r="I762" s="227" t="s">
        <v>356</v>
      </c>
      <c r="J762" s="227"/>
      <c r="K762" s="115" t="s">
        <v>776</v>
      </c>
      <c r="L762" s="228"/>
      <c r="M762" s="107" t="s">
        <v>408</v>
      </c>
      <c r="N762" s="229">
        <f>IF(AND(O762=TRUE,P762=TRUE), VLOOKUP($E762,PESSOAL!$B$35:$S$45,MONTH($F762)+6,FALSE)*G762*24,0)</f>
        <v>239.6683065</v>
      </c>
      <c r="O762" s="89" t="b">
        <f t="shared" si="1"/>
        <v>1</v>
      </c>
      <c r="P762" s="89" t="b">
        <v>1</v>
      </c>
      <c r="Q762" s="89" t="s">
        <v>212</v>
      </c>
    </row>
    <row r="763" hidden="1">
      <c r="A763" s="108"/>
      <c r="B763" s="202"/>
      <c r="C763" s="202" t="str">
        <f>VLOOKUP(M763,'#verificação horas por projeto'!A:B,2,FALSE)</f>
        <v>#N/A</v>
      </c>
      <c r="D763" s="202"/>
      <c r="E763" s="107"/>
      <c r="F763" s="211"/>
      <c r="G763" s="226"/>
      <c r="H763" s="107"/>
      <c r="I763" s="227"/>
      <c r="J763" s="227"/>
      <c r="K763" s="115"/>
      <c r="L763" s="228"/>
      <c r="M763" s="107"/>
      <c r="N763" s="229">
        <f>IF(AND(O763=TRUE,P763=TRUE), VLOOKUP($E763,PESSOAL!$B$35:$S$45,MONTH($F763)+6,FALSE)*G763*24,0)</f>
        <v>0</v>
      </c>
      <c r="O763" s="89" t="b">
        <f t="shared" si="1"/>
        <v>0</v>
      </c>
      <c r="P763" s="89" t="b">
        <v>0</v>
      </c>
      <c r="Q763" s="89" t="e">
        <v>#N/A</v>
      </c>
    </row>
    <row r="764" hidden="1">
      <c r="A764" s="108"/>
      <c r="B764" s="202"/>
      <c r="C764" s="202" t="str">
        <f>VLOOKUP(M764,'#verificação horas por projeto'!A:B,2,FALSE)</f>
        <v>#N/A</v>
      </c>
      <c r="D764" s="202"/>
      <c r="E764" s="107"/>
      <c r="F764" s="211"/>
      <c r="G764" s="226"/>
      <c r="H764" s="107"/>
      <c r="I764" s="227"/>
      <c r="J764" s="227"/>
      <c r="K764" s="115"/>
      <c r="L764" s="228"/>
      <c r="M764" s="107"/>
      <c r="N764" s="229">
        <f>IF(AND(O764=TRUE,P764=TRUE), VLOOKUP($E764,PESSOAL!$B$35:$S$45,MONTH($F764)+6,FALSE)*G764*24,0)</f>
        <v>0</v>
      </c>
      <c r="O764" s="89" t="b">
        <f t="shared" si="1"/>
        <v>0</v>
      </c>
      <c r="P764" s="89" t="b">
        <v>0</v>
      </c>
      <c r="Q764" s="89" t="e">
        <v>#N/A</v>
      </c>
    </row>
    <row r="765" hidden="1">
      <c r="A765" s="108"/>
      <c r="B765" s="202"/>
      <c r="C765" s="202" t="str">
        <f>VLOOKUP(M765,'#verificação horas por projeto'!A:B,2,FALSE)</f>
        <v>#N/A</v>
      </c>
      <c r="D765" s="202"/>
      <c r="E765" s="107"/>
      <c r="F765" s="211"/>
      <c r="G765" s="226"/>
      <c r="H765" s="107"/>
      <c r="I765" s="227"/>
      <c r="J765" s="227"/>
      <c r="K765" s="115"/>
      <c r="L765" s="228"/>
      <c r="M765" s="107"/>
      <c r="N765" s="229">
        <f>IF(AND(O765=TRUE,P765=TRUE), VLOOKUP($E765,PESSOAL!$B$35:$S$45,MONTH($F765)+6,FALSE)*G765*24,0)</f>
        <v>0</v>
      </c>
      <c r="O765" s="89" t="b">
        <f t="shared" si="1"/>
        <v>0</v>
      </c>
      <c r="P765" s="89" t="b">
        <v>0</v>
      </c>
      <c r="Q765" s="89" t="e">
        <v>#N/A</v>
      </c>
    </row>
    <row r="766" hidden="1">
      <c r="A766" s="108"/>
      <c r="B766" s="202"/>
      <c r="C766" s="202" t="str">
        <f>VLOOKUP(M766,'#verificação horas por projeto'!A:B,2,FALSE)</f>
        <v>#N/A</v>
      </c>
      <c r="D766" s="202"/>
      <c r="E766" s="107"/>
      <c r="F766" s="211"/>
      <c r="G766" s="226"/>
      <c r="H766" s="107"/>
      <c r="I766" s="227"/>
      <c r="J766" s="227"/>
      <c r="K766" s="115"/>
      <c r="L766" s="228"/>
      <c r="M766" s="107"/>
      <c r="N766" s="229">
        <f>IF(AND(O766=TRUE,P766=TRUE), VLOOKUP($E766,PESSOAL!$B$35:$S$45,MONTH($F766)+6,FALSE)*G766*24,0)</f>
        <v>0</v>
      </c>
      <c r="O766" s="89" t="b">
        <f t="shared" si="1"/>
        <v>0</v>
      </c>
      <c r="P766" s="89" t="b">
        <v>0</v>
      </c>
      <c r="Q766" s="89" t="e">
        <v>#N/A</v>
      </c>
    </row>
    <row r="767" hidden="1">
      <c r="A767" s="108"/>
      <c r="B767" s="202"/>
      <c r="C767" s="202" t="str">
        <f>VLOOKUP(M767,'#verificação horas por projeto'!A:B,2,FALSE)</f>
        <v>#N/A</v>
      </c>
      <c r="D767" s="202"/>
      <c r="E767" s="107"/>
      <c r="F767" s="211"/>
      <c r="G767" s="226"/>
      <c r="H767" s="107"/>
      <c r="I767" s="227"/>
      <c r="J767" s="227"/>
      <c r="K767" s="115"/>
      <c r="L767" s="228"/>
      <c r="M767" s="107"/>
      <c r="N767" s="229">
        <f>IF(AND(O767=TRUE,P767=TRUE), VLOOKUP($E767,PESSOAL!$B$35:$S$45,MONTH($F767)+6,FALSE)*G767*24,0)</f>
        <v>0</v>
      </c>
      <c r="O767" s="89" t="b">
        <f t="shared" si="1"/>
        <v>0</v>
      </c>
      <c r="P767" s="89" t="b">
        <v>0</v>
      </c>
      <c r="Q767" s="89" t="e">
        <v>#N/A</v>
      </c>
    </row>
    <row r="768" hidden="1">
      <c r="A768" s="108"/>
      <c r="B768" s="202"/>
      <c r="C768" s="202" t="str">
        <f>VLOOKUP(M768,'#verificação horas por projeto'!A:B,2,FALSE)</f>
        <v>#N/A</v>
      </c>
      <c r="D768" s="202"/>
      <c r="E768" s="107"/>
      <c r="F768" s="211"/>
      <c r="G768" s="226"/>
      <c r="H768" s="107"/>
      <c r="I768" s="227"/>
      <c r="J768" s="227"/>
      <c r="K768" s="115"/>
      <c r="L768" s="228"/>
      <c r="M768" s="107"/>
      <c r="N768" s="229">
        <f>IF(AND(O768=TRUE,P768=TRUE), VLOOKUP($E768,PESSOAL!$B$35:$S$45,MONTH($F768)+6,FALSE)*G768*24,0)</f>
        <v>0</v>
      </c>
      <c r="O768" s="89" t="b">
        <f t="shared" si="1"/>
        <v>0</v>
      </c>
      <c r="P768" s="89" t="b">
        <v>0</v>
      </c>
      <c r="Q768" s="89" t="e">
        <v>#N/A</v>
      </c>
    </row>
    <row r="769" hidden="1">
      <c r="A769" s="108"/>
      <c r="B769" s="202"/>
      <c r="C769" s="202" t="str">
        <f>VLOOKUP(M769,'#verificação horas por projeto'!A:B,2,FALSE)</f>
        <v>#N/A</v>
      </c>
      <c r="D769" s="202"/>
      <c r="E769" s="107"/>
      <c r="F769" s="211"/>
      <c r="G769" s="226"/>
      <c r="H769" s="107"/>
      <c r="I769" s="227"/>
      <c r="J769" s="227"/>
      <c r="K769" s="115"/>
      <c r="L769" s="228"/>
      <c r="M769" s="107"/>
      <c r="N769" s="229">
        <f>IF(AND(O769=TRUE,P769=TRUE), VLOOKUP($E769,PESSOAL!$B$35:$S$45,MONTH($F769)+6,FALSE)*G769*24,0)</f>
        <v>0</v>
      </c>
      <c r="O769" s="89" t="b">
        <f t="shared" si="1"/>
        <v>0</v>
      </c>
      <c r="P769" s="89" t="b">
        <v>0</v>
      </c>
      <c r="Q769" s="89" t="e">
        <v>#N/A</v>
      </c>
    </row>
    <row r="770" hidden="1">
      <c r="A770" s="108"/>
      <c r="B770" s="202"/>
      <c r="C770" s="202" t="str">
        <f>VLOOKUP(M770,'#verificação horas por projeto'!A:B,2,FALSE)</f>
        <v>#N/A</v>
      </c>
      <c r="D770" s="202"/>
      <c r="E770" s="107"/>
      <c r="F770" s="211"/>
      <c r="G770" s="226"/>
      <c r="H770" s="107"/>
      <c r="I770" s="227"/>
      <c r="J770" s="227"/>
      <c r="K770" s="115"/>
      <c r="L770" s="228"/>
      <c r="M770" s="107"/>
      <c r="N770" s="229">
        <f>IF(AND(O770=TRUE,P770=TRUE), VLOOKUP($E770,PESSOAL!$B$35:$S$45,MONTH($F770)+6,FALSE)*G770*24,0)</f>
        <v>0</v>
      </c>
      <c r="O770" s="89" t="b">
        <f t="shared" si="1"/>
        <v>0</v>
      </c>
      <c r="P770" s="89" t="b">
        <v>0</v>
      </c>
      <c r="Q770" s="89" t="e">
        <v>#N/A</v>
      </c>
    </row>
    <row r="771" hidden="1">
      <c r="A771" s="108"/>
      <c r="B771" s="202"/>
      <c r="C771" s="202" t="str">
        <f>VLOOKUP(M771,'#verificação horas por projeto'!A:B,2,FALSE)</f>
        <v>#N/A</v>
      </c>
      <c r="D771" s="202"/>
      <c r="E771" s="107"/>
      <c r="F771" s="211"/>
      <c r="G771" s="226"/>
      <c r="H771" s="107"/>
      <c r="I771" s="227"/>
      <c r="J771" s="227"/>
      <c r="K771" s="115"/>
      <c r="L771" s="228"/>
      <c r="M771" s="107"/>
      <c r="N771" s="229">
        <f>IF(AND(O771=TRUE,P771=TRUE), VLOOKUP($E771,PESSOAL!$B$35:$S$45,MONTH($F771)+6,FALSE)*G771*24,0)</f>
        <v>0</v>
      </c>
      <c r="O771" s="89" t="b">
        <f t="shared" si="1"/>
        <v>0</v>
      </c>
      <c r="P771" s="89" t="b">
        <v>0</v>
      </c>
      <c r="Q771" s="89" t="e">
        <v>#N/A</v>
      </c>
    </row>
    <row r="772" hidden="1">
      <c r="A772" s="108"/>
      <c r="B772" s="202"/>
      <c r="C772" s="202" t="str">
        <f>VLOOKUP(M772,'#verificação horas por projeto'!A:B,2,FALSE)</f>
        <v>#N/A</v>
      </c>
      <c r="D772" s="202"/>
      <c r="E772" s="107"/>
      <c r="F772" s="211"/>
      <c r="G772" s="226"/>
      <c r="H772" s="107"/>
      <c r="I772" s="227"/>
      <c r="J772" s="227"/>
      <c r="K772" s="115"/>
      <c r="L772" s="228"/>
      <c r="M772" s="107"/>
      <c r="N772" s="229">
        <f>IF(AND(O772=TRUE,P772=TRUE), VLOOKUP($E772,PESSOAL!$B$35:$S$45,MONTH($F772)+6,FALSE)*G772*24,0)</f>
        <v>0</v>
      </c>
      <c r="O772" s="89" t="b">
        <f t="shared" si="1"/>
        <v>0</v>
      </c>
      <c r="P772" s="89" t="b">
        <v>0</v>
      </c>
      <c r="Q772" s="89" t="e">
        <v>#N/A</v>
      </c>
    </row>
    <row r="773" hidden="1">
      <c r="A773" s="108"/>
      <c r="B773" s="202"/>
      <c r="C773" s="202" t="str">
        <f>VLOOKUP(M773,'#verificação horas por projeto'!A:B,2,FALSE)</f>
        <v>#N/A</v>
      </c>
      <c r="D773" s="202"/>
      <c r="E773" s="107"/>
      <c r="F773" s="211"/>
      <c r="G773" s="226"/>
      <c r="H773" s="107"/>
      <c r="I773" s="227"/>
      <c r="J773" s="227"/>
      <c r="K773" s="115"/>
      <c r="L773" s="228"/>
      <c r="M773" s="107"/>
      <c r="N773" s="229">
        <f>IF(AND(O773=TRUE,P773=TRUE), VLOOKUP($E773,PESSOAL!$B$35:$S$45,MONTH($F773)+6,FALSE)*G773*24,0)</f>
        <v>0</v>
      </c>
      <c r="O773" s="89" t="b">
        <f t="shared" si="1"/>
        <v>0</v>
      </c>
      <c r="P773" s="89" t="b">
        <v>0</v>
      </c>
      <c r="Q773" s="89" t="e">
        <v>#N/A</v>
      </c>
    </row>
    <row r="774" hidden="1">
      <c r="A774" s="108"/>
      <c r="B774" s="202"/>
      <c r="C774" s="202" t="str">
        <f>VLOOKUP(M774,'#verificação horas por projeto'!A:B,2,FALSE)</f>
        <v>#N/A</v>
      </c>
      <c r="D774" s="202"/>
      <c r="E774" s="107"/>
      <c r="F774" s="211"/>
      <c r="G774" s="226"/>
      <c r="H774" s="107"/>
      <c r="I774" s="227"/>
      <c r="J774" s="227"/>
      <c r="K774" s="115"/>
      <c r="L774" s="228"/>
      <c r="M774" s="107"/>
      <c r="N774" s="229">
        <f>IF(AND(O774=TRUE,P774=TRUE), VLOOKUP($E774,PESSOAL!$B$35:$S$45,MONTH($F774)+6,FALSE)*G774*24,0)</f>
        <v>0</v>
      </c>
      <c r="O774" s="89" t="b">
        <f t="shared" si="1"/>
        <v>0</v>
      </c>
      <c r="P774" s="89" t="b">
        <v>0</v>
      </c>
      <c r="Q774" s="89" t="e">
        <v>#N/A</v>
      </c>
    </row>
    <row r="775" hidden="1">
      <c r="A775" s="108"/>
      <c r="B775" s="202"/>
      <c r="C775" s="202" t="str">
        <f>VLOOKUP(M775,'#verificação horas por projeto'!A:B,2,FALSE)</f>
        <v>#N/A</v>
      </c>
      <c r="D775" s="202"/>
      <c r="E775" s="107"/>
      <c r="F775" s="211"/>
      <c r="G775" s="226"/>
      <c r="H775" s="107"/>
      <c r="I775" s="227"/>
      <c r="J775" s="227"/>
      <c r="K775" s="115"/>
      <c r="L775" s="228"/>
      <c r="M775" s="107"/>
      <c r="N775" s="229">
        <f>IF(AND(O775=TRUE,P775=TRUE), VLOOKUP($E775,PESSOAL!$B$35:$S$45,MONTH($F775)+6,FALSE)*G775*24,0)</f>
        <v>0</v>
      </c>
      <c r="O775" s="89" t="b">
        <f t="shared" si="1"/>
        <v>0</v>
      </c>
      <c r="P775" s="89" t="b">
        <v>0</v>
      </c>
      <c r="Q775" s="89" t="e">
        <v>#N/A</v>
      </c>
    </row>
    <row r="776" hidden="1">
      <c r="A776" s="108"/>
      <c r="B776" s="202"/>
      <c r="C776" s="202" t="str">
        <f>VLOOKUP(M776,'#verificação horas por projeto'!A:B,2,FALSE)</f>
        <v>#N/A</v>
      </c>
      <c r="D776" s="202"/>
      <c r="E776" s="107"/>
      <c r="F776" s="211"/>
      <c r="G776" s="226"/>
      <c r="H776" s="107"/>
      <c r="I776" s="227"/>
      <c r="J776" s="227"/>
      <c r="K776" s="115"/>
      <c r="L776" s="228"/>
      <c r="M776" s="107"/>
      <c r="N776" s="229">
        <f>IF(AND(O776=TRUE,P776=TRUE), VLOOKUP($E776,PESSOAL!$B$35:$S$45,MONTH($F776)+6,FALSE)*G776*24,0)</f>
        <v>0</v>
      </c>
      <c r="O776" s="89" t="b">
        <f t="shared" si="1"/>
        <v>0</v>
      </c>
      <c r="P776" s="89" t="b">
        <v>0</v>
      </c>
      <c r="Q776" s="89" t="e">
        <v>#N/A</v>
      </c>
    </row>
    <row r="777" hidden="1">
      <c r="A777" s="108"/>
      <c r="B777" s="202"/>
      <c r="C777" s="202" t="str">
        <f>VLOOKUP(M777,'#verificação horas por projeto'!A:B,2,FALSE)</f>
        <v>#N/A</v>
      </c>
      <c r="D777" s="202"/>
      <c r="E777" s="107"/>
      <c r="F777" s="211"/>
      <c r="G777" s="226"/>
      <c r="H777" s="107"/>
      <c r="I777" s="227"/>
      <c r="J777" s="227"/>
      <c r="K777" s="115"/>
      <c r="L777" s="228"/>
      <c r="M777" s="107"/>
      <c r="N777" s="229">
        <f>IF(AND(O777=TRUE,P777=TRUE), VLOOKUP($E777,PESSOAL!$B$35:$S$45,MONTH($F777)+6,FALSE)*G777*24,0)</f>
        <v>0</v>
      </c>
      <c r="O777" s="89" t="b">
        <f t="shared" si="1"/>
        <v>0</v>
      </c>
      <c r="P777" s="89" t="b">
        <v>0</v>
      </c>
      <c r="Q777" s="89" t="e">
        <v>#N/A</v>
      </c>
    </row>
    <row r="778" hidden="1">
      <c r="A778" s="108"/>
      <c r="B778" s="202"/>
      <c r="C778" s="202" t="str">
        <f>VLOOKUP(M778,'#verificação horas por projeto'!A:B,2,FALSE)</f>
        <v>#N/A</v>
      </c>
      <c r="D778" s="202"/>
      <c r="E778" s="107"/>
      <c r="F778" s="211"/>
      <c r="G778" s="226"/>
      <c r="H778" s="107"/>
      <c r="I778" s="227"/>
      <c r="J778" s="227"/>
      <c r="K778" s="115"/>
      <c r="L778" s="228"/>
      <c r="M778" s="107"/>
      <c r="N778" s="229">
        <f>IF(AND(O778=TRUE,P778=TRUE), VLOOKUP($E778,PESSOAL!$B$35:$S$45,MONTH($F778)+6,FALSE)*G778*24,0)</f>
        <v>0</v>
      </c>
      <c r="O778" s="89" t="b">
        <f t="shared" si="1"/>
        <v>0</v>
      </c>
      <c r="P778" s="89" t="b">
        <v>0</v>
      </c>
      <c r="Q778" s="89" t="e">
        <v>#N/A</v>
      </c>
    </row>
    <row r="779" hidden="1">
      <c r="A779" s="108"/>
      <c r="B779" s="202"/>
      <c r="C779" s="202" t="str">
        <f>VLOOKUP(M779,'#verificação horas por projeto'!A:B,2,FALSE)</f>
        <v>#N/A</v>
      </c>
      <c r="D779" s="202"/>
      <c r="E779" s="107"/>
      <c r="F779" s="211"/>
      <c r="G779" s="226"/>
      <c r="H779" s="107"/>
      <c r="I779" s="227"/>
      <c r="J779" s="227"/>
      <c r="K779" s="115"/>
      <c r="L779" s="228"/>
      <c r="M779" s="107"/>
      <c r="N779" s="229">
        <f>IF(AND(O779=TRUE,P779=TRUE), VLOOKUP($E779,PESSOAL!$B$35:$S$45,MONTH($F779)+6,FALSE)*G779*24,0)</f>
        <v>0</v>
      </c>
      <c r="O779" s="89" t="b">
        <f t="shared" si="1"/>
        <v>0</v>
      </c>
      <c r="P779" s="89" t="b">
        <v>0</v>
      </c>
      <c r="Q779" s="89" t="e">
        <v>#N/A</v>
      </c>
    </row>
    <row r="780" hidden="1">
      <c r="A780" s="108"/>
      <c r="B780" s="202"/>
      <c r="C780" s="202" t="str">
        <f>VLOOKUP(M780,'#verificação horas por projeto'!A:B,2,FALSE)</f>
        <v>#N/A</v>
      </c>
      <c r="D780" s="202"/>
      <c r="E780" s="107"/>
      <c r="F780" s="211"/>
      <c r="G780" s="226"/>
      <c r="H780" s="107"/>
      <c r="I780" s="227"/>
      <c r="J780" s="227"/>
      <c r="K780" s="115"/>
      <c r="L780" s="228"/>
      <c r="M780" s="107"/>
      <c r="N780" s="229">
        <f>IF(AND(O780=TRUE,P780=TRUE), VLOOKUP($E780,PESSOAL!$B$35:$S$45,MONTH($F780)+6,FALSE)*G780*24,0)</f>
        <v>0</v>
      </c>
      <c r="O780" s="89" t="b">
        <f t="shared" si="1"/>
        <v>0</v>
      </c>
      <c r="P780" s="89" t="b">
        <v>0</v>
      </c>
      <c r="Q780" s="89" t="e">
        <v>#N/A</v>
      </c>
    </row>
    <row r="781" hidden="1">
      <c r="A781" s="108"/>
      <c r="B781" s="202"/>
      <c r="C781" s="202" t="str">
        <f>VLOOKUP(M781,'#verificação horas por projeto'!A:B,2,FALSE)</f>
        <v>#N/A</v>
      </c>
      <c r="D781" s="202"/>
      <c r="E781" s="107"/>
      <c r="F781" s="211"/>
      <c r="G781" s="226"/>
      <c r="H781" s="107"/>
      <c r="I781" s="227"/>
      <c r="J781" s="227"/>
      <c r="K781" s="115"/>
      <c r="L781" s="228"/>
      <c r="M781" s="107"/>
      <c r="N781" s="229">
        <f>IF(AND(O781=TRUE,P781=TRUE), VLOOKUP($E781,PESSOAL!$B$35:$S$45,MONTH($F781)+6,FALSE)*G781*24,0)</f>
        <v>0</v>
      </c>
      <c r="O781" s="89" t="b">
        <f t="shared" si="1"/>
        <v>0</v>
      </c>
      <c r="P781" s="89" t="b">
        <v>0</v>
      </c>
      <c r="Q781" s="89" t="e">
        <v>#N/A</v>
      </c>
    </row>
    <row r="782" hidden="1">
      <c r="A782" s="108"/>
      <c r="B782" s="202"/>
      <c r="C782" s="202" t="str">
        <f>VLOOKUP(M782,'#verificação horas por projeto'!A:B,2,FALSE)</f>
        <v>#N/A</v>
      </c>
      <c r="D782" s="202"/>
      <c r="E782" s="107"/>
      <c r="F782" s="211"/>
      <c r="G782" s="226"/>
      <c r="H782" s="107"/>
      <c r="I782" s="227"/>
      <c r="J782" s="227"/>
      <c r="K782" s="115"/>
      <c r="L782" s="228"/>
      <c r="M782" s="107"/>
      <c r="N782" s="229">
        <f>IF(AND(O782=TRUE,P782=TRUE), VLOOKUP($E782,PESSOAL!$B$35:$S$45,MONTH($F782)+6,FALSE)*G782*24,0)</f>
        <v>0</v>
      </c>
      <c r="O782" s="89" t="b">
        <f t="shared" si="1"/>
        <v>0</v>
      </c>
      <c r="P782" s="89" t="b">
        <v>0</v>
      </c>
      <c r="Q782" s="89" t="e">
        <v>#N/A</v>
      </c>
    </row>
    <row r="783" hidden="1">
      <c r="A783" s="108"/>
      <c r="B783" s="202"/>
      <c r="C783" s="202" t="str">
        <f>VLOOKUP(M783,'#verificação horas por projeto'!A:B,2,FALSE)</f>
        <v>#N/A</v>
      </c>
      <c r="D783" s="202"/>
      <c r="E783" s="107"/>
      <c r="F783" s="211"/>
      <c r="G783" s="226"/>
      <c r="H783" s="107"/>
      <c r="I783" s="227"/>
      <c r="J783" s="227"/>
      <c r="K783" s="115"/>
      <c r="L783" s="228"/>
      <c r="M783" s="107"/>
      <c r="N783" s="229">
        <f>IF(AND(O783=TRUE,P783=TRUE), VLOOKUP($E783,PESSOAL!$B$35:$S$45,MONTH($F783)+6,FALSE)*G783*24,0)</f>
        <v>0</v>
      </c>
      <c r="O783" s="89" t="b">
        <f t="shared" si="1"/>
        <v>0</v>
      </c>
      <c r="P783" s="89" t="b">
        <v>0</v>
      </c>
      <c r="Q783" s="89" t="e">
        <v>#N/A</v>
      </c>
    </row>
    <row r="784" hidden="1">
      <c r="A784" s="108"/>
      <c r="B784" s="202"/>
      <c r="C784" s="202" t="str">
        <f>VLOOKUP(M784,'#verificação horas por projeto'!A:B,2,FALSE)</f>
        <v>#N/A</v>
      </c>
      <c r="D784" s="202"/>
      <c r="E784" s="107"/>
      <c r="F784" s="211"/>
      <c r="G784" s="226"/>
      <c r="H784" s="107"/>
      <c r="I784" s="227"/>
      <c r="J784" s="227"/>
      <c r="K784" s="115"/>
      <c r="L784" s="228"/>
      <c r="M784" s="107"/>
      <c r="N784" s="229">
        <f>IF(AND(O784=TRUE,P784=TRUE), VLOOKUP($E784,PESSOAL!$B$35:$S$45,MONTH($F784)+6,FALSE)*G784*24,0)</f>
        <v>0</v>
      </c>
      <c r="O784" s="89" t="b">
        <f t="shared" si="1"/>
        <v>0</v>
      </c>
      <c r="P784" s="89" t="b">
        <v>0</v>
      </c>
      <c r="Q784" s="89" t="e">
        <v>#N/A</v>
      </c>
    </row>
    <row r="785" hidden="1">
      <c r="A785" s="108"/>
      <c r="B785" s="202"/>
      <c r="C785" s="202" t="str">
        <f>VLOOKUP(M785,'#verificação horas por projeto'!A:B,2,FALSE)</f>
        <v>#N/A</v>
      </c>
      <c r="D785" s="202"/>
      <c r="E785" s="107"/>
      <c r="F785" s="211"/>
      <c r="G785" s="226"/>
      <c r="H785" s="107"/>
      <c r="I785" s="227"/>
      <c r="J785" s="227"/>
      <c r="K785" s="115"/>
      <c r="L785" s="228"/>
      <c r="M785" s="107"/>
      <c r="N785" s="229">
        <f>IF(AND(O785=TRUE,P785=TRUE), VLOOKUP($E785,PESSOAL!$B$35:$S$45,MONTH($F785)+6,FALSE)*G785*24,0)</f>
        <v>0</v>
      </c>
      <c r="O785" s="89" t="b">
        <f t="shared" si="1"/>
        <v>0</v>
      </c>
      <c r="P785" s="89" t="b">
        <v>0</v>
      </c>
      <c r="Q785" s="89" t="e">
        <v>#N/A</v>
      </c>
    </row>
    <row r="786" hidden="1">
      <c r="A786" s="108"/>
      <c r="B786" s="202"/>
      <c r="C786" s="202" t="str">
        <f>VLOOKUP(M786,'#verificação horas por projeto'!A:B,2,FALSE)</f>
        <v>#N/A</v>
      </c>
      <c r="D786" s="202"/>
      <c r="E786" s="107"/>
      <c r="F786" s="211"/>
      <c r="G786" s="226"/>
      <c r="H786" s="107"/>
      <c r="I786" s="227"/>
      <c r="J786" s="227"/>
      <c r="K786" s="115"/>
      <c r="L786" s="228"/>
      <c r="M786" s="107"/>
      <c r="N786" s="229">
        <f>IF(AND(O786=TRUE,P786=TRUE), VLOOKUP($E786,PESSOAL!$B$35:$S$45,MONTH($F786)+6,FALSE)*G786*24,0)</f>
        <v>0</v>
      </c>
      <c r="O786" s="89" t="b">
        <f t="shared" si="1"/>
        <v>0</v>
      </c>
      <c r="P786" s="89" t="b">
        <v>0</v>
      </c>
      <c r="Q786" s="89" t="e">
        <v>#N/A</v>
      </c>
    </row>
    <row r="787" hidden="1">
      <c r="A787" s="108"/>
      <c r="B787" s="202"/>
      <c r="C787" s="202" t="str">
        <f>VLOOKUP(M787,'#verificação horas por projeto'!A:B,2,FALSE)</f>
        <v>#N/A</v>
      </c>
      <c r="D787" s="202"/>
      <c r="E787" s="107"/>
      <c r="F787" s="211"/>
      <c r="G787" s="226"/>
      <c r="H787" s="107"/>
      <c r="I787" s="227"/>
      <c r="J787" s="227"/>
      <c r="K787" s="115"/>
      <c r="L787" s="228"/>
      <c r="M787" s="107"/>
      <c r="N787" s="229">
        <f>IF(AND(O787=TRUE,P787=TRUE), VLOOKUP($E787,PESSOAL!$B$35:$S$45,MONTH($F787)+6,FALSE)*G787*24,0)</f>
        <v>0</v>
      </c>
      <c r="O787" s="89" t="b">
        <f t="shared" si="1"/>
        <v>0</v>
      </c>
      <c r="P787" s="89" t="b">
        <v>0</v>
      </c>
      <c r="Q787" s="89" t="e">
        <v>#N/A</v>
      </c>
    </row>
    <row r="788" hidden="1">
      <c r="A788" s="108"/>
      <c r="B788" s="202"/>
      <c r="C788" s="202" t="str">
        <f>VLOOKUP(M788,'#verificação horas por projeto'!A:B,2,FALSE)</f>
        <v>#N/A</v>
      </c>
      <c r="D788" s="202"/>
      <c r="E788" s="107"/>
      <c r="F788" s="211"/>
      <c r="G788" s="226"/>
      <c r="H788" s="107"/>
      <c r="I788" s="227"/>
      <c r="J788" s="227"/>
      <c r="K788" s="115"/>
      <c r="L788" s="228"/>
      <c r="M788" s="107"/>
      <c r="N788" s="229">
        <f>IF(AND(O788=TRUE,P788=TRUE), VLOOKUP($E788,PESSOAL!$B$35:$S$45,MONTH($F788)+6,FALSE)*G788*24,0)</f>
        <v>0</v>
      </c>
      <c r="O788" s="89" t="b">
        <f t="shared" si="1"/>
        <v>0</v>
      </c>
      <c r="P788" s="89" t="b">
        <v>0</v>
      </c>
      <c r="Q788" s="89" t="e">
        <v>#N/A</v>
      </c>
    </row>
    <row r="789" hidden="1">
      <c r="A789" s="108"/>
      <c r="B789" s="202"/>
      <c r="C789" s="202" t="str">
        <f>VLOOKUP(M789,'#verificação horas por projeto'!A:B,2,FALSE)</f>
        <v>#N/A</v>
      </c>
      <c r="D789" s="202"/>
      <c r="E789" s="107"/>
      <c r="F789" s="211"/>
      <c r="G789" s="226"/>
      <c r="H789" s="107"/>
      <c r="I789" s="227"/>
      <c r="J789" s="227"/>
      <c r="K789" s="115"/>
      <c r="L789" s="228"/>
      <c r="M789" s="107"/>
      <c r="N789" s="229">
        <f>IF(AND(O789=TRUE,P789=TRUE), VLOOKUP($E789,PESSOAL!$B$35:$S$45,MONTH($F789)+6,FALSE)*G789*24,0)</f>
        <v>0</v>
      </c>
      <c r="O789" s="89" t="b">
        <f t="shared" si="1"/>
        <v>0</v>
      </c>
      <c r="P789" s="89" t="b">
        <v>0</v>
      </c>
      <c r="Q789" s="89" t="e">
        <v>#N/A</v>
      </c>
    </row>
    <row r="790" hidden="1">
      <c r="A790" s="108"/>
      <c r="B790" s="202"/>
      <c r="C790" s="202" t="str">
        <f>VLOOKUP(M790,'#verificação horas por projeto'!A:B,2,FALSE)</f>
        <v>#N/A</v>
      </c>
      <c r="D790" s="202"/>
      <c r="E790" s="107"/>
      <c r="F790" s="211"/>
      <c r="G790" s="226"/>
      <c r="H790" s="107"/>
      <c r="I790" s="227"/>
      <c r="J790" s="227"/>
      <c r="K790" s="115"/>
      <c r="L790" s="228"/>
      <c r="M790" s="107"/>
      <c r="N790" s="229">
        <f>IF(AND(O790=TRUE,P790=TRUE), VLOOKUP($E790,PESSOAL!$B$35:$S$45,MONTH($F790)+6,FALSE)*G790*24,0)</f>
        <v>0</v>
      </c>
      <c r="O790" s="89" t="b">
        <f t="shared" si="1"/>
        <v>0</v>
      </c>
      <c r="P790" s="89" t="b">
        <v>0</v>
      </c>
      <c r="Q790" s="89" t="e">
        <v>#N/A</v>
      </c>
    </row>
    <row r="791" hidden="1">
      <c r="A791" s="108"/>
      <c r="B791" s="202"/>
      <c r="C791" s="202" t="str">
        <f>VLOOKUP(M791,'#verificação horas por projeto'!A:B,2,FALSE)</f>
        <v>#N/A</v>
      </c>
      <c r="D791" s="202"/>
      <c r="E791" s="107"/>
      <c r="F791" s="211"/>
      <c r="G791" s="226"/>
      <c r="H791" s="107"/>
      <c r="I791" s="227"/>
      <c r="J791" s="227"/>
      <c r="K791" s="115"/>
      <c r="L791" s="228"/>
      <c r="M791" s="107"/>
      <c r="N791" s="229">
        <f>IF(AND(O791=TRUE,P791=TRUE), VLOOKUP($E791,PESSOAL!$B$35:$S$45,MONTH($F791)+6,FALSE)*G791*24,0)</f>
        <v>0</v>
      </c>
      <c r="O791" s="89" t="b">
        <f t="shared" si="1"/>
        <v>0</v>
      </c>
      <c r="P791" s="89" t="b">
        <v>0</v>
      </c>
      <c r="Q791" s="89" t="e">
        <v>#N/A</v>
      </c>
    </row>
    <row r="792" hidden="1">
      <c r="A792" s="108"/>
      <c r="B792" s="202"/>
      <c r="C792" s="202" t="str">
        <f>VLOOKUP(M792,'#verificação horas por projeto'!A:B,2,FALSE)</f>
        <v>#N/A</v>
      </c>
      <c r="D792" s="202"/>
      <c r="E792" s="107"/>
      <c r="F792" s="211"/>
      <c r="G792" s="226"/>
      <c r="H792" s="107"/>
      <c r="I792" s="227"/>
      <c r="J792" s="227"/>
      <c r="K792" s="115"/>
      <c r="L792" s="228"/>
      <c r="M792" s="107"/>
      <c r="N792" s="229">
        <f>IF(AND(O792=TRUE,P792=TRUE), VLOOKUP($E792,PESSOAL!$B$35:$S$45,MONTH($F792)+6,FALSE)*G792*24,0)</f>
        <v>0</v>
      </c>
      <c r="O792" s="89" t="b">
        <f t="shared" si="1"/>
        <v>0</v>
      </c>
      <c r="P792" s="89" t="b">
        <v>0</v>
      </c>
      <c r="Q792" s="89" t="e">
        <v>#N/A</v>
      </c>
    </row>
    <row r="793" hidden="1">
      <c r="A793" s="108"/>
      <c r="B793" s="202"/>
      <c r="C793" s="202" t="str">
        <f>VLOOKUP(M793,'#verificação horas por projeto'!A:B,2,FALSE)</f>
        <v>#N/A</v>
      </c>
      <c r="D793" s="202"/>
      <c r="E793" s="107"/>
      <c r="F793" s="211"/>
      <c r="G793" s="226"/>
      <c r="H793" s="107"/>
      <c r="I793" s="227"/>
      <c r="J793" s="227"/>
      <c r="K793" s="115"/>
      <c r="L793" s="228"/>
      <c r="M793" s="107"/>
      <c r="N793" s="229">
        <f>IF(AND(O793=TRUE,P793=TRUE), VLOOKUP($E793,PESSOAL!$B$35:$S$45,MONTH($F793)+6,FALSE)*G793*24,0)</f>
        <v>0</v>
      </c>
      <c r="O793" s="89" t="b">
        <f t="shared" si="1"/>
        <v>0</v>
      </c>
      <c r="P793" s="89" t="b">
        <v>0</v>
      </c>
      <c r="Q793" s="89" t="e">
        <v>#N/A</v>
      </c>
    </row>
    <row r="794" hidden="1">
      <c r="A794" s="108"/>
      <c r="B794" s="202"/>
      <c r="C794" s="202" t="str">
        <f>VLOOKUP(M794,'#verificação horas por projeto'!A:B,2,FALSE)</f>
        <v>#N/A</v>
      </c>
      <c r="D794" s="202"/>
      <c r="E794" s="107"/>
      <c r="F794" s="211"/>
      <c r="G794" s="226"/>
      <c r="H794" s="107"/>
      <c r="I794" s="227"/>
      <c r="J794" s="227"/>
      <c r="K794" s="115"/>
      <c r="L794" s="228"/>
      <c r="M794" s="107"/>
      <c r="N794" s="229">
        <f>IF(AND(O794=TRUE,P794=TRUE), VLOOKUP($E794,PESSOAL!$B$35:$S$45,MONTH($F794)+6,FALSE)*G794*24,0)</f>
        <v>0</v>
      </c>
      <c r="O794" s="89" t="b">
        <f t="shared" si="1"/>
        <v>0</v>
      </c>
      <c r="P794" s="89" t="b">
        <v>0</v>
      </c>
      <c r="Q794" s="89" t="e">
        <v>#N/A</v>
      </c>
    </row>
    <row r="795" hidden="1">
      <c r="A795" s="108"/>
      <c r="B795" s="202"/>
      <c r="C795" s="202" t="str">
        <f>VLOOKUP(M795,'#verificação horas por projeto'!A:B,2,FALSE)</f>
        <v>#N/A</v>
      </c>
      <c r="D795" s="202"/>
      <c r="E795" s="107"/>
      <c r="F795" s="211"/>
      <c r="G795" s="226"/>
      <c r="H795" s="107"/>
      <c r="I795" s="227"/>
      <c r="J795" s="227"/>
      <c r="K795" s="115"/>
      <c r="L795" s="228"/>
      <c r="M795" s="107"/>
      <c r="N795" s="229">
        <f>IF(AND(O795=TRUE,P795=TRUE), VLOOKUP($E795,PESSOAL!$B$35:$S$45,MONTH($F795)+6,FALSE)*G795*24,0)</f>
        <v>0</v>
      </c>
      <c r="O795" s="89" t="b">
        <f t="shared" si="1"/>
        <v>0</v>
      </c>
      <c r="P795" s="89" t="b">
        <v>0</v>
      </c>
      <c r="Q795" s="89" t="e">
        <v>#N/A</v>
      </c>
    </row>
    <row r="796" hidden="1">
      <c r="A796" s="108"/>
      <c r="B796" s="202"/>
      <c r="C796" s="202" t="str">
        <f>VLOOKUP(M796,'#verificação horas por projeto'!A:B,2,FALSE)</f>
        <v>#N/A</v>
      </c>
      <c r="D796" s="202"/>
      <c r="E796" s="107"/>
      <c r="F796" s="211"/>
      <c r="G796" s="226"/>
      <c r="H796" s="107"/>
      <c r="I796" s="227"/>
      <c r="J796" s="227"/>
      <c r="K796" s="115"/>
      <c r="L796" s="228"/>
      <c r="M796" s="107"/>
      <c r="N796" s="229">
        <f>IF(AND(O796=TRUE,P796=TRUE), VLOOKUP($E796,PESSOAL!$B$35:$S$45,MONTH($F796)+6,FALSE)*G796*24,0)</f>
        <v>0</v>
      </c>
      <c r="O796" s="89" t="b">
        <f t="shared" si="1"/>
        <v>0</v>
      </c>
      <c r="P796" s="89" t="b">
        <v>0</v>
      </c>
      <c r="Q796" s="89" t="e">
        <v>#N/A</v>
      </c>
    </row>
    <row r="797" hidden="1">
      <c r="A797" s="108"/>
      <c r="B797" s="202"/>
      <c r="C797" s="202" t="str">
        <f>VLOOKUP(M797,'#verificação horas por projeto'!A:B,2,FALSE)</f>
        <v>#N/A</v>
      </c>
      <c r="D797" s="202"/>
      <c r="E797" s="107"/>
      <c r="F797" s="211"/>
      <c r="G797" s="226"/>
      <c r="H797" s="107"/>
      <c r="I797" s="227"/>
      <c r="J797" s="227"/>
      <c r="K797" s="115"/>
      <c r="L797" s="228"/>
      <c r="M797" s="107"/>
      <c r="N797" s="229">
        <f>IF(AND(O797=TRUE,P797=TRUE), VLOOKUP($E797,PESSOAL!$B$35:$S$45,MONTH($F797)+6,FALSE)*G797*24,0)</f>
        <v>0</v>
      </c>
      <c r="O797" s="89" t="b">
        <f t="shared" si="1"/>
        <v>0</v>
      </c>
      <c r="P797" s="89" t="b">
        <v>0</v>
      </c>
      <c r="Q797" s="89" t="e">
        <v>#N/A</v>
      </c>
    </row>
    <row r="798" hidden="1">
      <c r="A798" s="108"/>
      <c r="B798" s="202"/>
      <c r="C798" s="202" t="str">
        <f>VLOOKUP(M798,'#verificação horas por projeto'!A:B,2,FALSE)</f>
        <v>#N/A</v>
      </c>
      <c r="D798" s="202"/>
      <c r="E798" s="107"/>
      <c r="F798" s="211"/>
      <c r="G798" s="226"/>
      <c r="H798" s="107"/>
      <c r="I798" s="227"/>
      <c r="J798" s="227"/>
      <c r="K798" s="115"/>
      <c r="L798" s="228"/>
      <c r="M798" s="107"/>
      <c r="N798" s="229">
        <f>IF(AND(O798=TRUE,P798=TRUE), VLOOKUP($E798,PESSOAL!$B$35:$S$45,MONTH($F798)+6,FALSE)*G798*24,0)</f>
        <v>0</v>
      </c>
      <c r="O798" s="89" t="b">
        <f t="shared" si="1"/>
        <v>0</v>
      </c>
      <c r="P798" s="89" t="b">
        <v>0</v>
      </c>
      <c r="Q798" s="89" t="e">
        <v>#N/A</v>
      </c>
    </row>
    <row r="799" hidden="1">
      <c r="A799" s="108"/>
      <c r="B799" s="202"/>
      <c r="C799" s="202" t="str">
        <f>VLOOKUP(M799,'#verificação horas por projeto'!A:B,2,FALSE)</f>
        <v>#N/A</v>
      </c>
      <c r="D799" s="202"/>
      <c r="E799" s="107"/>
      <c r="F799" s="211"/>
      <c r="G799" s="226"/>
      <c r="H799" s="107"/>
      <c r="I799" s="227"/>
      <c r="J799" s="227"/>
      <c r="K799" s="115"/>
      <c r="L799" s="228"/>
      <c r="M799" s="107"/>
      <c r="N799" s="229">
        <f>IF(AND(O799=TRUE,P799=TRUE), VLOOKUP($E799,PESSOAL!$B$35:$S$45,MONTH($F799)+6,FALSE)*G799*24,0)</f>
        <v>0</v>
      </c>
      <c r="O799" s="89" t="b">
        <f t="shared" si="1"/>
        <v>0</v>
      </c>
      <c r="P799" s="89" t="b">
        <v>0</v>
      </c>
      <c r="Q799" s="89" t="e">
        <v>#N/A</v>
      </c>
    </row>
    <row r="800" hidden="1">
      <c r="A800" s="108"/>
      <c r="B800" s="202"/>
      <c r="C800" s="202" t="str">
        <f>VLOOKUP(M800,'#verificação horas por projeto'!A:B,2,FALSE)</f>
        <v>#N/A</v>
      </c>
      <c r="D800" s="202"/>
      <c r="E800" s="107"/>
      <c r="F800" s="211"/>
      <c r="G800" s="226"/>
      <c r="H800" s="107"/>
      <c r="I800" s="227"/>
      <c r="J800" s="227"/>
      <c r="K800" s="115"/>
      <c r="L800" s="228"/>
      <c r="M800" s="107"/>
      <c r="N800" s="229">
        <f>IF(AND(O800=TRUE,P800=TRUE), VLOOKUP($E800,PESSOAL!$B$35:$S$45,MONTH($F800)+6,FALSE)*G800*24,0)</f>
        <v>0</v>
      </c>
      <c r="O800" s="89" t="b">
        <f t="shared" si="1"/>
        <v>0</v>
      </c>
      <c r="P800" s="89" t="b">
        <v>0</v>
      </c>
      <c r="Q800" s="89" t="e">
        <v>#N/A</v>
      </c>
    </row>
    <row r="801" hidden="1">
      <c r="A801" s="108"/>
      <c r="B801" s="202"/>
      <c r="C801" s="202" t="str">
        <f>VLOOKUP(M801,'#verificação horas por projeto'!A:B,2,FALSE)</f>
        <v>#N/A</v>
      </c>
      <c r="D801" s="202"/>
      <c r="E801" s="107"/>
      <c r="F801" s="211"/>
      <c r="G801" s="226"/>
      <c r="H801" s="107"/>
      <c r="I801" s="227"/>
      <c r="J801" s="227"/>
      <c r="K801" s="115"/>
      <c r="L801" s="228"/>
      <c r="M801" s="107"/>
      <c r="N801" s="229">
        <f>IF(AND(O801=TRUE,P801=TRUE), VLOOKUP($E801,PESSOAL!$B$35:$S$45,MONTH($F801)+6,FALSE)*G801*24,0)</f>
        <v>0</v>
      </c>
      <c r="O801" s="89" t="b">
        <f t="shared" si="1"/>
        <v>0</v>
      </c>
      <c r="P801" s="89" t="b">
        <v>0</v>
      </c>
      <c r="Q801" s="89" t="e">
        <v>#N/A</v>
      </c>
    </row>
    <row r="802" hidden="1">
      <c r="A802" s="108"/>
      <c r="B802" s="202"/>
      <c r="C802" s="202" t="str">
        <f>VLOOKUP(M802,'#verificação horas por projeto'!A:B,2,FALSE)</f>
        <v>#N/A</v>
      </c>
      <c r="D802" s="202"/>
      <c r="E802" s="107"/>
      <c r="F802" s="211"/>
      <c r="G802" s="226"/>
      <c r="H802" s="107"/>
      <c r="I802" s="227"/>
      <c r="J802" s="227"/>
      <c r="K802" s="115"/>
      <c r="L802" s="228"/>
      <c r="M802" s="107"/>
      <c r="N802" s="229">
        <f>IF(AND(O802=TRUE,P802=TRUE), VLOOKUP($E802,PESSOAL!$B$35:$S$45,MONTH($F802)+6,FALSE)*G802*24,0)</f>
        <v>0</v>
      </c>
      <c r="O802" s="89" t="b">
        <f t="shared" si="1"/>
        <v>0</v>
      </c>
      <c r="P802" s="89" t="b">
        <v>0</v>
      </c>
      <c r="Q802" s="89" t="e">
        <v>#N/A</v>
      </c>
    </row>
    <row r="803" hidden="1">
      <c r="A803" s="108"/>
      <c r="B803" s="202"/>
      <c r="C803" s="202" t="str">
        <f>VLOOKUP(M803,'#verificação horas por projeto'!A:B,2,FALSE)</f>
        <v>#N/A</v>
      </c>
      <c r="D803" s="202"/>
      <c r="E803" s="107"/>
      <c r="F803" s="211"/>
      <c r="G803" s="226"/>
      <c r="H803" s="107"/>
      <c r="I803" s="227"/>
      <c r="J803" s="227"/>
      <c r="K803" s="115"/>
      <c r="L803" s="228"/>
      <c r="M803" s="107"/>
      <c r="N803" s="229">
        <f>IF(AND(O803=TRUE,P803=TRUE), VLOOKUP($E803,PESSOAL!$B$35:$S$45,MONTH($F803)+6,FALSE)*G803*24,0)</f>
        <v>0</v>
      </c>
      <c r="O803" s="89" t="b">
        <f t="shared" si="1"/>
        <v>0</v>
      </c>
      <c r="P803" s="89" t="b">
        <v>0</v>
      </c>
      <c r="Q803" s="89" t="e">
        <v>#N/A</v>
      </c>
    </row>
    <row r="804" hidden="1">
      <c r="A804" s="108"/>
      <c r="B804" s="202"/>
      <c r="C804" s="202" t="str">
        <f>VLOOKUP(M804,'#verificação horas por projeto'!A:B,2,FALSE)</f>
        <v>#N/A</v>
      </c>
      <c r="D804" s="202"/>
      <c r="E804" s="107"/>
      <c r="F804" s="211"/>
      <c r="G804" s="226"/>
      <c r="H804" s="107"/>
      <c r="I804" s="227"/>
      <c r="J804" s="227"/>
      <c r="K804" s="115"/>
      <c r="L804" s="228"/>
      <c r="M804" s="107"/>
      <c r="N804" s="229">
        <f>IF(AND(O804=TRUE,P804=TRUE), VLOOKUP($E804,PESSOAL!$B$35:$S$45,MONTH($F804)+6,FALSE)*G804*24,0)</f>
        <v>0</v>
      </c>
      <c r="O804" s="89" t="b">
        <f t="shared" si="1"/>
        <v>0</v>
      </c>
      <c r="P804" s="89" t="b">
        <v>0</v>
      </c>
      <c r="Q804" s="89" t="e">
        <v>#N/A</v>
      </c>
    </row>
    <row r="805" hidden="1">
      <c r="A805" s="108"/>
      <c r="B805" s="202"/>
      <c r="C805" s="202" t="str">
        <f>VLOOKUP(M805,'#verificação horas por projeto'!A:B,2,FALSE)</f>
        <v>#N/A</v>
      </c>
      <c r="D805" s="202"/>
      <c r="E805" s="107"/>
      <c r="F805" s="211"/>
      <c r="G805" s="226"/>
      <c r="H805" s="107"/>
      <c r="I805" s="227"/>
      <c r="J805" s="227"/>
      <c r="K805" s="115"/>
      <c r="L805" s="228"/>
      <c r="M805" s="107"/>
      <c r="N805" s="229">
        <f>IF(AND(O805=TRUE,P805=TRUE), VLOOKUP($E805,PESSOAL!$B$35:$S$45,MONTH($F805)+6,FALSE)*G805*24,0)</f>
        <v>0</v>
      </c>
      <c r="O805" s="89" t="b">
        <f t="shared" si="1"/>
        <v>0</v>
      </c>
      <c r="P805" s="89" t="b">
        <v>0</v>
      </c>
      <c r="Q805" s="89" t="e">
        <v>#N/A</v>
      </c>
    </row>
    <row r="806" hidden="1">
      <c r="A806" s="108"/>
      <c r="B806" s="202"/>
      <c r="C806" s="202" t="str">
        <f>VLOOKUP(M806,'#verificação horas por projeto'!A:B,2,FALSE)</f>
        <v>#N/A</v>
      </c>
      <c r="D806" s="202"/>
      <c r="E806" s="107"/>
      <c r="F806" s="211"/>
      <c r="G806" s="226"/>
      <c r="H806" s="107"/>
      <c r="I806" s="227"/>
      <c r="J806" s="227"/>
      <c r="K806" s="115"/>
      <c r="L806" s="228"/>
      <c r="M806" s="107"/>
      <c r="N806" s="229">
        <f>IF(AND(O806=TRUE,P806=TRUE), VLOOKUP($E806,PESSOAL!$B$35:$S$45,MONTH($F806)+6,FALSE)*G806*24,0)</f>
        <v>0</v>
      </c>
      <c r="O806" s="89" t="b">
        <f t="shared" si="1"/>
        <v>0</v>
      </c>
      <c r="P806" s="89" t="b">
        <v>0</v>
      </c>
      <c r="Q806" s="89" t="e">
        <v>#N/A</v>
      </c>
    </row>
    <row r="807" hidden="1">
      <c r="A807" s="108"/>
      <c r="B807" s="202"/>
      <c r="C807" s="202" t="str">
        <f>VLOOKUP(M807,'#verificação horas por projeto'!A:B,2,FALSE)</f>
        <v>#N/A</v>
      </c>
      <c r="D807" s="202"/>
      <c r="E807" s="107"/>
      <c r="F807" s="211"/>
      <c r="G807" s="226"/>
      <c r="H807" s="107"/>
      <c r="I807" s="227"/>
      <c r="J807" s="227"/>
      <c r="K807" s="115"/>
      <c r="L807" s="228"/>
      <c r="M807" s="107"/>
      <c r="N807" s="229">
        <f>IF(AND(O807=TRUE,P807=TRUE), VLOOKUP($E807,PESSOAL!$B$35:$S$45,MONTH($F807)+6,FALSE)*G807*24,0)</f>
        <v>0</v>
      </c>
      <c r="O807" s="89" t="b">
        <f t="shared" si="1"/>
        <v>0</v>
      </c>
      <c r="P807" s="89" t="b">
        <v>0</v>
      </c>
      <c r="Q807" s="89" t="e">
        <v>#N/A</v>
      </c>
    </row>
    <row r="808" hidden="1">
      <c r="A808" s="108"/>
      <c r="B808" s="202"/>
      <c r="C808" s="202" t="str">
        <f>VLOOKUP(M808,'#verificação horas por projeto'!A:B,2,FALSE)</f>
        <v>#N/A</v>
      </c>
      <c r="D808" s="202"/>
      <c r="E808" s="107"/>
      <c r="F808" s="211"/>
      <c r="G808" s="226"/>
      <c r="H808" s="107"/>
      <c r="I808" s="227"/>
      <c r="J808" s="227"/>
      <c r="K808" s="115"/>
      <c r="L808" s="228"/>
      <c r="M808" s="107"/>
      <c r="N808" s="229">
        <f>IF(AND(O808=TRUE,P808=TRUE), VLOOKUP($E808,PESSOAL!$B$35:$S$45,MONTH($F808)+6,FALSE)*G808*24,0)</f>
        <v>0</v>
      </c>
      <c r="O808" s="89" t="b">
        <f t="shared" si="1"/>
        <v>0</v>
      </c>
      <c r="P808" s="89" t="b">
        <v>0</v>
      </c>
      <c r="Q808" s="89" t="e">
        <v>#N/A</v>
      </c>
    </row>
    <row r="809" hidden="1">
      <c r="A809" s="108"/>
      <c r="B809" s="202"/>
      <c r="C809" s="202" t="str">
        <f>VLOOKUP(M809,'#verificação horas por projeto'!A:B,2,FALSE)</f>
        <v>#N/A</v>
      </c>
      <c r="D809" s="202"/>
      <c r="E809" s="107"/>
      <c r="F809" s="211"/>
      <c r="G809" s="226"/>
      <c r="H809" s="107"/>
      <c r="I809" s="227"/>
      <c r="J809" s="227"/>
      <c r="K809" s="115"/>
      <c r="L809" s="228"/>
      <c r="M809" s="107"/>
      <c r="N809" s="229">
        <f>IF(AND(O809=TRUE,P809=TRUE), VLOOKUP($E809,PESSOAL!$B$35:$S$45,MONTH($F809)+6,FALSE)*G809*24,0)</f>
        <v>0</v>
      </c>
      <c r="O809" s="89" t="b">
        <f t="shared" si="1"/>
        <v>0</v>
      </c>
      <c r="P809" s="89" t="b">
        <v>0</v>
      </c>
      <c r="Q809" s="89" t="e">
        <v>#N/A</v>
      </c>
    </row>
    <row r="810" hidden="1">
      <c r="A810" s="108"/>
      <c r="B810" s="202"/>
      <c r="C810" s="202" t="str">
        <f>VLOOKUP(M810,'#verificação horas por projeto'!A:B,2,FALSE)</f>
        <v>#N/A</v>
      </c>
      <c r="D810" s="202"/>
      <c r="E810" s="107"/>
      <c r="F810" s="211"/>
      <c r="G810" s="226"/>
      <c r="H810" s="107"/>
      <c r="I810" s="227"/>
      <c r="J810" s="227"/>
      <c r="K810" s="115"/>
      <c r="L810" s="228"/>
      <c r="M810" s="107"/>
      <c r="N810" s="229">
        <f>IF(AND(O810=TRUE,P810=TRUE), VLOOKUP($E810,PESSOAL!$B$35:$S$45,MONTH($F810)+6,FALSE)*G810*24,0)</f>
        <v>0</v>
      </c>
      <c r="O810" s="89" t="b">
        <f t="shared" si="1"/>
        <v>0</v>
      </c>
      <c r="P810" s="89" t="b">
        <v>0</v>
      </c>
      <c r="Q810" s="89" t="e">
        <v>#N/A</v>
      </c>
    </row>
    <row r="811" hidden="1">
      <c r="A811" s="108"/>
      <c r="B811" s="202"/>
      <c r="C811" s="202" t="str">
        <f>VLOOKUP(M811,'#verificação horas por projeto'!A:B,2,FALSE)</f>
        <v>#N/A</v>
      </c>
      <c r="D811" s="202"/>
      <c r="E811" s="107"/>
      <c r="F811" s="211"/>
      <c r="G811" s="226"/>
      <c r="H811" s="107"/>
      <c r="I811" s="227"/>
      <c r="J811" s="227"/>
      <c r="K811" s="115"/>
      <c r="L811" s="228"/>
      <c r="M811" s="107"/>
      <c r="N811" s="229">
        <f>IF(AND(O811=TRUE,P811=TRUE), VLOOKUP($E811,PESSOAL!$B$35:$S$45,MONTH($F811)+6,FALSE)*G811*24,0)</f>
        <v>0</v>
      </c>
      <c r="O811" s="89" t="b">
        <f t="shared" si="1"/>
        <v>0</v>
      </c>
      <c r="P811" s="89" t="b">
        <v>0</v>
      </c>
      <c r="Q811" s="89" t="e">
        <v>#N/A</v>
      </c>
    </row>
    <row r="812" hidden="1">
      <c r="A812" s="108"/>
      <c r="B812" s="202"/>
      <c r="C812" s="202" t="str">
        <f>VLOOKUP(M812,'#verificação horas por projeto'!A:B,2,FALSE)</f>
        <v>#N/A</v>
      </c>
      <c r="D812" s="202"/>
      <c r="E812" s="107"/>
      <c r="F812" s="211"/>
      <c r="G812" s="226"/>
      <c r="H812" s="107"/>
      <c r="I812" s="227"/>
      <c r="J812" s="227"/>
      <c r="K812" s="115"/>
      <c r="L812" s="228"/>
      <c r="M812" s="107"/>
      <c r="N812" s="229">
        <f>IF(AND(O812=TRUE,P812=TRUE), VLOOKUP($E812,PESSOAL!$B$35:$S$45,MONTH($F812)+6,FALSE)*G812*24,0)</f>
        <v>0</v>
      </c>
      <c r="O812" s="89" t="b">
        <f t="shared" si="1"/>
        <v>0</v>
      </c>
      <c r="P812" s="89" t="b">
        <v>0</v>
      </c>
      <c r="Q812" s="89" t="e">
        <v>#N/A</v>
      </c>
    </row>
    <row r="813" hidden="1">
      <c r="A813" s="108"/>
      <c r="B813" s="202"/>
      <c r="C813" s="202" t="str">
        <f>VLOOKUP(M813,'#verificação horas por projeto'!A:B,2,FALSE)</f>
        <v>#N/A</v>
      </c>
      <c r="D813" s="202"/>
      <c r="E813" s="107"/>
      <c r="F813" s="211"/>
      <c r="G813" s="226"/>
      <c r="H813" s="107"/>
      <c r="I813" s="227"/>
      <c r="J813" s="227"/>
      <c r="K813" s="115"/>
      <c r="L813" s="228"/>
      <c r="M813" s="107"/>
      <c r="N813" s="229">
        <f>IF(AND(O813=TRUE,P813=TRUE), VLOOKUP($E813,PESSOAL!$B$35:$S$45,MONTH($F813)+6,FALSE)*G813*24,0)</f>
        <v>0</v>
      </c>
      <c r="O813" s="89" t="b">
        <f t="shared" si="1"/>
        <v>0</v>
      </c>
      <c r="P813" s="89" t="b">
        <v>0</v>
      </c>
      <c r="Q813" s="89" t="e">
        <v>#N/A</v>
      </c>
    </row>
    <row r="814" hidden="1">
      <c r="A814" s="108"/>
      <c r="B814" s="202"/>
      <c r="C814" s="202" t="str">
        <f>VLOOKUP(M814,'#verificação horas por projeto'!A:B,2,FALSE)</f>
        <v>#N/A</v>
      </c>
      <c r="D814" s="202"/>
      <c r="E814" s="107"/>
      <c r="F814" s="211"/>
      <c r="G814" s="226"/>
      <c r="H814" s="107"/>
      <c r="I814" s="227"/>
      <c r="J814" s="227"/>
      <c r="K814" s="115"/>
      <c r="L814" s="228"/>
      <c r="M814" s="107"/>
      <c r="N814" s="229">
        <f>IF(AND(O814=TRUE,P814=TRUE), VLOOKUP($E814,PESSOAL!$B$35:$S$45,MONTH($F814)+6,FALSE)*G814*24,0)</f>
        <v>0</v>
      </c>
      <c r="O814" s="89" t="b">
        <f t="shared" si="1"/>
        <v>0</v>
      </c>
      <c r="P814" s="89" t="b">
        <v>0</v>
      </c>
      <c r="Q814" s="89" t="e">
        <v>#N/A</v>
      </c>
    </row>
    <row r="815" hidden="1">
      <c r="A815" s="108"/>
      <c r="B815" s="202"/>
      <c r="C815" s="202" t="str">
        <f>VLOOKUP(M815,'#verificação horas por projeto'!A:B,2,FALSE)</f>
        <v>#N/A</v>
      </c>
      <c r="D815" s="202"/>
      <c r="E815" s="107"/>
      <c r="F815" s="211"/>
      <c r="G815" s="226"/>
      <c r="H815" s="107"/>
      <c r="I815" s="227"/>
      <c r="J815" s="227"/>
      <c r="K815" s="115"/>
      <c r="L815" s="228"/>
      <c r="M815" s="107"/>
      <c r="N815" s="229">
        <f>IF(AND(O815=TRUE,P815=TRUE), VLOOKUP($E815,PESSOAL!$B$35:$S$45,MONTH($F815)+6,FALSE)*G815*24,0)</f>
        <v>0</v>
      </c>
      <c r="O815" s="89" t="b">
        <f t="shared" si="1"/>
        <v>0</v>
      </c>
      <c r="P815" s="89" t="b">
        <v>0</v>
      </c>
      <c r="Q815" s="89" t="e">
        <v>#N/A</v>
      </c>
    </row>
    <row r="816" hidden="1">
      <c r="A816" s="108"/>
      <c r="B816" s="202"/>
      <c r="C816" s="202" t="str">
        <f>VLOOKUP(M816,'#verificação horas por projeto'!A:B,2,FALSE)</f>
        <v>#N/A</v>
      </c>
      <c r="D816" s="202"/>
      <c r="E816" s="107"/>
      <c r="F816" s="211"/>
      <c r="G816" s="226"/>
      <c r="H816" s="107"/>
      <c r="I816" s="227"/>
      <c r="J816" s="227"/>
      <c r="K816" s="115"/>
      <c r="L816" s="228"/>
      <c r="M816" s="107"/>
      <c r="N816" s="229">
        <f>IF(AND(O816=TRUE,P816=TRUE), VLOOKUP($E816,PESSOAL!$B$35:$S$45,MONTH($F816)+6,FALSE)*G816*24,0)</f>
        <v>0</v>
      </c>
      <c r="O816" s="89" t="b">
        <f t="shared" si="1"/>
        <v>0</v>
      </c>
      <c r="P816" s="89" t="b">
        <v>0</v>
      </c>
      <c r="Q816" s="89" t="e">
        <v>#N/A</v>
      </c>
    </row>
    <row r="817" hidden="1">
      <c r="A817" s="108"/>
      <c r="B817" s="202"/>
      <c r="C817" s="202" t="str">
        <f>VLOOKUP(M817,'#verificação horas por projeto'!A:B,2,FALSE)</f>
        <v>#N/A</v>
      </c>
      <c r="D817" s="202"/>
      <c r="E817" s="107"/>
      <c r="F817" s="211"/>
      <c r="G817" s="226"/>
      <c r="H817" s="107"/>
      <c r="I817" s="227"/>
      <c r="J817" s="227"/>
      <c r="K817" s="115"/>
      <c r="L817" s="228"/>
      <c r="M817" s="107"/>
      <c r="N817" s="229">
        <f>IF(AND(O817=TRUE,P817=TRUE), VLOOKUP($E817,PESSOAL!$B$35:$S$45,MONTH($F817)+6,FALSE)*G817*24,0)</f>
        <v>0</v>
      </c>
      <c r="O817" s="89" t="b">
        <f t="shared" si="1"/>
        <v>0</v>
      </c>
      <c r="P817" s="89" t="b">
        <v>0</v>
      </c>
      <c r="Q817" s="89" t="e">
        <v>#N/A</v>
      </c>
    </row>
    <row r="818" hidden="1">
      <c r="A818" s="108"/>
      <c r="B818" s="202"/>
      <c r="C818" s="202" t="str">
        <f>VLOOKUP(M818,'#verificação horas por projeto'!A:B,2,FALSE)</f>
        <v>#N/A</v>
      </c>
      <c r="D818" s="202"/>
      <c r="E818" s="107"/>
      <c r="F818" s="211"/>
      <c r="G818" s="226"/>
      <c r="H818" s="107"/>
      <c r="I818" s="227"/>
      <c r="J818" s="227"/>
      <c r="K818" s="115"/>
      <c r="L818" s="228"/>
      <c r="M818" s="107"/>
      <c r="N818" s="229">
        <f>IF(AND(O818=TRUE,P818=TRUE), VLOOKUP($E818,PESSOAL!$B$35:$S$45,MONTH($F818)+6,FALSE)*G818*24,0)</f>
        <v>0</v>
      </c>
      <c r="O818" s="89" t="b">
        <f t="shared" si="1"/>
        <v>0</v>
      </c>
      <c r="P818" s="89" t="b">
        <v>0</v>
      </c>
      <c r="Q818" s="89" t="e">
        <v>#N/A</v>
      </c>
    </row>
    <row r="819" hidden="1">
      <c r="A819" s="108"/>
      <c r="B819" s="202"/>
      <c r="C819" s="202" t="str">
        <f>VLOOKUP(M819,'#verificação horas por projeto'!A:B,2,FALSE)</f>
        <v>#N/A</v>
      </c>
      <c r="D819" s="202"/>
      <c r="E819" s="107"/>
      <c r="F819" s="211"/>
      <c r="G819" s="226"/>
      <c r="H819" s="107"/>
      <c r="I819" s="227"/>
      <c r="J819" s="227"/>
      <c r="K819" s="115"/>
      <c r="L819" s="228"/>
      <c r="M819" s="107"/>
      <c r="N819" s="229">
        <f>IF(AND(O819=TRUE,P819=TRUE), VLOOKUP($E819,PESSOAL!$B$35:$S$45,MONTH($F819)+6,FALSE)*G819*24,0)</f>
        <v>0</v>
      </c>
      <c r="O819" s="89" t="b">
        <f t="shared" si="1"/>
        <v>0</v>
      </c>
      <c r="P819" s="89" t="b">
        <v>0</v>
      </c>
      <c r="Q819" s="89" t="e">
        <v>#N/A</v>
      </c>
    </row>
    <row r="820" hidden="1">
      <c r="A820" s="108"/>
      <c r="B820" s="202"/>
      <c r="C820" s="202" t="str">
        <f>VLOOKUP(M820,'#verificação horas por projeto'!A:B,2,FALSE)</f>
        <v>#N/A</v>
      </c>
      <c r="D820" s="202"/>
      <c r="E820" s="107"/>
      <c r="F820" s="211"/>
      <c r="G820" s="226"/>
      <c r="H820" s="107"/>
      <c r="I820" s="227"/>
      <c r="J820" s="227"/>
      <c r="K820" s="115"/>
      <c r="L820" s="228"/>
      <c r="M820" s="107"/>
      <c r="N820" s="229">
        <f>IF(AND(O820=TRUE,P820=TRUE), VLOOKUP($E820,PESSOAL!$B$35:$S$45,MONTH($F820)+6,FALSE)*G820*24,0)</f>
        <v>0</v>
      </c>
      <c r="O820" s="89" t="b">
        <f t="shared" si="1"/>
        <v>0</v>
      </c>
      <c r="P820" s="89" t="b">
        <v>0</v>
      </c>
      <c r="Q820" s="89" t="e">
        <v>#N/A</v>
      </c>
    </row>
    <row r="821" hidden="1">
      <c r="A821" s="108"/>
      <c r="B821" s="202"/>
      <c r="C821" s="202" t="str">
        <f>VLOOKUP(M821,'#verificação horas por projeto'!A:B,2,FALSE)</f>
        <v>#N/A</v>
      </c>
      <c r="D821" s="202"/>
      <c r="E821" s="107"/>
      <c r="F821" s="211"/>
      <c r="G821" s="226"/>
      <c r="H821" s="107"/>
      <c r="I821" s="227"/>
      <c r="J821" s="227"/>
      <c r="K821" s="115"/>
      <c r="L821" s="228"/>
      <c r="M821" s="107"/>
      <c r="N821" s="229">
        <f>IF(AND(O821=TRUE,P821=TRUE), VLOOKUP($E821,PESSOAL!$B$35:$S$45,MONTH($F821)+6,FALSE)*G821*24,0)</f>
        <v>0</v>
      </c>
      <c r="O821" s="89" t="b">
        <f t="shared" si="1"/>
        <v>0</v>
      </c>
      <c r="P821" s="89" t="b">
        <v>0</v>
      </c>
      <c r="Q821" s="89" t="e">
        <v>#N/A</v>
      </c>
    </row>
    <row r="822" hidden="1">
      <c r="A822" s="108"/>
      <c r="B822" s="202"/>
      <c r="C822" s="202" t="str">
        <f>VLOOKUP(M822,'#verificação horas por projeto'!A:B,2,FALSE)</f>
        <v>#N/A</v>
      </c>
      <c r="D822" s="202"/>
      <c r="E822" s="107"/>
      <c r="F822" s="211"/>
      <c r="G822" s="226"/>
      <c r="H822" s="107"/>
      <c r="I822" s="227"/>
      <c r="J822" s="227"/>
      <c r="K822" s="115"/>
      <c r="L822" s="228"/>
      <c r="M822" s="107"/>
      <c r="N822" s="229">
        <f>IF(AND(O822=TRUE,P822=TRUE), VLOOKUP($E822,PESSOAL!$B$35:$S$45,MONTH($F822)+6,FALSE)*G822*24,0)</f>
        <v>0</v>
      </c>
      <c r="O822" s="89" t="b">
        <f t="shared" si="1"/>
        <v>0</v>
      </c>
      <c r="P822" s="89" t="b">
        <v>0</v>
      </c>
      <c r="Q822" s="89" t="e">
        <v>#N/A</v>
      </c>
    </row>
    <row r="823" hidden="1">
      <c r="A823" s="108"/>
      <c r="B823" s="202"/>
      <c r="C823" s="202" t="str">
        <f>VLOOKUP(M823,'#verificação horas por projeto'!A:B,2,FALSE)</f>
        <v>#N/A</v>
      </c>
      <c r="D823" s="202"/>
      <c r="E823" s="107"/>
      <c r="F823" s="211"/>
      <c r="G823" s="226"/>
      <c r="H823" s="107"/>
      <c r="I823" s="227"/>
      <c r="J823" s="227"/>
      <c r="K823" s="115"/>
      <c r="L823" s="228"/>
      <c r="M823" s="107"/>
      <c r="N823" s="229">
        <f>IF(AND(O823=TRUE,P823=TRUE), VLOOKUP($E823,PESSOAL!$B$35:$S$45,MONTH($F823)+6,FALSE)*G823*24,0)</f>
        <v>0</v>
      </c>
      <c r="O823" s="89" t="b">
        <f t="shared" si="1"/>
        <v>0</v>
      </c>
      <c r="P823" s="89" t="b">
        <v>0</v>
      </c>
      <c r="Q823" s="89" t="e">
        <v>#N/A</v>
      </c>
    </row>
    <row r="824" hidden="1">
      <c r="A824" s="108"/>
      <c r="B824" s="202"/>
      <c r="C824" s="202" t="str">
        <f>VLOOKUP(M824,'#verificação horas por projeto'!A:B,2,FALSE)</f>
        <v>#N/A</v>
      </c>
      <c r="D824" s="202"/>
      <c r="E824" s="107"/>
      <c r="F824" s="211"/>
      <c r="G824" s="226"/>
      <c r="H824" s="107"/>
      <c r="I824" s="227"/>
      <c r="J824" s="227"/>
      <c r="K824" s="115"/>
      <c r="L824" s="228"/>
      <c r="M824" s="107"/>
      <c r="N824" s="229">
        <f>IF(AND(O824=TRUE,P824=TRUE), VLOOKUP($E824,PESSOAL!$B$35:$S$45,MONTH($F824)+6,FALSE)*G824*24,0)</f>
        <v>0</v>
      </c>
      <c r="O824" s="89" t="b">
        <f t="shared" si="1"/>
        <v>0</v>
      </c>
      <c r="P824" s="89" t="b">
        <v>0</v>
      </c>
      <c r="Q824" s="89" t="e">
        <v>#N/A</v>
      </c>
    </row>
    <row r="825" hidden="1">
      <c r="A825" s="108"/>
      <c r="B825" s="202"/>
      <c r="C825" s="202" t="str">
        <f>VLOOKUP(M825,'#verificação horas por projeto'!A:B,2,FALSE)</f>
        <v>#N/A</v>
      </c>
      <c r="D825" s="202"/>
      <c r="E825" s="107"/>
      <c r="F825" s="211"/>
      <c r="G825" s="226"/>
      <c r="H825" s="107"/>
      <c r="I825" s="227"/>
      <c r="J825" s="227"/>
      <c r="K825" s="115"/>
      <c r="L825" s="228"/>
      <c r="M825" s="107"/>
      <c r="N825" s="229">
        <f>IF(AND(O825=TRUE,P825=TRUE), VLOOKUP($E825,PESSOAL!$B$35:$S$45,MONTH($F825)+6,FALSE)*G825*24,0)</f>
        <v>0</v>
      </c>
      <c r="O825" s="89" t="b">
        <f t="shared" si="1"/>
        <v>0</v>
      </c>
      <c r="P825" s="89" t="b">
        <v>0</v>
      </c>
      <c r="Q825" s="89" t="e">
        <v>#N/A</v>
      </c>
    </row>
    <row r="826" hidden="1">
      <c r="A826" s="108"/>
      <c r="B826" s="202"/>
      <c r="C826" s="202" t="str">
        <f>VLOOKUP(M826,'#verificação horas por projeto'!A:B,2,FALSE)</f>
        <v>#N/A</v>
      </c>
      <c r="D826" s="202"/>
      <c r="E826" s="107"/>
      <c r="F826" s="211"/>
      <c r="G826" s="226"/>
      <c r="H826" s="107"/>
      <c r="I826" s="227"/>
      <c r="J826" s="227"/>
      <c r="K826" s="115"/>
      <c r="L826" s="228"/>
      <c r="M826" s="107"/>
      <c r="N826" s="229">
        <f>IF(AND(O826=TRUE,P826=TRUE), VLOOKUP($E826,PESSOAL!$B$35:$S$45,MONTH($F826)+6,FALSE)*G826*24,0)</f>
        <v>0</v>
      </c>
      <c r="O826" s="89" t="b">
        <f t="shared" si="1"/>
        <v>0</v>
      </c>
      <c r="P826" s="89" t="b">
        <v>0</v>
      </c>
      <c r="Q826" s="89" t="e">
        <v>#N/A</v>
      </c>
    </row>
    <row r="827" hidden="1">
      <c r="A827" s="108"/>
      <c r="B827" s="202"/>
      <c r="C827" s="202" t="str">
        <f>VLOOKUP(M827,'#verificação horas por projeto'!A:B,2,FALSE)</f>
        <v>#N/A</v>
      </c>
      <c r="D827" s="202"/>
      <c r="E827" s="107"/>
      <c r="F827" s="211"/>
      <c r="G827" s="226"/>
      <c r="H827" s="107"/>
      <c r="I827" s="227"/>
      <c r="J827" s="227"/>
      <c r="K827" s="115"/>
      <c r="L827" s="228"/>
      <c r="M827" s="107"/>
      <c r="N827" s="229">
        <f>IF(AND(O827=TRUE,P827=TRUE), VLOOKUP($E827,PESSOAL!$B$35:$S$45,MONTH($F827)+6,FALSE)*G827*24,0)</f>
        <v>0</v>
      </c>
      <c r="O827" s="89" t="b">
        <f t="shared" si="1"/>
        <v>0</v>
      </c>
      <c r="P827" s="89" t="b">
        <v>0</v>
      </c>
      <c r="Q827" s="89" t="e">
        <v>#N/A</v>
      </c>
    </row>
    <row r="828" hidden="1">
      <c r="A828" s="108"/>
      <c r="B828" s="202"/>
      <c r="C828" s="202" t="str">
        <f>VLOOKUP(M828,'#verificação horas por projeto'!A:B,2,FALSE)</f>
        <v>#N/A</v>
      </c>
      <c r="D828" s="202"/>
      <c r="E828" s="107"/>
      <c r="F828" s="211"/>
      <c r="G828" s="226"/>
      <c r="H828" s="107"/>
      <c r="I828" s="227"/>
      <c r="J828" s="227"/>
      <c r="K828" s="115"/>
      <c r="L828" s="228"/>
      <c r="M828" s="107"/>
      <c r="N828" s="229">
        <f>IF(AND(O828=TRUE,P828=TRUE), VLOOKUP($E828,PESSOAL!$B$35:$S$45,MONTH($F828)+6,FALSE)*G828*24,0)</f>
        <v>0</v>
      </c>
      <c r="O828" s="89" t="b">
        <f t="shared" si="1"/>
        <v>0</v>
      </c>
      <c r="P828" s="89" t="b">
        <v>0</v>
      </c>
      <c r="Q828" s="89" t="e">
        <v>#N/A</v>
      </c>
    </row>
    <row r="829" hidden="1">
      <c r="A829" s="108"/>
      <c r="B829" s="202"/>
      <c r="C829" s="202" t="str">
        <f>VLOOKUP(M829,'#verificação horas por projeto'!A:B,2,FALSE)</f>
        <v>#N/A</v>
      </c>
      <c r="D829" s="202"/>
      <c r="E829" s="107"/>
      <c r="F829" s="211"/>
      <c r="G829" s="226"/>
      <c r="H829" s="107"/>
      <c r="I829" s="227"/>
      <c r="J829" s="227"/>
      <c r="K829" s="115"/>
      <c r="L829" s="228"/>
      <c r="M829" s="107"/>
      <c r="N829" s="229">
        <f>IF(AND(O829=TRUE,P829=TRUE), VLOOKUP($E829,PESSOAL!$B$35:$S$45,MONTH($F829)+6,FALSE)*G829*24,0)</f>
        <v>0</v>
      </c>
      <c r="O829" s="89" t="b">
        <f t="shared" si="1"/>
        <v>0</v>
      </c>
      <c r="P829" s="89" t="b">
        <v>0</v>
      </c>
      <c r="Q829" s="89" t="e">
        <v>#N/A</v>
      </c>
    </row>
    <row r="830" hidden="1">
      <c r="A830" s="108"/>
      <c r="B830" s="202"/>
      <c r="C830" s="202" t="str">
        <f>VLOOKUP(M830,'#verificação horas por projeto'!A:B,2,FALSE)</f>
        <v>#N/A</v>
      </c>
      <c r="D830" s="202"/>
      <c r="E830" s="107"/>
      <c r="F830" s="211"/>
      <c r="G830" s="226"/>
      <c r="H830" s="107"/>
      <c r="I830" s="227"/>
      <c r="J830" s="227"/>
      <c r="K830" s="115"/>
      <c r="L830" s="228"/>
      <c r="M830" s="107"/>
      <c r="N830" s="229">
        <f>IF(AND(O830=TRUE,P830=TRUE), VLOOKUP($E830,PESSOAL!$B$35:$S$45,MONTH($F830)+6,FALSE)*G830*24,0)</f>
        <v>0</v>
      </c>
      <c r="O830" s="89" t="b">
        <f t="shared" si="1"/>
        <v>0</v>
      </c>
      <c r="P830" s="89" t="b">
        <v>0</v>
      </c>
      <c r="Q830" s="89" t="e">
        <v>#N/A</v>
      </c>
    </row>
    <row r="831" hidden="1">
      <c r="A831" s="108"/>
      <c r="B831" s="202"/>
      <c r="C831" s="202" t="str">
        <f>VLOOKUP(M831,'#verificação horas por projeto'!A:B,2,FALSE)</f>
        <v>#N/A</v>
      </c>
      <c r="D831" s="202"/>
      <c r="E831" s="107"/>
      <c r="F831" s="211"/>
      <c r="G831" s="226"/>
      <c r="H831" s="107"/>
      <c r="I831" s="227"/>
      <c r="J831" s="227"/>
      <c r="K831" s="115"/>
      <c r="L831" s="228"/>
      <c r="M831" s="107"/>
      <c r="N831" s="229">
        <f>IF(AND(O831=TRUE,P831=TRUE), VLOOKUP($E831,PESSOAL!$B$35:$S$45,MONTH($F831)+6,FALSE)*G831*24,0)</f>
        <v>0</v>
      </c>
      <c r="O831" s="89" t="b">
        <f t="shared" si="1"/>
        <v>0</v>
      </c>
      <c r="P831" s="89" t="b">
        <v>0</v>
      </c>
      <c r="Q831" s="89" t="e">
        <v>#N/A</v>
      </c>
    </row>
    <row r="832" hidden="1">
      <c r="A832" s="108"/>
      <c r="B832" s="202"/>
      <c r="C832" s="202" t="str">
        <f>VLOOKUP(M832,'#verificação horas por projeto'!A:B,2,FALSE)</f>
        <v>#N/A</v>
      </c>
      <c r="D832" s="202"/>
      <c r="E832" s="107"/>
      <c r="F832" s="211"/>
      <c r="G832" s="226"/>
      <c r="H832" s="107"/>
      <c r="I832" s="227"/>
      <c r="J832" s="227"/>
      <c r="K832" s="115"/>
      <c r="L832" s="228"/>
      <c r="M832" s="107"/>
      <c r="N832" s="229">
        <f>IF(AND(O832=TRUE,P832=TRUE), VLOOKUP($E832,PESSOAL!$B$35:$S$45,MONTH($F832)+6,FALSE)*G832*24,0)</f>
        <v>0</v>
      </c>
      <c r="O832" s="89" t="b">
        <f t="shared" si="1"/>
        <v>0</v>
      </c>
      <c r="P832" s="89" t="b">
        <v>0</v>
      </c>
      <c r="Q832" s="89" t="e">
        <v>#N/A</v>
      </c>
    </row>
    <row r="833" hidden="1">
      <c r="A833" s="108"/>
      <c r="B833" s="202"/>
      <c r="C833" s="202" t="str">
        <f>VLOOKUP(M833,'#verificação horas por projeto'!A:B,2,FALSE)</f>
        <v>#N/A</v>
      </c>
      <c r="D833" s="202"/>
      <c r="E833" s="107"/>
      <c r="F833" s="211"/>
      <c r="G833" s="226"/>
      <c r="H833" s="107"/>
      <c r="I833" s="227"/>
      <c r="J833" s="227"/>
      <c r="K833" s="115"/>
      <c r="L833" s="228"/>
      <c r="M833" s="107"/>
      <c r="N833" s="229">
        <f>IF(AND(O833=TRUE,P833=TRUE), VLOOKUP($E833,PESSOAL!$B$35:$S$45,MONTH($F833)+6,FALSE)*G833*24,0)</f>
        <v>0</v>
      </c>
      <c r="O833" s="89" t="b">
        <f t="shared" si="1"/>
        <v>0</v>
      </c>
      <c r="P833" s="89" t="b">
        <v>0</v>
      </c>
      <c r="Q833" s="89" t="e">
        <v>#N/A</v>
      </c>
    </row>
    <row r="834" hidden="1">
      <c r="A834" s="108"/>
      <c r="B834" s="202"/>
      <c r="C834" s="202" t="str">
        <f>VLOOKUP(M834,'#verificação horas por projeto'!A:B,2,FALSE)</f>
        <v>#N/A</v>
      </c>
      <c r="D834" s="202"/>
      <c r="E834" s="107"/>
      <c r="F834" s="211"/>
      <c r="G834" s="226"/>
      <c r="H834" s="107"/>
      <c r="I834" s="227"/>
      <c r="J834" s="227"/>
      <c r="K834" s="115"/>
      <c r="L834" s="228"/>
      <c r="M834" s="107"/>
      <c r="N834" s="229">
        <f>IF(AND(O834=TRUE,P834=TRUE), VLOOKUP($E834,PESSOAL!$B$35:$S$45,MONTH($F834)+6,FALSE)*G834*24,0)</f>
        <v>0</v>
      </c>
      <c r="O834" s="89" t="b">
        <f t="shared" si="1"/>
        <v>0</v>
      </c>
      <c r="P834" s="89" t="b">
        <v>0</v>
      </c>
      <c r="Q834" s="89" t="e">
        <v>#N/A</v>
      </c>
    </row>
    <row r="835" hidden="1">
      <c r="A835" s="108"/>
      <c r="B835" s="202"/>
      <c r="C835" s="202" t="str">
        <f>VLOOKUP(M835,'#verificação horas por projeto'!A:B,2,FALSE)</f>
        <v>#N/A</v>
      </c>
      <c r="D835" s="202"/>
      <c r="E835" s="107"/>
      <c r="F835" s="211"/>
      <c r="G835" s="226"/>
      <c r="H835" s="107"/>
      <c r="I835" s="227"/>
      <c r="J835" s="227"/>
      <c r="K835" s="115"/>
      <c r="L835" s="228"/>
      <c r="M835" s="107"/>
      <c r="N835" s="229">
        <f>IF(AND(O835=TRUE,P835=TRUE), VLOOKUP($E835,PESSOAL!$B$35:$S$45,MONTH($F835)+6,FALSE)*G835*24,0)</f>
        <v>0</v>
      </c>
      <c r="O835" s="89" t="b">
        <f t="shared" si="1"/>
        <v>0</v>
      </c>
      <c r="P835" s="89" t="b">
        <v>0</v>
      </c>
      <c r="Q835" s="89" t="e">
        <v>#N/A</v>
      </c>
    </row>
    <row r="836" hidden="1">
      <c r="A836" s="108"/>
      <c r="B836" s="202"/>
      <c r="C836" s="202" t="str">
        <f>VLOOKUP(M836,'#verificação horas por projeto'!A:B,2,FALSE)</f>
        <v>#N/A</v>
      </c>
      <c r="D836" s="202"/>
      <c r="E836" s="107"/>
      <c r="F836" s="211"/>
      <c r="G836" s="226"/>
      <c r="H836" s="107"/>
      <c r="I836" s="227"/>
      <c r="J836" s="227"/>
      <c r="K836" s="115"/>
      <c r="L836" s="228"/>
      <c r="M836" s="107"/>
      <c r="N836" s="229">
        <f>IF(AND(O836=TRUE,P836=TRUE), VLOOKUP($E836,PESSOAL!$B$35:$S$45,MONTH($F836)+6,FALSE)*G836*24,0)</f>
        <v>0</v>
      </c>
      <c r="O836" s="89" t="b">
        <f t="shared" si="1"/>
        <v>0</v>
      </c>
      <c r="P836" s="89" t="b">
        <v>0</v>
      </c>
      <c r="Q836" s="89" t="e">
        <v>#N/A</v>
      </c>
    </row>
    <row r="837" hidden="1">
      <c r="A837" s="108"/>
      <c r="B837" s="202"/>
      <c r="C837" s="202" t="str">
        <f>VLOOKUP(M837,'#verificação horas por projeto'!A:B,2,FALSE)</f>
        <v>#N/A</v>
      </c>
      <c r="D837" s="202"/>
      <c r="E837" s="107"/>
      <c r="F837" s="211"/>
      <c r="G837" s="226"/>
      <c r="H837" s="107"/>
      <c r="I837" s="227"/>
      <c r="J837" s="227"/>
      <c r="K837" s="115"/>
      <c r="L837" s="228"/>
      <c r="M837" s="107"/>
      <c r="N837" s="229">
        <f>IF(AND(O837=TRUE,P837=TRUE), VLOOKUP($E837,PESSOAL!$B$35:$S$45,MONTH($F837)+6,FALSE)*G837*24,0)</f>
        <v>0</v>
      </c>
      <c r="O837" s="89" t="b">
        <f t="shared" si="1"/>
        <v>0</v>
      </c>
      <c r="P837" s="89" t="b">
        <v>0</v>
      </c>
      <c r="Q837" s="89" t="e">
        <v>#N/A</v>
      </c>
    </row>
    <row r="838" hidden="1">
      <c r="A838" s="108"/>
      <c r="B838" s="202"/>
      <c r="C838" s="202" t="str">
        <f>VLOOKUP(M838,'#verificação horas por projeto'!A:B,2,FALSE)</f>
        <v>#N/A</v>
      </c>
      <c r="D838" s="202"/>
      <c r="E838" s="107"/>
      <c r="F838" s="211"/>
      <c r="G838" s="226"/>
      <c r="H838" s="107"/>
      <c r="I838" s="227"/>
      <c r="J838" s="227"/>
      <c r="K838" s="115"/>
      <c r="L838" s="228"/>
      <c r="M838" s="107"/>
      <c r="N838" s="229">
        <f>IF(AND(O838=TRUE,P838=TRUE), VLOOKUP($E838,PESSOAL!$B$35:$S$45,MONTH($F838)+6,FALSE)*G838*24,0)</f>
        <v>0</v>
      </c>
      <c r="O838" s="89" t="b">
        <f t="shared" si="1"/>
        <v>0</v>
      </c>
      <c r="P838" s="89" t="b">
        <v>0</v>
      </c>
      <c r="Q838" s="89" t="e">
        <v>#N/A</v>
      </c>
    </row>
    <row r="839" hidden="1">
      <c r="A839" s="108"/>
      <c r="B839" s="202"/>
      <c r="C839" s="202" t="str">
        <f>VLOOKUP(M839,'#verificação horas por projeto'!A:B,2,FALSE)</f>
        <v>#N/A</v>
      </c>
      <c r="D839" s="202"/>
      <c r="E839" s="107"/>
      <c r="F839" s="211"/>
      <c r="G839" s="226"/>
      <c r="H839" s="107"/>
      <c r="I839" s="227"/>
      <c r="J839" s="227"/>
      <c r="K839" s="115"/>
      <c r="L839" s="228"/>
      <c r="M839" s="107"/>
      <c r="N839" s="229">
        <f>IF(AND(O839=TRUE,P839=TRUE), VLOOKUP($E839,PESSOAL!$B$35:$S$45,MONTH($F839)+6,FALSE)*G839*24,0)</f>
        <v>0</v>
      </c>
      <c r="O839" s="89" t="b">
        <f t="shared" si="1"/>
        <v>0</v>
      </c>
      <c r="P839" s="89" t="b">
        <v>0</v>
      </c>
      <c r="Q839" s="89" t="e">
        <v>#N/A</v>
      </c>
    </row>
    <row r="840" hidden="1">
      <c r="A840" s="108"/>
      <c r="B840" s="202"/>
      <c r="C840" s="202" t="str">
        <f>VLOOKUP(M840,'#verificação horas por projeto'!A:B,2,FALSE)</f>
        <v>#N/A</v>
      </c>
      <c r="D840" s="202"/>
      <c r="E840" s="107"/>
      <c r="F840" s="211"/>
      <c r="G840" s="226"/>
      <c r="H840" s="107"/>
      <c r="I840" s="227"/>
      <c r="J840" s="227"/>
      <c r="K840" s="115"/>
      <c r="L840" s="228"/>
      <c r="M840" s="107"/>
      <c r="N840" s="229">
        <f>IF(AND(O840=TRUE,P840=TRUE), VLOOKUP($E840,PESSOAL!$B$35:$S$45,MONTH($F840)+6,FALSE)*G840*24,0)</f>
        <v>0</v>
      </c>
      <c r="O840" s="89" t="b">
        <f t="shared" si="1"/>
        <v>0</v>
      </c>
      <c r="P840" s="89" t="b">
        <v>0</v>
      </c>
      <c r="Q840" s="89" t="e">
        <v>#N/A</v>
      </c>
    </row>
    <row r="841" hidden="1">
      <c r="A841" s="108"/>
      <c r="B841" s="202"/>
      <c r="C841" s="202" t="str">
        <f>VLOOKUP(M841,'#verificação horas por projeto'!A:B,2,FALSE)</f>
        <v>#N/A</v>
      </c>
      <c r="D841" s="202"/>
      <c r="E841" s="107"/>
      <c r="F841" s="211"/>
      <c r="G841" s="226"/>
      <c r="H841" s="107"/>
      <c r="I841" s="227"/>
      <c r="J841" s="227"/>
      <c r="K841" s="115"/>
      <c r="L841" s="228"/>
      <c r="M841" s="107"/>
      <c r="N841" s="229">
        <f>IF(AND(O841=TRUE,P841=TRUE), VLOOKUP($E841,PESSOAL!$B$35:$S$45,MONTH($F841)+6,FALSE)*G841*24,0)</f>
        <v>0</v>
      </c>
      <c r="O841" s="89" t="b">
        <f t="shared" si="1"/>
        <v>0</v>
      </c>
      <c r="P841" s="89" t="b">
        <v>0</v>
      </c>
      <c r="Q841" s="89" t="e">
        <v>#N/A</v>
      </c>
    </row>
    <row r="842" hidden="1">
      <c r="A842" s="108"/>
      <c r="B842" s="202"/>
      <c r="C842" s="202" t="str">
        <f>VLOOKUP(M842,'#verificação horas por projeto'!A:B,2,FALSE)</f>
        <v>#N/A</v>
      </c>
      <c r="D842" s="202"/>
      <c r="E842" s="107"/>
      <c r="F842" s="211"/>
      <c r="G842" s="226"/>
      <c r="H842" s="107"/>
      <c r="I842" s="227"/>
      <c r="J842" s="227"/>
      <c r="K842" s="115"/>
      <c r="L842" s="228"/>
      <c r="M842" s="107"/>
      <c r="N842" s="229">
        <f>IF(AND(O842=TRUE,P842=TRUE), VLOOKUP($E842,PESSOAL!$B$35:$S$45,MONTH($F842)+6,FALSE)*G842*24,0)</f>
        <v>0</v>
      </c>
      <c r="O842" s="89" t="b">
        <f t="shared" si="1"/>
        <v>0</v>
      </c>
      <c r="P842" s="89" t="b">
        <v>0</v>
      </c>
      <c r="Q842" s="89" t="e">
        <v>#N/A</v>
      </c>
    </row>
    <row r="843" hidden="1">
      <c r="A843" s="108"/>
      <c r="B843" s="202"/>
      <c r="C843" s="202" t="str">
        <f>VLOOKUP(M843,'#verificação horas por projeto'!A:B,2,FALSE)</f>
        <v>#N/A</v>
      </c>
      <c r="D843" s="202"/>
      <c r="E843" s="107"/>
      <c r="F843" s="211"/>
      <c r="G843" s="226"/>
      <c r="H843" s="107"/>
      <c r="I843" s="227"/>
      <c r="J843" s="227"/>
      <c r="K843" s="115"/>
      <c r="L843" s="228"/>
      <c r="M843" s="107"/>
      <c r="N843" s="229">
        <f>IF(AND(O843=TRUE,P843=TRUE), VLOOKUP($E843,PESSOAL!$B$35:$S$45,MONTH($F843)+6,FALSE)*G843*24,0)</f>
        <v>0</v>
      </c>
      <c r="O843" s="89" t="b">
        <f t="shared" si="1"/>
        <v>0</v>
      </c>
      <c r="P843" s="89" t="b">
        <v>0</v>
      </c>
      <c r="Q843" s="89" t="e">
        <v>#N/A</v>
      </c>
    </row>
    <row r="844" hidden="1">
      <c r="A844" s="108"/>
      <c r="B844" s="202"/>
      <c r="C844" s="202" t="str">
        <f>VLOOKUP(M844,'#verificação horas por projeto'!A:B,2,FALSE)</f>
        <v>#N/A</v>
      </c>
      <c r="D844" s="202"/>
      <c r="E844" s="107"/>
      <c r="F844" s="211"/>
      <c r="G844" s="226"/>
      <c r="H844" s="107"/>
      <c r="I844" s="227"/>
      <c r="J844" s="227"/>
      <c r="K844" s="115"/>
      <c r="L844" s="228"/>
      <c r="M844" s="107"/>
      <c r="N844" s="229">
        <f>IF(AND(O844=TRUE,P844=TRUE), VLOOKUP($E844,PESSOAL!$B$35:$S$45,MONTH($F844)+6,FALSE)*G844*24,0)</f>
        <v>0</v>
      </c>
      <c r="O844" s="89" t="b">
        <f t="shared" si="1"/>
        <v>0</v>
      </c>
      <c r="P844" s="89" t="b">
        <v>0</v>
      </c>
      <c r="Q844" s="89" t="e">
        <v>#N/A</v>
      </c>
    </row>
    <row r="845" hidden="1">
      <c r="A845" s="108"/>
      <c r="B845" s="202"/>
      <c r="C845" s="202" t="str">
        <f>VLOOKUP(M845,'#verificação horas por projeto'!A:B,2,FALSE)</f>
        <v>#N/A</v>
      </c>
      <c r="D845" s="202"/>
      <c r="E845" s="107"/>
      <c r="F845" s="211"/>
      <c r="G845" s="226"/>
      <c r="H845" s="107"/>
      <c r="I845" s="227"/>
      <c r="J845" s="227"/>
      <c r="K845" s="115"/>
      <c r="L845" s="228"/>
      <c r="M845" s="107"/>
      <c r="N845" s="229">
        <f>IF(AND(O845=TRUE,P845=TRUE), VLOOKUP($E845,PESSOAL!$B$35:$S$45,MONTH($F845)+6,FALSE)*G845*24,0)</f>
        <v>0</v>
      </c>
      <c r="O845" s="89" t="b">
        <f t="shared" si="1"/>
        <v>0</v>
      </c>
      <c r="P845" s="89" t="b">
        <v>0</v>
      </c>
      <c r="Q845" s="89" t="e">
        <v>#N/A</v>
      </c>
    </row>
    <row r="846" hidden="1">
      <c r="A846" s="108"/>
      <c r="B846" s="202"/>
      <c r="C846" s="202" t="str">
        <f>VLOOKUP(M846,'#verificação horas por projeto'!A:B,2,FALSE)</f>
        <v>#N/A</v>
      </c>
      <c r="D846" s="202"/>
      <c r="E846" s="107"/>
      <c r="F846" s="211"/>
      <c r="G846" s="226"/>
      <c r="H846" s="107"/>
      <c r="I846" s="227"/>
      <c r="J846" s="227"/>
      <c r="K846" s="115"/>
      <c r="L846" s="228"/>
      <c r="M846" s="107"/>
      <c r="N846" s="229">
        <f>IF(AND(O846=TRUE,P846=TRUE), VLOOKUP($E846,PESSOAL!$B$35:$S$45,MONTH($F846)+6,FALSE)*G846*24,0)</f>
        <v>0</v>
      </c>
      <c r="O846" s="89" t="b">
        <f t="shared" si="1"/>
        <v>0</v>
      </c>
      <c r="P846" s="89" t="b">
        <v>0</v>
      </c>
      <c r="Q846" s="89" t="e">
        <v>#N/A</v>
      </c>
    </row>
    <row r="847" hidden="1">
      <c r="A847" s="108"/>
      <c r="B847" s="202"/>
      <c r="C847" s="202" t="str">
        <f>VLOOKUP(M847,'#verificação horas por projeto'!A:B,2,FALSE)</f>
        <v>#N/A</v>
      </c>
      <c r="D847" s="202"/>
      <c r="E847" s="107"/>
      <c r="F847" s="211"/>
      <c r="G847" s="226"/>
      <c r="H847" s="107"/>
      <c r="I847" s="227"/>
      <c r="J847" s="227"/>
      <c r="K847" s="115"/>
      <c r="L847" s="228"/>
      <c r="M847" s="107"/>
      <c r="N847" s="229">
        <f>IF(AND(O847=TRUE,P847=TRUE), VLOOKUP($E847,PESSOAL!$B$35:$S$45,MONTH($F847)+6,FALSE)*G847*24,0)</f>
        <v>0</v>
      </c>
      <c r="O847" s="89" t="b">
        <f t="shared" si="1"/>
        <v>0</v>
      </c>
      <c r="P847" s="89" t="b">
        <v>0</v>
      </c>
      <c r="Q847" s="89" t="e">
        <v>#N/A</v>
      </c>
    </row>
    <row r="848" hidden="1">
      <c r="A848" s="108"/>
      <c r="B848" s="202"/>
      <c r="C848" s="202" t="str">
        <f>VLOOKUP(M848,'#verificação horas por projeto'!A:B,2,FALSE)</f>
        <v>#N/A</v>
      </c>
      <c r="D848" s="202"/>
      <c r="E848" s="107"/>
      <c r="F848" s="211"/>
      <c r="G848" s="226"/>
      <c r="H848" s="107"/>
      <c r="I848" s="227"/>
      <c r="J848" s="227"/>
      <c r="K848" s="115"/>
      <c r="L848" s="228"/>
      <c r="M848" s="107"/>
      <c r="N848" s="229">
        <f>IF(AND(O848=TRUE,P848=TRUE), VLOOKUP($E848,PESSOAL!$B$35:$S$45,MONTH($F848)+6,FALSE)*G848*24,0)</f>
        <v>0</v>
      </c>
      <c r="O848" s="89" t="b">
        <f t="shared" si="1"/>
        <v>0</v>
      </c>
      <c r="P848" s="89" t="b">
        <v>0</v>
      </c>
      <c r="Q848" s="89" t="e">
        <v>#N/A</v>
      </c>
    </row>
    <row r="849" hidden="1">
      <c r="A849" s="108"/>
      <c r="B849" s="202"/>
      <c r="C849" s="202" t="str">
        <f>VLOOKUP(M849,'#verificação horas por projeto'!A:B,2,FALSE)</f>
        <v>#N/A</v>
      </c>
      <c r="D849" s="202"/>
      <c r="E849" s="107"/>
      <c r="F849" s="211"/>
      <c r="G849" s="226"/>
      <c r="H849" s="107"/>
      <c r="I849" s="227"/>
      <c r="J849" s="227"/>
      <c r="K849" s="115"/>
      <c r="L849" s="228"/>
      <c r="M849" s="107"/>
      <c r="N849" s="229">
        <f>IF(AND(O849=TRUE,P849=TRUE), VLOOKUP($E849,PESSOAL!$B$35:$S$45,MONTH($F849)+6,FALSE)*G849*24,0)</f>
        <v>0</v>
      </c>
      <c r="O849" s="89" t="b">
        <f t="shared" si="1"/>
        <v>0</v>
      </c>
      <c r="P849" s="89" t="b">
        <v>0</v>
      </c>
      <c r="Q849" s="89" t="e">
        <v>#N/A</v>
      </c>
    </row>
    <row r="850" hidden="1">
      <c r="A850" s="108"/>
      <c r="B850" s="202"/>
      <c r="C850" s="202" t="str">
        <f>VLOOKUP(M850,'#verificação horas por projeto'!A:B,2,FALSE)</f>
        <v>#N/A</v>
      </c>
      <c r="D850" s="202"/>
      <c r="E850" s="107"/>
      <c r="F850" s="211"/>
      <c r="G850" s="226"/>
      <c r="H850" s="107"/>
      <c r="I850" s="227"/>
      <c r="J850" s="227"/>
      <c r="K850" s="115"/>
      <c r="L850" s="228"/>
      <c r="M850" s="107"/>
      <c r="N850" s="229">
        <f>IF(AND(O850=TRUE,P850=TRUE), VLOOKUP($E850,PESSOAL!$B$35:$S$45,MONTH($F850)+6,FALSE)*G850*24,0)</f>
        <v>0</v>
      </c>
      <c r="O850" s="89" t="b">
        <f t="shared" si="1"/>
        <v>0</v>
      </c>
      <c r="P850" s="89" t="b">
        <v>0</v>
      </c>
      <c r="Q850" s="89" t="e">
        <v>#N/A</v>
      </c>
    </row>
    <row r="851" hidden="1">
      <c r="A851" s="108"/>
      <c r="B851" s="202"/>
      <c r="C851" s="202" t="str">
        <f>VLOOKUP(M851,'#verificação horas por projeto'!A:B,2,FALSE)</f>
        <v>#N/A</v>
      </c>
      <c r="D851" s="202"/>
      <c r="E851" s="107"/>
      <c r="F851" s="211"/>
      <c r="G851" s="226"/>
      <c r="H851" s="107"/>
      <c r="I851" s="227"/>
      <c r="J851" s="227"/>
      <c r="K851" s="115"/>
      <c r="L851" s="228"/>
      <c r="M851" s="107"/>
      <c r="N851" s="229">
        <f>IF(AND(O851=TRUE,P851=TRUE), VLOOKUP($E851,PESSOAL!$B$35:$S$45,MONTH($F851)+6,FALSE)*G851*24,0)</f>
        <v>0</v>
      </c>
      <c r="O851" s="89" t="b">
        <f t="shared" si="1"/>
        <v>0</v>
      </c>
      <c r="P851" s="89" t="b">
        <v>0</v>
      </c>
      <c r="Q851" s="89" t="e">
        <v>#N/A</v>
      </c>
    </row>
    <row r="852" hidden="1">
      <c r="A852" s="108"/>
      <c r="B852" s="202"/>
      <c r="C852" s="202" t="str">
        <f>VLOOKUP(M852,'#verificação horas por projeto'!A:B,2,FALSE)</f>
        <v>#N/A</v>
      </c>
      <c r="D852" s="202"/>
      <c r="E852" s="107"/>
      <c r="F852" s="211"/>
      <c r="G852" s="226"/>
      <c r="H852" s="107"/>
      <c r="I852" s="227"/>
      <c r="J852" s="227"/>
      <c r="K852" s="115"/>
      <c r="L852" s="228"/>
      <c r="M852" s="107"/>
      <c r="N852" s="229">
        <f>IF(AND(O852=TRUE,P852=TRUE), VLOOKUP($E852,PESSOAL!$B$35:$S$45,MONTH($F852)+6,FALSE)*G852*24,0)</f>
        <v>0</v>
      </c>
      <c r="O852" s="89" t="b">
        <f t="shared" si="1"/>
        <v>0</v>
      </c>
      <c r="P852" s="89" t="b">
        <v>0</v>
      </c>
      <c r="Q852" s="89" t="e">
        <v>#N/A</v>
      </c>
    </row>
    <row r="853" hidden="1">
      <c r="A853" s="108"/>
      <c r="B853" s="202"/>
      <c r="C853" s="202" t="str">
        <f>VLOOKUP(M853,'#verificação horas por projeto'!A:B,2,FALSE)</f>
        <v>#N/A</v>
      </c>
      <c r="D853" s="202"/>
      <c r="E853" s="107"/>
      <c r="F853" s="211"/>
      <c r="G853" s="226"/>
      <c r="H853" s="107"/>
      <c r="I853" s="227"/>
      <c r="J853" s="227"/>
      <c r="K853" s="115"/>
      <c r="L853" s="228"/>
      <c r="M853" s="107"/>
      <c r="N853" s="229">
        <f>IF(AND(O853=TRUE,P853=TRUE), VLOOKUP($E853,PESSOAL!$B$35:$S$45,MONTH($F853)+6,FALSE)*G853*24,0)</f>
        <v>0</v>
      </c>
      <c r="O853" s="89" t="b">
        <f t="shared" si="1"/>
        <v>0</v>
      </c>
      <c r="P853" s="89" t="b">
        <v>0</v>
      </c>
      <c r="Q853" s="89" t="e">
        <v>#N/A</v>
      </c>
    </row>
    <row r="854" hidden="1">
      <c r="A854" s="108"/>
      <c r="B854" s="202"/>
      <c r="C854" s="202" t="str">
        <f>VLOOKUP(M854,'#verificação horas por projeto'!A:B,2,FALSE)</f>
        <v>#N/A</v>
      </c>
      <c r="D854" s="202"/>
      <c r="E854" s="107"/>
      <c r="F854" s="211"/>
      <c r="G854" s="226"/>
      <c r="H854" s="107"/>
      <c r="I854" s="227"/>
      <c r="J854" s="227"/>
      <c r="K854" s="115"/>
      <c r="L854" s="228"/>
      <c r="M854" s="107"/>
      <c r="N854" s="229">
        <f>IF(AND(O854=TRUE,P854=TRUE), VLOOKUP($E854,PESSOAL!$B$35:$S$45,MONTH($F854)+6,FALSE)*G854*24,0)</f>
        <v>0</v>
      </c>
      <c r="O854" s="89" t="b">
        <f t="shared" si="1"/>
        <v>0</v>
      </c>
      <c r="P854" s="89" t="b">
        <v>0</v>
      </c>
      <c r="Q854" s="89" t="e">
        <v>#N/A</v>
      </c>
    </row>
    <row r="855" hidden="1">
      <c r="A855" s="108"/>
      <c r="B855" s="202"/>
      <c r="C855" s="202" t="str">
        <f>VLOOKUP(M855,'#verificação horas por projeto'!A:B,2,FALSE)</f>
        <v>#N/A</v>
      </c>
      <c r="D855" s="202"/>
      <c r="E855" s="107"/>
      <c r="F855" s="211"/>
      <c r="G855" s="226"/>
      <c r="H855" s="107"/>
      <c r="I855" s="227"/>
      <c r="J855" s="227"/>
      <c r="K855" s="115"/>
      <c r="L855" s="228"/>
      <c r="M855" s="107"/>
      <c r="N855" s="229">
        <f>IF(AND(O855=TRUE,P855=TRUE), VLOOKUP($E855,PESSOAL!$B$35:$S$45,MONTH($F855)+6,FALSE)*G855*24,0)</f>
        <v>0</v>
      </c>
      <c r="O855" s="89" t="b">
        <f t="shared" si="1"/>
        <v>0</v>
      </c>
      <c r="P855" s="89" t="b">
        <v>0</v>
      </c>
      <c r="Q855" s="89" t="e">
        <v>#N/A</v>
      </c>
    </row>
    <row r="856" hidden="1">
      <c r="A856" s="108"/>
      <c r="B856" s="202"/>
      <c r="C856" s="202" t="str">
        <f>VLOOKUP(M856,'#verificação horas por projeto'!A:B,2,FALSE)</f>
        <v>#N/A</v>
      </c>
      <c r="D856" s="202"/>
      <c r="E856" s="107"/>
      <c r="F856" s="211"/>
      <c r="G856" s="226"/>
      <c r="H856" s="107"/>
      <c r="I856" s="227"/>
      <c r="J856" s="227"/>
      <c r="K856" s="115"/>
      <c r="L856" s="228"/>
      <c r="M856" s="107"/>
      <c r="N856" s="229">
        <f>IF(AND(O856=TRUE,P856=TRUE), VLOOKUP($E856,PESSOAL!$B$35:$S$45,MONTH($F856)+6,FALSE)*G856*24,0)</f>
        <v>0</v>
      </c>
      <c r="O856" s="89" t="b">
        <f t="shared" si="1"/>
        <v>0</v>
      </c>
      <c r="P856" s="89" t="b">
        <v>0</v>
      </c>
      <c r="Q856" s="89" t="e">
        <v>#N/A</v>
      </c>
    </row>
    <row r="857" hidden="1">
      <c r="A857" s="108"/>
      <c r="B857" s="202"/>
      <c r="C857" s="202" t="str">
        <f>VLOOKUP(M857,'#verificação horas por projeto'!A:B,2,FALSE)</f>
        <v>#N/A</v>
      </c>
      <c r="D857" s="202"/>
      <c r="E857" s="107"/>
      <c r="F857" s="211"/>
      <c r="G857" s="226"/>
      <c r="H857" s="107"/>
      <c r="I857" s="227"/>
      <c r="J857" s="227"/>
      <c r="K857" s="115"/>
      <c r="L857" s="228"/>
      <c r="M857" s="107"/>
      <c r="N857" s="229">
        <f>IF(AND(O857=TRUE,P857=TRUE), VLOOKUP($E857,PESSOAL!$B$35:$S$45,MONTH($F857)+6,FALSE)*G857*24,0)</f>
        <v>0</v>
      </c>
      <c r="O857" s="89" t="b">
        <f t="shared" si="1"/>
        <v>0</v>
      </c>
      <c r="P857" s="89" t="b">
        <v>0</v>
      </c>
      <c r="Q857" s="89" t="e">
        <v>#N/A</v>
      </c>
    </row>
    <row r="858" hidden="1">
      <c r="A858" s="108"/>
      <c r="B858" s="202"/>
      <c r="C858" s="202" t="str">
        <f>VLOOKUP(M858,'#verificação horas por projeto'!A:B,2,FALSE)</f>
        <v>#N/A</v>
      </c>
      <c r="D858" s="202"/>
      <c r="E858" s="107"/>
      <c r="F858" s="211"/>
      <c r="G858" s="226"/>
      <c r="H858" s="107"/>
      <c r="I858" s="227"/>
      <c r="J858" s="227"/>
      <c r="K858" s="115"/>
      <c r="L858" s="228"/>
      <c r="M858" s="107"/>
      <c r="N858" s="229">
        <f>IF(AND(O858=TRUE,P858=TRUE), VLOOKUP($E858,PESSOAL!$B$35:$S$45,MONTH($F858)+6,FALSE)*G858*24,0)</f>
        <v>0</v>
      </c>
      <c r="O858" s="89" t="b">
        <f t="shared" si="1"/>
        <v>0</v>
      </c>
      <c r="P858" s="89" t="b">
        <v>0</v>
      </c>
      <c r="Q858" s="89" t="e">
        <v>#N/A</v>
      </c>
    </row>
    <row r="859" hidden="1">
      <c r="A859" s="108"/>
      <c r="B859" s="202"/>
      <c r="C859" s="202" t="str">
        <f>VLOOKUP(M859,'#verificação horas por projeto'!A:B,2,FALSE)</f>
        <v>#N/A</v>
      </c>
      <c r="D859" s="202"/>
      <c r="E859" s="107"/>
      <c r="F859" s="211"/>
      <c r="G859" s="226"/>
      <c r="H859" s="107"/>
      <c r="I859" s="227"/>
      <c r="J859" s="227"/>
      <c r="K859" s="115"/>
      <c r="L859" s="228"/>
      <c r="M859" s="107"/>
      <c r="N859" s="229">
        <f>IF(AND(O859=TRUE,P859=TRUE), VLOOKUP($E859,PESSOAL!$B$35:$S$45,MONTH($F859)+6,FALSE)*G859*24,0)</f>
        <v>0</v>
      </c>
      <c r="O859" s="89" t="b">
        <f t="shared" si="1"/>
        <v>0</v>
      </c>
      <c r="P859" s="89" t="b">
        <v>0</v>
      </c>
      <c r="Q859" s="89" t="e">
        <v>#N/A</v>
      </c>
    </row>
    <row r="860" hidden="1">
      <c r="A860" s="108"/>
      <c r="B860" s="202"/>
      <c r="C860" s="202" t="str">
        <f>VLOOKUP(M860,'#verificação horas por projeto'!A:B,2,FALSE)</f>
        <v>#N/A</v>
      </c>
      <c r="D860" s="202"/>
      <c r="E860" s="107"/>
      <c r="F860" s="211"/>
      <c r="G860" s="226"/>
      <c r="H860" s="107"/>
      <c r="I860" s="227"/>
      <c r="J860" s="227"/>
      <c r="K860" s="115"/>
      <c r="L860" s="228"/>
      <c r="M860" s="107"/>
      <c r="N860" s="229">
        <f>IF(AND(O860=TRUE,P860=TRUE), VLOOKUP($E860,PESSOAL!$B$35:$S$45,MONTH($F860)+6,FALSE)*G860*24,0)</f>
        <v>0</v>
      </c>
      <c r="O860" s="89" t="b">
        <f t="shared" si="1"/>
        <v>0</v>
      </c>
      <c r="P860" s="89" t="b">
        <v>0</v>
      </c>
      <c r="Q860" s="89" t="e">
        <v>#N/A</v>
      </c>
    </row>
    <row r="861" hidden="1">
      <c r="A861" s="108"/>
      <c r="B861" s="202"/>
      <c r="C861" s="202" t="str">
        <f>VLOOKUP(M861,'#verificação horas por projeto'!A:B,2,FALSE)</f>
        <v>#N/A</v>
      </c>
      <c r="D861" s="202"/>
      <c r="E861" s="107"/>
      <c r="F861" s="211"/>
      <c r="G861" s="226"/>
      <c r="H861" s="107"/>
      <c r="I861" s="227"/>
      <c r="J861" s="227"/>
      <c r="K861" s="115"/>
      <c r="L861" s="228"/>
      <c r="M861" s="107"/>
      <c r="N861" s="229">
        <f>IF(AND(O861=TRUE,P861=TRUE), VLOOKUP($E861,PESSOAL!$B$35:$S$45,MONTH($F861)+6,FALSE)*G861*24,0)</f>
        <v>0</v>
      </c>
      <c r="O861" s="89" t="b">
        <f t="shared" si="1"/>
        <v>0</v>
      </c>
      <c r="P861" s="89" t="b">
        <v>0</v>
      </c>
      <c r="Q861" s="89" t="e">
        <v>#N/A</v>
      </c>
    </row>
    <row r="862" hidden="1">
      <c r="A862" s="108"/>
      <c r="B862" s="202"/>
      <c r="C862" s="202" t="str">
        <f>VLOOKUP(M862,'#verificação horas por projeto'!A:B,2,FALSE)</f>
        <v>#N/A</v>
      </c>
      <c r="D862" s="202"/>
      <c r="E862" s="107"/>
      <c r="F862" s="211"/>
      <c r="G862" s="226"/>
      <c r="H862" s="107"/>
      <c r="I862" s="227"/>
      <c r="J862" s="227"/>
      <c r="K862" s="115"/>
      <c r="L862" s="228"/>
      <c r="M862" s="107"/>
      <c r="N862" s="229">
        <f>IF(AND(O862=TRUE,P862=TRUE), VLOOKUP($E862,PESSOAL!$B$35:$S$45,MONTH($F862)+6,FALSE)*G862*24,0)</f>
        <v>0</v>
      </c>
      <c r="O862" s="89" t="b">
        <f t="shared" si="1"/>
        <v>0</v>
      </c>
      <c r="P862" s="89" t="b">
        <v>0</v>
      </c>
      <c r="Q862" s="89" t="e">
        <v>#N/A</v>
      </c>
    </row>
    <row r="863" hidden="1">
      <c r="A863" s="108"/>
      <c r="B863" s="202"/>
      <c r="C863" s="202" t="str">
        <f>VLOOKUP(M863,'#verificação horas por projeto'!A:B,2,FALSE)</f>
        <v>#N/A</v>
      </c>
      <c r="D863" s="202"/>
      <c r="E863" s="107"/>
      <c r="F863" s="211"/>
      <c r="G863" s="226"/>
      <c r="H863" s="107"/>
      <c r="I863" s="227"/>
      <c r="J863" s="227"/>
      <c r="K863" s="115"/>
      <c r="L863" s="228"/>
      <c r="M863" s="107"/>
      <c r="N863" s="229">
        <f>IF(AND(O863=TRUE,P863=TRUE), VLOOKUP($E863,PESSOAL!$B$35:$S$45,MONTH($F863)+6,FALSE)*G863*24,0)</f>
        <v>0</v>
      </c>
      <c r="O863" s="89" t="b">
        <f t="shared" si="1"/>
        <v>0</v>
      </c>
      <c r="P863" s="89" t="b">
        <v>0</v>
      </c>
      <c r="Q863" s="89" t="e">
        <v>#N/A</v>
      </c>
    </row>
    <row r="864" hidden="1">
      <c r="A864" s="108"/>
      <c r="B864" s="202"/>
      <c r="C864" s="202" t="str">
        <f>VLOOKUP(M864,'#verificação horas por projeto'!A:B,2,FALSE)</f>
        <v>#N/A</v>
      </c>
      <c r="D864" s="202"/>
      <c r="E864" s="107"/>
      <c r="F864" s="211"/>
      <c r="G864" s="226"/>
      <c r="H864" s="107"/>
      <c r="I864" s="227"/>
      <c r="J864" s="227"/>
      <c r="K864" s="115"/>
      <c r="L864" s="228"/>
      <c r="M864" s="107"/>
      <c r="N864" s="229">
        <f>IF(AND(O864=TRUE,P864=TRUE), VLOOKUP($E864,PESSOAL!$B$35:$S$45,MONTH($F864)+6,FALSE)*G864*24,0)</f>
        <v>0</v>
      </c>
      <c r="O864" s="89" t="b">
        <f t="shared" si="1"/>
        <v>0</v>
      </c>
      <c r="P864" s="89" t="b">
        <v>0</v>
      </c>
      <c r="Q864" s="89" t="e">
        <v>#N/A</v>
      </c>
    </row>
    <row r="865" hidden="1">
      <c r="A865" s="108"/>
      <c r="B865" s="202"/>
      <c r="C865" s="202" t="str">
        <f>VLOOKUP(M865,'#verificação horas por projeto'!A:B,2,FALSE)</f>
        <v>#N/A</v>
      </c>
      <c r="D865" s="202"/>
      <c r="E865" s="107"/>
      <c r="F865" s="211"/>
      <c r="G865" s="226"/>
      <c r="H865" s="107"/>
      <c r="I865" s="227"/>
      <c r="J865" s="227"/>
      <c r="K865" s="115"/>
      <c r="L865" s="228"/>
      <c r="M865" s="107"/>
      <c r="N865" s="229">
        <f>IF(AND(O865=TRUE,P865=TRUE), VLOOKUP($E865,PESSOAL!$B$35:$S$45,MONTH($F865)+6,FALSE)*G865*24,0)</f>
        <v>0</v>
      </c>
      <c r="O865" s="89" t="b">
        <f t="shared" si="1"/>
        <v>0</v>
      </c>
      <c r="P865" s="89" t="b">
        <v>0</v>
      </c>
      <c r="Q865" s="89" t="e">
        <v>#N/A</v>
      </c>
    </row>
    <row r="866" hidden="1">
      <c r="A866" s="108"/>
      <c r="B866" s="202"/>
      <c r="C866" s="202" t="str">
        <f>VLOOKUP(M866,'#verificação horas por projeto'!A:B,2,FALSE)</f>
        <v>#N/A</v>
      </c>
      <c r="D866" s="202"/>
      <c r="E866" s="107"/>
      <c r="F866" s="211"/>
      <c r="G866" s="226"/>
      <c r="H866" s="107"/>
      <c r="I866" s="227"/>
      <c r="J866" s="227"/>
      <c r="K866" s="115"/>
      <c r="L866" s="228"/>
      <c r="M866" s="107"/>
      <c r="N866" s="229">
        <f>IF(AND(O866=TRUE,P866=TRUE), VLOOKUP($E866,PESSOAL!$B$35:$S$45,MONTH($F866)+6,FALSE)*G866*24,0)</f>
        <v>0</v>
      </c>
      <c r="O866" s="89" t="b">
        <f t="shared" si="1"/>
        <v>0</v>
      </c>
      <c r="P866" s="89" t="b">
        <v>0</v>
      </c>
      <c r="Q866" s="89" t="e">
        <v>#N/A</v>
      </c>
    </row>
    <row r="867" hidden="1">
      <c r="A867" s="108"/>
      <c r="B867" s="202"/>
      <c r="C867" s="202" t="str">
        <f>VLOOKUP(M867,'#verificação horas por projeto'!A:B,2,FALSE)</f>
        <v>#N/A</v>
      </c>
      <c r="D867" s="202"/>
      <c r="E867" s="107"/>
      <c r="F867" s="211"/>
      <c r="G867" s="226"/>
      <c r="H867" s="107"/>
      <c r="I867" s="227"/>
      <c r="J867" s="227"/>
      <c r="K867" s="115"/>
      <c r="L867" s="228"/>
      <c r="M867" s="107"/>
      <c r="N867" s="229">
        <f>IF(AND(O867=TRUE,P867=TRUE), VLOOKUP($E867,PESSOAL!$B$35:$S$45,MONTH($F867)+6,FALSE)*G867*24,0)</f>
        <v>0</v>
      </c>
      <c r="O867" s="89" t="b">
        <f t="shared" si="1"/>
        <v>0</v>
      </c>
      <c r="P867" s="89" t="b">
        <v>0</v>
      </c>
      <c r="Q867" s="89" t="e">
        <v>#N/A</v>
      </c>
    </row>
    <row r="868" hidden="1">
      <c r="A868" s="108"/>
      <c r="B868" s="202"/>
      <c r="C868" s="202" t="str">
        <f>VLOOKUP(M868,'#verificação horas por projeto'!A:B,2,FALSE)</f>
        <v>#N/A</v>
      </c>
      <c r="D868" s="202"/>
      <c r="E868" s="107"/>
      <c r="F868" s="211"/>
      <c r="G868" s="226"/>
      <c r="H868" s="107"/>
      <c r="I868" s="227"/>
      <c r="J868" s="227"/>
      <c r="K868" s="115"/>
      <c r="L868" s="228"/>
      <c r="M868" s="107"/>
      <c r="N868" s="229">
        <f>IF(AND(O868=TRUE,P868=TRUE), VLOOKUP($E868,PESSOAL!$B$35:$S$45,MONTH($F868)+6,FALSE)*G868*24,0)</f>
        <v>0</v>
      </c>
      <c r="O868" s="89" t="b">
        <f t="shared" si="1"/>
        <v>0</v>
      </c>
      <c r="P868" s="89" t="b">
        <v>0</v>
      </c>
      <c r="Q868" s="89" t="e">
        <v>#N/A</v>
      </c>
    </row>
    <row r="869" hidden="1">
      <c r="A869" s="108"/>
      <c r="B869" s="202"/>
      <c r="C869" s="202" t="str">
        <f>VLOOKUP(M869,'#verificação horas por projeto'!A:B,2,FALSE)</f>
        <v>#N/A</v>
      </c>
      <c r="D869" s="202"/>
      <c r="E869" s="107"/>
      <c r="F869" s="211"/>
      <c r="G869" s="226"/>
      <c r="H869" s="107"/>
      <c r="I869" s="227"/>
      <c r="J869" s="227"/>
      <c r="K869" s="115"/>
      <c r="L869" s="228"/>
      <c r="M869" s="107"/>
      <c r="N869" s="229">
        <f>IF(AND(O869=TRUE,P869=TRUE), VLOOKUP($E869,PESSOAL!$B$35:$S$45,MONTH($F869)+6,FALSE)*G869*24,0)</f>
        <v>0</v>
      </c>
      <c r="O869" s="89" t="b">
        <f t="shared" si="1"/>
        <v>0</v>
      </c>
      <c r="P869" s="89" t="b">
        <v>0</v>
      </c>
      <c r="Q869" s="89" t="e">
        <v>#N/A</v>
      </c>
    </row>
    <row r="870" hidden="1">
      <c r="A870" s="108"/>
      <c r="B870" s="202"/>
      <c r="C870" s="202" t="str">
        <f>VLOOKUP(M870,'#verificação horas por projeto'!A:B,2,FALSE)</f>
        <v>#N/A</v>
      </c>
      <c r="D870" s="202"/>
      <c r="E870" s="107"/>
      <c r="F870" s="211"/>
      <c r="G870" s="226"/>
      <c r="H870" s="107"/>
      <c r="I870" s="227"/>
      <c r="J870" s="227"/>
      <c r="K870" s="115"/>
      <c r="L870" s="228"/>
      <c r="M870" s="107"/>
      <c r="N870" s="229">
        <f>IF(AND(O870=TRUE,P870=TRUE), VLOOKUP($E870,PESSOAL!$B$35:$S$45,MONTH($F870)+6,FALSE)*G870*24,0)</f>
        <v>0</v>
      </c>
      <c r="O870" s="89" t="b">
        <f t="shared" si="1"/>
        <v>0</v>
      </c>
      <c r="P870" s="89" t="b">
        <v>0</v>
      </c>
      <c r="Q870" s="89" t="e">
        <v>#N/A</v>
      </c>
    </row>
    <row r="871" hidden="1">
      <c r="A871" s="108"/>
      <c r="B871" s="202"/>
      <c r="C871" s="202" t="str">
        <f>VLOOKUP(M871,'#verificação horas por projeto'!A:B,2,FALSE)</f>
        <v>#N/A</v>
      </c>
      <c r="D871" s="202"/>
      <c r="E871" s="107"/>
      <c r="F871" s="211"/>
      <c r="G871" s="226"/>
      <c r="H871" s="107"/>
      <c r="I871" s="227"/>
      <c r="J871" s="227"/>
      <c r="K871" s="115"/>
      <c r="L871" s="228"/>
      <c r="M871" s="107"/>
      <c r="N871" s="229">
        <f>IF(AND(O871=TRUE,P871=TRUE), VLOOKUP($E871,PESSOAL!$B$35:$S$45,MONTH($F871)+6,FALSE)*G871*24,0)</f>
        <v>0</v>
      </c>
      <c r="O871" s="89" t="b">
        <f t="shared" si="1"/>
        <v>0</v>
      </c>
      <c r="P871" s="89" t="b">
        <v>0</v>
      </c>
      <c r="Q871" s="89" t="e">
        <v>#N/A</v>
      </c>
    </row>
    <row r="872" hidden="1">
      <c r="A872" s="108"/>
      <c r="B872" s="202"/>
      <c r="C872" s="202" t="str">
        <f>VLOOKUP(M872,'#verificação horas por projeto'!A:B,2,FALSE)</f>
        <v>#N/A</v>
      </c>
      <c r="D872" s="202"/>
      <c r="E872" s="107"/>
      <c r="F872" s="211"/>
      <c r="G872" s="226"/>
      <c r="H872" s="107"/>
      <c r="I872" s="227"/>
      <c r="J872" s="227"/>
      <c r="K872" s="115"/>
      <c r="L872" s="228"/>
      <c r="M872" s="107"/>
      <c r="N872" s="229">
        <f>IF(AND(O872=TRUE,P872=TRUE), VLOOKUP($E872,PESSOAL!$B$35:$S$45,MONTH($F872)+6,FALSE)*G872*24,0)</f>
        <v>0</v>
      </c>
      <c r="O872" s="89" t="b">
        <f t="shared" si="1"/>
        <v>0</v>
      </c>
      <c r="P872" s="89" t="b">
        <v>0</v>
      </c>
      <c r="Q872" s="89" t="e">
        <v>#N/A</v>
      </c>
    </row>
    <row r="873" hidden="1">
      <c r="A873" s="108"/>
      <c r="B873" s="202"/>
      <c r="C873" s="202" t="str">
        <f>VLOOKUP(M873,'#verificação horas por projeto'!A:B,2,FALSE)</f>
        <v>#N/A</v>
      </c>
      <c r="D873" s="202"/>
      <c r="E873" s="107"/>
      <c r="F873" s="211"/>
      <c r="G873" s="226"/>
      <c r="H873" s="107"/>
      <c r="I873" s="227"/>
      <c r="J873" s="227"/>
      <c r="K873" s="115"/>
      <c r="L873" s="228"/>
      <c r="M873" s="107"/>
      <c r="N873" s="229">
        <f>IF(AND(O873=TRUE,P873=TRUE), VLOOKUP($E873,PESSOAL!$B$35:$S$45,MONTH($F873)+6,FALSE)*G873*24,0)</f>
        <v>0</v>
      </c>
      <c r="O873" s="89" t="b">
        <f t="shared" si="1"/>
        <v>0</v>
      </c>
      <c r="P873" s="89" t="b">
        <v>0</v>
      </c>
      <c r="Q873" s="89" t="e">
        <v>#N/A</v>
      </c>
    </row>
    <row r="874" hidden="1">
      <c r="A874" s="108"/>
      <c r="B874" s="202"/>
      <c r="C874" s="202" t="str">
        <f>VLOOKUP(M874,'#verificação horas por projeto'!A:B,2,FALSE)</f>
        <v>#N/A</v>
      </c>
      <c r="D874" s="202"/>
      <c r="E874" s="107"/>
      <c r="F874" s="211"/>
      <c r="G874" s="226"/>
      <c r="H874" s="107"/>
      <c r="I874" s="227"/>
      <c r="J874" s="227"/>
      <c r="K874" s="115"/>
      <c r="L874" s="228"/>
      <c r="M874" s="107"/>
      <c r="N874" s="229">
        <f>IF(AND(O874=TRUE,P874=TRUE), VLOOKUP($E874,PESSOAL!$B$35:$S$45,MONTH($F874)+6,FALSE)*G874*24,0)</f>
        <v>0</v>
      </c>
      <c r="O874" s="89" t="b">
        <f t="shared" si="1"/>
        <v>0</v>
      </c>
      <c r="P874" s="89" t="b">
        <v>0</v>
      </c>
      <c r="Q874" s="89" t="e">
        <v>#N/A</v>
      </c>
    </row>
    <row r="875" hidden="1">
      <c r="A875" s="108"/>
      <c r="B875" s="202"/>
      <c r="C875" s="202" t="str">
        <f>VLOOKUP(M875,'#verificação horas por projeto'!A:B,2,FALSE)</f>
        <v>#N/A</v>
      </c>
      <c r="D875" s="202"/>
      <c r="E875" s="107"/>
      <c r="F875" s="211"/>
      <c r="G875" s="226"/>
      <c r="H875" s="107"/>
      <c r="I875" s="227"/>
      <c r="J875" s="227"/>
      <c r="K875" s="115"/>
      <c r="L875" s="228"/>
      <c r="M875" s="107"/>
      <c r="N875" s="229">
        <f>IF(AND(O875=TRUE,P875=TRUE), VLOOKUP($E875,PESSOAL!$B$35:$S$45,MONTH($F875)+6,FALSE)*G875*24,0)</f>
        <v>0</v>
      </c>
      <c r="O875" s="89" t="b">
        <f t="shared" si="1"/>
        <v>0</v>
      </c>
      <c r="P875" s="89" t="b">
        <v>0</v>
      </c>
      <c r="Q875" s="89" t="e">
        <v>#N/A</v>
      </c>
    </row>
    <row r="876" hidden="1">
      <c r="A876" s="108"/>
      <c r="B876" s="202"/>
      <c r="C876" s="202" t="str">
        <f>VLOOKUP(M876,'#verificação horas por projeto'!A:B,2,FALSE)</f>
        <v>#N/A</v>
      </c>
      <c r="D876" s="202"/>
      <c r="E876" s="107"/>
      <c r="F876" s="211"/>
      <c r="G876" s="226"/>
      <c r="H876" s="107"/>
      <c r="I876" s="227"/>
      <c r="J876" s="227"/>
      <c r="K876" s="115"/>
      <c r="L876" s="228"/>
      <c r="M876" s="107"/>
      <c r="N876" s="229">
        <f>IF(AND(O876=TRUE,P876=TRUE), VLOOKUP($E876,PESSOAL!$B$35:$S$45,MONTH($F876)+6,FALSE)*G876*24,0)</f>
        <v>0</v>
      </c>
      <c r="O876" s="89" t="b">
        <f t="shared" si="1"/>
        <v>0</v>
      </c>
      <c r="P876" s="89" t="b">
        <v>0</v>
      </c>
      <c r="Q876" s="89" t="e">
        <v>#N/A</v>
      </c>
    </row>
    <row r="877" hidden="1">
      <c r="A877" s="108"/>
      <c r="B877" s="202"/>
      <c r="C877" s="202" t="str">
        <f>VLOOKUP(M877,'#verificação horas por projeto'!A:B,2,FALSE)</f>
        <v>#N/A</v>
      </c>
      <c r="D877" s="202"/>
      <c r="E877" s="107"/>
      <c r="F877" s="211"/>
      <c r="G877" s="226"/>
      <c r="H877" s="107"/>
      <c r="I877" s="227"/>
      <c r="J877" s="227"/>
      <c r="K877" s="115"/>
      <c r="L877" s="228"/>
      <c r="M877" s="107"/>
      <c r="N877" s="229">
        <f>IF(AND(O877=TRUE,P877=TRUE), VLOOKUP($E877,PESSOAL!$B$35:$S$45,MONTH($F877)+6,FALSE)*G877*24,0)</f>
        <v>0</v>
      </c>
      <c r="O877" s="89" t="b">
        <f t="shared" si="1"/>
        <v>0</v>
      </c>
      <c r="P877" s="89" t="b">
        <v>0</v>
      </c>
      <c r="Q877" s="89" t="e">
        <v>#N/A</v>
      </c>
    </row>
    <row r="878" hidden="1">
      <c r="A878" s="108"/>
      <c r="B878" s="202"/>
      <c r="C878" s="202" t="str">
        <f>VLOOKUP(M878,'#verificação horas por projeto'!A:B,2,FALSE)</f>
        <v>#N/A</v>
      </c>
      <c r="D878" s="202"/>
      <c r="E878" s="107"/>
      <c r="F878" s="211"/>
      <c r="G878" s="226"/>
      <c r="H878" s="107"/>
      <c r="I878" s="227"/>
      <c r="J878" s="227"/>
      <c r="K878" s="115"/>
      <c r="L878" s="228"/>
      <c r="M878" s="107"/>
      <c r="N878" s="229">
        <f>IF(AND(O878=TRUE,P878=TRUE), VLOOKUP($E878,PESSOAL!$B$35:$S$45,MONTH($F878)+6,FALSE)*G878*24,0)</f>
        <v>0</v>
      </c>
      <c r="O878" s="89" t="b">
        <f t="shared" si="1"/>
        <v>0</v>
      </c>
      <c r="P878" s="89" t="b">
        <v>0</v>
      </c>
      <c r="Q878" s="89" t="e">
        <v>#N/A</v>
      </c>
    </row>
    <row r="879" hidden="1">
      <c r="A879" s="108"/>
      <c r="B879" s="202"/>
      <c r="C879" s="202" t="str">
        <f>VLOOKUP(M879,'#verificação horas por projeto'!A:B,2,FALSE)</f>
        <v>#N/A</v>
      </c>
      <c r="D879" s="202"/>
      <c r="E879" s="107"/>
      <c r="F879" s="211"/>
      <c r="G879" s="226"/>
      <c r="H879" s="107"/>
      <c r="I879" s="227"/>
      <c r="J879" s="227"/>
      <c r="K879" s="115"/>
      <c r="L879" s="228"/>
      <c r="M879" s="107"/>
      <c r="N879" s="229">
        <f>IF(AND(O879=TRUE,P879=TRUE), VLOOKUP($E879,PESSOAL!$B$35:$S$45,MONTH($F879)+6,FALSE)*G879*24,0)</f>
        <v>0</v>
      </c>
      <c r="O879" s="89" t="b">
        <f t="shared" si="1"/>
        <v>0</v>
      </c>
      <c r="P879" s="89" t="b">
        <v>0</v>
      </c>
      <c r="Q879" s="89" t="e">
        <v>#N/A</v>
      </c>
    </row>
    <row r="880" hidden="1">
      <c r="A880" s="108"/>
      <c r="B880" s="202"/>
      <c r="C880" s="202" t="str">
        <f>VLOOKUP(M880,'#verificação horas por projeto'!A:B,2,FALSE)</f>
        <v>#N/A</v>
      </c>
      <c r="D880" s="202"/>
      <c r="E880" s="107"/>
      <c r="F880" s="211"/>
      <c r="G880" s="226"/>
      <c r="H880" s="107"/>
      <c r="I880" s="227"/>
      <c r="J880" s="227"/>
      <c r="K880" s="115"/>
      <c r="L880" s="228"/>
      <c r="M880" s="107"/>
      <c r="N880" s="229">
        <f>IF(AND(O880=TRUE,P880=TRUE), VLOOKUP($E880,PESSOAL!$B$35:$S$45,MONTH($F880)+6,FALSE)*G880*24,0)</f>
        <v>0</v>
      </c>
      <c r="O880" s="89" t="b">
        <f t="shared" si="1"/>
        <v>0</v>
      </c>
      <c r="P880" s="89" t="b">
        <v>0</v>
      </c>
      <c r="Q880" s="89" t="e">
        <v>#N/A</v>
      </c>
    </row>
    <row r="881" hidden="1">
      <c r="A881" s="108"/>
      <c r="B881" s="202"/>
      <c r="C881" s="202" t="str">
        <f>VLOOKUP(M881,'#verificação horas por projeto'!A:B,2,FALSE)</f>
        <v>#N/A</v>
      </c>
      <c r="D881" s="202"/>
      <c r="E881" s="107"/>
      <c r="F881" s="211"/>
      <c r="G881" s="226"/>
      <c r="H881" s="107"/>
      <c r="I881" s="227"/>
      <c r="J881" s="227"/>
      <c r="K881" s="115"/>
      <c r="L881" s="228"/>
      <c r="M881" s="107"/>
      <c r="N881" s="229">
        <f>IF(AND(O881=TRUE,P881=TRUE), VLOOKUP($E881,PESSOAL!$B$35:$S$45,MONTH($F881)+6,FALSE)*G881*24,0)</f>
        <v>0</v>
      </c>
      <c r="O881" s="89" t="b">
        <f t="shared" si="1"/>
        <v>0</v>
      </c>
      <c r="P881" s="89" t="b">
        <v>0</v>
      </c>
      <c r="Q881" s="89" t="e">
        <v>#N/A</v>
      </c>
    </row>
    <row r="882" hidden="1">
      <c r="A882" s="108"/>
      <c r="B882" s="202"/>
      <c r="C882" s="202" t="str">
        <f>VLOOKUP(M882,'#verificação horas por projeto'!A:B,2,FALSE)</f>
        <v>#N/A</v>
      </c>
      <c r="D882" s="202"/>
      <c r="E882" s="107"/>
      <c r="F882" s="211"/>
      <c r="G882" s="226"/>
      <c r="H882" s="107"/>
      <c r="I882" s="227"/>
      <c r="J882" s="227"/>
      <c r="K882" s="115"/>
      <c r="L882" s="228"/>
      <c r="M882" s="107"/>
      <c r="N882" s="229">
        <f>IF(AND(O882=TRUE,P882=TRUE), VLOOKUP($E882,PESSOAL!$B$35:$S$45,MONTH($F882)+6,FALSE)*G882*24,0)</f>
        <v>0</v>
      </c>
      <c r="O882" s="89" t="b">
        <f t="shared" si="1"/>
        <v>0</v>
      </c>
      <c r="P882" s="89" t="b">
        <v>0</v>
      </c>
      <c r="Q882" s="89" t="e">
        <v>#N/A</v>
      </c>
    </row>
    <row r="883" hidden="1">
      <c r="A883" s="108"/>
      <c r="B883" s="202"/>
      <c r="C883" s="202" t="str">
        <f>VLOOKUP(M883,'#verificação horas por projeto'!A:B,2,FALSE)</f>
        <v>#N/A</v>
      </c>
      <c r="D883" s="202"/>
      <c r="E883" s="107"/>
      <c r="F883" s="211"/>
      <c r="G883" s="226"/>
      <c r="H883" s="107"/>
      <c r="I883" s="227"/>
      <c r="J883" s="227"/>
      <c r="K883" s="115"/>
      <c r="L883" s="228"/>
      <c r="M883" s="107"/>
      <c r="N883" s="229">
        <f>IF(AND(O883=TRUE,P883=TRUE), VLOOKUP($E883,PESSOAL!$B$35:$S$45,MONTH($F883)+6,FALSE)*G883*24,0)</f>
        <v>0</v>
      </c>
      <c r="O883" s="89" t="b">
        <f t="shared" si="1"/>
        <v>0</v>
      </c>
      <c r="P883" s="89" t="b">
        <v>0</v>
      </c>
      <c r="Q883" s="89" t="e">
        <v>#N/A</v>
      </c>
    </row>
    <row r="884" hidden="1">
      <c r="A884" s="108"/>
      <c r="B884" s="202"/>
      <c r="C884" s="202" t="str">
        <f>VLOOKUP(M884,'#verificação horas por projeto'!A:B,2,FALSE)</f>
        <v>#N/A</v>
      </c>
      <c r="D884" s="202"/>
      <c r="E884" s="107"/>
      <c r="F884" s="211"/>
      <c r="G884" s="226"/>
      <c r="H884" s="107"/>
      <c r="I884" s="227"/>
      <c r="J884" s="227"/>
      <c r="K884" s="115"/>
      <c r="L884" s="228"/>
      <c r="M884" s="107"/>
      <c r="N884" s="229">
        <f>IF(AND(O884=TRUE,P884=TRUE), VLOOKUP($E884,PESSOAL!$B$35:$S$45,MONTH($F884)+6,FALSE)*G884*24,0)</f>
        <v>0</v>
      </c>
      <c r="O884" s="89" t="b">
        <f t="shared" si="1"/>
        <v>0</v>
      </c>
      <c r="P884" s="89" t="b">
        <v>0</v>
      </c>
      <c r="Q884" s="89" t="e">
        <v>#N/A</v>
      </c>
    </row>
    <row r="885" hidden="1">
      <c r="A885" s="108"/>
      <c r="B885" s="202"/>
      <c r="C885" s="202" t="str">
        <f>VLOOKUP(M885,'#verificação horas por projeto'!A:B,2,FALSE)</f>
        <v>#N/A</v>
      </c>
      <c r="D885" s="202"/>
      <c r="E885" s="107"/>
      <c r="F885" s="211"/>
      <c r="G885" s="226"/>
      <c r="H885" s="107"/>
      <c r="I885" s="227"/>
      <c r="J885" s="227"/>
      <c r="K885" s="115"/>
      <c r="L885" s="228"/>
      <c r="M885" s="107"/>
      <c r="N885" s="229">
        <f>IF(AND(O885=TRUE,P885=TRUE), VLOOKUP($E885,PESSOAL!$B$35:$S$45,MONTH($F885)+6,FALSE)*G885*24,0)</f>
        <v>0</v>
      </c>
      <c r="O885" s="89" t="b">
        <f t="shared" si="1"/>
        <v>0</v>
      </c>
      <c r="P885" s="89" t="b">
        <v>0</v>
      </c>
      <c r="Q885" s="89" t="e">
        <v>#N/A</v>
      </c>
    </row>
    <row r="886" hidden="1">
      <c r="A886" s="108"/>
      <c r="B886" s="202"/>
      <c r="C886" s="202" t="str">
        <f>VLOOKUP(M886,'#verificação horas por projeto'!A:B,2,FALSE)</f>
        <v>#N/A</v>
      </c>
      <c r="D886" s="202"/>
      <c r="E886" s="107"/>
      <c r="F886" s="211"/>
      <c r="G886" s="226"/>
      <c r="H886" s="107"/>
      <c r="I886" s="227"/>
      <c r="J886" s="227"/>
      <c r="K886" s="115"/>
      <c r="L886" s="228"/>
      <c r="M886" s="107"/>
      <c r="N886" s="229">
        <f>IF(AND(O886=TRUE,P886=TRUE), VLOOKUP($E886,PESSOAL!$B$35:$S$45,MONTH($F886)+6,FALSE)*G886*24,0)</f>
        <v>0</v>
      </c>
      <c r="O886" s="89" t="b">
        <f t="shared" si="1"/>
        <v>0</v>
      </c>
      <c r="P886" s="89" t="b">
        <v>0</v>
      </c>
      <c r="Q886" s="89" t="e">
        <v>#N/A</v>
      </c>
    </row>
    <row r="887" hidden="1">
      <c r="A887" s="108"/>
      <c r="B887" s="202"/>
      <c r="C887" s="202" t="str">
        <f>VLOOKUP(M887,'#verificação horas por projeto'!A:B,2,FALSE)</f>
        <v>#N/A</v>
      </c>
      <c r="D887" s="202"/>
      <c r="E887" s="107"/>
      <c r="F887" s="211"/>
      <c r="G887" s="226"/>
      <c r="H887" s="107"/>
      <c r="I887" s="227"/>
      <c r="J887" s="227"/>
      <c r="K887" s="115"/>
      <c r="L887" s="228"/>
      <c r="M887" s="107"/>
      <c r="N887" s="229">
        <f>IF(AND(O887=TRUE,P887=TRUE), VLOOKUP($E887,PESSOAL!$B$35:$S$45,MONTH($F887)+6,FALSE)*G887*24,0)</f>
        <v>0</v>
      </c>
      <c r="O887" s="89" t="b">
        <f t="shared" si="1"/>
        <v>0</v>
      </c>
      <c r="P887" s="89" t="b">
        <v>0</v>
      </c>
      <c r="Q887" s="89" t="e">
        <v>#N/A</v>
      </c>
    </row>
    <row r="888" hidden="1">
      <c r="A888" s="108"/>
      <c r="B888" s="202"/>
      <c r="C888" s="202" t="str">
        <f>VLOOKUP(M888,'#verificação horas por projeto'!A:B,2,FALSE)</f>
        <v>#N/A</v>
      </c>
      <c r="D888" s="202"/>
      <c r="E888" s="107"/>
      <c r="F888" s="211"/>
      <c r="G888" s="226"/>
      <c r="H888" s="107"/>
      <c r="I888" s="227"/>
      <c r="J888" s="227"/>
      <c r="K888" s="115"/>
      <c r="L888" s="228"/>
      <c r="M888" s="107"/>
      <c r="N888" s="229">
        <f>IF(AND(O888=TRUE,P888=TRUE), VLOOKUP($E888,PESSOAL!$B$35:$S$45,MONTH($F888)+6,FALSE)*G888*24,0)</f>
        <v>0</v>
      </c>
      <c r="O888" s="89" t="b">
        <f t="shared" si="1"/>
        <v>0</v>
      </c>
      <c r="P888" s="89" t="b">
        <v>0</v>
      </c>
      <c r="Q888" s="89" t="e">
        <v>#N/A</v>
      </c>
    </row>
    <row r="889" hidden="1">
      <c r="A889" s="108"/>
      <c r="B889" s="202"/>
      <c r="C889" s="202" t="str">
        <f>VLOOKUP(M889,'#verificação horas por projeto'!A:B,2,FALSE)</f>
        <v>#N/A</v>
      </c>
      <c r="D889" s="202"/>
      <c r="E889" s="107"/>
      <c r="F889" s="211"/>
      <c r="G889" s="226"/>
      <c r="H889" s="107"/>
      <c r="I889" s="227"/>
      <c r="J889" s="227"/>
      <c r="K889" s="115"/>
      <c r="L889" s="228"/>
      <c r="M889" s="107"/>
      <c r="N889" s="229">
        <f>IF(AND(O889=TRUE,P889=TRUE), VLOOKUP($E889,PESSOAL!$B$35:$S$45,MONTH($F889)+6,FALSE)*G889*24,0)</f>
        <v>0</v>
      </c>
      <c r="O889" s="89" t="b">
        <f t="shared" si="1"/>
        <v>0</v>
      </c>
      <c r="P889" s="89" t="b">
        <v>0</v>
      </c>
      <c r="Q889" s="89" t="e">
        <v>#N/A</v>
      </c>
    </row>
    <row r="890" hidden="1">
      <c r="A890" s="108"/>
      <c r="B890" s="202"/>
      <c r="C890" s="202" t="str">
        <f>VLOOKUP(M890,'#verificação horas por projeto'!A:B,2,FALSE)</f>
        <v>#N/A</v>
      </c>
      <c r="D890" s="202"/>
      <c r="E890" s="107"/>
      <c r="F890" s="211"/>
      <c r="G890" s="226"/>
      <c r="H890" s="107"/>
      <c r="I890" s="227"/>
      <c r="J890" s="227"/>
      <c r="K890" s="115"/>
      <c r="L890" s="228"/>
      <c r="M890" s="107"/>
      <c r="N890" s="229">
        <f>IF(AND(O890=TRUE,P890=TRUE), VLOOKUP($E890,PESSOAL!$B$35:$S$45,MONTH($F890)+6,FALSE)*G890*24,0)</f>
        <v>0</v>
      </c>
      <c r="O890" s="89" t="b">
        <f t="shared" si="1"/>
        <v>0</v>
      </c>
      <c r="P890" s="89" t="b">
        <v>0</v>
      </c>
      <c r="Q890" s="89" t="e">
        <v>#N/A</v>
      </c>
    </row>
    <row r="891" hidden="1">
      <c r="A891" s="108"/>
      <c r="B891" s="202"/>
      <c r="C891" s="202" t="str">
        <f>VLOOKUP(M891,'#verificação horas por projeto'!A:B,2,FALSE)</f>
        <v>#N/A</v>
      </c>
      <c r="D891" s="202"/>
      <c r="E891" s="107"/>
      <c r="F891" s="211"/>
      <c r="G891" s="226"/>
      <c r="H891" s="107"/>
      <c r="I891" s="227"/>
      <c r="J891" s="227"/>
      <c r="K891" s="115"/>
      <c r="L891" s="228"/>
      <c r="M891" s="107"/>
      <c r="N891" s="229">
        <f>IF(AND(O891=TRUE,P891=TRUE), VLOOKUP($E891,PESSOAL!$B$35:$S$45,MONTH($F891)+6,FALSE)*G891*24,0)</f>
        <v>0</v>
      </c>
      <c r="O891" s="89" t="b">
        <f t="shared" si="1"/>
        <v>0</v>
      </c>
      <c r="P891" s="89" t="b">
        <v>0</v>
      </c>
      <c r="Q891" s="89" t="e">
        <v>#N/A</v>
      </c>
    </row>
    <row r="892" hidden="1">
      <c r="A892" s="108"/>
      <c r="B892" s="202"/>
      <c r="C892" s="202" t="str">
        <f>VLOOKUP(M892,'#verificação horas por projeto'!A:B,2,FALSE)</f>
        <v>#N/A</v>
      </c>
      <c r="D892" s="202"/>
      <c r="E892" s="107"/>
      <c r="F892" s="211"/>
      <c r="G892" s="226"/>
      <c r="H892" s="107"/>
      <c r="I892" s="227"/>
      <c r="J892" s="227"/>
      <c r="K892" s="115"/>
      <c r="L892" s="228"/>
      <c r="M892" s="107"/>
      <c r="N892" s="229">
        <f>IF(AND(O892=TRUE,P892=TRUE), VLOOKUP($E892,PESSOAL!$B$35:$S$45,MONTH($F892)+6,FALSE)*G892*24,0)</f>
        <v>0</v>
      </c>
      <c r="O892" s="89" t="b">
        <f t="shared" si="1"/>
        <v>0</v>
      </c>
      <c r="P892" s="89" t="b">
        <v>0</v>
      </c>
      <c r="Q892" s="89" t="e">
        <v>#N/A</v>
      </c>
    </row>
    <row r="893" hidden="1">
      <c r="A893" s="108"/>
      <c r="B893" s="202"/>
      <c r="C893" s="202" t="str">
        <f>VLOOKUP(M893,'#verificação horas por projeto'!A:B,2,FALSE)</f>
        <v>#N/A</v>
      </c>
      <c r="D893" s="202"/>
      <c r="E893" s="107"/>
      <c r="F893" s="211"/>
      <c r="G893" s="226"/>
      <c r="H893" s="107"/>
      <c r="I893" s="227"/>
      <c r="J893" s="227"/>
      <c r="K893" s="115"/>
      <c r="L893" s="228"/>
      <c r="M893" s="107"/>
      <c r="N893" s="229">
        <f>IF(AND(O893=TRUE,P893=TRUE), VLOOKUP($E893,PESSOAL!$B$35:$S$45,MONTH($F893)+6,FALSE)*G893*24,0)</f>
        <v>0</v>
      </c>
      <c r="O893" s="89" t="b">
        <f t="shared" si="1"/>
        <v>0</v>
      </c>
      <c r="P893" s="89" t="b">
        <v>0</v>
      </c>
      <c r="Q893" s="89" t="e">
        <v>#N/A</v>
      </c>
    </row>
    <row r="894" hidden="1">
      <c r="A894" s="108"/>
      <c r="B894" s="202"/>
      <c r="C894" s="202" t="str">
        <f>VLOOKUP(M894,'#verificação horas por projeto'!A:B,2,FALSE)</f>
        <v>#N/A</v>
      </c>
      <c r="D894" s="202"/>
      <c r="E894" s="107"/>
      <c r="F894" s="211"/>
      <c r="G894" s="226"/>
      <c r="H894" s="107"/>
      <c r="I894" s="227"/>
      <c r="J894" s="227"/>
      <c r="K894" s="115"/>
      <c r="L894" s="228"/>
      <c r="M894" s="107"/>
      <c r="N894" s="229">
        <f>IF(AND(O894=TRUE,P894=TRUE), VLOOKUP($E894,PESSOAL!$B$35:$S$45,MONTH($F894)+6,FALSE)*G894*24,0)</f>
        <v>0</v>
      </c>
      <c r="O894" s="89" t="b">
        <f t="shared" si="1"/>
        <v>0</v>
      </c>
      <c r="P894" s="89" t="b">
        <v>0</v>
      </c>
      <c r="Q894" s="89" t="e">
        <v>#N/A</v>
      </c>
    </row>
    <row r="895" hidden="1">
      <c r="A895" s="108"/>
      <c r="B895" s="202"/>
      <c r="C895" s="202" t="str">
        <f>VLOOKUP(M895,'#verificação horas por projeto'!A:B,2,FALSE)</f>
        <v>#N/A</v>
      </c>
      <c r="D895" s="202"/>
      <c r="E895" s="107"/>
      <c r="F895" s="211"/>
      <c r="G895" s="226"/>
      <c r="H895" s="107"/>
      <c r="I895" s="227"/>
      <c r="J895" s="227"/>
      <c r="K895" s="115"/>
      <c r="L895" s="228"/>
      <c r="M895" s="107"/>
      <c r="N895" s="229">
        <f>IF(AND(O895=TRUE,P895=TRUE), VLOOKUP($E895,PESSOAL!$B$35:$S$45,MONTH($F895)+6,FALSE)*G895*24,0)</f>
        <v>0</v>
      </c>
      <c r="O895" s="89" t="b">
        <f t="shared" si="1"/>
        <v>0</v>
      </c>
      <c r="P895" s="89" t="b">
        <v>0</v>
      </c>
      <c r="Q895" s="89" t="e">
        <v>#N/A</v>
      </c>
    </row>
    <row r="896" hidden="1">
      <c r="A896" s="108"/>
      <c r="B896" s="202"/>
      <c r="C896" s="202" t="str">
        <f>VLOOKUP(M896,'#verificação horas por projeto'!A:B,2,FALSE)</f>
        <v>#N/A</v>
      </c>
      <c r="D896" s="202"/>
      <c r="E896" s="107"/>
      <c r="F896" s="211"/>
      <c r="G896" s="226"/>
      <c r="H896" s="107"/>
      <c r="I896" s="227"/>
      <c r="J896" s="227"/>
      <c r="K896" s="115"/>
      <c r="L896" s="228"/>
      <c r="M896" s="107"/>
      <c r="N896" s="229">
        <f>IF(AND(O896=TRUE,P896=TRUE), VLOOKUP($E896,PESSOAL!$B$35:$S$45,MONTH($F896)+6,FALSE)*G896*24,0)</f>
        <v>0</v>
      </c>
      <c r="O896" s="89" t="b">
        <f t="shared" si="1"/>
        <v>0</v>
      </c>
      <c r="P896" s="89" t="b">
        <v>0</v>
      </c>
      <c r="Q896" s="89" t="e">
        <v>#N/A</v>
      </c>
    </row>
    <row r="897" hidden="1">
      <c r="A897" s="108"/>
      <c r="B897" s="202"/>
      <c r="C897" s="202" t="str">
        <f>VLOOKUP(M897,'#verificação horas por projeto'!A:B,2,FALSE)</f>
        <v>#N/A</v>
      </c>
      <c r="D897" s="202"/>
      <c r="E897" s="107"/>
      <c r="F897" s="211"/>
      <c r="G897" s="226"/>
      <c r="H897" s="107"/>
      <c r="I897" s="227"/>
      <c r="J897" s="227"/>
      <c r="K897" s="115"/>
      <c r="L897" s="228"/>
      <c r="M897" s="107"/>
      <c r="N897" s="229">
        <f>IF(AND(O897=TRUE,P897=TRUE), VLOOKUP($E897,PESSOAL!$B$35:$S$45,MONTH($F897)+6,FALSE)*G897*24,0)</f>
        <v>0</v>
      </c>
      <c r="O897" s="89" t="b">
        <f t="shared" si="1"/>
        <v>0</v>
      </c>
      <c r="P897" s="89" t="b">
        <v>0</v>
      </c>
      <c r="Q897" s="89" t="e">
        <v>#N/A</v>
      </c>
    </row>
    <row r="898" hidden="1">
      <c r="A898" s="108"/>
      <c r="B898" s="202"/>
      <c r="C898" s="202" t="str">
        <f>VLOOKUP(M898,'#verificação horas por projeto'!A:B,2,FALSE)</f>
        <v>#N/A</v>
      </c>
      <c r="D898" s="202"/>
      <c r="E898" s="107"/>
      <c r="F898" s="211"/>
      <c r="G898" s="226"/>
      <c r="H898" s="107"/>
      <c r="I898" s="227"/>
      <c r="J898" s="227"/>
      <c r="K898" s="115"/>
      <c r="L898" s="228"/>
      <c r="M898" s="107"/>
      <c r="N898" s="229">
        <f>IF(AND(O898=TRUE,P898=TRUE), VLOOKUP($E898,PESSOAL!$B$35:$S$45,MONTH($F898)+6,FALSE)*G898*24,0)</f>
        <v>0</v>
      </c>
      <c r="O898" s="89" t="b">
        <f t="shared" si="1"/>
        <v>0</v>
      </c>
      <c r="P898" s="89" t="b">
        <v>0</v>
      </c>
      <c r="Q898" s="89" t="e">
        <v>#N/A</v>
      </c>
    </row>
    <row r="899" hidden="1">
      <c r="A899" s="108"/>
      <c r="B899" s="202"/>
      <c r="C899" s="202" t="str">
        <f>VLOOKUP(M899,'#verificação horas por projeto'!A:B,2,FALSE)</f>
        <v>#N/A</v>
      </c>
      <c r="D899" s="202"/>
      <c r="E899" s="107"/>
      <c r="F899" s="211"/>
      <c r="G899" s="226"/>
      <c r="H899" s="107"/>
      <c r="I899" s="227"/>
      <c r="J899" s="227"/>
      <c r="K899" s="115"/>
      <c r="L899" s="228"/>
      <c r="M899" s="107"/>
      <c r="N899" s="229">
        <f>IF(AND(O899=TRUE,P899=TRUE), VLOOKUP($E899,PESSOAL!$B$35:$S$45,MONTH($F899)+6,FALSE)*G899*24,0)</f>
        <v>0</v>
      </c>
      <c r="O899" s="89" t="b">
        <f t="shared" si="1"/>
        <v>0</v>
      </c>
      <c r="P899" s="89" t="b">
        <v>0</v>
      </c>
      <c r="Q899" s="89" t="e">
        <v>#N/A</v>
      </c>
    </row>
    <row r="900" hidden="1">
      <c r="A900" s="108"/>
      <c r="B900" s="202"/>
      <c r="C900" s="202" t="str">
        <f>VLOOKUP(M900,'#verificação horas por projeto'!A:B,2,FALSE)</f>
        <v>#N/A</v>
      </c>
      <c r="D900" s="202"/>
      <c r="E900" s="107"/>
      <c r="F900" s="211"/>
      <c r="G900" s="226"/>
      <c r="H900" s="107"/>
      <c r="I900" s="227"/>
      <c r="J900" s="227"/>
      <c r="K900" s="115"/>
      <c r="L900" s="228"/>
      <c r="M900" s="107"/>
      <c r="N900" s="229">
        <f>IF(AND(O900=TRUE,P900=TRUE), VLOOKUP($E900,PESSOAL!$B$35:$S$45,MONTH($F900)+6,FALSE)*G900*24,0)</f>
        <v>0</v>
      </c>
      <c r="O900" s="89" t="b">
        <f t="shared" si="1"/>
        <v>0</v>
      </c>
      <c r="P900" s="89" t="b">
        <v>0</v>
      </c>
      <c r="Q900" s="89" t="e">
        <v>#N/A</v>
      </c>
    </row>
    <row r="901" hidden="1">
      <c r="A901" s="108"/>
      <c r="B901" s="202"/>
      <c r="C901" s="202" t="str">
        <f>VLOOKUP(M901,'#verificação horas por projeto'!A:B,2,FALSE)</f>
        <v>#N/A</v>
      </c>
      <c r="D901" s="202"/>
      <c r="E901" s="107"/>
      <c r="F901" s="211"/>
      <c r="G901" s="226"/>
      <c r="H901" s="107"/>
      <c r="I901" s="227"/>
      <c r="J901" s="227"/>
      <c r="K901" s="115"/>
      <c r="L901" s="228"/>
      <c r="M901" s="107"/>
      <c r="N901" s="229">
        <f>IF(AND(O901=TRUE,P901=TRUE), VLOOKUP($E901,PESSOAL!$B$35:$S$45,MONTH($F901)+6,FALSE)*G901*24,0)</f>
        <v>0</v>
      </c>
      <c r="O901" s="89" t="b">
        <f t="shared" si="1"/>
        <v>0</v>
      </c>
      <c r="P901" s="89" t="b">
        <v>0</v>
      </c>
      <c r="Q901" s="89" t="e">
        <v>#N/A</v>
      </c>
    </row>
    <row r="902" hidden="1">
      <c r="A902" s="108"/>
      <c r="B902" s="202"/>
      <c r="C902" s="202" t="str">
        <f>VLOOKUP(M902,'#verificação horas por projeto'!A:B,2,FALSE)</f>
        <v>#N/A</v>
      </c>
      <c r="D902" s="202"/>
      <c r="E902" s="107"/>
      <c r="F902" s="211"/>
      <c r="G902" s="226"/>
      <c r="H902" s="107"/>
      <c r="I902" s="227"/>
      <c r="J902" s="227"/>
      <c r="K902" s="115"/>
      <c r="L902" s="228"/>
      <c r="M902" s="107"/>
      <c r="N902" s="229">
        <f>IF(AND(O902=TRUE,P902=TRUE), VLOOKUP($E902,PESSOAL!$B$35:$S$45,MONTH($F902)+6,FALSE)*G902*24,0)</f>
        <v>0</v>
      </c>
      <c r="O902" s="89" t="b">
        <f t="shared" si="1"/>
        <v>0</v>
      </c>
      <c r="P902" s="89" t="b">
        <v>0</v>
      </c>
      <c r="Q902" s="89" t="e">
        <v>#N/A</v>
      </c>
    </row>
    <row r="903" hidden="1">
      <c r="A903" s="108"/>
      <c r="B903" s="202"/>
      <c r="C903" s="202" t="str">
        <f>VLOOKUP(M903,'#verificação horas por projeto'!A:B,2,FALSE)</f>
        <v>#N/A</v>
      </c>
      <c r="D903" s="202"/>
      <c r="E903" s="107"/>
      <c r="F903" s="211"/>
      <c r="G903" s="226"/>
      <c r="H903" s="107"/>
      <c r="I903" s="227"/>
      <c r="J903" s="227"/>
      <c r="K903" s="115"/>
      <c r="L903" s="228"/>
      <c r="M903" s="107"/>
      <c r="N903" s="229">
        <f>IF(AND(O903=TRUE,P903=TRUE), VLOOKUP($E903,PESSOAL!$B$35:$S$45,MONTH($F903)+6,FALSE)*G903*24,0)</f>
        <v>0</v>
      </c>
      <c r="O903" s="89" t="b">
        <f t="shared" si="1"/>
        <v>0</v>
      </c>
      <c r="P903" s="89" t="b">
        <v>0</v>
      </c>
      <c r="Q903" s="89" t="e">
        <v>#N/A</v>
      </c>
    </row>
    <row r="904" hidden="1">
      <c r="A904" s="108"/>
      <c r="B904" s="202"/>
      <c r="C904" s="202" t="str">
        <f>VLOOKUP(M904,'#verificação horas por projeto'!A:B,2,FALSE)</f>
        <v>#N/A</v>
      </c>
      <c r="D904" s="202"/>
      <c r="E904" s="107"/>
      <c r="F904" s="211"/>
      <c r="G904" s="226"/>
      <c r="H904" s="107"/>
      <c r="I904" s="227"/>
      <c r="J904" s="227"/>
      <c r="K904" s="115"/>
      <c r="L904" s="228"/>
      <c r="M904" s="107"/>
      <c r="N904" s="229">
        <f>IF(AND(O904=TRUE,P904=TRUE), VLOOKUP($E904,PESSOAL!$B$35:$S$45,MONTH($F904)+6,FALSE)*G904*24,0)</f>
        <v>0</v>
      </c>
      <c r="O904" s="89" t="b">
        <f t="shared" si="1"/>
        <v>0</v>
      </c>
      <c r="P904" s="89" t="b">
        <v>0</v>
      </c>
      <c r="Q904" s="89" t="e">
        <v>#N/A</v>
      </c>
    </row>
    <row r="905" hidden="1">
      <c r="A905" s="108"/>
      <c r="B905" s="202"/>
      <c r="C905" s="202" t="str">
        <f>VLOOKUP(M905,'#verificação horas por projeto'!A:B,2,FALSE)</f>
        <v>#N/A</v>
      </c>
      <c r="D905" s="202"/>
      <c r="E905" s="107"/>
      <c r="F905" s="211"/>
      <c r="G905" s="226"/>
      <c r="H905" s="107"/>
      <c r="I905" s="227"/>
      <c r="J905" s="227"/>
      <c r="K905" s="115"/>
      <c r="L905" s="228"/>
      <c r="M905" s="107"/>
      <c r="N905" s="229">
        <f>IF(AND(O905=TRUE,P905=TRUE), VLOOKUP($E905,PESSOAL!$B$35:$S$45,MONTH($F905)+6,FALSE)*G905*24,0)</f>
        <v>0</v>
      </c>
      <c r="O905" s="89" t="b">
        <f t="shared" si="1"/>
        <v>0</v>
      </c>
      <c r="P905" s="89" t="b">
        <v>0</v>
      </c>
      <c r="Q905" s="89" t="e">
        <v>#N/A</v>
      </c>
    </row>
    <row r="906" hidden="1">
      <c r="A906" s="108"/>
      <c r="B906" s="202"/>
      <c r="C906" s="202" t="str">
        <f>VLOOKUP(M906,'#verificação horas por projeto'!A:B,2,FALSE)</f>
        <v>#N/A</v>
      </c>
      <c r="D906" s="202"/>
      <c r="E906" s="107"/>
      <c r="F906" s="211"/>
      <c r="G906" s="226"/>
      <c r="H906" s="107"/>
      <c r="I906" s="227"/>
      <c r="J906" s="227"/>
      <c r="K906" s="115"/>
      <c r="L906" s="228"/>
      <c r="M906" s="107"/>
      <c r="N906" s="229">
        <f>IF(AND(O906=TRUE,P906=TRUE), VLOOKUP($E906,PESSOAL!$B$35:$S$45,MONTH($F906)+6,FALSE)*G906*24,0)</f>
        <v>0</v>
      </c>
      <c r="O906" s="89" t="b">
        <f t="shared" si="1"/>
        <v>0</v>
      </c>
      <c r="P906" s="89" t="b">
        <v>0</v>
      </c>
      <c r="Q906" s="89" t="e">
        <v>#N/A</v>
      </c>
    </row>
    <row r="907" hidden="1">
      <c r="A907" s="108"/>
      <c r="B907" s="202"/>
      <c r="C907" s="202" t="str">
        <f>VLOOKUP(M907,'#verificação horas por projeto'!A:B,2,FALSE)</f>
        <v>#N/A</v>
      </c>
      <c r="D907" s="202"/>
      <c r="E907" s="107"/>
      <c r="F907" s="211"/>
      <c r="G907" s="226"/>
      <c r="H907" s="107"/>
      <c r="I907" s="227"/>
      <c r="J907" s="227"/>
      <c r="K907" s="115"/>
      <c r="L907" s="228"/>
      <c r="M907" s="107"/>
      <c r="N907" s="229">
        <f>IF(AND(O907=TRUE,P907=TRUE), VLOOKUP($E907,PESSOAL!$B$35:$S$45,MONTH($F907)+6,FALSE)*G907*24,0)</f>
        <v>0</v>
      </c>
      <c r="O907" s="89" t="b">
        <f t="shared" si="1"/>
        <v>0</v>
      </c>
      <c r="P907" s="89" t="b">
        <v>0</v>
      </c>
      <c r="Q907" s="89" t="e">
        <v>#N/A</v>
      </c>
    </row>
    <row r="908" hidden="1">
      <c r="A908" s="108"/>
      <c r="B908" s="202"/>
      <c r="C908" s="202" t="str">
        <f>VLOOKUP(M908,'#verificação horas por projeto'!A:B,2,FALSE)</f>
        <v>#N/A</v>
      </c>
      <c r="D908" s="202"/>
      <c r="E908" s="107"/>
      <c r="F908" s="211"/>
      <c r="G908" s="226"/>
      <c r="H908" s="107"/>
      <c r="I908" s="227"/>
      <c r="J908" s="227"/>
      <c r="K908" s="115"/>
      <c r="L908" s="228"/>
      <c r="M908" s="107"/>
      <c r="N908" s="229">
        <f>IF(AND(O908=TRUE,P908=TRUE), VLOOKUP($E908,PESSOAL!$B$35:$S$45,MONTH($F908)+6,FALSE)*G908*24,0)</f>
        <v>0</v>
      </c>
      <c r="O908" s="89" t="b">
        <f t="shared" si="1"/>
        <v>0</v>
      </c>
      <c r="P908" s="89" t="b">
        <v>0</v>
      </c>
      <c r="Q908" s="89" t="e">
        <v>#N/A</v>
      </c>
    </row>
    <row r="909" hidden="1">
      <c r="A909" s="108"/>
      <c r="B909" s="202"/>
      <c r="C909" s="202" t="str">
        <f>VLOOKUP(M909,'#verificação horas por projeto'!A:B,2,FALSE)</f>
        <v>#N/A</v>
      </c>
      <c r="D909" s="202"/>
      <c r="E909" s="107"/>
      <c r="F909" s="211"/>
      <c r="G909" s="226"/>
      <c r="H909" s="107"/>
      <c r="I909" s="227"/>
      <c r="J909" s="227"/>
      <c r="K909" s="115"/>
      <c r="L909" s="228"/>
      <c r="M909" s="107"/>
      <c r="N909" s="229">
        <f>IF(AND(O909=TRUE,P909=TRUE), VLOOKUP($E909,PESSOAL!$B$35:$S$45,MONTH($F909)+6,FALSE)*G909*24,0)</f>
        <v>0</v>
      </c>
      <c r="O909" s="89" t="b">
        <f t="shared" si="1"/>
        <v>0</v>
      </c>
      <c r="P909" s="89" t="b">
        <v>0</v>
      </c>
      <c r="Q909" s="89" t="e">
        <v>#N/A</v>
      </c>
    </row>
    <row r="910" hidden="1">
      <c r="A910" s="108"/>
      <c r="B910" s="202"/>
      <c r="C910" s="202" t="str">
        <f>VLOOKUP(M910,'#verificação horas por projeto'!A:B,2,FALSE)</f>
        <v>#N/A</v>
      </c>
      <c r="D910" s="202"/>
      <c r="E910" s="107"/>
      <c r="F910" s="211"/>
      <c r="G910" s="226"/>
      <c r="H910" s="107"/>
      <c r="I910" s="227"/>
      <c r="J910" s="227"/>
      <c r="K910" s="115"/>
      <c r="L910" s="228"/>
      <c r="M910" s="107"/>
      <c r="N910" s="229">
        <f>IF(AND(O910=TRUE,P910=TRUE), VLOOKUP($E910,PESSOAL!$B$35:$S$45,MONTH($F910)+6,FALSE)*G910*24,0)</f>
        <v>0</v>
      </c>
      <c r="O910" s="89" t="b">
        <f t="shared" si="1"/>
        <v>0</v>
      </c>
      <c r="P910" s="89" t="b">
        <v>0</v>
      </c>
      <c r="Q910" s="89" t="e">
        <v>#N/A</v>
      </c>
    </row>
    <row r="911" hidden="1">
      <c r="A911" s="108"/>
      <c r="B911" s="202"/>
      <c r="C911" s="202" t="str">
        <f>VLOOKUP(M911,'#verificação horas por projeto'!A:B,2,FALSE)</f>
        <v>#N/A</v>
      </c>
      <c r="D911" s="202"/>
      <c r="E911" s="107"/>
      <c r="F911" s="211"/>
      <c r="G911" s="226"/>
      <c r="H911" s="107"/>
      <c r="I911" s="227"/>
      <c r="J911" s="227"/>
      <c r="K911" s="115"/>
      <c r="L911" s="228"/>
      <c r="M911" s="107"/>
      <c r="N911" s="229">
        <f>IF(AND(O911=TRUE,P911=TRUE), VLOOKUP($E911,PESSOAL!$B$35:$S$45,MONTH($F911)+6,FALSE)*G911*24,0)</f>
        <v>0</v>
      </c>
      <c r="O911" s="89" t="b">
        <f t="shared" si="1"/>
        <v>0</v>
      </c>
      <c r="P911" s="89" t="b">
        <v>0</v>
      </c>
      <c r="Q911" s="89" t="e">
        <v>#N/A</v>
      </c>
    </row>
    <row r="912" hidden="1">
      <c r="A912" s="108"/>
      <c r="B912" s="202"/>
      <c r="C912" s="202" t="str">
        <f>VLOOKUP(M912,'#verificação horas por projeto'!A:B,2,FALSE)</f>
        <v>#N/A</v>
      </c>
      <c r="D912" s="202"/>
      <c r="E912" s="107"/>
      <c r="F912" s="211"/>
      <c r="G912" s="226"/>
      <c r="H912" s="107"/>
      <c r="I912" s="227"/>
      <c r="J912" s="227"/>
      <c r="K912" s="115"/>
      <c r="L912" s="228"/>
      <c r="M912" s="107"/>
      <c r="N912" s="229">
        <f>IF(AND(O912=TRUE,P912=TRUE), VLOOKUP($E912,PESSOAL!$B$35:$S$45,MONTH($F912)+6,FALSE)*G912*24,0)</f>
        <v>0</v>
      </c>
      <c r="O912" s="89" t="b">
        <f t="shared" si="1"/>
        <v>0</v>
      </c>
      <c r="P912" s="89" t="b">
        <v>0</v>
      </c>
      <c r="Q912" s="89" t="e">
        <v>#N/A</v>
      </c>
    </row>
    <row r="913" hidden="1">
      <c r="A913" s="108"/>
      <c r="B913" s="202"/>
      <c r="C913" s="202" t="str">
        <f>VLOOKUP(M913,'#verificação horas por projeto'!A:B,2,FALSE)</f>
        <v>#N/A</v>
      </c>
      <c r="D913" s="202"/>
      <c r="E913" s="107"/>
      <c r="F913" s="211"/>
      <c r="G913" s="226"/>
      <c r="H913" s="107"/>
      <c r="I913" s="227"/>
      <c r="J913" s="227"/>
      <c r="K913" s="115"/>
      <c r="L913" s="228"/>
      <c r="M913" s="107"/>
      <c r="N913" s="229">
        <f>IF(AND(O913=TRUE,P913=TRUE), VLOOKUP($E913,PESSOAL!$B$35:$S$45,MONTH($F913)+6,FALSE)*G913*24,0)</f>
        <v>0</v>
      </c>
      <c r="O913" s="89" t="b">
        <f t="shared" si="1"/>
        <v>0</v>
      </c>
      <c r="P913" s="89" t="b">
        <v>0</v>
      </c>
      <c r="Q913" s="89" t="e">
        <v>#N/A</v>
      </c>
    </row>
    <row r="914" hidden="1">
      <c r="A914" s="108"/>
      <c r="B914" s="202"/>
      <c r="C914" s="202" t="str">
        <f>VLOOKUP(M914,'#verificação horas por projeto'!A:B,2,FALSE)</f>
        <v>#N/A</v>
      </c>
      <c r="D914" s="202"/>
      <c r="E914" s="107"/>
      <c r="F914" s="211"/>
      <c r="G914" s="226"/>
      <c r="H914" s="107"/>
      <c r="I914" s="227"/>
      <c r="J914" s="227"/>
      <c r="K914" s="115"/>
      <c r="L914" s="228"/>
      <c r="M914" s="107"/>
      <c r="N914" s="229">
        <f>IF(AND(O914=TRUE,P914=TRUE), VLOOKUP($E914,PESSOAL!$B$35:$S$45,MONTH($F914)+6,FALSE)*G914*24,0)</f>
        <v>0</v>
      </c>
      <c r="O914" s="89" t="b">
        <f t="shared" si="1"/>
        <v>0</v>
      </c>
      <c r="P914" s="89" t="b">
        <v>0</v>
      </c>
      <c r="Q914" s="89" t="e">
        <v>#N/A</v>
      </c>
    </row>
    <row r="915" hidden="1">
      <c r="A915" s="108"/>
      <c r="B915" s="202"/>
      <c r="C915" s="202" t="str">
        <f>VLOOKUP(M915,'#verificação horas por projeto'!A:B,2,FALSE)</f>
        <v>#N/A</v>
      </c>
      <c r="D915" s="202"/>
      <c r="E915" s="107"/>
      <c r="F915" s="211"/>
      <c r="G915" s="226"/>
      <c r="H915" s="107"/>
      <c r="I915" s="227"/>
      <c r="J915" s="227"/>
      <c r="K915" s="115"/>
      <c r="L915" s="228"/>
      <c r="M915" s="107"/>
      <c r="N915" s="229">
        <f>IF(AND(O915=TRUE,P915=TRUE), VLOOKUP($E915,PESSOAL!$B$35:$S$45,MONTH($F915)+6,FALSE)*G915*24,0)</f>
        <v>0</v>
      </c>
      <c r="O915" s="89" t="b">
        <f t="shared" si="1"/>
        <v>0</v>
      </c>
      <c r="P915" s="89" t="b">
        <v>0</v>
      </c>
      <c r="Q915" s="89" t="e">
        <v>#N/A</v>
      </c>
    </row>
    <row r="916" hidden="1">
      <c r="A916" s="108"/>
      <c r="B916" s="202"/>
      <c r="C916" s="202" t="str">
        <f>VLOOKUP(M916,'#verificação horas por projeto'!A:B,2,FALSE)</f>
        <v>#N/A</v>
      </c>
      <c r="D916" s="202"/>
      <c r="E916" s="107"/>
      <c r="F916" s="211"/>
      <c r="G916" s="226"/>
      <c r="H916" s="107"/>
      <c r="I916" s="227"/>
      <c r="J916" s="227"/>
      <c r="K916" s="115"/>
      <c r="L916" s="228"/>
      <c r="M916" s="107"/>
      <c r="N916" s="229">
        <f>IF(AND(O916=TRUE,P916=TRUE), VLOOKUP($E916,PESSOAL!$B$35:$S$45,MONTH($F916)+6,FALSE)*G916*24,0)</f>
        <v>0</v>
      </c>
      <c r="O916" s="89" t="b">
        <f t="shared" si="1"/>
        <v>0</v>
      </c>
      <c r="P916" s="89" t="b">
        <v>0</v>
      </c>
      <c r="Q916" s="89" t="e">
        <v>#N/A</v>
      </c>
    </row>
    <row r="917" hidden="1">
      <c r="A917" s="108"/>
      <c r="B917" s="202"/>
      <c r="C917" s="202" t="str">
        <f>VLOOKUP(M917,'#verificação horas por projeto'!A:B,2,FALSE)</f>
        <v>#N/A</v>
      </c>
      <c r="D917" s="202"/>
      <c r="E917" s="107"/>
      <c r="F917" s="211"/>
      <c r="G917" s="226"/>
      <c r="H917" s="107"/>
      <c r="I917" s="227"/>
      <c r="J917" s="227"/>
      <c r="K917" s="115"/>
      <c r="L917" s="228"/>
      <c r="M917" s="107"/>
      <c r="N917" s="229">
        <f>IF(AND(O917=TRUE,P917=TRUE), VLOOKUP($E917,PESSOAL!$B$35:$S$45,MONTH($F917)+6,FALSE)*G917*24,0)</f>
        <v>0</v>
      </c>
      <c r="O917" s="89" t="b">
        <f t="shared" si="1"/>
        <v>0</v>
      </c>
      <c r="P917" s="89" t="b">
        <v>0</v>
      </c>
      <c r="Q917" s="89" t="e">
        <v>#N/A</v>
      </c>
    </row>
    <row r="918" hidden="1">
      <c r="A918" s="108"/>
      <c r="B918" s="202"/>
      <c r="C918" s="202" t="str">
        <f>VLOOKUP(M918,'#verificação horas por projeto'!A:B,2,FALSE)</f>
        <v>#N/A</v>
      </c>
      <c r="D918" s="202"/>
      <c r="E918" s="107"/>
      <c r="F918" s="211"/>
      <c r="G918" s="226"/>
      <c r="H918" s="107"/>
      <c r="I918" s="227"/>
      <c r="J918" s="227"/>
      <c r="K918" s="115"/>
      <c r="L918" s="228"/>
      <c r="M918" s="107"/>
      <c r="N918" s="229">
        <f>IF(AND(O918=TRUE,P918=TRUE), VLOOKUP($E918,PESSOAL!$B$35:$S$45,MONTH($F918)+6,FALSE)*G918*24,0)</f>
        <v>0</v>
      </c>
      <c r="O918" s="89" t="b">
        <f t="shared" si="1"/>
        <v>0</v>
      </c>
      <c r="P918" s="89" t="b">
        <v>0</v>
      </c>
      <c r="Q918" s="89" t="e">
        <v>#N/A</v>
      </c>
    </row>
    <row r="919" hidden="1">
      <c r="A919" s="108"/>
      <c r="B919" s="202"/>
      <c r="C919" s="202" t="str">
        <f>VLOOKUP(M919,'#verificação horas por projeto'!A:B,2,FALSE)</f>
        <v>#N/A</v>
      </c>
      <c r="D919" s="202"/>
      <c r="E919" s="107"/>
      <c r="F919" s="211"/>
      <c r="G919" s="226"/>
      <c r="H919" s="107"/>
      <c r="I919" s="227"/>
      <c r="J919" s="227"/>
      <c r="K919" s="115"/>
      <c r="L919" s="228"/>
      <c r="M919" s="107"/>
      <c r="N919" s="229">
        <f>IF(AND(O919=TRUE,P919=TRUE), VLOOKUP($E919,PESSOAL!$B$35:$S$45,MONTH($F919)+6,FALSE)*G919*24,0)</f>
        <v>0</v>
      </c>
      <c r="O919" s="89" t="b">
        <f t="shared" si="1"/>
        <v>0</v>
      </c>
      <c r="P919" s="89" t="b">
        <v>0</v>
      </c>
      <c r="Q919" s="89" t="e">
        <v>#N/A</v>
      </c>
    </row>
    <row r="920" hidden="1">
      <c r="A920" s="108"/>
      <c r="B920" s="202"/>
      <c r="C920" s="202" t="str">
        <f>VLOOKUP(M920,'#verificação horas por projeto'!A:B,2,FALSE)</f>
        <v>#N/A</v>
      </c>
      <c r="D920" s="202"/>
      <c r="E920" s="107"/>
      <c r="F920" s="211"/>
      <c r="G920" s="226"/>
      <c r="H920" s="107"/>
      <c r="I920" s="227"/>
      <c r="J920" s="227"/>
      <c r="K920" s="115"/>
      <c r="L920" s="228"/>
      <c r="M920" s="107"/>
      <c r="N920" s="229">
        <f>IF(AND(O920=TRUE,P920=TRUE), VLOOKUP($E920,PESSOAL!$B$35:$S$45,MONTH($F920)+6,FALSE)*G920*24,0)</f>
        <v>0</v>
      </c>
      <c r="O920" s="89" t="b">
        <f t="shared" si="1"/>
        <v>0</v>
      </c>
      <c r="P920" s="89" t="b">
        <v>0</v>
      </c>
      <c r="Q920" s="89" t="e">
        <v>#N/A</v>
      </c>
    </row>
    <row r="921" hidden="1">
      <c r="A921" s="108"/>
      <c r="B921" s="202"/>
      <c r="C921" s="202" t="str">
        <f>VLOOKUP(M921,'#verificação horas por projeto'!A:B,2,FALSE)</f>
        <v>#N/A</v>
      </c>
      <c r="D921" s="202"/>
      <c r="E921" s="107"/>
      <c r="F921" s="211"/>
      <c r="G921" s="226"/>
      <c r="H921" s="107"/>
      <c r="I921" s="227"/>
      <c r="J921" s="227"/>
      <c r="K921" s="115"/>
      <c r="L921" s="228"/>
      <c r="M921" s="107"/>
      <c r="N921" s="229">
        <f>IF(AND(O921=TRUE,P921=TRUE), VLOOKUP($E921,PESSOAL!$B$35:$S$45,MONTH($F921)+6,FALSE)*G921*24,0)</f>
        <v>0</v>
      </c>
      <c r="O921" s="89" t="b">
        <f t="shared" si="1"/>
        <v>0</v>
      </c>
      <c r="P921" s="89" t="b">
        <v>0</v>
      </c>
      <c r="Q921" s="89" t="e">
        <v>#N/A</v>
      </c>
    </row>
    <row r="922" hidden="1">
      <c r="A922" s="108"/>
      <c r="B922" s="202"/>
      <c r="C922" s="202" t="str">
        <f>VLOOKUP(M922,'#verificação horas por projeto'!A:B,2,FALSE)</f>
        <v>#N/A</v>
      </c>
      <c r="D922" s="202"/>
      <c r="E922" s="107"/>
      <c r="F922" s="211"/>
      <c r="G922" s="226"/>
      <c r="H922" s="107"/>
      <c r="I922" s="227"/>
      <c r="J922" s="227"/>
      <c r="K922" s="115"/>
      <c r="L922" s="228"/>
      <c r="M922" s="107"/>
      <c r="N922" s="229">
        <f>IF(AND(O922=TRUE,P922=TRUE), VLOOKUP($E922,PESSOAL!$B$35:$S$45,MONTH($F922)+6,FALSE)*G922*24,0)</f>
        <v>0</v>
      </c>
      <c r="O922" s="89" t="b">
        <f t="shared" si="1"/>
        <v>0</v>
      </c>
      <c r="P922" s="89" t="b">
        <v>0</v>
      </c>
      <c r="Q922" s="89" t="e">
        <v>#N/A</v>
      </c>
    </row>
    <row r="923" hidden="1">
      <c r="A923" s="108"/>
      <c r="B923" s="202"/>
      <c r="C923" s="202" t="str">
        <f>VLOOKUP(M923,'#verificação horas por projeto'!A:B,2,FALSE)</f>
        <v>#N/A</v>
      </c>
      <c r="D923" s="202"/>
      <c r="E923" s="107"/>
      <c r="F923" s="211"/>
      <c r="G923" s="226"/>
      <c r="H923" s="107"/>
      <c r="I923" s="227"/>
      <c r="J923" s="227"/>
      <c r="K923" s="115"/>
      <c r="L923" s="228"/>
      <c r="M923" s="107"/>
      <c r="N923" s="229">
        <f>IF(AND(O923=TRUE,P923=TRUE), VLOOKUP($E923,PESSOAL!$B$35:$S$45,MONTH($F923)+6,FALSE)*G923*24,0)</f>
        <v>0</v>
      </c>
      <c r="O923" s="89" t="b">
        <f t="shared" si="1"/>
        <v>0</v>
      </c>
      <c r="P923" s="89" t="b">
        <v>0</v>
      </c>
      <c r="Q923" s="89" t="e">
        <v>#N/A</v>
      </c>
    </row>
    <row r="924" hidden="1">
      <c r="A924" s="108"/>
      <c r="B924" s="202"/>
      <c r="C924" s="202" t="str">
        <f>VLOOKUP(M924,'#verificação horas por projeto'!A:B,2,FALSE)</f>
        <v>#N/A</v>
      </c>
      <c r="D924" s="202"/>
      <c r="E924" s="107"/>
      <c r="F924" s="211"/>
      <c r="G924" s="226"/>
      <c r="H924" s="107"/>
      <c r="I924" s="227"/>
      <c r="J924" s="227"/>
      <c r="K924" s="115"/>
      <c r="L924" s="228"/>
      <c r="M924" s="107"/>
      <c r="N924" s="229">
        <f>IF(AND(O924=TRUE,P924=TRUE), VLOOKUP($E924,PESSOAL!$B$35:$S$45,MONTH($F924)+6,FALSE)*G924*24,0)</f>
        <v>0</v>
      </c>
      <c r="O924" s="89" t="b">
        <f t="shared" si="1"/>
        <v>0</v>
      </c>
      <c r="P924" s="89" t="b">
        <v>0</v>
      </c>
      <c r="Q924" s="89" t="e">
        <v>#N/A</v>
      </c>
    </row>
    <row r="925" hidden="1">
      <c r="A925" s="108"/>
      <c r="B925" s="202"/>
      <c r="C925" s="202" t="str">
        <f>VLOOKUP(M925,'#verificação horas por projeto'!A:B,2,FALSE)</f>
        <v>#N/A</v>
      </c>
      <c r="D925" s="202"/>
      <c r="E925" s="107"/>
      <c r="F925" s="211"/>
      <c r="G925" s="226"/>
      <c r="H925" s="107"/>
      <c r="I925" s="227"/>
      <c r="J925" s="227"/>
      <c r="K925" s="115"/>
      <c r="L925" s="228"/>
      <c r="M925" s="107"/>
      <c r="N925" s="229">
        <f>IF(AND(O925=TRUE,P925=TRUE), VLOOKUP($E925,PESSOAL!$B$35:$S$45,MONTH($F925)+6,FALSE)*G925*24,0)</f>
        <v>0</v>
      </c>
      <c r="O925" s="89" t="b">
        <f t="shared" si="1"/>
        <v>0</v>
      </c>
      <c r="P925" s="89" t="b">
        <v>0</v>
      </c>
      <c r="Q925" s="89" t="e">
        <v>#N/A</v>
      </c>
    </row>
    <row r="926" hidden="1">
      <c r="A926" s="108"/>
      <c r="B926" s="202"/>
      <c r="C926" s="202" t="str">
        <f>VLOOKUP(M926,'#verificação horas por projeto'!A:B,2,FALSE)</f>
        <v>#N/A</v>
      </c>
      <c r="D926" s="202"/>
      <c r="E926" s="107"/>
      <c r="F926" s="211"/>
      <c r="G926" s="226"/>
      <c r="H926" s="107"/>
      <c r="I926" s="227"/>
      <c r="J926" s="227"/>
      <c r="K926" s="115"/>
      <c r="L926" s="228"/>
      <c r="M926" s="107"/>
      <c r="N926" s="229">
        <f>IF(AND(O926=TRUE,P926=TRUE), VLOOKUP($E926,PESSOAL!$B$35:$S$45,MONTH($F926)+6,FALSE)*G926*24,0)</f>
        <v>0</v>
      </c>
      <c r="O926" s="89" t="b">
        <f t="shared" si="1"/>
        <v>0</v>
      </c>
      <c r="P926" s="89" t="b">
        <v>0</v>
      </c>
      <c r="Q926" s="89" t="e">
        <v>#N/A</v>
      </c>
    </row>
    <row r="927" hidden="1">
      <c r="A927" s="108"/>
      <c r="B927" s="202"/>
      <c r="C927" s="202" t="str">
        <f>VLOOKUP(M927,'#verificação horas por projeto'!A:B,2,FALSE)</f>
        <v>#N/A</v>
      </c>
      <c r="D927" s="202"/>
      <c r="E927" s="107"/>
      <c r="F927" s="211"/>
      <c r="G927" s="226"/>
      <c r="H927" s="107"/>
      <c r="I927" s="227"/>
      <c r="J927" s="227"/>
      <c r="K927" s="115"/>
      <c r="L927" s="228"/>
      <c r="M927" s="107"/>
      <c r="N927" s="229">
        <f>IF(AND(O927=TRUE,P927=TRUE), VLOOKUP($E927,PESSOAL!$B$35:$S$45,MONTH($F927)+6,FALSE)*G927*24,0)</f>
        <v>0</v>
      </c>
      <c r="O927" s="89" t="b">
        <f t="shared" si="1"/>
        <v>0</v>
      </c>
      <c r="P927" s="89" t="b">
        <v>0</v>
      </c>
      <c r="Q927" s="89" t="e">
        <v>#N/A</v>
      </c>
    </row>
    <row r="928" hidden="1">
      <c r="A928" s="108"/>
      <c r="B928" s="202"/>
      <c r="C928" s="202" t="str">
        <f>VLOOKUP(M928,'#verificação horas por projeto'!A:B,2,FALSE)</f>
        <v>#N/A</v>
      </c>
      <c r="D928" s="202"/>
      <c r="E928" s="107"/>
      <c r="F928" s="211"/>
      <c r="G928" s="226"/>
      <c r="H928" s="107"/>
      <c r="I928" s="227"/>
      <c r="J928" s="227"/>
      <c r="K928" s="115"/>
      <c r="L928" s="228"/>
      <c r="M928" s="107"/>
      <c r="N928" s="229">
        <f>IF(AND(O928=TRUE,P928=TRUE), VLOOKUP($E928,PESSOAL!$B$35:$S$45,MONTH($F928)+6,FALSE)*G928*24,0)</f>
        <v>0</v>
      </c>
      <c r="O928" s="89" t="b">
        <f t="shared" si="1"/>
        <v>0</v>
      </c>
      <c r="P928" s="89" t="b">
        <v>0</v>
      </c>
      <c r="Q928" s="89" t="e">
        <v>#N/A</v>
      </c>
    </row>
    <row r="929" hidden="1">
      <c r="A929" s="108"/>
      <c r="B929" s="202"/>
      <c r="C929" s="202" t="str">
        <f>VLOOKUP(M929,'#verificação horas por projeto'!A:B,2,FALSE)</f>
        <v>#N/A</v>
      </c>
      <c r="D929" s="202"/>
      <c r="E929" s="107"/>
      <c r="F929" s="211"/>
      <c r="G929" s="226"/>
      <c r="H929" s="107"/>
      <c r="I929" s="227"/>
      <c r="J929" s="227"/>
      <c r="K929" s="115"/>
      <c r="L929" s="228"/>
      <c r="M929" s="107"/>
      <c r="N929" s="229">
        <f>IF(AND(O929=TRUE,P929=TRUE), VLOOKUP($E929,PESSOAL!$B$35:$S$45,MONTH($F929)+6,FALSE)*G929*24,0)</f>
        <v>0</v>
      </c>
      <c r="O929" s="89" t="b">
        <f t="shared" si="1"/>
        <v>0</v>
      </c>
      <c r="P929" s="89" t="b">
        <v>0</v>
      </c>
      <c r="Q929" s="89" t="e">
        <v>#N/A</v>
      </c>
    </row>
    <row r="930" hidden="1">
      <c r="A930" s="108"/>
      <c r="B930" s="202"/>
      <c r="C930" s="202" t="str">
        <f>VLOOKUP(M930,'#verificação horas por projeto'!A:B,2,FALSE)</f>
        <v>#N/A</v>
      </c>
      <c r="D930" s="202"/>
      <c r="E930" s="107"/>
      <c r="F930" s="211"/>
      <c r="G930" s="226"/>
      <c r="H930" s="107"/>
      <c r="I930" s="227"/>
      <c r="J930" s="227"/>
      <c r="K930" s="115"/>
      <c r="L930" s="228"/>
      <c r="M930" s="107"/>
      <c r="N930" s="229">
        <f>IF(AND(O930=TRUE,P930=TRUE), VLOOKUP($E930,PESSOAL!$B$35:$S$45,MONTH($F930)+6,FALSE)*G930*24,0)</f>
        <v>0</v>
      </c>
      <c r="O930" s="89" t="b">
        <f t="shared" si="1"/>
        <v>0</v>
      </c>
      <c r="P930" s="89" t="b">
        <v>0</v>
      </c>
      <c r="Q930" s="89" t="e">
        <v>#N/A</v>
      </c>
    </row>
    <row r="931" hidden="1">
      <c r="A931" s="108"/>
      <c r="B931" s="202"/>
      <c r="C931" s="202" t="str">
        <f>VLOOKUP(M931,'#verificação horas por projeto'!A:B,2,FALSE)</f>
        <v>#N/A</v>
      </c>
      <c r="D931" s="202"/>
      <c r="E931" s="107"/>
      <c r="F931" s="211"/>
      <c r="G931" s="226"/>
      <c r="H931" s="107"/>
      <c r="I931" s="227"/>
      <c r="J931" s="227"/>
      <c r="K931" s="115"/>
      <c r="L931" s="228"/>
      <c r="M931" s="107"/>
      <c r="N931" s="229">
        <f>IF(AND(O931=TRUE,P931=TRUE), VLOOKUP($E931,PESSOAL!$B$35:$S$45,MONTH($F931)+6,FALSE)*G931*24,0)</f>
        <v>0</v>
      </c>
      <c r="O931" s="89" t="b">
        <f t="shared" si="1"/>
        <v>0</v>
      </c>
      <c r="P931" s="89" t="b">
        <v>0</v>
      </c>
      <c r="Q931" s="89" t="e">
        <v>#N/A</v>
      </c>
    </row>
    <row r="932" hidden="1">
      <c r="A932" s="108"/>
      <c r="B932" s="202"/>
      <c r="C932" s="202" t="str">
        <f>VLOOKUP(M932,'#verificação horas por projeto'!A:B,2,FALSE)</f>
        <v>#N/A</v>
      </c>
      <c r="D932" s="202"/>
      <c r="E932" s="107"/>
      <c r="F932" s="211"/>
      <c r="G932" s="226"/>
      <c r="H932" s="107"/>
      <c r="I932" s="227"/>
      <c r="J932" s="227"/>
      <c r="K932" s="115"/>
      <c r="L932" s="228"/>
      <c r="M932" s="107"/>
      <c r="N932" s="229">
        <f>IF(AND(O932=TRUE,P932=TRUE), VLOOKUP($E932,PESSOAL!$B$35:$S$45,MONTH($F932)+6,FALSE)*G932*24,0)</f>
        <v>0</v>
      </c>
      <c r="O932" s="89" t="b">
        <f t="shared" si="1"/>
        <v>0</v>
      </c>
      <c r="P932" s="89" t="b">
        <v>0</v>
      </c>
      <c r="Q932" s="89" t="e">
        <v>#N/A</v>
      </c>
    </row>
    <row r="933" hidden="1">
      <c r="A933" s="108"/>
      <c r="B933" s="202"/>
      <c r="C933" s="202" t="str">
        <f>VLOOKUP(M933,'#verificação horas por projeto'!A:B,2,FALSE)</f>
        <v>#N/A</v>
      </c>
      <c r="D933" s="202"/>
      <c r="E933" s="107"/>
      <c r="F933" s="211"/>
      <c r="G933" s="226"/>
      <c r="H933" s="107"/>
      <c r="I933" s="227"/>
      <c r="J933" s="227"/>
      <c r="K933" s="115"/>
      <c r="L933" s="228"/>
      <c r="M933" s="107"/>
      <c r="N933" s="229">
        <f>IF(AND(O933=TRUE,P933=TRUE), VLOOKUP($E933,PESSOAL!$B$35:$S$45,MONTH($F933)+6,FALSE)*G933*24,0)</f>
        <v>0</v>
      </c>
      <c r="O933" s="89" t="b">
        <f t="shared" si="1"/>
        <v>0</v>
      </c>
      <c r="P933" s="89" t="b">
        <v>0</v>
      </c>
      <c r="Q933" s="89" t="e">
        <v>#N/A</v>
      </c>
    </row>
    <row r="934" hidden="1">
      <c r="A934" s="108"/>
      <c r="B934" s="202"/>
      <c r="C934" s="202" t="str">
        <f>VLOOKUP(M934,'#verificação horas por projeto'!A:B,2,FALSE)</f>
        <v>#N/A</v>
      </c>
      <c r="D934" s="202"/>
      <c r="E934" s="107"/>
      <c r="F934" s="211"/>
      <c r="G934" s="226"/>
      <c r="H934" s="107"/>
      <c r="I934" s="227"/>
      <c r="J934" s="227"/>
      <c r="K934" s="115"/>
      <c r="L934" s="228"/>
      <c r="M934" s="107"/>
      <c r="N934" s="229">
        <f>IF(AND(O934=TRUE,P934=TRUE), VLOOKUP($E934,PESSOAL!$B$35:$S$45,MONTH($F934)+6,FALSE)*G934*24,0)</f>
        <v>0</v>
      </c>
      <c r="O934" s="89" t="b">
        <f t="shared" si="1"/>
        <v>0</v>
      </c>
      <c r="P934" s="89" t="b">
        <v>0</v>
      </c>
      <c r="Q934" s="89" t="e">
        <v>#N/A</v>
      </c>
    </row>
    <row r="935" hidden="1">
      <c r="A935" s="108"/>
      <c r="B935" s="202"/>
      <c r="C935" s="202" t="str">
        <f>VLOOKUP(M935,'#verificação horas por projeto'!A:B,2,FALSE)</f>
        <v>#N/A</v>
      </c>
      <c r="D935" s="202"/>
      <c r="E935" s="107"/>
      <c r="F935" s="211"/>
      <c r="G935" s="226"/>
      <c r="H935" s="107"/>
      <c r="I935" s="227"/>
      <c r="J935" s="227"/>
      <c r="K935" s="115"/>
      <c r="L935" s="228"/>
      <c r="M935" s="107"/>
      <c r="N935" s="229">
        <f>IF(AND(O935=TRUE,P935=TRUE), VLOOKUP($E935,PESSOAL!$B$35:$S$45,MONTH($F935)+6,FALSE)*G935*24,0)</f>
        <v>0</v>
      </c>
      <c r="O935" s="89" t="b">
        <f t="shared" si="1"/>
        <v>0</v>
      </c>
      <c r="P935" s="89" t="b">
        <v>0</v>
      </c>
      <c r="Q935" s="89" t="e">
        <v>#N/A</v>
      </c>
    </row>
    <row r="936" hidden="1">
      <c r="A936" s="108"/>
      <c r="B936" s="202"/>
      <c r="C936" s="202" t="str">
        <f>VLOOKUP(M936,'#verificação horas por projeto'!A:B,2,FALSE)</f>
        <v>#N/A</v>
      </c>
      <c r="D936" s="202"/>
      <c r="E936" s="107"/>
      <c r="F936" s="211"/>
      <c r="G936" s="226"/>
      <c r="H936" s="107"/>
      <c r="I936" s="227"/>
      <c r="J936" s="227"/>
      <c r="K936" s="115"/>
      <c r="L936" s="228"/>
      <c r="M936" s="107"/>
      <c r="N936" s="229">
        <f>IF(AND(O936=TRUE,P936=TRUE), VLOOKUP($E936,PESSOAL!$B$35:$S$45,MONTH($F936)+6,FALSE)*G936*24,0)</f>
        <v>0</v>
      </c>
      <c r="O936" s="89" t="b">
        <f t="shared" si="1"/>
        <v>0</v>
      </c>
      <c r="P936" s="89" t="b">
        <v>0</v>
      </c>
      <c r="Q936" s="89" t="e">
        <v>#N/A</v>
      </c>
    </row>
    <row r="937" hidden="1">
      <c r="A937" s="108"/>
      <c r="B937" s="202"/>
      <c r="C937" s="202" t="str">
        <f>VLOOKUP(M937,'#verificação horas por projeto'!A:B,2,FALSE)</f>
        <v>#N/A</v>
      </c>
      <c r="D937" s="202"/>
      <c r="E937" s="107"/>
      <c r="F937" s="211"/>
      <c r="G937" s="226"/>
      <c r="H937" s="107"/>
      <c r="I937" s="227"/>
      <c r="J937" s="227"/>
      <c r="K937" s="115"/>
      <c r="L937" s="228"/>
      <c r="M937" s="107"/>
      <c r="N937" s="229">
        <f>IF(AND(O937=TRUE,P937=TRUE), VLOOKUP($E937,PESSOAL!$B$35:$S$45,MONTH($F937)+6,FALSE)*G937*24,0)</f>
        <v>0</v>
      </c>
      <c r="O937" s="89" t="b">
        <f t="shared" si="1"/>
        <v>0</v>
      </c>
      <c r="P937" s="89" t="b">
        <v>0</v>
      </c>
      <c r="Q937" s="89" t="e">
        <v>#N/A</v>
      </c>
    </row>
    <row r="938" hidden="1">
      <c r="A938" s="108"/>
      <c r="B938" s="202"/>
      <c r="C938" s="202" t="str">
        <f>VLOOKUP(M938,'#verificação horas por projeto'!A:B,2,FALSE)</f>
        <v>#N/A</v>
      </c>
      <c r="D938" s="202"/>
      <c r="E938" s="107"/>
      <c r="F938" s="211"/>
      <c r="G938" s="226"/>
      <c r="H938" s="107"/>
      <c r="I938" s="227"/>
      <c r="J938" s="227"/>
      <c r="K938" s="115"/>
      <c r="L938" s="228"/>
      <c r="M938" s="107"/>
      <c r="N938" s="229">
        <f>IF(AND(O938=TRUE,P938=TRUE), VLOOKUP($E938,PESSOAL!$B$35:$S$45,MONTH($F938)+6,FALSE)*G938*24,0)</f>
        <v>0</v>
      </c>
      <c r="O938" s="89" t="b">
        <f t="shared" si="1"/>
        <v>0</v>
      </c>
      <c r="P938" s="89" t="b">
        <v>0</v>
      </c>
      <c r="Q938" s="89" t="e">
        <v>#N/A</v>
      </c>
    </row>
    <row r="939" hidden="1">
      <c r="A939" s="108"/>
      <c r="B939" s="202"/>
      <c r="C939" s="202" t="str">
        <f>VLOOKUP(M939,'#verificação horas por projeto'!A:B,2,FALSE)</f>
        <v>#N/A</v>
      </c>
      <c r="D939" s="202"/>
      <c r="E939" s="107"/>
      <c r="F939" s="211"/>
      <c r="G939" s="226"/>
      <c r="H939" s="107"/>
      <c r="I939" s="227"/>
      <c r="J939" s="227"/>
      <c r="K939" s="115"/>
      <c r="L939" s="228"/>
      <c r="M939" s="107"/>
      <c r="N939" s="229">
        <f>IF(AND(O939=TRUE,P939=TRUE), VLOOKUP($E939,PESSOAL!$B$35:$S$45,MONTH($F939)+6,FALSE)*G939*24,0)</f>
        <v>0</v>
      </c>
      <c r="O939" s="89" t="b">
        <f t="shared" si="1"/>
        <v>0</v>
      </c>
      <c r="P939" s="89" t="b">
        <v>0</v>
      </c>
      <c r="Q939" s="89" t="e">
        <v>#N/A</v>
      </c>
    </row>
    <row r="940" hidden="1">
      <c r="A940" s="108"/>
      <c r="B940" s="202"/>
      <c r="C940" s="202" t="str">
        <f>VLOOKUP(M940,'#verificação horas por projeto'!A:B,2,FALSE)</f>
        <v>#N/A</v>
      </c>
      <c r="D940" s="202"/>
      <c r="E940" s="107"/>
      <c r="F940" s="211"/>
      <c r="G940" s="226"/>
      <c r="H940" s="107"/>
      <c r="I940" s="227"/>
      <c r="J940" s="227"/>
      <c r="K940" s="115"/>
      <c r="L940" s="228"/>
      <c r="M940" s="107"/>
      <c r="N940" s="229">
        <f>IF(AND(O940=TRUE,P940=TRUE), VLOOKUP($E940,PESSOAL!$B$35:$S$45,MONTH($F940)+6,FALSE)*G940*24,0)</f>
        <v>0</v>
      </c>
      <c r="O940" s="89" t="b">
        <f t="shared" si="1"/>
        <v>0</v>
      </c>
      <c r="P940" s="89" t="b">
        <v>0</v>
      </c>
      <c r="Q940" s="89" t="e">
        <v>#N/A</v>
      </c>
    </row>
    <row r="941" hidden="1">
      <c r="A941" s="108"/>
      <c r="B941" s="202"/>
      <c r="C941" s="202" t="str">
        <f>VLOOKUP(M941,'#verificação horas por projeto'!A:B,2,FALSE)</f>
        <v>#N/A</v>
      </c>
      <c r="D941" s="202"/>
      <c r="E941" s="107"/>
      <c r="F941" s="211"/>
      <c r="G941" s="226"/>
      <c r="H941" s="107"/>
      <c r="I941" s="227"/>
      <c r="J941" s="227"/>
      <c r="K941" s="115"/>
      <c r="L941" s="228"/>
      <c r="M941" s="107"/>
      <c r="N941" s="229">
        <f>IF(AND(O941=TRUE,P941=TRUE), VLOOKUP($E941,PESSOAL!$B$35:$S$45,MONTH($F941)+6,FALSE)*G941*24,0)</f>
        <v>0</v>
      </c>
      <c r="O941" s="89" t="b">
        <f t="shared" si="1"/>
        <v>0</v>
      </c>
      <c r="P941" s="89" t="b">
        <v>0</v>
      </c>
      <c r="Q941" s="89" t="e">
        <v>#N/A</v>
      </c>
    </row>
    <row r="942" hidden="1">
      <c r="A942" s="108"/>
      <c r="B942" s="202"/>
      <c r="C942" s="202" t="str">
        <f>VLOOKUP(M942,'#verificação horas por projeto'!A:B,2,FALSE)</f>
        <v>#N/A</v>
      </c>
      <c r="D942" s="202"/>
      <c r="E942" s="107"/>
      <c r="F942" s="211"/>
      <c r="G942" s="226"/>
      <c r="H942" s="107"/>
      <c r="I942" s="227"/>
      <c r="J942" s="227"/>
      <c r="K942" s="115"/>
      <c r="L942" s="228"/>
      <c r="M942" s="107"/>
      <c r="N942" s="229">
        <f>IF(AND(O942=TRUE,P942=TRUE), VLOOKUP($E942,PESSOAL!$B$35:$S$45,MONTH($F942)+6,FALSE)*G942*24,0)</f>
        <v>0</v>
      </c>
      <c r="O942" s="89" t="b">
        <f t="shared" si="1"/>
        <v>0</v>
      </c>
      <c r="P942" s="89" t="b">
        <v>0</v>
      </c>
      <c r="Q942" s="89" t="e">
        <v>#N/A</v>
      </c>
    </row>
    <row r="943" hidden="1">
      <c r="A943" s="108"/>
      <c r="B943" s="202"/>
      <c r="C943" s="202" t="str">
        <f>VLOOKUP(M943,'#verificação horas por projeto'!A:B,2,FALSE)</f>
        <v>#N/A</v>
      </c>
      <c r="D943" s="202"/>
      <c r="E943" s="107"/>
      <c r="F943" s="211"/>
      <c r="G943" s="226"/>
      <c r="H943" s="107"/>
      <c r="I943" s="227"/>
      <c r="J943" s="227"/>
      <c r="K943" s="115"/>
      <c r="L943" s="228"/>
      <c r="M943" s="107"/>
      <c r="N943" s="229">
        <f>IF(AND(O943=TRUE,P943=TRUE), VLOOKUP($E943,PESSOAL!$B$35:$S$45,MONTH($F943)+6,FALSE)*G943*24,0)</f>
        <v>0</v>
      </c>
      <c r="O943" s="89" t="b">
        <f t="shared" si="1"/>
        <v>0</v>
      </c>
      <c r="P943" s="89" t="b">
        <v>0</v>
      </c>
      <c r="Q943" s="89" t="e">
        <v>#N/A</v>
      </c>
    </row>
    <row r="944" hidden="1">
      <c r="A944" s="108"/>
      <c r="B944" s="202"/>
      <c r="C944" s="202" t="str">
        <f>VLOOKUP(M944,'#verificação horas por projeto'!A:B,2,FALSE)</f>
        <v>#N/A</v>
      </c>
      <c r="D944" s="202"/>
      <c r="E944" s="107"/>
      <c r="F944" s="211"/>
      <c r="G944" s="226"/>
      <c r="H944" s="107"/>
      <c r="I944" s="227"/>
      <c r="J944" s="227"/>
      <c r="K944" s="115"/>
      <c r="L944" s="228"/>
      <c r="M944" s="107"/>
      <c r="N944" s="229">
        <f>IF(AND(O944=TRUE,P944=TRUE), VLOOKUP($E944,PESSOAL!$B$35:$S$45,MONTH($F944)+6,FALSE)*G944*24,0)</f>
        <v>0</v>
      </c>
      <c r="O944" s="89" t="b">
        <f t="shared" si="1"/>
        <v>0</v>
      </c>
      <c r="P944" s="89" t="b">
        <v>0</v>
      </c>
      <c r="Q944" s="89" t="e">
        <v>#N/A</v>
      </c>
    </row>
    <row r="945" hidden="1">
      <c r="A945" s="108"/>
      <c r="B945" s="202"/>
      <c r="C945" s="202" t="str">
        <f>VLOOKUP(M945,'#verificação horas por projeto'!A:B,2,FALSE)</f>
        <v>#N/A</v>
      </c>
      <c r="D945" s="202"/>
      <c r="E945" s="107"/>
      <c r="F945" s="211"/>
      <c r="G945" s="226"/>
      <c r="H945" s="107"/>
      <c r="I945" s="227"/>
      <c r="J945" s="227"/>
      <c r="K945" s="115"/>
      <c r="L945" s="228"/>
      <c r="M945" s="107"/>
      <c r="N945" s="229">
        <f>IF(AND(O945=TRUE,P945=TRUE), VLOOKUP($E945,PESSOAL!$B$35:$S$45,MONTH($F945)+6,FALSE)*G945*24,0)</f>
        <v>0</v>
      </c>
      <c r="O945" s="89" t="b">
        <f t="shared" si="1"/>
        <v>0</v>
      </c>
      <c r="P945" s="89" t="b">
        <v>0</v>
      </c>
      <c r="Q945" s="89" t="e">
        <v>#N/A</v>
      </c>
    </row>
    <row r="946" hidden="1">
      <c r="A946" s="108"/>
      <c r="B946" s="202"/>
      <c r="C946" s="202" t="str">
        <f>VLOOKUP(M946,'#verificação horas por projeto'!A:B,2,FALSE)</f>
        <v>#N/A</v>
      </c>
      <c r="D946" s="202"/>
      <c r="E946" s="107"/>
      <c r="F946" s="211"/>
      <c r="G946" s="226"/>
      <c r="H946" s="107"/>
      <c r="I946" s="227"/>
      <c r="J946" s="227"/>
      <c r="K946" s="115"/>
      <c r="L946" s="228"/>
      <c r="M946" s="107"/>
      <c r="N946" s="229">
        <f>IF(AND(O946=TRUE,P946=TRUE), VLOOKUP($E946,PESSOAL!$B$35:$S$45,MONTH($F946)+6,FALSE)*G946*24,0)</f>
        <v>0</v>
      </c>
      <c r="O946" s="89" t="b">
        <f t="shared" si="1"/>
        <v>0</v>
      </c>
      <c r="P946" s="89" t="b">
        <v>0</v>
      </c>
      <c r="Q946" s="89" t="e">
        <v>#N/A</v>
      </c>
    </row>
    <row r="947" hidden="1">
      <c r="A947" s="108"/>
      <c r="B947" s="202"/>
      <c r="C947" s="202" t="str">
        <f>VLOOKUP(M947,'#verificação horas por projeto'!A:B,2,FALSE)</f>
        <v>#N/A</v>
      </c>
      <c r="D947" s="202"/>
      <c r="E947" s="107"/>
      <c r="F947" s="211"/>
      <c r="G947" s="226"/>
      <c r="H947" s="107"/>
      <c r="I947" s="227"/>
      <c r="J947" s="227"/>
      <c r="K947" s="115"/>
      <c r="L947" s="228"/>
      <c r="M947" s="107"/>
      <c r="N947" s="229">
        <f>IF(AND(O947=TRUE,P947=TRUE), VLOOKUP($E947,PESSOAL!$B$35:$S$45,MONTH($F947)+6,FALSE)*G947*24,0)</f>
        <v>0</v>
      </c>
      <c r="O947" s="89" t="b">
        <f t="shared" si="1"/>
        <v>0</v>
      </c>
      <c r="P947" s="89" t="b">
        <v>0</v>
      </c>
      <c r="Q947" s="89" t="e">
        <v>#N/A</v>
      </c>
    </row>
    <row r="948" hidden="1">
      <c r="A948" s="108"/>
      <c r="B948" s="202"/>
      <c r="C948" s="202" t="str">
        <f>VLOOKUP(M948,'#verificação horas por projeto'!A:B,2,FALSE)</f>
        <v>#N/A</v>
      </c>
      <c r="D948" s="202"/>
      <c r="E948" s="107"/>
      <c r="F948" s="211"/>
      <c r="G948" s="226"/>
      <c r="H948" s="107"/>
      <c r="I948" s="227"/>
      <c r="J948" s="227"/>
      <c r="K948" s="115"/>
      <c r="L948" s="228"/>
      <c r="M948" s="107"/>
      <c r="N948" s="229">
        <f>IF(AND(O948=TRUE,P948=TRUE), VLOOKUP($E948,PESSOAL!$B$35:$S$45,MONTH($F948)+6,FALSE)*G948*24,0)</f>
        <v>0</v>
      </c>
      <c r="O948" s="89" t="b">
        <f t="shared" si="1"/>
        <v>0</v>
      </c>
      <c r="P948" s="89" t="b">
        <v>0</v>
      </c>
      <c r="Q948" s="89" t="e">
        <v>#N/A</v>
      </c>
    </row>
    <row r="949" hidden="1">
      <c r="A949" s="108"/>
      <c r="B949" s="202"/>
      <c r="C949" s="202" t="str">
        <f>VLOOKUP(M949,'#verificação horas por projeto'!A:B,2,FALSE)</f>
        <v>#N/A</v>
      </c>
      <c r="D949" s="202"/>
      <c r="E949" s="107"/>
      <c r="F949" s="211"/>
      <c r="G949" s="226"/>
      <c r="H949" s="107"/>
      <c r="I949" s="227"/>
      <c r="J949" s="227"/>
      <c r="K949" s="115"/>
      <c r="L949" s="228"/>
      <c r="M949" s="107"/>
      <c r="N949" s="229">
        <f>IF(AND(O949=TRUE,P949=TRUE), VLOOKUP($E949,PESSOAL!$B$35:$S$45,MONTH($F949)+6,FALSE)*G949*24,0)</f>
        <v>0</v>
      </c>
      <c r="O949" s="89" t="b">
        <f t="shared" si="1"/>
        <v>0</v>
      </c>
      <c r="P949" s="89" t="b">
        <v>0</v>
      </c>
      <c r="Q949" s="89" t="e">
        <v>#N/A</v>
      </c>
    </row>
    <row r="950" hidden="1">
      <c r="A950" s="108"/>
      <c r="B950" s="202"/>
      <c r="C950" s="202" t="str">
        <f>VLOOKUP(M950,'#verificação horas por projeto'!A:B,2,FALSE)</f>
        <v>#N/A</v>
      </c>
      <c r="D950" s="202"/>
      <c r="E950" s="107"/>
      <c r="F950" s="211"/>
      <c r="G950" s="226"/>
      <c r="H950" s="107"/>
      <c r="I950" s="227"/>
      <c r="J950" s="227"/>
      <c r="K950" s="115"/>
      <c r="L950" s="228"/>
      <c r="M950" s="107"/>
      <c r="N950" s="229">
        <f>IF(AND(O950=TRUE,P950=TRUE), VLOOKUP($E950,PESSOAL!$B$35:$S$45,MONTH($F950)+6,FALSE)*G950*24,0)</f>
        <v>0</v>
      </c>
      <c r="O950" s="89" t="b">
        <f t="shared" si="1"/>
        <v>0</v>
      </c>
      <c r="P950" s="89" t="b">
        <v>0</v>
      </c>
      <c r="Q950" s="89" t="e">
        <v>#N/A</v>
      </c>
    </row>
    <row r="951" hidden="1">
      <c r="A951" s="108"/>
      <c r="B951" s="202"/>
      <c r="C951" s="202" t="str">
        <f>VLOOKUP(M951,'#verificação horas por projeto'!A:B,2,FALSE)</f>
        <v>#N/A</v>
      </c>
      <c r="D951" s="202"/>
      <c r="E951" s="107"/>
      <c r="F951" s="211"/>
      <c r="G951" s="226"/>
      <c r="H951" s="107"/>
      <c r="I951" s="227"/>
      <c r="J951" s="227"/>
      <c r="K951" s="115"/>
      <c r="L951" s="228"/>
      <c r="M951" s="107"/>
      <c r="N951" s="229">
        <f>IF(AND(O951=TRUE,P951=TRUE), VLOOKUP($E951,PESSOAL!$B$35:$S$45,MONTH($F951)+6,FALSE)*G951*24,0)</f>
        <v>0</v>
      </c>
      <c r="O951" s="89" t="b">
        <f t="shared" si="1"/>
        <v>0</v>
      </c>
      <c r="P951" s="89" t="b">
        <v>0</v>
      </c>
      <c r="Q951" s="89" t="e">
        <v>#N/A</v>
      </c>
    </row>
    <row r="952" hidden="1">
      <c r="A952" s="108"/>
      <c r="B952" s="202"/>
      <c r="C952" s="202" t="str">
        <f>VLOOKUP(M952,'#verificação horas por projeto'!A:B,2,FALSE)</f>
        <v>#N/A</v>
      </c>
      <c r="D952" s="202"/>
      <c r="E952" s="107"/>
      <c r="F952" s="211"/>
      <c r="G952" s="226"/>
      <c r="H952" s="107"/>
      <c r="I952" s="227"/>
      <c r="J952" s="227"/>
      <c r="K952" s="115"/>
      <c r="L952" s="228"/>
      <c r="M952" s="107"/>
      <c r="N952" s="229">
        <f>IF(AND(O952=TRUE,P952=TRUE), VLOOKUP($E952,PESSOAL!$B$35:$S$45,MONTH($F952)+6,FALSE)*G952*24,0)</f>
        <v>0</v>
      </c>
      <c r="O952" s="89" t="b">
        <f t="shared" si="1"/>
        <v>0</v>
      </c>
      <c r="P952" s="89" t="b">
        <v>0</v>
      </c>
      <c r="Q952" s="89" t="e">
        <v>#N/A</v>
      </c>
    </row>
    <row r="953" hidden="1">
      <c r="A953" s="108"/>
      <c r="B953" s="202"/>
      <c r="C953" s="202" t="str">
        <f>VLOOKUP(M953,'#verificação horas por projeto'!A:B,2,FALSE)</f>
        <v>#N/A</v>
      </c>
      <c r="D953" s="202"/>
      <c r="E953" s="107"/>
      <c r="F953" s="211"/>
      <c r="G953" s="226"/>
      <c r="H953" s="107"/>
      <c r="I953" s="227"/>
      <c r="J953" s="227"/>
      <c r="K953" s="115"/>
      <c r="L953" s="228"/>
      <c r="M953" s="107"/>
      <c r="N953" s="229">
        <f>IF(AND(O953=TRUE,P953=TRUE), VLOOKUP($E953,PESSOAL!$B$35:$S$45,MONTH($F953)+6,FALSE)*G953*24,0)</f>
        <v>0</v>
      </c>
      <c r="O953" s="89" t="b">
        <f t="shared" si="1"/>
        <v>0</v>
      </c>
      <c r="P953" s="89" t="b">
        <v>0</v>
      </c>
      <c r="Q953" s="89" t="e">
        <v>#N/A</v>
      </c>
    </row>
    <row r="954" hidden="1">
      <c r="A954" s="108"/>
      <c r="B954" s="202"/>
      <c r="C954" s="202" t="str">
        <f>VLOOKUP(M954,'#verificação horas por projeto'!A:B,2,FALSE)</f>
        <v>#N/A</v>
      </c>
      <c r="D954" s="202"/>
      <c r="E954" s="107"/>
      <c r="F954" s="211"/>
      <c r="G954" s="226"/>
      <c r="H954" s="107"/>
      <c r="I954" s="227"/>
      <c r="J954" s="227"/>
      <c r="K954" s="115"/>
      <c r="L954" s="228"/>
      <c r="M954" s="107"/>
      <c r="N954" s="229">
        <f>IF(AND(O954=TRUE,P954=TRUE), VLOOKUP($E954,PESSOAL!$B$35:$S$45,MONTH($F954)+6,FALSE)*G954*24,0)</f>
        <v>0</v>
      </c>
      <c r="O954" s="89" t="b">
        <f t="shared" si="1"/>
        <v>0</v>
      </c>
      <c r="P954" s="89" t="b">
        <v>0</v>
      </c>
      <c r="Q954" s="89" t="e">
        <v>#N/A</v>
      </c>
    </row>
    <row r="955" hidden="1">
      <c r="A955" s="108"/>
      <c r="B955" s="202"/>
      <c r="C955" s="202" t="str">
        <f>VLOOKUP(M955,'#verificação horas por projeto'!A:B,2,FALSE)</f>
        <v>#N/A</v>
      </c>
      <c r="D955" s="202"/>
      <c r="E955" s="107"/>
      <c r="F955" s="211"/>
      <c r="G955" s="226"/>
      <c r="H955" s="107"/>
      <c r="I955" s="227"/>
      <c r="J955" s="227"/>
      <c r="K955" s="115"/>
      <c r="L955" s="228"/>
      <c r="M955" s="107"/>
      <c r="N955" s="229">
        <f>IF(AND(O955=TRUE,P955=TRUE), VLOOKUP($E955,PESSOAL!$B$35:$S$45,MONTH($F955)+6,FALSE)*G955*24,0)</f>
        <v>0</v>
      </c>
      <c r="O955" s="89" t="b">
        <f t="shared" si="1"/>
        <v>0</v>
      </c>
      <c r="P955" s="89" t="b">
        <v>0</v>
      </c>
      <c r="Q955" s="89" t="e">
        <v>#N/A</v>
      </c>
    </row>
    <row r="956" hidden="1">
      <c r="A956" s="108"/>
      <c r="B956" s="202"/>
      <c r="C956" s="202" t="str">
        <f>VLOOKUP(M956,'#verificação horas por projeto'!A:B,2,FALSE)</f>
        <v>#N/A</v>
      </c>
      <c r="D956" s="202"/>
      <c r="E956" s="107"/>
      <c r="F956" s="211"/>
      <c r="G956" s="226"/>
      <c r="H956" s="107"/>
      <c r="I956" s="227"/>
      <c r="J956" s="227"/>
      <c r="K956" s="115"/>
      <c r="L956" s="228"/>
      <c r="M956" s="107"/>
      <c r="N956" s="229">
        <f>IF(AND(O956=TRUE,P956=TRUE), VLOOKUP($E956,PESSOAL!$B$35:$S$45,MONTH($F956)+6,FALSE)*G956*24,0)</f>
        <v>0</v>
      </c>
      <c r="O956" s="89" t="b">
        <f t="shared" si="1"/>
        <v>0</v>
      </c>
      <c r="P956" s="89" t="b">
        <v>0</v>
      </c>
      <c r="Q956" s="89" t="e">
        <v>#N/A</v>
      </c>
    </row>
    <row r="957" hidden="1">
      <c r="A957" s="108"/>
      <c r="B957" s="202"/>
      <c r="C957" s="202" t="str">
        <f>VLOOKUP(M957,'#verificação horas por projeto'!A:B,2,FALSE)</f>
        <v>#N/A</v>
      </c>
      <c r="D957" s="202"/>
      <c r="E957" s="107"/>
      <c r="F957" s="211"/>
      <c r="G957" s="226"/>
      <c r="H957" s="107"/>
      <c r="I957" s="227"/>
      <c r="J957" s="227"/>
      <c r="K957" s="115"/>
      <c r="L957" s="228"/>
      <c r="M957" s="107"/>
      <c r="N957" s="229">
        <f>IF(AND(O957=TRUE,P957=TRUE), VLOOKUP($E957,PESSOAL!$B$35:$S$45,MONTH($F957)+6,FALSE)*G957*24,0)</f>
        <v>0</v>
      </c>
      <c r="O957" s="89" t="b">
        <f t="shared" si="1"/>
        <v>0</v>
      </c>
      <c r="P957" s="89" t="b">
        <v>0</v>
      </c>
      <c r="Q957" s="89" t="e">
        <v>#N/A</v>
      </c>
    </row>
    <row r="958" hidden="1">
      <c r="A958" s="108"/>
      <c r="B958" s="202"/>
      <c r="C958" s="202" t="str">
        <f>VLOOKUP(M958,'#verificação horas por projeto'!A:B,2,FALSE)</f>
        <v>#N/A</v>
      </c>
      <c r="D958" s="202"/>
      <c r="E958" s="107"/>
      <c r="F958" s="211"/>
      <c r="G958" s="226"/>
      <c r="H958" s="107"/>
      <c r="I958" s="227"/>
      <c r="J958" s="227"/>
      <c r="K958" s="115"/>
      <c r="L958" s="228"/>
      <c r="M958" s="107"/>
      <c r="N958" s="229">
        <f>IF(AND(O958=TRUE,P958=TRUE), VLOOKUP($E958,PESSOAL!$B$35:$S$45,MONTH($F958)+6,FALSE)*G958*24,0)</f>
        <v>0</v>
      </c>
      <c r="O958" s="89" t="b">
        <f t="shared" si="1"/>
        <v>0</v>
      </c>
      <c r="P958" s="89" t="b">
        <v>0</v>
      </c>
      <c r="Q958" s="89" t="e">
        <v>#N/A</v>
      </c>
    </row>
    <row r="959" hidden="1">
      <c r="A959" s="108"/>
      <c r="B959" s="202"/>
      <c r="C959" s="202" t="str">
        <f>VLOOKUP(M959,'#verificação horas por projeto'!A:B,2,FALSE)</f>
        <v>#N/A</v>
      </c>
      <c r="D959" s="202"/>
      <c r="E959" s="107"/>
      <c r="F959" s="211"/>
      <c r="G959" s="226"/>
      <c r="H959" s="107"/>
      <c r="I959" s="227"/>
      <c r="J959" s="227"/>
      <c r="K959" s="115"/>
      <c r="L959" s="228"/>
      <c r="M959" s="107"/>
      <c r="N959" s="229">
        <f>IF(AND(O959=TRUE,P959=TRUE), VLOOKUP($E959,PESSOAL!$B$35:$S$45,MONTH($F959)+6,FALSE)*G959*24,0)</f>
        <v>0</v>
      </c>
      <c r="O959" s="89" t="b">
        <f t="shared" si="1"/>
        <v>0</v>
      </c>
      <c r="P959" s="89" t="b">
        <v>0</v>
      </c>
      <c r="Q959" s="89" t="e">
        <v>#N/A</v>
      </c>
    </row>
    <row r="960" hidden="1">
      <c r="A960" s="108"/>
      <c r="B960" s="202"/>
      <c r="C960" s="202" t="str">
        <f>VLOOKUP(M960,'#verificação horas por projeto'!A:B,2,FALSE)</f>
        <v>#N/A</v>
      </c>
      <c r="D960" s="202"/>
      <c r="E960" s="107"/>
      <c r="F960" s="211"/>
      <c r="G960" s="226"/>
      <c r="H960" s="107"/>
      <c r="I960" s="227"/>
      <c r="J960" s="227"/>
      <c r="K960" s="115"/>
      <c r="L960" s="228"/>
      <c r="M960" s="107"/>
      <c r="N960" s="229">
        <f>IF(AND(O960=TRUE,P960=TRUE), VLOOKUP($E960,PESSOAL!$B$35:$S$45,MONTH($F960)+6,FALSE)*G960*24,0)</f>
        <v>0</v>
      </c>
      <c r="O960" s="89" t="b">
        <f t="shared" si="1"/>
        <v>0</v>
      </c>
      <c r="P960" s="89" t="b">
        <v>0</v>
      </c>
      <c r="Q960" s="89" t="e">
        <v>#N/A</v>
      </c>
    </row>
    <row r="961" hidden="1">
      <c r="A961" s="108"/>
      <c r="B961" s="202"/>
      <c r="C961" s="202" t="str">
        <f>VLOOKUP(M961,'#verificação horas por projeto'!A:B,2,FALSE)</f>
        <v>#N/A</v>
      </c>
      <c r="D961" s="202"/>
      <c r="E961" s="107"/>
      <c r="F961" s="211"/>
      <c r="G961" s="226"/>
      <c r="H961" s="107"/>
      <c r="I961" s="227"/>
      <c r="J961" s="227"/>
      <c r="K961" s="115"/>
      <c r="L961" s="228"/>
      <c r="M961" s="107"/>
      <c r="N961" s="229">
        <f>IF(AND(O961=TRUE,P961=TRUE), VLOOKUP($E961,PESSOAL!$B$35:$S$45,MONTH($F961)+6,FALSE)*G961*24,0)</f>
        <v>0</v>
      </c>
      <c r="O961" s="89" t="b">
        <f t="shared" si="1"/>
        <v>0</v>
      </c>
      <c r="P961" s="89" t="b">
        <v>0</v>
      </c>
      <c r="Q961" s="89" t="e">
        <v>#N/A</v>
      </c>
    </row>
    <row r="962" hidden="1">
      <c r="A962" s="108"/>
      <c r="B962" s="202"/>
      <c r="C962" s="202" t="str">
        <f>VLOOKUP(M962,'#verificação horas por projeto'!A:B,2,FALSE)</f>
        <v>#N/A</v>
      </c>
      <c r="D962" s="202"/>
      <c r="E962" s="107"/>
      <c r="F962" s="211"/>
      <c r="G962" s="226"/>
      <c r="H962" s="107"/>
      <c r="I962" s="227"/>
      <c r="J962" s="227"/>
      <c r="K962" s="115"/>
      <c r="L962" s="228"/>
      <c r="M962" s="107"/>
      <c r="N962" s="229">
        <f>IF(AND(O962=TRUE,P962=TRUE), VLOOKUP($E962,PESSOAL!$B$35:$S$45,MONTH($F962)+6,FALSE)*G962*24,0)</f>
        <v>0</v>
      </c>
      <c r="O962" s="89" t="b">
        <f t="shared" si="1"/>
        <v>0</v>
      </c>
      <c r="P962" s="89" t="b">
        <v>0</v>
      </c>
      <c r="Q962" s="89" t="e">
        <v>#N/A</v>
      </c>
    </row>
    <row r="963" hidden="1">
      <c r="A963" s="108"/>
      <c r="B963" s="202"/>
      <c r="C963" s="202" t="str">
        <f>VLOOKUP(M963,'#verificação horas por projeto'!A:B,2,FALSE)</f>
        <v>#N/A</v>
      </c>
      <c r="D963" s="202"/>
      <c r="E963" s="107"/>
      <c r="F963" s="211"/>
      <c r="G963" s="226"/>
      <c r="H963" s="107"/>
      <c r="I963" s="227"/>
      <c r="J963" s="227"/>
      <c r="K963" s="115"/>
      <c r="L963" s="228"/>
      <c r="M963" s="107"/>
      <c r="N963" s="229">
        <f>IF(AND(O963=TRUE,P963=TRUE), VLOOKUP($E963,PESSOAL!$B$35:$S$45,MONTH($F963)+6,FALSE)*G963*24,0)</f>
        <v>0</v>
      </c>
      <c r="O963" s="89" t="b">
        <f t="shared" si="1"/>
        <v>0</v>
      </c>
      <c r="P963" s="89" t="b">
        <v>0</v>
      </c>
      <c r="Q963" s="89" t="e">
        <v>#N/A</v>
      </c>
    </row>
    <row r="964" hidden="1">
      <c r="A964" s="108"/>
      <c r="B964" s="202"/>
      <c r="C964" s="202" t="str">
        <f>VLOOKUP(M964,'#verificação horas por projeto'!A:B,2,FALSE)</f>
        <v>#N/A</v>
      </c>
      <c r="D964" s="202"/>
      <c r="E964" s="107"/>
      <c r="F964" s="211"/>
      <c r="G964" s="226"/>
      <c r="H964" s="107"/>
      <c r="I964" s="227"/>
      <c r="J964" s="227"/>
      <c r="K964" s="115"/>
      <c r="L964" s="228"/>
      <c r="M964" s="107"/>
      <c r="N964" s="229">
        <f>IF(AND(O964=TRUE,P964=TRUE), VLOOKUP($E964,PESSOAL!$B$35:$S$45,MONTH($F964)+6,FALSE)*G964*24,0)</f>
        <v>0</v>
      </c>
      <c r="O964" s="89" t="b">
        <f t="shared" si="1"/>
        <v>0</v>
      </c>
      <c r="P964" s="89" t="b">
        <v>0</v>
      </c>
      <c r="Q964" s="89" t="e">
        <v>#N/A</v>
      </c>
    </row>
    <row r="965" hidden="1">
      <c r="A965" s="108"/>
      <c r="B965" s="202"/>
      <c r="C965" s="202" t="str">
        <f>VLOOKUP(M965,'#verificação horas por projeto'!A:B,2,FALSE)</f>
        <v>#N/A</v>
      </c>
      <c r="D965" s="202"/>
      <c r="E965" s="107"/>
      <c r="F965" s="211"/>
      <c r="G965" s="226"/>
      <c r="H965" s="107"/>
      <c r="I965" s="227"/>
      <c r="J965" s="227"/>
      <c r="K965" s="115"/>
      <c r="L965" s="228"/>
      <c r="M965" s="107"/>
      <c r="N965" s="229">
        <f>IF(AND(O965=TRUE,P965=TRUE), VLOOKUP($E965,PESSOAL!$B$35:$S$45,MONTH($F965)+6,FALSE)*G965*24,0)</f>
        <v>0</v>
      </c>
      <c r="O965" s="89" t="b">
        <f t="shared" si="1"/>
        <v>0</v>
      </c>
      <c r="P965" s="89" t="b">
        <v>0</v>
      </c>
      <c r="Q965" s="89" t="e">
        <v>#N/A</v>
      </c>
    </row>
    <row r="966" hidden="1">
      <c r="A966" s="108"/>
      <c r="B966" s="202"/>
      <c r="C966" s="202" t="str">
        <f>VLOOKUP(M966,'#verificação horas por projeto'!A:B,2,FALSE)</f>
        <v>#N/A</v>
      </c>
      <c r="D966" s="202"/>
      <c r="E966" s="107"/>
      <c r="F966" s="211"/>
      <c r="G966" s="226"/>
      <c r="H966" s="107"/>
      <c r="I966" s="227"/>
      <c r="J966" s="227"/>
      <c r="K966" s="115"/>
      <c r="L966" s="228"/>
      <c r="M966" s="107"/>
      <c r="N966" s="229">
        <f>IF(AND(O966=TRUE,P966=TRUE), VLOOKUP($E966,PESSOAL!$B$35:$S$45,MONTH($F966)+6,FALSE)*G966*24,0)</f>
        <v>0</v>
      </c>
      <c r="O966" s="89" t="b">
        <f t="shared" si="1"/>
        <v>0</v>
      </c>
      <c r="P966" s="89" t="b">
        <v>0</v>
      </c>
      <c r="Q966" s="89" t="e">
        <v>#N/A</v>
      </c>
    </row>
    <row r="967" hidden="1">
      <c r="A967" s="108"/>
      <c r="B967" s="202"/>
      <c r="C967" s="202" t="str">
        <f>VLOOKUP(M967,'#verificação horas por projeto'!A:B,2,FALSE)</f>
        <v>#N/A</v>
      </c>
      <c r="D967" s="202"/>
      <c r="E967" s="107"/>
      <c r="F967" s="211"/>
      <c r="G967" s="226"/>
      <c r="H967" s="107"/>
      <c r="I967" s="227"/>
      <c r="J967" s="227"/>
      <c r="K967" s="115"/>
      <c r="L967" s="228"/>
      <c r="M967" s="107"/>
      <c r="N967" s="229">
        <f>IF(AND(O967=TRUE,P967=TRUE), VLOOKUP($E967,PESSOAL!$B$35:$S$45,MONTH($F967)+6,FALSE)*G967*24,0)</f>
        <v>0</v>
      </c>
      <c r="O967" s="89" t="b">
        <f t="shared" si="1"/>
        <v>0</v>
      </c>
      <c r="P967" s="89" t="b">
        <v>0</v>
      </c>
      <c r="Q967" s="89" t="e">
        <v>#N/A</v>
      </c>
    </row>
    <row r="968" hidden="1">
      <c r="A968" s="108"/>
      <c r="B968" s="202"/>
      <c r="C968" s="202" t="str">
        <f>VLOOKUP(M968,'#verificação horas por projeto'!A:B,2,FALSE)</f>
        <v>#N/A</v>
      </c>
      <c r="D968" s="202"/>
      <c r="E968" s="107"/>
      <c r="F968" s="211"/>
      <c r="G968" s="226"/>
      <c r="H968" s="107"/>
      <c r="I968" s="227"/>
      <c r="J968" s="227"/>
      <c r="K968" s="115"/>
      <c r="L968" s="228"/>
      <c r="M968" s="107"/>
      <c r="N968" s="229">
        <f>IF(AND(O968=TRUE,P968=TRUE), VLOOKUP($E968,PESSOAL!$B$35:$S$45,MONTH($F968)+6,FALSE)*G968*24,0)</f>
        <v>0</v>
      </c>
      <c r="O968" s="89" t="b">
        <f t="shared" si="1"/>
        <v>0</v>
      </c>
      <c r="P968" s="89" t="b">
        <v>0</v>
      </c>
      <c r="Q968" s="89" t="e">
        <v>#N/A</v>
      </c>
    </row>
    <row r="969" hidden="1">
      <c r="A969" s="108"/>
      <c r="B969" s="202"/>
      <c r="C969" s="202" t="str">
        <f>VLOOKUP(M969,'#verificação horas por projeto'!A:B,2,FALSE)</f>
        <v>#N/A</v>
      </c>
      <c r="D969" s="202"/>
      <c r="E969" s="107"/>
      <c r="F969" s="211"/>
      <c r="G969" s="226"/>
      <c r="H969" s="107"/>
      <c r="I969" s="227"/>
      <c r="J969" s="227"/>
      <c r="K969" s="115"/>
      <c r="L969" s="228"/>
      <c r="M969" s="107"/>
      <c r="N969" s="229">
        <f>IF(AND(O969=TRUE,P969=TRUE), VLOOKUP($E969,PESSOAL!$B$35:$S$45,MONTH($F969)+6,FALSE)*G969*24,0)</f>
        <v>0</v>
      </c>
      <c r="O969" s="89" t="b">
        <f t="shared" si="1"/>
        <v>0</v>
      </c>
      <c r="P969" s="89" t="b">
        <v>0</v>
      </c>
      <c r="Q969" s="89" t="e">
        <v>#N/A</v>
      </c>
    </row>
    <row r="970" hidden="1">
      <c r="A970" s="108"/>
      <c r="B970" s="202"/>
      <c r="C970" s="202" t="str">
        <f>VLOOKUP(M970,'#verificação horas por projeto'!A:B,2,FALSE)</f>
        <v>#N/A</v>
      </c>
      <c r="D970" s="202"/>
      <c r="E970" s="107"/>
      <c r="F970" s="211"/>
      <c r="G970" s="226"/>
      <c r="H970" s="107"/>
      <c r="I970" s="227"/>
      <c r="J970" s="227"/>
      <c r="K970" s="115"/>
      <c r="L970" s="228"/>
      <c r="M970" s="107"/>
      <c r="N970" s="229">
        <f>IF(AND(O970=TRUE,P970=TRUE), VLOOKUP($E970,PESSOAL!$B$35:$S$45,MONTH($F970)+6,FALSE)*G970*24,0)</f>
        <v>0</v>
      </c>
      <c r="O970" s="89" t="b">
        <f t="shared" si="1"/>
        <v>0</v>
      </c>
      <c r="P970" s="89" t="b">
        <v>0</v>
      </c>
      <c r="Q970" s="89" t="e">
        <v>#N/A</v>
      </c>
    </row>
    <row r="971" hidden="1">
      <c r="A971" s="108"/>
      <c r="B971" s="202"/>
      <c r="C971" s="202" t="str">
        <f>VLOOKUP(M971,'#verificação horas por projeto'!A:B,2,FALSE)</f>
        <v>#N/A</v>
      </c>
      <c r="D971" s="202"/>
      <c r="E971" s="107"/>
      <c r="F971" s="211"/>
      <c r="G971" s="226"/>
      <c r="H971" s="107"/>
      <c r="I971" s="227"/>
      <c r="J971" s="227"/>
      <c r="K971" s="115"/>
      <c r="L971" s="228"/>
      <c r="M971" s="107"/>
      <c r="N971" s="229">
        <f>IF(AND(O971=TRUE,P971=TRUE), VLOOKUP($E971,PESSOAL!$B$35:$S$45,MONTH($F971)+6,FALSE)*G971*24,0)</f>
        <v>0</v>
      </c>
      <c r="O971" s="89" t="b">
        <f t="shared" si="1"/>
        <v>0</v>
      </c>
      <c r="P971" s="89" t="b">
        <v>0</v>
      </c>
      <c r="Q971" s="89" t="e">
        <v>#N/A</v>
      </c>
    </row>
    <row r="972" hidden="1">
      <c r="A972" s="108"/>
      <c r="B972" s="202"/>
      <c r="C972" s="202" t="str">
        <f>VLOOKUP(M972,'#verificação horas por projeto'!A:B,2,FALSE)</f>
        <v>#N/A</v>
      </c>
      <c r="D972" s="202"/>
      <c r="E972" s="107"/>
      <c r="F972" s="211"/>
      <c r="G972" s="226"/>
      <c r="H972" s="107"/>
      <c r="I972" s="227"/>
      <c r="J972" s="227"/>
      <c r="K972" s="115"/>
      <c r="L972" s="228"/>
      <c r="M972" s="107"/>
      <c r="N972" s="229">
        <f>IF(AND(O972=TRUE,P972=TRUE), VLOOKUP($E972,PESSOAL!$B$35:$S$45,MONTH($F972)+6,FALSE)*G972*24,0)</f>
        <v>0</v>
      </c>
      <c r="O972" s="89" t="b">
        <f t="shared" si="1"/>
        <v>0</v>
      </c>
      <c r="P972" s="89" t="b">
        <v>0</v>
      </c>
      <c r="Q972" s="89" t="e">
        <v>#N/A</v>
      </c>
    </row>
    <row r="973" hidden="1">
      <c r="A973" s="108"/>
      <c r="B973" s="202"/>
      <c r="C973" s="202" t="str">
        <f>VLOOKUP(M973,'#verificação horas por projeto'!A:B,2,FALSE)</f>
        <v>#N/A</v>
      </c>
      <c r="D973" s="202"/>
      <c r="E973" s="107"/>
      <c r="F973" s="211"/>
      <c r="G973" s="226"/>
      <c r="H973" s="107"/>
      <c r="I973" s="227"/>
      <c r="J973" s="227"/>
      <c r="K973" s="115"/>
      <c r="L973" s="228"/>
      <c r="M973" s="107"/>
      <c r="N973" s="229">
        <f>IF(AND(O973=TRUE,P973=TRUE), VLOOKUP($E973,PESSOAL!$B$35:$S$45,MONTH($F973)+6,FALSE)*G973*24,0)</f>
        <v>0</v>
      </c>
      <c r="O973" s="89" t="b">
        <f t="shared" si="1"/>
        <v>0</v>
      </c>
      <c r="P973" s="89" t="b">
        <v>0</v>
      </c>
      <c r="Q973" s="89" t="e">
        <v>#N/A</v>
      </c>
    </row>
    <row r="974" hidden="1">
      <c r="A974" s="108"/>
      <c r="B974" s="202"/>
      <c r="C974" s="202" t="str">
        <f>VLOOKUP(M974,'#verificação horas por projeto'!A:B,2,FALSE)</f>
        <v>#N/A</v>
      </c>
      <c r="D974" s="202"/>
      <c r="E974" s="107"/>
      <c r="F974" s="211"/>
      <c r="G974" s="226"/>
      <c r="H974" s="107"/>
      <c r="I974" s="227"/>
      <c r="J974" s="227"/>
      <c r="K974" s="115"/>
      <c r="L974" s="228"/>
      <c r="M974" s="107"/>
      <c r="N974" s="229">
        <f>IF(AND(O974=TRUE,P974=TRUE), VLOOKUP($E974,PESSOAL!$B$35:$S$45,MONTH($F974)+6,FALSE)*G974*24,0)</f>
        <v>0</v>
      </c>
      <c r="O974" s="89" t="b">
        <f t="shared" si="1"/>
        <v>0</v>
      </c>
      <c r="P974" s="89" t="b">
        <v>0</v>
      </c>
      <c r="Q974" s="89" t="e">
        <v>#N/A</v>
      </c>
    </row>
    <row r="975" hidden="1">
      <c r="A975" s="108"/>
      <c r="B975" s="202"/>
      <c r="C975" s="202" t="str">
        <f>VLOOKUP(M975,'#verificação horas por projeto'!A:B,2,FALSE)</f>
        <v>#N/A</v>
      </c>
      <c r="D975" s="202"/>
      <c r="E975" s="107"/>
      <c r="F975" s="211"/>
      <c r="G975" s="226"/>
      <c r="H975" s="107"/>
      <c r="I975" s="227"/>
      <c r="J975" s="227"/>
      <c r="K975" s="115"/>
      <c r="L975" s="228"/>
      <c r="M975" s="107"/>
      <c r="N975" s="229">
        <f>IF(AND(O975=TRUE,P975=TRUE), VLOOKUP($E975,PESSOAL!$B$35:$S$45,MONTH($F975)+6,FALSE)*G975*24,0)</f>
        <v>0</v>
      </c>
      <c r="O975" s="89" t="b">
        <f t="shared" si="1"/>
        <v>0</v>
      </c>
      <c r="P975" s="89" t="b">
        <v>0</v>
      </c>
      <c r="Q975" s="89" t="e">
        <v>#N/A</v>
      </c>
    </row>
    <row r="976" hidden="1">
      <c r="A976" s="108"/>
      <c r="B976" s="202"/>
      <c r="C976" s="202" t="str">
        <f>VLOOKUP(M976,'#verificação horas por projeto'!A:B,2,FALSE)</f>
        <v>#N/A</v>
      </c>
      <c r="D976" s="202"/>
      <c r="E976" s="107"/>
      <c r="F976" s="211"/>
      <c r="G976" s="226"/>
      <c r="H976" s="107"/>
      <c r="I976" s="227"/>
      <c r="J976" s="227"/>
      <c r="K976" s="115"/>
      <c r="L976" s="228"/>
      <c r="M976" s="107"/>
      <c r="N976" s="229">
        <f>IF(AND(O976=TRUE,P976=TRUE), VLOOKUP($E976,PESSOAL!$B$35:$S$45,MONTH($F976)+6,FALSE)*G976*24,0)</f>
        <v>0</v>
      </c>
      <c r="O976" s="89" t="b">
        <f t="shared" si="1"/>
        <v>0</v>
      </c>
      <c r="P976" s="89" t="b">
        <v>0</v>
      </c>
      <c r="Q976" s="89" t="e">
        <v>#N/A</v>
      </c>
    </row>
    <row r="977" hidden="1">
      <c r="A977" s="108"/>
      <c r="B977" s="202"/>
      <c r="C977" s="202" t="str">
        <f>VLOOKUP(M977,'#verificação horas por projeto'!A:B,2,FALSE)</f>
        <v>#N/A</v>
      </c>
      <c r="D977" s="202"/>
      <c r="E977" s="107"/>
      <c r="F977" s="211"/>
      <c r="G977" s="226"/>
      <c r="H977" s="107"/>
      <c r="I977" s="227"/>
      <c r="J977" s="227"/>
      <c r="K977" s="115"/>
      <c r="L977" s="228"/>
      <c r="M977" s="107"/>
      <c r="N977" s="229">
        <f>IF(AND(O977=TRUE,P977=TRUE), VLOOKUP($E977,PESSOAL!$B$35:$S$45,MONTH($F977)+6,FALSE)*G977*24,0)</f>
        <v>0</v>
      </c>
      <c r="O977" s="89" t="b">
        <f t="shared" si="1"/>
        <v>0</v>
      </c>
      <c r="P977" s="89" t="b">
        <v>0</v>
      </c>
      <c r="Q977" s="89" t="e">
        <v>#N/A</v>
      </c>
    </row>
    <row r="978" hidden="1">
      <c r="A978" s="108"/>
      <c r="B978" s="202"/>
      <c r="C978" s="202" t="str">
        <f>VLOOKUP(M978,'#verificação horas por projeto'!A:B,2,FALSE)</f>
        <v>#N/A</v>
      </c>
      <c r="D978" s="202"/>
      <c r="E978" s="107"/>
      <c r="F978" s="211"/>
      <c r="G978" s="226"/>
      <c r="H978" s="107"/>
      <c r="I978" s="227"/>
      <c r="J978" s="227"/>
      <c r="K978" s="115"/>
      <c r="L978" s="228"/>
      <c r="M978" s="107"/>
      <c r="N978" s="229">
        <f>IF(AND(O978=TRUE,P978=TRUE), VLOOKUP($E978,PESSOAL!$B$35:$S$45,MONTH($F978)+6,FALSE)*G978*24,0)</f>
        <v>0</v>
      </c>
      <c r="O978" s="89" t="b">
        <f t="shared" si="1"/>
        <v>0</v>
      </c>
      <c r="P978" s="89" t="b">
        <v>0</v>
      </c>
      <c r="Q978" s="89" t="e">
        <v>#N/A</v>
      </c>
    </row>
    <row r="979" hidden="1">
      <c r="A979" s="108"/>
      <c r="B979" s="202"/>
      <c r="C979" s="202" t="str">
        <f>VLOOKUP(M979,'#verificação horas por projeto'!A:B,2,FALSE)</f>
        <v>#N/A</v>
      </c>
      <c r="D979" s="202"/>
      <c r="E979" s="107"/>
      <c r="F979" s="211"/>
      <c r="G979" s="226"/>
      <c r="H979" s="107"/>
      <c r="I979" s="227"/>
      <c r="J979" s="227"/>
      <c r="K979" s="115"/>
      <c r="L979" s="228"/>
      <c r="M979" s="107"/>
      <c r="N979" s="229">
        <f>IF(AND(O979=TRUE,P979=TRUE), VLOOKUP($E979,PESSOAL!$B$35:$S$45,MONTH($F979)+6,FALSE)*G979*24,0)</f>
        <v>0</v>
      </c>
      <c r="O979" s="89" t="b">
        <f t="shared" si="1"/>
        <v>0</v>
      </c>
      <c r="P979" s="89" t="b">
        <v>0</v>
      </c>
      <c r="Q979" s="89" t="e">
        <v>#N/A</v>
      </c>
    </row>
    <row r="980" hidden="1">
      <c r="A980" s="108"/>
      <c r="B980" s="202"/>
      <c r="C980" s="202" t="str">
        <f>VLOOKUP(M980,'#verificação horas por projeto'!A:B,2,FALSE)</f>
        <v>#N/A</v>
      </c>
      <c r="D980" s="202"/>
      <c r="E980" s="107"/>
      <c r="F980" s="211"/>
      <c r="G980" s="226"/>
      <c r="H980" s="107"/>
      <c r="I980" s="227"/>
      <c r="J980" s="227"/>
      <c r="K980" s="115"/>
      <c r="L980" s="228"/>
      <c r="M980" s="107"/>
      <c r="N980" s="229">
        <f>IF(AND(O980=TRUE,P980=TRUE), VLOOKUP($E980,PESSOAL!$B$35:$S$45,MONTH($F980)+6,FALSE)*G980*24,0)</f>
        <v>0</v>
      </c>
      <c r="O980" s="89" t="b">
        <f t="shared" si="1"/>
        <v>0</v>
      </c>
      <c r="P980" s="89" t="b">
        <v>0</v>
      </c>
      <c r="Q980" s="89" t="e">
        <v>#N/A</v>
      </c>
    </row>
    <row r="981" hidden="1">
      <c r="A981" s="108"/>
      <c r="B981" s="202"/>
      <c r="C981" s="202" t="str">
        <f>VLOOKUP(M981,'#verificação horas por projeto'!A:B,2,FALSE)</f>
        <v>#N/A</v>
      </c>
      <c r="D981" s="202"/>
      <c r="E981" s="107"/>
      <c r="F981" s="211"/>
      <c r="G981" s="226"/>
      <c r="H981" s="107"/>
      <c r="I981" s="227"/>
      <c r="J981" s="227"/>
      <c r="K981" s="115"/>
      <c r="L981" s="228"/>
      <c r="M981" s="107"/>
      <c r="N981" s="229">
        <f>IF(AND(O981=TRUE,P981=TRUE), VLOOKUP($E981,PESSOAL!$B$35:$S$45,MONTH($F981)+6,FALSE)*G981*24,0)</f>
        <v>0</v>
      </c>
      <c r="O981" s="89" t="b">
        <f t="shared" si="1"/>
        <v>0</v>
      </c>
      <c r="P981" s="89" t="b">
        <v>0</v>
      </c>
      <c r="Q981" s="89" t="e">
        <v>#N/A</v>
      </c>
    </row>
    <row r="982" hidden="1">
      <c r="A982" s="108"/>
      <c r="B982" s="202"/>
      <c r="C982" s="202" t="str">
        <f>VLOOKUP(M982,'#verificação horas por projeto'!A:B,2,FALSE)</f>
        <v>#N/A</v>
      </c>
      <c r="D982" s="202"/>
      <c r="E982" s="107"/>
      <c r="F982" s="211"/>
      <c r="G982" s="226"/>
      <c r="H982" s="107"/>
      <c r="I982" s="227"/>
      <c r="J982" s="227"/>
      <c r="K982" s="115"/>
      <c r="L982" s="228"/>
      <c r="M982" s="107"/>
      <c r="N982" s="229">
        <f>IF(AND(O982=TRUE,P982=TRUE), VLOOKUP($E982,PESSOAL!$B$35:$S$45,MONTH($F982)+6,FALSE)*G982*24,0)</f>
        <v>0</v>
      </c>
      <c r="O982" s="89" t="b">
        <f t="shared" si="1"/>
        <v>0</v>
      </c>
      <c r="P982" s="89" t="b">
        <v>0</v>
      </c>
      <c r="Q982" s="89" t="e">
        <v>#N/A</v>
      </c>
    </row>
    <row r="983" hidden="1">
      <c r="A983" s="108"/>
      <c r="B983" s="202"/>
      <c r="C983" s="202" t="str">
        <f>VLOOKUP(M983,'#verificação horas por projeto'!A:B,2,FALSE)</f>
        <v>#N/A</v>
      </c>
      <c r="D983" s="202"/>
      <c r="E983" s="107"/>
      <c r="F983" s="211"/>
      <c r="G983" s="226"/>
      <c r="H983" s="107"/>
      <c r="I983" s="227"/>
      <c r="J983" s="227"/>
      <c r="K983" s="115"/>
      <c r="L983" s="228"/>
      <c r="M983" s="107"/>
      <c r="N983" s="229">
        <f>IF(AND(O983=TRUE,P983=TRUE), VLOOKUP($E983,PESSOAL!$B$35:$S$45,MONTH($F983)+6,FALSE)*G983*24,0)</f>
        <v>0</v>
      </c>
      <c r="O983" s="89" t="b">
        <f t="shared" si="1"/>
        <v>0</v>
      </c>
      <c r="P983" s="89" t="b">
        <v>0</v>
      </c>
      <c r="Q983" s="89" t="e">
        <v>#N/A</v>
      </c>
    </row>
    <row r="984" hidden="1">
      <c r="A984" s="108"/>
      <c r="B984" s="202"/>
      <c r="C984" s="202" t="str">
        <f>VLOOKUP(M984,'#verificação horas por projeto'!A:B,2,FALSE)</f>
        <v>#N/A</v>
      </c>
      <c r="D984" s="202"/>
      <c r="E984" s="107"/>
      <c r="F984" s="211"/>
      <c r="G984" s="226"/>
      <c r="H984" s="107"/>
      <c r="I984" s="227"/>
      <c r="J984" s="227"/>
      <c r="K984" s="115"/>
      <c r="L984" s="228"/>
      <c r="M984" s="107"/>
      <c r="N984" s="229">
        <f>IF(AND(O984=TRUE,P984=TRUE), VLOOKUP($E984,PESSOAL!$B$35:$S$45,MONTH($F984)+6,FALSE)*G984*24,0)</f>
        <v>0</v>
      </c>
      <c r="O984" s="89" t="b">
        <f t="shared" si="1"/>
        <v>0</v>
      </c>
      <c r="P984" s="89" t="b">
        <v>0</v>
      </c>
      <c r="Q984" s="89" t="e">
        <v>#N/A</v>
      </c>
    </row>
    <row r="985" hidden="1">
      <c r="A985" s="108"/>
      <c r="B985" s="202"/>
      <c r="C985" s="202" t="str">
        <f>VLOOKUP(M985,'#verificação horas por projeto'!A:B,2,FALSE)</f>
        <v>#N/A</v>
      </c>
      <c r="D985" s="202"/>
      <c r="E985" s="107"/>
      <c r="F985" s="211"/>
      <c r="G985" s="226"/>
      <c r="H985" s="107"/>
      <c r="I985" s="227"/>
      <c r="J985" s="227"/>
      <c r="K985" s="115"/>
      <c r="L985" s="228"/>
      <c r="M985" s="107"/>
      <c r="N985" s="229">
        <f>IF(AND(O985=TRUE,P985=TRUE), VLOOKUP($E985,PESSOAL!$B$35:$S$45,MONTH($F985)+6,FALSE)*G985*24,0)</f>
        <v>0</v>
      </c>
      <c r="O985" s="89" t="b">
        <f t="shared" si="1"/>
        <v>0</v>
      </c>
      <c r="P985" s="89" t="b">
        <v>0</v>
      </c>
      <c r="Q985" s="89" t="e">
        <v>#N/A</v>
      </c>
    </row>
    <row r="986" hidden="1">
      <c r="A986" s="108"/>
      <c r="B986" s="202"/>
      <c r="C986" s="202" t="str">
        <f>VLOOKUP(M986,'#verificação horas por projeto'!A:B,2,FALSE)</f>
        <v>#N/A</v>
      </c>
      <c r="D986" s="202"/>
      <c r="E986" s="107"/>
      <c r="F986" s="211"/>
      <c r="G986" s="226"/>
      <c r="H986" s="107"/>
      <c r="I986" s="227"/>
      <c r="J986" s="227"/>
      <c r="K986" s="115"/>
      <c r="L986" s="228"/>
      <c r="M986" s="107"/>
      <c r="N986" s="229">
        <f>IF(AND(O986=TRUE,P986=TRUE), VLOOKUP($E986,PESSOAL!$B$35:$S$45,MONTH($F986)+6,FALSE)*G986*24,0)</f>
        <v>0</v>
      </c>
      <c r="O986" s="89" t="b">
        <f t="shared" si="1"/>
        <v>0</v>
      </c>
      <c r="P986" s="89" t="b">
        <v>0</v>
      </c>
      <c r="Q986" s="89" t="e">
        <v>#N/A</v>
      </c>
    </row>
    <row r="987" hidden="1">
      <c r="A987" s="108"/>
      <c r="B987" s="202"/>
      <c r="C987" s="202" t="str">
        <f>VLOOKUP(M987,'#verificação horas por projeto'!A:B,2,FALSE)</f>
        <v>#N/A</v>
      </c>
      <c r="D987" s="202"/>
      <c r="E987" s="107"/>
      <c r="F987" s="211"/>
      <c r="G987" s="226"/>
      <c r="H987" s="107"/>
      <c r="I987" s="227"/>
      <c r="J987" s="227"/>
      <c r="K987" s="115"/>
      <c r="L987" s="228"/>
      <c r="M987" s="107"/>
      <c r="N987" s="229">
        <f>IF(AND(O987=TRUE,P987=TRUE), VLOOKUP($E987,PESSOAL!$B$35:$S$45,MONTH($F987)+6,FALSE)*G987*24,0)</f>
        <v>0</v>
      </c>
      <c r="O987" s="89" t="b">
        <f t="shared" si="1"/>
        <v>0</v>
      </c>
      <c r="P987" s="89" t="b">
        <v>0</v>
      </c>
      <c r="Q987" s="89" t="e">
        <v>#N/A</v>
      </c>
    </row>
    <row r="988" hidden="1">
      <c r="A988" s="108"/>
      <c r="B988" s="202"/>
      <c r="C988" s="202" t="str">
        <f>VLOOKUP(M988,'#verificação horas por projeto'!A:B,2,FALSE)</f>
        <v>#N/A</v>
      </c>
      <c r="D988" s="202"/>
      <c r="E988" s="107"/>
      <c r="F988" s="211"/>
      <c r="G988" s="226"/>
      <c r="H988" s="107"/>
      <c r="I988" s="227"/>
      <c r="J988" s="227"/>
      <c r="K988" s="115"/>
      <c r="L988" s="228"/>
      <c r="M988" s="107"/>
      <c r="N988" s="229">
        <f>IF(AND(O988=TRUE,P988=TRUE), VLOOKUP($E988,PESSOAL!$B$35:$S$45,MONTH($F988)+6,FALSE)*G988*24,0)</f>
        <v>0</v>
      </c>
      <c r="O988" s="89" t="b">
        <f t="shared" si="1"/>
        <v>0</v>
      </c>
      <c r="P988" s="89" t="b">
        <v>0</v>
      </c>
      <c r="Q988" s="89" t="e">
        <v>#N/A</v>
      </c>
    </row>
    <row r="989" hidden="1">
      <c r="A989" s="108"/>
      <c r="B989" s="202"/>
      <c r="C989" s="202" t="str">
        <f>VLOOKUP(M989,'#verificação horas por projeto'!A:B,2,FALSE)</f>
        <v>#N/A</v>
      </c>
      <c r="D989" s="202"/>
      <c r="E989" s="107"/>
      <c r="F989" s="211"/>
      <c r="G989" s="226"/>
      <c r="H989" s="107"/>
      <c r="I989" s="227"/>
      <c r="J989" s="227"/>
      <c r="K989" s="115"/>
      <c r="L989" s="228"/>
      <c r="M989" s="107"/>
      <c r="N989" s="229">
        <f>IF(AND(O989=TRUE,P989=TRUE), VLOOKUP($E989,PESSOAL!$B$35:$S$45,MONTH($F989)+6,FALSE)*G989*24,0)</f>
        <v>0</v>
      </c>
      <c r="O989" s="89" t="b">
        <f t="shared" si="1"/>
        <v>0</v>
      </c>
      <c r="P989" s="89" t="b">
        <v>0</v>
      </c>
      <c r="Q989" s="89" t="e">
        <v>#N/A</v>
      </c>
    </row>
    <row r="990" hidden="1">
      <c r="A990" s="108"/>
      <c r="B990" s="202"/>
      <c r="C990" s="202" t="str">
        <f>VLOOKUP(M990,'#verificação horas por projeto'!A:B,2,FALSE)</f>
        <v>#N/A</v>
      </c>
      <c r="D990" s="202"/>
      <c r="E990" s="107"/>
      <c r="F990" s="211"/>
      <c r="G990" s="226"/>
      <c r="H990" s="107"/>
      <c r="I990" s="227"/>
      <c r="J990" s="227"/>
      <c r="K990" s="115"/>
      <c r="L990" s="228"/>
      <c r="M990" s="107"/>
      <c r="N990" s="229">
        <f>IF(AND(O990=TRUE,P990=TRUE), VLOOKUP($E990,PESSOAL!$B$35:$S$45,MONTH($F990)+6,FALSE)*G990*24,0)</f>
        <v>0</v>
      </c>
      <c r="O990" s="89" t="b">
        <f t="shared" si="1"/>
        <v>0</v>
      </c>
      <c r="P990" s="89" t="b">
        <v>0</v>
      </c>
      <c r="Q990" s="89" t="e">
        <v>#N/A</v>
      </c>
    </row>
    <row r="991" hidden="1">
      <c r="A991" s="108"/>
      <c r="B991" s="202"/>
      <c r="C991" s="202" t="str">
        <f>VLOOKUP(M991,'#verificação horas por projeto'!A:B,2,FALSE)</f>
        <v>#N/A</v>
      </c>
      <c r="D991" s="202"/>
      <c r="E991" s="107"/>
      <c r="F991" s="211"/>
      <c r="G991" s="226"/>
      <c r="H991" s="107"/>
      <c r="I991" s="227"/>
      <c r="J991" s="227"/>
      <c r="K991" s="115"/>
      <c r="L991" s="228"/>
      <c r="M991" s="107"/>
      <c r="N991" s="229">
        <f>IF(AND(O991=TRUE,P991=TRUE), VLOOKUP($E991,PESSOAL!$B$35:$S$45,MONTH($F991)+6,FALSE)*G991*24,0)</f>
        <v>0</v>
      </c>
      <c r="O991" s="89" t="b">
        <f t="shared" si="1"/>
        <v>0</v>
      </c>
      <c r="P991" s="89" t="b">
        <v>0</v>
      </c>
      <c r="Q991" s="89" t="e">
        <v>#N/A</v>
      </c>
    </row>
    <row r="992" hidden="1">
      <c r="A992" s="108"/>
      <c r="B992" s="202"/>
      <c r="C992" s="202" t="str">
        <f>VLOOKUP(M992,'#verificação horas por projeto'!A:B,2,FALSE)</f>
        <v>#N/A</v>
      </c>
      <c r="D992" s="202"/>
      <c r="E992" s="107"/>
      <c r="F992" s="211"/>
      <c r="G992" s="226"/>
      <c r="H992" s="107"/>
      <c r="I992" s="227"/>
      <c r="J992" s="227"/>
      <c r="K992" s="115"/>
      <c r="L992" s="228"/>
      <c r="M992" s="107"/>
      <c r="N992" s="229">
        <f>IF(AND(O992=TRUE,P992=TRUE), VLOOKUP($E992,PESSOAL!$B$35:$S$45,MONTH($F992)+6,FALSE)*G992*24,0)</f>
        <v>0</v>
      </c>
      <c r="O992" s="89" t="b">
        <f t="shared" si="1"/>
        <v>0</v>
      </c>
      <c r="P992" s="89" t="b">
        <v>0</v>
      </c>
      <c r="Q992" s="89" t="e">
        <v>#N/A</v>
      </c>
    </row>
    <row r="993" hidden="1">
      <c r="A993" s="108"/>
      <c r="B993" s="202"/>
      <c r="C993" s="202" t="str">
        <f>VLOOKUP(M993,'#verificação horas por projeto'!A:B,2,FALSE)</f>
        <v>#N/A</v>
      </c>
      <c r="D993" s="202"/>
      <c r="E993" s="107"/>
      <c r="F993" s="211"/>
      <c r="G993" s="226"/>
      <c r="H993" s="107"/>
      <c r="I993" s="227"/>
      <c r="J993" s="227"/>
      <c r="K993" s="115"/>
      <c r="L993" s="228"/>
      <c r="M993" s="107"/>
      <c r="N993" s="229">
        <f>IF(AND(O993=TRUE,P993=TRUE), VLOOKUP($E993,PESSOAL!$B$35:$S$45,MONTH($F993)+6,FALSE)*G993*24,0)</f>
        <v>0</v>
      </c>
      <c r="O993" s="89" t="b">
        <f t="shared" si="1"/>
        <v>0</v>
      </c>
      <c r="P993" s="89" t="b">
        <v>0</v>
      </c>
      <c r="Q993" s="89" t="e">
        <v>#N/A</v>
      </c>
    </row>
    <row r="994" hidden="1">
      <c r="A994" s="108"/>
      <c r="B994" s="202"/>
      <c r="C994" s="202" t="str">
        <f>VLOOKUP(M994,'#verificação horas por projeto'!A:B,2,FALSE)</f>
        <v>#N/A</v>
      </c>
      <c r="D994" s="202"/>
      <c r="E994" s="107"/>
      <c r="F994" s="211"/>
      <c r="G994" s="226"/>
      <c r="H994" s="107"/>
      <c r="I994" s="227"/>
      <c r="J994" s="227"/>
      <c r="K994" s="115"/>
      <c r="L994" s="228"/>
      <c r="M994" s="107"/>
      <c r="N994" s="229">
        <f>IF(AND(O994=TRUE,P994=TRUE), VLOOKUP($E994,PESSOAL!$B$35:$S$45,MONTH($F994)+6,FALSE)*G994*24,0)</f>
        <v>0</v>
      </c>
      <c r="O994" s="89" t="b">
        <f t="shared" si="1"/>
        <v>0</v>
      </c>
      <c r="P994" s="89" t="b">
        <v>0</v>
      </c>
      <c r="Q994" s="89" t="e">
        <v>#N/A</v>
      </c>
    </row>
    <row r="995" hidden="1">
      <c r="A995" s="108"/>
      <c r="B995" s="202"/>
      <c r="C995" s="202" t="str">
        <f>VLOOKUP(M995,'#verificação horas por projeto'!A:B,2,FALSE)</f>
        <v>#N/A</v>
      </c>
      <c r="D995" s="202"/>
      <c r="E995" s="107"/>
      <c r="F995" s="211"/>
      <c r="G995" s="226"/>
      <c r="H995" s="107"/>
      <c r="I995" s="227"/>
      <c r="J995" s="227"/>
      <c r="K995" s="115"/>
      <c r="L995" s="228"/>
      <c r="M995" s="107"/>
      <c r="N995" s="229">
        <f>IF(AND(O995=TRUE,P995=TRUE), VLOOKUP($E995,PESSOAL!$B$35:$S$45,MONTH($F995)+6,FALSE)*G995*24,0)</f>
        <v>0</v>
      </c>
      <c r="O995" s="89" t="b">
        <f t="shared" si="1"/>
        <v>0</v>
      </c>
      <c r="P995" s="89" t="b">
        <v>0</v>
      </c>
      <c r="Q995" s="89" t="e">
        <v>#N/A</v>
      </c>
    </row>
    <row r="996" hidden="1">
      <c r="A996" s="108"/>
      <c r="B996" s="202"/>
      <c r="C996" s="202" t="str">
        <f>VLOOKUP(M996,'#verificação horas por projeto'!A:B,2,FALSE)</f>
        <v>#N/A</v>
      </c>
      <c r="D996" s="202"/>
      <c r="E996" s="107"/>
      <c r="F996" s="211"/>
      <c r="G996" s="226"/>
      <c r="H996" s="107"/>
      <c r="I996" s="227"/>
      <c r="J996" s="227"/>
      <c r="K996" s="115"/>
      <c r="L996" s="228"/>
      <c r="M996" s="107"/>
      <c r="N996" s="229">
        <f>IF(AND(O996=TRUE,P996=TRUE), VLOOKUP($E996,PESSOAL!$B$35:$S$45,MONTH($F996)+6,FALSE)*G996*24,0)</f>
        <v>0</v>
      </c>
      <c r="O996" s="89" t="b">
        <f t="shared" si="1"/>
        <v>0</v>
      </c>
      <c r="P996" s="89" t="b">
        <v>0</v>
      </c>
      <c r="Q996" s="89" t="e">
        <v>#N/A</v>
      </c>
    </row>
    <row r="997" hidden="1">
      <c r="A997" s="108"/>
      <c r="B997" s="202"/>
      <c r="C997" s="202" t="str">
        <f>VLOOKUP(M997,'#verificação horas por projeto'!A:B,2,FALSE)</f>
        <v>#N/A</v>
      </c>
      <c r="D997" s="202"/>
      <c r="E997" s="107"/>
      <c r="F997" s="211"/>
      <c r="G997" s="226"/>
      <c r="H997" s="107"/>
      <c r="I997" s="227"/>
      <c r="J997" s="227"/>
      <c r="K997" s="115"/>
      <c r="L997" s="228"/>
      <c r="M997" s="107"/>
      <c r="N997" s="229">
        <f>IF(AND(O997=TRUE,P997=TRUE), VLOOKUP($E997,PESSOAL!$B$35:$S$45,MONTH($F997)+6,FALSE)*G997*24,0)</f>
        <v>0</v>
      </c>
      <c r="O997" s="89" t="b">
        <f t="shared" si="1"/>
        <v>0</v>
      </c>
      <c r="P997" s="89" t="b">
        <v>0</v>
      </c>
      <c r="Q997" s="89" t="e">
        <v>#N/A</v>
      </c>
    </row>
    <row r="998" hidden="1">
      <c r="A998" s="108"/>
      <c r="B998" s="202"/>
      <c r="C998" s="202" t="str">
        <f>VLOOKUP(M998,'#verificação horas por projeto'!A:B,2,FALSE)</f>
        <v>#N/A</v>
      </c>
      <c r="D998" s="202"/>
      <c r="E998" s="107"/>
      <c r="F998" s="211"/>
      <c r="G998" s="226"/>
      <c r="H998" s="107"/>
      <c r="I998" s="227"/>
      <c r="J998" s="227"/>
      <c r="K998" s="115"/>
      <c r="L998" s="228"/>
      <c r="M998" s="107"/>
      <c r="N998" s="229">
        <f>IF(AND(O998=TRUE,P998=TRUE), VLOOKUP($E998,PESSOAL!$B$35:$S$45,MONTH($F998)+6,FALSE)*G998*24,0)</f>
        <v>0</v>
      </c>
      <c r="O998" s="89" t="b">
        <f t="shared" si="1"/>
        <v>0</v>
      </c>
      <c r="P998" s="89" t="b">
        <v>0</v>
      </c>
      <c r="Q998" s="89" t="e">
        <v>#N/A</v>
      </c>
    </row>
    <row r="999" hidden="1">
      <c r="A999" s="108"/>
      <c r="B999" s="202"/>
      <c r="C999" s="202" t="str">
        <f>VLOOKUP(M999,'#verificação horas por projeto'!A:B,2,FALSE)</f>
        <v>#N/A</v>
      </c>
      <c r="D999" s="202"/>
      <c r="E999" s="107"/>
      <c r="F999" s="211"/>
      <c r="G999" s="226"/>
      <c r="H999" s="107"/>
      <c r="I999" s="227"/>
      <c r="J999" s="227"/>
      <c r="K999" s="115"/>
      <c r="L999" s="228"/>
      <c r="M999" s="107"/>
      <c r="N999" s="229">
        <f>IF(AND(O999=TRUE,P999=TRUE), VLOOKUP($E999,PESSOAL!$B$35:$S$45,MONTH($F999)+6,FALSE)*G999*24,0)</f>
        <v>0</v>
      </c>
      <c r="O999" s="89" t="b">
        <f t="shared" si="1"/>
        <v>0</v>
      </c>
      <c r="P999" s="89" t="b">
        <v>0</v>
      </c>
      <c r="Q999" s="89" t="e">
        <v>#N/A</v>
      </c>
    </row>
    <row r="1000" hidden="1">
      <c r="A1000" s="108"/>
      <c r="B1000" s="202"/>
      <c r="C1000" s="202" t="str">
        <f>VLOOKUP(M1000,'#verificação horas por projeto'!A:B,2,FALSE)</f>
        <v>#N/A</v>
      </c>
      <c r="D1000" s="202"/>
      <c r="E1000" s="107"/>
      <c r="F1000" s="211"/>
      <c r="G1000" s="226"/>
      <c r="H1000" s="107"/>
      <c r="I1000" s="227"/>
      <c r="J1000" s="227"/>
      <c r="K1000" s="115"/>
      <c r="L1000" s="228"/>
      <c r="M1000" s="107"/>
      <c r="N1000" s="229">
        <f>IF(AND(O1000=TRUE,P1000=TRUE), VLOOKUP($E1000,PESSOAL!$B$35:$S$45,MONTH($F1000)+6,FALSE)*G1000*24,0)</f>
        <v>0</v>
      </c>
      <c r="O1000" s="89" t="b">
        <f t="shared" si="1"/>
        <v>0</v>
      </c>
      <c r="P1000" s="89" t="b">
        <v>0</v>
      </c>
      <c r="Q1000" s="89" t="e">
        <v>#N/A</v>
      </c>
    </row>
    <row r="1001" hidden="1">
      <c r="A1001" s="108"/>
      <c r="B1001" s="202"/>
      <c r="C1001" s="202" t="str">
        <f>VLOOKUP(M1001,'#verificação horas por projeto'!A:B,2,FALSE)</f>
        <v>#N/A</v>
      </c>
      <c r="D1001" s="202"/>
      <c r="E1001" s="107"/>
      <c r="F1001" s="211"/>
      <c r="G1001" s="226"/>
      <c r="H1001" s="107"/>
      <c r="I1001" s="227"/>
      <c r="J1001" s="227"/>
      <c r="K1001" s="115"/>
      <c r="L1001" s="228"/>
      <c r="M1001" s="107"/>
      <c r="N1001" s="229">
        <f>IF(AND(O1001=TRUE,P1001=TRUE), VLOOKUP($E1001,PESSOAL!$B$35:$S$45,MONTH($F1001)+6,FALSE)*G1001*24,0)</f>
        <v>0</v>
      </c>
      <c r="O1001" s="89" t="b">
        <f t="shared" si="1"/>
        <v>0</v>
      </c>
      <c r="P1001" s="89" t="b">
        <v>0</v>
      </c>
      <c r="Q1001" s="89" t="e">
        <v>#N/A</v>
      </c>
    </row>
    <row r="1002" hidden="1">
      <c r="A1002" s="108"/>
      <c r="B1002" s="202"/>
      <c r="C1002" s="202" t="str">
        <f>VLOOKUP(M1002,'#verificação horas por projeto'!A:B,2,FALSE)</f>
        <v>#N/A</v>
      </c>
      <c r="D1002" s="202"/>
      <c r="E1002" s="107"/>
      <c r="F1002" s="211"/>
      <c r="G1002" s="226"/>
      <c r="H1002" s="107"/>
      <c r="I1002" s="227"/>
      <c r="J1002" s="227"/>
      <c r="K1002" s="115"/>
      <c r="L1002" s="228"/>
      <c r="M1002" s="107"/>
      <c r="N1002" s="229">
        <f>IF(AND(O1002=TRUE,P1002=TRUE), VLOOKUP($E1002,PESSOAL!$B$35:$S$45,MONTH($F1002)+6,FALSE)*G1002*24,0)</f>
        <v>0</v>
      </c>
      <c r="O1002" s="89" t="b">
        <f t="shared" si="1"/>
        <v>0</v>
      </c>
      <c r="P1002" s="89" t="b">
        <v>0</v>
      </c>
      <c r="Q1002" s="89" t="e">
        <v>#N/A</v>
      </c>
    </row>
    <row r="1003" hidden="1">
      <c r="A1003" s="108"/>
      <c r="B1003" s="202"/>
      <c r="C1003" s="202" t="str">
        <f>VLOOKUP(M1003,'#verificação horas por projeto'!A:B,2,FALSE)</f>
        <v>#N/A</v>
      </c>
      <c r="D1003" s="202"/>
      <c r="E1003" s="107"/>
      <c r="F1003" s="211"/>
      <c r="G1003" s="226"/>
      <c r="H1003" s="107"/>
      <c r="I1003" s="227"/>
      <c r="J1003" s="227"/>
      <c r="K1003" s="115"/>
      <c r="L1003" s="228"/>
      <c r="M1003" s="107"/>
      <c r="N1003" s="229">
        <f>IF(AND(O1003=TRUE,P1003=TRUE), VLOOKUP($E1003,PESSOAL!$B$35:$S$45,MONTH($F1003)+6,FALSE)*G1003*24,0)</f>
        <v>0</v>
      </c>
      <c r="O1003" s="89" t="b">
        <f t="shared" si="1"/>
        <v>0</v>
      </c>
      <c r="P1003" s="89" t="b">
        <v>0</v>
      </c>
      <c r="Q1003" s="89" t="e">
        <v>#N/A</v>
      </c>
    </row>
    <row r="1004" hidden="1">
      <c r="A1004" s="108"/>
      <c r="B1004" s="202"/>
      <c r="C1004" s="202" t="str">
        <f>VLOOKUP(M1004,'#verificação horas por projeto'!A:B,2,FALSE)</f>
        <v>#N/A</v>
      </c>
      <c r="D1004" s="202"/>
      <c r="E1004" s="107"/>
      <c r="F1004" s="211"/>
      <c r="G1004" s="226"/>
      <c r="H1004" s="107"/>
      <c r="I1004" s="227"/>
      <c r="J1004" s="227"/>
      <c r="K1004" s="115"/>
      <c r="L1004" s="228"/>
      <c r="M1004" s="107"/>
      <c r="N1004" s="229">
        <f>IF(AND(O1004=TRUE,P1004=TRUE), VLOOKUP($E1004,PESSOAL!$B$35:$S$45,MONTH($F1004)+6,FALSE)*G1004*24,0)</f>
        <v>0</v>
      </c>
      <c r="O1004" s="89" t="b">
        <f t="shared" si="1"/>
        <v>0</v>
      </c>
      <c r="P1004" s="89" t="b">
        <v>0</v>
      </c>
      <c r="Q1004" s="89" t="e">
        <v>#N/A</v>
      </c>
    </row>
    <row r="1005" hidden="1">
      <c r="A1005" s="108"/>
      <c r="B1005" s="202"/>
      <c r="C1005" s="202" t="str">
        <f>VLOOKUP(M1005,'#verificação horas por projeto'!A:B,2,FALSE)</f>
        <v>#N/A</v>
      </c>
      <c r="D1005" s="202"/>
      <c r="E1005" s="107"/>
      <c r="F1005" s="211"/>
      <c r="G1005" s="226"/>
      <c r="H1005" s="107"/>
      <c r="I1005" s="227"/>
      <c r="J1005" s="227"/>
      <c r="K1005" s="115"/>
      <c r="L1005" s="228"/>
      <c r="M1005" s="107"/>
      <c r="N1005" s="229">
        <f>IF(AND(O1005=TRUE,P1005=TRUE), VLOOKUP($E1005,PESSOAL!$B$35:$S$45,MONTH($F1005)+6,FALSE)*G1005*24,0)</f>
        <v>0</v>
      </c>
      <c r="O1005" s="89" t="b">
        <f t="shared" si="1"/>
        <v>0</v>
      </c>
      <c r="P1005" s="89" t="b">
        <v>0</v>
      </c>
      <c r="Q1005" s="89" t="e">
        <v>#N/A</v>
      </c>
    </row>
    <row r="1006" hidden="1">
      <c r="A1006" s="108"/>
      <c r="B1006" s="202"/>
      <c r="C1006" s="202" t="str">
        <f>VLOOKUP(M1006,'#verificação horas por projeto'!A:B,2,FALSE)</f>
        <v>#N/A</v>
      </c>
      <c r="D1006" s="202"/>
      <c r="E1006" s="107"/>
      <c r="F1006" s="211"/>
      <c r="G1006" s="226"/>
      <c r="H1006" s="107"/>
      <c r="I1006" s="227"/>
      <c r="J1006" s="227"/>
      <c r="K1006" s="115"/>
      <c r="L1006" s="228"/>
      <c r="M1006" s="107"/>
      <c r="N1006" s="229">
        <f>IF(AND(O1006=TRUE,P1006=TRUE), VLOOKUP($E1006,PESSOAL!$B$35:$S$45,MONTH($F1006)+6,FALSE)*G1006*24,0)</f>
        <v>0</v>
      </c>
      <c r="O1006" s="89" t="b">
        <f t="shared" si="1"/>
        <v>0</v>
      </c>
      <c r="P1006" s="89" t="b">
        <v>0</v>
      </c>
      <c r="Q1006" s="89" t="e">
        <v>#N/A</v>
      </c>
    </row>
    <row r="1007" hidden="1">
      <c r="A1007" s="108"/>
      <c r="B1007" s="202"/>
      <c r="C1007" s="202" t="str">
        <f>VLOOKUP(M1007,'#verificação horas por projeto'!A:B,2,FALSE)</f>
        <v>#N/A</v>
      </c>
      <c r="D1007" s="202"/>
      <c r="E1007" s="107"/>
      <c r="F1007" s="211"/>
      <c r="G1007" s="226"/>
      <c r="H1007" s="107"/>
      <c r="I1007" s="227"/>
      <c r="J1007" s="227"/>
      <c r="K1007" s="115"/>
      <c r="L1007" s="228"/>
      <c r="M1007" s="107"/>
      <c r="N1007" s="229">
        <f>IF(AND(O1007=TRUE,P1007=TRUE), VLOOKUP($E1007,PESSOAL!$B$35:$S$45,MONTH($F1007)+6,FALSE)*G1007*24,0)</f>
        <v>0</v>
      </c>
      <c r="O1007" s="89" t="b">
        <f t="shared" si="1"/>
        <v>0</v>
      </c>
      <c r="P1007" s="89" t="b">
        <v>0</v>
      </c>
      <c r="Q1007" s="89" t="e">
        <v>#N/A</v>
      </c>
    </row>
    <row r="1008" hidden="1">
      <c r="A1008" s="108"/>
      <c r="B1008" s="202"/>
      <c r="C1008" s="202" t="str">
        <f>VLOOKUP(M1008,'#verificação horas por projeto'!A:B,2,FALSE)</f>
        <v>#N/A</v>
      </c>
      <c r="D1008" s="202"/>
      <c r="E1008" s="107"/>
      <c r="F1008" s="211"/>
      <c r="G1008" s="226"/>
      <c r="H1008" s="107"/>
      <c r="I1008" s="227"/>
      <c r="J1008" s="227"/>
      <c r="K1008" s="115"/>
      <c r="L1008" s="228"/>
      <c r="M1008" s="107"/>
      <c r="N1008" s="229">
        <f>IF(AND(O1008=TRUE,P1008=TRUE), VLOOKUP($E1008,PESSOAL!$B$35:$S$45,MONTH($F1008)+6,FALSE)*G1008*24,0)</f>
        <v>0</v>
      </c>
      <c r="O1008" s="89" t="b">
        <f t="shared" si="1"/>
        <v>0</v>
      </c>
      <c r="P1008" s="89" t="b">
        <v>0</v>
      </c>
      <c r="Q1008" s="89" t="e">
        <v>#N/A</v>
      </c>
    </row>
    <row r="1009" hidden="1">
      <c r="A1009" s="108"/>
      <c r="B1009" s="202"/>
      <c r="C1009" s="202" t="str">
        <f>VLOOKUP(M1009,'#verificação horas por projeto'!A:B,2,FALSE)</f>
        <v>#N/A</v>
      </c>
      <c r="D1009" s="202"/>
      <c r="E1009" s="107"/>
      <c r="F1009" s="211"/>
      <c r="G1009" s="226"/>
      <c r="H1009" s="107"/>
      <c r="I1009" s="227"/>
      <c r="J1009" s="227"/>
      <c r="K1009" s="115"/>
      <c r="L1009" s="228"/>
      <c r="M1009" s="107"/>
      <c r="N1009" s="229">
        <f>IF(AND(O1009=TRUE,P1009=TRUE), VLOOKUP($E1009,PESSOAL!$B$35:$S$45,MONTH($F1009)+6,FALSE)*G1009*24,0)</f>
        <v>0</v>
      </c>
      <c r="O1009" s="89" t="b">
        <f t="shared" si="1"/>
        <v>0</v>
      </c>
      <c r="P1009" s="89" t="b">
        <v>0</v>
      </c>
      <c r="Q1009" s="89" t="e">
        <v>#N/A</v>
      </c>
    </row>
    <row r="1010" hidden="1">
      <c r="A1010" s="108"/>
      <c r="B1010" s="202"/>
      <c r="C1010" s="202" t="str">
        <f>VLOOKUP(M1010,'#verificação horas por projeto'!A:B,2,FALSE)</f>
        <v>#N/A</v>
      </c>
      <c r="D1010" s="202"/>
      <c r="E1010" s="107"/>
      <c r="F1010" s="211"/>
      <c r="G1010" s="226"/>
      <c r="H1010" s="107"/>
      <c r="I1010" s="227"/>
      <c r="J1010" s="227"/>
      <c r="K1010" s="115"/>
      <c r="L1010" s="228"/>
      <c r="M1010" s="107"/>
      <c r="N1010" s="229">
        <f>IF(AND(O1010=TRUE,P1010=TRUE), VLOOKUP($E1010,PESSOAL!$B$35:$S$45,MONTH($F1010)+6,FALSE)*G1010*24,0)</f>
        <v>0</v>
      </c>
      <c r="O1010" s="89" t="b">
        <f t="shared" si="1"/>
        <v>0</v>
      </c>
      <c r="P1010" s="89" t="b">
        <v>0</v>
      </c>
      <c r="Q1010" s="89" t="e">
        <v>#N/A</v>
      </c>
    </row>
    <row r="1011" hidden="1">
      <c r="A1011" s="108"/>
      <c r="B1011" s="202"/>
      <c r="C1011" s="202" t="str">
        <f>VLOOKUP(M1011,'#verificação horas por projeto'!A:B,2,FALSE)</f>
        <v>#N/A</v>
      </c>
      <c r="D1011" s="202"/>
      <c r="E1011" s="107"/>
      <c r="F1011" s="211"/>
      <c r="G1011" s="226"/>
      <c r="H1011" s="107"/>
      <c r="I1011" s="227"/>
      <c r="J1011" s="227"/>
      <c r="K1011" s="115"/>
      <c r="L1011" s="228"/>
      <c r="M1011" s="107"/>
      <c r="N1011" s="229">
        <f>IF(AND(O1011=TRUE,P1011=TRUE), VLOOKUP($E1011,PESSOAL!$B$35:$S$45,MONTH($F1011)+6,FALSE)*G1011*24,0)</f>
        <v>0</v>
      </c>
      <c r="O1011" s="89" t="b">
        <f t="shared" si="1"/>
        <v>0</v>
      </c>
      <c r="P1011" s="89" t="b">
        <v>0</v>
      </c>
      <c r="Q1011" s="89" t="e">
        <v>#N/A</v>
      </c>
    </row>
    <row r="1012" hidden="1">
      <c r="A1012" s="108"/>
      <c r="B1012" s="202"/>
      <c r="C1012" s="202" t="str">
        <f>VLOOKUP(M1012,'#verificação horas por projeto'!A:B,2,FALSE)</f>
        <v>#N/A</v>
      </c>
      <c r="D1012" s="202"/>
      <c r="E1012" s="107"/>
      <c r="F1012" s="211"/>
      <c r="G1012" s="226"/>
      <c r="H1012" s="107"/>
      <c r="I1012" s="227"/>
      <c r="J1012" s="227"/>
      <c r="K1012" s="115"/>
      <c r="L1012" s="228"/>
      <c r="M1012" s="107"/>
      <c r="N1012" s="229">
        <f>IF(AND(O1012=TRUE,P1012=TRUE), VLOOKUP($E1012,PESSOAL!$B$35:$S$45,MONTH($F1012)+6,FALSE)*G1012*24,0)</f>
        <v>0</v>
      </c>
      <c r="O1012" s="89" t="b">
        <f t="shared" si="1"/>
        <v>0</v>
      </c>
      <c r="P1012" s="89" t="b">
        <v>0</v>
      </c>
      <c r="Q1012" s="89" t="e">
        <v>#N/A</v>
      </c>
    </row>
    <row r="1013" hidden="1">
      <c r="A1013" s="108"/>
      <c r="B1013" s="202"/>
      <c r="C1013" s="202" t="str">
        <f>VLOOKUP(M1013,'#verificação horas por projeto'!A:B,2,FALSE)</f>
        <v>#N/A</v>
      </c>
      <c r="D1013" s="202"/>
      <c r="E1013" s="107"/>
      <c r="F1013" s="211"/>
      <c r="G1013" s="226"/>
      <c r="H1013" s="107"/>
      <c r="I1013" s="227"/>
      <c r="J1013" s="227"/>
      <c r="K1013" s="115"/>
      <c r="L1013" s="228"/>
      <c r="M1013" s="107"/>
      <c r="N1013" s="229">
        <f>IF(AND(O1013=TRUE,P1013=TRUE), VLOOKUP($E1013,PESSOAL!$B$35:$S$45,MONTH($F1013)+6,FALSE)*G1013*24,0)</f>
        <v>0</v>
      </c>
      <c r="O1013" s="89" t="b">
        <f t="shared" si="1"/>
        <v>0</v>
      </c>
      <c r="P1013" s="89" t="b">
        <v>0</v>
      </c>
      <c r="Q1013" s="89" t="e">
        <v>#N/A</v>
      </c>
    </row>
    <row r="1014" hidden="1">
      <c r="A1014" s="108"/>
      <c r="B1014" s="202"/>
      <c r="C1014" s="202" t="str">
        <f>VLOOKUP(M1014,'#verificação horas por projeto'!A:B,2,FALSE)</f>
        <v>#N/A</v>
      </c>
      <c r="D1014" s="202"/>
      <c r="E1014" s="107"/>
      <c r="F1014" s="211"/>
      <c r="G1014" s="226"/>
      <c r="H1014" s="107"/>
      <c r="I1014" s="227"/>
      <c r="J1014" s="227"/>
      <c r="K1014" s="115"/>
      <c r="L1014" s="228"/>
      <c r="M1014" s="107"/>
      <c r="N1014" s="229">
        <f>IF(AND(O1014=TRUE,P1014=TRUE), VLOOKUP($E1014,PESSOAL!$B$35:$S$45,MONTH($F1014)+6,FALSE)*G1014*24,0)</f>
        <v>0</v>
      </c>
      <c r="O1014" s="89" t="b">
        <f t="shared" si="1"/>
        <v>0</v>
      </c>
      <c r="P1014" s="89" t="b">
        <v>0</v>
      </c>
      <c r="Q1014" s="89" t="e">
        <v>#N/A</v>
      </c>
    </row>
    <row r="1015" hidden="1">
      <c r="A1015" s="108"/>
      <c r="B1015" s="202"/>
      <c r="C1015" s="202" t="str">
        <f>VLOOKUP(M1015,'#verificação horas por projeto'!A:B,2,FALSE)</f>
        <v>#N/A</v>
      </c>
      <c r="D1015" s="202"/>
      <c r="E1015" s="107"/>
      <c r="F1015" s="211"/>
      <c r="G1015" s="226"/>
      <c r="H1015" s="107"/>
      <c r="I1015" s="227"/>
      <c r="J1015" s="227"/>
      <c r="K1015" s="115"/>
      <c r="L1015" s="228"/>
      <c r="M1015" s="107"/>
      <c r="N1015" s="229">
        <f>IF(AND(O1015=TRUE,P1015=TRUE), VLOOKUP($E1015,PESSOAL!$B$35:$S$45,MONTH($F1015)+6,FALSE)*G1015*24,0)</f>
        <v>0</v>
      </c>
      <c r="O1015" s="89" t="b">
        <f t="shared" si="1"/>
        <v>0</v>
      </c>
      <c r="P1015" s="89" t="b">
        <v>0</v>
      </c>
      <c r="Q1015" s="89" t="e">
        <v>#N/A</v>
      </c>
    </row>
    <row r="1016" hidden="1">
      <c r="A1016" s="108"/>
      <c r="B1016" s="202"/>
      <c r="C1016" s="202" t="str">
        <f>VLOOKUP(M1016,'#verificação horas por projeto'!A:B,2,FALSE)</f>
        <v>#N/A</v>
      </c>
      <c r="D1016" s="202"/>
      <c r="E1016" s="107"/>
      <c r="F1016" s="211"/>
      <c r="G1016" s="226"/>
      <c r="H1016" s="107"/>
      <c r="I1016" s="227"/>
      <c r="J1016" s="227"/>
      <c r="K1016" s="115"/>
      <c r="L1016" s="228"/>
      <c r="M1016" s="107"/>
      <c r="N1016" s="229">
        <f>IF(AND(O1016=TRUE,P1016=TRUE), VLOOKUP($E1016,PESSOAL!$B$35:$S$45,MONTH($F1016)+6,FALSE)*G1016*24,0)</f>
        <v>0</v>
      </c>
      <c r="O1016" s="89" t="b">
        <f t="shared" si="1"/>
        <v>0</v>
      </c>
      <c r="P1016" s="89" t="b">
        <v>0</v>
      </c>
      <c r="Q1016" s="89" t="e">
        <v>#N/A</v>
      </c>
    </row>
    <row r="1017" hidden="1">
      <c r="A1017" s="108"/>
      <c r="B1017" s="202"/>
      <c r="C1017" s="202" t="str">
        <f>VLOOKUP(M1017,'#verificação horas por projeto'!A:B,2,FALSE)</f>
        <v>#N/A</v>
      </c>
      <c r="D1017" s="202"/>
      <c r="E1017" s="107"/>
      <c r="F1017" s="211"/>
      <c r="G1017" s="226"/>
      <c r="H1017" s="107"/>
      <c r="I1017" s="227"/>
      <c r="J1017" s="227"/>
      <c r="K1017" s="115"/>
      <c r="L1017" s="228"/>
      <c r="M1017" s="107"/>
      <c r="N1017" s="229">
        <f>IF(AND(O1017=TRUE,P1017=TRUE), VLOOKUP($E1017,PESSOAL!$B$35:$S$45,MONTH($F1017)+6,FALSE)*G1017*24,0)</f>
        <v>0</v>
      </c>
      <c r="O1017" s="89" t="b">
        <f t="shared" si="1"/>
        <v>0</v>
      </c>
      <c r="P1017" s="89" t="b">
        <v>0</v>
      </c>
      <c r="Q1017" s="89" t="e">
        <v>#N/A</v>
      </c>
    </row>
    <row r="1018" hidden="1">
      <c r="A1018" s="108"/>
      <c r="B1018" s="202"/>
      <c r="C1018" s="202" t="str">
        <f>VLOOKUP(M1018,'#verificação horas por projeto'!A:B,2,FALSE)</f>
        <v>#N/A</v>
      </c>
      <c r="D1018" s="202"/>
      <c r="E1018" s="107"/>
      <c r="F1018" s="211"/>
      <c r="G1018" s="226"/>
      <c r="H1018" s="107"/>
      <c r="I1018" s="227"/>
      <c r="J1018" s="227"/>
      <c r="K1018" s="115"/>
      <c r="L1018" s="228"/>
      <c r="M1018" s="107"/>
      <c r="N1018" s="229">
        <f>IF(AND(O1018=TRUE,P1018=TRUE), VLOOKUP($E1018,PESSOAL!$B$35:$S$45,MONTH($F1018)+6,FALSE)*G1018*24,0)</f>
        <v>0</v>
      </c>
      <c r="O1018" s="89" t="b">
        <f t="shared" si="1"/>
        <v>0</v>
      </c>
      <c r="P1018" s="89" t="b">
        <v>0</v>
      </c>
      <c r="Q1018" s="89" t="e">
        <v>#N/A</v>
      </c>
    </row>
    <row r="1019" hidden="1">
      <c r="A1019" s="108"/>
      <c r="B1019" s="202"/>
      <c r="C1019" s="202" t="str">
        <f>VLOOKUP(M1019,'#verificação horas por projeto'!A:B,2,FALSE)</f>
        <v>#N/A</v>
      </c>
      <c r="D1019" s="202"/>
      <c r="E1019" s="107"/>
      <c r="F1019" s="211"/>
      <c r="G1019" s="226"/>
      <c r="H1019" s="107"/>
      <c r="I1019" s="227"/>
      <c r="J1019" s="227"/>
      <c r="K1019" s="115"/>
      <c r="L1019" s="228"/>
      <c r="M1019" s="107"/>
      <c r="N1019" s="229">
        <f>IF(AND(O1019=TRUE,P1019=TRUE), VLOOKUP($E1019,PESSOAL!$B$35:$S$45,MONTH($F1019)+6,FALSE)*G1019*24,0)</f>
        <v>0</v>
      </c>
      <c r="O1019" s="89" t="b">
        <f t="shared" si="1"/>
        <v>0</v>
      </c>
      <c r="P1019" s="89" t="b">
        <v>0</v>
      </c>
      <c r="Q1019" s="89" t="e">
        <v>#N/A</v>
      </c>
    </row>
    <row r="1020" hidden="1">
      <c r="A1020" s="108"/>
      <c r="B1020" s="202"/>
      <c r="C1020" s="202" t="str">
        <f>VLOOKUP(M1020,'#verificação horas por projeto'!A:B,2,FALSE)</f>
        <v>#N/A</v>
      </c>
      <c r="D1020" s="202"/>
      <c r="E1020" s="107"/>
      <c r="F1020" s="211"/>
      <c r="G1020" s="226"/>
      <c r="H1020" s="107"/>
      <c r="I1020" s="227"/>
      <c r="J1020" s="227"/>
      <c r="K1020" s="115"/>
      <c r="L1020" s="228"/>
      <c r="M1020" s="107"/>
      <c r="N1020" s="229">
        <f>IF(AND(O1020=TRUE,P1020=TRUE), VLOOKUP($E1020,PESSOAL!$B$35:$S$45,MONTH($F1020)+6,FALSE)*G1020*24,0)</f>
        <v>0</v>
      </c>
      <c r="O1020" s="89" t="b">
        <f t="shared" si="1"/>
        <v>0</v>
      </c>
      <c r="P1020" s="89" t="b">
        <v>0</v>
      </c>
      <c r="Q1020" s="89" t="e">
        <v>#N/A</v>
      </c>
    </row>
    <row r="1021" hidden="1">
      <c r="A1021" s="108"/>
      <c r="B1021" s="202"/>
      <c r="C1021" s="202" t="str">
        <f>VLOOKUP(M1021,'#verificação horas por projeto'!A:B,2,FALSE)</f>
        <v>#N/A</v>
      </c>
      <c r="D1021" s="202"/>
      <c r="E1021" s="107"/>
      <c r="F1021" s="211"/>
      <c r="G1021" s="226"/>
      <c r="H1021" s="107"/>
      <c r="I1021" s="227"/>
      <c r="J1021" s="227"/>
      <c r="K1021" s="115"/>
      <c r="L1021" s="228"/>
      <c r="M1021" s="107"/>
      <c r="N1021" s="229">
        <f>IF(AND(O1021=TRUE,P1021=TRUE), VLOOKUP($E1021,PESSOAL!$B$35:$S$45,MONTH($F1021)+6,FALSE)*G1021*24,0)</f>
        <v>0</v>
      </c>
      <c r="O1021" s="89" t="b">
        <f t="shared" si="1"/>
        <v>0</v>
      </c>
      <c r="P1021" s="89" t="b">
        <v>0</v>
      </c>
      <c r="Q1021" s="89" t="e">
        <v>#N/A</v>
      </c>
    </row>
    <row r="1022" hidden="1">
      <c r="A1022" s="108"/>
      <c r="B1022" s="202"/>
      <c r="C1022" s="202" t="str">
        <f>VLOOKUP(M1022,'#verificação horas por projeto'!A:B,2,FALSE)</f>
        <v>#N/A</v>
      </c>
      <c r="D1022" s="202"/>
      <c r="E1022" s="107"/>
      <c r="F1022" s="211"/>
      <c r="G1022" s="226"/>
      <c r="H1022" s="107"/>
      <c r="I1022" s="227"/>
      <c r="J1022" s="227"/>
      <c r="K1022" s="115"/>
      <c r="L1022" s="228"/>
      <c r="M1022" s="107"/>
      <c r="N1022" s="229">
        <f>IF(AND(O1022=TRUE,P1022=TRUE), VLOOKUP($E1022,PESSOAL!$B$35:$S$45,MONTH($F1022)+6,FALSE)*G1022*24,0)</f>
        <v>0</v>
      </c>
      <c r="O1022" s="89" t="b">
        <f t="shared" si="1"/>
        <v>0</v>
      </c>
      <c r="P1022" s="89" t="b">
        <v>0</v>
      </c>
      <c r="Q1022" s="89" t="e">
        <v>#N/A</v>
      </c>
    </row>
    <row r="1023" hidden="1">
      <c r="A1023" s="108"/>
      <c r="B1023" s="202"/>
      <c r="C1023" s="202" t="str">
        <f>VLOOKUP(M1023,'#verificação horas por projeto'!A:B,2,FALSE)</f>
        <v>#N/A</v>
      </c>
      <c r="D1023" s="202"/>
      <c r="E1023" s="107"/>
      <c r="F1023" s="211"/>
      <c r="G1023" s="226"/>
      <c r="H1023" s="107"/>
      <c r="I1023" s="227"/>
      <c r="J1023" s="227"/>
      <c r="K1023" s="115"/>
      <c r="L1023" s="228"/>
      <c r="M1023" s="107"/>
      <c r="N1023" s="229">
        <f>IF(AND(O1023=TRUE,P1023=TRUE), VLOOKUP($E1023,PESSOAL!$B$35:$S$45,MONTH($F1023)+6,FALSE)*G1023*24,0)</f>
        <v>0</v>
      </c>
      <c r="O1023" s="89" t="b">
        <f t="shared" si="1"/>
        <v>0</v>
      </c>
      <c r="P1023" s="89" t="b">
        <v>0</v>
      </c>
      <c r="Q1023" s="89" t="e">
        <v>#N/A</v>
      </c>
    </row>
    <row r="1024" hidden="1">
      <c r="A1024" s="108"/>
      <c r="B1024" s="202"/>
      <c r="C1024" s="202" t="str">
        <f>VLOOKUP(M1024,'#verificação horas por projeto'!A:B,2,FALSE)</f>
        <v>#N/A</v>
      </c>
      <c r="D1024" s="202"/>
      <c r="E1024" s="107"/>
      <c r="F1024" s="211"/>
      <c r="G1024" s="226"/>
      <c r="H1024" s="107"/>
      <c r="I1024" s="227"/>
      <c r="J1024" s="227"/>
      <c r="K1024" s="115"/>
      <c r="L1024" s="228"/>
      <c r="M1024" s="107"/>
      <c r="N1024" s="229">
        <f>IF(AND(O1024=TRUE,P1024=TRUE), VLOOKUP($E1024,PESSOAL!$B$35:$S$45,MONTH($F1024)+6,FALSE)*G1024*24,0)</f>
        <v>0</v>
      </c>
      <c r="O1024" s="89" t="b">
        <f t="shared" si="1"/>
        <v>0</v>
      </c>
      <c r="P1024" s="89" t="b">
        <v>0</v>
      </c>
      <c r="Q1024" s="89" t="e">
        <v>#N/A</v>
      </c>
    </row>
    <row r="1025" hidden="1">
      <c r="A1025" s="108"/>
      <c r="B1025" s="202"/>
      <c r="C1025" s="202" t="str">
        <f>VLOOKUP(M1025,'#verificação horas por projeto'!A:B,2,FALSE)</f>
        <v>#N/A</v>
      </c>
      <c r="D1025" s="202"/>
      <c r="E1025" s="107"/>
      <c r="F1025" s="211"/>
      <c r="G1025" s="226"/>
      <c r="H1025" s="107"/>
      <c r="I1025" s="227"/>
      <c r="J1025" s="227"/>
      <c r="K1025" s="115"/>
      <c r="L1025" s="228"/>
      <c r="M1025" s="107"/>
      <c r="N1025" s="229">
        <f>IF(AND(O1025=TRUE,P1025=TRUE), VLOOKUP($E1025,PESSOAL!$B$35:$S$45,MONTH($F1025)+6,FALSE)*G1025*24,0)</f>
        <v>0</v>
      </c>
      <c r="O1025" s="89" t="b">
        <f t="shared" si="1"/>
        <v>0</v>
      </c>
      <c r="P1025" s="89" t="b">
        <v>0</v>
      </c>
      <c r="Q1025" s="89" t="e">
        <v>#N/A</v>
      </c>
    </row>
    <row r="1026" hidden="1">
      <c r="A1026" s="108"/>
      <c r="B1026" s="202"/>
      <c r="C1026" s="202" t="str">
        <f>VLOOKUP(M1026,'#verificação horas por projeto'!A:B,2,FALSE)</f>
        <v>#N/A</v>
      </c>
      <c r="D1026" s="202"/>
      <c r="E1026" s="107"/>
      <c r="F1026" s="211"/>
      <c r="G1026" s="226"/>
      <c r="H1026" s="107"/>
      <c r="I1026" s="227"/>
      <c r="J1026" s="227"/>
      <c r="K1026" s="115"/>
      <c r="L1026" s="228"/>
      <c r="M1026" s="107"/>
      <c r="N1026" s="229">
        <f>IF(AND(O1026=TRUE,P1026=TRUE), VLOOKUP($E1026,PESSOAL!$B$35:$S$45,MONTH($F1026)+6,FALSE)*G1026*24,0)</f>
        <v>0</v>
      </c>
      <c r="O1026" s="89" t="b">
        <f t="shared" si="1"/>
        <v>0</v>
      </c>
      <c r="P1026" s="89" t="b">
        <v>0</v>
      </c>
      <c r="Q1026" s="89" t="e">
        <v>#N/A</v>
      </c>
    </row>
    <row r="1027" hidden="1">
      <c r="A1027" s="108"/>
      <c r="B1027" s="202"/>
      <c r="C1027" s="202" t="str">
        <f>VLOOKUP(M1027,'#verificação horas por projeto'!A:B,2,FALSE)</f>
        <v>#N/A</v>
      </c>
      <c r="D1027" s="202"/>
      <c r="E1027" s="107"/>
      <c r="F1027" s="211"/>
      <c r="G1027" s="226"/>
      <c r="H1027" s="107"/>
      <c r="I1027" s="227"/>
      <c r="J1027" s="227"/>
      <c r="K1027" s="115"/>
      <c r="L1027" s="228"/>
      <c r="M1027" s="107"/>
      <c r="N1027" s="229">
        <f>IF(AND(O1027=TRUE,P1027=TRUE), VLOOKUP($E1027,PESSOAL!$B$35:$S$45,MONTH($F1027)+6,FALSE)*G1027*24,0)</f>
        <v>0</v>
      </c>
      <c r="O1027" s="89" t="b">
        <f t="shared" si="1"/>
        <v>0</v>
      </c>
      <c r="P1027" s="89" t="b">
        <v>0</v>
      </c>
      <c r="Q1027" s="89" t="e">
        <v>#N/A</v>
      </c>
    </row>
    <row r="1028" hidden="1">
      <c r="A1028" s="108"/>
      <c r="B1028" s="202"/>
      <c r="C1028" s="202" t="str">
        <f>VLOOKUP(M1028,'#verificação horas por projeto'!A:B,2,FALSE)</f>
        <v>#N/A</v>
      </c>
      <c r="D1028" s="202"/>
      <c r="E1028" s="107"/>
      <c r="F1028" s="211"/>
      <c r="G1028" s="226"/>
      <c r="H1028" s="107"/>
      <c r="I1028" s="227"/>
      <c r="J1028" s="227"/>
      <c r="K1028" s="115"/>
      <c r="L1028" s="228"/>
      <c r="M1028" s="107"/>
      <c r="N1028" s="229">
        <f>IF(AND(O1028=TRUE,P1028=TRUE), VLOOKUP($E1028,PESSOAL!$B$35:$S$45,MONTH($F1028)+6,FALSE)*G1028*24,0)</f>
        <v>0</v>
      </c>
      <c r="O1028" s="89" t="b">
        <f t="shared" si="1"/>
        <v>0</v>
      </c>
      <c r="P1028" s="89" t="b">
        <v>0</v>
      </c>
      <c r="Q1028" s="89" t="e">
        <v>#N/A</v>
      </c>
    </row>
    <row r="1029" hidden="1">
      <c r="A1029" s="108"/>
      <c r="B1029" s="202"/>
      <c r="C1029" s="202" t="str">
        <f>VLOOKUP(M1029,'#verificação horas por projeto'!A:B,2,FALSE)</f>
        <v>#N/A</v>
      </c>
      <c r="D1029" s="202"/>
      <c r="E1029" s="107"/>
      <c r="F1029" s="211"/>
      <c r="G1029" s="226"/>
      <c r="H1029" s="107"/>
      <c r="I1029" s="227"/>
      <c r="J1029" s="227"/>
      <c r="K1029" s="115"/>
      <c r="L1029" s="228"/>
      <c r="M1029" s="107"/>
      <c r="N1029" s="229">
        <f>IF(AND(O1029=TRUE,P1029=TRUE), VLOOKUP($E1029,PESSOAL!$B$35:$S$45,MONTH($F1029)+6,FALSE)*G1029*24,0)</f>
        <v>0</v>
      </c>
      <c r="O1029" s="89" t="b">
        <f t="shared" si="1"/>
        <v>0</v>
      </c>
      <c r="P1029" s="89" t="b">
        <v>0</v>
      </c>
      <c r="Q1029" s="89" t="e">
        <v>#N/A</v>
      </c>
    </row>
    <row r="1030" hidden="1">
      <c r="A1030" s="108"/>
      <c r="B1030" s="202"/>
      <c r="C1030" s="202" t="str">
        <f>VLOOKUP(M1030,'#verificação horas por projeto'!A:B,2,FALSE)</f>
        <v>#N/A</v>
      </c>
      <c r="D1030" s="202"/>
      <c r="E1030" s="107"/>
      <c r="F1030" s="211"/>
      <c r="G1030" s="226"/>
      <c r="H1030" s="107"/>
      <c r="I1030" s="227"/>
      <c r="J1030" s="227"/>
      <c r="K1030" s="115"/>
      <c r="L1030" s="228"/>
      <c r="M1030" s="107"/>
      <c r="N1030" s="229">
        <f>IF(AND(O1030=TRUE,P1030=TRUE), VLOOKUP($E1030,PESSOAL!$B$35:$S$45,MONTH($F1030)+6,FALSE)*G1030*24,0)</f>
        <v>0</v>
      </c>
      <c r="O1030" s="89" t="b">
        <f t="shared" si="1"/>
        <v>0</v>
      </c>
      <c r="P1030" s="89" t="b">
        <v>0</v>
      </c>
      <c r="Q1030" s="89" t="e">
        <v>#N/A</v>
      </c>
    </row>
    <row r="1031" hidden="1">
      <c r="A1031" s="108"/>
      <c r="B1031" s="202"/>
      <c r="C1031" s="202" t="str">
        <f>VLOOKUP(M1031,'#verificação horas por projeto'!A:B,2,FALSE)</f>
        <v>#N/A</v>
      </c>
      <c r="D1031" s="202"/>
      <c r="E1031" s="107"/>
      <c r="F1031" s="211"/>
      <c r="G1031" s="226"/>
      <c r="H1031" s="107"/>
      <c r="I1031" s="227"/>
      <c r="J1031" s="227"/>
      <c r="K1031" s="115"/>
      <c r="L1031" s="228"/>
      <c r="M1031" s="107"/>
      <c r="N1031" s="229">
        <f>IF(AND(O1031=TRUE,P1031=TRUE), VLOOKUP($E1031,PESSOAL!$B$35:$S$45,MONTH($F1031)+6,FALSE)*G1031*24,0)</f>
        <v>0</v>
      </c>
      <c r="O1031" s="89" t="b">
        <f t="shared" si="1"/>
        <v>0</v>
      </c>
      <c r="P1031" s="89" t="b">
        <v>0</v>
      </c>
      <c r="Q1031" s="89" t="e">
        <v>#N/A</v>
      </c>
    </row>
    <row r="1032" hidden="1">
      <c r="A1032" s="108"/>
      <c r="B1032" s="202"/>
      <c r="C1032" s="202" t="str">
        <f>VLOOKUP(M1032,'#verificação horas por projeto'!A:B,2,FALSE)</f>
        <v>#N/A</v>
      </c>
      <c r="D1032" s="202"/>
      <c r="E1032" s="107"/>
      <c r="F1032" s="211"/>
      <c r="G1032" s="226"/>
      <c r="H1032" s="107"/>
      <c r="I1032" s="227"/>
      <c r="J1032" s="227"/>
      <c r="K1032" s="115"/>
      <c r="L1032" s="228"/>
      <c r="M1032" s="107"/>
      <c r="N1032" s="229">
        <f>IF(AND(O1032=TRUE,P1032=TRUE), VLOOKUP($E1032,PESSOAL!$B$35:$S$45,MONTH($F1032)+6,FALSE)*G1032*24,0)</f>
        <v>0</v>
      </c>
      <c r="O1032" s="89" t="b">
        <f t="shared" si="1"/>
        <v>0</v>
      </c>
      <c r="P1032" s="89" t="b">
        <v>0</v>
      </c>
      <c r="Q1032" s="89" t="e">
        <v>#N/A</v>
      </c>
    </row>
    <row r="1033" hidden="1">
      <c r="A1033" s="108"/>
      <c r="B1033" s="202"/>
      <c r="C1033" s="202" t="str">
        <f>VLOOKUP(M1033,'#verificação horas por projeto'!A:B,2,FALSE)</f>
        <v>#N/A</v>
      </c>
      <c r="D1033" s="202"/>
      <c r="E1033" s="107"/>
      <c r="F1033" s="211"/>
      <c r="G1033" s="226"/>
      <c r="H1033" s="107"/>
      <c r="I1033" s="227"/>
      <c r="J1033" s="227"/>
      <c r="K1033" s="115"/>
      <c r="L1033" s="228"/>
      <c r="M1033" s="107"/>
      <c r="N1033" s="229">
        <f>IF(AND(O1033=TRUE,P1033=TRUE), VLOOKUP($E1033,PESSOAL!$B$35:$S$45,MONTH($F1033)+6,FALSE)*G1033*24,0)</f>
        <v>0</v>
      </c>
      <c r="O1033" s="89" t="b">
        <f t="shared" si="1"/>
        <v>0</v>
      </c>
      <c r="P1033" s="89" t="b">
        <v>0</v>
      </c>
      <c r="Q1033" s="89" t="e">
        <v>#N/A</v>
      </c>
    </row>
    <row r="1034" hidden="1">
      <c r="A1034" s="108"/>
      <c r="B1034" s="202"/>
      <c r="C1034" s="202" t="str">
        <f>VLOOKUP(M1034,'#verificação horas por projeto'!A:B,2,FALSE)</f>
        <v>#N/A</v>
      </c>
      <c r="D1034" s="202"/>
      <c r="E1034" s="107"/>
      <c r="F1034" s="211"/>
      <c r="G1034" s="226"/>
      <c r="H1034" s="107"/>
      <c r="I1034" s="227"/>
      <c r="J1034" s="227"/>
      <c r="K1034" s="115"/>
      <c r="L1034" s="228"/>
      <c r="M1034" s="107"/>
      <c r="N1034" s="229">
        <f>IF(AND(O1034=TRUE,P1034=TRUE), VLOOKUP($E1034,PESSOAL!$B$35:$S$45,MONTH($F1034)+6,FALSE)*G1034*24,0)</f>
        <v>0</v>
      </c>
      <c r="O1034" s="89" t="b">
        <f t="shared" si="1"/>
        <v>0</v>
      </c>
      <c r="P1034" s="89" t="b">
        <v>0</v>
      </c>
      <c r="Q1034" s="89" t="e">
        <v>#N/A</v>
      </c>
    </row>
    <row r="1035" hidden="1">
      <c r="A1035" s="108"/>
      <c r="B1035" s="202"/>
      <c r="C1035" s="202" t="str">
        <f>VLOOKUP(M1035,'#verificação horas por projeto'!A:B,2,FALSE)</f>
        <v>#N/A</v>
      </c>
      <c r="D1035" s="202"/>
      <c r="E1035" s="107"/>
      <c r="F1035" s="211"/>
      <c r="G1035" s="226"/>
      <c r="H1035" s="107"/>
      <c r="I1035" s="227"/>
      <c r="J1035" s="227"/>
      <c r="K1035" s="115"/>
      <c r="L1035" s="228"/>
      <c r="M1035" s="107"/>
      <c r="N1035" s="229">
        <f>IF(AND(O1035=TRUE,P1035=TRUE), VLOOKUP($E1035,PESSOAL!$B$35:$S$45,MONTH($F1035)+6,FALSE)*G1035*24,0)</f>
        <v>0</v>
      </c>
      <c r="O1035" s="89" t="b">
        <f t="shared" si="1"/>
        <v>0</v>
      </c>
      <c r="P1035" s="89" t="b">
        <v>0</v>
      </c>
      <c r="Q1035" s="89" t="e">
        <v>#N/A</v>
      </c>
    </row>
    <row r="1036" hidden="1">
      <c r="A1036" s="108"/>
      <c r="B1036" s="202"/>
      <c r="C1036" s="202" t="str">
        <f>VLOOKUP(M1036,'#verificação horas por projeto'!A:B,2,FALSE)</f>
        <v>#N/A</v>
      </c>
      <c r="D1036" s="202"/>
      <c r="E1036" s="107"/>
      <c r="F1036" s="211"/>
      <c r="G1036" s="226"/>
      <c r="H1036" s="107"/>
      <c r="I1036" s="227"/>
      <c r="J1036" s="227"/>
      <c r="K1036" s="115"/>
      <c r="L1036" s="228"/>
      <c r="M1036" s="107"/>
      <c r="N1036" s="229">
        <f>IF(AND(O1036=TRUE,P1036=TRUE), VLOOKUP($E1036,PESSOAL!$B$35:$S$45,MONTH($F1036)+6,FALSE)*G1036*24,0)</f>
        <v>0</v>
      </c>
      <c r="O1036" s="89" t="b">
        <f t="shared" si="1"/>
        <v>0</v>
      </c>
      <c r="P1036" s="89" t="b">
        <v>0</v>
      </c>
      <c r="Q1036" s="89" t="e">
        <v>#N/A</v>
      </c>
    </row>
    <row r="1037" hidden="1">
      <c r="A1037" s="108"/>
      <c r="B1037" s="202"/>
      <c r="C1037" s="202" t="str">
        <f>VLOOKUP(M1037,'#verificação horas por projeto'!A:B,2,FALSE)</f>
        <v>#N/A</v>
      </c>
      <c r="D1037" s="202"/>
      <c r="E1037" s="107"/>
      <c r="F1037" s="211"/>
      <c r="G1037" s="226"/>
      <c r="H1037" s="107"/>
      <c r="I1037" s="227"/>
      <c r="J1037" s="227"/>
      <c r="K1037" s="115"/>
      <c r="L1037" s="228"/>
      <c r="M1037" s="107"/>
      <c r="N1037" s="229">
        <f>IF(AND(O1037=TRUE,P1037=TRUE), VLOOKUP($E1037,PESSOAL!$B$35:$S$45,MONTH($F1037)+6,FALSE)*G1037*24,0)</f>
        <v>0</v>
      </c>
      <c r="O1037" s="89" t="b">
        <f t="shared" si="1"/>
        <v>0</v>
      </c>
      <c r="P1037" s="89" t="b">
        <v>0</v>
      </c>
      <c r="Q1037" s="89" t="e">
        <v>#N/A</v>
      </c>
    </row>
    <row r="1038" hidden="1">
      <c r="A1038" s="108"/>
      <c r="B1038" s="202"/>
      <c r="C1038" s="202" t="str">
        <f>VLOOKUP(M1038,'#verificação horas por projeto'!A:B,2,FALSE)</f>
        <v>#N/A</v>
      </c>
      <c r="D1038" s="202"/>
      <c r="E1038" s="107"/>
      <c r="F1038" s="211"/>
      <c r="G1038" s="226"/>
      <c r="H1038" s="107"/>
      <c r="I1038" s="227"/>
      <c r="J1038" s="227"/>
      <c r="K1038" s="115"/>
      <c r="L1038" s="228"/>
      <c r="M1038" s="107"/>
      <c r="N1038" s="229">
        <f>IF(AND(O1038=TRUE,P1038=TRUE), VLOOKUP($E1038,PESSOAL!$B$35:$S$45,MONTH($F1038)+6,FALSE)*G1038*24,0)</f>
        <v>0</v>
      </c>
      <c r="O1038" s="89" t="b">
        <f t="shared" si="1"/>
        <v>0</v>
      </c>
      <c r="P1038" s="89" t="b">
        <v>0</v>
      </c>
      <c r="Q1038" s="89" t="e">
        <v>#N/A</v>
      </c>
    </row>
    <row r="1039" hidden="1">
      <c r="A1039" s="108"/>
      <c r="B1039" s="202"/>
      <c r="C1039" s="202" t="str">
        <f>VLOOKUP(M1039,'#verificação horas por projeto'!A:B,2,FALSE)</f>
        <v>#N/A</v>
      </c>
      <c r="D1039" s="202"/>
      <c r="E1039" s="107"/>
      <c r="F1039" s="211"/>
      <c r="G1039" s="226"/>
      <c r="H1039" s="107"/>
      <c r="I1039" s="227"/>
      <c r="J1039" s="227"/>
      <c r="K1039" s="115"/>
      <c r="L1039" s="228"/>
      <c r="M1039" s="107"/>
      <c r="N1039" s="229">
        <f>IF(AND(O1039=TRUE,P1039=TRUE), VLOOKUP($E1039,PESSOAL!$B$35:$S$45,MONTH($F1039)+6,FALSE)*G1039*24,0)</f>
        <v>0</v>
      </c>
      <c r="O1039" s="89" t="b">
        <f t="shared" si="1"/>
        <v>0</v>
      </c>
      <c r="P1039" s="89" t="b">
        <v>0</v>
      </c>
      <c r="Q1039" s="89" t="e">
        <v>#N/A</v>
      </c>
    </row>
    <row r="1040" hidden="1">
      <c r="A1040" s="108"/>
      <c r="B1040" s="202"/>
      <c r="C1040" s="202" t="str">
        <f>VLOOKUP(M1040,'#verificação horas por projeto'!A:B,2,FALSE)</f>
        <v>#N/A</v>
      </c>
      <c r="D1040" s="202"/>
      <c r="E1040" s="107"/>
      <c r="F1040" s="211"/>
      <c r="G1040" s="226"/>
      <c r="H1040" s="107"/>
      <c r="I1040" s="227"/>
      <c r="J1040" s="227"/>
      <c r="K1040" s="115"/>
      <c r="L1040" s="228"/>
      <c r="M1040" s="107"/>
      <c r="N1040" s="229">
        <f>IF(AND(O1040=TRUE,P1040=TRUE), VLOOKUP($E1040,PESSOAL!$B$35:$S$45,MONTH($F1040)+6,FALSE)*G1040*24,0)</f>
        <v>0</v>
      </c>
      <c r="O1040" s="89" t="b">
        <f t="shared" si="1"/>
        <v>0</v>
      </c>
      <c r="P1040" s="89" t="b">
        <v>0</v>
      </c>
      <c r="Q1040" s="89" t="e">
        <v>#N/A</v>
      </c>
    </row>
    <row r="1041" hidden="1">
      <c r="A1041" s="108"/>
      <c r="B1041" s="202"/>
      <c r="C1041" s="202" t="str">
        <f>VLOOKUP(M1041,'#verificação horas por projeto'!A:B,2,FALSE)</f>
        <v>#N/A</v>
      </c>
      <c r="D1041" s="202"/>
      <c r="E1041" s="107"/>
      <c r="F1041" s="211"/>
      <c r="G1041" s="226"/>
      <c r="H1041" s="107"/>
      <c r="I1041" s="227"/>
      <c r="J1041" s="227"/>
      <c r="K1041" s="115"/>
      <c r="L1041" s="228"/>
      <c r="M1041" s="107"/>
      <c r="N1041" s="229">
        <f>IF(AND(O1041=TRUE,P1041=TRUE), VLOOKUP($E1041,PESSOAL!$B$35:$S$45,MONTH($F1041)+6,FALSE)*G1041*24,0)</f>
        <v>0</v>
      </c>
      <c r="O1041" s="89" t="b">
        <f t="shared" si="1"/>
        <v>0</v>
      </c>
      <c r="P1041" s="89" t="b">
        <v>0</v>
      </c>
      <c r="Q1041" s="89" t="e">
        <v>#N/A</v>
      </c>
    </row>
    <row r="1042" hidden="1">
      <c r="A1042" s="108"/>
      <c r="B1042" s="202"/>
      <c r="C1042" s="202" t="str">
        <f>VLOOKUP(M1042,'#verificação horas por projeto'!A:B,2,FALSE)</f>
        <v>#N/A</v>
      </c>
      <c r="D1042" s="202"/>
      <c r="E1042" s="107"/>
      <c r="F1042" s="211"/>
      <c r="G1042" s="226"/>
      <c r="H1042" s="107"/>
      <c r="I1042" s="227"/>
      <c r="J1042" s="227"/>
      <c r="K1042" s="115"/>
      <c r="L1042" s="228"/>
      <c r="M1042" s="107"/>
      <c r="N1042" s="229">
        <f>IF(AND(O1042=TRUE,P1042=TRUE), VLOOKUP($E1042,PESSOAL!$B$35:$S$45,MONTH($F1042)+6,FALSE)*G1042*24,0)</f>
        <v>0</v>
      </c>
      <c r="O1042" s="89" t="b">
        <f t="shared" si="1"/>
        <v>0</v>
      </c>
      <c r="P1042" s="89" t="b">
        <v>0</v>
      </c>
      <c r="Q1042" s="89" t="e">
        <v>#N/A</v>
      </c>
    </row>
    <row r="1043" hidden="1">
      <c r="A1043" s="108"/>
      <c r="B1043" s="202"/>
      <c r="C1043" s="202" t="str">
        <f>VLOOKUP(M1043,'#verificação horas por projeto'!A:B,2,FALSE)</f>
        <v>#N/A</v>
      </c>
      <c r="D1043" s="202"/>
      <c r="E1043" s="107"/>
      <c r="F1043" s="211"/>
      <c r="G1043" s="226"/>
      <c r="H1043" s="107"/>
      <c r="I1043" s="227"/>
      <c r="J1043" s="227"/>
      <c r="K1043" s="115"/>
      <c r="L1043" s="228"/>
      <c r="M1043" s="107"/>
      <c r="N1043" s="229">
        <f>IF(AND(O1043=TRUE,P1043=TRUE), VLOOKUP($E1043,PESSOAL!$B$35:$S$45,MONTH($F1043)+6,FALSE)*G1043*24,0)</f>
        <v>0</v>
      </c>
      <c r="O1043" s="89" t="b">
        <f t="shared" si="1"/>
        <v>0</v>
      </c>
      <c r="P1043" s="89" t="b">
        <v>0</v>
      </c>
      <c r="Q1043" s="89" t="e">
        <v>#N/A</v>
      </c>
    </row>
    <row r="1044" hidden="1">
      <c r="A1044" s="108"/>
      <c r="B1044" s="202"/>
      <c r="C1044" s="202" t="str">
        <f>VLOOKUP(M1044,'#verificação horas por projeto'!A:B,2,FALSE)</f>
        <v>#N/A</v>
      </c>
      <c r="D1044" s="202"/>
      <c r="E1044" s="107"/>
      <c r="F1044" s="211"/>
      <c r="G1044" s="226"/>
      <c r="H1044" s="107"/>
      <c r="I1044" s="227"/>
      <c r="J1044" s="227"/>
      <c r="K1044" s="115"/>
      <c r="L1044" s="228"/>
      <c r="M1044" s="107"/>
      <c r="N1044" s="229">
        <f>IF(AND(O1044=TRUE,P1044=TRUE), VLOOKUP($E1044,PESSOAL!$B$35:$S$45,MONTH($F1044)+6,FALSE)*G1044*24,0)</f>
        <v>0</v>
      </c>
      <c r="O1044" s="89" t="b">
        <f t="shared" si="1"/>
        <v>0</v>
      </c>
      <c r="P1044" s="89" t="b">
        <v>0</v>
      </c>
      <c r="Q1044" s="89" t="e">
        <v>#N/A</v>
      </c>
    </row>
    <row r="1045" hidden="1">
      <c r="A1045" s="108"/>
      <c r="B1045" s="202"/>
      <c r="C1045" s="202" t="str">
        <f>VLOOKUP(M1045,'#verificação horas por projeto'!A:B,2,FALSE)</f>
        <v>#N/A</v>
      </c>
      <c r="D1045" s="202"/>
      <c r="E1045" s="107"/>
      <c r="F1045" s="211"/>
      <c r="G1045" s="226"/>
      <c r="H1045" s="107"/>
      <c r="I1045" s="227"/>
      <c r="J1045" s="227"/>
      <c r="K1045" s="115"/>
      <c r="L1045" s="228"/>
      <c r="M1045" s="107"/>
      <c r="N1045" s="229">
        <f>IF(AND(O1045=TRUE,P1045=TRUE), VLOOKUP($E1045,PESSOAL!$B$35:$S$45,MONTH($F1045)+6,FALSE)*G1045*24,0)</f>
        <v>0</v>
      </c>
      <c r="O1045" s="89" t="b">
        <f t="shared" si="1"/>
        <v>0</v>
      </c>
      <c r="P1045" s="89" t="b">
        <v>0</v>
      </c>
      <c r="Q1045" s="89" t="e">
        <v>#N/A</v>
      </c>
    </row>
    <row r="1046" hidden="1">
      <c r="A1046" s="108"/>
      <c r="B1046" s="202"/>
      <c r="C1046" s="202" t="str">
        <f>VLOOKUP(M1046,'#verificação horas por projeto'!A:B,2,FALSE)</f>
        <v>#N/A</v>
      </c>
      <c r="D1046" s="202"/>
      <c r="E1046" s="107"/>
      <c r="F1046" s="211"/>
      <c r="G1046" s="226"/>
      <c r="H1046" s="107"/>
      <c r="I1046" s="227"/>
      <c r="J1046" s="227"/>
      <c r="K1046" s="115"/>
      <c r="L1046" s="228"/>
      <c r="M1046" s="107"/>
      <c r="N1046" s="229">
        <f>IF(AND(O1046=TRUE,P1046=TRUE), VLOOKUP($E1046,PESSOAL!$B$35:$S$45,MONTH($F1046)+6,FALSE)*G1046*24,0)</f>
        <v>0</v>
      </c>
      <c r="O1046" s="89" t="b">
        <f t="shared" si="1"/>
        <v>0</v>
      </c>
      <c r="P1046" s="89" t="b">
        <v>0</v>
      </c>
      <c r="Q1046" s="89" t="e">
        <v>#N/A</v>
      </c>
    </row>
    <row r="1047" hidden="1">
      <c r="A1047" s="108"/>
      <c r="B1047" s="202"/>
      <c r="C1047" s="202" t="str">
        <f>VLOOKUP(M1047,'#verificação horas por projeto'!A:B,2,FALSE)</f>
        <v>#N/A</v>
      </c>
      <c r="D1047" s="202"/>
      <c r="E1047" s="107"/>
      <c r="F1047" s="211"/>
      <c r="G1047" s="226"/>
      <c r="H1047" s="107"/>
      <c r="I1047" s="227"/>
      <c r="J1047" s="227"/>
      <c r="K1047" s="115"/>
      <c r="L1047" s="228"/>
      <c r="M1047" s="107"/>
      <c r="N1047" s="229">
        <f>IF(AND(O1047=TRUE,P1047=TRUE), VLOOKUP($E1047,PESSOAL!$B$35:$S$45,MONTH($F1047)+6,FALSE)*G1047*24,0)</f>
        <v>0</v>
      </c>
      <c r="O1047" s="89" t="b">
        <f t="shared" si="1"/>
        <v>0</v>
      </c>
      <c r="P1047" s="89" t="b">
        <v>0</v>
      </c>
      <c r="Q1047" s="89" t="e">
        <v>#N/A</v>
      </c>
    </row>
    <row r="1048" hidden="1">
      <c r="A1048" s="108"/>
      <c r="B1048" s="202"/>
      <c r="C1048" s="202" t="str">
        <f>VLOOKUP(M1048,'#verificação horas por projeto'!A:B,2,FALSE)</f>
        <v>#N/A</v>
      </c>
      <c r="D1048" s="202"/>
      <c r="E1048" s="107"/>
      <c r="F1048" s="211"/>
      <c r="G1048" s="226"/>
      <c r="H1048" s="107"/>
      <c r="I1048" s="227"/>
      <c r="J1048" s="227"/>
      <c r="K1048" s="115"/>
      <c r="L1048" s="228"/>
      <c r="M1048" s="107"/>
      <c r="N1048" s="229">
        <f>IF(AND(O1048=TRUE,P1048=TRUE), VLOOKUP($E1048,PESSOAL!$B$35:$S$45,MONTH($F1048)+6,FALSE)*G1048*24,0)</f>
        <v>0</v>
      </c>
      <c r="O1048" s="89" t="b">
        <f t="shared" si="1"/>
        <v>0</v>
      </c>
      <c r="P1048" s="89" t="b">
        <v>0</v>
      </c>
      <c r="Q1048" s="89" t="e">
        <v>#N/A</v>
      </c>
    </row>
    <row r="1049" hidden="1">
      <c r="A1049" s="108"/>
      <c r="B1049" s="202"/>
      <c r="C1049" s="202" t="str">
        <f>VLOOKUP(M1049,'#verificação horas por projeto'!A:B,2,FALSE)</f>
        <v>#N/A</v>
      </c>
      <c r="D1049" s="202"/>
      <c r="E1049" s="107"/>
      <c r="F1049" s="211"/>
      <c r="G1049" s="226"/>
      <c r="H1049" s="107"/>
      <c r="I1049" s="227"/>
      <c r="J1049" s="227"/>
      <c r="K1049" s="115"/>
      <c r="L1049" s="228"/>
      <c r="M1049" s="107"/>
      <c r="N1049" s="229">
        <f>IF(AND(O1049=TRUE,P1049=TRUE), VLOOKUP($E1049,PESSOAL!$B$35:$S$45,MONTH($F1049)+6,FALSE)*G1049*24,0)</f>
        <v>0</v>
      </c>
      <c r="O1049" s="89" t="b">
        <f t="shared" si="1"/>
        <v>0</v>
      </c>
      <c r="P1049" s="89" t="b">
        <v>0</v>
      </c>
      <c r="Q1049" s="89" t="e">
        <v>#N/A</v>
      </c>
    </row>
    <row r="1050" hidden="1">
      <c r="A1050" s="108"/>
      <c r="B1050" s="202"/>
      <c r="C1050" s="202" t="str">
        <f>VLOOKUP(M1050,'#verificação horas por projeto'!A:B,2,FALSE)</f>
        <v>#N/A</v>
      </c>
      <c r="D1050" s="202"/>
      <c r="E1050" s="107"/>
      <c r="F1050" s="211"/>
      <c r="G1050" s="226"/>
      <c r="H1050" s="107"/>
      <c r="I1050" s="227"/>
      <c r="J1050" s="227"/>
      <c r="K1050" s="115"/>
      <c r="L1050" s="228"/>
      <c r="M1050" s="107"/>
      <c r="N1050" s="229">
        <f>IF(AND(O1050=TRUE,P1050=TRUE), VLOOKUP($E1050,PESSOAL!$B$35:$S$45,MONTH($F1050)+6,FALSE)*G1050*24,0)</f>
        <v>0</v>
      </c>
      <c r="O1050" s="89" t="b">
        <f t="shared" si="1"/>
        <v>0</v>
      </c>
      <c r="P1050" s="89" t="b">
        <v>0</v>
      </c>
      <c r="Q1050" s="89" t="e">
        <v>#N/A</v>
      </c>
    </row>
    <row r="1051" hidden="1">
      <c r="A1051" s="108"/>
      <c r="B1051" s="202"/>
      <c r="C1051" s="202" t="str">
        <f>VLOOKUP(M1051,'#verificação horas por projeto'!A:B,2,FALSE)</f>
        <v>#N/A</v>
      </c>
      <c r="D1051" s="202"/>
      <c r="E1051" s="107"/>
      <c r="F1051" s="211"/>
      <c r="G1051" s="226"/>
      <c r="H1051" s="107"/>
      <c r="I1051" s="227"/>
      <c r="J1051" s="227"/>
      <c r="K1051" s="115"/>
      <c r="L1051" s="228"/>
      <c r="M1051" s="107"/>
      <c r="N1051" s="229">
        <f>IF(AND(O1051=TRUE,P1051=TRUE), VLOOKUP($E1051,PESSOAL!$B$35:$S$45,MONTH($F1051)+6,FALSE)*G1051*24,0)</f>
        <v>0</v>
      </c>
      <c r="O1051" s="89" t="b">
        <f t="shared" si="1"/>
        <v>0</v>
      </c>
      <c r="P1051" s="89" t="b">
        <v>0</v>
      </c>
      <c r="Q1051" s="89" t="e">
        <v>#N/A</v>
      </c>
    </row>
    <row r="1052" hidden="1">
      <c r="A1052" s="108"/>
      <c r="B1052" s="202"/>
      <c r="C1052" s="202" t="str">
        <f>VLOOKUP(M1052,'#verificação horas por projeto'!A:B,2,FALSE)</f>
        <v>#N/A</v>
      </c>
      <c r="D1052" s="202"/>
      <c r="E1052" s="107"/>
      <c r="F1052" s="211"/>
      <c r="G1052" s="226"/>
      <c r="H1052" s="107"/>
      <c r="I1052" s="227"/>
      <c r="J1052" s="227"/>
      <c r="K1052" s="115"/>
      <c r="L1052" s="228"/>
      <c r="M1052" s="107"/>
      <c r="N1052" s="229">
        <f>IF(AND(O1052=TRUE,P1052=TRUE), VLOOKUP($E1052,PESSOAL!$B$35:$S$45,MONTH($F1052)+6,FALSE)*G1052*24,0)</f>
        <v>0</v>
      </c>
      <c r="O1052" s="89" t="b">
        <f t="shared" si="1"/>
        <v>0</v>
      </c>
      <c r="P1052" s="89" t="b">
        <v>0</v>
      </c>
      <c r="Q1052" s="89" t="e">
        <v>#N/A</v>
      </c>
    </row>
    <row r="1053" hidden="1">
      <c r="A1053" s="108"/>
      <c r="B1053" s="202"/>
      <c r="C1053" s="202" t="str">
        <f>VLOOKUP(M1053,'#verificação horas por projeto'!A:B,2,FALSE)</f>
        <v>#N/A</v>
      </c>
      <c r="D1053" s="202"/>
      <c r="E1053" s="107"/>
      <c r="F1053" s="211"/>
      <c r="G1053" s="226"/>
      <c r="H1053" s="107"/>
      <c r="I1053" s="227"/>
      <c r="J1053" s="227"/>
      <c r="K1053" s="115"/>
      <c r="L1053" s="228"/>
      <c r="M1053" s="107"/>
      <c r="N1053" s="229">
        <f>IF(AND(O1053=TRUE,P1053=TRUE), VLOOKUP($E1053,PESSOAL!$B$35:$S$45,MONTH($F1053)+6,FALSE)*G1053*24,0)</f>
        <v>0</v>
      </c>
      <c r="O1053" s="89" t="b">
        <f t="shared" si="1"/>
        <v>0</v>
      </c>
      <c r="P1053" s="89" t="b">
        <v>0</v>
      </c>
      <c r="Q1053" s="89" t="e">
        <v>#N/A</v>
      </c>
    </row>
    <row r="1054" hidden="1">
      <c r="A1054" s="108"/>
      <c r="B1054" s="202"/>
      <c r="C1054" s="202" t="str">
        <f>VLOOKUP(M1054,'#verificação horas por projeto'!A:B,2,FALSE)</f>
        <v>#N/A</v>
      </c>
      <c r="D1054" s="202"/>
      <c r="E1054" s="107"/>
      <c r="F1054" s="211"/>
      <c r="G1054" s="226"/>
      <c r="H1054" s="107"/>
      <c r="I1054" s="227"/>
      <c r="J1054" s="227"/>
      <c r="K1054" s="115"/>
      <c r="L1054" s="228"/>
      <c r="M1054" s="107"/>
      <c r="N1054" s="229">
        <f>IF(AND(O1054=TRUE,P1054=TRUE), VLOOKUP($E1054,PESSOAL!$B$35:$S$45,MONTH($F1054)+6,FALSE)*G1054*24,0)</f>
        <v>0</v>
      </c>
      <c r="O1054" s="89" t="b">
        <f t="shared" si="1"/>
        <v>0</v>
      </c>
      <c r="P1054" s="89" t="b">
        <v>0</v>
      </c>
      <c r="Q1054" s="89" t="e">
        <v>#N/A</v>
      </c>
    </row>
    <row r="1055" hidden="1">
      <c r="A1055" s="108"/>
      <c r="B1055" s="202"/>
      <c r="C1055" s="202" t="str">
        <f>VLOOKUP(M1055,'#verificação horas por projeto'!A:B,2,FALSE)</f>
        <v>#N/A</v>
      </c>
      <c r="D1055" s="202"/>
      <c r="E1055" s="107"/>
      <c r="F1055" s="211"/>
      <c r="G1055" s="226"/>
      <c r="H1055" s="107"/>
      <c r="I1055" s="227"/>
      <c r="J1055" s="227"/>
      <c r="K1055" s="115"/>
      <c r="L1055" s="228"/>
      <c r="M1055" s="107"/>
      <c r="N1055" s="229">
        <f>IF(AND(O1055=TRUE,P1055=TRUE), VLOOKUP($E1055,PESSOAL!$B$35:$S$45,MONTH($F1055)+6,FALSE)*G1055*24,0)</f>
        <v>0</v>
      </c>
      <c r="O1055" s="89" t="b">
        <f t="shared" si="1"/>
        <v>0</v>
      </c>
      <c r="P1055" s="89" t="b">
        <v>0</v>
      </c>
      <c r="Q1055" s="89" t="e">
        <v>#N/A</v>
      </c>
    </row>
    <row r="1056" hidden="1">
      <c r="A1056" s="108"/>
      <c r="B1056" s="202"/>
      <c r="C1056" s="202" t="str">
        <f>VLOOKUP(M1056,'#verificação horas por projeto'!A:B,2,FALSE)</f>
        <v>#N/A</v>
      </c>
      <c r="D1056" s="202"/>
      <c r="E1056" s="107"/>
      <c r="F1056" s="211"/>
      <c r="G1056" s="226"/>
      <c r="H1056" s="107"/>
      <c r="I1056" s="227"/>
      <c r="J1056" s="227"/>
      <c r="K1056" s="115"/>
      <c r="L1056" s="228"/>
      <c r="M1056" s="107"/>
      <c r="N1056" s="229">
        <f>IF(AND(O1056=TRUE,P1056=TRUE), VLOOKUP($E1056,PESSOAL!$B$35:$S$45,MONTH($F1056)+6,FALSE)*G1056*24,0)</f>
        <v>0</v>
      </c>
      <c r="O1056" s="89" t="b">
        <f t="shared" si="1"/>
        <v>0</v>
      </c>
      <c r="P1056" s="89" t="b">
        <v>0</v>
      </c>
      <c r="Q1056" s="89" t="e">
        <v>#N/A</v>
      </c>
    </row>
    <row r="1057" hidden="1">
      <c r="A1057" s="108"/>
      <c r="B1057" s="202"/>
      <c r="C1057" s="202" t="str">
        <f>VLOOKUP(M1057,'#verificação horas por projeto'!A:B,2,FALSE)</f>
        <v>#N/A</v>
      </c>
      <c r="D1057" s="202"/>
      <c r="E1057" s="107"/>
      <c r="F1057" s="211"/>
      <c r="G1057" s="226"/>
      <c r="H1057" s="107"/>
      <c r="I1057" s="227"/>
      <c r="J1057" s="227"/>
      <c r="K1057" s="115"/>
      <c r="L1057" s="228"/>
      <c r="M1057" s="107"/>
      <c r="N1057" s="229">
        <f>IF(AND(O1057=TRUE,P1057=TRUE), VLOOKUP($E1057,PESSOAL!$B$35:$S$45,MONTH($F1057)+6,FALSE)*G1057*24,0)</f>
        <v>0</v>
      </c>
      <c r="O1057" s="89" t="b">
        <f t="shared" si="1"/>
        <v>0</v>
      </c>
      <c r="P1057" s="89" t="b">
        <v>0</v>
      </c>
      <c r="Q1057" s="89" t="e">
        <v>#N/A</v>
      </c>
    </row>
    <row r="1058" hidden="1">
      <c r="A1058" s="108"/>
      <c r="B1058" s="202"/>
      <c r="C1058" s="202" t="str">
        <f>VLOOKUP(M1058,'#verificação horas por projeto'!A:B,2,FALSE)</f>
        <v>#N/A</v>
      </c>
      <c r="D1058" s="202"/>
      <c r="E1058" s="107"/>
      <c r="F1058" s="211"/>
      <c r="G1058" s="226"/>
      <c r="H1058" s="107"/>
      <c r="I1058" s="227"/>
      <c r="J1058" s="227"/>
      <c r="K1058" s="115"/>
      <c r="L1058" s="228"/>
      <c r="M1058" s="107"/>
      <c r="N1058" s="229">
        <f>IF(AND(O1058=TRUE,P1058=TRUE), VLOOKUP($E1058,PESSOAL!$B$35:$S$45,MONTH($F1058)+6,FALSE)*G1058*24,0)</f>
        <v>0</v>
      </c>
      <c r="O1058" s="89" t="b">
        <f t="shared" si="1"/>
        <v>0</v>
      </c>
      <c r="P1058" s="89" t="b">
        <v>0</v>
      </c>
      <c r="Q1058" s="89" t="e">
        <v>#N/A</v>
      </c>
    </row>
    <row r="1059" hidden="1">
      <c r="A1059" s="108"/>
      <c r="B1059" s="202"/>
      <c r="C1059" s="202" t="str">
        <f>VLOOKUP(M1059,'#verificação horas por projeto'!A:B,2,FALSE)</f>
        <v>#N/A</v>
      </c>
      <c r="D1059" s="202"/>
      <c r="E1059" s="107"/>
      <c r="F1059" s="211"/>
      <c r="G1059" s="226"/>
      <c r="H1059" s="107"/>
      <c r="I1059" s="227"/>
      <c r="J1059" s="227"/>
      <c r="K1059" s="115"/>
      <c r="L1059" s="228"/>
      <c r="M1059" s="107"/>
      <c r="N1059" s="229">
        <f>IF(AND(O1059=TRUE,P1059=TRUE), VLOOKUP($E1059,PESSOAL!$B$35:$S$45,MONTH($F1059)+6,FALSE)*G1059*24,0)</f>
        <v>0</v>
      </c>
      <c r="O1059" s="89" t="b">
        <f t="shared" si="1"/>
        <v>0</v>
      </c>
      <c r="P1059" s="89" t="b">
        <v>0</v>
      </c>
      <c r="Q1059" s="89" t="e">
        <v>#N/A</v>
      </c>
    </row>
    <row r="1060" hidden="1">
      <c r="A1060" s="108"/>
      <c r="B1060" s="202"/>
      <c r="C1060" s="202" t="str">
        <f>VLOOKUP(M1060,'#verificação horas por projeto'!A:B,2,FALSE)</f>
        <v>#N/A</v>
      </c>
      <c r="D1060" s="202"/>
      <c r="E1060" s="107"/>
      <c r="F1060" s="211"/>
      <c r="G1060" s="226"/>
      <c r="H1060" s="107"/>
      <c r="I1060" s="227"/>
      <c r="J1060" s="227"/>
      <c r="K1060" s="115"/>
      <c r="L1060" s="228"/>
      <c r="M1060" s="107"/>
      <c r="N1060" s="229">
        <f>IF(AND(O1060=TRUE,P1060=TRUE), VLOOKUP($E1060,PESSOAL!$B$35:$S$45,MONTH($F1060)+6,FALSE)*G1060*24,0)</f>
        <v>0</v>
      </c>
      <c r="O1060" s="89" t="b">
        <f t="shared" si="1"/>
        <v>0</v>
      </c>
      <c r="P1060" s="89" t="b">
        <v>0</v>
      </c>
      <c r="Q1060" s="89" t="e">
        <v>#N/A</v>
      </c>
    </row>
    <row r="1061" hidden="1">
      <c r="A1061" s="108"/>
      <c r="B1061" s="202"/>
      <c r="C1061" s="202" t="str">
        <f>VLOOKUP(M1061,'#verificação horas por projeto'!A:B,2,FALSE)</f>
        <v>#N/A</v>
      </c>
      <c r="D1061" s="202"/>
      <c r="E1061" s="107"/>
      <c r="F1061" s="211"/>
      <c r="G1061" s="226"/>
      <c r="H1061" s="107"/>
      <c r="I1061" s="227"/>
      <c r="J1061" s="227"/>
      <c r="K1061" s="115"/>
      <c r="L1061" s="228"/>
      <c r="M1061" s="107"/>
      <c r="N1061" s="229">
        <f>IF(AND(O1061=TRUE,P1061=TRUE), VLOOKUP($E1061,PESSOAL!$B$35:$S$45,MONTH($F1061)+6,FALSE)*G1061*24,0)</f>
        <v>0</v>
      </c>
      <c r="O1061" s="89" t="b">
        <f t="shared" si="1"/>
        <v>0</v>
      </c>
      <c r="P1061" s="89" t="b">
        <v>0</v>
      </c>
      <c r="Q1061" s="89" t="e">
        <v>#N/A</v>
      </c>
    </row>
    <row r="1062" hidden="1">
      <c r="A1062" s="108"/>
      <c r="B1062" s="202"/>
      <c r="C1062" s="202" t="str">
        <f>VLOOKUP(M1062,'#verificação horas por projeto'!A:B,2,FALSE)</f>
        <v>#N/A</v>
      </c>
      <c r="D1062" s="202"/>
      <c r="E1062" s="107"/>
      <c r="F1062" s="211"/>
      <c r="G1062" s="226"/>
      <c r="H1062" s="107"/>
      <c r="I1062" s="227"/>
      <c r="J1062" s="227"/>
      <c r="K1062" s="115"/>
      <c r="L1062" s="228"/>
      <c r="M1062" s="107"/>
      <c r="N1062" s="229">
        <f>IF(AND(O1062=TRUE,P1062=TRUE), VLOOKUP($E1062,PESSOAL!$B$35:$S$45,MONTH($F1062)+6,FALSE)*G1062*24,0)</f>
        <v>0</v>
      </c>
      <c r="O1062" s="89" t="b">
        <f t="shared" si="1"/>
        <v>0</v>
      </c>
      <c r="P1062" s="89" t="b">
        <v>0</v>
      </c>
      <c r="Q1062" s="89" t="e">
        <v>#N/A</v>
      </c>
    </row>
    <row r="1063" hidden="1">
      <c r="A1063" s="108"/>
      <c r="B1063" s="202"/>
      <c r="C1063" s="202" t="str">
        <f>VLOOKUP(M1063,'#verificação horas por projeto'!A:B,2,FALSE)</f>
        <v>#N/A</v>
      </c>
      <c r="D1063" s="202"/>
      <c r="E1063" s="107"/>
      <c r="F1063" s="211"/>
      <c r="G1063" s="226"/>
      <c r="H1063" s="107"/>
      <c r="I1063" s="227"/>
      <c r="J1063" s="227"/>
      <c r="K1063" s="115"/>
      <c r="L1063" s="228"/>
      <c r="M1063" s="107"/>
      <c r="N1063" s="229">
        <f>IF(AND(O1063=TRUE,P1063=TRUE), VLOOKUP($E1063,PESSOAL!$B$35:$S$45,MONTH($F1063)+6,FALSE)*G1063*24,0)</f>
        <v>0</v>
      </c>
      <c r="O1063" s="89" t="b">
        <f t="shared" si="1"/>
        <v>0</v>
      </c>
      <c r="P1063" s="89" t="b">
        <v>0</v>
      </c>
      <c r="Q1063" s="89" t="e">
        <v>#N/A</v>
      </c>
    </row>
    <row r="1064" hidden="1">
      <c r="A1064" s="108"/>
      <c r="B1064" s="202"/>
      <c r="C1064" s="202" t="str">
        <f>VLOOKUP(M1064,'#verificação horas por projeto'!A:B,2,FALSE)</f>
        <v>#N/A</v>
      </c>
      <c r="D1064" s="202"/>
      <c r="E1064" s="107"/>
      <c r="F1064" s="211"/>
      <c r="G1064" s="226"/>
      <c r="H1064" s="107"/>
      <c r="I1064" s="227"/>
      <c r="J1064" s="227"/>
      <c r="K1064" s="115"/>
      <c r="L1064" s="228"/>
      <c r="M1064" s="107"/>
      <c r="N1064" s="229">
        <f>IF(AND(O1064=TRUE,P1064=TRUE), VLOOKUP($E1064,PESSOAL!$B$35:$S$45,MONTH($F1064)+6,FALSE)*G1064*24,0)</f>
        <v>0</v>
      </c>
      <c r="O1064" s="89" t="b">
        <f t="shared" si="1"/>
        <v>0</v>
      </c>
      <c r="P1064" s="89" t="b">
        <v>0</v>
      </c>
      <c r="Q1064" s="89" t="e">
        <v>#N/A</v>
      </c>
    </row>
    <row r="1065" hidden="1">
      <c r="A1065" s="108"/>
      <c r="B1065" s="202"/>
      <c r="C1065" s="202" t="str">
        <f>VLOOKUP(M1065,'#verificação horas por projeto'!A:B,2,FALSE)</f>
        <v>#N/A</v>
      </c>
      <c r="D1065" s="202"/>
      <c r="E1065" s="107"/>
      <c r="F1065" s="211"/>
      <c r="G1065" s="226"/>
      <c r="H1065" s="107"/>
      <c r="I1065" s="227"/>
      <c r="J1065" s="227"/>
      <c r="K1065" s="115"/>
      <c r="L1065" s="228"/>
      <c r="M1065" s="107"/>
      <c r="N1065" s="229">
        <f>IF(AND(O1065=TRUE,P1065=TRUE), VLOOKUP($E1065,PESSOAL!$B$35:$S$45,MONTH($F1065)+6,FALSE)*G1065*24,0)</f>
        <v>0</v>
      </c>
      <c r="O1065" s="89" t="b">
        <f t="shared" si="1"/>
        <v>0</v>
      </c>
      <c r="P1065" s="89" t="b">
        <v>0</v>
      </c>
      <c r="Q1065" s="89" t="e">
        <v>#N/A</v>
      </c>
    </row>
    <row r="1066" hidden="1">
      <c r="A1066" s="108"/>
      <c r="B1066" s="202"/>
      <c r="C1066" s="202" t="str">
        <f>VLOOKUP(M1066,'#verificação horas por projeto'!A:B,2,FALSE)</f>
        <v>#N/A</v>
      </c>
      <c r="D1066" s="202"/>
      <c r="E1066" s="107"/>
      <c r="F1066" s="211"/>
      <c r="G1066" s="226"/>
      <c r="H1066" s="107"/>
      <c r="I1066" s="227"/>
      <c r="J1066" s="227"/>
      <c r="K1066" s="115"/>
      <c r="L1066" s="228"/>
      <c r="M1066" s="107"/>
      <c r="N1066" s="229">
        <f>IF(AND(O1066=TRUE,P1066=TRUE), VLOOKUP($E1066,PESSOAL!$B$35:$S$45,MONTH($F1066)+6,FALSE)*G1066*24,0)</f>
        <v>0</v>
      </c>
      <c r="O1066" s="89" t="b">
        <f t="shared" si="1"/>
        <v>0</v>
      </c>
      <c r="P1066" s="89" t="b">
        <v>0</v>
      </c>
      <c r="Q1066" s="89" t="e">
        <v>#N/A</v>
      </c>
    </row>
    <row r="1067" hidden="1">
      <c r="A1067" s="108"/>
      <c r="B1067" s="202"/>
      <c r="C1067" s="202" t="str">
        <f>VLOOKUP(M1067,'#verificação horas por projeto'!A:B,2,FALSE)</f>
        <v>#N/A</v>
      </c>
      <c r="D1067" s="202"/>
      <c r="E1067" s="107"/>
      <c r="F1067" s="211"/>
      <c r="G1067" s="226"/>
      <c r="H1067" s="107"/>
      <c r="I1067" s="227"/>
      <c r="J1067" s="227"/>
      <c r="K1067" s="115"/>
      <c r="L1067" s="228"/>
      <c r="M1067" s="107"/>
      <c r="N1067" s="229">
        <f>IF(AND(O1067=TRUE,P1067=TRUE), VLOOKUP($E1067,PESSOAL!$B$35:$S$45,MONTH($F1067)+6,FALSE)*G1067*24,0)</f>
        <v>0</v>
      </c>
      <c r="O1067" s="89" t="b">
        <f t="shared" si="1"/>
        <v>0</v>
      </c>
      <c r="P1067" s="89" t="b">
        <v>0</v>
      </c>
      <c r="Q1067" s="89" t="e">
        <v>#N/A</v>
      </c>
    </row>
    <row r="1068" hidden="1">
      <c r="A1068" s="108"/>
      <c r="B1068" s="202"/>
      <c r="C1068" s="202" t="str">
        <f>VLOOKUP(M1068,'#verificação horas por projeto'!A:B,2,FALSE)</f>
        <v>#N/A</v>
      </c>
      <c r="D1068" s="202"/>
      <c r="E1068" s="107"/>
      <c r="F1068" s="211"/>
      <c r="G1068" s="226"/>
      <c r="H1068" s="107"/>
      <c r="I1068" s="227"/>
      <c r="J1068" s="227"/>
      <c r="K1068" s="115"/>
      <c r="L1068" s="228"/>
      <c r="M1068" s="107"/>
      <c r="N1068" s="229">
        <f>IF(AND(O1068=TRUE,P1068=TRUE), VLOOKUP($E1068,PESSOAL!$B$35:$S$45,MONTH($F1068)+6,FALSE)*G1068*24,0)</f>
        <v>0</v>
      </c>
      <c r="O1068" s="89" t="b">
        <f t="shared" si="1"/>
        <v>0</v>
      </c>
      <c r="P1068" s="89" t="b">
        <v>0</v>
      </c>
      <c r="Q1068" s="89" t="e">
        <v>#N/A</v>
      </c>
    </row>
    <row r="1069" hidden="1">
      <c r="A1069" s="108"/>
      <c r="B1069" s="202"/>
      <c r="C1069" s="202" t="str">
        <f>VLOOKUP(M1069,'#verificação horas por projeto'!A:B,2,FALSE)</f>
        <v>#N/A</v>
      </c>
      <c r="D1069" s="202"/>
      <c r="E1069" s="107"/>
      <c r="F1069" s="211"/>
      <c r="G1069" s="226"/>
      <c r="H1069" s="107"/>
      <c r="I1069" s="227"/>
      <c r="J1069" s="227"/>
      <c r="K1069" s="115"/>
      <c r="L1069" s="228"/>
      <c r="M1069" s="107"/>
      <c r="N1069" s="229">
        <f>IF(AND(O1069=TRUE,P1069=TRUE), VLOOKUP($E1069,PESSOAL!$B$35:$S$45,MONTH($F1069)+6,FALSE)*G1069*24,0)</f>
        <v>0</v>
      </c>
      <c r="O1069" s="89" t="b">
        <f t="shared" si="1"/>
        <v>0</v>
      </c>
      <c r="P1069" s="89" t="b">
        <v>0</v>
      </c>
      <c r="Q1069" s="89" t="e">
        <v>#N/A</v>
      </c>
    </row>
    <row r="1070" hidden="1">
      <c r="A1070" s="108"/>
      <c r="B1070" s="202"/>
      <c r="C1070" s="202" t="str">
        <f>VLOOKUP(M1070,'#verificação horas por projeto'!A:B,2,FALSE)</f>
        <v>#N/A</v>
      </c>
      <c r="D1070" s="202"/>
      <c r="E1070" s="107"/>
      <c r="F1070" s="211"/>
      <c r="G1070" s="226"/>
      <c r="H1070" s="107"/>
      <c r="I1070" s="227"/>
      <c r="J1070" s="227"/>
      <c r="K1070" s="115"/>
      <c r="L1070" s="228"/>
      <c r="M1070" s="107"/>
      <c r="N1070" s="229">
        <f>IF(AND(O1070=TRUE,P1070=TRUE), VLOOKUP($E1070,PESSOAL!$B$35:$S$45,MONTH($F1070)+6,FALSE)*G1070*24,0)</f>
        <v>0</v>
      </c>
      <c r="O1070" s="89" t="b">
        <f t="shared" si="1"/>
        <v>0</v>
      </c>
      <c r="P1070" s="89" t="b">
        <v>0</v>
      </c>
      <c r="Q1070" s="89" t="e">
        <v>#N/A</v>
      </c>
    </row>
    <row r="1071" hidden="1">
      <c r="A1071" s="108"/>
      <c r="B1071" s="202"/>
      <c r="C1071" s="202" t="str">
        <f>VLOOKUP(M1071,'#verificação horas por projeto'!A:B,2,FALSE)</f>
        <v>#N/A</v>
      </c>
      <c r="D1071" s="202"/>
      <c r="E1071" s="107"/>
      <c r="F1071" s="211"/>
      <c r="G1071" s="226"/>
      <c r="H1071" s="107"/>
      <c r="I1071" s="227"/>
      <c r="J1071" s="227"/>
      <c r="K1071" s="115"/>
      <c r="L1071" s="228"/>
      <c r="M1071" s="107"/>
      <c r="N1071" s="229">
        <f>IF(AND(O1071=TRUE,P1071=TRUE), VLOOKUP($E1071,PESSOAL!$B$35:$S$45,MONTH($F1071)+6,FALSE)*G1071*24,0)</f>
        <v>0</v>
      </c>
      <c r="O1071" s="89" t="b">
        <f t="shared" si="1"/>
        <v>0</v>
      </c>
      <c r="P1071" s="89" t="b">
        <v>0</v>
      </c>
      <c r="Q1071" s="89" t="e">
        <v>#N/A</v>
      </c>
    </row>
    <row r="1072" hidden="1">
      <c r="A1072" s="108"/>
      <c r="B1072" s="202"/>
      <c r="C1072" s="202" t="str">
        <f>VLOOKUP(M1072,'#verificação horas por projeto'!A:B,2,FALSE)</f>
        <v>#N/A</v>
      </c>
      <c r="D1072" s="202"/>
      <c r="E1072" s="107"/>
      <c r="F1072" s="211"/>
      <c r="G1072" s="226"/>
      <c r="H1072" s="107"/>
      <c r="I1072" s="227"/>
      <c r="J1072" s="227"/>
      <c r="K1072" s="115"/>
      <c r="L1072" s="228"/>
      <c r="M1072" s="107"/>
      <c r="N1072" s="229">
        <f>IF(AND(O1072=TRUE,P1072=TRUE), VLOOKUP($E1072,PESSOAL!$B$35:$S$45,MONTH($F1072)+6,FALSE)*G1072*24,0)</f>
        <v>0</v>
      </c>
      <c r="O1072" s="89" t="b">
        <f t="shared" si="1"/>
        <v>0</v>
      </c>
      <c r="P1072" s="89" t="b">
        <v>0</v>
      </c>
      <c r="Q1072" s="89" t="e">
        <v>#N/A</v>
      </c>
    </row>
    <row r="1073" hidden="1">
      <c r="A1073" s="108"/>
      <c r="B1073" s="202"/>
      <c r="C1073" s="202" t="str">
        <f>VLOOKUP(M1073,'#verificação horas por projeto'!A:B,2,FALSE)</f>
        <v>#N/A</v>
      </c>
      <c r="D1073" s="202"/>
      <c r="E1073" s="107"/>
      <c r="F1073" s="211"/>
      <c r="G1073" s="226"/>
      <c r="H1073" s="107"/>
      <c r="I1073" s="227"/>
      <c r="J1073" s="227"/>
      <c r="K1073" s="115"/>
      <c r="L1073" s="228"/>
      <c r="M1073" s="107"/>
      <c r="N1073" s="229">
        <f>IF(AND(O1073=TRUE,P1073=TRUE), VLOOKUP($E1073,PESSOAL!$B$35:$S$45,MONTH($F1073)+6,FALSE)*G1073*24,0)</f>
        <v>0</v>
      </c>
      <c r="O1073" s="89" t="b">
        <f t="shared" si="1"/>
        <v>0</v>
      </c>
      <c r="P1073" s="89" t="b">
        <v>0</v>
      </c>
      <c r="Q1073" s="89" t="e">
        <v>#N/A</v>
      </c>
    </row>
    <row r="1074" hidden="1">
      <c r="A1074" s="108"/>
      <c r="B1074" s="202"/>
      <c r="C1074" s="202" t="str">
        <f>VLOOKUP(M1074,'#verificação horas por projeto'!A:B,2,FALSE)</f>
        <v>#N/A</v>
      </c>
      <c r="D1074" s="202"/>
      <c r="E1074" s="107"/>
      <c r="F1074" s="211"/>
      <c r="G1074" s="226"/>
      <c r="H1074" s="107"/>
      <c r="I1074" s="227"/>
      <c r="J1074" s="227"/>
      <c r="K1074" s="115"/>
      <c r="L1074" s="228"/>
      <c r="M1074" s="107"/>
      <c r="N1074" s="229">
        <f>IF(AND(O1074=TRUE,P1074=TRUE), VLOOKUP($E1074,PESSOAL!$B$35:$S$45,MONTH($F1074)+6,FALSE)*G1074*24,0)</f>
        <v>0</v>
      </c>
      <c r="O1074" s="89" t="b">
        <f t="shared" si="1"/>
        <v>0</v>
      </c>
      <c r="P1074" s="89" t="b">
        <v>0</v>
      </c>
      <c r="Q1074" s="89" t="e">
        <v>#N/A</v>
      </c>
    </row>
    <row r="1075" hidden="1">
      <c r="A1075" s="108"/>
      <c r="B1075" s="202"/>
      <c r="C1075" s="202" t="str">
        <f>VLOOKUP(M1075,'#verificação horas por projeto'!A:B,2,FALSE)</f>
        <v>#N/A</v>
      </c>
      <c r="D1075" s="202"/>
      <c r="E1075" s="107"/>
      <c r="F1075" s="211"/>
      <c r="G1075" s="226"/>
      <c r="H1075" s="107"/>
      <c r="I1075" s="227"/>
      <c r="J1075" s="227"/>
      <c r="K1075" s="115"/>
      <c r="L1075" s="228"/>
      <c r="M1075" s="107"/>
      <c r="N1075" s="229">
        <f>IF(AND(O1075=TRUE,P1075=TRUE), VLOOKUP($E1075,PESSOAL!$B$35:$S$45,MONTH($F1075)+6,FALSE)*G1075*24,0)</f>
        <v>0</v>
      </c>
      <c r="O1075" s="89" t="b">
        <f t="shared" si="1"/>
        <v>0</v>
      </c>
      <c r="P1075" s="89" t="b">
        <v>0</v>
      </c>
      <c r="Q1075" s="89" t="e">
        <v>#N/A</v>
      </c>
    </row>
    <row r="1076" hidden="1">
      <c r="A1076" s="108"/>
      <c r="B1076" s="202"/>
      <c r="C1076" s="202" t="str">
        <f>VLOOKUP(M1076,'#verificação horas por projeto'!A:B,2,FALSE)</f>
        <v>#N/A</v>
      </c>
      <c r="D1076" s="202"/>
      <c r="E1076" s="107"/>
      <c r="F1076" s="211"/>
      <c r="G1076" s="226"/>
      <c r="H1076" s="107"/>
      <c r="I1076" s="227"/>
      <c r="J1076" s="227"/>
      <c r="K1076" s="115"/>
      <c r="L1076" s="228"/>
      <c r="M1076" s="107"/>
      <c r="N1076" s="229">
        <f>IF(AND(O1076=TRUE,P1076=TRUE), VLOOKUP($E1076,PESSOAL!$B$35:$S$45,MONTH($F1076)+6,FALSE)*G1076*24,0)</f>
        <v>0</v>
      </c>
      <c r="O1076" s="89" t="b">
        <f t="shared" si="1"/>
        <v>0</v>
      </c>
      <c r="P1076" s="89" t="b">
        <v>0</v>
      </c>
      <c r="Q1076" s="89" t="e">
        <v>#N/A</v>
      </c>
    </row>
    <row r="1077" hidden="1">
      <c r="A1077" s="108"/>
      <c r="B1077" s="202"/>
      <c r="C1077" s="202" t="str">
        <f>VLOOKUP(M1077,'#verificação horas por projeto'!A:B,2,FALSE)</f>
        <v>#N/A</v>
      </c>
      <c r="D1077" s="202"/>
      <c r="E1077" s="107"/>
      <c r="F1077" s="211"/>
      <c r="G1077" s="226"/>
      <c r="H1077" s="107"/>
      <c r="I1077" s="227"/>
      <c r="J1077" s="227"/>
      <c r="K1077" s="115"/>
      <c r="L1077" s="228"/>
      <c r="M1077" s="107"/>
      <c r="N1077" s="229">
        <f>IF(AND(O1077=TRUE,P1077=TRUE), VLOOKUP($E1077,PESSOAL!$B$35:$S$45,MONTH($F1077)+6,FALSE)*G1077*24,0)</f>
        <v>0</v>
      </c>
      <c r="O1077" s="89" t="b">
        <f t="shared" si="1"/>
        <v>0</v>
      </c>
      <c r="P1077" s="89" t="b">
        <v>0</v>
      </c>
      <c r="Q1077" s="89" t="e">
        <v>#N/A</v>
      </c>
    </row>
    <row r="1078" hidden="1">
      <c r="A1078" s="108"/>
      <c r="B1078" s="202"/>
      <c r="C1078" s="202" t="str">
        <f>VLOOKUP(M1078,'#verificação horas por projeto'!A:B,2,FALSE)</f>
        <v>#N/A</v>
      </c>
      <c r="D1078" s="202"/>
      <c r="E1078" s="107"/>
      <c r="F1078" s="211"/>
      <c r="G1078" s="226"/>
      <c r="H1078" s="107"/>
      <c r="I1078" s="227"/>
      <c r="J1078" s="227"/>
      <c r="K1078" s="115"/>
      <c r="L1078" s="228"/>
      <c r="M1078" s="107"/>
      <c r="N1078" s="229">
        <f>IF(AND(O1078=TRUE,P1078=TRUE), VLOOKUP($E1078,PESSOAL!$B$35:$S$45,MONTH($F1078)+6,FALSE)*G1078*24,0)</f>
        <v>0</v>
      </c>
      <c r="O1078" s="89" t="b">
        <f t="shared" si="1"/>
        <v>0</v>
      </c>
      <c r="P1078" s="89" t="b">
        <v>0</v>
      </c>
      <c r="Q1078" s="89" t="e">
        <v>#N/A</v>
      </c>
    </row>
    <row r="1079" hidden="1">
      <c r="A1079" s="108"/>
      <c r="B1079" s="202"/>
      <c r="C1079" s="202" t="str">
        <f>VLOOKUP(M1079,'#verificação horas por projeto'!A:B,2,FALSE)</f>
        <v>#N/A</v>
      </c>
      <c r="D1079" s="202"/>
      <c r="E1079" s="107"/>
      <c r="F1079" s="211"/>
      <c r="G1079" s="226"/>
      <c r="H1079" s="107"/>
      <c r="I1079" s="227"/>
      <c r="J1079" s="227"/>
      <c r="K1079" s="115"/>
      <c r="L1079" s="228"/>
      <c r="M1079" s="107"/>
      <c r="N1079" s="229">
        <f>IF(AND(O1079=TRUE,P1079=TRUE), VLOOKUP($E1079,PESSOAL!$B$35:$S$45,MONTH($F1079)+6,FALSE)*G1079*24,0)</f>
        <v>0</v>
      </c>
      <c r="O1079" s="89" t="b">
        <f t="shared" si="1"/>
        <v>0</v>
      </c>
      <c r="P1079" s="89" t="b">
        <v>0</v>
      </c>
      <c r="Q1079" s="89" t="e">
        <v>#N/A</v>
      </c>
    </row>
    <row r="1080" hidden="1">
      <c r="A1080" s="108"/>
      <c r="B1080" s="202"/>
      <c r="C1080" s="202" t="str">
        <f>VLOOKUP(M1080,'#verificação horas por projeto'!A:B,2,FALSE)</f>
        <v>#N/A</v>
      </c>
      <c r="D1080" s="202"/>
      <c r="E1080" s="107"/>
      <c r="F1080" s="211"/>
      <c r="G1080" s="226"/>
      <c r="H1080" s="107"/>
      <c r="I1080" s="227"/>
      <c r="J1080" s="227"/>
      <c r="K1080" s="115"/>
      <c r="L1080" s="228"/>
      <c r="M1080" s="107"/>
      <c r="N1080" s="229">
        <f>IF(AND(O1080=TRUE,P1080=TRUE), VLOOKUP($E1080,PESSOAL!$B$35:$S$45,MONTH($F1080)+6,FALSE)*G1080*24,0)</f>
        <v>0</v>
      </c>
      <c r="O1080" s="89" t="b">
        <f t="shared" si="1"/>
        <v>0</v>
      </c>
      <c r="P1080" s="89" t="b">
        <v>0</v>
      </c>
      <c r="Q1080" s="89" t="e">
        <v>#N/A</v>
      </c>
    </row>
    <row r="1081" hidden="1">
      <c r="A1081" s="108"/>
      <c r="B1081" s="202"/>
      <c r="C1081" s="202" t="str">
        <f>VLOOKUP(M1081,'#verificação horas por projeto'!A:B,2,FALSE)</f>
        <v>#N/A</v>
      </c>
      <c r="D1081" s="202"/>
      <c r="E1081" s="107"/>
      <c r="F1081" s="211"/>
      <c r="G1081" s="226"/>
      <c r="H1081" s="107"/>
      <c r="I1081" s="227"/>
      <c r="J1081" s="227"/>
      <c r="K1081" s="115"/>
      <c r="L1081" s="228"/>
      <c r="M1081" s="107"/>
      <c r="N1081" s="229">
        <f>IF(AND(O1081=TRUE,P1081=TRUE), VLOOKUP($E1081,PESSOAL!$B$35:$S$45,MONTH($F1081)+6,FALSE)*G1081*24,0)</f>
        <v>0</v>
      </c>
      <c r="O1081" s="89" t="b">
        <f t="shared" si="1"/>
        <v>0</v>
      </c>
      <c r="P1081" s="89" t="b">
        <v>0</v>
      </c>
      <c r="Q1081" s="89" t="e">
        <v>#N/A</v>
      </c>
    </row>
    <row r="1082" hidden="1">
      <c r="A1082" s="108"/>
      <c r="B1082" s="202"/>
      <c r="C1082" s="202" t="str">
        <f>VLOOKUP(M1082,'#verificação horas por projeto'!A:B,2,FALSE)</f>
        <v>#N/A</v>
      </c>
      <c r="D1082" s="202"/>
      <c r="E1082" s="107"/>
      <c r="F1082" s="211"/>
      <c r="G1082" s="226"/>
      <c r="H1082" s="107"/>
      <c r="I1082" s="227"/>
      <c r="J1082" s="227"/>
      <c r="K1082" s="115"/>
      <c r="L1082" s="228"/>
      <c r="M1082" s="107"/>
      <c r="N1082" s="229">
        <f>IF(AND(O1082=TRUE,P1082=TRUE), VLOOKUP($E1082,PESSOAL!$B$35:$S$45,MONTH($F1082)+6,FALSE)*G1082*24,0)</f>
        <v>0</v>
      </c>
      <c r="O1082" s="89" t="b">
        <f t="shared" si="1"/>
        <v>0</v>
      </c>
      <c r="P1082" s="89" t="b">
        <v>0</v>
      </c>
      <c r="Q1082" s="89" t="e">
        <v>#N/A</v>
      </c>
    </row>
    <row r="1083" hidden="1">
      <c r="A1083" s="108"/>
      <c r="B1083" s="202"/>
      <c r="C1083" s="202" t="str">
        <f>VLOOKUP(M1083,'#verificação horas por projeto'!A:B,2,FALSE)</f>
        <v>#N/A</v>
      </c>
      <c r="D1083" s="202"/>
      <c r="E1083" s="107"/>
      <c r="F1083" s="211"/>
      <c r="G1083" s="226"/>
      <c r="H1083" s="107"/>
      <c r="I1083" s="227"/>
      <c r="J1083" s="227"/>
      <c r="K1083" s="115"/>
      <c r="L1083" s="228"/>
      <c r="M1083" s="107"/>
      <c r="N1083" s="229">
        <f>IF(AND(O1083=TRUE,P1083=TRUE), VLOOKUP($E1083,PESSOAL!$B$35:$S$45,MONTH($F1083)+6,FALSE)*G1083*24,0)</f>
        <v>0</v>
      </c>
      <c r="O1083" s="89" t="b">
        <f t="shared" si="1"/>
        <v>0</v>
      </c>
      <c r="P1083" s="89" t="b">
        <v>0</v>
      </c>
      <c r="Q1083" s="89" t="e">
        <v>#N/A</v>
      </c>
    </row>
    <row r="1084" hidden="1">
      <c r="A1084" s="108"/>
      <c r="B1084" s="202"/>
      <c r="C1084" s="202" t="str">
        <f>VLOOKUP(M1084,'#verificação horas por projeto'!A:B,2,FALSE)</f>
        <v>#N/A</v>
      </c>
      <c r="D1084" s="202"/>
      <c r="E1084" s="107"/>
      <c r="F1084" s="211"/>
      <c r="G1084" s="226"/>
      <c r="H1084" s="107"/>
      <c r="I1084" s="227"/>
      <c r="J1084" s="227"/>
      <c r="K1084" s="115"/>
      <c r="L1084" s="228"/>
      <c r="M1084" s="107"/>
      <c r="N1084" s="229">
        <f>IF(AND(O1084=TRUE,P1084=TRUE), VLOOKUP($E1084,PESSOAL!$B$35:$S$45,MONTH($F1084)+6,FALSE)*G1084*24,0)</f>
        <v>0</v>
      </c>
      <c r="O1084" s="89" t="b">
        <f t="shared" si="1"/>
        <v>0</v>
      </c>
      <c r="P1084" s="89" t="b">
        <v>0</v>
      </c>
      <c r="Q1084" s="89" t="e">
        <v>#N/A</v>
      </c>
    </row>
    <row r="1085" hidden="1">
      <c r="A1085" s="108"/>
      <c r="B1085" s="202"/>
      <c r="C1085" s="202" t="str">
        <f>VLOOKUP(M1085,'#verificação horas por projeto'!A:B,2,FALSE)</f>
        <v>#N/A</v>
      </c>
      <c r="D1085" s="202"/>
      <c r="E1085" s="107"/>
      <c r="F1085" s="211"/>
      <c r="G1085" s="226"/>
      <c r="H1085" s="107"/>
      <c r="I1085" s="227"/>
      <c r="J1085" s="227"/>
      <c r="K1085" s="115"/>
      <c r="L1085" s="228"/>
      <c r="M1085" s="107"/>
      <c r="N1085" s="229">
        <f>IF(AND(O1085=TRUE,P1085=TRUE), VLOOKUP($E1085,PESSOAL!$B$35:$S$45,MONTH($F1085)+6,FALSE)*G1085*24,0)</f>
        <v>0</v>
      </c>
      <c r="O1085" s="89" t="b">
        <f t="shared" si="1"/>
        <v>0</v>
      </c>
      <c r="P1085" s="89" t="b">
        <v>0</v>
      </c>
      <c r="Q1085" s="89" t="e">
        <v>#N/A</v>
      </c>
    </row>
    <row r="1086" hidden="1">
      <c r="A1086" s="108"/>
      <c r="B1086" s="202"/>
      <c r="C1086" s="202" t="str">
        <f>VLOOKUP(M1086,'#verificação horas por projeto'!A:B,2,FALSE)</f>
        <v>#N/A</v>
      </c>
      <c r="D1086" s="202"/>
      <c r="E1086" s="107"/>
      <c r="F1086" s="211"/>
      <c r="G1086" s="226"/>
      <c r="H1086" s="107"/>
      <c r="I1086" s="227"/>
      <c r="J1086" s="227"/>
      <c r="K1086" s="115"/>
      <c r="L1086" s="228"/>
      <c r="M1086" s="107"/>
      <c r="N1086" s="229">
        <f>IF(AND(O1086=TRUE,P1086=TRUE), VLOOKUP($E1086,PESSOAL!$B$35:$S$45,MONTH($F1086)+6,FALSE)*G1086*24,0)</f>
        <v>0</v>
      </c>
      <c r="O1086" s="89" t="b">
        <f t="shared" si="1"/>
        <v>0</v>
      </c>
      <c r="P1086" s="89" t="b">
        <v>0</v>
      </c>
      <c r="Q1086" s="89" t="e">
        <v>#N/A</v>
      </c>
    </row>
    <row r="1087" hidden="1">
      <c r="A1087" s="108"/>
      <c r="B1087" s="202"/>
      <c r="C1087" s="202" t="str">
        <f>VLOOKUP(M1087,'#verificação horas por projeto'!A:B,2,FALSE)</f>
        <v>#N/A</v>
      </c>
      <c r="D1087" s="202"/>
      <c r="E1087" s="107"/>
      <c r="F1087" s="211"/>
      <c r="G1087" s="226"/>
      <c r="H1087" s="107"/>
      <c r="I1087" s="227"/>
      <c r="J1087" s="227"/>
      <c r="K1087" s="115"/>
      <c r="L1087" s="228"/>
      <c r="M1087" s="107"/>
      <c r="N1087" s="229">
        <f>IF(AND(O1087=TRUE,P1087=TRUE), VLOOKUP($E1087,PESSOAL!$B$35:$S$45,MONTH($F1087)+6,FALSE)*G1087*24,0)</f>
        <v>0</v>
      </c>
      <c r="O1087" s="89" t="b">
        <f t="shared" si="1"/>
        <v>0</v>
      </c>
      <c r="P1087" s="89" t="b">
        <v>0</v>
      </c>
      <c r="Q1087" s="89" t="e">
        <v>#N/A</v>
      </c>
    </row>
    <row r="1088" hidden="1">
      <c r="A1088" s="108"/>
      <c r="B1088" s="202"/>
      <c r="C1088" s="202" t="str">
        <f>VLOOKUP(M1088,'#verificação horas por projeto'!A:B,2,FALSE)</f>
        <v>#N/A</v>
      </c>
      <c r="D1088" s="202"/>
      <c r="E1088" s="107"/>
      <c r="F1088" s="211"/>
      <c r="G1088" s="226"/>
      <c r="H1088" s="107"/>
      <c r="I1088" s="227"/>
      <c r="J1088" s="227"/>
      <c r="K1088" s="115"/>
      <c r="L1088" s="228"/>
      <c r="M1088" s="107"/>
      <c r="N1088" s="229">
        <f>IF(AND(O1088=TRUE,P1088=TRUE), VLOOKUP($E1088,PESSOAL!$B$35:$S$45,MONTH($F1088)+6,FALSE)*G1088*24,0)</f>
        <v>0</v>
      </c>
      <c r="O1088" s="89" t="b">
        <f t="shared" si="1"/>
        <v>0</v>
      </c>
      <c r="P1088" s="89" t="b">
        <v>0</v>
      </c>
      <c r="Q1088" s="89" t="e">
        <v>#N/A</v>
      </c>
    </row>
    <row r="1089" hidden="1">
      <c r="A1089" s="108"/>
      <c r="B1089" s="202"/>
      <c r="C1089" s="202" t="str">
        <f>VLOOKUP(M1089,'#verificação horas por projeto'!A:B,2,FALSE)</f>
        <v>#N/A</v>
      </c>
      <c r="D1089" s="202"/>
      <c r="E1089" s="107"/>
      <c r="F1089" s="211"/>
      <c r="G1089" s="226"/>
      <c r="H1089" s="107"/>
      <c r="I1089" s="227"/>
      <c r="J1089" s="227"/>
      <c r="K1089" s="115"/>
      <c r="L1089" s="228"/>
      <c r="M1089" s="107"/>
      <c r="N1089" s="229">
        <f>IF(AND(O1089=TRUE,P1089=TRUE), VLOOKUP($E1089,PESSOAL!$B$35:$S$45,MONTH($F1089)+6,FALSE)*G1089*24,0)</f>
        <v>0</v>
      </c>
      <c r="O1089" s="89" t="b">
        <f t="shared" si="1"/>
        <v>0</v>
      </c>
      <c r="P1089" s="89" t="b">
        <v>0</v>
      </c>
      <c r="Q1089" s="89" t="e">
        <v>#N/A</v>
      </c>
    </row>
    <row r="1090" hidden="1">
      <c r="A1090" s="108"/>
      <c r="B1090" s="202"/>
      <c r="C1090" s="202" t="str">
        <f>VLOOKUP(M1090,'#verificação horas por projeto'!A:B,2,FALSE)</f>
        <v>#N/A</v>
      </c>
      <c r="D1090" s="202"/>
      <c r="E1090" s="107"/>
      <c r="F1090" s="211"/>
      <c r="G1090" s="226"/>
      <c r="H1090" s="107"/>
      <c r="I1090" s="227"/>
      <c r="J1090" s="227"/>
      <c r="K1090" s="115"/>
      <c r="L1090" s="228"/>
      <c r="M1090" s="107"/>
      <c r="N1090" s="229">
        <f>IF(AND(O1090=TRUE,P1090=TRUE), VLOOKUP($E1090,PESSOAL!$B$35:$S$45,MONTH($F1090)+6,FALSE)*G1090*24,0)</f>
        <v>0</v>
      </c>
      <c r="O1090" s="89" t="b">
        <f t="shared" si="1"/>
        <v>0</v>
      </c>
      <c r="P1090" s="89" t="b">
        <v>0</v>
      </c>
      <c r="Q1090" s="89" t="e">
        <v>#N/A</v>
      </c>
    </row>
    <row r="1091" hidden="1">
      <c r="A1091" s="108"/>
      <c r="B1091" s="202"/>
      <c r="C1091" s="202" t="str">
        <f>VLOOKUP(M1091,'#verificação horas por projeto'!A:B,2,FALSE)</f>
        <v>#N/A</v>
      </c>
      <c r="D1091" s="202"/>
      <c r="E1091" s="107"/>
      <c r="F1091" s="211"/>
      <c r="G1091" s="226"/>
      <c r="H1091" s="107"/>
      <c r="I1091" s="227"/>
      <c r="J1091" s="227"/>
      <c r="K1091" s="115"/>
      <c r="L1091" s="228"/>
      <c r="M1091" s="107"/>
      <c r="N1091" s="229">
        <f>IF(AND(O1091=TRUE,P1091=TRUE), VLOOKUP($E1091,PESSOAL!$B$35:$S$45,MONTH($F1091)+6,FALSE)*G1091*24,0)</f>
        <v>0</v>
      </c>
      <c r="O1091" s="89" t="b">
        <f t="shared" si="1"/>
        <v>0</v>
      </c>
      <c r="P1091" s="89" t="b">
        <v>0</v>
      </c>
      <c r="Q1091" s="89" t="e">
        <v>#N/A</v>
      </c>
    </row>
    <row r="1092" hidden="1">
      <c r="A1092" s="108"/>
      <c r="B1092" s="202"/>
      <c r="C1092" s="202" t="str">
        <f>VLOOKUP(M1092,'#verificação horas por projeto'!A:B,2,FALSE)</f>
        <v>#N/A</v>
      </c>
      <c r="D1092" s="202"/>
      <c r="E1092" s="107"/>
      <c r="F1092" s="211"/>
      <c r="G1092" s="226"/>
      <c r="H1092" s="107"/>
      <c r="I1092" s="227"/>
      <c r="J1092" s="227"/>
      <c r="K1092" s="115"/>
      <c r="L1092" s="228"/>
      <c r="M1092" s="107"/>
      <c r="N1092" s="229">
        <f>IF(AND(O1092=TRUE,P1092=TRUE), VLOOKUP($E1092,PESSOAL!$B$35:$S$45,MONTH($F1092)+6,FALSE)*G1092*24,0)</f>
        <v>0</v>
      </c>
      <c r="O1092" s="89" t="b">
        <f t="shared" si="1"/>
        <v>0</v>
      </c>
      <c r="P1092" s="89" t="b">
        <v>0</v>
      </c>
      <c r="Q1092" s="89" t="e">
        <v>#N/A</v>
      </c>
    </row>
    <row r="1093" hidden="1">
      <c r="A1093" s="108"/>
      <c r="B1093" s="202"/>
      <c r="C1093" s="202" t="str">
        <f>VLOOKUP(M1093,'#verificação horas por projeto'!A:B,2,FALSE)</f>
        <v>#N/A</v>
      </c>
      <c r="D1093" s="202"/>
      <c r="E1093" s="107"/>
      <c r="F1093" s="211"/>
      <c r="G1093" s="226"/>
      <c r="H1093" s="107"/>
      <c r="I1093" s="227"/>
      <c r="J1093" s="227"/>
      <c r="K1093" s="115"/>
      <c r="L1093" s="228"/>
      <c r="M1093" s="107"/>
      <c r="N1093" s="229">
        <f>IF(AND(O1093=TRUE,P1093=TRUE), VLOOKUP($E1093,PESSOAL!$B$35:$S$45,MONTH($F1093)+6,FALSE)*G1093*24,0)</f>
        <v>0</v>
      </c>
      <c r="O1093" s="89" t="b">
        <f t="shared" si="1"/>
        <v>0</v>
      </c>
      <c r="P1093" s="89" t="b">
        <v>0</v>
      </c>
      <c r="Q1093" s="89" t="e">
        <v>#N/A</v>
      </c>
    </row>
    <row r="1094" hidden="1">
      <c r="A1094" s="108"/>
      <c r="B1094" s="202"/>
      <c r="C1094" s="202" t="str">
        <f>VLOOKUP(M1094,'#verificação horas por projeto'!A:B,2,FALSE)</f>
        <v>#N/A</v>
      </c>
      <c r="D1094" s="202"/>
      <c r="E1094" s="107"/>
      <c r="F1094" s="211"/>
      <c r="G1094" s="226"/>
      <c r="H1094" s="107"/>
      <c r="I1094" s="227"/>
      <c r="J1094" s="227"/>
      <c r="K1094" s="115"/>
      <c r="L1094" s="228"/>
      <c r="M1094" s="107"/>
      <c r="N1094" s="229">
        <f>IF(AND(O1094=TRUE,P1094=TRUE), VLOOKUP($E1094,PESSOAL!$B$35:$S$45,MONTH($F1094)+6,FALSE)*G1094*24,0)</f>
        <v>0</v>
      </c>
      <c r="O1094" s="89" t="b">
        <f t="shared" si="1"/>
        <v>0</v>
      </c>
      <c r="P1094" s="89" t="b">
        <v>0</v>
      </c>
      <c r="Q1094" s="89" t="e">
        <v>#N/A</v>
      </c>
    </row>
    <row r="1095" hidden="1">
      <c r="A1095" s="108"/>
      <c r="B1095" s="202"/>
      <c r="C1095" s="202" t="str">
        <f>VLOOKUP(M1095,'#verificação horas por projeto'!A:B,2,FALSE)</f>
        <v>#N/A</v>
      </c>
      <c r="D1095" s="202"/>
      <c r="E1095" s="107"/>
      <c r="F1095" s="211"/>
      <c r="G1095" s="226"/>
      <c r="H1095" s="107"/>
      <c r="I1095" s="227"/>
      <c r="J1095" s="227"/>
      <c r="K1095" s="115"/>
      <c r="L1095" s="228"/>
      <c r="M1095" s="107"/>
      <c r="N1095" s="229">
        <f>IF(AND(O1095=TRUE,P1095=TRUE), VLOOKUP($E1095,PESSOAL!$B$35:$S$45,MONTH($F1095)+6,FALSE)*G1095*24,0)</f>
        <v>0</v>
      </c>
      <c r="O1095" s="89" t="b">
        <f t="shared" si="1"/>
        <v>0</v>
      </c>
      <c r="P1095" s="89" t="b">
        <v>0</v>
      </c>
      <c r="Q1095" s="89" t="e">
        <v>#N/A</v>
      </c>
    </row>
    <row r="1096" hidden="1">
      <c r="A1096" s="108"/>
      <c r="B1096" s="202"/>
      <c r="C1096" s="202" t="str">
        <f>VLOOKUP(M1096,'#verificação horas por projeto'!A:B,2,FALSE)</f>
        <v>#N/A</v>
      </c>
      <c r="D1096" s="202"/>
      <c r="E1096" s="107"/>
      <c r="F1096" s="211"/>
      <c r="G1096" s="226"/>
      <c r="H1096" s="107"/>
      <c r="I1096" s="227"/>
      <c r="J1096" s="227"/>
      <c r="K1096" s="115"/>
      <c r="L1096" s="228"/>
      <c r="M1096" s="107"/>
      <c r="N1096" s="229">
        <f>IF(AND(O1096=TRUE,P1096=TRUE), VLOOKUP($E1096,PESSOAL!$B$35:$S$45,MONTH($F1096)+6,FALSE)*G1096*24,0)</f>
        <v>0</v>
      </c>
      <c r="O1096" s="89" t="b">
        <f t="shared" si="1"/>
        <v>0</v>
      </c>
      <c r="P1096" s="89" t="b">
        <v>0</v>
      </c>
      <c r="Q1096" s="89" t="e">
        <v>#N/A</v>
      </c>
    </row>
    <row r="1097" hidden="1">
      <c r="A1097" s="108"/>
      <c r="B1097" s="202"/>
      <c r="C1097" s="202" t="str">
        <f>VLOOKUP(M1097,'#verificação horas por projeto'!A:B,2,FALSE)</f>
        <v>#N/A</v>
      </c>
      <c r="D1097" s="202"/>
      <c r="E1097" s="107"/>
      <c r="F1097" s="211"/>
      <c r="G1097" s="226"/>
      <c r="H1097" s="107"/>
      <c r="I1097" s="227"/>
      <c r="J1097" s="227"/>
      <c r="K1097" s="115"/>
      <c r="L1097" s="228"/>
      <c r="M1097" s="107"/>
      <c r="N1097" s="229">
        <f>IF(AND(O1097=TRUE,P1097=TRUE), VLOOKUP($E1097,PESSOAL!$B$35:$S$45,MONTH($F1097)+6,FALSE)*G1097*24,0)</f>
        <v>0</v>
      </c>
      <c r="O1097" s="89" t="b">
        <f t="shared" si="1"/>
        <v>0</v>
      </c>
      <c r="P1097" s="89" t="b">
        <v>0</v>
      </c>
      <c r="Q1097" s="89" t="e">
        <v>#N/A</v>
      </c>
    </row>
    <row r="1098" hidden="1">
      <c r="A1098" s="108"/>
      <c r="B1098" s="202"/>
      <c r="C1098" s="202" t="str">
        <f>VLOOKUP(M1098,'#verificação horas por projeto'!A:B,2,FALSE)</f>
        <v>#N/A</v>
      </c>
      <c r="D1098" s="202"/>
      <c r="E1098" s="107"/>
      <c r="F1098" s="211"/>
      <c r="G1098" s="226"/>
      <c r="H1098" s="107"/>
      <c r="I1098" s="227"/>
      <c r="J1098" s="227"/>
      <c r="K1098" s="115"/>
      <c r="L1098" s="228"/>
      <c r="M1098" s="107"/>
      <c r="N1098" s="229">
        <f>IF(AND(O1098=TRUE,P1098=TRUE), VLOOKUP($E1098,PESSOAL!$B$35:$S$45,MONTH($F1098)+6,FALSE)*G1098*24,0)</f>
        <v>0</v>
      </c>
      <c r="O1098" s="89" t="b">
        <f t="shared" si="1"/>
        <v>0</v>
      </c>
      <c r="P1098" s="89" t="b">
        <v>0</v>
      </c>
      <c r="Q1098" s="89" t="e">
        <v>#N/A</v>
      </c>
    </row>
    <row r="1099" hidden="1">
      <c r="A1099" s="108"/>
      <c r="B1099" s="202"/>
      <c r="C1099" s="202" t="str">
        <f>VLOOKUP(M1099,'#verificação horas por projeto'!A:B,2,FALSE)</f>
        <v>#N/A</v>
      </c>
      <c r="D1099" s="202"/>
      <c r="E1099" s="107"/>
      <c r="F1099" s="211"/>
      <c r="G1099" s="226"/>
      <c r="H1099" s="107"/>
      <c r="I1099" s="227"/>
      <c r="J1099" s="227"/>
      <c r="K1099" s="115"/>
      <c r="L1099" s="228"/>
      <c r="M1099" s="107"/>
      <c r="N1099" s="229">
        <f>IF(AND(O1099=TRUE,P1099=TRUE), VLOOKUP($E1099,PESSOAL!$B$35:$S$45,MONTH($F1099)+6,FALSE)*G1099*24,0)</f>
        <v>0</v>
      </c>
      <c r="O1099" s="89" t="b">
        <f t="shared" si="1"/>
        <v>0</v>
      </c>
      <c r="P1099" s="89" t="b">
        <v>0</v>
      </c>
      <c r="Q1099" s="89" t="e">
        <v>#N/A</v>
      </c>
    </row>
    <row r="1100" hidden="1">
      <c r="A1100" s="108"/>
      <c r="B1100" s="202"/>
      <c r="C1100" s="202" t="str">
        <f>VLOOKUP(M1100,'#verificação horas por projeto'!A:B,2,FALSE)</f>
        <v>#N/A</v>
      </c>
      <c r="D1100" s="202"/>
      <c r="E1100" s="107"/>
      <c r="F1100" s="211"/>
      <c r="G1100" s="226"/>
      <c r="H1100" s="107"/>
      <c r="I1100" s="227"/>
      <c r="J1100" s="227"/>
      <c r="K1100" s="115"/>
      <c r="L1100" s="228"/>
      <c r="M1100" s="107"/>
      <c r="N1100" s="229">
        <f>IF(AND(O1100=TRUE,P1100=TRUE), VLOOKUP($E1100,PESSOAL!$B$35:$S$45,MONTH($F1100)+6,FALSE)*G1100*24,0)</f>
        <v>0</v>
      </c>
      <c r="O1100" s="89" t="b">
        <f t="shared" si="1"/>
        <v>0</v>
      </c>
      <c r="P1100" s="89" t="b">
        <v>0</v>
      </c>
      <c r="Q1100" s="89" t="e">
        <v>#N/A</v>
      </c>
    </row>
    <row r="1101" hidden="1">
      <c r="A1101" s="108"/>
      <c r="B1101" s="202"/>
      <c r="C1101" s="202" t="str">
        <f>VLOOKUP(M1101,'#verificação horas por projeto'!A:B,2,FALSE)</f>
        <v>#N/A</v>
      </c>
      <c r="D1101" s="202"/>
      <c r="E1101" s="107"/>
      <c r="F1101" s="211"/>
      <c r="G1101" s="226"/>
      <c r="H1101" s="107"/>
      <c r="I1101" s="227"/>
      <c r="J1101" s="227"/>
      <c r="K1101" s="115"/>
      <c r="L1101" s="228"/>
      <c r="M1101" s="107"/>
      <c r="N1101" s="229">
        <f>IF(AND(O1101=TRUE,P1101=TRUE), VLOOKUP($E1101,PESSOAL!$B$35:$S$45,MONTH($F1101)+6,FALSE)*G1101*24,0)</f>
        <v>0</v>
      </c>
      <c r="O1101" s="89" t="b">
        <f t="shared" si="1"/>
        <v>0</v>
      </c>
      <c r="P1101" s="89" t="b">
        <v>0</v>
      </c>
      <c r="Q1101" s="89" t="e">
        <v>#N/A</v>
      </c>
    </row>
    <row r="1102" hidden="1">
      <c r="A1102" s="108"/>
      <c r="B1102" s="202"/>
      <c r="C1102" s="202" t="str">
        <f>VLOOKUP(M1102,'#verificação horas por projeto'!A:B,2,FALSE)</f>
        <v>#N/A</v>
      </c>
      <c r="D1102" s="202"/>
      <c r="E1102" s="107"/>
      <c r="F1102" s="211"/>
      <c r="G1102" s="226"/>
      <c r="H1102" s="107"/>
      <c r="I1102" s="227"/>
      <c r="J1102" s="227"/>
      <c r="K1102" s="115"/>
      <c r="L1102" s="228"/>
      <c r="M1102" s="107"/>
      <c r="N1102" s="229">
        <f>IF(AND(O1102=TRUE,P1102=TRUE), VLOOKUP($E1102,PESSOAL!$B$35:$S$45,MONTH($F1102)+6,FALSE)*G1102*24,0)</f>
        <v>0</v>
      </c>
      <c r="O1102" s="89" t="b">
        <f t="shared" si="1"/>
        <v>0</v>
      </c>
      <c r="P1102" s="89" t="b">
        <v>0</v>
      </c>
      <c r="Q1102" s="89" t="e">
        <v>#N/A</v>
      </c>
    </row>
    <row r="1103" hidden="1">
      <c r="A1103" s="108"/>
      <c r="B1103" s="202"/>
      <c r="C1103" s="202" t="str">
        <f>VLOOKUP(M1103,'#verificação horas por projeto'!A:B,2,FALSE)</f>
        <v>#N/A</v>
      </c>
      <c r="D1103" s="202"/>
      <c r="E1103" s="107"/>
      <c r="F1103" s="211"/>
      <c r="G1103" s="226"/>
      <c r="H1103" s="107"/>
      <c r="I1103" s="227"/>
      <c r="J1103" s="227"/>
      <c r="K1103" s="115"/>
      <c r="L1103" s="228"/>
      <c r="M1103" s="107"/>
      <c r="N1103" s="229">
        <f>IF(AND(O1103=TRUE,P1103=TRUE), VLOOKUP($E1103,PESSOAL!$B$35:$S$45,MONTH($F1103)+6,FALSE)*G1103*24,0)</f>
        <v>0</v>
      </c>
      <c r="O1103" s="89" t="b">
        <f t="shared" si="1"/>
        <v>0</v>
      </c>
      <c r="P1103" s="89" t="b">
        <v>0</v>
      </c>
      <c r="Q1103" s="89" t="e">
        <v>#N/A</v>
      </c>
    </row>
    <row r="1104" hidden="1">
      <c r="A1104" s="108"/>
      <c r="B1104" s="202"/>
      <c r="C1104" s="202" t="str">
        <f>VLOOKUP(M1104,'#verificação horas por projeto'!A:B,2,FALSE)</f>
        <v>#N/A</v>
      </c>
      <c r="D1104" s="202"/>
      <c r="E1104" s="107"/>
      <c r="F1104" s="211"/>
      <c r="G1104" s="226"/>
      <c r="H1104" s="107"/>
      <c r="I1104" s="227"/>
      <c r="J1104" s="227"/>
      <c r="K1104" s="115"/>
      <c r="L1104" s="228"/>
      <c r="M1104" s="107"/>
      <c r="N1104" s="229">
        <f>IF(AND(O1104=TRUE,P1104=TRUE), VLOOKUP($E1104,PESSOAL!$B$35:$S$45,MONTH($F1104)+6,FALSE)*G1104*24,0)</f>
        <v>0</v>
      </c>
      <c r="O1104" s="89" t="b">
        <f t="shared" si="1"/>
        <v>0</v>
      </c>
      <c r="P1104" s="89" t="b">
        <v>0</v>
      </c>
      <c r="Q1104" s="89" t="e">
        <v>#N/A</v>
      </c>
    </row>
    <row r="1105" hidden="1">
      <c r="A1105" s="108"/>
      <c r="B1105" s="202"/>
      <c r="C1105" s="202" t="str">
        <f>VLOOKUP(M1105,'#verificação horas por projeto'!A:B,2,FALSE)</f>
        <v>#N/A</v>
      </c>
      <c r="D1105" s="202"/>
      <c r="E1105" s="107"/>
      <c r="F1105" s="211"/>
      <c r="G1105" s="226"/>
      <c r="H1105" s="107"/>
      <c r="I1105" s="227"/>
      <c r="J1105" s="227"/>
      <c r="K1105" s="115"/>
      <c r="L1105" s="228"/>
      <c r="M1105" s="107"/>
      <c r="N1105" s="229">
        <f>IF(AND(O1105=TRUE,P1105=TRUE), VLOOKUP($E1105,PESSOAL!$B$35:$S$45,MONTH($F1105)+6,FALSE)*G1105*24,0)</f>
        <v>0</v>
      </c>
      <c r="O1105" s="89" t="b">
        <f t="shared" si="1"/>
        <v>0</v>
      </c>
      <c r="P1105" s="89" t="b">
        <v>0</v>
      </c>
      <c r="Q1105" s="89" t="e">
        <v>#N/A</v>
      </c>
    </row>
    <row r="1106" hidden="1">
      <c r="A1106" s="108"/>
      <c r="B1106" s="202"/>
      <c r="C1106" s="202" t="str">
        <f>VLOOKUP(M1106,'#verificação horas por projeto'!A:B,2,FALSE)</f>
        <v>#N/A</v>
      </c>
      <c r="D1106" s="202"/>
      <c r="E1106" s="107"/>
      <c r="F1106" s="211"/>
      <c r="G1106" s="226"/>
      <c r="H1106" s="107"/>
      <c r="I1106" s="227"/>
      <c r="J1106" s="227"/>
      <c r="K1106" s="115"/>
      <c r="L1106" s="228"/>
      <c r="M1106" s="107"/>
      <c r="N1106" s="229">
        <f>IF(AND(O1106=TRUE,P1106=TRUE), VLOOKUP($E1106,PESSOAL!$B$35:$S$45,MONTH($F1106)+6,FALSE)*G1106*24,0)</f>
        <v>0</v>
      </c>
      <c r="O1106" s="89" t="b">
        <f t="shared" si="1"/>
        <v>0</v>
      </c>
      <c r="P1106" s="89" t="b">
        <v>0</v>
      </c>
      <c r="Q1106" s="89" t="e">
        <v>#N/A</v>
      </c>
    </row>
    <row r="1107" hidden="1">
      <c r="A1107" s="108"/>
      <c r="B1107" s="202"/>
      <c r="C1107" s="202" t="str">
        <f>VLOOKUP(M1107,'#verificação horas por projeto'!A:B,2,FALSE)</f>
        <v>#N/A</v>
      </c>
      <c r="D1107" s="202"/>
      <c r="E1107" s="107"/>
      <c r="F1107" s="211"/>
      <c r="G1107" s="226"/>
      <c r="H1107" s="107"/>
      <c r="I1107" s="227"/>
      <c r="J1107" s="227"/>
      <c r="K1107" s="115"/>
      <c r="L1107" s="228"/>
      <c r="M1107" s="107"/>
      <c r="N1107" s="229">
        <f>IF(AND(O1107=TRUE,P1107=TRUE), VLOOKUP($E1107,PESSOAL!$B$35:$S$45,MONTH($F1107)+6,FALSE)*G1107*24,0)</f>
        <v>0</v>
      </c>
      <c r="O1107" s="89" t="b">
        <f t="shared" si="1"/>
        <v>0</v>
      </c>
      <c r="P1107" s="89" t="b">
        <v>0</v>
      </c>
      <c r="Q1107" s="89" t="e">
        <v>#N/A</v>
      </c>
    </row>
    <row r="1108" hidden="1">
      <c r="A1108" s="108"/>
      <c r="B1108" s="202"/>
      <c r="C1108" s="202" t="str">
        <f>VLOOKUP(M1108,'#verificação horas por projeto'!A:B,2,FALSE)</f>
        <v>#N/A</v>
      </c>
      <c r="D1108" s="202"/>
      <c r="E1108" s="107"/>
      <c r="F1108" s="211"/>
      <c r="G1108" s="226"/>
      <c r="H1108" s="107"/>
      <c r="I1108" s="227"/>
      <c r="J1108" s="227"/>
      <c r="K1108" s="115"/>
      <c r="L1108" s="228"/>
      <c r="M1108" s="107"/>
      <c r="N1108" s="229">
        <f>IF(AND(O1108=TRUE,P1108=TRUE), VLOOKUP($E1108,PESSOAL!$B$35:$S$45,MONTH($F1108)+6,FALSE)*G1108*24,0)</f>
        <v>0</v>
      </c>
      <c r="O1108" s="89" t="b">
        <f t="shared" si="1"/>
        <v>0</v>
      </c>
      <c r="P1108" s="89" t="b">
        <v>0</v>
      </c>
      <c r="Q1108" s="89" t="e">
        <v>#N/A</v>
      </c>
    </row>
    <row r="1109" hidden="1">
      <c r="A1109" s="108"/>
      <c r="B1109" s="202"/>
      <c r="C1109" s="202" t="str">
        <f>VLOOKUP(M1109,'#verificação horas por projeto'!A:B,2,FALSE)</f>
        <v>#N/A</v>
      </c>
      <c r="D1109" s="202"/>
      <c r="E1109" s="107"/>
      <c r="F1109" s="211"/>
      <c r="G1109" s="226"/>
      <c r="H1109" s="107"/>
      <c r="I1109" s="227"/>
      <c r="J1109" s="227"/>
      <c r="K1109" s="115"/>
      <c r="L1109" s="228"/>
      <c r="M1109" s="107"/>
      <c r="N1109" s="229">
        <f>IF(AND(O1109=TRUE,P1109=TRUE), VLOOKUP($E1109,PESSOAL!$B$35:$S$45,MONTH($F1109)+6,FALSE)*G1109*24,0)</f>
        <v>0</v>
      </c>
      <c r="O1109" s="89" t="b">
        <f t="shared" si="1"/>
        <v>0</v>
      </c>
      <c r="P1109" s="89" t="b">
        <v>0</v>
      </c>
      <c r="Q1109" s="89" t="e">
        <v>#N/A</v>
      </c>
    </row>
    <row r="1110" hidden="1">
      <c r="A1110" s="108"/>
      <c r="B1110" s="202"/>
      <c r="C1110" s="202" t="str">
        <f>VLOOKUP(M1110,'#verificação horas por projeto'!A:B,2,FALSE)</f>
        <v>#N/A</v>
      </c>
      <c r="D1110" s="202"/>
      <c r="E1110" s="107"/>
      <c r="F1110" s="211"/>
      <c r="G1110" s="226"/>
      <c r="H1110" s="107"/>
      <c r="I1110" s="227"/>
      <c r="J1110" s="227"/>
      <c r="K1110" s="115"/>
      <c r="L1110" s="228"/>
      <c r="M1110" s="107"/>
      <c r="N1110" s="229">
        <f>IF(AND(O1110=TRUE,P1110=TRUE), VLOOKUP($E1110,PESSOAL!$B$35:$S$45,MONTH($F1110)+6,FALSE)*G1110*24,0)</f>
        <v>0</v>
      </c>
      <c r="O1110" s="89" t="b">
        <f t="shared" si="1"/>
        <v>0</v>
      </c>
      <c r="P1110" s="89" t="b">
        <v>0</v>
      </c>
      <c r="Q1110" s="89" t="e">
        <v>#N/A</v>
      </c>
    </row>
    <row r="1111" hidden="1">
      <c r="A1111" s="108"/>
      <c r="B1111" s="202"/>
      <c r="C1111" s="202" t="str">
        <f>VLOOKUP(M1111,'#verificação horas por projeto'!A:B,2,FALSE)</f>
        <v>#N/A</v>
      </c>
      <c r="D1111" s="202"/>
      <c r="E1111" s="107"/>
      <c r="F1111" s="211"/>
      <c r="G1111" s="226"/>
      <c r="H1111" s="107"/>
      <c r="I1111" s="227"/>
      <c r="J1111" s="227"/>
      <c r="K1111" s="115"/>
      <c r="L1111" s="228"/>
      <c r="M1111" s="107"/>
      <c r="N1111" s="229">
        <f>IF(AND(O1111=TRUE,P1111=TRUE), VLOOKUP($E1111,PESSOAL!$B$35:$S$45,MONTH($F1111)+6,FALSE)*G1111*24,0)</f>
        <v>0</v>
      </c>
      <c r="O1111" s="89" t="b">
        <f t="shared" si="1"/>
        <v>0</v>
      </c>
      <c r="P1111" s="89" t="b">
        <v>0</v>
      </c>
      <c r="Q1111" s="89" t="e">
        <v>#N/A</v>
      </c>
    </row>
    <row r="1112" hidden="1">
      <c r="A1112" s="108"/>
      <c r="B1112" s="202"/>
      <c r="C1112" s="202" t="str">
        <f>VLOOKUP(M1112,'#verificação horas por projeto'!A:B,2,FALSE)</f>
        <v>#N/A</v>
      </c>
      <c r="D1112" s="202"/>
      <c r="E1112" s="107"/>
      <c r="F1112" s="211"/>
      <c r="G1112" s="226"/>
      <c r="H1112" s="107"/>
      <c r="I1112" s="227"/>
      <c r="J1112" s="227"/>
      <c r="K1112" s="115"/>
      <c r="L1112" s="228"/>
      <c r="M1112" s="107"/>
      <c r="N1112" s="229">
        <f>IF(AND(O1112=TRUE,P1112=TRUE), VLOOKUP($E1112,PESSOAL!$B$35:$S$45,MONTH($F1112)+6,FALSE)*G1112*24,0)</f>
        <v>0</v>
      </c>
      <c r="O1112" s="89" t="b">
        <f t="shared" si="1"/>
        <v>0</v>
      </c>
      <c r="P1112" s="89" t="b">
        <v>0</v>
      </c>
      <c r="Q1112" s="89" t="e">
        <v>#N/A</v>
      </c>
    </row>
    <row r="1113" hidden="1">
      <c r="A1113" s="108"/>
      <c r="B1113" s="202"/>
      <c r="C1113" s="202" t="str">
        <f>VLOOKUP(M1113,'#verificação horas por projeto'!A:B,2,FALSE)</f>
        <v>#N/A</v>
      </c>
      <c r="D1113" s="202"/>
      <c r="E1113" s="107"/>
      <c r="F1113" s="211"/>
      <c r="G1113" s="226"/>
      <c r="H1113" s="107"/>
      <c r="I1113" s="227"/>
      <c r="J1113" s="227"/>
      <c r="K1113" s="115"/>
      <c r="L1113" s="228"/>
      <c r="M1113" s="107"/>
      <c r="N1113" s="229">
        <f>IF(AND(O1113=TRUE,P1113=TRUE), VLOOKUP($E1113,PESSOAL!$B$35:$S$45,MONTH($F1113)+6,FALSE)*G1113*24,0)</f>
        <v>0</v>
      </c>
      <c r="O1113" s="89" t="b">
        <f t="shared" si="1"/>
        <v>0</v>
      </c>
      <c r="P1113" s="89" t="b">
        <v>0</v>
      </c>
      <c r="Q1113" s="89" t="e">
        <v>#N/A</v>
      </c>
    </row>
    <row r="1114" hidden="1">
      <c r="A1114" s="108"/>
      <c r="B1114" s="202"/>
      <c r="C1114" s="202" t="str">
        <f>VLOOKUP(M1114,'#verificação horas por projeto'!A:B,2,FALSE)</f>
        <v>#N/A</v>
      </c>
      <c r="D1114" s="202"/>
      <c r="E1114" s="107"/>
      <c r="F1114" s="211"/>
      <c r="G1114" s="226"/>
      <c r="H1114" s="107"/>
      <c r="I1114" s="227"/>
      <c r="J1114" s="227"/>
      <c r="K1114" s="115"/>
      <c r="L1114" s="228"/>
      <c r="M1114" s="107"/>
      <c r="N1114" s="229">
        <f>IF(AND(O1114=TRUE,P1114=TRUE), VLOOKUP($E1114,PESSOAL!$B$35:$S$45,MONTH($F1114)+6,FALSE)*G1114*24,0)</f>
        <v>0</v>
      </c>
      <c r="O1114" s="89" t="b">
        <f t="shared" si="1"/>
        <v>0</v>
      </c>
      <c r="P1114" s="89" t="b">
        <v>0</v>
      </c>
      <c r="Q1114" s="89" t="e">
        <v>#N/A</v>
      </c>
    </row>
    <row r="1115" hidden="1">
      <c r="A1115" s="108"/>
      <c r="B1115" s="202"/>
      <c r="C1115" s="202" t="str">
        <f>VLOOKUP(M1115,'#verificação horas por projeto'!A:B,2,FALSE)</f>
        <v>#N/A</v>
      </c>
      <c r="D1115" s="202"/>
      <c r="E1115" s="107"/>
      <c r="F1115" s="211"/>
      <c r="G1115" s="226"/>
      <c r="H1115" s="107"/>
      <c r="I1115" s="227"/>
      <c r="J1115" s="227"/>
      <c r="K1115" s="115"/>
      <c r="L1115" s="228"/>
      <c r="M1115" s="107"/>
      <c r="N1115" s="229">
        <f>IF(AND(O1115=TRUE,P1115=TRUE), VLOOKUP($E1115,PESSOAL!$B$35:$S$45,MONTH($F1115)+6,FALSE)*G1115*24,0)</f>
        <v>0</v>
      </c>
      <c r="O1115" s="89" t="b">
        <f t="shared" si="1"/>
        <v>0</v>
      </c>
      <c r="P1115" s="89" t="b">
        <v>0</v>
      </c>
      <c r="Q1115" s="89" t="e">
        <v>#N/A</v>
      </c>
    </row>
    <row r="1116" hidden="1">
      <c r="A1116" s="108"/>
      <c r="B1116" s="202"/>
      <c r="C1116" s="202" t="str">
        <f>VLOOKUP(M1116,'#verificação horas por projeto'!A:B,2,FALSE)</f>
        <v>#N/A</v>
      </c>
      <c r="D1116" s="202"/>
      <c r="E1116" s="107"/>
      <c r="F1116" s="211"/>
      <c r="G1116" s="226"/>
      <c r="H1116" s="107"/>
      <c r="I1116" s="227"/>
      <c r="J1116" s="227"/>
      <c r="K1116" s="115"/>
      <c r="L1116" s="228"/>
      <c r="M1116" s="107"/>
      <c r="N1116" s="229">
        <f>IF(AND(O1116=TRUE,P1116=TRUE), VLOOKUP($E1116,PESSOAL!$B$35:$S$45,MONTH($F1116)+6,FALSE)*G1116*24,0)</f>
        <v>0</v>
      </c>
      <c r="O1116" s="89" t="b">
        <f t="shared" si="1"/>
        <v>0</v>
      </c>
      <c r="P1116" s="89" t="b">
        <v>0</v>
      </c>
      <c r="Q1116" s="89" t="e">
        <v>#N/A</v>
      </c>
    </row>
    <row r="1117" hidden="1">
      <c r="A1117" s="108"/>
      <c r="B1117" s="202"/>
      <c r="C1117" s="202" t="str">
        <f>VLOOKUP(M1117,'#verificação horas por projeto'!A:B,2,FALSE)</f>
        <v>#N/A</v>
      </c>
      <c r="D1117" s="202"/>
      <c r="E1117" s="107"/>
      <c r="F1117" s="211"/>
      <c r="G1117" s="226"/>
      <c r="H1117" s="107"/>
      <c r="I1117" s="227"/>
      <c r="J1117" s="227"/>
      <c r="K1117" s="115"/>
      <c r="L1117" s="228"/>
      <c r="M1117" s="107"/>
      <c r="N1117" s="229">
        <f>IF(AND(O1117=TRUE,P1117=TRUE), VLOOKUP($E1117,PESSOAL!$B$35:$S$45,MONTH($F1117)+6,FALSE)*G1117*24,0)</f>
        <v>0</v>
      </c>
      <c r="O1117" s="89" t="b">
        <f t="shared" si="1"/>
        <v>0</v>
      </c>
      <c r="P1117" s="89" t="b">
        <v>0</v>
      </c>
      <c r="Q1117" s="89" t="e">
        <v>#N/A</v>
      </c>
    </row>
    <row r="1118" hidden="1">
      <c r="A1118" s="108"/>
      <c r="B1118" s="202"/>
      <c r="C1118" s="202" t="str">
        <f>VLOOKUP(M1118,'#verificação horas por projeto'!A:B,2,FALSE)</f>
        <v>#N/A</v>
      </c>
      <c r="D1118" s="202"/>
      <c r="E1118" s="107"/>
      <c r="F1118" s="211"/>
      <c r="G1118" s="226"/>
      <c r="H1118" s="107"/>
      <c r="I1118" s="227"/>
      <c r="J1118" s="227"/>
      <c r="K1118" s="115"/>
      <c r="L1118" s="228"/>
      <c r="M1118" s="107"/>
      <c r="N1118" s="229">
        <f>IF(AND(O1118=TRUE,P1118=TRUE), VLOOKUP($E1118,PESSOAL!$B$35:$S$45,MONTH($F1118)+6,FALSE)*G1118*24,0)</f>
        <v>0</v>
      </c>
      <c r="O1118" s="89" t="b">
        <f t="shared" si="1"/>
        <v>0</v>
      </c>
      <c r="P1118" s="89" t="b">
        <v>0</v>
      </c>
      <c r="Q1118" s="89" t="e">
        <v>#N/A</v>
      </c>
    </row>
    <row r="1119" hidden="1">
      <c r="A1119" s="108"/>
      <c r="B1119" s="202"/>
      <c r="C1119" s="202" t="str">
        <f>VLOOKUP(M1119,'#verificação horas por projeto'!A:B,2,FALSE)</f>
        <v>#N/A</v>
      </c>
      <c r="D1119" s="202"/>
      <c r="E1119" s="107"/>
      <c r="F1119" s="211"/>
      <c r="G1119" s="226"/>
      <c r="H1119" s="107"/>
      <c r="I1119" s="227"/>
      <c r="J1119" s="227"/>
      <c r="K1119" s="115"/>
      <c r="L1119" s="228"/>
      <c r="M1119" s="107"/>
      <c r="N1119" s="229">
        <f>IF(AND(O1119=TRUE,P1119=TRUE), VLOOKUP($E1119,PESSOAL!$B$35:$S$45,MONTH($F1119)+6,FALSE)*G1119*24,0)</f>
        <v>0</v>
      </c>
      <c r="O1119" s="89" t="b">
        <f t="shared" si="1"/>
        <v>0</v>
      </c>
      <c r="P1119" s="89" t="b">
        <v>0</v>
      </c>
      <c r="Q1119" s="89" t="e">
        <v>#N/A</v>
      </c>
    </row>
    <row r="1120" hidden="1">
      <c r="A1120" s="108"/>
      <c r="B1120" s="202"/>
      <c r="C1120" s="202" t="str">
        <f>VLOOKUP(M1120,'#verificação horas por projeto'!A:B,2,FALSE)</f>
        <v>#N/A</v>
      </c>
      <c r="D1120" s="202"/>
      <c r="E1120" s="107"/>
      <c r="F1120" s="211"/>
      <c r="G1120" s="226"/>
      <c r="H1120" s="107"/>
      <c r="I1120" s="227"/>
      <c r="J1120" s="227"/>
      <c r="K1120" s="115"/>
      <c r="L1120" s="228"/>
      <c r="M1120" s="107"/>
      <c r="N1120" s="229">
        <f>IF(AND(O1120=TRUE,P1120=TRUE), VLOOKUP($E1120,PESSOAL!$B$35:$S$45,MONTH($F1120)+6,FALSE)*G1120*24,0)</f>
        <v>0</v>
      </c>
      <c r="O1120" s="89" t="b">
        <f t="shared" si="1"/>
        <v>0</v>
      </c>
      <c r="P1120" s="89" t="b">
        <v>0</v>
      </c>
      <c r="Q1120" s="89" t="e">
        <v>#N/A</v>
      </c>
    </row>
    <row r="1121" hidden="1">
      <c r="A1121" s="108"/>
      <c r="B1121" s="202"/>
      <c r="C1121" s="202" t="str">
        <f>VLOOKUP(M1121,'#verificação horas por projeto'!A:B,2,FALSE)</f>
        <v>#N/A</v>
      </c>
      <c r="D1121" s="202"/>
      <c r="E1121" s="107"/>
      <c r="F1121" s="211"/>
      <c r="G1121" s="226"/>
      <c r="H1121" s="107"/>
      <c r="I1121" s="227"/>
      <c r="J1121" s="227"/>
      <c r="K1121" s="115"/>
      <c r="L1121" s="228"/>
      <c r="M1121" s="107"/>
      <c r="N1121" s="229">
        <f>IF(AND(O1121=TRUE,P1121=TRUE), VLOOKUP($E1121,PESSOAL!$B$35:$S$45,MONTH($F1121)+6,FALSE)*G1121*24,0)</f>
        <v>0</v>
      </c>
      <c r="O1121" s="89" t="b">
        <f t="shared" si="1"/>
        <v>0</v>
      </c>
      <c r="P1121" s="89" t="b">
        <v>0</v>
      </c>
      <c r="Q1121" s="89" t="e">
        <v>#N/A</v>
      </c>
    </row>
    <row r="1122" hidden="1">
      <c r="A1122" s="108"/>
      <c r="B1122" s="202"/>
      <c r="C1122" s="202" t="str">
        <f>VLOOKUP(M1122,'#verificação horas por projeto'!A:B,2,FALSE)</f>
        <v>#N/A</v>
      </c>
      <c r="D1122" s="202"/>
      <c r="E1122" s="107"/>
      <c r="F1122" s="211"/>
      <c r="G1122" s="226"/>
      <c r="H1122" s="107"/>
      <c r="I1122" s="227"/>
      <c r="J1122" s="227"/>
      <c r="K1122" s="115"/>
      <c r="L1122" s="228"/>
      <c r="M1122" s="107"/>
      <c r="N1122" s="229">
        <f>IF(AND(O1122=TRUE,P1122=TRUE), VLOOKUP($E1122,PESSOAL!$B$35:$S$45,MONTH($F1122)+6,FALSE)*G1122*24,0)</f>
        <v>0</v>
      </c>
      <c r="O1122" s="89" t="b">
        <f t="shared" si="1"/>
        <v>0</v>
      </c>
      <c r="P1122" s="89" t="b">
        <v>0</v>
      </c>
      <c r="Q1122" s="89" t="e">
        <v>#N/A</v>
      </c>
    </row>
    <row r="1123" hidden="1">
      <c r="A1123" s="108"/>
      <c r="B1123" s="202"/>
      <c r="C1123" s="202" t="str">
        <f>VLOOKUP(M1123,'#verificação horas por projeto'!A:B,2,FALSE)</f>
        <v>#N/A</v>
      </c>
      <c r="D1123" s="202"/>
      <c r="E1123" s="107"/>
      <c r="F1123" s="211"/>
      <c r="G1123" s="226"/>
      <c r="H1123" s="107"/>
      <c r="I1123" s="227"/>
      <c r="J1123" s="227"/>
      <c r="K1123" s="115"/>
      <c r="L1123" s="228"/>
      <c r="M1123" s="107"/>
      <c r="N1123" s="229">
        <f>IF(AND(O1123=TRUE,P1123=TRUE), VLOOKUP($E1123,PESSOAL!$B$35:$S$45,MONTH($F1123)+6,FALSE)*G1123*24,0)</f>
        <v>0</v>
      </c>
      <c r="O1123" s="89" t="b">
        <f t="shared" si="1"/>
        <v>0</v>
      </c>
      <c r="P1123" s="89" t="b">
        <v>0</v>
      </c>
      <c r="Q1123" s="89" t="e">
        <v>#N/A</v>
      </c>
    </row>
    <row r="1124" hidden="1">
      <c r="A1124" s="108"/>
      <c r="B1124" s="202"/>
      <c r="C1124" s="202" t="str">
        <f>VLOOKUP(M1124,'#verificação horas por projeto'!A:B,2,FALSE)</f>
        <v>#N/A</v>
      </c>
      <c r="D1124" s="202"/>
      <c r="E1124" s="107"/>
      <c r="F1124" s="211"/>
      <c r="G1124" s="226"/>
      <c r="H1124" s="107"/>
      <c r="I1124" s="227"/>
      <c r="J1124" s="227"/>
      <c r="K1124" s="115"/>
      <c r="L1124" s="228"/>
      <c r="M1124" s="107"/>
      <c r="N1124" s="229">
        <f>IF(AND(O1124=TRUE,P1124=TRUE), VLOOKUP($E1124,PESSOAL!$B$35:$S$45,MONTH($F1124)+6,FALSE)*G1124*24,0)</f>
        <v>0</v>
      </c>
      <c r="O1124" s="89" t="b">
        <f t="shared" si="1"/>
        <v>0</v>
      </c>
      <c r="P1124" s="89" t="b">
        <v>0</v>
      </c>
      <c r="Q1124" s="89" t="e">
        <v>#N/A</v>
      </c>
    </row>
    <row r="1125" hidden="1">
      <c r="A1125" s="108"/>
      <c r="B1125" s="202"/>
      <c r="C1125" s="202" t="str">
        <f>VLOOKUP(M1125,'#verificação horas por projeto'!A:B,2,FALSE)</f>
        <v>#N/A</v>
      </c>
      <c r="D1125" s="202"/>
      <c r="E1125" s="107"/>
      <c r="F1125" s="211"/>
      <c r="G1125" s="226"/>
      <c r="H1125" s="107"/>
      <c r="I1125" s="227"/>
      <c r="J1125" s="227"/>
      <c r="K1125" s="115"/>
      <c r="L1125" s="228"/>
      <c r="M1125" s="107"/>
      <c r="N1125" s="229">
        <f>IF(AND(O1125=TRUE,P1125=TRUE), VLOOKUP($E1125,PESSOAL!$B$35:$S$45,MONTH($F1125)+6,FALSE)*G1125*24,0)</f>
        <v>0</v>
      </c>
      <c r="O1125" s="89" t="b">
        <f t="shared" si="1"/>
        <v>0</v>
      </c>
      <c r="P1125" s="89" t="b">
        <v>0</v>
      </c>
      <c r="Q1125" s="89" t="e">
        <v>#N/A</v>
      </c>
    </row>
    <row r="1126" hidden="1">
      <c r="A1126" s="108"/>
      <c r="B1126" s="202"/>
      <c r="C1126" s="202" t="str">
        <f>VLOOKUP(M1126,'#verificação horas por projeto'!A:B,2,FALSE)</f>
        <v>#N/A</v>
      </c>
      <c r="D1126" s="202"/>
      <c r="E1126" s="107"/>
      <c r="F1126" s="211"/>
      <c r="G1126" s="226"/>
      <c r="H1126" s="107"/>
      <c r="I1126" s="227"/>
      <c r="J1126" s="227"/>
      <c r="K1126" s="115"/>
      <c r="L1126" s="228"/>
      <c r="M1126" s="107"/>
      <c r="N1126" s="229">
        <f>IF(AND(O1126=TRUE,P1126=TRUE), VLOOKUP($E1126,PESSOAL!$B$35:$S$45,MONTH($F1126)+6,FALSE)*G1126*24,0)</f>
        <v>0</v>
      </c>
      <c r="O1126" s="89" t="b">
        <f t="shared" si="1"/>
        <v>0</v>
      </c>
      <c r="P1126" s="89" t="b">
        <v>0</v>
      </c>
      <c r="Q1126" s="89" t="e">
        <v>#N/A</v>
      </c>
    </row>
    <row r="1127" hidden="1">
      <c r="A1127" s="108"/>
      <c r="B1127" s="202"/>
      <c r="C1127" s="202" t="str">
        <f>VLOOKUP(M1127,'#verificação horas por projeto'!A:B,2,FALSE)</f>
        <v>#N/A</v>
      </c>
      <c r="D1127" s="202"/>
      <c r="E1127" s="107"/>
      <c r="F1127" s="211"/>
      <c r="G1127" s="226"/>
      <c r="H1127" s="107"/>
      <c r="I1127" s="227"/>
      <c r="J1127" s="227"/>
      <c r="K1127" s="115"/>
      <c r="L1127" s="228"/>
      <c r="M1127" s="107"/>
      <c r="N1127" s="229">
        <f>IF(AND(O1127=TRUE,P1127=TRUE), VLOOKUP($E1127,PESSOAL!$B$35:$S$45,MONTH($F1127)+6,FALSE)*G1127*24,0)</f>
        <v>0</v>
      </c>
      <c r="O1127" s="89" t="b">
        <f t="shared" si="1"/>
        <v>0</v>
      </c>
      <c r="P1127" s="89" t="b">
        <v>0</v>
      </c>
      <c r="Q1127" s="89" t="e">
        <v>#N/A</v>
      </c>
    </row>
    <row r="1128" hidden="1">
      <c r="A1128" s="108"/>
      <c r="B1128" s="202"/>
      <c r="C1128" s="202" t="str">
        <f>VLOOKUP(M1128,'#verificação horas por projeto'!A:B,2,FALSE)</f>
        <v>#N/A</v>
      </c>
      <c r="D1128" s="202"/>
      <c r="E1128" s="107"/>
      <c r="F1128" s="211"/>
      <c r="G1128" s="226"/>
      <c r="H1128" s="107"/>
      <c r="I1128" s="227"/>
      <c r="J1128" s="227"/>
      <c r="K1128" s="115"/>
      <c r="L1128" s="228"/>
      <c r="M1128" s="107"/>
      <c r="N1128" s="229">
        <f>IF(AND(O1128=TRUE,P1128=TRUE), VLOOKUP($E1128,PESSOAL!$B$35:$S$45,MONTH($F1128)+6,FALSE)*G1128*24,0)</f>
        <v>0</v>
      </c>
      <c r="O1128" s="89" t="b">
        <f t="shared" si="1"/>
        <v>0</v>
      </c>
      <c r="P1128" s="89" t="b">
        <v>0</v>
      </c>
      <c r="Q1128" s="89" t="e">
        <v>#N/A</v>
      </c>
    </row>
    <row r="1129" hidden="1">
      <c r="A1129" s="108"/>
      <c r="B1129" s="202"/>
      <c r="C1129" s="202" t="str">
        <f>VLOOKUP(M1129,'#verificação horas por projeto'!A:B,2,FALSE)</f>
        <v>#N/A</v>
      </c>
      <c r="D1129" s="202"/>
      <c r="E1129" s="107"/>
      <c r="F1129" s="211"/>
      <c r="G1129" s="226"/>
      <c r="H1129" s="107"/>
      <c r="I1129" s="227"/>
      <c r="J1129" s="227"/>
      <c r="K1129" s="115"/>
      <c r="L1129" s="228"/>
      <c r="M1129" s="107"/>
      <c r="N1129" s="229">
        <f>IF(AND(O1129=TRUE,P1129=TRUE), VLOOKUP($E1129,PESSOAL!$B$35:$S$45,MONTH($F1129)+6,FALSE)*G1129*24,0)</f>
        <v>0</v>
      </c>
      <c r="O1129" s="89" t="b">
        <f t="shared" si="1"/>
        <v>0</v>
      </c>
      <c r="P1129" s="89" t="b">
        <v>0</v>
      </c>
      <c r="Q1129" s="89" t="e">
        <v>#N/A</v>
      </c>
    </row>
    <row r="1130" hidden="1">
      <c r="A1130" s="108"/>
      <c r="B1130" s="202"/>
      <c r="C1130" s="202" t="str">
        <f>VLOOKUP(M1130,'#verificação horas por projeto'!A:B,2,FALSE)</f>
        <v>#N/A</v>
      </c>
      <c r="D1130" s="202"/>
      <c r="E1130" s="107"/>
      <c r="F1130" s="211"/>
      <c r="G1130" s="226"/>
      <c r="H1130" s="107"/>
      <c r="I1130" s="227"/>
      <c r="J1130" s="227"/>
      <c r="K1130" s="115"/>
      <c r="L1130" s="228"/>
      <c r="M1130" s="107"/>
      <c r="N1130" s="229">
        <f>IF(AND(O1130=TRUE,P1130=TRUE), VLOOKUP($E1130,PESSOAL!$B$35:$S$45,MONTH($F1130)+6,FALSE)*G1130*24,0)</f>
        <v>0</v>
      </c>
      <c r="O1130" s="89" t="b">
        <f t="shared" si="1"/>
        <v>0</v>
      </c>
      <c r="P1130" s="89" t="b">
        <v>0</v>
      </c>
      <c r="Q1130" s="89" t="e">
        <v>#N/A</v>
      </c>
    </row>
    <row r="1131" hidden="1">
      <c r="A1131" s="108"/>
      <c r="B1131" s="202"/>
      <c r="C1131" s="202" t="str">
        <f>VLOOKUP(M1131,'#verificação horas por projeto'!A:B,2,FALSE)</f>
        <v>#N/A</v>
      </c>
      <c r="D1131" s="202"/>
      <c r="E1131" s="107"/>
      <c r="F1131" s="211"/>
      <c r="G1131" s="226"/>
      <c r="H1131" s="107"/>
      <c r="I1131" s="227"/>
      <c r="J1131" s="227"/>
      <c r="K1131" s="115"/>
      <c r="L1131" s="228"/>
      <c r="M1131" s="107"/>
      <c r="N1131" s="229">
        <f>IF(AND(O1131=TRUE,P1131=TRUE), VLOOKUP($E1131,PESSOAL!$B$35:$S$45,MONTH($F1131)+6,FALSE)*G1131*24,0)</f>
        <v>0</v>
      </c>
      <c r="O1131" s="89" t="b">
        <f t="shared" si="1"/>
        <v>0</v>
      </c>
      <c r="P1131" s="89" t="b">
        <v>0</v>
      </c>
      <c r="Q1131" s="89" t="e">
        <v>#N/A</v>
      </c>
    </row>
    <row r="1132" hidden="1">
      <c r="A1132" s="108"/>
      <c r="B1132" s="202"/>
      <c r="C1132" s="202" t="str">
        <f>VLOOKUP(M1132,'#verificação horas por projeto'!A:B,2,FALSE)</f>
        <v>#N/A</v>
      </c>
      <c r="D1132" s="202"/>
      <c r="E1132" s="107"/>
      <c r="F1132" s="211"/>
      <c r="G1132" s="226"/>
      <c r="H1132" s="107"/>
      <c r="I1132" s="227"/>
      <c r="J1132" s="227"/>
      <c r="K1132" s="115"/>
      <c r="L1132" s="228"/>
      <c r="M1132" s="107"/>
      <c r="N1132" s="229">
        <f>IF(AND(O1132=TRUE,P1132=TRUE), VLOOKUP($E1132,PESSOAL!$B$35:$S$45,MONTH($F1132)+6,FALSE)*G1132*24,0)</f>
        <v>0</v>
      </c>
      <c r="O1132" s="89" t="b">
        <f t="shared" si="1"/>
        <v>0</v>
      </c>
      <c r="P1132" s="89" t="b">
        <v>0</v>
      </c>
      <c r="Q1132" s="89" t="e">
        <v>#N/A</v>
      </c>
    </row>
    <row r="1133" hidden="1">
      <c r="A1133" s="108"/>
      <c r="B1133" s="202"/>
      <c r="C1133" s="202" t="str">
        <f>VLOOKUP(M1133,'#verificação horas por projeto'!A:B,2,FALSE)</f>
        <v>#N/A</v>
      </c>
      <c r="D1133" s="202"/>
      <c r="E1133" s="107"/>
      <c r="F1133" s="211"/>
      <c r="G1133" s="226"/>
      <c r="H1133" s="107"/>
      <c r="I1133" s="227"/>
      <c r="J1133" s="227"/>
      <c r="K1133" s="115"/>
      <c r="L1133" s="228"/>
      <c r="M1133" s="107"/>
      <c r="N1133" s="229">
        <f>IF(AND(O1133=TRUE,P1133=TRUE), VLOOKUP($E1133,PESSOAL!$B$35:$S$45,MONTH($F1133)+6,FALSE)*G1133*24,0)</f>
        <v>0</v>
      </c>
      <c r="O1133" s="89" t="b">
        <f t="shared" si="1"/>
        <v>0</v>
      </c>
      <c r="P1133" s="89" t="b">
        <v>0</v>
      </c>
      <c r="Q1133" s="89" t="e">
        <v>#N/A</v>
      </c>
    </row>
    <row r="1134" hidden="1">
      <c r="A1134" s="108"/>
      <c r="B1134" s="202"/>
      <c r="C1134" s="202" t="str">
        <f>VLOOKUP(M1134,'#verificação horas por projeto'!A:B,2,FALSE)</f>
        <v>#N/A</v>
      </c>
      <c r="D1134" s="202"/>
      <c r="E1134" s="107"/>
      <c r="F1134" s="211"/>
      <c r="G1134" s="226"/>
      <c r="H1134" s="107"/>
      <c r="I1134" s="227"/>
      <c r="J1134" s="227"/>
      <c r="K1134" s="115"/>
      <c r="L1134" s="228"/>
      <c r="M1134" s="107"/>
      <c r="N1134" s="229">
        <f>IF(AND(O1134=TRUE,P1134=TRUE), VLOOKUP($E1134,PESSOAL!$B$35:$S$45,MONTH($F1134)+6,FALSE)*G1134*24,0)</f>
        <v>0</v>
      </c>
      <c r="O1134" s="89" t="b">
        <f t="shared" si="1"/>
        <v>0</v>
      </c>
      <c r="P1134" s="89" t="b">
        <v>0</v>
      </c>
      <c r="Q1134" s="89" t="e">
        <v>#N/A</v>
      </c>
    </row>
    <row r="1135" hidden="1">
      <c r="A1135" s="108"/>
      <c r="B1135" s="202"/>
      <c r="C1135" s="202" t="str">
        <f>VLOOKUP(M1135,'#verificação horas por projeto'!A:B,2,FALSE)</f>
        <v>#N/A</v>
      </c>
      <c r="D1135" s="202"/>
      <c r="E1135" s="107"/>
      <c r="F1135" s="211"/>
      <c r="G1135" s="226"/>
      <c r="H1135" s="107"/>
      <c r="I1135" s="227"/>
      <c r="J1135" s="227"/>
      <c r="K1135" s="115"/>
      <c r="L1135" s="228"/>
      <c r="M1135" s="107"/>
      <c r="N1135" s="229">
        <f>IF(AND(O1135=TRUE,P1135=TRUE), VLOOKUP($E1135,PESSOAL!$B$35:$S$45,MONTH($F1135)+6,FALSE)*G1135*24,0)</f>
        <v>0</v>
      </c>
      <c r="O1135" s="89" t="b">
        <f t="shared" si="1"/>
        <v>0</v>
      </c>
      <c r="P1135" s="89" t="b">
        <v>0</v>
      </c>
      <c r="Q1135" s="89" t="e">
        <v>#N/A</v>
      </c>
    </row>
    <row r="1136" hidden="1">
      <c r="A1136" s="108"/>
      <c r="B1136" s="202"/>
      <c r="C1136" s="202" t="str">
        <f>VLOOKUP(M1136,'#verificação horas por projeto'!A:B,2,FALSE)</f>
        <v>#N/A</v>
      </c>
      <c r="D1136" s="202"/>
      <c r="E1136" s="107"/>
      <c r="F1136" s="211"/>
      <c r="G1136" s="226"/>
      <c r="H1136" s="107"/>
      <c r="I1136" s="227"/>
      <c r="J1136" s="227"/>
      <c r="K1136" s="115"/>
      <c r="L1136" s="228"/>
      <c r="M1136" s="107"/>
      <c r="N1136" s="229">
        <f>IF(AND(O1136=TRUE,P1136=TRUE), VLOOKUP($E1136,PESSOAL!$B$35:$S$45,MONTH($F1136)+6,FALSE)*G1136*24,0)</f>
        <v>0</v>
      </c>
      <c r="O1136" s="89" t="b">
        <f t="shared" si="1"/>
        <v>0</v>
      </c>
      <c r="P1136" s="89" t="b">
        <v>0</v>
      </c>
      <c r="Q1136" s="89" t="e">
        <v>#N/A</v>
      </c>
    </row>
    <row r="1137" hidden="1">
      <c r="A1137" s="108"/>
      <c r="B1137" s="202"/>
      <c r="C1137" s="202" t="str">
        <f>VLOOKUP(M1137,'#verificação horas por projeto'!A:B,2,FALSE)</f>
        <v>#N/A</v>
      </c>
      <c r="D1137" s="202"/>
      <c r="E1137" s="107"/>
      <c r="F1137" s="211"/>
      <c r="G1137" s="226"/>
      <c r="H1137" s="107"/>
      <c r="I1137" s="227"/>
      <c r="J1137" s="227"/>
      <c r="K1137" s="115"/>
      <c r="L1137" s="228"/>
      <c r="M1137" s="107"/>
      <c r="N1137" s="229">
        <f>IF(AND(O1137=TRUE,P1137=TRUE), VLOOKUP($E1137,PESSOAL!$B$35:$S$45,MONTH($F1137)+6,FALSE)*G1137*24,0)</f>
        <v>0</v>
      </c>
      <c r="O1137" s="89" t="b">
        <f t="shared" si="1"/>
        <v>0</v>
      </c>
      <c r="P1137" s="89" t="b">
        <v>0</v>
      </c>
      <c r="Q1137" s="89" t="e">
        <v>#N/A</v>
      </c>
    </row>
    <row r="1138" hidden="1">
      <c r="A1138" s="108"/>
      <c r="B1138" s="202"/>
      <c r="C1138" s="202" t="str">
        <f>VLOOKUP(M1138,'#verificação horas por projeto'!A:B,2,FALSE)</f>
        <v>#N/A</v>
      </c>
      <c r="D1138" s="202"/>
      <c r="E1138" s="107"/>
      <c r="F1138" s="211"/>
      <c r="G1138" s="226"/>
      <c r="H1138" s="107"/>
      <c r="I1138" s="227"/>
      <c r="J1138" s="227"/>
      <c r="K1138" s="115"/>
      <c r="L1138" s="228"/>
      <c r="M1138" s="107"/>
      <c r="N1138" s="229">
        <f>IF(AND(O1138=TRUE,P1138=TRUE), VLOOKUP($E1138,PESSOAL!$B$35:$S$45,MONTH($F1138)+6,FALSE)*G1138*24,0)</f>
        <v>0</v>
      </c>
      <c r="O1138" s="89" t="b">
        <f t="shared" si="1"/>
        <v>0</v>
      </c>
      <c r="P1138" s="89" t="b">
        <v>0</v>
      </c>
      <c r="Q1138" s="89" t="e">
        <v>#N/A</v>
      </c>
    </row>
    <row r="1139" hidden="1">
      <c r="A1139" s="108"/>
      <c r="B1139" s="202"/>
      <c r="C1139" s="202" t="str">
        <f>VLOOKUP(M1139,'#verificação horas por projeto'!A:B,2,FALSE)</f>
        <v>#N/A</v>
      </c>
      <c r="D1139" s="202"/>
      <c r="E1139" s="107"/>
      <c r="F1139" s="211"/>
      <c r="G1139" s="226"/>
      <c r="H1139" s="107"/>
      <c r="I1139" s="227"/>
      <c r="J1139" s="227"/>
      <c r="K1139" s="115"/>
      <c r="L1139" s="228"/>
      <c r="M1139" s="107"/>
      <c r="N1139" s="229">
        <f>IF(AND(O1139=TRUE,P1139=TRUE), VLOOKUP($E1139,PESSOAL!$B$35:$S$45,MONTH($F1139)+6,FALSE)*G1139*24,0)</f>
        <v>0</v>
      </c>
      <c r="O1139" s="89" t="b">
        <f t="shared" si="1"/>
        <v>0</v>
      </c>
      <c r="P1139" s="89" t="b">
        <v>0</v>
      </c>
      <c r="Q1139" s="89" t="e">
        <v>#N/A</v>
      </c>
    </row>
    <row r="1140" hidden="1">
      <c r="A1140" s="108"/>
      <c r="B1140" s="202"/>
      <c r="C1140" s="202" t="str">
        <f>VLOOKUP(M1140,'#verificação horas por projeto'!A:B,2,FALSE)</f>
        <v>#N/A</v>
      </c>
      <c r="D1140" s="202"/>
      <c r="E1140" s="107"/>
      <c r="F1140" s="211"/>
      <c r="G1140" s="226"/>
      <c r="H1140" s="107"/>
      <c r="I1140" s="227"/>
      <c r="J1140" s="227"/>
      <c r="K1140" s="115"/>
      <c r="L1140" s="228"/>
      <c r="M1140" s="107"/>
      <c r="N1140" s="229">
        <f>IF(AND(O1140=TRUE,P1140=TRUE), VLOOKUP($E1140,PESSOAL!$B$35:$S$45,MONTH($F1140)+6,FALSE)*G1140*24,0)</f>
        <v>0</v>
      </c>
      <c r="O1140" s="89" t="b">
        <f t="shared" si="1"/>
        <v>0</v>
      </c>
      <c r="P1140" s="89" t="b">
        <v>0</v>
      </c>
      <c r="Q1140" s="89" t="e">
        <v>#N/A</v>
      </c>
    </row>
    <row r="1141" hidden="1">
      <c r="A1141" s="108"/>
      <c r="B1141" s="202"/>
      <c r="C1141" s="202" t="str">
        <f>VLOOKUP(M1141,'#verificação horas por projeto'!A:B,2,FALSE)</f>
        <v>#N/A</v>
      </c>
      <c r="D1141" s="202"/>
      <c r="E1141" s="107"/>
      <c r="F1141" s="211"/>
      <c r="G1141" s="226"/>
      <c r="H1141" s="107"/>
      <c r="I1141" s="227"/>
      <c r="J1141" s="227"/>
      <c r="K1141" s="115"/>
      <c r="L1141" s="228"/>
      <c r="M1141" s="107"/>
      <c r="N1141" s="229">
        <f>IF(AND(O1141=TRUE,P1141=TRUE), VLOOKUP($E1141,PESSOAL!$B$35:$S$45,MONTH($F1141)+6,FALSE)*G1141*24,0)</f>
        <v>0</v>
      </c>
      <c r="O1141" s="89" t="b">
        <f t="shared" si="1"/>
        <v>0</v>
      </c>
      <c r="P1141" s="89" t="b">
        <v>0</v>
      </c>
      <c r="Q1141" s="89" t="e">
        <v>#N/A</v>
      </c>
    </row>
    <row r="1142" hidden="1">
      <c r="A1142" s="108"/>
      <c r="B1142" s="202"/>
      <c r="C1142" s="202" t="str">
        <f>VLOOKUP(M1142,'#verificação horas por projeto'!A:B,2,FALSE)</f>
        <v>#N/A</v>
      </c>
      <c r="D1142" s="202"/>
      <c r="E1142" s="107"/>
      <c r="F1142" s="211"/>
      <c r="G1142" s="226"/>
      <c r="H1142" s="107"/>
      <c r="I1142" s="227"/>
      <c r="J1142" s="227"/>
      <c r="K1142" s="115"/>
      <c r="L1142" s="228"/>
      <c r="M1142" s="107"/>
      <c r="N1142" s="229">
        <f>IF(AND(O1142=TRUE,P1142=TRUE), VLOOKUP($E1142,PESSOAL!$B$35:$S$45,MONTH($F1142)+6,FALSE)*G1142*24,0)</f>
        <v>0</v>
      </c>
      <c r="O1142" s="89" t="b">
        <f t="shared" si="1"/>
        <v>0</v>
      </c>
      <c r="P1142" s="89" t="b">
        <v>0</v>
      </c>
      <c r="Q1142" s="89" t="e">
        <v>#N/A</v>
      </c>
    </row>
    <row r="1143" hidden="1">
      <c r="A1143" s="108"/>
      <c r="B1143" s="202"/>
      <c r="C1143" s="202" t="str">
        <f>VLOOKUP(M1143,'#verificação horas por projeto'!A:B,2,FALSE)</f>
        <v>#N/A</v>
      </c>
      <c r="D1143" s="202"/>
      <c r="E1143" s="107"/>
      <c r="F1143" s="211"/>
      <c r="G1143" s="226"/>
      <c r="H1143" s="107"/>
      <c r="I1143" s="227"/>
      <c r="J1143" s="227"/>
      <c r="K1143" s="115"/>
      <c r="L1143" s="228"/>
      <c r="M1143" s="107"/>
      <c r="N1143" s="229">
        <f>IF(AND(O1143=TRUE,P1143=TRUE), VLOOKUP($E1143,PESSOAL!$B$35:$S$45,MONTH($F1143)+6,FALSE)*G1143*24,0)</f>
        <v>0</v>
      </c>
      <c r="O1143" s="89" t="b">
        <f t="shared" si="1"/>
        <v>0</v>
      </c>
      <c r="P1143" s="89" t="b">
        <v>0</v>
      </c>
      <c r="Q1143" s="89" t="e">
        <v>#N/A</v>
      </c>
    </row>
    <row r="1144" hidden="1">
      <c r="A1144" s="108"/>
      <c r="B1144" s="202"/>
      <c r="C1144" s="202" t="str">
        <f>VLOOKUP(M1144,'#verificação horas por projeto'!A:B,2,FALSE)</f>
        <v>#N/A</v>
      </c>
      <c r="D1144" s="202"/>
      <c r="E1144" s="107"/>
      <c r="F1144" s="211"/>
      <c r="G1144" s="226"/>
      <c r="H1144" s="107"/>
      <c r="I1144" s="227"/>
      <c r="J1144" s="227"/>
      <c r="K1144" s="115"/>
      <c r="L1144" s="228"/>
      <c r="M1144" s="107"/>
      <c r="N1144" s="229">
        <f>IF(AND(O1144=TRUE,P1144=TRUE), VLOOKUP($E1144,PESSOAL!$B$35:$S$45,MONTH($F1144)+6,FALSE)*G1144*24,0)</f>
        <v>0</v>
      </c>
      <c r="O1144" s="89" t="b">
        <f t="shared" si="1"/>
        <v>0</v>
      </c>
      <c r="P1144" s="89" t="b">
        <v>0</v>
      </c>
      <c r="Q1144" s="89" t="e">
        <v>#N/A</v>
      </c>
    </row>
    <row r="1145" hidden="1">
      <c r="A1145" s="108"/>
      <c r="B1145" s="202"/>
      <c r="C1145" s="202" t="str">
        <f>VLOOKUP(M1145,'#verificação horas por projeto'!A:B,2,FALSE)</f>
        <v>#N/A</v>
      </c>
      <c r="D1145" s="202"/>
      <c r="E1145" s="107"/>
      <c r="F1145" s="211"/>
      <c r="G1145" s="226"/>
      <c r="H1145" s="107"/>
      <c r="I1145" s="227"/>
      <c r="J1145" s="227"/>
      <c r="K1145" s="115"/>
      <c r="L1145" s="228"/>
      <c r="M1145" s="107"/>
      <c r="N1145" s="229">
        <f>IF(AND(O1145=TRUE,P1145=TRUE), VLOOKUP($E1145,PESSOAL!$B$35:$S$45,MONTH($F1145)+6,FALSE)*G1145*24,0)</f>
        <v>0</v>
      </c>
      <c r="O1145" s="89" t="b">
        <f t="shared" si="1"/>
        <v>0</v>
      </c>
      <c r="P1145" s="89" t="b">
        <v>0</v>
      </c>
      <c r="Q1145" s="89" t="e">
        <v>#N/A</v>
      </c>
    </row>
    <row r="1146" hidden="1">
      <c r="A1146" s="108"/>
      <c r="B1146" s="202"/>
      <c r="C1146" s="202" t="str">
        <f>VLOOKUP(M1146,'#verificação horas por projeto'!A:B,2,FALSE)</f>
        <v>#N/A</v>
      </c>
      <c r="D1146" s="202"/>
      <c r="E1146" s="107"/>
      <c r="F1146" s="211"/>
      <c r="G1146" s="226"/>
      <c r="H1146" s="107"/>
      <c r="I1146" s="227"/>
      <c r="J1146" s="227"/>
      <c r="K1146" s="115"/>
      <c r="L1146" s="228"/>
      <c r="M1146" s="107"/>
      <c r="N1146" s="229">
        <f>IF(AND(O1146=TRUE,P1146=TRUE), VLOOKUP($E1146,PESSOAL!$B$35:$S$45,MONTH($F1146)+6,FALSE)*G1146*24,0)</f>
        <v>0</v>
      </c>
      <c r="O1146" s="89" t="b">
        <f t="shared" si="1"/>
        <v>0</v>
      </c>
      <c r="P1146" s="89" t="b">
        <v>0</v>
      </c>
      <c r="Q1146" s="89" t="e">
        <v>#N/A</v>
      </c>
    </row>
    <row r="1147" hidden="1">
      <c r="A1147" s="108"/>
      <c r="B1147" s="202"/>
      <c r="C1147" s="202" t="str">
        <f>VLOOKUP(M1147,'#verificação horas por projeto'!A:B,2,FALSE)</f>
        <v>#N/A</v>
      </c>
      <c r="D1147" s="202"/>
      <c r="E1147" s="107"/>
      <c r="F1147" s="211"/>
      <c r="G1147" s="226"/>
      <c r="H1147" s="107"/>
      <c r="I1147" s="227"/>
      <c r="J1147" s="227"/>
      <c r="K1147" s="115"/>
      <c r="L1147" s="228"/>
      <c r="M1147" s="107"/>
      <c r="N1147" s="229">
        <f>IF(AND(O1147=TRUE,P1147=TRUE), VLOOKUP($E1147,PESSOAL!$B$35:$S$45,MONTH($F1147)+6,FALSE)*G1147*24,0)</f>
        <v>0</v>
      </c>
      <c r="O1147" s="89" t="b">
        <f t="shared" si="1"/>
        <v>0</v>
      </c>
      <c r="P1147" s="89" t="b">
        <v>0</v>
      </c>
      <c r="Q1147" s="89" t="e">
        <v>#N/A</v>
      </c>
    </row>
    <row r="1148" hidden="1">
      <c r="A1148" s="108"/>
      <c r="B1148" s="202"/>
      <c r="C1148" s="202" t="str">
        <f>VLOOKUP(M1148,'#verificação horas por projeto'!A:B,2,FALSE)</f>
        <v>#N/A</v>
      </c>
      <c r="D1148" s="202"/>
      <c r="E1148" s="107"/>
      <c r="F1148" s="211"/>
      <c r="G1148" s="226"/>
      <c r="H1148" s="107"/>
      <c r="I1148" s="227"/>
      <c r="J1148" s="227"/>
      <c r="K1148" s="115"/>
      <c r="L1148" s="228"/>
      <c r="M1148" s="107"/>
      <c r="N1148" s="229">
        <f>IF(AND(O1148=TRUE,P1148=TRUE), VLOOKUP($E1148,PESSOAL!$B$35:$S$45,MONTH($F1148)+6,FALSE)*G1148*24,0)</f>
        <v>0</v>
      </c>
      <c r="O1148" s="89" t="b">
        <f t="shared" si="1"/>
        <v>0</v>
      </c>
      <c r="P1148" s="89" t="b">
        <v>0</v>
      </c>
      <c r="Q1148" s="89" t="e">
        <v>#N/A</v>
      </c>
    </row>
    <row r="1149" hidden="1">
      <c r="A1149" s="108"/>
      <c r="B1149" s="202"/>
      <c r="C1149" s="202" t="str">
        <f>VLOOKUP(M1149,'#verificação horas por projeto'!A:B,2,FALSE)</f>
        <v>#N/A</v>
      </c>
      <c r="D1149" s="202"/>
      <c r="E1149" s="107"/>
      <c r="F1149" s="211"/>
      <c r="G1149" s="226"/>
      <c r="H1149" s="107"/>
      <c r="I1149" s="227"/>
      <c r="J1149" s="227"/>
      <c r="K1149" s="115"/>
      <c r="L1149" s="228"/>
      <c r="M1149" s="107"/>
      <c r="N1149" s="229">
        <f>IF(AND(O1149=TRUE,P1149=TRUE), VLOOKUP($E1149,PESSOAL!$B$35:$S$45,MONTH($F1149)+6,FALSE)*G1149*24,0)</f>
        <v>0</v>
      </c>
      <c r="O1149" s="89" t="b">
        <f t="shared" si="1"/>
        <v>0</v>
      </c>
      <c r="P1149" s="89" t="b">
        <v>0</v>
      </c>
      <c r="Q1149" s="89" t="e">
        <v>#N/A</v>
      </c>
    </row>
    <row r="1150" hidden="1">
      <c r="A1150" s="108"/>
      <c r="B1150" s="202"/>
      <c r="C1150" s="202" t="str">
        <f>VLOOKUP(M1150,'#verificação horas por projeto'!A:B,2,FALSE)</f>
        <v>#N/A</v>
      </c>
      <c r="D1150" s="202"/>
      <c r="E1150" s="107"/>
      <c r="F1150" s="211"/>
      <c r="G1150" s="226"/>
      <c r="H1150" s="107"/>
      <c r="I1150" s="227"/>
      <c r="J1150" s="227"/>
      <c r="K1150" s="115"/>
      <c r="L1150" s="228"/>
      <c r="M1150" s="107"/>
      <c r="N1150" s="229">
        <f>IF(AND(O1150=TRUE,P1150=TRUE), VLOOKUP($E1150,PESSOAL!$B$35:$S$45,MONTH($F1150)+6,FALSE)*G1150*24,0)</f>
        <v>0</v>
      </c>
      <c r="O1150" s="89" t="b">
        <f t="shared" si="1"/>
        <v>0</v>
      </c>
      <c r="P1150" s="89" t="b">
        <v>0</v>
      </c>
      <c r="Q1150" s="89" t="e">
        <v>#N/A</v>
      </c>
    </row>
    <row r="1151" hidden="1">
      <c r="A1151" s="108"/>
      <c r="B1151" s="202"/>
      <c r="C1151" s="202" t="str">
        <f>VLOOKUP(M1151,'#verificação horas por projeto'!A:B,2,FALSE)</f>
        <v>#N/A</v>
      </c>
      <c r="D1151" s="202"/>
      <c r="E1151" s="107"/>
      <c r="F1151" s="211"/>
      <c r="G1151" s="226"/>
      <c r="H1151" s="107"/>
      <c r="I1151" s="227"/>
      <c r="J1151" s="227"/>
      <c r="K1151" s="115"/>
      <c r="L1151" s="228"/>
      <c r="M1151" s="107"/>
      <c r="N1151" s="229">
        <f>IF(AND(O1151=TRUE,P1151=TRUE), VLOOKUP($E1151,PESSOAL!$B$35:$S$45,MONTH($F1151)+6,FALSE)*G1151*24,0)</f>
        <v>0</v>
      </c>
      <c r="O1151" s="89" t="b">
        <f t="shared" si="1"/>
        <v>0</v>
      </c>
      <c r="P1151" s="89" t="b">
        <v>0</v>
      </c>
      <c r="Q1151" s="89" t="e">
        <v>#N/A</v>
      </c>
    </row>
    <row r="1152" hidden="1">
      <c r="A1152" s="108"/>
      <c r="B1152" s="202"/>
      <c r="C1152" s="202" t="str">
        <f>VLOOKUP(M1152,'#verificação horas por projeto'!A:B,2,FALSE)</f>
        <v>#N/A</v>
      </c>
      <c r="D1152" s="202"/>
      <c r="E1152" s="107"/>
      <c r="F1152" s="211"/>
      <c r="G1152" s="226"/>
      <c r="H1152" s="107"/>
      <c r="I1152" s="227"/>
      <c r="J1152" s="227"/>
      <c r="K1152" s="115"/>
      <c r="L1152" s="228"/>
      <c r="M1152" s="107"/>
      <c r="N1152" s="229">
        <f>IF(AND(O1152=TRUE,P1152=TRUE), VLOOKUP($E1152,PESSOAL!$B$35:$S$45,MONTH($F1152)+6,FALSE)*G1152*24,0)</f>
        <v>0</v>
      </c>
      <c r="O1152" s="89" t="b">
        <f t="shared" si="1"/>
        <v>0</v>
      </c>
      <c r="P1152" s="89" t="b">
        <v>0</v>
      </c>
      <c r="Q1152" s="89" t="e">
        <v>#N/A</v>
      </c>
    </row>
    <row r="1153" hidden="1">
      <c r="A1153" s="108"/>
      <c r="B1153" s="202"/>
      <c r="C1153" s="202" t="str">
        <f>VLOOKUP(M1153,'#verificação horas por projeto'!A:B,2,FALSE)</f>
        <v>#N/A</v>
      </c>
      <c r="D1153" s="202"/>
      <c r="E1153" s="107"/>
      <c r="F1153" s="211"/>
      <c r="G1153" s="226"/>
      <c r="H1153" s="107"/>
      <c r="I1153" s="227"/>
      <c r="J1153" s="227"/>
      <c r="K1153" s="115"/>
      <c r="L1153" s="228"/>
      <c r="M1153" s="107"/>
      <c r="N1153" s="229">
        <f>IF(AND(O1153=TRUE,P1153=TRUE), VLOOKUP($E1153,PESSOAL!$B$35:$S$45,MONTH($F1153)+6,FALSE)*G1153*24,0)</f>
        <v>0</v>
      </c>
      <c r="O1153" s="89" t="b">
        <f t="shared" si="1"/>
        <v>0</v>
      </c>
      <c r="P1153" s="89" t="b">
        <v>0</v>
      </c>
      <c r="Q1153" s="89" t="e">
        <v>#N/A</v>
      </c>
    </row>
    <row r="1154" hidden="1">
      <c r="A1154" s="108"/>
      <c r="B1154" s="202"/>
      <c r="C1154" s="202" t="str">
        <f>VLOOKUP(M1154,'#verificação horas por projeto'!A:B,2,FALSE)</f>
        <v>#N/A</v>
      </c>
      <c r="D1154" s="202"/>
      <c r="E1154" s="107"/>
      <c r="F1154" s="211"/>
      <c r="G1154" s="226"/>
      <c r="H1154" s="107"/>
      <c r="I1154" s="227"/>
      <c r="J1154" s="227"/>
      <c r="K1154" s="115"/>
      <c r="L1154" s="228"/>
      <c r="M1154" s="107"/>
      <c r="N1154" s="229">
        <f>IF(AND(O1154=TRUE,P1154=TRUE), VLOOKUP($E1154,PESSOAL!$B$35:$S$45,MONTH($F1154)+6,FALSE)*G1154*24,0)</f>
        <v>0</v>
      </c>
      <c r="O1154" s="89" t="b">
        <f t="shared" si="1"/>
        <v>0</v>
      </c>
      <c r="P1154" s="89" t="b">
        <v>0</v>
      </c>
      <c r="Q1154" s="89" t="e">
        <v>#N/A</v>
      </c>
    </row>
    <row r="1155" hidden="1">
      <c r="A1155" s="108"/>
      <c r="B1155" s="202"/>
      <c r="C1155" s="202" t="str">
        <f>VLOOKUP(M1155,'#verificação horas por projeto'!A:B,2,FALSE)</f>
        <v>#N/A</v>
      </c>
      <c r="D1155" s="202"/>
      <c r="E1155" s="107"/>
      <c r="F1155" s="211"/>
      <c r="G1155" s="226"/>
      <c r="H1155" s="107"/>
      <c r="I1155" s="227"/>
      <c r="J1155" s="227"/>
      <c r="K1155" s="115"/>
      <c r="L1155" s="228"/>
      <c r="M1155" s="107"/>
      <c r="N1155" s="229">
        <f>IF(AND(O1155=TRUE,P1155=TRUE), VLOOKUP($E1155,PESSOAL!$B$35:$S$45,MONTH($F1155)+6,FALSE)*G1155*24,0)</f>
        <v>0</v>
      </c>
      <c r="O1155" s="89" t="b">
        <f t="shared" si="1"/>
        <v>0</v>
      </c>
      <c r="P1155" s="89" t="b">
        <v>0</v>
      </c>
      <c r="Q1155" s="89" t="e">
        <v>#N/A</v>
      </c>
    </row>
    <row r="1156" hidden="1">
      <c r="A1156" s="108"/>
      <c r="B1156" s="202"/>
      <c r="C1156" s="202" t="str">
        <f>VLOOKUP(M1156,'#verificação horas por projeto'!A:B,2,FALSE)</f>
        <v>#N/A</v>
      </c>
      <c r="D1156" s="202"/>
      <c r="E1156" s="107"/>
      <c r="F1156" s="211"/>
      <c r="G1156" s="226"/>
      <c r="H1156" s="107"/>
      <c r="I1156" s="227"/>
      <c r="J1156" s="227"/>
      <c r="K1156" s="115"/>
      <c r="L1156" s="228"/>
      <c r="M1156" s="107"/>
      <c r="N1156" s="229">
        <f>IF(AND(O1156=TRUE,P1156=TRUE), VLOOKUP($E1156,PESSOAL!$B$35:$S$45,MONTH($F1156)+6,FALSE)*G1156*24,0)</f>
        <v>0</v>
      </c>
      <c r="O1156" s="89" t="b">
        <f t="shared" si="1"/>
        <v>0</v>
      </c>
      <c r="P1156" s="89" t="b">
        <v>0</v>
      </c>
      <c r="Q1156" s="89" t="e">
        <v>#N/A</v>
      </c>
    </row>
    <row r="1157" hidden="1">
      <c r="A1157" s="108"/>
      <c r="B1157" s="202"/>
      <c r="C1157" s="202" t="str">
        <f>VLOOKUP(M1157,'#verificação horas por projeto'!A:B,2,FALSE)</f>
        <v>#N/A</v>
      </c>
      <c r="D1157" s="202"/>
      <c r="E1157" s="107"/>
      <c r="F1157" s="211"/>
      <c r="G1157" s="226"/>
      <c r="H1157" s="107"/>
      <c r="I1157" s="227"/>
      <c r="J1157" s="227"/>
      <c r="K1157" s="115"/>
      <c r="L1157" s="228"/>
      <c r="M1157" s="107"/>
      <c r="N1157" s="229">
        <f>IF(AND(O1157=TRUE,P1157=TRUE), VLOOKUP($E1157,PESSOAL!$B$35:$S$45,MONTH($F1157)+6,FALSE)*G1157*24,0)</f>
        <v>0</v>
      </c>
      <c r="O1157" s="89" t="b">
        <f t="shared" si="1"/>
        <v>0</v>
      </c>
      <c r="P1157" s="89" t="b">
        <v>0</v>
      </c>
      <c r="Q1157" s="89" t="e">
        <v>#N/A</v>
      </c>
    </row>
    <row r="1158" hidden="1">
      <c r="A1158" s="108"/>
      <c r="B1158" s="202"/>
      <c r="C1158" s="202" t="str">
        <f>VLOOKUP(M1158,'#verificação horas por projeto'!A:B,2,FALSE)</f>
        <v>#N/A</v>
      </c>
      <c r="D1158" s="202"/>
      <c r="E1158" s="107"/>
      <c r="F1158" s="211"/>
      <c r="G1158" s="226"/>
      <c r="H1158" s="107"/>
      <c r="I1158" s="227"/>
      <c r="J1158" s="227"/>
      <c r="K1158" s="115"/>
      <c r="L1158" s="228"/>
      <c r="M1158" s="107"/>
      <c r="N1158" s="229">
        <f>IF(AND(O1158=TRUE,P1158=TRUE), VLOOKUP($E1158,PESSOAL!$B$35:$S$45,MONTH($F1158)+6,FALSE)*G1158*24,0)</f>
        <v>0</v>
      </c>
      <c r="O1158" s="89" t="b">
        <f t="shared" si="1"/>
        <v>0</v>
      </c>
      <c r="P1158" s="89" t="b">
        <v>0</v>
      </c>
      <c r="Q1158" s="89" t="e">
        <v>#N/A</v>
      </c>
    </row>
    <row r="1159" hidden="1">
      <c r="A1159" s="108"/>
      <c r="B1159" s="202"/>
      <c r="C1159" s="202" t="str">
        <f>VLOOKUP(M1159,'#verificação horas por projeto'!A:B,2,FALSE)</f>
        <v>#N/A</v>
      </c>
      <c r="D1159" s="202"/>
      <c r="E1159" s="107"/>
      <c r="F1159" s="211"/>
      <c r="G1159" s="226"/>
      <c r="H1159" s="107"/>
      <c r="I1159" s="227"/>
      <c r="J1159" s="227"/>
      <c r="K1159" s="115"/>
      <c r="L1159" s="228"/>
      <c r="M1159" s="107"/>
      <c r="N1159" s="229">
        <f>IF(AND(O1159=TRUE,P1159=TRUE), VLOOKUP($E1159,PESSOAL!$B$35:$S$45,MONTH($F1159)+6,FALSE)*G1159*24,0)</f>
        <v>0</v>
      </c>
      <c r="O1159" s="89" t="b">
        <f t="shared" si="1"/>
        <v>0</v>
      </c>
      <c r="P1159" s="89" t="b">
        <v>0</v>
      </c>
      <c r="Q1159" s="89" t="e">
        <v>#N/A</v>
      </c>
    </row>
    <row r="1160" hidden="1">
      <c r="A1160" s="108"/>
      <c r="B1160" s="202"/>
      <c r="C1160" s="202" t="str">
        <f>VLOOKUP(M1160,'#verificação horas por projeto'!A:B,2,FALSE)</f>
        <v>#N/A</v>
      </c>
      <c r="D1160" s="202"/>
      <c r="E1160" s="107"/>
      <c r="F1160" s="211"/>
      <c r="G1160" s="226"/>
      <c r="H1160" s="107"/>
      <c r="I1160" s="227"/>
      <c r="J1160" s="227"/>
      <c r="K1160" s="115"/>
      <c r="L1160" s="228"/>
      <c r="M1160" s="107"/>
      <c r="N1160" s="229">
        <f>IF(AND(O1160=TRUE,P1160=TRUE), VLOOKUP($E1160,PESSOAL!$B$35:$S$45,MONTH($F1160)+6,FALSE)*G1160*24,0)</f>
        <v>0</v>
      </c>
      <c r="O1160" s="89" t="b">
        <f t="shared" si="1"/>
        <v>0</v>
      </c>
      <c r="P1160" s="89" t="b">
        <v>0</v>
      </c>
      <c r="Q1160" s="89" t="e">
        <v>#N/A</v>
      </c>
    </row>
    <row r="1161" hidden="1">
      <c r="A1161" s="108"/>
      <c r="B1161" s="202"/>
      <c r="C1161" s="202" t="str">
        <f>VLOOKUP(M1161,'#verificação horas por projeto'!A:B,2,FALSE)</f>
        <v>#N/A</v>
      </c>
      <c r="D1161" s="202"/>
      <c r="E1161" s="107"/>
      <c r="F1161" s="211"/>
      <c r="G1161" s="226"/>
      <c r="H1161" s="107"/>
      <c r="I1161" s="227"/>
      <c r="J1161" s="227"/>
      <c r="K1161" s="115"/>
      <c r="L1161" s="228"/>
      <c r="M1161" s="107"/>
      <c r="N1161" s="229">
        <f>IF(AND(O1161=TRUE,P1161=TRUE), VLOOKUP($E1161,PESSOAL!$B$35:$S$45,MONTH($F1161)+6,FALSE)*G1161*24,0)</f>
        <v>0</v>
      </c>
      <c r="O1161" s="89" t="b">
        <f t="shared" si="1"/>
        <v>0</v>
      </c>
      <c r="P1161" s="89" t="b">
        <v>0</v>
      </c>
      <c r="Q1161" s="89" t="e">
        <v>#N/A</v>
      </c>
    </row>
    <row r="1162" hidden="1">
      <c r="A1162" s="108"/>
      <c r="B1162" s="202"/>
      <c r="C1162" s="202" t="str">
        <f>VLOOKUP(M1162,'#verificação horas por projeto'!A:B,2,FALSE)</f>
        <v>#N/A</v>
      </c>
      <c r="D1162" s="202"/>
      <c r="E1162" s="107"/>
      <c r="F1162" s="211"/>
      <c r="G1162" s="226"/>
      <c r="H1162" s="107"/>
      <c r="I1162" s="227"/>
      <c r="J1162" s="227"/>
      <c r="K1162" s="115"/>
      <c r="L1162" s="228"/>
      <c r="M1162" s="107"/>
      <c r="N1162" s="229">
        <f>IF(AND(O1162=TRUE,P1162=TRUE), VLOOKUP($E1162,PESSOAL!$B$35:$S$45,MONTH($F1162)+6,FALSE)*G1162*24,0)</f>
        <v>0</v>
      </c>
      <c r="O1162" s="89" t="b">
        <f t="shared" si="1"/>
        <v>0</v>
      </c>
      <c r="P1162" s="89" t="b">
        <v>0</v>
      </c>
      <c r="Q1162" s="89" t="e">
        <v>#N/A</v>
      </c>
    </row>
    <row r="1163" hidden="1">
      <c r="A1163" s="108"/>
      <c r="B1163" s="202"/>
      <c r="C1163" s="202" t="str">
        <f>VLOOKUP(M1163,'#verificação horas por projeto'!A:B,2,FALSE)</f>
        <v>#N/A</v>
      </c>
      <c r="D1163" s="202"/>
      <c r="E1163" s="107"/>
      <c r="F1163" s="211"/>
      <c r="G1163" s="226"/>
      <c r="H1163" s="107"/>
      <c r="I1163" s="227"/>
      <c r="J1163" s="227"/>
      <c r="K1163" s="115"/>
      <c r="L1163" s="228"/>
      <c r="M1163" s="107"/>
      <c r="N1163" s="229">
        <f>IF(AND(O1163=TRUE,P1163=TRUE), VLOOKUP($E1163,PESSOAL!$B$35:$S$45,MONTH($F1163)+6,FALSE)*G1163*24,0)</f>
        <v>0</v>
      </c>
      <c r="O1163" s="89" t="b">
        <f t="shared" si="1"/>
        <v>0</v>
      </c>
      <c r="P1163" s="89" t="b">
        <v>0</v>
      </c>
      <c r="Q1163" s="89" t="e">
        <v>#N/A</v>
      </c>
    </row>
    <row r="1164" hidden="1">
      <c r="A1164" s="108"/>
      <c r="B1164" s="202"/>
      <c r="C1164" s="202" t="str">
        <f>VLOOKUP(M1164,'#verificação horas por projeto'!A:B,2,FALSE)</f>
        <v>#N/A</v>
      </c>
      <c r="D1164" s="202"/>
      <c r="E1164" s="107"/>
      <c r="F1164" s="211"/>
      <c r="G1164" s="226"/>
      <c r="H1164" s="107"/>
      <c r="I1164" s="227"/>
      <c r="J1164" s="227"/>
      <c r="K1164" s="115"/>
      <c r="L1164" s="228"/>
      <c r="M1164" s="107"/>
      <c r="N1164" s="229">
        <f>IF(AND(O1164=TRUE,P1164=TRUE), VLOOKUP($E1164,PESSOAL!$B$35:$S$45,MONTH($F1164)+6,FALSE)*G1164*24,0)</f>
        <v>0</v>
      </c>
      <c r="O1164" s="89" t="b">
        <f t="shared" si="1"/>
        <v>0</v>
      </c>
      <c r="P1164" s="89" t="b">
        <v>0</v>
      </c>
      <c r="Q1164" s="89" t="e">
        <v>#N/A</v>
      </c>
    </row>
    <row r="1165" hidden="1">
      <c r="A1165" s="108"/>
      <c r="B1165" s="202"/>
      <c r="C1165" s="202" t="str">
        <f>VLOOKUP(M1165,'#verificação horas por projeto'!A:B,2,FALSE)</f>
        <v>#N/A</v>
      </c>
      <c r="D1165" s="202"/>
      <c r="E1165" s="107"/>
      <c r="F1165" s="211"/>
      <c r="G1165" s="226"/>
      <c r="H1165" s="107"/>
      <c r="I1165" s="227"/>
      <c r="J1165" s="227"/>
      <c r="K1165" s="115"/>
      <c r="L1165" s="228"/>
      <c r="M1165" s="107"/>
      <c r="N1165" s="229">
        <f>IF(AND(O1165=TRUE,P1165=TRUE), VLOOKUP($E1165,PESSOAL!$B$35:$S$45,MONTH($F1165)+6,FALSE)*G1165*24,0)</f>
        <v>0</v>
      </c>
      <c r="O1165" s="89" t="b">
        <f t="shared" si="1"/>
        <v>0</v>
      </c>
      <c r="P1165" s="89" t="b">
        <v>0</v>
      </c>
      <c r="Q1165" s="89" t="e">
        <v>#N/A</v>
      </c>
    </row>
    <row r="1166" hidden="1">
      <c r="A1166" s="108"/>
      <c r="B1166" s="202"/>
      <c r="C1166" s="202" t="str">
        <f>VLOOKUP(M1166,'#verificação horas por projeto'!A:B,2,FALSE)</f>
        <v>#N/A</v>
      </c>
      <c r="D1166" s="202"/>
      <c r="E1166" s="107"/>
      <c r="F1166" s="211"/>
      <c r="G1166" s="226"/>
      <c r="H1166" s="107"/>
      <c r="I1166" s="227"/>
      <c r="J1166" s="227"/>
      <c r="K1166" s="115"/>
      <c r="L1166" s="228"/>
      <c r="M1166" s="107"/>
      <c r="N1166" s="229">
        <f>IF(AND(O1166=TRUE,P1166=TRUE), VLOOKUP($E1166,PESSOAL!$B$35:$S$45,MONTH($F1166)+6,FALSE)*G1166*24,0)</f>
        <v>0</v>
      </c>
      <c r="O1166" s="89" t="b">
        <f t="shared" si="1"/>
        <v>0</v>
      </c>
      <c r="P1166" s="89" t="b">
        <v>0</v>
      </c>
      <c r="Q1166" s="89" t="e">
        <v>#N/A</v>
      </c>
    </row>
    <row r="1167" hidden="1">
      <c r="A1167" s="108"/>
      <c r="B1167" s="202"/>
      <c r="C1167" s="202" t="str">
        <f>VLOOKUP(M1167,'#verificação horas por projeto'!A:B,2,FALSE)</f>
        <v>#N/A</v>
      </c>
      <c r="D1167" s="202"/>
      <c r="E1167" s="107"/>
      <c r="F1167" s="211"/>
      <c r="G1167" s="226"/>
      <c r="H1167" s="107"/>
      <c r="I1167" s="227"/>
      <c r="J1167" s="227"/>
      <c r="K1167" s="115"/>
      <c r="L1167" s="228"/>
      <c r="M1167" s="107"/>
      <c r="N1167" s="229">
        <f>IF(AND(O1167=TRUE,P1167=TRUE), VLOOKUP($E1167,PESSOAL!$B$35:$S$45,MONTH($F1167)+6,FALSE)*G1167*24,0)</f>
        <v>0</v>
      </c>
      <c r="O1167" s="89" t="b">
        <f t="shared" si="1"/>
        <v>0</v>
      </c>
      <c r="P1167" s="89" t="b">
        <v>0</v>
      </c>
      <c r="Q1167" s="89" t="e">
        <v>#N/A</v>
      </c>
    </row>
    <row r="1168" hidden="1">
      <c r="A1168" s="108"/>
      <c r="B1168" s="202"/>
      <c r="C1168" s="202" t="str">
        <f>VLOOKUP(M1168,'#verificação horas por projeto'!A:B,2,FALSE)</f>
        <v>#N/A</v>
      </c>
      <c r="D1168" s="202"/>
      <c r="E1168" s="107"/>
      <c r="F1168" s="211"/>
      <c r="G1168" s="226"/>
      <c r="H1168" s="107"/>
      <c r="I1168" s="227"/>
      <c r="J1168" s="227"/>
      <c r="K1168" s="115"/>
      <c r="L1168" s="228"/>
      <c r="M1168" s="107"/>
      <c r="N1168" s="229">
        <f>IF(AND(O1168=TRUE,P1168=TRUE), VLOOKUP($E1168,PESSOAL!$B$35:$S$45,MONTH($F1168)+6,FALSE)*G1168*24,0)</f>
        <v>0</v>
      </c>
      <c r="O1168" s="89" t="b">
        <f t="shared" si="1"/>
        <v>0</v>
      </c>
      <c r="P1168" s="89" t="b">
        <v>0</v>
      </c>
      <c r="Q1168" s="89" t="e">
        <v>#N/A</v>
      </c>
    </row>
    <row r="1169" hidden="1">
      <c r="A1169" s="108"/>
      <c r="B1169" s="202"/>
      <c r="C1169" s="202" t="str">
        <f>VLOOKUP(M1169,'#verificação horas por projeto'!A:B,2,FALSE)</f>
        <v>#N/A</v>
      </c>
      <c r="D1169" s="202"/>
      <c r="E1169" s="107"/>
      <c r="F1169" s="211"/>
      <c r="G1169" s="226"/>
      <c r="H1169" s="107"/>
      <c r="I1169" s="227"/>
      <c r="J1169" s="227"/>
      <c r="K1169" s="115"/>
      <c r="L1169" s="228"/>
      <c r="M1169" s="107"/>
      <c r="N1169" s="229">
        <f>IF(AND(O1169=TRUE,P1169=TRUE), VLOOKUP($E1169,PESSOAL!$B$35:$S$45,MONTH($F1169)+6,FALSE)*G1169*24,0)</f>
        <v>0</v>
      </c>
      <c r="O1169" s="89" t="b">
        <f t="shared" si="1"/>
        <v>0</v>
      </c>
      <c r="P1169" s="89" t="b">
        <v>0</v>
      </c>
      <c r="Q1169" s="89" t="e">
        <v>#N/A</v>
      </c>
    </row>
    <row r="1170" hidden="1">
      <c r="A1170" s="108"/>
      <c r="B1170" s="202"/>
      <c r="C1170" s="202" t="str">
        <f>VLOOKUP(M1170,'#verificação horas por projeto'!A:B,2,FALSE)</f>
        <v>#N/A</v>
      </c>
      <c r="D1170" s="202"/>
      <c r="E1170" s="107"/>
      <c r="F1170" s="211"/>
      <c r="G1170" s="226"/>
      <c r="H1170" s="107"/>
      <c r="I1170" s="227"/>
      <c r="J1170" s="227"/>
      <c r="K1170" s="115"/>
      <c r="L1170" s="228"/>
      <c r="M1170" s="107"/>
      <c r="N1170" s="229">
        <f>IF(AND(O1170=TRUE,P1170=TRUE), VLOOKUP($E1170,PESSOAL!$B$35:$S$45,MONTH($F1170)+6,FALSE)*G1170*24,0)</f>
        <v>0</v>
      </c>
      <c r="O1170" s="89" t="b">
        <f t="shared" si="1"/>
        <v>0</v>
      </c>
      <c r="P1170" s="89" t="b">
        <v>0</v>
      </c>
      <c r="Q1170" s="89" t="e">
        <v>#N/A</v>
      </c>
    </row>
    <row r="1171" hidden="1">
      <c r="A1171" s="108"/>
      <c r="B1171" s="202"/>
      <c r="C1171" s="202" t="str">
        <f>VLOOKUP(M1171,'#verificação horas por projeto'!A:B,2,FALSE)</f>
        <v>#N/A</v>
      </c>
      <c r="D1171" s="202"/>
      <c r="E1171" s="107"/>
      <c r="F1171" s="211"/>
      <c r="G1171" s="226"/>
      <c r="H1171" s="107"/>
      <c r="I1171" s="227"/>
      <c r="J1171" s="227"/>
      <c r="K1171" s="115"/>
      <c r="L1171" s="228"/>
      <c r="M1171" s="107"/>
      <c r="N1171" s="229">
        <f>IF(AND(O1171=TRUE,P1171=TRUE), VLOOKUP($E1171,PESSOAL!$B$35:$S$45,MONTH($F1171)+6,FALSE)*G1171*24,0)</f>
        <v>0</v>
      </c>
      <c r="O1171" s="89" t="b">
        <f t="shared" si="1"/>
        <v>0</v>
      </c>
      <c r="P1171" s="89" t="b">
        <v>0</v>
      </c>
      <c r="Q1171" s="89" t="e">
        <v>#N/A</v>
      </c>
    </row>
    <row r="1172" hidden="1">
      <c r="A1172" s="108"/>
      <c r="B1172" s="202"/>
      <c r="C1172" s="202" t="str">
        <f>VLOOKUP(M1172,'#verificação horas por projeto'!A:B,2,FALSE)</f>
        <v>#N/A</v>
      </c>
      <c r="D1172" s="202"/>
      <c r="E1172" s="107"/>
      <c r="F1172" s="211"/>
      <c r="G1172" s="226"/>
      <c r="H1172" s="107"/>
      <c r="I1172" s="227"/>
      <c r="J1172" s="227"/>
      <c r="K1172" s="115"/>
      <c r="L1172" s="228"/>
      <c r="M1172" s="107"/>
      <c r="N1172" s="229">
        <f>IF(AND(O1172=TRUE,P1172=TRUE), VLOOKUP($E1172,PESSOAL!$B$35:$S$45,MONTH($F1172)+6,FALSE)*G1172*24,0)</f>
        <v>0</v>
      </c>
      <c r="O1172" s="89" t="b">
        <f t="shared" si="1"/>
        <v>0</v>
      </c>
      <c r="P1172" s="89" t="b">
        <v>0</v>
      </c>
      <c r="Q1172" s="89" t="e">
        <v>#N/A</v>
      </c>
    </row>
    <row r="1173" hidden="1">
      <c r="A1173" s="108"/>
      <c r="B1173" s="202"/>
      <c r="C1173" s="202" t="str">
        <f>VLOOKUP(M1173,'#verificação horas por projeto'!A:B,2,FALSE)</f>
        <v>#N/A</v>
      </c>
      <c r="D1173" s="202"/>
      <c r="E1173" s="107"/>
      <c r="F1173" s="211"/>
      <c r="G1173" s="226"/>
      <c r="H1173" s="107"/>
      <c r="I1173" s="227"/>
      <c r="J1173" s="227"/>
      <c r="K1173" s="115"/>
      <c r="L1173" s="228"/>
      <c r="M1173" s="107"/>
      <c r="N1173" s="229">
        <f>IF(AND(O1173=TRUE,P1173=TRUE), VLOOKUP($E1173,PESSOAL!$B$35:$S$45,MONTH($F1173)+6,FALSE)*G1173*24,0)</f>
        <v>0</v>
      </c>
      <c r="O1173" s="89" t="b">
        <f t="shared" si="1"/>
        <v>0</v>
      </c>
      <c r="P1173" s="89" t="b">
        <v>0</v>
      </c>
      <c r="Q1173" s="89" t="e">
        <v>#N/A</v>
      </c>
    </row>
    <row r="1174" hidden="1">
      <c r="A1174" s="108"/>
      <c r="B1174" s="202"/>
      <c r="C1174" s="202" t="str">
        <f>VLOOKUP(M1174,'#verificação horas por projeto'!A:B,2,FALSE)</f>
        <v>#N/A</v>
      </c>
      <c r="D1174" s="202"/>
      <c r="E1174" s="107"/>
      <c r="F1174" s="211"/>
      <c r="G1174" s="226"/>
      <c r="H1174" s="107"/>
      <c r="I1174" s="227"/>
      <c r="J1174" s="227"/>
      <c r="K1174" s="115"/>
      <c r="L1174" s="228"/>
      <c r="M1174" s="107"/>
      <c r="N1174" s="229">
        <f>IF(AND(O1174=TRUE,P1174=TRUE), VLOOKUP($E1174,PESSOAL!$B$35:$S$45,MONTH($F1174)+6,FALSE)*G1174*24,0)</f>
        <v>0</v>
      </c>
      <c r="O1174" s="89" t="b">
        <f t="shared" si="1"/>
        <v>0</v>
      </c>
      <c r="P1174" s="89" t="b">
        <v>0</v>
      </c>
      <c r="Q1174" s="89" t="e">
        <v>#N/A</v>
      </c>
    </row>
    <row r="1175" hidden="1">
      <c r="A1175" s="108"/>
      <c r="B1175" s="202"/>
      <c r="C1175" s="202" t="str">
        <f>VLOOKUP(M1175,'#verificação horas por projeto'!A:B,2,FALSE)</f>
        <v>#N/A</v>
      </c>
      <c r="D1175" s="202"/>
      <c r="E1175" s="107"/>
      <c r="F1175" s="211"/>
      <c r="G1175" s="226"/>
      <c r="H1175" s="107"/>
      <c r="I1175" s="227"/>
      <c r="J1175" s="227"/>
      <c r="K1175" s="115"/>
      <c r="L1175" s="228"/>
      <c r="M1175" s="107"/>
      <c r="N1175" s="229">
        <f>IF(AND(O1175=TRUE,P1175=TRUE), VLOOKUP($E1175,PESSOAL!$B$35:$S$45,MONTH($F1175)+6,FALSE)*G1175*24,0)</f>
        <v>0</v>
      </c>
      <c r="O1175" s="89" t="b">
        <f t="shared" si="1"/>
        <v>0</v>
      </c>
      <c r="P1175" s="89" t="b">
        <v>0</v>
      </c>
      <c r="Q1175" s="89" t="e">
        <v>#N/A</v>
      </c>
    </row>
    <row r="1176" hidden="1">
      <c r="A1176" s="108"/>
      <c r="B1176" s="202"/>
      <c r="C1176" s="202" t="str">
        <f>VLOOKUP(M1176,'#verificação horas por projeto'!A:B,2,FALSE)</f>
        <v>#N/A</v>
      </c>
      <c r="D1176" s="202"/>
      <c r="E1176" s="107"/>
      <c r="F1176" s="211"/>
      <c r="G1176" s="226"/>
      <c r="H1176" s="107"/>
      <c r="I1176" s="227"/>
      <c r="J1176" s="227"/>
      <c r="K1176" s="115"/>
      <c r="L1176" s="228"/>
      <c r="M1176" s="107"/>
      <c r="N1176" s="229">
        <f>IF(AND(O1176=TRUE,P1176=TRUE), VLOOKUP($E1176,PESSOAL!$B$35:$S$45,MONTH($F1176)+6,FALSE)*G1176*24,0)</f>
        <v>0</v>
      </c>
      <c r="O1176" s="89" t="b">
        <f t="shared" si="1"/>
        <v>0</v>
      </c>
      <c r="P1176" s="89" t="b">
        <v>0</v>
      </c>
      <c r="Q1176" s="89" t="e">
        <v>#N/A</v>
      </c>
    </row>
    <row r="1177" hidden="1">
      <c r="A1177" s="108"/>
      <c r="B1177" s="202"/>
      <c r="C1177" s="202" t="str">
        <f>VLOOKUP(M1177,'#verificação horas por projeto'!A:B,2,FALSE)</f>
        <v>#N/A</v>
      </c>
      <c r="D1177" s="202"/>
      <c r="E1177" s="107"/>
      <c r="F1177" s="211"/>
      <c r="G1177" s="226"/>
      <c r="H1177" s="107"/>
      <c r="I1177" s="227"/>
      <c r="J1177" s="227"/>
      <c r="K1177" s="115"/>
      <c r="L1177" s="228"/>
      <c r="M1177" s="107"/>
      <c r="N1177" s="229">
        <f>IF(AND(O1177=TRUE,P1177=TRUE), VLOOKUP($E1177,PESSOAL!$B$35:$S$45,MONTH($F1177)+6,FALSE)*G1177*24,0)</f>
        <v>0</v>
      </c>
      <c r="O1177" s="89" t="b">
        <f t="shared" si="1"/>
        <v>0</v>
      </c>
      <c r="P1177" s="89" t="b">
        <v>0</v>
      </c>
      <c r="Q1177" s="89" t="e">
        <v>#N/A</v>
      </c>
    </row>
    <row r="1178" hidden="1">
      <c r="A1178" s="108"/>
      <c r="B1178" s="202"/>
      <c r="C1178" s="202" t="str">
        <f>VLOOKUP(M1178,'#verificação horas por projeto'!A:B,2,FALSE)</f>
        <v>#N/A</v>
      </c>
      <c r="D1178" s="202"/>
      <c r="E1178" s="107"/>
      <c r="F1178" s="211"/>
      <c r="G1178" s="226"/>
      <c r="H1178" s="107"/>
      <c r="I1178" s="227"/>
      <c r="J1178" s="227"/>
      <c r="K1178" s="115"/>
      <c r="L1178" s="228"/>
      <c r="M1178" s="107"/>
      <c r="N1178" s="229">
        <f>IF(AND(O1178=TRUE,P1178=TRUE), VLOOKUP($E1178,PESSOAL!$B$35:$S$45,MONTH($F1178)+6,FALSE)*G1178*24,0)</f>
        <v>0</v>
      </c>
      <c r="O1178" s="89" t="b">
        <f t="shared" si="1"/>
        <v>0</v>
      </c>
      <c r="P1178" s="89" t="b">
        <v>0</v>
      </c>
      <c r="Q1178" s="89" t="e">
        <v>#N/A</v>
      </c>
    </row>
    <row r="1179" hidden="1">
      <c r="A1179" s="108"/>
      <c r="B1179" s="202"/>
      <c r="C1179" s="202" t="str">
        <f>VLOOKUP(M1179,'#verificação horas por projeto'!A:B,2,FALSE)</f>
        <v>#N/A</v>
      </c>
      <c r="D1179" s="202"/>
      <c r="E1179" s="107"/>
      <c r="F1179" s="211"/>
      <c r="G1179" s="226"/>
      <c r="H1179" s="107"/>
      <c r="I1179" s="227"/>
      <c r="J1179" s="227"/>
      <c r="K1179" s="115"/>
      <c r="L1179" s="228"/>
      <c r="M1179" s="107"/>
      <c r="N1179" s="229">
        <f>IF(AND(O1179=TRUE,P1179=TRUE), VLOOKUP($E1179,PESSOAL!$B$35:$S$45,MONTH($F1179)+6,FALSE)*G1179*24,0)</f>
        <v>0</v>
      </c>
      <c r="O1179" s="89" t="b">
        <f t="shared" si="1"/>
        <v>0</v>
      </c>
      <c r="P1179" s="89" t="b">
        <v>0</v>
      </c>
      <c r="Q1179" s="89" t="e">
        <v>#N/A</v>
      </c>
    </row>
    <row r="1180" hidden="1">
      <c r="A1180" s="108"/>
      <c r="B1180" s="202"/>
      <c r="C1180" s="202" t="str">
        <f>VLOOKUP(M1180,'#verificação horas por projeto'!A:B,2,FALSE)</f>
        <v>#N/A</v>
      </c>
      <c r="D1180" s="202"/>
      <c r="E1180" s="107"/>
      <c r="F1180" s="211"/>
      <c r="G1180" s="226"/>
      <c r="H1180" s="107"/>
      <c r="I1180" s="227"/>
      <c r="J1180" s="227"/>
      <c r="K1180" s="115"/>
      <c r="L1180" s="228"/>
      <c r="M1180" s="107"/>
      <c r="N1180" s="229">
        <f>IF(AND(O1180=TRUE,P1180=TRUE), VLOOKUP($E1180,PESSOAL!$B$35:$S$45,MONTH($F1180)+6,FALSE)*G1180*24,0)</f>
        <v>0</v>
      </c>
      <c r="O1180" s="89" t="b">
        <f t="shared" si="1"/>
        <v>0</v>
      </c>
      <c r="P1180" s="89" t="b">
        <v>0</v>
      </c>
      <c r="Q1180" s="89" t="e">
        <v>#N/A</v>
      </c>
    </row>
    <row r="1181" hidden="1">
      <c r="A1181" s="108"/>
      <c r="B1181" s="202"/>
      <c r="C1181" s="202" t="str">
        <f>VLOOKUP(M1181,'#verificação horas por projeto'!A:B,2,FALSE)</f>
        <v>#N/A</v>
      </c>
      <c r="D1181" s="202"/>
      <c r="E1181" s="107"/>
      <c r="F1181" s="211"/>
      <c r="G1181" s="226"/>
      <c r="H1181" s="107"/>
      <c r="I1181" s="227"/>
      <c r="J1181" s="227"/>
      <c r="K1181" s="115"/>
      <c r="L1181" s="228"/>
      <c r="M1181" s="107"/>
      <c r="N1181" s="229">
        <f>IF(AND(O1181=TRUE,P1181=TRUE), VLOOKUP($E1181,PESSOAL!$B$35:$S$45,MONTH($F1181)+6,FALSE)*G1181*24,0)</f>
        <v>0</v>
      </c>
      <c r="O1181" s="89" t="b">
        <f t="shared" si="1"/>
        <v>0</v>
      </c>
      <c r="P1181" s="89" t="b">
        <v>0</v>
      </c>
      <c r="Q1181" s="89" t="e">
        <v>#N/A</v>
      </c>
    </row>
    <row r="1182" hidden="1">
      <c r="A1182" s="108"/>
      <c r="B1182" s="202"/>
      <c r="C1182" s="202" t="str">
        <f>VLOOKUP(M1182,'#verificação horas por projeto'!A:B,2,FALSE)</f>
        <v>#N/A</v>
      </c>
      <c r="D1182" s="202"/>
      <c r="E1182" s="107"/>
      <c r="F1182" s="211"/>
      <c r="G1182" s="226"/>
      <c r="H1182" s="107"/>
      <c r="I1182" s="227"/>
      <c r="J1182" s="227"/>
      <c r="K1182" s="115"/>
      <c r="L1182" s="228"/>
      <c r="M1182" s="107"/>
      <c r="N1182" s="229">
        <f>IF(AND(O1182=TRUE,P1182=TRUE), VLOOKUP($E1182,PESSOAL!$B$35:$S$45,MONTH($F1182)+6,FALSE)*G1182*24,0)</f>
        <v>0</v>
      </c>
      <c r="O1182" s="89" t="b">
        <f t="shared" si="1"/>
        <v>0</v>
      </c>
      <c r="P1182" s="89" t="b">
        <v>0</v>
      </c>
      <c r="Q1182" s="89" t="e">
        <v>#N/A</v>
      </c>
    </row>
    <row r="1183" hidden="1">
      <c r="A1183" s="108"/>
      <c r="B1183" s="202"/>
      <c r="C1183" s="202" t="str">
        <f>VLOOKUP(M1183,'#verificação horas por projeto'!A:B,2,FALSE)</f>
        <v>#N/A</v>
      </c>
      <c r="D1183" s="202"/>
      <c r="E1183" s="107"/>
      <c r="F1183" s="211"/>
      <c r="G1183" s="226"/>
      <c r="H1183" s="107"/>
      <c r="I1183" s="227"/>
      <c r="J1183" s="227"/>
      <c r="K1183" s="115"/>
      <c r="L1183" s="228"/>
      <c r="M1183" s="107"/>
      <c r="N1183" s="229">
        <f>IF(AND(O1183=TRUE,P1183=TRUE), VLOOKUP($E1183,PESSOAL!$B$35:$S$45,MONTH($F1183)+6,FALSE)*G1183*24,0)</f>
        <v>0</v>
      </c>
      <c r="O1183" s="89" t="b">
        <f t="shared" si="1"/>
        <v>0</v>
      </c>
      <c r="P1183" s="89" t="b">
        <v>0</v>
      </c>
      <c r="Q1183" s="89" t="e">
        <v>#N/A</v>
      </c>
    </row>
    <row r="1184" hidden="1">
      <c r="A1184" s="108"/>
      <c r="B1184" s="202"/>
      <c r="C1184" s="202" t="str">
        <f>VLOOKUP(M1184,'#verificação horas por projeto'!A:B,2,FALSE)</f>
        <v>#N/A</v>
      </c>
      <c r="D1184" s="202"/>
      <c r="E1184" s="107"/>
      <c r="F1184" s="211"/>
      <c r="G1184" s="226"/>
      <c r="H1184" s="107"/>
      <c r="I1184" s="227"/>
      <c r="J1184" s="227"/>
      <c r="K1184" s="115"/>
      <c r="L1184" s="228"/>
      <c r="M1184" s="107"/>
      <c r="N1184" s="229">
        <f>IF(AND(O1184=TRUE,P1184=TRUE), VLOOKUP($E1184,PESSOAL!$B$35:$S$45,MONTH($F1184)+6,FALSE)*G1184*24,0)</f>
        <v>0</v>
      </c>
      <c r="O1184" s="89" t="b">
        <f t="shared" si="1"/>
        <v>0</v>
      </c>
      <c r="P1184" s="89" t="b">
        <v>0</v>
      </c>
      <c r="Q1184" s="89" t="e">
        <v>#N/A</v>
      </c>
    </row>
    <row r="1185" hidden="1">
      <c r="A1185" s="108"/>
      <c r="B1185" s="202"/>
      <c r="C1185" s="202" t="str">
        <f>VLOOKUP(M1185,'#verificação horas por projeto'!A:B,2,FALSE)</f>
        <v>#N/A</v>
      </c>
      <c r="D1185" s="202"/>
      <c r="E1185" s="107"/>
      <c r="F1185" s="211"/>
      <c r="G1185" s="226"/>
      <c r="H1185" s="107"/>
      <c r="I1185" s="227"/>
      <c r="J1185" s="227"/>
      <c r="K1185" s="115"/>
      <c r="L1185" s="228"/>
      <c r="M1185" s="107"/>
      <c r="N1185" s="229">
        <f>IF(AND(O1185=TRUE,P1185=TRUE), VLOOKUP($E1185,PESSOAL!$B$35:$S$45,MONTH($F1185)+6,FALSE)*G1185*24,0)</f>
        <v>0</v>
      </c>
      <c r="O1185" s="89" t="b">
        <f t="shared" si="1"/>
        <v>0</v>
      </c>
      <c r="P1185" s="89" t="b">
        <v>0</v>
      </c>
      <c r="Q1185" s="89" t="e">
        <v>#N/A</v>
      </c>
    </row>
    <row r="1186" hidden="1">
      <c r="A1186" s="108"/>
      <c r="B1186" s="202"/>
      <c r="C1186" s="202" t="str">
        <f>VLOOKUP(M1186,'#verificação horas por projeto'!A:B,2,FALSE)</f>
        <v>#N/A</v>
      </c>
      <c r="D1186" s="202"/>
      <c r="E1186" s="107"/>
      <c r="F1186" s="211"/>
      <c r="G1186" s="226"/>
      <c r="H1186" s="107"/>
      <c r="I1186" s="227"/>
      <c r="J1186" s="227"/>
      <c r="K1186" s="115"/>
      <c r="L1186" s="228"/>
      <c r="M1186" s="107"/>
      <c r="N1186" s="229">
        <f>IF(AND(O1186=TRUE,P1186=TRUE), VLOOKUP($E1186,PESSOAL!$B$35:$S$45,MONTH($F1186)+6,FALSE)*G1186*24,0)</f>
        <v>0</v>
      </c>
      <c r="O1186" s="89" t="b">
        <f t="shared" si="1"/>
        <v>0</v>
      </c>
      <c r="P1186" s="89" t="b">
        <v>0</v>
      </c>
      <c r="Q1186" s="89" t="e">
        <v>#N/A</v>
      </c>
    </row>
    <row r="1187" hidden="1">
      <c r="A1187" s="108"/>
      <c r="B1187" s="202"/>
      <c r="C1187" s="202" t="str">
        <f>VLOOKUP(M1187,'#verificação horas por projeto'!A:B,2,FALSE)</f>
        <v>#N/A</v>
      </c>
      <c r="D1187" s="202"/>
      <c r="E1187" s="107"/>
      <c r="F1187" s="211"/>
      <c r="G1187" s="226"/>
      <c r="H1187" s="107"/>
      <c r="I1187" s="227"/>
      <c r="J1187" s="227"/>
      <c r="K1187" s="115"/>
      <c r="L1187" s="228"/>
      <c r="M1187" s="107"/>
      <c r="N1187" s="229">
        <f>IF(AND(O1187=TRUE,P1187=TRUE), VLOOKUP($E1187,PESSOAL!$B$35:$S$45,MONTH($F1187)+6,FALSE)*G1187*24,0)</f>
        <v>0</v>
      </c>
      <c r="O1187" s="89" t="b">
        <f t="shared" si="1"/>
        <v>0</v>
      </c>
      <c r="P1187" s="89" t="b">
        <v>0</v>
      </c>
      <c r="Q1187" s="89" t="e">
        <v>#N/A</v>
      </c>
    </row>
    <row r="1188" hidden="1">
      <c r="A1188" s="108"/>
      <c r="B1188" s="202"/>
      <c r="C1188" s="202" t="str">
        <f>VLOOKUP(M1188,'#verificação horas por projeto'!A:B,2,FALSE)</f>
        <v>#N/A</v>
      </c>
      <c r="D1188" s="202"/>
      <c r="E1188" s="107"/>
      <c r="F1188" s="211"/>
      <c r="G1188" s="226"/>
      <c r="H1188" s="107"/>
      <c r="I1188" s="227"/>
      <c r="J1188" s="227"/>
      <c r="K1188" s="115"/>
      <c r="L1188" s="228"/>
      <c r="M1188" s="107"/>
      <c r="N1188" s="229">
        <f>IF(AND(O1188=TRUE,P1188=TRUE), VLOOKUP($E1188,PESSOAL!$B$35:$S$45,MONTH($F1188)+6,FALSE)*G1188*24,0)</f>
        <v>0</v>
      </c>
      <c r="O1188" s="89" t="b">
        <f t="shared" si="1"/>
        <v>0</v>
      </c>
      <c r="P1188" s="89" t="b">
        <v>0</v>
      </c>
      <c r="Q1188" s="89" t="e">
        <v>#N/A</v>
      </c>
    </row>
    <row r="1189" hidden="1">
      <c r="A1189" s="108"/>
      <c r="B1189" s="202"/>
      <c r="C1189" s="202" t="str">
        <f>VLOOKUP(M1189,'#verificação horas por projeto'!A:B,2,FALSE)</f>
        <v>#N/A</v>
      </c>
      <c r="D1189" s="202"/>
      <c r="E1189" s="107"/>
      <c r="F1189" s="211"/>
      <c r="G1189" s="226"/>
      <c r="H1189" s="107"/>
      <c r="I1189" s="227"/>
      <c r="J1189" s="227"/>
      <c r="K1189" s="115"/>
      <c r="L1189" s="228"/>
      <c r="M1189" s="107"/>
      <c r="N1189" s="229">
        <f>IF(AND(O1189=TRUE,P1189=TRUE), VLOOKUP($E1189,PESSOAL!$B$35:$S$45,MONTH($F1189)+6,FALSE)*G1189*24,0)</f>
        <v>0</v>
      </c>
      <c r="O1189" s="89" t="b">
        <f t="shared" si="1"/>
        <v>0</v>
      </c>
      <c r="P1189" s="89" t="b">
        <v>0</v>
      </c>
      <c r="Q1189" s="89" t="e">
        <v>#N/A</v>
      </c>
    </row>
    <row r="1190" hidden="1">
      <c r="A1190" s="108"/>
      <c r="B1190" s="202"/>
      <c r="C1190" s="202" t="str">
        <f>VLOOKUP(M1190,'#verificação horas por projeto'!A:B,2,FALSE)</f>
        <v>#N/A</v>
      </c>
      <c r="D1190" s="202"/>
      <c r="E1190" s="107"/>
      <c r="F1190" s="211"/>
      <c r="G1190" s="226"/>
      <c r="H1190" s="107"/>
      <c r="I1190" s="227"/>
      <c r="J1190" s="227"/>
      <c r="K1190" s="115"/>
      <c r="L1190" s="228"/>
      <c r="M1190" s="107"/>
      <c r="N1190" s="229">
        <f>IF(AND(O1190=TRUE,P1190=TRUE), VLOOKUP($E1190,PESSOAL!$B$35:$S$45,MONTH($F1190)+6,FALSE)*G1190*24,0)</f>
        <v>0</v>
      </c>
      <c r="O1190" s="89" t="b">
        <f t="shared" si="1"/>
        <v>0</v>
      </c>
      <c r="P1190" s="89" t="b">
        <v>0</v>
      </c>
      <c r="Q1190" s="89" t="e">
        <v>#N/A</v>
      </c>
    </row>
    <row r="1191" hidden="1">
      <c r="A1191" s="108"/>
      <c r="B1191" s="202"/>
      <c r="C1191" s="202" t="str">
        <f>VLOOKUP(M1191,'#verificação horas por projeto'!A:B,2,FALSE)</f>
        <v>#N/A</v>
      </c>
      <c r="D1191" s="202"/>
      <c r="E1191" s="107"/>
      <c r="F1191" s="211"/>
      <c r="G1191" s="226"/>
      <c r="H1191" s="107"/>
      <c r="I1191" s="227"/>
      <c r="J1191" s="227"/>
      <c r="K1191" s="115"/>
      <c r="L1191" s="228"/>
      <c r="M1191" s="107"/>
      <c r="N1191" s="229">
        <f>IF(AND(O1191=TRUE,P1191=TRUE), VLOOKUP($E1191,PESSOAL!$B$35:$S$45,MONTH($F1191)+6,FALSE)*G1191*24,0)</f>
        <v>0</v>
      </c>
      <c r="O1191" s="89" t="b">
        <f t="shared" si="1"/>
        <v>0</v>
      </c>
      <c r="P1191" s="89" t="b">
        <v>0</v>
      </c>
      <c r="Q1191" s="89" t="e">
        <v>#N/A</v>
      </c>
    </row>
    <row r="1192" hidden="1">
      <c r="A1192" s="108"/>
      <c r="B1192" s="202"/>
      <c r="C1192" s="202" t="str">
        <f>VLOOKUP(M1192,'#verificação horas por projeto'!A:B,2,FALSE)</f>
        <v>#N/A</v>
      </c>
      <c r="D1192" s="202"/>
      <c r="E1192" s="107"/>
      <c r="F1192" s="211"/>
      <c r="G1192" s="226"/>
      <c r="H1192" s="107"/>
      <c r="I1192" s="227"/>
      <c r="J1192" s="227"/>
      <c r="K1192" s="115"/>
      <c r="L1192" s="228"/>
      <c r="M1192" s="107"/>
      <c r="N1192" s="229">
        <f>IF(AND(O1192=TRUE,P1192=TRUE), VLOOKUP($E1192,PESSOAL!$B$35:$S$45,MONTH($F1192)+6,FALSE)*G1192*24,0)</f>
        <v>0</v>
      </c>
      <c r="O1192" s="89" t="b">
        <f t="shared" si="1"/>
        <v>0</v>
      </c>
      <c r="P1192" s="89" t="b">
        <v>0</v>
      </c>
      <c r="Q1192" s="89" t="e">
        <v>#N/A</v>
      </c>
    </row>
    <row r="1193" hidden="1">
      <c r="A1193" s="108"/>
      <c r="B1193" s="202"/>
      <c r="C1193" s="202" t="str">
        <f>VLOOKUP(M1193,'#verificação horas por projeto'!A:B,2,FALSE)</f>
        <v>#N/A</v>
      </c>
      <c r="D1193" s="202"/>
      <c r="E1193" s="107"/>
      <c r="F1193" s="211"/>
      <c r="G1193" s="226"/>
      <c r="H1193" s="107"/>
      <c r="I1193" s="227"/>
      <c r="J1193" s="227"/>
      <c r="K1193" s="115"/>
      <c r="L1193" s="228"/>
      <c r="M1193" s="107"/>
      <c r="N1193" s="229">
        <f>IF(AND(O1193=TRUE,P1193=TRUE), VLOOKUP($E1193,PESSOAL!$B$35:$S$45,MONTH($F1193)+6,FALSE)*G1193*24,0)</f>
        <v>0</v>
      </c>
      <c r="O1193" s="89" t="b">
        <f t="shared" si="1"/>
        <v>0</v>
      </c>
      <c r="P1193" s="89" t="b">
        <v>0</v>
      </c>
      <c r="Q1193" s="89" t="e">
        <v>#N/A</v>
      </c>
    </row>
    <row r="1194" hidden="1">
      <c r="A1194" s="108"/>
      <c r="B1194" s="202"/>
      <c r="C1194" s="202" t="str">
        <f>VLOOKUP(M1194,'#verificação horas por projeto'!A:B,2,FALSE)</f>
        <v>#N/A</v>
      </c>
      <c r="D1194" s="202"/>
      <c r="E1194" s="107"/>
      <c r="F1194" s="211"/>
      <c r="G1194" s="226"/>
      <c r="H1194" s="107"/>
      <c r="I1194" s="227"/>
      <c r="J1194" s="227"/>
      <c r="K1194" s="115"/>
      <c r="L1194" s="228"/>
      <c r="M1194" s="107"/>
      <c r="N1194" s="229">
        <f>IF(AND(O1194=TRUE,P1194=TRUE), VLOOKUP($E1194,PESSOAL!$B$35:$S$45,MONTH($F1194)+6,FALSE)*G1194*24,0)</f>
        <v>0</v>
      </c>
      <c r="O1194" s="89" t="b">
        <f t="shared" si="1"/>
        <v>0</v>
      </c>
      <c r="P1194" s="89" t="b">
        <v>0</v>
      </c>
      <c r="Q1194" s="89" t="e">
        <v>#N/A</v>
      </c>
    </row>
    <row r="1195" hidden="1">
      <c r="A1195" s="108"/>
      <c r="B1195" s="202"/>
      <c r="C1195" s="202" t="str">
        <f>VLOOKUP(M1195,'#verificação horas por projeto'!A:B,2,FALSE)</f>
        <v>#N/A</v>
      </c>
      <c r="D1195" s="202"/>
      <c r="E1195" s="107"/>
      <c r="F1195" s="211"/>
      <c r="G1195" s="226"/>
      <c r="H1195" s="107"/>
      <c r="I1195" s="227"/>
      <c r="J1195" s="227"/>
      <c r="K1195" s="115"/>
      <c r="L1195" s="228"/>
      <c r="M1195" s="107"/>
      <c r="N1195" s="229">
        <f>IF(AND(O1195=TRUE,P1195=TRUE), VLOOKUP($E1195,PESSOAL!$B$35:$S$45,MONTH($F1195)+6,FALSE)*G1195*24,0)</f>
        <v>0</v>
      </c>
      <c r="O1195" s="89" t="b">
        <f t="shared" si="1"/>
        <v>0</v>
      </c>
      <c r="P1195" s="89" t="b">
        <v>0</v>
      </c>
      <c r="Q1195" s="89" t="e">
        <v>#N/A</v>
      </c>
    </row>
    <row r="1196" hidden="1">
      <c r="A1196" s="108"/>
      <c r="B1196" s="202"/>
      <c r="C1196" s="202" t="str">
        <f>VLOOKUP(M1196,'#verificação horas por projeto'!A:B,2,FALSE)</f>
        <v>#N/A</v>
      </c>
      <c r="D1196" s="202"/>
      <c r="E1196" s="107"/>
      <c r="F1196" s="211"/>
      <c r="G1196" s="226"/>
      <c r="H1196" s="107"/>
      <c r="I1196" s="227"/>
      <c r="J1196" s="227"/>
      <c r="K1196" s="115"/>
      <c r="L1196" s="228"/>
      <c r="M1196" s="107"/>
      <c r="N1196" s="229">
        <f>IF(AND(O1196=TRUE,P1196=TRUE), VLOOKUP($E1196,PESSOAL!$B$35:$S$45,MONTH($F1196)+6,FALSE)*G1196*24,0)</f>
        <v>0</v>
      </c>
      <c r="O1196" s="89" t="b">
        <f t="shared" si="1"/>
        <v>0</v>
      </c>
      <c r="P1196" s="89" t="b">
        <v>0</v>
      </c>
      <c r="Q1196" s="89" t="e">
        <v>#N/A</v>
      </c>
    </row>
    <row r="1197" hidden="1">
      <c r="A1197" s="108"/>
      <c r="B1197" s="202"/>
      <c r="C1197" s="202" t="str">
        <f>VLOOKUP(M1197,'#verificação horas por projeto'!A:B,2,FALSE)</f>
        <v>#N/A</v>
      </c>
      <c r="D1197" s="202"/>
      <c r="E1197" s="107"/>
      <c r="F1197" s="211"/>
      <c r="G1197" s="226"/>
      <c r="H1197" s="107"/>
      <c r="I1197" s="227"/>
      <c r="J1197" s="227"/>
      <c r="K1197" s="115"/>
      <c r="L1197" s="228"/>
      <c r="M1197" s="107"/>
      <c r="N1197" s="229">
        <f>IF(AND(O1197=TRUE,P1197=TRUE), VLOOKUP($E1197,PESSOAL!$B$35:$S$45,MONTH($F1197)+6,FALSE)*G1197*24,0)</f>
        <v>0</v>
      </c>
      <c r="O1197" s="89" t="b">
        <f t="shared" si="1"/>
        <v>0</v>
      </c>
      <c r="P1197" s="89" t="b">
        <v>0</v>
      </c>
      <c r="Q1197" s="89" t="e">
        <v>#N/A</v>
      </c>
    </row>
    <row r="1198" hidden="1">
      <c r="A1198" s="108"/>
      <c r="B1198" s="202"/>
      <c r="C1198" s="202" t="str">
        <f>VLOOKUP(M1198,'#verificação horas por projeto'!A:B,2,FALSE)</f>
        <v>#N/A</v>
      </c>
      <c r="D1198" s="202"/>
      <c r="E1198" s="107"/>
      <c r="F1198" s="211"/>
      <c r="G1198" s="226"/>
      <c r="H1198" s="107"/>
      <c r="I1198" s="227"/>
      <c r="J1198" s="227"/>
      <c r="K1198" s="115"/>
      <c r="L1198" s="228"/>
      <c r="M1198" s="107"/>
      <c r="N1198" s="229">
        <f>IF(AND(O1198=TRUE,P1198=TRUE), VLOOKUP($E1198,PESSOAL!$B$35:$S$45,MONTH($F1198)+6,FALSE)*G1198*24,0)</f>
        <v>0</v>
      </c>
      <c r="O1198" s="89" t="b">
        <f t="shared" si="1"/>
        <v>0</v>
      </c>
      <c r="P1198" s="89" t="b">
        <v>0</v>
      </c>
      <c r="Q1198" s="89" t="e">
        <v>#N/A</v>
      </c>
    </row>
    <row r="1199" hidden="1">
      <c r="A1199" s="108"/>
      <c r="B1199" s="202"/>
      <c r="C1199" s="202" t="str">
        <f>VLOOKUP(M1199,'#verificação horas por projeto'!A:B,2,FALSE)</f>
        <v>#N/A</v>
      </c>
      <c r="D1199" s="202"/>
      <c r="E1199" s="107"/>
      <c r="F1199" s="211"/>
      <c r="G1199" s="226"/>
      <c r="H1199" s="107"/>
      <c r="I1199" s="227"/>
      <c r="J1199" s="227"/>
      <c r="K1199" s="115"/>
      <c r="L1199" s="228"/>
      <c r="M1199" s="107"/>
      <c r="N1199" s="229">
        <f>IF(AND(O1199=TRUE,P1199=TRUE), VLOOKUP($E1199,PESSOAL!$B$35:$S$45,MONTH($F1199)+6,FALSE)*G1199*24,0)</f>
        <v>0</v>
      </c>
      <c r="O1199" s="89" t="b">
        <f t="shared" si="1"/>
        <v>0</v>
      </c>
      <c r="P1199" s="89" t="b">
        <v>0</v>
      </c>
      <c r="Q1199" s="89" t="e">
        <v>#N/A</v>
      </c>
    </row>
    <row r="1200" hidden="1">
      <c r="A1200" s="108"/>
      <c r="B1200" s="202"/>
      <c r="C1200" s="202" t="str">
        <f>VLOOKUP(M1200,'#verificação horas por projeto'!A:B,2,FALSE)</f>
        <v>#N/A</v>
      </c>
      <c r="D1200" s="202"/>
      <c r="E1200" s="107"/>
      <c r="F1200" s="211"/>
      <c r="G1200" s="226"/>
      <c r="H1200" s="107"/>
      <c r="I1200" s="227"/>
      <c r="J1200" s="227"/>
      <c r="K1200" s="115"/>
      <c r="L1200" s="228"/>
      <c r="M1200" s="107"/>
      <c r="N1200" s="229">
        <f>IF(AND(O1200=TRUE,P1200=TRUE), VLOOKUP($E1200,PESSOAL!$B$35:$S$45,MONTH($F1200)+6,FALSE)*G1200*24,0)</f>
        <v>0</v>
      </c>
      <c r="O1200" s="89" t="b">
        <f t="shared" si="1"/>
        <v>0</v>
      </c>
      <c r="P1200" s="89" t="b">
        <v>0</v>
      </c>
      <c r="Q1200" s="89" t="e">
        <v>#N/A</v>
      </c>
    </row>
    <row r="1201" hidden="1">
      <c r="A1201" s="108"/>
      <c r="B1201" s="202"/>
      <c r="C1201" s="202" t="str">
        <f>VLOOKUP(M1201,'#verificação horas por projeto'!A:B,2,FALSE)</f>
        <v>#N/A</v>
      </c>
      <c r="D1201" s="202"/>
      <c r="E1201" s="107"/>
      <c r="F1201" s="211"/>
      <c r="G1201" s="226"/>
      <c r="H1201" s="107"/>
      <c r="I1201" s="227"/>
      <c r="J1201" s="227"/>
      <c r="K1201" s="115"/>
      <c r="L1201" s="228"/>
      <c r="M1201" s="107"/>
      <c r="N1201" s="229">
        <f>IF(AND(O1201=TRUE,P1201=TRUE), VLOOKUP($E1201,PESSOAL!$B$35:$S$45,MONTH($F1201)+6,FALSE)*G1201*24,0)</f>
        <v>0</v>
      </c>
      <c r="O1201" s="89" t="b">
        <f t="shared" si="1"/>
        <v>0</v>
      </c>
      <c r="P1201" s="89" t="b">
        <v>0</v>
      </c>
      <c r="Q1201" s="89" t="e">
        <v>#N/A</v>
      </c>
    </row>
    <row r="1202" hidden="1">
      <c r="A1202" s="108"/>
      <c r="B1202" s="202"/>
      <c r="C1202" s="202" t="str">
        <f>VLOOKUP(M1202,'#verificação horas por projeto'!A:B,2,FALSE)</f>
        <v>#N/A</v>
      </c>
      <c r="D1202" s="202"/>
      <c r="E1202" s="107"/>
      <c r="F1202" s="211"/>
      <c r="G1202" s="226"/>
      <c r="H1202" s="107"/>
      <c r="I1202" s="227"/>
      <c r="J1202" s="227"/>
      <c r="K1202" s="115"/>
      <c r="L1202" s="228"/>
      <c r="M1202" s="107"/>
      <c r="N1202" s="229">
        <f>IF(AND(O1202=TRUE,P1202=TRUE), VLOOKUP($E1202,PESSOAL!$B$35:$S$45,MONTH($F1202)+6,FALSE)*G1202*24,0)</f>
        <v>0</v>
      </c>
      <c r="O1202" s="89" t="b">
        <f t="shared" si="1"/>
        <v>0</v>
      </c>
      <c r="P1202" s="89" t="b">
        <v>0</v>
      </c>
      <c r="Q1202" s="89" t="e">
        <v>#N/A</v>
      </c>
    </row>
    <row r="1203" hidden="1">
      <c r="A1203" s="108"/>
      <c r="B1203" s="202"/>
      <c r="C1203" s="202" t="str">
        <f>VLOOKUP(M1203,'#verificação horas por projeto'!A:B,2,FALSE)</f>
        <v>#N/A</v>
      </c>
      <c r="D1203" s="202"/>
      <c r="E1203" s="107"/>
      <c r="F1203" s="211"/>
      <c r="G1203" s="226"/>
      <c r="H1203" s="107"/>
      <c r="I1203" s="227"/>
      <c r="J1203" s="227"/>
      <c r="K1203" s="115"/>
      <c r="L1203" s="228"/>
      <c r="M1203" s="107"/>
      <c r="N1203" s="229">
        <f>IF(AND(O1203=TRUE,P1203=TRUE), VLOOKUP($E1203,PESSOAL!$B$35:$S$45,MONTH($F1203)+6,FALSE)*G1203*24,0)</f>
        <v>0</v>
      </c>
      <c r="O1203" s="89" t="b">
        <f t="shared" si="1"/>
        <v>0</v>
      </c>
      <c r="P1203" s="89" t="b">
        <v>0</v>
      </c>
      <c r="Q1203" s="89" t="e">
        <v>#N/A</v>
      </c>
    </row>
    <row r="1204" hidden="1">
      <c r="A1204" s="108"/>
      <c r="B1204" s="202"/>
      <c r="C1204" s="202" t="str">
        <f>VLOOKUP(M1204,'#verificação horas por projeto'!A:B,2,FALSE)</f>
        <v>#N/A</v>
      </c>
      <c r="D1204" s="202"/>
      <c r="E1204" s="107"/>
      <c r="F1204" s="211"/>
      <c r="G1204" s="226"/>
      <c r="H1204" s="107"/>
      <c r="I1204" s="227"/>
      <c r="J1204" s="227"/>
      <c r="K1204" s="115"/>
      <c r="L1204" s="228"/>
      <c r="M1204" s="107"/>
      <c r="N1204" s="229">
        <f>IF(AND(O1204=TRUE,P1204=TRUE), VLOOKUP($E1204,PESSOAL!$B$35:$S$45,MONTH($F1204)+6,FALSE)*G1204*24,0)</f>
        <v>0</v>
      </c>
      <c r="O1204" s="89" t="b">
        <f t="shared" si="1"/>
        <v>0</v>
      </c>
      <c r="P1204" s="89" t="b">
        <v>0</v>
      </c>
      <c r="Q1204" s="89" t="e">
        <v>#N/A</v>
      </c>
    </row>
    <row r="1205" hidden="1">
      <c r="A1205" s="108"/>
      <c r="B1205" s="202"/>
      <c r="C1205" s="202" t="str">
        <f>VLOOKUP(M1205,'#verificação horas por projeto'!A:B,2,FALSE)</f>
        <v>#N/A</v>
      </c>
      <c r="D1205" s="202"/>
      <c r="E1205" s="107"/>
      <c r="F1205" s="211"/>
      <c r="G1205" s="226"/>
      <c r="H1205" s="107"/>
      <c r="I1205" s="227"/>
      <c r="J1205" s="227"/>
      <c r="K1205" s="115"/>
      <c r="L1205" s="228"/>
      <c r="M1205" s="107"/>
      <c r="N1205" s="229">
        <f>IF(AND(O1205=TRUE,P1205=TRUE), VLOOKUP($E1205,PESSOAL!$B$35:$S$45,MONTH($F1205)+6,FALSE)*G1205*24,0)</f>
        <v>0</v>
      </c>
      <c r="O1205" s="89" t="b">
        <f t="shared" si="1"/>
        <v>0</v>
      </c>
      <c r="P1205" s="89" t="b">
        <v>0</v>
      </c>
      <c r="Q1205" s="89" t="e">
        <v>#N/A</v>
      </c>
    </row>
    <row r="1206" hidden="1">
      <c r="A1206" s="108"/>
      <c r="B1206" s="202"/>
      <c r="C1206" s="202" t="str">
        <f>VLOOKUP(M1206,'#verificação horas por projeto'!A:B,2,FALSE)</f>
        <v>#N/A</v>
      </c>
      <c r="D1206" s="202"/>
      <c r="E1206" s="107"/>
      <c r="F1206" s="211"/>
      <c r="G1206" s="226"/>
      <c r="H1206" s="107"/>
      <c r="I1206" s="227"/>
      <c r="J1206" s="227"/>
      <c r="K1206" s="115"/>
      <c r="L1206" s="228"/>
      <c r="M1206" s="107"/>
      <c r="N1206" s="229">
        <f>IF(AND(O1206=TRUE,P1206=TRUE), VLOOKUP($E1206,PESSOAL!$B$35:$S$45,MONTH($F1206)+6,FALSE)*G1206*24,0)</f>
        <v>0</v>
      </c>
      <c r="O1206" s="89" t="b">
        <f t="shared" si="1"/>
        <v>0</v>
      </c>
      <c r="P1206" s="89" t="b">
        <v>0</v>
      </c>
      <c r="Q1206" s="89" t="e">
        <v>#N/A</v>
      </c>
    </row>
    <row r="1207" hidden="1">
      <c r="A1207" s="108"/>
      <c r="B1207" s="202"/>
      <c r="C1207" s="202" t="str">
        <f>VLOOKUP(M1207,'#verificação horas por projeto'!A:B,2,FALSE)</f>
        <v>#N/A</v>
      </c>
      <c r="D1207" s="202"/>
      <c r="E1207" s="107"/>
      <c r="F1207" s="211"/>
      <c r="G1207" s="226"/>
      <c r="H1207" s="107"/>
      <c r="I1207" s="227"/>
      <c r="J1207" s="227"/>
      <c r="K1207" s="115"/>
      <c r="L1207" s="228"/>
      <c r="M1207" s="107"/>
      <c r="N1207" s="229">
        <f>IF(AND(O1207=TRUE,P1207=TRUE), VLOOKUP($E1207,PESSOAL!$B$35:$S$45,MONTH($F1207)+6,FALSE)*G1207*24,0)</f>
        <v>0</v>
      </c>
      <c r="O1207" s="89" t="b">
        <f t="shared" si="1"/>
        <v>0</v>
      </c>
      <c r="P1207" s="89" t="b">
        <v>0</v>
      </c>
      <c r="Q1207" s="89" t="e">
        <v>#N/A</v>
      </c>
    </row>
    <row r="1208" hidden="1">
      <c r="A1208" s="108"/>
      <c r="B1208" s="202"/>
      <c r="C1208" s="202" t="str">
        <f>VLOOKUP(M1208,'#verificação horas por projeto'!A:B,2,FALSE)</f>
        <v>#N/A</v>
      </c>
      <c r="D1208" s="202"/>
      <c r="E1208" s="107"/>
      <c r="F1208" s="211"/>
      <c r="G1208" s="226"/>
      <c r="H1208" s="107"/>
      <c r="I1208" s="227"/>
      <c r="J1208" s="227"/>
      <c r="K1208" s="115"/>
      <c r="L1208" s="228"/>
      <c r="M1208" s="107"/>
      <c r="N1208" s="229">
        <f>IF(AND(O1208=TRUE,P1208=TRUE), VLOOKUP($E1208,PESSOAL!$B$35:$S$45,MONTH($F1208)+6,FALSE)*G1208*24,0)</f>
        <v>0</v>
      </c>
      <c r="O1208" s="89" t="b">
        <f t="shared" si="1"/>
        <v>0</v>
      </c>
      <c r="P1208" s="89" t="b">
        <v>0</v>
      </c>
      <c r="Q1208" s="89" t="e">
        <v>#N/A</v>
      </c>
    </row>
    <row r="1209" hidden="1">
      <c r="A1209" s="108"/>
      <c r="B1209" s="202"/>
      <c r="C1209" s="202" t="str">
        <f>VLOOKUP(M1209,'#verificação horas por projeto'!A:B,2,FALSE)</f>
        <v>#N/A</v>
      </c>
      <c r="D1209" s="202"/>
      <c r="E1209" s="107"/>
      <c r="F1209" s="211"/>
      <c r="G1209" s="226"/>
      <c r="H1209" s="107"/>
      <c r="I1209" s="227"/>
      <c r="J1209" s="227"/>
      <c r="K1209" s="115"/>
      <c r="L1209" s="228"/>
      <c r="M1209" s="107"/>
      <c r="N1209" s="229">
        <f>IF(AND(O1209=TRUE,P1209=TRUE), VLOOKUP($E1209,PESSOAL!$B$35:$S$45,MONTH($F1209)+6,FALSE)*G1209*24,0)</f>
        <v>0</v>
      </c>
      <c r="O1209" s="89" t="b">
        <f t="shared" si="1"/>
        <v>0</v>
      </c>
      <c r="P1209" s="89" t="b">
        <v>0</v>
      </c>
      <c r="Q1209" s="89" t="e">
        <v>#N/A</v>
      </c>
    </row>
    <row r="1210" hidden="1">
      <c r="A1210" s="108"/>
      <c r="B1210" s="202"/>
      <c r="C1210" s="202" t="str">
        <f>VLOOKUP(M1210,'#verificação horas por projeto'!A:B,2,FALSE)</f>
        <v>#N/A</v>
      </c>
      <c r="D1210" s="202"/>
      <c r="E1210" s="107"/>
      <c r="F1210" s="211"/>
      <c r="G1210" s="226"/>
      <c r="H1210" s="107"/>
      <c r="I1210" s="227"/>
      <c r="J1210" s="227"/>
      <c r="K1210" s="115"/>
      <c r="L1210" s="228"/>
      <c r="M1210" s="107"/>
      <c r="N1210" s="229">
        <f>IF(AND(O1210=TRUE,P1210=TRUE), VLOOKUP($E1210,PESSOAL!$B$35:$S$45,MONTH($F1210)+6,FALSE)*G1210*24,0)</f>
        <v>0</v>
      </c>
      <c r="O1210" s="89" t="b">
        <f t="shared" si="1"/>
        <v>0</v>
      </c>
      <c r="P1210" s="89" t="b">
        <v>0</v>
      </c>
      <c r="Q1210" s="89" t="e">
        <v>#N/A</v>
      </c>
    </row>
    <row r="1211" hidden="1">
      <c r="A1211" s="108"/>
      <c r="B1211" s="202"/>
      <c r="C1211" s="202" t="str">
        <f>VLOOKUP(M1211,'#verificação horas por projeto'!A:B,2,FALSE)</f>
        <v>#N/A</v>
      </c>
      <c r="D1211" s="202"/>
      <c r="E1211" s="107"/>
      <c r="F1211" s="211"/>
      <c r="G1211" s="226"/>
      <c r="H1211" s="107"/>
      <c r="I1211" s="227"/>
      <c r="J1211" s="227"/>
      <c r="K1211" s="115"/>
      <c r="L1211" s="228"/>
      <c r="M1211" s="107"/>
      <c r="N1211" s="229">
        <f>IF(AND(O1211=TRUE,P1211=TRUE), VLOOKUP($E1211,PESSOAL!$B$35:$S$45,MONTH($F1211)+6,FALSE)*G1211*24,0)</f>
        <v>0</v>
      </c>
      <c r="O1211" s="89" t="b">
        <f t="shared" si="1"/>
        <v>0</v>
      </c>
      <c r="P1211" s="89" t="b">
        <v>0</v>
      </c>
      <c r="Q1211" s="89" t="e">
        <v>#N/A</v>
      </c>
    </row>
    <row r="1212" hidden="1">
      <c r="A1212" s="108"/>
      <c r="B1212" s="202"/>
      <c r="C1212" s="202" t="str">
        <f>VLOOKUP(M1212,'#verificação horas por projeto'!A:B,2,FALSE)</f>
        <v>#N/A</v>
      </c>
      <c r="D1212" s="202"/>
      <c r="E1212" s="107"/>
      <c r="F1212" s="211"/>
      <c r="G1212" s="226"/>
      <c r="H1212" s="107"/>
      <c r="I1212" s="227"/>
      <c r="J1212" s="227"/>
      <c r="K1212" s="115"/>
      <c r="L1212" s="228"/>
      <c r="M1212" s="107"/>
      <c r="N1212" s="229">
        <f>IF(AND(O1212=TRUE,P1212=TRUE), VLOOKUP($E1212,PESSOAL!$B$35:$S$45,MONTH($F1212)+6,FALSE)*G1212*24,0)</f>
        <v>0</v>
      </c>
      <c r="O1212" s="89" t="b">
        <f t="shared" si="1"/>
        <v>0</v>
      </c>
      <c r="P1212" s="89" t="b">
        <v>0</v>
      </c>
      <c r="Q1212" s="89" t="e">
        <v>#N/A</v>
      </c>
    </row>
    <row r="1213" hidden="1">
      <c r="A1213" s="108"/>
      <c r="B1213" s="202"/>
      <c r="C1213" s="202" t="str">
        <f>VLOOKUP(M1213,'#verificação horas por projeto'!A:B,2,FALSE)</f>
        <v>#N/A</v>
      </c>
      <c r="D1213" s="202"/>
      <c r="E1213" s="107"/>
      <c r="F1213" s="211"/>
      <c r="G1213" s="226"/>
      <c r="H1213" s="107"/>
      <c r="I1213" s="227"/>
      <c r="J1213" s="227"/>
      <c r="K1213" s="115"/>
      <c r="L1213" s="228"/>
      <c r="M1213" s="107"/>
      <c r="N1213" s="229">
        <f>IF(AND(O1213=TRUE,P1213=TRUE), VLOOKUP($E1213,PESSOAL!$B$35:$S$45,MONTH($F1213)+6,FALSE)*G1213*24,0)</f>
        <v>0</v>
      </c>
      <c r="O1213" s="89" t="b">
        <f t="shared" si="1"/>
        <v>0</v>
      </c>
      <c r="P1213" s="89" t="b">
        <v>0</v>
      </c>
      <c r="Q1213" s="89" t="e">
        <v>#N/A</v>
      </c>
    </row>
    <row r="1214" hidden="1">
      <c r="A1214" s="108"/>
      <c r="B1214" s="202"/>
      <c r="C1214" s="202" t="str">
        <f>VLOOKUP(M1214,'#verificação horas por projeto'!A:B,2,FALSE)</f>
        <v>#N/A</v>
      </c>
      <c r="D1214" s="202"/>
      <c r="E1214" s="107"/>
      <c r="F1214" s="211"/>
      <c r="G1214" s="226"/>
      <c r="H1214" s="107"/>
      <c r="I1214" s="227"/>
      <c r="J1214" s="227"/>
      <c r="K1214" s="115"/>
      <c r="L1214" s="228"/>
      <c r="M1214" s="107"/>
      <c r="N1214" s="229">
        <f>IF(AND(O1214=TRUE,P1214=TRUE), VLOOKUP($E1214,PESSOAL!$B$35:$S$45,MONTH($F1214)+6,FALSE)*G1214*24,0)</f>
        <v>0</v>
      </c>
      <c r="O1214" s="89" t="b">
        <f t="shared" si="1"/>
        <v>0</v>
      </c>
      <c r="P1214" s="89" t="b">
        <v>0</v>
      </c>
      <c r="Q1214" s="89" t="e">
        <v>#N/A</v>
      </c>
    </row>
    <row r="1215" hidden="1">
      <c r="A1215" s="108"/>
      <c r="B1215" s="202"/>
      <c r="C1215" s="202" t="str">
        <f>VLOOKUP(M1215,'#verificação horas por projeto'!A:B,2,FALSE)</f>
        <v>#N/A</v>
      </c>
      <c r="D1215" s="202"/>
      <c r="E1215" s="107"/>
      <c r="F1215" s="211"/>
      <c r="G1215" s="226"/>
      <c r="H1215" s="107"/>
      <c r="I1215" s="227"/>
      <c r="J1215" s="227"/>
      <c r="K1215" s="115"/>
      <c r="L1215" s="228"/>
      <c r="M1215" s="107"/>
      <c r="N1215" s="229">
        <f>IF(AND(O1215=TRUE,P1215=TRUE), VLOOKUP($E1215,PESSOAL!$B$35:$S$45,MONTH($F1215)+6,FALSE)*G1215*24,0)</f>
        <v>0</v>
      </c>
      <c r="O1215" s="89" t="b">
        <f t="shared" si="1"/>
        <v>0</v>
      </c>
      <c r="P1215" s="89" t="b">
        <v>0</v>
      </c>
      <c r="Q1215" s="89" t="e">
        <v>#N/A</v>
      </c>
    </row>
    <row r="1216" hidden="1">
      <c r="A1216" s="108"/>
      <c r="B1216" s="202"/>
      <c r="C1216" s="202" t="str">
        <f>VLOOKUP(M1216,'#verificação horas por projeto'!A:B,2,FALSE)</f>
        <v>#N/A</v>
      </c>
      <c r="D1216" s="202"/>
      <c r="E1216" s="107"/>
      <c r="F1216" s="211"/>
      <c r="G1216" s="226"/>
      <c r="H1216" s="107"/>
      <c r="I1216" s="227"/>
      <c r="J1216" s="227"/>
      <c r="K1216" s="115"/>
      <c r="L1216" s="228"/>
      <c r="M1216" s="107"/>
      <c r="N1216" s="229">
        <f>IF(AND(O1216=TRUE,P1216=TRUE), VLOOKUP($E1216,PESSOAL!$B$35:$S$45,MONTH($F1216)+6,FALSE)*G1216*24,0)</f>
        <v>0</v>
      </c>
      <c r="O1216" s="89" t="b">
        <f t="shared" si="1"/>
        <v>0</v>
      </c>
      <c r="P1216" s="89" t="b">
        <v>0</v>
      </c>
      <c r="Q1216" s="89" t="e">
        <v>#N/A</v>
      </c>
    </row>
    <row r="1217" hidden="1">
      <c r="A1217" s="108"/>
      <c r="B1217" s="202"/>
      <c r="C1217" s="202" t="str">
        <f>VLOOKUP(M1217,'#verificação horas por projeto'!A:B,2,FALSE)</f>
        <v>#N/A</v>
      </c>
      <c r="D1217" s="202"/>
      <c r="E1217" s="107"/>
      <c r="F1217" s="211"/>
      <c r="G1217" s="226"/>
      <c r="H1217" s="107"/>
      <c r="I1217" s="227"/>
      <c r="J1217" s="227"/>
      <c r="K1217" s="115"/>
      <c r="L1217" s="228"/>
      <c r="M1217" s="107"/>
      <c r="N1217" s="229">
        <f>IF(AND(O1217=TRUE,P1217=TRUE), VLOOKUP($E1217,PESSOAL!$B$35:$S$45,MONTH($F1217)+6,FALSE)*G1217*24,0)</f>
        <v>0</v>
      </c>
      <c r="O1217" s="89" t="b">
        <f t="shared" si="1"/>
        <v>0</v>
      </c>
      <c r="P1217" s="89" t="b">
        <v>0</v>
      </c>
      <c r="Q1217" s="89" t="e">
        <v>#N/A</v>
      </c>
    </row>
    <row r="1218" hidden="1">
      <c r="A1218" s="108"/>
      <c r="B1218" s="202"/>
      <c r="C1218" s="202" t="str">
        <f>VLOOKUP(M1218,'#verificação horas por projeto'!A:B,2,FALSE)</f>
        <v>#N/A</v>
      </c>
      <c r="D1218" s="202"/>
      <c r="E1218" s="107"/>
      <c r="F1218" s="211"/>
      <c r="G1218" s="226"/>
      <c r="H1218" s="107"/>
      <c r="I1218" s="227"/>
      <c r="J1218" s="227"/>
      <c r="K1218" s="115"/>
      <c r="L1218" s="228"/>
      <c r="M1218" s="107"/>
      <c r="N1218" s="229">
        <f>IF(AND(O1218=TRUE,P1218=TRUE), VLOOKUP($E1218,PESSOAL!$B$35:$S$45,MONTH($F1218)+6,FALSE)*G1218*24,0)</f>
        <v>0</v>
      </c>
      <c r="O1218" s="89" t="b">
        <f t="shared" si="1"/>
        <v>0</v>
      </c>
      <c r="P1218" s="89" t="b">
        <v>0</v>
      </c>
      <c r="Q1218" s="89" t="e">
        <v>#N/A</v>
      </c>
    </row>
    <row r="1219" hidden="1">
      <c r="A1219" s="108"/>
      <c r="B1219" s="202"/>
      <c r="C1219" s="202" t="str">
        <f>VLOOKUP(M1219,'#verificação horas por projeto'!A:B,2,FALSE)</f>
        <v>#N/A</v>
      </c>
      <c r="D1219" s="202"/>
      <c r="E1219" s="107"/>
      <c r="F1219" s="211"/>
      <c r="G1219" s="226"/>
      <c r="H1219" s="107"/>
      <c r="I1219" s="227"/>
      <c r="J1219" s="227"/>
      <c r="K1219" s="115"/>
      <c r="L1219" s="228"/>
      <c r="M1219" s="107"/>
      <c r="N1219" s="229">
        <f>IF(AND(O1219=TRUE,P1219=TRUE), VLOOKUP($E1219,PESSOAL!$B$35:$S$45,MONTH($F1219)+6,FALSE)*G1219*24,0)</f>
        <v>0</v>
      </c>
      <c r="O1219" s="89" t="b">
        <f t="shared" si="1"/>
        <v>0</v>
      </c>
      <c r="P1219" s="89" t="b">
        <v>0</v>
      </c>
      <c r="Q1219" s="89" t="e">
        <v>#N/A</v>
      </c>
    </row>
    <row r="1220" hidden="1">
      <c r="A1220" s="108"/>
      <c r="B1220" s="202"/>
      <c r="C1220" s="202" t="str">
        <f>VLOOKUP(M1220,'#verificação horas por projeto'!A:B,2,FALSE)</f>
        <v>#N/A</v>
      </c>
      <c r="D1220" s="202"/>
      <c r="E1220" s="107"/>
      <c r="F1220" s="211"/>
      <c r="G1220" s="226"/>
      <c r="H1220" s="107"/>
      <c r="I1220" s="227"/>
      <c r="J1220" s="227"/>
      <c r="K1220" s="115"/>
      <c r="L1220" s="228"/>
      <c r="M1220" s="107"/>
      <c r="N1220" s="229">
        <f>IF(AND(O1220=TRUE,P1220=TRUE), VLOOKUP($E1220,PESSOAL!$B$35:$S$45,MONTH($F1220)+6,FALSE)*G1220*24,0)</f>
        <v>0</v>
      </c>
      <c r="O1220" s="89" t="b">
        <f t="shared" si="1"/>
        <v>0</v>
      </c>
      <c r="P1220" s="89" t="b">
        <v>0</v>
      </c>
      <c r="Q1220" s="89" t="e">
        <v>#N/A</v>
      </c>
    </row>
    <row r="1221" hidden="1">
      <c r="A1221" s="108"/>
      <c r="B1221" s="202"/>
      <c r="C1221" s="202" t="str">
        <f>VLOOKUP(M1221,'#verificação horas por projeto'!A:B,2,FALSE)</f>
        <v>#N/A</v>
      </c>
      <c r="D1221" s="202"/>
      <c r="E1221" s="107"/>
      <c r="F1221" s="211"/>
      <c r="G1221" s="226"/>
      <c r="H1221" s="107"/>
      <c r="I1221" s="227"/>
      <c r="J1221" s="227"/>
      <c r="K1221" s="115"/>
      <c r="L1221" s="228"/>
      <c r="M1221" s="107"/>
      <c r="N1221" s="229">
        <f>IF(AND(O1221=TRUE,P1221=TRUE), VLOOKUP($E1221,PESSOAL!$B$35:$S$45,MONTH($F1221)+6,FALSE)*G1221*24,0)</f>
        <v>0</v>
      </c>
      <c r="O1221" s="89" t="b">
        <f t="shared" si="1"/>
        <v>0</v>
      </c>
      <c r="P1221" s="89" t="b">
        <v>0</v>
      </c>
      <c r="Q1221" s="89" t="e">
        <v>#N/A</v>
      </c>
    </row>
    <row r="1222" hidden="1">
      <c r="A1222" s="108"/>
      <c r="B1222" s="202"/>
      <c r="C1222" s="202" t="str">
        <f>VLOOKUP(M1222,'#verificação horas por projeto'!A:B,2,FALSE)</f>
        <v>#N/A</v>
      </c>
      <c r="D1222" s="202"/>
      <c r="E1222" s="107"/>
      <c r="F1222" s="211"/>
      <c r="G1222" s="226"/>
      <c r="H1222" s="107"/>
      <c r="I1222" s="227"/>
      <c r="J1222" s="227"/>
      <c r="K1222" s="115"/>
      <c r="L1222" s="228"/>
      <c r="M1222" s="107"/>
      <c r="N1222" s="229">
        <f>IF(AND(O1222=TRUE,P1222=TRUE), VLOOKUP($E1222,PESSOAL!$B$35:$S$45,MONTH($F1222)+6,FALSE)*G1222*24,0)</f>
        <v>0</v>
      </c>
      <c r="O1222" s="89" t="b">
        <f t="shared" si="1"/>
        <v>0</v>
      </c>
      <c r="P1222" s="89" t="b">
        <v>0</v>
      </c>
      <c r="Q1222" s="89" t="e">
        <v>#N/A</v>
      </c>
    </row>
    <row r="1223" hidden="1">
      <c r="A1223" s="108"/>
      <c r="B1223" s="202"/>
      <c r="C1223" s="202" t="str">
        <f>VLOOKUP(M1223,'#verificação horas por projeto'!A:B,2,FALSE)</f>
        <v>#N/A</v>
      </c>
      <c r="D1223" s="202"/>
      <c r="E1223" s="107"/>
      <c r="F1223" s="211"/>
      <c r="G1223" s="226"/>
      <c r="H1223" s="107"/>
      <c r="I1223" s="227"/>
      <c r="J1223" s="227"/>
      <c r="K1223" s="115"/>
      <c r="L1223" s="228"/>
      <c r="M1223" s="107"/>
      <c r="N1223" s="229">
        <f>IF(AND(O1223=TRUE,P1223=TRUE), VLOOKUP($E1223,PESSOAL!$B$35:$S$45,MONTH($F1223)+6,FALSE)*G1223*24,0)</f>
        <v>0</v>
      </c>
      <c r="O1223" s="89" t="b">
        <f t="shared" si="1"/>
        <v>0</v>
      </c>
      <c r="P1223" s="89" t="b">
        <v>0</v>
      </c>
      <c r="Q1223" s="89" t="e">
        <v>#N/A</v>
      </c>
    </row>
    <row r="1224" hidden="1">
      <c r="A1224" s="108"/>
      <c r="B1224" s="202"/>
      <c r="C1224" s="202" t="str">
        <f>VLOOKUP(M1224,'#verificação horas por projeto'!A:B,2,FALSE)</f>
        <v>#N/A</v>
      </c>
      <c r="D1224" s="202"/>
      <c r="E1224" s="107"/>
      <c r="F1224" s="211"/>
      <c r="G1224" s="226"/>
      <c r="H1224" s="107"/>
      <c r="I1224" s="227"/>
      <c r="J1224" s="227"/>
      <c r="K1224" s="115"/>
      <c r="L1224" s="228"/>
      <c r="M1224" s="107"/>
      <c r="N1224" s="229">
        <f>IF(AND(O1224=TRUE,P1224=TRUE), VLOOKUP($E1224,PESSOAL!$B$35:$S$45,MONTH($F1224)+6,FALSE)*G1224*24,0)</f>
        <v>0</v>
      </c>
      <c r="O1224" s="89" t="b">
        <f t="shared" si="1"/>
        <v>0</v>
      </c>
      <c r="P1224" s="89" t="b">
        <v>0</v>
      </c>
      <c r="Q1224" s="89" t="e">
        <v>#N/A</v>
      </c>
    </row>
    <row r="1225" hidden="1">
      <c r="A1225" s="108"/>
      <c r="B1225" s="202"/>
      <c r="C1225" s="202" t="str">
        <f>VLOOKUP(M1225,'#verificação horas por projeto'!A:B,2,FALSE)</f>
        <v>#N/A</v>
      </c>
      <c r="D1225" s="202"/>
      <c r="E1225" s="107"/>
      <c r="F1225" s="211"/>
      <c r="G1225" s="226"/>
      <c r="H1225" s="107"/>
      <c r="I1225" s="227"/>
      <c r="J1225" s="227"/>
      <c r="K1225" s="115"/>
      <c r="L1225" s="228"/>
      <c r="M1225" s="107"/>
      <c r="N1225" s="229">
        <f>IF(AND(O1225=TRUE,P1225=TRUE), VLOOKUP($E1225,PESSOAL!$B$35:$S$45,MONTH($F1225)+6,FALSE)*G1225*24,0)</f>
        <v>0</v>
      </c>
      <c r="O1225" s="89" t="b">
        <f t="shared" si="1"/>
        <v>0</v>
      </c>
      <c r="P1225" s="89" t="b">
        <v>0</v>
      </c>
      <c r="Q1225" s="89" t="e">
        <v>#N/A</v>
      </c>
    </row>
    <row r="1226" hidden="1">
      <c r="A1226" s="108"/>
      <c r="B1226" s="202"/>
      <c r="C1226" s="202" t="str">
        <f>VLOOKUP(M1226,'#verificação horas por projeto'!A:B,2,FALSE)</f>
        <v>#N/A</v>
      </c>
      <c r="D1226" s="202"/>
      <c r="E1226" s="107"/>
      <c r="F1226" s="211"/>
      <c r="G1226" s="226"/>
      <c r="H1226" s="107"/>
      <c r="I1226" s="227"/>
      <c r="J1226" s="227"/>
      <c r="K1226" s="115"/>
      <c r="L1226" s="228"/>
      <c r="M1226" s="107"/>
      <c r="N1226" s="229">
        <f>IF(AND(O1226=TRUE,P1226=TRUE), VLOOKUP($E1226,PESSOAL!$B$35:$S$45,MONTH($F1226)+6,FALSE)*G1226*24,0)</f>
        <v>0</v>
      </c>
      <c r="O1226" s="89" t="b">
        <f t="shared" si="1"/>
        <v>0</v>
      </c>
      <c r="P1226" s="89" t="b">
        <v>0</v>
      </c>
      <c r="Q1226" s="89" t="e">
        <v>#N/A</v>
      </c>
    </row>
    <row r="1227" hidden="1">
      <c r="A1227" s="108"/>
      <c r="B1227" s="202"/>
      <c r="C1227" s="202" t="str">
        <f>VLOOKUP(M1227,'#verificação horas por projeto'!A:B,2,FALSE)</f>
        <v>#N/A</v>
      </c>
      <c r="D1227" s="202"/>
      <c r="E1227" s="107"/>
      <c r="F1227" s="211"/>
      <c r="G1227" s="226"/>
      <c r="H1227" s="107"/>
      <c r="I1227" s="227"/>
      <c r="J1227" s="227"/>
      <c r="K1227" s="115"/>
      <c r="L1227" s="228"/>
      <c r="M1227" s="107"/>
      <c r="N1227" s="229">
        <f>IF(AND(O1227=TRUE,P1227=TRUE), VLOOKUP($E1227,PESSOAL!$B$35:$S$45,MONTH($F1227)+6,FALSE)*G1227*24,0)</f>
        <v>0</v>
      </c>
      <c r="O1227" s="89" t="b">
        <f t="shared" si="1"/>
        <v>0</v>
      </c>
      <c r="P1227" s="89" t="b">
        <v>0</v>
      </c>
      <c r="Q1227" s="89" t="e">
        <v>#N/A</v>
      </c>
    </row>
    <row r="1228" hidden="1">
      <c r="A1228" s="108"/>
      <c r="B1228" s="202"/>
      <c r="C1228" s="202" t="str">
        <f>VLOOKUP(M1228,'#verificação horas por projeto'!A:B,2,FALSE)</f>
        <v>#N/A</v>
      </c>
      <c r="D1228" s="202"/>
      <c r="E1228" s="107"/>
      <c r="F1228" s="211"/>
      <c r="G1228" s="226"/>
      <c r="H1228" s="107"/>
      <c r="I1228" s="227"/>
      <c r="J1228" s="227"/>
      <c r="K1228" s="115"/>
      <c r="L1228" s="228"/>
      <c r="M1228" s="107"/>
      <c r="N1228" s="229">
        <f>IF(AND(O1228=TRUE,P1228=TRUE), VLOOKUP($E1228,PESSOAL!$B$35:$S$45,MONTH($F1228)+6,FALSE)*G1228*24,0)</f>
        <v>0</v>
      </c>
      <c r="O1228" s="89" t="b">
        <f t="shared" si="1"/>
        <v>0</v>
      </c>
      <c r="P1228" s="89" t="b">
        <v>0</v>
      </c>
      <c r="Q1228" s="89" t="e">
        <v>#N/A</v>
      </c>
    </row>
    <row r="1229" hidden="1">
      <c r="A1229" s="108"/>
      <c r="B1229" s="202"/>
      <c r="C1229" s="202" t="str">
        <f>VLOOKUP(M1229,'#verificação horas por projeto'!A:B,2,FALSE)</f>
        <v>#N/A</v>
      </c>
      <c r="D1229" s="202"/>
      <c r="E1229" s="107"/>
      <c r="F1229" s="211"/>
      <c r="G1229" s="226"/>
      <c r="H1229" s="107"/>
      <c r="I1229" s="227"/>
      <c r="J1229" s="227"/>
      <c r="K1229" s="115"/>
      <c r="L1229" s="228"/>
      <c r="M1229" s="107"/>
      <c r="N1229" s="229">
        <f>IF(AND(O1229=TRUE,P1229=TRUE), VLOOKUP($E1229,PESSOAL!$B$35:$S$45,MONTH($F1229)+6,FALSE)*G1229*24,0)</f>
        <v>0</v>
      </c>
      <c r="O1229" s="89" t="b">
        <f t="shared" si="1"/>
        <v>0</v>
      </c>
      <c r="P1229" s="89" t="b">
        <v>0</v>
      </c>
      <c r="Q1229" s="89" t="e">
        <v>#N/A</v>
      </c>
    </row>
    <row r="1230" hidden="1">
      <c r="A1230" s="108"/>
      <c r="B1230" s="202"/>
      <c r="C1230" s="202" t="str">
        <f>VLOOKUP(M1230,'#verificação horas por projeto'!A:B,2,FALSE)</f>
        <v>#N/A</v>
      </c>
      <c r="D1230" s="202"/>
      <c r="E1230" s="107"/>
      <c r="F1230" s="211"/>
      <c r="G1230" s="226"/>
      <c r="H1230" s="107"/>
      <c r="I1230" s="227"/>
      <c r="J1230" s="227"/>
      <c r="K1230" s="115"/>
      <c r="L1230" s="228"/>
      <c r="M1230" s="107"/>
      <c r="N1230" s="229">
        <f>IF(AND(O1230=TRUE,P1230=TRUE), VLOOKUP($E1230,PESSOAL!$B$35:$S$45,MONTH($F1230)+6,FALSE)*G1230*24,0)</f>
        <v>0</v>
      </c>
      <c r="O1230" s="89" t="b">
        <f t="shared" si="1"/>
        <v>0</v>
      </c>
      <c r="P1230" s="89" t="b">
        <v>0</v>
      </c>
      <c r="Q1230" s="89" t="e">
        <v>#N/A</v>
      </c>
    </row>
    <row r="1231" hidden="1">
      <c r="A1231" s="108"/>
      <c r="B1231" s="202"/>
      <c r="C1231" s="202" t="str">
        <f>VLOOKUP(M1231,'#verificação horas por projeto'!A:B,2,FALSE)</f>
        <v>#N/A</v>
      </c>
      <c r="D1231" s="202"/>
      <c r="E1231" s="107"/>
      <c r="F1231" s="211"/>
      <c r="G1231" s="226"/>
      <c r="H1231" s="107"/>
      <c r="I1231" s="227"/>
      <c r="J1231" s="227"/>
      <c r="K1231" s="115"/>
      <c r="L1231" s="228"/>
      <c r="M1231" s="107"/>
      <c r="N1231" s="229">
        <f>IF(AND(O1231=TRUE,P1231=TRUE), VLOOKUP($E1231,PESSOAL!$B$35:$S$45,MONTH($F1231)+6,FALSE)*G1231*24,0)</f>
        <v>0</v>
      </c>
      <c r="O1231" s="89" t="b">
        <f t="shared" si="1"/>
        <v>0</v>
      </c>
      <c r="P1231" s="89" t="b">
        <v>0</v>
      </c>
      <c r="Q1231" s="89" t="e">
        <v>#N/A</v>
      </c>
    </row>
    <row r="1232" hidden="1">
      <c r="A1232" s="108"/>
      <c r="B1232" s="202"/>
      <c r="C1232" s="202" t="str">
        <f>VLOOKUP(M1232,'#verificação horas por projeto'!A:B,2,FALSE)</f>
        <v>#N/A</v>
      </c>
      <c r="D1232" s="202"/>
      <c r="E1232" s="107"/>
      <c r="F1232" s="211"/>
      <c r="G1232" s="226"/>
      <c r="H1232" s="107"/>
      <c r="I1232" s="227"/>
      <c r="J1232" s="227"/>
      <c r="K1232" s="115"/>
      <c r="L1232" s="228"/>
      <c r="M1232" s="107"/>
      <c r="N1232" s="229">
        <f>IF(AND(O1232=TRUE,P1232=TRUE), VLOOKUP($E1232,PESSOAL!$B$35:$S$45,MONTH($F1232)+6,FALSE)*G1232*24,0)</f>
        <v>0</v>
      </c>
      <c r="O1232" s="89" t="b">
        <f t="shared" si="1"/>
        <v>0</v>
      </c>
      <c r="P1232" s="89" t="b">
        <v>0</v>
      </c>
      <c r="Q1232" s="89" t="e">
        <v>#N/A</v>
      </c>
    </row>
    <row r="1233" hidden="1">
      <c r="A1233" s="108"/>
      <c r="B1233" s="202"/>
      <c r="C1233" s="202" t="str">
        <f>VLOOKUP(M1233,'#verificação horas por projeto'!A:B,2,FALSE)</f>
        <v>#N/A</v>
      </c>
      <c r="D1233" s="202"/>
      <c r="E1233" s="107"/>
      <c r="F1233" s="211"/>
      <c r="G1233" s="226"/>
      <c r="H1233" s="107"/>
      <c r="I1233" s="227"/>
      <c r="J1233" s="227"/>
      <c r="K1233" s="115"/>
      <c r="L1233" s="228"/>
      <c r="M1233" s="107"/>
      <c r="N1233" s="229">
        <f>IF(AND(O1233=TRUE,P1233=TRUE), VLOOKUP($E1233,PESSOAL!$B$35:$S$45,MONTH($F1233)+6,FALSE)*G1233*24,0)</f>
        <v>0</v>
      </c>
      <c r="O1233" s="89" t="b">
        <f t="shared" si="1"/>
        <v>0</v>
      </c>
      <c r="P1233" s="89" t="b">
        <v>0</v>
      </c>
      <c r="Q1233" s="89" t="e">
        <v>#N/A</v>
      </c>
    </row>
    <row r="1234" hidden="1">
      <c r="A1234" s="108"/>
      <c r="B1234" s="202"/>
      <c r="C1234" s="202" t="str">
        <f>VLOOKUP(M1234,'#verificação horas por projeto'!A:B,2,FALSE)</f>
        <v>#N/A</v>
      </c>
      <c r="D1234" s="202"/>
      <c r="E1234" s="107"/>
      <c r="F1234" s="211"/>
      <c r="G1234" s="226"/>
      <c r="H1234" s="107"/>
      <c r="I1234" s="227"/>
      <c r="J1234" s="227"/>
      <c r="K1234" s="115"/>
      <c r="L1234" s="228"/>
      <c r="M1234" s="107"/>
      <c r="N1234" s="229">
        <f>IF(AND(O1234=TRUE,P1234=TRUE), VLOOKUP($E1234,PESSOAL!$B$35:$S$45,MONTH($F1234)+6,FALSE)*G1234*24,0)</f>
        <v>0</v>
      </c>
      <c r="O1234" s="89" t="b">
        <f t="shared" si="1"/>
        <v>0</v>
      </c>
      <c r="P1234" s="89" t="b">
        <v>0</v>
      </c>
      <c r="Q1234" s="89" t="e">
        <v>#N/A</v>
      </c>
    </row>
    <row r="1235" hidden="1">
      <c r="A1235" s="108"/>
      <c r="B1235" s="202"/>
      <c r="C1235" s="202" t="str">
        <f>VLOOKUP(M1235,'#verificação horas por projeto'!A:B,2,FALSE)</f>
        <v>#N/A</v>
      </c>
      <c r="D1235" s="202"/>
      <c r="E1235" s="107"/>
      <c r="F1235" s="211"/>
      <c r="G1235" s="226"/>
      <c r="H1235" s="107"/>
      <c r="I1235" s="227"/>
      <c r="J1235" s="227"/>
      <c r="K1235" s="115"/>
      <c r="L1235" s="228"/>
      <c r="M1235" s="107"/>
      <c r="N1235" s="229">
        <f>IF(AND(O1235=TRUE,P1235=TRUE), VLOOKUP($E1235,PESSOAL!$B$35:$S$45,MONTH($F1235)+6,FALSE)*G1235*24,0)</f>
        <v>0</v>
      </c>
      <c r="O1235" s="89" t="b">
        <f t="shared" si="1"/>
        <v>0</v>
      </c>
      <c r="P1235" s="89" t="b">
        <v>0</v>
      </c>
      <c r="Q1235" s="89" t="e">
        <v>#N/A</v>
      </c>
    </row>
    <row r="1236" hidden="1">
      <c r="A1236" s="108"/>
      <c r="B1236" s="202"/>
      <c r="C1236" s="202" t="str">
        <f>VLOOKUP(M1236,'#verificação horas por projeto'!A:B,2,FALSE)</f>
        <v>#N/A</v>
      </c>
      <c r="D1236" s="202"/>
      <c r="E1236" s="107"/>
      <c r="F1236" s="211"/>
      <c r="G1236" s="226"/>
      <c r="H1236" s="107"/>
      <c r="I1236" s="227"/>
      <c r="J1236" s="227"/>
      <c r="K1236" s="115"/>
      <c r="L1236" s="228"/>
      <c r="M1236" s="107"/>
      <c r="N1236" s="229">
        <f>IF(AND(O1236=TRUE,P1236=TRUE), VLOOKUP($E1236,PESSOAL!$B$35:$S$45,MONTH($F1236)+6,FALSE)*G1236*24,0)</f>
        <v>0</v>
      </c>
      <c r="O1236" s="89" t="b">
        <f t="shared" si="1"/>
        <v>0</v>
      </c>
      <c r="P1236" s="89" t="b">
        <v>0</v>
      </c>
      <c r="Q1236" s="89" t="e">
        <v>#N/A</v>
      </c>
    </row>
    <row r="1237" hidden="1">
      <c r="A1237" s="108"/>
      <c r="B1237" s="202"/>
      <c r="C1237" s="202" t="str">
        <f>VLOOKUP(M1237,'#verificação horas por projeto'!A:B,2,FALSE)</f>
        <v>#N/A</v>
      </c>
      <c r="D1237" s="202"/>
      <c r="E1237" s="107"/>
      <c r="F1237" s="211"/>
      <c r="G1237" s="226"/>
      <c r="H1237" s="107"/>
      <c r="I1237" s="227"/>
      <c r="J1237" s="227"/>
      <c r="K1237" s="115"/>
      <c r="L1237" s="228"/>
      <c r="M1237" s="107"/>
      <c r="N1237" s="229">
        <f>IF(AND(O1237=TRUE,P1237=TRUE), VLOOKUP($E1237,PESSOAL!$B$35:$S$45,MONTH($F1237)+6,FALSE)*G1237*24,0)</f>
        <v>0</v>
      </c>
      <c r="O1237" s="89" t="b">
        <f t="shared" si="1"/>
        <v>0</v>
      </c>
      <c r="P1237" s="89" t="b">
        <v>0</v>
      </c>
      <c r="Q1237" s="89" t="e">
        <v>#N/A</v>
      </c>
    </row>
    <row r="1238" hidden="1">
      <c r="A1238" s="108"/>
      <c r="B1238" s="202"/>
      <c r="C1238" s="202" t="str">
        <f>VLOOKUP(M1238,'#verificação horas por projeto'!A:B,2,FALSE)</f>
        <v>#N/A</v>
      </c>
      <c r="D1238" s="202"/>
      <c r="E1238" s="107"/>
      <c r="F1238" s="211"/>
      <c r="G1238" s="226"/>
      <c r="H1238" s="107"/>
      <c r="I1238" s="227"/>
      <c r="J1238" s="227"/>
      <c r="K1238" s="115"/>
      <c r="L1238" s="228"/>
      <c r="M1238" s="107"/>
      <c r="N1238" s="229">
        <f>IF(AND(O1238=TRUE,P1238=TRUE), VLOOKUP($E1238,PESSOAL!$B$35:$S$45,MONTH($F1238)+6,FALSE)*G1238*24,0)</f>
        <v>0</v>
      </c>
      <c r="O1238" s="89" t="b">
        <f t="shared" si="1"/>
        <v>0</v>
      </c>
      <c r="P1238" s="89" t="b">
        <v>0</v>
      </c>
      <c r="Q1238" s="89" t="e">
        <v>#N/A</v>
      </c>
    </row>
    <row r="1239" hidden="1">
      <c r="A1239" s="108"/>
      <c r="B1239" s="202"/>
      <c r="C1239" s="202" t="str">
        <f>VLOOKUP(M1239,'#verificação horas por projeto'!A:B,2,FALSE)</f>
        <v>#N/A</v>
      </c>
      <c r="D1239" s="202"/>
      <c r="E1239" s="107"/>
      <c r="F1239" s="211"/>
      <c r="G1239" s="226"/>
      <c r="H1239" s="107"/>
      <c r="I1239" s="227"/>
      <c r="J1239" s="227"/>
      <c r="K1239" s="115"/>
      <c r="L1239" s="228"/>
      <c r="M1239" s="107"/>
      <c r="N1239" s="229">
        <f>IF(AND(O1239=TRUE,P1239=TRUE), VLOOKUP($E1239,PESSOAL!$B$35:$S$45,MONTH($F1239)+6,FALSE)*G1239*24,0)</f>
        <v>0</v>
      </c>
      <c r="O1239" s="89" t="b">
        <f t="shared" si="1"/>
        <v>0</v>
      </c>
      <c r="P1239" s="89" t="b">
        <v>0</v>
      </c>
      <c r="Q1239" s="89" t="e">
        <v>#N/A</v>
      </c>
    </row>
    <row r="1240" hidden="1">
      <c r="A1240" s="108"/>
      <c r="B1240" s="202"/>
      <c r="C1240" s="202" t="str">
        <f>VLOOKUP(M1240,'#verificação horas por projeto'!A:B,2,FALSE)</f>
        <v>#N/A</v>
      </c>
      <c r="D1240" s="202"/>
      <c r="E1240" s="107"/>
      <c r="F1240" s="211"/>
      <c r="G1240" s="226"/>
      <c r="H1240" s="107"/>
      <c r="I1240" s="227"/>
      <c r="J1240" s="227"/>
      <c r="K1240" s="115"/>
      <c r="L1240" s="228"/>
      <c r="M1240" s="107"/>
      <c r="N1240" s="229">
        <f>IF(AND(O1240=TRUE,P1240=TRUE), VLOOKUP($E1240,PESSOAL!$B$35:$S$45,MONTH($F1240)+6,FALSE)*G1240*24,0)</f>
        <v>0</v>
      </c>
      <c r="O1240" s="89" t="b">
        <f t="shared" si="1"/>
        <v>0</v>
      </c>
      <c r="P1240" s="89" t="b">
        <v>0</v>
      </c>
      <c r="Q1240" s="89" t="e">
        <v>#N/A</v>
      </c>
    </row>
    <row r="1241" hidden="1">
      <c r="A1241" s="108"/>
      <c r="B1241" s="202"/>
      <c r="C1241" s="202" t="str">
        <f>VLOOKUP(M1241,'#verificação horas por projeto'!A:B,2,FALSE)</f>
        <v>#N/A</v>
      </c>
      <c r="D1241" s="202"/>
      <c r="E1241" s="107"/>
      <c r="F1241" s="211"/>
      <c r="G1241" s="226"/>
      <c r="H1241" s="107"/>
      <c r="I1241" s="227"/>
      <c r="J1241" s="227"/>
      <c r="K1241" s="115"/>
      <c r="L1241" s="228"/>
      <c r="M1241" s="107"/>
      <c r="N1241" s="229">
        <f>IF(AND(O1241=TRUE,P1241=TRUE), VLOOKUP($E1241,PESSOAL!$B$35:$S$45,MONTH($F1241)+6,FALSE)*G1241*24,0)</f>
        <v>0</v>
      </c>
      <c r="O1241" s="89" t="b">
        <f t="shared" si="1"/>
        <v>0</v>
      </c>
      <c r="P1241" s="89" t="b">
        <v>0</v>
      </c>
      <c r="Q1241" s="89" t="e">
        <v>#N/A</v>
      </c>
    </row>
    <row r="1242" hidden="1">
      <c r="A1242" s="108"/>
      <c r="B1242" s="202"/>
      <c r="C1242" s="202" t="str">
        <f>VLOOKUP(M1242,'#verificação horas por projeto'!A:B,2,FALSE)</f>
        <v>#N/A</v>
      </c>
      <c r="D1242" s="202"/>
      <c r="E1242" s="107"/>
      <c r="F1242" s="211"/>
      <c r="G1242" s="226"/>
      <c r="H1242" s="107"/>
      <c r="I1242" s="227"/>
      <c r="J1242" s="227"/>
      <c r="K1242" s="115"/>
      <c r="L1242" s="228"/>
      <c r="M1242" s="107"/>
      <c r="N1242" s="229">
        <f>IF(AND(O1242=TRUE,P1242=TRUE), VLOOKUP($E1242,PESSOAL!$B$35:$S$45,MONTH($F1242)+6,FALSE)*G1242*24,0)</f>
        <v>0</v>
      </c>
      <c r="O1242" s="89" t="b">
        <f t="shared" si="1"/>
        <v>0</v>
      </c>
      <c r="P1242" s="89" t="b">
        <v>0</v>
      </c>
      <c r="Q1242" s="89" t="e">
        <v>#N/A</v>
      </c>
    </row>
    <row r="1243" hidden="1">
      <c r="A1243" s="108"/>
      <c r="B1243" s="202"/>
      <c r="C1243" s="202" t="str">
        <f>VLOOKUP(M1243,'#verificação horas por projeto'!A:B,2,FALSE)</f>
        <v>#N/A</v>
      </c>
      <c r="D1243" s="202"/>
      <c r="E1243" s="107"/>
      <c r="F1243" s="211"/>
      <c r="G1243" s="226"/>
      <c r="H1243" s="107"/>
      <c r="I1243" s="227"/>
      <c r="J1243" s="227"/>
      <c r="K1243" s="115"/>
      <c r="L1243" s="228"/>
      <c r="M1243" s="107"/>
      <c r="N1243" s="229">
        <f>IF(AND(O1243=TRUE,P1243=TRUE), VLOOKUP($E1243,PESSOAL!$B$35:$S$45,MONTH($F1243)+6,FALSE)*G1243*24,0)</f>
        <v>0</v>
      </c>
      <c r="O1243" s="89" t="b">
        <f t="shared" si="1"/>
        <v>0</v>
      </c>
      <c r="P1243" s="89" t="b">
        <v>0</v>
      </c>
      <c r="Q1243" s="89" t="e">
        <v>#N/A</v>
      </c>
    </row>
    <row r="1244" hidden="1">
      <c r="A1244" s="108"/>
      <c r="B1244" s="202"/>
      <c r="C1244" s="202" t="str">
        <f>VLOOKUP(M1244,'#verificação horas por projeto'!A:B,2,FALSE)</f>
        <v>#N/A</v>
      </c>
      <c r="D1244" s="202"/>
      <c r="E1244" s="107"/>
      <c r="F1244" s="211"/>
      <c r="G1244" s="226"/>
      <c r="H1244" s="107"/>
      <c r="I1244" s="227"/>
      <c r="J1244" s="227"/>
      <c r="K1244" s="115"/>
      <c r="L1244" s="228"/>
      <c r="M1244" s="107"/>
      <c r="N1244" s="229">
        <f>IF(AND(O1244=TRUE,P1244=TRUE), VLOOKUP($E1244,PESSOAL!$B$35:$S$45,MONTH($F1244)+6,FALSE)*G1244*24,0)</f>
        <v>0</v>
      </c>
      <c r="O1244" s="89" t="b">
        <f t="shared" si="1"/>
        <v>0</v>
      </c>
      <c r="P1244" s="89" t="b">
        <v>0</v>
      </c>
      <c r="Q1244" s="89" t="e">
        <v>#N/A</v>
      </c>
    </row>
    <row r="1245" hidden="1">
      <c r="A1245" s="108"/>
      <c r="B1245" s="202"/>
      <c r="C1245" s="202" t="str">
        <f>VLOOKUP(M1245,'#verificação horas por projeto'!A:B,2,FALSE)</f>
        <v>#N/A</v>
      </c>
      <c r="D1245" s="202"/>
      <c r="E1245" s="107"/>
      <c r="F1245" s="211"/>
      <c r="G1245" s="226"/>
      <c r="H1245" s="107"/>
      <c r="I1245" s="227"/>
      <c r="J1245" s="227"/>
      <c r="K1245" s="115"/>
      <c r="L1245" s="228"/>
      <c r="M1245" s="107"/>
      <c r="N1245" s="229">
        <f>IF(AND(O1245=TRUE,P1245=TRUE), VLOOKUP($E1245,PESSOAL!$B$35:$S$45,MONTH($F1245)+6,FALSE)*G1245*24,0)</f>
        <v>0</v>
      </c>
      <c r="O1245" s="89" t="b">
        <f t="shared" si="1"/>
        <v>0</v>
      </c>
      <c r="P1245" s="89" t="b">
        <v>0</v>
      </c>
      <c r="Q1245" s="89" t="e">
        <v>#N/A</v>
      </c>
    </row>
    <row r="1246" hidden="1">
      <c r="A1246" s="108"/>
      <c r="B1246" s="202"/>
      <c r="C1246" s="202" t="str">
        <f>VLOOKUP(M1246,'#verificação horas por projeto'!A:B,2,FALSE)</f>
        <v>#N/A</v>
      </c>
      <c r="D1246" s="202"/>
      <c r="E1246" s="107"/>
      <c r="F1246" s="211"/>
      <c r="G1246" s="226"/>
      <c r="H1246" s="107"/>
      <c r="I1246" s="227"/>
      <c r="J1246" s="227"/>
      <c r="K1246" s="115"/>
      <c r="L1246" s="228"/>
      <c r="M1246" s="107"/>
      <c r="N1246" s="229">
        <f>IF(AND(O1246=TRUE,P1246=TRUE), VLOOKUP($E1246,PESSOAL!$B$35:$S$45,MONTH($F1246)+6,FALSE)*G1246*24,0)</f>
        <v>0</v>
      </c>
      <c r="O1246" s="89" t="b">
        <f t="shared" si="1"/>
        <v>0</v>
      </c>
      <c r="P1246" s="89" t="b">
        <v>0</v>
      </c>
      <c r="Q1246" s="89" t="e">
        <v>#N/A</v>
      </c>
    </row>
    <row r="1247" hidden="1">
      <c r="A1247" s="108"/>
      <c r="B1247" s="202"/>
      <c r="C1247" s="202" t="str">
        <f>VLOOKUP(M1247,'#verificação horas por projeto'!A:B,2,FALSE)</f>
        <v>#N/A</v>
      </c>
      <c r="D1247" s="202"/>
      <c r="E1247" s="107"/>
      <c r="F1247" s="211"/>
      <c r="G1247" s="226"/>
      <c r="H1247" s="107"/>
      <c r="I1247" s="227"/>
      <c r="J1247" s="227"/>
      <c r="K1247" s="115"/>
      <c r="L1247" s="228"/>
      <c r="M1247" s="107"/>
      <c r="N1247" s="229">
        <f>IF(AND(O1247=TRUE,P1247=TRUE), VLOOKUP($E1247,PESSOAL!$B$35:$S$45,MONTH($F1247)+6,FALSE)*G1247*24,0)</f>
        <v>0</v>
      </c>
      <c r="O1247" s="89" t="b">
        <f t="shared" si="1"/>
        <v>0</v>
      </c>
      <c r="P1247" s="89" t="b">
        <v>0</v>
      </c>
      <c r="Q1247" s="89" t="e">
        <v>#N/A</v>
      </c>
    </row>
    <row r="1248" hidden="1">
      <c r="A1248" s="108"/>
      <c r="B1248" s="202"/>
      <c r="C1248" s="202" t="str">
        <f>VLOOKUP(M1248,'#verificação horas por projeto'!A:B,2,FALSE)</f>
        <v>#N/A</v>
      </c>
      <c r="D1248" s="202"/>
      <c r="E1248" s="107"/>
      <c r="F1248" s="211"/>
      <c r="G1248" s="226"/>
      <c r="H1248" s="107"/>
      <c r="I1248" s="227"/>
      <c r="J1248" s="227"/>
      <c r="K1248" s="115"/>
      <c r="L1248" s="228"/>
      <c r="M1248" s="107"/>
      <c r="N1248" s="229">
        <f>IF(AND(O1248=TRUE,P1248=TRUE), VLOOKUP($E1248,PESSOAL!$B$35:$S$45,MONTH($F1248)+6,FALSE)*G1248*24,0)</f>
        <v>0</v>
      </c>
      <c r="O1248" s="89" t="b">
        <f t="shared" si="1"/>
        <v>0</v>
      </c>
      <c r="P1248" s="89" t="b">
        <v>0</v>
      </c>
      <c r="Q1248" s="89" t="e">
        <v>#N/A</v>
      </c>
    </row>
    <row r="1249" hidden="1">
      <c r="A1249" s="108"/>
      <c r="B1249" s="202"/>
      <c r="C1249" s="202" t="str">
        <f>VLOOKUP(M1249,'#verificação horas por projeto'!A:B,2,FALSE)</f>
        <v>#N/A</v>
      </c>
      <c r="D1249" s="202"/>
      <c r="E1249" s="107"/>
      <c r="F1249" s="211"/>
      <c r="G1249" s="226"/>
      <c r="H1249" s="107"/>
      <c r="I1249" s="227"/>
      <c r="J1249" s="227"/>
      <c r="K1249" s="115"/>
      <c r="L1249" s="228"/>
      <c r="M1249" s="107"/>
      <c r="N1249" s="229">
        <f>IF(AND(O1249=TRUE,P1249=TRUE), VLOOKUP($E1249,PESSOAL!$B$35:$S$45,MONTH($F1249)+6,FALSE)*G1249*24,0)</f>
        <v>0</v>
      </c>
      <c r="O1249" s="89" t="b">
        <f t="shared" si="1"/>
        <v>0</v>
      </c>
      <c r="P1249" s="89" t="b">
        <v>0</v>
      </c>
      <c r="Q1249" s="89" t="e">
        <v>#N/A</v>
      </c>
    </row>
    <row r="1250" hidden="1">
      <c r="A1250" s="108"/>
      <c r="B1250" s="202"/>
      <c r="C1250" s="202" t="str">
        <f>VLOOKUP(M1250,'#verificação horas por projeto'!A:B,2,FALSE)</f>
        <v>#N/A</v>
      </c>
      <c r="D1250" s="202"/>
      <c r="E1250" s="107"/>
      <c r="F1250" s="211"/>
      <c r="G1250" s="226"/>
      <c r="H1250" s="107"/>
      <c r="I1250" s="227"/>
      <c r="J1250" s="227"/>
      <c r="K1250" s="115"/>
      <c r="L1250" s="228"/>
      <c r="M1250" s="107"/>
      <c r="N1250" s="229">
        <f>IF(AND(O1250=TRUE,P1250=TRUE), VLOOKUP($E1250,PESSOAL!$B$35:$S$45,MONTH($F1250)+6,FALSE)*G1250*24,0)</f>
        <v>0</v>
      </c>
      <c r="O1250" s="89" t="b">
        <f t="shared" si="1"/>
        <v>0</v>
      </c>
      <c r="P1250" s="89" t="b">
        <v>0</v>
      </c>
      <c r="Q1250" s="89" t="e">
        <v>#N/A</v>
      </c>
    </row>
    <row r="1251" hidden="1">
      <c r="A1251" s="108"/>
      <c r="B1251" s="202"/>
      <c r="C1251" s="202" t="str">
        <f>VLOOKUP(M1251,'#verificação horas por projeto'!A:B,2,FALSE)</f>
        <v>#N/A</v>
      </c>
      <c r="D1251" s="202"/>
      <c r="E1251" s="107"/>
      <c r="F1251" s="211"/>
      <c r="G1251" s="226"/>
      <c r="H1251" s="107"/>
      <c r="I1251" s="227"/>
      <c r="J1251" s="227"/>
      <c r="K1251" s="115"/>
      <c r="L1251" s="228"/>
      <c r="M1251" s="107"/>
      <c r="N1251" s="229">
        <f>IF(AND(O1251=TRUE,P1251=TRUE), VLOOKUP($E1251,PESSOAL!$B$35:$S$45,MONTH($F1251)+6,FALSE)*G1251*24,0)</f>
        <v>0</v>
      </c>
      <c r="O1251" s="89" t="b">
        <f t="shared" si="1"/>
        <v>0</v>
      </c>
      <c r="P1251" s="89" t="b">
        <v>0</v>
      </c>
      <c r="Q1251" s="89" t="e">
        <v>#N/A</v>
      </c>
    </row>
    <row r="1252" hidden="1">
      <c r="A1252" s="108"/>
      <c r="B1252" s="202"/>
      <c r="C1252" s="202" t="str">
        <f>VLOOKUP(M1252,'#verificação horas por projeto'!A:B,2,FALSE)</f>
        <v>#N/A</v>
      </c>
      <c r="D1252" s="202"/>
      <c r="E1252" s="107"/>
      <c r="F1252" s="211"/>
      <c r="G1252" s="226"/>
      <c r="H1252" s="107"/>
      <c r="I1252" s="227"/>
      <c r="J1252" s="227"/>
      <c r="K1252" s="115"/>
      <c r="L1252" s="228"/>
      <c r="M1252" s="107"/>
      <c r="N1252" s="229">
        <f>IF(AND(O1252=TRUE,P1252=TRUE), VLOOKUP($E1252,PESSOAL!$B$35:$S$45,MONTH($F1252)+6,FALSE)*G1252*24,0)</f>
        <v>0</v>
      </c>
      <c r="O1252" s="89" t="b">
        <f t="shared" si="1"/>
        <v>0</v>
      </c>
      <c r="P1252" s="89" t="b">
        <v>0</v>
      </c>
      <c r="Q1252" s="89" t="e">
        <v>#N/A</v>
      </c>
    </row>
    <row r="1253" hidden="1">
      <c r="A1253" s="108"/>
      <c r="B1253" s="202"/>
      <c r="C1253" s="202" t="str">
        <f>VLOOKUP(M1253,'#verificação horas por projeto'!A:B,2,FALSE)</f>
        <v>#N/A</v>
      </c>
      <c r="D1253" s="202"/>
      <c r="E1253" s="107"/>
      <c r="F1253" s="211"/>
      <c r="G1253" s="226"/>
      <c r="H1253" s="107"/>
      <c r="I1253" s="227"/>
      <c r="J1253" s="227"/>
      <c r="K1253" s="115"/>
      <c r="L1253" s="228"/>
      <c r="M1253" s="107"/>
      <c r="N1253" s="229">
        <f>IF(AND(O1253=TRUE,P1253=TRUE), VLOOKUP($E1253,PESSOAL!$B$35:$S$45,MONTH($F1253)+6,FALSE)*G1253*24,0)</f>
        <v>0</v>
      </c>
      <c r="O1253" s="89" t="b">
        <f t="shared" si="1"/>
        <v>0</v>
      </c>
      <c r="P1253" s="89" t="b">
        <v>0</v>
      </c>
      <c r="Q1253" s="89" t="e">
        <v>#N/A</v>
      </c>
    </row>
    <row r="1254" hidden="1">
      <c r="A1254" s="108"/>
      <c r="B1254" s="202"/>
      <c r="C1254" s="202" t="str">
        <f>VLOOKUP(M1254,'#verificação horas por projeto'!A:B,2,FALSE)</f>
        <v>#N/A</v>
      </c>
      <c r="D1254" s="202"/>
      <c r="E1254" s="107"/>
      <c r="F1254" s="211"/>
      <c r="G1254" s="226"/>
      <c r="H1254" s="107"/>
      <c r="I1254" s="227"/>
      <c r="J1254" s="227"/>
      <c r="K1254" s="115"/>
      <c r="L1254" s="228"/>
      <c r="M1254" s="107"/>
      <c r="N1254" s="229">
        <f>IF(AND(O1254=TRUE,P1254=TRUE), VLOOKUP($E1254,PESSOAL!$B$35:$S$45,MONTH($F1254)+6,FALSE)*G1254*24,0)</f>
        <v>0</v>
      </c>
      <c r="O1254" s="89" t="b">
        <f t="shared" si="1"/>
        <v>0</v>
      </c>
      <c r="P1254" s="89" t="b">
        <v>0</v>
      </c>
      <c r="Q1254" s="89" t="e">
        <v>#N/A</v>
      </c>
    </row>
    <row r="1255" hidden="1">
      <c r="A1255" s="108"/>
      <c r="B1255" s="202"/>
      <c r="C1255" s="202" t="str">
        <f>VLOOKUP(M1255,'#verificação horas por projeto'!A:B,2,FALSE)</f>
        <v>#N/A</v>
      </c>
      <c r="D1255" s="202"/>
      <c r="E1255" s="107"/>
      <c r="F1255" s="211"/>
      <c r="G1255" s="226"/>
      <c r="H1255" s="107"/>
      <c r="I1255" s="227"/>
      <c r="J1255" s="227"/>
      <c r="K1255" s="115"/>
      <c r="L1255" s="228"/>
      <c r="M1255" s="107"/>
      <c r="N1255" s="229">
        <f>IF(AND(O1255=TRUE,P1255=TRUE), VLOOKUP($E1255,PESSOAL!$B$35:$S$45,MONTH($F1255)+6,FALSE)*G1255*24,0)</f>
        <v>0</v>
      </c>
      <c r="O1255" s="89" t="b">
        <f t="shared" si="1"/>
        <v>0</v>
      </c>
      <c r="P1255" s="89" t="b">
        <v>0</v>
      </c>
      <c r="Q1255" s="89" t="e">
        <v>#N/A</v>
      </c>
    </row>
    <row r="1256" hidden="1">
      <c r="A1256" s="108"/>
      <c r="B1256" s="202"/>
      <c r="C1256" s="202" t="str">
        <f>VLOOKUP(M1256,'#verificação horas por projeto'!A:B,2,FALSE)</f>
        <v>#N/A</v>
      </c>
      <c r="D1256" s="202"/>
      <c r="E1256" s="107"/>
      <c r="F1256" s="211"/>
      <c r="G1256" s="226"/>
      <c r="H1256" s="107"/>
      <c r="I1256" s="227"/>
      <c r="J1256" s="227"/>
      <c r="K1256" s="115"/>
      <c r="L1256" s="228"/>
      <c r="M1256" s="107"/>
      <c r="N1256" s="229">
        <f>IF(AND(O1256=TRUE,P1256=TRUE), VLOOKUP($E1256,PESSOAL!$B$35:$S$45,MONTH($F1256)+6,FALSE)*G1256*24,0)</f>
        <v>0</v>
      </c>
      <c r="O1256" s="89" t="b">
        <f t="shared" si="1"/>
        <v>0</v>
      </c>
      <c r="P1256" s="89" t="b">
        <v>0</v>
      </c>
      <c r="Q1256" s="89" t="e">
        <v>#N/A</v>
      </c>
    </row>
    <row r="1257" hidden="1">
      <c r="A1257" s="108"/>
      <c r="B1257" s="202"/>
      <c r="C1257" s="202" t="str">
        <f>VLOOKUP(M1257,'#verificação horas por projeto'!A:B,2,FALSE)</f>
        <v>#N/A</v>
      </c>
      <c r="D1257" s="202"/>
      <c r="E1257" s="107"/>
      <c r="F1257" s="211"/>
      <c r="G1257" s="226"/>
      <c r="H1257" s="107"/>
      <c r="I1257" s="227"/>
      <c r="J1257" s="227"/>
      <c r="K1257" s="115"/>
      <c r="L1257" s="228"/>
      <c r="M1257" s="107"/>
      <c r="N1257" s="229">
        <f>IF(AND(O1257=TRUE,P1257=TRUE), VLOOKUP($E1257,PESSOAL!$B$35:$S$45,MONTH($F1257)+6,FALSE)*G1257*24,0)</f>
        <v>0</v>
      </c>
      <c r="O1257" s="89" t="b">
        <f t="shared" si="1"/>
        <v>0</v>
      </c>
      <c r="P1257" s="89" t="b">
        <v>0</v>
      </c>
      <c r="Q1257" s="89" t="e">
        <v>#N/A</v>
      </c>
    </row>
    <row r="1258" hidden="1">
      <c r="A1258" s="108"/>
      <c r="B1258" s="202"/>
      <c r="C1258" s="202" t="str">
        <f>VLOOKUP(M1258,'#verificação horas por projeto'!A:B,2,FALSE)</f>
        <v>#N/A</v>
      </c>
      <c r="D1258" s="202"/>
      <c r="E1258" s="107"/>
      <c r="F1258" s="211"/>
      <c r="G1258" s="226"/>
      <c r="H1258" s="107"/>
      <c r="I1258" s="227"/>
      <c r="J1258" s="227"/>
      <c r="K1258" s="115"/>
      <c r="L1258" s="228"/>
      <c r="M1258" s="107"/>
      <c r="N1258" s="229">
        <f>IF(AND(O1258=TRUE,P1258=TRUE), VLOOKUP($E1258,PESSOAL!$B$35:$S$45,MONTH($F1258)+6,FALSE)*G1258*24,0)</f>
        <v>0</v>
      </c>
      <c r="O1258" s="89" t="b">
        <f t="shared" si="1"/>
        <v>0</v>
      </c>
      <c r="P1258" s="89" t="b">
        <v>0</v>
      </c>
      <c r="Q1258" s="89" t="e">
        <v>#N/A</v>
      </c>
    </row>
    <row r="1259" hidden="1">
      <c r="A1259" s="108"/>
      <c r="B1259" s="202"/>
      <c r="C1259" s="202" t="str">
        <f>VLOOKUP(M1259,'#verificação horas por projeto'!A:B,2,FALSE)</f>
        <v>#N/A</v>
      </c>
      <c r="D1259" s="202"/>
      <c r="E1259" s="107"/>
      <c r="F1259" s="211"/>
      <c r="G1259" s="226"/>
      <c r="H1259" s="107"/>
      <c r="I1259" s="227"/>
      <c r="J1259" s="227"/>
      <c r="K1259" s="115"/>
      <c r="L1259" s="228"/>
      <c r="M1259" s="107"/>
      <c r="N1259" s="229">
        <f>IF(AND(O1259=TRUE,P1259=TRUE), VLOOKUP($E1259,PESSOAL!$B$35:$S$45,MONTH($F1259)+6,FALSE)*G1259*24,0)</f>
        <v>0</v>
      </c>
      <c r="O1259" s="89" t="b">
        <f t="shared" si="1"/>
        <v>0</v>
      </c>
      <c r="P1259" s="89" t="b">
        <v>0</v>
      </c>
      <c r="Q1259" s="89" t="e">
        <v>#N/A</v>
      </c>
    </row>
    <row r="1260" hidden="1">
      <c r="A1260" s="108"/>
      <c r="B1260" s="202"/>
      <c r="C1260" s="202" t="str">
        <f>VLOOKUP(M1260,'#verificação horas por projeto'!A:B,2,FALSE)</f>
        <v>#N/A</v>
      </c>
      <c r="D1260" s="202"/>
      <c r="E1260" s="107"/>
      <c r="F1260" s="211"/>
      <c r="G1260" s="226"/>
      <c r="H1260" s="107"/>
      <c r="I1260" s="227"/>
      <c r="J1260" s="227"/>
      <c r="K1260" s="115"/>
      <c r="L1260" s="228"/>
      <c r="M1260" s="107"/>
      <c r="N1260" s="229">
        <f>IF(AND(O1260=TRUE,P1260=TRUE), VLOOKUP($E1260,PESSOAL!$B$35:$S$45,MONTH($F1260)+6,FALSE)*G1260*24,0)</f>
        <v>0</v>
      </c>
      <c r="O1260" s="89" t="b">
        <f t="shared" si="1"/>
        <v>0</v>
      </c>
      <c r="P1260" s="89" t="b">
        <v>0</v>
      </c>
      <c r="Q1260" s="89" t="e">
        <v>#N/A</v>
      </c>
    </row>
    <row r="1261" hidden="1">
      <c r="A1261" s="108"/>
      <c r="B1261" s="202"/>
      <c r="C1261" s="202" t="str">
        <f>VLOOKUP(M1261,'#verificação horas por projeto'!A:B,2,FALSE)</f>
        <v>#N/A</v>
      </c>
      <c r="D1261" s="202"/>
      <c r="E1261" s="107"/>
      <c r="F1261" s="211"/>
      <c r="G1261" s="226"/>
      <c r="H1261" s="107"/>
      <c r="I1261" s="227"/>
      <c r="J1261" s="227"/>
      <c r="K1261" s="115"/>
      <c r="L1261" s="228"/>
      <c r="M1261" s="107"/>
      <c r="N1261" s="229">
        <f>IF(AND(O1261=TRUE,P1261=TRUE), VLOOKUP($E1261,PESSOAL!$B$35:$S$45,MONTH($F1261)+6,FALSE)*G1261*24,0)</f>
        <v>0</v>
      </c>
      <c r="O1261" s="89" t="b">
        <f t="shared" si="1"/>
        <v>0</v>
      </c>
      <c r="P1261" s="89" t="b">
        <v>0</v>
      </c>
      <c r="Q1261" s="89" t="e">
        <v>#N/A</v>
      </c>
    </row>
    <row r="1262" hidden="1">
      <c r="A1262" s="108"/>
      <c r="B1262" s="202"/>
      <c r="C1262" s="202" t="str">
        <f>VLOOKUP(M1262,'#verificação horas por projeto'!A:B,2,FALSE)</f>
        <v>#N/A</v>
      </c>
      <c r="D1262" s="202"/>
      <c r="E1262" s="107"/>
      <c r="F1262" s="211"/>
      <c r="G1262" s="226"/>
      <c r="H1262" s="107"/>
      <c r="I1262" s="227"/>
      <c r="J1262" s="227"/>
      <c r="K1262" s="115"/>
      <c r="L1262" s="228"/>
      <c r="M1262" s="107"/>
      <c r="N1262" s="229">
        <f>IF(AND(O1262=TRUE,P1262=TRUE), VLOOKUP($E1262,PESSOAL!$B$35:$S$45,MONTH($F1262)+6,FALSE)*G1262*24,0)</f>
        <v>0</v>
      </c>
      <c r="O1262" s="89" t="b">
        <f t="shared" si="1"/>
        <v>0</v>
      </c>
      <c r="P1262" s="89" t="b">
        <v>0</v>
      </c>
      <c r="Q1262" s="89" t="e">
        <v>#N/A</v>
      </c>
    </row>
    <row r="1263" hidden="1">
      <c r="A1263" s="108"/>
      <c r="B1263" s="202"/>
      <c r="C1263" s="202" t="str">
        <f>VLOOKUP(M1263,'#verificação horas por projeto'!A:B,2,FALSE)</f>
        <v>#N/A</v>
      </c>
      <c r="D1263" s="202"/>
      <c r="E1263" s="107"/>
      <c r="F1263" s="211"/>
      <c r="G1263" s="226"/>
      <c r="H1263" s="107"/>
      <c r="I1263" s="227"/>
      <c r="J1263" s="227"/>
      <c r="K1263" s="115"/>
      <c r="L1263" s="228"/>
      <c r="M1263" s="107"/>
      <c r="N1263" s="229">
        <f>IF(AND(O1263=TRUE,P1263=TRUE), VLOOKUP($E1263,PESSOAL!$B$35:$S$45,MONTH($F1263)+6,FALSE)*G1263*24,0)</f>
        <v>0</v>
      </c>
      <c r="O1263" s="89" t="b">
        <f t="shared" si="1"/>
        <v>0</v>
      </c>
      <c r="P1263" s="89" t="b">
        <v>0</v>
      </c>
      <c r="Q1263" s="89" t="e">
        <v>#N/A</v>
      </c>
    </row>
    <row r="1264" hidden="1">
      <c r="A1264" s="108"/>
      <c r="B1264" s="202"/>
      <c r="C1264" s="202" t="str">
        <f>VLOOKUP(M1264,'#verificação horas por projeto'!A:B,2,FALSE)</f>
        <v>#N/A</v>
      </c>
      <c r="D1264" s="202"/>
      <c r="E1264" s="107"/>
      <c r="F1264" s="211"/>
      <c r="G1264" s="226"/>
      <c r="H1264" s="107"/>
      <c r="I1264" s="227"/>
      <c r="J1264" s="227"/>
      <c r="K1264" s="115"/>
      <c r="L1264" s="228"/>
      <c r="M1264" s="107"/>
      <c r="N1264" s="229">
        <f>IF(AND(O1264=TRUE,P1264=TRUE), VLOOKUP($E1264,PESSOAL!$B$35:$S$45,MONTH($F1264)+6,FALSE)*G1264*24,0)</f>
        <v>0</v>
      </c>
      <c r="O1264" s="89" t="b">
        <f t="shared" si="1"/>
        <v>0</v>
      </c>
      <c r="P1264" s="89" t="b">
        <v>0</v>
      </c>
      <c r="Q1264" s="89" t="e">
        <v>#N/A</v>
      </c>
    </row>
    <row r="1265" hidden="1">
      <c r="A1265" s="108"/>
      <c r="B1265" s="202"/>
      <c r="C1265" s="202" t="str">
        <f>VLOOKUP(M1265,'#verificação horas por projeto'!A:B,2,FALSE)</f>
        <v>#N/A</v>
      </c>
      <c r="D1265" s="202"/>
      <c r="E1265" s="107"/>
      <c r="F1265" s="211"/>
      <c r="G1265" s="226"/>
      <c r="H1265" s="107"/>
      <c r="I1265" s="227"/>
      <c r="J1265" s="227"/>
      <c r="K1265" s="115"/>
      <c r="L1265" s="228"/>
      <c r="M1265" s="107"/>
      <c r="N1265" s="229">
        <f>IF(AND(O1265=TRUE,P1265=TRUE), VLOOKUP($E1265,PESSOAL!$B$35:$S$45,MONTH($F1265)+6,FALSE)*G1265*24,0)</f>
        <v>0</v>
      </c>
      <c r="O1265" s="89" t="b">
        <f t="shared" si="1"/>
        <v>0</v>
      </c>
      <c r="P1265" s="89" t="b">
        <v>0</v>
      </c>
      <c r="Q1265" s="89" t="e">
        <v>#N/A</v>
      </c>
    </row>
    <row r="1266" hidden="1">
      <c r="A1266" s="108"/>
      <c r="B1266" s="202"/>
      <c r="C1266" s="202" t="str">
        <f>VLOOKUP(M1266,'#verificação horas por projeto'!A:B,2,FALSE)</f>
        <v>#N/A</v>
      </c>
      <c r="D1266" s="202"/>
      <c r="E1266" s="107"/>
      <c r="F1266" s="211"/>
      <c r="G1266" s="226"/>
      <c r="H1266" s="107"/>
      <c r="I1266" s="227"/>
      <c r="J1266" s="227"/>
      <c r="K1266" s="115"/>
      <c r="L1266" s="228"/>
      <c r="M1266" s="107"/>
      <c r="N1266" s="229">
        <f>IF(AND(O1266=TRUE,P1266=TRUE), VLOOKUP($E1266,PESSOAL!$B$35:$S$45,MONTH($F1266)+6,FALSE)*G1266*24,0)</f>
        <v>0</v>
      </c>
      <c r="O1266" s="89" t="b">
        <f t="shared" si="1"/>
        <v>0</v>
      </c>
      <c r="P1266" s="89" t="b">
        <v>0</v>
      </c>
      <c r="Q1266" s="89" t="e">
        <v>#N/A</v>
      </c>
    </row>
    <row r="1267" hidden="1">
      <c r="A1267" s="108"/>
      <c r="B1267" s="202"/>
      <c r="C1267" s="202" t="str">
        <f>VLOOKUP(M1267,'#verificação horas por projeto'!A:B,2,FALSE)</f>
        <v>#N/A</v>
      </c>
      <c r="D1267" s="202"/>
      <c r="E1267" s="107"/>
      <c r="F1267" s="211"/>
      <c r="G1267" s="226"/>
      <c r="H1267" s="107"/>
      <c r="I1267" s="227"/>
      <c r="J1267" s="227"/>
      <c r="K1267" s="115"/>
      <c r="L1267" s="228"/>
      <c r="M1267" s="107"/>
      <c r="N1267" s="229">
        <f>IF(AND(O1267=TRUE,P1267=TRUE), VLOOKUP($E1267,PESSOAL!$B$35:$S$45,MONTH($F1267)+6,FALSE)*G1267*24,0)</f>
        <v>0</v>
      </c>
      <c r="O1267" s="89" t="b">
        <f t="shared" si="1"/>
        <v>0</v>
      </c>
      <c r="P1267" s="89" t="b">
        <v>0</v>
      </c>
      <c r="Q1267" s="89" t="e">
        <v>#N/A</v>
      </c>
    </row>
    <row r="1268" hidden="1">
      <c r="A1268" s="108"/>
      <c r="B1268" s="202"/>
      <c r="C1268" s="202" t="str">
        <f>VLOOKUP(M1268,'#verificação horas por projeto'!A:B,2,FALSE)</f>
        <v>#N/A</v>
      </c>
      <c r="D1268" s="202"/>
      <c r="E1268" s="107"/>
      <c r="F1268" s="211"/>
      <c r="G1268" s="226"/>
      <c r="H1268" s="107"/>
      <c r="I1268" s="227"/>
      <c r="J1268" s="227"/>
      <c r="K1268" s="115"/>
      <c r="L1268" s="228"/>
      <c r="M1268" s="107"/>
      <c r="N1268" s="229">
        <f>IF(AND(O1268=TRUE,P1268=TRUE), VLOOKUP($E1268,PESSOAL!$B$35:$S$45,MONTH($F1268)+6,FALSE)*G1268*24,0)</f>
        <v>0</v>
      </c>
      <c r="O1268" s="89" t="b">
        <f t="shared" si="1"/>
        <v>0</v>
      </c>
      <c r="P1268" s="89" t="b">
        <v>0</v>
      </c>
      <c r="Q1268" s="89" t="e">
        <v>#N/A</v>
      </c>
    </row>
    <row r="1269" hidden="1">
      <c r="A1269" s="108"/>
      <c r="B1269" s="202"/>
      <c r="C1269" s="202" t="str">
        <f>VLOOKUP(M1269,'#verificação horas por projeto'!A:B,2,FALSE)</f>
        <v>#N/A</v>
      </c>
      <c r="D1269" s="202"/>
      <c r="E1269" s="107"/>
      <c r="F1269" s="211"/>
      <c r="G1269" s="226"/>
      <c r="H1269" s="107"/>
      <c r="I1269" s="227"/>
      <c r="J1269" s="227"/>
      <c r="K1269" s="115"/>
      <c r="L1269" s="228"/>
      <c r="M1269" s="107"/>
      <c r="N1269" s="229">
        <f>IF(AND(O1269=TRUE,P1269=TRUE), VLOOKUP($E1269,PESSOAL!$B$35:$S$45,MONTH($F1269)+6,FALSE)*G1269*24,0)</f>
        <v>0</v>
      </c>
      <c r="O1269" s="89" t="b">
        <f t="shared" si="1"/>
        <v>0</v>
      </c>
      <c r="P1269" s="89" t="b">
        <v>0</v>
      </c>
      <c r="Q1269" s="89" t="e">
        <v>#N/A</v>
      </c>
    </row>
    <row r="1270" hidden="1">
      <c r="A1270" s="108"/>
      <c r="B1270" s="202"/>
      <c r="C1270" s="202" t="str">
        <f>VLOOKUP(M1270,'#verificação horas por projeto'!A:B,2,FALSE)</f>
        <v>#N/A</v>
      </c>
      <c r="D1270" s="202"/>
      <c r="E1270" s="107"/>
      <c r="F1270" s="211"/>
      <c r="G1270" s="226"/>
      <c r="H1270" s="107"/>
      <c r="I1270" s="227"/>
      <c r="J1270" s="227"/>
      <c r="K1270" s="115"/>
      <c r="L1270" s="228"/>
      <c r="M1270" s="107"/>
      <c r="N1270" s="229">
        <f>IF(AND(O1270=TRUE,P1270=TRUE), VLOOKUP($E1270,PESSOAL!$B$35:$S$45,MONTH($F1270)+6,FALSE)*G1270*24,0)</f>
        <v>0</v>
      </c>
      <c r="O1270" s="89" t="b">
        <f t="shared" si="1"/>
        <v>0</v>
      </c>
      <c r="P1270" s="89" t="b">
        <v>0</v>
      </c>
      <c r="Q1270" s="89" t="e">
        <v>#N/A</v>
      </c>
    </row>
    <row r="1271" hidden="1">
      <c r="A1271" s="108"/>
      <c r="B1271" s="202"/>
      <c r="C1271" s="202" t="str">
        <f>VLOOKUP(M1271,'#verificação horas por projeto'!A:B,2,FALSE)</f>
        <v>#N/A</v>
      </c>
      <c r="D1271" s="202"/>
      <c r="E1271" s="107"/>
      <c r="F1271" s="211"/>
      <c r="G1271" s="226"/>
      <c r="H1271" s="107"/>
      <c r="I1271" s="227"/>
      <c r="J1271" s="227"/>
      <c r="K1271" s="115"/>
      <c r="L1271" s="228"/>
      <c r="M1271" s="107"/>
      <c r="N1271" s="229">
        <f>IF(AND(O1271=TRUE,P1271=TRUE), VLOOKUP($E1271,PESSOAL!$B$35:$S$45,MONTH($F1271)+6,FALSE)*G1271*24,0)</f>
        <v>0</v>
      </c>
      <c r="O1271" s="89" t="b">
        <f t="shared" si="1"/>
        <v>0</v>
      </c>
      <c r="P1271" s="89" t="b">
        <v>0</v>
      </c>
      <c r="Q1271" s="89" t="e">
        <v>#N/A</v>
      </c>
    </row>
    <row r="1272" hidden="1">
      <c r="A1272" s="108"/>
      <c r="B1272" s="202"/>
      <c r="C1272" s="202" t="str">
        <f>VLOOKUP(M1272,'#verificação horas por projeto'!A:B,2,FALSE)</f>
        <v>#N/A</v>
      </c>
      <c r="D1272" s="202"/>
      <c r="E1272" s="107"/>
      <c r="F1272" s="211"/>
      <c r="G1272" s="226"/>
      <c r="H1272" s="107"/>
      <c r="I1272" s="227"/>
      <c r="J1272" s="227"/>
      <c r="K1272" s="115"/>
      <c r="L1272" s="228"/>
      <c r="M1272" s="107"/>
      <c r="N1272" s="229">
        <f>IF(AND(O1272=TRUE,P1272=TRUE), VLOOKUP($E1272,PESSOAL!$B$35:$S$45,MONTH($F1272)+6,FALSE)*G1272*24,0)</f>
        <v>0</v>
      </c>
      <c r="O1272" s="89" t="b">
        <f t="shared" si="1"/>
        <v>0</v>
      </c>
      <c r="P1272" s="89" t="b">
        <v>0</v>
      </c>
      <c r="Q1272" s="89" t="e">
        <v>#N/A</v>
      </c>
    </row>
    <row r="1273" hidden="1">
      <c r="A1273" s="108"/>
      <c r="B1273" s="202"/>
      <c r="C1273" s="202" t="str">
        <f>VLOOKUP(M1273,'#verificação horas por projeto'!A:B,2,FALSE)</f>
        <v>#N/A</v>
      </c>
      <c r="D1273" s="202"/>
      <c r="E1273" s="107"/>
      <c r="F1273" s="211"/>
      <c r="G1273" s="226"/>
      <c r="H1273" s="107"/>
      <c r="I1273" s="227"/>
      <c r="J1273" s="227"/>
      <c r="K1273" s="115"/>
      <c r="L1273" s="228"/>
      <c r="M1273" s="107"/>
      <c r="N1273" s="229">
        <f>IF(AND(O1273=TRUE,P1273=TRUE), VLOOKUP($E1273,PESSOAL!$B$35:$S$45,MONTH($F1273)+6,FALSE)*G1273*24,0)</f>
        <v>0</v>
      </c>
      <c r="O1273" s="89" t="b">
        <f t="shared" si="1"/>
        <v>0</v>
      </c>
      <c r="P1273" s="89" t="b">
        <v>0</v>
      </c>
      <c r="Q1273" s="89" t="e">
        <v>#N/A</v>
      </c>
    </row>
    <row r="1274" hidden="1">
      <c r="A1274" s="108"/>
      <c r="B1274" s="202"/>
      <c r="C1274" s="202" t="str">
        <f>VLOOKUP(M1274,'#verificação horas por projeto'!A:B,2,FALSE)</f>
        <v>#N/A</v>
      </c>
      <c r="D1274" s="202"/>
      <c r="E1274" s="107"/>
      <c r="F1274" s="211"/>
      <c r="G1274" s="226"/>
      <c r="H1274" s="107"/>
      <c r="I1274" s="227"/>
      <c r="J1274" s="227"/>
      <c r="K1274" s="115"/>
      <c r="L1274" s="228"/>
      <c r="M1274" s="107"/>
      <c r="N1274" s="229">
        <f>IF(AND(O1274=TRUE,P1274=TRUE), VLOOKUP($E1274,PESSOAL!$B$35:$S$45,MONTH($F1274)+6,FALSE)*G1274*24,0)</f>
        <v>0</v>
      </c>
      <c r="O1274" s="89" t="b">
        <f t="shared" si="1"/>
        <v>0</v>
      </c>
      <c r="P1274" s="89" t="b">
        <v>0</v>
      </c>
      <c r="Q1274" s="89" t="e">
        <v>#N/A</v>
      </c>
    </row>
    <row r="1275" hidden="1">
      <c r="A1275" s="108"/>
      <c r="B1275" s="202"/>
      <c r="C1275" s="202" t="str">
        <f>VLOOKUP(M1275,'#verificação horas por projeto'!A:B,2,FALSE)</f>
        <v>#N/A</v>
      </c>
      <c r="D1275" s="202"/>
      <c r="E1275" s="107"/>
      <c r="F1275" s="211"/>
      <c r="G1275" s="226"/>
      <c r="H1275" s="107"/>
      <c r="I1275" s="227"/>
      <c r="J1275" s="227"/>
      <c r="K1275" s="115"/>
      <c r="L1275" s="228"/>
      <c r="M1275" s="107"/>
      <c r="N1275" s="229">
        <f>IF(AND(O1275=TRUE,P1275=TRUE), VLOOKUP($E1275,PESSOAL!$B$35:$S$45,MONTH($F1275)+6,FALSE)*G1275*24,0)</f>
        <v>0</v>
      </c>
      <c r="O1275" s="89" t="b">
        <f t="shared" si="1"/>
        <v>0</v>
      </c>
      <c r="P1275" s="89" t="b">
        <v>0</v>
      </c>
      <c r="Q1275" s="89" t="e">
        <v>#N/A</v>
      </c>
    </row>
    <row r="1276" hidden="1">
      <c r="A1276" s="108"/>
      <c r="B1276" s="202"/>
      <c r="C1276" s="202" t="str">
        <f>VLOOKUP(M1276,'#verificação horas por projeto'!A:B,2,FALSE)</f>
        <v>#N/A</v>
      </c>
      <c r="D1276" s="202"/>
      <c r="E1276" s="107"/>
      <c r="F1276" s="211"/>
      <c r="G1276" s="226"/>
      <c r="H1276" s="107"/>
      <c r="I1276" s="227"/>
      <c r="J1276" s="227"/>
      <c r="K1276" s="115"/>
      <c r="L1276" s="228"/>
      <c r="M1276" s="107"/>
      <c r="N1276" s="229">
        <f>IF(AND(O1276=TRUE,P1276=TRUE), VLOOKUP($E1276,PESSOAL!$B$35:$S$45,MONTH($F1276)+6,FALSE)*G1276*24,0)</f>
        <v>0</v>
      </c>
      <c r="O1276" s="89" t="b">
        <f t="shared" si="1"/>
        <v>0</v>
      </c>
      <c r="P1276" s="89" t="b">
        <v>0</v>
      </c>
      <c r="Q1276" s="89" t="e">
        <v>#N/A</v>
      </c>
    </row>
    <row r="1277" hidden="1">
      <c r="A1277" s="108"/>
      <c r="B1277" s="202"/>
      <c r="C1277" s="202" t="str">
        <f>VLOOKUP(M1277,'#verificação horas por projeto'!A:B,2,FALSE)</f>
        <v>#N/A</v>
      </c>
      <c r="D1277" s="202"/>
      <c r="E1277" s="107"/>
      <c r="F1277" s="211"/>
      <c r="G1277" s="226"/>
      <c r="H1277" s="107"/>
      <c r="I1277" s="227"/>
      <c r="J1277" s="227"/>
      <c r="K1277" s="115"/>
      <c r="L1277" s="228"/>
      <c r="M1277" s="107"/>
      <c r="N1277" s="229">
        <f>IF(AND(O1277=TRUE,P1277=TRUE), VLOOKUP($E1277,PESSOAL!$B$35:$S$45,MONTH($F1277)+6,FALSE)*G1277*24,0)</f>
        <v>0</v>
      </c>
      <c r="O1277" s="89" t="b">
        <f t="shared" si="1"/>
        <v>0</v>
      </c>
      <c r="P1277" s="89" t="b">
        <v>0</v>
      </c>
      <c r="Q1277" s="89" t="e">
        <v>#N/A</v>
      </c>
    </row>
    <row r="1278" hidden="1">
      <c r="A1278" s="108"/>
      <c r="B1278" s="202"/>
      <c r="C1278" s="202" t="str">
        <f>VLOOKUP(M1278,'#verificação horas por projeto'!A:B,2,FALSE)</f>
        <v>#N/A</v>
      </c>
      <c r="D1278" s="202"/>
      <c r="E1278" s="107"/>
      <c r="F1278" s="211"/>
      <c r="G1278" s="226"/>
      <c r="H1278" s="107"/>
      <c r="I1278" s="227"/>
      <c r="J1278" s="227"/>
      <c r="K1278" s="115"/>
      <c r="L1278" s="228"/>
      <c r="M1278" s="107"/>
      <c r="N1278" s="229">
        <f>IF(AND(O1278=TRUE,P1278=TRUE), VLOOKUP($E1278,PESSOAL!$B$35:$S$45,MONTH($F1278)+6,FALSE)*G1278*24,0)</f>
        <v>0</v>
      </c>
      <c r="O1278" s="89" t="b">
        <f t="shared" si="1"/>
        <v>0</v>
      </c>
      <c r="P1278" s="89" t="b">
        <v>0</v>
      </c>
      <c r="Q1278" s="89" t="e">
        <v>#N/A</v>
      </c>
    </row>
    <row r="1279" hidden="1">
      <c r="A1279" s="108"/>
      <c r="B1279" s="202"/>
      <c r="C1279" s="202" t="str">
        <f>VLOOKUP(M1279,'#verificação horas por projeto'!A:B,2,FALSE)</f>
        <v>#N/A</v>
      </c>
      <c r="D1279" s="202"/>
      <c r="E1279" s="107"/>
      <c r="F1279" s="211"/>
      <c r="G1279" s="226"/>
      <c r="H1279" s="107"/>
      <c r="I1279" s="227"/>
      <c r="J1279" s="227"/>
      <c r="K1279" s="115"/>
      <c r="L1279" s="228"/>
      <c r="M1279" s="107"/>
      <c r="N1279" s="229">
        <f>IF(AND(O1279=TRUE,P1279=TRUE), VLOOKUP($E1279,PESSOAL!$B$35:$S$45,MONTH($F1279)+6,FALSE)*G1279*24,0)</f>
        <v>0</v>
      </c>
      <c r="O1279" s="89" t="b">
        <f t="shared" si="1"/>
        <v>0</v>
      </c>
      <c r="P1279" s="89" t="b">
        <v>0</v>
      </c>
      <c r="Q1279" s="89" t="e">
        <v>#N/A</v>
      </c>
    </row>
    <row r="1280" hidden="1">
      <c r="A1280" s="108"/>
      <c r="B1280" s="202"/>
      <c r="C1280" s="202" t="str">
        <f>VLOOKUP(M1280,'#verificação horas por projeto'!A:B,2,FALSE)</f>
        <v>#N/A</v>
      </c>
      <c r="D1280" s="202"/>
      <c r="E1280" s="107"/>
      <c r="F1280" s="211"/>
      <c r="G1280" s="226"/>
      <c r="H1280" s="107"/>
      <c r="I1280" s="227"/>
      <c r="J1280" s="227"/>
      <c r="K1280" s="115"/>
      <c r="L1280" s="228"/>
      <c r="M1280" s="107"/>
      <c r="N1280" s="229">
        <f>IF(AND(O1280=TRUE,P1280=TRUE), VLOOKUP($E1280,PESSOAL!$B$35:$S$45,MONTH($F1280)+6,FALSE)*G1280*24,0)</f>
        <v>0</v>
      </c>
      <c r="O1280" s="89" t="b">
        <f t="shared" si="1"/>
        <v>0</v>
      </c>
      <c r="P1280" s="89" t="b">
        <v>0</v>
      </c>
      <c r="Q1280" s="89" t="e">
        <v>#N/A</v>
      </c>
    </row>
    <row r="1281" hidden="1">
      <c r="A1281" s="108"/>
      <c r="B1281" s="202"/>
      <c r="C1281" s="202" t="str">
        <f>VLOOKUP(M1281,'#verificação horas por projeto'!A:B,2,FALSE)</f>
        <v>#N/A</v>
      </c>
      <c r="D1281" s="202"/>
      <c r="E1281" s="107"/>
      <c r="F1281" s="211"/>
      <c r="G1281" s="226"/>
      <c r="H1281" s="107"/>
      <c r="I1281" s="227"/>
      <c r="J1281" s="227"/>
      <c r="K1281" s="115"/>
      <c r="L1281" s="228"/>
      <c r="M1281" s="107"/>
      <c r="N1281" s="229">
        <f>IF(AND(O1281=TRUE,P1281=TRUE), VLOOKUP($E1281,PESSOAL!$B$35:$S$45,MONTH($F1281)+6,FALSE)*G1281*24,0)</f>
        <v>0</v>
      </c>
      <c r="O1281" s="89" t="b">
        <f t="shared" si="1"/>
        <v>0</v>
      </c>
      <c r="P1281" s="89" t="b">
        <v>0</v>
      </c>
      <c r="Q1281" s="89" t="e">
        <v>#N/A</v>
      </c>
    </row>
    <row r="1282" hidden="1">
      <c r="A1282" s="108"/>
      <c r="B1282" s="202"/>
      <c r="C1282" s="202" t="str">
        <f>VLOOKUP(M1282,'#verificação horas por projeto'!A:B,2,FALSE)</f>
        <v>#N/A</v>
      </c>
      <c r="D1282" s="202"/>
      <c r="E1282" s="107"/>
      <c r="F1282" s="211"/>
      <c r="G1282" s="226"/>
      <c r="H1282" s="107"/>
      <c r="I1282" s="227"/>
      <c r="J1282" s="227"/>
      <c r="K1282" s="115"/>
      <c r="L1282" s="228"/>
      <c r="M1282" s="107"/>
      <c r="N1282" s="229">
        <f>IF(AND(O1282=TRUE,P1282=TRUE), VLOOKUP($E1282,PESSOAL!$B$35:$S$45,MONTH($F1282)+6,FALSE)*G1282*24,0)</f>
        <v>0</v>
      </c>
      <c r="O1282" s="89" t="b">
        <f t="shared" si="1"/>
        <v>0</v>
      </c>
      <c r="P1282" s="89" t="b">
        <v>0</v>
      </c>
      <c r="Q1282" s="89" t="e">
        <v>#N/A</v>
      </c>
    </row>
    <row r="1283" hidden="1">
      <c r="A1283" s="108"/>
      <c r="B1283" s="202"/>
      <c r="C1283" s="202" t="str">
        <f>VLOOKUP(M1283,'#verificação horas por projeto'!A:B,2,FALSE)</f>
        <v>#N/A</v>
      </c>
      <c r="D1283" s="202"/>
      <c r="E1283" s="107"/>
      <c r="F1283" s="211"/>
      <c r="G1283" s="226"/>
      <c r="H1283" s="107"/>
      <c r="I1283" s="227"/>
      <c r="J1283" s="227"/>
      <c r="K1283" s="115"/>
      <c r="L1283" s="228"/>
      <c r="M1283" s="107"/>
      <c r="N1283" s="229">
        <f>IF(AND(O1283=TRUE,P1283=TRUE), VLOOKUP($E1283,PESSOAL!$B$35:$S$45,MONTH($F1283)+6,FALSE)*G1283*24,0)</f>
        <v>0</v>
      </c>
      <c r="O1283" s="89" t="b">
        <f t="shared" si="1"/>
        <v>0</v>
      </c>
      <c r="P1283" s="89" t="b">
        <v>0</v>
      </c>
      <c r="Q1283" s="89" t="e">
        <v>#N/A</v>
      </c>
    </row>
    <row r="1284" hidden="1">
      <c r="A1284" s="108"/>
      <c r="B1284" s="202"/>
      <c r="C1284" s="202" t="str">
        <f>VLOOKUP(M1284,'#verificação horas por projeto'!A:B,2,FALSE)</f>
        <v>#N/A</v>
      </c>
      <c r="D1284" s="202"/>
      <c r="E1284" s="107"/>
      <c r="F1284" s="211"/>
      <c r="G1284" s="226"/>
      <c r="H1284" s="107"/>
      <c r="I1284" s="227"/>
      <c r="J1284" s="227"/>
      <c r="K1284" s="115"/>
      <c r="L1284" s="228"/>
      <c r="M1284" s="107"/>
      <c r="N1284" s="229">
        <f>IF(AND(O1284=TRUE,P1284=TRUE), VLOOKUP($E1284,PESSOAL!$B$35:$S$45,MONTH($F1284)+6,FALSE)*G1284*24,0)</f>
        <v>0</v>
      </c>
      <c r="O1284" s="89" t="b">
        <f t="shared" si="1"/>
        <v>0</v>
      </c>
      <c r="P1284" s="89" t="b">
        <v>0</v>
      </c>
      <c r="Q1284" s="89" t="e">
        <v>#N/A</v>
      </c>
    </row>
    <row r="1285" hidden="1">
      <c r="A1285" s="108"/>
      <c r="B1285" s="202"/>
      <c r="C1285" s="202" t="str">
        <f>VLOOKUP(M1285,'#verificação horas por projeto'!A:B,2,FALSE)</f>
        <v>#N/A</v>
      </c>
      <c r="D1285" s="202"/>
      <c r="E1285" s="107"/>
      <c r="F1285" s="211"/>
      <c r="G1285" s="226"/>
      <c r="H1285" s="107"/>
      <c r="I1285" s="227"/>
      <c r="J1285" s="227"/>
      <c r="K1285" s="115"/>
      <c r="L1285" s="228"/>
      <c r="M1285" s="107"/>
      <c r="N1285" s="229">
        <f>IF(AND(O1285=TRUE,P1285=TRUE), VLOOKUP($E1285,PESSOAL!$B$35:$S$45,MONTH($F1285)+6,FALSE)*G1285*24,0)</f>
        <v>0</v>
      </c>
      <c r="O1285" s="89" t="b">
        <f t="shared" si="1"/>
        <v>0</v>
      </c>
      <c r="P1285" s="89" t="b">
        <v>0</v>
      </c>
      <c r="Q1285" s="89" t="e">
        <v>#N/A</v>
      </c>
    </row>
    <row r="1286" hidden="1">
      <c r="A1286" s="108"/>
      <c r="B1286" s="202"/>
      <c r="C1286" s="202" t="str">
        <f>VLOOKUP(M1286,'#verificação horas por projeto'!A:B,2,FALSE)</f>
        <v>#N/A</v>
      </c>
      <c r="D1286" s="202"/>
      <c r="E1286" s="107"/>
      <c r="F1286" s="211"/>
      <c r="G1286" s="226"/>
      <c r="H1286" s="107"/>
      <c r="I1286" s="227"/>
      <c r="J1286" s="227"/>
      <c r="K1286" s="115"/>
      <c r="L1286" s="228"/>
      <c r="M1286" s="107"/>
      <c r="N1286" s="229">
        <f>IF(AND(O1286=TRUE,P1286=TRUE), VLOOKUP($E1286,PESSOAL!$B$35:$S$45,MONTH($F1286)+6,FALSE)*G1286*24,0)</f>
        <v>0</v>
      </c>
      <c r="O1286" s="89" t="b">
        <f t="shared" si="1"/>
        <v>0</v>
      </c>
      <c r="P1286" s="89" t="b">
        <v>0</v>
      </c>
      <c r="Q1286" s="89" t="e">
        <v>#N/A</v>
      </c>
    </row>
    <row r="1287" hidden="1">
      <c r="A1287" s="108"/>
      <c r="B1287" s="202"/>
      <c r="C1287" s="202" t="str">
        <f>VLOOKUP(M1287,'#verificação horas por projeto'!A:B,2,FALSE)</f>
        <v>#N/A</v>
      </c>
      <c r="D1287" s="202"/>
      <c r="E1287" s="107"/>
      <c r="F1287" s="211"/>
      <c r="G1287" s="226"/>
      <c r="H1287" s="107"/>
      <c r="I1287" s="227"/>
      <c r="J1287" s="227"/>
      <c r="K1287" s="115"/>
      <c r="L1287" s="228"/>
      <c r="M1287" s="107"/>
      <c r="N1287" s="229">
        <f>IF(AND(O1287=TRUE,P1287=TRUE), VLOOKUP($E1287,PESSOAL!$B$35:$S$45,MONTH($F1287)+6,FALSE)*G1287*24,0)</f>
        <v>0</v>
      </c>
      <c r="O1287" s="89" t="b">
        <f t="shared" si="1"/>
        <v>0</v>
      </c>
      <c r="P1287" s="89" t="b">
        <v>0</v>
      </c>
      <c r="Q1287" s="89" t="e">
        <v>#N/A</v>
      </c>
    </row>
    <row r="1288" hidden="1">
      <c r="A1288" s="108"/>
      <c r="B1288" s="202"/>
      <c r="C1288" s="202" t="str">
        <f>VLOOKUP(M1288,'#verificação horas por projeto'!A:B,2,FALSE)</f>
        <v>#N/A</v>
      </c>
      <c r="D1288" s="202"/>
      <c r="E1288" s="107"/>
      <c r="F1288" s="211"/>
      <c r="G1288" s="226"/>
      <c r="H1288" s="107"/>
      <c r="I1288" s="227"/>
      <c r="J1288" s="227"/>
      <c r="K1288" s="115"/>
      <c r="L1288" s="228"/>
      <c r="M1288" s="107"/>
      <c r="N1288" s="229">
        <f>IF(AND(O1288=TRUE,P1288=TRUE), VLOOKUP($E1288,PESSOAL!$B$35:$S$45,MONTH($F1288)+6,FALSE)*G1288*24,0)</f>
        <v>0</v>
      </c>
      <c r="O1288" s="89" t="b">
        <f t="shared" si="1"/>
        <v>0</v>
      </c>
      <c r="P1288" s="89" t="b">
        <v>0</v>
      </c>
      <c r="Q1288" s="89" t="e">
        <v>#N/A</v>
      </c>
    </row>
    <row r="1289" hidden="1">
      <c r="A1289" s="108"/>
      <c r="B1289" s="202"/>
      <c r="C1289" s="202" t="str">
        <f>VLOOKUP(M1289,'#verificação horas por projeto'!A:B,2,FALSE)</f>
        <v>#N/A</v>
      </c>
      <c r="D1289" s="202"/>
      <c r="E1289" s="107"/>
      <c r="F1289" s="211"/>
      <c r="G1289" s="226"/>
      <c r="H1289" s="107"/>
      <c r="I1289" s="227"/>
      <c r="J1289" s="227"/>
      <c r="K1289" s="115"/>
      <c r="L1289" s="228"/>
      <c r="M1289" s="107"/>
      <c r="N1289" s="229">
        <f>IF(AND(O1289=TRUE,P1289=TRUE), VLOOKUP($E1289,PESSOAL!$B$35:$S$45,MONTH($F1289)+6,FALSE)*G1289*24,0)</f>
        <v>0</v>
      </c>
      <c r="O1289" s="89" t="b">
        <f t="shared" si="1"/>
        <v>0</v>
      </c>
      <c r="P1289" s="89" t="b">
        <v>0</v>
      </c>
      <c r="Q1289" s="89" t="e">
        <v>#N/A</v>
      </c>
    </row>
    <row r="1290" hidden="1">
      <c r="A1290" s="108"/>
      <c r="B1290" s="202"/>
      <c r="C1290" s="202" t="str">
        <f>VLOOKUP(M1290,'#verificação horas por projeto'!A:B,2,FALSE)</f>
        <v>#N/A</v>
      </c>
      <c r="D1290" s="202"/>
      <c r="E1290" s="107"/>
      <c r="F1290" s="211"/>
      <c r="G1290" s="226"/>
      <c r="H1290" s="107"/>
      <c r="I1290" s="227"/>
      <c r="J1290" s="227"/>
      <c r="K1290" s="115"/>
      <c r="L1290" s="228"/>
      <c r="M1290" s="107"/>
      <c r="N1290" s="229">
        <f>IF(AND(O1290=TRUE,P1290=TRUE), VLOOKUP($E1290,PESSOAL!$B$35:$S$45,MONTH($F1290)+6,FALSE)*G1290*24,0)</f>
        <v>0</v>
      </c>
      <c r="O1290" s="89" t="b">
        <f t="shared" si="1"/>
        <v>0</v>
      </c>
      <c r="P1290" s="89" t="b">
        <v>0</v>
      </c>
      <c r="Q1290" s="89" t="e">
        <v>#N/A</v>
      </c>
    </row>
    <row r="1291" hidden="1">
      <c r="A1291" s="108"/>
      <c r="B1291" s="202"/>
      <c r="C1291" s="202" t="str">
        <f>VLOOKUP(M1291,'#verificação horas por projeto'!A:B,2,FALSE)</f>
        <v>#N/A</v>
      </c>
      <c r="D1291" s="202"/>
      <c r="E1291" s="107"/>
      <c r="F1291" s="211"/>
      <c r="G1291" s="226"/>
      <c r="H1291" s="107"/>
      <c r="I1291" s="227"/>
      <c r="J1291" s="227"/>
      <c r="K1291" s="115"/>
      <c r="L1291" s="228"/>
      <c r="M1291" s="107"/>
      <c r="N1291" s="229">
        <f>IF(AND(O1291=TRUE,P1291=TRUE), VLOOKUP($E1291,PESSOAL!$B$35:$S$45,MONTH($F1291)+6,FALSE)*G1291*24,0)</f>
        <v>0</v>
      </c>
      <c r="O1291" s="89" t="b">
        <f t="shared" si="1"/>
        <v>0</v>
      </c>
      <c r="P1291" s="89" t="b">
        <v>0</v>
      </c>
      <c r="Q1291" s="89" t="e">
        <v>#N/A</v>
      </c>
    </row>
    <row r="1292" hidden="1">
      <c r="A1292" s="108"/>
      <c r="B1292" s="202"/>
      <c r="C1292" s="202" t="str">
        <f>VLOOKUP(M1292,'#verificação horas por projeto'!A:B,2,FALSE)</f>
        <v>#N/A</v>
      </c>
      <c r="D1292" s="202"/>
      <c r="E1292" s="107"/>
      <c r="F1292" s="211"/>
      <c r="G1292" s="226"/>
      <c r="H1292" s="107"/>
      <c r="I1292" s="227"/>
      <c r="J1292" s="227"/>
      <c r="K1292" s="115"/>
      <c r="L1292" s="228"/>
      <c r="M1292" s="107"/>
      <c r="N1292" s="229">
        <f>IF(AND(O1292=TRUE,P1292=TRUE), VLOOKUP($E1292,PESSOAL!$B$35:$S$45,MONTH($F1292)+6,FALSE)*G1292*24,0)</f>
        <v>0</v>
      </c>
      <c r="O1292" s="89" t="b">
        <f t="shared" si="1"/>
        <v>0</v>
      </c>
      <c r="P1292" s="89" t="b">
        <v>0</v>
      </c>
      <c r="Q1292" s="89" t="e">
        <v>#N/A</v>
      </c>
    </row>
    <row r="1293" hidden="1">
      <c r="A1293" s="108"/>
      <c r="B1293" s="202"/>
      <c r="C1293" s="202" t="str">
        <f>VLOOKUP(M1293,'#verificação horas por projeto'!A:B,2,FALSE)</f>
        <v>#N/A</v>
      </c>
      <c r="D1293" s="202"/>
      <c r="E1293" s="107"/>
      <c r="F1293" s="211"/>
      <c r="G1293" s="226"/>
      <c r="H1293" s="107"/>
      <c r="I1293" s="227"/>
      <c r="J1293" s="227"/>
      <c r="K1293" s="115"/>
      <c r="L1293" s="228"/>
      <c r="M1293" s="107"/>
      <c r="N1293" s="229">
        <f>IF(AND(O1293=TRUE,P1293=TRUE), VLOOKUP($E1293,PESSOAL!$B$35:$S$45,MONTH($F1293)+6,FALSE)*G1293*24,0)</f>
        <v>0</v>
      </c>
      <c r="O1293" s="89" t="b">
        <f t="shared" si="1"/>
        <v>0</v>
      </c>
      <c r="P1293" s="89" t="b">
        <v>0</v>
      </c>
      <c r="Q1293" s="89" t="e">
        <v>#N/A</v>
      </c>
    </row>
    <row r="1294" hidden="1">
      <c r="A1294" s="108"/>
      <c r="B1294" s="202"/>
      <c r="C1294" s="202" t="str">
        <f>VLOOKUP(M1294,'#verificação horas por projeto'!A:B,2,FALSE)</f>
        <v>#N/A</v>
      </c>
      <c r="D1294" s="202"/>
      <c r="E1294" s="107"/>
      <c r="F1294" s="211"/>
      <c r="G1294" s="226"/>
      <c r="H1294" s="107"/>
      <c r="I1294" s="227"/>
      <c r="J1294" s="227"/>
      <c r="K1294" s="115"/>
      <c r="L1294" s="228"/>
      <c r="M1294" s="107"/>
      <c r="N1294" s="229">
        <f>IF(AND(O1294=TRUE,P1294=TRUE), VLOOKUP($E1294,PESSOAL!$B$35:$S$45,MONTH($F1294)+6,FALSE)*G1294*24,0)</f>
        <v>0</v>
      </c>
      <c r="O1294" s="89" t="b">
        <f t="shared" si="1"/>
        <v>0</v>
      </c>
      <c r="P1294" s="89" t="b">
        <v>0</v>
      </c>
      <c r="Q1294" s="89" t="e">
        <v>#N/A</v>
      </c>
    </row>
    <row r="1295" hidden="1">
      <c r="A1295" s="108"/>
      <c r="B1295" s="202"/>
      <c r="C1295" s="202" t="str">
        <f>VLOOKUP(M1295,'#verificação horas por projeto'!A:B,2,FALSE)</f>
        <v>#N/A</v>
      </c>
      <c r="D1295" s="202"/>
      <c r="E1295" s="107"/>
      <c r="F1295" s="211"/>
      <c r="G1295" s="226"/>
      <c r="H1295" s="107"/>
      <c r="I1295" s="227"/>
      <c r="J1295" s="227"/>
      <c r="K1295" s="115"/>
      <c r="L1295" s="228"/>
      <c r="M1295" s="107"/>
      <c r="N1295" s="229">
        <f>IF(AND(O1295=TRUE,P1295=TRUE), VLOOKUP($E1295,PESSOAL!$B$35:$S$45,MONTH($F1295)+6,FALSE)*G1295*24,0)</f>
        <v>0</v>
      </c>
      <c r="O1295" s="89" t="b">
        <f t="shared" si="1"/>
        <v>0</v>
      </c>
      <c r="P1295" s="89" t="b">
        <v>0</v>
      </c>
      <c r="Q1295" s="89" t="e">
        <v>#N/A</v>
      </c>
    </row>
    <row r="1296" hidden="1">
      <c r="A1296" s="108"/>
      <c r="B1296" s="202"/>
      <c r="C1296" s="202" t="str">
        <f>VLOOKUP(M1296,'#verificação horas por projeto'!A:B,2,FALSE)</f>
        <v>#N/A</v>
      </c>
      <c r="D1296" s="202"/>
      <c r="E1296" s="107"/>
      <c r="F1296" s="211"/>
      <c r="G1296" s="226"/>
      <c r="H1296" s="107"/>
      <c r="I1296" s="227"/>
      <c r="J1296" s="227"/>
      <c r="K1296" s="115"/>
      <c r="L1296" s="228"/>
      <c r="M1296" s="107"/>
      <c r="N1296" s="229">
        <f>IF(AND(O1296=TRUE,P1296=TRUE), VLOOKUP($E1296,PESSOAL!$B$35:$S$45,MONTH($F1296)+6,FALSE)*G1296*24,0)</f>
        <v>0</v>
      </c>
      <c r="O1296" s="89" t="b">
        <f t="shared" si="1"/>
        <v>0</v>
      </c>
      <c r="P1296" s="89" t="b">
        <v>0</v>
      </c>
      <c r="Q1296" s="89" t="e">
        <v>#N/A</v>
      </c>
    </row>
    <row r="1297" hidden="1">
      <c r="A1297" s="108"/>
      <c r="B1297" s="202"/>
      <c r="C1297" s="202" t="str">
        <f>VLOOKUP(M1297,'#verificação horas por projeto'!A:B,2,FALSE)</f>
        <v>#N/A</v>
      </c>
      <c r="D1297" s="202"/>
      <c r="E1297" s="107"/>
      <c r="F1297" s="211"/>
      <c r="G1297" s="226"/>
      <c r="H1297" s="107"/>
      <c r="I1297" s="227"/>
      <c r="J1297" s="227"/>
      <c r="K1297" s="115"/>
      <c r="L1297" s="228"/>
      <c r="M1297" s="107"/>
      <c r="N1297" s="229">
        <f>IF(AND(O1297=TRUE,P1297=TRUE), VLOOKUP($E1297,PESSOAL!$B$35:$S$45,MONTH($F1297)+6,FALSE)*G1297*24,0)</f>
        <v>0</v>
      </c>
      <c r="O1297" s="89" t="b">
        <f t="shared" si="1"/>
        <v>0</v>
      </c>
      <c r="P1297" s="89" t="b">
        <v>0</v>
      </c>
      <c r="Q1297" s="89" t="e">
        <v>#N/A</v>
      </c>
    </row>
    <row r="1298" hidden="1">
      <c r="A1298" s="108"/>
      <c r="B1298" s="202"/>
      <c r="C1298" s="202" t="str">
        <f>VLOOKUP(M1298,'#verificação horas por projeto'!A:B,2,FALSE)</f>
        <v>#N/A</v>
      </c>
      <c r="D1298" s="202"/>
      <c r="E1298" s="107"/>
      <c r="F1298" s="211"/>
      <c r="G1298" s="226"/>
      <c r="H1298" s="107"/>
      <c r="I1298" s="227"/>
      <c r="J1298" s="227"/>
      <c r="K1298" s="115"/>
      <c r="L1298" s="228"/>
      <c r="M1298" s="107"/>
      <c r="N1298" s="229">
        <f>IF(AND(O1298=TRUE,P1298=TRUE), VLOOKUP($E1298,PESSOAL!$B$35:$S$45,MONTH($F1298)+6,FALSE)*G1298*24,0)</f>
        <v>0</v>
      </c>
      <c r="O1298" s="89" t="b">
        <f t="shared" si="1"/>
        <v>0</v>
      </c>
      <c r="P1298" s="89" t="b">
        <v>0</v>
      </c>
      <c r="Q1298" s="89" t="e">
        <v>#N/A</v>
      </c>
    </row>
    <row r="1299" hidden="1">
      <c r="A1299" s="108"/>
      <c r="B1299" s="202"/>
      <c r="C1299" s="202" t="str">
        <f>VLOOKUP(M1299,'#verificação horas por projeto'!A:B,2,FALSE)</f>
        <v>#N/A</v>
      </c>
      <c r="D1299" s="202"/>
      <c r="E1299" s="107"/>
      <c r="F1299" s="211"/>
      <c r="G1299" s="226"/>
      <c r="H1299" s="107"/>
      <c r="I1299" s="227"/>
      <c r="J1299" s="227"/>
      <c r="K1299" s="115"/>
      <c r="L1299" s="228"/>
      <c r="M1299" s="107"/>
      <c r="N1299" s="229">
        <f>IF(AND(O1299=TRUE,P1299=TRUE), VLOOKUP($E1299,PESSOAL!$B$35:$S$45,MONTH($F1299)+6,FALSE)*G1299*24,0)</f>
        <v>0</v>
      </c>
      <c r="O1299" s="89" t="b">
        <f t="shared" si="1"/>
        <v>0</v>
      </c>
      <c r="P1299" s="89" t="b">
        <v>0</v>
      </c>
      <c r="Q1299" s="89" t="e">
        <v>#N/A</v>
      </c>
    </row>
    <row r="1300" hidden="1">
      <c r="A1300" s="108"/>
      <c r="B1300" s="202"/>
      <c r="C1300" s="202" t="str">
        <f>VLOOKUP(M1300,'#verificação horas por projeto'!A:B,2,FALSE)</f>
        <v>#N/A</v>
      </c>
      <c r="D1300" s="202"/>
      <c r="E1300" s="107"/>
      <c r="F1300" s="211"/>
      <c r="G1300" s="226"/>
      <c r="H1300" s="107"/>
      <c r="I1300" s="227"/>
      <c r="J1300" s="227"/>
      <c r="K1300" s="115"/>
      <c r="L1300" s="228"/>
      <c r="M1300" s="107"/>
      <c r="N1300" s="229">
        <f>IF(AND(O1300=TRUE,P1300=TRUE), VLOOKUP($E1300,PESSOAL!$B$35:$S$45,MONTH($F1300)+6,FALSE)*G1300*24,0)</f>
        <v>0</v>
      </c>
      <c r="O1300" s="89" t="b">
        <f t="shared" si="1"/>
        <v>0</v>
      </c>
      <c r="P1300" s="89" t="b">
        <v>0</v>
      </c>
      <c r="Q1300" s="89" t="e">
        <v>#N/A</v>
      </c>
    </row>
    <row r="1301" hidden="1">
      <c r="A1301" s="108"/>
      <c r="B1301" s="202"/>
      <c r="C1301" s="202" t="str">
        <f>VLOOKUP(M1301,'#verificação horas por projeto'!A:B,2,FALSE)</f>
        <v>#N/A</v>
      </c>
      <c r="D1301" s="202"/>
      <c r="E1301" s="107"/>
      <c r="F1301" s="211"/>
      <c r="G1301" s="226"/>
      <c r="H1301" s="107"/>
      <c r="I1301" s="227"/>
      <c r="J1301" s="227"/>
      <c r="K1301" s="115"/>
      <c r="L1301" s="228"/>
      <c r="M1301" s="107"/>
      <c r="N1301" s="229">
        <f>IF(AND(O1301=TRUE,P1301=TRUE), VLOOKUP($E1301,PESSOAL!$B$35:$S$45,MONTH($F1301)+6,FALSE)*G1301*24,0)</f>
        <v>0</v>
      </c>
      <c r="O1301" s="89" t="b">
        <f t="shared" si="1"/>
        <v>0</v>
      </c>
      <c r="P1301" s="89" t="b">
        <v>0</v>
      </c>
      <c r="Q1301" s="89" t="e">
        <v>#N/A</v>
      </c>
    </row>
    <row r="1302" hidden="1">
      <c r="A1302" s="108"/>
      <c r="B1302" s="202"/>
      <c r="C1302" s="202" t="str">
        <f>VLOOKUP(M1302,'#verificação horas por projeto'!A:B,2,FALSE)</f>
        <v>#N/A</v>
      </c>
      <c r="D1302" s="202"/>
      <c r="E1302" s="107"/>
      <c r="F1302" s="211"/>
      <c r="G1302" s="226"/>
      <c r="H1302" s="107"/>
      <c r="I1302" s="227"/>
      <c r="J1302" s="227"/>
      <c r="K1302" s="115"/>
      <c r="L1302" s="228"/>
      <c r="M1302" s="107"/>
      <c r="N1302" s="229">
        <f>IF(AND(O1302=TRUE,P1302=TRUE), VLOOKUP($E1302,PESSOAL!$B$35:$S$45,MONTH($F1302)+6,FALSE)*G1302*24,0)</f>
        <v>0</v>
      </c>
      <c r="O1302" s="89" t="b">
        <f t="shared" si="1"/>
        <v>0</v>
      </c>
      <c r="P1302" s="89" t="b">
        <v>0</v>
      </c>
      <c r="Q1302" s="89" t="e">
        <v>#N/A</v>
      </c>
    </row>
    <row r="1303" hidden="1">
      <c r="A1303" s="108"/>
      <c r="B1303" s="202"/>
      <c r="C1303" s="202" t="str">
        <f>VLOOKUP(M1303,'#verificação horas por projeto'!A:B,2,FALSE)</f>
        <v>#N/A</v>
      </c>
      <c r="D1303" s="202"/>
      <c r="E1303" s="107"/>
      <c r="F1303" s="211"/>
      <c r="G1303" s="226"/>
      <c r="H1303" s="107"/>
      <c r="I1303" s="227"/>
      <c r="J1303" s="227"/>
      <c r="K1303" s="115"/>
      <c r="L1303" s="228"/>
      <c r="M1303" s="107"/>
      <c r="N1303" s="229">
        <f>IF(AND(O1303=TRUE,P1303=TRUE), VLOOKUP($E1303,PESSOAL!$B$35:$S$45,MONTH($F1303)+6,FALSE)*G1303*24,0)</f>
        <v>0</v>
      </c>
      <c r="O1303" s="89" t="b">
        <f t="shared" si="1"/>
        <v>0</v>
      </c>
      <c r="P1303" s="89" t="b">
        <v>0</v>
      </c>
      <c r="Q1303" s="89" t="e">
        <v>#N/A</v>
      </c>
    </row>
    <row r="1304" hidden="1">
      <c r="A1304" s="108"/>
      <c r="B1304" s="202"/>
      <c r="C1304" s="202" t="str">
        <f>VLOOKUP(M1304,'#verificação horas por projeto'!A:B,2,FALSE)</f>
        <v>#N/A</v>
      </c>
      <c r="D1304" s="202"/>
      <c r="E1304" s="107"/>
      <c r="F1304" s="211"/>
      <c r="G1304" s="226"/>
      <c r="H1304" s="107"/>
      <c r="I1304" s="227"/>
      <c r="J1304" s="227"/>
      <c r="K1304" s="115"/>
      <c r="L1304" s="228"/>
      <c r="M1304" s="107"/>
      <c r="N1304" s="229">
        <f>IF(AND(O1304=TRUE,P1304=TRUE), VLOOKUP($E1304,PESSOAL!$B$35:$S$45,MONTH($F1304)+6,FALSE)*G1304*24,0)</f>
        <v>0</v>
      </c>
      <c r="O1304" s="89" t="b">
        <f t="shared" si="1"/>
        <v>0</v>
      </c>
      <c r="P1304" s="89" t="b">
        <v>0</v>
      </c>
      <c r="Q1304" s="89" t="e">
        <v>#N/A</v>
      </c>
    </row>
    <row r="1305" hidden="1">
      <c r="A1305" s="108"/>
      <c r="B1305" s="202"/>
      <c r="C1305" s="202" t="str">
        <f>VLOOKUP(M1305,'#verificação horas por projeto'!A:B,2,FALSE)</f>
        <v>#N/A</v>
      </c>
      <c r="D1305" s="202"/>
      <c r="E1305" s="107"/>
      <c r="F1305" s="211"/>
      <c r="G1305" s="226"/>
      <c r="H1305" s="107"/>
      <c r="I1305" s="227"/>
      <c r="J1305" s="227"/>
      <c r="K1305" s="115"/>
      <c r="L1305" s="228"/>
      <c r="M1305" s="107"/>
      <c r="N1305" s="229">
        <f>IF(AND(O1305=TRUE,P1305=TRUE), VLOOKUP($E1305,PESSOAL!$B$35:$S$45,MONTH($F1305)+6,FALSE)*G1305*24,0)</f>
        <v>0</v>
      </c>
      <c r="O1305" s="89" t="b">
        <f t="shared" si="1"/>
        <v>0</v>
      </c>
      <c r="P1305" s="89" t="b">
        <v>0</v>
      </c>
      <c r="Q1305" s="89" t="e">
        <v>#N/A</v>
      </c>
    </row>
    <row r="1306" hidden="1">
      <c r="A1306" s="108"/>
      <c r="B1306" s="202"/>
      <c r="C1306" s="202" t="str">
        <f>VLOOKUP(M1306,'#verificação horas por projeto'!A:B,2,FALSE)</f>
        <v>#N/A</v>
      </c>
      <c r="D1306" s="202"/>
      <c r="E1306" s="107"/>
      <c r="F1306" s="211"/>
      <c r="G1306" s="226"/>
      <c r="H1306" s="107"/>
      <c r="I1306" s="227"/>
      <c r="J1306" s="227"/>
      <c r="K1306" s="115"/>
      <c r="L1306" s="228"/>
      <c r="M1306" s="107"/>
      <c r="N1306" s="229">
        <f>IF(AND(O1306=TRUE,P1306=TRUE), VLOOKUP($E1306,PESSOAL!$B$35:$S$45,MONTH($F1306)+6,FALSE)*G1306*24,0)</f>
        <v>0</v>
      </c>
      <c r="O1306" s="89" t="b">
        <f t="shared" si="1"/>
        <v>0</v>
      </c>
      <c r="P1306" s="89" t="b">
        <v>0</v>
      </c>
      <c r="Q1306" s="89" t="e">
        <v>#N/A</v>
      </c>
    </row>
    <row r="1307" hidden="1">
      <c r="A1307" s="108"/>
      <c r="B1307" s="202"/>
      <c r="C1307" s="202" t="str">
        <f>VLOOKUP(M1307,'#verificação horas por projeto'!A:B,2,FALSE)</f>
        <v>#N/A</v>
      </c>
      <c r="D1307" s="202"/>
      <c r="E1307" s="107"/>
      <c r="F1307" s="211"/>
      <c r="G1307" s="226"/>
      <c r="H1307" s="107"/>
      <c r="I1307" s="227"/>
      <c r="J1307" s="227"/>
      <c r="K1307" s="115"/>
      <c r="L1307" s="228"/>
      <c r="M1307" s="107"/>
      <c r="N1307" s="229">
        <f>IF(AND(O1307=TRUE,P1307=TRUE), VLOOKUP($E1307,PESSOAL!$B$35:$S$45,MONTH($F1307)+6,FALSE)*G1307*24,0)</f>
        <v>0</v>
      </c>
      <c r="O1307" s="89" t="b">
        <f t="shared" si="1"/>
        <v>0</v>
      </c>
      <c r="P1307" s="89" t="b">
        <v>0</v>
      </c>
      <c r="Q1307" s="89" t="e">
        <v>#N/A</v>
      </c>
    </row>
    <row r="1308" hidden="1">
      <c r="A1308" s="108"/>
      <c r="B1308" s="202"/>
      <c r="C1308" s="202" t="str">
        <f>VLOOKUP(M1308,'#verificação horas por projeto'!A:B,2,FALSE)</f>
        <v>#N/A</v>
      </c>
      <c r="D1308" s="202"/>
      <c r="E1308" s="107"/>
      <c r="F1308" s="211"/>
      <c r="G1308" s="226"/>
      <c r="H1308" s="107"/>
      <c r="I1308" s="227"/>
      <c r="J1308" s="227"/>
      <c r="K1308" s="115"/>
      <c r="L1308" s="228"/>
      <c r="M1308" s="107"/>
      <c r="N1308" s="229">
        <f>IF(AND(O1308=TRUE,P1308=TRUE), VLOOKUP($E1308,PESSOAL!$B$35:$S$45,MONTH($F1308)+6,FALSE)*G1308*24,0)</f>
        <v>0</v>
      </c>
      <c r="O1308" s="89" t="b">
        <f t="shared" si="1"/>
        <v>0</v>
      </c>
      <c r="P1308" s="89" t="b">
        <v>0</v>
      </c>
      <c r="Q1308" s="89" t="e">
        <v>#N/A</v>
      </c>
    </row>
    <row r="1309" hidden="1">
      <c r="A1309" s="108"/>
      <c r="B1309" s="202"/>
      <c r="C1309" s="202" t="str">
        <f>VLOOKUP(M1309,'#verificação horas por projeto'!A:B,2,FALSE)</f>
        <v>#N/A</v>
      </c>
      <c r="D1309" s="202"/>
      <c r="E1309" s="107"/>
      <c r="F1309" s="211"/>
      <c r="G1309" s="226"/>
      <c r="H1309" s="107"/>
      <c r="I1309" s="227"/>
      <c r="J1309" s="227"/>
      <c r="K1309" s="115"/>
      <c r="L1309" s="228"/>
      <c r="M1309" s="107"/>
      <c r="N1309" s="229">
        <f>IF(AND(O1309=TRUE,P1309=TRUE), VLOOKUP($E1309,PESSOAL!$B$35:$S$45,MONTH($F1309)+6,FALSE)*G1309*24,0)</f>
        <v>0</v>
      </c>
      <c r="O1309" s="89" t="b">
        <f t="shared" si="1"/>
        <v>0</v>
      </c>
      <c r="P1309" s="89" t="b">
        <v>0</v>
      </c>
      <c r="Q1309" s="89" t="e">
        <v>#N/A</v>
      </c>
    </row>
    <row r="1310" hidden="1">
      <c r="A1310" s="108"/>
      <c r="B1310" s="202"/>
      <c r="C1310" s="202" t="str">
        <f>VLOOKUP(M1310,'#verificação horas por projeto'!A:B,2,FALSE)</f>
        <v>#N/A</v>
      </c>
      <c r="D1310" s="202"/>
      <c r="E1310" s="107"/>
      <c r="F1310" s="211"/>
      <c r="G1310" s="226"/>
      <c r="H1310" s="107"/>
      <c r="I1310" s="227"/>
      <c r="J1310" s="227"/>
      <c r="K1310" s="115"/>
      <c r="L1310" s="228"/>
      <c r="M1310" s="107"/>
      <c r="N1310" s="229">
        <f>IF(AND(O1310=TRUE,P1310=TRUE), VLOOKUP($E1310,PESSOAL!$B$35:$S$45,MONTH($F1310)+6,FALSE)*G1310*24,0)</f>
        <v>0</v>
      </c>
      <c r="O1310" s="89" t="b">
        <f t="shared" si="1"/>
        <v>0</v>
      </c>
      <c r="P1310" s="89" t="b">
        <v>0</v>
      </c>
      <c r="Q1310" s="89" t="e">
        <v>#N/A</v>
      </c>
    </row>
    <row r="1311" hidden="1">
      <c r="A1311" s="108"/>
      <c r="B1311" s="202"/>
      <c r="C1311" s="202" t="str">
        <f>VLOOKUP(M1311,'#verificação horas por projeto'!A:B,2,FALSE)</f>
        <v>#N/A</v>
      </c>
      <c r="D1311" s="202"/>
      <c r="E1311" s="107"/>
      <c r="F1311" s="211"/>
      <c r="G1311" s="226"/>
      <c r="H1311" s="107"/>
      <c r="I1311" s="227"/>
      <c r="J1311" s="227"/>
      <c r="K1311" s="115"/>
      <c r="L1311" s="228"/>
      <c r="M1311" s="107"/>
      <c r="N1311" s="229">
        <f>IF(AND(O1311=TRUE,P1311=TRUE), VLOOKUP($E1311,PESSOAL!$B$35:$S$45,MONTH($F1311)+6,FALSE)*G1311*24,0)</f>
        <v>0</v>
      </c>
      <c r="O1311" s="89" t="b">
        <f t="shared" si="1"/>
        <v>0</v>
      </c>
      <c r="P1311" s="89" t="b">
        <v>0</v>
      </c>
      <c r="Q1311" s="89" t="e">
        <v>#N/A</v>
      </c>
    </row>
    <row r="1312" hidden="1">
      <c r="A1312" s="108"/>
      <c r="B1312" s="202"/>
      <c r="C1312" s="202" t="str">
        <f>VLOOKUP(M1312,'#verificação horas por projeto'!A:B,2,FALSE)</f>
        <v>#N/A</v>
      </c>
      <c r="D1312" s="202"/>
      <c r="E1312" s="107"/>
      <c r="F1312" s="211"/>
      <c r="G1312" s="226"/>
      <c r="H1312" s="107"/>
      <c r="I1312" s="227"/>
      <c r="J1312" s="227"/>
      <c r="K1312" s="115"/>
      <c r="L1312" s="228"/>
      <c r="M1312" s="107"/>
      <c r="N1312" s="229">
        <f>IF(AND(O1312=TRUE,P1312=TRUE), VLOOKUP($E1312,PESSOAL!$B$35:$S$45,MONTH($F1312)+6,FALSE)*G1312*24,0)</f>
        <v>0</v>
      </c>
      <c r="O1312" s="89" t="b">
        <f t="shared" si="1"/>
        <v>0</v>
      </c>
      <c r="P1312" s="89" t="b">
        <v>0</v>
      </c>
      <c r="Q1312" s="89" t="e">
        <v>#N/A</v>
      </c>
    </row>
    <row r="1313" hidden="1">
      <c r="A1313" s="108"/>
      <c r="B1313" s="202"/>
      <c r="C1313" s="202" t="str">
        <f>VLOOKUP(M1313,'#verificação horas por projeto'!A:B,2,FALSE)</f>
        <v>#N/A</v>
      </c>
      <c r="D1313" s="202"/>
      <c r="E1313" s="107"/>
      <c r="F1313" s="211"/>
      <c r="G1313" s="226"/>
      <c r="H1313" s="107"/>
      <c r="I1313" s="227"/>
      <c r="J1313" s="227"/>
      <c r="K1313" s="115"/>
      <c r="L1313" s="228"/>
      <c r="M1313" s="107"/>
      <c r="N1313" s="229">
        <f>IF(AND(O1313=TRUE,P1313=TRUE), VLOOKUP($E1313,PESSOAL!$B$35:$S$45,MONTH($F1313)+6,FALSE)*G1313*24,0)</f>
        <v>0</v>
      </c>
      <c r="O1313" s="89" t="b">
        <f t="shared" si="1"/>
        <v>0</v>
      </c>
      <c r="P1313" s="89" t="b">
        <v>0</v>
      </c>
      <c r="Q1313" s="89" t="e">
        <v>#N/A</v>
      </c>
    </row>
    <row r="1314" hidden="1">
      <c r="A1314" s="108"/>
      <c r="B1314" s="202"/>
      <c r="C1314" s="202" t="str">
        <f>VLOOKUP(M1314,'#verificação horas por projeto'!A:B,2,FALSE)</f>
        <v>#N/A</v>
      </c>
      <c r="D1314" s="202"/>
      <c r="E1314" s="107"/>
      <c r="F1314" s="211"/>
      <c r="G1314" s="226"/>
      <c r="H1314" s="107"/>
      <c r="I1314" s="227"/>
      <c r="J1314" s="227"/>
      <c r="K1314" s="115"/>
      <c r="L1314" s="228"/>
      <c r="M1314" s="107"/>
      <c r="N1314" s="229">
        <f>IF(AND(O1314=TRUE,P1314=TRUE), VLOOKUP($E1314,PESSOAL!$B$35:$S$45,MONTH($F1314)+6,FALSE)*G1314*24,0)</f>
        <v>0</v>
      </c>
      <c r="O1314" s="89" t="b">
        <f t="shared" si="1"/>
        <v>0</v>
      </c>
      <c r="P1314" s="89" t="b">
        <v>0</v>
      </c>
      <c r="Q1314" s="89" t="e">
        <v>#N/A</v>
      </c>
    </row>
    <row r="1315" hidden="1">
      <c r="A1315" s="108"/>
      <c r="B1315" s="202"/>
      <c r="C1315" s="202" t="str">
        <f>VLOOKUP(M1315,'#verificação horas por projeto'!A:B,2,FALSE)</f>
        <v>#N/A</v>
      </c>
      <c r="D1315" s="202"/>
      <c r="E1315" s="107"/>
      <c r="F1315" s="211"/>
      <c r="G1315" s="226"/>
      <c r="H1315" s="107"/>
      <c r="I1315" s="227"/>
      <c r="J1315" s="227"/>
      <c r="K1315" s="115"/>
      <c r="L1315" s="228"/>
      <c r="M1315" s="107"/>
      <c r="N1315" s="229">
        <f>IF(AND(O1315=TRUE,P1315=TRUE), VLOOKUP($E1315,PESSOAL!$B$35:$S$45,MONTH($F1315)+6,FALSE)*G1315*24,0)</f>
        <v>0</v>
      </c>
      <c r="O1315" s="89" t="b">
        <f t="shared" si="1"/>
        <v>0</v>
      </c>
      <c r="P1315" s="89" t="b">
        <v>0</v>
      </c>
      <c r="Q1315" s="89" t="e">
        <v>#N/A</v>
      </c>
    </row>
    <row r="1316" hidden="1">
      <c r="A1316" s="108"/>
      <c r="B1316" s="202"/>
      <c r="C1316" s="202" t="str">
        <f>VLOOKUP(M1316,'#verificação horas por projeto'!A:B,2,FALSE)</f>
        <v>#N/A</v>
      </c>
      <c r="D1316" s="202"/>
      <c r="E1316" s="107"/>
      <c r="F1316" s="211"/>
      <c r="G1316" s="226"/>
      <c r="H1316" s="107"/>
      <c r="I1316" s="227"/>
      <c r="J1316" s="227"/>
      <c r="K1316" s="115"/>
      <c r="L1316" s="228"/>
      <c r="M1316" s="107"/>
      <c r="N1316" s="229">
        <f>IF(AND(O1316=TRUE,P1316=TRUE), VLOOKUP($E1316,PESSOAL!$B$35:$S$45,MONTH($F1316)+6,FALSE)*G1316*24,0)</f>
        <v>0</v>
      </c>
      <c r="O1316" s="89" t="b">
        <f t="shared" si="1"/>
        <v>0</v>
      </c>
      <c r="P1316" s="89" t="b">
        <v>0</v>
      </c>
      <c r="Q1316" s="89" t="e">
        <v>#N/A</v>
      </c>
    </row>
    <row r="1317" hidden="1">
      <c r="A1317" s="108"/>
      <c r="B1317" s="202"/>
      <c r="C1317" s="202" t="str">
        <f>VLOOKUP(M1317,'#verificação horas por projeto'!A:B,2,FALSE)</f>
        <v>#N/A</v>
      </c>
      <c r="D1317" s="202"/>
      <c r="E1317" s="107"/>
      <c r="F1317" s="211"/>
      <c r="G1317" s="226"/>
      <c r="H1317" s="107"/>
      <c r="I1317" s="227"/>
      <c r="J1317" s="227"/>
      <c r="K1317" s="115"/>
      <c r="L1317" s="228"/>
      <c r="M1317" s="107"/>
      <c r="N1317" s="229">
        <f>IF(AND(O1317=TRUE,P1317=TRUE), VLOOKUP($E1317,PESSOAL!$B$35:$S$45,MONTH($F1317)+6,FALSE)*G1317*24,0)</f>
        <v>0</v>
      </c>
      <c r="O1317" s="89" t="b">
        <f t="shared" si="1"/>
        <v>0</v>
      </c>
      <c r="P1317" s="89" t="b">
        <v>0</v>
      </c>
      <c r="Q1317" s="89" t="e">
        <v>#N/A</v>
      </c>
    </row>
    <row r="1318" hidden="1">
      <c r="A1318" s="108"/>
      <c r="B1318" s="202"/>
      <c r="C1318" s="202" t="str">
        <f>VLOOKUP(M1318,'#verificação horas por projeto'!A:B,2,FALSE)</f>
        <v>#N/A</v>
      </c>
      <c r="D1318" s="202"/>
      <c r="E1318" s="107"/>
      <c r="F1318" s="211"/>
      <c r="G1318" s="226"/>
      <c r="H1318" s="107"/>
      <c r="I1318" s="227"/>
      <c r="J1318" s="227"/>
      <c r="K1318" s="115"/>
      <c r="L1318" s="228"/>
      <c r="M1318" s="107"/>
      <c r="N1318" s="229">
        <f>IF(AND(O1318=TRUE,P1318=TRUE), VLOOKUP($E1318,PESSOAL!$B$35:$S$45,MONTH($F1318)+6,FALSE)*G1318*24,0)</f>
        <v>0</v>
      </c>
      <c r="O1318" s="89" t="b">
        <f t="shared" si="1"/>
        <v>0</v>
      </c>
      <c r="P1318" s="89" t="b">
        <v>0</v>
      </c>
      <c r="Q1318" s="89" t="e">
        <v>#N/A</v>
      </c>
    </row>
    <row r="1319" hidden="1">
      <c r="A1319" s="108"/>
      <c r="B1319" s="202"/>
      <c r="C1319" s="202" t="str">
        <f>VLOOKUP(M1319,'#verificação horas por projeto'!A:B,2,FALSE)</f>
        <v>#N/A</v>
      </c>
      <c r="D1319" s="202"/>
      <c r="E1319" s="107"/>
      <c r="F1319" s="211"/>
      <c r="G1319" s="226"/>
      <c r="H1319" s="107"/>
      <c r="I1319" s="227"/>
      <c r="J1319" s="227"/>
      <c r="K1319" s="115"/>
      <c r="L1319" s="228"/>
      <c r="M1319" s="107"/>
      <c r="N1319" s="229">
        <f>IF(AND(O1319=TRUE,P1319=TRUE), VLOOKUP($E1319,PESSOAL!$B$35:$S$45,MONTH($F1319)+6,FALSE)*G1319*24,0)</f>
        <v>0</v>
      </c>
      <c r="O1319" s="89" t="b">
        <f t="shared" si="1"/>
        <v>0</v>
      </c>
      <c r="P1319" s="89" t="b">
        <v>0</v>
      </c>
      <c r="Q1319" s="89" t="e">
        <v>#N/A</v>
      </c>
    </row>
    <row r="1320" hidden="1">
      <c r="A1320" s="108"/>
      <c r="B1320" s="202"/>
      <c r="C1320" s="202" t="str">
        <f>VLOOKUP(M1320,'#verificação horas por projeto'!A:B,2,FALSE)</f>
        <v>#N/A</v>
      </c>
      <c r="D1320" s="202"/>
      <c r="E1320" s="107"/>
      <c r="F1320" s="211"/>
      <c r="G1320" s="226"/>
      <c r="H1320" s="107"/>
      <c r="I1320" s="227"/>
      <c r="J1320" s="227"/>
      <c r="K1320" s="115"/>
      <c r="L1320" s="228"/>
      <c r="M1320" s="107"/>
      <c r="N1320" s="229">
        <f>IF(AND(O1320=TRUE,P1320=TRUE), VLOOKUP($E1320,PESSOAL!$B$35:$S$45,MONTH($F1320)+6,FALSE)*G1320*24,0)</f>
        <v>0</v>
      </c>
      <c r="O1320" s="89" t="b">
        <f t="shared" si="1"/>
        <v>0</v>
      </c>
      <c r="P1320" s="89" t="b">
        <v>0</v>
      </c>
      <c r="Q1320" s="89" t="e">
        <v>#N/A</v>
      </c>
    </row>
    <row r="1321" hidden="1">
      <c r="A1321" s="108"/>
      <c r="B1321" s="202"/>
      <c r="C1321" s="202" t="str">
        <f>VLOOKUP(M1321,'#verificação horas por projeto'!A:B,2,FALSE)</f>
        <v>#N/A</v>
      </c>
      <c r="D1321" s="202"/>
      <c r="E1321" s="107"/>
      <c r="F1321" s="211"/>
      <c r="G1321" s="226"/>
      <c r="H1321" s="107"/>
      <c r="I1321" s="227"/>
      <c r="J1321" s="227"/>
      <c r="K1321" s="115"/>
      <c r="L1321" s="228"/>
      <c r="M1321" s="107"/>
      <c r="N1321" s="229">
        <f>IF(AND(O1321=TRUE,P1321=TRUE), VLOOKUP($E1321,PESSOAL!$B$35:$S$45,MONTH($F1321)+6,FALSE)*G1321*24,0)</f>
        <v>0</v>
      </c>
      <c r="O1321" s="89" t="b">
        <f t="shared" si="1"/>
        <v>0</v>
      </c>
      <c r="P1321" s="89" t="b">
        <v>0</v>
      </c>
      <c r="Q1321" s="89" t="e">
        <v>#N/A</v>
      </c>
    </row>
    <row r="1322" hidden="1">
      <c r="A1322" s="108"/>
      <c r="B1322" s="202"/>
      <c r="C1322" s="202" t="str">
        <f>VLOOKUP(M1322,'#verificação horas por projeto'!A:B,2,FALSE)</f>
        <v>#N/A</v>
      </c>
      <c r="D1322" s="202"/>
      <c r="E1322" s="107"/>
      <c r="F1322" s="211"/>
      <c r="G1322" s="226"/>
      <c r="H1322" s="107"/>
      <c r="I1322" s="227"/>
      <c r="J1322" s="227"/>
      <c r="K1322" s="115"/>
      <c r="L1322" s="228"/>
      <c r="M1322" s="107"/>
      <c r="N1322" s="229">
        <f>IF(AND(O1322=TRUE,P1322=TRUE), VLOOKUP($E1322,PESSOAL!$B$35:$S$45,MONTH($F1322)+6,FALSE)*G1322*24,0)</f>
        <v>0</v>
      </c>
      <c r="O1322" s="89" t="b">
        <f t="shared" si="1"/>
        <v>0</v>
      </c>
      <c r="P1322" s="89" t="b">
        <v>0</v>
      </c>
      <c r="Q1322" s="89" t="e">
        <v>#N/A</v>
      </c>
    </row>
    <row r="1323" hidden="1">
      <c r="A1323" s="108"/>
      <c r="B1323" s="202"/>
      <c r="C1323" s="202" t="str">
        <f>VLOOKUP(M1323,'#verificação horas por projeto'!A:B,2,FALSE)</f>
        <v>#N/A</v>
      </c>
      <c r="D1323" s="202"/>
      <c r="E1323" s="107"/>
      <c r="F1323" s="211"/>
      <c r="G1323" s="226"/>
      <c r="H1323" s="107"/>
      <c r="I1323" s="227"/>
      <c r="J1323" s="227"/>
      <c r="K1323" s="115"/>
      <c r="L1323" s="228"/>
      <c r="M1323" s="107"/>
      <c r="N1323" s="229">
        <f>IF(AND(O1323=TRUE,P1323=TRUE), VLOOKUP($E1323,PESSOAL!$B$35:$S$45,MONTH($F1323)+6,FALSE)*G1323*24,0)</f>
        <v>0</v>
      </c>
      <c r="O1323" s="89" t="b">
        <f t="shared" si="1"/>
        <v>0</v>
      </c>
      <c r="P1323" s="89" t="b">
        <v>0</v>
      </c>
      <c r="Q1323" s="89" t="e">
        <v>#N/A</v>
      </c>
    </row>
    <row r="1324" hidden="1">
      <c r="A1324" s="108"/>
      <c r="B1324" s="202"/>
      <c r="C1324" s="202" t="str">
        <f>VLOOKUP(M1324,'#verificação horas por projeto'!A:B,2,FALSE)</f>
        <v>#N/A</v>
      </c>
      <c r="D1324" s="202"/>
      <c r="E1324" s="107"/>
      <c r="F1324" s="211"/>
      <c r="G1324" s="226"/>
      <c r="H1324" s="107"/>
      <c r="I1324" s="227"/>
      <c r="J1324" s="227"/>
      <c r="K1324" s="115"/>
      <c r="L1324" s="228"/>
      <c r="M1324" s="107"/>
      <c r="N1324" s="229">
        <f>IF(AND(O1324=TRUE,P1324=TRUE), VLOOKUP($E1324,PESSOAL!$B$35:$S$45,MONTH($F1324)+6,FALSE)*G1324*24,0)</f>
        <v>0</v>
      </c>
      <c r="O1324" s="89" t="b">
        <f t="shared" si="1"/>
        <v>0</v>
      </c>
      <c r="P1324" s="89" t="b">
        <v>0</v>
      </c>
      <c r="Q1324" s="89" t="e">
        <v>#N/A</v>
      </c>
    </row>
    <row r="1325" hidden="1">
      <c r="A1325" s="108"/>
      <c r="B1325" s="202"/>
      <c r="C1325" s="202" t="str">
        <f>VLOOKUP(M1325,'#verificação horas por projeto'!A:B,2,FALSE)</f>
        <v>#N/A</v>
      </c>
      <c r="D1325" s="202"/>
      <c r="E1325" s="107"/>
      <c r="F1325" s="211"/>
      <c r="G1325" s="226"/>
      <c r="H1325" s="107"/>
      <c r="I1325" s="227"/>
      <c r="J1325" s="227"/>
      <c r="K1325" s="115"/>
      <c r="L1325" s="228"/>
      <c r="M1325" s="107"/>
      <c r="N1325" s="229">
        <f>IF(AND(O1325=TRUE,P1325=TRUE), VLOOKUP($E1325,PESSOAL!$B$35:$S$45,MONTH($F1325)+6,FALSE)*G1325*24,0)</f>
        <v>0</v>
      </c>
      <c r="O1325" s="89" t="b">
        <f t="shared" si="1"/>
        <v>0</v>
      </c>
      <c r="P1325" s="89" t="b">
        <v>0</v>
      </c>
      <c r="Q1325" s="89" t="e">
        <v>#N/A</v>
      </c>
    </row>
    <row r="1326" hidden="1">
      <c r="A1326" s="108"/>
      <c r="B1326" s="202"/>
      <c r="C1326" s="202" t="str">
        <f>VLOOKUP(M1326,'#verificação horas por projeto'!A:B,2,FALSE)</f>
        <v>#N/A</v>
      </c>
      <c r="D1326" s="202"/>
      <c r="E1326" s="107"/>
      <c r="F1326" s="211"/>
      <c r="G1326" s="226"/>
      <c r="H1326" s="107"/>
      <c r="I1326" s="227"/>
      <c r="J1326" s="227"/>
      <c r="K1326" s="115"/>
      <c r="L1326" s="228"/>
      <c r="M1326" s="107"/>
      <c r="N1326" s="229">
        <f>IF(AND(O1326=TRUE,P1326=TRUE), VLOOKUP($E1326,PESSOAL!$B$35:$S$45,MONTH($F1326)+6,FALSE)*G1326*24,0)</f>
        <v>0</v>
      </c>
      <c r="O1326" s="89" t="b">
        <f t="shared" si="1"/>
        <v>0</v>
      </c>
      <c r="P1326" s="89" t="b">
        <v>0</v>
      </c>
      <c r="Q1326" s="89" t="e">
        <v>#N/A</v>
      </c>
    </row>
    <row r="1327" hidden="1">
      <c r="A1327" s="108"/>
      <c r="B1327" s="202"/>
      <c r="C1327" s="202" t="str">
        <f>VLOOKUP(M1327,'#verificação horas por projeto'!A:B,2,FALSE)</f>
        <v>#N/A</v>
      </c>
      <c r="D1327" s="202"/>
      <c r="E1327" s="107"/>
      <c r="F1327" s="211"/>
      <c r="G1327" s="226"/>
      <c r="H1327" s="107"/>
      <c r="I1327" s="227"/>
      <c r="J1327" s="227"/>
      <c r="K1327" s="115"/>
      <c r="L1327" s="228"/>
      <c r="M1327" s="107"/>
      <c r="N1327" s="229">
        <f>IF(AND(O1327=TRUE,P1327=TRUE), VLOOKUP($E1327,PESSOAL!$B$35:$S$45,MONTH($F1327)+6,FALSE)*G1327*24,0)</f>
        <v>0</v>
      </c>
      <c r="O1327" s="89" t="b">
        <f t="shared" si="1"/>
        <v>0</v>
      </c>
      <c r="P1327" s="89" t="b">
        <v>0</v>
      </c>
      <c r="Q1327" s="89" t="e">
        <v>#N/A</v>
      </c>
    </row>
    <row r="1328" hidden="1">
      <c r="A1328" s="108"/>
      <c r="B1328" s="202"/>
      <c r="C1328" s="202" t="str">
        <f>VLOOKUP(M1328,'#verificação horas por projeto'!A:B,2,FALSE)</f>
        <v>#N/A</v>
      </c>
      <c r="D1328" s="202"/>
      <c r="E1328" s="107"/>
      <c r="F1328" s="211"/>
      <c r="G1328" s="226"/>
      <c r="H1328" s="107"/>
      <c r="I1328" s="227"/>
      <c r="J1328" s="227"/>
      <c r="K1328" s="115"/>
      <c r="L1328" s="228"/>
      <c r="M1328" s="107"/>
      <c r="N1328" s="229">
        <f>IF(AND(O1328=TRUE,P1328=TRUE), VLOOKUP($E1328,PESSOAL!$B$35:$S$45,MONTH($F1328)+6,FALSE)*G1328*24,0)</f>
        <v>0</v>
      </c>
      <c r="O1328" s="89" t="b">
        <f t="shared" si="1"/>
        <v>0</v>
      </c>
      <c r="P1328" s="89" t="b">
        <v>0</v>
      </c>
      <c r="Q1328" s="89" t="e">
        <v>#N/A</v>
      </c>
    </row>
    <row r="1329" hidden="1">
      <c r="A1329" s="108"/>
      <c r="B1329" s="202"/>
      <c r="C1329" s="202" t="str">
        <f>VLOOKUP(M1329,'#verificação horas por projeto'!A:B,2,FALSE)</f>
        <v>#N/A</v>
      </c>
      <c r="D1329" s="202"/>
      <c r="E1329" s="107"/>
      <c r="F1329" s="211"/>
      <c r="G1329" s="226"/>
      <c r="H1329" s="107"/>
      <c r="I1329" s="227"/>
      <c r="J1329" s="227"/>
      <c r="K1329" s="115"/>
      <c r="L1329" s="228"/>
      <c r="M1329" s="107"/>
      <c r="N1329" s="229">
        <f>IF(AND(O1329=TRUE,P1329=TRUE), VLOOKUP($E1329,PESSOAL!$B$35:$S$45,MONTH($F1329)+6,FALSE)*G1329*24,0)</f>
        <v>0</v>
      </c>
      <c r="O1329" s="89" t="b">
        <f t="shared" si="1"/>
        <v>0</v>
      </c>
      <c r="P1329" s="89" t="b">
        <v>0</v>
      </c>
      <c r="Q1329" s="89" t="e">
        <v>#N/A</v>
      </c>
    </row>
    <row r="1330" hidden="1">
      <c r="A1330" s="108"/>
      <c r="B1330" s="202"/>
      <c r="C1330" s="202" t="str">
        <f>VLOOKUP(M1330,'#verificação horas por projeto'!A:B,2,FALSE)</f>
        <v>#N/A</v>
      </c>
      <c r="D1330" s="202"/>
      <c r="E1330" s="107"/>
      <c r="F1330" s="211"/>
      <c r="G1330" s="226"/>
      <c r="H1330" s="107"/>
      <c r="I1330" s="227"/>
      <c r="J1330" s="227"/>
      <c r="K1330" s="115"/>
      <c r="L1330" s="228"/>
      <c r="M1330" s="107"/>
      <c r="N1330" s="229">
        <f>IF(AND(O1330=TRUE,P1330=TRUE), VLOOKUP($E1330,PESSOAL!$B$35:$S$45,MONTH($F1330)+6,FALSE)*G1330*24,0)</f>
        <v>0</v>
      </c>
      <c r="O1330" s="89" t="b">
        <f t="shared" si="1"/>
        <v>0</v>
      </c>
      <c r="P1330" s="89" t="b">
        <v>0</v>
      </c>
      <c r="Q1330" s="89" t="e">
        <v>#N/A</v>
      </c>
    </row>
    <row r="1331" hidden="1">
      <c r="A1331" s="108"/>
      <c r="B1331" s="202"/>
      <c r="C1331" s="202" t="str">
        <f>VLOOKUP(M1331,'#verificação horas por projeto'!A:B,2,FALSE)</f>
        <v>#N/A</v>
      </c>
      <c r="D1331" s="202"/>
      <c r="E1331" s="107"/>
      <c r="F1331" s="211"/>
      <c r="G1331" s="226"/>
      <c r="H1331" s="107"/>
      <c r="I1331" s="227"/>
      <c r="J1331" s="227"/>
      <c r="K1331" s="115"/>
      <c r="L1331" s="228"/>
      <c r="M1331" s="107"/>
      <c r="N1331" s="229">
        <f>IF(AND(O1331=TRUE,P1331=TRUE), VLOOKUP($E1331,PESSOAL!$B$35:$S$45,MONTH($F1331)+6,FALSE)*G1331*24,0)</f>
        <v>0</v>
      </c>
      <c r="O1331" s="89" t="b">
        <f t="shared" si="1"/>
        <v>0</v>
      </c>
      <c r="P1331" s="89" t="b">
        <v>0</v>
      </c>
      <c r="Q1331" s="89" t="e">
        <v>#N/A</v>
      </c>
    </row>
    <row r="1332" hidden="1">
      <c r="A1332" s="108"/>
      <c r="B1332" s="202"/>
      <c r="C1332" s="202" t="str">
        <f>VLOOKUP(M1332,'#verificação horas por projeto'!A:B,2,FALSE)</f>
        <v>#N/A</v>
      </c>
      <c r="D1332" s="202"/>
      <c r="E1332" s="107"/>
      <c r="F1332" s="211"/>
      <c r="G1332" s="226"/>
      <c r="H1332" s="107"/>
      <c r="I1332" s="227"/>
      <c r="J1332" s="227"/>
      <c r="K1332" s="115"/>
      <c r="L1332" s="228"/>
      <c r="M1332" s="107"/>
      <c r="N1332" s="229">
        <f>IF(AND(O1332=TRUE,P1332=TRUE), VLOOKUP($E1332,PESSOAL!$B$35:$S$45,MONTH($F1332)+6,FALSE)*G1332*24,0)</f>
        <v>0</v>
      </c>
      <c r="O1332" s="89" t="b">
        <f t="shared" si="1"/>
        <v>0</v>
      </c>
      <c r="P1332" s="89" t="b">
        <v>0</v>
      </c>
      <c r="Q1332" s="89" t="e">
        <v>#N/A</v>
      </c>
    </row>
    <row r="1333" hidden="1">
      <c r="A1333" s="108"/>
      <c r="B1333" s="202"/>
      <c r="C1333" s="202" t="str">
        <f>VLOOKUP(M1333,'#verificação horas por projeto'!A:B,2,FALSE)</f>
        <v>#N/A</v>
      </c>
      <c r="D1333" s="202"/>
      <c r="E1333" s="107"/>
      <c r="F1333" s="211"/>
      <c r="G1333" s="226"/>
      <c r="H1333" s="107"/>
      <c r="I1333" s="227"/>
      <c r="J1333" s="227"/>
      <c r="K1333" s="115"/>
      <c r="L1333" s="228"/>
      <c r="M1333" s="107"/>
      <c r="N1333" s="229">
        <f>IF(AND(O1333=TRUE,P1333=TRUE), VLOOKUP($E1333,PESSOAL!$B$35:$S$45,MONTH($F1333)+6,FALSE)*G1333*24,0)</f>
        <v>0</v>
      </c>
      <c r="O1333" s="89" t="b">
        <f t="shared" si="1"/>
        <v>0</v>
      </c>
      <c r="P1333" s="89" t="b">
        <v>0</v>
      </c>
      <c r="Q1333" s="89" t="e">
        <v>#N/A</v>
      </c>
    </row>
    <row r="1334" hidden="1">
      <c r="A1334" s="108"/>
      <c r="B1334" s="202"/>
      <c r="C1334" s="202" t="str">
        <f>VLOOKUP(M1334,'#verificação horas por projeto'!A:B,2,FALSE)</f>
        <v>#N/A</v>
      </c>
      <c r="D1334" s="202"/>
      <c r="E1334" s="107"/>
      <c r="F1334" s="211"/>
      <c r="G1334" s="226"/>
      <c r="H1334" s="107"/>
      <c r="I1334" s="227"/>
      <c r="J1334" s="227"/>
      <c r="K1334" s="115"/>
      <c r="L1334" s="228"/>
      <c r="M1334" s="107"/>
      <c r="N1334" s="229">
        <f>IF(AND(O1334=TRUE,P1334=TRUE), VLOOKUP($E1334,PESSOAL!$B$35:$S$45,MONTH($F1334)+6,FALSE)*G1334*24,0)</f>
        <v>0</v>
      </c>
      <c r="O1334" s="89" t="b">
        <f t="shared" si="1"/>
        <v>0</v>
      </c>
      <c r="P1334" s="89" t="b">
        <v>0</v>
      </c>
      <c r="Q1334" s="89" t="e">
        <v>#N/A</v>
      </c>
    </row>
    <row r="1335" hidden="1">
      <c r="A1335" s="108"/>
      <c r="B1335" s="202"/>
      <c r="C1335" s="202" t="str">
        <f>VLOOKUP(M1335,'#verificação horas por projeto'!A:B,2,FALSE)</f>
        <v>#N/A</v>
      </c>
      <c r="D1335" s="202"/>
      <c r="E1335" s="107"/>
      <c r="F1335" s="211"/>
      <c r="G1335" s="226"/>
      <c r="H1335" s="107"/>
      <c r="I1335" s="227"/>
      <c r="J1335" s="227"/>
      <c r="K1335" s="115"/>
      <c r="L1335" s="228"/>
      <c r="M1335" s="107"/>
      <c r="N1335" s="229">
        <f>IF(AND(O1335=TRUE,P1335=TRUE), VLOOKUP($E1335,PESSOAL!$B$35:$S$45,MONTH($F1335)+6,FALSE)*G1335*24,0)</f>
        <v>0</v>
      </c>
      <c r="O1335" s="89" t="b">
        <f t="shared" si="1"/>
        <v>0</v>
      </c>
      <c r="P1335" s="89" t="b">
        <v>0</v>
      </c>
      <c r="Q1335" s="89" t="e">
        <v>#N/A</v>
      </c>
    </row>
    <row r="1336" hidden="1">
      <c r="A1336" s="108"/>
      <c r="B1336" s="202"/>
      <c r="C1336" s="202" t="str">
        <f>VLOOKUP(M1336,'#verificação horas por projeto'!A:B,2,FALSE)</f>
        <v>#N/A</v>
      </c>
      <c r="D1336" s="202"/>
      <c r="E1336" s="107"/>
      <c r="F1336" s="211"/>
      <c r="G1336" s="226"/>
      <c r="H1336" s="107"/>
      <c r="I1336" s="227"/>
      <c r="J1336" s="227"/>
      <c r="K1336" s="115"/>
      <c r="L1336" s="228"/>
      <c r="M1336" s="107"/>
      <c r="N1336" s="229">
        <f>IF(AND(O1336=TRUE,P1336=TRUE), VLOOKUP($E1336,PESSOAL!$B$35:$S$45,MONTH($F1336)+6,FALSE)*G1336*24,0)</f>
        <v>0</v>
      </c>
      <c r="O1336" s="89" t="b">
        <f t="shared" si="1"/>
        <v>0</v>
      </c>
      <c r="P1336" s="89" t="b">
        <v>0</v>
      </c>
      <c r="Q1336" s="89" t="e">
        <v>#N/A</v>
      </c>
    </row>
    <row r="1337" hidden="1">
      <c r="A1337" s="108"/>
      <c r="B1337" s="202"/>
      <c r="C1337" s="202" t="str">
        <f>VLOOKUP(M1337,'#verificação horas por projeto'!A:B,2,FALSE)</f>
        <v>#N/A</v>
      </c>
      <c r="D1337" s="202"/>
      <c r="E1337" s="107"/>
      <c r="F1337" s="211"/>
      <c r="G1337" s="226"/>
      <c r="H1337" s="107"/>
      <c r="I1337" s="227"/>
      <c r="J1337" s="227"/>
      <c r="K1337" s="115"/>
      <c r="L1337" s="228"/>
      <c r="M1337" s="107"/>
      <c r="N1337" s="229">
        <f>IF(AND(O1337=TRUE,P1337=TRUE), VLOOKUP($E1337,PESSOAL!$B$35:$S$45,MONTH($F1337)+6,FALSE)*G1337*24,0)</f>
        <v>0</v>
      </c>
      <c r="O1337" s="89" t="b">
        <f t="shared" si="1"/>
        <v>0</v>
      </c>
      <c r="P1337" s="89" t="b">
        <v>0</v>
      </c>
      <c r="Q1337" s="89" t="e">
        <v>#N/A</v>
      </c>
    </row>
    <row r="1338" hidden="1">
      <c r="A1338" s="108"/>
      <c r="B1338" s="202"/>
      <c r="C1338" s="202" t="str">
        <f>VLOOKUP(M1338,'#verificação horas por projeto'!A:B,2,FALSE)</f>
        <v>#N/A</v>
      </c>
      <c r="D1338" s="202"/>
      <c r="E1338" s="107"/>
      <c r="F1338" s="211"/>
      <c r="G1338" s="226"/>
      <c r="H1338" s="107"/>
      <c r="I1338" s="227"/>
      <c r="J1338" s="227"/>
      <c r="K1338" s="115"/>
      <c r="L1338" s="228"/>
      <c r="M1338" s="107"/>
      <c r="N1338" s="229">
        <f>IF(AND(O1338=TRUE,P1338=TRUE), VLOOKUP($E1338,PESSOAL!$B$35:$S$45,MONTH($F1338)+6,FALSE)*G1338*24,0)</f>
        <v>0</v>
      </c>
      <c r="O1338" s="89" t="b">
        <f t="shared" si="1"/>
        <v>0</v>
      </c>
      <c r="P1338" s="89" t="b">
        <v>0</v>
      </c>
      <c r="Q1338" s="89" t="e">
        <v>#N/A</v>
      </c>
    </row>
    <row r="1339" hidden="1">
      <c r="A1339" s="108"/>
      <c r="B1339" s="202"/>
      <c r="C1339" s="202" t="str">
        <f>VLOOKUP(M1339,'#verificação horas por projeto'!A:B,2,FALSE)</f>
        <v>#N/A</v>
      </c>
      <c r="D1339" s="202"/>
      <c r="E1339" s="107"/>
      <c r="F1339" s="211"/>
      <c r="G1339" s="226"/>
      <c r="H1339" s="107"/>
      <c r="I1339" s="227"/>
      <c r="J1339" s="227"/>
      <c r="K1339" s="115"/>
      <c r="L1339" s="228"/>
      <c r="M1339" s="107"/>
      <c r="N1339" s="229">
        <f>IF(AND(O1339=TRUE,P1339=TRUE), VLOOKUP($E1339,PESSOAL!$B$35:$S$45,MONTH($F1339)+6,FALSE)*G1339*24,0)</f>
        <v>0</v>
      </c>
      <c r="O1339" s="89" t="b">
        <f t="shared" si="1"/>
        <v>0</v>
      </c>
      <c r="P1339" s="89" t="b">
        <v>0</v>
      </c>
      <c r="Q1339" s="89" t="e">
        <v>#N/A</v>
      </c>
    </row>
    <row r="1340" hidden="1">
      <c r="A1340" s="108"/>
      <c r="B1340" s="202"/>
      <c r="C1340" s="202" t="str">
        <f>VLOOKUP(M1340,'#verificação horas por projeto'!A:B,2,FALSE)</f>
        <v>#N/A</v>
      </c>
      <c r="D1340" s="202"/>
      <c r="E1340" s="107"/>
      <c r="F1340" s="211"/>
      <c r="G1340" s="226"/>
      <c r="H1340" s="107"/>
      <c r="I1340" s="227"/>
      <c r="J1340" s="227"/>
      <c r="K1340" s="115"/>
      <c r="L1340" s="228"/>
      <c r="M1340" s="107"/>
      <c r="N1340" s="229">
        <f>IF(AND(O1340=TRUE,P1340=TRUE), VLOOKUP($E1340,PESSOAL!$B$35:$S$45,MONTH($F1340)+6,FALSE)*G1340*24,0)</f>
        <v>0</v>
      </c>
      <c r="O1340" s="89" t="b">
        <f t="shared" si="1"/>
        <v>0</v>
      </c>
      <c r="P1340" s="89" t="b">
        <v>0</v>
      </c>
      <c r="Q1340" s="89" t="e">
        <v>#N/A</v>
      </c>
    </row>
    <row r="1341" hidden="1">
      <c r="A1341" s="108"/>
      <c r="B1341" s="202"/>
      <c r="C1341" s="202" t="str">
        <f>VLOOKUP(M1341,'#verificação horas por projeto'!A:B,2,FALSE)</f>
        <v>#N/A</v>
      </c>
      <c r="D1341" s="202"/>
      <c r="E1341" s="107"/>
      <c r="F1341" s="211"/>
      <c r="G1341" s="226"/>
      <c r="H1341" s="107"/>
      <c r="I1341" s="227"/>
      <c r="J1341" s="227"/>
      <c r="K1341" s="115"/>
      <c r="L1341" s="228"/>
      <c r="M1341" s="107"/>
      <c r="N1341" s="229">
        <f>IF(AND(O1341=TRUE,P1341=TRUE), VLOOKUP($E1341,PESSOAL!$B$35:$S$45,MONTH($F1341)+6,FALSE)*G1341*24,0)</f>
        <v>0</v>
      </c>
      <c r="O1341" s="89" t="b">
        <f t="shared" si="1"/>
        <v>0</v>
      </c>
      <c r="P1341" s="89" t="b">
        <v>0</v>
      </c>
      <c r="Q1341" s="89" t="e">
        <v>#N/A</v>
      </c>
    </row>
    <row r="1342" hidden="1">
      <c r="A1342" s="108"/>
      <c r="B1342" s="202"/>
      <c r="C1342" s="202" t="str">
        <f>VLOOKUP(M1342,'#verificação horas por projeto'!A:B,2,FALSE)</f>
        <v>#N/A</v>
      </c>
      <c r="D1342" s="202"/>
      <c r="E1342" s="107"/>
      <c r="F1342" s="211"/>
      <c r="G1342" s="226"/>
      <c r="H1342" s="107"/>
      <c r="I1342" s="227"/>
      <c r="J1342" s="227"/>
      <c r="K1342" s="115"/>
      <c r="L1342" s="228"/>
      <c r="M1342" s="107"/>
      <c r="N1342" s="229">
        <f>IF(AND(O1342=TRUE,P1342=TRUE), VLOOKUP($E1342,PESSOAL!$B$35:$S$45,MONTH($F1342)+6,FALSE)*G1342*24,0)</f>
        <v>0</v>
      </c>
      <c r="O1342" s="89" t="b">
        <f t="shared" si="1"/>
        <v>0</v>
      </c>
      <c r="P1342" s="89" t="b">
        <v>0</v>
      </c>
      <c r="Q1342" s="89" t="e">
        <v>#N/A</v>
      </c>
    </row>
    <row r="1343" hidden="1">
      <c r="A1343" s="108"/>
      <c r="B1343" s="202"/>
      <c r="C1343" s="202" t="str">
        <f>VLOOKUP(M1343,'#verificação horas por projeto'!A:B,2,FALSE)</f>
        <v>#N/A</v>
      </c>
      <c r="D1343" s="202"/>
      <c r="E1343" s="107"/>
      <c r="F1343" s="211"/>
      <c r="G1343" s="226"/>
      <c r="H1343" s="107"/>
      <c r="I1343" s="227"/>
      <c r="J1343" s="227"/>
      <c r="K1343" s="115"/>
      <c r="L1343" s="228"/>
      <c r="M1343" s="107"/>
      <c r="N1343" s="229">
        <f>IF(AND(O1343=TRUE,P1343=TRUE), VLOOKUP($E1343,PESSOAL!$B$35:$S$45,MONTH($F1343)+6,FALSE)*G1343*24,0)</f>
        <v>0</v>
      </c>
      <c r="O1343" s="89" t="b">
        <f t="shared" si="1"/>
        <v>0</v>
      </c>
      <c r="P1343" s="89" t="b">
        <v>0</v>
      </c>
      <c r="Q1343" s="89" t="e">
        <v>#N/A</v>
      </c>
    </row>
    <row r="1344" hidden="1">
      <c r="A1344" s="108"/>
      <c r="B1344" s="202"/>
      <c r="C1344" s="202" t="str">
        <f>VLOOKUP(M1344,'#verificação horas por projeto'!A:B,2,FALSE)</f>
        <v>#N/A</v>
      </c>
      <c r="D1344" s="202"/>
      <c r="E1344" s="107"/>
      <c r="F1344" s="211"/>
      <c r="G1344" s="226"/>
      <c r="H1344" s="107"/>
      <c r="I1344" s="227"/>
      <c r="J1344" s="227"/>
      <c r="K1344" s="115"/>
      <c r="L1344" s="228"/>
      <c r="M1344" s="107"/>
      <c r="N1344" s="229">
        <f>IF(AND(O1344=TRUE,P1344=TRUE), VLOOKUP($E1344,PESSOAL!$B$35:$S$45,MONTH($F1344)+6,FALSE)*G1344*24,0)</f>
        <v>0</v>
      </c>
      <c r="O1344" s="89" t="b">
        <f t="shared" si="1"/>
        <v>0</v>
      </c>
      <c r="P1344" s="89" t="b">
        <v>0</v>
      </c>
      <c r="Q1344" s="89" t="e">
        <v>#N/A</v>
      </c>
    </row>
    <row r="1345" hidden="1">
      <c r="A1345" s="108"/>
      <c r="B1345" s="202"/>
      <c r="C1345" s="202" t="str">
        <f>VLOOKUP(M1345,'#verificação horas por projeto'!A:B,2,FALSE)</f>
        <v>#N/A</v>
      </c>
      <c r="D1345" s="202"/>
      <c r="E1345" s="107"/>
      <c r="F1345" s="211"/>
      <c r="G1345" s="226"/>
      <c r="H1345" s="107"/>
      <c r="I1345" s="227"/>
      <c r="J1345" s="227"/>
      <c r="K1345" s="115"/>
      <c r="L1345" s="228"/>
      <c r="M1345" s="107"/>
      <c r="N1345" s="229">
        <f>IF(AND(O1345=TRUE,P1345=TRUE), VLOOKUP($E1345,PESSOAL!$B$35:$S$45,MONTH($F1345)+6,FALSE)*G1345*24,0)</f>
        <v>0</v>
      </c>
      <c r="O1345" s="89" t="b">
        <f t="shared" si="1"/>
        <v>0</v>
      </c>
      <c r="P1345" s="89" t="b">
        <v>0</v>
      </c>
      <c r="Q1345" s="89" t="e">
        <v>#N/A</v>
      </c>
    </row>
    <row r="1346" hidden="1">
      <c r="A1346" s="108"/>
      <c r="B1346" s="202"/>
      <c r="C1346" s="202" t="str">
        <f>VLOOKUP(M1346,'#verificação horas por projeto'!A:B,2,FALSE)</f>
        <v>#N/A</v>
      </c>
      <c r="D1346" s="202"/>
      <c r="E1346" s="107"/>
      <c r="F1346" s="211"/>
      <c r="G1346" s="226"/>
      <c r="H1346" s="107"/>
      <c r="I1346" s="227"/>
      <c r="J1346" s="227"/>
      <c r="K1346" s="115"/>
      <c r="L1346" s="228"/>
      <c r="M1346" s="107"/>
      <c r="N1346" s="229">
        <f>IF(AND(O1346=TRUE,P1346=TRUE), VLOOKUP($E1346,PESSOAL!$B$35:$S$45,MONTH($F1346)+6,FALSE)*G1346*24,0)</f>
        <v>0</v>
      </c>
      <c r="O1346" s="89" t="b">
        <f t="shared" si="1"/>
        <v>0</v>
      </c>
      <c r="P1346" s="89" t="b">
        <v>0</v>
      </c>
      <c r="Q1346" s="89" t="e">
        <v>#N/A</v>
      </c>
    </row>
    <row r="1347" hidden="1">
      <c r="A1347" s="108"/>
      <c r="B1347" s="202"/>
      <c r="C1347" s="202" t="str">
        <f>VLOOKUP(M1347,'#verificação horas por projeto'!A:B,2,FALSE)</f>
        <v>#N/A</v>
      </c>
      <c r="D1347" s="202"/>
      <c r="E1347" s="107"/>
      <c r="F1347" s="211"/>
      <c r="G1347" s="226"/>
      <c r="H1347" s="107"/>
      <c r="I1347" s="227"/>
      <c r="J1347" s="227"/>
      <c r="K1347" s="115"/>
      <c r="L1347" s="228"/>
      <c r="M1347" s="107"/>
      <c r="N1347" s="229">
        <f>IF(AND(O1347=TRUE,P1347=TRUE), VLOOKUP($E1347,PESSOAL!$B$35:$S$45,MONTH($F1347)+6,FALSE)*G1347*24,0)</f>
        <v>0</v>
      </c>
      <c r="O1347" s="89" t="b">
        <f t="shared" si="1"/>
        <v>0</v>
      </c>
      <c r="P1347" s="89" t="b">
        <v>0</v>
      </c>
      <c r="Q1347" s="89" t="e">
        <v>#N/A</v>
      </c>
    </row>
    <row r="1348" hidden="1">
      <c r="A1348" s="108"/>
      <c r="B1348" s="202"/>
      <c r="C1348" s="202" t="str">
        <f>VLOOKUP(M1348,'#verificação horas por projeto'!A:B,2,FALSE)</f>
        <v>#N/A</v>
      </c>
      <c r="D1348" s="202"/>
      <c r="E1348" s="107"/>
      <c r="F1348" s="211"/>
      <c r="G1348" s="226"/>
      <c r="H1348" s="107"/>
      <c r="I1348" s="227"/>
      <c r="J1348" s="227"/>
      <c r="K1348" s="115"/>
      <c r="L1348" s="228"/>
      <c r="M1348" s="107"/>
      <c r="N1348" s="229">
        <f>IF(AND(O1348=TRUE,P1348=TRUE), VLOOKUP($E1348,PESSOAL!$B$35:$S$45,MONTH($F1348)+6,FALSE)*G1348*24,0)</f>
        <v>0</v>
      </c>
      <c r="O1348" s="89" t="b">
        <f t="shared" si="1"/>
        <v>0</v>
      </c>
      <c r="P1348" s="89" t="b">
        <v>0</v>
      </c>
      <c r="Q1348" s="89" t="e">
        <v>#N/A</v>
      </c>
    </row>
    <row r="1349" hidden="1">
      <c r="A1349" s="108"/>
      <c r="B1349" s="202"/>
      <c r="C1349" s="202" t="str">
        <f>VLOOKUP(M1349,'#verificação horas por projeto'!A:B,2,FALSE)</f>
        <v>#N/A</v>
      </c>
      <c r="D1349" s="202"/>
      <c r="E1349" s="107"/>
      <c r="F1349" s="211"/>
      <c r="G1349" s="226"/>
      <c r="H1349" s="107"/>
      <c r="I1349" s="227"/>
      <c r="J1349" s="227"/>
      <c r="K1349" s="115"/>
      <c r="L1349" s="228"/>
      <c r="M1349" s="107"/>
      <c r="N1349" s="229">
        <f>IF(AND(O1349=TRUE,P1349=TRUE), VLOOKUP($E1349,PESSOAL!$B$35:$S$45,MONTH($F1349)+6,FALSE)*G1349*24,0)</f>
        <v>0</v>
      </c>
      <c r="O1349" s="89" t="b">
        <f t="shared" si="1"/>
        <v>0</v>
      </c>
      <c r="P1349" s="89" t="b">
        <v>0</v>
      </c>
      <c r="Q1349" s="89" t="e">
        <v>#N/A</v>
      </c>
    </row>
    <row r="1350" hidden="1">
      <c r="A1350" s="108"/>
      <c r="B1350" s="202"/>
      <c r="C1350" s="202" t="str">
        <f>VLOOKUP(M1350,'#verificação horas por projeto'!A:B,2,FALSE)</f>
        <v>#N/A</v>
      </c>
      <c r="D1350" s="202"/>
      <c r="E1350" s="107"/>
      <c r="F1350" s="211"/>
      <c r="G1350" s="226"/>
      <c r="H1350" s="107"/>
      <c r="I1350" s="227"/>
      <c r="J1350" s="227"/>
      <c r="K1350" s="115"/>
      <c r="L1350" s="228"/>
      <c r="M1350" s="107"/>
      <c r="N1350" s="229">
        <f>IF(AND(O1350=TRUE,P1350=TRUE), VLOOKUP($E1350,PESSOAL!$B$35:$S$45,MONTH($F1350)+6,FALSE)*G1350*24,0)</f>
        <v>0</v>
      </c>
      <c r="O1350" s="89" t="b">
        <f t="shared" si="1"/>
        <v>0</v>
      </c>
      <c r="P1350" s="89" t="b">
        <v>0</v>
      </c>
      <c r="Q1350" s="89" t="e">
        <v>#N/A</v>
      </c>
    </row>
    <row r="1351" hidden="1">
      <c r="A1351" s="108"/>
      <c r="B1351" s="202"/>
      <c r="C1351" s="202" t="str">
        <f>VLOOKUP(M1351,'#verificação horas por projeto'!A:B,2,FALSE)</f>
        <v>#N/A</v>
      </c>
      <c r="D1351" s="202"/>
      <c r="E1351" s="107"/>
      <c r="F1351" s="211"/>
      <c r="G1351" s="226"/>
      <c r="H1351" s="107"/>
      <c r="I1351" s="227"/>
      <c r="J1351" s="227"/>
      <c r="K1351" s="115"/>
      <c r="L1351" s="228"/>
      <c r="M1351" s="107"/>
      <c r="N1351" s="229">
        <f>IF(AND(O1351=TRUE,P1351=TRUE), VLOOKUP($E1351,PESSOAL!$B$35:$S$45,MONTH($F1351)+6,FALSE)*G1351*24,0)</f>
        <v>0</v>
      </c>
      <c r="O1351" s="89" t="b">
        <f t="shared" si="1"/>
        <v>0</v>
      </c>
      <c r="P1351" s="89" t="b">
        <v>0</v>
      </c>
      <c r="Q1351" s="89" t="e">
        <v>#N/A</v>
      </c>
    </row>
    <row r="1352" hidden="1">
      <c r="A1352" s="108"/>
      <c r="B1352" s="202"/>
      <c r="C1352" s="202" t="str">
        <f>VLOOKUP(M1352,'#verificação horas por projeto'!A:B,2,FALSE)</f>
        <v>#N/A</v>
      </c>
      <c r="D1352" s="202"/>
      <c r="E1352" s="107"/>
      <c r="F1352" s="211"/>
      <c r="G1352" s="226"/>
      <c r="H1352" s="107"/>
      <c r="I1352" s="227"/>
      <c r="J1352" s="227"/>
      <c r="K1352" s="115"/>
      <c r="L1352" s="228"/>
      <c r="M1352" s="107"/>
      <c r="N1352" s="229">
        <f>IF(AND(O1352=TRUE,P1352=TRUE), VLOOKUP($E1352,PESSOAL!$B$35:$S$45,MONTH($F1352)+6,FALSE)*G1352*24,0)</f>
        <v>0</v>
      </c>
      <c r="O1352" s="89" t="b">
        <f t="shared" si="1"/>
        <v>0</v>
      </c>
      <c r="P1352" s="89" t="b">
        <v>0</v>
      </c>
      <c r="Q1352" s="89" t="e">
        <v>#N/A</v>
      </c>
    </row>
    <row r="1353" hidden="1">
      <c r="A1353" s="108"/>
      <c r="B1353" s="202"/>
      <c r="C1353" s="202" t="str">
        <f>VLOOKUP(M1353,'#verificação horas por projeto'!A:B,2,FALSE)</f>
        <v>#N/A</v>
      </c>
      <c r="D1353" s="202"/>
      <c r="E1353" s="107"/>
      <c r="F1353" s="211"/>
      <c r="G1353" s="226"/>
      <c r="H1353" s="107"/>
      <c r="I1353" s="227"/>
      <c r="J1353" s="227"/>
      <c r="K1353" s="115"/>
      <c r="L1353" s="228"/>
      <c r="M1353" s="107"/>
      <c r="N1353" s="229">
        <f>IF(AND(O1353=TRUE,P1353=TRUE), VLOOKUP($E1353,PESSOAL!$B$35:$S$45,MONTH($F1353)+6,FALSE)*G1353*24,0)</f>
        <v>0</v>
      </c>
      <c r="O1353" s="89" t="b">
        <f t="shared" si="1"/>
        <v>0</v>
      </c>
      <c r="P1353" s="89" t="b">
        <v>0</v>
      </c>
      <c r="Q1353" s="89" t="e">
        <v>#N/A</v>
      </c>
    </row>
    <row r="1354" hidden="1">
      <c r="A1354" s="108"/>
      <c r="B1354" s="202"/>
      <c r="C1354" s="202" t="str">
        <f>VLOOKUP(M1354,'#verificação horas por projeto'!A:B,2,FALSE)</f>
        <v>#N/A</v>
      </c>
      <c r="D1354" s="202"/>
      <c r="E1354" s="107"/>
      <c r="F1354" s="211"/>
      <c r="G1354" s="226"/>
      <c r="H1354" s="107"/>
      <c r="I1354" s="227"/>
      <c r="J1354" s="227"/>
      <c r="K1354" s="115"/>
      <c r="L1354" s="228"/>
      <c r="M1354" s="107"/>
      <c r="N1354" s="229">
        <f>IF(AND(O1354=TRUE,P1354=TRUE), VLOOKUP($E1354,PESSOAL!$B$35:$S$45,MONTH($F1354)+6,FALSE)*G1354*24,0)</f>
        <v>0</v>
      </c>
      <c r="O1354" s="89" t="b">
        <f t="shared" si="1"/>
        <v>0</v>
      </c>
      <c r="P1354" s="89" t="b">
        <v>0</v>
      </c>
      <c r="Q1354" s="89" t="e">
        <v>#N/A</v>
      </c>
    </row>
    <row r="1355" hidden="1">
      <c r="A1355" s="108"/>
      <c r="B1355" s="202"/>
      <c r="C1355" s="202" t="str">
        <f>VLOOKUP(M1355,'#verificação horas por projeto'!A:B,2,FALSE)</f>
        <v>#N/A</v>
      </c>
      <c r="D1355" s="202"/>
      <c r="E1355" s="107"/>
      <c r="F1355" s="211"/>
      <c r="G1355" s="226"/>
      <c r="H1355" s="107"/>
      <c r="I1355" s="227"/>
      <c r="J1355" s="227"/>
      <c r="K1355" s="115"/>
      <c r="L1355" s="228"/>
      <c r="M1355" s="107"/>
      <c r="N1355" s="229">
        <f>IF(AND(O1355=TRUE,P1355=TRUE), VLOOKUP($E1355,PESSOAL!$B$35:$S$45,MONTH($F1355)+6,FALSE)*G1355*24,0)</f>
        <v>0</v>
      </c>
      <c r="O1355" s="89" t="b">
        <f t="shared" si="1"/>
        <v>0</v>
      </c>
      <c r="P1355" s="89" t="b">
        <v>0</v>
      </c>
      <c r="Q1355" s="89" t="e">
        <v>#N/A</v>
      </c>
    </row>
    <row r="1356" hidden="1">
      <c r="A1356" s="108"/>
      <c r="B1356" s="202"/>
      <c r="C1356" s="202" t="str">
        <f>VLOOKUP(M1356,'#verificação horas por projeto'!A:B,2,FALSE)</f>
        <v>#N/A</v>
      </c>
      <c r="D1356" s="202"/>
      <c r="E1356" s="107"/>
      <c r="F1356" s="211"/>
      <c r="G1356" s="226"/>
      <c r="H1356" s="107"/>
      <c r="I1356" s="227"/>
      <c r="J1356" s="227"/>
      <c r="K1356" s="115"/>
      <c r="L1356" s="228"/>
      <c r="M1356" s="107"/>
      <c r="N1356" s="229">
        <f>IF(AND(O1356=TRUE,P1356=TRUE), VLOOKUP($E1356,PESSOAL!$B$35:$S$45,MONTH($F1356)+6,FALSE)*G1356*24,0)</f>
        <v>0</v>
      </c>
      <c r="O1356" s="89" t="b">
        <f t="shared" si="1"/>
        <v>0</v>
      </c>
      <c r="P1356" s="89" t="b">
        <v>0</v>
      </c>
      <c r="Q1356" s="89" t="e">
        <v>#N/A</v>
      </c>
    </row>
    <row r="1357" hidden="1">
      <c r="A1357" s="108"/>
      <c r="B1357" s="202"/>
      <c r="C1357" s="202" t="str">
        <f>VLOOKUP(M1357,'#verificação horas por projeto'!A:B,2,FALSE)</f>
        <v>#N/A</v>
      </c>
      <c r="D1357" s="202"/>
      <c r="E1357" s="107"/>
      <c r="F1357" s="211"/>
      <c r="G1357" s="226"/>
      <c r="H1357" s="107"/>
      <c r="I1357" s="227"/>
      <c r="J1357" s="227"/>
      <c r="K1357" s="115"/>
      <c r="L1357" s="228"/>
      <c r="M1357" s="107"/>
      <c r="N1357" s="229">
        <f>IF(AND(O1357=TRUE,P1357=TRUE), VLOOKUP($E1357,PESSOAL!$B$35:$S$45,MONTH($F1357)+6,FALSE)*G1357*24,0)</f>
        <v>0</v>
      </c>
      <c r="O1357" s="89" t="b">
        <f t="shared" si="1"/>
        <v>0</v>
      </c>
      <c r="P1357" s="89" t="b">
        <v>0</v>
      </c>
      <c r="Q1357" s="89" t="e">
        <v>#N/A</v>
      </c>
    </row>
    <row r="1358" hidden="1">
      <c r="A1358" s="108"/>
      <c r="B1358" s="202"/>
      <c r="C1358" s="202" t="str">
        <f>VLOOKUP(M1358,'#verificação horas por projeto'!A:B,2,FALSE)</f>
        <v>#N/A</v>
      </c>
      <c r="D1358" s="202"/>
      <c r="E1358" s="107"/>
      <c r="F1358" s="211"/>
      <c r="G1358" s="226"/>
      <c r="H1358" s="107"/>
      <c r="I1358" s="227"/>
      <c r="J1358" s="227"/>
      <c r="K1358" s="115"/>
      <c r="L1358" s="228"/>
      <c r="M1358" s="107"/>
      <c r="N1358" s="229">
        <f>IF(AND(O1358=TRUE,P1358=TRUE), VLOOKUP($E1358,PESSOAL!$B$35:$S$45,MONTH($F1358)+6,FALSE)*G1358*24,0)</f>
        <v>0</v>
      </c>
      <c r="O1358" s="89" t="b">
        <f t="shared" si="1"/>
        <v>0</v>
      </c>
      <c r="P1358" s="89" t="b">
        <v>0</v>
      </c>
      <c r="Q1358" s="89" t="e">
        <v>#N/A</v>
      </c>
    </row>
    <row r="1359" hidden="1">
      <c r="A1359" s="108"/>
      <c r="B1359" s="202"/>
      <c r="C1359" s="202" t="str">
        <f>VLOOKUP(M1359,'#verificação horas por projeto'!A:B,2,FALSE)</f>
        <v>#N/A</v>
      </c>
      <c r="D1359" s="202"/>
      <c r="E1359" s="107"/>
      <c r="F1359" s="211"/>
      <c r="G1359" s="226"/>
      <c r="H1359" s="107"/>
      <c r="I1359" s="227"/>
      <c r="J1359" s="227"/>
      <c r="K1359" s="115"/>
      <c r="L1359" s="228"/>
      <c r="M1359" s="107"/>
      <c r="N1359" s="229">
        <f>IF(AND(O1359=TRUE,P1359=TRUE), VLOOKUP($E1359,PESSOAL!$B$35:$S$45,MONTH($F1359)+6,FALSE)*G1359*24,0)</f>
        <v>0</v>
      </c>
      <c r="O1359" s="89" t="b">
        <f t="shared" si="1"/>
        <v>0</v>
      </c>
      <c r="P1359" s="89" t="b">
        <v>0</v>
      </c>
      <c r="Q1359" s="89" t="e">
        <v>#N/A</v>
      </c>
    </row>
    <row r="1360" hidden="1">
      <c r="A1360" s="108"/>
      <c r="B1360" s="202"/>
      <c r="C1360" s="202" t="str">
        <f>VLOOKUP(M1360,'#verificação horas por projeto'!A:B,2,FALSE)</f>
        <v>#N/A</v>
      </c>
      <c r="D1360" s="202"/>
      <c r="E1360" s="107"/>
      <c r="F1360" s="211"/>
      <c r="G1360" s="226"/>
      <c r="H1360" s="107"/>
      <c r="I1360" s="227"/>
      <c r="J1360" s="227"/>
      <c r="K1360" s="115"/>
      <c r="L1360" s="228"/>
      <c r="M1360" s="107"/>
      <c r="N1360" s="229">
        <f>IF(AND(O1360=TRUE,P1360=TRUE), VLOOKUP($E1360,PESSOAL!$B$35:$S$45,MONTH($F1360)+6,FALSE)*G1360*24,0)</f>
        <v>0</v>
      </c>
      <c r="O1360" s="89" t="b">
        <f t="shared" si="1"/>
        <v>0</v>
      </c>
      <c r="P1360" s="89" t="b">
        <v>0</v>
      </c>
      <c r="Q1360" s="89" t="e">
        <v>#N/A</v>
      </c>
    </row>
    <row r="1361" hidden="1">
      <c r="A1361" s="108"/>
      <c r="B1361" s="202"/>
      <c r="C1361" s="202" t="str">
        <f>VLOOKUP(M1361,'#verificação horas por projeto'!A:B,2,FALSE)</f>
        <v>#N/A</v>
      </c>
      <c r="D1361" s="202"/>
      <c r="E1361" s="107"/>
      <c r="F1361" s="211"/>
      <c r="G1361" s="226"/>
      <c r="H1361" s="107"/>
      <c r="I1361" s="227"/>
      <c r="J1361" s="227"/>
      <c r="K1361" s="115"/>
      <c r="L1361" s="228"/>
      <c r="M1361" s="107"/>
      <c r="N1361" s="229">
        <f>IF(AND(O1361=TRUE,P1361=TRUE), VLOOKUP($E1361,PESSOAL!$B$35:$S$45,MONTH($F1361)+6,FALSE)*G1361*24,0)</f>
        <v>0</v>
      </c>
      <c r="O1361" s="89" t="b">
        <f t="shared" si="1"/>
        <v>0</v>
      </c>
      <c r="P1361" s="89" t="b">
        <v>0</v>
      </c>
      <c r="Q1361" s="89" t="e">
        <v>#N/A</v>
      </c>
    </row>
    <row r="1362" hidden="1">
      <c r="A1362" s="108"/>
      <c r="B1362" s="202"/>
      <c r="C1362" s="202" t="str">
        <f>VLOOKUP(M1362,'#verificação horas por projeto'!A:B,2,FALSE)</f>
        <v>#N/A</v>
      </c>
      <c r="D1362" s="202"/>
      <c r="E1362" s="107"/>
      <c r="F1362" s="211"/>
      <c r="G1362" s="226"/>
      <c r="H1362" s="107"/>
      <c r="I1362" s="227"/>
      <c r="J1362" s="227"/>
      <c r="K1362" s="115"/>
      <c r="L1362" s="228"/>
      <c r="M1362" s="107"/>
      <c r="N1362" s="229">
        <f>IF(AND(O1362=TRUE,P1362=TRUE), VLOOKUP($E1362,PESSOAL!$B$35:$S$45,MONTH($F1362)+6,FALSE)*G1362*24,0)</f>
        <v>0</v>
      </c>
      <c r="O1362" s="89" t="b">
        <f t="shared" si="1"/>
        <v>0</v>
      </c>
      <c r="P1362" s="89" t="b">
        <v>0</v>
      </c>
      <c r="Q1362" s="89" t="e">
        <v>#N/A</v>
      </c>
    </row>
    <row r="1363" hidden="1">
      <c r="A1363" s="108"/>
      <c r="B1363" s="202"/>
      <c r="C1363" s="202" t="str">
        <f>VLOOKUP(M1363,'#verificação horas por projeto'!A:B,2,FALSE)</f>
        <v>#N/A</v>
      </c>
      <c r="D1363" s="202"/>
      <c r="E1363" s="107"/>
      <c r="F1363" s="211"/>
      <c r="G1363" s="226"/>
      <c r="H1363" s="107"/>
      <c r="I1363" s="227"/>
      <c r="J1363" s="227"/>
      <c r="K1363" s="115"/>
      <c r="L1363" s="228"/>
      <c r="M1363" s="107"/>
      <c r="N1363" s="229">
        <f>IF(AND(O1363=TRUE,P1363=TRUE), VLOOKUP($E1363,PESSOAL!$B$35:$S$45,MONTH($F1363)+6,FALSE)*G1363*24,0)</f>
        <v>0</v>
      </c>
      <c r="O1363" s="89" t="b">
        <f t="shared" si="1"/>
        <v>0</v>
      </c>
      <c r="P1363" s="89" t="b">
        <v>0</v>
      </c>
      <c r="Q1363" s="89" t="e">
        <v>#N/A</v>
      </c>
    </row>
    <row r="1364" hidden="1">
      <c r="A1364" s="108"/>
      <c r="B1364" s="202"/>
      <c r="C1364" s="202" t="str">
        <f>VLOOKUP(M1364,'#verificação horas por projeto'!A:B,2,FALSE)</f>
        <v>#N/A</v>
      </c>
      <c r="D1364" s="202"/>
      <c r="E1364" s="107"/>
      <c r="F1364" s="211"/>
      <c r="G1364" s="226"/>
      <c r="H1364" s="107"/>
      <c r="I1364" s="227"/>
      <c r="J1364" s="227"/>
      <c r="K1364" s="115"/>
      <c r="L1364" s="228"/>
      <c r="M1364" s="107"/>
      <c r="N1364" s="229">
        <f>IF(AND(O1364=TRUE,P1364=TRUE), VLOOKUP($E1364,PESSOAL!$B$35:$S$45,MONTH($F1364)+6,FALSE)*G1364*24,0)</f>
        <v>0</v>
      </c>
      <c r="O1364" s="89" t="b">
        <f t="shared" si="1"/>
        <v>0</v>
      </c>
      <c r="P1364" s="89" t="b">
        <v>0</v>
      </c>
      <c r="Q1364" s="89" t="e">
        <v>#N/A</v>
      </c>
    </row>
    <row r="1365" hidden="1">
      <c r="A1365" s="108"/>
      <c r="B1365" s="202"/>
      <c r="C1365" s="202" t="str">
        <f>VLOOKUP(M1365,'#verificação horas por projeto'!A:B,2,FALSE)</f>
        <v>#N/A</v>
      </c>
      <c r="D1365" s="202"/>
      <c r="E1365" s="107"/>
      <c r="F1365" s="211"/>
      <c r="G1365" s="226"/>
      <c r="H1365" s="107"/>
      <c r="I1365" s="227"/>
      <c r="J1365" s="227"/>
      <c r="K1365" s="115"/>
      <c r="L1365" s="228"/>
      <c r="M1365" s="107"/>
      <c r="N1365" s="229">
        <f>IF(AND(O1365=TRUE,P1365=TRUE), VLOOKUP($E1365,PESSOAL!$B$35:$S$45,MONTH($F1365)+6,FALSE)*G1365*24,0)</f>
        <v>0</v>
      </c>
      <c r="O1365" s="89" t="b">
        <f t="shared" si="1"/>
        <v>0</v>
      </c>
      <c r="P1365" s="89" t="b">
        <v>0</v>
      </c>
      <c r="Q1365" s="89" t="e">
        <v>#N/A</v>
      </c>
    </row>
    <row r="1366" hidden="1">
      <c r="A1366" s="108"/>
      <c r="B1366" s="202"/>
      <c r="C1366" s="202" t="str">
        <f>VLOOKUP(M1366,'#verificação horas por projeto'!A:B,2,FALSE)</f>
        <v>#N/A</v>
      </c>
      <c r="D1366" s="202"/>
      <c r="E1366" s="107"/>
      <c r="F1366" s="211"/>
      <c r="G1366" s="226"/>
      <c r="H1366" s="107"/>
      <c r="I1366" s="227"/>
      <c r="J1366" s="227"/>
      <c r="K1366" s="115"/>
      <c r="L1366" s="228"/>
      <c r="M1366" s="107"/>
      <c r="N1366" s="229">
        <f>IF(AND(O1366=TRUE,P1366=TRUE), VLOOKUP($E1366,PESSOAL!$B$35:$S$45,MONTH($F1366)+6,FALSE)*G1366*24,0)</f>
        <v>0</v>
      </c>
      <c r="O1366" s="89" t="b">
        <f t="shared" si="1"/>
        <v>0</v>
      </c>
      <c r="P1366" s="89" t="b">
        <v>0</v>
      </c>
      <c r="Q1366" s="89" t="e">
        <v>#N/A</v>
      </c>
    </row>
    <row r="1367" hidden="1">
      <c r="A1367" s="108"/>
      <c r="B1367" s="202"/>
      <c r="C1367" s="202" t="str">
        <f>VLOOKUP(M1367,'#verificação horas por projeto'!A:B,2,FALSE)</f>
        <v>#N/A</v>
      </c>
      <c r="D1367" s="202"/>
      <c r="E1367" s="107"/>
      <c r="F1367" s="211"/>
      <c r="G1367" s="226"/>
      <c r="H1367" s="107"/>
      <c r="I1367" s="227"/>
      <c r="J1367" s="227"/>
      <c r="K1367" s="115"/>
      <c r="L1367" s="228"/>
      <c r="M1367" s="107"/>
      <c r="N1367" s="229">
        <f>IF(AND(O1367=TRUE,P1367=TRUE), VLOOKUP($E1367,PESSOAL!$B$35:$S$45,MONTH($F1367)+6,FALSE)*G1367*24,0)</f>
        <v>0</v>
      </c>
      <c r="O1367" s="89" t="b">
        <f t="shared" si="1"/>
        <v>0</v>
      </c>
      <c r="P1367" s="89" t="b">
        <v>0</v>
      </c>
      <c r="Q1367" s="89" t="e">
        <v>#N/A</v>
      </c>
    </row>
    <row r="1368" hidden="1">
      <c r="A1368" s="108"/>
      <c r="B1368" s="202"/>
      <c r="C1368" s="202" t="str">
        <f>VLOOKUP(M1368,'#verificação horas por projeto'!A:B,2,FALSE)</f>
        <v>#N/A</v>
      </c>
      <c r="D1368" s="202"/>
      <c r="E1368" s="107"/>
      <c r="F1368" s="211"/>
      <c r="G1368" s="226"/>
      <c r="H1368" s="107"/>
      <c r="I1368" s="227"/>
      <c r="J1368" s="227"/>
      <c r="K1368" s="115"/>
      <c r="L1368" s="228"/>
      <c r="M1368" s="107"/>
      <c r="N1368" s="229">
        <f>IF(AND(O1368=TRUE,P1368=TRUE), VLOOKUP($E1368,PESSOAL!$B$35:$S$45,MONTH($F1368)+6,FALSE)*G1368*24,0)</f>
        <v>0</v>
      </c>
      <c r="O1368" s="89" t="b">
        <f t="shared" si="1"/>
        <v>0</v>
      </c>
      <c r="P1368" s="89" t="b">
        <v>0</v>
      </c>
      <c r="Q1368" s="89" t="e">
        <v>#N/A</v>
      </c>
    </row>
    <row r="1369" hidden="1">
      <c r="A1369" s="108"/>
      <c r="B1369" s="202"/>
      <c r="C1369" s="202" t="str">
        <f>VLOOKUP(M1369,'#verificação horas por projeto'!A:B,2,FALSE)</f>
        <v>#N/A</v>
      </c>
      <c r="D1369" s="202"/>
      <c r="E1369" s="107"/>
      <c r="F1369" s="211"/>
      <c r="G1369" s="226"/>
      <c r="H1369" s="107"/>
      <c r="I1369" s="227"/>
      <c r="J1369" s="227"/>
      <c r="K1369" s="115"/>
      <c r="L1369" s="228"/>
      <c r="M1369" s="107"/>
      <c r="N1369" s="229">
        <f>IF(AND(O1369=TRUE,P1369=TRUE), VLOOKUP($E1369,PESSOAL!$B$35:$S$45,MONTH($F1369)+6,FALSE)*G1369*24,0)</f>
        <v>0</v>
      </c>
      <c r="O1369" s="89" t="b">
        <f t="shared" si="1"/>
        <v>0</v>
      </c>
      <c r="P1369" s="89" t="b">
        <v>0</v>
      </c>
      <c r="Q1369" s="89" t="e">
        <v>#N/A</v>
      </c>
    </row>
    <row r="1370" hidden="1">
      <c r="A1370" s="108"/>
      <c r="B1370" s="202"/>
      <c r="C1370" s="202" t="str">
        <f>VLOOKUP(M1370,'#verificação horas por projeto'!A:B,2,FALSE)</f>
        <v>#N/A</v>
      </c>
      <c r="D1370" s="202"/>
      <c r="E1370" s="107"/>
      <c r="F1370" s="211"/>
      <c r="G1370" s="226"/>
      <c r="H1370" s="107"/>
      <c r="I1370" s="227"/>
      <c r="J1370" s="227"/>
      <c r="K1370" s="115"/>
      <c r="L1370" s="228"/>
      <c r="M1370" s="107"/>
      <c r="N1370" s="229">
        <f>IF(AND(O1370=TRUE,P1370=TRUE), VLOOKUP($E1370,PESSOAL!$B$35:$S$45,MONTH($F1370)+6,FALSE)*G1370*24,0)</f>
        <v>0</v>
      </c>
      <c r="O1370" s="89" t="b">
        <f t="shared" si="1"/>
        <v>0</v>
      </c>
      <c r="P1370" s="89" t="b">
        <v>0</v>
      </c>
      <c r="Q1370" s="89" t="e">
        <v>#N/A</v>
      </c>
    </row>
    <row r="1371" hidden="1">
      <c r="A1371" s="108"/>
      <c r="B1371" s="202"/>
      <c r="C1371" s="202" t="str">
        <f>VLOOKUP(M1371,'#verificação horas por projeto'!A:B,2,FALSE)</f>
        <v>#N/A</v>
      </c>
      <c r="D1371" s="202"/>
      <c r="E1371" s="107"/>
      <c r="F1371" s="211"/>
      <c r="G1371" s="226"/>
      <c r="H1371" s="107"/>
      <c r="I1371" s="227"/>
      <c r="J1371" s="227"/>
      <c r="K1371" s="115"/>
      <c r="L1371" s="228"/>
      <c r="M1371" s="107"/>
      <c r="N1371" s="229">
        <f>IF(AND(O1371=TRUE,P1371=TRUE), VLOOKUP($E1371,PESSOAL!$B$35:$S$45,MONTH($F1371)+6,FALSE)*G1371*24,0)</f>
        <v>0</v>
      </c>
      <c r="O1371" s="89" t="b">
        <f t="shared" si="1"/>
        <v>0</v>
      </c>
      <c r="P1371" s="89" t="b">
        <v>0</v>
      </c>
      <c r="Q1371" s="89" t="e">
        <v>#N/A</v>
      </c>
    </row>
    <row r="1372" hidden="1">
      <c r="A1372" s="108"/>
      <c r="B1372" s="202"/>
      <c r="C1372" s="202" t="str">
        <f>VLOOKUP(M1372,'#verificação horas por projeto'!A:B,2,FALSE)</f>
        <v>#N/A</v>
      </c>
      <c r="D1372" s="202"/>
      <c r="E1372" s="107"/>
      <c r="F1372" s="211"/>
      <c r="G1372" s="226"/>
      <c r="H1372" s="107"/>
      <c r="I1372" s="227"/>
      <c r="J1372" s="227"/>
      <c r="K1372" s="115"/>
      <c r="L1372" s="228"/>
      <c r="M1372" s="107"/>
      <c r="N1372" s="229">
        <f>IF(AND(O1372=TRUE,P1372=TRUE), VLOOKUP($E1372,PESSOAL!$B$35:$S$45,MONTH($F1372)+6,FALSE)*G1372*24,0)</f>
        <v>0</v>
      </c>
      <c r="O1372" s="89" t="b">
        <f t="shared" si="1"/>
        <v>0</v>
      </c>
      <c r="P1372" s="89" t="b">
        <v>0</v>
      </c>
      <c r="Q1372" s="89" t="e">
        <v>#N/A</v>
      </c>
    </row>
    <row r="1373" hidden="1">
      <c r="A1373" s="108"/>
      <c r="B1373" s="202"/>
      <c r="C1373" s="202" t="str">
        <f>VLOOKUP(M1373,'#verificação horas por projeto'!A:B,2,FALSE)</f>
        <v>#N/A</v>
      </c>
      <c r="D1373" s="202"/>
      <c r="E1373" s="107"/>
      <c r="F1373" s="211"/>
      <c r="G1373" s="226"/>
      <c r="H1373" s="107"/>
      <c r="I1373" s="227"/>
      <c r="J1373" s="227"/>
      <c r="K1373" s="115"/>
      <c r="L1373" s="228"/>
      <c r="M1373" s="107"/>
      <c r="N1373" s="229">
        <f>IF(AND(O1373=TRUE,P1373=TRUE), VLOOKUP($E1373,PESSOAL!$B$35:$S$45,MONTH($F1373)+6,FALSE)*G1373*24,0)</f>
        <v>0</v>
      </c>
      <c r="O1373" s="89" t="b">
        <f t="shared" si="1"/>
        <v>0</v>
      </c>
      <c r="P1373" s="89" t="b">
        <v>0</v>
      </c>
      <c r="Q1373" s="89" t="e">
        <v>#N/A</v>
      </c>
    </row>
    <row r="1374" hidden="1">
      <c r="A1374" s="108"/>
      <c r="B1374" s="202"/>
      <c r="C1374" s="202" t="str">
        <f>VLOOKUP(M1374,'#verificação horas por projeto'!A:B,2,FALSE)</f>
        <v>#N/A</v>
      </c>
      <c r="D1374" s="202"/>
      <c r="E1374" s="107"/>
      <c r="F1374" s="211"/>
      <c r="G1374" s="226"/>
      <c r="H1374" s="107"/>
      <c r="I1374" s="227"/>
      <c r="J1374" s="227"/>
      <c r="K1374" s="115"/>
      <c r="L1374" s="228"/>
      <c r="M1374" s="107"/>
      <c r="N1374" s="229">
        <f>IF(AND(O1374=TRUE,P1374=TRUE), VLOOKUP($E1374,PESSOAL!$B$35:$S$45,MONTH($F1374)+6,FALSE)*G1374*24,0)</f>
        <v>0</v>
      </c>
      <c r="O1374" s="89" t="b">
        <f t="shared" si="1"/>
        <v>0</v>
      </c>
      <c r="P1374" s="89" t="b">
        <v>0</v>
      </c>
      <c r="Q1374" s="89" t="e">
        <v>#N/A</v>
      </c>
    </row>
    <row r="1375" hidden="1">
      <c r="A1375" s="108"/>
      <c r="B1375" s="202"/>
      <c r="C1375" s="202" t="str">
        <f>VLOOKUP(M1375,'#verificação horas por projeto'!A:B,2,FALSE)</f>
        <v>#N/A</v>
      </c>
      <c r="D1375" s="202"/>
      <c r="E1375" s="107"/>
      <c r="F1375" s="211"/>
      <c r="G1375" s="226"/>
      <c r="H1375" s="107"/>
      <c r="I1375" s="227"/>
      <c r="J1375" s="227"/>
      <c r="K1375" s="115"/>
      <c r="L1375" s="228"/>
      <c r="M1375" s="107"/>
      <c r="N1375" s="229">
        <f>IF(AND(O1375=TRUE,P1375=TRUE), VLOOKUP($E1375,PESSOAL!$B$35:$S$45,MONTH($F1375)+6,FALSE)*G1375*24,0)</f>
        <v>0</v>
      </c>
      <c r="O1375" s="89" t="b">
        <f t="shared" si="1"/>
        <v>0</v>
      </c>
      <c r="P1375" s="89" t="b">
        <v>0</v>
      </c>
      <c r="Q1375" s="89" t="e">
        <v>#N/A</v>
      </c>
    </row>
    <row r="1376" hidden="1">
      <c r="A1376" s="108"/>
      <c r="B1376" s="202"/>
      <c r="C1376" s="202" t="str">
        <f>VLOOKUP(M1376,'#verificação horas por projeto'!A:B,2,FALSE)</f>
        <v>#N/A</v>
      </c>
      <c r="D1376" s="202"/>
      <c r="E1376" s="107"/>
      <c r="F1376" s="211"/>
      <c r="G1376" s="226"/>
      <c r="H1376" s="107"/>
      <c r="I1376" s="227"/>
      <c r="J1376" s="227"/>
      <c r="K1376" s="115"/>
      <c r="L1376" s="228"/>
      <c r="M1376" s="107"/>
      <c r="N1376" s="229">
        <f>IF(AND(O1376=TRUE,P1376=TRUE), VLOOKUP($E1376,PESSOAL!$B$35:$S$45,MONTH($F1376)+6,FALSE)*G1376*24,0)</f>
        <v>0</v>
      </c>
      <c r="O1376" s="89" t="b">
        <f t="shared" si="1"/>
        <v>0</v>
      </c>
      <c r="P1376" s="89" t="b">
        <v>0</v>
      </c>
      <c r="Q1376" s="89" t="e">
        <v>#N/A</v>
      </c>
    </row>
    <row r="1377" hidden="1">
      <c r="A1377" s="108"/>
      <c r="B1377" s="202"/>
      <c r="C1377" s="202" t="str">
        <f>VLOOKUP(M1377,'#verificação horas por projeto'!A:B,2,FALSE)</f>
        <v>#N/A</v>
      </c>
      <c r="D1377" s="202"/>
      <c r="E1377" s="107"/>
      <c r="F1377" s="211"/>
      <c r="G1377" s="226"/>
      <c r="H1377" s="107"/>
      <c r="I1377" s="227"/>
      <c r="J1377" s="227"/>
      <c r="K1377" s="115"/>
      <c r="L1377" s="228"/>
      <c r="M1377" s="107"/>
      <c r="N1377" s="229">
        <f>IF(AND(O1377=TRUE,P1377=TRUE), VLOOKUP($E1377,PESSOAL!$B$35:$S$45,MONTH($F1377)+6,FALSE)*G1377*24,0)</f>
        <v>0</v>
      </c>
      <c r="O1377" s="89" t="b">
        <f t="shared" si="1"/>
        <v>0</v>
      </c>
      <c r="P1377" s="89" t="b">
        <v>0</v>
      </c>
      <c r="Q1377" s="89" t="e">
        <v>#N/A</v>
      </c>
    </row>
    <row r="1378" hidden="1">
      <c r="A1378" s="108"/>
      <c r="B1378" s="202"/>
      <c r="C1378" s="202" t="str">
        <f>VLOOKUP(M1378,'#verificação horas por projeto'!A:B,2,FALSE)</f>
        <v>#N/A</v>
      </c>
      <c r="D1378" s="202"/>
      <c r="E1378" s="107"/>
      <c r="F1378" s="211"/>
      <c r="G1378" s="226"/>
      <c r="H1378" s="107"/>
      <c r="I1378" s="227"/>
      <c r="J1378" s="227"/>
      <c r="K1378" s="115"/>
      <c r="L1378" s="228"/>
      <c r="M1378" s="107"/>
      <c r="N1378" s="229">
        <f>IF(AND(O1378=TRUE,P1378=TRUE), VLOOKUP($E1378,PESSOAL!$B$35:$S$45,MONTH($F1378)+6,FALSE)*G1378*24,0)</f>
        <v>0</v>
      </c>
      <c r="O1378" s="89" t="b">
        <f t="shared" si="1"/>
        <v>0</v>
      </c>
      <c r="P1378" s="89" t="b">
        <v>0</v>
      </c>
      <c r="Q1378" s="89" t="e">
        <v>#N/A</v>
      </c>
    </row>
    <row r="1379" hidden="1">
      <c r="A1379" s="108"/>
      <c r="B1379" s="202"/>
      <c r="C1379" s="202" t="str">
        <f>VLOOKUP(M1379,'#verificação horas por projeto'!A:B,2,FALSE)</f>
        <v>#N/A</v>
      </c>
      <c r="D1379" s="202"/>
      <c r="E1379" s="107"/>
      <c r="F1379" s="211"/>
      <c r="G1379" s="226"/>
      <c r="H1379" s="107"/>
      <c r="I1379" s="227"/>
      <c r="J1379" s="227"/>
      <c r="K1379" s="115"/>
      <c r="L1379" s="228"/>
      <c r="M1379" s="107"/>
      <c r="N1379" s="229">
        <f>IF(AND(O1379=TRUE,P1379=TRUE), VLOOKUP($E1379,PESSOAL!$B$35:$S$45,MONTH($F1379)+6,FALSE)*G1379*24,0)</f>
        <v>0</v>
      </c>
      <c r="O1379" s="89" t="b">
        <f t="shared" si="1"/>
        <v>0</v>
      </c>
      <c r="P1379" s="89" t="b">
        <v>0</v>
      </c>
      <c r="Q1379" s="89" t="e">
        <v>#N/A</v>
      </c>
    </row>
    <row r="1380" hidden="1">
      <c r="A1380" s="108"/>
      <c r="B1380" s="202"/>
      <c r="C1380" s="202" t="str">
        <f>VLOOKUP(M1380,'#verificação horas por projeto'!A:B,2,FALSE)</f>
        <v>#N/A</v>
      </c>
      <c r="D1380" s="202"/>
      <c r="E1380" s="107"/>
      <c r="F1380" s="211"/>
      <c r="G1380" s="226"/>
      <c r="H1380" s="107"/>
      <c r="I1380" s="227"/>
      <c r="J1380" s="227"/>
      <c r="K1380" s="115"/>
      <c r="L1380" s="228"/>
      <c r="M1380" s="107"/>
      <c r="N1380" s="229">
        <f>IF(AND(O1380=TRUE,P1380=TRUE), VLOOKUP($E1380,PESSOAL!$B$35:$S$45,MONTH($F1380)+6,FALSE)*G1380*24,0)</f>
        <v>0</v>
      </c>
      <c r="O1380" s="89" t="b">
        <f t="shared" si="1"/>
        <v>0</v>
      </c>
      <c r="P1380" s="89" t="b">
        <v>0</v>
      </c>
      <c r="Q1380" s="89" t="e">
        <v>#N/A</v>
      </c>
    </row>
    <row r="1381" hidden="1">
      <c r="A1381" s="108"/>
      <c r="B1381" s="202"/>
      <c r="C1381" s="202" t="str">
        <f>VLOOKUP(M1381,'#verificação horas por projeto'!A:B,2,FALSE)</f>
        <v>#N/A</v>
      </c>
      <c r="D1381" s="202"/>
      <c r="E1381" s="107"/>
      <c r="F1381" s="211"/>
      <c r="G1381" s="226"/>
      <c r="H1381" s="107"/>
      <c r="I1381" s="227"/>
      <c r="J1381" s="227"/>
      <c r="K1381" s="115"/>
      <c r="L1381" s="228"/>
      <c r="M1381" s="107"/>
      <c r="N1381" s="229">
        <f>IF(AND(O1381=TRUE,P1381=TRUE), VLOOKUP($E1381,PESSOAL!$B$35:$S$45,MONTH($F1381)+6,FALSE)*G1381*24,0)</f>
        <v>0</v>
      </c>
      <c r="O1381" s="89" t="b">
        <f t="shared" si="1"/>
        <v>0</v>
      </c>
      <c r="P1381" s="89" t="b">
        <v>0</v>
      </c>
      <c r="Q1381" s="89" t="e">
        <v>#N/A</v>
      </c>
    </row>
    <row r="1382" hidden="1">
      <c r="A1382" s="108"/>
      <c r="B1382" s="202"/>
      <c r="C1382" s="202" t="str">
        <f>VLOOKUP(M1382,'#verificação horas por projeto'!A:B,2,FALSE)</f>
        <v>#N/A</v>
      </c>
      <c r="D1382" s="202"/>
      <c r="E1382" s="107"/>
      <c r="F1382" s="211"/>
      <c r="G1382" s="226"/>
      <c r="H1382" s="107"/>
      <c r="I1382" s="227"/>
      <c r="J1382" s="227"/>
      <c r="K1382" s="115"/>
      <c r="L1382" s="228"/>
      <c r="M1382" s="107"/>
      <c r="N1382" s="229">
        <f>IF(AND(O1382=TRUE,P1382=TRUE), VLOOKUP($E1382,PESSOAL!$B$35:$S$45,MONTH($F1382)+6,FALSE)*G1382*24,0)</f>
        <v>0</v>
      </c>
      <c r="O1382" s="89" t="b">
        <f t="shared" si="1"/>
        <v>0</v>
      </c>
      <c r="P1382" s="89" t="b">
        <v>0</v>
      </c>
      <c r="Q1382" s="89" t="e">
        <v>#N/A</v>
      </c>
    </row>
    <row r="1383" hidden="1">
      <c r="A1383" s="108"/>
      <c r="B1383" s="202"/>
      <c r="C1383" s="202" t="str">
        <f>VLOOKUP(M1383,'#verificação horas por projeto'!A:B,2,FALSE)</f>
        <v>#N/A</v>
      </c>
      <c r="D1383" s="202"/>
      <c r="E1383" s="107"/>
      <c r="F1383" s="211"/>
      <c r="G1383" s="226"/>
      <c r="H1383" s="107"/>
      <c r="I1383" s="227"/>
      <c r="J1383" s="227"/>
      <c r="K1383" s="115"/>
      <c r="L1383" s="228"/>
      <c r="M1383" s="107"/>
      <c r="N1383" s="229">
        <f>IF(AND(O1383=TRUE,P1383=TRUE), VLOOKUP($E1383,PESSOAL!$B$35:$S$45,MONTH($F1383)+6,FALSE)*G1383*24,0)</f>
        <v>0</v>
      </c>
      <c r="O1383" s="89" t="b">
        <f t="shared" si="1"/>
        <v>0</v>
      </c>
      <c r="P1383" s="89" t="b">
        <v>0</v>
      </c>
      <c r="Q1383" s="89" t="e">
        <v>#N/A</v>
      </c>
    </row>
    <row r="1384" hidden="1">
      <c r="A1384" s="108"/>
      <c r="B1384" s="202"/>
      <c r="C1384" s="202" t="str">
        <f>VLOOKUP(M1384,'#verificação horas por projeto'!A:B,2,FALSE)</f>
        <v>#N/A</v>
      </c>
      <c r="D1384" s="202"/>
      <c r="E1384" s="107"/>
      <c r="F1384" s="211"/>
      <c r="G1384" s="226"/>
      <c r="H1384" s="107"/>
      <c r="I1384" s="227"/>
      <c r="J1384" s="227"/>
      <c r="K1384" s="115"/>
      <c r="L1384" s="228"/>
      <c r="M1384" s="107"/>
      <c r="N1384" s="229">
        <f>IF(AND(O1384=TRUE,P1384=TRUE), VLOOKUP($E1384,PESSOAL!$B$35:$S$45,MONTH($F1384)+6,FALSE)*G1384*24,0)</f>
        <v>0</v>
      </c>
      <c r="O1384" s="89" t="b">
        <f t="shared" si="1"/>
        <v>0</v>
      </c>
      <c r="P1384" s="89" t="b">
        <v>0</v>
      </c>
      <c r="Q1384" s="89" t="e">
        <v>#N/A</v>
      </c>
    </row>
    <row r="1385" hidden="1">
      <c r="A1385" s="108"/>
      <c r="B1385" s="202"/>
      <c r="C1385" s="202" t="str">
        <f>VLOOKUP(M1385,'#verificação horas por projeto'!A:B,2,FALSE)</f>
        <v>#N/A</v>
      </c>
      <c r="D1385" s="202"/>
      <c r="E1385" s="107"/>
      <c r="F1385" s="211"/>
      <c r="G1385" s="226"/>
      <c r="H1385" s="107"/>
      <c r="I1385" s="227"/>
      <c r="J1385" s="227"/>
      <c r="K1385" s="115"/>
      <c r="L1385" s="228"/>
      <c r="M1385" s="107"/>
      <c r="N1385" s="229">
        <f>IF(AND(O1385=TRUE,P1385=TRUE), VLOOKUP($E1385,PESSOAL!$B$35:$S$45,MONTH($F1385)+6,FALSE)*G1385*24,0)</f>
        <v>0</v>
      </c>
      <c r="O1385" s="89" t="b">
        <f t="shared" si="1"/>
        <v>0</v>
      </c>
      <c r="P1385" s="89" t="b">
        <v>0</v>
      </c>
      <c r="Q1385" s="89" t="e">
        <v>#N/A</v>
      </c>
    </row>
    <row r="1386" hidden="1">
      <c r="A1386" s="108"/>
      <c r="B1386" s="202"/>
      <c r="C1386" s="202" t="str">
        <f>VLOOKUP(M1386,'#verificação horas por projeto'!A:B,2,FALSE)</f>
        <v>#N/A</v>
      </c>
      <c r="D1386" s="202"/>
      <c r="E1386" s="107"/>
      <c r="F1386" s="211"/>
      <c r="G1386" s="226"/>
      <c r="H1386" s="107"/>
      <c r="I1386" s="227"/>
      <c r="J1386" s="227"/>
      <c r="K1386" s="115"/>
      <c r="L1386" s="228"/>
      <c r="M1386" s="107"/>
      <c r="N1386" s="229">
        <f>IF(AND(O1386=TRUE,P1386=TRUE), VLOOKUP($E1386,PESSOAL!$B$35:$S$45,MONTH($F1386)+6,FALSE)*G1386*24,0)</f>
        <v>0</v>
      </c>
      <c r="O1386" s="89" t="b">
        <f t="shared" si="1"/>
        <v>0</v>
      </c>
      <c r="P1386" s="89" t="b">
        <v>0</v>
      </c>
      <c r="Q1386" s="89" t="e">
        <v>#N/A</v>
      </c>
    </row>
    <row r="1387" hidden="1">
      <c r="A1387" s="108"/>
      <c r="B1387" s="202"/>
      <c r="C1387" s="202" t="str">
        <f>VLOOKUP(M1387,'#verificação horas por projeto'!A:B,2,FALSE)</f>
        <v>#N/A</v>
      </c>
      <c r="D1387" s="202"/>
      <c r="E1387" s="107"/>
      <c r="F1387" s="211"/>
      <c r="G1387" s="226"/>
      <c r="H1387" s="107"/>
      <c r="I1387" s="227"/>
      <c r="J1387" s="227"/>
      <c r="K1387" s="115"/>
      <c r="L1387" s="228"/>
      <c r="M1387" s="107"/>
      <c r="N1387" s="229">
        <f>IF(AND(O1387=TRUE,P1387=TRUE), VLOOKUP($E1387,PESSOAL!$B$35:$S$45,MONTH($F1387)+6,FALSE)*G1387*24,0)</f>
        <v>0</v>
      </c>
      <c r="O1387" s="89" t="b">
        <f t="shared" si="1"/>
        <v>0</v>
      </c>
      <c r="P1387" s="89" t="b">
        <v>0</v>
      </c>
      <c r="Q1387" s="89" t="e">
        <v>#N/A</v>
      </c>
    </row>
    <row r="1388" hidden="1">
      <c r="A1388" s="108"/>
      <c r="B1388" s="202"/>
      <c r="C1388" s="202" t="str">
        <f>VLOOKUP(M1388,'#verificação horas por projeto'!A:B,2,FALSE)</f>
        <v>#N/A</v>
      </c>
      <c r="D1388" s="202"/>
      <c r="E1388" s="107"/>
      <c r="F1388" s="211"/>
      <c r="G1388" s="226"/>
      <c r="H1388" s="107"/>
      <c r="I1388" s="227"/>
      <c r="J1388" s="227"/>
      <c r="K1388" s="115"/>
      <c r="L1388" s="228"/>
      <c r="M1388" s="107"/>
      <c r="N1388" s="229">
        <f>IF(AND(O1388=TRUE,P1388=TRUE), VLOOKUP($E1388,PESSOAL!$B$35:$S$45,MONTH($F1388)+6,FALSE)*G1388*24,0)</f>
        <v>0</v>
      </c>
      <c r="O1388" s="89" t="b">
        <f t="shared" si="1"/>
        <v>0</v>
      </c>
      <c r="P1388" s="89" t="b">
        <v>0</v>
      </c>
      <c r="Q1388" s="89" t="e">
        <v>#N/A</v>
      </c>
    </row>
    <row r="1389" hidden="1">
      <c r="A1389" s="108"/>
      <c r="B1389" s="202"/>
      <c r="C1389" s="202" t="str">
        <f>VLOOKUP(M1389,'#verificação horas por projeto'!A:B,2,FALSE)</f>
        <v>#N/A</v>
      </c>
      <c r="D1389" s="202"/>
      <c r="E1389" s="107"/>
      <c r="F1389" s="211"/>
      <c r="G1389" s="226"/>
      <c r="H1389" s="107"/>
      <c r="I1389" s="227"/>
      <c r="J1389" s="227"/>
      <c r="K1389" s="115"/>
      <c r="L1389" s="228"/>
      <c r="M1389" s="107"/>
      <c r="N1389" s="229">
        <f>IF(AND(O1389=TRUE,P1389=TRUE), VLOOKUP($E1389,PESSOAL!$B$35:$S$45,MONTH($F1389)+6,FALSE)*G1389*24,0)</f>
        <v>0</v>
      </c>
      <c r="O1389" s="89" t="b">
        <f t="shared" si="1"/>
        <v>0</v>
      </c>
      <c r="P1389" s="89" t="b">
        <v>0</v>
      </c>
      <c r="Q1389" s="89" t="e">
        <v>#N/A</v>
      </c>
    </row>
    <row r="1390" hidden="1">
      <c r="A1390" s="108"/>
      <c r="B1390" s="202"/>
      <c r="C1390" s="202" t="str">
        <f>VLOOKUP(M1390,'#verificação horas por projeto'!A:B,2,FALSE)</f>
        <v>#N/A</v>
      </c>
      <c r="D1390" s="202"/>
      <c r="E1390" s="107"/>
      <c r="F1390" s="211"/>
      <c r="G1390" s="226"/>
      <c r="H1390" s="107"/>
      <c r="I1390" s="227"/>
      <c r="J1390" s="227"/>
      <c r="K1390" s="115"/>
      <c r="L1390" s="228"/>
      <c r="M1390" s="107"/>
      <c r="N1390" s="229">
        <f>IF(AND(O1390=TRUE,P1390=TRUE), VLOOKUP($E1390,PESSOAL!$B$35:$S$45,MONTH($F1390)+6,FALSE)*G1390*24,0)</f>
        <v>0</v>
      </c>
      <c r="O1390" s="89" t="b">
        <f t="shared" si="1"/>
        <v>0</v>
      </c>
      <c r="P1390" s="89" t="b">
        <v>0</v>
      </c>
      <c r="Q1390" s="89" t="e">
        <v>#N/A</v>
      </c>
    </row>
    <row r="1391" hidden="1">
      <c r="A1391" s="108"/>
      <c r="B1391" s="202"/>
      <c r="C1391" s="202" t="str">
        <f>VLOOKUP(M1391,'#verificação horas por projeto'!A:B,2,FALSE)</f>
        <v>#N/A</v>
      </c>
      <c r="D1391" s="202"/>
      <c r="E1391" s="107"/>
      <c r="F1391" s="211"/>
      <c r="G1391" s="226"/>
      <c r="H1391" s="107"/>
      <c r="I1391" s="227"/>
      <c r="J1391" s="227"/>
      <c r="K1391" s="115"/>
      <c r="L1391" s="228"/>
      <c r="M1391" s="107"/>
      <c r="N1391" s="229">
        <f>IF(AND(O1391=TRUE,P1391=TRUE), VLOOKUP($E1391,PESSOAL!$B$35:$S$45,MONTH($F1391)+6,FALSE)*G1391*24,0)</f>
        <v>0</v>
      </c>
      <c r="O1391" s="89" t="b">
        <f t="shared" si="1"/>
        <v>0</v>
      </c>
      <c r="P1391" s="89" t="b">
        <v>0</v>
      </c>
      <c r="Q1391" s="89" t="e">
        <v>#N/A</v>
      </c>
    </row>
    <row r="1392" hidden="1">
      <c r="A1392" s="108"/>
      <c r="B1392" s="202"/>
      <c r="C1392" s="202" t="str">
        <f>VLOOKUP(M1392,'#verificação horas por projeto'!A:B,2,FALSE)</f>
        <v>#N/A</v>
      </c>
      <c r="D1392" s="202"/>
      <c r="E1392" s="107"/>
      <c r="F1392" s="211"/>
      <c r="G1392" s="226"/>
      <c r="H1392" s="107"/>
      <c r="I1392" s="227"/>
      <c r="J1392" s="227"/>
      <c r="K1392" s="115"/>
      <c r="L1392" s="228"/>
      <c r="M1392" s="107"/>
      <c r="N1392" s="229">
        <f>IF(AND(O1392=TRUE,P1392=TRUE), VLOOKUP($E1392,PESSOAL!$B$35:$S$45,MONTH($F1392)+6,FALSE)*G1392*24,0)</f>
        <v>0</v>
      </c>
      <c r="O1392" s="89" t="b">
        <f t="shared" si="1"/>
        <v>0</v>
      </c>
      <c r="P1392" s="89" t="b">
        <v>0</v>
      </c>
      <c r="Q1392" s="89" t="e">
        <v>#N/A</v>
      </c>
    </row>
    <row r="1393" hidden="1">
      <c r="A1393" s="108"/>
      <c r="B1393" s="202"/>
      <c r="C1393" s="202" t="str">
        <f>VLOOKUP(M1393,'#verificação horas por projeto'!A:B,2,FALSE)</f>
        <v>#N/A</v>
      </c>
      <c r="D1393" s="202"/>
      <c r="E1393" s="107"/>
      <c r="F1393" s="211"/>
      <c r="G1393" s="226"/>
      <c r="H1393" s="107"/>
      <c r="I1393" s="227"/>
      <c r="J1393" s="227"/>
      <c r="K1393" s="115"/>
      <c r="L1393" s="228"/>
      <c r="M1393" s="107"/>
      <c r="N1393" s="229">
        <f>IF(AND(O1393=TRUE,P1393=TRUE), VLOOKUP($E1393,PESSOAL!$B$35:$S$45,MONTH($F1393)+6,FALSE)*G1393*24,0)</f>
        <v>0</v>
      </c>
      <c r="O1393" s="89" t="b">
        <f t="shared" si="1"/>
        <v>0</v>
      </c>
      <c r="P1393" s="89" t="b">
        <v>0</v>
      </c>
      <c r="Q1393" s="89" t="e">
        <v>#N/A</v>
      </c>
    </row>
    <row r="1394" hidden="1">
      <c r="A1394" s="108"/>
      <c r="B1394" s="202"/>
      <c r="C1394" s="202" t="str">
        <f>VLOOKUP(M1394,'#verificação horas por projeto'!A:B,2,FALSE)</f>
        <v>#N/A</v>
      </c>
      <c r="D1394" s="202"/>
      <c r="E1394" s="107"/>
      <c r="F1394" s="211"/>
      <c r="G1394" s="226"/>
      <c r="H1394" s="107"/>
      <c r="I1394" s="227"/>
      <c r="J1394" s="227"/>
      <c r="K1394" s="115"/>
      <c r="L1394" s="228"/>
      <c r="M1394" s="107"/>
      <c r="N1394" s="229">
        <f>IF(AND(O1394=TRUE,P1394=TRUE), VLOOKUP($E1394,PESSOAL!$B$35:$S$45,MONTH($F1394)+6,FALSE)*G1394*24,0)</f>
        <v>0</v>
      </c>
      <c r="O1394" s="89" t="b">
        <f t="shared" si="1"/>
        <v>0</v>
      </c>
      <c r="P1394" s="89" t="b">
        <v>0</v>
      </c>
      <c r="Q1394" s="89" t="e">
        <v>#N/A</v>
      </c>
    </row>
    <row r="1395" hidden="1">
      <c r="A1395" s="108"/>
      <c r="B1395" s="202"/>
      <c r="C1395" s="202" t="str">
        <f>VLOOKUP(M1395,'#verificação horas por projeto'!A:B,2,FALSE)</f>
        <v>#N/A</v>
      </c>
      <c r="D1395" s="202"/>
      <c r="E1395" s="107"/>
      <c r="F1395" s="211"/>
      <c r="G1395" s="226"/>
      <c r="H1395" s="107"/>
      <c r="I1395" s="227"/>
      <c r="J1395" s="227"/>
      <c r="K1395" s="115"/>
      <c r="L1395" s="228"/>
      <c r="M1395" s="107"/>
      <c r="N1395" s="229">
        <f>IF(AND(O1395=TRUE,P1395=TRUE), VLOOKUP($E1395,PESSOAL!$B$35:$S$45,MONTH($F1395)+6,FALSE)*G1395*24,0)</f>
        <v>0</v>
      </c>
      <c r="O1395" s="89" t="b">
        <f t="shared" si="1"/>
        <v>0</v>
      </c>
      <c r="P1395" s="89" t="b">
        <v>0</v>
      </c>
      <c r="Q1395" s="89" t="e">
        <v>#N/A</v>
      </c>
    </row>
    <row r="1396" hidden="1">
      <c r="A1396" s="108"/>
      <c r="B1396" s="202"/>
      <c r="C1396" s="202" t="str">
        <f>VLOOKUP(M1396,'#verificação horas por projeto'!A:B,2,FALSE)</f>
        <v>#N/A</v>
      </c>
      <c r="D1396" s="202"/>
      <c r="E1396" s="107"/>
      <c r="F1396" s="211"/>
      <c r="G1396" s="226"/>
      <c r="H1396" s="107"/>
      <c r="I1396" s="227"/>
      <c r="J1396" s="227"/>
      <c r="K1396" s="115"/>
      <c r="L1396" s="228"/>
      <c r="M1396" s="107"/>
      <c r="N1396" s="229">
        <f>IF(AND(O1396=TRUE,P1396=TRUE), VLOOKUP($E1396,PESSOAL!$B$35:$S$45,MONTH($F1396)+6,FALSE)*G1396*24,0)</f>
        <v>0</v>
      </c>
      <c r="O1396" s="89" t="b">
        <f t="shared" si="1"/>
        <v>0</v>
      </c>
      <c r="P1396" s="89" t="b">
        <v>0</v>
      </c>
      <c r="Q1396" s="89" t="e">
        <v>#N/A</v>
      </c>
    </row>
    <row r="1397" hidden="1">
      <c r="A1397" s="108"/>
      <c r="B1397" s="202"/>
      <c r="C1397" s="202" t="str">
        <f>VLOOKUP(M1397,'#verificação horas por projeto'!A:B,2,FALSE)</f>
        <v>#N/A</v>
      </c>
      <c r="D1397" s="202"/>
      <c r="E1397" s="107"/>
      <c r="F1397" s="211"/>
      <c r="G1397" s="226"/>
      <c r="H1397" s="107"/>
      <c r="I1397" s="227"/>
      <c r="J1397" s="227"/>
      <c r="K1397" s="115"/>
      <c r="L1397" s="228"/>
      <c r="M1397" s="107"/>
      <c r="N1397" s="229">
        <f>IF(AND(O1397=TRUE,P1397=TRUE), VLOOKUP($E1397,PESSOAL!$B$35:$S$45,MONTH($F1397)+6,FALSE)*G1397*24,0)</f>
        <v>0</v>
      </c>
      <c r="O1397" s="89" t="b">
        <f t="shared" si="1"/>
        <v>0</v>
      </c>
      <c r="P1397" s="89" t="b">
        <v>0</v>
      </c>
      <c r="Q1397" s="89" t="e">
        <v>#N/A</v>
      </c>
    </row>
    <row r="1398" hidden="1">
      <c r="A1398" s="108"/>
      <c r="B1398" s="202"/>
      <c r="C1398" s="202" t="str">
        <f>VLOOKUP(M1398,'#verificação horas por projeto'!A:B,2,FALSE)</f>
        <v>#N/A</v>
      </c>
      <c r="D1398" s="202"/>
      <c r="E1398" s="107"/>
      <c r="F1398" s="211"/>
      <c r="G1398" s="226"/>
      <c r="H1398" s="107"/>
      <c r="I1398" s="227"/>
      <c r="J1398" s="227"/>
      <c r="K1398" s="115"/>
      <c r="L1398" s="228"/>
      <c r="M1398" s="107"/>
      <c r="N1398" s="229">
        <f>IF(AND(O1398=TRUE,P1398=TRUE), VLOOKUP($E1398,PESSOAL!$B$35:$S$45,MONTH($F1398)+6,FALSE)*G1398*24,0)</f>
        <v>0</v>
      </c>
      <c r="O1398" s="89" t="b">
        <f t="shared" si="1"/>
        <v>0</v>
      </c>
      <c r="P1398" s="89" t="b">
        <v>0</v>
      </c>
      <c r="Q1398" s="89" t="e">
        <v>#N/A</v>
      </c>
    </row>
    <row r="1399" hidden="1">
      <c r="A1399" s="108"/>
      <c r="B1399" s="202"/>
      <c r="C1399" s="202" t="str">
        <f>VLOOKUP(M1399,'#verificação horas por projeto'!A:B,2,FALSE)</f>
        <v>#N/A</v>
      </c>
      <c r="D1399" s="202"/>
      <c r="E1399" s="107"/>
      <c r="F1399" s="211"/>
      <c r="G1399" s="226"/>
      <c r="H1399" s="107"/>
      <c r="I1399" s="227"/>
      <c r="J1399" s="227"/>
      <c r="K1399" s="115"/>
      <c r="L1399" s="228"/>
      <c r="M1399" s="107"/>
      <c r="N1399" s="229">
        <f>IF(AND(O1399=TRUE,P1399=TRUE), VLOOKUP($E1399,PESSOAL!$B$35:$S$45,MONTH($F1399)+6,FALSE)*G1399*24,0)</f>
        <v>0</v>
      </c>
      <c r="O1399" s="89" t="b">
        <f t="shared" si="1"/>
        <v>0</v>
      </c>
      <c r="P1399" s="89" t="b">
        <v>0</v>
      </c>
      <c r="Q1399" s="89" t="e">
        <v>#N/A</v>
      </c>
    </row>
    <row r="1400" hidden="1">
      <c r="A1400" s="108"/>
      <c r="B1400" s="202"/>
      <c r="C1400" s="202" t="str">
        <f>VLOOKUP(M1400,'#verificação horas por projeto'!A:B,2,FALSE)</f>
        <v>#N/A</v>
      </c>
      <c r="D1400" s="202"/>
      <c r="E1400" s="107"/>
      <c r="F1400" s="211"/>
      <c r="G1400" s="226"/>
      <c r="H1400" s="107"/>
      <c r="I1400" s="227"/>
      <c r="J1400" s="227"/>
      <c r="K1400" s="115"/>
      <c r="L1400" s="228"/>
      <c r="M1400" s="107"/>
      <c r="N1400" s="229">
        <f>IF(AND(O1400=TRUE,P1400=TRUE), VLOOKUP($E1400,PESSOAL!$B$35:$S$45,MONTH($F1400)+6,FALSE)*G1400*24,0)</f>
        <v>0</v>
      </c>
      <c r="O1400" s="89" t="b">
        <f t="shared" si="1"/>
        <v>0</v>
      </c>
      <c r="P1400" s="89" t="b">
        <v>0</v>
      </c>
      <c r="Q1400" s="89" t="e">
        <v>#N/A</v>
      </c>
    </row>
    <row r="1401" hidden="1">
      <c r="A1401" s="108"/>
      <c r="B1401" s="202"/>
      <c r="C1401" s="202" t="str">
        <f>VLOOKUP(M1401,'#verificação horas por projeto'!A:B,2,FALSE)</f>
        <v>#N/A</v>
      </c>
      <c r="D1401" s="202"/>
      <c r="E1401" s="107"/>
      <c r="F1401" s="211"/>
      <c r="G1401" s="226"/>
      <c r="H1401" s="107"/>
      <c r="I1401" s="227"/>
      <c r="J1401" s="227"/>
      <c r="K1401" s="115"/>
      <c r="L1401" s="228"/>
      <c r="M1401" s="107"/>
      <c r="N1401" s="229">
        <f>IF(AND(O1401=TRUE,P1401=TRUE), VLOOKUP($E1401,PESSOAL!$B$35:$S$45,MONTH($F1401)+6,FALSE)*G1401*24,0)</f>
        <v>0</v>
      </c>
      <c r="O1401" s="89" t="b">
        <f t="shared" si="1"/>
        <v>0</v>
      </c>
      <c r="P1401" s="89" t="b">
        <v>0</v>
      </c>
      <c r="Q1401" s="89" t="e">
        <v>#N/A</v>
      </c>
    </row>
    <row r="1402" hidden="1">
      <c r="A1402" s="108"/>
      <c r="B1402" s="202"/>
      <c r="C1402" s="202" t="str">
        <f>VLOOKUP(M1402,'#verificação horas por projeto'!A:B,2,FALSE)</f>
        <v>#N/A</v>
      </c>
      <c r="D1402" s="202"/>
      <c r="E1402" s="107"/>
      <c r="F1402" s="211"/>
      <c r="G1402" s="226"/>
      <c r="H1402" s="107"/>
      <c r="I1402" s="227"/>
      <c r="J1402" s="227"/>
      <c r="K1402" s="115"/>
      <c r="L1402" s="228"/>
      <c r="M1402" s="107"/>
      <c r="N1402" s="229">
        <f>IF(AND(O1402=TRUE,P1402=TRUE), VLOOKUP($E1402,PESSOAL!$B$35:$S$45,MONTH($F1402)+6,FALSE)*G1402*24,0)</f>
        <v>0</v>
      </c>
      <c r="O1402" s="89" t="b">
        <f t="shared" si="1"/>
        <v>0</v>
      </c>
      <c r="P1402" s="89" t="b">
        <v>0</v>
      </c>
      <c r="Q1402" s="89" t="e">
        <v>#N/A</v>
      </c>
    </row>
    <row r="1403" hidden="1">
      <c r="A1403" s="108"/>
      <c r="B1403" s="202"/>
      <c r="C1403" s="202" t="str">
        <f>VLOOKUP(M1403,'#verificação horas por projeto'!A:B,2,FALSE)</f>
        <v>#N/A</v>
      </c>
      <c r="D1403" s="202"/>
      <c r="E1403" s="107"/>
      <c r="F1403" s="211"/>
      <c r="G1403" s="226"/>
      <c r="H1403" s="107"/>
      <c r="I1403" s="227"/>
      <c r="J1403" s="227"/>
      <c r="K1403" s="115"/>
      <c r="L1403" s="228"/>
      <c r="M1403" s="107"/>
      <c r="N1403" s="229">
        <f>IF(AND(O1403=TRUE,P1403=TRUE), VLOOKUP($E1403,PESSOAL!$B$35:$S$45,MONTH($F1403)+6,FALSE)*G1403*24,0)</f>
        <v>0</v>
      </c>
      <c r="O1403" s="89" t="b">
        <f t="shared" si="1"/>
        <v>0</v>
      </c>
      <c r="P1403" s="89" t="b">
        <v>0</v>
      </c>
      <c r="Q1403" s="89" t="e">
        <v>#N/A</v>
      </c>
    </row>
    <row r="1404" hidden="1">
      <c r="A1404" s="108"/>
      <c r="B1404" s="202"/>
      <c r="C1404" s="202" t="str">
        <f>VLOOKUP(M1404,'#verificação horas por projeto'!A:B,2,FALSE)</f>
        <v>#N/A</v>
      </c>
      <c r="D1404" s="202"/>
      <c r="E1404" s="107"/>
      <c r="F1404" s="211"/>
      <c r="G1404" s="226"/>
      <c r="H1404" s="107"/>
      <c r="I1404" s="227"/>
      <c r="J1404" s="227"/>
      <c r="K1404" s="115"/>
      <c r="L1404" s="228"/>
      <c r="M1404" s="107"/>
      <c r="N1404" s="229">
        <f>IF(AND(O1404=TRUE,P1404=TRUE), VLOOKUP($E1404,PESSOAL!$B$35:$S$45,MONTH($F1404)+6,FALSE)*G1404*24,0)</f>
        <v>0</v>
      </c>
      <c r="O1404" s="89" t="b">
        <f t="shared" si="1"/>
        <v>0</v>
      </c>
      <c r="P1404" s="89" t="b">
        <v>0</v>
      </c>
      <c r="Q1404" s="89" t="e">
        <v>#N/A</v>
      </c>
    </row>
    <row r="1405" hidden="1">
      <c r="A1405" s="108"/>
      <c r="B1405" s="202"/>
      <c r="C1405" s="202" t="str">
        <f>VLOOKUP(M1405,'#verificação horas por projeto'!A:B,2,FALSE)</f>
        <v>#N/A</v>
      </c>
      <c r="D1405" s="202"/>
      <c r="E1405" s="107"/>
      <c r="F1405" s="211"/>
      <c r="G1405" s="226"/>
      <c r="H1405" s="107"/>
      <c r="I1405" s="227"/>
      <c r="J1405" s="227"/>
      <c r="K1405" s="115"/>
      <c r="L1405" s="228"/>
      <c r="M1405" s="107"/>
      <c r="N1405" s="229">
        <f>IF(AND(O1405=TRUE,P1405=TRUE), VLOOKUP($E1405,PESSOAL!$B$35:$S$45,MONTH($F1405)+6,FALSE)*G1405*24,0)</f>
        <v>0</v>
      </c>
      <c r="O1405" s="89" t="b">
        <f t="shared" si="1"/>
        <v>0</v>
      </c>
      <c r="P1405" s="89" t="b">
        <v>0</v>
      </c>
      <c r="Q1405" s="89" t="e">
        <v>#N/A</v>
      </c>
    </row>
    <row r="1406" hidden="1">
      <c r="A1406" s="108"/>
      <c r="B1406" s="202"/>
      <c r="C1406" s="202" t="str">
        <f>VLOOKUP(M1406,'#verificação horas por projeto'!A:B,2,FALSE)</f>
        <v>#N/A</v>
      </c>
      <c r="D1406" s="202"/>
      <c r="E1406" s="107"/>
      <c r="F1406" s="211"/>
      <c r="G1406" s="226"/>
      <c r="H1406" s="107"/>
      <c r="I1406" s="227"/>
      <c r="J1406" s="227"/>
      <c r="K1406" s="115"/>
      <c r="L1406" s="228"/>
      <c r="M1406" s="107"/>
      <c r="N1406" s="229">
        <f>IF(AND(O1406=TRUE,P1406=TRUE), VLOOKUP($E1406,PESSOAL!$B$35:$S$45,MONTH($F1406)+6,FALSE)*G1406*24,0)</f>
        <v>0</v>
      </c>
      <c r="O1406" s="89" t="b">
        <f t="shared" si="1"/>
        <v>0</v>
      </c>
      <c r="P1406" s="89" t="b">
        <v>0</v>
      </c>
      <c r="Q1406" s="89" t="e">
        <v>#N/A</v>
      </c>
    </row>
    <row r="1407" hidden="1">
      <c r="A1407" s="108"/>
      <c r="B1407" s="202"/>
      <c r="C1407" s="202" t="str">
        <f>VLOOKUP(M1407,'#verificação horas por projeto'!A:B,2,FALSE)</f>
        <v>#N/A</v>
      </c>
      <c r="D1407" s="202"/>
      <c r="E1407" s="107"/>
      <c r="F1407" s="211"/>
      <c r="G1407" s="226"/>
      <c r="H1407" s="107"/>
      <c r="I1407" s="227"/>
      <c r="J1407" s="227"/>
      <c r="K1407" s="115"/>
      <c r="L1407" s="228"/>
      <c r="M1407" s="107"/>
      <c r="N1407" s="229">
        <f>IF(AND(O1407=TRUE,P1407=TRUE), VLOOKUP($E1407,PESSOAL!$B$35:$S$45,MONTH($F1407)+6,FALSE)*G1407*24,0)</f>
        <v>0</v>
      </c>
      <c r="O1407" s="89" t="b">
        <f t="shared" si="1"/>
        <v>0</v>
      </c>
      <c r="P1407" s="89" t="b">
        <v>0</v>
      </c>
      <c r="Q1407" s="89" t="e">
        <v>#N/A</v>
      </c>
    </row>
    <row r="1408" hidden="1">
      <c r="A1408" s="108"/>
      <c r="B1408" s="202"/>
      <c r="C1408" s="202" t="str">
        <f>VLOOKUP(M1408,'#verificação horas por projeto'!A:B,2,FALSE)</f>
        <v>#N/A</v>
      </c>
      <c r="D1408" s="202"/>
      <c r="E1408" s="107"/>
      <c r="F1408" s="211"/>
      <c r="G1408" s="226"/>
      <c r="H1408" s="107"/>
      <c r="I1408" s="227"/>
      <c r="J1408" s="227"/>
      <c r="K1408" s="115"/>
      <c r="L1408" s="228"/>
      <c r="M1408" s="107"/>
      <c r="N1408" s="229">
        <f>IF(AND(O1408=TRUE,P1408=TRUE), VLOOKUP($E1408,PESSOAL!$B$35:$S$45,MONTH($F1408)+6,FALSE)*G1408*24,0)</f>
        <v>0</v>
      </c>
      <c r="O1408" s="89" t="b">
        <f t="shared" si="1"/>
        <v>0</v>
      </c>
      <c r="P1408" s="89" t="b">
        <v>0</v>
      </c>
      <c r="Q1408" s="89" t="e">
        <v>#N/A</v>
      </c>
    </row>
    <row r="1409" hidden="1">
      <c r="A1409" s="108"/>
      <c r="B1409" s="202"/>
      <c r="C1409" s="202" t="str">
        <f>VLOOKUP(M1409,'#verificação horas por projeto'!A:B,2,FALSE)</f>
        <v>#N/A</v>
      </c>
      <c r="D1409" s="202"/>
      <c r="E1409" s="107"/>
      <c r="F1409" s="211"/>
      <c r="G1409" s="226"/>
      <c r="H1409" s="107"/>
      <c r="I1409" s="227"/>
      <c r="J1409" s="227"/>
      <c r="K1409" s="115"/>
      <c r="L1409" s="228"/>
      <c r="M1409" s="107"/>
      <c r="N1409" s="229">
        <f>IF(AND(O1409=TRUE,P1409=TRUE), VLOOKUP($E1409,PESSOAL!$B$35:$S$45,MONTH($F1409)+6,FALSE)*G1409*24,0)</f>
        <v>0</v>
      </c>
      <c r="O1409" s="89" t="b">
        <f t="shared" si="1"/>
        <v>0</v>
      </c>
      <c r="P1409" s="89" t="b">
        <v>0</v>
      </c>
      <c r="Q1409" s="89" t="e">
        <v>#N/A</v>
      </c>
    </row>
    <row r="1410" hidden="1">
      <c r="A1410" s="108"/>
      <c r="B1410" s="202"/>
      <c r="C1410" s="202" t="str">
        <f>VLOOKUP(M1410,'#verificação horas por projeto'!A:B,2,FALSE)</f>
        <v>#N/A</v>
      </c>
      <c r="D1410" s="202"/>
      <c r="E1410" s="107"/>
      <c r="F1410" s="211"/>
      <c r="G1410" s="226"/>
      <c r="H1410" s="107"/>
      <c r="I1410" s="227"/>
      <c r="J1410" s="227"/>
      <c r="K1410" s="115"/>
      <c r="L1410" s="228"/>
      <c r="M1410" s="107"/>
      <c r="N1410" s="229">
        <f>IF(AND(O1410=TRUE,P1410=TRUE), VLOOKUP($E1410,PESSOAL!$B$35:$S$45,MONTH($F1410)+6,FALSE)*G1410*24,0)</f>
        <v>0</v>
      </c>
      <c r="O1410" s="89" t="b">
        <f t="shared" si="1"/>
        <v>0</v>
      </c>
      <c r="P1410" s="89" t="b">
        <v>0</v>
      </c>
      <c r="Q1410" s="89" t="e">
        <v>#N/A</v>
      </c>
    </row>
    <row r="1411" hidden="1">
      <c r="A1411" s="108"/>
      <c r="B1411" s="202"/>
      <c r="C1411" s="202" t="str">
        <f>VLOOKUP(M1411,'#verificação horas por projeto'!A:B,2,FALSE)</f>
        <v>#N/A</v>
      </c>
      <c r="D1411" s="202"/>
      <c r="E1411" s="107"/>
      <c r="F1411" s="211"/>
      <c r="G1411" s="226"/>
      <c r="H1411" s="107"/>
      <c r="I1411" s="227"/>
      <c r="J1411" s="227"/>
      <c r="K1411" s="115"/>
      <c r="L1411" s="228"/>
      <c r="M1411" s="107"/>
      <c r="N1411" s="229">
        <f>IF(AND(O1411=TRUE,P1411=TRUE), VLOOKUP($E1411,PESSOAL!$B$35:$S$45,MONTH($F1411)+6,FALSE)*G1411*24,0)</f>
        <v>0</v>
      </c>
      <c r="O1411" s="89" t="b">
        <f t="shared" si="1"/>
        <v>0</v>
      </c>
      <c r="P1411" s="89" t="b">
        <v>0</v>
      </c>
      <c r="Q1411" s="89" t="e">
        <v>#N/A</v>
      </c>
    </row>
    <row r="1412" hidden="1">
      <c r="A1412" s="108"/>
      <c r="B1412" s="202"/>
      <c r="C1412" s="202" t="str">
        <f>VLOOKUP(M1412,'#verificação horas por projeto'!A:B,2,FALSE)</f>
        <v>#N/A</v>
      </c>
      <c r="D1412" s="202"/>
      <c r="E1412" s="107"/>
      <c r="F1412" s="211"/>
      <c r="G1412" s="226"/>
      <c r="H1412" s="107"/>
      <c r="I1412" s="227"/>
      <c r="J1412" s="227"/>
      <c r="K1412" s="115"/>
      <c r="L1412" s="228"/>
      <c r="M1412" s="107"/>
      <c r="N1412" s="229">
        <f>IF(AND(O1412=TRUE,P1412=TRUE), VLOOKUP($E1412,PESSOAL!$B$35:$S$45,MONTH($F1412)+6,FALSE)*G1412*24,0)</f>
        <v>0</v>
      </c>
      <c r="O1412" s="89" t="b">
        <f t="shared" si="1"/>
        <v>0</v>
      </c>
      <c r="P1412" s="89" t="b">
        <v>0</v>
      </c>
      <c r="Q1412" s="89" t="e">
        <v>#N/A</v>
      </c>
    </row>
    <row r="1413" hidden="1">
      <c r="A1413" s="108"/>
      <c r="B1413" s="202"/>
      <c r="C1413" s="202" t="str">
        <f>VLOOKUP(M1413,'#verificação horas por projeto'!A:B,2,FALSE)</f>
        <v>#N/A</v>
      </c>
      <c r="D1413" s="202"/>
      <c r="E1413" s="107"/>
      <c r="F1413" s="211"/>
      <c r="G1413" s="226"/>
      <c r="H1413" s="107"/>
      <c r="I1413" s="227"/>
      <c r="J1413" s="227"/>
      <c r="K1413" s="115"/>
      <c r="L1413" s="228"/>
      <c r="M1413" s="107"/>
      <c r="N1413" s="229">
        <f>IF(AND(O1413=TRUE,P1413=TRUE), VLOOKUP($E1413,PESSOAL!$B$35:$S$45,MONTH($F1413)+6,FALSE)*G1413*24,0)</f>
        <v>0</v>
      </c>
      <c r="O1413" s="89" t="b">
        <f t="shared" si="1"/>
        <v>0</v>
      </c>
      <c r="P1413" s="89" t="b">
        <v>0</v>
      </c>
      <c r="Q1413" s="89" t="e">
        <v>#N/A</v>
      </c>
    </row>
    <row r="1414" hidden="1">
      <c r="A1414" s="108"/>
      <c r="B1414" s="202"/>
      <c r="C1414" s="202" t="str">
        <f>VLOOKUP(M1414,'#verificação horas por projeto'!A:B,2,FALSE)</f>
        <v>#N/A</v>
      </c>
      <c r="D1414" s="202"/>
      <c r="E1414" s="107"/>
      <c r="F1414" s="211"/>
      <c r="G1414" s="226"/>
      <c r="H1414" s="107"/>
      <c r="I1414" s="227"/>
      <c r="J1414" s="227"/>
      <c r="K1414" s="115"/>
      <c r="L1414" s="228"/>
      <c r="M1414" s="107"/>
      <c r="N1414" s="229">
        <f>IF(AND(O1414=TRUE,P1414=TRUE), VLOOKUP($E1414,PESSOAL!$B$35:$S$45,MONTH($F1414)+6,FALSE)*G1414*24,0)</f>
        <v>0</v>
      </c>
      <c r="O1414" s="89" t="b">
        <f t="shared" si="1"/>
        <v>0</v>
      </c>
      <c r="P1414" s="89" t="b">
        <v>0</v>
      </c>
      <c r="Q1414" s="89" t="e">
        <v>#N/A</v>
      </c>
    </row>
    <row r="1415" hidden="1">
      <c r="A1415" s="108"/>
      <c r="B1415" s="202"/>
      <c r="C1415" s="202" t="str">
        <f>VLOOKUP(M1415,'#verificação horas por projeto'!A:B,2,FALSE)</f>
        <v>#N/A</v>
      </c>
      <c r="D1415" s="202"/>
      <c r="E1415" s="107"/>
      <c r="F1415" s="211"/>
      <c r="G1415" s="226"/>
      <c r="H1415" s="107"/>
      <c r="I1415" s="227"/>
      <c r="J1415" s="227"/>
      <c r="K1415" s="115"/>
      <c r="L1415" s="228"/>
      <c r="M1415" s="107"/>
      <c r="N1415" s="229">
        <f>IF(AND(O1415=TRUE,P1415=TRUE), VLOOKUP($E1415,PESSOAL!$B$35:$S$45,MONTH($F1415)+6,FALSE)*G1415*24,0)</f>
        <v>0</v>
      </c>
      <c r="O1415" s="89" t="b">
        <f t="shared" si="1"/>
        <v>0</v>
      </c>
      <c r="P1415" s="89" t="b">
        <v>0</v>
      </c>
      <c r="Q1415" s="89" t="e">
        <v>#N/A</v>
      </c>
    </row>
    <row r="1416" hidden="1">
      <c r="A1416" s="108"/>
      <c r="B1416" s="202"/>
      <c r="C1416" s="202" t="str">
        <f>VLOOKUP(M1416,'#verificação horas por projeto'!A:B,2,FALSE)</f>
        <v>#N/A</v>
      </c>
      <c r="D1416" s="202"/>
      <c r="E1416" s="107"/>
      <c r="F1416" s="211"/>
      <c r="G1416" s="226"/>
      <c r="H1416" s="107"/>
      <c r="I1416" s="227"/>
      <c r="J1416" s="227"/>
      <c r="K1416" s="115"/>
      <c r="L1416" s="228"/>
      <c r="M1416" s="107"/>
      <c r="N1416" s="229">
        <f>IF(AND(O1416=TRUE,P1416=TRUE), VLOOKUP($E1416,PESSOAL!$B$35:$S$45,MONTH($F1416)+6,FALSE)*G1416*24,0)</f>
        <v>0</v>
      </c>
      <c r="O1416" s="89" t="b">
        <f t="shared" si="1"/>
        <v>0</v>
      </c>
      <c r="P1416" s="89" t="b">
        <v>0</v>
      </c>
      <c r="Q1416" s="89" t="e">
        <v>#N/A</v>
      </c>
    </row>
    <row r="1417" hidden="1">
      <c r="A1417" s="108"/>
      <c r="B1417" s="202"/>
      <c r="C1417" s="202" t="str">
        <f>VLOOKUP(M1417,'#verificação horas por projeto'!A:B,2,FALSE)</f>
        <v>#N/A</v>
      </c>
      <c r="D1417" s="202"/>
      <c r="E1417" s="107"/>
      <c r="F1417" s="211"/>
      <c r="G1417" s="226"/>
      <c r="H1417" s="107"/>
      <c r="I1417" s="227"/>
      <c r="J1417" s="227"/>
      <c r="K1417" s="115"/>
      <c r="L1417" s="228"/>
      <c r="M1417" s="107"/>
      <c r="N1417" s="229">
        <f>IF(AND(O1417=TRUE,P1417=TRUE), VLOOKUP($E1417,PESSOAL!$B$35:$S$45,MONTH($F1417)+6,FALSE)*G1417*24,0)</f>
        <v>0</v>
      </c>
      <c r="O1417" s="89" t="b">
        <f t="shared" si="1"/>
        <v>0</v>
      </c>
      <c r="P1417" s="89" t="b">
        <v>0</v>
      </c>
      <c r="Q1417" s="89" t="e">
        <v>#N/A</v>
      </c>
    </row>
    <row r="1418" hidden="1">
      <c r="A1418" s="108"/>
      <c r="B1418" s="202"/>
      <c r="C1418" s="202" t="str">
        <f>VLOOKUP(M1418,'#verificação horas por projeto'!A:B,2,FALSE)</f>
        <v>#N/A</v>
      </c>
      <c r="D1418" s="202"/>
      <c r="E1418" s="107"/>
      <c r="F1418" s="211"/>
      <c r="G1418" s="226"/>
      <c r="H1418" s="107"/>
      <c r="I1418" s="227"/>
      <c r="J1418" s="227"/>
      <c r="K1418" s="115"/>
      <c r="L1418" s="228"/>
      <c r="M1418" s="107"/>
      <c r="N1418" s="229">
        <f>IF(AND(O1418=TRUE,P1418=TRUE), VLOOKUP($E1418,PESSOAL!$B$35:$S$45,MONTH($F1418)+6,FALSE)*G1418*24,0)</f>
        <v>0</v>
      </c>
      <c r="O1418" s="89" t="b">
        <f t="shared" si="1"/>
        <v>0</v>
      </c>
      <c r="P1418" s="89" t="b">
        <v>0</v>
      </c>
      <c r="Q1418" s="89" t="e">
        <v>#N/A</v>
      </c>
    </row>
    <row r="1419" hidden="1">
      <c r="A1419" s="108"/>
      <c r="B1419" s="202"/>
      <c r="C1419" s="202" t="str">
        <f>VLOOKUP(M1419,'#verificação horas por projeto'!A:B,2,FALSE)</f>
        <v>#N/A</v>
      </c>
      <c r="D1419" s="202"/>
      <c r="E1419" s="107"/>
      <c r="F1419" s="211"/>
      <c r="G1419" s="226"/>
      <c r="H1419" s="107"/>
      <c r="I1419" s="227"/>
      <c r="J1419" s="227"/>
      <c r="K1419" s="115"/>
      <c r="L1419" s="228"/>
      <c r="M1419" s="107"/>
      <c r="N1419" s="229">
        <f>IF(AND(O1419=TRUE,P1419=TRUE), VLOOKUP($E1419,PESSOAL!$B$35:$S$45,MONTH($F1419)+6,FALSE)*G1419*24,0)</f>
        <v>0</v>
      </c>
      <c r="O1419" s="89" t="b">
        <f t="shared" si="1"/>
        <v>0</v>
      </c>
      <c r="P1419" s="89" t="b">
        <v>0</v>
      </c>
      <c r="Q1419" s="89" t="e">
        <v>#N/A</v>
      </c>
    </row>
    <row r="1420" hidden="1">
      <c r="A1420" s="108"/>
      <c r="B1420" s="202"/>
      <c r="C1420" s="202" t="str">
        <f>VLOOKUP(M1420,'#verificação horas por projeto'!A:B,2,FALSE)</f>
        <v>#N/A</v>
      </c>
      <c r="D1420" s="202"/>
      <c r="E1420" s="107"/>
      <c r="F1420" s="211"/>
      <c r="G1420" s="226"/>
      <c r="H1420" s="107"/>
      <c r="I1420" s="227"/>
      <c r="J1420" s="227"/>
      <c r="K1420" s="115"/>
      <c r="L1420" s="228"/>
      <c r="M1420" s="107"/>
      <c r="N1420" s="229">
        <f>IF(AND(O1420=TRUE,P1420=TRUE), VLOOKUP($E1420,PESSOAL!$B$35:$S$45,MONTH($F1420)+6,FALSE)*G1420*24,0)</f>
        <v>0</v>
      </c>
      <c r="O1420" s="89" t="b">
        <f t="shared" si="1"/>
        <v>0</v>
      </c>
      <c r="P1420" s="89" t="b">
        <v>0</v>
      </c>
      <c r="Q1420" s="89" t="e">
        <v>#N/A</v>
      </c>
    </row>
    <row r="1421" hidden="1">
      <c r="A1421" s="108"/>
      <c r="B1421" s="202"/>
      <c r="C1421" s="202" t="str">
        <f>VLOOKUP(M1421,'#verificação horas por projeto'!A:B,2,FALSE)</f>
        <v>#N/A</v>
      </c>
      <c r="D1421" s="202"/>
      <c r="E1421" s="107"/>
      <c r="F1421" s="211"/>
      <c r="G1421" s="226"/>
      <c r="H1421" s="107"/>
      <c r="I1421" s="227"/>
      <c r="J1421" s="227"/>
      <c r="K1421" s="115"/>
      <c r="L1421" s="228"/>
      <c r="M1421" s="107"/>
      <c r="N1421" s="229">
        <f>IF(AND(O1421=TRUE,P1421=TRUE), VLOOKUP($E1421,PESSOAL!$B$35:$S$45,MONTH($F1421)+6,FALSE)*G1421*24,0)</f>
        <v>0</v>
      </c>
      <c r="O1421" s="89" t="b">
        <f t="shared" si="1"/>
        <v>0</v>
      </c>
      <c r="P1421" s="89" t="b">
        <v>0</v>
      </c>
      <c r="Q1421" s="89" t="e">
        <v>#N/A</v>
      </c>
    </row>
    <row r="1422" hidden="1">
      <c r="A1422" s="108"/>
      <c r="B1422" s="202"/>
      <c r="C1422" s="202" t="str">
        <f>VLOOKUP(M1422,'#verificação horas por projeto'!A:B,2,FALSE)</f>
        <v>#N/A</v>
      </c>
      <c r="D1422" s="202"/>
      <c r="E1422" s="107"/>
      <c r="F1422" s="211"/>
      <c r="G1422" s="226"/>
      <c r="H1422" s="107"/>
      <c r="I1422" s="227"/>
      <c r="J1422" s="227"/>
      <c r="K1422" s="115"/>
      <c r="L1422" s="228"/>
      <c r="M1422" s="107"/>
      <c r="N1422" s="229">
        <f>IF(AND(O1422=TRUE,P1422=TRUE), VLOOKUP($E1422,PESSOAL!$B$35:$S$45,MONTH($F1422)+6,FALSE)*G1422*24,0)</f>
        <v>0</v>
      </c>
      <c r="O1422" s="89" t="b">
        <f t="shared" si="1"/>
        <v>0</v>
      </c>
      <c r="P1422" s="89" t="b">
        <v>0</v>
      </c>
      <c r="Q1422" s="89" t="e">
        <v>#N/A</v>
      </c>
    </row>
    <row r="1423" hidden="1">
      <c r="A1423" s="108"/>
      <c r="B1423" s="202"/>
      <c r="C1423" s="202" t="str">
        <f>VLOOKUP(M1423,'#verificação horas por projeto'!A:B,2,FALSE)</f>
        <v>#N/A</v>
      </c>
      <c r="D1423" s="202"/>
      <c r="E1423" s="107"/>
      <c r="F1423" s="211"/>
      <c r="G1423" s="226"/>
      <c r="H1423" s="107"/>
      <c r="I1423" s="227"/>
      <c r="J1423" s="227"/>
      <c r="K1423" s="115"/>
      <c r="L1423" s="228"/>
      <c r="M1423" s="107"/>
      <c r="N1423" s="229">
        <f>IF(AND(O1423=TRUE,P1423=TRUE), VLOOKUP($E1423,PESSOAL!$B$35:$S$45,MONTH($F1423)+6,FALSE)*G1423*24,0)</f>
        <v>0</v>
      </c>
      <c r="O1423" s="89" t="b">
        <f t="shared" si="1"/>
        <v>0</v>
      </c>
      <c r="P1423" s="89" t="b">
        <v>0</v>
      </c>
      <c r="Q1423" s="89" t="e">
        <v>#N/A</v>
      </c>
    </row>
    <row r="1424" hidden="1">
      <c r="A1424" s="108"/>
      <c r="B1424" s="202"/>
      <c r="C1424" s="202" t="str">
        <f>VLOOKUP(M1424,'#verificação horas por projeto'!A:B,2,FALSE)</f>
        <v>#N/A</v>
      </c>
      <c r="D1424" s="202"/>
      <c r="E1424" s="107"/>
      <c r="F1424" s="211"/>
      <c r="G1424" s="226"/>
      <c r="H1424" s="107"/>
      <c r="I1424" s="227"/>
      <c r="J1424" s="227"/>
      <c r="K1424" s="115"/>
      <c r="L1424" s="228"/>
      <c r="M1424" s="107"/>
      <c r="N1424" s="229">
        <f>IF(AND(O1424=TRUE,P1424=TRUE), VLOOKUP($E1424,PESSOAL!$B$35:$S$45,MONTH($F1424)+6,FALSE)*G1424*24,0)</f>
        <v>0</v>
      </c>
      <c r="O1424" s="89" t="b">
        <f t="shared" si="1"/>
        <v>0</v>
      </c>
      <c r="P1424" s="89" t="b">
        <v>0</v>
      </c>
      <c r="Q1424" s="89" t="e">
        <v>#N/A</v>
      </c>
    </row>
    <row r="1425" hidden="1">
      <c r="A1425" s="108"/>
      <c r="B1425" s="202"/>
      <c r="C1425" s="202" t="str">
        <f>VLOOKUP(M1425,'#verificação horas por projeto'!A:B,2,FALSE)</f>
        <v>#N/A</v>
      </c>
      <c r="D1425" s="202"/>
      <c r="E1425" s="107"/>
      <c r="F1425" s="211"/>
      <c r="G1425" s="226"/>
      <c r="H1425" s="107"/>
      <c r="I1425" s="227"/>
      <c r="J1425" s="227"/>
      <c r="K1425" s="115"/>
      <c r="L1425" s="228"/>
      <c r="M1425" s="107"/>
      <c r="N1425" s="229">
        <f>IF(AND(O1425=TRUE,P1425=TRUE), VLOOKUP($E1425,PESSOAL!$B$35:$S$45,MONTH($F1425)+6,FALSE)*G1425*24,0)</f>
        <v>0</v>
      </c>
      <c r="O1425" s="89" t="b">
        <f t="shared" si="1"/>
        <v>0</v>
      </c>
      <c r="P1425" s="89" t="b">
        <v>0</v>
      </c>
      <c r="Q1425" s="89" t="e">
        <v>#N/A</v>
      </c>
    </row>
    <row r="1426" hidden="1">
      <c r="A1426" s="108"/>
      <c r="B1426" s="202"/>
      <c r="C1426" s="202" t="str">
        <f>VLOOKUP(M1426,'#verificação horas por projeto'!A:B,2,FALSE)</f>
        <v>#N/A</v>
      </c>
      <c r="D1426" s="202"/>
      <c r="E1426" s="107"/>
      <c r="F1426" s="211"/>
      <c r="G1426" s="226"/>
      <c r="H1426" s="107"/>
      <c r="I1426" s="227"/>
      <c r="J1426" s="227"/>
      <c r="K1426" s="115"/>
      <c r="L1426" s="228"/>
      <c r="M1426" s="107"/>
      <c r="N1426" s="229">
        <f>IF(AND(O1426=TRUE,P1426=TRUE), VLOOKUP($E1426,PESSOAL!$B$35:$S$45,MONTH($F1426)+6,FALSE)*G1426*24,0)</f>
        <v>0</v>
      </c>
      <c r="O1426" s="89" t="b">
        <f t="shared" si="1"/>
        <v>0</v>
      </c>
      <c r="P1426" s="89" t="b">
        <v>0</v>
      </c>
      <c r="Q1426" s="89" t="e">
        <v>#N/A</v>
      </c>
    </row>
    <row r="1427" hidden="1">
      <c r="A1427" s="108"/>
      <c r="B1427" s="202"/>
      <c r="C1427" s="202" t="str">
        <f>VLOOKUP(M1427,'#verificação horas por projeto'!A:B,2,FALSE)</f>
        <v>#N/A</v>
      </c>
      <c r="D1427" s="202"/>
      <c r="E1427" s="107"/>
      <c r="F1427" s="211"/>
      <c r="G1427" s="226"/>
      <c r="H1427" s="107"/>
      <c r="I1427" s="227"/>
      <c r="J1427" s="227"/>
      <c r="K1427" s="115"/>
      <c r="L1427" s="228"/>
      <c r="M1427" s="107"/>
      <c r="N1427" s="229">
        <f>IF(AND(O1427=TRUE,P1427=TRUE), VLOOKUP($E1427,PESSOAL!$B$35:$S$45,MONTH($F1427)+6,FALSE)*G1427*24,0)</f>
        <v>0</v>
      </c>
      <c r="O1427" s="89" t="b">
        <f t="shared" si="1"/>
        <v>0</v>
      </c>
      <c r="P1427" s="89" t="b">
        <v>0</v>
      </c>
      <c r="Q1427" s="89" t="e">
        <v>#N/A</v>
      </c>
    </row>
    <row r="1428" hidden="1">
      <c r="A1428" s="108"/>
      <c r="B1428" s="202"/>
      <c r="C1428" s="202" t="str">
        <f>VLOOKUP(M1428,'#verificação horas por projeto'!A:B,2,FALSE)</f>
        <v>#N/A</v>
      </c>
      <c r="D1428" s="202"/>
      <c r="E1428" s="107"/>
      <c r="F1428" s="211"/>
      <c r="G1428" s="226"/>
      <c r="H1428" s="107"/>
      <c r="I1428" s="227"/>
      <c r="J1428" s="227"/>
      <c r="K1428" s="115"/>
      <c r="L1428" s="228"/>
      <c r="M1428" s="107"/>
      <c r="N1428" s="229">
        <f>IF(AND(O1428=TRUE,P1428=TRUE), VLOOKUP($E1428,PESSOAL!$B$35:$S$45,MONTH($F1428)+6,FALSE)*G1428*24,0)</f>
        <v>0</v>
      </c>
      <c r="O1428" s="89" t="b">
        <f t="shared" si="1"/>
        <v>0</v>
      </c>
      <c r="P1428" s="89" t="b">
        <v>0</v>
      </c>
      <c r="Q1428" s="89" t="e">
        <v>#N/A</v>
      </c>
    </row>
    <row r="1429" hidden="1">
      <c r="A1429" s="108"/>
      <c r="B1429" s="202"/>
      <c r="C1429" s="202" t="str">
        <f>VLOOKUP(M1429,'#verificação horas por projeto'!A:B,2,FALSE)</f>
        <v>#N/A</v>
      </c>
      <c r="D1429" s="202"/>
      <c r="E1429" s="107"/>
      <c r="F1429" s="211"/>
      <c r="G1429" s="226"/>
      <c r="H1429" s="107"/>
      <c r="I1429" s="227"/>
      <c r="J1429" s="227"/>
      <c r="K1429" s="115"/>
      <c r="L1429" s="228"/>
      <c r="M1429" s="107"/>
      <c r="N1429" s="229">
        <f>IF(AND(O1429=TRUE,P1429=TRUE), VLOOKUP($E1429,PESSOAL!$B$35:$S$45,MONTH($F1429)+6,FALSE)*G1429*24,0)</f>
        <v>0</v>
      </c>
      <c r="O1429" s="89" t="b">
        <f t="shared" si="1"/>
        <v>0</v>
      </c>
      <c r="P1429" s="89" t="b">
        <v>0</v>
      </c>
      <c r="Q1429" s="89" t="e">
        <v>#N/A</v>
      </c>
    </row>
    <row r="1430" hidden="1">
      <c r="A1430" s="108"/>
      <c r="B1430" s="202"/>
      <c r="C1430" s="202" t="str">
        <f>VLOOKUP(M1430,'#verificação horas por projeto'!A:B,2,FALSE)</f>
        <v>#N/A</v>
      </c>
      <c r="D1430" s="202"/>
      <c r="E1430" s="107"/>
      <c r="F1430" s="211"/>
      <c r="G1430" s="226"/>
      <c r="H1430" s="107"/>
      <c r="I1430" s="227"/>
      <c r="J1430" s="227"/>
      <c r="K1430" s="115"/>
      <c r="L1430" s="228"/>
      <c r="M1430" s="107"/>
      <c r="N1430" s="229">
        <f>IF(AND(O1430=TRUE,P1430=TRUE), VLOOKUP($E1430,PESSOAL!$B$35:$S$45,MONTH($F1430)+6,FALSE)*G1430*24,0)</f>
        <v>0</v>
      </c>
      <c r="O1430" s="89" t="b">
        <f t="shared" si="1"/>
        <v>0</v>
      </c>
      <c r="P1430" s="89" t="b">
        <v>0</v>
      </c>
      <c r="Q1430" s="89" t="e">
        <v>#N/A</v>
      </c>
    </row>
    <row r="1431" hidden="1">
      <c r="A1431" s="108"/>
      <c r="B1431" s="202"/>
      <c r="C1431" s="202" t="str">
        <f>VLOOKUP(M1431,'#verificação horas por projeto'!A:B,2,FALSE)</f>
        <v>#N/A</v>
      </c>
      <c r="D1431" s="202"/>
      <c r="E1431" s="107"/>
      <c r="F1431" s="211"/>
      <c r="G1431" s="226"/>
      <c r="H1431" s="107"/>
      <c r="I1431" s="227"/>
      <c r="J1431" s="227"/>
      <c r="K1431" s="115"/>
      <c r="L1431" s="228"/>
      <c r="M1431" s="107"/>
      <c r="N1431" s="229">
        <f>IF(AND(O1431=TRUE,P1431=TRUE), VLOOKUP($E1431,PESSOAL!$B$35:$S$45,MONTH($F1431)+6,FALSE)*G1431*24,0)</f>
        <v>0</v>
      </c>
      <c r="O1431" s="89" t="b">
        <f t="shared" si="1"/>
        <v>0</v>
      </c>
      <c r="P1431" s="89" t="b">
        <v>0</v>
      </c>
      <c r="Q1431" s="89" t="e">
        <v>#N/A</v>
      </c>
    </row>
    <row r="1432" hidden="1">
      <c r="A1432" s="108"/>
      <c r="B1432" s="202"/>
      <c r="C1432" s="202" t="str">
        <f>VLOOKUP(M1432,'#verificação horas por projeto'!A:B,2,FALSE)</f>
        <v>#N/A</v>
      </c>
      <c r="D1432" s="202"/>
      <c r="E1432" s="107"/>
      <c r="F1432" s="211"/>
      <c r="G1432" s="226"/>
      <c r="H1432" s="107"/>
      <c r="I1432" s="227"/>
      <c r="J1432" s="227"/>
      <c r="K1432" s="115"/>
      <c r="L1432" s="228"/>
      <c r="M1432" s="107"/>
      <c r="N1432" s="229">
        <f>IF(AND(O1432=TRUE,P1432=TRUE), VLOOKUP($E1432,PESSOAL!$B$35:$S$45,MONTH($F1432)+6,FALSE)*G1432*24,0)</f>
        <v>0</v>
      </c>
      <c r="O1432" s="89" t="b">
        <f t="shared" si="1"/>
        <v>0</v>
      </c>
      <c r="P1432" s="89" t="b">
        <v>0</v>
      </c>
      <c r="Q1432" s="89" t="e">
        <v>#N/A</v>
      </c>
    </row>
    <row r="1433" hidden="1">
      <c r="A1433" s="108"/>
      <c r="B1433" s="202"/>
      <c r="C1433" s="202" t="str">
        <f>VLOOKUP(M1433,'#verificação horas por projeto'!A:B,2,FALSE)</f>
        <v>#N/A</v>
      </c>
      <c r="D1433" s="202"/>
      <c r="E1433" s="107"/>
      <c r="F1433" s="211"/>
      <c r="G1433" s="226"/>
      <c r="H1433" s="107"/>
      <c r="I1433" s="227"/>
      <c r="J1433" s="227"/>
      <c r="K1433" s="115"/>
      <c r="L1433" s="228"/>
      <c r="M1433" s="107"/>
      <c r="N1433" s="229">
        <f>IF(AND(O1433=TRUE,P1433=TRUE), VLOOKUP($E1433,PESSOAL!$B$35:$S$45,MONTH($F1433)+6,FALSE)*G1433*24,0)</f>
        <v>0</v>
      </c>
      <c r="O1433" s="89" t="b">
        <f t="shared" si="1"/>
        <v>0</v>
      </c>
      <c r="P1433" s="89" t="b">
        <v>0</v>
      </c>
      <c r="Q1433" s="89" t="e">
        <v>#N/A</v>
      </c>
    </row>
    <row r="1434" hidden="1">
      <c r="A1434" s="108"/>
      <c r="B1434" s="202"/>
      <c r="C1434" s="202" t="str">
        <f>VLOOKUP(M1434,'#verificação horas por projeto'!A:B,2,FALSE)</f>
        <v>#N/A</v>
      </c>
      <c r="D1434" s="202"/>
      <c r="E1434" s="107"/>
      <c r="F1434" s="211"/>
      <c r="G1434" s="226"/>
      <c r="H1434" s="107"/>
      <c r="I1434" s="227"/>
      <c r="J1434" s="227"/>
      <c r="K1434" s="115"/>
      <c r="L1434" s="228"/>
      <c r="M1434" s="107"/>
      <c r="N1434" s="229">
        <f>IF(AND(O1434=TRUE,P1434=TRUE), VLOOKUP($E1434,PESSOAL!$B$35:$S$45,MONTH($F1434)+6,FALSE)*G1434*24,0)</f>
        <v>0</v>
      </c>
      <c r="O1434" s="89" t="b">
        <f t="shared" si="1"/>
        <v>0</v>
      </c>
      <c r="P1434" s="89" t="b">
        <v>0</v>
      </c>
      <c r="Q1434" s="89" t="e">
        <v>#N/A</v>
      </c>
    </row>
    <row r="1435" hidden="1">
      <c r="A1435" s="108"/>
      <c r="B1435" s="202"/>
      <c r="C1435" s="202" t="str">
        <f>VLOOKUP(M1435,'#verificação horas por projeto'!A:B,2,FALSE)</f>
        <v>#N/A</v>
      </c>
      <c r="D1435" s="202"/>
      <c r="E1435" s="107"/>
      <c r="F1435" s="211"/>
      <c r="G1435" s="226"/>
      <c r="H1435" s="107"/>
      <c r="I1435" s="227"/>
      <c r="J1435" s="227"/>
      <c r="K1435" s="115"/>
      <c r="L1435" s="228"/>
      <c r="M1435" s="107"/>
      <c r="N1435" s="229">
        <f>IF(AND(O1435=TRUE,P1435=TRUE), VLOOKUP($E1435,PESSOAL!$B$35:$S$45,MONTH($F1435)+6,FALSE)*G1435*24,0)</f>
        <v>0</v>
      </c>
      <c r="O1435" s="89" t="b">
        <f t="shared" si="1"/>
        <v>0</v>
      </c>
      <c r="P1435" s="89" t="b">
        <v>0</v>
      </c>
      <c r="Q1435" s="89" t="e">
        <v>#N/A</v>
      </c>
    </row>
    <row r="1436" hidden="1">
      <c r="A1436" s="108"/>
      <c r="B1436" s="202"/>
      <c r="C1436" s="202" t="str">
        <f>VLOOKUP(M1436,'#verificação horas por projeto'!A:B,2,FALSE)</f>
        <v>#N/A</v>
      </c>
      <c r="D1436" s="202"/>
      <c r="E1436" s="107"/>
      <c r="F1436" s="211"/>
      <c r="G1436" s="226"/>
      <c r="H1436" s="107"/>
      <c r="I1436" s="227"/>
      <c r="J1436" s="227"/>
      <c r="K1436" s="115"/>
      <c r="L1436" s="228"/>
      <c r="M1436" s="107"/>
      <c r="N1436" s="229">
        <f>IF(AND(O1436=TRUE,P1436=TRUE), VLOOKUP($E1436,PESSOAL!$B$35:$S$45,MONTH($F1436)+6,FALSE)*G1436*24,0)</f>
        <v>0</v>
      </c>
      <c r="O1436" s="89" t="b">
        <f t="shared" si="1"/>
        <v>0</v>
      </c>
      <c r="P1436" s="89" t="b">
        <v>0</v>
      </c>
      <c r="Q1436" s="89" t="e">
        <v>#N/A</v>
      </c>
    </row>
    <row r="1437" hidden="1">
      <c r="A1437" s="108"/>
      <c r="B1437" s="202"/>
      <c r="C1437" s="202" t="str">
        <f>VLOOKUP(M1437,'#verificação horas por projeto'!A:B,2,FALSE)</f>
        <v>#N/A</v>
      </c>
      <c r="D1437" s="202"/>
      <c r="E1437" s="107"/>
      <c r="F1437" s="211"/>
      <c r="G1437" s="226"/>
      <c r="H1437" s="107"/>
      <c r="I1437" s="227"/>
      <c r="J1437" s="227"/>
      <c r="K1437" s="115"/>
      <c r="L1437" s="228"/>
      <c r="M1437" s="107"/>
      <c r="N1437" s="229">
        <f>IF(AND(O1437=TRUE,P1437=TRUE), VLOOKUP($E1437,PESSOAL!$B$35:$S$45,MONTH($F1437)+6,FALSE)*G1437*24,0)</f>
        <v>0</v>
      </c>
      <c r="O1437" s="89" t="b">
        <f t="shared" si="1"/>
        <v>0</v>
      </c>
      <c r="P1437" s="84" t="b">
        <v>0</v>
      </c>
      <c r="Q1437" s="89" t="e">
        <v>#N/A</v>
      </c>
    </row>
    <row r="1438" hidden="1">
      <c r="A1438" s="108"/>
      <c r="B1438" s="202"/>
      <c r="C1438" s="202" t="str">
        <f>VLOOKUP(M1438,'#verificação horas por projeto'!A:B,2,FALSE)</f>
        <v>#N/A</v>
      </c>
      <c r="D1438" s="202"/>
      <c r="E1438" s="107"/>
      <c r="F1438" s="211"/>
      <c r="G1438" s="226"/>
      <c r="H1438" s="107"/>
      <c r="I1438" s="227"/>
      <c r="J1438" s="227"/>
      <c r="K1438" s="115"/>
      <c r="L1438" s="228"/>
      <c r="M1438" s="107"/>
      <c r="N1438" s="229">
        <f>IF(AND(O1438=TRUE,P1438=TRUE), VLOOKUP($E1438,PESSOAL!$B$35:$S$45,MONTH($F1438)+6,FALSE)*G1438*24,0)</f>
        <v>0</v>
      </c>
      <c r="O1438" s="89" t="b">
        <f t="shared" si="1"/>
        <v>0</v>
      </c>
      <c r="P1438" s="89" t="b">
        <v>0</v>
      </c>
      <c r="Q1438" s="89" t="e">
        <v>#N/A</v>
      </c>
    </row>
    <row r="1439" hidden="1">
      <c r="A1439" s="108"/>
      <c r="B1439" s="202"/>
      <c r="C1439" s="202" t="str">
        <f>VLOOKUP(M1439,'#verificação horas por projeto'!A:B,2,FALSE)</f>
        <v>#N/A</v>
      </c>
      <c r="D1439" s="202"/>
      <c r="E1439" s="107"/>
      <c r="F1439" s="211"/>
      <c r="G1439" s="226"/>
      <c r="H1439" s="107"/>
      <c r="I1439" s="227"/>
      <c r="J1439" s="227"/>
      <c r="K1439" s="115"/>
      <c r="L1439" s="228"/>
      <c r="M1439" s="107"/>
      <c r="N1439" s="229">
        <f>IF(AND(O1439=TRUE,P1439=TRUE), VLOOKUP($E1439,PESSOAL!$B$35:$S$45,MONTH($F1439)+6,FALSE)*G1439*24,0)</f>
        <v>0</v>
      </c>
      <c r="O1439" s="89" t="b">
        <f t="shared" si="1"/>
        <v>0</v>
      </c>
      <c r="P1439" s="89" t="b">
        <v>0</v>
      </c>
      <c r="Q1439" s="89" t="e">
        <v>#N/A</v>
      </c>
    </row>
    <row r="1440" hidden="1">
      <c r="A1440" s="108"/>
      <c r="B1440" s="202"/>
      <c r="C1440" s="202" t="str">
        <f>VLOOKUP(M1440,'#verificação horas por projeto'!A:B,2,FALSE)</f>
        <v>#N/A</v>
      </c>
      <c r="D1440" s="202"/>
      <c r="E1440" s="107"/>
      <c r="F1440" s="211"/>
      <c r="G1440" s="226"/>
      <c r="H1440" s="107"/>
      <c r="I1440" s="227"/>
      <c r="J1440" s="227"/>
      <c r="K1440" s="115"/>
      <c r="L1440" s="228"/>
      <c r="M1440" s="107"/>
      <c r="N1440" s="229">
        <f>IF(AND(O1440=TRUE,P1440=TRUE), VLOOKUP($E1440,PESSOAL!$B$35:$S$45,MONTH($F1440)+6,FALSE)*G1440*24,0)</f>
        <v>0</v>
      </c>
      <c r="O1440" s="89" t="b">
        <f t="shared" si="1"/>
        <v>0</v>
      </c>
      <c r="P1440" s="89" t="b">
        <v>0</v>
      </c>
      <c r="Q1440" s="89" t="e">
        <v>#N/A</v>
      </c>
    </row>
    <row r="1441" hidden="1">
      <c r="A1441" s="108"/>
      <c r="B1441" s="202"/>
      <c r="C1441" s="202" t="str">
        <f>VLOOKUP(M1441,'#verificação horas por projeto'!A:B,2,FALSE)</f>
        <v>#N/A</v>
      </c>
      <c r="D1441" s="202"/>
      <c r="E1441" s="107"/>
      <c r="F1441" s="211"/>
      <c r="G1441" s="226"/>
      <c r="H1441" s="107"/>
      <c r="I1441" s="227"/>
      <c r="J1441" s="227"/>
      <c r="K1441" s="115"/>
      <c r="L1441" s="228"/>
      <c r="M1441" s="107"/>
      <c r="N1441" s="229">
        <f>IF(AND(O1441=TRUE,P1441=TRUE), VLOOKUP($E1441,PESSOAL!$B$35:$S$45,MONTH($F1441)+6,FALSE)*G1441*24,0)</f>
        <v>0</v>
      </c>
      <c r="O1441" s="89" t="b">
        <f t="shared" si="1"/>
        <v>0</v>
      </c>
      <c r="P1441" s="89" t="b">
        <v>0</v>
      </c>
      <c r="Q1441" s="89" t="e">
        <v>#N/A</v>
      </c>
    </row>
    <row r="1442" hidden="1">
      <c r="A1442" s="108"/>
      <c r="B1442" s="202"/>
      <c r="C1442" s="202" t="str">
        <f>VLOOKUP(M1442,'#verificação horas por projeto'!A:B,2,FALSE)</f>
        <v>#N/A</v>
      </c>
      <c r="D1442" s="202"/>
      <c r="E1442" s="107"/>
      <c r="F1442" s="211"/>
      <c r="G1442" s="226"/>
      <c r="H1442" s="107"/>
      <c r="I1442" s="227"/>
      <c r="J1442" s="227"/>
      <c r="K1442" s="115"/>
      <c r="L1442" s="228"/>
      <c r="M1442" s="107"/>
      <c r="N1442" s="229">
        <f>IF(AND(O1442=TRUE,P1442=TRUE), VLOOKUP($E1442,PESSOAL!$B$35:$S$45,MONTH($F1442)+6,FALSE)*G1442*24,0)</f>
        <v>0</v>
      </c>
      <c r="O1442" s="89" t="b">
        <f t="shared" si="1"/>
        <v>0</v>
      </c>
      <c r="P1442" s="89" t="b">
        <v>0</v>
      </c>
      <c r="Q1442" s="89" t="e">
        <v>#N/A</v>
      </c>
    </row>
    <row r="1443" hidden="1">
      <c r="A1443" s="108"/>
      <c r="B1443" s="202"/>
      <c r="C1443" s="202" t="str">
        <f>VLOOKUP(M1443,'#verificação horas por projeto'!A:B,2,FALSE)</f>
        <v>#N/A</v>
      </c>
      <c r="D1443" s="202"/>
      <c r="E1443" s="107"/>
      <c r="F1443" s="211"/>
      <c r="G1443" s="226"/>
      <c r="H1443" s="107"/>
      <c r="I1443" s="227"/>
      <c r="J1443" s="227"/>
      <c r="K1443" s="115"/>
      <c r="L1443" s="228"/>
      <c r="M1443" s="107"/>
      <c r="N1443" s="229">
        <f>IF(AND(O1443=TRUE,P1443=TRUE), VLOOKUP($E1443,PESSOAL!$B$35:$S$45,MONTH($F1443)+6,FALSE)*G1443*24,0)</f>
        <v>0</v>
      </c>
      <c r="O1443" s="89" t="b">
        <f t="shared" si="1"/>
        <v>0</v>
      </c>
      <c r="P1443" s="89" t="b">
        <v>0</v>
      </c>
      <c r="Q1443" s="89" t="e">
        <v>#N/A</v>
      </c>
    </row>
    <row r="1444" hidden="1">
      <c r="A1444" s="108"/>
      <c r="B1444" s="202"/>
      <c r="C1444" s="202" t="str">
        <f>VLOOKUP(M1444,'#verificação horas por projeto'!A:B,2,FALSE)</f>
        <v>#N/A</v>
      </c>
      <c r="D1444" s="202"/>
      <c r="E1444" s="107"/>
      <c r="F1444" s="211"/>
      <c r="G1444" s="226"/>
      <c r="H1444" s="107"/>
      <c r="I1444" s="227"/>
      <c r="J1444" s="227"/>
      <c r="K1444" s="115"/>
      <c r="L1444" s="228"/>
      <c r="M1444" s="107"/>
      <c r="N1444" s="229">
        <f>IF(AND(O1444=TRUE,P1444=TRUE), VLOOKUP($E1444,PESSOAL!$B$35:$S$45,MONTH($F1444)+6,FALSE)*G1444*24,0)</f>
        <v>0</v>
      </c>
      <c r="O1444" s="89" t="b">
        <f t="shared" si="1"/>
        <v>0</v>
      </c>
      <c r="P1444" s="89" t="b">
        <v>0</v>
      </c>
      <c r="Q1444" s="89" t="e">
        <v>#N/A</v>
      </c>
    </row>
    <row r="1445" hidden="1">
      <c r="A1445" s="108"/>
      <c r="B1445" s="202"/>
      <c r="C1445" s="202" t="str">
        <f>VLOOKUP(M1445,'#verificação horas por projeto'!A:B,2,FALSE)</f>
        <v>#N/A</v>
      </c>
      <c r="D1445" s="202"/>
      <c r="E1445" s="107"/>
      <c r="F1445" s="211"/>
      <c r="G1445" s="226"/>
      <c r="H1445" s="107"/>
      <c r="I1445" s="227"/>
      <c r="J1445" s="227"/>
      <c r="K1445" s="115"/>
      <c r="L1445" s="228"/>
      <c r="M1445" s="107"/>
      <c r="N1445" s="229">
        <f>IF(AND(O1445=TRUE,P1445=TRUE), VLOOKUP($E1445,PESSOAL!$B$35:$S$45,MONTH($F1445)+6,FALSE)*G1445*24,0)</f>
        <v>0</v>
      </c>
      <c r="O1445" s="89" t="b">
        <f t="shared" si="1"/>
        <v>0</v>
      </c>
      <c r="P1445" s="89" t="b">
        <v>0</v>
      </c>
      <c r="Q1445" s="89" t="e">
        <v>#N/A</v>
      </c>
    </row>
    <row r="1446" hidden="1">
      <c r="A1446" s="108"/>
      <c r="B1446" s="202"/>
      <c r="C1446" s="202" t="str">
        <f>VLOOKUP(M1446,'#verificação horas por projeto'!A:B,2,FALSE)</f>
        <v>#N/A</v>
      </c>
      <c r="D1446" s="202"/>
      <c r="E1446" s="107"/>
      <c r="F1446" s="211"/>
      <c r="G1446" s="226"/>
      <c r="H1446" s="107"/>
      <c r="I1446" s="227"/>
      <c r="J1446" s="227"/>
      <c r="K1446" s="115"/>
      <c r="L1446" s="228"/>
      <c r="M1446" s="107"/>
      <c r="N1446" s="229">
        <f>IF(AND(O1446=TRUE,P1446=TRUE), VLOOKUP($E1446,PESSOAL!$B$35:$S$45,MONTH($F1446)+6,FALSE)*G1446*24,0)</f>
        <v>0</v>
      </c>
      <c r="O1446" s="89" t="b">
        <f t="shared" si="1"/>
        <v>0</v>
      </c>
      <c r="P1446" s="89" t="b">
        <v>0</v>
      </c>
      <c r="Q1446" s="89" t="e">
        <v>#N/A</v>
      </c>
    </row>
    <row r="1447" hidden="1">
      <c r="A1447" s="108"/>
      <c r="B1447" s="202"/>
      <c r="C1447" s="202" t="str">
        <f>VLOOKUP(M1447,'#verificação horas por projeto'!A:B,2,FALSE)</f>
        <v>#N/A</v>
      </c>
      <c r="D1447" s="202"/>
      <c r="E1447" s="107"/>
      <c r="F1447" s="211"/>
      <c r="G1447" s="226"/>
      <c r="H1447" s="107"/>
      <c r="I1447" s="227"/>
      <c r="J1447" s="227"/>
      <c r="K1447" s="115"/>
      <c r="L1447" s="228"/>
      <c r="M1447" s="107"/>
      <c r="N1447" s="229">
        <f>IF(AND(O1447=TRUE,P1447=TRUE), VLOOKUP($E1447,PESSOAL!$B$35:$S$45,MONTH($F1447)+6,FALSE)*G1447*24,0)</f>
        <v>0</v>
      </c>
      <c r="O1447" s="89" t="b">
        <f t="shared" si="1"/>
        <v>0</v>
      </c>
      <c r="P1447" s="89" t="b">
        <v>0</v>
      </c>
      <c r="Q1447" s="89" t="e">
        <v>#N/A</v>
      </c>
    </row>
    <row r="1448" hidden="1">
      <c r="A1448" s="108"/>
      <c r="B1448" s="202"/>
      <c r="C1448" s="202" t="str">
        <f>VLOOKUP(M1448,'#verificação horas por projeto'!A:B,2,FALSE)</f>
        <v>#N/A</v>
      </c>
      <c r="D1448" s="202"/>
      <c r="E1448" s="107"/>
      <c r="F1448" s="211"/>
      <c r="G1448" s="226"/>
      <c r="H1448" s="107"/>
      <c r="I1448" s="227"/>
      <c r="J1448" s="227"/>
      <c r="K1448" s="115"/>
      <c r="L1448" s="228"/>
      <c r="M1448" s="107"/>
      <c r="N1448" s="229">
        <f>IF(AND(O1448=TRUE,P1448=TRUE), VLOOKUP($E1448,PESSOAL!$B$35:$S$45,MONTH($F1448)+6,FALSE)*G1448*24,0)</f>
        <v>0</v>
      </c>
      <c r="O1448" s="89" t="b">
        <f t="shared" si="1"/>
        <v>0</v>
      </c>
      <c r="P1448" s="89" t="b">
        <v>0</v>
      </c>
      <c r="Q1448" s="89" t="e">
        <v>#N/A</v>
      </c>
    </row>
    <row r="1449" hidden="1">
      <c r="A1449" s="108"/>
      <c r="B1449" s="202"/>
      <c r="C1449" s="202" t="str">
        <f>VLOOKUP(M1449,'#verificação horas por projeto'!A:B,2,FALSE)</f>
        <v>#N/A</v>
      </c>
      <c r="D1449" s="202"/>
      <c r="E1449" s="107"/>
      <c r="F1449" s="211"/>
      <c r="G1449" s="226"/>
      <c r="H1449" s="107"/>
      <c r="I1449" s="227"/>
      <c r="J1449" s="227"/>
      <c r="K1449" s="115"/>
      <c r="L1449" s="228"/>
      <c r="M1449" s="107"/>
      <c r="N1449" s="229">
        <f>IF(AND(O1449=TRUE,P1449=TRUE), VLOOKUP($E1449,PESSOAL!$B$35:$S$45,MONTH($F1449)+6,FALSE)*G1449*24,0)</f>
        <v>0</v>
      </c>
      <c r="O1449" s="89" t="b">
        <f t="shared" si="1"/>
        <v>0</v>
      </c>
      <c r="P1449" s="89" t="b">
        <v>0</v>
      </c>
      <c r="Q1449" s="89" t="e">
        <v>#N/A</v>
      </c>
    </row>
    <row r="1450" hidden="1">
      <c r="A1450" s="108"/>
      <c r="B1450" s="202"/>
      <c r="C1450" s="202" t="str">
        <f>VLOOKUP(M1450,'#verificação horas por projeto'!A:B,2,FALSE)</f>
        <v>#N/A</v>
      </c>
      <c r="D1450" s="202"/>
      <c r="E1450" s="107"/>
      <c r="F1450" s="211"/>
      <c r="G1450" s="226"/>
      <c r="H1450" s="107"/>
      <c r="I1450" s="227"/>
      <c r="J1450" s="227"/>
      <c r="K1450" s="115"/>
      <c r="L1450" s="228"/>
      <c r="M1450" s="107"/>
      <c r="N1450" s="229">
        <f>IF(AND(O1450=TRUE,P1450=TRUE), VLOOKUP($E1450,PESSOAL!$B$35:$S$45,MONTH($F1450)+6,FALSE)*G1450*24,0)</f>
        <v>0</v>
      </c>
      <c r="O1450" s="89" t="b">
        <f t="shared" si="1"/>
        <v>0</v>
      </c>
      <c r="P1450" s="89" t="b">
        <v>0</v>
      </c>
      <c r="Q1450" s="89" t="e">
        <v>#N/A</v>
      </c>
    </row>
    <row r="1451" hidden="1">
      <c r="A1451" s="108"/>
      <c r="B1451" s="202"/>
      <c r="C1451" s="202" t="str">
        <f>VLOOKUP(M1451,'#verificação horas por projeto'!A:B,2,FALSE)</f>
        <v>#N/A</v>
      </c>
      <c r="D1451" s="202"/>
      <c r="E1451" s="107"/>
      <c r="F1451" s="211"/>
      <c r="G1451" s="226"/>
      <c r="H1451" s="107"/>
      <c r="I1451" s="227"/>
      <c r="J1451" s="227"/>
      <c r="K1451" s="115"/>
      <c r="L1451" s="228"/>
      <c r="M1451" s="107"/>
      <c r="N1451" s="229">
        <f>IF(AND(O1451=TRUE,P1451=TRUE), VLOOKUP($E1451,PESSOAL!$B$35:$S$45,MONTH($F1451)+6,FALSE)*G1451*24,0)</f>
        <v>0</v>
      </c>
      <c r="O1451" s="89" t="b">
        <f t="shared" si="1"/>
        <v>0</v>
      </c>
      <c r="P1451" s="89" t="b">
        <v>0</v>
      </c>
      <c r="Q1451" s="89" t="e">
        <v>#N/A</v>
      </c>
    </row>
    <row r="1452" hidden="1">
      <c r="A1452" s="108"/>
      <c r="B1452" s="202"/>
      <c r="C1452" s="202" t="str">
        <f>VLOOKUP(M1452,'#verificação horas por projeto'!A:B,2,FALSE)</f>
        <v>#N/A</v>
      </c>
      <c r="D1452" s="202"/>
      <c r="E1452" s="107"/>
      <c r="F1452" s="211"/>
      <c r="G1452" s="226"/>
      <c r="H1452" s="107"/>
      <c r="I1452" s="227"/>
      <c r="J1452" s="227"/>
      <c r="K1452" s="115"/>
      <c r="L1452" s="228"/>
      <c r="M1452" s="107"/>
      <c r="N1452" s="229">
        <f>IF(AND(O1452=TRUE,P1452=TRUE), VLOOKUP($E1452,PESSOAL!$B$35:$S$45,MONTH($F1452)+6,FALSE)*G1452*24,0)</f>
        <v>0</v>
      </c>
      <c r="O1452" s="89" t="b">
        <f t="shared" si="1"/>
        <v>0</v>
      </c>
      <c r="P1452" s="89" t="b">
        <v>0</v>
      </c>
      <c r="Q1452" s="89" t="e">
        <v>#N/A</v>
      </c>
    </row>
    <row r="1453" hidden="1">
      <c r="A1453" s="108"/>
      <c r="B1453" s="202"/>
      <c r="C1453" s="202" t="str">
        <f>VLOOKUP(M1453,'#verificação horas por projeto'!A:B,2,FALSE)</f>
        <v>#N/A</v>
      </c>
      <c r="D1453" s="202"/>
      <c r="E1453" s="107"/>
      <c r="F1453" s="211"/>
      <c r="G1453" s="226"/>
      <c r="H1453" s="107"/>
      <c r="I1453" s="227"/>
      <c r="J1453" s="227"/>
      <c r="K1453" s="115"/>
      <c r="L1453" s="228"/>
      <c r="M1453" s="107"/>
      <c r="N1453" s="229">
        <f>IF(AND(O1453=TRUE,P1453=TRUE), VLOOKUP($E1453,PESSOAL!$B$35:$S$45,MONTH($F1453)+6,FALSE)*G1453*24,0)</f>
        <v>0</v>
      </c>
      <c r="O1453" s="89" t="b">
        <f t="shared" si="1"/>
        <v>0</v>
      </c>
      <c r="P1453" s="89" t="b">
        <v>0</v>
      </c>
      <c r="Q1453" s="89" t="e">
        <v>#N/A</v>
      </c>
    </row>
    <row r="1454" hidden="1">
      <c r="A1454" s="108"/>
      <c r="B1454" s="202"/>
      <c r="C1454" s="202" t="str">
        <f>VLOOKUP(M1454,'#verificação horas por projeto'!A:B,2,FALSE)</f>
        <v>#N/A</v>
      </c>
      <c r="D1454" s="202"/>
      <c r="E1454" s="107"/>
      <c r="F1454" s="211"/>
      <c r="G1454" s="226"/>
      <c r="H1454" s="107"/>
      <c r="I1454" s="227"/>
      <c r="J1454" s="227"/>
      <c r="K1454" s="115"/>
      <c r="L1454" s="228"/>
      <c r="M1454" s="107"/>
      <c r="N1454" s="229">
        <f>IF(AND(O1454=TRUE,P1454=TRUE), VLOOKUP($E1454,PESSOAL!$B$35:$S$45,MONTH($F1454)+6,FALSE)*G1454*24,0)</f>
        <v>0</v>
      </c>
      <c r="O1454" s="89" t="b">
        <f t="shared" si="1"/>
        <v>0</v>
      </c>
      <c r="P1454" s="89" t="b">
        <v>0</v>
      </c>
      <c r="Q1454" s="89" t="e">
        <v>#N/A</v>
      </c>
    </row>
    <row r="1455" hidden="1">
      <c r="A1455" s="108"/>
      <c r="B1455" s="202"/>
      <c r="C1455" s="202" t="str">
        <f>VLOOKUP(M1455,'#verificação horas por projeto'!A:B,2,FALSE)</f>
        <v>#N/A</v>
      </c>
      <c r="D1455" s="202"/>
      <c r="E1455" s="107"/>
      <c r="F1455" s="211"/>
      <c r="G1455" s="226"/>
      <c r="H1455" s="107"/>
      <c r="I1455" s="227"/>
      <c r="J1455" s="227"/>
      <c r="K1455" s="115"/>
      <c r="L1455" s="228"/>
      <c r="M1455" s="107"/>
      <c r="N1455" s="229">
        <f>IF(AND(O1455=TRUE,P1455=TRUE), VLOOKUP($E1455,PESSOAL!$B$35:$S$45,MONTH($F1455)+6,FALSE)*G1455*24,0)</f>
        <v>0</v>
      </c>
      <c r="O1455" s="89" t="b">
        <f t="shared" si="1"/>
        <v>0</v>
      </c>
      <c r="P1455" s="89" t="b">
        <v>0</v>
      </c>
      <c r="Q1455" s="89" t="e">
        <v>#N/A</v>
      </c>
    </row>
    <row r="1456" hidden="1">
      <c r="A1456" s="108"/>
      <c r="B1456" s="202"/>
      <c r="C1456" s="202" t="str">
        <f>VLOOKUP(M1456,'#verificação horas por projeto'!A:B,2,FALSE)</f>
        <v>#N/A</v>
      </c>
      <c r="D1456" s="202"/>
      <c r="E1456" s="107"/>
      <c r="F1456" s="211"/>
      <c r="G1456" s="226"/>
      <c r="H1456" s="107"/>
      <c r="I1456" s="227"/>
      <c r="J1456" s="227"/>
      <c r="K1456" s="115"/>
      <c r="L1456" s="228"/>
      <c r="M1456" s="107"/>
      <c r="N1456" s="229">
        <f>IF(AND(O1456=TRUE,P1456=TRUE), VLOOKUP($E1456,PESSOAL!$B$35:$S$45,MONTH($F1456)+6,FALSE)*G1456*24,0)</f>
        <v>0</v>
      </c>
      <c r="O1456" s="89" t="b">
        <f t="shared" si="1"/>
        <v>0</v>
      </c>
      <c r="P1456" s="89" t="b">
        <v>0</v>
      </c>
      <c r="Q1456" s="89" t="e">
        <v>#N/A</v>
      </c>
    </row>
    <row r="1457" hidden="1">
      <c r="A1457" s="108"/>
      <c r="B1457" s="202"/>
      <c r="C1457" s="202" t="str">
        <f>VLOOKUP(M1457,'#verificação horas por projeto'!A:B,2,FALSE)</f>
        <v>#N/A</v>
      </c>
      <c r="D1457" s="202"/>
      <c r="E1457" s="107"/>
      <c r="F1457" s="211"/>
      <c r="G1457" s="226"/>
      <c r="H1457" s="107"/>
      <c r="I1457" s="227"/>
      <c r="J1457" s="227"/>
      <c r="K1457" s="115"/>
      <c r="L1457" s="228"/>
      <c r="M1457" s="107"/>
      <c r="N1457" s="229">
        <f>IF(AND(O1457=TRUE,P1457=TRUE), VLOOKUP($E1457,PESSOAL!$B$35:$S$45,MONTH($F1457)+6,FALSE)*G1457*24,0)</f>
        <v>0</v>
      </c>
      <c r="O1457" s="89" t="b">
        <f t="shared" si="1"/>
        <v>0</v>
      </c>
      <c r="P1457" s="89" t="b">
        <v>0</v>
      </c>
      <c r="Q1457" s="89" t="e">
        <v>#N/A</v>
      </c>
    </row>
    <row r="1458" hidden="1">
      <c r="A1458" s="108"/>
      <c r="B1458" s="202"/>
      <c r="C1458" s="202" t="str">
        <f>VLOOKUP(M1458,'#verificação horas por projeto'!A:B,2,FALSE)</f>
        <v>#N/A</v>
      </c>
      <c r="D1458" s="202"/>
      <c r="E1458" s="107"/>
      <c r="F1458" s="211"/>
      <c r="G1458" s="226"/>
      <c r="H1458" s="107"/>
      <c r="I1458" s="227"/>
      <c r="J1458" s="227"/>
      <c r="K1458" s="115"/>
      <c r="L1458" s="228"/>
      <c r="M1458" s="107"/>
      <c r="N1458" s="229">
        <f>IF(AND(O1458=TRUE,P1458=TRUE), VLOOKUP($E1458,PESSOAL!$B$35:$S$45,MONTH($F1458)+6,FALSE)*G1458*24,0)</f>
        <v>0</v>
      </c>
      <c r="O1458" s="89" t="b">
        <f t="shared" si="1"/>
        <v>0</v>
      </c>
      <c r="P1458" s="89" t="b">
        <v>0</v>
      </c>
      <c r="Q1458" s="89" t="e">
        <v>#N/A</v>
      </c>
    </row>
    <row r="1459" hidden="1">
      <c r="A1459" s="108"/>
      <c r="B1459" s="202"/>
      <c r="C1459" s="202" t="str">
        <f>VLOOKUP(M1459,'#verificação horas por projeto'!A:B,2,FALSE)</f>
        <v>#N/A</v>
      </c>
      <c r="D1459" s="202"/>
      <c r="E1459" s="107"/>
      <c r="F1459" s="211"/>
      <c r="G1459" s="226"/>
      <c r="H1459" s="107"/>
      <c r="I1459" s="227"/>
      <c r="J1459" s="227"/>
      <c r="K1459" s="115"/>
      <c r="L1459" s="228"/>
      <c r="M1459" s="107"/>
      <c r="N1459" s="229">
        <f>IF(AND(O1459=TRUE,P1459=TRUE), VLOOKUP($E1459,PESSOAL!$B$35:$S$45,MONTH($F1459)+6,FALSE)*G1459*24,0)</f>
        <v>0</v>
      </c>
      <c r="O1459" s="89" t="b">
        <f t="shared" si="1"/>
        <v>0</v>
      </c>
      <c r="P1459" s="89" t="b">
        <v>0</v>
      </c>
      <c r="Q1459" s="89" t="e">
        <v>#N/A</v>
      </c>
    </row>
    <row r="1460" hidden="1">
      <c r="A1460" s="108"/>
      <c r="B1460" s="202"/>
      <c r="C1460" s="202" t="str">
        <f>VLOOKUP(M1460,'#verificação horas por projeto'!A:B,2,FALSE)</f>
        <v>#N/A</v>
      </c>
      <c r="D1460" s="202"/>
      <c r="E1460" s="107"/>
      <c r="F1460" s="211"/>
      <c r="G1460" s="226"/>
      <c r="H1460" s="107"/>
      <c r="I1460" s="227"/>
      <c r="J1460" s="227"/>
      <c r="K1460" s="115"/>
      <c r="L1460" s="228"/>
      <c r="M1460" s="107"/>
      <c r="N1460" s="229">
        <f>IF(AND(O1460=TRUE,P1460=TRUE), VLOOKUP($E1460,PESSOAL!$B$35:$S$45,MONTH($F1460)+6,FALSE)*G1460*24,0)</f>
        <v>0</v>
      </c>
      <c r="O1460" s="89" t="b">
        <f t="shared" si="1"/>
        <v>0</v>
      </c>
      <c r="P1460" s="89" t="b">
        <v>0</v>
      </c>
      <c r="Q1460" s="89" t="e">
        <v>#N/A</v>
      </c>
    </row>
    <row r="1461" hidden="1">
      <c r="A1461" s="108"/>
      <c r="B1461" s="202"/>
      <c r="C1461" s="202" t="str">
        <f>VLOOKUP(M1461,'#verificação horas por projeto'!A:B,2,FALSE)</f>
        <v>#N/A</v>
      </c>
      <c r="D1461" s="202"/>
      <c r="E1461" s="107"/>
      <c r="F1461" s="211"/>
      <c r="G1461" s="226"/>
      <c r="H1461" s="107"/>
      <c r="I1461" s="227"/>
      <c r="J1461" s="227"/>
      <c r="K1461" s="115"/>
      <c r="L1461" s="228"/>
      <c r="M1461" s="107"/>
      <c r="N1461" s="229">
        <f>IF(AND(O1461=TRUE,P1461=TRUE), VLOOKUP($E1461,PESSOAL!$B$35:$S$45,MONTH($F1461)+6,FALSE)*G1461*24,0)</f>
        <v>0</v>
      </c>
      <c r="O1461" s="89" t="b">
        <f t="shared" si="1"/>
        <v>0</v>
      </c>
      <c r="P1461" s="89" t="b">
        <v>0</v>
      </c>
      <c r="Q1461" s="89" t="e">
        <v>#N/A</v>
      </c>
    </row>
    <row r="1462" hidden="1">
      <c r="A1462" s="108"/>
      <c r="B1462" s="202"/>
      <c r="C1462" s="202" t="str">
        <f>VLOOKUP(M1462,'#verificação horas por projeto'!A:B,2,FALSE)</f>
        <v>#N/A</v>
      </c>
      <c r="D1462" s="202"/>
      <c r="E1462" s="107"/>
      <c r="F1462" s="211"/>
      <c r="G1462" s="226"/>
      <c r="H1462" s="107"/>
      <c r="I1462" s="227"/>
      <c r="J1462" s="227"/>
      <c r="K1462" s="115"/>
      <c r="L1462" s="228"/>
      <c r="M1462" s="107"/>
      <c r="N1462" s="229">
        <f>IF(AND(O1462=TRUE,P1462=TRUE), VLOOKUP($E1462,PESSOAL!$B$35:$S$45,MONTH($F1462)+6,FALSE)*G1462*24,0)</f>
        <v>0</v>
      </c>
      <c r="O1462" s="89" t="b">
        <f t="shared" si="1"/>
        <v>0</v>
      </c>
      <c r="P1462" s="89" t="b">
        <v>0</v>
      </c>
      <c r="Q1462" s="89" t="e">
        <v>#N/A</v>
      </c>
    </row>
    <row r="1463" hidden="1">
      <c r="A1463" s="108"/>
      <c r="B1463" s="202"/>
      <c r="C1463" s="202" t="str">
        <f>VLOOKUP(M1463,'#verificação horas por projeto'!A:B,2,FALSE)</f>
        <v>#N/A</v>
      </c>
      <c r="D1463" s="202"/>
      <c r="E1463" s="107"/>
      <c r="F1463" s="211"/>
      <c r="G1463" s="226"/>
      <c r="H1463" s="107"/>
      <c r="I1463" s="227"/>
      <c r="J1463" s="227"/>
      <c r="K1463" s="115"/>
      <c r="L1463" s="228"/>
      <c r="M1463" s="107"/>
      <c r="N1463" s="229">
        <f>IF(AND(O1463=TRUE,P1463=TRUE), VLOOKUP($E1463,PESSOAL!$B$35:$S$45,MONTH($F1463)+6,FALSE)*G1463*24,0)</f>
        <v>0</v>
      </c>
      <c r="O1463" s="89" t="b">
        <f t="shared" si="1"/>
        <v>0</v>
      </c>
      <c r="P1463" s="89" t="b">
        <v>0</v>
      </c>
      <c r="Q1463" s="89" t="e">
        <v>#N/A</v>
      </c>
    </row>
    <row r="1464" hidden="1">
      <c r="A1464" s="108"/>
      <c r="B1464" s="202"/>
      <c r="C1464" s="202" t="str">
        <f>VLOOKUP(M1464,'#verificação horas por projeto'!A:B,2,FALSE)</f>
        <v>#N/A</v>
      </c>
      <c r="D1464" s="202"/>
      <c r="E1464" s="107"/>
      <c r="F1464" s="211"/>
      <c r="G1464" s="226"/>
      <c r="H1464" s="107"/>
      <c r="I1464" s="227"/>
      <c r="J1464" s="227"/>
      <c r="K1464" s="115"/>
      <c r="L1464" s="228"/>
      <c r="M1464" s="107"/>
      <c r="N1464" s="229">
        <f>IF(AND(O1464=TRUE,P1464=TRUE), VLOOKUP($E1464,PESSOAL!$B$35:$S$45,MONTH($F1464)+6,FALSE)*G1464*24,0)</f>
        <v>0</v>
      </c>
      <c r="O1464" s="89" t="b">
        <f t="shared" si="1"/>
        <v>0</v>
      </c>
      <c r="P1464" s="89" t="b">
        <v>0</v>
      </c>
      <c r="Q1464" s="89" t="e">
        <v>#N/A</v>
      </c>
    </row>
    <row r="1465" hidden="1">
      <c r="A1465" s="108"/>
      <c r="B1465" s="202"/>
      <c r="C1465" s="202" t="str">
        <f>VLOOKUP(M1465,'#verificação horas por projeto'!A:B,2,FALSE)</f>
        <v>#N/A</v>
      </c>
      <c r="D1465" s="202"/>
      <c r="E1465" s="107"/>
      <c r="F1465" s="211"/>
      <c r="G1465" s="226"/>
      <c r="H1465" s="107"/>
      <c r="I1465" s="227"/>
      <c r="J1465" s="227"/>
      <c r="K1465" s="115"/>
      <c r="L1465" s="228"/>
      <c r="M1465" s="107"/>
      <c r="N1465" s="229">
        <f>IF(AND(O1465=TRUE,P1465=TRUE), VLOOKUP($E1465,PESSOAL!$B$35:$S$45,MONTH($F1465)+6,FALSE)*G1465*24,0)</f>
        <v>0</v>
      </c>
      <c r="O1465" s="89" t="b">
        <f t="shared" si="1"/>
        <v>0</v>
      </c>
      <c r="P1465" s="89" t="b">
        <v>0</v>
      </c>
      <c r="Q1465" s="89" t="e">
        <v>#N/A</v>
      </c>
    </row>
    <row r="1466" hidden="1">
      <c r="A1466" s="108"/>
      <c r="B1466" s="202"/>
      <c r="C1466" s="202" t="str">
        <f>VLOOKUP(M1466,'#verificação horas por projeto'!A:B,2,FALSE)</f>
        <v>#N/A</v>
      </c>
      <c r="D1466" s="202"/>
      <c r="E1466" s="107"/>
      <c r="F1466" s="211"/>
      <c r="G1466" s="226"/>
      <c r="H1466" s="107"/>
      <c r="I1466" s="227"/>
      <c r="J1466" s="227"/>
      <c r="K1466" s="115"/>
      <c r="L1466" s="228"/>
      <c r="M1466" s="107"/>
      <c r="N1466" s="229">
        <f>IF(AND(O1466=TRUE,P1466=TRUE), VLOOKUP($E1466,PESSOAL!$B$35:$S$45,MONTH($F1466)+6,FALSE)*G1466*24,0)</f>
        <v>0</v>
      </c>
      <c r="O1466" s="89" t="b">
        <f t="shared" si="1"/>
        <v>0</v>
      </c>
      <c r="P1466" s="89" t="b">
        <v>0</v>
      </c>
      <c r="Q1466" s="89" t="e">
        <v>#N/A</v>
      </c>
    </row>
    <row r="1467" hidden="1">
      <c r="A1467" s="108"/>
      <c r="B1467" s="202"/>
      <c r="C1467" s="202" t="str">
        <f>VLOOKUP(M1467,'#verificação horas por projeto'!A:B,2,FALSE)</f>
        <v>#N/A</v>
      </c>
      <c r="D1467" s="202"/>
      <c r="E1467" s="107"/>
      <c r="F1467" s="211"/>
      <c r="G1467" s="226"/>
      <c r="H1467" s="107"/>
      <c r="I1467" s="227"/>
      <c r="J1467" s="227"/>
      <c r="K1467" s="115"/>
      <c r="L1467" s="228"/>
      <c r="M1467" s="107"/>
      <c r="N1467" s="229">
        <f>IF(AND(O1467=TRUE,P1467=TRUE), VLOOKUP($E1467,PESSOAL!$B$35:$S$45,MONTH($F1467)+6,FALSE)*G1467*24,0)</f>
        <v>0</v>
      </c>
      <c r="O1467" s="89" t="b">
        <f t="shared" si="1"/>
        <v>0</v>
      </c>
      <c r="P1467" s="89" t="b">
        <v>0</v>
      </c>
      <c r="Q1467" s="89" t="e">
        <v>#N/A</v>
      </c>
    </row>
    <row r="1468" hidden="1">
      <c r="A1468" s="108"/>
      <c r="B1468" s="202"/>
      <c r="C1468" s="202" t="str">
        <f>VLOOKUP(M1468,'#verificação horas por projeto'!A:B,2,FALSE)</f>
        <v>#N/A</v>
      </c>
      <c r="D1468" s="202"/>
      <c r="E1468" s="107"/>
      <c r="F1468" s="211"/>
      <c r="G1468" s="226"/>
      <c r="H1468" s="107"/>
      <c r="I1468" s="227"/>
      <c r="J1468" s="227"/>
      <c r="K1468" s="115"/>
      <c r="L1468" s="228"/>
      <c r="M1468" s="107"/>
      <c r="N1468" s="229">
        <f>IF(AND(O1468=TRUE,P1468=TRUE), VLOOKUP($E1468,PESSOAL!$B$35:$S$45,MONTH($F1468)+6,FALSE)*G1468*24,0)</f>
        <v>0</v>
      </c>
      <c r="O1468" s="89" t="b">
        <f t="shared" si="1"/>
        <v>0</v>
      </c>
      <c r="P1468" s="89" t="b">
        <v>0</v>
      </c>
      <c r="Q1468" s="89" t="e">
        <v>#N/A</v>
      </c>
    </row>
    <row r="1469" hidden="1">
      <c r="A1469" s="108"/>
      <c r="B1469" s="202"/>
      <c r="C1469" s="202" t="str">
        <f>VLOOKUP(M1469,'#verificação horas por projeto'!A:B,2,FALSE)</f>
        <v>#N/A</v>
      </c>
      <c r="D1469" s="202"/>
      <c r="E1469" s="107"/>
      <c r="F1469" s="211"/>
      <c r="G1469" s="226"/>
      <c r="H1469" s="107"/>
      <c r="I1469" s="227"/>
      <c r="J1469" s="227"/>
      <c r="K1469" s="115"/>
      <c r="L1469" s="228"/>
      <c r="M1469" s="107"/>
      <c r="N1469" s="229">
        <f>IF(AND(O1469=TRUE,P1469=TRUE), VLOOKUP($E1469,PESSOAL!$B$35:$S$45,MONTH($F1469)+6,FALSE)*G1469*24,0)</f>
        <v>0</v>
      </c>
      <c r="O1469" s="89" t="b">
        <f t="shared" si="1"/>
        <v>0</v>
      </c>
      <c r="P1469" s="89" t="b">
        <v>0</v>
      </c>
      <c r="Q1469" s="89" t="e">
        <v>#N/A</v>
      </c>
    </row>
    <row r="1470" hidden="1">
      <c r="A1470" s="108"/>
      <c r="B1470" s="202"/>
      <c r="C1470" s="202" t="str">
        <f>VLOOKUP(M1470,'#verificação horas por projeto'!A:B,2,FALSE)</f>
        <v>#N/A</v>
      </c>
      <c r="D1470" s="202"/>
      <c r="E1470" s="107"/>
      <c r="F1470" s="211"/>
      <c r="G1470" s="226"/>
      <c r="H1470" s="107"/>
      <c r="I1470" s="227"/>
      <c r="J1470" s="227"/>
      <c r="K1470" s="115"/>
      <c r="L1470" s="228"/>
      <c r="M1470" s="107"/>
      <c r="N1470" s="229">
        <f>IF(AND(O1470=TRUE,P1470=TRUE), VLOOKUP($E1470,PESSOAL!$B$35:$S$45,MONTH($F1470)+6,FALSE)*G1470*24,0)</f>
        <v>0</v>
      </c>
      <c r="O1470" s="89" t="b">
        <f t="shared" si="1"/>
        <v>0</v>
      </c>
      <c r="P1470" s="89" t="b">
        <v>0</v>
      </c>
      <c r="Q1470" s="89" t="e">
        <v>#N/A</v>
      </c>
    </row>
    <row r="1471" hidden="1">
      <c r="A1471" s="108"/>
      <c r="B1471" s="202"/>
      <c r="C1471" s="202" t="str">
        <f>VLOOKUP(M1471,'#verificação horas por projeto'!A:B,2,FALSE)</f>
        <v>#N/A</v>
      </c>
      <c r="D1471" s="202"/>
      <c r="E1471" s="107"/>
      <c r="F1471" s="211"/>
      <c r="G1471" s="226"/>
      <c r="H1471" s="107"/>
      <c r="I1471" s="227"/>
      <c r="J1471" s="227"/>
      <c r="K1471" s="115"/>
      <c r="L1471" s="228"/>
      <c r="M1471" s="107"/>
      <c r="N1471" s="229">
        <f>IF(AND(O1471=TRUE,P1471=TRUE), VLOOKUP($E1471,PESSOAL!$B$35:$S$45,MONTH($F1471)+6,FALSE)*G1471*24,0)</f>
        <v>0</v>
      </c>
      <c r="O1471" s="89" t="b">
        <f t="shared" si="1"/>
        <v>0</v>
      </c>
      <c r="P1471" s="89" t="b">
        <v>0</v>
      </c>
      <c r="Q1471" s="89" t="e">
        <v>#N/A</v>
      </c>
    </row>
    <row r="1472" hidden="1">
      <c r="A1472" s="108"/>
      <c r="B1472" s="202"/>
      <c r="C1472" s="202" t="str">
        <f>VLOOKUP(M1472,'#verificação horas por projeto'!A:B,2,FALSE)</f>
        <v>#N/A</v>
      </c>
      <c r="D1472" s="202"/>
      <c r="E1472" s="107"/>
      <c r="F1472" s="211"/>
      <c r="G1472" s="226"/>
      <c r="H1472" s="107"/>
      <c r="I1472" s="227"/>
      <c r="J1472" s="227"/>
      <c r="K1472" s="115"/>
      <c r="L1472" s="228"/>
      <c r="M1472" s="107"/>
      <c r="N1472" s="229">
        <f>IF(AND(O1472=TRUE,P1472=TRUE), VLOOKUP($E1472,PESSOAL!$B$35:$S$45,MONTH($F1472)+6,FALSE)*G1472*24,0)</f>
        <v>0</v>
      </c>
      <c r="O1472" s="89" t="b">
        <f t="shared" si="1"/>
        <v>0</v>
      </c>
      <c r="P1472" s="89" t="b">
        <v>0</v>
      </c>
      <c r="Q1472" s="89" t="e">
        <v>#N/A</v>
      </c>
    </row>
    <row r="1473" hidden="1">
      <c r="A1473" s="108"/>
      <c r="B1473" s="202"/>
      <c r="C1473" s="202" t="str">
        <f>VLOOKUP(M1473,'#verificação horas por projeto'!A:B,2,FALSE)</f>
        <v>#N/A</v>
      </c>
      <c r="D1473" s="202"/>
      <c r="E1473" s="107"/>
      <c r="F1473" s="211"/>
      <c r="G1473" s="226"/>
      <c r="H1473" s="107"/>
      <c r="I1473" s="227"/>
      <c r="J1473" s="227"/>
      <c r="K1473" s="115"/>
      <c r="L1473" s="228"/>
      <c r="M1473" s="107"/>
      <c r="N1473" s="229">
        <f>IF(AND(O1473=TRUE,P1473=TRUE), VLOOKUP($E1473,PESSOAL!$B$35:$S$45,MONTH($F1473)+6,FALSE)*G1473*24,0)</f>
        <v>0</v>
      </c>
      <c r="O1473" s="89" t="b">
        <f t="shared" si="1"/>
        <v>0</v>
      </c>
      <c r="P1473" s="89" t="b">
        <v>0</v>
      </c>
      <c r="Q1473" s="89" t="e">
        <v>#N/A</v>
      </c>
    </row>
    <row r="1474" hidden="1">
      <c r="A1474" s="108"/>
      <c r="B1474" s="202"/>
      <c r="C1474" s="202" t="str">
        <f>VLOOKUP(M1474,'#verificação horas por projeto'!A:B,2,FALSE)</f>
        <v>#N/A</v>
      </c>
      <c r="D1474" s="202"/>
      <c r="E1474" s="107"/>
      <c r="F1474" s="211"/>
      <c r="G1474" s="226"/>
      <c r="H1474" s="107"/>
      <c r="I1474" s="227"/>
      <c r="J1474" s="227"/>
      <c r="K1474" s="115"/>
      <c r="L1474" s="228"/>
      <c r="M1474" s="107"/>
      <c r="N1474" s="229">
        <f>IF(AND(O1474=TRUE,P1474=TRUE), VLOOKUP($E1474,PESSOAL!$B$35:$S$45,MONTH($F1474)+6,FALSE)*G1474*24,0)</f>
        <v>0</v>
      </c>
      <c r="O1474" s="89" t="b">
        <f t="shared" si="1"/>
        <v>0</v>
      </c>
      <c r="P1474" s="89" t="b">
        <v>0</v>
      </c>
      <c r="Q1474" s="89" t="e">
        <v>#N/A</v>
      </c>
    </row>
    <row r="1475" hidden="1">
      <c r="A1475" s="108"/>
      <c r="B1475" s="202"/>
      <c r="C1475" s="202" t="str">
        <f>VLOOKUP(M1475,'#verificação horas por projeto'!A:B,2,FALSE)</f>
        <v>#N/A</v>
      </c>
      <c r="D1475" s="202"/>
      <c r="E1475" s="107"/>
      <c r="F1475" s="211"/>
      <c r="G1475" s="226"/>
      <c r="H1475" s="107"/>
      <c r="I1475" s="227"/>
      <c r="J1475" s="227"/>
      <c r="K1475" s="115"/>
      <c r="L1475" s="228"/>
      <c r="M1475" s="107"/>
      <c r="N1475" s="229">
        <f>IF(AND(O1475=TRUE,P1475=TRUE), VLOOKUP($E1475,PESSOAL!$B$35:$S$45,MONTH($F1475)+6,FALSE)*G1475*24,0)</f>
        <v>0</v>
      </c>
      <c r="O1475" s="89" t="b">
        <f t="shared" si="1"/>
        <v>0</v>
      </c>
      <c r="P1475" s="89" t="b">
        <v>0</v>
      </c>
      <c r="Q1475" s="89" t="e">
        <v>#N/A</v>
      </c>
    </row>
    <row r="1476" hidden="1">
      <c r="A1476" s="108"/>
      <c r="B1476" s="202"/>
      <c r="C1476" s="202" t="str">
        <f>VLOOKUP(M1476,'#verificação horas por projeto'!A:B,2,FALSE)</f>
        <v>#N/A</v>
      </c>
      <c r="D1476" s="202"/>
      <c r="E1476" s="107"/>
      <c r="F1476" s="211"/>
      <c r="G1476" s="226"/>
      <c r="H1476" s="107"/>
      <c r="I1476" s="227"/>
      <c r="J1476" s="227"/>
      <c r="K1476" s="115"/>
      <c r="L1476" s="228"/>
      <c r="M1476" s="107"/>
      <c r="N1476" s="229">
        <f>IF(AND(O1476=TRUE,P1476=TRUE), VLOOKUP($E1476,PESSOAL!$B$35:$S$45,MONTH($F1476)+6,FALSE)*G1476*24,0)</f>
        <v>0</v>
      </c>
      <c r="O1476" s="89" t="b">
        <f t="shared" si="1"/>
        <v>0</v>
      </c>
      <c r="P1476" s="89" t="b">
        <v>0</v>
      </c>
      <c r="Q1476" s="89" t="e">
        <v>#N/A</v>
      </c>
    </row>
    <row r="1477" hidden="1">
      <c r="A1477" s="108"/>
      <c r="B1477" s="202"/>
      <c r="C1477" s="202" t="str">
        <f>VLOOKUP(M1477,'#verificação horas por projeto'!A:B,2,FALSE)</f>
        <v>#N/A</v>
      </c>
      <c r="D1477" s="202"/>
      <c r="E1477" s="107"/>
      <c r="F1477" s="211"/>
      <c r="G1477" s="226"/>
      <c r="H1477" s="107"/>
      <c r="I1477" s="227"/>
      <c r="J1477" s="227"/>
      <c r="K1477" s="115"/>
      <c r="L1477" s="228"/>
      <c r="M1477" s="107"/>
      <c r="N1477" s="229">
        <f>IF(AND(O1477=TRUE,P1477=TRUE), VLOOKUP($E1477,PESSOAL!$B$35:$S$45,MONTH($F1477)+6,FALSE)*G1477*24,0)</f>
        <v>0</v>
      </c>
      <c r="O1477" s="89" t="b">
        <f t="shared" si="1"/>
        <v>0</v>
      </c>
      <c r="P1477" s="89" t="b">
        <v>0</v>
      </c>
      <c r="Q1477" s="89" t="e">
        <v>#N/A</v>
      </c>
    </row>
    <row r="1478" hidden="1">
      <c r="A1478" s="108"/>
      <c r="B1478" s="202"/>
      <c r="C1478" s="202" t="str">
        <f>VLOOKUP(M1478,'#verificação horas por projeto'!A:B,2,FALSE)</f>
        <v>#N/A</v>
      </c>
      <c r="D1478" s="202"/>
      <c r="E1478" s="107"/>
      <c r="F1478" s="211"/>
      <c r="G1478" s="226"/>
      <c r="H1478" s="107"/>
      <c r="I1478" s="227"/>
      <c r="J1478" s="227"/>
      <c r="K1478" s="115"/>
      <c r="L1478" s="228"/>
      <c r="M1478" s="107"/>
      <c r="N1478" s="229">
        <f>IF(AND(O1478=TRUE,P1478=TRUE), VLOOKUP($E1478,PESSOAL!$B$35:$S$45,MONTH($F1478)+6,FALSE)*G1478*24,0)</f>
        <v>0</v>
      </c>
      <c r="O1478" s="89" t="b">
        <f t="shared" si="1"/>
        <v>0</v>
      </c>
      <c r="P1478" s="89" t="b">
        <v>0</v>
      </c>
      <c r="Q1478" s="89" t="e">
        <v>#N/A</v>
      </c>
    </row>
    <row r="1479" hidden="1">
      <c r="A1479" s="108"/>
      <c r="B1479" s="202"/>
      <c r="C1479" s="202" t="str">
        <f>VLOOKUP(M1479,'#verificação horas por projeto'!A:B,2,FALSE)</f>
        <v>#N/A</v>
      </c>
      <c r="D1479" s="202"/>
      <c r="E1479" s="107"/>
      <c r="F1479" s="211"/>
      <c r="G1479" s="226"/>
      <c r="H1479" s="107"/>
      <c r="I1479" s="227"/>
      <c r="J1479" s="227"/>
      <c r="K1479" s="115"/>
      <c r="L1479" s="228"/>
      <c r="M1479" s="107"/>
      <c r="N1479" s="229">
        <f>IF(AND(O1479=TRUE,P1479=TRUE), VLOOKUP($E1479,PESSOAL!$B$35:$S$45,MONTH($F1479)+6,FALSE)*G1479*24,0)</f>
        <v>0</v>
      </c>
      <c r="O1479" s="89" t="b">
        <f t="shared" si="1"/>
        <v>0</v>
      </c>
      <c r="P1479" s="89" t="b">
        <v>0</v>
      </c>
      <c r="Q1479" s="89" t="e">
        <v>#N/A</v>
      </c>
    </row>
    <row r="1480" hidden="1">
      <c r="A1480" s="108"/>
      <c r="B1480" s="202"/>
      <c r="C1480" s="202" t="str">
        <f>VLOOKUP(M1480,'#verificação horas por projeto'!A:B,2,FALSE)</f>
        <v>#N/A</v>
      </c>
      <c r="D1480" s="202"/>
      <c r="E1480" s="107"/>
      <c r="F1480" s="211"/>
      <c r="G1480" s="226"/>
      <c r="H1480" s="107"/>
      <c r="I1480" s="227"/>
      <c r="J1480" s="227"/>
      <c r="K1480" s="115"/>
      <c r="L1480" s="228"/>
      <c r="M1480" s="107"/>
      <c r="N1480" s="229">
        <f>IF(AND(O1480=TRUE,P1480=TRUE), VLOOKUP($E1480,PESSOAL!$B$35:$S$45,MONTH($F1480)+6,FALSE)*G1480*24,0)</f>
        <v>0</v>
      </c>
      <c r="O1480" s="89" t="b">
        <f t="shared" si="1"/>
        <v>0</v>
      </c>
      <c r="P1480" s="89" t="b">
        <v>0</v>
      </c>
      <c r="Q1480" s="89" t="e">
        <v>#N/A</v>
      </c>
    </row>
    <row r="1481" hidden="1">
      <c r="A1481" s="108"/>
      <c r="B1481" s="202"/>
      <c r="C1481" s="202" t="str">
        <f>VLOOKUP(M1481,'#verificação horas por projeto'!A:B,2,FALSE)</f>
        <v>#N/A</v>
      </c>
      <c r="D1481" s="202"/>
      <c r="E1481" s="107"/>
      <c r="F1481" s="211"/>
      <c r="G1481" s="226"/>
      <c r="H1481" s="107"/>
      <c r="I1481" s="227"/>
      <c r="J1481" s="227"/>
      <c r="K1481" s="115"/>
      <c r="L1481" s="228"/>
      <c r="M1481" s="107"/>
      <c r="N1481" s="229">
        <f>IF(AND(O1481=TRUE,P1481=TRUE), VLOOKUP($E1481,PESSOAL!$B$35:$S$45,MONTH($F1481)+6,FALSE)*G1481*24,0)</f>
        <v>0</v>
      </c>
      <c r="O1481" s="89" t="b">
        <f t="shared" si="1"/>
        <v>0</v>
      </c>
      <c r="P1481" s="89" t="b">
        <v>0</v>
      </c>
      <c r="Q1481" s="89" t="e">
        <v>#N/A</v>
      </c>
    </row>
    <row r="1482" hidden="1">
      <c r="A1482" s="108"/>
      <c r="B1482" s="202"/>
      <c r="C1482" s="202" t="str">
        <f>VLOOKUP(M1482,'#verificação horas por projeto'!A:B,2,FALSE)</f>
        <v>#N/A</v>
      </c>
      <c r="D1482" s="202"/>
      <c r="E1482" s="107"/>
      <c r="F1482" s="211"/>
      <c r="G1482" s="226"/>
      <c r="H1482" s="107"/>
      <c r="I1482" s="227"/>
      <c r="J1482" s="227"/>
      <c r="K1482" s="115"/>
      <c r="L1482" s="228"/>
      <c r="M1482" s="107"/>
      <c r="N1482" s="229">
        <f>IF(AND(O1482=TRUE,P1482=TRUE), VLOOKUP($E1482,PESSOAL!$B$35:$S$45,MONTH($F1482)+6,FALSE)*G1482*24,0)</f>
        <v>0</v>
      </c>
      <c r="O1482" s="89" t="b">
        <f t="shared" si="1"/>
        <v>0</v>
      </c>
      <c r="P1482" s="89" t="b">
        <v>0</v>
      </c>
      <c r="Q1482" s="89" t="e">
        <v>#N/A</v>
      </c>
    </row>
    <row r="1483" hidden="1">
      <c r="A1483" s="108"/>
      <c r="B1483" s="202"/>
      <c r="C1483" s="202" t="str">
        <f>VLOOKUP(M1483,'#verificação horas por projeto'!A:B,2,FALSE)</f>
        <v>#N/A</v>
      </c>
      <c r="D1483" s="202"/>
      <c r="E1483" s="107"/>
      <c r="F1483" s="211"/>
      <c r="G1483" s="226"/>
      <c r="H1483" s="107"/>
      <c r="I1483" s="227"/>
      <c r="J1483" s="227"/>
      <c r="K1483" s="115"/>
      <c r="L1483" s="228"/>
      <c r="M1483" s="107"/>
      <c r="N1483" s="229">
        <f>IF(AND(O1483=TRUE,P1483=TRUE), VLOOKUP($E1483,PESSOAL!$B$35:$S$45,MONTH($F1483)+6,FALSE)*G1483*24,0)</f>
        <v>0</v>
      </c>
      <c r="O1483" s="89" t="b">
        <f t="shared" si="1"/>
        <v>0</v>
      </c>
      <c r="P1483" s="89" t="b">
        <v>0</v>
      </c>
      <c r="Q1483" s="89" t="e">
        <v>#N/A</v>
      </c>
    </row>
    <row r="1484" hidden="1">
      <c r="A1484" s="108"/>
      <c r="B1484" s="202"/>
      <c r="C1484" s="202" t="str">
        <f>VLOOKUP(M1484,'#verificação horas por projeto'!A:B,2,FALSE)</f>
        <v>#N/A</v>
      </c>
      <c r="D1484" s="202"/>
      <c r="E1484" s="107"/>
      <c r="F1484" s="211"/>
      <c r="G1484" s="226"/>
      <c r="H1484" s="107"/>
      <c r="I1484" s="227"/>
      <c r="J1484" s="227"/>
      <c r="K1484" s="115"/>
      <c r="L1484" s="228"/>
      <c r="M1484" s="107"/>
      <c r="N1484" s="229">
        <f>IF(AND(O1484=TRUE,P1484=TRUE), VLOOKUP($E1484,PESSOAL!$B$35:$S$45,MONTH($F1484)+6,FALSE)*G1484*24,0)</f>
        <v>0</v>
      </c>
      <c r="O1484" s="89" t="b">
        <f t="shared" si="1"/>
        <v>0</v>
      </c>
      <c r="P1484" s="89" t="b">
        <v>0</v>
      </c>
      <c r="Q1484" s="89" t="e">
        <v>#N/A</v>
      </c>
    </row>
    <row r="1485" hidden="1">
      <c r="A1485" s="108"/>
      <c r="B1485" s="202"/>
      <c r="C1485" s="202" t="str">
        <f>VLOOKUP(M1485,'#verificação horas por projeto'!A:B,2,FALSE)</f>
        <v>#N/A</v>
      </c>
      <c r="D1485" s="202"/>
      <c r="E1485" s="107"/>
      <c r="F1485" s="211"/>
      <c r="G1485" s="226"/>
      <c r="H1485" s="107"/>
      <c r="I1485" s="227"/>
      <c r="J1485" s="227"/>
      <c r="K1485" s="115"/>
      <c r="L1485" s="228"/>
      <c r="M1485" s="107"/>
      <c r="N1485" s="229">
        <f>IF(AND(O1485=TRUE,P1485=TRUE), VLOOKUP($E1485,PESSOAL!$B$35:$S$45,MONTH($F1485)+6,FALSE)*G1485*24,0)</f>
        <v>0</v>
      </c>
      <c r="O1485" s="89" t="b">
        <f t="shared" si="1"/>
        <v>0</v>
      </c>
      <c r="P1485" s="89" t="b">
        <v>0</v>
      </c>
      <c r="Q1485" s="89" t="e">
        <v>#N/A</v>
      </c>
    </row>
    <row r="1486" hidden="1">
      <c r="A1486" s="108"/>
      <c r="B1486" s="202"/>
      <c r="C1486" s="202" t="str">
        <f>VLOOKUP(M1486,'#verificação horas por projeto'!A:B,2,FALSE)</f>
        <v>#N/A</v>
      </c>
      <c r="D1486" s="202"/>
      <c r="E1486" s="107"/>
      <c r="F1486" s="211"/>
      <c r="G1486" s="226"/>
      <c r="H1486" s="107"/>
      <c r="I1486" s="227"/>
      <c r="J1486" s="227"/>
      <c r="K1486" s="115"/>
      <c r="L1486" s="228"/>
      <c r="M1486" s="107"/>
      <c r="N1486" s="229">
        <f>IF(AND(O1486=TRUE,P1486=TRUE), VLOOKUP($E1486,PESSOAL!$B$35:$S$45,MONTH($F1486)+6,FALSE)*G1486*24,0)</f>
        <v>0</v>
      </c>
      <c r="O1486" s="89" t="b">
        <f t="shared" si="1"/>
        <v>0</v>
      </c>
      <c r="P1486" s="89" t="b">
        <v>0</v>
      </c>
      <c r="Q1486" s="89" t="e">
        <v>#N/A</v>
      </c>
    </row>
    <row r="1487" hidden="1">
      <c r="A1487" s="108"/>
      <c r="B1487" s="202"/>
      <c r="C1487" s="202" t="str">
        <f>VLOOKUP(M1487,'#verificação horas por projeto'!A:B,2,FALSE)</f>
        <v>#N/A</v>
      </c>
      <c r="D1487" s="202"/>
      <c r="E1487" s="107"/>
      <c r="F1487" s="211"/>
      <c r="G1487" s="226"/>
      <c r="H1487" s="107"/>
      <c r="I1487" s="227"/>
      <c r="J1487" s="227"/>
      <c r="K1487" s="115"/>
      <c r="L1487" s="228"/>
      <c r="M1487" s="107"/>
      <c r="N1487" s="229">
        <f>IF(AND(O1487=TRUE,P1487=TRUE), VLOOKUP($E1487,PESSOAL!$B$35:$S$45,MONTH($F1487)+6,FALSE)*G1487*24,0)</f>
        <v>0</v>
      </c>
      <c r="O1487" s="89" t="b">
        <f t="shared" si="1"/>
        <v>0</v>
      </c>
      <c r="P1487" s="89" t="b">
        <v>0</v>
      </c>
      <c r="Q1487" s="89" t="e">
        <v>#N/A</v>
      </c>
    </row>
    <row r="1488" hidden="1">
      <c r="A1488" s="108"/>
      <c r="B1488" s="202"/>
      <c r="C1488" s="202" t="str">
        <f>VLOOKUP(M1488,'#verificação horas por projeto'!A:B,2,FALSE)</f>
        <v>#N/A</v>
      </c>
      <c r="D1488" s="202"/>
      <c r="E1488" s="107"/>
      <c r="F1488" s="211"/>
      <c r="G1488" s="226"/>
      <c r="H1488" s="107"/>
      <c r="I1488" s="227"/>
      <c r="J1488" s="227"/>
      <c r="K1488" s="115"/>
      <c r="L1488" s="228"/>
      <c r="M1488" s="107"/>
      <c r="N1488" s="229">
        <f>IF(AND(O1488=TRUE,P1488=TRUE), VLOOKUP($E1488,PESSOAL!$B$35:$S$45,MONTH($F1488)+6,FALSE)*G1488*24,0)</f>
        <v>0</v>
      </c>
      <c r="O1488" s="89" t="b">
        <f t="shared" si="1"/>
        <v>0</v>
      </c>
      <c r="P1488" s="89" t="b">
        <v>0</v>
      </c>
      <c r="Q1488" s="89" t="e">
        <v>#N/A</v>
      </c>
    </row>
    <row r="1489" hidden="1">
      <c r="A1489" s="108"/>
      <c r="B1489" s="202"/>
      <c r="C1489" s="202" t="str">
        <f>VLOOKUP(M1489,'#verificação horas por projeto'!A:B,2,FALSE)</f>
        <v>#N/A</v>
      </c>
      <c r="D1489" s="202"/>
      <c r="E1489" s="107"/>
      <c r="F1489" s="211"/>
      <c r="G1489" s="226"/>
      <c r="H1489" s="107"/>
      <c r="I1489" s="227"/>
      <c r="J1489" s="227"/>
      <c r="K1489" s="115"/>
      <c r="L1489" s="228"/>
      <c r="M1489" s="107"/>
      <c r="N1489" s="229">
        <f>IF(AND(O1489=TRUE,P1489=TRUE), VLOOKUP($E1489,PESSOAL!$B$35:$S$45,MONTH($F1489)+6,FALSE)*G1489*24,0)</f>
        <v>0</v>
      </c>
      <c r="O1489" s="89" t="b">
        <f t="shared" si="1"/>
        <v>0</v>
      </c>
      <c r="P1489" s="89" t="b">
        <v>0</v>
      </c>
      <c r="Q1489" s="89" t="e">
        <v>#N/A</v>
      </c>
    </row>
    <row r="1490" hidden="1">
      <c r="A1490" s="108"/>
      <c r="B1490" s="202"/>
      <c r="C1490" s="202" t="str">
        <f>VLOOKUP(M1490,'#verificação horas por projeto'!A:B,2,FALSE)</f>
        <v>#N/A</v>
      </c>
      <c r="D1490" s="202"/>
      <c r="E1490" s="107"/>
      <c r="F1490" s="211"/>
      <c r="G1490" s="226"/>
      <c r="H1490" s="107"/>
      <c r="I1490" s="227"/>
      <c r="J1490" s="227"/>
      <c r="K1490" s="115"/>
      <c r="L1490" s="228"/>
      <c r="M1490" s="107"/>
      <c r="N1490" s="229">
        <f>IF(AND(O1490=TRUE,P1490=TRUE), VLOOKUP($E1490,PESSOAL!$B$35:$S$45,MONTH($F1490)+6,FALSE)*G1490*24,0)</f>
        <v>0</v>
      </c>
      <c r="O1490" s="89" t="b">
        <f t="shared" si="1"/>
        <v>0</v>
      </c>
      <c r="P1490" s="89" t="b">
        <v>0</v>
      </c>
      <c r="Q1490" s="89" t="e">
        <v>#N/A</v>
      </c>
    </row>
    <row r="1491" hidden="1">
      <c r="A1491" s="108"/>
      <c r="B1491" s="202"/>
      <c r="C1491" s="202" t="str">
        <f>VLOOKUP(M1491,'#verificação horas por projeto'!A:B,2,FALSE)</f>
        <v>#N/A</v>
      </c>
      <c r="D1491" s="202"/>
      <c r="E1491" s="107"/>
      <c r="F1491" s="211"/>
      <c r="G1491" s="226"/>
      <c r="H1491" s="107"/>
      <c r="I1491" s="227"/>
      <c r="J1491" s="227"/>
      <c r="K1491" s="115"/>
      <c r="L1491" s="228"/>
      <c r="M1491" s="107"/>
      <c r="N1491" s="229">
        <f>IF(AND(O1491=TRUE,P1491=TRUE), VLOOKUP($E1491,PESSOAL!$B$35:$S$45,MONTH($F1491)+6,FALSE)*G1491*24,0)</f>
        <v>0</v>
      </c>
      <c r="O1491" s="89" t="b">
        <f t="shared" si="1"/>
        <v>0</v>
      </c>
      <c r="P1491" s="89" t="b">
        <v>0</v>
      </c>
      <c r="Q1491" s="89" t="e">
        <v>#N/A</v>
      </c>
    </row>
    <row r="1492" hidden="1">
      <c r="A1492" s="108"/>
      <c r="B1492" s="202"/>
      <c r="C1492" s="202" t="str">
        <f>VLOOKUP(M1492,'#verificação horas por projeto'!A:B,2,FALSE)</f>
        <v>#N/A</v>
      </c>
      <c r="D1492" s="202"/>
      <c r="E1492" s="107"/>
      <c r="F1492" s="211"/>
      <c r="G1492" s="226"/>
      <c r="H1492" s="107"/>
      <c r="I1492" s="227"/>
      <c r="J1492" s="227"/>
      <c r="K1492" s="115"/>
      <c r="L1492" s="228"/>
      <c r="M1492" s="107"/>
      <c r="N1492" s="229">
        <f>IF(AND(O1492=TRUE,P1492=TRUE), VLOOKUP($E1492,PESSOAL!$B$35:$S$45,MONTH($F1492)+6,FALSE)*G1492*24,0)</f>
        <v>0</v>
      </c>
      <c r="O1492" s="89" t="b">
        <f t="shared" si="1"/>
        <v>0</v>
      </c>
      <c r="P1492" s="89" t="b">
        <v>0</v>
      </c>
      <c r="Q1492" s="89" t="e">
        <v>#N/A</v>
      </c>
    </row>
    <row r="1493" hidden="1">
      <c r="A1493" s="108"/>
      <c r="B1493" s="202"/>
      <c r="C1493" s="202" t="str">
        <f>VLOOKUP(M1493,'#verificação horas por projeto'!A:B,2,FALSE)</f>
        <v>#N/A</v>
      </c>
      <c r="D1493" s="202"/>
      <c r="E1493" s="107"/>
      <c r="F1493" s="211"/>
      <c r="G1493" s="226"/>
      <c r="H1493" s="107"/>
      <c r="I1493" s="227"/>
      <c r="J1493" s="227"/>
      <c r="K1493" s="115"/>
      <c r="L1493" s="228"/>
      <c r="M1493" s="107"/>
      <c r="N1493" s="229">
        <f>IF(AND(O1493=TRUE,P1493=TRUE), VLOOKUP($E1493,PESSOAL!$B$35:$S$45,MONTH($F1493)+6,FALSE)*G1493*24,0)</f>
        <v>0</v>
      </c>
      <c r="O1493" s="89" t="b">
        <f t="shared" si="1"/>
        <v>0</v>
      </c>
      <c r="P1493" s="89" t="b">
        <v>0</v>
      </c>
      <c r="Q1493" s="89" t="e">
        <v>#N/A</v>
      </c>
    </row>
    <row r="1494" hidden="1">
      <c r="A1494" s="108"/>
      <c r="B1494" s="202"/>
      <c r="C1494" s="202" t="str">
        <f>VLOOKUP(M1494,'#verificação horas por projeto'!A:B,2,FALSE)</f>
        <v>#N/A</v>
      </c>
      <c r="D1494" s="202"/>
      <c r="E1494" s="107"/>
      <c r="F1494" s="211"/>
      <c r="G1494" s="226"/>
      <c r="H1494" s="107"/>
      <c r="I1494" s="227"/>
      <c r="J1494" s="227"/>
      <c r="K1494" s="115"/>
      <c r="L1494" s="228"/>
      <c r="M1494" s="107"/>
      <c r="N1494" s="229">
        <f>IF(AND(O1494=TRUE,P1494=TRUE), VLOOKUP($E1494,PESSOAL!$B$35:$S$45,MONTH($F1494)+6,FALSE)*G1494*24,0)</f>
        <v>0</v>
      </c>
      <c r="O1494" s="89" t="b">
        <f t="shared" si="1"/>
        <v>0</v>
      </c>
      <c r="P1494" s="89" t="b">
        <v>0</v>
      </c>
      <c r="Q1494" s="89" t="e">
        <v>#N/A</v>
      </c>
    </row>
    <row r="1495" hidden="1">
      <c r="A1495" s="108"/>
      <c r="B1495" s="202"/>
      <c r="C1495" s="202" t="str">
        <f>VLOOKUP(M1495,'#verificação horas por projeto'!A:B,2,FALSE)</f>
        <v>#N/A</v>
      </c>
      <c r="D1495" s="202"/>
      <c r="E1495" s="107"/>
      <c r="F1495" s="211"/>
      <c r="G1495" s="226"/>
      <c r="H1495" s="107"/>
      <c r="I1495" s="227"/>
      <c r="J1495" s="227"/>
      <c r="K1495" s="115"/>
      <c r="L1495" s="228"/>
      <c r="M1495" s="107"/>
      <c r="N1495" s="229">
        <f>IF(AND(O1495=TRUE,P1495=TRUE), VLOOKUP($E1495,PESSOAL!$B$35:$S$45,MONTH($F1495)+6,FALSE)*G1495*24,0)</f>
        <v>0</v>
      </c>
      <c r="O1495" s="89" t="b">
        <f t="shared" si="1"/>
        <v>0</v>
      </c>
      <c r="P1495" s="89" t="b">
        <v>0</v>
      </c>
      <c r="Q1495" s="89" t="e">
        <v>#N/A</v>
      </c>
    </row>
    <row r="1496" hidden="1">
      <c r="A1496" s="108"/>
      <c r="B1496" s="202"/>
      <c r="C1496" s="202" t="str">
        <f>VLOOKUP(M1496,'#verificação horas por projeto'!A:B,2,FALSE)</f>
        <v>#N/A</v>
      </c>
      <c r="D1496" s="202"/>
      <c r="E1496" s="107"/>
      <c r="F1496" s="211"/>
      <c r="G1496" s="226"/>
      <c r="H1496" s="107"/>
      <c r="I1496" s="227"/>
      <c r="J1496" s="227"/>
      <c r="K1496" s="115"/>
      <c r="L1496" s="228"/>
      <c r="M1496" s="107"/>
      <c r="N1496" s="229">
        <f>IF(AND(O1496=TRUE,P1496=TRUE), VLOOKUP($E1496,PESSOAL!$B$35:$S$45,MONTH($F1496)+6,FALSE)*G1496*24,0)</f>
        <v>0</v>
      </c>
      <c r="O1496" s="89" t="b">
        <f t="shared" si="1"/>
        <v>0</v>
      </c>
      <c r="P1496" s="89" t="b">
        <v>0</v>
      </c>
      <c r="Q1496" s="89" t="e">
        <v>#N/A</v>
      </c>
    </row>
    <row r="1497" hidden="1">
      <c r="A1497" s="108"/>
      <c r="B1497" s="202"/>
      <c r="C1497" s="202" t="str">
        <f>VLOOKUP(M1497,'#verificação horas por projeto'!A:B,2,FALSE)</f>
        <v>#N/A</v>
      </c>
      <c r="D1497" s="202"/>
      <c r="E1497" s="107"/>
      <c r="F1497" s="211"/>
      <c r="G1497" s="226"/>
      <c r="H1497" s="107"/>
      <c r="I1497" s="227"/>
      <c r="J1497" s="227"/>
      <c r="K1497" s="115"/>
      <c r="L1497" s="228"/>
      <c r="M1497" s="107"/>
      <c r="N1497" s="229">
        <f>IF(AND(O1497=TRUE,P1497=TRUE), VLOOKUP($E1497,PESSOAL!$B$35:$S$45,MONTH($F1497)+6,FALSE)*G1497*24,0)</f>
        <v>0</v>
      </c>
      <c r="O1497" s="89" t="b">
        <f t="shared" si="1"/>
        <v>0</v>
      </c>
      <c r="P1497" s="89" t="b">
        <v>0</v>
      </c>
      <c r="Q1497" s="89" t="e">
        <v>#N/A</v>
      </c>
    </row>
    <row r="1498" hidden="1">
      <c r="A1498" s="108"/>
      <c r="B1498" s="202"/>
      <c r="C1498" s="202" t="str">
        <f>VLOOKUP(M1498,'#verificação horas por projeto'!A:B,2,FALSE)</f>
        <v>#N/A</v>
      </c>
      <c r="D1498" s="202"/>
      <c r="E1498" s="107"/>
      <c r="F1498" s="211"/>
      <c r="G1498" s="226"/>
      <c r="H1498" s="107"/>
      <c r="I1498" s="227"/>
      <c r="J1498" s="227"/>
      <c r="K1498" s="115"/>
      <c r="L1498" s="228"/>
      <c r="M1498" s="107"/>
      <c r="N1498" s="229">
        <f>IF(AND(O1498=TRUE,P1498=TRUE), VLOOKUP($E1498,PESSOAL!$B$35:$S$45,MONTH($F1498)+6,FALSE)*G1498*24,0)</f>
        <v>0</v>
      </c>
      <c r="O1498" s="89" t="b">
        <f t="shared" si="1"/>
        <v>0</v>
      </c>
      <c r="P1498" s="89" t="b">
        <v>0</v>
      </c>
      <c r="Q1498" s="89" t="e">
        <v>#N/A</v>
      </c>
    </row>
    <row r="1499" hidden="1">
      <c r="A1499" s="108"/>
      <c r="B1499" s="202"/>
      <c r="C1499" s="202" t="str">
        <f>VLOOKUP(M1499,'#verificação horas por projeto'!A:B,2,FALSE)</f>
        <v>#N/A</v>
      </c>
      <c r="D1499" s="202"/>
      <c r="E1499" s="107"/>
      <c r="F1499" s="211"/>
      <c r="G1499" s="226"/>
      <c r="H1499" s="107"/>
      <c r="I1499" s="227"/>
      <c r="J1499" s="227"/>
      <c r="K1499" s="115"/>
      <c r="L1499" s="228"/>
      <c r="M1499" s="107"/>
      <c r="N1499" s="229">
        <f>IF(AND(O1499=TRUE,P1499=TRUE), VLOOKUP($E1499,PESSOAL!$B$35:$S$45,MONTH($F1499)+6,FALSE)*G1499*24,0)</f>
        <v>0</v>
      </c>
      <c r="O1499" s="89" t="b">
        <f t="shared" si="1"/>
        <v>0</v>
      </c>
      <c r="P1499" s="89" t="b">
        <v>0</v>
      </c>
      <c r="Q1499" s="89" t="e">
        <v>#N/A</v>
      </c>
    </row>
    <row r="1500" hidden="1">
      <c r="A1500" s="108"/>
      <c r="B1500" s="202"/>
      <c r="C1500" s="202" t="str">
        <f>VLOOKUP(M1500,'#verificação horas por projeto'!A:B,2,FALSE)</f>
        <v>#N/A</v>
      </c>
      <c r="D1500" s="202"/>
      <c r="E1500" s="107"/>
      <c r="F1500" s="211"/>
      <c r="G1500" s="226"/>
      <c r="H1500" s="107"/>
      <c r="I1500" s="227"/>
      <c r="J1500" s="227"/>
      <c r="K1500" s="115"/>
      <c r="L1500" s="228"/>
      <c r="M1500" s="107"/>
      <c r="N1500" s="229">
        <f>IF(AND(O1500=TRUE,P1500=TRUE), VLOOKUP($E1500,PESSOAL!$B$35:$S$45,MONTH($F1500)+6,FALSE)*G1500*24,0)</f>
        <v>0</v>
      </c>
      <c r="O1500" s="89" t="b">
        <f t="shared" si="1"/>
        <v>0</v>
      </c>
      <c r="P1500" s="89" t="b">
        <v>0</v>
      </c>
      <c r="Q1500" s="89" t="e">
        <v>#N/A</v>
      </c>
    </row>
    <row r="1501" hidden="1">
      <c r="A1501" s="108"/>
      <c r="B1501" s="202"/>
      <c r="C1501" s="202" t="str">
        <f>VLOOKUP(M1501,'#verificação horas por projeto'!A:B,2,FALSE)</f>
        <v>#N/A</v>
      </c>
      <c r="D1501" s="202"/>
      <c r="E1501" s="107"/>
      <c r="F1501" s="211"/>
      <c r="G1501" s="226"/>
      <c r="H1501" s="107"/>
      <c r="I1501" s="227"/>
      <c r="J1501" s="227"/>
      <c r="K1501" s="115"/>
      <c r="L1501" s="228"/>
      <c r="M1501" s="107"/>
      <c r="N1501" s="229">
        <f>IF(AND(O1501=TRUE,P1501=TRUE), VLOOKUP($E1501,PESSOAL!$B$35:$S$45,MONTH($F1501)+6,FALSE)*G1501*24,0)</f>
        <v>0</v>
      </c>
      <c r="O1501" s="89" t="b">
        <f t="shared" si="1"/>
        <v>0</v>
      </c>
      <c r="P1501" s="89" t="b">
        <v>0</v>
      </c>
      <c r="Q1501" s="89" t="e">
        <v>#N/A</v>
      </c>
    </row>
    <row r="1502" hidden="1">
      <c r="A1502" s="108"/>
      <c r="B1502" s="202"/>
      <c r="C1502" s="202" t="str">
        <f>VLOOKUP(M1502,'#verificação horas por projeto'!A:B,2,FALSE)</f>
        <v>#N/A</v>
      </c>
      <c r="D1502" s="202"/>
      <c r="E1502" s="107"/>
      <c r="F1502" s="211"/>
      <c r="G1502" s="226"/>
      <c r="H1502" s="107"/>
      <c r="I1502" s="227"/>
      <c r="J1502" s="227"/>
      <c r="K1502" s="115"/>
      <c r="L1502" s="228"/>
      <c r="M1502" s="107"/>
      <c r="N1502" s="229">
        <f>IF(AND(O1502=TRUE,P1502=TRUE), VLOOKUP($E1502,PESSOAL!$B$35:$S$45,MONTH($F1502)+6,FALSE)*G1502*24,0)</f>
        <v>0</v>
      </c>
      <c r="O1502" s="89" t="b">
        <f t="shared" si="1"/>
        <v>0</v>
      </c>
      <c r="P1502" s="89" t="b">
        <v>0</v>
      </c>
      <c r="Q1502" s="89" t="e">
        <v>#N/A</v>
      </c>
    </row>
    <row r="1503" hidden="1">
      <c r="A1503" s="108"/>
      <c r="B1503" s="202"/>
      <c r="C1503" s="202" t="str">
        <f>VLOOKUP(M1503,'#verificação horas por projeto'!A:B,2,FALSE)</f>
        <v>#N/A</v>
      </c>
      <c r="D1503" s="202"/>
      <c r="E1503" s="107"/>
      <c r="F1503" s="211"/>
      <c r="G1503" s="226"/>
      <c r="H1503" s="107"/>
      <c r="I1503" s="227"/>
      <c r="J1503" s="227"/>
      <c r="K1503" s="115"/>
      <c r="L1503" s="228"/>
      <c r="M1503" s="107"/>
      <c r="N1503" s="229">
        <f>IF(AND(O1503=TRUE,P1503=TRUE), VLOOKUP($E1503,PESSOAL!$B$35:$S$45,MONTH($F1503)+6,FALSE)*G1503*24,0)</f>
        <v>0</v>
      </c>
      <c r="O1503" s="89" t="b">
        <f t="shared" si="1"/>
        <v>0</v>
      </c>
      <c r="P1503" s="89" t="b">
        <v>0</v>
      </c>
      <c r="Q1503" s="89" t="e">
        <v>#N/A</v>
      </c>
    </row>
    <row r="1504" hidden="1">
      <c r="A1504" s="108"/>
      <c r="B1504" s="202"/>
      <c r="C1504" s="202" t="str">
        <f>VLOOKUP(M1504,'#verificação horas por projeto'!A:B,2,FALSE)</f>
        <v>#N/A</v>
      </c>
      <c r="D1504" s="202"/>
      <c r="E1504" s="107"/>
      <c r="F1504" s="211"/>
      <c r="G1504" s="226"/>
      <c r="H1504" s="107"/>
      <c r="I1504" s="227"/>
      <c r="J1504" s="227"/>
      <c r="K1504" s="115"/>
      <c r="L1504" s="228"/>
      <c r="M1504" s="107"/>
      <c r="N1504" s="229">
        <f>IF(AND(O1504=TRUE,P1504=TRUE), VLOOKUP($E1504,PESSOAL!$B$35:$S$45,MONTH($F1504)+6,FALSE)*G1504*24,0)</f>
        <v>0</v>
      </c>
      <c r="O1504" s="89" t="b">
        <f t="shared" si="1"/>
        <v>0</v>
      </c>
      <c r="P1504" s="89" t="b">
        <v>0</v>
      </c>
      <c r="Q1504" s="89" t="e">
        <v>#N/A</v>
      </c>
    </row>
    <row r="1505" hidden="1">
      <c r="A1505" s="108"/>
      <c r="B1505" s="202"/>
      <c r="C1505" s="202" t="str">
        <f>VLOOKUP(M1505,'#verificação horas por projeto'!A:B,2,FALSE)</f>
        <v>#N/A</v>
      </c>
      <c r="D1505" s="202"/>
      <c r="E1505" s="107"/>
      <c r="F1505" s="211"/>
      <c r="G1505" s="226"/>
      <c r="H1505" s="107"/>
      <c r="I1505" s="227"/>
      <c r="J1505" s="227"/>
      <c r="K1505" s="115"/>
      <c r="L1505" s="228"/>
      <c r="M1505" s="107"/>
      <c r="N1505" s="229">
        <f>IF(AND(O1505=TRUE,P1505=TRUE), VLOOKUP($E1505,PESSOAL!$B$35:$S$45,MONTH($F1505)+6,FALSE)*G1505*24,0)</f>
        <v>0</v>
      </c>
      <c r="O1505" s="89" t="b">
        <f t="shared" si="1"/>
        <v>0</v>
      </c>
      <c r="P1505" s="89" t="b">
        <v>0</v>
      </c>
      <c r="Q1505" s="89" t="e">
        <v>#N/A</v>
      </c>
    </row>
    <row r="1506" hidden="1">
      <c r="A1506" s="108"/>
      <c r="B1506" s="202"/>
      <c r="C1506" s="202" t="str">
        <f>VLOOKUP(M1506,'#verificação horas por projeto'!A:B,2,FALSE)</f>
        <v>#N/A</v>
      </c>
      <c r="D1506" s="202"/>
      <c r="E1506" s="107"/>
      <c r="F1506" s="211"/>
      <c r="G1506" s="226"/>
      <c r="H1506" s="129"/>
      <c r="I1506" s="227"/>
      <c r="J1506" s="227"/>
      <c r="K1506" s="115"/>
      <c r="L1506" s="228"/>
      <c r="M1506" s="107"/>
      <c r="N1506" s="229">
        <f>IF(AND(O1506=TRUE,P1506=TRUE), VLOOKUP($E1506,PESSOAL!$B$35:$S$45,MONTH($F1506)+6,FALSE)*G1506*24,0)</f>
        <v>0</v>
      </c>
      <c r="O1506" s="89" t="b">
        <f t="shared" si="1"/>
        <v>0</v>
      </c>
      <c r="P1506" s="89" t="b">
        <v>0</v>
      </c>
      <c r="Q1506" s="89" t="e">
        <v>#N/A</v>
      </c>
    </row>
    <row r="1507" hidden="1">
      <c r="A1507" s="108"/>
      <c r="B1507" s="202"/>
      <c r="C1507" s="202" t="str">
        <f>VLOOKUP(M1507,'#verificação horas por projeto'!A:B,2,FALSE)</f>
        <v>#N/A</v>
      </c>
      <c r="D1507" s="202"/>
      <c r="E1507" s="107"/>
      <c r="F1507" s="211"/>
      <c r="G1507" s="226"/>
      <c r="H1507" s="107"/>
      <c r="I1507" s="227"/>
      <c r="J1507" s="227"/>
      <c r="K1507" s="115"/>
      <c r="L1507" s="228"/>
      <c r="M1507" s="107"/>
      <c r="N1507" s="229">
        <f>IF(AND(O1507=TRUE,P1507=TRUE), VLOOKUP($E1507,PESSOAL!$B$35:$S$45,MONTH($F1507)+6,FALSE)*G1507*24,0)</f>
        <v>0</v>
      </c>
      <c r="O1507" s="89" t="b">
        <f t="shared" si="1"/>
        <v>0</v>
      </c>
      <c r="P1507" s="89" t="b">
        <v>0</v>
      </c>
      <c r="Q1507" s="89" t="e">
        <v>#N/A</v>
      </c>
    </row>
    <row r="1508" hidden="1">
      <c r="A1508" s="108"/>
      <c r="B1508" s="202"/>
      <c r="C1508" s="202" t="str">
        <f>VLOOKUP(M1508,'#verificação horas por projeto'!A:B,2,FALSE)</f>
        <v>#N/A</v>
      </c>
      <c r="D1508" s="202"/>
      <c r="E1508" s="107"/>
      <c r="F1508" s="211"/>
      <c r="G1508" s="226"/>
      <c r="H1508" s="107"/>
      <c r="I1508" s="227"/>
      <c r="J1508" s="227"/>
      <c r="K1508" s="115"/>
      <c r="L1508" s="228"/>
      <c r="M1508" s="107"/>
      <c r="N1508" s="229">
        <f>IF(AND(O1508=TRUE,P1508=TRUE), VLOOKUP($E1508,PESSOAL!$B$35:$S$45,MONTH($F1508)+6,FALSE)*G1508*24,0)</f>
        <v>0</v>
      </c>
      <c r="O1508" s="89" t="b">
        <f t="shared" si="1"/>
        <v>0</v>
      </c>
      <c r="P1508" s="89" t="b">
        <v>0</v>
      </c>
      <c r="Q1508" s="89" t="e">
        <v>#N/A</v>
      </c>
    </row>
    <row r="1509" hidden="1">
      <c r="A1509" s="108"/>
      <c r="B1509" s="202"/>
      <c r="C1509" s="202" t="str">
        <f>VLOOKUP(M1509,'#verificação horas por projeto'!A:B,2,FALSE)</f>
        <v>#N/A</v>
      </c>
      <c r="D1509" s="202"/>
      <c r="E1509" s="107"/>
      <c r="F1509" s="211"/>
      <c r="G1509" s="226"/>
      <c r="H1509" s="107"/>
      <c r="I1509" s="227"/>
      <c r="J1509" s="227"/>
      <c r="K1509" s="115"/>
      <c r="L1509" s="228"/>
      <c r="M1509" s="107"/>
      <c r="N1509" s="229">
        <f>IF(AND(O1509=TRUE,P1509=TRUE), VLOOKUP($E1509,PESSOAL!$B$35:$S$45,MONTH($F1509)+6,FALSE)*G1509*24,0)</f>
        <v>0</v>
      </c>
      <c r="O1509" s="89" t="b">
        <f t="shared" si="1"/>
        <v>0</v>
      </c>
      <c r="P1509" s="89" t="b">
        <v>0</v>
      </c>
      <c r="Q1509" s="89" t="e">
        <v>#N/A</v>
      </c>
    </row>
    <row r="1510" hidden="1">
      <c r="A1510" s="108"/>
      <c r="B1510" s="202"/>
      <c r="C1510" s="202" t="str">
        <f>VLOOKUP(M1510,'#verificação horas por projeto'!A:B,2,FALSE)</f>
        <v>#N/A</v>
      </c>
      <c r="D1510" s="202"/>
      <c r="E1510" s="107"/>
      <c r="F1510" s="211"/>
      <c r="G1510" s="226"/>
      <c r="H1510" s="107"/>
      <c r="I1510" s="227"/>
      <c r="J1510" s="227"/>
      <c r="K1510" s="115"/>
      <c r="L1510" s="228"/>
      <c r="M1510" s="107"/>
      <c r="N1510" s="229">
        <f>IF(AND(O1510=TRUE,P1510=TRUE), VLOOKUP($E1510,PESSOAL!$B$35:$S$45,MONTH($F1510)+6,FALSE)*G1510*24,0)</f>
        <v>0</v>
      </c>
      <c r="O1510" s="89" t="b">
        <f t="shared" si="1"/>
        <v>0</v>
      </c>
      <c r="P1510" s="89" t="b">
        <v>0</v>
      </c>
      <c r="Q1510" s="89" t="e">
        <v>#N/A</v>
      </c>
    </row>
    <row r="1511" hidden="1">
      <c r="A1511" s="108"/>
      <c r="B1511" s="202"/>
      <c r="C1511" s="202" t="str">
        <f>VLOOKUP(M1511,'#verificação horas por projeto'!A:B,2,FALSE)</f>
        <v>#N/A</v>
      </c>
      <c r="D1511" s="202"/>
      <c r="E1511" s="107"/>
      <c r="F1511" s="205"/>
      <c r="G1511" s="226"/>
      <c r="H1511" s="107"/>
      <c r="I1511" s="227"/>
      <c r="J1511" s="227"/>
      <c r="K1511" s="115"/>
      <c r="L1511" s="228"/>
      <c r="M1511" s="107"/>
      <c r="N1511" s="229">
        <f>IF(AND(O1511=TRUE,P1511=TRUE), VLOOKUP($E1511,PESSOAL!$B$35:$S$45,MONTH($F1511)+6,FALSE)*G1511*24,0)</f>
        <v>0</v>
      </c>
      <c r="O1511" s="89" t="b">
        <f t="shared" si="1"/>
        <v>0</v>
      </c>
      <c r="P1511" s="89" t="b">
        <v>0</v>
      </c>
      <c r="Q1511" s="89" t="e">
        <v>#N/A</v>
      </c>
    </row>
    <row r="1512" hidden="1">
      <c r="A1512" s="108"/>
      <c r="B1512" s="202"/>
      <c r="C1512" s="202" t="str">
        <f>VLOOKUP(M1512,'#verificação horas por projeto'!A:B,2,FALSE)</f>
        <v>#N/A</v>
      </c>
      <c r="D1512" s="202"/>
      <c r="E1512" s="107"/>
      <c r="F1512" s="205"/>
      <c r="G1512" s="226"/>
      <c r="H1512" s="107"/>
      <c r="I1512" s="227"/>
      <c r="J1512" s="227"/>
      <c r="K1512" s="115"/>
      <c r="L1512" s="228"/>
      <c r="M1512" s="107"/>
      <c r="N1512" s="229">
        <f>IF(AND(O1512=TRUE,P1512=TRUE), VLOOKUP($E1512,PESSOAL!$B$35:$S$45,MONTH($F1512)+6,FALSE)*G1512*24,0)</f>
        <v>0</v>
      </c>
      <c r="O1512" s="89" t="b">
        <f t="shared" si="1"/>
        <v>0</v>
      </c>
      <c r="P1512" s="89" t="b">
        <v>0</v>
      </c>
      <c r="Q1512" s="89" t="e">
        <v>#N/A</v>
      </c>
    </row>
    <row r="1513" hidden="1">
      <c r="A1513" s="108"/>
      <c r="B1513" s="202"/>
      <c r="C1513" s="202" t="str">
        <f>VLOOKUP(M1513,'#verificação horas por projeto'!A:B,2,FALSE)</f>
        <v>#N/A</v>
      </c>
      <c r="D1513" s="202"/>
      <c r="E1513" s="107"/>
      <c r="F1513" s="205"/>
      <c r="G1513" s="226"/>
      <c r="H1513" s="107"/>
      <c r="I1513" s="227"/>
      <c r="J1513" s="227"/>
      <c r="K1513" s="115"/>
      <c r="L1513" s="228"/>
      <c r="M1513" s="107"/>
      <c r="N1513" s="229">
        <f>IF(AND(O1513=TRUE,P1513=TRUE), VLOOKUP($E1513,PESSOAL!$B$35:$S$45,MONTH($F1513)+6,FALSE)*G1513*24,0)</f>
        <v>0</v>
      </c>
      <c r="O1513" s="89" t="b">
        <f t="shared" si="1"/>
        <v>0</v>
      </c>
      <c r="P1513" s="89" t="b">
        <v>0</v>
      </c>
      <c r="Q1513" s="89" t="e">
        <v>#N/A</v>
      </c>
    </row>
    <row r="1514" hidden="1">
      <c r="A1514" s="108"/>
      <c r="B1514" s="202"/>
      <c r="C1514" s="202" t="str">
        <f>VLOOKUP(M1514,'#verificação horas por projeto'!A:B,2,FALSE)</f>
        <v>#N/A</v>
      </c>
      <c r="D1514" s="202"/>
      <c r="E1514" s="107"/>
      <c r="F1514" s="205"/>
      <c r="G1514" s="226"/>
      <c r="H1514" s="107"/>
      <c r="I1514" s="227"/>
      <c r="J1514" s="227"/>
      <c r="K1514" s="115"/>
      <c r="L1514" s="228"/>
      <c r="M1514" s="107"/>
      <c r="N1514" s="229">
        <f>IF(AND(O1514=TRUE,P1514=TRUE), VLOOKUP($E1514,PESSOAL!$B$35:$S$45,MONTH($F1514)+6,FALSE)*G1514*24,0)</f>
        <v>0</v>
      </c>
      <c r="O1514" s="89" t="b">
        <f t="shared" si="1"/>
        <v>0</v>
      </c>
      <c r="P1514" s="89" t="b">
        <v>0</v>
      </c>
      <c r="Q1514" s="89" t="e">
        <v>#N/A</v>
      </c>
    </row>
    <row r="1515" hidden="1">
      <c r="A1515" s="108"/>
      <c r="B1515" s="202"/>
      <c r="C1515" s="202" t="str">
        <f>VLOOKUP(M1515,'#verificação horas por projeto'!A:B,2,FALSE)</f>
        <v>#N/A</v>
      </c>
      <c r="D1515" s="202"/>
      <c r="E1515" s="107"/>
      <c r="F1515" s="205"/>
      <c r="G1515" s="226"/>
      <c r="H1515" s="107"/>
      <c r="I1515" s="227"/>
      <c r="J1515" s="227"/>
      <c r="K1515" s="115"/>
      <c r="L1515" s="228"/>
      <c r="M1515" s="107"/>
      <c r="N1515" s="229">
        <f>IF(AND(O1515=TRUE,P1515=TRUE), VLOOKUP($E1515,PESSOAL!$B$35:$S$45,MONTH($F1515)+6,FALSE)*G1515*24,0)</f>
        <v>0</v>
      </c>
      <c r="O1515" s="89" t="b">
        <f t="shared" si="1"/>
        <v>0</v>
      </c>
      <c r="P1515" s="89" t="b">
        <v>0</v>
      </c>
      <c r="Q1515" s="89" t="e">
        <v>#N/A</v>
      </c>
    </row>
    <row r="1516" hidden="1">
      <c r="A1516" s="108"/>
      <c r="B1516" s="202"/>
      <c r="C1516" s="202" t="str">
        <f>VLOOKUP(M1516,'#verificação horas por projeto'!A:B,2,FALSE)</f>
        <v>#N/A</v>
      </c>
      <c r="D1516" s="202"/>
      <c r="E1516" s="107"/>
      <c r="F1516" s="205"/>
      <c r="G1516" s="226"/>
      <c r="H1516" s="107"/>
      <c r="I1516" s="227"/>
      <c r="J1516" s="227"/>
      <c r="K1516" s="115"/>
      <c r="L1516" s="228"/>
      <c r="M1516" s="107"/>
      <c r="N1516" s="229">
        <f>IF(AND(O1516=TRUE,P1516=TRUE), VLOOKUP($E1516,PESSOAL!$B$35:$S$45,MONTH($F1516)+6,FALSE)*G1516*24,0)</f>
        <v>0</v>
      </c>
      <c r="O1516" s="89" t="b">
        <f t="shared" si="1"/>
        <v>0</v>
      </c>
      <c r="P1516" s="89" t="b">
        <v>0</v>
      </c>
      <c r="Q1516" s="89" t="e">
        <v>#N/A</v>
      </c>
    </row>
    <row r="1517" hidden="1">
      <c r="A1517" s="108"/>
      <c r="B1517" s="202"/>
      <c r="C1517" s="202" t="str">
        <f>VLOOKUP(M1517,'#verificação horas por projeto'!A:B,2,FALSE)</f>
        <v>#N/A</v>
      </c>
      <c r="D1517" s="202"/>
      <c r="E1517" s="107"/>
      <c r="F1517" s="205"/>
      <c r="G1517" s="226"/>
      <c r="H1517" s="107"/>
      <c r="I1517" s="227"/>
      <c r="J1517" s="227"/>
      <c r="K1517" s="115"/>
      <c r="L1517" s="228"/>
      <c r="M1517" s="107"/>
      <c r="N1517" s="229">
        <f>IF(AND(O1517=TRUE,P1517=TRUE), VLOOKUP($E1517,PESSOAL!$B$35:$S$45,MONTH($F1517)+6,FALSE)*G1517*24,0)</f>
        <v>0</v>
      </c>
      <c r="O1517" s="89" t="b">
        <f t="shared" si="1"/>
        <v>0</v>
      </c>
      <c r="P1517" s="89" t="b">
        <v>0</v>
      </c>
      <c r="Q1517" s="89" t="e">
        <v>#N/A</v>
      </c>
    </row>
    <row r="1518" hidden="1">
      <c r="A1518" s="108"/>
      <c r="B1518" s="202"/>
      <c r="C1518" s="202" t="str">
        <f>VLOOKUP(M1518,'#verificação horas por projeto'!A:B,2,FALSE)</f>
        <v>#N/A</v>
      </c>
      <c r="D1518" s="202"/>
      <c r="E1518" s="107"/>
      <c r="F1518" s="205"/>
      <c r="G1518" s="226"/>
      <c r="H1518" s="107"/>
      <c r="I1518" s="227"/>
      <c r="J1518" s="227"/>
      <c r="K1518" s="115"/>
      <c r="L1518" s="228"/>
      <c r="M1518" s="107"/>
      <c r="N1518" s="229">
        <f>IF(AND(O1518=TRUE,P1518=TRUE), VLOOKUP($E1518,PESSOAL!$B$35:$S$45,MONTH($F1518)+6,FALSE)*G1518*24,0)</f>
        <v>0</v>
      </c>
      <c r="O1518" s="89" t="b">
        <f t="shared" si="1"/>
        <v>0</v>
      </c>
      <c r="P1518" s="89" t="b">
        <v>0</v>
      </c>
      <c r="Q1518" s="89" t="e">
        <v>#N/A</v>
      </c>
    </row>
    <row r="1519" hidden="1">
      <c r="A1519" s="108"/>
      <c r="B1519" s="202"/>
      <c r="C1519" s="202" t="str">
        <f>VLOOKUP(M1519,'#verificação horas por projeto'!A:B,2,FALSE)</f>
        <v>#N/A</v>
      </c>
      <c r="D1519" s="202"/>
      <c r="E1519" s="107"/>
      <c r="F1519" s="205"/>
      <c r="G1519" s="226"/>
      <c r="H1519" s="107"/>
      <c r="I1519" s="227"/>
      <c r="J1519" s="227"/>
      <c r="K1519" s="115"/>
      <c r="L1519" s="228"/>
      <c r="M1519" s="107"/>
      <c r="N1519" s="229">
        <f>IF(AND(O1519=TRUE,P1519=TRUE), VLOOKUP($E1519,PESSOAL!$B$35:$S$45,MONTH($F1519)+6,FALSE)*G1519*24,0)</f>
        <v>0</v>
      </c>
      <c r="O1519" s="89" t="b">
        <f t="shared" si="1"/>
        <v>0</v>
      </c>
      <c r="P1519" s="89" t="b">
        <v>0</v>
      </c>
      <c r="Q1519" s="89" t="e">
        <v>#N/A</v>
      </c>
    </row>
    <row r="1520" hidden="1">
      <c r="A1520" s="108"/>
      <c r="B1520" s="202"/>
      <c r="C1520" s="202" t="str">
        <f>VLOOKUP(M1520,'#verificação horas por projeto'!A:B,2,FALSE)</f>
        <v>#N/A</v>
      </c>
      <c r="D1520" s="202"/>
      <c r="E1520" s="107"/>
      <c r="F1520" s="205"/>
      <c r="G1520" s="226"/>
      <c r="H1520" s="107"/>
      <c r="I1520" s="227"/>
      <c r="J1520" s="227"/>
      <c r="K1520" s="115"/>
      <c r="L1520" s="228"/>
      <c r="M1520" s="107"/>
      <c r="N1520" s="229">
        <f>IF(AND(O1520=TRUE,P1520=TRUE), VLOOKUP($E1520,PESSOAL!$B$35:$S$45,MONTH($F1520)+6,FALSE)*G1520*24,0)</f>
        <v>0</v>
      </c>
      <c r="O1520" s="89" t="b">
        <f t="shared" si="1"/>
        <v>0</v>
      </c>
      <c r="P1520" s="89" t="b">
        <v>0</v>
      </c>
      <c r="Q1520" s="89" t="e">
        <v>#N/A</v>
      </c>
    </row>
    <row r="1521" hidden="1">
      <c r="A1521" s="108"/>
      <c r="B1521" s="202"/>
      <c r="C1521" s="202" t="str">
        <f>VLOOKUP(M1521,'#verificação horas por projeto'!A:B,2,FALSE)</f>
        <v>#N/A</v>
      </c>
      <c r="D1521" s="202"/>
      <c r="E1521" s="107"/>
      <c r="F1521" s="205"/>
      <c r="G1521" s="226"/>
      <c r="H1521" s="107"/>
      <c r="I1521" s="227"/>
      <c r="J1521" s="227"/>
      <c r="K1521" s="115"/>
      <c r="L1521" s="228"/>
      <c r="M1521" s="107"/>
      <c r="N1521" s="229">
        <f>IF(AND(O1521=TRUE,P1521=TRUE), VLOOKUP($E1521,PESSOAL!$B$35:$S$45,MONTH($F1521)+6,FALSE)*G1521*24,0)</f>
        <v>0</v>
      </c>
      <c r="O1521" s="89"/>
      <c r="P1521" s="89" t="b">
        <v>0</v>
      </c>
      <c r="Q1521" s="89" t="e">
        <v>#N/A</v>
      </c>
    </row>
    <row r="1522" hidden="1">
      <c r="A1522" s="108"/>
      <c r="B1522" s="202"/>
      <c r="C1522" s="202" t="str">
        <f>VLOOKUP(M1522,'#verificação horas por projeto'!A:B,2,FALSE)</f>
        <v>#N/A</v>
      </c>
      <c r="D1522" s="202"/>
      <c r="E1522" s="107"/>
      <c r="F1522" s="205"/>
      <c r="G1522" s="226"/>
      <c r="H1522" s="107"/>
      <c r="I1522" s="227"/>
      <c r="J1522" s="227"/>
      <c r="K1522" s="115"/>
      <c r="L1522" s="228"/>
      <c r="M1522" s="107"/>
      <c r="N1522" s="229">
        <f>IF(AND(O1522=TRUE,P1522=TRUE), VLOOKUP($E1522,PESSOAL!$B$35:$S$45,MONTH($F1522)+6,FALSE)*G1522*24,0)</f>
        <v>0</v>
      </c>
      <c r="O1522" s="89"/>
      <c r="P1522" s="89" t="b">
        <v>0</v>
      </c>
      <c r="Q1522" s="89" t="e">
        <v>#N/A</v>
      </c>
    </row>
    <row r="1523" hidden="1">
      <c r="A1523" s="108"/>
      <c r="B1523" s="202"/>
      <c r="C1523" s="202" t="str">
        <f>VLOOKUP(M1523,'#verificação horas por projeto'!A:B,2,FALSE)</f>
        <v>#N/A</v>
      </c>
      <c r="D1523" s="202"/>
      <c r="E1523" s="107"/>
      <c r="F1523" s="205"/>
      <c r="G1523" s="226"/>
      <c r="H1523" s="107"/>
      <c r="I1523" s="227"/>
      <c r="J1523" s="227"/>
      <c r="K1523" s="115"/>
      <c r="L1523" s="228"/>
      <c r="M1523" s="107"/>
      <c r="N1523" s="229">
        <f>IF(AND(O1523=TRUE,P1523=TRUE), VLOOKUP($E1523,PESSOAL!$B$35:$S$45,MONTH($F1523)+6,FALSE)*G1523*24,0)</f>
        <v>0</v>
      </c>
      <c r="O1523" s="89"/>
      <c r="P1523" s="89" t="b">
        <v>0</v>
      </c>
      <c r="Q1523" s="89" t="e">
        <v>#N/A</v>
      </c>
    </row>
    <row r="1524" hidden="1">
      <c r="A1524" s="108"/>
      <c r="B1524" s="202"/>
      <c r="C1524" s="202" t="str">
        <f>VLOOKUP(M1524,'#verificação horas por projeto'!A:B,2,FALSE)</f>
        <v>#N/A</v>
      </c>
      <c r="D1524" s="202"/>
      <c r="E1524" s="107"/>
      <c r="F1524" s="205"/>
      <c r="G1524" s="226"/>
      <c r="H1524" s="107"/>
      <c r="I1524" s="227"/>
      <c r="J1524" s="227"/>
      <c r="K1524" s="115"/>
      <c r="L1524" s="228"/>
      <c r="M1524" s="107"/>
      <c r="N1524" s="229">
        <f>IF(AND(O1524=TRUE,P1524=TRUE), VLOOKUP($E1524,PESSOAL!$B$35:$S$45,MONTH($F1524)+6,FALSE)*G1524*24,0)</f>
        <v>0</v>
      </c>
      <c r="O1524" s="89"/>
      <c r="P1524" s="89" t="b">
        <v>0</v>
      </c>
      <c r="Q1524" s="89" t="e">
        <v>#N/A</v>
      </c>
    </row>
    <row r="1525" hidden="1">
      <c r="A1525" s="108"/>
      <c r="B1525" s="202"/>
      <c r="C1525" s="202" t="str">
        <f>VLOOKUP(M1525,'#verificação horas por projeto'!A:B,2,FALSE)</f>
        <v>#N/A</v>
      </c>
      <c r="D1525" s="202"/>
      <c r="E1525" s="107"/>
      <c r="F1525" s="205"/>
      <c r="G1525" s="226"/>
      <c r="H1525" s="107"/>
      <c r="I1525" s="227"/>
      <c r="J1525" s="227"/>
      <c r="K1525" s="115"/>
      <c r="L1525" s="228"/>
      <c r="M1525" s="107"/>
      <c r="N1525" s="229">
        <f>IF(AND(O1525=TRUE,P1525=TRUE), VLOOKUP($E1525,PESSOAL!$B$35:$S$45,MONTH($F1525)+6,FALSE)*G1525*24,0)</f>
        <v>0</v>
      </c>
      <c r="O1525" s="89"/>
      <c r="P1525" s="89" t="b">
        <v>0</v>
      </c>
      <c r="Q1525" s="89" t="e">
        <v>#N/A</v>
      </c>
    </row>
    <row r="1526" hidden="1">
      <c r="A1526" s="108"/>
      <c r="B1526" s="202"/>
      <c r="C1526" s="202" t="str">
        <f>VLOOKUP(M1526,'#verificação horas por projeto'!A:B,2,FALSE)</f>
        <v>#N/A</v>
      </c>
      <c r="D1526" s="202"/>
      <c r="E1526" s="107"/>
      <c r="F1526" s="205"/>
      <c r="G1526" s="226"/>
      <c r="H1526" s="107"/>
      <c r="I1526" s="227"/>
      <c r="J1526" s="227"/>
      <c r="K1526" s="115"/>
      <c r="L1526" s="228"/>
      <c r="M1526" s="107"/>
      <c r="N1526" s="229">
        <f>IF(AND(O1526=TRUE,P1526=TRUE), VLOOKUP($E1526,PESSOAL!$B$35:$S$45,MONTH($F1526)+6,FALSE)*G1526*24,0)</f>
        <v>0</v>
      </c>
      <c r="O1526" s="89"/>
      <c r="P1526" s="89" t="b">
        <v>0</v>
      </c>
      <c r="Q1526" s="89" t="e">
        <v>#N/A</v>
      </c>
    </row>
    <row r="1527" hidden="1">
      <c r="A1527" s="108"/>
      <c r="B1527" s="202"/>
      <c r="C1527" s="202" t="str">
        <f>VLOOKUP(M1527,'#verificação horas por projeto'!A:B,2,FALSE)</f>
        <v>#N/A</v>
      </c>
      <c r="D1527" s="202"/>
      <c r="E1527" s="107"/>
      <c r="F1527" s="205"/>
      <c r="G1527" s="226"/>
      <c r="H1527" s="107"/>
      <c r="I1527" s="227"/>
      <c r="J1527" s="227"/>
      <c r="K1527" s="115"/>
      <c r="L1527" s="228"/>
      <c r="M1527" s="107"/>
      <c r="N1527" s="229">
        <f>IF(AND(O1527=TRUE,P1527=TRUE), VLOOKUP($E1527,PESSOAL!$B$35:$S$45,MONTH($F1527)+6,FALSE)*G1527*24,0)</f>
        <v>0</v>
      </c>
      <c r="O1527" s="89"/>
      <c r="P1527" s="89" t="b">
        <v>0</v>
      </c>
      <c r="Q1527" s="89" t="e">
        <v>#N/A</v>
      </c>
    </row>
    <row r="1528" hidden="1">
      <c r="A1528" s="108"/>
      <c r="B1528" s="202"/>
      <c r="C1528" s="202" t="str">
        <f>VLOOKUP(M1528,'#verificação horas por projeto'!A:B,2,FALSE)</f>
        <v>#N/A</v>
      </c>
      <c r="D1528" s="202"/>
      <c r="E1528" s="107"/>
      <c r="F1528" s="205"/>
      <c r="G1528" s="226"/>
      <c r="H1528" s="107"/>
      <c r="I1528" s="227"/>
      <c r="J1528" s="227"/>
      <c r="K1528" s="115"/>
      <c r="L1528" s="228"/>
      <c r="M1528" s="107"/>
      <c r="N1528" s="229">
        <f>IF(AND(O1528=TRUE,P1528=TRUE), VLOOKUP($E1528,PESSOAL!$B$35:$S$45,MONTH($F1528)+6,FALSE)*G1528*24,0)</f>
        <v>0</v>
      </c>
      <c r="O1528" s="89"/>
      <c r="P1528" s="89" t="b">
        <v>0</v>
      </c>
      <c r="Q1528" s="89" t="e">
        <v>#N/A</v>
      </c>
    </row>
    <row r="1529" hidden="1">
      <c r="A1529" s="108"/>
      <c r="B1529" s="202"/>
      <c r="C1529" s="202" t="str">
        <f>VLOOKUP(M1529,'#verificação horas por projeto'!A:B,2,FALSE)</f>
        <v>#N/A</v>
      </c>
      <c r="D1529" s="202"/>
      <c r="E1529" s="107"/>
      <c r="F1529" s="205"/>
      <c r="G1529" s="226"/>
      <c r="H1529" s="107"/>
      <c r="I1529" s="227"/>
      <c r="J1529" s="227"/>
      <c r="K1529" s="115"/>
      <c r="L1529" s="228"/>
      <c r="M1529" s="107"/>
      <c r="N1529" s="229">
        <f>IF(AND(O1529=TRUE,P1529=TRUE), VLOOKUP($E1529,PESSOAL!$B$35:$S$45,MONTH($F1529)+6,FALSE)*G1529*24,0)</f>
        <v>0</v>
      </c>
      <c r="O1529" s="89"/>
      <c r="P1529" s="89" t="b">
        <v>0</v>
      </c>
      <c r="Q1529" s="89" t="e">
        <v>#N/A</v>
      </c>
    </row>
    <row r="1530" hidden="1">
      <c r="A1530" s="108"/>
      <c r="B1530" s="202"/>
      <c r="C1530" s="202" t="str">
        <f>VLOOKUP(M1530,'#verificação horas por projeto'!A:B,2,FALSE)</f>
        <v>#N/A</v>
      </c>
      <c r="D1530" s="202"/>
      <c r="E1530" s="107"/>
      <c r="F1530" s="205"/>
      <c r="G1530" s="226"/>
      <c r="H1530" s="107"/>
      <c r="I1530" s="227"/>
      <c r="J1530" s="227"/>
      <c r="K1530" s="115"/>
      <c r="L1530" s="228"/>
      <c r="M1530" s="107"/>
      <c r="N1530" s="229">
        <f>IF(AND(O1530=TRUE,P1530=TRUE), VLOOKUP($E1530,PESSOAL!$B$35:$S$45,MONTH($F1530)+6,FALSE)*G1530*24,0)</f>
        <v>0</v>
      </c>
      <c r="O1530" s="89"/>
      <c r="P1530" s="89" t="b">
        <v>0</v>
      </c>
      <c r="Q1530" s="89" t="e">
        <v>#N/A</v>
      </c>
    </row>
    <row r="1531" hidden="1">
      <c r="A1531" s="108"/>
      <c r="B1531" s="202"/>
      <c r="C1531" s="202" t="str">
        <f>VLOOKUP(M1531,'#verificação horas por projeto'!A:B,2,FALSE)</f>
        <v>#N/A</v>
      </c>
      <c r="D1531" s="202"/>
      <c r="E1531" s="107"/>
      <c r="F1531" s="205"/>
      <c r="G1531" s="226"/>
      <c r="H1531" s="107"/>
      <c r="I1531" s="227"/>
      <c r="J1531" s="227"/>
      <c r="K1531" s="115"/>
      <c r="L1531" s="228"/>
      <c r="M1531" s="107"/>
      <c r="N1531" s="229">
        <f>IF(AND(O1531=TRUE,P1531=TRUE), VLOOKUP($E1531,PESSOAL!$B$35:$S$45,MONTH($F1531)+6,FALSE)*G1531*24,0)</f>
        <v>0</v>
      </c>
      <c r="O1531" s="89"/>
      <c r="P1531" s="89" t="b">
        <v>0</v>
      </c>
      <c r="Q1531" s="89" t="e">
        <v>#N/A</v>
      </c>
    </row>
    <row r="1532" hidden="1">
      <c r="A1532" s="108"/>
      <c r="B1532" s="202"/>
      <c r="C1532" s="202" t="str">
        <f>VLOOKUP(M1532,'#verificação horas por projeto'!A:B,2,FALSE)</f>
        <v>#N/A</v>
      </c>
      <c r="D1532" s="202"/>
      <c r="E1532" s="107"/>
      <c r="F1532" s="205"/>
      <c r="G1532" s="226"/>
      <c r="H1532" s="107"/>
      <c r="I1532" s="227"/>
      <c r="J1532" s="227"/>
      <c r="K1532" s="115"/>
      <c r="L1532" s="228"/>
      <c r="M1532" s="107"/>
      <c r="N1532" s="229">
        <f>IF(AND(O1532=TRUE,P1532=TRUE), VLOOKUP($E1532,PESSOAL!$B$35:$S$45,MONTH($F1532)+6,FALSE)*G1532*24,0)</f>
        <v>0</v>
      </c>
      <c r="O1532" s="89"/>
      <c r="P1532" s="89" t="b">
        <v>0</v>
      </c>
      <c r="Q1532" s="89" t="e">
        <v>#N/A</v>
      </c>
    </row>
    <row r="1533" hidden="1">
      <c r="A1533" s="108"/>
      <c r="B1533" s="202"/>
      <c r="C1533" s="202" t="str">
        <f>VLOOKUP(M1533,'#verificação horas por projeto'!A:B,2,FALSE)</f>
        <v>#N/A</v>
      </c>
      <c r="D1533" s="202"/>
      <c r="E1533" s="107"/>
      <c r="F1533" s="205"/>
      <c r="G1533" s="226"/>
      <c r="H1533" s="107"/>
      <c r="I1533" s="227"/>
      <c r="J1533" s="227"/>
      <c r="K1533" s="115"/>
      <c r="L1533" s="228"/>
      <c r="M1533" s="107"/>
      <c r="N1533" s="229">
        <f>IF(AND(O1533=TRUE,P1533=TRUE), VLOOKUP($E1533,PESSOAL!$B$35:$S$45,MONTH($F1533)+6,FALSE)*G1533*24,0)</f>
        <v>0</v>
      </c>
      <c r="O1533" s="89"/>
      <c r="P1533" s="89" t="b">
        <v>0</v>
      </c>
      <c r="Q1533" s="89" t="e">
        <v>#N/A</v>
      </c>
    </row>
    <row r="1534" hidden="1">
      <c r="A1534" s="108"/>
      <c r="B1534" s="202"/>
      <c r="C1534" s="202" t="str">
        <f>VLOOKUP(M1534,'#verificação horas por projeto'!A:B,2,FALSE)</f>
        <v>#N/A</v>
      </c>
      <c r="D1534" s="202"/>
      <c r="E1534" s="107"/>
      <c r="F1534" s="205"/>
      <c r="G1534" s="226"/>
      <c r="H1534" s="107"/>
      <c r="I1534" s="227"/>
      <c r="J1534" s="227"/>
      <c r="K1534" s="115"/>
      <c r="L1534" s="228"/>
      <c r="M1534" s="107"/>
      <c r="N1534" s="229">
        <f>IF(AND(O1534=TRUE,P1534=TRUE), VLOOKUP($E1534,PESSOAL!$B$35:$S$45,MONTH($F1534)+6,FALSE)*G1534*24,0)</f>
        <v>0</v>
      </c>
      <c r="O1534" s="89"/>
      <c r="P1534" s="89" t="b">
        <v>0</v>
      </c>
      <c r="Q1534" s="89" t="e">
        <v>#N/A</v>
      </c>
    </row>
    <row r="1535" hidden="1">
      <c r="A1535" s="108"/>
      <c r="B1535" s="202"/>
      <c r="C1535" s="202" t="str">
        <f>VLOOKUP(M1535,'#verificação horas por projeto'!A:B,2,FALSE)</f>
        <v>#N/A</v>
      </c>
      <c r="D1535" s="202"/>
      <c r="E1535" s="107"/>
      <c r="F1535" s="205"/>
      <c r="G1535" s="226"/>
      <c r="H1535" s="107"/>
      <c r="I1535" s="227"/>
      <c r="J1535" s="227"/>
      <c r="K1535" s="115"/>
      <c r="L1535" s="228"/>
      <c r="M1535" s="107"/>
      <c r="N1535" s="229">
        <f>IF(AND(O1535=TRUE,P1535=TRUE), VLOOKUP($E1535,PESSOAL!$B$35:$S$45,MONTH($F1535)+6,FALSE)*G1535*24,0)</f>
        <v>0</v>
      </c>
      <c r="O1535" s="89"/>
      <c r="P1535" s="89" t="b">
        <v>0</v>
      </c>
      <c r="Q1535" s="89" t="e">
        <v>#N/A</v>
      </c>
    </row>
    <row r="1536" hidden="1">
      <c r="A1536" s="108"/>
      <c r="B1536" s="202"/>
      <c r="C1536" s="202" t="str">
        <f>VLOOKUP(M1536,'#verificação horas por projeto'!A:B,2,FALSE)</f>
        <v>#N/A</v>
      </c>
      <c r="D1536" s="202"/>
      <c r="E1536" s="107"/>
      <c r="F1536" s="205"/>
      <c r="G1536" s="226"/>
      <c r="H1536" s="107"/>
      <c r="I1536" s="227"/>
      <c r="J1536" s="227"/>
      <c r="K1536" s="115"/>
      <c r="L1536" s="228"/>
      <c r="M1536" s="107"/>
      <c r="N1536" s="229">
        <f>IF(AND(O1536=TRUE,P1536=TRUE), VLOOKUP($E1536,PESSOAL!$B$35:$S$45,MONTH($F1536)+6,FALSE)*G1536*24,0)</f>
        <v>0</v>
      </c>
      <c r="O1536" s="89"/>
      <c r="P1536" s="89" t="b">
        <v>0</v>
      </c>
      <c r="Q1536" s="89" t="e">
        <v>#N/A</v>
      </c>
    </row>
    <row r="1537" hidden="1">
      <c r="A1537" s="108"/>
      <c r="B1537" s="202"/>
      <c r="C1537" s="202" t="str">
        <f>VLOOKUP(M1537,'#verificação horas por projeto'!A:B,2,FALSE)</f>
        <v>#N/A</v>
      </c>
      <c r="D1537" s="202"/>
      <c r="E1537" s="107"/>
      <c r="F1537" s="205"/>
      <c r="G1537" s="226"/>
      <c r="H1537" s="107"/>
      <c r="I1537" s="227"/>
      <c r="J1537" s="227"/>
      <c r="K1537" s="115"/>
      <c r="L1537" s="228"/>
      <c r="M1537" s="107"/>
      <c r="N1537" s="229">
        <f>IF(AND(O1537=TRUE,P1537=TRUE), VLOOKUP($E1537,PESSOAL!$B$35:$S$45,MONTH($F1537)+6,FALSE)*G1537*24,0)</f>
        <v>0</v>
      </c>
      <c r="O1537" s="89"/>
      <c r="P1537" s="89" t="b">
        <v>0</v>
      </c>
      <c r="Q1537" s="89" t="e">
        <v>#N/A</v>
      </c>
    </row>
    <row r="1538" hidden="1">
      <c r="A1538" s="108"/>
      <c r="B1538" s="202"/>
      <c r="C1538" s="202" t="str">
        <f>VLOOKUP(M1538,'#verificação horas por projeto'!A:B,2,FALSE)</f>
        <v>#N/A</v>
      </c>
      <c r="D1538" s="202"/>
      <c r="E1538" s="107"/>
      <c r="F1538" s="205"/>
      <c r="G1538" s="226"/>
      <c r="H1538" s="107"/>
      <c r="I1538" s="227"/>
      <c r="J1538" s="227"/>
      <c r="K1538" s="115"/>
      <c r="L1538" s="228"/>
      <c r="M1538" s="107"/>
      <c r="N1538" s="229">
        <f>IF(AND(O1538=TRUE,P1538=TRUE), VLOOKUP($E1538,PESSOAL!$B$35:$S$45,MONTH($F1538)+6,FALSE)*G1538*24,0)</f>
        <v>0</v>
      </c>
      <c r="O1538" s="89"/>
      <c r="P1538" s="89" t="b">
        <v>0</v>
      </c>
      <c r="Q1538" s="89" t="e">
        <v>#N/A</v>
      </c>
    </row>
    <row r="1539" hidden="1">
      <c r="A1539" s="108"/>
      <c r="B1539" s="202"/>
      <c r="C1539" s="202" t="str">
        <f>VLOOKUP(M1539,'#verificação horas por projeto'!A:B,2,FALSE)</f>
        <v>#N/A</v>
      </c>
      <c r="D1539" s="202"/>
      <c r="E1539" s="107"/>
      <c r="F1539" s="205"/>
      <c r="G1539" s="226"/>
      <c r="H1539" s="107"/>
      <c r="I1539" s="227"/>
      <c r="J1539" s="227"/>
      <c r="K1539" s="115"/>
      <c r="L1539" s="228"/>
      <c r="M1539" s="107"/>
      <c r="N1539" s="229">
        <f>IF(AND(O1539=TRUE,P1539=TRUE), VLOOKUP($E1539,PESSOAL!$B$35:$S$45,MONTH($F1539)+6,FALSE)*G1539*24,0)</f>
        <v>0</v>
      </c>
      <c r="O1539" s="89"/>
      <c r="P1539" s="89" t="b">
        <v>0</v>
      </c>
      <c r="Q1539" s="89" t="e">
        <v>#N/A</v>
      </c>
    </row>
    <row r="1540" hidden="1">
      <c r="A1540" s="108"/>
      <c r="B1540" s="202"/>
      <c r="C1540" s="202" t="str">
        <f>VLOOKUP(M1540,'#verificação horas por projeto'!A:B,2,FALSE)</f>
        <v>#N/A</v>
      </c>
      <c r="D1540" s="202"/>
      <c r="E1540" s="107"/>
      <c r="F1540" s="205"/>
      <c r="G1540" s="226"/>
      <c r="H1540" s="107"/>
      <c r="I1540" s="227"/>
      <c r="J1540" s="227"/>
      <c r="K1540" s="115"/>
      <c r="L1540" s="228"/>
      <c r="M1540" s="107"/>
      <c r="N1540" s="229">
        <f>IF(AND(O1540=TRUE,P1540=TRUE), VLOOKUP($E1540,PESSOAL!$B$35:$S$45,MONTH($F1540)+6,FALSE)*G1540*24,0)</f>
        <v>0</v>
      </c>
      <c r="O1540" s="89"/>
      <c r="P1540" s="89" t="b">
        <v>0</v>
      </c>
      <c r="Q1540" s="89" t="e">
        <v>#N/A</v>
      </c>
    </row>
    <row r="1541" hidden="1">
      <c r="A1541" s="108"/>
      <c r="B1541" s="202"/>
      <c r="C1541" s="202" t="str">
        <f>VLOOKUP(M1541,'#verificação horas por projeto'!A:B,2,FALSE)</f>
        <v>#N/A</v>
      </c>
      <c r="D1541" s="202"/>
      <c r="E1541" s="107"/>
      <c r="F1541" s="205"/>
      <c r="G1541" s="226"/>
      <c r="H1541" s="107"/>
      <c r="I1541" s="227"/>
      <c r="J1541" s="227"/>
      <c r="K1541" s="115"/>
      <c r="L1541" s="228"/>
      <c r="M1541" s="107"/>
      <c r="N1541" s="229">
        <f>IF(AND(O1541=TRUE,P1541=TRUE), VLOOKUP($E1541,PESSOAL!$B$35:$S$45,MONTH($F1541)+6,FALSE)*G1541*24,0)</f>
        <v>0</v>
      </c>
      <c r="O1541" s="89"/>
      <c r="P1541" s="89" t="b">
        <v>0</v>
      </c>
      <c r="Q1541" s="89" t="e">
        <v>#N/A</v>
      </c>
    </row>
    <row r="1542" hidden="1">
      <c r="A1542" s="108"/>
      <c r="B1542" s="202"/>
      <c r="C1542" s="202" t="str">
        <f>VLOOKUP(M1542,'#verificação horas por projeto'!A:B,2,FALSE)</f>
        <v>#N/A</v>
      </c>
      <c r="D1542" s="202"/>
      <c r="E1542" s="107"/>
      <c r="F1542" s="205"/>
      <c r="G1542" s="226"/>
      <c r="H1542" s="107"/>
      <c r="I1542" s="227"/>
      <c r="J1542" s="227"/>
      <c r="K1542" s="115"/>
      <c r="L1542" s="228"/>
      <c r="M1542" s="107"/>
      <c r="N1542" s="229">
        <f>IF(AND(O1542=TRUE,P1542=TRUE), VLOOKUP($E1542,PESSOAL!$B$35:$S$45,MONTH($F1542)+6,FALSE)*G1542*24,0)</f>
        <v>0</v>
      </c>
      <c r="O1542" s="89"/>
      <c r="P1542" s="89" t="b">
        <v>0</v>
      </c>
      <c r="Q1542" s="89" t="e">
        <v>#N/A</v>
      </c>
    </row>
    <row r="1543" hidden="1">
      <c r="A1543" s="108"/>
      <c r="B1543" s="202"/>
      <c r="C1543" s="202" t="str">
        <f>VLOOKUP(M1543,'#verificação horas por projeto'!A:B,2,FALSE)</f>
        <v>#N/A</v>
      </c>
      <c r="D1543" s="202"/>
      <c r="E1543" s="107"/>
      <c r="F1543" s="205"/>
      <c r="G1543" s="226"/>
      <c r="H1543" s="107"/>
      <c r="I1543" s="227"/>
      <c r="J1543" s="227"/>
      <c r="K1543" s="115"/>
      <c r="L1543" s="228"/>
      <c r="M1543" s="107"/>
      <c r="N1543" s="229">
        <f>IF(AND(O1543=TRUE,P1543=TRUE), VLOOKUP($E1543,PESSOAL!$B$35:$S$45,MONTH($F1543)+6,FALSE)*G1543*24,0)</f>
        <v>0</v>
      </c>
      <c r="O1543" s="89"/>
      <c r="P1543" s="89" t="b">
        <v>0</v>
      </c>
      <c r="Q1543" s="89" t="e">
        <v>#N/A</v>
      </c>
    </row>
    <row r="1544" hidden="1">
      <c r="A1544" s="108"/>
      <c r="B1544" s="202"/>
      <c r="C1544" s="202" t="str">
        <f>VLOOKUP(M1544,'#verificação horas por projeto'!A:B,2,FALSE)</f>
        <v>#N/A</v>
      </c>
      <c r="D1544" s="202"/>
      <c r="E1544" s="107"/>
      <c r="F1544" s="205"/>
      <c r="G1544" s="226"/>
      <c r="H1544" s="107"/>
      <c r="I1544" s="227"/>
      <c r="J1544" s="227"/>
      <c r="K1544" s="115"/>
      <c r="L1544" s="228"/>
      <c r="M1544" s="107"/>
      <c r="N1544" s="229">
        <f>IF(AND(O1544=TRUE,P1544=TRUE), VLOOKUP($E1544,PESSOAL!$B$35:$S$45,MONTH($F1544)+6,FALSE)*G1544*24,0)</f>
        <v>0</v>
      </c>
      <c r="O1544" s="89"/>
      <c r="P1544" s="89" t="b">
        <v>0</v>
      </c>
      <c r="Q1544" s="89" t="e">
        <v>#N/A</v>
      </c>
    </row>
    <row r="1545" hidden="1">
      <c r="A1545" s="108"/>
      <c r="B1545" s="202"/>
      <c r="C1545" s="202" t="str">
        <f>VLOOKUP(M1545,'#verificação horas por projeto'!A:B,2,FALSE)</f>
        <v>#N/A</v>
      </c>
      <c r="D1545" s="202"/>
      <c r="E1545" s="107"/>
      <c r="F1545" s="205"/>
      <c r="G1545" s="226"/>
      <c r="H1545" s="107"/>
      <c r="I1545" s="227"/>
      <c r="J1545" s="227"/>
      <c r="K1545" s="115"/>
      <c r="L1545" s="228"/>
      <c r="M1545" s="107"/>
      <c r="N1545" s="229">
        <f>IF(AND(O1545=TRUE,P1545=TRUE), VLOOKUP($E1545,PESSOAL!$B$35:$S$45,MONTH($F1545)+6,FALSE)*G1545*24,0)</f>
        <v>0</v>
      </c>
      <c r="O1545" s="89"/>
      <c r="P1545" s="89" t="b">
        <v>0</v>
      </c>
      <c r="Q1545" s="89" t="e">
        <v>#N/A</v>
      </c>
    </row>
    <row r="1546" hidden="1">
      <c r="A1546" s="108"/>
      <c r="B1546" s="202"/>
      <c r="C1546" s="202" t="str">
        <f>VLOOKUP(M1546,'#verificação horas por projeto'!A:B,2,FALSE)</f>
        <v>#N/A</v>
      </c>
      <c r="D1546" s="202"/>
      <c r="E1546" s="107"/>
      <c r="F1546" s="205"/>
      <c r="G1546" s="226"/>
      <c r="H1546" s="107"/>
      <c r="I1546" s="227"/>
      <c r="J1546" s="227"/>
      <c r="K1546" s="115"/>
      <c r="L1546" s="228"/>
      <c r="M1546" s="107"/>
      <c r="N1546" s="229">
        <f>IF(AND(O1546=TRUE,P1546=TRUE), VLOOKUP($E1546,PESSOAL!$B$35:$S$45,MONTH($F1546)+6,FALSE)*G1546*24,0)</f>
        <v>0</v>
      </c>
      <c r="O1546" s="89"/>
      <c r="P1546" s="89" t="b">
        <v>0</v>
      </c>
      <c r="Q1546" s="89" t="e">
        <v>#N/A</v>
      </c>
    </row>
    <row r="1547" hidden="1">
      <c r="A1547" s="108"/>
      <c r="B1547" s="202"/>
      <c r="C1547" s="202" t="str">
        <f>VLOOKUP(M1547,'#verificação horas por projeto'!A:B,2,FALSE)</f>
        <v>#N/A</v>
      </c>
      <c r="D1547" s="202"/>
      <c r="E1547" s="107"/>
      <c r="F1547" s="205"/>
      <c r="G1547" s="226"/>
      <c r="H1547" s="107"/>
      <c r="I1547" s="227"/>
      <c r="J1547" s="227"/>
      <c r="K1547" s="115"/>
      <c r="L1547" s="228"/>
      <c r="M1547" s="107"/>
      <c r="N1547" s="229">
        <f>IF(AND(O1547=TRUE,P1547=TRUE), VLOOKUP($E1547,PESSOAL!$B$35:$S$45,MONTH($F1547)+6,FALSE)*G1547*24,0)</f>
        <v>0</v>
      </c>
      <c r="O1547" s="89"/>
      <c r="P1547" s="89" t="b">
        <v>0</v>
      </c>
      <c r="Q1547" s="89" t="e">
        <v>#N/A</v>
      </c>
    </row>
    <row r="1548" hidden="1">
      <c r="A1548" s="108"/>
      <c r="B1548" s="202"/>
      <c r="C1548" s="202" t="str">
        <f>VLOOKUP(M1548,'#verificação horas por projeto'!A:B,2,FALSE)</f>
        <v>#N/A</v>
      </c>
      <c r="D1548" s="202"/>
      <c r="E1548" s="107"/>
      <c r="F1548" s="205"/>
      <c r="G1548" s="226"/>
      <c r="H1548" s="107"/>
      <c r="I1548" s="227"/>
      <c r="J1548" s="227"/>
      <c r="K1548" s="115"/>
      <c r="L1548" s="228"/>
      <c r="M1548" s="107"/>
      <c r="N1548" s="229">
        <f>IF(AND(O1548=TRUE,P1548=TRUE), VLOOKUP($E1548,PESSOAL!$B$35:$S$45,MONTH($F1548)+6,FALSE)*G1548*24,0)</f>
        <v>0</v>
      </c>
      <c r="O1548" s="89"/>
      <c r="P1548" s="89" t="b">
        <v>0</v>
      </c>
      <c r="Q1548" s="89" t="e">
        <v>#N/A</v>
      </c>
    </row>
    <row r="1549" hidden="1">
      <c r="A1549" s="108"/>
      <c r="B1549" s="202"/>
      <c r="C1549" s="202" t="str">
        <f>VLOOKUP(M1549,'#verificação horas por projeto'!A:B,2,FALSE)</f>
        <v>#N/A</v>
      </c>
      <c r="D1549" s="202"/>
      <c r="E1549" s="107"/>
      <c r="F1549" s="205"/>
      <c r="G1549" s="226"/>
      <c r="H1549" s="107"/>
      <c r="I1549" s="227"/>
      <c r="J1549" s="227"/>
      <c r="K1549" s="115"/>
      <c r="L1549" s="228"/>
      <c r="M1549" s="107"/>
      <c r="N1549" s="229">
        <f>IF(AND(O1549=TRUE,P1549=TRUE), VLOOKUP($E1549,PESSOAL!$B$35:$S$45,MONTH($F1549)+6,FALSE)*G1549*24,0)</f>
        <v>0</v>
      </c>
      <c r="O1549" s="89"/>
      <c r="P1549" s="89" t="b">
        <v>0</v>
      </c>
      <c r="Q1549" s="89" t="e">
        <v>#N/A</v>
      </c>
    </row>
    <row r="1550" hidden="1">
      <c r="A1550" s="108"/>
      <c r="B1550" s="202"/>
      <c r="C1550" s="202" t="str">
        <f>VLOOKUP(M1550,'#verificação horas por projeto'!A:B,2,FALSE)</f>
        <v>#N/A</v>
      </c>
      <c r="D1550" s="202"/>
      <c r="E1550" s="107"/>
      <c r="F1550" s="205"/>
      <c r="G1550" s="226"/>
      <c r="H1550" s="107"/>
      <c r="I1550" s="227"/>
      <c r="J1550" s="227"/>
      <c r="K1550" s="115"/>
      <c r="L1550" s="228"/>
      <c r="M1550" s="107"/>
      <c r="N1550" s="229">
        <f>IF(AND(O1550=TRUE,P1550=TRUE), VLOOKUP($E1550,PESSOAL!$B$35:$S$45,MONTH($F1550)+6,FALSE)*G1550*24,0)</f>
        <v>0</v>
      </c>
      <c r="O1550" s="89"/>
      <c r="P1550" s="89" t="b">
        <v>0</v>
      </c>
      <c r="Q1550" s="89" t="e">
        <v>#N/A</v>
      </c>
    </row>
    <row r="1551" hidden="1">
      <c r="A1551" s="108"/>
      <c r="B1551" s="202"/>
      <c r="C1551" s="202" t="str">
        <f>VLOOKUP(M1551,'#verificação horas por projeto'!A:B,2,FALSE)</f>
        <v>#N/A</v>
      </c>
      <c r="D1551" s="202"/>
      <c r="E1551" s="107"/>
      <c r="F1551" s="205"/>
      <c r="G1551" s="226"/>
      <c r="H1551" s="107"/>
      <c r="I1551" s="227"/>
      <c r="J1551" s="227"/>
      <c r="K1551" s="115"/>
      <c r="L1551" s="228"/>
      <c r="M1551" s="107"/>
      <c r="N1551" s="229">
        <f>IF(AND(O1551=TRUE,P1551=TRUE), VLOOKUP($E1551,PESSOAL!$B$35:$S$45,MONTH($F1551)+6,FALSE)*G1551*24,0)</f>
        <v>0</v>
      </c>
      <c r="O1551" s="89"/>
      <c r="P1551" s="89" t="b">
        <v>0</v>
      </c>
      <c r="Q1551" s="89" t="e">
        <v>#N/A</v>
      </c>
    </row>
    <row r="1552" hidden="1">
      <c r="A1552" s="108"/>
      <c r="B1552" s="202"/>
      <c r="C1552" s="202" t="str">
        <f>VLOOKUP(M1552,'#verificação horas por projeto'!A:B,2,FALSE)</f>
        <v>#N/A</v>
      </c>
      <c r="D1552" s="202"/>
      <c r="E1552" s="107"/>
      <c r="F1552" s="205"/>
      <c r="G1552" s="226"/>
      <c r="H1552" s="107"/>
      <c r="I1552" s="227"/>
      <c r="J1552" s="227"/>
      <c r="K1552" s="115"/>
      <c r="L1552" s="228"/>
      <c r="M1552" s="107"/>
      <c r="N1552" s="229">
        <f>IF(AND(O1552=TRUE,P1552=TRUE), VLOOKUP($E1552,PESSOAL!$B$35:$S$45,MONTH($F1552)+6,FALSE)*G1552*24,0)</f>
        <v>0</v>
      </c>
      <c r="O1552" s="89"/>
      <c r="P1552" s="89" t="b">
        <v>0</v>
      </c>
      <c r="Q1552" s="89" t="e">
        <v>#N/A</v>
      </c>
    </row>
    <row r="1553" hidden="1">
      <c r="A1553" s="108"/>
      <c r="B1553" s="202"/>
      <c r="C1553" s="202" t="str">
        <f>VLOOKUP(M1553,'#verificação horas por projeto'!A:B,2,FALSE)</f>
        <v>#N/A</v>
      </c>
      <c r="D1553" s="202"/>
      <c r="E1553" s="107"/>
      <c r="F1553" s="205"/>
      <c r="G1553" s="226"/>
      <c r="H1553" s="107"/>
      <c r="I1553" s="227"/>
      <c r="J1553" s="227"/>
      <c r="K1553" s="115"/>
      <c r="L1553" s="228"/>
      <c r="M1553" s="107"/>
      <c r="N1553" s="229">
        <f>IF(AND(O1553=TRUE,P1553=TRUE), VLOOKUP($E1553,PESSOAL!$B$35:$S$45,MONTH($F1553)+6,FALSE)*G1553*24,0)</f>
        <v>0</v>
      </c>
      <c r="O1553" s="89"/>
      <c r="P1553" s="89" t="b">
        <v>0</v>
      </c>
      <c r="Q1553" s="89" t="e">
        <v>#N/A</v>
      </c>
    </row>
    <row r="1554" hidden="1">
      <c r="A1554" s="108"/>
      <c r="B1554" s="202"/>
      <c r="C1554" s="202" t="str">
        <f>VLOOKUP(M1554,'#verificação horas por projeto'!A:B,2,FALSE)</f>
        <v>#N/A</v>
      </c>
      <c r="D1554" s="202"/>
      <c r="E1554" s="107"/>
      <c r="F1554" s="205"/>
      <c r="G1554" s="226"/>
      <c r="H1554" s="107"/>
      <c r="I1554" s="227"/>
      <c r="J1554" s="227"/>
      <c r="K1554" s="115"/>
      <c r="L1554" s="228"/>
      <c r="M1554" s="107"/>
      <c r="N1554" s="229">
        <f>IF(AND(O1554=TRUE,P1554=TRUE), VLOOKUP($E1554,PESSOAL!$B$35:$S$45,MONTH($F1554)+6,FALSE)*G1554*24,0)</f>
        <v>0</v>
      </c>
      <c r="O1554" s="89"/>
      <c r="P1554" s="89" t="b">
        <v>0</v>
      </c>
      <c r="Q1554" s="89" t="e">
        <v>#N/A</v>
      </c>
    </row>
    <row r="1555" hidden="1">
      <c r="A1555" s="108"/>
      <c r="B1555" s="202"/>
      <c r="C1555" s="202" t="str">
        <f>VLOOKUP(M1555,'#verificação horas por projeto'!A:B,2,FALSE)</f>
        <v>#N/A</v>
      </c>
      <c r="D1555" s="202"/>
      <c r="E1555" s="107"/>
      <c r="F1555" s="205"/>
      <c r="G1555" s="226"/>
      <c r="H1555" s="107"/>
      <c r="I1555" s="227"/>
      <c r="J1555" s="227"/>
      <c r="K1555" s="115"/>
      <c r="L1555" s="228"/>
      <c r="M1555" s="107"/>
      <c r="N1555" s="229">
        <f>IF(AND(O1555=TRUE,P1555=TRUE), VLOOKUP($E1555,PESSOAL!$B$35:$S$45,MONTH($F1555)+6,FALSE)*G1555*24,0)</f>
        <v>0</v>
      </c>
      <c r="O1555" s="89"/>
      <c r="P1555" s="89" t="b">
        <v>0</v>
      </c>
      <c r="Q1555" s="89" t="e">
        <v>#N/A</v>
      </c>
    </row>
    <row r="1556" hidden="1">
      <c r="A1556" s="108"/>
      <c r="B1556" s="202"/>
      <c r="C1556" s="202" t="str">
        <f>VLOOKUP(M1556,'#verificação horas por projeto'!A:B,2,FALSE)</f>
        <v>#N/A</v>
      </c>
      <c r="D1556" s="202"/>
      <c r="E1556" s="107"/>
      <c r="F1556" s="205"/>
      <c r="G1556" s="226"/>
      <c r="H1556" s="107"/>
      <c r="I1556" s="227"/>
      <c r="J1556" s="227"/>
      <c r="K1556" s="115"/>
      <c r="L1556" s="228"/>
      <c r="M1556" s="107"/>
      <c r="N1556" s="229">
        <f>IF(AND(O1556=TRUE,P1556=TRUE), VLOOKUP($E1556,PESSOAL!$B$35:$S$45,MONTH($F1556)+6,FALSE)*G1556*24,0)</f>
        <v>0</v>
      </c>
      <c r="O1556" s="89"/>
      <c r="P1556" s="89" t="b">
        <v>0</v>
      </c>
      <c r="Q1556" s="89" t="e">
        <v>#N/A</v>
      </c>
    </row>
    <row r="1557" hidden="1">
      <c r="A1557" s="108"/>
      <c r="B1557" s="202"/>
      <c r="C1557" s="202" t="str">
        <f>VLOOKUP(M1557,'#verificação horas por projeto'!A:B,2,FALSE)</f>
        <v>#N/A</v>
      </c>
      <c r="D1557" s="202"/>
      <c r="E1557" s="107"/>
      <c r="F1557" s="205"/>
      <c r="G1557" s="226"/>
      <c r="H1557" s="107"/>
      <c r="I1557" s="227"/>
      <c r="J1557" s="227"/>
      <c r="K1557" s="115"/>
      <c r="L1557" s="228"/>
      <c r="M1557" s="107"/>
      <c r="N1557" s="229">
        <f>IF(AND(O1557=TRUE,P1557=TRUE), VLOOKUP($E1557,PESSOAL!$B$35:$S$45,MONTH($F1557)+6,FALSE)*G1557*24,0)</f>
        <v>0</v>
      </c>
      <c r="O1557" s="89"/>
      <c r="P1557" s="89" t="b">
        <v>0</v>
      </c>
      <c r="Q1557" s="89" t="e">
        <v>#N/A</v>
      </c>
    </row>
    <row r="1558" hidden="1">
      <c r="A1558" s="108"/>
      <c r="B1558" s="202"/>
      <c r="C1558" s="202" t="str">
        <f>VLOOKUP(M1558,'#verificação horas por projeto'!A:B,2,FALSE)</f>
        <v>#N/A</v>
      </c>
      <c r="D1558" s="202"/>
      <c r="E1558" s="107"/>
      <c r="F1558" s="205"/>
      <c r="G1558" s="226"/>
      <c r="H1558" s="107"/>
      <c r="I1558" s="227"/>
      <c r="J1558" s="227"/>
      <c r="K1558" s="115"/>
      <c r="L1558" s="228"/>
      <c r="M1558" s="107"/>
      <c r="N1558" s="229">
        <f>IF(AND(O1558=TRUE,P1558=TRUE), VLOOKUP($E1558,PESSOAL!$B$35:$S$45,MONTH($F1558)+6,FALSE)*G1558*24,0)</f>
        <v>0</v>
      </c>
      <c r="O1558" s="89"/>
      <c r="P1558" s="89" t="b">
        <v>0</v>
      </c>
      <c r="Q1558" s="89" t="e">
        <v>#N/A</v>
      </c>
    </row>
    <row r="1559" hidden="1">
      <c r="A1559" s="108"/>
      <c r="B1559" s="202"/>
      <c r="C1559" s="202" t="str">
        <f>VLOOKUP(M1559,'#verificação horas por projeto'!A:B,2,FALSE)</f>
        <v>#N/A</v>
      </c>
      <c r="D1559" s="202"/>
      <c r="E1559" s="107"/>
      <c r="F1559" s="205"/>
      <c r="G1559" s="226"/>
      <c r="H1559" s="107"/>
      <c r="I1559" s="227"/>
      <c r="J1559" s="227"/>
      <c r="K1559" s="115"/>
      <c r="L1559" s="228"/>
      <c r="M1559" s="107"/>
      <c r="N1559" s="229">
        <f>IF(AND(O1559=TRUE,P1559=TRUE), VLOOKUP($E1559,PESSOAL!$B$35:$S$45,MONTH($F1559)+6,FALSE)*G1559*24,0)</f>
        <v>0</v>
      </c>
      <c r="O1559" s="89"/>
      <c r="P1559" s="89" t="b">
        <v>0</v>
      </c>
      <c r="Q1559" s="89" t="e">
        <v>#N/A</v>
      </c>
    </row>
    <row r="1560" hidden="1">
      <c r="A1560" s="108"/>
      <c r="B1560" s="202"/>
      <c r="C1560" s="202" t="str">
        <f>VLOOKUP(M1560,'#verificação horas por projeto'!A:B,2,FALSE)</f>
        <v>#N/A</v>
      </c>
      <c r="D1560" s="202"/>
      <c r="E1560" s="107"/>
      <c r="F1560" s="205"/>
      <c r="G1560" s="226"/>
      <c r="H1560" s="107"/>
      <c r="I1560" s="227"/>
      <c r="J1560" s="227"/>
      <c r="K1560" s="115"/>
      <c r="L1560" s="228"/>
      <c r="M1560" s="107"/>
      <c r="N1560" s="229">
        <f>IF(AND(O1560=TRUE,P1560=TRUE), VLOOKUP($E1560,PESSOAL!$B$35:$S$45,MONTH($F1560)+6,FALSE)*G1560*24,0)</f>
        <v>0</v>
      </c>
      <c r="O1560" s="89"/>
      <c r="P1560" s="89" t="b">
        <v>0</v>
      </c>
      <c r="Q1560" s="89" t="e">
        <v>#N/A</v>
      </c>
    </row>
    <row r="1561" hidden="1">
      <c r="A1561" s="108"/>
      <c r="B1561" s="202"/>
      <c r="C1561" s="202" t="str">
        <f>VLOOKUP(M1561,'#verificação horas por projeto'!A:B,2,FALSE)</f>
        <v>#N/A</v>
      </c>
      <c r="D1561" s="202"/>
      <c r="E1561" s="107"/>
      <c r="F1561" s="205"/>
      <c r="G1561" s="226"/>
      <c r="H1561" s="107"/>
      <c r="I1561" s="227"/>
      <c r="J1561" s="227"/>
      <c r="K1561" s="115"/>
      <c r="L1561" s="228"/>
      <c r="M1561" s="107"/>
      <c r="N1561" s="229">
        <f>IF(AND(O1561=TRUE,P1561=TRUE), VLOOKUP($E1561,PESSOAL!$B$35:$S$45,MONTH($F1561)+6,FALSE)*G1561*24,0)</f>
        <v>0</v>
      </c>
      <c r="O1561" s="89"/>
      <c r="P1561" s="89" t="b">
        <v>0</v>
      </c>
      <c r="Q1561" s="89" t="e">
        <v>#N/A</v>
      </c>
    </row>
    <row r="1562" hidden="1">
      <c r="A1562" s="108"/>
      <c r="B1562" s="202"/>
      <c r="C1562" s="202" t="str">
        <f>VLOOKUP(M1562,'#verificação horas por projeto'!A:B,2,FALSE)</f>
        <v>#N/A</v>
      </c>
      <c r="D1562" s="202"/>
      <c r="E1562" s="107"/>
      <c r="F1562" s="205"/>
      <c r="G1562" s="226"/>
      <c r="H1562" s="107"/>
      <c r="I1562" s="227"/>
      <c r="J1562" s="227"/>
      <c r="K1562" s="115"/>
      <c r="L1562" s="228"/>
      <c r="M1562" s="107"/>
      <c r="N1562" s="229">
        <f>IF(AND(O1562=TRUE,P1562=TRUE), VLOOKUP($E1562,PESSOAL!$B$35:$S$45,MONTH($F1562)+6,FALSE)*G1562*24,0)</f>
        <v>0</v>
      </c>
      <c r="O1562" s="89"/>
      <c r="P1562" s="89" t="b">
        <v>0</v>
      </c>
      <c r="Q1562" s="89" t="e">
        <v>#N/A</v>
      </c>
    </row>
    <row r="1563" hidden="1">
      <c r="A1563" s="108"/>
      <c r="B1563" s="202"/>
      <c r="C1563" s="202" t="str">
        <f>VLOOKUP(M1563,'#verificação horas por projeto'!A:B,2,FALSE)</f>
        <v>#N/A</v>
      </c>
      <c r="D1563" s="202"/>
      <c r="E1563" s="107"/>
      <c r="F1563" s="205"/>
      <c r="G1563" s="226"/>
      <c r="H1563" s="107"/>
      <c r="I1563" s="227"/>
      <c r="J1563" s="227"/>
      <c r="K1563" s="115"/>
      <c r="L1563" s="228"/>
      <c r="M1563" s="107"/>
      <c r="N1563" s="229">
        <f>IF(AND(O1563=TRUE,P1563=TRUE), VLOOKUP($E1563,PESSOAL!$B$35:$S$45,MONTH($F1563)+6,FALSE)*G1563*24,0)</f>
        <v>0</v>
      </c>
      <c r="O1563" s="89"/>
      <c r="P1563" s="89" t="b">
        <v>0</v>
      </c>
      <c r="Q1563" s="89" t="e">
        <v>#N/A</v>
      </c>
    </row>
    <row r="1564" hidden="1">
      <c r="A1564" s="108"/>
      <c r="B1564" s="202"/>
      <c r="C1564" s="202" t="str">
        <f>VLOOKUP(M1564,'#verificação horas por projeto'!A:B,2,FALSE)</f>
        <v>#N/A</v>
      </c>
      <c r="D1564" s="202"/>
      <c r="E1564" s="107"/>
      <c r="F1564" s="205"/>
      <c r="G1564" s="226"/>
      <c r="H1564" s="107"/>
      <c r="I1564" s="227"/>
      <c r="J1564" s="227"/>
      <c r="K1564" s="115"/>
      <c r="L1564" s="228"/>
      <c r="M1564" s="107"/>
      <c r="N1564" s="229">
        <f>IF(AND(O1564=TRUE,P1564=TRUE), VLOOKUP($E1564,PESSOAL!$B$35:$S$45,MONTH($F1564)+6,FALSE)*G1564*24,0)</f>
        <v>0</v>
      </c>
      <c r="O1564" s="89"/>
      <c r="P1564" s="89" t="b">
        <v>0</v>
      </c>
      <c r="Q1564" s="89" t="e">
        <v>#N/A</v>
      </c>
    </row>
    <row r="1565" hidden="1">
      <c r="A1565" s="108"/>
      <c r="B1565" s="202"/>
      <c r="C1565" s="202" t="str">
        <f>VLOOKUP(M1565,'#verificação horas por projeto'!A:B,2,FALSE)</f>
        <v>#N/A</v>
      </c>
      <c r="D1565" s="202"/>
      <c r="E1565" s="107"/>
      <c r="F1565" s="205"/>
      <c r="G1565" s="226"/>
      <c r="H1565" s="107"/>
      <c r="I1565" s="227"/>
      <c r="J1565" s="227"/>
      <c r="K1565" s="115"/>
      <c r="L1565" s="228"/>
      <c r="M1565" s="107"/>
      <c r="N1565" s="229">
        <f>IF(AND(O1565=TRUE,P1565=TRUE), VLOOKUP($E1565,PESSOAL!$B$35:$S$45,MONTH($F1565)+6,FALSE)*G1565*24,0)</f>
        <v>0</v>
      </c>
      <c r="O1565" s="89"/>
      <c r="P1565" s="89" t="b">
        <v>0</v>
      </c>
      <c r="Q1565" s="89" t="e">
        <v>#N/A</v>
      </c>
    </row>
    <row r="1566" hidden="1">
      <c r="A1566" s="108"/>
      <c r="B1566" s="202"/>
      <c r="C1566" s="202" t="str">
        <f>VLOOKUP(M1566,'#verificação horas por projeto'!A:B,2,FALSE)</f>
        <v>#N/A</v>
      </c>
      <c r="D1566" s="202"/>
      <c r="E1566" s="107"/>
      <c r="F1566" s="205"/>
      <c r="G1566" s="226"/>
      <c r="H1566" s="107"/>
      <c r="I1566" s="227"/>
      <c r="J1566" s="227"/>
      <c r="K1566" s="115"/>
      <c r="L1566" s="228"/>
      <c r="M1566" s="107"/>
      <c r="N1566" s="229">
        <f>IF(AND(O1566=TRUE,P1566=TRUE), VLOOKUP($E1566,PESSOAL!$B$35:$S$45,MONTH($F1566)+6,FALSE)*G1566*24,0)</f>
        <v>0</v>
      </c>
      <c r="O1566" s="89"/>
      <c r="P1566" s="89" t="b">
        <v>0</v>
      </c>
      <c r="Q1566" s="89" t="e">
        <v>#N/A</v>
      </c>
    </row>
    <row r="1567" hidden="1">
      <c r="A1567" s="108"/>
      <c r="B1567" s="202"/>
      <c r="C1567" s="202" t="str">
        <f>VLOOKUP(M1567,'#verificação horas por projeto'!A:B,2,FALSE)</f>
        <v>#N/A</v>
      </c>
      <c r="D1567" s="202"/>
      <c r="E1567" s="107"/>
      <c r="F1567" s="205"/>
      <c r="G1567" s="226"/>
      <c r="H1567" s="107"/>
      <c r="I1567" s="227"/>
      <c r="J1567" s="227"/>
      <c r="K1567" s="115"/>
      <c r="L1567" s="228"/>
      <c r="M1567" s="107"/>
      <c r="N1567" s="229">
        <f>IF(AND(O1567=TRUE,P1567=TRUE), VLOOKUP($E1567,PESSOAL!$B$35:$S$45,MONTH($F1567)+6,FALSE)*G1567*24,0)</f>
        <v>0</v>
      </c>
      <c r="O1567" s="89"/>
      <c r="P1567" s="89" t="b">
        <v>0</v>
      </c>
      <c r="Q1567" s="89" t="e">
        <v>#N/A</v>
      </c>
    </row>
    <row r="1568" hidden="1">
      <c r="A1568" s="108"/>
      <c r="B1568" s="202"/>
      <c r="C1568" s="202" t="str">
        <f>VLOOKUP(M1568,'#verificação horas por projeto'!A:B,2,FALSE)</f>
        <v>#N/A</v>
      </c>
      <c r="D1568" s="202"/>
      <c r="E1568" s="107"/>
      <c r="F1568" s="205"/>
      <c r="G1568" s="226"/>
      <c r="H1568" s="107"/>
      <c r="I1568" s="227"/>
      <c r="J1568" s="227"/>
      <c r="K1568" s="115"/>
      <c r="L1568" s="228"/>
      <c r="M1568" s="107"/>
      <c r="N1568" s="229">
        <f>IF(AND(O1568=TRUE,P1568=TRUE), VLOOKUP($E1568,PESSOAL!$B$35:$S$45,MONTH($F1568)+6,FALSE)*G1568*24,0)</f>
        <v>0</v>
      </c>
      <c r="O1568" s="89"/>
      <c r="P1568" s="89" t="b">
        <v>0</v>
      </c>
      <c r="Q1568" s="89" t="e">
        <v>#N/A</v>
      </c>
    </row>
    <row r="1569" hidden="1">
      <c r="A1569" s="108"/>
      <c r="B1569" s="202"/>
      <c r="C1569" s="202" t="str">
        <f>VLOOKUP(M1569,'#verificação horas por projeto'!A:B,2,FALSE)</f>
        <v>#N/A</v>
      </c>
      <c r="D1569" s="202"/>
      <c r="E1569" s="107"/>
      <c r="F1569" s="205"/>
      <c r="G1569" s="226"/>
      <c r="H1569" s="107"/>
      <c r="I1569" s="227"/>
      <c r="J1569" s="227"/>
      <c r="K1569" s="115"/>
      <c r="L1569" s="228"/>
      <c r="M1569" s="107"/>
      <c r="N1569" s="229">
        <f>IF(AND(O1569=TRUE,P1569=TRUE), VLOOKUP($E1569,PESSOAL!$B$35:$S$45,MONTH($F1569)+6,FALSE)*G1569*24,0)</f>
        <v>0</v>
      </c>
      <c r="O1569" s="89"/>
      <c r="P1569" s="89" t="b">
        <v>0</v>
      </c>
      <c r="Q1569" s="89" t="e">
        <v>#N/A</v>
      </c>
    </row>
    <row r="1570" hidden="1">
      <c r="A1570" s="108"/>
      <c r="B1570" s="202"/>
      <c r="C1570" s="202" t="str">
        <f>VLOOKUP(M1570,'#verificação horas por projeto'!A:B,2,FALSE)</f>
        <v>#N/A</v>
      </c>
      <c r="D1570" s="202"/>
      <c r="E1570" s="107"/>
      <c r="F1570" s="205"/>
      <c r="G1570" s="226"/>
      <c r="H1570" s="107"/>
      <c r="I1570" s="227"/>
      <c r="J1570" s="227"/>
      <c r="K1570" s="115"/>
      <c r="L1570" s="228"/>
      <c r="M1570" s="107"/>
      <c r="N1570" s="229">
        <f>IF(AND(O1570=TRUE,P1570=TRUE), VLOOKUP($E1570,PESSOAL!$B$35:$S$45,MONTH($F1570)+6,FALSE)*G1570*24,0)</f>
        <v>0</v>
      </c>
      <c r="O1570" s="89"/>
      <c r="P1570" s="89" t="b">
        <v>0</v>
      </c>
      <c r="Q1570" s="89" t="e">
        <v>#N/A</v>
      </c>
    </row>
    <row r="1571" hidden="1">
      <c r="A1571" s="108"/>
      <c r="B1571" s="202"/>
      <c r="C1571" s="202" t="str">
        <f>VLOOKUP(M1571,'#verificação horas por projeto'!A:B,2,FALSE)</f>
        <v>#N/A</v>
      </c>
      <c r="D1571" s="202"/>
      <c r="E1571" s="107"/>
      <c r="F1571" s="205"/>
      <c r="G1571" s="226"/>
      <c r="H1571" s="107"/>
      <c r="I1571" s="227"/>
      <c r="J1571" s="227"/>
      <c r="K1571" s="115"/>
      <c r="L1571" s="228"/>
      <c r="M1571" s="107"/>
      <c r="N1571" s="229">
        <f>IF(AND(O1571=TRUE,P1571=TRUE), VLOOKUP($E1571,PESSOAL!$B$35:$S$45,MONTH($F1571)+6,FALSE)*G1571*24,0)</f>
        <v>0</v>
      </c>
      <c r="O1571" s="89"/>
      <c r="P1571" s="89" t="b">
        <v>0</v>
      </c>
      <c r="Q1571" s="89" t="e">
        <v>#N/A</v>
      </c>
    </row>
    <row r="1572" hidden="1">
      <c r="A1572" s="108"/>
      <c r="B1572" s="202"/>
      <c r="C1572" s="202" t="str">
        <f>VLOOKUP(M1572,'#verificação horas por projeto'!A:B,2,FALSE)</f>
        <v>#N/A</v>
      </c>
      <c r="D1572" s="202"/>
      <c r="E1572" s="107"/>
      <c r="F1572" s="205"/>
      <c r="G1572" s="226"/>
      <c r="H1572" s="107"/>
      <c r="I1572" s="227"/>
      <c r="J1572" s="227"/>
      <c r="K1572" s="115"/>
      <c r="L1572" s="228"/>
      <c r="M1572" s="107"/>
      <c r="N1572" s="229">
        <f>IF(AND(O1572=TRUE,P1572=TRUE), VLOOKUP($E1572,PESSOAL!$B$35:$S$45,MONTH($F1572)+6,FALSE)*G1572*24,0)</f>
        <v>0</v>
      </c>
      <c r="O1572" s="89"/>
      <c r="P1572" s="89" t="b">
        <v>0</v>
      </c>
      <c r="Q1572" s="89" t="e">
        <v>#N/A</v>
      </c>
    </row>
    <row r="1573" hidden="1">
      <c r="A1573" s="108"/>
      <c r="B1573" s="202"/>
      <c r="C1573" s="202" t="str">
        <f>VLOOKUP(M1573,'#verificação horas por projeto'!A:B,2,FALSE)</f>
        <v>#N/A</v>
      </c>
      <c r="D1573" s="202"/>
      <c r="E1573" s="107"/>
      <c r="F1573" s="205"/>
      <c r="G1573" s="226"/>
      <c r="H1573" s="107"/>
      <c r="I1573" s="227"/>
      <c r="J1573" s="227"/>
      <c r="K1573" s="115"/>
      <c r="L1573" s="228"/>
      <c r="M1573" s="107"/>
      <c r="N1573" s="229">
        <f>IF(AND(O1573=TRUE,P1573=TRUE), VLOOKUP($E1573,PESSOAL!$B$35:$S$45,MONTH($F1573)+6,FALSE)*G1573*24,0)</f>
        <v>0</v>
      </c>
      <c r="O1573" s="89"/>
      <c r="P1573" s="89" t="b">
        <v>0</v>
      </c>
      <c r="Q1573" s="89" t="e">
        <v>#N/A</v>
      </c>
    </row>
    <row r="1574" hidden="1">
      <c r="A1574" s="108"/>
      <c r="B1574" s="202"/>
      <c r="C1574" s="202" t="str">
        <f>VLOOKUP(M1574,'#verificação horas por projeto'!A:B,2,FALSE)</f>
        <v>#N/A</v>
      </c>
      <c r="D1574" s="202"/>
      <c r="E1574" s="107"/>
      <c r="F1574" s="205"/>
      <c r="G1574" s="226"/>
      <c r="H1574" s="107"/>
      <c r="I1574" s="227"/>
      <c r="J1574" s="227"/>
      <c r="K1574" s="115"/>
      <c r="L1574" s="228"/>
      <c r="M1574" s="107"/>
      <c r="N1574" s="229">
        <f>IF(AND(O1574=TRUE,P1574=TRUE), VLOOKUP($E1574,PESSOAL!$B$35:$S$45,MONTH($F1574)+6,FALSE)*G1574*24,0)</f>
        <v>0</v>
      </c>
      <c r="O1574" s="89"/>
      <c r="P1574" s="89" t="b">
        <v>0</v>
      </c>
      <c r="Q1574" s="89" t="e">
        <v>#N/A</v>
      </c>
    </row>
    <row r="1575" hidden="1">
      <c r="A1575" s="108"/>
      <c r="B1575" s="202"/>
      <c r="C1575" s="202" t="str">
        <f>VLOOKUP(M1575,'#verificação horas por projeto'!A:B,2,FALSE)</f>
        <v>#N/A</v>
      </c>
      <c r="D1575" s="202"/>
      <c r="E1575" s="107"/>
      <c r="F1575" s="205"/>
      <c r="G1575" s="226"/>
      <c r="H1575" s="107"/>
      <c r="I1575" s="227"/>
      <c r="J1575" s="227"/>
      <c r="K1575" s="115"/>
      <c r="L1575" s="228"/>
      <c r="M1575" s="107"/>
      <c r="N1575" s="229">
        <f>IF(AND(O1575=TRUE,P1575=TRUE), VLOOKUP($E1575,PESSOAL!$B$35:$S$45,MONTH($F1575)+6,FALSE)*G1575*24,0)</f>
        <v>0</v>
      </c>
      <c r="O1575" s="89"/>
      <c r="P1575" s="89" t="b">
        <v>0</v>
      </c>
      <c r="Q1575" s="89" t="e">
        <v>#N/A</v>
      </c>
    </row>
    <row r="1576" hidden="1">
      <c r="A1576" s="108"/>
      <c r="B1576" s="202"/>
      <c r="C1576" s="202" t="str">
        <f>VLOOKUP(M1576,'#verificação horas por projeto'!A:B,2,FALSE)</f>
        <v>#N/A</v>
      </c>
      <c r="D1576" s="202"/>
      <c r="E1576" s="107"/>
      <c r="F1576" s="205"/>
      <c r="G1576" s="226"/>
      <c r="H1576" s="107"/>
      <c r="I1576" s="227"/>
      <c r="J1576" s="227"/>
      <c r="K1576" s="115"/>
      <c r="L1576" s="228"/>
      <c r="M1576" s="107"/>
      <c r="N1576" s="229">
        <f>IF(AND(O1576=TRUE,P1576=TRUE), VLOOKUP($E1576,PESSOAL!$B$35:$S$45,MONTH($F1576)+6,FALSE)*G1576*24,0)</f>
        <v>0</v>
      </c>
      <c r="O1576" s="89"/>
      <c r="P1576" s="89" t="b">
        <v>0</v>
      </c>
      <c r="Q1576" s="89" t="e">
        <v>#N/A</v>
      </c>
    </row>
    <row r="1577" hidden="1">
      <c r="A1577" s="108"/>
      <c r="B1577" s="202"/>
      <c r="C1577" s="202" t="str">
        <f>VLOOKUP(M1577,'#verificação horas por projeto'!A:B,2,FALSE)</f>
        <v>#N/A</v>
      </c>
      <c r="D1577" s="202"/>
      <c r="E1577" s="107"/>
      <c r="F1577" s="205"/>
      <c r="G1577" s="226"/>
      <c r="H1577" s="107"/>
      <c r="I1577" s="227"/>
      <c r="J1577" s="227"/>
      <c r="K1577" s="115"/>
      <c r="L1577" s="228"/>
      <c r="M1577" s="107"/>
      <c r="N1577" s="229">
        <f>IF(AND(O1577=TRUE,P1577=TRUE), VLOOKUP($E1577,PESSOAL!$B$35:$S$45,MONTH($F1577)+6,FALSE)*G1577*24,0)</f>
        <v>0</v>
      </c>
      <c r="O1577" s="89"/>
      <c r="P1577" s="89" t="b">
        <v>0</v>
      </c>
      <c r="Q1577" s="89" t="e">
        <v>#N/A</v>
      </c>
    </row>
    <row r="1578" hidden="1">
      <c r="A1578" s="108"/>
      <c r="B1578" s="202"/>
      <c r="C1578" s="202" t="str">
        <f>VLOOKUP(M1578,'#verificação horas por projeto'!A:B,2,FALSE)</f>
        <v>#N/A</v>
      </c>
      <c r="D1578" s="202"/>
      <c r="E1578" s="107"/>
      <c r="F1578" s="205"/>
      <c r="G1578" s="226"/>
      <c r="H1578" s="107"/>
      <c r="I1578" s="227"/>
      <c r="J1578" s="227"/>
      <c r="K1578" s="115"/>
      <c r="L1578" s="228"/>
      <c r="M1578" s="107"/>
      <c r="N1578" s="229">
        <f>IF(AND(O1578=TRUE,P1578=TRUE), VLOOKUP($E1578,PESSOAL!$B$35:$S$45,MONTH($F1578)+6,FALSE)*G1578*24,0)</f>
        <v>0</v>
      </c>
      <c r="O1578" s="89"/>
      <c r="P1578" s="89" t="b">
        <v>0</v>
      </c>
      <c r="Q1578" s="89" t="e">
        <v>#N/A</v>
      </c>
    </row>
    <row r="1579" hidden="1">
      <c r="A1579" s="108"/>
      <c r="B1579" s="202"/>
      <c r="C1579" s="202" t="str">
        <f>VLOOKUP(M1579,'#verificação horas por projeto'!A:B,2,FALSE)</f>
        <v>#N/A</v>
      </c>
      <c r="D1579" s="202"/>
      <c r="E1579" s="107"/>
      <c r="F1579" s="205"/>
      <c r="G1579" s="226"/>
      <c r="H1579" s="107"/>
      <c r="I1579" s="227"/>
      <c r="J1579" s="227"/>
      <c r="K1579" s="115"/>
      <c r="L1579" s="228"/>
      <c r="M1579" s="107"/>
      <c r="N1579" s="229">
        <f>IF(AND(O1579=TRUE,P1579=TRUE), VLOOKUP($E1579,PESSOAL!$B$35:$S$45,MONTH($F1579)+6,FALSE)*G1579*24,0)</f>
        <v>0</v>
      </c>
      <c r="O1579" s="89"/>
      <c r="P1579" s="89" t="b">
        <v>0</v>
      </c>
      <c r="Q1579" s="89" t="e">
        <v>#N/A</v>
      </c>
    </row>
    <row r="1580" hidden="1">
      <c r="A1580" s="108"/>
      <c r="B1580" s="202"/>
      <c r="C1580" s="202" t="str">
        <f>VLOOKUP(M1580,'#verificação horas por projeto'!A:B,2,FALSE)</f>
        <v>#N/A</v>
      </c>
      <c r="D1580" s="202"/>
      <c r="E1580" s="107"/>
      <c r="F1580" s="205"/>
      <c r="G1580" s="226"/>
      <c r="H1580" s="107"/>
      <c r="I1580" s="227"/>
      <c r="J1580" s="227"/>
      <c r="K1580" s="115"/>
      <c r="L1580" s="228"/>
      <c r="M1580" s="107"/>
      <c r="N1580" s="229">
        <f>IF(AND(O1580=TRUE,P1580=TRUE), VLOOKUP($E1580,PESSOAL!$B$35:$S$45,MONTH($F1580)+6,FALSE)*G1580*24,0)</f>
        <v>0</v>
      </c>
      <c r="O1580" s="89"/>
      <c r="P1580" s="89" t="b">
        <v>0</v>
      </c>
      <c r="Q1580" s="89" t="e">
        <v>#N/A</v>
      </c>
    </row>
    <row r="1581" hidden="1">
      <c r="A1581" s="108"/>
      <c r="B1581" s="202"/>
      <c r="C1581" s="202" t="str">
        <f>VLOOKUP(M1581,'#verificação horas por projeto'!A:B,2,FALSE)</f>
        <v>#N/A</v>
      </c>
      <c r="D1581" s="202"/>
      <c r="E1581" s="107"/>
      <c r="F1581" s="205"/>
      <c r="G1581" s="226"/>
      <c r="H1581" s="107"/>
      <c r="I1581" s="227"/>
      <c r="J1581" s="227"/>
      <c r="K1581" s="115"/>
      <c r="L1581" s="228"/>
      <c r="M1581" s="107"/>
      <c r="N1581" s="229">
        <f>IF(AND(O1581=TRUE,P1581=TRUE), VLOOKUP($E1581,PESSOAL!$B$35:$S$45,MONTH($F1581)+6,FALSE)*G1581*24,0)</f>
        <v>0</v>
      </c>
      <c r="O1581" s="89"/>
      <c r="P1581" s="89" t="b">
        <v>0</v>
      </c>
      <c r="Q1581" s="89" t="e">
        <v>#N/A</v>
      </c>
    </row>
    <row r="1582" hidden="1">
      <c r="A1582" s="108"/>
      <c r="B1582" s="202"/>
      <c r="C1582" s="202" t="str">
        <f>VLOOKUP(M1582,'#verificação horas por projeto'!A:B,2,FALSE)</f>
        <v>#N/A</v>
      </c>
      <c r="D1582" s="202"/>
      <c r="E1582" s="107"/>
      <c r="F1582" s="205"/>
      <c r="G1582" s="226"/>
      <c r="H1582" s="107"/>
      <c r="I1582" s="227"/>
      <c r="J1582" s="227"/>
      <c r="K1582" s="115"/>
      <c r="L1582" s="228"/>
      <c r="M1582" s="107"/>
      <c r="N1582" s="229">
        <f>IF(AND(O1582=TRUE,P1582=TRUE), VLOOKUP($E1582,PESSOAL!$B$35:$S$45,MONTH($F1582)+6,FALSE)*G1582*24,0)</f>
        <v>0</v>
      </c>
      <c r="O1582" s="89"/>
      <c r="P1582" s="89" t="b">
        <v>0</v>
      </c>
      <c r="Q1582" s="89" t="e">
        <v>#N/A</v>
      </c>
    </row>
    <row r="1583" hidden="1">
      <c r="A1583" s="108"/>
      <c r="B1583" s="202"/>
      <c r="C1583" s="202" t="str">
        <f>VLOOKUP(M1583,'#verificação horas por projeto'!A:B,2,FALSE)</f>
        <v>#N/A</v>
      </c>
      <c r="D1583" s="202"/>
      <c r="E1583" s="107"/>
      <c r="F1583" s="205"/>
      <c r="G1583" s="226"/>
      <c r="H1583" s="107"/>
      <c r="I1583" s="227"/>
      <c r="J1583" s="227"/>
      <c r="K1583" s="115"/>
      <c r="L1583" s="228"/>
      <c r="M1583" s="107"/>
      <c r="N1583" s="229">
        <f>IF(AND(O1583=TRUE,P1583=TRUE), VLOOKUP($E1583,PESSOAL!$B$35:$S$45,MONTH($F1583)+6,FALSE)*G1583*24,0)</f>
        <v>0</v>
      </c>
      <c r="O1583" s="89"/>
      <c r="P1583" s="89" t="b">
        <v>0</v>
      </c>
      <c r="Q1583" s="89" t="e">
        <v>#N/A</v>
      </c>
    </row>
    <row r="1584" hidden="1">
      <c r="A1584" s="108"/>
      <c r="B1584" s="202"/>
      <c r="C1584" s="202" t="str">
        <f>VLOOKUP(M1584,'#verificação horas por projeto'!A:B,2,FALSE)</f>
        <v>#N/A</v>
      </c>
      <c r="D1584" s="202"/>
      <c r="E1584" s="107"/>
      <c r="F1584" s="205"/>
      <c r="G1584" s="226"/>
      <c r="H1584" s="107"/>
      <c r="I1584" s="227"/>
      <c r="J1584" s="227"/>
      <c r="K1584" s="115"/>
      <c r="L1584" s="228"/>
      <c r="M1584" s="107"/>
      <c r="N1584" s="229">
        <f>IF(AND(O1584=TRUE,P1584=TRUE), VLOOKUP($E1584,PESSOAL!$B$35:$S$45,MONTH($F1584)+6,FALSE)*G1584*24,0)</f>
        <v>0</v>
      </c>
      <c r="O1584" s="89"/>
      <c r="P1584" s="89" t="b">
        <v>0</v>
      </c>
      <c r="Q1584" s="89" t="e">
        <v>#N/A</v>
      </c>
    </row>
    <row r="1585" hidden="1">
      <c r="A1585" s="108"/>
      <c r="B1585" s="202"/>
      <c r="C1585" s="202" t="str">
        <f>VLOOKUP(M1585,'#verificação horas por projeto'!A:B,2,FALSE)</f>
        <v>#N/A</v>
      </c>
      <c r="D1585" s="202"/>
      <c r="E1585" s="107"/>
      <c r="F1585" s="205"/>
      <c r="G1585" s="226"/>
      <c r="H1585" s="107"/>
      <c r="I1585" s="227"/>
      <c r="J1585" s="227"/>
      <c r="K1585" s="115"/>
      <c r="L1585" s="228"/>
      <c r="M1585" s="107"/>
      <c r="N1585" s="229">
        <f>IF(AND(O1585=TRUE,P1585=TRUE), VLOOKUP($E1585,PESSOAL!$B$35:$S$45,MONTH($F1585)+6,FALSE)*G1585*24,0)</f>
        <v>0</v>
      </c>
      <c r="O1585" s="89"/>
      <c r="P1585" s="89" t="b">
        <v>0</v>
      </c>
      <c r="Q1585" s="89" t="e">
        <v>#N/A</v>
      </c>
    </row>
    <row r="1586" hidden="1">
      <c r="A1586" s="108"/>
      <c r="B1586" s="202"/>
      <c r="C1586" s="202" t="str">
        <f>VLOOKUP(M1586,'#verificação horas por projeto'!A:B,2,FALSE)</f>
        <v>#N/A</v>
      </c>
      <c r="D1586" s="202"/>
      <c r="E1586" s="107"/>
      <c r="F1586" s="205"/>
      <c r="G1586" s="226"/>
      <c r="H1586" s="107"/>
      <c r="I1586" s="227"/>
      <c r="J1586" s="227"/>
      <c r="K1586" s="115"/>
      <c r="L1586" s="228"/>
      <c r="M1586" s="107"/>
      <c r="N1586" s="229">
        <f>IF(AND(O1586=TRUE,P1586=TRUE), VLOOKUP($E1586,PESSOAL!$B$35:$S$45,MONTH($F1586)+6,FALSE)*G1586*24,0)</f>
        <v>0</v>
      </c>
      <c r="O1586" s="89"/>
      <c r="P1586" s="89" t="b">
        <v>0</v>
      </c>
      <c r="Q1586" s="89" t="e">
        <v>#N/A</v>
      </c>
    </row>
    <row r="1587" hidden="1">
      <c r="A1587" s="108"/>
      <c r="B1587" s="202"/>
      <c r="C1587" s="202" t="str">
        <f>VLOOKUP(M1587,'#verificação horas por projeto'!A:B,2,FALSE)</f>
        <v>#N/A</v>
      </c>
      <c r="D1587" s="202"/>
      <c r="E1587" s="107"/>
      <c r="F1587" s="205"/>
      <c r="G1587" s="226"/>
      <c r="H1587" s="107"/>
      <c r="I1587" s="227"/>
      <c r="J1587" s="227"/>
      <c r="K1587" s="115"/>
      <c r="L1587" s="228"/>
      <c r="M1587" s="107"/>
      <c r="N1587" s="229">
        <f>IF(AND(O1587=TRUE,P1587=TRUE), VLOOKUP($E1587,PESSOAL!$B$35:$S$45,MONTH($F1587)+6,FALSE)*G1587*24,0)</f>
        <v>0</v>
      </c>
      <c r="O1587" s="89"/>
      <c r="P1587" s="89" t="b">
        <v>0</v>
      </c>
      <c r="Q1587" s="89" t="e">
        <v>#N/A</v>
      </c>
    </row>
    <row r="1588" hidden="1">
      <c r="A1588" s="108"/>
      <c r="B1588" s="202"/>
      <c r="C1588" s="202" t="str">
        <f>VLOOKUP(M1588,'#verificação horas por projeto'!A:B,2,FALSE)</f>
        <v>#N/A</v>
      </c>
      <c r="D1588" s="202"/>
      <c r="E1588" s="107"/>
      <c r="F1588" s="205"/>
      <c r="G1588" s="226"/>
      <c r="H1588" s="107"/>
      <c r="I1588" s="227"/>
      <c r="J1588" s="227"/>
      <c r="K1588" s="115"/>
      <c r="L1588" s="228"/>
      <c r="M1588" s="107"/>
      <c r="N1588" s="229">
        <f>IF(AND(O1588=TRUE,P1588=TRUE), VLOOKUP($E1588,PESSOAL!$B$35:$S$45,MONTH($F1588)+6,FALSE)*G1588*24,0)</f>
        <v>0</v>
      </c>
      <c r="O1588" s="89"/>
      <c r="P1588" s="89" t="b">
        <v>0</v>
      </c>
      <c r="Q1588" s="89" t="e">
        <v>#N/A</v>
      </c>
    </row>
    <row r="1589" hidden="1">
      <c r="A1589" s="108"/>
      <c r="B1589" s="202"/>
      <c r="C1589" s="202" t="str">
        <f>VLOOKUP(M1589,'#verificação horas por projeto'!A:B,2,FALSE)</f>
        <v>#N/A</v>
      </c>
      <c r="D1589" s="202"/>
      <c r="E1589" s="107"/>
      <c r="F1589" s="205"/>
      <c r="G1589" s="226"/>
      <c r="H1589" s="107"/>
      <c r="I1589" s="227"/>
      <c r="J1589" s="227"/>
      <c r="K1589" s="115"/>
      <c r="L1589" s="228"/>
      <c r="M1589" s="107"/>
      <c r="N1589" s="229">
        <f>IF(AND(O1589=TRUE,P1589=TRUE), VLOOKUP($E1589,PESSOAL!$B$35:$S$45,MONTH($F1589)+6,FALSE)*G1589*24,0)</f>
        <v>0</v>
      </c>
      <c r="O1589" s="89"/>
      <c r="P1589" s="89" t="b">
        <v>0</v>
      </c>
      <c r="Q1589" s="89" t="e">
        <v>#N/A</v>
      </c>
    </row>
    <row r="1590" hidden="1">
      <c r="A1590" s="108"/>
      <c r="B1590" s="202"/>
      <c r="C1590" s="202" t="str">
        <f>VLOOKUP(M1590,'#verificação horas por projeto'!A:B,2,FALSE)</f>
        <v>#N/A</v>
      </c>
      <c r="D1590" s="202"/>
      <c r="E1590" s="107"/>
      <c r="F1590" s="205"/>
      <c r="G1590" s="226"/>
      <c r="H1590" s="107"/>
      <c r="I1590" s="227"/>
      <c r="J1590" s="227"/>
      <c r="K1590" s="115"/>
      <c r="L1590" s="228"/>
      <c r="M1590" s="107"/>
      <c r="N1590" s="229">
        <f>IF(AND(O1590=TRUE,P1590=TRUE), VLOOKUP($E1590,PESSOAL!$B$35:$S$45,MONTH($F1590)+6,FALSE)*G1590*24,0)</f>
        <v>0</v>
      </c>
      <c r="O1590" s="89"/>
      <c r="P1590" s="89" t="b">
        <v>0</v>
      </c>
      <c r="Q1590" s="89" t="e">
        <v>#N/A</v>
      </c>
    </row>
    <row r="1591" hidden="1">
      <c r="A1591" s="108"/>
      <c r="B1591" s="202"/>
      <c r="C1591" s="202" t="str">
        <f>VLOOKUP(M1591,'#verificação horas por projeto'!A:B,2,FALSE)</f>
        <v>#N/A</v>
      </c>
      <c r="D1591" s="202"/>
      <c r="E1591" s="107"/>
      <c r="F1591" s="205"/>
      <c r="G1591" s="226"/>
      <c r="H1591" s="107"/>
      <c r="I1591" s="227"/>
      <c r="J1591" s="227"/>
      <c r="K1591" s="115"/>
      <c r="L1591" s="228"/>
      <c r="M1591" s="107"/>
      <c r="N1591" s="229">
        <f>IF(AND(O1591=TRUE,P1591=TRUE), VLOOKUP($E1591,PESSOAL!$B$35:$S$45,MONTH($F1591)+6,FALSE)*G1591*24,0)</f>
        <v>0</v>
      </c>
      <c r="O1591" s="89"/>
      <c r="P1591" s="89" t="b">
        <v>0</v>
      </c>
      <c r="Q1591" s="89" t="e">
        <v>#N/A</v>
      </c>
    </row>
    <row r="1592" hidden="1">
      <c r="A1592" s="108"/>
      <c r="B1592" s="202"/>
      <c r="C1592" s="202" t="str">
        <f>VLOOKUP(M1592,'#verificação horas por projeto'!A:B,2,FALSE)</f>
        <v>#N/A</v>
      </c>
      <c r="D1592" s="202"/>
      <c r="E1592" s="107"/>
      <c r="F1592" s="205"/>
      <c r="G1592" s="226"/>
      <c r="H1592" s="107"/>
      <c r="I1592" s="227"/>
      <c r="J1592" s="227"/>
      <c r="K1592" s="115"/>
      <c r="L1592" s="228"/>
      <c r="M1592" s="107"/>
      <c r="N1592" s="229">
        <f>IF(AND(O1592=TRUE,P1592=TRUE), VLOOKUP($E1592,PESSOAL!$B$35:$S$45,MONTH($F1592)+6,FALSE)*G1592*24,0)</f>
        <v>0</v>
      </c>
      <c r="O1592" s="89"/>
      <c r="P1592" s="89" t="b">
        <v>0</v>
      </c>
      <c r="Q1592" s="89" t="e">
        <v>#N/A</v>
      </c>
    </row>
    <row r="1593" hidden="1">
      <c r="A1593" s="108"/>
      <c r="B1593" s="202"/>
      <c r="C1593" s="202" t="str">
        <f>VLOOKUP(M1593,'#verificação horas por projeto'!A:B,2,FALSE)</f>
        <v>#N/A</v>
      </c>
      <c r="D1593" s="202"/>
      <c r="E1593" s="107"/>
      <c r="F1593" s="205"/>
      <c r="G1593" s="226"/>
      <c r="H1593" s="107"/>
      <c r="I1593" s="227"/>
      <c r="J1593" s="227"/>
      <c r="K1593" s="115"/>
      <c r="L1593" s="228"/>
      <c r="M1593" s="107"/>
      <c r="N1593" s="229">
        <f>IF(AND(O1593=TRUE,P1593=TRUE), VLOOKUP($E1593,PESSOAL!$B$35:$S$45,MONTH($F1593)+6,FALSE)*G1593*24,0)</f>
        <v>0</v>
      </c>
      <c r="O1593" s="89"/>
      <c r="P1593" s="89" t="b">
        <v>0</v>
      </c>
      <c r="Q1593" s="89" t="e">
        <v>#N/A</v>
      </c>
    </row>
    <row r="1594" hidden="1">
      <c r="A1594" s="108"/>
      <c r="B1594" s="202"/>
      <c r="C1594" s="202" t="str">
        <f>VLOOKUP(M1594,'#verificação horas por projeto'!A:B,2,FALSE)</f>
        <v>#N/A</v>
      </c>
      <c r="D1594" s="202"/>
      <c r="E1594" s="107"/>
      <c r="F1594" s="205"/>
      <c r="G1594" s="226"/>
      <c r="H1594" s="107"/>
      <c r="I1594" s="227"/>
      <c r="J1594" s="227"/>
      <c r="K1594" s="115"/>
      <c r="L1594" s="228"/>
      <c r="M1594" s="107"/>
      <c r="N1594" s="229">
        <f>IF(AND(O1594=TRUE,P1594=TRUE), VLOOKUP($E1594,PESSOAL!$B$35:$S$45,MONTH($F1594)+6,FALSE)*G1594*24,0)</f>
        <v>0</v>
      </c>
      <c r="O1594" s="89"/>
      <c r="P1594" s="89" t="b">
        <v>0</v>
      </c>
      <c r="Q1594" s="89" t="e">
        <v>#N/A</v>
      </c>
    </row>
    <row r="1595" hidden="1">
      <c r="A1595" s="108"/>
      <c r="B1595" s="202"/>
      <c r="C1595" s="202" t="str">
        <f>VLOOKUP(M1595,'#verificação horas por projeto'!A:B,2,FALSE)</f>
        <v>#N/A</v>
      </c>
      <c r="D1595" s="202"/>
      <c r="E1595" s="107"/>
      <c r="F1595" s="205"/>
      <c r="G1595" s="226"/>
      <c r="H1595" s="107"/>
      <c r="I1595" s="227"/>
      <c r="J1595" s="227"/>
      <c r="K1595" s="115"/>
      <c r="L1595" s="228"/>
      <c r="M1595" s="107"/>
      <c r="N1595" s="229">
        <f>IF(AND(O1595=TRUE,P1595=TRUE), VLOOKUP($E1595,PESSOAL!$B$35:$S$45,MONTH($F1595)+6,FALSE)*G1595*24,0)</f>
        <v>0</v>
      </c>
      <c r="O1595" s="89"/>
      <c r="P1595" s="89" t="b">
        <v>0</v>
      </c>
      <c r="Q1595" s="89" t="e">
        <v>#N/A</v>
      </c>
    </row>
    <row r="1596" hidden="1">
      <c r="A1596" s="108"/>
      <c r="B1596" s="202"/>
      <c r="C1596" s="202" t="str">
        <f>VLOOKUP(M1596,'#verificação horas por projeto'!A:B,2,FALSE)</f>
        <v>#N/A</v>
      </c>
      <c r="D1596" s="202"/>
      <c r="E1596" s="107"/>
      <c r="F1596" s="205"/>
      <c r="G1596" s="226"/>
      <c r="H1596" s="107"/>
      <c r="I1596" s="227"/>
      <c r="J1596" s="227"/>
      <c r="K1596" s="115"/>
      <c r="L1596" s="228"/>
      <c r="M1596" s="107"/>
      <c r="N1596" s="229">
        <f>IF(AND(O1596=TRUE,P1596=TRUE), VLOOKUP($E1596,PESSOAL!$B$35:$S$45,MONTH($F1596)+6,FALSE)*G1596*24,0)</f>
        <v>0</v>
      </c>
      <c r="O1596" s="89"/>
      <c r="P1596" s="89" t="b">
        <v>0</v>
      </c>
      <c r="Q1596" s="89" t="e">
        <v>#N/A</v>
      </c>
    </row>
    <row r="1597" hidden="1">
      <c r="A1597" s="108"/>
      <c r="B1597" s="202"/>
      <c r="C1597" s="202" t="str">
        <f>VLOOKUP(M1597,'#verificação horas por projeto'!A:B,2,FALSE)</f>
        <v>#N/A</v>
      </c>
      <c r="D1597" s="202"/>
      <c r="E1597" s="107"/>
      <c r="F1597" s="205"/>
      <c r="G1597" s="226"/>
      <c r="H1597" s="107"/>
      <c r="I1597" s="227"/>
      <c r="J1597" s="227"/>
      <c r="K1597" s="115"/>
      <c r="L1597" s="228"/>
      <c r="M1597" s="107"/>
      <c r="N1597" s="229">
        <f>IF(AND(O1597=TRUE,P1597=TRUE), VLOOKUP($E1597,PESSOAL!$B$35:$S$45,MONTH($F1597)+6,FALSE)*G1597*24,0)</f>
        <v>0</v>
      </c>
      <c r="O1597" s="89"/>
      <c r="P1597" s="89" t="b">
        <v>0</v>
      </c>
      <c r="Q1597" s="89" t="e">
        <v>#N/A</v>
      </c>
    </row>
    <row r="1598" hidden="1">
      <c r="A1598" s="108"/>
      <c r="B1598" s="202"/>
      <c r="C1598" s="202" t="str">
        <f>VLOOKUP(M1598,'#verificação horas por projeto'!A:B,2,FALSE)</f>
        <v>#N/A</v>
      </c>
      <c r="D1598" s="202"/>
      <c r="E1598" s="107"/>
      <c r="F1598" s="205"/>
      <c r="G1598" s="226"/>
      <c r="H1598" s="107"/>
      <c r="I1598" s="227"/>
      <c r="J1598" s="227"/>
      <c r="K1598" s="115"/>
      <c r="L1598" s="228"/>
      <c r="M1598" s="107"/>
      <c r="N1598" s="229">
        <f>IF(AND(O1598=TRUE,P1598=TRUE), VLOOKUP($E1598,PESSOAL!$B$35:$S$45,MONTH($F1598)+6,FALSE)*G1598*24,0)</f>
        <v>0</v>
      </c>
      <c r="O1598" s="89"/>
      <c r="P1598" s="89" t="b">
        <v>0</v>
      </c>
      <c r="Q1598" s="89" t="e">
        <v>#N/A</v>
      </c>
    </row>
    <row r="1599" hidden="1">
      <c r="A1599" s="108"/>
      <c r="B1599" s="202"/>
      <c r="C1599" s="202" t="str">
        <f>VLOOKUP(M1599,'#verificação horas por projeto'!A:B,2,FALSE)</f>
        <v>#N/A</v>
      </c>
      <c r="D1599" s="202"/>
      <c r="E1599" s="107"/>
      <c r="F1599" s="205"/>
      <c r="G1599" s="226"/>
      <c r="H1599" s="107"/>
      <c r="I1599" s="227"/>
      <c r="J1599" s="227"/>
      <c r="K1599" s="115"/>
      <c r="L1599" s="228"/>
      <c r="M1599" s="107"/>
      <c r="N1599" s="229">
        <f>IF(AND(O1599=TRUE,P1599=TRUE), VLOOKUP($E1599,PESSOAL!$B$35:$S$45,MONTH($F1599)+6,FALSE)*G1599*24,0)</f>
        <v>0</v>
      </c>
      <c r="O1599" s="89"/>
      <c r="P1599" s="89" t="b">
        <v>0</v>
      </c>
      <c r="Q1599" s="89" t="e">
        <v>#N/A</v>
      </c>
    </row>
    <row r="1600" hidden="1">
      <c r="A1600" s="108"/>
      <c r="B1600" s="202"/>
      <c r="C1600" s="202" t="str">
        <f>VLOOKUP(M1600,'#verificação horas por projeto'!A:B,2,FALSE)</f>
        <v>#N/A</v>
      </c>
      <c r="D1600" s="202"/>
      <c r="E1600" s="107"/>
      <c r="F1600" s="205"/>
      <c r="G1600" s="226"/>
      <c r="H1600" s="107"/>
      <c r="I1600" s="227"/>
      <c r="J1600" s="227"/>
      <c r="K1600" s="115"/>
      <c r="L1600" s="228"/>
      <c r="M1600" s="107"/>
      <c r="N1600" s="229">
        <f>IF(AND(O1600=TRUE,P1600=TRUE), VLOOKUP($E1600,PESSOAL!$B$35:$S$45,MONTH($F1600)+6,FALSE)*G1600*24,0)</f>
        <v>0</v>
      </c>
      <c r="O1600" s="89"/>
      <c r="P1600" s="89" t="b">
        <v>0</v>
      </c>
      <c r="Q1600" s="89" t="e">
        <v>#N/A</v>
      </c>
    </row>
    <row r="1601" hidden="1">
      <c r="A1601" s="108"/>
      <c r="B1601" s="202"/>
      <c r="C1601" s="202" t="str">
        <f>VLOOKUP(M1601,'#verificação horas por projeto'!A:B,2,FALSE)</f>
        <v>#N/A</v>
      </c>
      <c r="D1601" s="202"/>
      <c r="E1601" s="107"/>
      <c r="F1601" s="205"/>
      <c r="G1601" s="226"/>
      <c r="H1601" s="107"/>
      <c r="I1601" s="227"/>
      <c r="J1601" s="227"/>
      <c r="K1601" s="115"/>
      <c r="L1601" s="228"/>
      <c r="M1601" s="107"/>
      <c r="N1601" s="229">
        <f>IF(AND(O1601=TRUE,P1601=TRUE), VLOOKUP($E1601,PESSOAL!$B$35:$S$45,MONTH($F1601)+6,FALSE)*G1601*24,0)</f>
        <v>0</v>
      </c>
      <c r="O1601" s="89"/>
      <c r="P1601" s="89" t="b">
        <v>0</v>
      </c>
      <c r="Q1601" s="89" t="e">
        <v>#N/A</v>
      </c>
    </row>
    <row r="1602" hidden="1">
      <c r="A1602" s="108"/>
      <c r="B1602" s="202"/>
      <c r="C1602" s="202" t="str">
        <f>VLOOKUP(M1602,'#verificação horas por projeto'!A:B,2,FALSE)</f>
        <v>#N/A</v>
      </c>
      <c r="D1602" s="202"/>
      <c r="E1602" s="107"/>
      <c r="F1602" s="205"/>
      <c r="G1602" s="226"/>
      <c r="H1602" s="107"/>
      <c r="I1602" s="227"/>
      <c r="J1602" s="227"/>
      <c r="K1602" s="115"/>
      <c r="L1602" s="228"/>
      <c r="M1602" s="107"/>
      <c r="N1602" s="229">
        <f>IF(AND(O1602=TRUE,P1602=TRUE), VLOOKUP($E1602,PESSOAL!$B$35:$S$45,MONTH($F1602)+6,FALSE)*G1602*24,0)</f>
        <v>0</v>
      </c>
      <c r="O1602" s="89"/>
      <c r="P1602" s="89" t="b">
        <v>0</v>
      </c>
      <c r="Q1602" s="89" t="e">
        <v>#N/A</v>
      </c>
    </row>
    <row r="1603" hidden="1">
      <c r="A1603" s="108"/>
      <c r="B1603" s="202"/>
      <c r="C1603" s="202" t="str">
        <f>VLOOKUP(M1603,'#verificação horas por projeto'!A:B,2,FALSE)</f>
        <v>#N/A</v>
      </c>
      <c r="D1603" s="202"/>
      <c r="E1603" s="107"/>
      <c r="F1603" s="205"/>
      <c r="G1603" s="226"/>
      <c r="H1603" s="107"/>
      <c r="I1603" s="227"/>
      <c r="J1603" s="227"/>
      <c r="K1603" s="115"/>
      <c r="L1603" s="228"/>
      <c r="M1603" s="107"/>
      <c r="N1603" s="229">
        <f>IF(AND(O1603=TRUE,P1603=TRUE), VLOOKUP($E1603,PESSOAL!$B$35:$S$45,MONTH($F1603)+6,FALSE)*G1603*24,0)</f>
        <v>0</v>
      </c>
      <c r="O1603" s="89"/>
      <c r="P1603" s="89" t="b">
        <v>0</v>
      </c>
      <c r="Q1603" s="89" t="e">
        <v>#N/A</v>
      </c>
    </row>
    <row r="1604" hidden="1">
      <c r="A1604" s="108"/>
      <c r="B1604" s="202"/>
      <c r="C1604" s="202" t="str">
        <f>VLOOKUP(M1604,'#verificação horas por projeto'!A:B,2,FALSE)</f>
        <v>#N/A</v>
      </c>
      <c r="D1604" s="202"/>
      <c r="E1604" s="107"/>
      <c r="F1604" s="205"/>
      <c r="G1604" s="226"/>
      <c r="H1604" s="107"/>
      <c r="I1604" s="227"/>
      <c r="J1604" s="227"/>
      <c r="K1604" s="115"/>
      <c r="L1604" s="228"/>
      <c r="M1604" s="107"/>
      <c r="N1604" s="229">
        <f>IF(AND(O1604=TRUE,P1604=TRUE), VLOOKUP($E1604,PESSOAL!$B$35:$S$45,MONTH($F1604)+6,FALSE)*G1604*24,0)</f>
        <v>0</v>
      </c>
      <c r="O1604" s="89"/>
      <c r="P1604" s="89" t="b">
        <v>0</v>
      </c>
      <c r="Q1604" s="89" t="e">
        <v>#N/A</v>
      </c>
    </row>
    <row r="1605" hidden="1">
      <c r="A1605" s="108"/>
      <c r="B1605" s="202"/>
      <c r="C1605" s="202" t="str">
        <f>VLOOKUP(M1605,'#verificação horas por projeto'!A:B,2,FALSE)</f>
        <v>#N/A</v>
      </c>
      <c r="D1605" s="202"/>
      <c r="E1605" s="107"/>
      <c r="F1605" s="205"/>
      <c r="G1605" s="226"/>
      <c r="H1605" s="107"/>
      <c r="I1605" s="227"/>
      <c r="J1605" s="227"/>
      <c r="K1605" s="115"/>
      <c r="L1605" s="228"/>
      <c r="M1605" s="107"/>
      <c r="N1605" s="229">
        <f>IF(AND(O1605=TRUE,P1605=TRUE), VLOOKUP($E1605,PESSOAL!$B$35:$S$45,MONTH($F1605)+6,FALSE)*G1605*24,0)</f>
        <v>0</v>
      </c>
      <c r="O1605" s="89"/>
      <c r="P1605" s="89" t="b">
        <v>0</v>
      </c>
      <c r="Q1605" s="89" t="e">
        <v>#N/A</v>
      </c>
    </row>
    <row r="1606" hidden="1">
      <c r="A1606" s="108"/>
      <c r="B1606" s="202"/>
      <c r="C1606" s="202" t="str">
        <f>VLOOKUP(M1606,'#verificação horas por projeto'!A:B,2,FALSE)</f>
        <v>#N/A</v>
      </c>
      <c r="D1606" s="202"/>
      <c r="E1606" s="107"/>
      <c r="F1606" s="205"/>
      <c r="G1606" s="226"/>
      <c r="H1606" s="107"/>
      <c r="I1606" s="227"/>
      <c r="J1606" s="227"/>
      <c r="K1606" s="115"/>
      <c r="L1606" s="228"/>
      <c r="M1606" s="107"/>
      <c r="N1606" s="229">
        <f>IF(AND(O1606=TRUE,P1606=TRUE), VLOOKUP($E1606,PESSOAL!$B$35:$S$45,MONTH($F1606)+6,FALSE)*G1606*24,0)</f>
        <v>0</v>
      </c>
      <c r="O1606" s="89"/>
      <c r="P1606" s="89" t="b">
        <v>0</v>
      </c>
      <c r="Q1606" s="89" t="e">
        <v>#N/A</v>
      </c>
    </row>
    <row r="1607" hidden="1">
      <c r="A1607" s="108"/>
      <c r="B1607" s="202"/>
      <c r="C1607" s="202" t="str">
        <f>VLOOKUP(M1607,'#verificação horas por projeto'!A:B,2,FALSE)</f>
        <v>#N/A</v>
      </c>
      <c r="D1607" s="202"/>
      <c r="E1607" s="107"/>
      <c r="F1607" s="205"/>
      <c r="G1607" s="226"/>
      <c r="H1607" s="107"/>
      <c r="I1607" s="227"/>
      <c r="J1607" s="227"/>
      <c r="K1607" s="115"/>
      <c r="L1607" s="228"/>
      <c r="M1607" s="107"/>
      <c r="N1607" s="229">
        <f>IF(AND(O1607=TRUE,P1607=TRUE), VLOOKUP($E1607,PESSOAL!$B$35:$S$45,MONTH($F1607)+6,FALSE)*G1607*24,0)</f>
        <v>0</v>
      </c>
      <c r="O1607" s="89"/>
      <c r="P1607" s="89" t="b">
        <v>0</v>
      </c>
      <c r="Q1607" s="89" t="e">
        <v>#N/A</v>
      </c>
    </row>
    <row r="1608" hidden="1">
      <c r="A1608" s="108"/>
      <c r="B1608" s="202"/>
      <c r="C1608" s="202" t="str">
        <f>VLOOKUP(M1608,'#verificação horas por projeto'!A:B,2,FALSE)</f>
        <v>#N/A</v>
      </c>
      <c r="D1608" s="202"/>
      <c r="E1608" s="107"/>
      <c r="F1608" s="205"/>
      <c r="G1608" s="226"/>
      <c r="H1608" s="107"/>
      <c r="I1608" s="227"/>
      <c r="J1608" s="227"/>
      <c r="K1608" s="115"/>
      <c r="L1608" s="228"/>
      <c r="M1608" s="107"/>
      <c r="N1608" s="229">
        <f>IF(AND(O1608=TRUE,P1608=TRUE), VLOOKUP($E1608,PESSOAL!$B$35:$S$45,MONTH($F1608)+6,FALSE)*G1608*24,0)</f>
        <v>0</v>
      </c>
      <c r="O1608" s="89"/>
      <c r="P1608" s="89" t="b">
        <v>0</v>
      </c>
      <c r="Q1608" s="89" t="e">
        <v>#N/A</v>
      </c>
    </row>
    <row r="1609" hidden="1">
      <c r="A1609" s="108"/>
      <c r="B1609" s="202"/>
      <c r="C1609" s="202" t="str">
        <f>VLOOKUP(M1609,'#verificação horas por projeto'!A:B,2,FALSE)</f>
        <v>#N/A</v>
      </c>
      <c r="D1609" s="202"/>
      <c r="E1609" s="107"/>
      <c r="F1609" s="205"/>
      <c r="G1609" s="226"/>
      <c r="H1609" s="107"/>
      <c r="I1609" s="227"/>
      <c r="J1609" s="227"/>
      <c r="K1609" s="115"/>
      <c r="L1609" s="228"/>
      <c r="M1609" s="107"/>
      <c r="N1609" s="229">
        <f>IF(AND(O1609=TRUE,P1609=TRUE), VLOOKUP($E1609,PESSOAL!$B$35:$S$45,MONTH($F1609)+6,FALSE)*G1609*24,0)</f>
        <v>0</v>
      </c>
      <c r="O1609" s="89"/>
      <c r="P1609" s="89" t="b">
        <v>0</v>
      </c>
      <c r="Q1609" s="89" t="e">
        <v>#N/A</v>
      </c>
    </row>
    <row r="1610" hidden="1">
      <c r="A1610" s="108"/>
      <c r="B1610" s="202"/>
      <c r="C1610" s="202" t="str">
        <f>VLOOKUP(M1610,'#verificação horas por projeto'!A:B,2,FALSE)</f>
        <v>#N/A</v>
      </c>
      <c r="D1610" s="202"/>
      <c r="E1610" s="107"/>
      <c r="F1610" s="205"/>
      <c r="G1610" s="226"/>
      <c r="H1610" s="107"/>
      <c r="I1610" s="227"/>
      <c r="J1610" s="227"/>
      <c r="K1610" s="115"/>
      <c r="L1610" s="228"/>
      <c r="M1610" s="107"/>
      <c r="N1610" s="229">
        <f>IF(AND(O1610=TRUE,P1610=TRUE), VLOOKUP($E1610,PESSOAL!$B$35:$S$45,MONTH($F1610)+6,FALSE)*G1610*24,0)</f>
        <v>0</v>
      </c>
      <c r="O1610" s="89"/>
      <c r="P1610" s="89" t="b">
        <v>0</v>
      </c>
      <c r="Q1610" s="89" t="e">
        <v>#N/A</v>
      </c>
    </row>
    <row r="1611" hidden="1">
      <c r="A1611" s="108"/>
      <c r="B1611" s="202"/>
      <c r="C1611" s="202" t="str">
        <f>VLOOKUP(M1611,'#verificação horas por projeto'!A:B,2,FALSE)</f>
        <v>#N/A</v>
      </c>
      <c r="D1611" s="202"/>
      <c r="E1611" s="107"/>
      <c r="F1611" s="205"/>
      <c r="G1611" s="226"/>
      <c r="H1611" s="107"/>
      <c r="I1611" s="227"/>
      <c r="J1611" s="227"/>
      <c r="K1611" s="115"/>
      <c r="L1611" s="228"/>
      <c r="M1611" s="107"/>
      <c r="N1611" s="229">
        <f>IF(AND(O1611=TRUE,P1611=TRUE), VLOOKUP($E1611,PESSOAL!$B$35:$S$45,MONTH($F1611)+6,FALSE)*G1611*24,0)</f>
        <v>0</v>
      </c>
      <c r="O1611" s="89"/>
      <c r="P1611" s="89" t="b">
        <v>0</v>
      </c>
      <c r="Q1611" s="89" t="e">
        <v>#N/A</v>
      </c>
    </row>
    <row r="1612" hidden="1">
      <c r="A1612" s="108"/>
      <c r="B1612" s="202"/>
      <c r="C1612" s="202" t="str">
        <f>VLOOKUP(M1612,'#verificação horas por projeto'!A:B,2,FALSE)</f>
        <v>#N/A</v>
      </c>
      <c r="D1612" s="202"/>
      <c r="E1612" s="107"/>
      <c r="F1612" s="205"/>
      <c r="G1612" s="226"/>
      <c r="H1612" s="107"/>
      <c r="I1612" s="227"/>
      <c r="J1612" s="227"/>
      <c r="K1612" s="115"/>
      <c r="L1612" s="228"/>
      <c r="M1612" s="107"/>
      <c r="N1612" s="229">
        <f>IF(AND(O1612=TRUE,P1612=TRUE), VLOOKUP($E1612,PESSOAL!$B$35:$S$45,MONTH($F1612)+6,FALSE)*G1612*24,0)</f>
        <v>0</v>
      </c>
      <c r="O1612" s="89"/>
      <c r="P1612" s="89" t="b">
        <v>0</v>
      </c>
      <c r="Q1612" s="89" t="e">
        <v>#N/A</v>
      </c>
    </row>
    <row r="1613" hidden="1">
      <c r="A1613" s="108"/>
      <c r="B1613" s="202"/>
      <c r="C1613" s="202" t="str">
        <f>VLOOKUP(M1613,'#verificação horas por projeto'!A:B,2,FALSE)</f>
        <v>#N/A</v>
      </c>
      <c r="D1613" s="202"/>
      <c r="E1613" s="107"/>
      <c r="F1613" s="205"/>
      <c r="G1613" s="226"/>
      <c r="H1613" s="107"/>
      <c r="I1613" s="227"/>
      <c r="J1613" s="227"/>
      <c r="K1613" s="115"/>
      <c r="L1613" s="228"/>
      <c r="M1613" s="107"/>
      <c r="N1613" s="229">
        <f>IF(AND(O1613=TRUE,P1613=TRUE), VLOOKUP($E1613,PESSOAL!$B$35:$S$45,MONTH($F1613)+6,FALSE)*G1613*24,0)</f>
        <v>0</v>
      </c>
      <c r="O1613" s="89"/>
      <c r="P1613" s="89" t="b">
        <v>0</v>
      </c>
      <c r="Q1613" s="89" t="e">
        <v>#N/A</v>
      </c>
    </row>
    <row r="1614" hidden="1">
      <c r="A1614" s="108"/>
      <c r="B1614" s="202"/>
      <c r="C1614" s="202" t="str">
        <f>VLOOKUP(M1614,'#verificação horas por projeto'!A:B,2,FALSE)</f>
        <v>#N/A</v>
      </c>
      <c r="D1614" s="202"/>
      <c r="E1614" s="107"/>
      <c r="F1614" s="205"/>
      <c r="G1614" s="226"/>
      <c r="H1614" s="107"/>
      <c r="I1614" s="227"/>
      <c r="J1614" s="227"/>
      <c r="K1614" s="115"/>
      <c r="L1614" s="228"/>
      <c r="M1614" s="107"/>
      <c r="N1614" s="229">
        <f>IF(AND(O1614=TRUE,P1614=TRUE), VLOOKUP($E1614,PESSOAL!$B$35:$S$45,MONTH($F1614)+6,FALSE)*G1614*24,0)</f>
        <v>0</v>
      </c>
      <c r="O1614" s="89"/>
      <c r="P1614" s="89" t="b">
        <v>0</v>
      </c>
      <c r="Q1614" s="89" t="e">
        <v>#N/A</v>
      </c>
    </row>
    <row r="1615" hidden="1">
      <c r="A1615" s="108"/>
      <c r="B1615" s="202"/>
      <c r="C1615" s="202" t="str">
        <f>VLOOKUP(M1615,'#verificação horas por projeto'!A:B,2,FALSE)</f>
        <v>#N/A</v>
      </c>
      <c r="D1615" s="202"/>
      <c r="E1615" s="107"/>
      <c r="F1615" s="205"/>
      <c r="G1615" s="226"/>
      <c r="H1615" s="107"/>
      <c r="I1615" s="227"/>
      <c r="J1615" s="227"/>
      <c r="K1615" s="115"/>
      <c r="L1615" s="228"/>
      <c r="M1615" s="107"/>
      <c r="N1615" s="229">
        <f>IF(AND(O1615=TRUE,P1615=TRUE), VLOOKUP($E1615,PESSOAL!$B$35:$S$45,MONTH($F1615)+6,FALSE)*G1615*24,0)</f>
        <v>0</v>
      </c>
      <c r="O1615" s="89"/>
      <c r="P1615" s="89" t="b">
        <v>0</v>
      </c>
      <c r="Q1615" s="89" t="e">
        <v>#N/A</v>
      </c>
    </row>
    <row r="1616" hidden="1">
      <c r="A1616" s="108"/>
      <c r="B1616" s="202"/>
      <c r="C1616" s="202" t="str">
        <f>VLOOKUP(M1616,'#verificação horas por projeto'!A:B,2,FALSE)</f>
        <v>#N/A</v>
      </c>
      <c r="D1616" s="202"/>
      <c r="E1616" s="107"/>
      <c r="F1616" s="205"/>
      <c r="G1616" s="226"/>
      <c r="H1616" s="107"/>
      <c r="I1616" s="227"/>
      <c r="J1616" s="227"/>
      <c r="K1616" s="115"/>
      <c r="L1616" s="228"/>
      <c r="M1616" s="107"/>
      <c r="N1616" s="229">
        <f>IF(AND(O1616=TRUE,P1616=TRUE), VLOOKUP($E1616,PESSOAL!$B$35:$S$45,MONTH($F1616)+6,FALSE)*G1616*24,0)</f>
        <v>0</v>
      </c>
      <c r="O1616" s="89"/>
      <c r="P1616" s="89" t="b">
        <v>0</v>
      </c>
      <c r="Q1616" s="89" t="e">
        <v>#N/A</v>
      </c>
    </row>
    <row r="1617" hidden="1">
      <c r="A1617" s="108"/>
      <c r="B1617" s="202"/>
      <c r="C1617" s="202" t="str">
        <f>VLOOKUP(M1617,'#verificação horas por projeto'!A:B,2,FALSE)</f>
        <v>#N/A</v>
      </c>
      <c r="D1617" s="202"/>
      <c r="E1617" s="107"/>
      <c r="F1617" s="205"/>
      <c r="G1617" s="226"/>
      <c r="H1617" s="107"/>
      <c r="I1617" s="227"/>
      <c r="J1617" s="227"/>
      <c r="K1617" s="115"/>
      <c r="L1617" s="228"/>
      <c r="M1617" s="107"/>
      <c r="N1617" s="229">
        <f>IF(AND(O1617=TRUE,P1617=TRUE), VLOOKUP($E1617,PESSOAL!$B$35:$S$45,MONTH($F1617)+6,FALSE)*G1617*24,0)</f>
        <v>0</v>
      </c>
      <c r="O1617" s="89"/>
      <c r="P1617" s="89" t="b">
        <v>0</v>
      </c>
      <c r="Q1617" s="89" t="e">
        <v>#N/A</v>
      </c>
    </row>
    <row r="1618" hidden="1">
      <c r="A1618" s="108"/>
      <c r="B1618" s="202"/>
      <c r="C1618" s="202" t="str">
        <f>VLOOKUP(M1618,'#verificação horas por projeto'!A:B,2,FALSE)</f>
        <v>#N/A</v>
      </c>
      <c r="D1618" s="202"/>
      <c r="E1618" s="107"/>
      <c r="F1618" s="205"/>
      <c r="G1618" s="226"/>
      <c r="H1618" s="107"/>
      <c r="I1618" s="227"/>
      <c r="J1618" s="227"/>
      <c r="K1618" s="115"/>
      <c r="L1618" s="228"/>
      <c r="M1618" s="107"/>
      <c r="N1618" s="229">
        <f>IF(AND(O1618=TRUE,P1618=TRUE), VLOOKUP($E1618,PESSOAL!$B$35:$S$45,MONTH($F1618)+6,FALSE)*G1618*24,0)</f>
        <v>0</v>
      </c>
      <c r="O1618" s="89"/>
      <c r="P1618" s="89" t="b">
        <v>0</v>
      </c>
      <c r="Q1618" s="89" t="e">
        <v>#N/A</v>
      </c>
    </row>
    <row r="1619" hidden="1">
      <c r="A1619" s="108"/>
      <c r="B1619" s="202"/>
      <c r="C1619" s="202" t="str">
        <f>VLOOKUP(M1619,'#verificação horas por projeto'!A:B,2,FALSE)</f>
        <v>#N/A</v>
      </c>
      <c r="D1619" s="202"/>
      <c r="E1619" s="107"/>
      <c r="F1619" s="205"/>
      <c r="G1619" s="226"/>
      <c r="H1619" s="107"/>
      <c r="I1619" s="227"/>
      <c r="J1619" s="227"/>
      <c r="K1619" s="115"/>
      <c r="L1619" s="228"/>
      <c r="M1619" s="107"/>
      <c r="N1619" s="229">
        <f>IF(AND(O1619=TRUE,P1619=TRUE), VLOOKUP($E1619,PESSOAL!$B$35:$S$45,MONTH($F1619)+6,FALSE)*G1619*24,0)</f>
        <v>0</v>
      </c>
      <c r="O1619" s="89"/>
      <c r="P1619" s="89" t="b">
        <v>0</v>
      </c>
      <c r="Q1619" s="89" t="e">
        <v>#N/A</v>
      </c>
    </row>
    <row r="1620" hidden="1">
      <c r="A1620" s="108"/>
      <c r="B1620" s="202"/>
      <c r="C1620" s="202" t="str">
        <f>VLOOKUP(M1620,'#verificação horas por projeto'!A:B,2,FALSE)</f>
        <v>#N/A</v>
      </c>
      <c r="D1620" s="202"/>
      <c r="E1620" s="107"/>
      <c r="F1620" s="205"/>
      <c r="G1620" s="226"/>
      <c r="H1620" s="107"/>
      <c r="I1620" s="227"/>
      <c r="J1620" s="227"/>
      <c r="K1620" s="115"/>
      <c r="L1620" s="228"/>
      <c r="M1620" s="107"/>
      <c r="N1620" s="229">
        <f>IF(AND(O1620=TRUE,P1620=TRUE), VLOOKUP($E1620,PESSOAL!$B$35:$S$45,MONTH($F1620)+6,FALSE)*G1620*24,0)</f>
        <v>0</v>
      </c>
      <c r="O1620" s="89"/>
      <c r="P1620" s="89" t="b">
        <v>0</v>
      </c>
      <c r="Q1620" s="89" t="e">
        <v>#N/A</v>
      </c>
    </row>
    <row r="1621" hidden="1">
      <c r="A1621" s="108"/>
      <c r="B1621" s="202"/>
      <c r="C1621" s="202" t="str">
        <f>VLOOKUP(M1621,'#verificação horas por projeto'!A:B,2,FALSE)</f>
        <v>#N/A</v>
      </c>
      <c r="D1621" s="202"/>
      <c r="E1621" s="107"/>
      <c r="F1621" s="205"/>
      <c r="G1621" s="226"/>
      <c r="H1621" s="107"/>
      <c r="I1621" s="227"/>
      <c r="J1621" s="227"/>
      <c r="K1621" s="115"/>
      <c r="L1621" s="228"/>
      <c r="M1621" s="107"/>
      <c r="N1621" s="229">
        <f>IF(AND(O1621=TRUE,P1621=TRUE), VLOOKUP($E1621,PESSOAL!$B$35:$S$45,MONTH($F1621)+6,FALSE)*G1621*24,0)</f>
        <v>0</v>
      </c>
      <c r="O1621" s="89"/>
      <c r="P1621" s="89" t="b">
        <v>0</v>
      </c>
      <c r="Q1621" s="89" t="e">
        <v>#N/A</v>
      </c>
    </row>
    <row r="1622" hidden="1">
      <c r="A1622" s="108"/>
      <c r="B1622" s="202"/>
      <c r="C1622" s="202" t="str">
        <f>VLOOKUP(M1622,'#verificação horas por projeto'!A:B,2,FALSE)</f>
        <v>#N/A</v>
      </c>
      <c r="D1622" s="202"/>
      <c r="E1622" s="107"/>
      <c r="F1622" s="205"/>
      <c r="G1622" s="226"/>
      <c r="H1622" s="107"/>
      <c r="I1622" s="227"/>
      <c r="J1622" s="227"/>
      <c r="K1622" s="115"/>
      <c r="L1622" s="228"/>
      <c r="M1622" s="107"/>
      <c r="N1622" s="229">
        <f>IF(AND(O1622=TRUE,P1622=TRUE), VLOOKUP($E1622,PESSOAL!$B$35:$S$45,MONTH($F1622)+6,FALSE)*G1622*24,0)</f>
        <v>0</v>
      </c>
      <c r="O1622" s="89"/>
      <c r="P1622" s="89" t="b">
        <v>0</v>
      </c>
      <c r="Q1622" s="89" t="e">
        <v>#N/A</v>
      </c>
    </row>
    <row r="1623" hidden="1">
      <c r="A1623" s="108"/>
      <c r="B1623" s="202"/>
      <c r="C1623" s="202" t="str">
        <f>VLOOKUP(M1623,'#verificação horas por projeto'!A:B,2,FALSE)</f>
        <v>#N/A</v>
      </c>
      <c r="D1623" s="202"/>
      <c r="E1623" s="107"/>
      <c r="F1623" s="205"/>
      <c r="G1623" s="226"/>
      <c r="H1623" s="107"/>
      <c r="I1623" s="227"/>
      <c r="J1623" s="227"/>
      <c r="K1623" s="115"/>
      <c r="L1623" s="228"/>
      <c r="M1623" s="107"/>
      <c r="N1623" s="229">
        <f>IF(AND(O1623=TRUE,P1623=TRUE), VLOOKUP($E1623,PESSOAL!$B$35:$S$45,MONTH($F1623)+6,FALSE)*G1623*24,0)</f>
        <v>0</v>
      </c>
      <c r="O1623" s="89"/>
      <c r="P1623" s="89" t="b">
        <v>0</v>
      </c>
      <c r="Q1623" s="89" t="e">
        <v>#N/A</v>
      </c>
    </row>
    <row r="1624" hidden="1">
      <c r="A1624" s="108"/>
      <c r="B1624" s="202"/>
      <c r="C1624" s="202" t="str">
        <f>VLOOKUP(M1624,'#verificação horas por projeto'!A:B,2,FALSE)</f>
        <v>#N/A</v>
      </c>
      <c r="D1624" s="202"/>
      <c r="E1624" s="107"/>
      <c r="F1624" s="205"/>
      <c r="G1624" s="226"/>
      <c r="H1624" s="107"/>
      <c r="I1624" s="227"/>
      <c r="J1624" s="227"/>
      <c r="K1624" s="115"/>
      <c r="L1624" s="228"/>
      <c r="M1624" s="107"/>
      <c r="N1624" s="229">
        <f>IF(AND(O1624=TRUE,P1624=TRUE), VLOOKUP($E1624,PESSOAL!$B$35:$S$45,MONTH($F1624)+6,FALSE)*G1624*24,0)</f>
        <v>0</v>
      </c>
      <c r="O1624" s="89"/>
      <c r="P1624" s="89" t="b">
        <v>0</v>
      </c>
      <c r="Q1624" s="89" t="e">
        <v>#N/A</v>
      </c>
    </row>
    <row r="1625" hidden="1">
      <c r="A1625" s="108"/>
      <c r="B1625" s="202"/>
      <c r="C1625" s="202" t="str">
        <f>VLOOKUP(M1625,'#verificação horas por projeto'!A:B,2,FALSE)</f>
        <v>#N/A</v>
      </c>
      <c r="D1625" s="202"/>
      <c r="E1625" s="107"/>
      <c r="F1625" s="205"/>
      <c r="G1625" s="226"/>
      <c r="H1625" s="107"/>
      <c r="I1625" s="227"/>
      <c r="J1625" s="227"/>
      <c r="K1625" s="115"/>
      <c r="L1625" s="228"/>
      <c r="M1625" s="107"/>
      <c r="N1625" s="229">
        <f>IF(AND(O1625=TRUE,P1625=TRUE), VLOOKUP($E1625,PESSOAL!$B$35:$S$45,MONTH($F1625)+6,FALSE)*G1625*24,0)</f>
        <v>0</v>
      </c>
      <c r="O1625" s="89"/>
      <c r="P1625" s="89" t="b">
        <v>0</v>
      </c>
      <c r="Q1625" s="89" t="e">
        <v>#N/A</v>
      </c>
    </row>
    <row r="1626" hidden="1">
      <c r="A1626" s="108"/>
      <c r="B1626" s="202"/>
      <c r="C1626" s="202" t="str">
        <f>VLOOKUP(M1626,'#verificação horas por projeto'!A:B,2,FALSE)</f>
        <v>#N/A</v>
      </c>
      <c r="D1626" s="202"/>
      <c r="E1626" s="107"/>
      <c r="F1626" s="205"/>
      <c r="G1626" s="226"/>
      <c r="H1626" s="107"/>
      <c r="I1626" s="227"/>
      <c r="J1626" s="227"/>
      <c r="K1626" s="115"/>
      <c r="L1626" s="228"/>
      <c r="M1626" s="107"/>
      <c r="N1626" s="229">
        <f>IF(AND(O1626=TRUE,P1626=TRUE), VLOOKUP($E1626,PESSOAL!$B$35:$S$45,MONTH($F1626)+6,FALSE)*G1626*24,0)</f>
        <v>0</v>
      </c>
      <c r="O1626" s="89"/>
      <c r="P1626" s="89" t="b">
        <v>0</v>
      </c>
      <c r="Q1626" s="89" t="e">
        <v>#N/A</v>
      </c>
    </row>
    <row r="1627" hidden="1">
      <c r="A1627" s="108"/>
      <c r="B1627" s="202"/>
      <c r="C1627" s="202" t="str">
        <f>VLOOKUP(M1627,'#verificação horas por projeto'!A:B,2,FALSE)</f>
        <v>#N/A</v>
      </c>
      <c r="D1627" s="202"/>
      <c r="E1627" s="107"/>
      <c r="F1627" s="205"/>
      <c r="G1627" s="226"/>
      <c r="H1627" s="107"/>
      <c r="I1627" s="227"/>
      <c r="J1627" s="227"/>
      <c r="K1627" s="115"/>
      <c r="L1627" s="228"/>
      <c r="M1627" s="107"/>
      <c r="N1627" s="229">
        <f>IF(AND(O1627=TRUE,P1627=TRUE), VLOOKUP($E1627,PESSOAL!$B$35:$S$45,MONTH($F1627)+6,FALSE)*G1627*24,0)</f>
        <v>0</v>
      </c>
      <c r="O1627" s="89"/>
      <c r="P1627" s="89" t="b">
        <v>0</v>
      </c>
      <c r="Q1627" s="89" t="e">
        <v>#N/A</v>
      </c>
    </row>
    <row r="1628" hidden="1">
      <c r="A1628" s="108"/>
      <c r="B1628" s="202"/>
      <c r="C1628" s="202" t="str">
        <f>VLOOKUP(M1628,'#verificação horas por projeto'!A:B,2,FALSE)</f>
        <v>#N/A</v>
      </c>
      <c r="D1628" s="202"/>
      <c r="E1628" s="107"/>
      <c r="F1628" s="205"/>
      <c r="G1628" s="226"/>
      <c r="H1628" s="107"/>
      <c r="I1628" s="227"/>
      <c r="J1628" s="227"/>
      <c r="K1628" s="115"/>
      <c r="L1628" s="228"/>
      <c r="M1628" s="107"/>
      <c r="N1628" s="229">
        <f>IF(AND(O1628=TRUE,P1628=TRUE), VLOOKUP($E1628,PESSOAL!$B$35:$S$45,MONTH($F1628)+6,FALSE)*G1628*24,0)</f>
        <v>0</v>
      </c>
      <c r="O1628" s="89"/>
      <c r="P1628" s="89" t="b">
        <v>0</v>
      </c>
      <c r="Q1628" s="89" t="e">
        <v>#N/A</v>
      </c>
    </row>
    <row r="1629" hidden="1">
      <c r="A1629" s="108"/>
      <c r="B1629" s="202"/>
      <c r="C1629" s="202" t="str">
        <f>VLOOKUP(M1629,'#verificação horas por projeto'!A:B,2,FALSE)</f>
        <v>#N/A</v>
      </c>
      <c r="D1629" s="202"/>
      <c r="E1629" s="107"/>
      <c r="F1629" s="205"/>
      <c r="G1629" s="226"/>
      <c r="H1629" s="107"/>
      <c r="I1629" s="227"/>
      <c r="J1629" s="227"/>
      <c r="K1629" s="115"/>
      <c r="L1629" s="228"/>
      <c r="M1629" s="107"/>
      <c r="N1629" s="229">
        <f>IF(AND(O1629=TRUE,P1629=TRUE), VLOOKUP($E1629,PESSOAL!$B$35:$S$45,MONTH($F1629)+6,FALSE)*G1629*24,0)</f>
        <v>0</v>
      </c>
      <c r="O1629" s="89"/>
      <c r="P1629" s="89" t="b">
        <v>0</v>
      </c>
      <c r="Q1629" s="89" t="e">
        <v>#N/A</v>
      </c>
    </row>
    <row r="1630" hidden="1">
      <c r="A1630" s="108"/>
      <c r="B1630" s="202"/>
      <c r="C1630" s="202" t="str">
        <f>VLOOKUP(M1630,'#verificação horas por projeto'!A:B,2,FALSE)</f>
        <v>#N/A</v>
      </c>
      <c r="D1630" s="202"/>
      <c r="E1630" s="107"/>
      <c r="F1630" s="205"/>
      <c r="G1630" s="226"/>
      <c r="H1630" s="107"/>
      <c r="I1630" s="227"/>
      <c r="J1630" s="227"/>
      <c r="K1630" s="115"/>
      <c r="L1630" s="228"/>
      <c r="M1630" s="107"/>
      <c r="N1630" s="229">
        <f>IF(AND(O1630=TRUE,P1630=TRUE), VLOOKUP($E1630,PESSOAL!$B$35:$S$45,MONTH($F1630)+6,FALSE)*G1630*24,0)</f>
        <v>0</v>
      </c>
      <c r="O1630" s="89"/>
      <c r="P1630" s="89" t="b">
        <v>0</v>
      </c>
      <c r="Q1630" s="89" t="e">
        <v>#N/A</v>
      </c>
    </row>
    <row r="1631" hidden="1">
      <c r="A1631" s="108"/>
      <c r="B1631" s="202"/>
      <c r="C1631" s="202" t="str">
        <f>VLOOKUP(M1631,'#verificação horas por projeto'!A:B,2,FALSE)</f>
        <v>#N/A</v>
      </c>
      <c r="D1631" s="202"/>
      <c r="E1631" s="107"/>
      <c r="F1631" s="205"/>
      <c r="G1631" s="226"/>
      <c r="H1631" s="107"/>
      <c r="I1631" s="227"/>
      <c r="J1631" s="227"/>
      <c r="K1631" s="115"/>
      <c r="L1631" s="228"/>
      <c r="M1631" s="107"/>
      <c r="N1631" s="229">
        <f>IF(AND(O1631=TRUE,P1631=TRUE), VLOOKUP($E1631,PESSOAL!$B$35:$S$45,MONTH($F1631)+6,FALSE)*G1631*24,0)</f>
        <v>0</v>
      </c>
      <c r="O1631" s="89"/>
      <c r="P1631" s="89" t="b">
        <v>0</v>
      </c>
      <c r="Q1631" s="89" t="e">
        <v>#N/A</v>
      </c>
    </row>
    <row r="1632" hidden="1">
      <c r="A1632" s="108"/>
      <c r="B1632" s="202"/>
      <c r="C1632" s="202" t="str">
        <f>VLOOKUP(M1632,'#verificação horas por projeto'!A:B,2,FALSE)</f>
        <v>#N/A</v>
      </c>
      <c r="D1632" s="202"/>
      <c r="E1632" s="107"/>
      <c r="F1632" s="205"/>
      <c r="G1632" s="226"/>
      <c r="H1632" s="107"/>
      <c r="I1632" s="227"/>
      <c r="J1632" s="227"/>
      <c r="K1632" s="115"/>
      <c r="L1632" s="228"/>
      <c r="M1632" s="107"/>
      <c r="N1632" s="229">
        <f>IF(AND(O1632=TRUE,P1632=TRUE), VLOOKUP($E1632,PESSOAL!$B$35:$S$45,MONTH($F1632)+6,FALSE)*G1632*24,0)</f>
        <v>0</v>
      </c>
      <c r="O1632" s="89"/>
      <c r="P1632" s="89" t="b">
        <v>0</v>
      </c>
      <c r="Q1632" s="89" t="e">
        <v>#N/A</v>
      </c>
    </row>
    <row r="1633" hidden="1">
      <c r="A1633" s="108"/>
      <c r="B1633" s="202"/>
      <c r="C1633" s="202" t="str">
        <f>VLOOKUP(M1633,'#verificação horas por projeto'!A:B,2,FALSE)</f>
        <v>#N/A</v>
      </c>
      <c r="D1633" s="202"/>
      <c r="E1633" s="107"/>
      <c r="F1633" s="205"/>
      <c r="G1633" s="226"/>
      <c r="H1633" s="107"/>
      <c r="I1633" s="227"/>
      <c r="J1633" s="227"/>
      <c r="K1633" s="115"/>
      <c r="L1633" s="228"/>
      <c r="M1633" s="107"/>
      <c r="N1633" s="229">
        <f>IF(AND(O1633=TRUE,P1633=TRUE), VLOOKUP($E1633,PESSOAL!$B$35:$S$45,MONTH($F1633)+6,FALSE)*G1633*24,0)</f>
        <v>0</v>
      </c>
      <c r="O1633" s="89"/>
      <c r="P1633" s="89" t="b">
        <v>0</v>
      </c>
      <c r="Q1633" s="89" t="e">
        <v>#N/A</v>
      </c>
    </row>
    <row r="1634" hidden="1">
      <c r="A1634" s="108"/>
      <c r="B1634" s="202"/>
      <c r="C1634" s="202" t="str">
        <f>VLOOKUP(M1634,'#verificação horas por projeto'!A:B,2,FALSE)</f>
        <v>#N/A</v>
      </c>
      <c r="D1634" s="202"/>
      <c r="E1634" s="107"/>
      <c r="F1634" s="205"/>
      <c r="G1634" s="226"/>
      <c r="H1634" s="107"/>
      <c r="I1634" s="227"/>
      <c r="J1634" s="227"/>
      <c r="K1634" s="115"/>
      <c r="L1634" s="228"/>
      <c r="M1634" s="107"/>
      <c r="N1634" s="229">
        <f>IF(AND(O1634=TRUE,P1634=TRUE), VLOOKUP($E1634,PESSOAL!$B$35:$S$45,MONTH($F1634)+6,FALSE)*G1634*24,0)</f>
        <v>0</v>
      </c>
      <c r="O1634" s="89"/>
      <c r="P1634" s="89" t="b">
        <v>0</v>
      </c>
      <c r="Q1634" s="89" t="e">
        <v>#N/A</v>
      </c>
    </row>
    <row r="1635" hidden="1">
      <c r="A1635" s="108"/>
      <c r="B1635" s="202"/>
      <c r="C1635" s="202" t="str">
        <f>VLOOKUP(M1635,'#verificação horas por projeto'!A:B,2,FALSE)</f>
        <v>#N/A</v>
      </c>
      <c r="D1635" s="202"/>
      <c r="E1635" s="107"/>
      <c r="F1635" s="205"/>
      <c r="G1635" s="226"/>
      <c r="H1635" s="107"/>
      <c r="I1635" s="227"/>
      <c r="J1635" s="227"/>
      <c r="K1635" s="115"/>
      <c r="L1635" s="228"/>
      <c r="M1635" s="107"/>
      <c r="N1635" s="229">
        <f>IF(AND(O1635=TRUE,P1635=TRUE), VLOOKUP($E1635,PESSOAL!$B$35:$S$45,MONTH($F1635)+6,FALSE)*G1635*24,0)</f>
        <v>0</v>
      </c>
      <c r="O1635" s="89"/>
      <c r="P1635" s="89" t="b">
        <v>0</v>
      </c>
      <c r="Q1635" s="89" t="e">
        <v>#N/A</v>
      </c>
    </row>
    <row r="1636" hidden="1">
      <c r="A1636" s="108"/>
      <c r="B1636" s="202"/>
      <c r="C1636" s="202" t="str">
        <f>VLOOKUP(M1636,'#verificação horas por projeto'!A:B,2,FALSE)</f>
        <v>#N/A</v>
      </c>
      <c r="D1636" s="202"/>
      <c r="E1636" s="107"/>
      <c r="F1636" s="205"/>
      <c r="G1636" s="226"/>
      <c r="H1636" s="107"/>
      <c r="I1636" s="227"/>
      <c r="J1636" s="227"/>
      <c r="K1636" s="115"/>
      <c r="L1636" s="228"/>
      <c r="M1636" s="107"/>
      <c r="N1636" s="229">
        <f>IF(AND(O1636=TRUE,P1636=TRUE), VLOOKUP($E1636,PESSOAL!$B$35:$S$45,MONTH($F1636)+6,FALSE)*G1636*24,0)</f>
        <v>0</v>
      </c>
      <c r="O1636" s="89"/>
      <c r="P1636" s="89" t="b">
        <v>0</v>
      </c>
      <c r="Q1636" s="89" t="e">
        <v>#N/A</v>
      </c>
    </row>
    <row r="1637" hidden="1">
      <c r="A1637" s="108"/>
      <c r="B1637" s="202"/>
      <c r="C1637" s="202" t="str">
        <f>VLOOKUP(M1637,'#verificação horas por projeto'!A:B,2,FALSE)</f>
        <v>#N/A</v>
      </c>
      <c r="D1637" s="202"/>
      <c r="E1637" s="107"/>
      <c r="F1637" s="205"/>
      <c r="G1637" s="226"/>
      <c r="H1637" s="107"/>
      <c r="I1637" s="227"/>
      <c r="J1637" s="227"/>
      <c r="K1637" s="115"/>
      <c r="L1637" s="228"/>
      <c r="M1637" s="107"/>
      <c r="N1637" s="229">
        <f>IF(AND(O1637=TRUE,P1637=TRUE), VLOOKUP($E1637,PESSOAL!$B$35:$S$45,MONTH($F1637)+6,FALSE)*G1637*24,0)</f>
        <v>0</v>
      </c>
      <c r="O1637" s="89"/>
      <c r="P1637" s="89" t="b">
        <v>0</v>
      </c>
      <c r="Q1637" s="89" t="e">
        <v>#N/A</v>
      </c>
    </row>
    <row r="1638" hidden="1">
      <c r="A1638" s="108"/>
      <c r="B1638" s="202"/>
      <c r="C1638" s="202" t="str">
        <f>VLOOKUP(M1638,'#verificação horas por projeto'!A:B,2,FALSE)</f>
        <v>#N/A</v>
      </c>
      <c r="D1638" s="202"/>
      <c r="E1638" s="107"/>
      <c r="F1638" s="205"/>
      <c r="G1638" s="226"/>
      <c r="H1638" s="107"/>
      <c r="I1638" s="227"/>
      <c r="J1638" s="227"/>
      <c r="K1638" s="115"/>
      <c r="L1638" s="228"/>
      <c r="M1638" s="107"/>
      <c r="N1638" s="229">
        <f>IF(AND(O1638=TRUE,P1638=TRUE), VLOOKUP($E1638,PESSOAL!$B$35:$S$45,MONTH($F1638)+6,FALSE)*G1638*24,0)</f>
        <v>0</v>
      </c>
      <c r="O1638" s="89"/>
      <c r="P1638" s="89" t="b">
        <v>0</v>
      </c>
      <c r="Q1638" s="89" t="e">
        <v>#N/A</v>
      </c>
    </row>
    <row r="1639" hidden="1">
      <c r="A1639" s="108"/>
      <c r="B1639" s="202"/>
      <c r="C1639" s="202" t="str">
        <f>VLOOKUP(M1639,'#verificação horas por projeto'!A:B,2,FALSE)</f>
        <v>#N/A</v>
      </c>
      <c r="D1639" s="202"/>
      <c r="E1639" s="107"/>
      <c r="F1639" s="205"/>
      <c r="G1639" s="226"/>
      <c r="H1639" s="107"/>
      <c r="I1639" s="227"/>
      <c r="J1639" s="227"/>
      <c r="K1639" s="115"/>
      <c r="L1639" s="228"/>
      <c r="M1639" s="107"/>
      <c r="N1639" s="229">
        <f>IF(AND(O1639=TRUE,P1639=TRUE), VLOOKUP($E1639,PESSOAL!$B$35:$S$45,MONTH($F1639)+6,FALSE)*G1639*24,0)</f>
        <v>0</v>
      </c>
      <c r="O1639" s="89"/>
      <c r="P1639" s="89" t="b">
        <v>0</v>
      </c>
      <c r="Q1639" s="89" t="e">
        <v>#N/A</v>
      </c>
    </row>
    <row r="1640" hidden="1">
      <c r="A1640" s="108"/>
      <c r="B1640" s="202"/>
      <c r="C1640" s="202" t="str">
        <f>VLOOKUP(M1640,'#verificação horas por projeto'!A:B,2,FALSE)</f>
        <v>#N/A</v>
      </c>
      <c r="D1640" s="202"/>
      <c r="E1640" s="107"/>
      <c r="F1640" s="205"/>
      <c r="G1640" s="226"/>
      <c r="H1640" s="107"/>
      <c r="I1640" s="227"/>
      <c r="J1640" s="227"/>
      <c r="K1640" s="115"/>
      <c r="L1640" s="228"/>
      <c r="M1640" s="107"/>
      <c r="N1640" s="229">
        <f>IF(AND(O1640=TRUE,P1640=TRUE), VLOOKUP($E1640,PESSOAL!$B$35:$S$45,MONTH($F1640)+6,FALSE)*G1640*24,0)</f>
        <v>0</v>
      </c>
      <c r="O1640" s="89"/>
      <c r="P1640" s="89" t="b">
        <v>0</v>
      </c>
      <c r="Q1640" s="89" t="e">
        <v>#N/A</v>
      </c>
    </row>
    <row r="1641" hidden="1">
      <c r="A1641" s="108"/>
      <c r="B1641" s="202"/>
      <c r="C1641" s="202" t="str">
        <f>VLOOKUP(M1641,'#verificação horas por projeto'!A:B,2,FALSE)</f>
        <v>#N/A</v>
      </c>
      <c r="D1641" s="202"/>
      <c r="E1641" s="107"/>
      <c r="F1641" s="205"/>
      <c r="G1641" s="226"/>
      <c r="H1641" s="107"/>
      <c r="I1641" s="227"/>
      <c r="J1641" s="227"/>
      <c r="K1641" s="115"/>
      <c r="L1641" s="228"/>
      <c r="M1641" s="107"/>
      <c r="N1641" s="229">
        <f>IF(AND(O1641=TRUE,P1641=TRUE), VLOOKUP($E1641,PESSOAL!$B$35:$S$45,MONTH($F1641)+6,FALSE)*G1641*24,0)</f>
        <v>0</v>
      </c>
      <c r="O1641" s="89"/>
      <c r="P1641" s="89" t="b">
        <v>0</v>
      </c>
      <c r="Q1641" s="89" t="e">
        <v>#N/A</v>
      </c>
    </row>
    <row r="1642" hidden="1">
      <c r="A1642" s="108"/>
      <c r="B1642" s="202"/>
      <c r="C1642" s="202" t="str">
        <f>VLOOKUP(M1642,'#verificação horas por projeto'!A:B,2,FALSE)</f>
        <v>#N/A</v>
      </c>
      <c r="D1642" s="202"/>
      <c r="E1642" s="107"/>
      <c r="F1642" s="205"/>
      <c r="G1642" s="226"/>
      <c r="H1642" s="107"/>
      <c r="I1642" s="227"/>
      <c r="J1642" s="227"/>
      <c r="K1642" s="115"/>
      <c r="L1642" s="228"/>
      <c r="M1642" s="107"/>
      <c r="N1642" s="229">
        <f>IF(AND(O1642=TRUE,P1642=TRUE), VLOOKUP($E1642,PESSOAL!$B$35:$S$45,MONTH($F1642)+6,FALSE)*G1642*24,0)</f>
        <v>0</v>
      </c>
      <c r="O1642" s="89"/>
      <c r="P1642" s="89" t="b">
        <v>0</v>
      </c>
      <c r="Q1642" s="89" t="e">
        <v>#N/A</v>
      </c>
    </row>
    <row r="1643" hidden="1">
      <c r="A1643" s="108"/>
      <c r="B1643" s="202"/>
      <c r="C1643" s="202" t="str">
        <f>VLOOKUP(M1643,'#verificação horas por projeto'!A:B,2,FALSE)</f>
        <v>#N/A</v>
      </c>
      <c r="D1643" s="202"/>
      <c r="E1643" s="107"/>
      <c r="F1643" s="205"/>
      <c r="G1643" s="226"/>
      <c r="H1643" s="107"/>
      <c r="I1643" s="227"/>
      <c r="J1643" s="227"/>
      <c r="K1643" s="115"/>
      <c r="L1643" s="228"/>
      <c r="M1643" s="107"/>
      <c r="N1643" s="229">
        <f>IF(AND(O1643=TRUE,P1643=TRUE), VLOOKUP($E1643,PESSOAL!$B$35:$S$45,MONTH($F1643)+6,FALSE)*G1643*24,0)</f>
        <v>0</v>
      </c>
      <c r="O1643" s="89"/>
      <c r="P1643" s="89" t="b">
        <v>0</v>
      </c>
      <c r="Q1643" s="89" t="e">
        <v>#N/A</v>
      </c>
    </row>
    <row r="1644" hidden="1">
      <c r="A1644" s="108"/>
      <c r="B1644" s="202"/>
      <c r="C1644" s="202" t="str">
        <f>VLOOKUP(M1644,'#verificação horas por projeto'!A:B,2,FALSE)</f>
        <v>#N/A</v>
      </c>
      <c r="D1644" s="202"/>
      <c r="E1644" s="107"/>
      <c r="F1644" s="205"/>
      <c r="G1644" s="226"/>
      <c r="H1644" s="107"/>
      <c r="I1644" s="227"/>
      <c r="J1644" s="227"/>
      <c r="K1644" s="115"/>
      <c r="L1644" s="228"/>
      <c r="M1644" s="107"/>
      <c r="N1644" s="229">
        <f>IF(AND(O1644=TRUE,P1644=TRUE), VLOOKUP($E1644,PESSOAL!$B$35:$S$45,MONTH($F1644)+6,FALSE)*G1644*24,0)</f>
        <v>0</v>
      </c>
      <c r="O1644" s="89"/>
      <c r="P1644" s="89" t="b">
        <v>0</v>
      </c>
      <c r="Q1644" s="89" t="e">
        <v>#N/A</v>
      </c>
    </row>
    <row r="1645" hidden="1">
      <c r="A1645" s="108"/>
      <c r="B1645" s="202"/>
      <c r="C1645" s="202" t="str">
        <f>VLOOKUP(M1645,'#verificação horas por projeto'!A:B,2,FALSE)</f>
        <v>#N/A</v>
      </c>
      <c r="D1645" s="202"/>
      <c r="E1645" s="107"/>
      <c r="F1645" s="205"/>
      <c r="G1645" s="226"/>
      <c r="H1645" s="107"/>
      <c r="I1645" s="227"/>
      <c r="J1645" s="227"/>
      <c r="K1645" s="115"/>
      <c r="L1645" s="228"/>
      <c r="M1645" s="107"/>
      <c r="N1645" s="229">
        <f>IF(AND(O1645=TRUE,P1645=TRUE), VLOOKUP($E1645,PESSOAL!$B$35:$S$45,MONTH($F1645)+6,FALSE)*G1645*24,0)</f>
        <v>0</v>
      </c>
      <c r="O1645" s="89"/>
      <c r="P1645" s="89" t="b">
        <v>0</v>
      </c>
      <c r="Q1645" s="89" t="e">
        <v>#N/A</v>
      </c>
    </row>
    <row r="1646" hidden="1">
      <c r="A1646" s="108"/>
      <c r="B1646" s="202"/>
      <c r="C1646" s="202" t="str">
        <f>VLOOKUP(M1646,'#verificação horas por projeto'!A:B,2,FALSE)</f>
        <v>#N/A</v>
      </c>
      <c r="D1646" s="202"/>
      <c r="E1646" s="107"/>
      <c r="F1646" s="205"/>
      <c r="G1646" s="226"/>
      <c r="H1646" s="107"/>
      <c r="I1646" s="227"/>
      <c r="J1646" s="227"/>
      <c r="K1646" s="115"/>
      <c r="L1646" s="228"/>
      <c r="M1646" s="107"/>
      <c r="N1646" s="229">
        <f>IF(AND(O1646=TRUE,P1646=TRUE), VLOOKUP($E1646,PESSOAL!$B$35:$S$45,MONTH($F1646)+6,FALSE)*G1646*24,0)</f>
        <v>0</v>
      </c>
      <c r="O1646" s="89"/>
      <c r="P1646" s="89" t="b">
        <v>0</v>
      </c>
      <c r="Q1646" s="89" t="e">
        <v>#N/A</v>
      </c>
    </row>
    <row r="1647" hidden="1">
      <c r="A1647" s="108"/>
      <c r="B1647" s="202"/>
      <c r="C1647" s="202" t="str">
        <f>VLOOKUP(M1647,'#verificação horas por projeto'!A:B,2,FALSE)</f>
        <v>#N/A</v>
      </c>
      <c r="D1647" s="202"/>
      <c r="E1647" s="107"/>
      <c r="F1647" s="205"/>
      <c r="G1647" s="226"/>
      <c r="H1647" s="107"/>
      <c r="I1647" s="227"/>
      <c r="J1647" s="227"/>
      <c r="K1647" s="115"/>
      <c r="L1647" s="228"/>
      <c r="M1647" s="107"/>
      <c r="N1647" s="229">
        <f>IF(AND(O1647=TRUE,P1647=TRUE), VLOOKUP($E1647,PESSOAL!$B$35:$S$45,MONTH($F1647)+6,FALSE)*G1647*24,0)</f>
        <v>0</v>
      </c>
      <c r="O1647" s="89"/>
      <c r="P1647" s="89" t="b">
        <v>0</v>
      </c>
      <c r="Q1647" s="89" t="e">
        <v>#N/A</v>
      </c>
    </row>
    <row r="1648" hidden="1">
      <c r="A1648" s="108"/>
      <c r="B1648" s="202"/>
      <c r="C1648" s="202" t="str">
        <f>VLOOKUP(M1648,'#verificação horas por projeto'!A:B,2,FALSE)</f>
        <v>#N/A</v>
      </c>
      <c r="D1648" s="202"/>
      <c r="E1648" s="107"/>
      <c r="F1648" s="205"/>
      <c r="G1648" s="226"/>
      <c r="H1648" s="107"/>
      <c r="I1648" s="227"/>
      <c r="J1648" s="227"/>
      <c r="K1648" s="115"/>
      <c r="L1648" s="228"/>
      <c r="M1648" s="107"/>
      <c r="N1648" s="229">
        <f>IF(AND(O1648=TRUE,P1648=TRUE), VLOOKUP($E1648,PESSOAL!$B$35:$S$45,MONTH($F1648)+6,FALSE)*G1648*24,0)</f>
        <v>0</v>
      </c>
      <c r="O1648" s="89"/>
      <c r="P1648" s="89" t="b">
        <v>0</v>
      </c>
      <c r="Q1648" s="89" t="e">
        <v>#N/A</v>
      </c>
    </row>
    <row r="1649" hidden="1">
      <c r="A1649" s="108"/>
      <c r="B1649" s="202"/>
      <c r="C1649" s="202" t="str">
        <f>VLOOKUP(M1649,'#verificação horas por projeto'!A:B,2,FALSE)</f>
        <v>#N/A</v>
      </c>
      <c r="D1649" s="202"/>
      <c r="E1649" s="107"/>
      <c r="F1649" s="205"/>
      <c r="G1649" s="226"/>
      <c r="H1649" s="107"/>
      <c r="I1649" s="227"/>
      <c r="J1649" s="227"/>
      <c r="K1649" s="115"/>
      <c r="L1649" s="228"/>
      <c r="M1649" s="107"/>
      <c r="N1649" s="229">
        <f>IF(AND(O1649=TRUE,P1649=TRUE), VLOOKUP($E1649,PESSOAL!$B$35:$S$45,MONTH($F1649)+6,FALSE)*G1649*24,0)</f>
        <v>0</v>
      </c>
      <c r="O1649" s="89"/>
      <c r="P1649" s="89" t="b">
        <v>0</v>
      </c>
      <c r="Q1649" s="89" t="e">
        <v>#N/A</v>
      </c>
    </row>
    <row r="1650" hidden="1">
      <c r="A1650" s="108"/>
      <c r="B1650" s="202"/>
      <c r="C1650" s="202" t="str">
        <f>VLOOKUP(M1650,'#verificação horas por projeto'!A:B,2,FALSE)</f>
        <v>#N/A</v>
      </c>
      <c r="D1650" s="202"/>
      <c r="E1650" s="107"/>
      <c r="F1650" s="205"/>
      <c r="G1650" s="226"/>
      <c r="H1650" s="107"/>
      <c r="I1650" s="227"/>
      <c r="J1650" s="227"/>
      <c r="K1650" s="115"/>
      <c r="L1650" s="228"/>
      <c r="M1650" s="107"/>
      <c r="N1650" s="229">
        <f>IF(AND(O1650=TRUE,P1650=TRUE), VLOOKUP($E1650,PESSOAL!$B$35:$S$45,MONTH($F1650)+6,FALSE)*G1650*24,0)</f>
        <v>0</v>
      </c>
      <c r="O1650" s="89"/>
      <c r="P1650" s="89" t="b">
        <v>0</v>
      </c>
      <c r="Q1650" s="89" t="e">
        <v>#N/A</v>
      </c>
    </row>
    <row r="1651" hidden="1">
      <c r="A1651" s="108"/>
      <c r="B1651" s="202"/>
      <c r="C1651" s="202" t="str">
        <f>VLOOKUP(M1651,'#verificação horas por projeto'!A:B,2,FALSE)</f>
        <v>#N/A</v>
      </c>
      <c r="D1651" s="202"/>
      <c r="E1651" s="107"/>
      <c r="F1651" s="205"/>
      <c r="G1651" s="226"/>
      <c r="H1651" s="107"/>
      <c r="I1651" s="227"/>
      <c r="J1651" s="227"/>
      <c r="K1651" s="115"/>
      <c r="L1651" s="228"/>
      <c r="M1651" s="107"/>
      <c r="N1651" s="229">
        <f>IF(AND(O1651=TRUE,P1651=TRUE), VLOOKUP($E1651,PESSOAL!$B$35:$S$45,MONTH($F1651)+6,FALSE)*G1651*24,0)</f>
        <v>0</v>
      </c>
      <c r="O1651" s="89"/>
      <c r="P1651" s="89" t="b">
        <v>0</v>
      </c>
      <c r="Q1651" s="89" t="e">
        <v>#N/A</v>
      </c>
    </row>
    <row r="1652" hidden="1">
      <c r="A1652" s="108"/>
      <c r="B1652" s="202"/>
      <c r="C1652" s="202" t="str">
        <f>VLOOKUP(M1652,'#verificação horas por projeto'!A:B,2,FALSE)</f>
        <v>#N/A</v>
      </c>
      <c r="D1652" s="202"/>
      <c r="E1652" s="107"/>
      <c r="F1652" s="205"/>
      <c r="G1652" s="226"/>
      <c r="H1652" s="107"/>
      <c r="I1652" s="227"/>
      <c r="J1652" s="227"/>
      <c r="K1652" s="115"/>
      <c r="L1652" s="228"/>
      <c r="M1652" s="107"/>
      <c r="N1652" s="229">
        <f>IF(AND(O1652=TRUE,P1652=TRUE), VLOOKUP($E1652,PESSOAL!$B$35:$S$45,MONTH($F1652)+6,FALSE)*G1652*24,0)</f>
        <v>0</v>
      </c>
      <c r="O1652" s="89"/>
      <c r="P1652" s="89" t="b">
        <v>0</v>
      </c>
      <c r="Q1652" s="89" t="e">
        <v>#N/A</v>
      </c>
    </row>
    <row r="1653" hidden="1">
      <c r="A1653" s="108"/>
      <c r="B1653" s="202"/>
      <c r="C1653" s="202" t="str">
        <f>VLOOKUP(M1653,'#verificação horas por projeto'!A:B,2,FALSE)</f>
        <v>#N/A</v>
      </c>
      <c r="D1653" s="202"/>
      <c r="E1653" s="107"/>
      <c r="F1653" s="205"/>
      <c r="G1653" s="226"/>
      <c r="H1653" s="107"/>
      <c r="I1653" s="227"/>
      <c r="J1653" s="227"/>
      <c r="K1653" s="115"/>
      <c r="L1653" s="228"/>
      <c r="M1653" s="107"/>
      <c r="N1653" s="229">
        <f>IF(AND(O1653=TRUE,P1653=TRUE), VLOOKUP($E1653,PESSOAL!$B$35:$S$45,MONTH($F1653)+6,FALSE)*G1653*24,0)</f>
        <v>0</v>
      </c>
      <c r="O1653" s="89"/>
      <c r="P1653" s="89" t="b">
        <v>0</v>
      </c>
      <c r="Q1653" s="89" t="e">
        <v>#N/A</v>
      </c>
    </row>
    <row r="1654" hidden="1">
      <c r="A1654" s="108"/>
      <c r="B1654" s="202"/>
      <c r="C1654" s="202" t="str">
        <f>VLOOKUP(M1654,'#verificação horas por projeto'!A:B,2,FALSE)</f>
        <v>#N/A</v>
      </c>
      <c r="D1654" s="202"/>
      <c r="E1654" s="107"/>
      <c r="F1654" s="205"/>
      <c r="G1654" s="226"/>
      <c r="H1654" s="107"/>
      <c r="I1654" s="227"/>
      <c r="J1654" s="227"/>
      <c r="K1654" s="115"/>
      <c r="L1654" s="228"/>
      <c r="M1654" s="107"/>
      <c r="N1654" s="229">
        <f>IF(AND(O1654=TRUE,P1654=TRUE), VLOOKUP($E1654,PESSOAL!$B$35:$S$45,MONTH($F1654)+6,FALSE)*G1654*24,0)</f>
        <v>0</v>
      </c>
      <c r="O1654" s="89"/>
      <c r="P1654" s="89" t="b">
        <v>0</v>
      </c>
      <c r="Q1654" s="89" t="e">
        <v>#N/A</v>
      </c>
    </row>
    <row r="1655" hidden="1">
      <c r="A1655" s="108"/>
      <c r="B1655" s="202"/>
      <c r="C1655" s="202" t="str">
        <f>VLOOKUP(M1655,'#verificação horas por projeto'!A:B,2,FALSE)</f>
        <v>#N/A</v>
      </c>
      <c r="D1655" s="202"/>
      <c r="E1655" s="107"/>
      <c r="F1655" s="205"/>
      <c r="G1655" s="226"/>
      <c r="H1655" s="107"/>
      <c r="I1655" s="227"/>
      <c r="J1655" s="227"/>
      <c r="K1655" s="115"/>
      <c r="L1655" s="228"/>
      <c r="M1655" s="107"/>
      <c r="N1655" s="229">
        <f>IF(AND(O1655=TRUE,P1655=TRUE), VLOOKUP($E1655,PESSOAL!$B$35:$S$45,MONTH($F1655)+6,FALSE)*G1655*24,0)</f>
        <v>0</v>
      </c>
      <c r="O1655" s="89"/>
      <c r="P1655" s="89" t="b">
        <v>0</v>
      </c>
      <c r="Q1655" s="89" t="e">
        <v>#N/A</v>
      </c>
    </row>
    <row r="1656" hidden="1">
      <c r="A1656" s="108"/>
      <c r="B1656" s="202"/>
      <c r="C1656" s="202" t="str">
        <f>VLOOKUP(M1656,'#verificação horas por projeto'!A:B,2,FALSE)</f>
        <v>#N/A</v>
      </c>
      <c r="D1656" s="202"/>
      <c r="E1656" s="107"/>
      <c r="F1656" s="205"/>
      <c r="G1656" s="226"/>
      <c r="H1656" s="107"/>
      <c r="I1656" s="227"/>
      <c r="J1656" s="227"/>
      <c r="K1656" s="115"/>
      <c r="L1656" s="228"/>
      <c r="M1656" s="107"/>
      <c r="N1656" s="229">
        <f>IF(AND(O1656=TRUE,P1656=TRUE), VLOOKUP($E1656,PESSOAL!$B$35:$S$45,MONTH($F1656)+6,FALSE)*G1656*24,0)</f>
        <v>0</v>
      </c>
      <c r="O1656" s="89"/>
      <c r="P1656" s="89" t="b">
        <v>0</v>
      </c>
      <c r="Q1656" s="89" t="e">
        <v>#N/A</v>
      </c>
    </row>
    <row r="1657" hidden="1">
      <c r="A1657" s="108"/>
      <c r="B1657" s="202"/>
      <c r="C1657" s="202" t="str">
        <f>VLOOKUP(M1657,'#verificação horas por projeto'!A:B,2,FALSE)</f>
        <v>#N/A</v>
      </c>
      <c r="D1657" s="202"/>
      <c r="E1657" s="107"/>
      <c r="F1657" s="205"/>
      <c r="G1657" s="226"/>
      <c r="H1657" s="107"/>
      <c r="I1657" s="227"/>
      <c r="J1657" s="227"/>
      <c r="K1657" s="115"/>
      <c r="L1657" s="228"/>
      <c r="M1657" s="107"/>
      <c r="N1657" s="229">
        <f>IF(AND(O1657=TRUE,P1657=TRUE), VLOOKUP($E1657,PESSOAL!$B$35:$S$45,MONTH($F1657)+6,FALSE)*G1657*24,0)</f>
        <v>0</v>
      </c>
      <c r="O1657" s="89"/>
      <c r="P1657" s="89" t="b">
        <v>0</v>
      </c>
      <c r="Q1657" s="89" t="e">
        <v>#N/A</v>
      </c>
    </row>
    <row r="1658" hidden="1">
      <c r="A1658" s="108"/>
      <c r="B1658" s="202"/>
      <c r="C1658" s="202" t="str">
        <f>VLOOKUP(M1658,'#verificação horas por projeto'!A:B,2,FALSE)</f>
        <v>#N/A</v>
      </c>
      <c r="D1658" s="202"/>
      <c r="E1658" s="107"/>
      <c r="F1658" s="205"/>
      <c r="G1658" s="226"/>
      <c r="H1658" s="107"/>
      <c r="I1658" s="227"/>
      <c r="J1658" s="227"/>
      <c r="K1658" s="115"/>
      <c r="L1658" s="228"/>
      <c r="M1658" s="107"/>
      <c r="N1658" s="229">
        <f>IF(AND(O1658=TRUE,P1658=TRUE), VLOOKUP($E1658,PESSOAL!$B$35:$S$45,MONTH($F1658)+6,FALSE)*G1658*24,0)</f>
        <v>0</v>
      </c>
      <c r="O1658" s="89"/>
      <c r="P1658" s="89" t="b">
        <v>0</v>
      </c>
      <c r="Q1658" s="89" t="e">
        <v>#N/A</v>
      </c>
    </row>
    <row r="1659" hidden="1">
      <c r="A1659" s="108"/>
      <c r="B1659" s="202"/>
      <c r="C1659" s="202" t="str">
        <f>VLOOKUP(M1659,'#verificação horas por projeto'!A:B,2,FALSE)</f>
        <v>#N/A</v>
      </c>
      <c r="D1659" s="202"/>
      <c r="E1659" s="107"/>
      <c r="F1659" s="205"/>
      <c r="G1659" s="226"/>
      <c r="H1659" s="107"/>
      <c r="I1659" s="227"/>
      <c r="J1659" s="227"/>
      <c r="K1659" s="115"/>
      <c r="L1659" s="228"/>
      <c r="M1659" s="107"/>
      <c r="N1659" s="229">
        <f>IF(AND(O1659=TRUE,P1659=TRUE), VLOOKUP($E1659,PESSOAL!$B$35:$S$45,MONTH($F1659)+6,FALSE)*G1659*24,0)</f>
        <v>0</v>
      </c>
      <c r="O1659" s="89"/>
      <c r="P1659" s="89" t="b">
        <v>0</v>
      </c>
      <c r="Q1659" s="89" t="e">
        <v>#N/A</v>
      </c>
    </row>
    <row r="1660" hidden="1">
      <c r="A1660" s="108"/>
      <c r="B1660" s="202"/>
      <c r="C1660" s="202" t="str">
        <f>VLOOKUP(M1660,'#verificação horas por projeto'!A:B,2,FALSE)</f>
        <v>#N/A</v>
      </c>
      <c r="D1660" s="202"/>
      <c r="E1660" s="107"/>
      <c r="F1660" s="205"/>
      <c r="G1660" s="226"/>
      <c r="H1660" s="107"/>
      <c r="I1660" s="227"/>
      <c r="J1660" s="227"/>
      <c r="K1660" s="115"/>
      <c r="L1660" s="228"/>
      <c r="M1660" s="107"/>
      <c r="N1660" s="229">
        <f>IF(AND(O1660=TRUE,P1660=TRUE), VLOOKUP($E1660,PESSOAL!$B$35:$S$45,MONTH($F1660)+6,FALSE)*G1660*24,0)</f>
        <v>0</v>
      </c>
      <c r="O1660" s="89"/>
      <c r="P1660" s="89" t="b">
        <v>0</v>
      </c>
      <c r="Q1660" s="89" t="e">
        <v>#N/A</v>
      </c>
    </row>
    <row r="1661" hidden="1">
      <c r="A1661" s="108"/>
      <c r="B1661" s="202"/>
      <c r="C1661" s="202" t="str">
        <f>VLOOKUP(M1661,'#verificação horas por projeto'!A:B,2,FALSE)</f>
        <v>#N/A</v>
      </c>
      <c r="D1661" s="202"/>
      <c r="E1661" s="107"/>
      <c r="F1661" s="205"/>
      <c r="G1661" s="226"/>
      <c r="H1661" s="107"/>
      <c r="I1661" s="227"/>
      <c r="J1661" s="227"/>
      <c r="K1661" s="115"/>
      <c r="L1661" s="228"/>
      <c r="M1661" s="107"/>
      <c r="N1661" s="229">
        <f>IF(AND(O1661=TRUE,P1661=TRUE), VLOOKUP($E1661,PESSOAL!$B$35:$S$45,MONTH($F1661)+6,FALSE)*G1661*24,0)</f>
        <v>0</v>
      </c>
      <c r="O1661" s="89"/>
      <c r="P1661" s="89" t="b">
        <v>0</v>
      </c>
      <c r="Q1661" s="89" t="e">
        <v>#N/A</v>
      </c>
    </row>
    <row r="1662" hidden="1">
      <c r="A1662" s="108"/>
      <c r="B1662" s="202"/>
      <c r="C1662" s="202" t="str">
        <f>VLOOKUP(M1662,'#verificação horas por projeto'!A:B,2,FALSE)</f>
        <v>#N/A</v>
      </c>
      <c r="D1662" s="202"/>
      <c r="E1662" s="107"/>
      <c r="F1662" s="205"/>
      <c r="G1662" s="226"/>
      <c r="H1662" s="107"/>
      <c r="I1662" s="227"/>
      <c r="J1662" s="227"/>
      <c r="K1662" s="115"/>
      <c r="L1662" s="228"/>
      <c r="M1662" s="107"/>
      <c r="N1662" s="229">
        <f>IF(AND(O1662=TRUE,P1662=TRUE), VLOOKUP($E1662,PESSOAL!$B$35:$S$45,MONTH($F1662)+6,FALSE)*G1662*24,0)</f>
        <v>0</v>
      </c>
      <c r="O1662" s="89"/>
      <c r="P1662" s="89" t="b">
        <v>0</v>
      </c>
      <c r="Q1662" s="89" t="e">
        <v>#N/A</v>
      </c>
    </row>
    <row r="1663" hidden="1">
      <c r="A1663" s="108"/>
      <c r="B1663" s="202"/>
      <c r="C1663" s="202" t="str">
        <f>VLOOKUP(M1663,'#verificação horas por projeto'!A:B,2,FALSE)</f>
        <v>#N/A</v>
      </c>
      <c r="D1663" s="202"/>
      <c r="E1663" s="107"/>
      <c r="F1663" s="205"/>
      <c r="G1663" s="226"/>
      <c r="H1663" s="107"/>
      <c r="I1663" s="227"/>
      <c r="J1663" s="227"/>
      <c r="K1663" s="115"/>
      <c r="L1663" s="228"/>
      <c r="M1663" s="107"/>
      <c r="N1663" s="229">
        <f>IF(AND(O1663=TRUE,P1663=TRUE), VLOOKUP($E1663,PESSOAL!$B$35:$S$45,MONTH($F1663)+6,FALSE)*G1663*24,0)</f>
        <v>0</v>
      </c>
      <c r="O1663" s="89"/>
      <c r="P1663" s="89" t="b">
        <v>0</v>
      </c>
      <c r="Q1663" s="89" t="e">
        <v>#N/A</v>
      </c>
    </row>
    <row r="1664" hidden="1">
      <c r="A1664" s="108"/>
      <c r="B1664" s="202"/>
      <c r="C1664" s="202" t="str">
        <f>VLOOKUP(M1664,'#verificação horas por projeto'!A:B,2,FALSE)</f>
        <v>#N/A</v>
      </c>
      <c r="D1664" s="202"/>
      <c r="E1664" s="107"/>
      <c r="F1664" s="205"/>
      <c r="G1664" s="226"/>
      <c r="H1664" s="107"/>
      <c r="I1664" s="227"/>
      <c r="J1664" s="227"/>
      <c r="K1664" s="115"/>
      <c r="L1664" s="228"/>
      <c r="M1664" s="107"/>
      <c r="N1664" s="229">
        <f>IF(AND(O1664=TRUE,P1664=TRUE), VLOOKUP($E1664,PESSOAL!$B$35:$S$45,MONTH($F1664)+6,FALSE)*G1664*24,0)</f>
        <v>0</v>
      </c>
      <c r="O1664" s="89"/>
      <c r="P1664" s="89" t="b">
        <v>0</v>
      </c>
      <c r="Q1664" s="89" t="e">
        <v>#N/A</v>
      </c>
    </row>
    <row r="1665" hidden="1">
      <c r="A1665" s="108"/>
      <c r="B1665" s="202"/>
      <c r="C1665" s="202" t="str">
        <f>VLOOKUP(M1665,'#verificação horas por projeto'!A:B,2,FALSE)</f>
        <v>#N/A</v>
      </c>
      <c r="D1665" s="202"/>
      <c r="E1665" s="107"/>
      <c r="F1665" s="205"/>
      <c r="G1665" s="226"/>
      <c r="H1665" s="107"/>
      <c r="I1665" s="227"/>
      <c r="J1665" s="227"/>
      <c r="K1665" s="115"/>
      <c r="L1665" s="228"/>
      <c r="M1665" s="107"/>
      <c r="N1665" s="229">
        <f>IF(AND(O1665=TRUE,P1665=TRUE), VLOOKUP($E1665,PESSOAL!$B$35:$S$45,MONTH($F1665)+6,FALSE)*G1665*24,0)</f>
        <v>0</v>
      </c>
      <c r="O1665" s="89"/>
      <c r="P1665" s="89" t="b">
        <v>0</v>
      </c>
      <c r="Q1665" s="89" t="e">
        <v>#N/A</v>
      </c>
    </row>
    <row r="1666" hidden="1">
      <c r="A1666" s="108"/>
      <c r="B1666" s="202"/>
      <c r="C1666" s="202" t="str">
        <f>VLOOKUP(M1666,'#verificação horas por projeto'!A:B,2,FALSE)</f>
        <v>#N/A</v>
      </c>
      <c r="D1666" s="202"/>
      <c r="E1666" s="107"/>
      <c r="F1666" s="205"/>
      <c r="G1666" s="226"/>
      <c r="H1666" s="107"/>
      <c r="I1666" s="227"/>
      <c r="J1666" s="227"/>
      <c r="K1666" s="115"/>
      <c r="L1666" s="228"/>
      <c r="M1666" s="107"/>
      <c r="N1666" s="229">
        <f>IF(AND(O1666=TRUE,P1666=TRUE), VLOOKUP($E1666,PESSOAL!$B$35:$S$45,MONTH($F1666)+6,FALSE)*G1666*24,0)</f>
        <v>0</v>
      </c>
      <c r="O1666" s="89"/>
      <c r="P1666" s="89" t="b">
        <v>0</v>
      </c>
      <c r="Q1666" s="89" t="e">
        <v>#N/A</v>
      </c>
    </row>
    <row r="1667" hidden="1">
      <c r="A1667" s="108"/>
      <c r="B1667" s="202"/>
      <c r="C1667" s="202" t="str">
        <f>VLOOKUP(M1667,'#verificação horas por projeto'!A:B,2,FALSE)</f>
        <v>#N/A</v>
      </c>
      <c r="D1667" s="202"/>
      <c r="E1667" s="107"/>
      <c r="F1667" s="205"/>
      <c r="G1667" s="226"/>
      <c r="H1667" s="107"/>
      <c r="I1667" s="227"/>
      <c r="J1667" s="227"/>
      <c r="K1667" s="115"/>
      <c r="L1667" s="228"/>
      <c r="M1667" s="107"/>
      <c r="N1667" s="229">
        <f>IF(AND(O1667=TRUE,P1667=TRUE), VLOOKUP($E1667,PESSOAL!$B$35:$S$45,MONTH($F1667)+6,FALSE)*G1667*24,0)</f>
        <v>0</v>
      </c>
      <c r="O1667" s="89"/>
      <c r="P1667" s="89" t="b">
        <v>0</v>
      </c>
      <c r="Q1667" s="89" t="e">
        <v>#N/A</v>
      </c>
    </row>
    <row r="1668" hidden="1">
      <c r="A1668" s="108"/>
      <c r="B1668" s="202"/>
      <c r="C1668" s="202" t="str">
        <f>VLOOKUP(M1668,'#verificação horas por projeto'!A:B,2,FALSE)</f>
        <v>#N/A</v>
      </c>
      <c r="D1668" s="202"/>
      <c r="E1668" s="107"/>
      <c r="F1668" s="205"/>
      <c r="G1668" s="226"/>
      <c r="H1668" s="107"/>
      <c r="I1668" s="227"/>
      <c r="J1668" s="227"/>
      <c r="K1668" s="115"/>
      <c r="L1668" s="228"/>
      <c r="M1668" s="107"/>
      <c r="N1668" s="229">
        <f>IF(AND(O1668=TRUE,P1668=TRUE), VLOOKUP($E1668,PESSOAL!$B$35:$S$45,MONTH($F1668)+6,FALSE)*G1668*24,0)</f>
        <v>0</v>
      </c>
      <c r="O1668" s="89"/>
      <c r="P1668" s="89" t="b">
        <v>0</v>
      </c>
      <c r="Q1668" s="89" t="e">
        <v>#N/A</v>
      </c>
    </row>
    <row r="1669" hidden="1">
      <c r="A1669" s="108"/>
      <c r="B1669" s="202"/>
      <c r="C1669" s="202" t="str">
        <f>VLOOKUP(M1669,'#verificação horas por projeto'!A:B,2,FALSE)</f>
        <v>#N/A</v>
      </c>
      <c r="D1669" s="202"/>
      <c r="E1669" s="107"/>
      <c r="F1669" s="205"/>
      <c r="G1669" s="226"/>
      <c r="H1669" s="107"/>
      <c r="I1669" s="227"/>
      <c r="J1669" s="227"/>
      <c r="K1669" s="115"/>
      <c r="L1669" s="228"/>
      <c r="M1669" s="107"/>
      <c r="N1669" s="229">
        <f>IF(AND(O1669=TRUE,P1669=TRUE), VLOOKUP($E1669,PESSOAL!$B$35:$S$45,MONTH($F1669)+6,FALSE)*G1669*24,0)</f>
        <v>0</v>
      </c>
      <c r="O1669" s="89"/>
      <c r="P1669" s="89" t="b">
        <v>0</v>
      </c>
      <c r="Q1669" s="89" t="e">
        <v>#N/A</v>
      </c>
    </row>
    <row r="1670" hidden="1">
      <c r="A1670" s="108"/>
      <c r="B1670" s="202"/>
      <c r="C1670" s="202" t="str">
        <f>VLOOKUP(M1670,'#verificação horas por projeto'!A:B,2,FALSE)</f>
        <v>#N/A</v>
      </c>
      <c r="D1670" s="202"/>
      <c r="E1670" s="107"/>
      <c r="F1670" s="205"/>
      <c r="G1670" s="226"/>
      <c r="H1670" s="107"/>
      <c r="I1670" s="227"/>
      <c r="J1670" s="227"/>
      <c r="K1670" s="115"/>
      <c r="L1670" s="228"/>
      <c r="M1670" s="107"/>
      <c r="N1670" s="229">
        <f>IF(AND(O1670=TRUE,P1670=TRUE), VLOOKUP($E1670,PESSOAL!$B$35:$S$45,MONTH($F1670)+6,FALSE)*G1670*24,0)</f>
        <v>0</v>
      </c>
      <c r="O1670" s="89"/>
      <c r="P1670" s="89" t="b">
        <v>0</v>
      </c>
      <c r="Q1670" s="89" t="e">
        <v>#N/A</v>
      </c>
    </row>
    <row r="1671" hidden="1">
      <c r="A1671" s="108"/>
      <c r="B1671" s="202"/>
      <c r="C1671" s="202" t="str">
        <f>VLOOKUP(M1671,'#verificação horas por projeto'!A:B,2,FALSE)</f>
        <v>#N/A</v>
      </c>
      <c r="D1671" s="202"/>
      <c r="E1671" s="107"/>
      <c r="F1671" s="205"/>
      <c r="G1671" s="226"/>
      <c r="H1671" s="107"/>
      <c r="I1671" s="227"/>
      <c r="J1671" s="227"/>
      <c r="K1671" s="115"/>
      <c r="L1671" s="228"/>
      <c r="M1671" s="107"/>
      <c r="N1671" s="229">
        <f>IF(AND(O1671=TRUE,P1671=TRUE), VLOOKUP($E1671,PESSOAL!$B$35:$S$45,MONTH($F1671)+6,FALSE)*G1671*24,0)</f>
        <v>0</v>
      </c>
      <c r="O1671" s="89"/>
      <c r="P1671" s="89" t="b">
        <v>0</v>
      </c>
      <c r="Q1671" s="89" t="e">
        <v>#N/A</v>
      </c>
    </row>
    <row r="1672" hidden="1">
      <c r="A1672" s="108"/>
      <c r="B1672" s="202"/>
      <c r="C1672" s="202" t="str">
        <f>VLOOKUP(M1672,'#verificação horas por projeto'!A:B,2,FALSE)</f>
        <v>#N/A</v>
      </c>
      <c r="D1672" s="202"/>
      <c r="E1672" s="107"/>
      <c r="F1672" s="205"/>
      <c r="G1672" s="226"/>
      <c r="H1672" s="107"/>
      <c r="I1672" s="227"/>
      <c r="J1672" s="227"/>
      <c r="K1672" s="115"/>
      <c r="L1672" s="228"/>
      <c r="M1672" s="107"/>
      <c r="N1672" s="229">
        <f>IF(AND(O1672=TRUE,P1672=TRUE), VLOOKUP($E1672,PESSOAL!$B$35:$S$45,MONTH($F1672)+6,FALSE)*G1672*24,0)</f>
        <v>0</v>
      </c>
      <c r="O1672" s="89"/>
      <c r="P1672" s="89" t="b">
        <v>0</v>
      </c>
      <c r="Q1672" s="89" t="e">
        <v>#N/A</v>
      </c>
    </row>
    <row r="1673" hidden="1">
      <c r="A1673" s="108"/>
      <c r="B1673" s="202"/>
      <c r="C1673" s="202" t="str">
        <f>VLOOKUP(M1673,'#verificação horas por projeto'!A:B,2,FALSE)</f>
        <v>#N/A</v>
      </c>
      <c r="D1673" s="202"/>
      <c r="E1673" s="107"/>
      <c r="F1673" s="205"/>
      <c r="G1673" s="226"/>
      <c r="H1673" s="107"/>
      <c r="I1673" s="227"/>
      <c r="J1673" s="227"/>
      <c r="K1673" s="115"/>
      <c r="L1673" s="228"/>
      <c r="M1673" s="107"/>
      <c r="N1673" s="229">
        <f>IF(AND(O1673=TRUE,P1673=TRUE), VLOOKUP($E1673,PESSOAL!$B$35:$S$45,MONTH($F1673)+6,FALSE)*G1673*24,0)</f>
        <v>0</v>
      </c>
      <c r="O1673" s="89"/>
      <c r="P1673" s="89" t="b">
        <v>0</v>
      </c>
      <c r="Q1673" s="89" t="e">
        <v>#N/A</v>
      </c>
    </row>
    <row r="1674" hidden="1">
      <c r="A1674" s="108"/>
      <c r="B1674" s="202"/>
      <c r="C1674" s="202" t="str">
        <f>VLOOKUP(M1674,'#verificação horas por projeto'!A:B,2,FALSE)</f>
        <v>#N/A</v>
      </c>
      <c r="D1674" s="202"/>
      <c r="E1674" s="107"/>
      <c r="F1674" s="205"/>
      <c r="G1674" s="226"/>
      <c r="H1674" s="107"/>
      <c r="I1674" s="227"/>
      <c r="J1674" s="227"/>
      <c r="K1674" s="115"/>
      <c r="L1674" s="228"/>
      <c r="M1674" s="107"/>
      <c r="N1674" s="229">
        <f>IF(AND(O1674=TRUE,P1674=TRUE), VLOOKUP($E1674,PESSOAL!$B$35:$S$45,MONTH($F1674)+6,FALSE)*G1674*24,0)</f>
        <v>0</v>
      </c>
      <c r="O1674" s="89"/>
      <c r="P1674" s="89" t="b">
        <v>0</v>
      </c>
      <c r="Q1674" s="89" t="e">
        <v>#N/A</v>
      </c>
    </row>
    <row r="1675" hidden="1">
      <c r="A1675" s="108"/>
      <c r="B1675" s="202"/>
      <c r="C1675" s="202" t="str">
        <f>VLOOKUP(M1675,'#verificação horas por projeto'!A:B,2,FALSE)</f>
        <v>#N/A</v>
      </c>
      <c r="D1675" s="202"/>
      <c r="E1675" s="107"/>
      <c r="F1675" s="205"/>
      <c r="G1675" s="226"/>
      <c r="H1675" s="107"/>
      <c r="I1675" s="227"/>
      <c r="J1675" s="227"/>
      <c r="K1675" s="115"/>
      <c r="L1675" s="228"/>
      <c r="M1675" s="107"/>
      <c r="N1675" s="229">
        <f>IF(AND(O1675=TRUE,P1675=TRUE), VLOOKUP($E1675,PESSOAL!$B$35:$S$45,MONTH($F1675)+6,FALSE)*G1675*24,0)</f>
        <v>0</v>
      </c>
      <c r="O1675" s="89"/>
      <c r="P1675" s="89" t="b">
        <v>0</v>
      </c>
      <c r="Q1675" s="89" t="e">
        <v>#N/A</v>
      </c>
    </row>
    <row r="1676" hidden="1">
      <c r="A1676" s="108"/>
      <c r="B1676" s="202"/>
      <c r="C1676" s="202" t="str">
        <f>VLOOKUP(M1676,'#verificação horas por projeto'!A:B,2,FALSE)</f>
        <v>#N/A</v>
      </c>
      <c r="D1676" s="202"/>
      <c r="E1676" s="107"/>
      <c r="F1676" s="205"/>
      <c r="G1676" s="226"/>
      <c r="H1676" s="107"/>
      <c r="I1676" s="227"/>
      <c r="J1676" s="227"/>
      <c r="K1676" s="115"/>
      <c r="L1676" s="228"/>
      <c r="M1676" s="107"/>
      <c r="N1676" s="229">
        <f>IF(AND(O1676=TRUE,P1676=TRUE), VLOOKUP($E1676,PESSOAL!$B$35:$S$45,MONTH($F1676)+6,FALSE)*G1676*24,0)</f>
        <v>0</v>
      </c>
      <c r="O1676" s="89"/>
      <c r="P1676" s="89" t="b">
        <v>0</v>
      </c>
      <c r="Q1676" s="89" t="e">
        <v>#N/A</v>
      </c>
    </row>
    <row r="1677" hidden="1">
      <c r="A1677" s="108"/>
      <c r="B1677" s="202"/>
      <c r="C1677" s="202" t="str">
        <f>VLOOKUP(M1677,'#verificação horas por projeto'!A:B,2,FALSE)</f>
        <v>#N/A</v>
      </c>
      <c r="D1677" s="202"/>
      <c r="E1677" s="107"/>
      <c r="F1677" s="205"/>
      <c r="G1677" s="226"/>
      <c r="H1677" s="107"/>
      <c r="I1677" s="227"/>
      <c r="J1677" s="227"/>
      <c r="K1677" s="115"/>
      <c r="L1677" s="228"/>
      <c r="M1677" s="107"/>
      <c r="N1677" s="229">
        <f>IF(AND(O1677=TRUE,P1677=TRUE), VLOOKUP($E1677,PESSOAL!$B$35:$S$45,MONTH($F1677)+6,FALSE)*G1677*24,0)</f>
        <v>0</v>
      </c>
      <c r="O1677" s="89"/>
      <c r="P1677" s="89" t="b">
        <v>0</v>
      </c>
      <c r="Q1677" s="89" t="e">
        <v>#N/A</v>
      </c>
    </row>
    <row r="1678" hidden="1">
      <c r="A1678" s="108"/>
      <c r="B1678" s="202"/>
      <c r="C1678" s="202" t="str">
        <f>VLOOKUP(M1678,'#verificação horas por projeto'!A:B,2,FALSE)</f>
        <v>#N/A</v>
      </c>
      <c r="D1678" s="202"/>
      <c r="E1678" s="107"/>
      <c r="F1678" s="205"/>
      <c r="G1678" s="226"/>
      <c r="H1678" s="107"/>
      <c r="I1678" s="227"/>
      <c r="J1678" s="227"/>
      <c r="K1678" s="115"/>
      <c r="L1678" s="228"/>
      <c r="M1678" s="107"/>
      <c r="N1678" s="229">
        <f>IF(AND(O1678=TRUE,P1678=TRUE), VLOOKUP($E1678,PESSOAL!$B$35:$S$45,MONTH($F1678)+6,FALSE)*G1678*24,0)</f>
        <v>0</v>
      </c>
      <c r="O1678" s="89"/>
      <c r="P1678" s="89" t="b">
        <v>0</v>
      </c>
      <c r="Q1678" s="89" t="e">
        <v>#N/A</v>
      </c>
    </row>
    <row r="1679" hidden="1">
      <c r="A1679" s="108"/>
      <c r="B1679" s="202"/>
      <c r="C1679" s="202" t="str">
        <f>VLOOKUP(M1679,'#verificação horas por projeto'!A:B,2,FALSE)</f>
        <v>#N/A</v>
      </c>
      <c r="D1679" s="202"/>
      <c r="E1679" s="107"/>
      <c r="F1679" s="205"/>
      <c r="G1679" s="226"/>
      <c r="H1679" s="107"/>
      <c r="I1679" s="227"/>
      <c r="J1679" s="227"/>
      <c r="K1679" s="115"/>
      <c r="L1679" s="228"/>
      <c r="M1679" s="107"/>
      <c r="N1679" s="229">
        <f>IF(AND(O1679=TRUE,P1679=TRUE), VLOOKUP($E1679,PESSOAL!$B$35:$S$45,MONTH($F1679)+6,FALSE)*G1679*24,0)</f>
        <v>0</v>
      </c>
      <c r="O1679" s="89"/>
      <c r="P1679" s="89" t="b">
        <v>0</v>
      </c>
      <c r="Q1679" s="89" t="e">
        <v>#N/A</v>
      </c>
    </row>
    <row r="1680" hidden="1">
      <c r="A1680" s="108"/>
      <c r="B1680" s="202"/>
      <c r="C1680" s="202" t="str">
        <f>VLOOKUP(M1680,'#verificação horas por projeto'!A:B,2,FALSE)</f>
        <v>#N/A</v>
      </c>
      <c r="D1680" s="202"/>
      <c r="E1680" s="107"/>
      <c r="F1680" s="205"/>
      <c r="G1680" s="226"/>
      <c r="H1680" s="107"/>
      <c r="I1680" s="227"/>
      <c r="J1680" s="227"/>
      <c r="K1680" s="115"/>
      <c r="L1680" s="228"/>
      <c r="M1680" s="107"/>
      <c r="N1680" s="229">
        <f>IF(AND(O1680=TRUE,P1680=TRUE), VLOOKUP($E1680,PESSOAL!$B$35:$S$45,MONTH($F1680)+6,FALSE)*G1680*24,0)</f>
        <v>0</v>
      </c>
      <c r="O1680" s="89"/>
      <c r="P1680" s="89" t="b">
        <v>0</v>
      </c>
      <c r="Q1680" s="89" t="e">
        <v>#N/A</v>
      </c>
    </row>
    <row r="1681" hidden="1">
      <c r="A1681" s="108"/>
      <c r="B1681" s="202"/>
      <c r="C1681" s="202" t="str">
        <f>VLOOKUP(M1681,'#verificação horas por projeto'!A:B,2,FALSE)</f>
        <v>#N/A</v>
      </c>
      <c r="D1681" s="202"/>
      <c r="E1681" s="107"/>
      <c r="F1681" s="205"/>
      <c r="G1681" s="226"/>
      <c r="H1681" s="107"/>
      <c r="I1681" s="227"/>
      <c r="J1681" s="227"/>
      <c r="K1681" s="115"/>
      <c r="L1681" s="228"/>
      <c r="M1681" s="107"/>
      <c r="N1681" s="229">
        <f>IF(AND(O1681=TRUE,P1681=TRUE), VLOOKUP($E1681,PESSOAL!$B$35:$S$45,MONTH($F1681)+6,FALSE)*G1681*24,0)</f>
        <v>0</v>
      </c>
      <c r="O1681" s="89"/>
      <c r="P1681" s="89" t="b">
        <v>0</v>
      </c>
      <c r="Q1681" s="89" t="e">
        <v>#N/A</v>
      </c>
    </row>
    <row r="1682" hidden="1">
      <c r="A1682" s="108"/>
      <c r="B1682" s="202"/>
      <c r="C1682" s="202" t="str">
        <f>VLOOKUP(M1682,'#verificação horas por projeto'!A:B,2,FALSE)</f>
        <v>#N/A</v>
      </c>
      <c r="D1682" s="202"/>
      <c r="E1682" s="107"/>
      <c r="F1682" s="205"/>
      <c r="G1682" s="226"/>
      <c r="H1682" s="107"/>
      <c r="I1682" s="227"/>
      <c r="J1682" s="227"/>
      <c r="K1682" s="115"/>
      <c r="L1682" s="228"/>
      <c r="M1682" s="107"/>
      <c r="N1682" s="229">
        <f>IF(AND(O1682=TRUE,P1682=TRUE), VLOOKUP($E1682,PESSOAL!$B$35:$S$45,MONTH($F1682)+6,FALSE)*G1682*24,0)</f>
        <v>0</v>
      </c>
      <c r="O1682" s="89"/>
      <c r="P1682" s="89" t="b">
        <v>0</v>
      </c>
      <c r="Q1682" s="89" t="e">
        <v>#N/A</v>
      </c>
    </row>
    <row r="1683" hidden="1">
      <c r="A1683" s="108"/>
      <c r="B1683" s="202"/>
      <c r="C1683" s="202" t="str">
        <f>VLOOKUP(M1683,'#verificação horas por projeto'!A:B,2,FALSE)</f>
        <v>#N/A</v>
      </c>
      <c r="D1683" s="202"/>
      <c r="E1683" s="107"/>
      <c r="F1683" s="205"/>
      <c r="G1683" s="226"/>
      <c r="H1683" s="107"/>
      <c r="I1683" s="227"/>
      <c r="J1683" s="227"/>
      <c r="K1683" s="115"/>
      <c r="L1683" s="228"/>
      <c r="M1683" s="107"/>
      <c r="N1683" s="229">
        <f>IF(AND(O1683=TRUE,P1683=TRUE), VLOOKUP($E1683,PESSOAL!$B$35:$S$45,MONTH($F1683)+6,FALSE)*G1683*24,0)</f>
        <v>0</v>
      </c>
      <c r="O1683" s="89"/>
      <c r="P1683" s="89" t="b">
        <v>0</v>
      </c>
      <c r="Q1683" s="89" t="e">
        <v>#N/A</v>
      </c>
    </row>
    <row r="1684" hidden="1">
      <c r="A1684" s="108"/>
      <c r="B1684" s="202"/>
      <c r="C1684" s="202" t="str">
        <f>VLOOKUP(M1684,'#verificação horas por projeto'!A:B,2,FALSE)</f>
        <v>#N/A</v>
      </c>
      <c r="D1684" s="202"/>
      <c r="E1684" s="107"/>
      <c r="F1684" s="205"/>
      <c r="G1684" s="226"/>
      <c r="H1684" s="107"/>
      <c r="I1684" s="227"/>
      <c r="J1684" s="227"/>
      <c r="K1684" s="115"/>
      <c r="L1684" s="228"/>
      <c r="M1684" s="107"/>
      <c r="N1684" s="229">
        <f>IF(AND(O1684=TRUE,P1684=TRUE), VLOOKUP($E1684,PESSOAL!$B$35:$S$45,MONTH($F1684)+6,FALSE)*G1684*24,0)</f>
        <v>0</v>
      </c>
      <c r="O1684" s="89"/>
      <c r="P1684" s="89" t="b">
        <v>0</v>
      </c>
      <c r="Q1684" s="89" t="e">
        <v>#N/A</v>
      </c>
    </row>
    <row r="1685" hidden="1">
      <c r="A1685" s="108"/>
      <c r="B1685" s="202"/>
      <c r="C1685" s="202" t="str">
        <f>VLOOKUP(M1685,'#verificação horas por projeto'!A:B,2,FALSE)</f>
        <v>#N/A</v>
      </c>
      <c r="D1685" s="202"/>
      <c r="E1685" s="107"/>
      <c r="F1685" s="205"/>
      <c r="G1685" s="226"/>
      <c r="H1685" s="107"/>
      <c r="I1685" s="227"/>
      <c r="J1685" s="227"/>
      <c r="K1685" s="115"/>
      <c r="L1685" s="228"/>
      <c r="M1685" s="107"/>
      <c r="N1685" s="229">
        <f>IF(AND(O1685=TRUE,P1685=TRUE), VLOOKUP($E1685,PESSOAL!$B$35:$S$45,MONTH($F1685)+6,FALSE)*G1685*24,0)</f>
        <v>0</v>
      </c>
      <c r="O1685" s="89"/>
      <c r="P1685" s="89" t="b">
        <v>0</v>
      </c>
      <c r="Q1685" s="89" t="e">
        <v>#N/A</v>
      </c>
    </row>
    <row r="1686" hidden="1">
      <c r="A1686" s="108"/>
      <c r="B1686" s="202"/>
      <c r="C1686" s="202" t="str">
        <f>VLOOKUP(M1686,'#verificação horas por projeto'!A:B,2,FALSE)</f>
        <v>#N/A</v>
      </c>
      <c r="D1686" s="202"/>
      <c r="E1686" s="107"/>
      <c r="F1686" s="205"/>
      <c r="G1686" s="226"/>
      <c r="H1686" s="107"/>
      <c r="I1686" s="227"/>
      <c r="J1686" s="227"/>
      <c r="K1686" s="115"/>
      <c r="L1686" s="228"/>
      <c r="M1686" s="107"/>
      <c r="N1686" s="229">
        <f>IF(AND(O1686=TRUE,P1686=TRUE), VLOOKUP($E1686,PESSOAL!$B$35:$S$45,MONTH($F1686)+6,FALSE)*G1686*24,0)</f>
        <v>0</v>
      </c>
      <c r="O1686" s="89"/>
      <c r="P1686" s="89" t="b">
        <v>0</v>
      </c>
      <c r="Q1686" s="89" t="e">
        <v>#N/A</v>
      </c>
    </row>
    <row r="1687" hidden="1">
      <c r="A1687" s="108"/>
      <c r="B1687" s="202"/>
      <c r="C1687" s="202" t="str">
        <f>VLOOKUP(M1687,'#verificação horas por projeto'!A:B,2,FALSE)</f>
        <v>#N/A</v>
      </c>
      <c r="D1687" s="202"/>
      <c r="E1687" s="107"/>
      <c r="F1687" s="205"/>
      <c r="G1687" s="226"/>
      <c r="H1687" s="107"/>
      <c r="I1687" s="227"/>
      <c r="J1687" s="227"/>
      <c r="K1687" s="115"/>
      <c r="L1687" s="228"/>
      <c r="M1687" s="107"/>
      <c r="N1687" s="229">
        <f>IF(AND(O1687=TRUE,P1687=TRUE), VLOOKUP($E1687,PESSOAL!$B$35:$S$45,MONTH($F1687)+6,FALSE)*G1687*24,0)</f>
        <v>0</v>
      </c>
      <c r="O1687" s="89"/>
      <c r="P1687" s="89" t="b">
        <v>0</v>
      </c>
      <c r="Q1687" s="89" t="e">
        <v>#N/A</v>
      </c>
    </row>
    <row r="1688" hidden="1">
      <c r="A1688" s="108"/>
      <c r="B1688" s="202"/>
      <c r="C1688" s="202" t="str">
        <f>VLOOKUP(M1688,'#verificação horas por projeto'!A:B,2,FALSE)</f>
        <v>#N/A</v>
      </c>
      <c r="D1688" s="202"/>
      <c r="E1688" s="107"/>
      <c r="F1688" s="205"/>
      <c r="G1688" s="226"/>
      <c r="H1688" s="107"/>
      <c r="I1688" s="227"/>
      <c r="J1688" s="227"/>
      <c r="K1688" s="115"/>
      <c r="L1688" s="228"/>
      <c r="M1688" s="107"/>
      <c r="N1688" s="229">
        <f>IF(AND(O1688=TRUE,P1688=TRUE), VLOOKUP($E1688,PESSOAL!$B$35:$S$45,MONTH($F1688)+6,FALSE)*G1688*24,0)</f>
        <v>0</v>
      </c>
      <c r="O1688" s="89"/>
      <c r="P1688" s="89" t="b">
        <v>0</v>
      </c>
      <c r="Q1688" s="89" t="e">
        <v>#N/A</v>
      </c>
    </row>
    <row r="1689" hidden="1">
      <c r="A1689" s="108"/>
      <c r="B1689" s="202"/>
      <c r="C1689" s="202" t="str">
        <f>VLOOKUP(M1689,'#verificação horas por projeto'!A:B,2,FALSE)</f>
        <v>#N/A</v>
      </c>
      <c r="D1689" s="202"/>
      <c r="E1689" s="107"/>
      <c r="F1689" s="205"/>
      <c r="G1689" s="226"/>
      <c r="H1689" s="107"/>
      <c r="I1689" s="227"/>
      <c r="J1689" s="227"/>
      <c r="K1689" s="115"/>
      <c r="L1689" s="228"/>
      <c r="M1689" s="107"/>
      <c r="N1689" s="229">
        <f>IF(AND(O1689=TRUE,P1689=TRUE), VLOOKUP($E1689,PESSOAL!$B$35:$S$45,MONTH($F1689)+6,FALSE)*G1689*24,0)</f>
        <v>0</v>
      </c>
      <c r="O1689" s="89"/>
      <c r="P1689" s="89" t="b">
        <v>0</v>
      </c>
      <c r="Q1689" s="89" t="e">
        <v>#N/A</v>
      </c>
    </row>
    <row r="1690" hidden="1">
      <c r="A1690" s="108"/>
      <c r="B1690" s="202"/>
      <c r="C1690" s="202" t="str">
        <f>VLOOKUP(M1690,'#verificação horas por projeto'!A:B,2,FALSE)</f>
        <v>#N/A</v>
      </c>
      <c r="D1690" s="202"/>
      <c r="E1690" s="107"/>
      <c r="F1690" s="205"/>
      <c r="G1690" s="226"/>
      <c r="H1690" s="107"/>
      <c r="I1690" s="227"/>
      <c r="J1690" s="227"/>
      <c r="K1690" s="115"/>
      <c r="L1690" s="228"/>
      <c r="M1690" s="107"/>
      <c r="N1690" s="229">
        <f>IF(AND(O1690=TRUE,P1690=TRUE), VLOOKUP($E1690,PESSOAL!$B$35:$S$45,MONTH($F1690)+6,FALSE)*G1690*24,0)</f>
        <v>0</v>
      </c>
      <c r="O1690" s="89"/>
      <c r="P1690" s="89" t="b">
        <v>0</v>
      </c>
      <c r="Q1690" s="89" t="e">
        <v>#N/A</v>
      </c>
    </row>
    <row r="1691" hidden="1">
      <c r="A1691" s="108"/>
      <c r="B1691" s="202"/>
      <c r="C1691" s="202" t="str">
        <f>VLOOKUP(M1691,'#verificação horas por projeto'!A:B,2,FALSE)</f>
        <v>#N/A</v>
      </c>
      <c r="D1691" s="202"/>
      <c r="E1691" s="107"/>
      <c r="F1691" s="205"/>
      <c r="G1691" s="226"/>
      <c r="H1691" s="107"/>
      <c r="I1691" s="227"/>
      <c r="J1691" s="227"/>
      <c r="K1691" s="115"/>
      <c r="L1691" s="228"/>
      <c r="M1691" s="107"/>
      <c r="N1691" s="229">
        <f>IF(AND(O1691=TRUE,P1691=TRUE), VLOOKUP($E1691,PESSOAL!$B$35:$S$45,MONTH($F1691)+6,FALSE)*G1691*24,0)</f>
        <v>0</v>
      </c>
      <c r="O1691" s="89"/>
      <c r="P1691" s="89" t="b">
        <v>0</v>
      </c>
      <c r="Q1691" s="89" t="e">
        <v>#N/A</v>
      </c>
    </row>
    <row r="1692" hidden="1">
      <c r="A1692" s="108"/>
      <c r="B1692" s="202"/>
      <c r="C1692" s="202" t="str">
        <f>VLOOKUP(M1692,'#verificação horas por projeto'!A:B,2,FALSE)</f>
        <v>#N/A</v>
      </c>
      <c r="D1692" s="202"/>
      <c r="E1692" s="107"/>
      <c r="F1692" s="205"/>
      <c r="G1692" s="226"/>
      <c r="H1692" s="107"/>
      <c r="I1692" s="227"/>
      <c r="J1692" s="227"/>
      <c r="K1692" s="115"/>
      <c r="L1692" s="228"/>
      <c r="M1692" s="107"/>
      <c r="N1692" s="229">
        <f>IF(AND(O1692=TRUE,P1692=TRUE), VLOOKUP($E1692,PESSOAL!$B$35:$S$45,MONTH($F1692)+6,FALSE)*G1692*24,0)</f>
        <v>0</v>
      </c>
      <c r="O1692" s="89"/>
      <c r="P1692" s="89" t="b">
        <v>0</v>
      </c>
      <c r="Q1692" s="89" t="e">
        <v>#N/A</v>
      </c>
    </row>
    <row r="1693" hidden="1">
      <c r="A1693" s="108"/>
      <c r="B1693" s="202"/>
      <c r="C1693" s="202" t="str">
        <f>VLOOKUP(M1693,'#verificação horas por projeto'!A:B,2,FALSE)</f>
        <v>#N/A</v>
      </c>
      <c r="D1693" s="202"/>
      <c r="E1693" s="107"/>
      <c r="F1693" s="205"/>
      <c r="G1693" s="226"/>
      <c r="H1693" s="107"/>
      <c r="I1693" s="227"/>
      <c r="J1693" s="227"/>
      <c r="K1693" s="115"/>
      <c r="L1693" s="228"/>
      <c r="M1693" s="107"/>
      <c r="N1693" s="229">
        <f>IF(AND(O1693=TRUE,P1693=TRUE), VLOOKUP($E1693,PESSOAL!$B$35:$S$45,MONTH($F1693)+6,FALSE)*G1693*24,0)</f>
        <v>0</v>
      </c>
      <c r="O1693" s="89"/>
      <c r="P1693" s="89" t="b">
        <v>0</v>
      </c>
      <c r="Q1693" s="89" t="e">
        <v>#N/A</v>
      </c>
    </row>
    <row r="1694" hidden="1">
      <c r="A1694" s="108"/>
      <c r="B1694" s="202"/>
      <c r="C1694" s="202" t="str">
        <f>VLOOKUP(M1694,'#verificação horas por projeto'!A:B,2,FALSE)</f>
        <v>#N/A</v>
      </c>
      <c r="D1694" s="202"/>
      <c r="E1694" s="107"/>
      <c r="F1694" s="205"/>
      <c r="G1694" s="226"/>
      <c r="H1694" s="107"/>
      <c r="I1694" s="227"/>
      <c r="J1694" s="227"/>
      <c r="K1694" s="115"/>
      <c r="L1694" s="228"/>
      <c r="M1694" s="107"/>
      <c r="N1694" s="229">
        <f>IF(AND(O1694=TRUE,P1694=TRUE), VLOOKUP($E1694,PESSOAL!$B$35:$S$45,MONTH($F1694)+6,FALSE)*G1694*24,0)</f>
        <v>0</v>
      </c>
      <c r="O1694" s="89"/>
      <c r="P1694" s="89" t="b">
        <v>0</v>
      </c>
      <c r="Q1694" s="89" t="e">
        <v>#N/A</v>
      </c>
    </row>
    <row r="1695" hidden="1">
      <c r="A1695" s="108"/>
      <c r="B1695" s="202"/>
      <c r="C1695" s="202" t="str">
        <f>VLOOKUP(M1695,'#verificação horas por projeto'!A:B,2,FALSE)</f>
        <v>#N/A</v>
      </c>
      <c r="D1695" s="202"/>
      <c r="E1695" s="107"/>
      <c r="F1695" s="205"/>
      <c r="G1695" s="226"/>
      <c r="H1695" s="107"/>
      <c r="I1695" s="227"/>
      <c r="J1695" s="227"/>
      <c r="K1695" s="115"/>
      <c r="L1695" s="228"/>
      <c r="M1695" s="107"/>
      <c r="N1695" s="229">
        <f>IF(AND(O1695=TRUE,P1695=TRUE), VLOOKUP($E1695,PESSOAL!$B$35:$S$45,MONTH($F1695)+6,FALSE)*G1695*24,0)</f>
        <v>0</v>
      </c>
      <c r="O1695" s="89"/>
      <c r="P1695" s="89" t="b">
        <v>0</v>
      </c>
      <c r="Q1695" s="89" t="e">
        <v>#N/A</v>
      </c>
    </row>
    <row r="1696" hidden="1">
      <c r="A1696" s="108"/>
      <c r="B1696" s="202"/>
      <c r="C1696" s="202" t="str">
        <f>VLOOKUP(M1696,'#verificação horas por projeto'!A:B,2,FALSE)</f>
        <v>#N/A</v>
      </c>
      <c r="D1696" s="202"/>
      <c r="E1696" s="107"/>
      <c r="F1696" s="205"/>
      <c r="G1696" s="226"/>
      <c r="H1696" s="107"/>
      <c r="I1696" s="227"/>
      <c r="J1696" s="227"/>
      <c r="K1696" s="115"/>
      <c r="L1696" s="228"/>
      <c r="M1696" s="107"/>
      <c r="N1696" s="229">
        <f>IF(AND(O1696=TRUE,P1696=TRUE), VLOOKUP($E1696,PESSOAL!$B$35:$S$45,MONTH($F1696)+6,FALSE)*G1696*24,0)</f>
        <v>0</v>
      </c>
      <c r="O1696" s="89"/>
      <c r="P1696" s="89" t="b">
        <v>0</v>
      </c>
      <c r="Q1696" s="89" t="e">
        <v>#N/A</v>
      </c>
    </row>
    <row r="1697" hidden="1">
      <c r="A1697" s="108"/>
      <c r="B1697" s="202"/>
      <c r="C1697" s="202" t="str">
        <f>VLOOKUP(M1697,'#verificação horas por projeto'!A:B,2,FALSE)</f>
        <v>#N/A</v>
      </c>
      <c r="D1697" s="202"/>
      <c r="E1697" s="107"/>
      <c r="F1697" s="205"/>
      <c r="G1697" s="226"/>
      <c r="H1697" s="107"/>
      <c r="I1697" s="227"/>
      <c r="J1697" s="227"/>
      <c r="K1697" s="115"/>
      <c r="L1697" s="228"/>
      <c r="M1697" s="107"/>
      <c r="N1697" s="229">
        <f>IF(AND(O1697=TRUE,P1697=TRUE), VLOOKUP($E1697,PESSOAL!$B$35:$S$45,MONTH($F1697)+6,FALSE)*G1697*24,0)</f>
        <v>0</v>
      </c>
      <c r="O1697" s="89"/>
      <c r="P1697" s="89" t="b">
        <v>0</v>
      </c>
      <c r="Q1697" s="89" t="e">
        <v>#N/A</v>
      </c>
    </row>
    <row r="1698" hidden="1">
      <c r="A1698" s="108"/>
      <c r="B1698" s="202"/>
      <c r="C1698" s="202" t="str">
        <f>VLOOKUP(M1698,'#verificação horas por projeto'!A:B,2,FALSE)</f>
        <v>#N/A</v>
      </c>
      <c r="D1698" s="202"/>
      <c r="E1698" s="107"/>
      <c r="F1698" s="205"/>
      <c r="G1698" s="226"/>
      <c r="H1698" s="107"/>
      <c r="I1698" s="227"/>
      <c r="J1698" s="227"/>
      <c r="K1698" s="115"/>
      <c r="L1698" s="228"/>
      <c r="M1698" s="107"/>
      <c r="N1698" s="229">
        <f>IF(AND(O1698=TRUE,P1698=TRUE), VLOOKUP($E1698,PESSOAL!$B$35:$S$45,MONTH($F1698)+6,FALSE)*G1698*24,0)</f>
        <v>0</v>
      </c>
      <c r="O1698" s="89"/>
      <c r="P1698" s="89" t="b">
        <v>0</v>
      </c>
      <c r="Q1698" s="89" t="e">
        <v>#N/A</v>
      </c>
    </row>
    <row r="1699" hidden="1">
      <c r="A1699" s="108"/>
      <c r="B1699" s="202"/>
      <c r="C1699" s="202" t="str">
        <f>VLOOKUP(M1699,'#verificação horas por projeto'!A:B,2,FALSE)</f>
        <v>#N/A</v>
      </c>
      <c r="D1699" s="202"/>
      <c r="E1699" s="107"/>
      <c r="F1699" s="205"/>
      <c r="G1699" s="226"/>
      <c r="H1699" s="107"/>
      <c r="I1699" s="227"/>
      <c r="J1699" s="227"/>
      <c r="K1699" s="115"/>
      <c r="L1699" s="228"/>
      <c r="M1699" s="107"/>
      <c r="N1699" s="229">
        <f>IF(AND(O1699=TRUE,P1699=TRUE), VLOOKUP($E1699,PESSOAL!$B$35:$S$45,MONTH($F1699)+6,FALSE)*G1699*24,0)</f>
        <v>0</v>
      </c>
      <c r="O1699" s="89"/>
      <c r="P1699" s="89" t="b">
        <v>0</v>
      </c>
      <c r="Q1699" s="89" t="e">
        <v>#N/A</v>
      </c>
    </row>
    <row r="1700" hidden="1">
      <c r="A1700" s="108"/>
      <c r="B1700" s="202"/>
      <c r="C1700" s="202" t="str">
        <f>VLOOKUP(M1700,'#verificação horas por projeto'!A:B,2,FALSE)</f>
        <v>#N/A</v>
      </c>
      <c r="D1700" s="202"/>
      <c r="E1700" s="107"/>
      <c r="F1700" s="205"/>
      <c r="G1700" s="226"/>
      <c r="H1700" s="107"/>
      <c r="I1700" s="227"/>
      <c r="J1700" s="227"/>
      <c r="K1700" s="115"/>
      <c r="L1700" s="228"/>
      <c r="M1700" s="107"/>
      <c r="N1700" s="229">
        <f>IF(AND(O1700=TRUE,P1700=TRUE), VLOOKUP($E1700,PESSOAL!$B$35:$S$45,MONTH($F1700)+6,FALSE)*G1700*24,0)</f>
        <v>0</v>
      </c>
      <c r="O1700" s="89"/>
      <c r="P1700" s="89" t="b">
        <v>0</v>
      </c>
      <c r="Q1700" s="89" t="e">
        <v>#N/A</v>
      </c>
    </row>
    <row r="1701" hidden="1">
      <c r="A1701" s="108"/>
      <c r="B1701" s="202"/>
      <c r="C1701" s="202" t="str">
        <f>VLOOKUP(M1701,'#verificação horas por projeto'!A:B,2,FALSE)</f>
        <v>#N/A</v>
      </c>
      <c r="D1701" s="202"/>
      <c r="E1701" s="107"/>
      <c r="F1701" s="205"/>
      <c r="G1701" s="226"/>
      <c r="H1701" s="107"/>
      <c r="I1701" s="227"/>
      <c r="J1701" s="227"/>
      <c r="K1701" s="115"/>
      <c r="L1701" s="228"/>
      <c r="M1701" s="107"/>
      <c r="N1701" s="229">
        <f>IF(AND(O1701=TRUE,P1701=TRUE), VLOOKUP($E1701,PESSOAL!$B$35:$S$45,MONTH($F1701)+6,FALSE)*G1701*24,0)</f>
        <v>0</v>
      </c>
      <c r="O1701" s="89"/>
      <c r="P1701" s="89" t="b">
        <v>0</v>
      </c>
      <c r="Q1701" s="89" t="e">
        <v>#N/A</v>
      </c>
    </row>
    <row r="1702" hidden="1">
      <c r="A1702" s="108"/>
      <c r="B1702" s="202"/>
      <c r="C1702" s="202" t="str">
        <f>VLOOKUP(M1702,'#verificação horas por projeto'!A:B,2,FALSE)</f>
        <v>#N/A</v>
      </c>
      <c r="D1702" s="202"/>
      <c r="E1702" s="107"/>
      <c r="F1702" s="205"/>
      <c r="G1702" s="226"/>
      <c r="H1702" s="107"/>
      <c r="I1702" s="227"/>
      <c r="J1702" s="227"/>
      <c r="K1702" s="115"/>
      <c r="L1702" s="228"/>
      <c r="M1702" s="107"/>
      <c r="N1702" s="229">
        <f>IF(AND(O1702=TRUE,P1702=TRUE), VLOOKUP($E1702,PESSOAL!$B$35:$S$45,MONTH($F1702)+6,FALSE)*G1702*24,0)</f>
        <v>0</v>
      </c>
      <c r="O1702" s="89"/>
      <c r="P1702" s="89" t="b">
        <v>0</v>
      </c>
      <c r="Q1702" s="89" t="e">
        <v>#N/A</v>
      </c>
    </row>
    <row r="1703" hidden="1">
      <c r="A1703" s="108"/>
      <c r="B1703" s="202"/>
      <c r="C1703" s="202" t="str">
        <f>VLOOKUP(M1703,'#verificação horas por projeto'!A:B,2,FALSE)</f>
        <v>#N/A</v>
      </c>
      <c r="D1703" s="202"/>
      <c r="E1703" s="107"/>
      <c r="F1703" s="205"/>
      <c r="G1703" s="226"/>
      <c r="H1703" s="107"/>
      <c r="I1703" s="227"/>
      <c r="J1703" s="227"/>
      <c r="K1703" s="115"/>
      <c r="L1703" s="228"/>
      <c r="M1703" s="107"/>
      <c r="N1703" s="229">
        <f>IF(AND(O1703=TRUE,P1703=TRUE), VLOOKUP($E1703,PESSOAL!$B$35:$S$45,MONTH($F1703)+6,FALSE)*G1703*24,0)</f>
        <v>0</v>
      </c>
      <c r="O1703" s="89"/>
      <c r="P1703" s="89" t="b">
        <v>0</v>
      </c>
      <c r="Q1703" s="89" t="e">
        <v>#N/A</v>
      </c>
    </row>
    <row r="1704" hidden="1">
      <c r="A1704" s="108"/>
      <c r="B1704" s="202"/>
      <c r="C1704" s="202" t="str">
        <f>VLOOKUP(M1704,'#verificação horas por projeto'!A:B,2,FALSE)</f>
        <v>#N/A</v>
      </c>
      <c r="D1704" s="202"/>
      <c r="E1704" s="107"/>
      <c r="F1704" s="205"/>
      <c r="G1704" s="226"/>
      <c r="H1704" s="107"/>
      <c r="I1704" s="227"/>
      <c r="J1704" s="227"/>
      <c r="K1704" s="115"/>
      <c r="L1704" s="228"/>
      <c r="M1704" s="107"/>
      <c r="N1704" s="229">
        <f>IF(AND(O1704=TRUE,P1704=TRUE), VLOOKUP($E1704,PESSOAL!$B$35:$S$45,MONTH($F1704)+6,FALSE)*G1704*24,0)</f>
        <v>0</v>
      </c>
      <c r="O1704" s="89"/>
      <c r="P1704" s="89" t="b">
        <v>0</v>
      </c>
      <c r="Q1704" s="89" t="e">
        <v>#N/A</v>
      </c>
    </row>
    <row r="1705" hidden="1">
      <c r="A1705" s="108"/>
      <c r="B1705" s="202"/>
      <c r="C1705" s="202" t="str">
        <f>VLOOKUP(M1705,'#verificação horas por projeto'!A:B,2,FALSE)</f>
        <v>#N/A</v>
      </c>
      <c r="D1705" s="202"/>
      <c r="E1705" s="107"/>
      <c r="F1705" s="205"/>
      <c r="G1705" s="226"/>
      <c r="H1705" s="107"/>
      <c r="I1705" s="227"/>
      <c r="J1705" s="227"/>
      <c r="K1705" s="115"/>
      <c r="L1705" s="228"/>
      <c r="M1705" s="107"/>
      <c r="N1705" s="229">
        <f>IF(AND(O1705=TRUE,P1705=TRUE), VLOOKUP($E1705,PESSOAL!$B$35:$S$45,MONTH($F1705)+6,FALSE)*G1705*24,0)</f>
        <v>0</v>
      </c>
      <c r="O1705" s="89"/>
      <c r="P1705" s="89" t="b">
        <v>0</v>
      </c>
      <c r="Q1705" s="89" t="e">
        <v>#N/A</v>
      </c>
    </row>
    <row r="1706" hidden="1">
      <c r="A1706" s="108"/>
      <c r="B1706" s="202"/>
      <c r="C1706" s="202" t="str">
        <f>VLOOKUP(M1706,'#verificação horas por projeto'!A:B,2,FALSE)</f>
        <v>#N/A</v>
      </c>
      <c r="D1706" s="202"/>
      <c r="E1706" s="107"/>
      <c r="F1706" s="205"/>
      <c r="G1706" s="226"/>
      <c r="H1706" s="107"/>
      <c r="I1706" s="227"/>
      <c r="J1706" s="227"/>
      <c r="K1706" s="115"/>
      <c r="L1706" s="228"/>
      <c r="M1706" s="107"/>
      <c r="N1706" s="229">
        <f>IF(AND(O1706=TRUE,P1706=TRUE), VLOOKUP($E1706,PESSOAL!$B$35:$S$45,MONTH($F1706)+6,FALSE)*G1706*24,0)</f>
        <v>0</v>
      </c>
      <c r="O1706" s="89"/>
      <c r="P1706" s="89" t="b">
        <v>0</v>
      </c>
      <c r="Q1706" s="89" t="e">
        <v>#N/A</v>
      </c>
    </row>
    <row r="1707" hidden="1">
      <c r="A1707" s="108"/>
      <c r="B1707" s="202"/>
      <c r="C1707" s="202" t="str">
        <f>VLOOKUP(M1707,'#verificação horas por projeto'!A:B,2,FALSE)</f>
        <v>#N/A</v>
      </c>
      <c r="D1707" s="202"/>
      <c r="E1707" s="107"/>
      <c r="F1707" s="205"/>
      <c r="G1707" s="226"/>
      <c r="H1707" s="107"/>
      <c r="I1707" s="227"/>
      <c r="J1707" s="227"/>
      <c r="K1707" s="115"/>
      <c r="L1707" s="228"/>
      <c r="M1707" s="107"/>
      <c r="N1707" s="229">
        <f>IF(AND(O1707=TRUE,P1707=TRUE), VLOOKUP($E1707,PESSOAL!$B$35:$S$45,MONTH($F1707)+6,FALSE)*G1707*24,0)</f>
        <v>0</v>
      </c>
      <c r="O1707" s="89"/>
      <c r="P1707" s="89" t="b">
        <v>0</v>
      </c>
      <c r="Q1707" s="89" t="e">
        <v>#N/A</v>
      </c>
    </row>
    <row r="1708" hidden="1">
      <c r="A1708" s="108"/>
      <c r="B1708" s="202"/>
      <c r="C1708" s="202" t="str">
        <f>VLOOKUP(M1708,'#verificação horas por projeto'!A:B,2,FALSE)</f>
        <v>#N/A</v>
      </c>
      <c r="D1708" s="202"/>
      <c r="E1708" s="107"/>
      <c r="F1708" s="205"/>
      <c r="G1708" s="226"/>
      <c r="H1708" s="107"/>
      <c r="I1708" s="227"/>
      <c r="J1708" s="227"/>
      <c r="K1708" s="115"/>
      <c r="L1708" s="228"/>
      <c r="M1708" s="107"/>
      <c r="N1708" s="229">
        <f>IF(AND(O1708=TRUE,P1708=TRUE), VLOOKUP($E1708,PESSOAL!$B$35:$S$45,MONTH($F1708)+6,FALSE)*G1708*24,0)</f>
        <v>0</v>
      </c>
      <c r="O1708" s="89"/>
      <c r="P1708" s="89" t="b">
        <v>0</v>
      </c>
      <c r="Q1708" s="89" t="e">
        <v>#N/A</v>
      </c>
    </row>
    <row r="1709" hidden="1">
      <c r="A1709" s="108"/>
      <c r="B1709" s="202"/>
      <c r="C1709" s="202" t="str">
        <f>VLOOKUP(M1709,'#verificação horas por projeto'!A:B,2,FALSE)</f>
        <v>#N/A</v>
      </c>
      <c r="D1709" s="202"/>
      <c r="E1709" s="107"/>
      <c r="F1709" s="205"/>
      <c r="G1709" s="226"/>
      <c r="H1709" s="107"/>
      <c r="I1709" s="227"/>
      <c r="J1709" s="227"/>
      <c r="K1709" s="115"/>
      <c r="L1709" s="228"/>
      <c r="M1709" s="107"/>
      <c r="N1709" s="229">
        <f>IF(AND(O1709=TRUE,P1709=TRUE), VLOOKUP($E1709,PESSOAL!$B$35:$S$45,MONTH($F1709)+6,FALSE)*G1709*24,0)</f>
        <v>0</v>
      </c>
      <c r="O1709" s="89"/>
      <c r="P1709" s="89" t="b">
        <v>0</v>
      </c>
      <c r="Q1709" s="89" t="e">
        <v>#N/A</v>
      </c>
    </row>
    <row r="1710" hidden="1">
      <c r="A1710" s="108"/>
      <c r="B1710" s="202"/>
      <c r="C1710" s="202" t="str">
        <f>VLOOKUP(M1710,'#verificação horas por projeto'!A:B,2,FALSE)</f>
        <v>#N/A</v>
      </c>
      <c r="D1710" s="202"/>
      <c r="E1710" s="107"/>
      <c r="F1710" s="205"/>
      <c r="G1710" s="226"/>
      <c r="H1710" s="107"/>
      <c r="I1710" s="227"/>
      <c r="J1710" s="227"/>
      <c r="K1710" s="115"/>
      <c r="L1710" s="228"/>
      <c r="M1710" s="107"/>
      <c r="N1710" s="229">
        <f>IF(AND(O1710=TRUE,P1710=TRUE), VLOOKUP($E1710,PESSOAL!$B$35:$S$45,MONTH($F1710)+6,FALSE)*G1710*24,0)</f>
        <v>0</v>
      </c>
      <c r="O1710" s="89"/>
      <c r="P1710" s="89" t="b">
        <v>0</v>
      </c>
      <c r="Q1710" s="89" t="e">
        <v>#N/A</v>
      </c>
    </row>
    <row r="1711" hidden="1">
      <c r="A1711" s="108"/>
      <c r="B1711" s="202"/>
      <c r="C1711" s="202" t="str">
        <f>VLOOKUP(M1711,'#verificação horas por projeto'!A:B,2,FALSE)</f>
        <v>#N/A</v>
      </c>
      <c r="D1711" s="202"/>
      <c r="E1711" s="107"/>
      <c r="F1711" s="205"/>
      <c r="G1711" s="226"/>
      <c r="H1711" s="107"/>
      <c r="I1711" s="227"/>
      <c r="J1711" s="227"/>
      <c r="K1711" s="115"/>
      <c r="L1711" s="228"/>
      <c r="M1711" s="107"/>
      <c r="N1711" s="229">
        <f>IF(AND(O1711=TRUE,P1711=TRUE), VLOOKUP($E1711,PESSOAL!$B$35:$S$45,MONTH($F1711)+6,FALSE)*G1711*24,0)</f>
        <v>0</v>
      </c>
      <c r="O1711" s="89"/>
      <c r="P1711" s="89" t="b">
        <v>0</v>
      </c>
      <c r="Q1711" s="89" t="e">
        <v>#N/A</v>
      </c>
    </row>
    <row r="1712" hidden="1">
      <c r="A1712" s="108"/>
      <c r="B1712" s="202"/>
      <c r="C1712" s="202" t="str">
        <f>VLOOKUP(M1712,'#verificação horas por projeto'!A:B,2,FALSE)</f>
        <v>#N/A</v>
      </c>
      <c r="D1712" s="202"/>
      <c r="E1712" s="107"/>
      <c r="F1712" s="205"/>
      <c r="G1712" s="226"/>
      <c r="H1712" s="107"/>
      <c r="I1712" s="227"/>
      <c r="J1712" s="227"/>
      <c r="K1712" s="115"/>
      <c r="L1712" s="228"/>
      <c r="M1712" s="107"/>
      <c r="N1712" s="229">
        <f>IF(AND(O1712=TRUE,P1712=TRUE), VLOOKUP($E1712,PESSOAL!$B$35:$S$45,MONTH($F1712)+6,FALSE)*G1712*24,0)</f>
        <v>0</v>
      </c>
      <c r="O1712" s="89"/>
      <c r="P1712" s="89" t="b">
        <v>0</v>
      </c>
      <c r="Q1712" s="89" t="e">
        <v>#N/A</v>
      </c>
    </row>
    <row r="1713" hidden="1">
      <c r="A1713" s="108"/>
      <c r="B1713" s="202"/>
      <c r="C1713" s="202" t="str">
        <f>VLOOKUP(M1713,'#verificação horas por projeto'!A:B,2,FALSE)</f>
        <v>#N/A</v>
      </c>
      <c r="D1713" s="202"/>
      <c r="E1713" s="107"/>
      <c r="F1713" s="205"/>
      <c r="G1713" s="226"/>
      <c r="H1713" s="107"/>
      <c r="I1713" s="227"/>
      <c r="J1713" s="227"/>
      <c r="K1713" s="115"/>
      <c r="L1713" s="228"/>
      <c r="M1713" s="107"/>
      <c r="N1713" s="229">
        <f>IF(AND(O1713=TRUE,P1713=TRUE), VLOOKUP($E1713,PESSOAL!$B$35:$S$45,MONTH($F1713)+6,FALSE)*G1713*24,0)</f>
        <v>0</v>
      </c>
      <c r="O1713" s="89"/>
      <c r="P1713" s="89" t="b">
        <v>0</v>
      </c>
      <c r="Q1713" s="89" t="e">
        <v>#N/A</v>
      </c>
    </row>
    <row r="1714" hidden="1">
      <c r="A1714" s="108"/>
      <c r="B1714" s="202"/>
      <c r="C1714" s="202" t="str">
        <f>VLOOKUP(M1714,'#verificação horas por projeto'!A:B,2,FALSE)</f>
        <v>#N/A</v>
      </c>
      <c r="D1714" s="202"/>
      <c r="E1714" s="107"/>
      <c r="F1714" s="205"/>
      <c r="G1714" s="226"/>
      <c r="H1714" s="107"/>
      <c r="I1714" s="227"/>
      <c r="J1714" s="227"/>
      <c r="K1714" s="115"/>
      <c r="L1714" s="228"/>
      <c r="M1714" s="107"/>
      <c r="N1714" s="229">
        <f>IF(AND(O1714=TRUE,P1714=TRUE), VLOOKUP($E1714,PESSOAL!$B$35:$S$45,MONTH($F1714)+6,FALSE)*G1714*24,0)</f>
        <v>0</v>
      </c>
      <c r="O1714" s="89"/>
      <c r="P1714" s="89" t="b">
        <v>0</v>
      </c>
      <c r="Q1714" s="89" t="e">
        <v>#N/A</v>
      </c>
    </row>
    <row r="1715" hidden="1">
      <c r="A1715" s="108"/>
      <c r="B1715" s="202"/>
      <c r="C1715" s="202" t="str">
        <f>VLOOKUP(M1715,'#verificação horas por projeto'!A:B,2,FALSE)</f>
        <v>#N/A</v>
      </c>
      <c r="D1715" s="202"/>
      <c r="E1715" s="107"/>
      <c r="F1715" s="205"/>
      <c r="G1715" s="226"/>
      <c r="H1715" s="107"/>
      <c r="I1715" s="227"/>
      <c r="J1715" s="227"/>
      <c r="K1715" s="115"/>
      <c r="L1715" s="228"/>
      <c r="M1715" s="107"/>
      <c r="N1715" s="229">
        <f>IF(AND(O1715=TRUE,P1715=TRUE), VLOOKUP($E1715,PESSOAL!$B$35:$S$45,MONTH($F1715)+6,FALSE)*G1715*24,0)</f>
        <v>0</v>
      </c>
      <c r="O1715" s="89"/>
      <c r="P1715" s="89" t="b">
        <v>0</v>
      </c>
      <c r="Q1715" s="89" t="e">
        <v>#N/A</v>
      </c>
    </row>
    <row r="1716" hidden="1">
      <c r="A1716" s="108"/>
      <c r="B1716" s="202"/>
      <c r="C1716" s="202" t="str">
        <f>VLOOKUP(M1716,'#verificação horas por projeto'!A:B,2,FALSE)</f>
        <v>#N/A</v>
      </c>
      <c r="D1716" s="202"/>
      <c r="E1716" s="107"/>
      <c r="F1716" s="205"/>
      <c r="G1716" s="226"/>
      <c r="H1716" s="107"/>
      <c r="I1716" s="227"/>
      <c r="J1716" s="227"/>
      <c r="K1716" s="115"/>
      <c r="L1716" s="228"/>
      <c r="M1716" s="107"/>
      <c r="N1716" s="229">
        <f>IF(AND(O1716=TRUE,P1716=TRUE), VLOOKUP($E1716,PESSOAL!$B$35:$S$45,MONTH($F1716)+6,FALSE)*G1716*24,0)</f>
        <v>0</v>
      </c>
      <c r="O1716" s="89"/>
      <c r="P1716" s="89" t="b">
        <v>0</v>
      </c>
      <c r="Q1716" s="89" t="e">
        <v>#N/A</v>
      </c>
    </row>
    <row r="1717" hidden="1">
      <c r="A1717" s="108"/>
      <c r="B1717" s="202"/>
      <c r="C1717" s="202" t="str">
        <f>VLOOKUP(M1717,'#verificação horas por projeto'!A:B,2,FALSE)</f>
        <v>#N/A</v>
      </c>
      <c r="D1717" s="202"/>
      <c r="E1717" s="107"/>
      <c r="F1717" s="205"/>
      <c r="G1717" s="226"/>
      <c r="H1717" s="107"/>
      <c r="I1717" s="227"/>
      <c r="J1717" s="227"/>
      <c r="K1717" s="115"/>
      <c r="L1717" s="228"/>
      <c r="M1717" s="107"/>
      <c r="N1717" s="229">
        <f>IF(AND(O1717=TRUE,P1717=TRUE), VLOOKUP($E1717,PESSOAL!$B$35:$S$45,MONTH($F1717)+6,FALSE)*G1717*24,0)</f>
        <v>0</v>
      </c>
      <c r="O1717" s="89"/>
      <c r="P1717" s="89" t="b">
        <v>0</v>
      </c>
      <c r="Q1717" s="89" t="e">
        <v>#N/A</v>
      </c>
    </row>
    <row r="1718" hidden="1">
      <c r="A1718" s="108"/>
      <c r="B1718" s="202"/>
      <c r="C1718" s="202" t="str">
        <f>VLOOKUP(M1718,'#verificação horas por projeto'!A:B,2,FALSE)</f>
        <v>#N/A</v>
      </c>
      <c r="D1718" s="202"/>
      <c r="E1718" s="107"/>
      <c r="F1718" s="205"/>
      <c r="G1718" s="226"/>
      <c r="H1718" s="107"/>
      <c r="I1718" s="227"/>
      <c r="J1718" s="227"/>
      <c r="K1718" s="115"/>
      <c r="L1718" s="228"/>
      <c r="M1718" s="107"/>
      <c r="N1718" s="229">
        <f>IF(AND(O1718=TRUE,P1718=TRUE), VLOOKUP($E1718,PESSOAL!$B$35:$S$45,MONTH($F1718)+6,FALSE)*G1718*24,0)</f>
        <v>0</v>
      </c>
      <c r="O1718" s="89"/>
      <c r="P1718" s="89" t="b">
        <v>0</v>
      </c>
      <c r="Q1718" s="89" t="e">
        <v>#N/A</v>
      </c>
    </row>
    <row r="1719" hidden="1">
      <c r="A1719" s="108"/>
      <c r="B1719" s="202"/>
      <c r="C1719" s="202" t="str">
        <f>VLOOKUP(M1719,'#verificação horas por projeto'!A:B,2,FALSE)</f>
        <v>#N/A</v>
      </c>
      <c r="D1719" s="202"/>
      <c r="E1719" s="107"/>
      <c r="F1719" s="205"/>
      <c r="G1719" s="226"/>
      <c r="H1719" s="107"/>
      <c r="I1719" s="227"/>
      <c r="J1719" s="227"/>
      <c r="K1719" s="115"/>
      <c r="L1719" s="228"/>
      <c r="M1719" s="107"/>
      <c r="N1719" s="229">
        <f>IF(AND(O1719=TRUE,P1719=TRUE), VLOOKUP($E1719,PESSOAL!$B$35:$S$45,MONTH($F1719)+6,FALSE)*G1719*24,0)</f>
        <v>0</v>
      </c>
      <c r="O1719" s="89"/>
      <c r="P1719" s="89" t="b">
        <v>0</v>
      </c>
      <c r="Q1719" s="89" t="e">
        <v>#N/A</v>
      </c>
    </row>
    <row r="1720" hidden="1">
      <c r="A1720" s="108"/>
      <c r="B1720" s="202"/>
      <c r="C1720" s="202" t="str">
        <f>VLOOKUP(M1720,'#verificação horas por projeto'!A:B,2,FALSE)</f>
        <v>#N/A</v>
      </c>
      <c r="D1720" s="202"/>
      <c r="E1720" s="107"/>
      <c r="F1720" s="205"/>
      <c r="G1720" s="226"/>
      <c r="H1720" s="107"/>
      <c r="I1720" s="227"/>
      <c r="J1720" s="227"/>
      <c r="K1720" s="115"/>
      <c r="L1720" s="228"/>
      <c r="M1720" s="107"/>
      <c r="N1720" s="229">
        <f>IF(AND(O1720=TRUE,P1720=TRUE), VLOOKUP($E1720,PESSOAL!$B$35:$S$45,MONTH($F1720)+6,FALSE)*G1720*24,0)</f>
        <v>0</v>
      </c>
      <c r="O1720" s="89"/>
      <c r="P1720" s="89" t="b">
        <v>0</v>
      </c>
      <c r="Q1720" s="89" t="e">
        <v>#N/A</v>
      </c>
    </row>
    <row r="1721" hidden="1">
      <c r="A1721" s="108"/>
      <c r="B1721" s="202"/>
      <c r="C1721" s="202" t="str">
        <f>VLOOKUP(M1721,'#verificação horas por projeto'!A:B,2,FALSE)</f>
        <v>#N/A</v>
      </c>
      <c r="D1721" s="202"/>
      <c r="E1721" s="107"/>
      <c r="F1721" s="205"/>
      <c r="G1721" s="226"/>
      <c r="H1721" s="107"/>
      <c r="I1721" s="227"/>
      <c r="J1721" s="227"/>
      <c r="K1721" s="115"/>
      <c r="L1721" s="228"/>
      <c r="M1721" s="107"/>
      <c r="N1721" s="229">
        <f>IF(AND(O1721=TRUE,P1721=TRUE), VLOOKUP($E1721,PESSOAL!$B$35:$S$45,MONTH($F1721)+6,FALSE)*G1721*24,0)</f>
        <v>0</v>
      </c>
      <c r="O1721" s="89"/>
      <c r="P1721" s="89" t="b">
        <v>0</v>
      </c>
      <c r="Q1721" s="89" t="e">
        <v>#N/A</v>
      </c>
    </row>
    <row r="1722" hidden="1">
      <c r="A1722" s="108"/>
      <c r="B1722" s="202"/>
      <c r="C1722" s="202" t="str">
        <f>VLOOKUP(M1722,'#verificação horas por projeto'!A:B,2,FALSE)</f>
        <v>#N/A</v>
      </c>
      <c r="D1722" s="202"/>
      <c r="E1722" s="107"/>
      <c r="F1722" s="205"/>
      <c r="G1722" s="226"/>
      <c r="H1722" s="107"/>
      <c r="I1722" s="227"/>
      <c r="J1722" s="227"/>
      <c r="K1722" s="115"/>
      <c r="L1722" s="228"/>
      <c r="M1722" s="107"/>
      <c r="N1722" s="229">
        <f>IF(AND(O1722=TRUE,P1722=TRUE), VLOOKUP($E1722,PESSOAL!$B$35:$S$45,MONTH($F1722)+6,FALSE)*G1722*24,0)</f>
        <v>0</v>
      </c>
      <c r="O1722" s="89"/>
      <c r="P1722" s="89" t="b">
        <v>0</v>
      </c>
      <c r="Q1722" s="89" t="e">
        <v>#N/A</v>
      </c>
    </row>
    <row r="1723" hidden="1">
      <c r="A1723" s="108"/>
      <c r="B1723" s="202"/>
      <c r="C1723" s="202" t="str">
        <f>VLOOKUP(M1723,'#verificação horas por projeto'!A:B,2,FALSE)</f>
        <v>#N/A</v>
      </c>
      <c r="D1723" s="202"/>
      <c r="E1723" s="107"/>
      <c r="F1723" s="205"/>
      <c r="G1723" s="226"/>
      <c r="H1723" s="107"/>
      <c r="I1723" s="227"/>
      <c r="J1723" s="227"/>
      <c r="K1723" s="115"/>
      <c r="L1723" s="228"/>
      <c r="M1723" s="107"/>
      <c r="N1723" s="229">
        <f>IF(AND(O1723=TRUE,P1723=TRUE), VLOOKUP($E1723,PESSOAL!$B$35:$S$45,MONTH($F1723)+6,FALSE)*G1723*24,0)</f>
        <v>0</v>
      </c>
      <c r="O1723" s="89"/>
      <c r="P1723" s="89" t="b">
        <v>0</v>
      </c>
      <c r="Q1723" s="89" t="e">
        <v>#N/A</v>
      </c>
    </row>
    <row r="1724" hidden="1">
      <c r="A1724" s="108"/>
      <c r="B1724" s="202"/>
      <c r="C1724" s="202" t="str">
        <f>VLOOKUP(M1724,'#verificação horas por projeto'!A:B,2,FALSE)</f>
        <v>#N/A</v>
      </c>
      <c r="D1724" s="202"/>
      <c r="E1724" s="107"/>
      <c r="F1724" s="205"/>
      <c r="G1724" s="226"/>
      <c r="H1724" s="107"/>
      <c r="I1724" s="227"/>
      <c r="J1724" s="227"/>
      <c r="K1724" s="115"/>
      <c r="L1724" s="228"/>
      <c r="M1724" s="107"/>
      <c r="N1724" s="229">
        <f>IF(AND(O1724=TRUE,P1724=TRUE), VLOOKUP($E1724,PESSOAL!$B$35:$S$45,MONTH($F1724)+6,FALSE)*G1724*24,0)</f>
        <v>0</v>
      </c>
      <c r="O1724" s="89"/>
      <c r="P1724" s="89" t="b">
        <v>0</v>
      </c>
      <c r="Q1724" s="89" t="e">
        <v>#N/A</v>
      </c>
    </row>
    <row r="1725" hidden="1">
      <c r="A1725" s="108"/>
      <c r="B1725" s="202"/>
      <c r="C1725" s="202" t="str">
        <f>VLOOKUP(M1725,'#verificação horas por projeto'!A:B,2,FALSE)</f>
        <v>#N/A</v>
      </c>
      <c r="D1725" s="202"/>
      <c r="E1725" s="107"/>
      <c r="F1725" s="205"/>
      <c r="G1725" s="226"/>
      <c r="H1725" s="107"/>
      <c r="I1725" s="227"/>
      <c r="J1725" s="227"/>
      <c r="K1725" s="115"/>
      <c r="L1725" s="228"/>
      <c r="M1725" s="107"/>
      <c r="N1725" s="229">
        <f>IF(AND(O1725=TRUE,P1725=TRUE), VLOOKUP($E1725,PESSOAL!$B$35:$S$45,MONTH($F1725)+6,FALSE)*G1725*24,0)</f>
        <v>0</v>
      </c>
      <c r="O1725" s="89"/>
      <c r="P1725" s="89" t="b">
        <v>0</v>
      </c>
      <c r="Q1725" s="89" t="e">
        <v>#N/A</v>
      </c>
    </row>
    <row r="1726" hidden="1">
      <c r="A1726" s="108"/>
      <c r="B1726" s="202"/>
      <c r="C1726" s="202" t="str">
        <f>VLOOKUP(M1726,'#verificação horas por projeto'!A:B,2,FALSE)</f>
        <v>#N/A</v>
      </c>
      <c r="D1726" s="202"/>
      <c r="E1726" s="107"/>
      <c r="F1726" s="205"/>
      <c r="G1726" s="226"/>
      <c r="H1726" s="107"/>
      <c r="I1726" s="227"/>
      <c r="J1726" s="227"/>
      <c r="K1726" s="115"/>
      <c r="L1726" s="228"/>
      <c r="M1726" s="107"/>
      <c r="N1726" s="229">
        <f>IF(AND(O1726=TRUE,P1726=TRUE), VLOOKUP($E1726,PESSOAL!$B$35:$S$45,MONTH($F1726)+6,FALSE)*G1726*24,0)</f>
        <v>0</v>
      </c>
      <c r="O1726" s="89"/>
      <c r="P1726" s="89" t="b">
        <v>0</v>
      </c>
      <c r="Q1726" s="89" t="e">
        <v>#N/A</v>
      </c>
    </row>
    <row r="1727" hidden="1">
      <c r="A1727" s="108"/>
      <c r="B1727" s="202"/>
      <c r="C1727" s="202" t="str">
        <f>VLOOKUP(M1727,'#verificação horas por projeto'!A:B,2,FALSE)</f>
        <v>#N/A</v>
      </c>
      <c r="D1727" s="202"/>
      <c r="E1727" s="107"/>
      <c r="F1727" s="205"/>
      <c r="G1727" s="226"/>
      <c r="H1727" s="107"/>
      <c r="I1727" s="227"/>
      <c r="J1727" s="227"/>
      <c r="K1727" s="115"/>
      <c r="L1727" s="228"/>
      <c r="M1727" s="107"/>
      <c r="N1727" s="229">
        <f>IF(AND(O1727=TRUE,P1727=TRUE), VLOOKUP($E1727,PESSOAL!$B$35:$S$45,MONTH($F1727)+6,FALSE)*G1727*24,0)</f>
        <v>0</v>
      </c>
      <c r="O1727" s="89"/>
      <c r="P1727" s="89" t="b">
        <v>0</v>
      </c>
      <c r="Q1727" s="89" t="e">
        <v>#N/A</v>
      </c>
    </row>
    <row r="1728" hidden="1">
      <c r="A1728" s="108"/>
      <c r="B1728" s="202"/>
      <c r="C1728" s="202" t="str">
        <f>VLOOKUP(M1728,'#verificação horas por projeto'!A:B,2,FALSE)</f>
        <v>#N/A</v>
      </c>
      <c r="D1728" s="202"/>
      <c r="E1728" s="107"/>
      <c r="F1728" s="205"/>
      <c r="G1728" s="226"/>
      <c r="H1728" s="107"/>
      <c r="I1728" s="227"/>
      <c r="J1728" s="227"/>
      <c r="K1728" s="115"/>
      <c r="L1728" s="228"/>
      <c r="M1728" s="107"/>
      <c r="N1728" s="229">
        <f>IF(AND(O1728=TRUE,P1728=TRUE), VLOOKUP($E1728,PESSOAL!$B$35:$S$45,MONTH($F1728)+6,FALSE)*G1728*24,0)</f>
        <v>0</v>
      </c>
      <c r="O1728" s="89"/>
      <c r="P1728" s="89" t="b">
        <v>0</v>
      </c>
      <c r="Q1728" s="89" t="e">
        <v>#N/A</v>
      </c>
    </row>
    <row r="1729" hidden="1">
      <c r="A1729" s="108"/>
      <c r="B1729" s="202"/>
      <c r="C1729" s="202" t="str">
        <f>VLOOKUP(M1729,'#verificação horas por projeto'!A:B,2,FALSE)</f>
        <v>#N/A</v>
      </c>
      <c r="D1729" s="202"/>
      <c r="E1729" s="107"/>
      <c r="F1729" s="205"/>
      <c r="G1729" s="226"/>
      <c r="H1729" s="107"/>
      <c r="I1729" s="227"/>
      <c r="J1729" s="227"/>
      <c r="K1729" s="115"/>
      <c r="L1729" s="228"/>
      <c r="M1729" s="107"/>
      <c r="N1729" s="229">
        <f>IF(AND(O1729=TRUE,P1729=TRUE), VLOOKUP($E1729,PESSOAL!$B$35:$S$45,MONTH($F1729)+6,FALSE)*G1729*24,0)</f>
        <v>0</v>
      </c>
      <c r="O1729" s="89"/>
      <c r="P1729" s="89" t="b">
        <v>0</v>
      </c>
      <c r="Q1729" s="89" t="e">
        <v>#N/A</v>
      </c>
    </row>
    <row r="1730" hidden="1">
      <c r="A1730" s="108"/>
      <c r="B1730" s="202"/>
      <c r="C1730" s="202" t="str">
        <f>VLOOKUP(M1730,'#verificação horas por projeto'!A:B,2,FALSE)</f>
        <v>#N/A</v>
      </c>
      <c r="D1730" s="202"/>
      <c r="E1730" s="107"/>
      <c r="F1730" s="205"/>
      <c r="G1730" s="226"/>
      <c r="H1730" s="107"/>
      <c r="I1730" s="227"/>
      <c r="J1730" s="227"/>
      <c r="K1730" s="115"/>
      <c r="L1730" s="228"/>
      <c r="M1730" s="107"/>
      <c r="N1730" s="229">
        <f>IF(AND(O1730=TRUE,P1730=TRUE), VLOOKUP($E1730,PESSOAL!$B$35:$S$45,MONTH($F1730)+6,FALSE)*G1730*24,0)</f>
        <v>0</v>
      </c>
      <c r="O1730" s="89"/>
      <c r="P1730" s="89" t="b">
        <v>0</v>
      </c>
      <c r="Q1730" s="89" t="e">
        <v>#N/A</v>
      </c>
    </row>
    <row r="1731" hidden="1">
      <c r="A1731" s="108"/>
      <c r="B1731" s="202"/>
      <c r="C1731" s="202" t="str">
        <f>VLOOKUP(M1731,'#verificação horas por projeto'!A:B,2,FALSE)</f>
        <v>#N/A</v>
      </c>
      <c r="D1731" s="202"/>
      <c r="E1731" s="107"/>
      <c r="F1731" s="205"/>
      <c r="G1731" s="226"/>
      <c r="H1731" s="107"/>
      <c r="I1731" s="227"/>
      <c r="J1731" s="227"/>
      <c r="K1731" s="115"/>
      <c r="L1731" s="228"/>
      <c r="M1731" s="107"/>
      <c r="N1731" s="229">
        <f>IF(AND(O1731=TRUE,P1731=TRUE), VLOOKUP($E1731,PESSOAL!$B$35:$S$45,MONTH($F1731)+6,FALSE)*G1731*24,0)</f>
        <v>0</v>
      </c>
      <c r="O1731" s="89"/>
      <c r="P1731" s="89" t="b">
        <v>0</v>
      </c>
      <c r="Q1731" s="89" t="e">
        <v>#N/A</v>
      </c>
    </row>
    <row r="1732" hidden="1">
      <c r="A1732" s="108"/>
      <c r="B1732" s="202"/>
      <c r="C1732" s="202" t="str">
        <f>VLOOKUP(M1732,'#verificação horas por projeto'!A:B,2,FALSE)</f>
        <v>#N/A</v>
      </c>
      <c r="D1732" s="202"/>
      <c r="E1732" s="107"/>
      <c r="F1732" s="205"/>
      <c r="G1732" s="226"/>
      <c r="H1732" s="107"/>
      <c r="I1732" s="227"/>
      <c r="J1732" s="227"/>
      <c r="K1732" s="115"/>
      <c r="L1732" s="228"/>
      <c r="M1732" s="107"/>
      <c r="N1732" s="229">
        <f>IF(AND(O1732=TRUE,P1732=TRUE), VLOOKUP($E1732,PESSOAL!$B$35:$S$45,MONTH($F1732)+6,FALSE)*G1732*24,0)</f>
        <v>0</v>
      </c>
      <c r="O1732" s="89"/>
      <c r="P1732" s="89" t="b">
        <v>0</v>
      </c>
      <c r="Q1732" s="89" t="e">
        <v>#N/A</v>
      </c>
    </row>
    <row r="1733" hidden="1">
      <c r="A1733" s="108"/>
      <c r="B1733" s="202"/>
      <c r="C1733" s="202" t="str">
        <f>VLOOKUP(M1733,'#verificação horas por projeto'!A:B,2,FALSE)</f>
        <v>#N/A</v>
      </c>
      <c r="D1733" s="202"/>
      <c r="E1733" s="107"/>
      <c r="F1733" s="205"/>
      <c r="G1733" s="226"/>
      <c r="H1733" s="107"/>
      <c r="I1733" s="227"/>
      <c r="J1733" s="227"/>
      <c r="K1733" s="115"/>
      <c r="L1733" s="228"/>
      <c r="M1733" s="107"/>
      <c r="N1733" s="229">
        <f>IF(AND(O1733=TRUE,P1733=TRUE), VLOOKUP($E1733,PESSOAL!$B$35:$S$45,MONTH($F1733)+6,FALSE)*G1733*24,0)</f>
        <v>0</v>
      </c>
      <c r="O1733" s="89"/>
      <c r="P1733" s="89" t="b">
        <v>0</v>
      </c>
      <c r="Q1733" s="89" t="e">
        <v>#N/A</v>
      </c>
    </row>
    <row r="1734" hidden="1">
      <c r="A1734" s="108"/>
      <c r="B1734" s="202"/>
      <c r="C1734" s="202" t="str">
        <f>VLOOKUP(M1734,'#verificação horas por projeto'!A:B,2,FALSE)</f>
        <v>#N/A</v>
      </c>
      <c r="D1734" s="202"/>
      <c r="E1734" s="107"/>
      <c r="F1734" s="205"/>
      <c r="G1734" s="226"/>
      <c r="H1734" s="107"/>
      <c r="I1734" s="227"/>
      <c r="J1734" s="227"/>
      <c r="K1734" s="115"/>
      <c r="L1734" s="228"/>
      <c r="M1734" s="107"/>
      <c r="N1734" s="229">
        <f>IF(AND(O1734=TRUE,P1734=TRUE), VLOOKUP($E1734,PESSOAL!$B$35:$S$45,MONTH($F1734)+6,FALSE)*G1734*24,0)</f>
        <v>0</v>
      </c>
      <c r="O1734" s="89"/>
      <c r="P1734" s="89" t="b">
        <v>0</v>
      </c>
      <c r="Q1734" s="89" t="e">
        <v>#N/A</v>
      </c>
    </row>
    <row r="1735" hidden="1">
      <c r="A1735" s="108"/>
      <c r="B1735" s="202"/>
      <c r="C1735" s="202" t="str">
        <f>VLOOKUP(M1735,'#verificação horas por projeto'!A:B,2,FALSE)</f>
        <v>#N/A</v>
      </c>
      <c r="D1735" s="202"/>
      <c r="E1735" s="107"/>
      <c r="F1735" s="205"/>
      <c r="G1735" s="226"/>
      <c r="H1735" s="107"/>
      <c r="I1735" s="227"/>
      <c r="J1735" s="227"/>
      <c r="K1735" s="115"/>
      <c r="L1735" s="228"/>
      <c r="M1735" s="107"/>
      <c r="N1735" s="229">
        <f>IF(AND(O1735=TRUE,P1735=TRUE), VLOOKUP($E1735,PESSOAL!$B$35:$S$45,MONTH($F1735)+6,FALSE)*G1735*24,0)</f>
        <v>0</v>
      </c>
      <c r="O1735" s="89"/>
      <c r="P1735" s="89" t="b">
        <v>0</v>
      </c>
      <c r="Q1735" s="89" t="e">
        <v>#N/A</v>
      </c>
    </row>
    <row r="1736" hidden="1">
      <c r="A1736" s="108"/>
      <c r="B1736" s="202"/>
      <c r="C1736" s="202" t="str">
        <f>VLOOKUP(M1736,'#verificação horas por projeto'!A:B,2,FALSE)</f>
        <v>#N/A</v>
      </c>
      <c r="D1736" s="202"/>
      <c r="E1736" s="107"/>
      <c r="F1736" s="205"/>
      <c r="G1736" s="226"/>
      <c r="H1736" s="107"/>
      <c r="I1736" s="227"/>
      <c r="J1736" s="227"/>
      <c r="K1736" s="115"/>
      <c r="L1736" s="228"/>
      <c r="M1736" s="107"/>
      <c r="N1736" s="229">
        <f>IF(AND(O1736=TRUE,P1736=TRUE), VLOOKUP($E1736,PESSOAL!$B$35:$S$45,MONTH($F1736)+6,FALSE)*G1736*24,0)</f>
        <v>0</v>
      </c>
      <c r="O1736" s="89"/>
      <c r="P1736" s="89" t="b">
        <v>0</v>
      </c>
      <c r="Q1736" s="89" t="e">
        <v>#N/A</v>
      </c>
    </row>
    <row r="1737" hidden="1">
      <c r="A1737" s="108"/>
      <c r="B1737" s="202"/>
      <c r="C1737" s="202" t="str">
        <f>VLOOKUP(M1737,'#verificação horas por projeto'!A:B,2,FALSE)</f>
        <v>#N/A</v>
      </c>
      <c r="D1737" s="202"/>
      <c r="E1737" s="107"/>
      <c r="F1737" s="205"/>
      <c r="G1737" s="226"/>
      <c r="H1737" s="107"/>
      <c r="I1737" s="227"/>
      <c r="J1737" s="227"/>
      <c r="K1737" s="115"/>
      <c r="L1737" s="228"/>
      <c r="M1737" s="107"/>
      <c r="N1737" s="229">
        <f>IF(AND(O1737=TRUE,P1737=TRUE), VLOOKUP($E1737,PESSOAL!$B$35:$S$45,MONTH($F1737)+6,FALSE)*G1737*24,0)</f>
        <v>0</v>
      </c>
      <c r="O1737" s="89"/>
      <c r="P1737" s="89" t="b">
        <v>0</v>
      </c>
      <c r="Q1737" s="89" t="e">
        <v>#N/A</v>
      </c>
    </row>
    <row r="1738" hidden="1">
      <c r="A1738" s="108"/>
      <c r="B1738" s="202"/>
      <c r="C1738" s="202" t="str">
        <f>VLOOKUP(M1738,'#verificação horas por projeto'!A:B,2,FALSE)</f>
        <v>#N/A</v>
      </c>
      <c r="D1738" s="202"/>
      <c r="E1738" s="107"/>
      <c r="F1738" s="205"/>
      <c r="G1738" s="226"/>
      <c r="H1738" s="107"/>
      <c r="I1738" s="227"/>
      <c r="J1738" s="227"/>
      <c r="K1738" s="115"/>
      <c r="L1738" s="228"/>
      <c r="M1738" s="107"/>
      <c r="N1738" s="229">
        <f>IF(AND(O1738=TRUE,P1738=TRUE), VLOOKUP($E1738,PESSOAL!$B$35:$S$45,MONTH($F1738)+6,FALSE)*G1738*24,0)</f>
        <v>0</v>
      </c>
      <c r="O1738" s="89"/>
      <c r="P1738" s="89" t="b">
        <v>0</v>
      </c>
      <c r="Q1738" s="89" t="e">
        <v>#N/A</v>
      </c>
    </row>
    <row r="1739" hidden="1">
      <c r="A1739" s="108"/>
      <c r="B1739" s="202"/>
      <c r="C1739" s="202" t="str">
        <f>VLOOKUP(M1739,'#verificação horas por projeto'!A:B,2,FALSE)</f>
        <v>#N/A</v>
      </c>
      <c r="D1739" s="202"/>
      <c r="E1739" s="107"/>
      <c r="F1739" s="205"/>
      <c r="G1739" s="226"/>
      <c r="H1739" s="107"/>
      <c r="I1739" s="227"/>
      <c r="J1739" s="227"/>
      <c r="K1739" s="115"/>
      <c r="L1739" s="228"/>
      <c r="M1739" s="107"/>
      <c r="N1739" s="229">
        <f>IF(AND(O1739=TRUE,P1739=TRUE), VLOOKUP($E1739,PESSOAL!$B$35:$S$45,MONTH($F1739)+6,FALSE)*G1739*24,0)</f>
        <v>0</v>
      </c>
      <c r="O1739" s="89"/>
      <c r="P1739" s="89" t="b">
        <v>0</v>
      </c>
      <c r="Q1739" s="89" t="e">
        <v>#N/A</v>
      </c>
    </row>
    <row r="1740" hidden="1">
      <c r="A1740" s="108"/>
      <c r="B1740" s="202"/>
      <c r="C1740" s="202" t="str">
        <f>VLOOKUP(M1740,'#verificação horas por projeto'!A:B,2,FALSE)</f>
        <v>#N/A</v>
      </c>
      <c r="D1740" s="202"/>
      <c r="E1740" s="107"/>
      <c r="F1740" s="205"/>
      <c r="G1740" s="226"/>
      <c r="H1740" s="107"/>
      <c r="I1740" s="227"/>
      <c r="J1740" s="227"/>
      <c r="K1740" s="115"/>
      <c r="L1740" s="228"/>
      <c r="M1740" s="107"/>
      <c r="N1740" s="229">
        <f>IF(AND(O1740=TRUE,P1740=TRUE), VLOOKUP($E1740,PESSOAL!$B$35:$S$45,MONTH($F1740)+6,FALSE)*G1740*24,0)</f>
        <v>0</v>
      </c>
      <c r="O1740" s="89"/>
      <c r="P1740" s="89" t="b">
        <v>0</v>
      </c>
      <c r="Q1740" s="89" t="e">
        <v>#N/A</v>
      </c>
    </row>
    <row r="1741" hidden="1">
      <c r="A1741" s="108"/>
      <c r="B1741" s="202"/>
      <c r="C1741" s="202" t="str">
        <f>VLOOKUP(M1741,'#verificação horas por projeto'!A:B,2,FALSE)</f>
        <v>#N/A</v>
      </c>
      <c r="D1741" s="202"/>
      <c r="E1741" s="107"/>
      <c r="F1741" s="205"/>
      <c r="G1741" s="226"/>
      <c r="H1741" s="107"/>
      <c r="I1741" s="227"/>
      <c r="J1741" s="227"/>
      <c r="K1741" s="115"/>
      <c r="L1741" s="228"/>
      <c r="M1741" s="107"/>
      <c r="N1741" s="229">
        <f>IF(AND(O1741=TRUE,P1741=TRUE), VLOOKUP($E1741,PESSOAL!$B$35:$S$45,MONTH($F1741)+6,FALSE)*G1741*24,0)</f>
        <v>0</v>
      </c>
      <c r="O1741" s="89"/>
      <c r="P1741" s="89" t="b">
        <v>0</v>
      </c>
      <c r="Q1741" s="89" t="e">
        <v>#N/A</v>
      </c>
    </row>
    <row r="1742" hidden="1">
      <c r="A1742" s="108"/>
      <c r="B1742" s="202"/>
      <c r="C1742" s="202" t="str">
        <f>VLOOKUP(M1742,'#verificação horas por projeto'!A:B,2,FALSE)</f>
        <v>#N/A</v>
      </c>
      <c r="D1742" s="202"/>
      <c r="E1742" s="107"/>
      <c r="F1742" s="205"/>
      <c r="G1742" s="226"/>
      <c r="H1742" s="107"/>
      <c r="I1742" s="227"/>
      <c r="J1742" s="227"/>
      <c r="K1742" s="115"/>
      <c r="L1742" s="228"/>
      <c r="M1742" s="107"/>
      <c r="N1742" s="229">
        <f>IF(AND(O1742=TRUE,P1742=TRUE), VLOOKUP($E1742,PESSOAL!$B$35:$S$45,MONTH($F1742)+6,FALSE)*G1742*24,0)</f>
        <v>0</v>
      </c>
      <c r="O1742" s="89"/>
      <c r="P1742" s="89" t="b">
        <v>0</v>
      </c>
      <c r="Q1742" s="89" t="e">
        <v>#N/A</v>
      </c>
    </row>
    <row r="1743" hidden="1">
      <c r="A1743" s="108"/>
      <c r="B1743" s="202"/>
      <c r="C1743" s="202" t="str">
        <f>VLOOKUP(M1743,'#verificação horas por projeto'!A:B,2,FALSE)</f>
        <v>#N/A</v>
      </c>
      <c r="D1743" s="202"/>
      <c r="E1743" s="107"/>
      <c r="F1743" s="205"/>
      <c r="G1743" s="226"/>
      <c r="H1743" s="107"/>
      <c r="I1743" s="227"/>
      <c r="J1743" s="227"/>
      <c r="K1743" s="115"/>
      <c r="L1743" s="228"/>
      <c r="M1743" s="107"/>
      <c r="N1743" s="229">
        <f>IF(AND(O1743=TRUE,P1743=TRUE), VLOOKUP($E1743,PESSOAL!$B$35:$S$45,MONTH($F1743)+6,FALSE)*G1743*24,0)</f>
        <v>0</v>
      </c>
      <c r="O1743" s="89"/>
      <c r="P1743" s="89" t="b">
        <v>0</v>
      </c>
      <c r="Q1743" s="89" t="e">
        <v>#N/A</v>
      </c>
    </row>
    <row r="1744" hidden="1">
      <c r="A1744" s="108"/>
      <c r="B1744" s="202"/>
      <c r="C1744" s="202" t="str">
        <f>VLOOKUP(M1744,'#verificação horas por projeto'!A:B,2,FALSE)</f>
        <v>#N/A</v>
      </c>
      <c r="D1744" s="202"/>
      <c r="E1744" s="107"/>
      <c r="F1744" s="205"/>
      <c r="G1744" s="226"/>
      <c r="H1744" s="107"/>
      <c r="I1744" s="227"/>
      <c r="J1744" s="227"/>
      <c r="K1744" s="115"/>
      <c r="L1744" s="228"/>
      <c r="M1744" s="107"/>
      <c r="N1744" s="229">
        <f>IF(AND(O1744=TRUE,P1744=TRUE), VLOOKUP($E1744,PESSOAL!$B$35:$S$45,MONTH($F1744)+6,FALSE)*G1744*24,0)</f>
        <v>0</v>
      </c>
      <c r="O1744" s="89"/>
      <c r="P1744" s="89" t="b">
        <v>0</v>
      </c>
      <c r="Q1744" s="89" t="e">
        <v>#N/A</v>
      </c>
    </row>
    <row r="1745" hidden="1">
      <c r="A1745" s="108"/>
      <c r="B1745" s="202"/>
      <c r="C1745" s="202" t="str">
        <f>VLOOKUP(M1745,'#verificação horas por projeto'!A:B,2,FALSE)</f>
        <v>#N/A</v>
      </c>
      <c r="D1745" s="202"/>
      <c r="E1745" s="107"/>
      <c r="F1745" s="205"/>
      <c r="G1745" s="226"/>
      <c r="H1745" s="107"/>
      <c r="I1745" s="227"/>
      <c r="J1745" s="227"/>
      <c r="K1745" s="115"/>
      <c r="L1745" s="228"/>
      <c r="M1745" s="107"/>
      <c r="N1745" s="229">
        <f>IF(AND(O1745=TRUE,P1745=TRUE), VLOOKUP($E1745,PESSOAL!$B$35:$S$45,MONTH($F1745)+6,FALSE)*G1745*24,0)</f>
        <v>0</v>
      </c>
      <c r="O1745" s="89"/>
      <c r="P1745" s="89" t="b">
        <v>0</v>
      </c>
      <c r="Q1745" s="89" t="e">
        <v>#N/A</v>
      </c>
    </row>
    <row r="1746" hidden="1">
      <c r="A1746" s="108"/>
      <c r="B1746" s="202"/>
      <c r="C1746" s="202" t="str">
        <f>VLOOKUP(M1746,'#verificação horas por projeto'!A:B,2,FALSE)</f>
        <v>#N/A</v>
      </c>
      <c r="D1746" s="202"/>
      <c r="E1746" s="107"/>
      <c r="F1746" s="205"/>
      <c r="G1746" s="226"/>
      <c r="H1746" s="107"/>
      <c r="I1746" s="227"/>
      <c r="J1746" s="227"/>
      <c r="K1746" s="115"/>
      <c r="L1746" s="228"/>
      <c r="M1746" s="107"/>
      <c r="N1746" s="229">
        <f>IF(AND(O1746=TRUE,P1746=TRUE), VLOOKUP($E1746,PESSOAL!$B$35:$S$45,MONTH($F1746)+6,FALSE)*G1746*24,0)</f>
        <v>0</v>
      </c>
      <c r="O1746" s="89"/>
      <c r="P1746" s="89" t="b">
        <v>0</v>
      </c>
      <c r="Q1746" s="89" t="e">
        <v>#N/A</v>
      </c>
    </row>
    <row r="1747" hidden="1">
      <c r="A1747" s="108"/>
      <c r="B1747" s="202"/>
      <c r="C1747" s="202" t="str">
        <f>VLOOKUP(M1747,'#verificação horas por projeto'!A:B,2,FALSE)</f>
        <v>#N/A</v>
      </c>
      <c r="D1747" s="202"/>
      <c r="E1747" s="107"/>
      <c r="F1747" s="205"/>
      <c r="G1747" s="226"/>
      <c r="H1747" s="107"/>
      <c r="I1747" s="227"/>
      <c r="J1747" s="227"/>
      <c r="K1747" s="115"/>
      <c r="L1747" s="228"/>
      <c r="M1747" s="107"/>
      <c r="N1747" s="229">
        <f>IF(AND(O1747=TRUE,P1747=TRUE), VLOOKUP($E1747,PESSOAL!$B$35:$S$45,MONTH($F1747)+6,FALSE)*G1747*24,0)</f>
        <v>0</v>
      </c>
      <c r="O1747" s="89"/>
      <c r="P1747" s="89" t="b">
        <v>0</v>
      </c>
      <c r="Q1747" s="89" t="e">
        <v>#N/A</v>
      </c>
    </row>
    <row r="1748" hidden="1">
      <c r="A1748" s="108"/>
      <c r="B1748" s="202"/>
      <c r="C1748" s="202" t="str">
        <f>VLOOKUP(M1748,'#verificação horas por projeto'!A:B,2,FALSE)</f>
        <v>#N/A</v>
      </c>
      <c r="D1748" s="202"/>
      <c r="E1748" s="107"/>
      <c r="F1748" s="205"/>
      <c r="G1748" s="226"/>
      <c r="H1748" s="107"/>
      <c r="I1748" s="227"/>
      <c r="J1748" s="227"/>
      <c r="K1748" s="115"/>
      <c r="L1748" s="228"/>
      <c r="M1748" s="107"/>
      <c r="N1748" s="229">
        <f>IF(AND(O1748=TRUE,P1748=TRUE), VLOOKUP($E1748,PESSOAL!$B$35:$S$45,MONTH($F1748)+6,FALSE)*G1748*24,0)</f>
        <v>0</v>
      </c>
      <c r="O1748" s="89"/>
      <c r="P1748" s="89" t="b">
        <v>0</v>
      </c>
      <c r="Q1748" s="89" t="e">
        <v>#N/A</v>
      </c>
    </row>
    <row r="1749" hidden="1">
      <c r="A1749" s="108"/>
      <c r="B1749" s="202"/>
      <c r="C1749" s="202" t="str">
        <f>VLOOKUP(M1749,'#verificação horas por projeto'!A:B,2,FALSE)</f>
        <v>#N/A</v>
      </c>
      <c r="D1749" s="202"/>
      <c r="E1749" s="107"/>
      <c r="F1749" s="205"/>
      <c r="G1749" s="226"/>
      <c r="H1749" s="107"/>
      <c r="I1749" s="227"/>
      <c r="J1749" s="227"/>
      <c r="K1749" s="115"/>
      <c r="L1749" s="228"/>
      <c r="M1749" s="107"/>
      <c r="N1749" s="229">
        <f>IF(AND(O1749=TRUE,P1749=TRUE), VLOOKUP($E1749,PESSOAL!$B$35:$S$45,MONTH($F1749)+6,FALSE)*G1749*24,0)</f>
        <v>0</v>
      </c>
      <c r="O1749" s="89"/>
      <c r="P1749" s="89" t="b">
        <v>0</v>
      </c>
      <c r="Q1749" s="89" t="e">
        <v>#N/A</v>
      </c>
    </row>
    <row r="1750" hidden="1">
      <c r="A1750" s="108"/>
      <c r="B1750" s="202"/>
      <c r="C1750" s="202" t="str">
        <f>VLOOKUP(M1750,'#verificação horas por projeto'!A:B,2,FALSE)</f>
        <v>#N/A</v>
      </c>
      <c r="D1750" s="202"/>
      <c r="E1750" s="107"/>
      <c r="F1750" s="205"/>
      <c r="G1750" s="226"/>
      <c r="H1750" s="107"/>
      <c r="I1750" s="227"/>
      <c r="J1750" s="227"/>
      <c r="K1750" s="115"/>
      <c r="L1750" s="228"/>
      <c r="M1750" s="107"/>
      <c r="N1750" s="229">
        <f>IF(AND(O1750=TRUE,P1750=TRUE), VLOOKUP($E1750,PESSOAL!$B$35:$S$45,MONTH($F1750)+6,FALSE)*G1750*24,0)</f>
        <v>0</v>
      </c>
      <c r="O1750" s="89"/>
      <c r="P1750" s="89" t="b">
        <v>0</v>
      </c>
      <c r="Q1750" s="89" t="e">
        <v>#N/A</v>
      </c>
    </row>
    <row r="1751" hidden="1">
      <c r="A1751" s="108"/>
      <c r="B1751" s="202"/>
      <c r="C1751" s="202" t="str">
        <f>VLOOKUP(M1751,'#verificação horas por projeto'!A:B,2,FALSE)</f>
        <v>#N/A</v>
      </c>
      <c r="D1751" s="202"/>
      <c r="E1751" s="107"/>
      <c r="F1751" s="205"/>
      <c r="G1751" s="226"/>
      <c r="H1751" s="107"/>
      <c r="I1751" s="227"/>
      <c r="J1751" s="227"/>
      <c r="K1751" s="115"/>
      <c r="L1751" s="228"/>
      <c r="M1751" s="107"/>
      <c r="N1751" s="229">
        <f>IF(AND(O1751=TRUE,P1751=TRUE), VLOOKUP($E1751,PESSOAL!$B$35:$S$45,MONTH($F1751)+6,FALSE)*G1751*24,0)</f>
        <v>0</v>
      </c>
      <c r="O1751" s="89"/>
      <c r="P1751" s="89" t="b">
        <v>0</v>
      </c>
      <c r="Q1751" s="89" t="e">
        <v>#N/A</v>
      </c>
    </row>
    <row r="1752" hidden="1">
      <c r="A1752" s="108"/>
      <c r="B1752" s="202"/>
      <c r="C1752" s="202" t="str">
        <f>VLOOKUP(M1752,'#verificação horas por projeto'!A:B,2,FALSE)</f>
        <v>#N/A</v>
      </c>
      <c r="D1752" s="202"/>
      <c r="E1752" s="107"/>
      <c r="F1752" s="205"/>
      <c r="G1752" s="226"/>
      <c r="H1752" s="107"/>
      <c r="I1752" s="227"/>
      <c r="J1752" s="227"/>
      <c r="K1752" s="115"/>
      <c r="L1752" s="228"/>
      <c r="M1752" s="107"/>
      <c r="N1752" s="229">
        <f>IF(AND(O1752=TRUE,P1752=TRUE), VLOOKUP($E1752,PESSOAL!$B$35:$S$45,MONTH($F1752)+6,FALSE)*G1752*24,0)</f>
        <v>0</v>
      </c>
      <c r="O1752" s="89"/>
      <c r="P1752" s="89" t="b">
        <v>0</v>
      </c>
      <c r="Q1752" s="89" t="e">
        <v>#N/A</v>
      </c>
    </row>
    <row r="1753" hidden="1">
      <c r="A1753" s="108"/>
      <c r="B1753" s="202"/>
      <c r="C1753" s="202" t="str">
        <f>VLOOKUP(M1753,'#verificação horas por projeto'!A:B,2,FALSE)</f>
        <v>#N/A</v>
      </c>
      <c r="D1753" s="202"/>
      <c r="E1753" s="107"/>
      <c r="F1753" s="205"/>
      <c r="G1753" s="226"/>
      <c r="H1753" s="107"/>
      <c r="I1753" s="227"/>
      <c r="J1753" s="227"/>
      <c r="K1753" s="115"/>
      <c r="L1753" s="228"/>
      <c r="M1753" s="107"/>
      <c r="N1753" s="229">
        <f>IF(AND(O1753=TRUE,P1753=TRUE), VLOOKUP($E1753,PESSOAL!$B$35:$S$45,MONTH($F1753)+6,FALSE)*G1753*24,0)</f>
        <v>0</v>
      </c>
      <c r="O1753" s="89"/>
      <c r="P1753" s="89" t="b">
        <v>0</v>
      </c>
      <c r="Q1753" s="89" t="e">
        <v>#N/A</v>
      </c>
    </row>
    <row r="1754" hidden="1">
      <c r="A1754" s="108"/>
      <c r="B1754" s="202"/>
      <c r="C1754" s="202" t="str">
        <f>VLOOKUP(M1754,'#verificação horas por projeto'!A:B,2,FALSE)</f>
        <v>#N/A</v>
      </c>
      <c r="D1754" s="202"/>
      <c r="E1754" s="107"/>
      <c r="F1754" s="205"/>
      <c r="G1754" s="226"/>
      <c r="H1754" s="107"/>
      <c r="I1754" s="227"/>
      <c r="J1754" s="227"/>
      <c r="K1754" s="115"/>
      <c r="L1754" s="228"/>
      <c r="M1754" s="107"/>
      <c r="N1754" s="229">
        <f>IF(AND(O1754=TRUE,P1754=TRUE), VLOOKUP($E1754,PESSOAL!$B$35:$S$45,MONTH($F1754)+6,FALSE)*G1754*24,0)</f>
        <v>0</v>
      </c>
      <c r="O1754" s="89"/>
      <c r="P1754" s="89" t="b">
        <v>0</v>
      </c>
      <c r="Q1754" s="89" t="e">
        <v>#N/A</v>
      </c>
    </row>
    <row r="1755" hidden="1">
      <c r="A1755" s="108"/>
      <c r="B1755" s="202"/>
      <c r="C1755" s="202" t="str">
        <f>VLOOKUP(M1755,'#verificação horas por projeto'!A:B,2,FALSE)</f>
        <v>#N/A</v>
      </c>
      <c r="D1755" s="202"/>
      <c r="E1755" s="107"/>
      <c r="F1755" s="205"/>
      <c r="G1755" s="226"/>
      <c r="H1755" s="107"/>
      <c r="I1755" s="227"/>
      <c r="J1755" s="227"/>
      <c r="K1755" s="115"/>
      <c r="L1755" s="228"/>
      <c r="M1755" s="107"/>
      <c r="N1755" s="229">
        <f>IF(AND(O1755=TRUE,P1755=TRUE), VLOOKUP($E1755,PESSOAL!$B$35:$S$45,MONTH($F1755)+6,FALSE)*G1755*24,0)</f>
        <v>0</v>
      </c>
      <c r="O1755" s="89"/>
      <c r="P1755" s="89" t="b">
        <v>0</v>
      </c>
      <c r="Q1755" s="89" t="e">
        <v>#N/A</v>
      </c>
    </row>
    <row r="1756" hidden="1">
      <c r="A1756" s="108"/>
      <c r="B1756" s="202"/>
      <c r="C1756" s="202" t="str">
        <f>VLOOKUP(M1756,'#verificação horas por projeto'!A:B,2,FALSE)</f>
        <v>#N/A</v>
      </c>
      <c r="D1756" s="202"/>
      <c r="E1756" s="107"/>
      <c r="F1756" s="205"/>
      <c r="G1756" s="226"/>
      <c r="H1756" s="107"/>
      <c r="I1756" s="227"/>
      <c r="J1756" s="227"/>
      <c r="K1756" s="115"/>
      <c r="L1756" s="228"/>
      <c r="M1756" s="107"/>
      <c r="N1756" s="229">
        <f>IF(AND(O1756=TRUE,P1756=TRUE), VLOOKUP($E1756,PESSOAL!$B$35:$S$45,MONTH($F1756)+6,FALSE)*G1756*24,0)</f>
        <v>0</v>
      </c>
      <c r="O1756" s="89"/>
      <c r="P1756" s="89" t="b">
        <v>0</v>
      </c>
      <c r="Q1756" s="89" t="e">
        <v>#N/A</v>
      </c>
    </row>
    <row r="1757" hidden="1">
      <c r="A1757" s="108"/>
      <c r="B1757" s="202"/>
      <c r="C1757" s="202" t="str">
        <f>VLOOKUP(M1757,'#verificação horas por projeto'!A:B,2,FALSE)</f>
        <v>#N/A</v>
      </c>
      <c r="D1757" s="202"/>
      <c r="E1757" s="107"/>
      <c r="F1757" s="205"/>
      <c r="G1757" s="226"/>
      <c r="H1757" s="107"/>
      <c r="I1757" s="227"/>
      <c r="J1757" s="227"/>
      <c r="K1757" s="115"/>
      <c r="L1757" s="228"/>
      <c r="M1757" s="107"/>
      <c r="N1757" s="229">
        <f>IF(AND(O1757=TRUE,P1757=TRUE), VLOOKUP($E1757,PESSOAL!$B$35:$S$45,MONTH($F1757)+6,FALSE)*G1757*24,0)</f>
        <v>0</v>
      </c>
      <c r="O1757" s="89"/>
      <c r="P1757" s="89" t="b">
        <v>0</v>
      </c>
      <c r="Q1757" s="89" t="e">
        <v>#N/A</v>
      </c>
    </row>
    <row r="1758" hidden="1">
      <c r="A1758" s="108"/>
      <c r="B1758" s="202"/>
      <c r="C1758" s="202" t="str">
        <f>VLOOKUP(M1758,'#verificação horas por projeto'!A:B,2,FALSE)</f>
        <v>#N/A</v>
      </c>
      <c r="D1758" s="202"/>
      <c r="E1758" s="107"/>
      <c r="F1758" s="205"/>
      <c r="G1758" s="226"/>
      <c r="H1758" s="107"/>
      <c r="I1758" s="227"/>
      <c r="J1758" s="227"/>
      <c r="K1758" s="115"/>
      <c r="L1758" s="228"/>
      <c r="M1758" s="107"/>
      <c r="N1758" s="229">
        <f>IF(AND(O1758=TRUE,P1758=TRUE), VLOOKUP($E1758,PESSOAL!$B$35:$S$45,MONTH($F1758)+6,FALSE)*G1758*24,0)</f>
        <v>0</v>
      </c>
      <c r="O1758" s="89"/>
      <c r="P1758" s="89" t="b">
        <v>0</v>
      </c>
      <c r="Q1758" s="89" t="e">
        <v>#N/A</v>
      </c>
    </row>
    <row r="1759" hidden="1">
      <c r="A1759" s="108"/>
      <c r="B1759" s="202"/>
      <c r="C1759" s="202" t="str">
        <f>VLOOKUP(M1759,'#verificação horas por projeto'!A:B,2,FALSE)</f>
        <v>#N/A</v>
      </c>
      <c r="D1759" s="202"/>
      <c r="E1759" s="107"/>
      <c r="F1759" s="205"/>
      <c r="G1759" s="226"/>
      <c r="H1759" s="107"/>
      <c r="I1759" s="227"/>
      <c r="J1759" s="227"/>
      <c r="K1759" s="115"/>
      <c r="L1759" s="228"/>
      <c r="M1759" s="107"/>
      <c r="N1759" s="229">
        <f>IF(AND(O1759=TRUE,P1759=TRUE), VLOOKUP($E1759,PESSOAL!$B$35:$S$45,MONTH($F1759)+6,FALSE)*G1759*24,0)</f>
        <v>0</v>
      </c>
      <c r="O1759" s="89"/>
      <c r="P1759" s="89" t="b">
        <v>0</v>
      </c>
      <c r="Q1759" s="89" t="e">
        <v>#N/A</v>
      </c>
    </row>
    <row r="1760" hidden="1">
      <c r="A1760" s="108"/>
      <c r="B1760" s="202"/>
      <c r="C1760" s="202" t="str">
        <f>VLOOKUP(M1760,'#verificação horas por projeto'!A:B,2,FALSE)</f>
        <v>#N/A</v>
      </c>
      <c r="D1760" s="202"/>
      <c r="E1760" s="107"/>
      <c r="F1760" s="205"/>
      <c r="G1760" s="226"/>
      <c r="H1760" s="107"/>
      <c r="I1760" s="227"/>
      <c r="J1760" s="227"/>
      <c r="K1760" s="115"/>
      <c r="L1760" s="228"/>
      <c r="M1760" s="107"/>
      <c r="N1760" s="229">
        <f>IF(AND(O1760=TRUE,P1760=TRUE), VLOOKUP($E1760,PESSOAL!$B$35:$S$45,MONTH($F1760)+6,FALSE)*G1760*24,0)</f>
        <v>0</v>
      </c>
      <c r="O1760" s="89"/>
      <c r="P1760" s="89" t="b">
        <v>0</v>
      </c>
      <c r="Q1760" s="89" t="e">
        <v>#N/A</v>
      </c>
    </row>
    <row r="1761" hidden="1">
      <c r="A1761" s="108"/>
      <c r="B1761" s="202"/>
      <c r="C1761" s="202" t="str">
        <f>VLOOKUP(M1761,'#verificação horas por projeto'!A:B,2,FALSE)</f>
        <v>#N/A</v>
      </c>
      <c r="D1761" s="202"/>
      <c r="E1761" s="107"/>
      <c r="F1761" s="205"/>
      <c r="G1761" s="226"/>
      <c r="H1761" s="107"/>
      <c r="I1761" s="227"/>
      <c r="J1761" s="227"/>
      <c r="K1761" s="115"/>
      <c r="L1761" s="228"/>
      <c r="M1761" s="107"/>
      <c r="N1761" s="229">
        <f>IF(AND(O1761=TRUE,P1761=TRUE), VLOOKUP($E1761,PESSOAL!$B$35:$S$45,MONTH($F1761)+6,FALSE)*G1761*24,0)</f>
        <v>0</v>
      </c>
      <c r="O1761" s="89"/>
      <c r="P1761" s="89" t="b">
        <v>0</v>
      </c>
      <c r="Q1761" s="89" t="e">
        <v>#N/A</v>
      </c>
    </row>
    <row r="1762" hidden="1">
      <c r="A1762" s="108"/>
      <c r="B1762" s="202"/>
      <c r="C1762" s="202" t="str">
        <f>VLOOKUP(M1762,'#verificação horas por projeto'!A:B,2,FALSE)</f>
        <v>#N/A</v>
      </c>
      <c r="D1762" s="202"/>
      <c r="E1762" s="107"/>
      <c r="F1762" s="205"/>
      <c r="G1762" s="226"/>
      <c r="H1762" s="107"/>
      <c r="I1762" s="227"/>
      <c r="J1762" s="227"/>
      <c r="K1762" s="115"/>
      <c r="L1762" s="228"/>
      <c r="M1762" s="107"/>
      <c r="N1762" s="229">
        <f>IF(AND(O1762=TRUE,P1762=TRUE), VLOOKUP($E1762,PESSOAL!$B$35:$S$45,MONTH($F1762)+6,FALSE)*G1762*24,0)</f>
        <v>0</v>
      </c>
      <c r="O1762" s="89"/>
      <c r="P1762" s="89" t="b">
        <v>0</v>
      </c>
      <c r="Q1762" s="89" t="e">
        <v>#N/A</v>
      </c>
    </row>
    <row r="1763" hidden="1">
      <c r="A1763" s="108"/>
      <c r="B1763" s="202"/>
      <c r="C1763" s="202" t="str">
        <f>VLOOKUP(M1763,'#verificação horas por projeto'!A:B,2,FALSE)</f>
        <v>#N/A</v>
      </c>
      <c r="D1763" s="202"/>
      <c r="E1763" s="107"/>
      <c r="F1763" s="205"/>
      <c r="G1763" s="226"/>
      <c r="H1763" s="107"/>
      <c r="I1763" s="227"/>
      <c r="J1763" s="227"/>
      <c r="K1763" s="115"/>
      <c r="L1763" s="228"/>
      <c r="M1763" s="107"/>
      <c r="N1763" s="229">
        <f>IF(AND(O1763=TRUE,P1763=TRUE), VLOOKUP($E1763,PESSOAL!$B$35:$S$45,MONTH($F1763)+6,FALSE)*G1763*24,0)</f>
        <v>0</v>
      </c>
      <c r="O1763" s="89"/>
      <c r="P1763" s="89" t="b">
        <v>0</v>
      </c>
      <c r="Q1763" s="89" t="e">
        <v>#N/A</v>
      </c>
    </row>
    <row r="1764" hidden="1">
      <c r="A1764" s="108"/>
      <c r="B1764" s="202"/>
      <c r="C1764" s="202" t="str">
        <f>VLOOKUP(M1764,'#verificação horas por projeto'!A:B,2,FALSE)</f>
        <v>#N/A</v>
      </c>
      <c r="D1764" s="202"/>
      <c r="E1764" s="107"/>
      <c r="F1764" s="205"/>
      <c r="G1764" s="226"/>
      <c r="H1764" s="107"/>
      <c r="I1764" s="227"/>
      <c r="J1764" s="227"/>
      <c r="K1764" s="115"/>
      <c r="L1764" s="228"/>
      <c r="M1764" s="107"/>
      <c r="N1764" s="229">
        <f>IF(AND(O1764=TRUE,P1764=TRUE), VLOOKUP($E1764,PESSOAL!$B$35:$S$45,MONTH($F1764)+6,FALSE)*G1764*24,0)</f>
        <v>0</v>
      </c>
      <c r="O1764" s="89"/>
      <c r="P1764" s="89" t="b">
        <v>0</v>
      </c>
      <c r="Q1764" s="89" t="e">
        <v>#N/A</v>
      </c>
    </row>
    <row r="1765" hidden="1">
      <c r="A1765" s="108"/>
      <c r="B1765" s="202"/>
      <c r="C1765" s="202" t="str">
        <f>VLOOKUP(M1765,'#verificação horas por projeto'!A:B,2,FALSE)</f>
        <v>#N/A</v>
      </c>
      <c r="D1765" s="202"/>
      <c r="E1765" s="107"/>
      <c r="F1765" s="205"/>
      <c r="G1765" s="226"/>
      <c r="H1765" s="107"/>
      <c r="I1765" s="227"/>
      <c r="J1765" s="227"/>
      <c r="K1765" s="115"/>
      <c r="L1765" s="228"/>
      <c r="M1765" s="107"/>
      <c r="N1765" s="229">
        <f>IF(AND(O1765=TRUE,P1765=TRUE), VLOOKUP($E1765,PESSOAL!$B$35:$S$45,MONTH($F1765)+6,FALSE)*G1765*24,0)</f>
        <v>0</v>
      </c>
      <c r="O1765" s="89"/>
      <c r="P1765" s="89" t="b">
        <v>0</v>
      </c>
      <c r="Q1765" s="89" t="e">
        <v>#N/A</v>
      </c>
    </row>
    <row r="1766" hidden="1">
      <c r="A1766" s="108"/>
      <c r="B1766" s="202"/>
      <c r="C1766" s="202" t="str">
        <f>VLOOKUP(M1766,'#verificação horas por projeto'!A:B,2,FALSE)</f>
        <v>#N/A</v>
      </c>
      <c r="D1766" s="202"/>
      <c r="E1766" s="107"/>
      <c r="F1766" s="205"/>
      <c r="G1766" s="226"/>
      <c r="H1766" s="107"/>
      <c r="I1766" s="227"/>
      <c r="J1766" s="227"/>
      <c r="K1766" s="115"/>
      <c r="L1766" s="228"/>
      <c r="M1766" s="107"/>
      <c r="N1766" s="229">
        <f>IF(AND(O1766=TRUE,P1766=TRUE), VLOOKUP($E1766,PESSOAL!$B$35:$S$45,MONTH($F1766)+6,FALSE)*G1766*24,0)</f>
        <v>0</v>
      </c>
      <c r="O1766" s="89"/>
      <c r="P1766" s="89" t="b">
        <v>0</v>
      </c>
      <c r="Q1766" s="89" t="e">
        <v>#N/A</v>
      </c>
    </row>
    <row r="1767" hidden="1">
      <c r="A1767" s="108"/>
      <c r="B1767" s="202"/>
      <c r="C1767" s="202" t="str">
        <f>VLOOKUP(M1767,'#verificação horas por projeto'!A:B,2,FALSE)</f>
        <v>#N/A</v>
      </c>
      <c r="D1767" s="202"/>
      <c r="E1767" s="107"/>
      <c r="F1767" s="205"/>
      <c r="G1767" s="226"/>
      <c r="H1767" s="107"/>
      <c r="I1767" s="227"/>
      <c r="J1767" s="227"/>
      <c r="K1767" s="115"/>
      <c r="L1767" s="228"/>
      <c r="M1767" s="107"/>
      <c r="N1767" s="229">
        <f>IF(AND(O1767=TRUE,P1767=TRUE), VLOOKUP($E1767,PESSOAL!$B$35:$S$45,MONTH($F1767)+6,FALSE)*G1767*24,0)</f>
        <v>0</v>
      </c>
      <c r="O1767" s="89"/>
      <c r="P1767" s="89" t="b">
        <v>0</v>
      </c>
      <c r="Q1767" s="89" t="e">
        <v>#N/A</v>
      </c>
    </row>
    <row r="1768" hidden="1">
      <c r="A1768" s="108"/>
      <c r="B1768" s="202"/>
      <c r="C1768" s="202" t="str">
        <f>VLOOKUP(M1768,'#verificação horas por projeto'!A:B,2,FALSE)</f>
        <v>#N/A</v>
      </c>
      <c r="D1768" s="202"/>
      <c r="E1768" s="107"/>
      <c r="F1768" s="205"/>
      <c r="G1768" s="226"/>
      <c r="H1768" s="107"/>
      <c r="I1768" s="227"/>
      <c r="J1768" s="227"/>
      <c r="K1768" s="115"/>
      <c r="L1768" s="228"/>
      <c r="M1768" s="107"/>
      <c r="N1768" s="229">
        <f>IF(AND(O1768=TRUE,P1768=TRUE), VLOOKUP($E1768,PESSOAL!$B$35:$S$45,MONTH($F1768)+6,FALSE)*G1768*24,0)</f>
        <v>0</v>
      </c>
      <c r="O1768" s="89"/>
      <c r="P1768" s="89" t="b">
        <v>0</v>
      </c>
      <c r="Q1768" s="89" t="e">
        <v>#N/A</v>
      </c>
    </row>
    <row r="1769" hidden="1">
      <c r="A1769" s="108"/>
      <c r="B1769" s="202"/>
      <c r="C1769" s="202" t="str">
        <f>VLOOKUP(M1769,'#verificação horas por projeto'!A:B,2,FALSE)</f>
        <v>#N/A</v>
      </c>
      <c r="D1769" s="202"/>
      <c r="E1769" s="107"/>
      <c r="F1769" s="205"/>
      <c r="G1769" s="226"/>
      <c r="H1769" s="107"/>
      <c r="I1769" s="227"/>
      <c r="J1769" s="227"/>
      <c r="K1769" s="115"/>
      <c r="L1769" s="228"/>
      <c r="M1769" s="107"/>
      <c r="N1769" s="229">
        <f>IF(AND(O1769=TRUE,P1769=TRUE), VLOOKUP($E1769,PESSOAL!$B$35:$S$45,MONTH($F1769)+6,FALSE)*G1769*24,0)</f>
        <v>0</v>
      </c>
      <c r="O1769" s="89"/>
      <c r="P1769" s="89" t="b">
        <v>0</v>
      </c>
      <c r="Q1769" s="89" t="e">
        <v>#N/A</v>
      </c>
    </row>
    <row r="1770" hidden="1">
      <c r="A1770" s="108"/>
      <c r="B1770" s="202"/>
      <c r="C1770" s="202" t="str">
        <f>VLOOKUP(M1770,'#verificação horas por projeto'!A:B,2,FALSE)</f>
        <v>#N/A</v>
      </c>
      <c r="D1770" s="202"/>
      <c r="E1770" s="107"/>
      <c r="F1770" s="205"/>
      <c r="G1770" s="226"/>
      <c r="H1770" s="107"/>
      <c r="I1770" s="227"/>
      <c r="J1770" s="227"/>
      <c r="K1770" s="115"/>
      <c r="L1770" s="228"/>
      <c r="M1770" s="107"/>
      <c r="N1770" s="229">
        <f>IF(AND(O1770=TRUE,P1770=TRUE), VLOOKUP($E1770,PESSOAL!$B$35:$S$45,MONTH($F1770)+6,FALSE)*G1770*24,0)</f>
        <v>0</v>
      </c>
      <c r="O1770" s="89"/>
      <c r="P1770" s="89" t="b">
        <v>0</v>
      </c>
      <c r="Q1770" s="89" t="e">
        <v>#N/A</v>
      </c>
    </row>
    <row r="1771" hidden="1">
      <c r="A1771" s="108"/>
      <c r="B1771" s="202"/>
      <c r="C1771" s="202" t="str">
        <f>VLOOKUP(M1771,'#verificação horas por projeto'!A:B,2,FALSE)</f>
        <v>#N/A</v>
      </c>
      <c r="D1771" s="202"/>
      <c r="E1771" s="107"/>
      <c r="F1771" s="205"/>
      <c r="G1771" s="226"/>
      <c r="H1771" s="107"/>
      <c r="I1771" s="227"/>
      <c r="J1771" s="227"/>
      <c r="K1771" s="115"/>
      <c r="L1771" s="228"/>
      <c r="M1771" s="107"/>
      <c r="N1771" s="229">
        <f>IF(AND(O1771=TRUE,P1771=TRUE), VLOOKUP($E1771,PESSOAL!$B$35:$S$45,MONTH($F1771)+6,FALSE)*G1771*24,0)</f>
        <v>0</v>
      </c>
      <c r="O1771" s="89"/>
      <c r="P1771" s="89" t="b">
        <v>0</v>
      </c>
      <c r="Q1771" s="89" t="e">
        <v>#N/A</v>
      </c>
    </row>
    <row r="1772" hidden="1">
      <c r="A1772" s="108"/>
      <c r="B1772" s="202"/>
      <c r="C1772" s="202" t="str">
        <f>VLOOKUP(M1772,'#verificação horas por projeto'!A:B,2,FALSE)</f>
        <v>#N/A</v>
      </c>
      <c r="D1772" s="202"/>
      <c r="E1772" s="107"/>
      <c r="F1772" s="205"/>
      <c r="G1772" s="226"/>
      <c r="H1772" s="107"/>
      <c r="I1772" s="227"/>
      <c r="J1772" s="227"/>
      <c r="K1772" s="115"/>
      <c r="L1772" s="228"/>
      <c r="M1772" s="107"/>
      <c r="N1772" s="229">
        <f>IF(AND(O1772=TRUE,P1772=TRUE), VLOOKUP($E1772,PESSOAL!$B$35:$S$45,MONTH($F1772)+6,FALSE)*G1772*24,0)</f>
        <v>0</v>
      </c>
      <c r="O1772" s="89"/>
      <c r="P1772" s="89" t="b">
        <v>0</v>
      </c>
      <c r="Q1772" s="89" t="e">
        <v>#N/A</v>
      </c>
    </row>
    <row r="1773" hidden="1">
      <c r="A1773" s="108"/>
      <c r="B1773" s="202"/>
      <c r="C1773" s="202" t="str">
        <f>VLOOKUP(M1773,'#verificação horas por projeto'!A:B,2,FALSE)</f>
        <v>#N/A</v>
      </c>
      <c r="D1773" s="202"/>
      <c r="E1773" s="107"/>
      <c r="F1773" s="205"/>
      <c r="G1773" s="226"/>
      <c r="H1773" s="107"/>
      <c r="I1773" s="227"/>
      <c r="J1773" s="227"/>
      <c r="K1773" s="115"/>
      <c r="L1773" s="228"/>
      <c r="M1773" s="107"/>
      <c r="N1773" s="229">
        <f>IF(AND(O1773=TRUE,P1773=TRUE), VLOOKUP($E1773,PESSOAL!$B$35:$S$45,MONTH($F1773)+6,FALSE)*G1773*24,0)</f>
        <v>0</v>
      </c>
      <c r="O1773" s="89"/>
      <c r="P1773" s="89" t="b">
        <v>0</v>
      </c>
      <c r="Q1773" s="89" t="e">
        <v>#N/A</v>
      </c>
    </row>
    <row r="1774" hidden="1">
      <c r="A1774" s="108"/>
      <c r="B1774" s="202"/>
      <c r="C1774" s="202" t="str">
        <f>VLOOKUP(M1774,'#verificação horas por projeto'!A:B,2,FALSE)</f>
        <v>#N/A</v>
      </c>
      <c r="D1774" s="202"/>
      <c r="E1774" s="107"/>
      <c r="F1774" s="205"/>
      <c r="G1774" s="226"/>
      <c r="H1774" s="107"/>
      <c r="I1774" s="227"/>
      <c r="J1774" s="227"/>
      <c r="K1774" s="115"/>
      <c r="L1774" s="228"/>
      <c r="M1774" s="107"/>
      <c r="N1774" s="229">
        <f>IF(AND(O1774=TRUE,P1774=TRUE), VLOOKUP($E1774,PESSOAL!$B$35:$S$45,MONTH($F1774)+6,FALSE)*G1774*24,0)</f>
        <v>0</v>
      </c>
      <c r="O1774" s="89"/>
      <c r="P1774" s="89" t="b">
        <v>0</v>
      </c>
      <c r="Q1774" s="89" t="e">
        <v>#N/A</v>
      </c>
    </row>
    <row r="1775" hidden="1">
      <c r="A1775" s="108"/>
      <c r="B1775" s="202"/>
      <c r="C1775" s="202" t="str">
        <f>VLOOKUP(M1775,'#verificação horas por projeto'!A:B,2,FALSE)</f>
        <v>#N/A</v>
      </c>
      <c r="D1775" s="202"/>
      <c r="E1775" s="107"/>
      <c r="F1775" s="205"/>
      <c r="G1775" s="226"/>
      <c r="H1775" s="107"/>
      <c r="I1775" s="227"/>
      <c r="J1775" s="227"/>
      <c r="K1775" s="115"/>
      <c r="L1775" s="228"/>
      <c r="M1775" s="107"/>
      <c r="N1775" s="229">
        <f>IF(AND(O1775=TRUE,P1775=TRUE), VLOOKUP($E1775,PESSOAL!$B$35:$S$45,MONTH($F1775)+6,FALSE)*G1775*24,0)</f>
        <v>0</v>
      </c>
      <c r="O1775" s="89"/>
      <c r="P1775" s="89" t="b">
        <v>0</v>
      </c>
      <c r="Q1775" s="89" t="e">
        <v>#N/A</v>
      </c>
    </row>
    <row r="1776" hidden="1">
      <c r="A1776" s="108"/>
      <c r="B1776" s="202"/>
      <c r="C1776" s="202" t="str">
        <f>VLOOKUP(M1776,'#verificação horas por projeto'!A:B,2,FALSE)</f>
        <v>#N/A</v>
      </c>
      <c r="D1776" s="202"/>
      <c r="E1776" s="107"/>
      <c r="F1776" s="205"/>
      <c r="G1776" s="226"/>
      <c r="H1776" s="107"/>
      <c r="I1776" s="227"/>
      <c r="J1776" s="227"/>
      <c r="K1776" s="115"/>
      <c r="L1776" s="228"/>
      <c r="M1776" s="107"/>
      <c r="N1776" s="229">
        <f>IF(AND(O1776=TRUE,P1776=TRUE), VLOOKUP($E1776,PESSOAL!$B$35:$S$45,MONTH($F1776)+6,FALSE)*G1776*24,0)</f>
        <v>0</v>
      </c>
      <c r="O1776" s="89"/>
      <c r="P1776" s="89" t="b">
        <v>0</v>
      </c>
      <c r="Q1776" s="89" t="e">
        <v>#N/A</v>
      </c>
    </row>
    <row r="1777" hidden="1">
      <c r="A1777" s="108"/>
      <c r="B1777" s="202"/>
      <c r="C1777" s="202" t="str">
        <f>VLOOKUP(M1777,'#verificação horas por projeto'!A:B,2,FALSE)</f>
        <v>#N/A</v>
      </c>
      <c r="D1777" s="202"/>
      <c r="E1777" s="107"/>
      <c r="F1777" s="205"/>
      <c r="G1777" s="226"/>
      <c r="H1777" s="107"/>
      <c r="I1777" s="227"/>
      <c r="J1777" s="227"/>
      <c r="K1777" s="115"/>
      <c r="L1777" s="228"/>
      <c r="M1777" s="107"/>
      <c r="N1777" s="229">
        <f>IF(AND(O1777=TRUE,P1777=TRUE), VLOOKUP($E1777,PESSOAL!$B$35:$S$45,MONTH($F1777)+6,FALSE)*G1777*24,0)</f>
        <v>0</v>
      </c>
      <c r="O1777" s="89"/>
      <c r="P1777" s="89" t="b">
        <v>0</v>
      </c>
      <c r="Q1777" s="89" t="e">
        <v>#N/A</v>
      </c>
    </row>
    <row r="1778" hidden="1">
      <c r="A1778" s="108"/>
      <c r="B1778" s="202"/>
      <c r="C1778" s="202" t="str">
        <f>VLOOKUP(M1778,'#verificação horas por projeto'!A:B,2,FALSE)</f>
        <v>#N/A</v>
      </c>
      <c r="D1778" s="202"/>
      <c r="E1778" s="107"/>
      <c r="F1778" s="205"/>
      <c r="G1778" s="226"/>
      <c r="H1778" s="107"/>
      <c r="I1778" s="227"/>
      <c r="J1778" s="227"/>
      <c r="K1778" s="115"/>
      <c r="L1778" s="228"/>
      <c r="M1778" s="107"/>
      <c r="N1778" s="229">
        <f>IF(AND(O1778=TRUE,P1778=TRUE), VLOOKUP($E1778,PESSOAL!$B$35:$S$45,MONTH($F1778)+6,FALSE)*G1778*24,0)</f>
        <v>0</v>
      </c>
      <c r="O1778" s="89"/>
      <c r="P1778" s="89" t="b">
        <v>0</v>
      </c>
      <c r="Q1778" s="89" t="e">
        <v>#N/A</v>
      </c>
    </row>
    <row r="1779" hidden="1">
      <c r="A1779" s="108"/>
      <c r="B1779" s="202"/>
      <c r="C1779" s="202" t="str">
        <f>VLOOKUP(M1779,'#verificação horas por projeto'!A:B,2,FALSE)</f>
        <v>#N/A</v>
      </c>
      <c r="D1779" s="202"/>
      <c r="E1779" s="107"/>
      <c r="F1779" s="205"/>
      <c r="G1779" s="226"/>
      <c r="H1779" s="107"/>
      <c r="I1779" s="227"/>
      <c r="J1779" s="227"/>
      <c r="K1779" s="115"/>
      <c r="L1779" s="228"/>
      <c r="M1779" s="107"/>
      <c r="N1779" s="229">
        <f>IF(AND(O1779=TRUE,P1779=TRUE), VLOOKUP($E1779,PESSOAL!$B$35:$S$45,MONTH($F1779)+6,FALSE)*G1779*24,0)</f>
        <v>0</v>
      </c>
      <c r="O1779" s="89"/>
      <c r="P1779" s="89" t="b">
        <v>0</v>
      </c>
      <c r="Q1779" s="89" t="e">
        <v>#N/A</v>
      </c>
    </row>
    <row r="1780" hidden="1">
      <c r="A1780" s="108"/>
      <c r="B1780" s="202"/>
      <c r="C1780" s="202" t="str">
        <f>VLOOKUP(M1780,'#verificação horas por projeto'!A:B,2,FALSE)</f>
        <v>#N/A</v>
      </c>
      <c r="D1780" s="202"/>
      <c r="E1780" s="107"/>
      <c r="F1780" s="205"/>
      <c r="G1780" s="226"/>
      <c r="H1780" s="107"/>
      <c r="I1780" s="227"/>
      <c r="J1780" s="227"/>
      <c r="K1780" s="115"/>
      <c r="L1780" s="228"/>
      <c r="M1780" s="107"/>
      <c r="N1780" s="229">
        <f>IF(AND(O1780=TRUE,P1780=TRUE), VLOOKUP($E1780,PESSOAL!$B$35:$S$45,MONTH($F1780)+6,FALSE)*G1780*24,0)</f>
        <v>0</v>
      </c>
      <c r="O1780" s="89"/>
      <c r="P1780" s="89" t="b">
        <v>0</v>
      </c>
      <c r="Q1780" s="89" t="e">
        <v>#N/A</v>
      </c>
    </row>
    <row r="1781" hidden="1">
      <c r="A1781" s="108"/>
      <c r="B1781" s="202"/>
      <c r="C1781" s="202" t="str">
        <f>VLOOKUP(M1781,'#verificação horas por projeto'!A:B,2,FALSE)</f>
        <v>#N/A</v>
      </c>
      <c r="D1781" s="202"/>
      <c r="E1781" s="107"/>
      <c r="F1781" s="205"/>
      <c r="G1781" s="226"/>
      <c r="H1781" s="107"/>
      <c r="I1781" s="227"/>
      <c r="J1781" s="227"/>
      <c r="K1781" s="115"/>
      <c r="L1781" s="228"/>
      <c r="M1781" s="107"/>
      <c r="N1781" s="229">
        <f>IF(AND(O1781=TRUE,P1781=TRUE), VLOOKUP($E1781,PESSOAL!$B$35:$S$45,MONTH($F1781)+6,FALSE)*G1781*24,0)</f>
        <v>0</v>
      </c>
      <c r="O1781" s="89"/>
      <c r="P1781" s="89" t="b">
        <v>0</v>
      </c>
      <c r="Q1781" s="89" t="e">
        <v>#N/A</v>
      </c>
    </row>
    <row r="1782" hidden="1">
      <c r="A1782" s="108"/>
      <c r="B1782" s="202"/>
      <c r="C1782" s="202" t="str">
        <f>VLOOKUP(M1782,'#verificação horas por projeto'!A:B,2,FALSE)</f>
        <v>#N/A</v>
      </c>
      <c r="D1782" s="202"/>
      <c r="E1782" s="107"/>
      <c r="F1782" s="205"/>
      <c r="G1782" s="226"/>
      <c r="H1782" s="107"/>
      <c r="I1782" s="227"/>
      <c r="J1782" s="227"/>
      <c r="K1782" s="115"/>
      <c r="L1782" s="228"/>
      <c r="M1782" s="107"/>
      <c r="N1782" s="229">
        <f>IF(AND(O1782=TRUE,P1782=TRUE), VLOOKUP($E1782,PESSOAL!$B$35:$S$45,MONTH($F1782)+6,FALSE)*G1782*24,0)</f>
        <v>0</v>
      </c>
      <c r="O1782" s="89"/>
      <c r="P1782" s="89" t="b">
        <v>0</v>
      </c>
      <c r="Q1782" s="89" t="e">
        <v>#N/A</v>
      </c>
    </row>
    <row r="1783" hidden="1">
      <c r="A1783" s="108"/>
      <c r="B1783" s="202"/>
      <c r="C1783" s="202" t="str">
        <f>VLOOKUP(M1783,'#verificação horas por projeto'!A:B,2,FALSE)</f>
        <v>#N/A</v>
      </c>
      <c r="D1783" s="202"/>
      <c r="E1783" s="107"/>
      <c r="F1783" s="205"/>
      <c r="G1783" s="226"/>
      <c r="H1783" s="107"/>
      <c r="I1783" s="227"/>
      <c r="J1783" s="227"/>
      <c r="K1783" s="115"/>
      <c r="L1783" s="228"/>
      <c r="M1783" s="107"/>
      <c r="N1783" s="229">
        <f>IF(AND(O1783=TRUE,P1783=TRUE), VLOOKUP($E1783,PESSOAL!$B$35:$S$45,MONTH($F1783)+6,FALSE)*G1783*24,0)</f>
        <v>0</v>
      </c>
      <c r="O1783" s="89"/>
      <c r="P1783" s="89" t="b">
        <v>0</v>
      </c>
      <c r="Q1783" s="89" t="e">
        <v>#N/A</v>
      </c>
    </row>
    <row r="1784" hidden="1">
      <c r="A1784" s="108"/>
      <c r="B1784" s="202"/>
      <c r="C1784" s="202" t="str">
        <f>VLOOKUP(M1784,'#verificação horas por projeto'!A:B,2,FALSE)</f>
        <v>#N/A</v>
      </c>
      <c r="D1784" s="202"/>
      <c r="E1784" s="107"/>
      <c r="F1784" s="205"/>
      <c r="G1784" s="226"/>
      <c r="H1784" s="107"/>
      <c r="I1784" s="227"/>
      <c r="J1784" s="227"/>
      <c r="K1784" s="115"/>
      <c r="L1784" s="228"/>
      <c r="M1784" s="107"/>
      <c r="N1784" s="229">
        <f>IF(AND(O1784=TRUE,P1784=TRUE), VLOOKUP($E1784,PESSOAL!$B$35:$S$45,MONTH($F1784)+6,FALSE)*G1784*24,0)</f>
        <v>0</v>
      </c>
      <c r="O1784" s="89"/>
      <c r="P1784" s="89" t="b">
        <v>0</v>
      </c>
      <c r="Q1784" s="89" t="e">
        <v>#N/A</v>
      </c>
    </row>
    <row r="1785" hidden="1">
      <c r="A1785" s="108"/>
      <c r="B1785" s="202"/>
      <c r="C1785" s="202" t="str">
        <f>VLOOKUP(M1785,'#verificação horas por projeto'!A:B,2,FALSE)</f>
        <v>#N/A</v>
      </c>
      <c r="D1785" s="202"/>
      <c r="E1785" s="107"/>
      <c r="F1785" s="205"/>
      <c r="G1785" s="226"/>
      <c r="H1785" s="107"/>
      <c r="I1785" s="227"/>
      <c r="J1785" s="227"/>
      <c r="K1785" s="115"/>
      <c r="L1785" s="228"/>
      <c r="M1785" s="107"/>
      <c r="N1785" s="229">
        <f>IF(AND(O1785=TRUE,P1785=TRUE), VLOOKUP($E1785,PESSOAL!$B$35:$S$45,MONTH($F1785)+6,FALSE)*G1785*24,0)</f>
        <v>0</v>
      </c>
      <c r="O1785" s="89"/>
      <c r="P1785" s="89" t="b">
        <v>0</v>
      </c>
      <c r="Q1785" s="89" t="e">
        <v>#N/A</v>
      </c>
    </row>
    <row r="1786" hidden="1">
      <c r="A1786" s="108"/>
      <c r="B1786" s="202"/>
      <c r="C1786" s="202" t="str">
        <f>VLOOKUP(M1786,'#verificação horas por projeto'!A:B,2,FALSE)</f>
        <v>#N/A</v>
      </c>
      <c r="D1786" s="202"/>
      <c r="E1786" s="107"/>
      <c r="F1786" s="205"/>
      <c r="G1786" s="226"/>
      <c r="H1786" s="107"/>
      <c r="I1786" s="227"/>
      <c r="J1786" s="227"/>
      <c r="K1786" s="115"/>
      <c r="L1786" s="228"/>
      <c r="M1786" s="107"/>
      <c r="N1786" s="229">
        <f>IF(AND(O1786=TRUE,P1786=TRUE), VLOOKUP($E1786,PESSOAL!$B$35:$S$45,MONTH($F1786)+6,FALSE)*G1786*24,0)</f>
        <v>0</v>
      </c>
      <c r="O1786" s="89"/>
      <c r="P1786" s="89" t="b">
        <v>0</v>
      </c>
      <c r="Q1786" s="89" t="e">
        <v>#N/A</v>
      </c>
    </row>
    <row r="1787" hidden="1">
      <c r="A1787" s="108"/>
      <c r="B1787" s="202"/>
      <c r="C1787" s="202" t="str">
        <f>VLOOKUP(M1787,'#verificação horas por projeto'!A:B,2,FALSE)</f>
        <v>#N/A</v>
      </c>
      <c r="D1787" s="202"/>
      <c r="E1787" s="107"/>
      <c r="F1787" s="205"/>
      <c r="G1787" s="226"/>
      <c r="H1787" s="107"/>
      <c r="I1787" s="227"/>
      <c r="J1787" s="227"/>
      <c r="K1787" s="115"/>
      <c r="L1787" s="228"/>
      <c r="M1787" s="107"/>
      <c r="N1787" s="229">
        <f>IF(AND(O1787=TRUE,P1787=TRUE), VLOOKUP($E1787,PESSOAL!$B$35:$S$45,MONTH($F1787)+6,FALSE)*G1787*24,0)</f>
        <v>0</v>
      </c>
      <c r="O1787" s="89"/>
      <c r="P1787" s="89" t="b">
        <v>0</v>
      </c>
      <c r="Q1787" s="89" t="e">
        <v>#N/A</v>
      </c>
    </row>
    <row r="1788" hidden="1">
      <c r="A1788" s="108"/>
      <c r="B1788" s="202"/>
      <c r="C1788" s="202" t="str">
        <f>VLOOKUP(M1788,'#verificação horas por projeto'!A:B,2,FALSE)</f>
        <v>#N/A</v>
      </c>
      <c r="D1788" s="202"/>
      <c r="E1788" s="107"/>
      <c r="F1788" s="205"/>
      <c r="G1788" s="226"/>
      <c r="H1788" s="107"/>
      <c r="I1788" s="227"/>
      <c r="J1788" s="227"/>
      <c r="K1788" s="115"/>
      <c r="L1788" s="228"/>
      <c r="M1788" s="107"/>
      <c r="N1788" s="229">
        <f>IF(AND(O1788=TRUE,P1788=TRUE), VLOOKUP($E1788,PESSOAL!$B$35:$S$45,MONTH($F1788)+6,FALSE)*G1788*24,0)</f>
        <v>0</v>
      </c>
      <c r="O1788" s="89"/>
      <c r="P1788" s="89" t="b">
        <v>0</v>
      </c>
      <c r="Q1788" s="89" t="e">
        <v>#N/A</v>
      </c>
    </row>
    <row r="1789" hidden="1">
      <c r="A1789" s="108"/>
      <c r="B1789" s="202"/>
      <c r="C1789" s="202" t="str">
        <f>VLOOKUP(M1789,'#verificação horas por projeto'!A:B,2,FALSE)</f>
        <v>#N/A</v>
      </c>
      <c r="D1789" s="202"/>
      <c r="E1789" s="107"/>
      <c r="F1789" s="205"/>
      <c r="G1789" s="226"/>
      <c r="H1789" s="107"/>
      <c r="I1789" s="227"/>
      <c r="J1789" s="227"/>
      <c r="K1789" s="115"/>
      <c r="L1789" s="228"/>
      <c r="M1789" s="107"/>
      <c r="N1789" s="229">
        <f>IF(AND(O1789=TRUE,P1789=TRUE), VLOOKUP($E1789,PESSOAL!$B$35:$S$45,MONTH($F1789)+6,FALSE)*G1789*24,0)</f>
        <v>0</v>
      </c>
      <c r="O1789" s="89"/>
      <c r="P1789" s="89" t="b">
        <v>0</v>
      </c>
      <c r="Q1789" s="89" t="e">
        <v>#N/A</v>
      </c>
    </row>
    <row r="1790" hidden="1">
      <c r="A1790" s="108"/>
      <c r="B1790" s="202"/>
      <c r="C1790" s="202" t="str">
        <f>VLOOKUP(M1790,'#verificação horas por projeto'!A:B,2,FALSE)</f>
        <v>#N/A</v>
      </c>
      <c r="D1790" s="202"/>
      <c r="E1790" s="107"/>
      <c r="F1790" s="205"/>
      <c r="G1790" s="226"/>
      <c r="H1790" s="107"/>
      <c r="I1790" s="227"/>
      <c r="J1790" s="227"/>
      <c r="K1790" s="115"/>
      <c r="L1790" s="228"/>
      <c r="M1790" s="107"/>
      <c r="N1790" s="229">
        <f>IF(AND(O1790=TRUE,P1790=TRUE), VLOOKUP($E1790,PESSOAL!$B$35:$S$45,MONTH($F1790)+6,FALSE)*G1790*24,0)</f>
        <v>0</v>
      </c>
      <c r="O1790" s="89"/>
      <c r="P1790" s="89" t="b">
        <v>0</v>
      </c>
      <c r="Q1790" s="89" t="e">
        <v>#N/A</v>
      </c>
    </row>
    <row r="1791" hidden="1">
      <c r="A1791" s="108"/>
      <c r="B1791" s="202"/>
      <c r="C1791" s="202" t="str">
        <f>VLOOKUP(M1791,'#verificação horas por projeto'!A:B,2,FALSE)</f>
        <v>#N/A</v>
      </c>
      <c r="D1791" s="202"/>
      <c r="E1791" s="107"/>
      <c r="F1791" s="205"/>
      <c r="G1791" s="226"/>
      <c r="H1791" s="107"/>
      <c r="I1791" s="227"/>
      <c r="J1791" s="227"/>
      <c r="K1791" s="115"/>
      <c r="L1791" s="228"/>
      <c r="M1791" s="107"/>
      <c r="N1791" s="229">
        <f>IF(AND(O1791=TRUE,P1791=TRUE), VLOOKUP($E1791,PESSOAL!$B$35:$S$45,MONTH($F1791)+6,FALSE)*G1791*24,0)</f>
        <v>0</v>
      </c>
      <c r="O1791" s="89"/>
      <c r="P1791" s="89" t="b">
        <v>0</v>
      </c>
      <c r="Q1791" s="89" t="e">
        <v>#N/A</v>
      </c>
    </row>
    <row r="1792" hidden="1">
      <c r="A1792" s="108"/>
      <c r="B1792" s="202"/>
      <c r="C1792" s="202" t="str">
        <f>VLOOKUP(M1792,'#verificação horas por projeto'!A:B,2,FALSE)</f>
        <v>#N/A</v>
      </c>
      <c r="D1792" s="202"/>
      <c r="E1792" s="107"/>
      <c r="F1792" s="205"/>
      <c r="G1792" s="226"/>
      <c r="H1792" s="107"/>
      <c r="I1792" s="227"/>
      <c r="J1792" s="227"/>
      <c r="K1792" s="115"/>
      <c r="L1792" s="228"/>
      <c r="M1792" s="107"/>
      <c r="N1792" s="229">
        <f>IF(AND(O1792=TRUE,P1792=TRUE), VLOOKUP($E1792,PESSOAL!$B$35:$S$45,MONTH($F1792)+6,FALSE)*G1792*24,0)</f>
        <v>0</v>
      </c>
      <c r="O1792" s="89"/>
      <c r="P1792" s="89" t="b">
        <v>0</v>
      </c>
      <c r="Q1792" s="89" t="e">
        <v>#N/A</v>
      </c>
    </row>
    <row r="1793" hidden="1">
      <c r="A1793" s="108"/>
      <c r="B1793" s="202"/>
      <c r="C1793" s="202" t="str">
        <f>VLOOKUP(M1793,'#verificação horas por projeto'!A:B,2,FALSE)</f>
        <v>#N/A</v>
      </c>
      <c r="D1793" s="202"/>
      <c r="E1793" s="107"/>
      <c r="F1793" s="205"/>
      <c r="G1793" s="226"/>
      <c r="H1793" s="107"/>
      <c r="I1793" s="227"/>
      <c r="J1793" s="227"/>
      <c r="K1793" s="115"/>
      <c r="L1793" s="228"/>
      <c r="M1793" s="107"/>
      <c r="N1793" s="229">
        <f>IF(AND(O1793=TRUE,P1793=TRUE), VLOOKUP($E1793,PESSOAL!$B$35:$S$45,MONTH($F1793)+6,FALSE)*G1793*24,0)</f>
        <v>0</v>
      </c>
      <c r="O1793" s="89"/>
      <c r="P1793" s="89" t="b">
        <v>0</v>
      </c>
      <c r="Q1793" s="89" t="e">
        <v>#N/A</v>
      </c>
    </row>
    <row r="1794" hidden="1">
      <c r="A1794" s="108"/>
      <c r="B1794" s="202"/>
      <c r="C1794" s="202" t="str">
        <f>VLOOKUP(M1794,'#verificação horas por projeto'!A:B,2,FALSE)</f>
        <v>#N/A</v>
      </c>
      <c r="D1794" s="202"/>
      <c r="E1794" s="107"/>
      <c r="F1794" s="205"/>
      <c r="G1794" s="226"/>
      <c r="H1794" s="107"/>
      <c r="I1794" s="227"/>
      <c r="J1794" s="227"/>
      <c r="K1794" s="115"/>
      <c r="L1794" s="228"/>
      <c r="M1794" s="107"/>
      <c r="N1794" s="229">
        <f>IF(AND(O1794=TRUE,P1794=TRUE), VLOOKUP($E1794,PESSOAL!$B$35:$S$45,MONTH($F1794)+6,FALSE)*G1794*24,0)</f>
        <v>0</v>
      </c>
      <c r="O1794" s="89"/>
      <c r="P1794" s="89" t="b">
        <v>0</v>
      </c>
      <c r="Q1794" s="89" t="e">
        <v>#N/A</v>
      </c>
    </row>
    <row r="1795" hidden="1">
      <c r="A1795" s="108"/>
      <c r="B1795" s="202"/>
      <c r="C1795" s="202" t="str">
        <f>VLOOKUP(M1795,'#verificação horas por projeto'!A:B,2,FALSE)</f>
        <v>#N/A</v>
      </c>
      <c r="D1795" s="202"/>
      <c r="E1795" s="107"/>
      <c r="F1795" s="205"/>
      <c r="G1795" s="226"/>
      <c r="H1795" s="107"/>
      <c r="I1795" s="227"/>
      <c r="J1795" s="227"/>
      <c r="K1795" s="115"/>
      <c r="L1795" s="228"/>
      <c r="M1795" s="107"/>
      <c r="N1795" s="229">
        <f>IF(AND(O1795=TRUE,P1795=TRUE), VLOOKUP($E1795,PESSOAL!$B$35:$S$45,MONTH($F1795)+6,FALSE)*G1795*24,0)</f>
        <v>0</v>
      </c>
      <c r="O1795" s="89"/>
      <c r="P1795" s="89" t="b">
        <v>0</v>
      </c>
      <c r="Q1795" s="89" t="e">
        <v>#N/A</v>
      </c>
    </row>
    <row r="1796" hidden="1">
      <c r="A1796" s="108"/>
      <c r="B1796" s="202"/>
      <c r="C1796" s="202" t="str">
        <f>VLOOKUP(M1796,'#verificação horas por projeto'!A:B,2,FALSE)</f>
        <v>#N/A</v>
      </c>
      <c r="D1796" s="202"/>
      <c r="E1796" s="107"/>
      <c r="F1796" s="205"/>
      <c r="G1796" s="226"/>
      <c r="H1796" s="107"/>
      <c r="I1796" s="227"/>
      <c r="J1796" s="227"/>
      <c r="K1796" s="115"/>
      <c r="L1796" s="228"/>
      <c r="M1796" s="107"/>
      <c r="N1796" s="229">
        <f>IF(AND(O1796=TRUE,P1796=TRUE), VLOOKUP($E1796,PESSOAL!$B$35:$S$45,MONTH($F1796)+6,FALSE)*G1796*24,0)</f>
        <v>0</v>
      </c>
      <c r="O1796" s="89"/>
      <c r="P1796" s="89" t="b">
        <v>0</v>
      </c>
      <c r="Q1796" s="89" t="e">
        <v>#N/A</v>
      </c>
    </row>
    <row r="1797" hidden="1">
      <c r="A1797" s="108"/>
      <c r="B1797" s="202"/>
      <c r="C1797" s="202" t="str">
        <f>VLOOKUP(M1797,'#verificação horas por projeto'!A:B,2,FALSE)</f>
        <v>#N/A</v>
      </c>
      <c r="D1797" s="202"/>
      <c r="E1797" s="107"/>
      <c r="F1797" s="205"/>
      <c r="G1797" s="226"/>
      <c r="H1797" s="107"/>
      <c r="I1797" s="227"/>
      <c r="J1797" s="227"/>
      <c r="K1797" s="115"/>
      <c r="L1797" s="228"/>
      <c r="M1797" s="107"/>
      <c r="N1797" s="229">
        <f>IF(AND(O1797=TRUE,P1797=TRUE), VLOOKUP($E1797,PESSOAL!$B$35:$S$45,MONTH($F1797)+6,FALSE)*G1797*24,0)</f>
        <v>0</v>
      </c>
      <c r="O1797" s="89"/>
      <c r="P1797" s="89" t="b">
        <v>0</v>
      </c>
      <c r="Q1797" s="89" t="e">
        <v>#N/A</v>
      </c>
    </row>
    <row r="1798" hidden="1">
      <c r="A1798" s="108"/>
      <c r="B1798" s="202"/>
      <c r="C1798" s="202" t="str">
        <f>VLOOKUP(M1798,'#verificação horas por projeto'!A:B,2,FALSE)</f>
        <v>#N/A</v>
      </c>
      <c r="D1798" s="202"/>
      <c r="E1798" s="107"/>
      <c r="F1798" s="205"/>
      <c r="G1798" s="226"/>
      <c r="H1798" s="107"/>
      <c r="I1798" s="227"/>
      <c r="J1798" s="227"/>
      <c r="K1798" s="115"/>
      <c r="L1798" s="228"/>
      <c r="M1798" s="107"/>
      <c r="N1798" s="229">
        <f>IF(AND(O1798=TRUE,P1798=TRUE), VLOOKUP($E1798,PESSOAL!$B$35:$S$45,MONTH($F1798)+6,FALSE)*G1798*24,0)</f>
        <v>0</v>
      </c>
      <c r="O1798" s="89"/>
      <c r="P1798" s="89" t="b">
        <v>0</v>
      </c>
      <c r="Q1798" s="89" t="e">
        <v>#N/A</v>
      </c>
    </row>
    <row r="1799" hidden="1">
      <c r="A1799" s="108"/>
      <c r="B1799" s="202"/>
      <c r="C1799" s="202" t="str">
        <f>VLOOKUP(M1799,'#verificação horas por projeto'!A:B,2,FALSE)</f>
        <v>#N/A</v>
      </c>
      <c r="D1799" s="202"/>
      <c r="E1799" s="107"/>
      <c r="F1799" s="205"/>
      <c r="G1799" s="226"/>
      <c r="H1799" s="107"/>
      <c r="I1799" s="227"/>
      <c r="J1799" s="227"/>
      <c r="K1799" s="115"/>
      <c r="L1799" s="228"/>
      <c r="M1799" s="107"/>
      <c r="N1799" s="229">
        <f>IF(AND(O1799=TRUE,P1799=TRUE), VLOOKUP($E1799,PESSOAL!$B$35:$S$45,MONTH($F1799)+6,FALSE)*G1799*24,0)</f>
        <v>0</v>
      </c>
      <c r="O1799" s="89"/>
      <c r="P1799" s="89" t="b">
        <v>0</v>
      </c>
      <c r="Q1799" s="89" t="e">
        <v>#N/A</v>
      </c>
    </row>
    <row r="1800" hidden="1">
      <c r="A1800" s="108"/>
      <c r="B1800" s="202"/>
      <c r="C1800" s="202" t="str">
        <f>VLOOKUP(M1800,'#verificação horas por projeto'!A:B,2,FALSE)</f>
        <v>#N/A</v>
      </c>
      <c r="D1800" s="202"/>
      <c r="E1800" s="107"/>
      <c r="F1800" s="205"/>
      <c r="G1800" s="226"/>
      <c r="H1800" s="107"/>
      <c r="I1800" s="227"/>
      <c r="J1800" s="227"/>
      <c r="K1800" s="115"/>
      <c r="L1800" s="228"/>
      <c r="M1800" s="107"/>
      <c r="N1800" s="229">
        <f>IF(AND(O1800=TRUE,P1800=TRUE), VLOOKUP($E1800,PESSOAL!$B$35:$S$45,MONTH($F1800)+6,FALSE)*G1800*24,0)</f>
        <v>0</v>
      </c>
      <c r="O1800" s="89"/>
      <c r="P1800" s="89" t="b">
        <v>0</v>
      </c>
      <c r="Q1800" s="89" t="e">
        <v>#N/A</v>
      </c>
    </row>
    <row r="1801" hidden="1">
      <c r="A1801" s="108"/>
      <c r="B1801" s="202"/>
      <c r="C1801" s="202" t="str">
        <f>VLOOKUP(M1801,'#verificação horas por projeto'!A:B,2,FALSE)</f>
        <v>#N/A</v>
      </c>
      <c r="D1801" s="202"/>
      <c r="E1801" s="107"/>
      <c r="F1801" s="205"/>
      <c r="G1801" s="226"/>
      <c r="H1801" s="107"/>
      <c r="I1801" s="227"/>
      <c r="J1801" s="227"/>
      <c r="K1801" s="115"/>
      <c r="L1801" s="228"/>
      <c r="M1801" s="107"/>
      <c r="N1801" s="229">
        <f>IF(AND(O1801=TRUE,P1801=TRUE), VLOOKUP($E1801,PESSOAL!$B$35:$S$45,MONTH($F1801)+6,FALSE)*G1801*24,0)</f>
        <v>0</v>
      </c>
      <c r="O1801" s="89"/>
      <c r="P1801" s="89" t="b">
        <v>0</v>
      </c>
      <c r="Q1801" s="89" t="e">
        <v>#N/A</v>
      </c>
    </row>
    <row r="1802" hidden="1">
      <c r="A1802" s="108"/>
      <c r="B1802" s="202"/>
      <c r="C1802" s="202" t="str">
        <f>VLOOKUP(M1802,'#verificação horas por projeto'!A:B,2,FALSE)</f>
        <v>#N/A</v>
      </c>
      <c r="D1802" s="202"/>
      <c r="E1802" s="107"/>
      <c r="F1802" s="205"/>
      <c r="G1802" s="226"/>
      <c r="H1802" s="107"/>
      <c r="I1802" s="227"/>
      <c r="J1802" s="227"/>
      <c r="K1802" s="115"/>
      <c r="L1802" s="228"/>
      <c r="M1802" s="107"/>
      <c r="N1802" s="229">
        <f>IF(AND(O1802=TRUE,P1802=TRUE), VLOOKUP($E1802,PESSOAL!$B$35:$S$45,MONTH($F1802)+6,FALSE)*G1802*24,0)</f>
        <v>0</v>
      </c>
      <c r="O1802" s="89"/>
      <c r="P1802" s="89" t="b">
        <v>0</v>
      </c>
      <c r="Q1802" s="89" t="e">
        <v>#N/A</v>
      </c>
    </row>
    <row r="1803" hidden="1">
      <c r="A1803" s="108"/>
      <c r="B1803" s="202"/>
      <c r="C1803" s="202" t="str">
        <f>VLOOKUP(M1803,'#verificação horas por projeto'!A:B,2,FALSE)</f>
        <v>#N/A</v>
      </c>
      <c r="D1803" s="202"/>
      <c r="E1803" s="107"/>
      <c r="F1803" s="205"/>
      <c r="G1803" s="226"/>
      <c r="H1803" s="107"/>
      <c r="I1803" s="227"/>
      <c r="J1803" s="227"/>
      <c r="K1803" s="115"/>
      <c r="L1803" s="228"/>
      <c r="M1803" s="107"/>
      <c r="N1803" s="229">
        <f>IF(AND(O1803=TRUE,P1803=TRUE), VLOOKUP($E1803,PESSOAL!$B$35:$S$45,MONTH($F1803)+6,FALSE)*G1803*24,0)</f>
        <v>0</v>
      </c>
      <c r="O1803" s="89"/>
      <c r="P1803" s="89" t="b">
        <v>0</v>
      </c>
      <c r="Q1803" s="89" t="e">
        <v>#N/A</v>
      </c>
    </row>
    <row r="1804" hidden="1">
      <c r="A1804" s="108"/>
      <c r="B1804" s="202"/>
      <c r="C1804" s="202" t="str">
        <f>VLOOKUP(M1804,'#verificação horas por projeto'!A:B,2,FALSE)</f>
        <v>#N/A</v>
      </c>
      <c r="D1804" s="202"/>
      <c r="E1804" s="107"/>
      <c r="F1804" s="205"/>
      <c r="G1804" s="226"/>
      <c r="H1804" s="107"/>
      <c r="I1804" s="227"/>
      <c r="J1804" s="227"/>
      <c r="K1804" s="115"/>
      <c r="L1804" s="228"/>
      <c r="M1804" s="107"/>
      <c r="N1804" s="229">
        <f>IF(AND(O1804=TRUE,P1804=TRUE), VLOOKUP($E1804,PESSOAL!$B$35:$S$45,MONTH($F1804)+6,FALSE)*G1804*24,0)</f>
        <v>0</v>
      </c>
      <c r="O1804" s="89"/>
      <c r="P1804" s="89" t="b">
        <v>0</v>
      </c>
      <c r="Q1804" s="89" t="e">
        <v>#N/A</v>
      </c>
    </row>
    <row r="1805" hidden="1">
      <c r="A1805" s="108"/>
      <c r="B1805" s="202"/>
      <c r="C1805" s="202" t="str">
        <f>VLOOKUP(M1805,'#verificação horas por projeto'!A:B,2,FALSE)</f>
        <v>#N/A</v>
      </c>
      <c r="D1805" s="202"/>
      <c r="E1805" s="107"/>
      <c r="F1805" s="205"/>
      <c r="G1805" s="226"/>
      <c r="H1805" s="107"/>
      <c r="I1805" s="227"/>
      <c r="J1805" s="227"/>
      <c r="K1805" s="115"/>
      <c r="L1805" s="228"/>
      <c r="M1805" s="107"/>
      <c r="N1805" s="229">
        <f>IF(AND(O1805=TRUE,P1805=TRUE), VLOOKUP($E1805,PESSOAL!$B$35:$S$45,MONTH($F1805)+6,FALSE)*G1805*24,0)</f>
        <v>0</v>
      </c>
      <c r="O1805" s="89"/>
      <c r="P1805" s="89" t="b">
        <v>0</v>
      </c>
      <c r="Q1805" s="89" t="e">
        <v>#N/A</v>
      </c>
    </row>
    <row r="1806" hidden="1">
      <c r="A1806" s="108"/>
      <c r="B1806" s="202"/>
      <c r="C1806" s="202" t="str">
        <f>VLOOKUP(M1806,'#verificação horas por projeto'!A:B,2,FALSE)</f>
        <v>#N/A</v>
      </c>
      <c r="D1806" s="202"/>
      <c r="E1806" s="107"/>
      <c r="F1806" s="205"/>
      <c r="G1806" s="226"/>
      <c r="H1806" s="107"/>
      <c r="I1806" s="227"/>
      <c r="J1806" s="227"/>
      <c r="K1806" s="115"/>
      <c r="L1806" s="228"/>
      <c r="M1806" s="107"/>
      <c r="N1806" s="229">
        <f>IF(AND(O1806=TRUE,P1806=TRUE), VLOOKUP($E1806,PESSOAL!$B$35:$S$45,MONTH($F1806)+6,FALSE)*G1806*24,0)</f>
        <v>0</v>
      </c>
      <c r="O1806" s="89"/>
      <c r="P1806" s="89" t="b">
        <v>0</v>
      </c>
      <c r="Q1806" s="89" t="e">
        <v>#N/A</v>
      </c>
    </row>
    <row r="1807" hidden="1">
      <c r="A1807" s="108"/>
      <c r="B1807" s="202"/>
      <c r="C1807" s="202" t="str">
        <f>VLOOKUP(M1807,'#verificação horas por projeto'!A:B,2,FALSE)</f>
        <v>#N/A</v>
      </c>
      <c r="D1807" s="202"/>
      <c r="E1807" s="107"/>
      <c r="F1807" s="205"/>
      <c r="G1807" s="226"/>
      <c r="H1807" s="107"/>
      <c r="I1807" s="227"/>
      <c r="J1807" s="227"/>
      <c r="K1807" s="115"/>
      <c r="L1807" s="228"/>
      <c r="M1807" s="107"/>
      <c r="N1807" s="229">
        <f>IF(AND(O1807=TRUE,P1807=TRUE), VLOOKUP($E1807,PESSOAL!$B$35:$S$45,MONTH($F1807)+6,FALSE)*G1807*24,0)</f>
        <v>0</v>
      </c>
      <c r="O1807" s="89"/>
      <c r="P1807" s="89" t="b">
        <v>0</v>
      </c>
      <c r="Q1807" s="89" t="e">
        <v>#N/A</v>
      </c>
    </row>
    <row r="1808" hidden="1">
      <c r="A1808" s="108"/>
      <c r="B1808" s="202"/>
      <c r="C1808" s="202" t="str">
        <f>VLOOKUP(M1808,'#verificação horas por projeto'!A:B,2,FALSE)</f>
        <v>#N/A</v>
      </c>
      <c r="D1808" s="202"/>
      <c r="E1808" s="107"/>
      <c r="F1808" s="205"/>
      <c r="G1808" s="226"/>
      <c r="H1808" s="107"/>
      <c r="I1808" s="227"/>
      <c r="J1808" s="227"/>
      <c r="K1808" s="115"/>
      <c r="L1808" s="228"/>
      <c r="M1808" s="107"/>
      <c r="N1808" s="229">
        <f>IF(AND(O1808=TRUE,P1808=TRUE), VLOOKUP($E1808,PESSOAL!$B$35:$S$45,MONTH($F1808)+6,FALSE)*G1808*24,0)</f>
        <v>0</v>
      </c>
      <c r="O1808" s="89"/>
      <c r="P1808" s="89" t="b">
        <v>0</v>
      </c>
      <c r="Q1808" s="89" t="e">
        <v>#N/A</v>
      </c>
    </row>
    <row r="1809" hidden="1">
      <c r="A1809" s="108"/>
      <c r="B1809" s="202"/>
      <c r="C1809" s="202" t="str">
        <f>VLOOKUP(M1809,'#verificação horas por projeto'!A:B,2,FALSE)</f>
        <v>#N/A</v>
      </c>
      <c r="D1809" s="202"/>
      <c r="E1809" s="107"/>
      <c r="F1809" s="205"/>
      <c r="G1809" s="226"/>
      <c r="H1809" s="107"/>
      <c r="I1809" s="227"/>
      <c r="J1809" s="227"/>
      <c r="K1809" s="115"/>
      <c r="L1809" s="228"/>
      <c r="M1809" s="107"/>
      <c r="N1809" s="229">
        <f>IF(AND(O1809=TRUE,P1809=TRUE), VLOOKUP($E1809,PESSOAL!$B$35:$S$45,MONTH($F1809)+6,FALSE)*G1809*24,0)</f>
        <v>0</v>
      </c>
      <c r="O1809" s="89"/>
      <c r="P1809" s="89" t="b">
        <v>0</v>
      </c>
      <c r="Q1809" s="89" t="e">
        <v>#N/A</v>
      </c>
    </row>
    <row r="1810" hidden="1">
      <c r="A1810" s="108"/>
      <c r="B1810" s="202"/>
      <c r="C1810" s="202" t="str">
        <f>VLOOKUP(M1810,'#verificação horas por projeto'!A:B,2,FALSE)</f>
        <v>#N/A</v>
      </c>
      <c r="D1810" s="202"/>
      <c r="E1810" s="107"/>
      <c r="F1810" s="205"/>
      <c r="G1810" s="226"/>
      <c r="H1810" s="107"/>
      <c r="I1810" s="227"/>
      <c r="J1810" s="227"/>
      <c r="K1810" s="115"/>
      <c r="L1810" s="228"/>
      <c r="M1810" s="107"/>
      <c r="N1810" s="229">
        <f>IF(AND(O1810=TRUE,P1810=TRUE), VLOOKUP($E1810,PESSOAL!$B$35:$S$45,MONTH($F1810)+6,FALSE)*G1810*24,0)</f>
        <v>0</v>
      </c>
      <c r="O1810" s="89"/>
      <c r="P1810" s="89" t="b">
        <v>0</v>
      </c>
      <c r="Q1810" s="89" t="e">
        <v>#N/A</v>
      </c>
    </row>
    <row r="1811" hidden="1">
      <c r="A1811" s="108"/>
      <c r="B1811" s="202"/>
      <c r="C1811" s="202" t="str">
        <f>VLOOKUP(M1811,'#verificação horas por projeto'!A:B,2,FALSE)</f>
        <v>#N/A</v>
      </c>
      <c r="D1811" s="202"/>
      <c r="E1811" s="107"/>
      <c r="F1811" s="205"/>
      <c r="G1811" s="226"/>
      <c r="H1811" s="107"/>
      <c r="I1811" s="227"/>
      <c r="J1811" s="227"/>
      <c r="K1811" s="115"/>
      <c r="L1811" s="228"/>
      <c r="M1811" s="107"/>
      <c r="N1811" s="229">
        <f>IF(AND(O1811=TRUE,P1811=TRUE), VLOOKUP($E1811,PESSOAL!$B$35:$S$45,MONTH($F1811)+6,FALSE)*G1811*24,0)</f>
        <v>0</v>
      </c>
      <c r="O1811" s="89"/>
      <c r="P1811" s="89" t="b">
        <v>0</v>
      </c>
      <c r="Q1811" s="89" t="e">
        <v>#N/A</v>
      </c>
    </row>
    <row r="1812" hidden="1">
      <c r="A1812" s="108"/>
      <c r="B1812" s="202"/>
      <c r="C1812" s="202" t="str">
        <f>VLOOKUP(M1812,'#verificação horas por projeto'!A:B,2,FALSE)</f>
        <v>#N/A</v>
      </c>
      <c r="D1812" s="202"/>
      <c r="E1812" s="107"/>
      <c r="F1812" s="205"/>
      <c r="G1812" s="226"/>
      <c r="H1812" s="107"/>
      <c r="I1812" s="227"/>
      <c r="J1812" s="227"/>
      <c r="K1812" s="115"/>
      <c r="L1812" s="228"/>
      <c r="M1812" s="107"/>
      <c r="N1812" s="229">
        <f>IF(AND(O1812=TRUE,P1812=TRUE), VLOOKUP($E1812,PESSOAL!$B$35:$S$45,MONTH($F1812)+6,FALSE)*G1812*24,0)</f>
        <v>0</v>
      </c>
      <c r="O1812" s="89"/>
      <c r="P1812" s="89" t="b">
        <v>0</v>
      </c>
      <c r="Q1812" s="89" t="e">
        <v>#N/A</v>
      </c>
    </row>
    <row r="1813" hidden="1">
      <c r="A1813" s="108"/>
      <c r="B1813" s="202"/>
      <c r="C1813" s="202" t="str">
        <f>VLOOKUP(M1813,'#verificação horas por projeto'!A:B,2,FALSE)</f>
        <v>#N/A</v>
      </c>
      <c r="D1813" s="202"/>
      <c r="E1813" s="107"/>
      <c r="F1813" s="205"/>
      <c r="G1813" s="226"/>
      <c r="H1813" s="107"/>
      <c r="I1813" s="227"/>
      <c r="J1813" s="227"/>
      <c r="K1813" s="115"/>
      <c r="L1813" s="228"/>
      <c r="M1813" s="107"/>
      <c r="N1813" s="229">
        <f>IF(AND(O1813=TRUE,P1813=TRUE), VLOOKUP($E1813,PESSOAL!$B$35:$S$45,MONTH($F1813)+6,FALSE)*G1813*24,0)</f>
        <v>0</v>
      </c>
      <c r="O1813" s="89"/>
      <c r="P1813" s="89" t="b">
        <v>0</v>
      </c>
      <c r="Q1813" s="89" t="e">
        <v>#N/A</v>
      </c>
    </row>
    <row r="1814" hidden="1">
      <c r="A1814" s="108"/>
      <c r="B1814" s="202"/>
      <c r="C1814" s="202" t="str">
        <f>VLOOKUP(M1814,'#verificação horas por projeto'!A:B,2,FALSE)</f>
        <v>#N/A</v>
      </c>
      <c r="D1814" s="202"/>
      <c r="E1814" s="107"/>
      <c r="F1814" s="205"/>
      <c r="G1814" s="226"/>
      <c r="H1814" s="107"/>
      <c r="I1814" s="227"/>
      <c r="J1814" s="227"/>
      <c r="K1814" s="115"/>
      <c r="L1814" s="228"/>
      <c r="M1814" s="107"/>
      <c r="N1814" s="229">
        <f>IF(AND(O1814=TRUE,P1814=TRUE), VLOOKUP($E1814,PESSOAL!$B$35:$S$45,MONTH($F1814)+6,FALSE)*G1814*24,0)</f>
        <v>0</v>
      </c>
      <c r="O1814" s="89"/>
      <c r="P1814" s="89" t="b">
        <v>0</v>
      </c>
      <c r="Q1814" s="89" t="e">
        <v>#N/A</v>
      </c>
    </row>
    <row r="1815" hidden="1">
      <c r="A1815" s="108"/>
      <c r="B1815" s="202"/>
      <c r="C1815" s="202" t="str">
        <f>VLOOKUP(M1815,'#verificação horas por projeto'!A:B,2,FALSE)</f>
        <v>#N/A</v>
      </c>
      <c r="D1815" s="202"/>
      <c r="E1815" s="107"/>
      <c r="F1815" s="205"/>
      <c r="G1815" s="226"/>
      <c r="H1815" s="107"/>
      <c r="I1815" s="227"/>
      <c r="J1815" s="227"/>
      <c r="K1815" s="115"/>
      <c r="L1815" s="228"/>
      <c r="M1815" s="107"/>
      <c r="N1815" s="229">
        <f>IF(AND(O1815=TRUE,P1815=TRUE), VLOOKUP($E1815,PESSOAL!$B$35:$S$45,MONTH($F1815)+6,FALSE)*G1815*24,0)</f>
        <v>0</v>
      </c>
      <c r="O1815" s="89"/>
      <c r="P1815" s="89" t="b">
        <v>0</v>
      </c>
      <c r="Q1815" s="89" t="e">
        <v>#N/A</v>
      </c>
    </row>
    <row r="1816" hidden="1">
      <c r="A1816" s="108"/>
      <c r="B1816" s="202"/>
      <c r="C1816" s="202" t="str">
        <f>VLOOKUP(M1816,'#verificação horas por projeto'!A:B,2,FALSE)</f>
        <v>#N/A</v>
      </c>
      <c r="D1816" s="202"/>
      <c r="E1816" s="107"/>
      <c r="F1816" s="205"/>
      <c r="G1816" s="226"/>
      <c r="H1816" s="107"/>
      <c r="I1816" s="227"/>
      <c r="J1816" s="227"/>
      <c r="K1816" s="115"/>
      <c r="L1816" s="228"/>
      <c r="M1816" s="107"/>
      <c r="N1816" s="229">
        <f>IF(AND(O1816=TRUE,P1816=TRUE), VLOOKUP($E1816,PESSOAL!$B$35:$S$45,MONTH($F1816)+6,FALSE)*G1816*24,0)</f>
        <v>0</v>
      </c>
      <c r="O1816" s="89"/>
      <c r="P1816" s="89" t="b">
        <v>0</v>
      </c>
      <c r="Q1816" s="89" t="e">
        <v>#N/A</v>
      </c>
    </row>
    <row r="1817" hidden="1">
      <c r="A1817" s="108"/>
      <c r="B1817" s="202"/>
      <c r="C1817" s="202" t="str">
        <f>VLOOKUP(M1817,'#verificação horas por projeto'!A:B,2,FALSE)</f>
        <v>#N/A</v>
      </c>
      <c r="D1817" s="202"/>
      <c r="E1817" s="107"/>
      <c r="F1817" s="205"/>
      <c r="G1817" s="226"/>
      <c r="H1817" s="107"/>
      <c r="I1817" s="227"/>
      <c r="J1817" s="227"/>
      <c r="K1817" s="115"/>
      <c r="L1817" s="228"/>
      <c r="M1817" s="107"/>
      <c r="N1817" s="229">
        <f>IF(AND(O1817=TRUE,P1817=TRUE), VLOOKUP($E1817,PESSOAL!$B$35:$S$45,MONTH($F1817)+6,FALSE)*G1817*24,0)</f>
        <v>0</v>
      </c>
      <c r="O1817" s="89"/>
      <c r="P1817" s="89" t="b">
        <v>0</v>
      </c>
      <c r="Q1817" s="89" t="e">
        <v>#N/A</v>
      </c>
    </row>
    <row r="1818" hidden="1">
      <c r="A1818" s="108"/>
      <c r="B1818" s="202"/>
      <c r="C1818" s="202" t="str">
        <f>VLOOKUP(M1818,'#verificação horas por projeto'!A:B,2,FALSE)</f>
        <v>#N/A</v>
      </c>
      <c r="D1818" s="202"/>
      <c r="E1818" s="107"/>
      <c r="F1818" s="205"/>
      <c r="G1818" s="226"/>
      <c r="H1818" s="107"/>
      <c r="I1818" s="227"/>
      <c r="J1818" s="227"/>
      <c r="K1818" s="115"/>
      <c r="L1818" s="228"/>
      <c r="M1818" s="107"/>
      <c r="N1818" s="229">
        <f>IF(AND(O1818=TRUE,P1818=TRUE), VLOOKUP($E1818,PESSOAL!$B$35:$S$45,MONTH($F1818)+6,FALSE)*G1818*24,0)</f>
        <v>0</v>
      </c>
      <c r="O1818" s="89"/>
      <c r="P1818" s="89" t="b">
        <v>0</v>
      </c>
      <c r="Q1818" s="89" t="e">
        <v>#N/A</v>
      </c>
    </row>
    <row r="1819" hidden="1">
      <c r="A1819" s="108"/>
      <c r="B1819" s="202"/>
      <c r="C1819" s="202" t="str">
        <f>VLOOKUP(M1819,'#verificação horas por projeto'!A:B,2,FALSE)</f>
        <v>#N/A</v>
      </c>
      <c r="D1819" s="202"/>
      <c r="E1819" s="107"/>
      <c r="F1819" s="205"/>
      <c r="G1819" s="226"/>
      <c r="H1819" s="107"/>
      <c r="I1819" s="227"/>
      <c r="J1819" s="227"/>
      <c r="K1819" s="115"/>
      <c r="L1819" s="228"/>
      <c r="M1819" s="107"/>
      <c r="N1819" s="229">
        <f>IF(AND(O1819=TRUE,P1819=TRUE), VLOOKUP($E1819,PESSOAL!$B$35:$S$45,MONTH($F1819)+6,FALSE)*G1819*24,0)</f>
        <v>0</v>
      </c>
      <c r="O1819" s="89"/>
      <c r="P1819" s="89" t="b">
        <v>0</v>
      </c>
      <c r="Q1819" s="89" t="e">
        <v>#N/A</v>
      </c>
    </row>
    <row r="1820" hidden="1">
      <c r="A1820" s="108"/>
      <c r="B1820" s="202"/>
      <c r="C1820" s="202" t="str">
        <f>VLOOKUP(M1820,'#verificação horas por projeto'!A:B,2,FALSE)</f>
        <v>#N/A</v>
      </c>
      <c r="D1820" s="202"/>
      <c r="E1820" s="107"/>
      <c r="F1820" s="205"/>
      <c r="G1820" s="226"/>
      <c r="H1820" s="107"/>
      <c r="I1820" s="227"/>
      <c r="J1820" s="227"/>
      <c r="K1820" s="115"/>
      <c r="L1820" s="228"/>
      <c r="M1820" s="107"/>
      <c r="N1820" s="229">
        <f>IF(AND(O1820=TRUE,P1820=TRUE), VLOOKUP($E1820,PESSOAL!$B$35:$S$45,MONTH($F1820)+6,FALSE)*G1820*24,0)</f>
        <v>0</v>
      </c>
      <c r="O1820" s="89"/>
      <c r="P1820" s="89" t="b">
        <v>0</v>
      </c>
      <c r="Q1820" s="89" t="e">
        <v>#N/A</v>
      </c>
    </row>
    <row r="1821" hidden="1">
      <c r="A1821" s="108"/>
      <c r="B1821" s="202"/>
      <c r="C1821" s="202" t="str">
        <f>VLOOKUP(M1821,'#verificação horas por projeto'!A:B,2,FALSE)</f>
        <v>#N/A</v>
      </c>
      <c r="D1821" s="202"/>
      <c r="E1821" s="107"/>
      <c r="F1821" s="205"/>
      <c r="G1821" s="226"/>
      <c r="H1821" s="107"/>
      <c r="I1821" s="227"/>
      <c r="J1821" s="227"/>
      <c r="K1821" s="115"/>
      <c r="L1821" s="228"/>
      <c r="M1821" s="107"/>
      <c r="N1821" s="229">
        <f>IF(AND(O1821=TRUE,P1821=TRUE), VLOOKUP($E1821,PESSOAL!$B$35:$S$45,MONTH($F1821)+6,FALSE)*G1821*24,0)</f>
        <v>0</v>
      </c>
      <c r="O1821" s="89"/>
      <c r="P1821" s="89" t="b">
        <v>0</v>
      </c>
      <c r="Q1821" s="89" t="e">
        <v>#N/A</v>
      </c>
    </row>
    <row r="1822" hidden="1">
      <c r="A1822" s="108"/>
      <c r="B1822" s="202"/>
      <c r="C1822" s="202" t="str">
        <f>VLOOKUP(M1822,'#verificação horas por projeto'!A:B,2,FALSE)</f>
        <v>#N/A</v>
      </c>
      <c r="D1822" s="202"/>
      <c r="E1822" s="107"/>
      <c r="F1822" s="205"/>
      <c r="G1822" s="226"/>
      <c r="H1822" s="107"/>
      <c r="I1822" s="227"/>
      <c r="J1822" s="227"/>
      <c r="K1822" s="115"/>
      <c r="L1822" s="228"/>
      <c r="M1822" s="107"/>
      <c r="N1822" s="229">
        <f>IF(AND(O1822=TRUE,P1822=TRUE), VLOOKUP($E1822,PESSOAL!$B$35:$S$45,MONTH($F1822)+6,FALSE)*G1822*24,0)</f>
        <v>0</v>
      </c>
      <c r="O1822" s="89"/>
      <c r="P1822" s="89" t="b">
        <v>0</v>
      </c>
      <c r="Q1822" s="89" t="e">
        <v>#N/A</v>
      </c>
    </row>
    <row r="1823" hidden="1">
      <c r="A1823" s="108"/>
      <c r="B1823" s="202"/>
      <c r="C1823" s="202" t="str">
        <f>VLOOKUP(M1823,'#verificação horas por projeto'!A:B,2,FALSE)</f>
        <v>#N/A</v>
      </c>
      <c r="D1823" s="202"/>
      <c r="E1823" s="107"/>
      <c r="F1823" s="205"/>
      <c r="G1823" s="226"/>
      <c r="H1823" s="107"/>
      <c r="I1823" s="227"/>
      <c r="J1823" s="227"/>
      <c r="K1823" s="115"/>
      <c r="L1823" s="228"/>
      <c r="M1823" s="107"/>
      <c r="N1823" s="229">
        <f>IF(AND(O1823=TRUE,P1823=TRUE), VLOOKUP($E1823,PESSOAL!$B$35:$S$45,MONTH($F1823)+6,FALSE)*G1823*24,0)</f>
        <v>0</v>
      </c>
      <c r="O1823" s="89"/>
      <c r="P1823" s="89" t="b">
        <v>0</v>
      </c>
      <c r="Q1823" s="89" t="e">
        <v>#N/A</v>
      </c>
    </row>
    <row r="1824" hidden="1">
      <c r="A1824" s="108"/>
      <c r="B1824" s="202"/>
      <c r="C1824" s="202" t="str">
        <f>VLOOKUP(M1824,'#verificação horas por projeto'!A:B,2,FALSE)</f>
        <v>#N/A</v>
      </c>
      <c r="D1824" s="202"/>
      <c r="E1824" s="107"/>
      <c r="F1824" s="205"/>
      <c r="G1824" s="226"/>
      <c r="H1824" s="107"/>
      <c r="I1824" s="227"/>
      <c r="J1824" s="227"/>
      <c r="K1824" s="115"/>
      <c r="L1824" s="228"/>
      <c r="M1824" s="107"/>
      <c r="N1824" s="229">
        <f>IF(AND(O1824=TRUE,P1824=TRUE), VLOOKUP($E1824,PESSOAL!$B$35:$S$45,MONTH($F1824)+6,FALSE)*G1824*24,0)</f>
        <v>0</v>
      </c>
      <c r="O1824" s="89"/>
      <c r="P1824" s="89" t="b">
        <v>0</v>
      </c>
      <c r="Q1824" s="89" t="e">
        <v>#N/A</v>
      </c>
    </row>
    <row r="1825" hidden="1">
      <c r="A1825" s="108"/>
      <c r="B1825" s="202"/>
      <c r="C1825" s="202" t="str">
        <f>VLOOKUP(M1825,'#verificação horas por projeto'!A:B,2,FALSE)</f>
        <v>#N/A</v>
      </c>
      <c r="D1825" s="202"/>
      <c r="E1825" s="107"/>
      <c r="F1825" s="205"/>
      <c r="G1825" s="226"/>
      <c r="H1825" s="107"/>
      <c r="I1825" s="227"/>
      <c r="J1825" s="227"/>
      <c r="K1825" s="115"/>
      <c r="L1825" s="228"/>
      <c r="M1825" s="107"/>
      <c r="N1825" s="229">
        <f>IF(AND(O1825=TRUE,P1825=TRUE), VLOOKUP($E1825,PESSOAL!$B$35:$S$45,MONTH($F1825)+6,FALSE)*G1825*24,0)</f>
        <v>0</v>
      </c>
      <c r="O1825" s="89"/>
      <c r="P1825" s="89" t="b">
        <v>0</v>
      </c>
      <c r="Q1825" s="89" t="e">
        <v>#N/A</v>
      </c>
    </row>
    <row r="1826" hidden="1">
      <c r="A1826" s="108"/>
      <c r="B1826" s="202"/>
      <c r="C1826" s="202" t="str">
        <f>VLOOKUP(M1826,'#verificação horas por projeto'!A:B,2,FALSE)</f>
        <v>#N/A</v>
      </c>
      <c r="D1826" s="202"/>
      <c r="E1826" s="107"/>
      <c r="F1826" s="205"/>
      <c r="G1826" s="226"/>
      <c r="H1826" s="107"/>
      <c r="I1826" s="227"/>
      <c r="J1826" s="227"/>
      <c r="K1826" s="115"/>
      <c r="L1826" s="228"/>
      <c r="M1826" s="107"/>
      <c r="N1826" s="229">
        <f>IF(AND(O1826=TRUE,P1826=TRUE), VLOOKUP($E1826,PESSOAL!$B$35:$S$45,MONTH($F1826)+6,FALSE)*G1826*24,0)</f>
        <v>0</v>
      </c>
      <c r="O1826" s="89"/>
      <c r="P1826" s="89" t="b">
        <v>0</v>
      </c>
      <c r="Q1826" s="89" t="e">
        <v>#N/A</v>
      </c>
    </row>
    <row r="1827" hidden="1">
      <c r="A1827" s="108"/>
      <c r="B1827" s="202"/>
      <c r="C1827" s="202" t="str">
        <f>VLOOKUP(M1827,'#verificação horas por projeto'!A:B,2,FALSE)</f>
        <v>#N/A</v>
      </c>
      <c r="D1827" s="202"/>
      <c r="E1827" s="107"/>
      <c r="F1827" s="205"/>
      <c r="G1827" s="226"/>
      <c r="H1827" s="107"/>
      <c r="I1827" s="227"/>
      <c r="J1827" s="227"/>
      <c r="K1827" s="115"/>
      <c r="L1827" s="228"/>
      <c r="M1827" s="107"/>
      <c r="N1827" s="229">
        <f>IF(AND(O1827=TRUE,P1827=TRUE), VLOOKUP($E1827,PESSOAL!$B$35:$S$45,MONTH($F1827)+6,FALSE)*G1827*24,0)</f>
        <v>0</v>
      </c>
      <c r="O1827" s="89"/>
      <c r="P1827" s="89" t="b">
        <v>0</v>
      </c>
      <c r="Q1827" s="89" t="e">
        <v>#N/A</v>
      </c>
    </row>
    <row r="1828" hidden="1">
      <c r="A1828" s="108"/>
      <c r="B1828" s="202"/>
      <c r="C1828" s="202" t="str">
        <f>VLOOKUP(M1828,'#verificação horas por projeto'!A:B,2,FALSE)</f>
        <v>#N/A</v>
      </c>
      <c r="D1828" s="202"/>
      <c r="E1828" s="107"/>
      <c r="F1828" s="205"/>
      <c r="G1828" s="226"/>
      <c r="H1828" s="107"/>
      <c r="I1828" s="227"/>
      <c r="J1828" s="227"/>
      <c r="K1828" s="115"/>
      <c r="L1828" s="228"/>
      <c r="M1828" s="107"/>
      <c r="N1828" s="229">
        <f>IF(AND(O1828=TRUE,P1828=TRUE), VLOOKUP($E1828,PESSOAL!$B$35:$S$45,MONTH($F1828)+6,FALSE)*G1828*24,0)</f>
        <v>0</v>
      </c>
      <c r="O1828" s="89"/>
      <c r="P1828" s="89" t="b">
        <v>0</v>
      </c>
      <c r="Q1828" s="89" t="e">
        <v>#N/A</v>
      </c>
    </row>
    <row r="1829" hidden="1">
      <c r="A1829" s="108"/>
      <c r="B1829" s="202"/>
      <c r="C1829" s="202" t="str">
        <f>VLOOKUP(M1829,'#verificação horas por projeto'!A:B,2,FALSE)</f>
        <v>#N/A</v>
      </c>
      <c r="D1829" s="202"/>
      <c r="E1829" s="107"/>
      <c r="F1829" s="205"/>
      <c r="G1829" s="226"/>
      <c r="H1829" s="107"/>
      <c r="I1829" s="227"/>
      <c r="J1829" s="227"/>
      <c r="K1829" s="115"/>
      <c r="L1829" s="228"/>
      <c r="M1829" s="107"/>
      <c r="N1829" s="229">
        <f>IF(AND(O1829=TRUE,P1829=TRUE), VLOOKUP($E1829,PESSOAL!$B$35:$S$45,MONTH($F1829)+6,FALSE)*G1829*24,0)</f>
        <v>0</v>
      </c>
      <c r="O1829" s="89"/>
      <c r="P1829" s="89" t="b">
        <v>0</v>
      </c>
      <c r="Q1829" s="89" t="e">
        <v>#N/A</v>
      </c>
    </row>
    <row r="1830" hidden="1">
      <c r="A1830" s="108"/>
      <c r="B1830" s="202"/>
      <c r="C1830" s="202" t="str">
        <f>VLOOKUP(M1830,'#verificação horas por projeto'!A:B,2,FALSE)</f>
        <v>#N/A</v>
      </c>
      <c r="D1830" s="202"/>
      <c r="E1830" s="107"/>
      <c r="F1830" s="205"/>
      <c r="G1830" s="226"/>
      <c r="H1830" s="107"/>
      <c r="I1830" s="227"/>
      <c r="J1830" s="227"/>
      <c r="K1830" s="115"/>
      <c r="L1830" s="228"/>
      <c r="M1830" s="107"/>
      <c r="N1830" s="229">
        <f>IF(AND(O1830=TRUE,P1830=TRUE), VLOOKUP($E1830,PESSOAL!$B$35:$S$45,MONTH($F1830)+6,FALSE)*G1830*24,0)</f>
        <v>0</v>
      </c>
      <c r="O1830" s="89"/>
      <c r="P1830" s="89" t="b">
        <v>0</v>
      </c>
      <c r="Q1830" s="89" t="e">
        <v>#N/A</v>
      </c>
    </row>
    <row r="1831" hidden="1">
      <c r="A1831" s="108"/>
      <c r="B1831" s="202"/>
      <c r="C1831" s="202" t="str">
        <f>VLOOKUP(M1831,'#verificação horas por projeto'!A:B,2,FALSE)</f>
        <v>#N/A</v>
      </c>
      <c r="D1831" s="202"/>
      <c r="E1831" s="107"/>
      <c r="F1831" s="205"/>
      <c r="G1831" s="226"/>
      <c r="H1831" s="107"/>
      <c r="I1831" s="227"/>
      <c r="J1831" s="227"/>
      <c r="K1831" s="115"/>
      <c r="L1831" s="228"/>
      <c r="M1831" s="107"/>
      <c r="N1831" s="229">
        <f>IF(AND(O1831=TRUE,P1831=TRUE), VLOOKUP($E1831,PESSOAL!$B$35:$S$45,MONTH($F1831)+6,FALSE)*G1831*24,0)</f>
        <v>0</v>
      </c>
      <c r="O1831" s="89"/>
      <c r="P1831" s="89" t="b">
        <v>0</v>
      </c>
      <c r="Q1831" s="89" t="e">
        <v>#N/A</v>
      </c>
    </row>
    <row r="1832" hidden="1">
      <c r="A1832" s="108"/>
      <c r="B1832" s="202"/>
      <c r="C1832" s="202" t="str">
        <f>VLOOKUP(M1832,'#verificação horas por projeto'!A:B,2,FALSE)</f>
        <v>#N/A</v>
      </c>
      <c r="D1832" s="202"/>
      <c r="E1832" s="107"/>
      <c r="F1832" s="205"/>
      <c r="G1832" s="226"/>
      <c r="H1832" s="107"/>
      <c r="I1832" s="227"/>
      <c r="J1832" s="227"/>
      <c r="K1832" s="115"/>
      <c r="L1832" s="228"/>
      <c r="M1832" s="107"/>
      <c r="N1832" s="229">
        <f>IF(AND(O1832=TRUE,P1832=TRUE), VLOOKUP($E1832,PESSOAL!$B$35:$S$45,MONTH($F1832)+6,FALSE)*G1832*24,0)</f>
        <v>0</v>
      </c>
      <c r="O1832" s="89"/>
      <c r="P1832" s="89" t="b">
        <v>0</v>
      </c>
      <c r="Q1832" s="89" t="e">
        <v>#N/A</v>
      </c>
    </row>
    <row r="1833" hidden="1">
      <c r="A1833" s="108"/>
      <c r="B1833" s="202"/>
      <c r="C1833" s="202" t="str">
        <f>VLOOKUP(M1833,'#verificação horas por projeto'!A:B,2,FALSE)</f>
        <v>#N/A</v>
      </c>
      <c r="D1833" s="202"/>
      <c r="E1833" s="107"/>
      <c r="F1833" s="205"/>
      <c r="G1833" s="226"/>
      <c r="H1833" s="107"/>
      <c r="I1833" s="227"/>
      <c r="J1833" s="227"/>
      <c r="K1833" s="115"/>
      <c r="L1833" s="228"/>
      <c r="M1833" s="107"/>
      <c r="N1833" s="229">
        <f>IF(AND(O1833=TRUE,P1833=TRUE), VLOOKUP($E1833,PESSOAL!$B$35:$S$45,MONTH($F1833)+6,FALSE)*G1833*24,0)</f>
        <v>0</v>
      </c>
      <c r="O1833" s="89"/>
      <c r="P1833" s="89" t="b">
        <v>0</v>
      </c>
      <c r="Q1833" s="89" t="e">
        <v>#N/A</v>
      </c>
    </row>
    <row r="1834" hidden="1">
      <c r="A1834" s="108"/>
      <c r="B1834" s="202"/>
      <c r="C1834" s="202" t="str">
        <f>VLOOKUP(M1834,'#verificação horas por projeto'!A:B,2,FALSE)</f>
        <v>#N/A</v>
      </c>
      <c r="D1834" s="202"/>
      <c r="E1834" s="107"/>
      <c r="F1834" s="205"/>
      <c r="G1834" s="226"/>
      <c r="H1834" s="107"/>
      <c r="I1834" s="227"/>
      <c r="J1834" s="227"/>
      <c r="K1834" s="115"/>
      <c r="L1834" s="228"/>
      <c r="M1834" s="107"/>
      <c r="N1834" s="229">
        <f>IF(AND(O1834=TRUE,P1834=TRUE), VLOOKUP($E1834,PESSOAL!$B$35:$S$45,MONTH($F1834)+6,FALSE)*G1834*24,0)</f>
        <v>0</v>
      </c>
      <c r="O1834" s="89"/>
      <c r="P1834" s="89" t="b">
        <v>0</v>
      </c>
      <c r="Q1834" s="89" t="e">
        <v>#N/A</v>
      </c>
    </row>
    <row r="1835" hidden="1">
      <c r="A1835" s="108"/>
      <c r="B1835" s="202"/>
      <c r="C1835" s="202" t="str">
        <f>VLOOKUP(M1835,'#verificação horas por projeto'!A:B,2,FALSE)</f>
        <v>#N/A</v>
      </c>
      <c r="D1835" s="202"/>
      <c r="E1835" s="107"/>
      <c r="F1835" s="205"/>
      <c r="G1835" s="226"/>
      <c r="H1835" s="107"/>
      <c r="I1835" s="227"/>
      <c r="J1835" s="227"/>
      <c r="K1835" s="115"/>
      <c r="L1835" s="228"/>
      <c r="M1835" s="107"/>
      <c r="N1835" s="229">
        <f>IF(AND(O1835=TRUE,P1835=TRUE), VLOOKUP($E1835,PESSOAL!$B$35:$S$45,MONTH($F1835)+6,FALSE)*G1835*24,0)</f>
        <v>0</v>
      </c>
      <c r="O1835" s="89"/>
      <c r="P1835" s="89" t="b">
        <v>0</v>
      </c>
      <c r="Q1835" s="89" t="e">
        <v>#N/A</v>
      </c>
    </row>
    <row r="1836" hidden="1">
      <c r="A1836" s="108"/>
      <c r="B1836" s="202"/>
      <c r="C1836" s="202" t="str">
        <f>VLOOKUP(M1836,'#verificação horas por projeto'!A:B,2,FALSE)</f>
        <v>#N/A</v>
      </c>
      <c r="D1836" s="202"/>
      <c r="E1836" s="107"/>
      <c r="F1836" s="205"/>
      <c r="G1836" s="226"/>
      <c r="H1836" s="107"/>
      <c r="I1836" s="227"/>
      <c r="J1836" s="227"/>
      <c r="K1836" s="115"/>
      <c r="L1836" s="228"/>
      <c r="M1836" s="107"/>
      <c r="N1836" s="229">
        <f>IF(AND(O1836=TRUE,P1836=TRUE), VLOOKUP($E1836,PESSOAL!$B$35:$S$45,MONTH($F1836)+6,FALSE)*G1836*24,0)</f>
        <v>0</v>
      </c>
      <c r="O1836" s="89"/>
      <c r="P1836" s="89" t="b">
        <v>0</v>
      </c>
      <c r="Q1836" s="89" t="e">
        <v>#N/A</v>
      </c>
    </row>
    <row r="1837" hidden="1">
      <c r="A1837" s="108"/>
      <c r="B1837" s="202"/>
      <c r="C1837" s="202" t="str">
        <f>VLOOKUP(M1837,'#verificação horas por projeto'!A:B,2,FALSE)</f>
        <v>#N/A</v>
      </c>
      <c r="D1837" s="202"/>
      <c r="E1837" s="107"/>
      <c r="F1837" s="205"/>
      <c r="G1837" s="226"/>
      <c r="H1837" s="107"/>
      <c r="I1837" s="227"/>
      <c r="J1837" s="227"/>
      <c r="K1837" s="115"/>
      <c r="L1837" s="228"/>
      <c r="M1837" s="107"/>
      <c r="N1837" s="229">
        <f>IF(AND(O1837=TRUE,P1837=TRUE), VLOOKUP($E1837,PESSOAL!$B$35:$S$45,MONTH($F1837)+6,FALSE)*G1837*24,0)</f>
        <v>0</v>
      </c>
      <c r="O1837" s="89"/>
      <c r="P1837" s="89" t="b">
        <v>0</v>
      </c>
      <c r="Q1837" s="89" t="e">
        <v>#N/A</v>
      </c>
    </row>
    <row r="1838" hidden="1">
      <c r="A1838" s="108"/>
      <c r="B1838" s="202"/>
      <c r="C1838" s="202" t="str">
        <f>VLOOKUP(M1838,'#verificação horas por projeto'!A:B,2,FALSE)</f>
        <v>#N/A</v>
      </c>
      <c r="D1838" s="202"/>
      <c r="E1838" s="107"/>
      <c r="F1838" s="205"/>
      <c r="G1838" s="226"/>
      <c r="H1838" s="107"/>
      <c r="I1838" s="227"/>
      <c r="J1838" s="227"/>
      <c r="K1838" s="115"/>
      <c r="L1838" s="228"/>
      <c r="M1838" s="107"/>
      <c r="N1838" s="229">
        <f>IF(AND(O1838=TRUE,P1838=TRUE), VLOOKUP($E1838,PESSOAL!$B$35:$S$45,MONTH($F1838)+6,FALSE)*G1838*24,0)</f>
        <v>0</v>
      </c>
      <c r="O1838" s="89"/>
      <c r="P1838" s="89" t="b">
        <v>0</v>
      </c>
      <c r="Q1838" s="89" t="e">
        <v>#N/A</v>
      </c>
    </row>
    <row r="1839" hidden="1">
      <c r="A1839" s="108"/>
      <c r="B1839" s="202"/>
      <c r="C1839" s="202" t="str">
        <f>VLOOKUP(M1839,'#verificação horas por projeto'!A:B,2,FALSE)</f>
        <v>#N/A</v>
      </c>
      <c r="D1839" s="202"/>
      <c r="E1839" s="107"/>
      <c r="F1839" s="205"/>
      <c r="G1839" s="226"/>
      <c r="H1839" s="107"/>
      <c r="I1839" s="227"/>
      <c r="J1839" s="227"/>
      <c r="K1839" s="115"/>
      <c r="L1839" s="228"/>
      <c r="M1839" s="107"/>
      <c r="N1839" s="229">
        <f>IF(AND(O1839=TRUE,P1839=TRUE), VLOOKUP($E1839,PESSOAL!$B$35:$S$45,MONTH($F1839)+6,FALSE)*G1839*24,0)</f>
        <v>0</v>
      </c>
      <c r="O1839" s="89"/>
      <c r="P1839" s="89" t="b">
        <v>0</v>
      </c>
      <c r="Q1839" s="89" t="e">
        <v>#N/A</v>
      </c>
    </row>
    <row r="1840" hidden="1">
      <c r="A1840" s="108"/>
      <c r="B1840" s="202"/>
      <c r="C1840" s="202" t="str">
        <f>VLOOKUP(M1840,'#verificação horas por projeto'!A:B,2,FALSE)</f>
        <v>#N/A</v>
      </c>
      <c r="D1840" s="202"/>
      <c r="E1840" s="107"/>
      <c r="F1840" s="205"/>
      <c r="G1840" s="226"/>
      <c r="H1840" s="107"/>
      <c r="I1840" s="227"/>
      <c r="J1840" s="227"/>
      <c r="K1840" s="115"/>
      <c r="L1840" s="228"/>
      <c r="M1840" s="107"/>
      <c r="N1840" s="229">
        <f>IF(AND(O1840=TRUE,P1840=TRUE), VLOOKUP($E1840,PESSOAL!$B$35:$S$45,MONTH($F1840)+6,FALSE)*G1840*24,0)</f>
        <v>0</v>
      </c>
      <c r="O1840" s="89"/>
      <c r="P1840" s="89" t="b">
        <v>0</v>
      </c>
      <c r="Q1840" s="89" t="e">
        <v>#N/A</v>
      </c>
    </row>
    <row r="1841" hidden="1">
      <c r="A1841" s="108"/>
      <c r="B1841" s="202"/>
      <c r="C1841" s="202" t="str">
        <f>VLOOKUP(M1841,'#verificação horas por projeto'!A:B,2,FALSE)</f>
        <v>#N/A</v>
      </c>
      <c r="D1841" s="202"/>
      <c r="E1841" s="107"/>
      <c r="F1841" s="205"/>
      <c r="G1841" s="226"/>
      <c r="H1841" s="107"/>
      <c r="I1841" s="227"/>
      <c r="J1841" s="227"/>
      <c r="K1841" s="115"/>
      <c r="L1841" s="228"/>
      <c r="M1841" s="107"/>
      <c r="N1841" s="229">
        <f>IF(AND(O1841=TRUE,P1841=TRUE), VLOOKUP($E1841,PESSOAL!$B$35:$S$45,MONTH($F1841)+6,FALSE)*G1841*24,0)</f>
        <v>0</v>
      </c>
      <c r="O1841" s="89"/>
      <c r="P1841" s="89" t="b">
        <v>0</v>
      </c>
      <c r="Q1841" s="89" t="e">
        <v>#N/A</v>
      </c>
    </row>
    <row r="1842" hidden="1">
      <c r="A1842" s="108"/>
      <c r="B1842" s="202"/>
      <c r="C1842" s="202" t="str">
        <f>VLOOKUP(M1842,'#verificação horas por projeto'!A:B,2,FALSE)</f>
        <v>#N/A</v>
      </c>
      <c r="D1842" s="202"/>
      <c r="E1842" s="107"/>
      <c r="F1842" s="205"/>
      <c r="G1842" s="226"/>
      <c r="H1842" s="107"/>
      <c r="I1842" s="227"/>
      <c r="J1842" s="227"/>
      <c r="K1842" s="115"/>
      <c r="L1842" s="228"/>
      <c r="M1842" s="107"/>
      <c r="N1842" s="229">
        <f>IF(AND(O1842=TRUE,P1842=TRUE), VLOOKUP($E1842,PESSOAL!$B$35:$S$45,MONTH($F1842)+6,FALSE)*G1842*24,0)</f>
        <v>0</v>
      </c>
      <c r="O1842" s="89"/>
      <c r="P1842" s="89" t="b">
        <v>0</v>
      </c>
      <c r="Q1842" s="89" t="e">
        <v>#N/A</v>
      </c>
    </row>
    <row r="1843" hidden="1">
      <c r="A1843" s="108"/>
      <c r="B1843" s="202"/>
      <c r="C1843" s="202" t="str">
        <f>VLOOKUP(M1843,'#verificação horas por projeto'!A:B,2,FALSE)</f>
        <v>#N/A</v>
      </c>
      <c r="D1843" s="202"/>
      <c r="E1843" s="107"/>
      <c r="F1843" s="205"/>
      <c r="G1843" s="226"/>
      <c r="H1843" s="107"/>
      <c r="I1843" s="227"/>
      <c r="J1843" s="227"/>
      <c r="K1843" s="115"/>
      <c r="L1843" s="228"/>
      <c r="M1843" s="107"/>
      <c r="N1843" s="229">
        <f>IF(AND(O1843=TRUE,P1843=TRUE), VLOOKUP($E1843,PESSOAL!$B$35:$S$45,MONTH($F1843)+6,FALSE)*G1843*24,0)</f>
        <v>0</v>
      </c>
      <c r="O1843" s="89"/>
      <c r="P1843" s="89" t="b">
        <v>0</v>
      </c>
      <c r="Q1843" s="89" t="e">
        <v>#N/A</v>
      </c>
    </row>
    <row r="1844" hidden="1">
      <c r="A1844" s="108"/>
      <c r="B1844" s="202"/>
      <c r="C1844" s="202" t="str">
        <f>VLOOKUP(M1844,'#verificação horas por projeto'!A:B,2,FALSE)</f>
        <v>#N/A</v>
      </c>
      <c r="D1844" s="202"/>
      <c r="E1844" s="107"/>
      <c r="F1844" s="205"/>
      <c r="G1844" s="226"/>
      <c r="H1844" s="107"/>
      <c r="I1844" s="227"/>
      <c r="J1844" s="227"/>
      <c r="K1844" s="115"/>
      <c r="L1844" s="228"/>
      <c r="M1844" s="107"/>
      <c r="N1844" s="229">
        <f>IF(AND(O1844=TRUE,P1844=TRUE), VLOOKUP($E1844,PESSOAL!$B$35:$S$45,MONTH($F1844)+6,FALSE)*G1844*24,0)</f>
        <v>0</v>
      </c>
      <c r="O1844" s="89"/>
      <c r="P1844" s="89" t="b">
        <v>0</v>
      </c>
      <c r="Q1844" s="89" t="e">
        <v>#N/A</v>
      </c>
    </row>
    <row r="1845" hidden="1">
      <c r="A1845" s="108"/>
      <c r="B1845" s="202"/>
      <c r="C1845" s="202" t="str">
        <f>VLOOKUP(M1845,'#verificação horas por projeto'!A:B,2,FALSE)</f>
        <v>#N/A</v>
      </c>
      <c r="D1845" s="202"/>
      <c r="E1845" s="107"/>
      <c r="F1845" s="205"/>
      <c r="G1845" s="226"/>
      <c r="H1845" s="107"/>
      <c r="I1845" s="227"/>
      <c r="J1845" s="227"/>
      <c r="K1845" s="115"/>
      <c r="L1845" s="228"/>
      <c r="M1845" s="107"/>
      <c r="N1845" s="229">
        <f>IF(AND(O1845=TRUE,P1845=TRUE), VLOOKUP($E1845,PESSOAL!$B$35:$S$45,MONTH($F1845)+6,FALSE)*G1845*24,0)</f>
        <v>0</v>
      </c>
      <c r="O1845" s="89"/>
      <c r="P1845" s="89" t="b">
        <v>0</v>
      </c>
      <c r="Q1845" s="89" t="e">
        <v>#N/A</v>
      </c>
    </row>
    <row r="1846" hidden="1">
      <c r="A1846" s="108"/>
      <c r="B1846" s="202"/>
      <c r="C1846" s="202" t="str">
        <f>VLOOKUP(M1846,'#verificação horas por projeto'!A:B,2,FALSE)</f>
        <v>#N/A</v>
      </c>
      <c r="D1846" s="202"/>
      <c r="E1846" s="107"/>
      <c r="F1846" s="205"/>
      <c r="G1846" s="226"/>
      <c r="H1846" s="107"/>
      <c r="I1846" s="227"/>
      <c r="J1846" s="227"/>
      <c r="K1846" s="115"/>
      <c r="L1846" s="228"/>
      <c r="M1846" s="107"/>
      <c r="N1846" s="229">
        <f>IF(AND(O1846=TRUE,P1846=TRUE), VLOOKUP($E1846,PESSOAL!$B$35:$S$45,MONTH($F1846)+6,FALSE)*G1846*24,0)</f>
        <v>0</v>
      </c>
      <c r="O1846" s="89"/>
      <c r="P1846" s="89" t="b">
        <v>0</v>
      </c>
      <c r="Q1846" s="89" t="e">
        <v>#N/A</v>
      </c>
    </row>
    <row r="1847" hidden="1">
      <c r="A1847" s="108"/>
      <c r="B1847" s="202"/>
      <c r="C1847" s="202" t="str">
        <f>VLOOKUP(M1847,'#verificação horas por projeto'!A:B,2,FALSE)</f>
        <v>#N/A</v>
      </c>
      <c r="D1847" s="202"/>
      <c r="E1847" s="107"/>
      <c r="F1847" s="205"/>
      <c r="G1847" s="226"/>
      <c r="H1847" s="107"/>
      <c r="I1847" s="227"/>
      <c r="J1847" s="227"/>
      <c r="K1847" s="115"/>
      <c r="L1847" s="228"/>
      <c r="M1847" s="107"/>
      <c r="N1847" s="229">
        <f>IF(AND(O1847=TRUE,P1847=TRUE), VLOOKUP($E1847,PESSOAL!$B$35:$S$45,MONTH($F1847)+6,FALSE)*G1847*24,0)</f>
        <v>0</v>
      </c>
      <c r="O1847" s="89"/>
      <c r="P1847" s="89" t="b">
        <v>0</v>
      </c>
      <c r="Q1847" s="89" t="e">
        <v>#N/A</v>
      </c>
    </row>
    <row r="1848" hidden="1">
      <c r="A1848" s="108"/>
      <c r="B1848" s="202"/>
      <c r="C1848" s="202" t="str">
        <f>VLOOKUP(M1848,'#verificação horas por projeto'!A:B,2,FALSE)</f>
        <v>#N/A</v>
      </c>
      <c r="D1848" s="202"/>
      <c r="E1848" s="107"/>
      <c r="F1848" s="205"/>
      <c r="G1848" s="226"/>
      <c r="H1848" s="107"/>
      <c r="I1848" s="227"/>
      <c r="J1848" s="227"/>
      <c r="K1848" s="115"/>
      <c r="L1848" s="228"/>
      <c r="M1848" s="107"/>
      <c r="N1848" s="229">
        <f>IF(AND(O1848=TRUE,P1848=TRUE), VLOOKUP($E1848,PESSOAL!$B$35:$S$45,MONTH($F1848)+6,FALSE)*G1848*24,0)</f>
        <v>0</v>
      </c>
      <c r="O1848" s="89"/>
      <c r="P1848" s="89" t="b">
        <v>0</v>
      </c>
      <c r="Q1848" s="89" t="e">
        <v>#N/A</v>
      </c>
    </row>
    <row r="1849" hidden="1">
      <c r="A1849" s="108"/>
      <c r="B1849" s="202"/>
      <c r="C1849" s="202" t="str">
        <f>VLOOKUP(M1849,'#verificação horas por projeto'!A:B,2,FALSE)</f>
        <v>#N/A</v>
      </c>
      <c r="D1849" s="202"/>
      <c r="E1849" s="107"/>
      <c r="F1849" s="205"/>
      <c r="G1849" s="226"/>
      <c r="H1849" s="107"/>
      <c r="I1849" s="227"/>
      <c r="J1849" s="227"/>
      <c r="K1849" s="115"/>
      <c r="L1849" s="228"/>
      <c r="M1849" s="107"/>
      <c r="N1849" s="229">
        <f>IF(AND(O1849=TRUE,P1849=TRUE), VLOOKUP($E1849,PESSOAL!$B$35:$S$45,MONTH($F1849)+6,FALSE)*G1849*24,0)</f>
        <v>0</v>
      </c>
      <c r="O1849" s="89"/>
      <c r="P1849" s="89" t="b">
        <v>0</v>
      </c>
      <c r="Q1849" s="89" t="e">
        <v>#N/A</v>
      </c>
    </row>
    <row r="1850" hidden="1">
      <c r="A1850" s="108"/>
      <c r="B1850" s="202"/>
      <c r="C1850" s="202" t="str">
        <f>VLOOKUP(M1850,'#verificação horas por projeto'!A:B,2,FALSE)</f>
        <v>#N/A</v>
      </c>
      <c r="D1850" s="202"/>
      <c r="E1850" s="107"/>
      <c r="F1850" s="205"/>
      <c r="G1850" s="226"/>
      <c r="H1850" s="107"/>
      <c r="I1850" s="227"/>
      <c r="J1850" s="227"/>
      <c r="K1850" s="115"/>
      <c r="L1850" s="228"/>
      <c r="M1850" s="107"/>
      <c r="N1850" s="229">
        <f>IF(AND(O1850=TRUE,P1850=TRUE), VLOOKUP($E1850,PESSOAL!$B$35:$S$45,MONTH($F1850)+6,FALSE)*G1850*24,0)</f>
        <v>0</v>
      </c>
      <c r="O1850" s="89"/>
      <c r="P1850" s="89" t="b">
        <v>0</v>
      </c>
      <c r="Q1850" s="89" t="e">
        <v>#N/A</v>
      </c>
    </row>
    <row r="1851" hidden="1">
      <c r="A1851" s="108"/>
      <c r="B1851" s="202"/>
      <c r="C1851" s="202" t="str">
        <f>VLOOKUP(M1851,'#verificação horas por projeto'!A:B,2,FALSE)</f>
        <v>#N/A</v>
      </c>
      <c r="D1851" s="202"/>
      <c r="E1851" s="107"/>
      <c r="F1851" s="205"/>
      <c r="G1851" s="226"/>
      <c r="H1851" s="107"/>
      <c r="I1851" s="227"/>
      <c r="J1851" s="227"/>
      <c r="K1851" s="115"/>
      <c r="L1851" s="228"/>
      <c r="M1851" s="107"/>
      <c r="N1851" s="229">
        <f>IF(AND(O1851=TRUE,P1851=TRUE), VLOOKUP($E1851,PESSOAL!$B$35:$S$45,MONTH($F1851)+6,FALSE)*G1851*24,0)</f>
        <v>0</v>
      </c>
      <c r="O1851" s="89"/>
      <c r="P1851" s="89" t="b">
        <v>0</v>
      </c>
      <c r="Q1851" s="89" t="e">
        <v>#N/A</v>
      </c>
    </row>
    <row r="1852" hidden="1">
      <c r="A1852" s="108"/>
      <c r="B1852" s="202"/>
      <c r="C1852" s="202" t="str">
        <f>VLOOKUP(M1852,'#verificação horas por projeto'!A:B,2,FALSE)</f>
        <v>#N/A</v>
      </c>
      <c r="D1852" s="202"/>
      <c r="E1852" s="107"/>
      <c r="F1852" s="205"/>
      <c r="G1852" s="226"/>
      <c r="H1852" s="107"/>
      <c r="I1852" s="227"/>
      <c r="J1852" s="227"/>
      <c r="K1852" s="115"/>
      <c r="L1852" s="228"/>
      <c r="M1852" s="107"/>
      <c r="N1852" s="229">
        <f>IF(AND(O1852=TRUE,P1852=TRUE), VLOOKUP($E1852,PESSOAL!$B$35:$S$45,MONTH($F1852)+6,FALSE)*G1852*24,0)</f>
        <v>0</v>
      </c>
      <c r="O1852" s="89"/>
      <c r="P1852" s="89" t="b">
        <v>0</v>
      </c>
      <c r="Q1852" s="89" t="e">
        <v>#N/A</v>
      </c>
    </row>
    <row r="1853" hidden="1">
      <c r="A1853" s="108"/>
      <c r="B1853" s="202"/>
      <c r="C1853" s="202" t="str">
        <f>VLOOKUP(M1853,'#verificação horas por projeto'!A:B,2,FALSE)</f>
        <v>#N/A</v>
      </c>
      <c r="D1853" s="202"/>
      <c r="E1853" s="107"/>
      <c r="F1853" s="205"/>
      <c r="G1853" s="226"/>
      <c r="H1853" s="107"/>
      <c r="I1853" s="227"/>
      <c r="J1853" s="227"/>
      <c r="K1853" s="115"/>
      <c r="L1853" s="228"/>
      <c r="M1853" s="107"/>
      <c r="N1853" s="229">
        <f>IF(AND(O1853=TRUE,P1853=TRUE), VLOOKUP($E1853,PESSOAL!$B$35:$S$45,MONTH($F1853)+6,FALSE)*G1853*24,0)</f>
        <v>0</v>
      </c>
      <c r="O1853" s="89"/>
      <c r="P1853" s="89" t="b">
        <v>0</v>
      </c>
      <c r="Q1853" s="89" t="e">
        <v>#N/A</v>
      </c>
    </row>
    <row r="1854" hidden="1">
      <c r="A1854" s="108"/>
      <c r="B1854" s="202"/>
      <c r="C1854" s="202" t="str">
        <f>VLOOKUP(M1854,'#verificação horas por projeto'!A:B,2,FALSE)</f>
        <v>#N/A</v>
      </c>
      <c r="D1854" s="202"/>
      <c r="E1854" s="107"/>
      <c r="F1854" s="205"/>
      <c r="G1854" s="226"/>
      <c r="H1854" s="107"/>
      <c r="I1854" s="227"/>
      <c r="J1854" s="227"/>
      <c r="K1854" s="115"/>
      <c r="L1854" s="228"/>
      <c r="M1854" s="107"/>
      <c r="N1854" s="229">
        <f>IF(AND(O1854=TRUE,P1854=TRUE), VLOOKUP($E1854,PESSOAL!$B$35:$S$45,MONTH($F1854)+6,FALSE)*G1854*24,0)</f>
        <v>0</v>
      </c>
      <c r="O1854" s="89"/>
      <c r="P1854" s="89" t="b">
        <v>0</v>
      </c>
      <c r="Q1854" s="89" t="e">
        <v>#N/A</v>
      </c>
    </row>
    <row r="1855" hidden="1">
      <c r="A1855" s="108"/>
      <c r="B1855" s="202"/>
      <c r="C1855" s="202" t="str">
        <f>VLOOKUP(M1855,'#verificação horas por projeto'!A:B,2,FALSE)</f>
        <v>#N/A</v>
      </c>
      <c r="D1855" s="202"/>
      <c r="E1855" s="107"/>
      <c r="F1855" s="205"/>
      <c r="G1855" s="226"/>
      <c r="H1855" s="107"/>
      <c r="I1855" s="227"/>
      <c r="J1855" s="227"/>
      <c r="K1855" s="115"/>
      <c r="L1855" s="228"/>
      <c r="M1855" s="107"/>
      <c r="N1855" s="229">
        <f>IF(AND(O1855=TRUE,P1855=TRUE), VLOOKUP($E1855,PESSOAL!$B$35:$S$45,MONTH($F1855)+6,FALSE)*G1855*24,0)</f>
        <v>0</v>
      </c>
      <c r="O1855" s="89"/>
      <c r="P1855" s="89" t="b">
        <v>0</v>
      </c>
      <c r="Q1855" s="89" t="e">
        <v>#N/A</v>
      </c>
    </row>
    <row r="1856" hidden="1">
      <c r="A1856" s="108"/>
      <c r="B1856" s="202"/>
      <c r="C1856" s="202" t="str">
        <f>VLOOKUP(M1856,'#verificação horas por projeto'!A:B,2,FALSE)</f>
        <v>#N/A</v>
      </c>
      <c r="D1856" s="202"/>
      <c r="E1856" s="107"/>
      <c r="F1856" s="205"/>
      <c r="G1856" s="226"/>
      <c r="H1856" s="107"/>
      <c r="I1856" s="227"/>
      <c r="J1856" s="227"/>
      <c r="K1856" s="115"/>
      <c r="L1856" s="228"/>
      <c r="M1856" s="107"/>
      <c r="N1856" s="229">
        <f>IF(AND(O1856=TRUE,P1856=TRUE), VLOOKUP($E1856,PESSOAL!$B$35:$S$45,MONTH($F1856)+6,FALSE)*G1856*24,0)</f>
        <v>0</v>
      </c>
      <c r="O1856" s="89"/>
      <c r="P1856" s="89" t="b">
        <v>0</v>
      </c>
      <c r="Q1856" s="89" t="e">
        <v>#N/A</v>
      </c>
    </row>
    <row r="1857" hidden="1">
      <c r="A1857" s="108"/>
      <c r="B1857" s="202"/>
      <c r="C1857" s="202" t="str">
        <f>VLOOKUP(M1857,'#verificação horas por projeto'!A:B,2,FALSE)</f>
        <v>#N/A</v>
      </c>
      <c r="D1857" s="202"/>
      <c r="E1857" s="107"/>
      <c r="F1857" s="205"/>
      <c r="G1857" s="226"/>
      <c r="H1857" s="107"/>
      <c r="I1857" s="227"/>
      <c r="J1857" s="227"/>
      <c r="K1857" s="115"/>
      <c r="L1857" s="228"/>
      <c r="M1857" s="107"/>
      <c r="N1857" s="229">
        <f>IF(AND(O1857=TRUE,P1857=TRUE), VLOOKUP($E1857,PESSOAL!$B$35:$S$45,MONTH($F1857)+6,FALSE)*G1857*24,0)</f>
        <v>0</v>
      </c>
      <c r="O1857" s="89"/>
      <c r="P1857" s="89" t="b">
        <v>0</v>
      </c>
      <c r="Q1857" s="89" t="e">
        <v>#N/A</v>
      </c>
    </row>
    <row r="1858" hidden="1">
      <c r="A1858" s="108"/>
      <c r="B1858" s="202"/>
      <c r="C1858" s="202" t="str">
        <f>VLOOKUP(M1858,'#verificação horas por projeto'!A:B,2,FALSE)</f>
        <v>#N/A</v>
      </c>
      <c r="D1858" s="202"/>
      <c r="E1858" s="107"/>
      <c r="F1858" s="205"/>
      <c r="G1858" s="226"/>
      <c r="H1858" s="107"/>
      <c r="I1858" s="227"/>
      <c r="J1858" s="227"/>
      <c r="K1858" s="115"/>
      <c r="L1858" s="228"/>
      <c r="M1858" s="107"/>
      <c r="N1858" s="229">
        <f>IF(AND(O1858=TRUE,P1858=TRUE), VLOOKUP($E1858,PESSOAL!$B$35:$S$45,MONTH($F1858)+6,FALSE)*G1858*24,0)</f>
        <v>0</v>
      </c>
      <c r="O1858" s="89"/>
      <c r="P1858" s="89" t="b">
        <v>0</v>
      </c>
      <c r="Q1858" s="89" t="e">
        <v>#N/A</v>
      </c>
    </row>
    <row r="1859" hidden="1">
      <c r="A1859" s="108"/>
      <c r="B1859" s="202"/>
      <c r="C1859" s="202" t="str">
        <f>VLOOKUP(M1859,'#verificação horas por projeto'!A:B,2,FALSE)</f>
        <v>#N/A</v>
      </c>
      <c r="D1859" s="202"/>
      <c r="E1859" s="107"/>
      <c r="F1859" s="205"/>
      <c r="G1859" s="226"/>
      <c r="H1859" s="107"/>
      <c r="I1859" s="227"/>
      <c r="J1859" s="227"/>
      <c r="K1859" s="115"/>
      <c r="L1859" s="228"/>
      <c r="M1859" s="107"/>
      <c r="N1859" s="229">
        <f>IF(AND(O1859=TRUE,P1859=TRUE), VLOOKUP($E1859,PESSOAL!$B$35:$S$45,MONTH($F1859)+6,FALSE)*G1859*24,0)</f>
        <v>0</v>
      </c>
      <c r="O1859" s="89"/>
      <c r="P1859" s="89" t="b">
        <v>0</v>
      </c>
      <c r="Q1859" s="89" t="e">
        <v>#N/A</v>
      </c>
    </row>
    <row r="1860" hidden="1">
      <c r="A1860" s="108"/>
      <c r="B1860" s="202"/>
      <c r="C1860" s="202" t="str">
        <f>VLOOKUP(M1860,'#verificação horas por projeto'!A:B,2,FALSE)</f>
        <v>#N/A</v>
      </c>
      <c r="D1860" s="202"/>
      <c r="E1860" s="107"/>
      <c r="F1860" s="205"/>
      <c r="G1860" s="226"/>
      <c r="H1860" s="107"/>
      <c r="I1860" s="227"/>
      <c r="J1860" s="227"/>
      <c r="K1860" s="115"/>
      <c r="L1860" s="228"/>
      <c r="M1860" s="107"/>
      <c r="N1860" s="229">
        <f>IF(AND(O1860=TRUE,P1860=TRUE), VLOOKUP($E1860,PESSOAL!$B$35:$S$45,MONTH($F1860)+6,FALSE)*G1860*24,0)</f>
        <v>0</v>
      </c>
      <c r="O1860" s="89"/>
      <c r="P1860" s="89" t="b">
        <v>0</v>
      </c>
      <c r="Q1860" s="89" t="e">
        <v>#N/A</v>
      </c>
    </row>
    <row r="1861" hidden="1">
      <c r="A1861" s="108"/>
      <c r="B1861" s="202"/>
      <c r="C1861" s="202" t="str">
        <f>VLOOKUP(M1861,'#verificação horas por projeto'!A:B,2,FALSE)</f>
        <v>#N/A</v>
      </c>
      <c r="D1861" s="202"/>
      <c r="E1861" s="107"/>
      <c r="F1861" s="205"/>
      <c r="G1861" s="226"/>
      <c r="H1861" s="107"/>
      <c r="I1861" s="227"/>
      <c r="J1861" s="227"/>
      <c r="K1861" s="115"/>
      <c r="L1861" s="228"/>
      <c r="M1861" s="107"/>
      <c r="N1861" s="229">
        <f>IF(AND(O1861=TRUE,P1861=TRUE), VLOOKUP($E1861,PESSOAL!$B$35:$S$45,MONTH($F1861)+6,FALSE)*G1861*24,0)</f>
        <v>0</v>
      </c>
      <c r="O1861" s="89"/>
      <c r="P1861" s="89" t="b">
        <v>0</v>
      </c>
      <c r="Q1861" s="89" t="e">
        <v>#N/A</v>
      </c>
    </row>
    <row r="1862" hidden="1">
      <c r="A1862" s="108"/>
      <c r="B1862" s="202"/>
      <c r="C1862" s="202" t="str">
        <f>VLOOKUP(M1862,'#verificação horas por projeto'!A:B,2,FALSE)</f>
        <v>#N/A</v>
      </c>
      <c r="D1862" s="202"/>
      <c r="E1862" s="107"/>
      <c r="F1862" s="205"/>
      <c r="G1862" s="226"/>
      <c r="H1862" s="107"/>
      <c r="I1862" s="227"/>
      <c r="J1862" s="227"/>
      <c r="K1862" s="115"/>
      <c r="L1862" s="228"/>
      <c r="M1862" s="107"/>
      <c r="N1862" s="229">
        <f>IF(AND(O1862=TRUE,P1862=TRUE), VLOOKUP($E1862,PESSOAL!$B$35:$S$45,MONTH($F1862)+6,FALSE)*G1862*24,0)</f>
        <v>0</v>
      </c>
      <c r="O1862" s="89"/>
      <c r="P1862" s="89" t="b">
        <v>0</v>
      </c>
      <c r="Q1862" s="89" t="e">
        <v>#N/A</v>
      </c>
    </row>
    <row r="1863" hidden="1">
      <c r="A1863" s="108"/>
      <c r="B1863" s="202"/>
      <c r="C1863" s="202" t="str">
        <f>VLOOKUP(M1863,'#verificação horas por projeto'!A:B,2,FALSE)</f>
        <v>#N/A</v>
      </c>
      <c r="D1863" s="202"/>
      <c r="E1863" s="107"/>
      <c r="F1863" s="205"/>
      <c r="G1863" s="226"/>
      <c r="H1863" s="107"/>
      <c r="I1863" s="227"/>
      <c r="J1863" s="227"/>
      <c r="K1863" s="115"/>
      <c r="L1863" s="228"/>
      <c r="M1863" s="107"/>
      <c r="N1863" s="229">
        <f>IF(AND(O1863=TRUE,P1863=TRUE), VLOOKUP($E1863,PESSOAL!$B$35:$S$45,MONTH($F1863)+6,FALSE)*G1863*24,0)</f>
        <v>0</v>
      </c>
      <c r="O1863" s="89"/>
      <c r="P1863" s="89" t="b">
        <v>0</v>
      </c>
      <c r="Q1863" s="89" t="e">
        <v>#N/A</v>
      </c>
    </row>
    <row r="1864" hidden="1">
      <c r="A1864" s="108"/>
      <c r="B1864" s="202"/>
      <c r="C1864" s="202" t="str">
        <f>VLOOKUP(M1864,'#verificação horas por projeto'!A:B,2,FALSE)</f>
        <v>#N/A</v>
      </c>
      <c r="D1864" s="202"/>
      <c r="E1864" s="107"/>
      <c r="F1864" s="205"/>
      <c r="G1864" s="226"/>
      <c r="H1864" s="107"/>
      <c r="I1864" s="227"/>
      <c r="J1864" s="227"/>
      <c r="K1864" s="115"/>
      <c r="L1864" s="228"/>
      <c r="M1864" s="107"/>
      <c r="N1864" s="229">
        <f>IF(AND(O1864=TRUE,P1864=TRUE), VLOOKUP($E1864,PESSOAL!$B$35:$S$45,MONTH($F1864)+6,FALSE)*G1864*24,0)</f>
        <v>0</v>
      </c>
      <c r="O1864" s="89"/>
      <c r="P1864" s="89" t="b">
        <v>0</v>
      </c>
      <c r="Q1864" s="89" t="e">
        <v>#N/A</v>
      </c>
    </row>
    <row r="1865" hidden="1">
      <c r="A1865" s="108"/>
      <c r="B1865" s="202"/>
      <c r="C1865" s="202" t="str">
        <f>VLOOKUP(M1865,'#verificação horas por projeto'!A:B,2,FALSE)</f>
        <v>#N/A</v>
      </c>
      <c r="D1865" s="202"/>
      <c r="E1865" s="107"/>
      <c r="F1865" s="205"/>
      <c r="G1865" s="226"/>
      <c r="H1865" s="107"/>
      <c r="I1865" s="227"/>
      <c r="J1865" s="227"/>
      <c r="K1865" s="115"/>
      <c r="L1865" s="228"/>
      <c r="M1865" s="107"/>
      <c r="N1865" s="229">
        <f>IF(AND(O1865=TRUE,P1865=TRUE), VLOOKUP($E1865,PESSOAL!$B$35:$S$45,MONTH($F1865)+6,FALSE)*G1865*24,0)</f>
        <v>0</v>
      </c>
      <c r="O1865" s="89"/>
      <c r="P1865" s="89" t="b">
        <v>0</v>
      </c>
      <c r="Q1865" s="89" t="e">
        <v>#N/A</v>
      </c>
    </row>
    <row r="1866" hidden="1">
      <c r="A1866" s="108"/>
      <c r="B1866" s="202"/>
      <c r="C1866" s="202" t="str">
        <f>VLOOKUP(M1866,'#verificação horas por projeto'!A:B,2,FALSE)</f>
        <v>#N/A</v>
      </c>
      <c r="D1866" s="202"/>
      <c r="E1866" s="107"/>
      <c r="F1866" s="205"/>
      <c r="G1866" s="226"/>
      <c r="H1866" s="107"/>
      <c r="I1866" s="227"/>
      <c r="J1866" s="227"/>
      <c r="K1866" s="115"/>
      <c r="L1866" s="228"/>
      <c r="M1866" s="107"/>
      <c r="N1866" s="229">
        <f>IF(AND(O1866=TRUE,P1866=TRUE), VLOOKUP($E1866,PESSOAL!$B$35:$S$45,MONTH($F1866)+6,FALSE)*G1866*24,0)</f>
        <v>0</v>
      </c>
      <c r="O1866" s="89"/>
      <c r="P1866" s="89" t="b">
        <v>0</v>
      </c>
      <c r="Q1866" s="89" t="e">
        <v>#N/A</v>
      </c>
    </row>
    <row r="1867" hidden="1">
      <c r="A1867" s="108"/>
      <c r="B1867" s="202"/>
      <c r="C1867" s="202" t="str">
        <f>VLOOKUP(M1867,'#verificação horas por projeto'!A:B,2,FALSE)</f>
        <v>#N/A</v>
      </c>
      <c r="D1867" s="202"/>
      <c r="E1867" s="107"/>
      <c r="F1867" s="205"/>
      <c r="G1867" s="226"/>
      <c r="H1867" s="107"/>
      <c r="I1867" s="227"/>
      <c r="J1867" s="227"/>
      <c r="K1867" s="115"/>
      <c r="L1867" s="228"/>
      <c r="M1867" s="107"/>
      <c r="N1867" s="229">
        <f>IF(AND(O1867=TRUE,P1867=TRUE), VLOOKUP($E1867,PESSOAL!$B$35:$S$45,MONTH($F1867)+6,FALSE)*G1867*24,0)</f>
        <v>0</v>
      </c>
      <c r="O1867" s="89"/>
      <c r="P1867" s="89" t="b">
        <v>0</v>
      </c>
      <c r="Q1867" s="89" t="e">
        <v>#N/A</v>
      </c>
    </row>
    <row r="1868" hidden="1">
      <c r="A1868" s="108"/>
      <c r="B1868" s="202"/>
      <c r="C1868" s="202" t="str">
        <f>VLOOKUP(M1868,'#verificação horas por projeto'!A:B,2,FALSE)</f>
        <v>#N/A</v>
      </c>
      <c r="D1868" s="202"/>
      <c r="E1868" s="107"/>
      <c r="F1868" s="205"/>
      <c r="G1868" s="226"/>
      <c r="H1868" s="107"/>
      <c r="I1868" s="227"/>
      <c r="J1868" s="227"/>
      <c r="K1868" s="115"/>
      <c r="L1868" s="228"/>
      <c r="M1868" s="107"/>
      <c r="N1868" s="229">
        <f>IF(AND(O1868=TRUE,P1868=TRUE), VLOOKUP($E1868,PESSOAL!$B$35:$S$45,MONTH($F1868)+6,FALSE)*G1868*24,0)</f>
        <v>0</v>
      </c>
      <c r="O1868" s="89"/>
      <c r="P1868" s="89" t="b">
        <v>0</v>
      </c>
      <c r="Q1868" s="89" t="e">
        <v>#N/A</v>
      </c>
    </row>
    <row r="1869" hidden="1">
      <c r="A1869" s="108"/>
      <c r="B1869" s="202"/>
      <c r="C1869" s="202" t="str">
        <f>VLOOKUP(M1869,'#verificação horas por projeto'!A:B,2,FALSE)</f>
        <v>#N/A</v>
      </c>
      <c r="D1869" s="202"/>
      <c r="E1869" s="107"/>
      <c r="F1869" s="205"/>
      <c r="G1869" s="226"/>
      <c r="H1869" s="107"/>
      <c r="I1869" s="227"/>
      <c r="J1869" s="227"/>
      <c r="K1869" s="115"/>
      <c r="L1869" s="228"/>
      <c r="M1869" s="107"/>
      <c r="N1869" s="229">
        <f>IF(AND(O1869=TRUE,P1869=TRUE), VLOOKUP($E1869,PESSOAL!$B$35:$S$45,MONTH($F1869)+6,FALSE)*G1869*24,0)</f>
        <v>0</v>
      </c>
      <c r="O1869" s="89"/>
      <c r="P1869" s="89" t="b">
        <v>0</v>
      </c>
      <c r="Q1869" s="89" t="e">
        <v>#N/A</v>
      </c>
    </row>
    <row r="1870" hidden="1">
      <c r="A1870" s="108"/>
      <c r="B1870" s="202"/>
      <c r="C1870" s="202" t="str">
        <f>VLOOKUP(M1870,'#verificação horas por projeto'!A:B,2,FALSE)</f>
        <v>#N/A</v>
      </c>
      <c r="D1870" s="202"/>
      <c r="E1870" s="107"/>
      <c r="F1870" s="205"/>
      <c r="G1870" s="226"/>
      <c r="H1870" s="107"/>
      <c r="I1870" s="227"/>
      <c r="J1870" s="227"/>
      <c r="K1870" s="115"/>
      <c r="L1870" s="228"/>
      <c r="M1870" s="107"/>
      <c r="N1870" s="229">
        <f>IF(AND(O1870=TRUE,P1870=TRUE), VLOOKUP($E1870,PESSOAL!$B$35:$S$45,MONTH($F1870)+6,FALSE)*G1870*24,0)</f>
        <v>0</v>
      </c>
      <c r="O1870" s="89"/>
      <c r="P1870" s="89" t="b">
        <v>0</v>
      </c>
      <c r="Q1870" s="89" t="e">
        <v>#N/A</v>
      </c>
    </row>
    <row r="1871" hidden="1">
      <c r="A1871" s="108"/>
      <c r="B1871" s="202"/>
      <c r="C1871" s="202" t="str">
        <f>VLOOKUP(M1871,'#verificação horas por projeto'!A:B,2,FALSE)</f>
        <v>#N/A</v>
      </c>
      <c r="D1871" s="202"/>
      <c r="E1871" s="107"/>
      <c r="F1871" s="205"/>
      <c r="G1871" s="226"/>
      <c r="H1871" s="107"/>
      <c r="I1871" s="227"/>
      <c r="J1871" s="227"/>
      <c r="K1871" s="115"/>
      <c r="L1871" s="228"/>
      <c r="M1871" s="107"/>
      <c r="N1871" s="229">
        <f>IF(AND(O1871=TRUE,P1871=TRUE), VLOOKUP($E1871,PESSOAL!$B$35:$S$45,MONTH($F1871)+6,FALSE)*G1871*24,0)</f>
        <v>0</v>
      </c>
      <c r="O1871" s="89"/>
      <c r="P1871" s="89" t="b">
        <v>0</v>
      </c>
      <c r="Q1871" s="89" t="e">
        <v>#N/A</v>
      </c>
    </row>
    <row r="1872" hidden="1">
      <c r="A1872" s="108"/>
      <c r="B1872" s="202"/>
      <c r="C1872" s="202" t="str">
        <f>VLOOKUP(M1872,'#verificação horas por projeto'!A:B,2,FALSE)</f>
        <v>#N/A</v>
      </c>
      <c r="D1872" s="202"/>
      <c r="E1872" s="107"/>
      <c r="F1872" s="205"/>
      <c r="G1872" s="226"/>
      <c r="H1872" s="107"/>
      <c r="I1872" s="227"/>
      <c r="J1872" s="227"/>
      <c r="K1872" s="115"/>
      <c r="L1872" s="228"/>
      <c r="M1872" s="107"/>
      <c r="N1872" s="229">
        <f>IF(AND(O1872=TRUE,P1872=TRUE), VLOOKUP($E1872,PESSOAL!$B$35:$S$45,MONTH($F1872)+6,FALSE)*G1872*24,0)</f>
        <v>0</v>
      </c>
      <c r="O1872" s="89"/>
      <c r="P1872" s="89" t="b">
        <v>0</v>
      </c>
      <c r="Q1872" s="89" t="e">
        <v>#N/A</v>
      </c>
    </row>
    <row r="1873" hidden="1">
      <c r="A1873" s="108"/>
      <c r="B1873" s="202"/>
      <c r="C1873" s="202" t="str">
        <f>VLOOKUP(M1873,'#verificação horas por projeto'!A:B,2,FALSE)</f>
        <v>#N/A</v>
      </c>
      <c r="D1873" s="202"/>
      <c r="E1873" s="107"/>
      <c r="F1873" s="205"/>
      <c r="G1873" s="226"/>
      <c r="H1873" s="107"/>
      <c r="I1873" s="227"/>
      <c r="J1873" s="227"/>
      <c r="K1873" s="115"/>
      <c r="L1873" s="228"/>
      <c r="M1873" s="107"/>
      <c r="N1873" s="229">
        <f>IF(AND(O1873=TRUE,P1873=TRUE), VLOOKUP($E1873,PESSOAL!$B$35:$S$45,MONTH($F1873)+6,FALSE)*G1873*24,0)</f>
        <v>0</v>
      </c>
      <c r="O1873" s="89"/>
      <c r="P1873" s="89" t="b">
        <v>0</v>
      </c>
      <c r="Q1873" s="89" t="e">
        <v>#N/A</v>
      </c>
    </row>
    <row r="1874" hidden="1">
      <c r="A1874" s="108"/>
      <c r="B1874" s="202"/>
      <c r="C1874" s="202" t="str">
        <f>VLOOKUP(M1874,'#verificação horas por projeto'!A:B,2,FALSE)</f>
        <v>#N/A</v>
      </c>
      <c r="D1874" s="202"/>
      <c r="E1874" s="107"/>
      <c r="F1874" s="205"/>
      <c r="G1874" s="226"/>
      <c r="H1874" s="107"/>
      <c r="I1874" s="227"/>
      <c r="J1874" s="227"/>
      <c r="K1874" s="115"/>
      <c r="L1874" s="228"/>
      <c r="M1874" s="107"/>
      <c r="N1874" s="229">
        <f>IF(AND(O1874=TRUE,P1874=TRUE), VLOOKUP($E1874,PESSOAL!$B$35:$S$45,MONTH($F1874)+6,FALSE)*G1874*24,0)</f>
        <v>0</v>
      </c>
      <c r="O1874" s="89"/>
      <c r="P1874" s="89" t="b">
        <v>0</v>
      </c>
      <c r="Q1874" s="89" t="e">
        <v>#N/A</v>
      </c>
    </row>
    <row r="1875" hidden="1">
      <c r="A1875" s="108"/>
      <c r="B1875" s="202"/>
      <c r="C1875" s="202" t="str">
        <f>VLOOKUP(M1875,'#verificação horas por projeto'!A:B,2,FALSE)</f>
        <v>#N/A</v>
      </c>
      <c r="D1875" s="202"/>
      <c r="E1875" s="107"/>
      <c r="F1875" s="205"/>
      <c r="G1875" s="226"/>
      <c r="H1875" s="107"/>
      <c r="I1875" s="227"/>
      <c r="J1875" s="227"/>
      <c r="K1875" s="115"/>
      <c r="L1875" s="228"/>
      <c r="M1875" s="107"/>
      <c r="N1875" s="229">
        <f>IF(AND(O1875=TRUE,P1875=TRUE), VLOOKUP($E1875,PESSOAL!$B$35:$S$45,MONTH($F1875)+6,FALSE)*G1875*24,0)</f>
        <v>0</v>
      </c>
      <c r="O1875" s="89"/>
      <c r="P1875" s="89" t="b">
        <v>0</v>
      </c>
      <c r="Q1875" s="89" t="e">
        <v>#N/A</v>
      </c>
    </row>
    <row r="1876" hidden="1">
      <c r="A1876" s="108"/>
      <c r="B1876" s="202"/>
      <c r="C1876" s="202" t="str">
        <f>VLOOKUP(M1876,'#verificação horas por projeto'!A:B,2,FALSE)</f>
        <v>#N/A</v>
      </c>
      <c r="D1876" s="202"/>
      <c r="E1876" s="107"/>
      <c r="F1876" s="205"/>
      <c r="G1876" s="226"/>
      <c r="H1876" s="107"/>
      <c r="I1876" s="227"/>
      <c r="J1876" s="227"/>
      <c r="K1876" s="115"/>
      <c r="L1876" s="228"/>
      <c r="M1876" s="107"/>
      <c r="N1876" s="229">
        <f>IF(AND(O1876=TRUE,P1876=TRUE), VLOOKUP($E1876,PESSOAL!$B$35:$S$45,MONTH($F1876)+6,FALSE)*G1876*24,0)</f>
        <v>0</v>
      </c>
      <c r="O1876" s="89"/>
      <c r="P1876" s="89" t="b">
        <v>0</v>
      </c>
      <c r="Q1876" s="89" t="e">
        <v>#N/A</v>
      </c>
    </row>
    <row r="1877" hidden="1">
      <c r="A1877" s="108"/>
      <c r="B1877" s="202"/>
      <c r="C1877" s="202" t="str">
        <f>VLOOKUP(M1877,'#verificação horas por projeto'!A:B,2,FALSE)</f>
        <v>#N/A</v>
      </c>
      <c r="D1877" s="202"/>
      <c r="E1877" s="107"/>
      <c r="F1877" s="205"/>
      <c r="G1877" s="226"/>
      <c r="H1877" s="107"/>
      <c r="I1877" s="227"/>
      <c r="J1877" s="227"/>
      <c r="K1877" s="115"/>
      <c r="L1877" s="228"/>
      <c r="M1877" s="107"/>
      <c r="N1877" s="229">
        <f>IF(AND(O1877=TRUE,P1877=TRUE), VLOOKUP($E1877,PESSOAL!$B$35:$S$45,MONTH($F1877)+6,FALSE)*G1877*24,0)</f>
        <v>0</v>
      </c>
      <c r="O1877" s="89"/>
      <c r="P1877" s="89" t="b">
        <v>0</v>
      </c>
      <c r="Q1877" s="89" t="e">
        <v>#N/A</v>
      </c>
    </row>
    <row r="1878" hidden="1">
      <c r="A1878" s="108"/>
      <c r="B1878" s="202"/>
      <c r="C1878" s="202" t="str">
        <f>VLOOKUP(M1878,'#verificação horas por projeto'!A:B,2,FALSE)</f>
        <v>#N/A</v>
      </c>
      <c r="D1878" s="202"/>
      <c r="E1878" s="107"/>
      <c r="F1878" s="205"/>
      <c r="G1878" s="226"/>
      <c r="H1878" s="107"/>
      <c r="I1878" s="227"/>
      <c r="J1878" s="227"/>
      <c r="K1878" s="115"/>
      <c r="L1878" s="228"/>
      <c r="M1878" s="107"/>
      <c r="N1878" s="229">
        <f>IF(AND(O1878=TRUE,P1878=TRUE), VLOOKUP($E1878,PESSOAL!$B$35:$S$45,MONTH($F1878)+6,FALSE)*G1878*24,0)</f>
        <v>0</v>
      </c>
      <c r="O1878" s="89"/>
      <c r="P1878" s="89" t="b">
        <v>0</v>
      </c>
      <c r="Q1878" s="89" t="e">
        <v>#N/A</v>
      </c>
    </row>
    <row r="1879" hidden="1">
      <c r="A1879" s="108"/>
      <c r="B1879" s="202"/>
      <c r="C1879" s="202" t="str">
        <f>VLOOKUP(M1879,'#verificação horas por projeto'!A:B,2,FALSE)</f>
        <v>#N/A</v>
      </c>
      <c r="D1879" s="202"/>
      <c r="E1879" s="107"/>
      <c r="F1879" s="205"/>
      <c r="G1879" s="226"/>
      <c r="H1879" s="107"/>
      <c r="I1879" s="227"/>
      <c r="J1879" s="227"/>
      <c r="K1879" s="115"/>
      <c r="L1879" s="228"/>
      <c r="M1879" s="107"/>
      <c r="N1879" s="229">
        <f>IF(AND(O1879=TRUE,P1879=TRUE), VLOOKUP($E1879,PESSOAL!$B$35:$S$45,MONTH($F1879)+6,FALSE)*G1879*24,0)</f>
        <v>0</v>
      </c>
      <c r="O1879" s="89"/>
      <c r="P1879" s="89" t="b">
        <v>0</v>
      </c>
      <c r="Q1879" s="89" t="e">
        <v>#N/A</v>
      </c>
    </row>
    <row r="1880" hidden="1">
      <c r="A1880" s="108"/>
      <c r="B1880" s="202"/>
      <c r="C1880" s="202" t="str">
        <f>VLOOKUP(M1880,'#verificação horas por projeto'!A:B,2,FALSE)</f>
        <v>#N/A</v>
      </c>
      <c r="D1880" s="202"/>
      <c r="E1880" s="107"/>
      <c r="F1880" s="205"/>
      <c r="G1880" s="226"/>
      <c r="H1880" s="107"/>
      <c r="I1880" s="227"/>
      <c r="J1880" s="227"/>
      <c r="K1880" s="115"/>
      <c r="L1880" s="228"/>
      <c r="M1880" s="107"/>
      <c r="N1880" s="229">
        <f>IF(AND(O1880=TRUE,P1880=TRUE), VLOOKUP($E1880,PESSOAL!$B$35:$S$45,MONTH($F1880)+6,FALSE)*G1880*24,0)</f>
        <v>0</v>
      </c>
      <c r="O1880" s="89"/>
      <c r="P1880" s="89" t="b">
        <v>0</v>
      </c>
      <c r="Q1880" s="89" t="e">
        <v>#N/A</v>
      </c>
    </row>
    <row r="1881" hidden="1">
      <c r="A1881" s="108"/>
      <c r="B1881" s="202"/>
      <c r="C1881" s="202" t="str">
        <f>VLOOKUP(M1881,'#verificação horas por projeto'!A:B,2,FALSE)</f>
        <v>#N/A</v>
      </c>
      <c r="D1881" s="202"/>
      <c r="E1881" s="107"/>
      <c r="F1881" s="205"/>
      <c r="G1881" s="226"/>
      <c r="H1881" s="107"/>
      <c r="I1881" s="227"/>
      <c r="J1881" s="227"/>
      <c r="K1881" s="115"/>
      <c r="L1881" s="228"/>
      <c r="M1881" s="107"/>
      <c r="N1881" s="229">
        <f>IF(AND(O1881=TRUE,P1881=TRUE), VLOOKUP($E1881,PESSOAL!$B$35:$S$45,MONTH($F1881)+6,FALSE)*G1881*24,0)</f>
        <v>0</v>
      </c>
      <c r="O1881" s="89"/>
      <c r="P1881" s="89" t="b">
        <v>0</v>
      </c>
      <c r="Q1881" s="89" t="e">
        <v>#N/A</v>
      </c>
    </row>
    <row r="1882" hidden="1">
      <c r="A1882" s="108"/>
      <c r="B1882" s="202"/>
      <c r="C1882" s="202" t="str">
        <f>VLOOKUP(M1882,'#verificação horas por projeto'!A:B,2,FALSE)</f>
        <v>#N/A</v>
      </c>
      <c r="D1882" s="202"/>
      <c r="E1882" s="107"/>
      <c r="F1882" s="205"/>
      <c r="G1882" s="226"/>
      <c r="H1882" s="107"/>
      <c r="I1882" s="227"/>
      <c r="J1882" s="227"/>
      <c r="K1882" s="115"/>
      <c r="L1882" s="228"/>
      <c r="M1882" s="107"/>
      <c r="N1882" s="229">
        <f>IF(AND(O1882=TRUE,P1882=TRUE), VLOOKUP($E1882,PESSOAL!$B$35:$S$45,MONTH($F1882)+6,FALSE)*G1882*24,0)</f>
        <v>0</v>
      </c>
      <c r="O1882" s="89"/>
      <c r="P1882" s="89" t="b">
        <v>0</v>
      </c>
      <c r="Q1882" s="89" t="e">
        <v>#N/A</v>
      </c>
    </row>
    <row r="1883" hidden="1">
      <c r="A1883" s="108"/>
      <c r="B1883" s="202"/>
      <c r="C1883" s="202" t="str">
        <f>VLOOKUP(M1883,'#verificação horas por projeto'!A:B,2,FALSE)</f>
        <v>#N/A</v>
      </c>
      <c r="D1883" s="202"/>
      <c r="E1883" s="107"/>
      <c r="F1883" s="205"/>
      <c r="G1883" s="226"/>
      <c r="H1883" s="107"/>
      <c r="I1883" s="227"/>
      <c r="J1883" s="227"/>
      <c r="K1883" s="115"/>
      <c r="L1883" s="228"/>
      <c r="M1883" s="107"/>
      <c r="N1883" s="229">
        <f>IF(AND(O1883=TRUE,P1883=TRUE), VLOOKUP($E1883,PESSOAL!$B$35:$S$45,MONTH($F1883)+6,FALSE)*G1883*24,0)</f>
        <v>0</v>
      </c>
      <c r="O1883" s="89"/>
      <c r="P1883" s="89" t="b">
        <v>0</v>
      </c>
      <c r="Q1883" s="89" t="e">
        <v>#N/A</v>
      </c>
    </row>
    <row r="1884" hidden="1">
      <c r="A1884" s="108"/>
      <c r="B1884" s="202"/>
      <c r="C1884" s="202" t="str">
        <f>VLOOKUP(M1884,'#verificação horas por projeto'!A:B,2,FALSE)</f>
        <v>#N/A</v>
      </c>
      <c r="D1884" s="202"/>
      <c r="E1884" s="107"/>
      <c r="F1884" s="205"/>
      <c r="G1884" s="226"/>
      <c r="H1884" s="107"/>
      <c r="I1884" s="227"/>
      <c r="J1884" s="227"/>
      <c r="K1884" s="115"/>
      <c r="L1884" s="228"/>
      <c r="M1884" s="107"/>
      <c r="N1884" s="229">
        <f>IF(AND(O1884=TRUE,P1884=TRUE), VLOOKUP($E1884,PESSOAL!$B$35:$S$45,MONTH($F1884)+6,FALSE)*G1884*24,0)</f>
        <v>0</v>
      </c>
      <c r="O1884" s="89"/>
      <c r="P1884" s="89" t="b">
        <v>0</v>
      </c>
      <c r="Q1884" s="89" t="e">
        <v>#N/A</v>
      </c>
    </row>
    <row r="1885" hidden="1">
      <c r="A1885" s="108"/>
      <c r="B1885" s="202"/>
      <c r="C1885" s="202" t="str">
        <f>VLOOKUP(M1885,'#verificação horas por projeto'!A:B,2,FALSE)</f>
        <v>#N/A</v>
      </c>
      <c r="D1885" s="202"/>
      <c r="E1885" s="107"/>
      <c r="F1885" s="205"/>
      <c r="G1885" s="226"/>
      <c r="H1885" s="107"/>
      <c r="I1885" s="227"/>
      <c r="J1885" s="227"/>
      <c r="K1885" s="115"/>
      <c r="L1885" s="228"/>
      <c r="M1885" s="107"/>
      <c r="N1885" s="229">
        <f>IF(AND(O1885=TRUE,P1885=TRUE), VLOOKUP($E1885,PESSOAL!$B$35:$S$45,MONTH($F1885)+6,FALSE)*G1885*24,0)</f>
        <v>0</v>
      </c>
      <c r="O1885" s="89"/>
      <c r="P1885" s="89" t="b">
        <v>0</v>
      </c>
      <c r="Q1885" s="89" t="e">
        <v>#N/A</v>
      </c>
    </row>
    <row r="1886" hidden="1">
      <c r="A1886" s="108"/>
      <c r="B1886" s="202"/>
      <c r="C1886" s="202" t="str">
        <f>VLOOKUP(M1886,'#verificação horas por projeto'!A:B,2,FALSE)</f>
        <v>#N/A</v>
      </c>
      <c r="D1886" s="202"/>
      <c r="E1886" s="107"/>
      <c r="F1886" s="205"/>
      <c r="G1886" s="226"/>
      <c r="H1886" s="107"/>
      <c r="I1886" s="227"/>
      <c r="J1886" s="227"/>
      <c r="K1886" s="115"/>
      <c r="L1886" s="228"/>
      <c r="M1886" s="107"/>
      <c r="N1886" s="229">
        <f>IF(AND(O1886=TRUE,P1886=TRUE), VLOOKUP($E1886,PESSOAL!$B$35:$S$45,MONTH($F1886)+6,FALSE)*G1886*24,0)</f>
        <v>0</v>
      </c>
      <c r="O1886" s="89"/>
      <c r="P1886" s="89" t="b">
        <v>0</v>
      </c>
      <c r="Q1886" s="89" t="e">
        <v>#N/A</v>
      </c>
    </row>
    <row r="1887" hidden="1">
      <c r="A1887" s="108"/>
      <c r="B1887" s="202"/>
      <c r="C1887" s="202" t="str">
        <f>VLOOKUP(M1887,'#verificação horas por projeto'!A:B,2,FALSE)</f>
        <v>#N/A</v>
      </c>
      <c r="D1887" s="202"/>
      <c r="E1887" s="107"/>
      <c r="F1887" s="205"/>
      <c r="G1887" s="226"/>
      <c r="H1887" s="107"/>
      <c r="I1887" s="227"/>
      <c r="J1887" s="227"/>
      <c r="K1887" s="115"/>
      <c r="L1887" s="228"/>
      <c r="M1887" s="107"/>
      <c r="N1887" s="229">
        <f>IF(AND(O1887=TRUE,P1887=TRUE), VLOOKUP($E1887,PESSOAL!$B$35:$S$45,MONTH($F1887)+6,FALSE)*G1887*24,0)</f>
        <v>0</v>
      </c>
      <c r="O1887" s="89"/>
      <c r="P1887" s="89" t="b">
        <v>0</v>
      </c>
      <c r="Q1887" s="89" t="e">
        <v>#N/A</v>
      </c>
    </row>
    <row r="1888" hidden="1">
      <c r="A1888" s="108"/>
      <c r="B1888" s="202"/>
      <c r="C1888" s="202" t="str">
        <f>VLOOKUP(M1888,'#verificação horas por projeto'!A:B,2,FALSE)</f>
        <v>#N/A</v>
      </c>
      <c r="D1888" s="202"/>
      <c r="E1888" s="107"/>
      <c r="F1888" s="205"/>
      <c r="G1888" s="226"/>
      <c r="H1888" s="107"/>
      <c r="I1888" s="227"/>
      <c r="J1888" s="227"/>
      <c r="K1888" s="115"/>
      <c r="L1888" s="228"/>
      <c r="M1888" s="107"/>
      <c r="N1888" s="229">
        <f>IF(AND(O1888=TRUE,P1888=TRUE), VLOOKUP($E1888,PESSOAL!$B$35:$S$45,MONTH($F1888)+6,FALSE)*G1888*24,0)</f>
        <v>0</v>
      </c>
      <c r="O1888" s="89"/>
      <c r="P1888" s="89" t="b">
        <v>0</v>
      </c>
      <c r="Q1888" s="89" t="e">
        <v>#N/A</v>
      </c>
    </row>
    <row r="1889" hidden="1">
      <c r="A1889" s="108"/>
      <c r="B1889" s="202"/>
      <c r="C1889" s="202" t="str">
        <f>VLOOKUP(M1889,'#verificação horas por projeto'!A:B,2,FALSE)</f>
        <v>#N/A</v>
      </c>
      <c r="D1889" s="202"/>
      <c r="E1889" s="107"/>
      <c r="F1889" s="205"/>
      <c r="G1889" s="226"/>
      <c r="H1889" s="107"/>
      <c r="I1889" s="227"/>
      <c r="J1889" s="227"/>
      <c r="K1889" s="115"/>
      <c r="L1889" s="228"/>
      <c r="M1889" s="107"/>
      <c r="N1889" s="229">
        <f>IF(AND(O1889=TRUE,P1889=TRUE), VLOOKUP($E1889,PESSOAL!$B$35:$S$45,MONTH($F1889)+6,FALSE)*G1889*24,0)</f>
        <v>0</v>
      </c>
      <c r="O1889" s="89"/>
      <c r="P1889" s="89" t="b">
        <v>0</v>
      </c>
      <c r="Q1889" s="89" t="e">
        <v>#N/A</v>
      </c>
    </row>
    <row r="1890" hidden="1">
      <c r="A1890" s="108"/>
      <c r="B1890" s="202"/>
      <c r="C1890" s="202" t="str">
        <f>VLOOKUP(M1890,'#verificação horas por projeto'!A:B,2,FALSE)</f>
        <v>#N/A</v>
      </c>
      <c r="D1890" s="202"/>
      <c r="E1890" s="107"/>
      <c r="F1890" s="205"/>
      <c r="G1890" s="226"/>
      <c r="H1890" s="107"/>
      <c r="I1890" s="227"/>
      <c r="J1890" s="227"/>
      <c r="K1890" s="115"/>
      <c r="L1890" s="228"/>
      <c r="M1890" s="107"/>
      <c r="N1890" s="229">
        <f>IF(AND(O1890=TRUE,P1890=TRUE), VLOOKUP($E1890,PESSOAL!$B$35:$S$45,MONTH($F1890)+6,FALSE)*G1890*24,0)</f>
        <v>0</v>
      </c>
      <c r="O1890" s="89"/>
      <c r="P1890" s="89" t="b">
        <v>0</v>
      </c>
      <c r="Q1890" s="89" t="e">
        <v>#N/A</v>
      </c>
    </row>
    <row r="1891" hidden="1">
      <c r="A1891" s="108"/>
      <c r="B1891" s="202"/>
      <c r="C1891" s="202" t="str">
        <f>VLOOKUP(M1891,'#verificação horas por projeto'!A:B,2,FALSE)</f>
        <v>#N/A</v>
      </c>
      <c r="D1891" s="202"/>
      <c r="E1891" s="107"/>
      <c r="F1891" s="205"/>
      <c r="G1891" s="226"/>
      <c r="H1891" s="107"/>
      <c r="I1891" s="227"/>
      <c r="J1891" s="227"/>
      <c r="K1891" s="115"/>
      <c r="L1891" s="228"/>
      <c r="M1891" s="107"/>
      <c r="N1891" s="229">
        <f>IF(AND(O1891=TRUE,P1891=TRUE), VLOOKUP($E1891,PESSOAL!$B$35:$S$45,MONTH($F1891)+6,FALSE)*G1891*24,0)</f>
        <v>0</v>
      </c>
      <c r="O1891" s="89"/>
      <c r="P1891" s="89" t="b">
        <v>0</v>
      </c>
      <c r="Q1891" s="89" t="e">
        <v>#N/A</v>
      </c>
    </row>
    <row r="1892" hidden="1">
      <c r="A1892" s="108"/>
      <c r="B1892" s="202"/>
      <c r="C1892" s="202" t="str">
        <f>VLOOKUP(M1892,'#verificação horas por projeto'!A:B,2,FALSE)</f>
        <v>#N/A</v>
      </c>
      <c r="D1892" s="202"/>
      <c r="E1892" s="107"/>
      <c r="F1892" s="205"/>
      <c r="G1892" s="226"/>
      <c r="H1892" s="107"/>
      <c r="I1892" s="227"/>
      <c r="J1892" s="227"/>
      <c r="K1892" s="115"/>
      <c r="L1892" s="228"/>
      <c r="M1892" s="107"/>
      <c r="N1892" s="229">
        <f>IF(AND(O1892=TRUE,P1892=TRUE), VLOOKUP($E1892,PESSOAL!$B$35:$S$45,MONTH($F1892)+6,FALSE)*G1892*24,0)</f>
        <v>0</v>
      </c>
      <c r="O1892" s="89"/>
      <c r="P1892" s="89" t="b">
        <v>0</v>
      </c>
      <c r="Q1892" s="89" t="e">
        <v>#N/A</v>
      </c>
    </row>
    <row r="1893" hidden="1">
      <c r="A1893" s="108"/>
      <c r="B1893" s="202"/>
      <c r="C1893" s="202" t="str">
        <f>VLOOKUP(M1893,'#verificação horas por projeto'!A:B,2,FALSE)</f>
        <v>#N/A</v>
      </c>
      <c r="D1893" s="202"/>
      <c r="E1893" s="107"/>
      <c r="F1893" s="205"/>
      <c r="G1893" s="226"/>
      <c r="H1893" s="107"/>
      <c r="I1893" s="227"/>
      <c r="J1893" s="227"/>
      <c r="K1893" s="115"/>
      <c r="L1893" s="228"/>
      <c r="M1893" s="107"/>
      <c r="N1893" s="229">
        <f>IF(AND(O1893=TRUE,P1893=TRUE), VLOOKUP($E1893,PESSOAL!$B$35:$S$45,MONTH($F1893)+6,FALSE)*G1893*24,0)</f>
        <v>0</v>
      </c>
      <c r="O1893" s="89"/>
      <c r="P1893" s="89" t="b">
        <v>0</v>
      </c>
      <c r="Q1893" s="89" t="e">
        <v>#N/A</v>
      </c>
    </row>
    <row r="1894" hidden="1">
      <c r="A1894" s="108"/>
      <c r="B1894" s="202"/>
      <c r="C1894" s="202" t="str">
        <f>VLOOKUP(M1894,'#verificação horas por projeto'!A:B,2,FALSE)</f>
        <v>#N/A</v>
      </c>
      <c r="D1894" s="202"/>
      <c r="E1894" s="107"/>
      <c r="F1894" s="205"/>
      <c r="G1894" s="226"/>
      <c r="H1894" s="107"/>
      <c r="I1894" s="227"/>
      <c r="J1894" s="227"/>
      <c r="K1894" s="115"/>
      <c r="L1894" s="228"/>
      <c r="M1894" s="107"/>
      <c r="N1894" s="229">
        <f>IF(AND(O1894=TRUE,P1894=TRUE), VLOOKUP($E1894,PESSOAL!$B$35:$S$45,MONTH($F1894)+6,FALSE)*G1894*24,0)</f>
        <v>0</v>
      </c>
      <c r="O1894" s="89"/>
      <c r="P1894" s="89" t="b">
        <v>0</v>
      </c>
      <c r="Q1894" s="89" t="e">
        <v>#N/A</v>
      </c>
    </row>
    <row r="1895" hidden="1">
      <c r="A1895" s="108"/>
      <c r="B1895" s="202"/>
      <c r="C1895" s="202" t="str">
        <f>VLOOKUP(M1895,'#verificação horas por projeto'!A:B,2,FALSE)</f>
        <v>#N/A</v>
      </c>
      <c r="D1895" s="202"/>
      <c r="E1895" s="107"/>
      <c r="F1895" s="205"/>
      <c r="G1895" s="226"/>
      <c r="H1895" s="107"/>
      <c r="I1895" s="227"/>
      <c r="J1895" s="227"/>
      <c r="K1895" s="115"/>
      <c r="L1895" s="228"/>
      <c r="M1895" s="107"/>
      <c r="N1895" s="229">
        <f>IF(AND(O1895=TRUE,P1895=TRUE), VLOOKUP($E1895,PESSOAL!$B$35:$S$45,MONTH($F1895)+6,FALSE)*G1895*24,0)</f>
        <v>0</v>
      </c>
      <c r="O1895" s="89"/>
      <c r="P1895" s="89" t="b">
        <v>0</v>
      </c>
      <c r="Q1895" s="89" t="e">
        <v>#N/A</v>
      </c>
    </row>
    <row r="1896" hidden="1">
      <c r="A1896" s="108"/>
      <c r="B1896" s="202"/>
      <c r="C1896" s="202" t="str">
        <f>VLOOKUP(M1896,'#verificação horas por projeto'!A:B,2,FALSE)</f>
        <v>#N/A</v>
      </c>
      <c r="D1896" s="202"/>
      <c r="E1896" s="107"/>
      <c r="F1896" s="205"/>
      <c r="G1896" s="226"/>
      <c r="H1896" s="107"/>
      <c r="I1896" s="227"/>
      <c r="J1896" s="227"/>
      <c r="K1896" s="115"/>
      <c r="L1896" s="228"/>
      <c r="M1896" s="107"/>
      <c r="N1896" s="229">
        <f>IF(AND(O1896=TRUE,P1896=TRUE), VLOOKUP($E1896,PESSOAL!$B$35:$S$45,MONTH($F1896)+6,FALSE)*G1896*24,0)</f>
        <v>0</v>
      </c>
      <c r="O1896" s="89"/>
      <c r="P1896" s="89" t="b">
        <v>0</v>
      </c>
      <c r="Q1896" s="89" t="e">
        <v>#N/A</v>
      </c>
    </row>
    <row r="1897" hidden="1">
      <c r="A1897" s="108"/>
      <c r="B1897" s="202"/>
      <c r="C1897" s="202" t="str">
        <f>VLOOKUP(M1897,'#verificação horas por projeto'!A:B,2,FALSE)</f>
        <v>#N/A</v>
      </c>
      <c r="D1897" s="202"/>
      <c r="E1897" s="107"/>
      <c r="F1897" s="205"/>
      <c r="G1897" s="226"/>
      <c r="H1897" s="107"/>
      <c r="I1897" s="227"/>
      <c r="J1897" s="227"/>
      <c r="K1897" s="115"/>
      <c r="L1897" s="228"/>
      <c r="M1897" s="107"/>
      <c r="N1897" s="229">
        <f>IF(AND(O1897=TRUE,P1897=TRUE), VLOOKUP($E1897,PESSOAL!$B$35:$S$45,MONTH($F1897)+6,FALSE)*G1897*24,0)</f>
        <v>0</v>
      </c>
      <c r="O1897" s="89"/>
      <c r="P1897" s="89" t="b">
        <v>0</v>
      </c>
      <c r="Q1897" s="89" t="e">
        <v>#N/A</v>
      </c>
    </row>
  </sheetData>
  <autoFilter ref="$B$11:$Q$1897">
    <filterColumn colId="1">
      <filters>
        <filter val="INOV00047"/>
        <filter val="INOV00003"/>
        <filter val="INOV00046"/>
        <filter val="INOV00045"/>
        <filter val="INOV00044"/>
        <filter val="INOV00020"/>
        <filter val="INOV00042"/>
        <filter val="INOV00040"/>
        <filter val="INOV00028"/>
        <filter val="INOV00049"/>
        <filter val="INOV00048"/>
        <filter val="INOV00050"/>
        <filter val="INOV00035"/>
        <filter val="INOV00034"/>
        <filter val="INOV00031"/>
        <filter val="INOV00053"/>
        <filter val="INOV00051"/>
        <filter val="#N/A"/>
      </filters>
    </filterColumn>
    <filterColumn colId="14">
      <filters>
        <filter val="TRUE"/>
      </filters>
    </filterColumn>
    <filterColumn colId="13">
      <filters blank="1">
        <filter val="TRUE"/>
      </filters>
    </filterColumn>
    <filterColumn colId="3">
      <filters blank="1">
        <filter val="Ana Paula Celes"/>
        <filter val="Ana Claudia Zanini"/>
        <filter val="Camila Mendes Pereira"/>
        <filter val="Juliana Lamas Roberto"/>
        <filter val="Raissa Bellotti"/>
        <filter val="Ana Paula Biz"/>
        <filter val="Alyne Alves Nunes Oliveira"/>
      </filters>
    </filterColumn>
  </autoFilter>
  <customSheetViews>
    <customSheetView guid="{7BB10F69-FF41-4D25-A2E2-4FD050C1D4EE}" filter="1" showAutoFilter="1">
      <autoFilter ref="$A$11:$Q$1510">
        <sortState ref="A11:Q1510">
          <sortCondition ref="F11:F1510"/>
        </sortState>
      </autoFilter>
    </customSheetView>
  </customSheetViews>
  <mergeCells count="1">
    <mergeCell ref="B5:D6"/>
  </mergeCells>
  <dataValidations>
    <dataValidation type="list" allowBlank="1" sqref="E12:E1897">
      <formula1>PROJETO!$E$28:$E$45</formula1>
    </dataValidation>
    <dataValidation type="list" allowBlank="1" sqref="H12:H1897">
      <formula1>$H$6:$H$9</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5.75"/>
  </cols>
  <sheetData>
    <row r="1"/>
    <row r="2">
      <c r="F2" s="8" t="s">
        <v>780</v>
      </c>
    </row>
    <row r="3">
      <c r="F3" s="8" t="s">
        <v>780</v>
      </c>
    </row>
    <row r="4">
      <c r="F4" s="8" t="s">
        <v>780</v>
      </c>
    </row>
    <row r="5"/>
    <row r="6">
      <c r="F6" s="8" t="s">
        <v>780</v>
      </c>
    </row>
    <row r="7">
      <c r="F7" s="8" t="s">
        <v>780</v>
      </c>
    </row>
    <row r="8">
      <c r="F8" s="8" t="s">
        <v>780</v>
      </c>
    </row>
    <row r="9"/>
    <row r="10">
      <c r="F10" s="8" t="s">
        <v>780</v>
      </c>
    </row>
    <row r="11">
      <c r="F11" s="8" t="s">
        <v>780</v>
      </c>
    </row>
    <row r="12">
      <c r="F12" s="8" t="s">
        <v>780</v>
      </c>
    </row>
    <row r="13"/>
    <row r="14">
      <c r="F14" s="8" t="s">
        <v>780</v>
      </c>
    </row>
    <row r="15">
      <c r="F15" s="8" t="s">
        <v>780</v>
      </c>
    </row>
    <row r="16">
      <c r="F16" s="8" t="s">
        <v>780</v>
      </c>
    </row>
    <row r="17">
      <c r="F17" s="8" t="s">
        <v>780</v>
      </c>
    </row>
    <row r="18"/>
    <row r="19">
      <c r="F19" s="8" t="s">
        <v>780</v>
      </c>
    </row>
    <row r="20">
      <c r="F20" s="8" t="s">
        <v>780</v>
      </c>
    </row>
    <row r="21"/>
    <row r="22">
      <c r="F22" s="8" t="s">
        <v>780</v>
      </c>
    </row>
    <row r="23">
      <c r="F23" s="8" t="s">
        <v>780</v>
      </c>
    </row>
    <row r="24">
      <c r="F24" s="8" t="s">
        <v>780</v>
      </c>
    </row>
    <row r="25">
      <c r="F25" s="8" t="s">
        <v>780</v>
      </c>
    </row>
    <row r="26"/>
    <row r="27">
      <c r="F27" s="8" t="s">
        <v>780</v>
      </c>
    </row>
    <row r="28">
      <c r="F28" s="8" t="s">
        <v>780</v>
      </c>
    </row>
    <row r="29">
      <c r="F29" s="8" t="s">
        <v>780</v>
      </c>
    </row>
    <row r="30">
      <c r="F30" s="8" t="s">
        <v>780</v>
      </c>
    </row>
    <row r="31"/>
    <row r="32">
      <c r="F32" s="8" t="s">
        <v>780</v>
      </c>
    </row>
    <row r="33">
      <c r="F33" s="8" t="s">
        <v>780</v>
      </c>
    </row>
    <row r="34">
      <c r="F34" s="8" t="s">
        <v>780</v>
      </c>
    </row>
    <row r="35">
      <c r="F35" s="8" t="s">
        <v>780</v>
      </c>
    </row>
    <row r="36"/>
    <row r="37">
      <c r="F37" s="8" t="s">
        <v>780</v>
      </c>
    </row>
    <row r="38"/>
    <row r="39">
      <c r="F39" s="8" t="s">
        <v>780</v>
      </c>
    </row>
    <row r="40">
      <c r="F40" s="8" t="s">
        <v>780</v>
      </c>
    </row>
    <row r="41"/>
    <row r="42">
      <c r="F42" s="8" t="s">
        <v>780</v>
      </c>
    </row>
    <row r="43">
      <c r="F43" s="234">
        <f>20/24</f>
        <v>0.8333333333</v>
      </c>
      <c r="G43" s="232">
        <f t="shared" ref="G43:G44" si="1">F43-D43</f>
        <v>-1</v>
      </c>
    </row>
    <row r="44">
      <c r="F44" s="234">
        <f>9/24</f>
        <v>0.375</v>
      </c>
      <c r="G44" s="232">
        <f t="shared" si="1"/>
        <v>-2.010416667</v>
      </c>
    </row>
    <row r="45"/>
    <row r="46">
      <c r="F46" s="8" t="s">
        <v>780</v>
      </c>
    </row>
    <row r="47">
      <c r="F47" s="8" t="s">
        <v>780</v>
      </c>
    </row>
    <row r="48"/>
    <row r="49">
      <c r="F49" s="8" t="s">
        <v>780</v>
      </c>
    </row>
    <row r="50"/>
    <row r="51">
      <c r="F51" s="234">
        <f>22/24</f>
        <v>0.9166666667</v>
      </c>
      <c r="G51" s="232">
        <f>F51-D51</f>
        <v>-1</v>
      </c>
    </row>
    <row r="52">
      <c r="F52" s="8" t="s">
        <v>780</v>
      </c>
    </row>
    <row r="53"/>
    <row r="54">
      <c r="F54" s="8" t="s">
        <v>780</v>
      </c>
    </row>
    <row r="55">
      <c r="F55" s="8" t="s">
        <v>780</v>
      </c>
    </row>
    <row r="56"/>
    <row r="57">
      <c r="F57" s="8" t="s">
        <v>780</v>
      </c>
    </row>
    <row r="58"/>
    <row r="59">
      <c r="F59" s="8" t="s">
        <v>780</v>
      </c>
    </row>
    <row r="60"/>
    <row r="61">
      <c r="F61" s="8" t="s">
        <v>780</v>
      </c>
    </row>
    <row r="62">
      <c r="F62" s="8" t="s">
        <v>780</v>
      </c>
    </row>
    <row r="63">
      <c r="F63" s="8" t="s">
        <v>780</v>
      </c>
    </row>
    <row r="64">
      <c r="F64" s="8" t="s">
        <v>780</v>
      </c>
    </row>
    <row r="65">
      <c r="F65" s="8" t="s">
        <v>780</v>
      </c>
    </row>
    <row r="66"/>
    <row r="6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showGridLines="0" workbookViewId="0"/>
  </sheetViews>
  <sheetFormatPr customHeight="1" defaultColWidth="12.63" defaultRowHeight="15.75"/>
  <cols>
    <col customWidth="1" min="1" max="1" width="2.63"/>
    <col customWidth="1" min="2" max="3" width="18.88"/>
    <col customWidth="1" min="4" max="4" width="31.38"/>
    <col customWidth="1" min="5" max="5" width="39.25"/>
    <col customWidth="1" min="6" max="6" width="12.63"/>
    <col customWidth="1" min="7" max="7" width="15.0"/>
    <col customWidth="1" min="8" max="8" width="31.38"/>
    <col customWidth="1" min="9" max="25" width="5.13"/>
  </cols>
  <sheetData>
    <row r="1" ht="11.25" customHeight="1">
      <c r="A1" s="108"/>
      <c r="B1" s="108"/>
      <c r="C1" s="108"/>
      <c r="D1" s="108"/>
      <c r="E1" s="108"/>
      <c r="F1" s="182"/>
      <c r="G1" s="108"/>
      <c r="H1" s="108"/>
      <c r="I1" s="108"/>
      <c r="J1" s="108"/>
      <c r="K1" s="108"/>
      <c r="L1" s="108"/>
      <c r="M1" s="108"/>
      <c r="N1" s="108"/>
      <c r="O1" s="108"/>
      <c r="P1" s="108"/>
      <c r="Q1" s="108"/>
      <c r="R1" s="108"/>
      <c r="S1" s="108"/>
      <c r="T1" s="108"/>
      <c r="U1" s="108"/>
      <c r="V1" s="108"/>
      <c r="W1" s="108"/>
      <c r="X1" s="108"/>
      <c r="Y1" s="108"/>
    </row>
    <row r="2">
      <c r="A2" s="108"/>
      <c r="B2" s="80" t="s">
        <v>89</v>
      </c>
      <c r="C2" s="79"/>
      <c r="D2" s="79"/>
      <c r="E2" s="79"/>
      <c r="F2" s="185"/>
      <c r="G2" s="108"/>
      <c r="H2" s="108"/>
      <c r="I2" s="108"/>
      <c r="J2" s="108"/>
      <c r="K2" s="108"/>
      <c r="L2" s="108"/>
      <c r="M2" s="108"/>
      <c r="N2" s="108"/>
      <c r="O2" s="108"/>
      <c r="P2" s="108"/>
      <c r="Q2" s="108"/>
      <c r="R2" s="108"/>
      <c r="S2" s="108"/>
      <c r="T2" s="108"/>
      <c r="U2" s="108"/>
      <c r="V2" s="108"/>
      <c r="W2" s="108"/>
      <c r="X2" s="108"/>
      <c r="Y2" s="108"/>
    </row>
    <row r="3">
      <c r="A3" s="108"/>
      <c r="B3" s="81" t="s">
        <v>149</v>
      </c>
      <c r="C3" s="79"/>
      <c r="D3" s="79"/>
      <c r="E3" s="79"/>
      <c r="F3" s="185"/>
      <c r="G3" s="108"/>
      <c r="H3" s="108"/>
      <c r="I3" s="108"/>
      <c r="J3" s="108"/>
      <c r="K3" s="108"/>
      <c r="L3" s="108"/>
      <c r="M3" s="108"/>
      <c r="N3" s="108"/>
      <c r="O3" s="108"/>
      <c r="P3" s="108"/>
      <c r="Q3" s="108"/>
      <c r="R3" s="108"/>
      <c r="S3" s="108"/>
      <c r="T3" s="108"/>
      <c r="U3" s="108"/>
      <c r="V3" s="108"/>
      <c r="W3" s="108"/>
      <c r="X3" s="108"/>
      <c r="Y3" s="108"/>
    </row>
    <row r="4">
      <c r="A4" s="108"/>
      <c r="B4" s="82" t="s">
        <v>806</v>
      </c>
      <c r="C4" s="79"/>
      <c r="D4" s="79"/>
      <c r="E4" s="79"/>
      <c r="F4" s="185"/>
      <c r="G4" s="108"/>
      <c r="H4" s="108"/>
      <c r="I4" s="108"/>
      <c r="J4" s="108"/>
      <c r="K4" s="108"/>
      <c r="L4" s="108"/>
      <c r="M4" s="108"/>
      <c r="N4" s="108"/>
      <c r="O4" s="108"/>
      <c r="P4" s="108"/>
      <c r="Q4" s="108"/>
      <c r="R4" s="108"/>
      <c r="S4" s="108"/>
      <c r="T4" s="108"/>
      <c r="U4" s="108"/>
      <c r="V4" s="108"/>
      <c r="W4" s="108"/>
      <c r="X4" s="108"/>
      <c r="Y4" s="108"/>
    </row>
    <row r="5">
      <c r="A5" s="108"/>
      <c r="B5" s="111" t="s">
        <v>151</v>
      </c>
      <c r="E5" s="86"/>
      <c r="F5" s="86"/>
      <c r="G5" s="186"/>
      <c r="H5" s="108"/>
      <c r="I5" s="108"/>
      <c r="J5" s="108"/>
      <c r="K5" s="108"/>
      <c r="L5" s="108"/>
      <c r="M5" s="108"/>
      <c r="N5" s="108"/>
      <c r="O5" s="108"/>
      <c r="P5" s="108"/>
      <c r="Q5" s="108"/>
      <c r="R5" s="108"/>
      <c r="S5" s="108"/>
      <c r="T5" s="108"/>
      <c r="U5" s="108"/>
      <c r="V5" s="108"/>
      <c r="W5" s="108"/>
      <c r="X5" s="108"/>
      <c r="Y5" s="108"/>
    </row>
    <row r="6">
      <c r="A6" s="108"/>
      <c r="E6" s="86"/>
      <c r="F6" s="86"/>
      <c r="G6" s="186"/>
      <c r="H6" s="108"/>
      <c r="I6" s="108"/>
      <c r="J6" s="108"/>
      <c r="K6" s="108"/>
      <c r="L6" s="108"/>
      <c r="M6" s="108"/>
      <c r="N6" s="108"/>
      <c r="O6" s="108"/>
      <c r="P6" s="108"/>
      <c r="Q6" s="108"/>
      <c r="R6" s="108"/>
      <c r="S6" s="108"/>
      <c r="T6" s="108"/>
      <c r="U6" s="108"/>
      <c r="V6" s="108"/>
      <c r="W6" s="108"/>
      <c r="X6" s="108"/>
      <c r="Y6" s="108"/>
    </row>
    <row r="7">
      <c r="A7" s="108"/>
      <c r="B7" s="79"/>
      <c r="C7" s="79"/>
      <c r="D7" s="79"/>
      <c r="E7" s="79"/>
      <c r="F7" s="185"/>
      <c r="G7" s="186"/>
      <c r="H7" s="108"/>
      <c r="I7" s="108"/>
      <c r="J7" s="108"/>
      <c r="K7" s="108"/>
      <c r="L7" s="108"/>
      <c r="M7" s="108"/>
      <c r="N7" s="108"/>
      <c r="O7" s="108"/>
      <c r="P7" s="108"/>
      <c r="Q7" s="108"/>
      <c r="R7" s="108"/>
      <c r="S7" s="108"/>
      <c r="T7" s="108"/>
      <c r="U7" s="108"/>
      <c r="V7" s="108"/>
      <c r="W7" s="108"/>
      <c r="X7" s="108"/>
      <c r="Y7" s="108"/>
    </row>
    <row r="8">
      <c r="A8" s="108"/>
      <c r="B8" s="80" t="s">
        <v>152</v>
      </c>
      <c r="C8" s="80"/>
      <c r="D8" s="79"/>
      <c r="E8" s="235" t="s">
        <v>807</v>
      </c>
      <c r="F8" s="185"/>
      <c r="G8" s="235" t="s">
        <v>808</v>
      </c>
      <c r="H8" s="108"/>
      <c r="I8" s="108"/>
      <c r="J8" s="108"/>
      <c r="K8" s="108"/>
      <c r="L8" s="108"/>
      <c r="M8" s="108"/>
      <c r="N8" s="108"/>
      <c r="O8" s="108"/>
      <c r="P8" s="108"/>
      <c r="Q8" s="108"/>
      <c r="R8" s="108"/>
      <c r="S8" s="108"/>
      <c r="T8" s="108"/>
      <c r="U8" s="108"/>
      <c r="V8" s="108"/>
      <c r="W8" s="108"/>
      <c r="X8" s="108"/>
      <c r="Y8" s="108"/>
    </row>
    <row r="9">
      <c r="A9" s="108"/>
      <c r="B9" s="81" t="s">
        <v>809</v>
      </c>
      <c r="C9" s="81"/>
      <c r="D9" s="79"/>
      <c r="E9" s="236"/>
      <c r="F9" s="185"/>
      <c r="G9" s="235"/>
      <c r="H9" s="108"/>
      <c r="I9" s="108"/>
      <c r="J9" s="108"/>
      <c r="K9" s="108"/>
      <c r="L9" s="108"/>
      <c r="M9" s="108"/>
      <c r="N9" s="108"/>
      <c r="O9" s="108"/>
      <c r="P9" s="108"/>
      <c r="Q9" s="108"/>
      <c r="R9" s="108"/>
      <c r="S9" s="108"/>
      <c r="T9" s="108"/>
      <c r="U9" s="108"/>
      <c r="V9" s="108"/>
      <c r="W9" s="108"/>
      <c r="X9" s="108"/>
      <c r="Y9" s="108"/>
    </row>
    <row r="10">
      <c r="A10" s="108"/>
      <c r="B10" s="108"/>
      <c r="C10" s="108"/>
      <c r="D10" s="108"/>
      <c r="E10" s="237"/>
      <c r="F10" s="182"/>
      <c r="G10" s="237"/>
      <c r="H10" s="108"/>
      <c r="I10" s="108"/>
      <c r="J10" s="108"/>
      <c r="K10" s="108"/>
      <c r="L10" s="108"/>
      <c r="M10" s="108"/>
      <c r="N10" s="108"/>
      <c r="O10" s="108"/>
      <c r="P10" s="108"/>
      <c r="Q10" s="108"/>
      <c r="R10" s="108"/>
      <c r="S10" s="108"/>
      <c r="T10" s="108"/>
      <c r="U10" s="108"/>
      <c r="V10" s="108"/>
      <c r="W10" s="108"/>
      <c r="X10" s="108"/>
      <c r="Y10" s="108"/>
    </row>
    <row r="11">
      <c r="A11" s="108"/>
      <c r="B11" s="112" t="s">
        <v>227</v>
      </c>
      <c r="C11" s="112" t="s">
        <v>228</v>
      </c>
      <c r="D11" s="112" t="s">
        <v>810</v>
      </c>
      <c r="E11" s="112" t="s">
        <v>811</v>
      </c>
      <c r="F11" s="113" t="s">
        <v>812</v>
      </c>
      <c r="G11" s="113" t="s">
        <v>813</v>
      </c>
      <c r="H11" s="112" t="s">
        <v>814</v>
      </c>
      <c r="I11" s="238"/>
      <c r="J11" s="108"/>
      <c r="K11" s="108"/>
      <c r="L11" s="108"/>
      <c r="M11" s="108"/>
      <c r="N11" s="108"/>
      <c r="O11" s="108"/>
      <c r="P11" s="108"/>
      <c r="Q11" s="108"/>
      <c r="R11" s="108"/>
      <c r="S11" s="108"/>
      <c r="T11" s="108"/>
      <c r="U11" s="108"/>
      <c r="V11" s="108"/>
      <c r="W11" s="108"/>
      <c r="X11" s="108"/>
      <c r="Y11" s="108"/>
    </row>
    <row r="12" hidden="1">
      <c r="A12" s="108"/>
      <c r="B12" s="107" t="s">
        <v>815</v>
      </c>
      <c r="C12" s="107" t="s">
        <v>816</v>
      </c>
      <c r="D12" s="115" t="s">
        <v>817</v>
      </c>
      <c r="E12" s="107" t="s">
        <v>818</v>
      </c>
      <c r="F12" s="211">
        <v>44621.0</v>
      </c>
      <c r="G12" s="211">
        <v>44713.0</v>
      </c>
      <c r="H12" s="239"/>
      <c r="I12" s="108"/>
      <c r="J12" s="108"/>
      <c r="K12" s="108"/>
      <c r="L12" s="108"/>
      <c r="M12" s="108"/>
      <c r="N12" s="108"/>
      <c r="O12" s="108"/>
      <c r="P12" s="108"/>
      <c r="Q12" s="108"/>
      <c r="R12" s="108"/>
      <c r="S12" s="108"/>
      <c r="T12" s="108"/>
      <c r="U12" s="108"/>
      <c r="V12" s="108"/>
      <c r="W12" s="108"/>
      <c r="X12" s="108"/>
      <c r="Y12" s="108"/>
    </row>
    <row r="13" hidden="1">
      <c r="A13" s="108"/>
      <c r="B13" s="107" t="s">
        <v>815</v>
      </c>
      <c r="C13" s="107" t="s">
        <v>819</v>
      </c>
      <c r="D13" s="115" t="s">
        <v>820</v>
      </c>
      <c r="E13" s="107" t="s">
        <v>821</v>
      </c>
      <c r="F13" s="211">
        <v>44621.0</v>
      </c>
      <c r="G13" s="211">
        <v>44652.0</v>
      </c>
      <c r="H13" s="239"/>
      <c r="I13" s="108"/>
      <c r="J13" s="108"/>
      <c r="K13" s="108"/>
      <c r="L13" s="108"/>
      <c r="M13" s="108"/>
      <c r="N13" s="108"/>
      <c r="O13" s="108"/>
      <c r="P13" s="108"/>
      <c r="Q13" s="108"/>
      <c r="R13" s="108"/>
      <c r="S13" s="108"/>
      <c r="T13" s="108"/>
      <c r="U13" s="108"/>
      <c r="V13" s="108"/>
      <c r="W13" s="108"/>
      <c r="X13" s="108"/>
      <c r="Y13" s="108"/>
    </row>
    <row r="14" hidden="1">
      <c r="A14" s="108"/>
      <c r="B14" s="107" t="s">
        <v>815</v>
      </c>
      <c r="C14" s="107" t="s">
        <v>822</v>
      </c>
      <c r="D14" s="115" t="s">
        <v>823</v>
      </c>
      <c r="E14" s="107" t="s">
        <v>824</v>
      </c>
      <c r="F14" s="211">
        <v>44652.0</v>
      </c>
      <c r="G14" s="211">
        <v>44774.0</v>
      </c>
      <c r="H14" s="239"/>
      <c r="I14" s="108"/>
      <c r="J14" s="108"/>
      <c r="K14" s="108"/>
      <c r="L14" s="108"/>
      <c r="M14" s="108"/>
      <c r="N14" s="108"/>
      <c r="O14" s="108"/>
      <c r="P14" s="108"/>
      <c r="Q14" s="108"/>
      <c r="R14" s="108"/>
      <c r="S14" s="108"/>
      <c r="T14" s="108"/>
      <c r="U14" s="108"/>
      <c r="V14" s="108"/>
      <c r="W14" s="108"/>
      <c r="X14" s="108"/>
      <c r="Y14" s="108"/>
    </row>
    <row r="15" hidden="1">
      <c r="A15" s="108"/>
      <c r="B15" s="107" t="s">
        <v>815</v>
      </c>
      <c r="C15" s="107" t="s">
        <v>825</v>
      </c>
      <c r="D15" s="115" t="s">
        <v>826</v>
      </c>
      <c r="E15" s="107" t="s">
        <v>827</v>
      </c>
      <c r="F15" s="211">
        <v>45231.0</v>
      </c>
      <c r="G15" s="211">
        <v>44958.0</v>
      </c>
      <c r="H15" s="239"/>
      <c r="I15" s="108"/>
      <c r="J15" s="108"/>
      <c r="K15" s="108"/>
      <c r="L15" s="108"/>
      <c r="M15" s="108"/>
      <c r="N15" s="108"/>
      <c r="O15" s="108"/>
      <c r="P15" s="108"/>
      <c r="Q15" s="108"/>
      <c r="R15" s="108"/>
      <c r="S15" s="108"/>
      <c r="T15" s="108"/>
      <c r="U15" s="108"/>
      <c r="V15" s="108"/>
      <c r="W15" s="108"/>
      <c r="X15" s="108"/>
      <c r="Y15" s="108"/>
    </row>
    <row r="16" hidden="1">
      <c r="A16" s="108"/>
      <c r="B16" s="107" t="s">
        <v>815</v>
      </c>
      <c r="C16" s="107" t="s">
        <v>828</v>
      </c>
      <c r="D16" s="115" t="s">
        <v>829</v>
      </c>
      <c r="E16" s="107" t="s">
        <v>830</v>
      </c>
      <c r="F16" s="211">
        <v>44958.0</v>
      </c>
      <c r="G16" s="211">
        <v>45017.0</v>
      </c>
      <c r="H16" s="239"/>
      <c r="I16" s="108"/>
      <c r="J16" s="108"/>
      <c r="K16" s="108"/>
      <c r="L16" s="108"/>
      <c r="M16" s="108"/>
      <c r="N16" s="108"/>
      <c r="O16" s="108"/>
      <c r="P16" s="108"/>
      <c r="Q16" s="108"/>
      <c r="R16" s="108"/>
      <c r="S16" s="108"/>
      <c r="T16" s="108"/>
      <c r="U16" s="108"/>
      <c r="V16" s="108"/>
      <c r="W16" s="108"/>
      <c r="X16" s="108"/>
      <c r="Y16" s="108"/>
    </row>
    <row r="17" hidden="1">
      <c r="A17" s="108"/>
      <c r="B17" s="107" t="s">
        <v>815</v>
      </c>
      <c r="C17" s="107" t="s">
        <v>831</v>
      </c>
      <c r="D17" s="115" t="s">
        <v>832</v>
      </c>
      <c r="E17" s="107" t="s">
        <v>833</v>
      </c>
      <c r="F17" s="211">
        <v>44958.0</v>
      </c>
      <c r="G17" s="211">
        <v>45047.0</v>
      </c>
      <c r="H17" s="115" t="s">
        <v>834</v>
      </c>
      <c r="I17" s="108"/>
      <c r="J17" s="108"/>
      <c r="K17" s="108"/>
      <c r="L17" s="108"/>
      <c r="M17" s="108"/>
      <c r="N17" s="108"/>
      <c r="O17" s="108"/>
      <c r="P17" s="108"/>
      <c r="Q17" s="108"/>
      <c r="R17" s="108"/>
      <c r="S17" s="108"/>
      <c r="T17" s="108"/>
      <c r="U17" s="108"/>
      <c r="V17" s="108"/>
      <c r="W17" s="108"/>
      <c r="X17" s="108"/>
      <c r="Y17" s="108"/>
    </row>
    <row r="18" hidden="1">
      <c r="A18" s="108"/>
      <c r="B18" s="107" t="s">
        <v>815</v>
      </c>
      <c r="C18" s="107" t="s">
        <v>835</v>
      </c>
      <c r="D18" s="115" t="s">
        <v>836</v>
      </c>
      <c r="E18" s="107"/>
      <c r="F18" s="208" t="s">
        <v>837</v>
      </c>
      <c r="G18" s="211"/>
      <c r="H18" s="239"/>
      <c r="I18" s="108"/>
      <c r="J18" s="108"/>
      <c r="K18" s="108"/>
      <c r="L18" s="108"/>
      <c r="M18" s="108"/>
      <c r="N18" s="108"/>
      <c r="O18" s="108"/>
      <c r="P18" s="108"/>
      <c r="Q18" s="108"/>
      <c r="R18" s="108"/>
      <c r="S18" s="108"/>
      <c r="T18" s="108"/>
      <c r="U18" s="108"/>
      <c r="V18" s="108"/>
      <c r="W18" s="108"/>
      <c r="X18" s="108"/>
      <c r="Y18" s="108"/>
    </row>
    <row r="19" hidden="1">
      <c r="A19" s="108"/>
      <c r="B19" s="107" t="s">
        <v>815</v>
      </c>
      <c r="C19" s="107" t="s">
        <v>838</v>
      </c>
      <c r="D19" s="115" t="s">
        <v>839</v>
      </c>
      <c r="E19" s="107"/>
      <c r="F19" s="208" t="s">
        <v>837</v>
      </c>
      <c r="G19" s="211"/>
      <c r="H19" s="239"/>
      <c r="I19" s="108"/>
      <c r="J19" s="108"/>
      <c r="K19" s="108"/>
      <c r="L19" s="108"/>
      <c r="M19" s="108"/>
      <c r="N19" s="108"/>
      <c r="O19" s="108"/>
      <c r="P19" s="108"/>
      <c r="Q19" s="108"/>
      <c r="R19" s="108"/>
      <c r="S19" s="108"/>
      <c r="T19" s="108"/>
      <c r="U19" s="108"/>
      <c r="V19" s="108"/>
      <c r="W19" s="108"/>
      <c r="X19" s="108"/>
      <c r="Y19" s="108"/>
    </row>
    <row r="20" hidden="1">
      <c r="A20" s="108"/>
      <c r="B20" s="107" t="s">
        <v>815</v>
      </c>
      <c r="C20" s="107" t="s">
        <v>840</v>
      </c>
      <c r="D20" s="115" t="s">
        <v>841</v>
      </c>
      <c r="E20" s="107" t="s">
        <v>842</v>
      </c>
      <c r="F20" s="211">
        <v>45139.0</v>
      </c>
      <c r="G20" s="208" t="s">
        <v>843</v>
      </c>
      <c r="H20" s="115" t="s">
        <v>844</v>
      </c>
      <c r="I20" s="108"/>
      <c r="J20" s="108"/>
      <c r="K20" s="108"/>
      <c r="L20" s="108"/>
      <c r="M20" s="108"/>
      <c r="N20" s="108"/>
      <c r="O20" s="108"/>
      <c r="P20" s="108"/>
      <c r="Q20" s="108"/>
      <c r="R20" s="108"/>
      <c r="S20" s="108"/>
      <c r="T20" s="108"/>
      <c r="U20" s="108"/>
      <c r="V20" s="108"/>
      <c r="W20" s="108"/>
      <c r="X20" s="108"/>
      <c r="Y20" s="108"/>
    </row>
    <row r="21" hidden="1">
      <c r="A21" s="108"/>
      <c r="B21" s="107" t="s">
        <v>845</v>
      </c>
      <c r="C21" s="107" t="s">
        <v>846</v>
      </c>
      <c r="D21" s="115" t="s">
        <v>847</v>
      </c>
      <c r="E21" s="107" t="s">
        <v>848</v>
      </c>
      <c r="F21" s="211">
        <v>44593.0</v>
      </c>
      <c r="G21" s="211">
        <v>44593.0</v>
      </c>
      <c r="H21" s="239"/>
      <c r="I21" s="108"/>
      <c r="J21" s="108"/>
      <c r="K21" s="108"/>
      <c r="L21" s="108"/>
      <c r="M21" s="108"/>
      <c r="N21" s="108"/>
      <c r="O21" s="108"/>
      <c r="P21" s="108"/>
      <c r="Q21" s="108"/>
      <c r="R21" s="108"/>
      <c r="S21" s="108"/>
      <c r="T21" s="108"/>
      <c r="U21" s="108"/>
      <c r="V21" s="108"/>
      <c r="W21" s="108"/>
      <c r="X21" s="108"/>
      <c r="Y21" s="108"/>
    </row>
    <row r="22" hidden="1">
      <c r="A22" s="108"/>
      <c r="B22" s="107" t="s">
        <v>845</v>
      </c>
      <c r="C22" s="107" t="s">
        <v>846</v>
      </c>
      <c r="D22" s="115" t="s">
        <v>849</v>
      </c>
      <c r="E22" s="107" t="s">
        <v>850</v>
      </c>
      <c r="F22" s="211">
        <v>44682.0</v>
      </c>
      <c r="G22" s="211">
        <v>44682.0</v>
      </c>
      <c r="H22" s="239"/>
      <c r="I22" s="108"/>
      <c r="J22" s="108"/>
      <c r="K22" s="108"/>
      <c r="L22" s="108"/>
      <c r="M22" s="108"/>
      <c r="N22" s="108"/>
      <c r="O22" s="108"/>
      <c r="P22" s="108"/>
      <c r="Q22" s="108"/>
      <c r="R22" s="108"/>
      <c r="S22" s="108"/>
      <c r="T22" s="108"/>
      <c r="U22" s="108"/>
      <c r="V22" s="108"/>
      <c r="W22" s="108"/>
      <c r="X22" s="108"/>
      <c r="Y22" s="108"/>
    </row>
    <row r="23" hidden="1">
      <c r="A23" s="108"/>
      <c r="B23" s="107" t="s">
        <v>845</v>
      </c>
      <c r="C23" s="107" t="s">
        <v>851</v>
      </c>
      <c r="D23" s="115" t="s">
        <v>852</v>
      </c>
      <c r="E23" s="107" t="s">
        <v>853</v>
      </c>
      <c r="F23" s="211">
        <v>44805.0</v>
      </c>
      <c r="G23" s="211">
        <v>44805.0</v>
      </c>
      <c r="H23" s="239"/>
      <c r="I23" s="108"/>
      <c r="J23" s="108"/>
      <c r="K23" s="108"/>
      <c r="L23" s="108"/>
      <c r="M23" s="108"/>
      <c r="N23" s="108"/>
      <c r="O23" s="108"/>
      <c r="P23" s="108"/>
      <c r="Q23" s="108"/>
      <c r="R23" s="108"/>
      <c r="S23" s="108"/>
      <c r="T23" s="108"/>
      <c r="U23" s="108"/>
      <c r="V23" s="108"/>
      <c r="W23" s="108"/>
      <c r="X23" s="108"/>
      <c r="Y23" s="108"/>
    </row>
    <row r="24" hidden="1">
      <c r="A24" s="108"/>
      <c r="B24" s="107" t="s">
        <v>845</v>
      </c>
      <c r="C24" s="107" t="s">
        <v>854</v>
      </c>
      <c r="D24" s="115" t="s">
        <v>855</v>
      </c>
      <c r="E24" s="107" t="s">
        <v>856</v>
      </c>
      <c r="F24" s="211">
        <v>44866.0</v>
      </c>
      <c r="G24" s="211">
        <v>44866.0</v>
      </c>
      <c r="H24" s="239"/>
      <c r="I24" s="108"/>
      <c r="J24" s="108"/>
      <c r="K24" s="108"/>
      <c r="L24" s="108"/>
      <c r="M24" s="108"/>
      <c r="N24" s="108"/>
      <c r="O24" s="108"/>
      <c r="P24" s="108"/>
      <c r="Q24" s="108"/>
      <c r="R24" s="108"/>
      <c r="S24" s="108"/>
      <c r="T24" s="108"/>
      <c r="U24" s="108"/>
      <c r="V24" s="108"/>
      <c r="W24" s="108"/>
      <c r="X24" s="108"/>
      <c r="Y24" s="108"/>
    </row>
    <row r="25" hidden="1">
      <c r="A25" s="108"/>
      <c r="B25" s="107" t="s">
        <v>845</v>
      </c>
      <c r="C25" s="107" t="s">
        <v>854</v>
      </c>
      <c r="D25" s="115" t="s">
        <v>857</v>
      </c>
      <c r="E25" s="107" t="s">
        <v>858</v>
      </c>
      <c r="F25" s="211">
        <v>44866.0</v>
      </c>
      <c r="G25" s="211">
        <v>44866.0</v>
      </c>
      <c r="H25" s="239"/>
      <c r="I25" s="108"/>
      <c r="J25" s="108"/>
      <c r="K25" s="108"/>
      <c r="L25" s="108"/>
      <c r="M25" s="108"/>
      <c r="N25" s="108"/>
      <c r="O25" s="108"/>
      <c r="P25" s="108"/>
      <c r="Q25" s="108"/>
      <c r="R25" s="108"/>
      <c r="S25" s="108"/>
      <c r="T25" s="108"/>
      <c r="U25" s="108"/>
      <c r="V25" s="108"/>
      <c r="W25" s="108"/>
      <c r="X25" s="108"/>
      <c r="Y25" s="108"/>
    </row>
    <row r="26" hidden="1">
      <c r="A26" s="108"/>
      <c r="B26" s="107" t="s">
        <v>845</v>
      </c>
      <c r="C26" s="107" t="s">
        <v>851</v>
      </c>
      <c r="D26" s="115" t="s">
        <v>859</v>
      </c>
      <c r="E26" s="107" t="s">
        <v>860</v>
      </c>
      <c r="F26" s="211">
        <v>44896.0</v>
      </c>
      <c r="G26" s="211">
        <v>44896.0</v>
      </c>
      <c r="H26" s="239"/>
      <c r="I26" s="108"/>
      <c r="J26" s="108"/>
      <c r="K26" s="108"/>
      <c r="L26" s="108"/>
      <c r="M26" s="108"/>
      <c r="N26" s="108"/>
      <c r="O26" s="108"/>
      <c r="P26" s="108"/>
      <c r="Q26" s="108"/>
      <c r="R26" s="108"/>
      <c r="S26" s="108"/>
      <c r="T26" s="108"/>
      <c r="U26" s="108"/>
      <c r="V26" s="108"/>
      <c r="W26" s="108"/>
      <c r="X26" s="108"/>
      <c r="Y26" s="108"/>
    </row>
    <row r="27" hidden="1">
      <c r="A27" s="108"/>
      <c r="B27" s="107" t="s">
        <v>845</v>
      </c>
      <c r="C27" s="107" t="s">
        <v>861</v>
      </c>
      <c r="D27" s="115" t="s">
        <v>862</v>
      </c>
      <c r="E27" s="107" t="s">
        <v>863</v>
      </c>
      <c r="F27" s="211">
        <v>44927.0</v>
      </c>
      <c r="G27" s="208" t="s">
        <v>864</v>
      </c>
      <c r="H27" s="239"/>
      <c r="I27" s="108"/>
      <c r="J27" s="108"/>
      <c r="K27" s="108"/>
      <c r="L27" s="108"/>
      <c r="M27" s="108"/>
      <c r="N27" s="108"/>
      <c r="O27" s="108"/>
      <c r="P27" s="108"/>
      <c r="Q27" s="108"/>
      <c r="R27" s="108"/>
      <c r="S27" s="108"/>
      <c r="T27" s="108"/>
      <c r="U27" s="108"/>
      <c r="V27" s="108"/>
      <c r="W27" s="108"/>
      <c r="X27" s="108"/>
      <c r="Y27" s="108"/>
    </row>
    <row r="28" hidden="1">
      <c r="A28" s="108"/>
      <c r="B28" s="107" t="s">
        <v>845</v>
      </c>
      <c r="C28" s="107" t="s">
        <v>865</v>
      </c>
      <c r="D28" s="115" t="s">
        <v>866</v>
      </c>
      <c r="E28" s="107" t="s">
        <v>867</v>
      </c>
      <c r="F28" s="211">
        <v>44927.0</v>
      </c>
      <c r="G28" s="208" t="s">
        <v>864</v>
      </c>
      <c r="H28" s="239"/>
      <c r="I28" s="108"/>
      <c r="J28" s="108"/>
      <c r="K28" s="108"/>
      <c r="L28" s="108"/>
      <c r="M28" s="108"/>
      <c r="N28" s="108"/>
      <c r="O28" s="108"/>
      <c r="P28" s="108"/>
      <c r="Q28" s="108"/>
      <c r="R28" s="108"/>
      <c r="S28" s="108"/>
      <c r="T28" s="108"/>
      <c r="U28" s="108"/>
      <c r="V28" s="108"/>
      <c r="W28" s="108"/>
      <c r="X28" s="108"/>
      <c r="Y28" s="108"/>
    </row>
    <row r="29" hidden="1">
      <c r="A29" s="108"/>
      <c r="B29" s="107" t="s">
        <v>845</v>
      </c>
      <c r="C29" s="107" t="s">
        <v>868</v>
      </c>
      <c r="D29" s="115" t="s">
        <v>869</v>
      </c>
      <c r="E29" s="107" t="s">
        <v>870</v>
      </c>
      <c r="F29" s="211">
        <v>45231.0</v>
      </c>
      <c r="G29" s="211">
        <v>45231.0</v>
      </c>
      <c r="H29" s="239"/>
      <c r="I29" s="108"/>
      <c r="J29" s="108"/>
      <c r="K29" s="108"/>
      <c r="L29" s="108"/>
      <c r="M29" s="108"/>
      <c r="N29" s="108"/>
      <c r="O29" s="108"/>
      <c r="P29" s="108"/>
      <c r="Q29" s="108"/>
      <c r="R29" s="108"/>
      <c r="S29" s="108"/>
      <c r="T29" s="108"/>
      <c r="U29" s="108"/>
      <c r="V29" s="108"/>
      <c r="W29" s="108"/>
      <c r="X29" s="108"/>
      <c r="Y29" s="108"/>
    </row>
    <row r="30" hidden="1">
      <c r="A30" s="108"/>
      <c r="B30" s="107" t="s">
        <v>871</v>
      </c>
      <c r="C30" s="107" t="s">
        <v>872</v>
      </c>
      <c r="D30" s="115" t="s">
        <v>873</v>
      </c>
      <c r="E30" s="107" t="s">
        <v>874</v>
      </c>
      <c r="F30" s="211">
        <v>45465.0</v>
      </c>
      <c r="G30" s="211">
        <v>45495.0</v>
      </c>
      <c r="H30" s="239"/>
      <c r="I30" s="108"/>
      <c r="J30" s="108"/>
      <c r="K30" s="108"/>
      <c r="L30" s="108"/>
      <c r="M30" s="108"/>
      <c r="N30" s="108"/>
      <c r="O30" s="108"/>
      <c r="P30" s="108"/>
      <c r="Q30" s="108"/>
      <c r="R30" s="108"/>
      <c r="S30" s="108"/>
      <c r="T30" s="108"/>
      <c r="U30" s="108"/>
      <c r="V30" s="108"/>
      <c r="W30" s="108"/>
      <c r="X30" s="108"/>
      <c r="Y30" s="108"/>
    </row>
    <row r="31" hidden="1">
      <c r="A31" s="108"/>
      <c r="B31" s="107" t="s">
        <v>871</v>
      </c>
      <c r="C31" s="107"/>
      <c r="D31" s="115" t="s">
        <v>875</v>
      </c>
      <c r="E31" s="107" t="s">
        <v>876</v>
      </c>
      <c r="F31" s="211">
        <v>45495.0</v>
      </c>
      <c r="G31" s="211">
        <v>45557.0</v>
      </c>
      <c r="H31" s="239"/>
      <c r="I31" s="108"/>
      <c r="J31" s="108"/>
      <c r="K31" s="108"/>
      <c r="L31" s="108"/>
      <c r="M31" s="108"/>
      <c r="N31" s="108"/>
      <c r="O31" s="108"/>
      <c r="P31" s="108"/>
      <c r="Q31" s="108"/>
      <c r="R31" s="108"/>
      <c r="S31" s="108"/>
      <c r="T31" s="108"/>
      <c r="U31" s="108"/>
      <c r="V31" s="108"/>
      <c r="W31" s="108"/>
      <c r="X31" s="108"/>
      <c r="Y31" s="108"/>
    </row>
    <row r="32" hidden="1">
      <c r="A32" s="108"/>
      <c r="B32" s="107" t="s">
        <v>871</v>
      </c>
      <c r="C32" s="107"/>
      <c r="D32" s="115" t="s">
        <v>877</v>
      </c>
      <c r="E32" s="107" t="s">
        <v>878</v>
      </c>
      <c r="F32" s="211">
        <v>45345.0</v>
      </c>
      <c r="G32" s="211">
        <v>45405.0</v>
      </c>
      <c r="H32" s="239"/>
      <c r="I32" s="108"/>
      <c r="J32" s="108"/>
      <c r="K32" s="108"/>
      <c r="L32" s="108"/>
      <c r="M32" s="108"/>
      <c r="N32" s="108"/>
      <c r="O32" s="108"/>
      <c r="P32" s="108"/>
      <c r="Q32" s="108"/>
      <c r="R32" s="108"/>
      <c r="S32" s="108"/>
      <c r="T32" s="108"/>
      <c r="U32" s="108"/>
      <c r="V32" s="108"/>
      <c r="W32" s="108"/>
      <c r="X32" s="108"/>
      <c r="Y32" s="108"/>
    </row>
    <row r="33" hidden="1">
      <c r="A33" s="108"/>
      <c r="B33" s="107" t="s">
        <v>871</v>
      </c>
      <c r="C33" s="107" t="s">
        <v>879</v>
      </c>
      <c r="D33" s="115" t="s">
        <v>880</v>
      </c>
      <c r="E33" s="107" t="s">
        <v>881</v>
      </c>
      <c r="F33" s="211">
        <v>45435.0</v>
      </c>
      <c r="G33" s="211">
        <v>45466.0</v>
      </c>
      <c r="H33" s="239"/>
      <c r="I33" s="108"/>
      <c r="J33" s="108"/>
      <c r="K33" s="108"/>
      <c r="L33" s="108"/>
      <c r="M33" s="108"/>
      <c r="N33" s="108"/>
      <c r="O33" s="108"/>
      <c r="P33" s="108"/>
      <c r="Q33" s="108"/>
      <c r="R33" s="108"/>
      <c r="S33" s="108"/>
      <c r="T33" s="108"/>
      <c r="U33" s="108"/>
      <c r="V33" s="108"/>
      <c r="W33" s="108"/>
      <c r="X33" s="108"/>
      <c r="Y33" s="108"/>
    </row>
    <row r="34" hidden="1">
      <c r="A34" s="108"/>
      <c r="B34" s="107" t="s">
        <v>871</v>
      </c>
      <c r="C34" s="107" t="s">
        <v>882</v>
      </c>
      <c r="D34" s="115" t="s">
        <v>883</v>
      </c>
      <c r="E34" s="107" t="s">
        <v>884</v>
      </c>
      <c r="F34" s="211">
        <v>45108.0</v>
      </c>
      <c r="G34" s="208" t="s">
        <v>843</v>
      </c>
      <c r="H34" s="115" t="s">
        <v>885</v>
      </c>
      <c r="I34" s="108"/>
      <c r="J34" s="108"/>
      <c r="K34" s="108"/>
      <c r="L34" s="108"/>
      <c r="M34" s="108"/>
      <c r="N34" s="108"/>
      <c r="O34" s="108"/>
      <c r="P34" s="108"/>
      <c r="Q34" s="108"/>
      <c r="R34" s="108"/>
      <c r="S34" s="108"/>
      <c r="T34" s="108"/>
      <c r="U34" s="108"/>
      <c r="V34" s="108"/>
      <c r="W34" s="108"/>
      <c r="X34" s="108"/>
      <c r="Y34" s="108"/>
    </row>
    <row r="35" hidden="1">
      <c r="A35" s="108"/>
      <c r="B35" s="107" t="s">
        <v>871</v>
      </c>
      <c r="C35" s="107" t="s">
        <v>882</v>
      </c>
      <c r="D35" s="115" t="s">
        <v>886</v>
      </c>
      <c r="E35" s="107" t="s">
        <v>887</v>
      </c>
      <c r="F35" s="211">
        <v>45139.0</v>
      </c>
      <c r="G35" s="208" t="s">
        <v>843</v>
      </c>
      <c r="H35" s="115" t="s">
        <v>888</v>
      </c>
      <c r="I35" s="108"/>
      <c r="J35" s="108"/>
      <c r="K35" s="108"/>
      <c r="L35" s="108"/>
      <c r="M35" s="108"/>
      <c r="N35" s="108"/>
      <c r="O35" s="108"/>
      <c r="P35" s="108"/>
      <c r="Q35" s="108"/>
      <c r="R35" s="108"/>
      <c r="S35" s="108"/>
      <c r="T35" s="108"/>
      <c r="U35" s="108"/>
      <c r="V35" s="108"/>
      <c r="W35" s="108"/>
      <c r="X35" s="108"/>
      <c r="Y35" s="108"/>
    </row>
    <row r="36" hidden="1">
      <c r="A36" s="108"/>
      <c r="B36" s="240" t="s">
        <v>889</v>
      </c>
      <c r="C36" s="240" t="s">
        <v>890</v>
      </c>
      <c r="D36" s="241" t="s">
        <v>891</v>
      </c>
      <c r="E36" s="241" t="s">
        <v>892</v>
      </c>
      <c r="F36" s="242">
        <v>45231.0</v>
      </c>
      <c r="G36" s="242">
        <v>45261.0</v>
      </c>
      <c r="H36" s="243"/>
      <c r="I36" s="108"/>
      <c r="J36" s="108"/>
      <c r="K36" s="108"/>
      <c r="L36" s="108"/>
      <c r="M36" s="108"/>
      <c r="N36" s="108"/>
      <c r="O36" s="108"/>
      <c r="P36" s="108"/>
      <c r="Q36" s="108"/>
      <c r="R36" s="108"/>
      <c r="S36" s="108"/>
      <c r="T36" s="108"/>
      <c r="U36" s="108"/>
      <c r="V36" s="108"/>
      <c r="W36" s="108"/>
      <c r="X36" s="108"/>
      <c r="Y36" s="108"/>
    </row>
    <row r="37" hidden="1">
      <c r="A37" s="108"/>
      <c r="B37" s="107" t="s">
        <v>893</v>
      </c>
      <c r="C37" s="107" t="s">
        <v>872</v>
      </c>
      <c r="D37" s="115" t="s">
        <v>894</v>
      </c>
      <c r="E37" s="107" t="s">
        <v>895</v>
      </c>
      <c r="F37" s="211">
        <v>45314.0</v>
      </c>
      <c r="G37" s="211">
        <v>45435.0</v>
      </c>
      <c r="H37" s="239"/>
      <c r="I37" s="108"/>
      <c r="J37" s="108"/>
      <c r="K37" s="108"/>
      <c r="L37" s="108"/>
      <c r="M37" s="108"/>
      <c r="N37" s="108"/>
      <c r="O37" s="108"/>
      <c r="P37" s="108"/>
      <c r="Q37" s="108"/>
      <c r="R37" s="108"/>
      <c r="S37" s="108"/>
      <c r="T37" s="108"/>
      <c r="U37" s="108"/>
      <c r="V37" s="108"/>
      <c r="W37" s="108"/>
      <c r="X37" s="108"/>
      <c r="Y37" s="108"/>
    </row>
    <row r="38" hidden="1">
      <c r="A38" s="108"/>
      <c r="B38" s="107" t="s">
        <v>893</v>
      </c>
      <c r="C38" s="107" t="s">
        <v>872</v>
      </c>
      <c r="D38" s="115" t="s">
        <v>877</v>
      </c>
      <c r="E38" s="107" t="s">
        <v>896</v>
      </c>
      <c r="F38" s="211">
        <v>45374.0</v>
      </c>
      <c r="G38" s="211">
        <v>45435.0</v>
      </c>
      <c r="H38" s="239"/>
      <c r="I38" s="108"/>
      <c r="J38" s="108"/>
      <c r="K38" s="108"/>
      <c r="L38" s="108"/>
      <c r="M38" s="108"/>
      <c r="N38" s="108"/>
      <c r="O38" s="108"/>
      <c r="P38" s="108"/>
      <c r="Q38" s="108"/>
      <c r="R38" s="108"/>
      <c r="S38" s="108"/>
      <c r="T38" s="108"/>
      <c r="U38" s="108"/>
      <c r="V38" s="108"/>
      <c r="W38" s="108"/>
      <c r="X38" s="108"/>
      <c r="Y38" s="108"/>
    </row>
    <row r="39" hidden="1">
      <c r="A39" s="108"/>
      <c r="B39" s="107" t="s">
        <v>893</v>
      </c>
      <c r="C39" s="107" t="s">
        <v>879</v>
      </c>
      <c r="D39" s="115" t="s">
        <v>880</v>
      </c>
      <c r="E39" s="107" t="s">
        <v>897</v>
      </c>
      <c r="F39" s="211">
        <v>45435.0</v>
      </c>
      <c r="G39" s="211" t="s">
        <v>843</v>
      </c>
      <c r="H39" s="239"/>
      <c r="I39" s="108"/>
      <c r="J39" s="108"/>
      <c r="K39" s="108"/>
      <c r="L39" s="108"/>
      <c r="M39" s="108"/>
      <c r="N39" s="108"/>
      <c r="O39" s="108"/>
      <c r="P39" s="108"/>
      <c r="Q39" s="108"/>
      <c r="R39" s="108"/>
      <c r="S39" s="108"/>
      <c r="T39" s="108"/>
      <c r="U39" s="108"/>
      <c r="V39" s="108"/>
      <c r="W39" s="108"/>
      <c r="X39" s="108"/>
      <c r="Y39" s="108"/>
    </row>
    <row r="40" ht="32.25" hidden="1" customHeight="1">
      <c r="A40" s="108"/>
      <c r="B40" s="107" t="s">
        <v>893</v>
      </c>
      <c r="C40" s="107" t="s">
        <v>882</v>
      </c>
      <c r="D40" s="115" t="s">
        <v>898</v>
      </c>
      <c r="E40" s="107" t="s">
        <v>899</v>
      </c>
      <c r="F40" s="211">
        <v>45078.0</v>
      </c>
      <c r="G40" s="211">
        <v>45139.0</v>
      </c>
      <c r="H40" s="239"/>
      <c r="I40" s="108"/>
      <c r="J40" s="108"/>
      <c r="K40" s="108"/>
      <c r="L40" s="108"/>
      <c r="M40" s="108"/>
      <c r="N40" s="108"/>
      <c r="O40" s="108"/>
      <c r="P40" s="108"/>
      <c r="Q40" s="108"/>
      <c r="R40" s="108"/>
      <c r="S40" s="108"/>
      <c r="T40" s="108"/>
      <c r="U40" s="108"/>
      <c r="V40" s="108"/>
      <c r="W40" s="108"/>
      <c r="X40" s="108"/>
      <c r="Y40" s="108"/>
    </row>
    <row r="41" hidden="1">
      <c r="A41" s="108"/>
      <c r="B41" s="107" t="s">
        <v>893</v>
      </c>
      <c r="C41" s="107" t="s">
        <v>882</v>
      </c>
      <c r="D41" s="115" t="s">
        <v>883</v>
      </c>
      <c r="E41" s="107" t="s">
        <v>884</v>
      </c>
      <c r="F41" s="211">
        <v>45108.0</v>
      </c>
      <c r="G41" s="211" t="s">
        <v>843</v>
      </c>
      <c r="H41" s="239"/>
      <c r="I41" s="108"/>
      <c r="J41" s="108"/>
      <c r="K41" s="108"/>
      <c r="L41" s="108"/>
      <c r="M41" s="108"/>
      <c r="N41" s="108"/>
      <c r="O41" s="108"/>
      <c r="P41" s="108"/>
      <c r="Q41" s="108"/>
      <c r="R41" s="108"/>
      <c r="S41" s="108"/>
      <c r="T41" s="108"/>
      <c r="U41" s="108"/>
      <c r="V41" s="108"/>
      <c r="W41" s="108"/>
      <c r="X41" s="108"/>
      <c r="Y41" s="108"/>
    </row>
    <row r="42" hidden="1">
      <c r="A42" s="108"/>
      <c r="B42" s="107" t="s">
        <v>893</v>
      </c>
      <c r="C42" s="107" t="s">
        <v>828</v>
      </c>
      <c r="D42" s="115" t="s">
        <v>900</v>
      </c>
      <c r="E42" s="107" t="s">
        <v>901</v>
      </c>
      <c r="F42" s="211">
        <v>45139.0</v>
      </c>
      <c r="G42" s="211">
        <v>45139.0</v>
      </c>
      <c r="H42" s="239"/>
      <c r="I42" s="108"/>
      <c r="J42" s="108"/>
      <c r="K42" s="108"/>
      <c r="L42" s="108"/>
      <c r="M42" s="108"/>
      <c r="N42" s="108"/>
      <c r="O42" s="108"/>
      <c r="P42" s="108"/>
      <c r="Q42" s="108"/>
      <c r="R42" s="108"/>
      <c r="S42" s="108"/>
      <c r="T42" s="108"/>
      <c r="U42" s="108"/>
      <c r="V42" s="108"/>
      <c r="W42" s="108"/>
      <c r="X42" s="108"/>
      <c r="Y42" s="108"/>
    </row>
    <row r="43" hidden="1">
      <c r="A43" s="108"/>
      <c r="B43" s="107" t="s">
        <v>893</v>
      </c>
      <c r="C43" s="107" t="s">
        <v>902</v>
      </c>
      <c r="D43" s="115" t="s">
        <v>903</v>
      </c>
      <c r="E43" s="107" t="s">
        <v>904</v>
      </c>
      <c r="F43" s="211">
        <v>45170.0</v>
      </c>
      <c r="G43" s="211">
        <v>45170.0</v>
      </c>
      <c r="H43" s="239"/>
      <c r="I43" s="108"/>
      <c r="J43" s="108"/>
      <c r="K43" s="108"/>
      <c r="L43" s="108"/>
      <c r="M43" s="108"/>
      <c r="N43" s="108"/>
      <c r="O43" s="108"/>
      <c r="P43" s="108"/>
      <c r="Q43" s="108"/>
      <c r="R43" s="108"/>
      <c r="S43" s="108"/>
      <c r="T43" s="108"/>
      <c r="U43" s="108"/>
      <c r="V43" s="108"/>
      <c r="W43" s="108"/>
      <c r="X43" s="108"/>
      <c r="Y43" s="108"/>
    </row>
    <row r="44" hidden="1">
      <c r="A44" s="108"/>
      <c r="B44" s="107" t="s">
        <v>893</v>
      </c>
      <c r="C44" s="107" t="s">
        <v>828</v>
      </c>
      <c r="D44" s="115" t="s">
        <v>905</v>
      </c>
      <c r="E44" s="107" t="s">
        <v>906</v>
      </c>
      <c r="F44" s="211">
        <v>45200.0</v>
      </c>
      <c r="G44" s="211">
        <v>45200.0</v>
      </c>
      <c r="H44" s="239"/>
      <c r="I44" s="108"/>
      <c r="J44" s="108"/>
      <c r="K44" s="108"/>
      <c r="L44" s="108"/>
      <c r="M44" s="108"/>
      <c r="N44" s="108"/>
      <c r="O44" s="108"/>
      <c r="P44" s="108"/>
      <c r="Q44" s="108"/>
      <c r="R44" s="108"/>
      <c r="S44" s="108"/>
      <c r="T44" s="108"/>
      <c r="U44" s="108"/>
      <c r="V44" s="108"/>
      <c r="W44" s="108"/>
      <c r="X44" s="108"/>
      <c r="Y44" s="108"/>
    </row>
    <row r="45" hidden="1">
      <c r="A45" s="108"/>
      <c r="B45" s="107" t="s">
        <v>893</v>
      </c>
      <c r="C45" s="107" t="s">
        <v>828</v>
      </c>
      <c r="D45" s="115" t="s">
        <v>907</v>
      </c>
      <c r="E45" s="107"/>
      <c r="F45" s="211">
        <v>45261.0</v>
      </c>
      <c r="G45" s="211" t="s">
        <v>908</v>
      </c>
      <c r="H45" s="239"/>
      <c r="I45" s="108"/>
      <c r="J45" s="108"/>
      <c r="K45" s="108"/>
      <c r="L45" s="108"/>
      <c r="M45" s="108"/>
      <c r="N45" s="108"/>
      <c r="O45" s="108"/>
      <c r="P45" s="108"/>
      <c r="Q45" s="108"/>
      <c r="R45" s="108"/>
      <c r="S45" s="108"/>
      <c r="T45" s="108"/>
      <c r="U45" s="108"/>
      <c r="V45" s="108"/>
      <c r="W45" s="108"/>
      <c r="X45" s="108"/>
      <c r="Y45" s="108"/>
    </row>
    <row r="46" hidden="1">
      <c r="A46" s="108"/>
      <c r="B46" s="107" t="s">
        <v>909</v>
      </c>
      <c r="C46" s="107" t="s">
        <v>910</v>
      </c>
      <c r="D46" s="115" t="s">
        <v>911</v>
      </c>
      <c r="E46" s="107" t="s">
        <v>912</v>
      </c>
      <c r="F46" s="211">
        <v>44927.0</v>
      </c>
      <c r="G46" s="211" t="s">
        <v>913</v>
      </c>
      <c r="H46" s="239"/>
      <c r="I46" s="108"/>
      <c r="J46" s="108"/>
      <c r="K46" s="108"/>
      <c r="L46" s="108"/>
      <c r="M46" s="108"/>
      <c r="N46" s="108"/>
      <c r="O46" s="108"/>
      <c r="P46" s="108"/>
      <c r="Q46" s="108"/>
      <c r="R46" s="108"/>
      <c r="S46" s="108"/>
      <c r="T46" s="108"/>
      <c r="U46" s="108"/>
      <c r="V46" s="108"/>
      <c r="W46" s="108"/>
      <c r="X46" s="108"/>
      <c r="Y46" s="108"/>
    </row>
    <row r="47" hidden="1">
      <c r="A47" s="108"/>
      <c r="B47" s="107" t="s">
        <v>909</v>
      </c>
      <c r="C47" s="107" t="s">
        <v>914</v>
      </c>
      <c r="D47" s="115" t="s">
        <v>915</v>
      </c>
      <c r="E47" s="107" t="s">
        <v>916</v>
      </c>
      <c r="F47" s="211">
        <v>44927.0</v>
      </c>
      <c r="G47" s="211" t="s">
        <v>913</v>
      </c>
      <c r="H47" s="239"/>
      <c r="I47" s="108"/>
      <c r="J47" s="108"/>
      <c r="K47" s="108"/>
      <c r="L47" s="108"/>
      <c r="M47" s="108"/>
      <c r="N47" s="108"/>
      <c r="O47" s="108"/>
      <c r="P47" s="108"/>
      <c r="Q47" s="108"/>
      <c r="R47" s="108"/>
      <c r="S47" s="108"/>
      <c r="T47" s="108"/>
      <c r="U47" s="108"/>
      <c r="V47" s="108"/>
      <c r="W47" s="108"/>
      <c r="X47" s="108"/>
      <c r="Y47" s="108"/>
    </row>
    <row r="48" hidden="1">
      <c r="A48" s="108"/>
      <c r="B48" s="107" t="s">
        <v>909</v>
      </c>
      <c r="C48" s="107" t="s">
        <v>917</v>
      </c>
      <c r="D48" s="115" t="s">
        <v>918</v>
      </c>
      <c r="E48" s="107" t="s">
        <v>919</v>
      </c>
      <c r="F48" s="211">
        <v>44935.0</v>
      </c>
      <c r="G48" s="211" t="s">
        <v>920</v>
      </c>
      <c r="H48" s="239"/>
      <c r="I48" s="108"/>
      <c r="J48" s="108"/>
      <c r="K48" s="108"/>
      <c r="L48" s="108"/>
      <c r="M48" s="108"/>
      <c r="N48" s="108"/>
      <c r="O48" s="108"/>
      <c r="P48" s="108"/>
      <c r="Q48" s="108"/>
      <c r="R48" s="108"/>
      <c r="S48" s="108"/>
      <c r="T48" s="108"/>
      <c r="U48" s="108"/>
      <c r="V48" s="108"/>
      <c r="W48" s="108"/>
      <c r="X48" s="108"/>
      <c r="Y48" s="108"/>
    </row>
    <row r="49" hidden="1">
      <c r="A49" s="108"/>
      <c r="B49" s="107" t="s">
        <v>909</v>
      </c>
      <c r="C49" s="107" t="s">
        <v>921</v>
      </c>
      <c r="D49" s="115" t="s">
        <v>922</v>
      </c>
      <c r="E49" s="107" t="s">
        <v>923</v>
      </c>
      <c r="F49" s="211" t="s">
        <v>924</v>
      </c>
      <c r="G49" s="211" t="s">
        <v>925</v>
      </c>
      <c r="H49" s="239"/>
      <c r="I49" s="108"/>
      <c r="J49" s="108"/>
      <c r="K49" s="108"/>
      <c r="L49" s="108"/>
      <c r="M49" s="108"/>
      <c r="N49" s="108"/>
      <c r="O49" s="108"/>
      <c r="P49" s="108"/>
      <c r="Q49" s="108"/>
      <c r="R49" s="108"/>
      <c r="S49" s="108"/>
      <c r="T49" s="108"/>
      <c r="U49" s="108"/>
      <c r="V49" s="108"/>
      <c r="W49" s="108"/>
      <c r="X49" s="108"/>
      <c r="Y49" s="108"/>
    </row>
    <row r="50" hidden="1">
      <c r="A50" s="108"/>
      <c r="B50" s="107" t="s">
        <v>926</v>
      </c>
      <c r="C50" s="107" t="s">
        <v>910</v>
      </c>
      <c r="D50" s="115" t="s">
        <v>927</v>
      </c>
      <c r="E50" s="107" t="s">
        <v>928</v>
      </c>
      <c r="F50" s="211">
        <v>44835.0</v>
      </c>
      <c r="G50" s="211">
        <v>44957.0</v>
      </c>
      <c r="H50" s="239"/>
      <c r="I50" s="108"/>
      <c r="J50" s="108"/>
      <c r="K50" s="108"/>
      <c r="L50" s="108"/>
      <c r="M50" s="108"/>
      <c r="N50" s="108"/>
      <c r="O50" s="108"/>
      <c r="P50" s="108"/>
      <c r="Q50" s="108"/>
      <c r="R50" s="108"/>
      <c r="S50" s="108"/>
      <c r="T50" s="108"/>
      <c r="U50" s="108"/>
      <c r="V50" s="108"/>
      <c r="W50" s="108"/>
      <c r="X50" s="108"/>
      <c r="Y50" s="108"/>
    </row>
    <row r="51" hidden="1">
      <c r="A51" s="108"/>
      <c r="B51" s="107" t="s">
        <v>926</v>
      </c>
      <c r="C51" s="107" t="s">
        <v>914</v>
      </c>
      <c r="D51" s="115" t="s">
        <v>929</v>
      </c>
      <c r="E51" s="107" t="s">
        <v>930</v>
      </c>
      <c r="F51" s="211">
        <v>44927.0</v>
      </c>
      <c r="G51" s="211">
        <v>45046.0</v>
      </c>
      <c r="H51" s="239"/>
      <c r="I51" s="108"/>
      <c r="J51" s="108"/>
      <c r="K51" s="108"/>
      <c r="L51" s="108"/>
      <c r="M51" s="108"/>
      <c r="N51" s="108"/>
      <c r="O51" s="108"/>
      <c r="P51" s="108"/>
      <c r="Q51" s="108"/>
      <c r="R51" s="108"/>
      <c r="S51" s="108"/>
      <c r="T51" s="108"/>
      <c r="U51" s="108"/>
      <c r="V51" s="108"/>
      <c r="W51" s="108"/>
      <c r="X51" s="108"/>
      <c r="Y51" s="108"/>
    </row>
    <row r="52" hidden="1">
      <c r="A52" s="108"/>
      <c r="B52" s="107" t="s">
        <v>926</v>
      </c>
      <c r="C52" s="107" t="s">
        <v>921</v>
      </c>
      <c r="D52" s="115" t="s">
        <v>922</v>
      </c>
      <c r="E52" s="107" t="s">
        <v>923</v>
      </c>
      <c r="F52" s="211">
        <v>45039.0</v>
      </c>
      <c r="G52" s="211">
        <v>45138.0</v>
      </c>
      <c r="H52" s="115" t="s">
        <v>931</v>
      </c>
      <c r="I52" s="108"/>
      <c r="J52" s="108"/>
      <c r="K52" s="108"/>
      <c r="L52" s="108"/>
      <c r="M52" s="108"/>
      <c r="N52" s="108"/>
      <c r="O52" s="108"/>
      <c r="P52" s="108"/>
      <c r="Q52" s="108"/>
      <c r="R52" s="108"/>
      <c r="S52" s="108"/>
      <c r="T52" s="108"/>
      <c r="U52" s="108"/>
      <c r="V52" s="108"/>
      <c r="W52" s="108"/>
      <c r="X52" s="108"/>
      <c r="Y52" s="108"/>
    </row>
    <row r="53" hidden="1">
      <c r="A53" s="108"/>
      <c r="B53" s="107" t="s">
        <v>926</v>
      </c>
      <c r="C53" s="107" t="s">
        <v>932</v>
      </c>
      <c r="D53" s="115" t="s">
        <v>933</v>
      </c>
      <c r="E53" s="107" t="s">
        <v>934</v>
      </c>
      <c r="F53" s="211">
        <v>45139.0</v>
      </c>
      <c r="G53" s="211" t="s">
        <v>843</v>
      </c>
      <c r="H53" s="239"/>
      <c r="I53" s="108"/>
      <c r="J53" s="108"/>
      <c r="K53" s="108"/>
      <c r="L53" s="108"/>
      <c r="M53" s="108"/>
      <c r="N53" s="108"/>
      <c r="O53" s="108"/>
      <c r="P53" s="108"/>
      <c r="Q53" s="108"/>
      <c r="R53" s="108"/>
      <c r="S53" s="108"/>
      <c r="T53" s="108"/>
      <c r="U53" s="108"/>
      <c r="V53" s="108"/>
      <c r="W53" s="108"/>
      <c r="X53" s="108"/>
      <c r="Y53" s="108"/>
    </row>
    <row r="54" hidden="1">
      <c r="A54" s="108"/>
      <c r="B54" s="107" t="s">
        <v>926</v>
      </c>
      <c r="C54" s="107" t="s">
        <v>935</v>
      </c>
      <c r="D54" s="115" t="s">
        <v>936</v>
      </c>
      <c r="E54" s="107" t="s">
        <v>937</v>
      </c>
      <c r="F54" s="211">
        <v>45139.0</v>
      </c>
      <c r="G54" s="211" t="s">
        <v>843</v>
      </c>
      <c r="H54" s="239"/>
      <c r="I54" s="108"/>
      <c r="J54" s="108"/>
      <c r="K54" s="108"/>
      <c r="L54" s="108"/>
      <c r="M54" s="108"/>
      <c r="N54" s="108"/>
      <c r="O54" s="108"/>
      <c r="P54" s="108"/>
      <c r="Q54" s="108"/>
      <c r="R54" s="108"/>
      <c r="S54" s="108"/>
      <c r="T54" s="108"/>
      <c r="U54" s="108"/>
      <c r="V54" s="108"/>
      <c r="W54" s="108"/>
      <c r="X54" s="108"/>
      <c r="Y54" s="108"/>
    </row>
    <row r="55" hidden="1">
      <c r="A55" s="108"/>
      <c r="B55" s="107" t="s">
        <v>938</v>
      </c>
      <c r="C55" s="107" t="s">
        <v>939</v>
      </c>
      <c r="D55" s="115" t="s">
        <v>940</v>
      </c>
      <c r="E55" s="107" t="s">
        <v>941</v>
      </c>
      <c r="F55" s="211">
        <v>44958.0</v>
      </c>
      <c r="G55" s="211" t="s">
        <v>843</v>
      </c>
      <c r="H55" s="239"/>
      <c r="I55" s="108"/>
      <c r="J55" s="108"/>
      <c r="K55" s="108"/>
      <c r="L55" s="108"/>
      <c r="M55" s="108"/>
      <c r="N55" s="108"/>
      <c r="O55" s="108"/>
      <c r="P55" s="108"/>
      <c r="Q55" s="108"/>
      <c r="R55" s="108"/>
      <c r="S55" s="108"/>
      <c r="T55" s="108"/>
      <c r="U55" s="108"/>
      <c r="V55" s="108"/>
      <c r="W55" s="108"/>
      <c r="X55" s="108"/>
      <c r="Y55" s="108"/>
    </row>
    <row r="56" hidden="1">
      <c r="A56" s="108"/>
      <c r="B56" s="107" t="s">
        <v>942</v>
      </c>
      <c r="C56" s="107" t="s">
        <v>943</v>
      </c>
      <c r="D56" s="115" t="s">
        <v>944</v>
      </c>
      <c r="E56" s="107" t="s">
        <v>945</v>
      </c>
      <c r="F56" s="211">
        <v>45587.0</v>
      </c>
      <c r="G56" s="211">
        <v>45466.0</v>
      </c>
      <c r="H56" s="239"/>
      <c r="I56" s="108"/>
      <c r="J56" s="108"/>
      <c r="K56" s="108"/>
      <c r="L56" s="108"/>
      <c r="M56" s="108"/>
      <c r="N56" s="108"/>
      <c r="O56" s="108"/>
      <c r="P56" s="108"/>
      <c r="Q56" s="108"/>
      <c r="R56" s="108"/>
      <c r="S56" s="108"/>
      <c r="T56" s="108"/>
      <c r="U56" s="108"/>
      <c r="V56" s="108"/>
      <c r="W56" s="108"/>
      <c r="X56" s="108"/>
      <c r="Y56" s="108"/>
    </row>
    <row r="57" hidden="1">
      <c r="A57" s="108"/>
      <c r="B57" s="107" t="s">
        <v>942</v>
      </c>
      <c r="C57" s="107" t="s">
        <v>946</v>
      </c>
      <c r="D57" s="115" t="s">
        <v>947</v>
      </c>
      <c r="E57" s="107" t="s">
        <v>948</v>
      </c>
      <c r="F57" s="211">
        <v>45649.0</v>
      </c>
      <c r="G57" s="211">
        <v>45374.0</v>
      </c>
      <c r="H57" s="239"/>
      <c r="I57" s="108"/>
      <c r="J57" s="108"/>
      <c r="K57" s="108"/>
      <c r="L57" s="108"/>
      <c r="M57" s="108"/>
      <c r="N57" s="108"/>
      <c r="O57" s="108"/>
      <c r="P57" s="108"/>
      <c r="Q57" s="108"/>
      <c r="R57" s="108"/>
      <c r="S57" s="108"/>
      <c r="T57" s="108"/>
      <c r="U57" s="108"/>
      <c r="V57" s="108"/>
      <c r="W57" s="108"/>
      <c r="X57" s="108"/>
      <c r="Y57" s="108"/>
    </row>
    <row r="58" hidden="1">
      <c r="A58" s="108"/>
      <c r="B58" s="107" t="s">
        <v>942</v>
      </c>
      <c r="C58" s="107" t="s">
        <v>949</v>
      </c>
      <c r="D58" s="115" t="s">
        <v>950</v>
      </c>
      <c r="E58" s="107" t="s">
        <v>951</v>
      </c>
      <c r="F58" s="211">
        <v>45435.0</v>
      </c>
      <c r="G58" s="211">
        <v>45466.0</v>
      </c>
      <c r="H58" s="115" t="s">
        <v>952</v>
      </c>
      <c r="I58" s="108"/>
      <c r="J58" s="108"/>
      <c r="K58" s="108"/>
      <c r="L58" s="108"/>
      <c r="M58" s="108"/>
      <c r="N58" s="108"/>
      <c r="O58" s="108"/>
      <c r="P58" s="108"/>
      <c r="Q58" s="108"/>
      <c r="R58" s="108"/>
      <c r="S58" s="108"/>
      <c r="T58" s="108"/>
      <c r="U58" s="108"/>
      <c r="V58" s="108"/>
      <c r="W58" s="108"/>
      <c r="X58" s="108"/>
      <c r="Y58" s="108"/>
    </row>
    <row r="59" hidden="1">
      <c r="A59" s="108"/>
      <c r="B59" s="107" t="s">
        <v>953</v>
      </c>
      <c r="C59" s="107" t="s">
        <v>910</v>
      </c>
      <c r="D59" s="115" t="s">
        <v>954</v>
      </c>
      <c r="E59" s="107" t="s">
        <v>955</v>
      </c>
      <c r="F59" s="211">
        <v>43952.0</v>
      </c>
      <c r="G59" s="211">
        <v>43983.0</v>
      </c>
      <c r="H59" s="239"/>
      <c r="I59" s="108"/>
      <c r="J59" s="108"/>
      <c r="K59" s="108"/>
      <c r="L59" s="108"/>
      <c r="M59" s="108"/>
      <c r="N59" s="108"/>
      <c r="O59" s="108"/>
      <c r="P59" s="108"/>
      <c r="Q59" s="108"/>
      <c r="R59" s="108"/>
      <c r="S59" s="108"/>
      <c r="T59" s="108"/>
      <c r="U59" s="108"/>
      <c r="V59" s="108"/>
      <c r="W59" s="108"/>
      <c r="X59" s="108"/>
      <c r="Y59" s="108"/>
    </row>
    <row r="60" hidden="1">
      <c r="A60" s="108"/>
      <c r="B60" s="107" t="s">
        <v>953</v>
      </c>
      <c r="C60" s="107" t="s">
        <v>956</v>
      </c>
      <c r="D60" s="115" t="s">
        <v>957</v>
      </c>
      <c r="E60" s="107" t="s">
        <v>958</v>
      </c>
      <c r="F60" s="211">
        <v>43952.0</v>
      </c>
      <c r="G60" s="211">
        <v>43983.0</v>
      </c>
      <c r="H60" s="239"/>
      <c r="I60" s="108"/>
      <c r="J60" s="108"/>
      <c r="K60" s="108"/>
      <c r="L60" s="108"/>
      <c r="M60" s="108"/>
      <c r="N60" s="108"/>
      <c r="O60" s="108"/>
      <c r="P60" s="108"/>
      <c r="Q60" s="108"/>
      <c r="R60" s="108"/>
      <c r="S60" s="108"/>
      <c r="T60" s="108"/>
      <c r="U60" s="108"/>
      <c r="V60" s="108"/>
      <c r="W60" s="108"/>
      <c r="X60" s="108"/>
      <c r="Y60" s="108"/>
    </row>
    <row r="61" hidden="1">
      <c r="A61" s="108"/>
      <c r="B61" s="107" t="s">
        <v>953</v>
      </c>
      <c r="C61" s="107" t="s">
        <v>959</v>
      </c>
      <c r="D61" s="115" t="s">
        <v>960</v>
      </c>
      <c r="E61" s="107" t="s">
        <v>961</v>
      </c>
      <c r="F61" s="211">
        <v>44044.0</v>
      </c>
      <c r="G61" s="211">
        <v>44317.0</v>
      </c>
      <c r="H61" s="239"/>
      <c r="I61" s="108"/>
      <c r="J61" s="108"/>
      <c r="K61" s="108"/>
      <c r="L61" s="108"/>
      <c r="M61" s="108"/>
      <c r="N61" s="108"/>
      <c r="O61" s="108"/>
      <c r="P61" s="108"/>
      <c r="Q61" s="108"/>
      <c r="R61" s="108"/>
      <c r="S61" s="108"/>
      <c r="T61" s="108"/>
      <c r="U61" s="108"/>
      <c r="V61" s="108"/>
      <c r="W61" s="108"/>
      <c r="X61" s="108"/>
      <c r="Y61" s="108"/>
    </row>
    <row r="62" hidden="1">
      <c r="A62" s="108"/>
      <c r="B62" s="107" t="s">
        <v>953</v>
      </c>
      <c r="C62" s="107" t="s">
        <v>935</v>
      </c>
      <c r="D62" s="115" t="s">
        <v>962</v>
      </c>
      <c r="E62" s="107" t="s">
        <v>963</v>
      </c>
      <c r="F62" s="211">
        <v>44348.0</v>
      </c>
      <c r="G62" s="211">
        <v>44593.0</v>
      </c>
      <c r="H62" s="239"/>
      <c r="I62" s="108"/>
      <c r="J62" s="108"/>
      <c r="K62" s="108"/>
      <c r="L62" s="108"/>
      <c r="M62" s="108"/>
      <c r="N62" s="108"/>
      <c r="O62" s="108"/>
      <c r="P62" s="108"/>
      <c r="Q62" s="108"/>
      <c r="R62" s="108"/>
      <c r="S62" s="108"/>
      <c r="T62" s="108"/>
      <c r="U62" s="108"/>
      <c r="V62" s="108"/>
      <c r="W62" s="108"/>
      <c r="X62" s="108"/>
      <c r="Y62" s="108"/>
    </row>
    <row r="63" hidden="1">
      <c r="A63" s="108"/>
      <c r="B63" s="107" t="s">
        <v>953</v>
      </c>
      <c r="C63" s="107" t="s">
        <v>964</v>
      </c>
      <c r="D63" s="115" t="s">
        <v>965</v>
      </c>
      <c r="E63" s="107" t="s">
        <v>966</v>
      </c>
      <c r="F63" s="211">
        <v>44621.0</v>
      </c>
      <c r="G63" s="211">
        <v>44743.0</v>
      </c>
      <c r="H63" s="239"/>
      <c r="I63" s="108"/>
      <c r="J63" s="108"/>
      <c r="K63" s="108"/>
      <c r="L63" s="108"/>
      <c r="M63" s="108"/>
      <c r="N63" s="108"/>
      <c r="O63" s="108"/>
      <c r="P63" s="108"/>
      <c r="Q63" s="108"/>
      <c r="R63" s="108"/>
      <c r="S63" s="108"/>
      <c r="T63" s="108"/>
      <c r="U63" s="108"/>
      <c r="V63" s="108"/>
      <c r="W63" s="108"/>
      <c r="X63" s="108"/>
      <c r="Y63" s="108"/>
    </row>
    <row r="64" hidden="1">
      <c r="A64" s="108"/>
      <c r="B64" s="107" t="s">
        <v>953</v>
      </c>
      <c r="C64" s="107" t="s">
        <v>967</v>
      </c>
      <c r="D64" s="115" t="s">
        <v>968</v>
      </c>
      <c r="E64" s="107" t="s">
        <v>969</v>
      </c>
      <c r="F64" s="211">
        <v>45314.0</v>
      </c>
      <c r="G64" s="211">
        <v>45619.0</v>
      </c>
      <c r="H64" s="239"/>
      <c r="I64" s="108"/>
      <c r="J64" s="108"/>
      <c r="K64" s="108"/>
      <c r="L64" s="108"/>
      <c r="M64" s="108"/>
      <c r="N64" s="108"/>
      <c r="O64" s="108"/>
      <c r="P64" s="108"/>
      <c r="Q64" s="108"/>
      <c r="R64" s="108"/>
      <c r="S64" s="108"/>
      <c r="T64" s="108"/>
      <c r="U64" s="108"/>
      <c r="V64" s="108"/>
      <c r="W64" s="108"/>
      <c r="X64" s="108"/>
      <c r="Y64" s="108"/>
    </row>
    <row r="65" hidden="1">
      <c r="A65" s="108"/>
      <c r="B65" s="107" t="s">
        <v>953</v>
      </c>
      <c r="C65" s="107" t="s">
        <v>970</v>
      </c>
      <c r="D65" s="115" t="s">
        <v>971</v>
      </c>
      <c r="E65" s="107" t="s">
        <v>972</v>
      </c>
      <c r="F65" s="211">
        <v>45314.0</v>
      </c>
      <c r="G65" s="211">
        <v>45619.0</v>
      </c>
      <c r="H65" s="239"/>
      <c r="I65" s="108"/>
      <c r="J65" s="108"/>
      <c r="K65" s="108"/>
      <c r="L65" s="108"/>
      <c r="M65" s="108"/>
      <c r="N65" s="108"/>
      <c r="O65" s="108"/>
      <c r="P65" s="108"/>
      <c r="Q65" s="108"/>
      <c r="R65" s="108"/>
      <c r="S65" s="108"/>
      <c r="T65" s="108"/>
      <c r="U65" s="108"/>
      <c r="V65" s="108"/>
      <c r="W65" s="108"/>
      <c r="X65" s="108"/>
      <c r="Y65" s="108"/>
    </row>
    <row r="66" hidden="1">
      <c r="A66" s="108"/>
      <c r="B66" s="107" t="s">
        <v>973</v>
      </c>
      <c r="C66" s="107" t="s">
        <v>974</v>
      </c>
      <c r="D66" s="115" t="s">
        <v>975</v>
      </c>
      <c r="E66" s="107" t="s">
        <v>976</v>
      </c>
      <c r="F66" s="211" t="s">
        <v>977</v>
      </c>
      <c r="G66" s="211" t="s">
        <v>978</v>
      </c>
      <c r="H66" s="239"/>
      <c r="I66" s="108"/>
      <c r="J66" s="108"/>
      <c r="K66" s="108"/>
      <c r="L66" s="108"/>
      <c r="M66" s="108"/>
      <c r="N66" s="108"/>
      <c r="O66" s="108"/>
      <c r="P66" s="108"/>
      <c r="Q66" s="108"/>
      <c r="R66" s="108"/>
      <c r="S66" s="108"/>
      <c r="T66" s="108"/>
      <c r="U66" s="108"/>
      <c r="V66" s="108"/>
      <c r="W66" s="108"/>
      <c r="X66" s="108"/>
      <c r="Y66" s="108"/>
    </row>
    <row r="67" hidden="1">
      <c r="A67" s="108"/>
      <c r="B67" s="107" t="s">
        <v>979</v>
      </c>
      <c r="C67" s="107" t="s">
        <v>974</v>
      </c>
      <c r="D67" s="115" t="s">
        <v>975</v>
      </c>
      <c r="E67" s="107" t="s">
        <v>976</v>
      </c>
      <c r="F67" s="211" t="s">
        <v>980</v>
      </c>
      <c r="G67" s="211" t="s">
        <v>981</v>
      </c>
      <c r="H67" s="239"/>
      <c r="I67" s="108"/>
      <c r="J67" s="108"/>
      <c r="K67" s="108"/>
      <c r="L67" s="108"/>
      <c r="M67" s="108"/>
      <c r="N67" s="108"/>
      <c r="O67" s="108"/>
      <c r="P67" s="108"/>
      <c r="Q67" s="108"/>
      <c r="R67" s="108"/>
      <c r="S67" s="108"/>
      <c r="T67" s="108"/>
      <c r="U67" s="108"/>
      <c r="V67" s="108"/>
      <c r="W67" s="108"/>
      <c r="X67" s="108"/>
      <c r="Y67" s="108"/>
    </row>
    <row r="68" hidden="1">
      <c r="A68" s="108"/>
      <c r="B68" s="107" t="s">
        <v>982</v>
      </c>
      <c r="C68" s="107" t="s">
        <v>974</v>
      </c>
      <c r="D68" s="115" t="s">
        <v>975</v>
      </c>
      <c r="E68" s="107" t="s">
        <v>983</v>
      </c>
      <c r="F68" s="211" t="s">
        <v>984</v>
      </c>
      <c r="G68" s="211" t="s">
        <v>985</v>
      </c>
      <c r="H68" s="239"/>
      <c r="I68" s="108"/>
      <c r="J68" s="108"/>
      <c r="K68" s="108"/>
      <c r="L68" s="108"/>
      <c r="M68" s="108"/>
      <c r="N68" s="108"/>
      <c r="O68" s="108"/>
      <c r="P68" s="108"/>
      <c r="Q68" s="108"/>
      <c r="R68" s="108"/>
      <c r="S68" s="108"/>
      <c r="T68" s="108"/>
      <c r="U68" s="108"/>
      <c r="V68" s="108"/>
      <c r="W68" s="108"/>
      <c r="X68" s="108"/>
      <c r="Y68" s="108"/>
    </row>
    <row r="69" hidden="1">
      <c r="A69" s="108"/>
      <c r="B69" s="107" t="s">
        <v>986</v>
      </c>
      <c r="C69" s="107" t="s">
        <v>974</v>
      </c>
      <c r="D69" s="115" t="s">
        <v>975</v>
      </c>
      <c r="E69" s="107" t="s">
        <v>983</v>
      </c>
      <c r="F69" s="211" t="s">
        <v>984</v>
      </c>
      <c r="G69" s="211" t="s">
        <v>987</v>
      </c>
      <c r="H69" s="239"/>
      <c r="I69" s="108"/>
      <c r="J69" s="108"/>
      <c r="K69" s="108"/>
      <c r="L69" s="108"/>
      <c r="M69" s="108"/>
      <c r="N69" s="108"/>
      <c r="O69" s="108"/>
      <c r="P69" s="108"/>
      <c r="Q69" s="108"/>
      <c r="R69" s="108"/>
      <c r="S69" s="108"/>
      <c r="T69" s="108"/>
      <c r="U69" s="108"/>
      <c r="V69" s="108"/>
      <c r="W69" s="108"/>
      <c r="X69" s="108"/>
      <c r="Y69" s="108"/>
    </row>
    <row r="70" hidden="1">
      <c r="A70" s="108"/>
      <c r="B70" s="107" t="s">
        <v>973</v>
      </c>
      <c r="C70" s="107" t="s">
        <v>974</v>
      </c>
      <c r="D70" s="115" t="s">
        <v>975</v>
      </c>
      <c r="E70" s="107" t="s">
        <v>983</v>
      </c>
      <c r="F70" s="211" t="s">
        <v>988</v>
      </c>
      <c r="G70" s="211" t="s">
        <v>989</v>
      </c>
      <c r="H70" s="239"/>
      <c r="I70" s="108"/>
      <c r="J70" s="108"/>
      <c r="K70" s="108"/>
      <c r="L70" s="108"/>
      <c r="M70" s="108"/>
      <c r="N70" s="108"/>
      <c r="O70" s="108"/>
      <c r="P70" s="108"/>
      <c r="Q70" s="108"/>
      <c r="R70" s="108"/>
      <c r="S70" s="108"/>
      <c r="T70" s="108"/>
      <c r="U70" s="108"/>
      <c r="V70" s="108"/>
      <c r="W70" s="108"/>
      <c r="X70" s="108"/>
      <c r="Y70" s="108"/>
    </row>
    <row r="71" hidden="1">
      <c r="A71" s="108"/>
      <c r="B71" s="107" t="s">
        <v>979</v>
      </c>
      <c r="C71" s="107" t="s">
        <v>974</v>
      </c>
      <c r="D71" s="115" t="s">
        <v>975</v>
      </c>
      <c r="E71" s="107" t="s">
        <v>983</v>
      </c>
      <c r="F71" s="211" t="s">
        <v>990</v>
      </c>
      <c r="G71" s="211" t="s">
        <v>991</v>
      </c>
      <c r="H71" s="239"/>
      <c r="I71" s="108"/>
      <c r="J71" s="108"/>
      <c r="K71" s="108"/>
      <c r="L71" s="108"/>
      <c r="M71" s="108"/>
      <c r="N71" s="108"/>
      <c r="O71" s="108"/>
      <c r="P71" s="108"/>
      <c r="Q71" s="108"/>
      <c r="R71" s="108"/>
      <c r="S71" s="108"/>
      <c r="T71" s="108"/>
      <c r="U71" s="108"/>
      <c r="V71" s="108"/>
      <c r="W71" s="108"/>
      <c r="X71" s="108"/>
      <c r="Y71" s="108"/>
    </row>
    <row r="72" hidden="1">
      <c r="A72" s="108"/>
      <c r="B72" s="107" t="s">
        <v>982</v>
      </c>
      <c r="C72" s="107" t="s">
        <v>974</v>
      </c>
      <c r="D72" s="115" t="s">
        <v>975</v>
      </c>
      <c r="E72" s="107" t="s">
        <v>983</v>
      </c>
      <c r="F72" s="211" t="s">
        <v>992</v>
      </c>
      <c r="G72" s="211" t="s">
        <v>993</v>
      </c>
      <c r="H72" s="239"/>
      <c r="I72" s="108"/>
      <c r="J72" s="108"/>
      <c r="K72" s="108"/>
      <c r="L72" s="108"/>
      <c r="M72" s="108"/>
      <c r="N72" s="108"/>
      <c r="O72" s="108"/>
      <c r="P72" s="108"/>
      <c r="Q72" s="108"/>
      <c r="R72" s="108"/>
      <c r="S72" s="108"/>
      <c r="T72" s="108"/>
      <c r="U72" s="108"/>
      <c r="V72" s="108"/>
      <c r="W72" s="108"/>
      <c r="X72" s="108"/>
      <c r="Y72" s="108"/>
    </row>
    <row r="73" hidden="1">
      <c r="A73" s="108"/>
      <c r="B73" s="107" t="s">
        <v>986</v>
      </c>
      <c r="C73" s="107" t="s">
        <v>974</v>
      </c>
      <c r="D73" s="115" t="s">
        <v>975</v>
      </c>
      <c r="E73" s="107" t="s">
        <v>983</v>
      </c>
      <c r="F73" s="211" t="s">
        <v>992</v>
      </c>
      <c r="G73" s="211" t="s">
        <v>993</v>
      </c>
      <c r="H73" s="239"/>
      <c r="I73" s="108"/>
      <c r="J73" s="108"/>
      <c r="K73" s="108"/>
      <c r="L73" s="108"/>
      <c r="M73" s="108"/>
      <c r="N73" s="108"/>
      <c r="O73" s="108"/>
      <c r="P73" s="108"/>
      <c r="Q73" s="108"/>
      <c r="R73" s="108"/>
      <c r="S73" s="108"/>
      <c r="T73" s="108"/>
      <c r="U73" s="108"/>
      <c r="V73" s="108"/>
      <c r="W73" s="108"/>
      <c r="X73" s="108"/>
      <c r="Y73" s="108"/>
    </row>
    <row r="74" hidden="1">
      <c r="A74" s="108"/>
      <c r="B74" s="107" t="s">
        <v>994</v>
      </c>
      <c r="C74" s="107" t="s">
        <v>995</v>
      </c>
      <c r="D74" s="115" t="s">
        <v>996</v>
      </c>
      <c r="E74" s="107" t="s">
        <v>997</v>
      </c>
      <c r="F74" s="211">
        <v>45619.0</v>
      </c>
      <c r="G74" s="211" t="s">
        <v>843</v>
      </c>
      <c r="H74" s="239"/>
      <c r="I74" s="108"/>
      <c r="J74" s="108"/>
      <c r="K74" s="108"/>
      <c r="L74" s="108"/>
      <c r="M74" s="108"/>
      <c r="N74" s="108"/>
      <c r="O74" s="108"/>
      <c r="P74" s="108"/>
      <c r="Q74" s="108"/>
      <c r="R74" s="108"/>
      <c r="S74" s="108"/>
      <c r="T74" s="108"/>
      <c r="U74" s="108"/>
      <c r="V74" s="108"/>
      <c r="W74" s="108"/>
      <c r="X74" s="108"/>
      <c r="Y74" s="108"/>
    </row>
    <row r="75" hidden="1">
      <c r="A75" s="108"/>
      <c r="B75" s="107" t="s">
        <v>994</v>
      </c>
      <c r="C75" s="107" t="s">
        <v>998</v>
      </c>
      <c r="D75" s="115" t="s">
        <v>999</v>
      </c>
      <c r="E75" s="107" t="s">
        <v>1000</v>
      </c>
      <c r="F75" s="211">
        <v>44929.0</v>
      </c>
      <c r="G75" s="211" t="s">
        <v>1001</v>
      </c>
      <c r="H75" s="115" t="s">
        <v>1002</v>
      </c>
      <c r="I75" s="108"/>
      <c r="J75" s="108"/>
      <c r="K75" s="108"/>
      <c r="L75" s="108"/>
      <c r="M75" s="108"/>
      <c r="N75" s="108"/>
      <c r="O75" s="108"/>
      <c r="P75" s="108"/>
      <c r="Q75" s="108"/>
      <c r="R75" s="108"/>
      <c r="S75" s="108"/>
      <c r="T75" s="108"/>
      <c r="U75" s="108"/>
      <c r="V75" s="108"/>
      <c r="W75" s="108"/>
      <c r="X75" s="108"/>
      <c r="Y75" s="108"/>
    </row>
    <row r="76" hidden="1">
      <c r="A76" s="108"/>
      <c r="B76" s="107" t="s">
        <v>994</v>
      </c>
      <c r="C76" s="107" t="s">
        <v>1003</v>
      </c>
      <c r="D76" s="115" t="s">
        <v>1004</v>
      </c>
      <c r="E76" s="107" t="s">
        <v>1005</v>
      </c>
      <c r="F76" s="211">
        <v>45236.0</v>
      </c>
      <c r="G76" s="211" t="s">
        <v>1006</v>
      </c>
      <c r="H76" s="239"/>
      <c r="I76" s="108"/>
      <c r="J76" s="108"/>
      <c r="K76" s="108"/>
      <c r="L76" s="108"/>
      <c r="M76" s="108"/>
      <c r="N76" s="108"/>
      <c r="O76" s="108"/>
      <c r="P76" s="108"/>
      <c r="Q76" s="108"/>
      <c r="R76" s="108"/>
      <c r="S76" s="108"/>
      <c r="T76" s="108"/>
      <c r="U76" s="108"/>
      <c r="V76" s="108"/>
      <c r="W76" s="108"/>
      <c r="X76" s="108"/>
      <c r="Y76" s="108"/>
    </row>
    <row r="77" hidden="1">
      <c r="A77" s="108"/>
      <c r="B77" s="107" t="s">
        <v>1007</v>
      </c>
      <c r="C77" s="107" t="s">
        <v>910</v>
      </c>
      <c r="D77" s="115" t="s">
        <v>1008</v>
      </c>
      <c r="E77" s="107" t="s">
        <v>928</v>
      </c>
      <c r="F77" s="211">
        <v>44287.0</v>
      </c>
      <c r="G77" s="211">
        <v>44682.0</v>
      </c>
      <c r="H77" s="115" t="s">
        <v>1009</v>
      </c>
      <c r="I77" s="108"/>
      <c r="J77" s="108"/>
      <c r="K77" s="108"/>
      <c r="L77" s="108"/>
      <c r="M77" s="108"/>
      <c r="N77" s="108"/>
      <c r="O77" s="108"/>
      <c r="P77" s="108"/>
      <c r="Q77" s="108"/>
      <c r="R77" s="108"/>
      <c r="S77" s="108"/>
      <c r="T77" s="108"/>
      <c r="U77" s="108"/>
      <c r="V77" s="108"/>
      <c r="W77" s="108"/>
      <c r="X77" s="108"/>
      <c r="Y77" s="108"/>
    </row>
    <row r="78" hidden="1">
      <c r="A78" s="108"/>
      <c r="B78" s="107" t="s">
        <v>1007</v>
      </c>
      <c r="C78" s="107" t="s">
        <v>914</v>
      </c>
      <c r="D78" s="115" t="s">
        <v>1010</v>
      </c>
      <c r="E78" s="107" t="s">
        <v>930</v>
      </c>
      <c r="F78" s="211">
        <v>44531.0</v>
      </c>
      <c r="G78" s="211">
        <v>44652.0</v>
      </c>
      <c r="H78" s="239"/>
      <c r="I78" s="108"/>
      <c r="J78" s="108"/>
      <c r="K78" s="108"/>
      <c r="L78" s="108"/>
      <c r="M78" s="108"/>
      <c r="N78" s="108"/>
      <c r="O78" s="108"/>
      <c r="P78" s="108"/>
      <c r="Q78" s="108"/>
      <c r="R78" s="108"/>
      <c r="S78" s="108"/>
      <c r="T78" s="108"/>
      <c r="U78" s="108"/>
      <c r="V78" s="108"/>
      <c r="W78" s="108"/>
      <c r="X78" s="108"/>
      <c r="Y78" s="108"/>
    </row>
    <row r="79" hidden="1">
      <c r="A79" s="108"/>
      <c r="B79" s="107" t="s">
        <v>1007</v>
      </c>
      <c r="C79" s="107" t="s">
        <v>921</v>
      </c>
      <c r="D79" s="115" t="s">
        <v>922</v>
      </c>
      <c r="E79" s="107" t="s">
        <v>923</v>
      </c>
      <c r="F79" s="211">
        <v>44652.0</v>
      </c>
      <c r="G79" s="211">
        <v>44788.0</v>
      </c>
      <c r="H79" s="115" t="s">
        <v>1011</v>
      </c>
      <c r="I79" s="108"/>
      <c r="J79" s="108"/>
      <c r="K79" s="108"/>
      <c r="L79" s="108"/>
      <c r="M79" s="108"/>
      <c r="N79" s="108"/>
      <c r="O79" s="108"/>
      <c r="P79" s="108"/>
      <c r="Q79" s="108"/>
      <c r="R79" s="108"/>
      <c r="S79" s="108"/>
      <c r="T79" s="108"/>
      <c r="U79" s="108"/>
      <c r="V79" s="108"/>
      <c r="W79" s="108"/>
      <c r="X79" s="108"/>
      <c r="Y79" s="108"/>
    </row>
    <row r="80" hidden="1">
      <c r="A80" s="108"/>
      <c r="B80" s="107" t="s">
        <v>1007</v>
      </c>
      <c r="C80" s="107" t="s">
        <v>1012</v>
      </c>
      <c r="D80" s="115" t="s">
        <v>1013</v>
      </c>
      <c r="E80" s="107" t="s">
        <v>1014</v>
      </c>
      <c r="F80" s="211">
        <v>44835.0</v>
      </c>
      <c r="G80" s="211">
        <v>45474.0</v>
      </c>
      <c r="H80" s="115" t="s">
        <v>843</v>
      </c>
      <c r="I80" s="108"/>
      <c r="J80" s="108"/>
      <c r="K80" s="108"/>
      <c r="L80" s="108"/>
      <c r="M80" s="108"/>
      <c r="N80" s="108"/>
      <c r="O80" s="108"/>
      <c r="P80" s="108"/>
      <c r="Q80" s="108"/>
      <c r="R80" s="108"/>
      <c r="S80" s="108"/>
      <c r="T80" s="108"/>
      <c r="U80" s="108"/>
      <c r="V80" s="108"/>
      <c r="W80" s="108"/>
      <c r="X80" s="108"/>
      <c r="Y80" s="108"/>
    </row>
    <row r="81" hidden="1">
      <c r="A81" s="108"/>
      <c r="B81" s="107" t="s">
        <v>1007</v>
      </c>
      <c r="C81" s="107" t="s">
        <v>935</v>
      </c>
      <c r="D81" s="115" t="s">
        <v>936</v>
      </c>
      <c r="E81" s="107" t="s">
        <v>937</v>
      </c>
      <c r="F81" s="211">
        <v>44835.0</v>
      </c>
      <c r="G81" s="211">
        <v>45474.0</v>
      </c>
      <c r="H81" s="115" t="s">
        <v>843</v>
      </c>
      <c r="I81" s="108"/>
      <c r="J81" s="108"/>
      <c r="K81" s="108"/>
      <c r="L81" s="108"/>
      <c r="M81" s="108"/>
      <c r="N81" s="108"/>
      <c r="O81" s="108"/>
      <c r="P81" s="108"/>
      <c r="Q81" s="108"/>
      <c r="R81" s="108"/>
      <c r="S81" s="108"/>
      <c r="T81" s="108"/>
      <c r="U81" s="108"/>
      <c r="V81" s="108"/>
      <c r="W81" s="108"/>
      <c r="X81" s="108"/>
      <c r="Y81" s="108"/>
    </row>
    <row r="82" hidden="1">
      <c r="A82" s="108"/>
      <c r="B82" s="107" t="s">
        <v>1007</v>
      </c>
      <c r="C82" s="107" t="s">
        <v>1015</v>
      </c>
      <c r="D82" s="115" t="s">
        <v>1016</v>
      </c>
      <c r="E82" s="107" t="s">
        <v>1017</v>
      </c>
      <c r="F82" s="211">
        <v>44927.0</v>
      </c>
      <c r="G82" s="211">
        <v>45474.0</v>
      </c>
      <c r="H82" s="115" t="s">
        <v>843</v>
      </c>
      <c r="I82" s="108"/>
      <c r="J82" s="108"/>
      <c r="K82" s="108"/>
      <c r="L82" s="108"/>
      <c r="M82" s="108"/>
      <c r="N82" s="108"/>
      <c r="O82" s="108"/>
      <c r="P82" s="108"/>
      <c r="Q82" s="108"/>
      <c r="R82" s="108"/>
      <c r="S82" s="108"/>
      <c r="T82" s="108"/>
      <c r="U82" s="108"/>
      <c r="V82" s="108"/>
      <c r="W82" s="108"/>
      <c r="X82" s="108"/>
      <c r="Y82" s="108"/>
    </row>
    <row r="83" hidden="1">
      <c r="A83" s="108"/>
      <c r="B83" s="107" t="s">
        <v>1007</v>
      </c>
      <c r="C83" s="107" t="s">
        <v>1018</v>
      </c>
      <c r="D83" s="115" t="s">
        <v>1019</v>
      </c>
      <c r="E83" s="107" t="s">
        <v>1020</v>
      </c>
      <c r="F83" s="211">
        <v>44958.0</v>
      </c>
      <c r="G83" s="211">
        <v>45107.0</v>
      </c>
      <c r="H83" s="239"/>
      <c r="I83" s="108"/>
      <c r="J83" s="108"/>
      <c r="K83" s="108"/>
      <c r="L83" s="108"/>
      <c r="M83" s="108"/>
      <c r="N83" s="108"/>
      <c r="O83" s="108"/>
      <c r="P83" s="108"/>
      <c r="Q83" s="108"/>
      <c r="R83" s="108"/>
      <c r="S83" s="108"/>
      <c r="T83" s="108"/>
      <c r="U83" s="108"/>
      <c r="V83" s="108"/>
      <c r="W83" s="108"/>
      <c r="X83" s="108"/>
      <c r="Y83" s="108"/>
    </row>
    <row r="84" hidden="1">
      <c r="A84" s="108"/>
      <c r="B84" s="107" t="s">
        <v>1021</v>
      </c>
      <c r="C84" s="107" t="s">
        <v>1022</v>
      </c>
      <c r="D84" s="115" t="s">
        <v>1023</v>
      </c>
      <c r="E84" s="107" t="s">
        <v>1024</v>
      </c>
      <c r="F84" s="211">
        <v>44197.0</v>
      </c>
      <c r="G84" s="211">
        <v>44469.0</v>
      </c>
      <c r="H84" s="239"/>
      <c r="I84" s="108"/>
      <c r="J84" s="108"/>
      <c r="K84" s="108"/>
      <c r="L84" s="108"/>
      <c r="M84" s="108"/>
      <c r="N84" s="108"/>
      <c r="O84" s="108"/>
      <c r="P84" s="108"/>
      <c r="Q84" s="108"/>
      <c r="R84" s="108"/>
      <c r="S84" s="108"/>
      <c r="T84" s="108"/>
      <c r="U84" s="108"/>
      <c r="V84" s="108"/>
      <c r="W84" s="108"/>
      <c r="X84" s="108"/>
      <c r="Y84" s="108"/>
    </row>
    <row r="85" hidden="1">
      <c r="A85" s="108"/>
      <c r="B85" s="107" t="s">
        <v>1021</v>
      </c>
      <c r="C85" s="107" t="s">
        <v>1025</v>
      </c>
      <c r="D85" s="115" t="s">
        <v>1026</v>
      </c>
      <c r="E85" s="107" t="s">
        <v>1027</v>
      </c>
      <c r="F85" s="211">
        <v>44470.0</v>
      </c>
      <c r="G85" s="211">
        <v>44679.0</v>
      </c>
      <c r="H85" s="115" t="s">
        <v>1028</v>
      </c>
      <c r="I85" s="108"/>
      <c r="J85" s="108"/>
      <c r="K85" s="108"/>
      <c r="L85" s="108"/>
      <c r="M85" s="108"/>
      <c r="N85" s="108"/>
      <c r="O85" s="108"/>
      <c r="P85" s="108"/>
      <c r="Q85" s="108"/>
      <c r="R85" s="108"/>
      <c r="S85" s="108"/>
      <c r="T85" s="108"/>
      <c r="U85" s="108"/>
      <c r="V85" s="108"/>
      <c r="W85" s="108"/>
      <c r="X85" s="108"/>
      <c r="Y85" s="108"/>
    </row>
    <row r="86" hidden="1">
      <c r="A86" s="108"/>
      <c r="B86" s="107" t="s">
        <v>1021</v>
      </c>
      <c r="C86" s="107" t="s">
        <v>1022</v>
      </c>
      <c r="D86" s="115" t="s">
        <v>1029</v>
      </c>
      <c r="E86" s="107" t="s">
        <v>1030</v>
      </c>
      <c r="F86" s="211">
        <v>44682.0</v>
      </c>
      <c r="G86" s="211">
        <v>45458.0</v>
      </c>
      <c r="H86" s="115" t="s">
        <v>1031</v>
      </c>
      <c r="I86" s="108"/>
      <c r="J86" s="108"/>
      <c r="K86" s="108"/>
      <c r="L86" s="108"/>
      <c r="M86" s="108"/>
      <c r="N86" s="108"/>
      <c r="O86" s="108"/>
      <c r="P86" s="108"/>
      <c r="Q86" s="108"/>
      <c r="R86" s="108"/>
      <c r="S86" s="108"/>
      <c r="T86" s="108"/>
      <c r="U86" s="108"/>
      <c r="V86" s="108"/>
      <c r="W86" s="108"/>
      <c r="X86" s="108"/>
      <c r="Y86" s="108"/>
    </row>
    <row r="87" hidden="1">
      <c r="A87" s="108"/>
      <c r="B87" s="107" t="s">
        <v>871</v>
      </c>
      <c r="C87" s="107" t="s">
        <v>872</v>
      </c>
      <c r="D87" s="115" t="s">
        <v>873</v>
      </c>
      <c r="E87" s="107" t="s">
        <v>874</v>
      </c>
      <c r="F87" s="211">
        <v>45465.0</v>
      </c>
      <c r="G87" s="211">
        <v>45495.0</v>
      </c>
      <c r="H87" s="239"/>
      <c r="I87" s="108"/>
      <c r="J87" s="108"/>
      <c r="K87" s="108"/>
      <c r="L87" s="108"/>
      <c r="M87" s="108"/>
      <c r="N87" s="108"/>
      <c r="O87" s="108"/>
      <c r="P87" s="108"/>
      <c r="Q87" s="108"/>
      <c r="R87" s="108"/>
      <c r="S87" s="108"/>
      <c r="T87" s="108"/>
      <c r="U87" s="108"/>
      <c r="V87" s="108"/>
      <c r="W87" s="108"/>
      <c r="X87" s="108"/>
      <c r="Y87" s="108"/>
    </row>
    <row r="88" hidden="1">
      <c r="A88" s="108"/>
      <c r="B88" s="107" t="s">
        <v>871</v>
      </c>
      <c r="C88" s="107"/>
      <c r="D88" s="115" t="s">
        <v>875</v>
      </c>
      <c r="E88" s="107" t="s">
        <v>876</v>
      </c>
      <c r="F88" s="211">
        <v>45495.0</v>
      </c>
      <c r="G88" s="211">
        <v>45557.0</v>
      </c>
      <c r="H88" s="239"/>
      <c r="I88" s="108"/>
      <c r="J88" s="108"/>
      <c r="K88" s="108"/>
      <c r="L88" s="108"/>
      <c r="M88" s="108"/>
      <c r="N88" s="108"/>
      <c r="O88" s="108"/>
      <c r="P88" s="108"/>
      <c r="Q88" s="108"/>
      <c r="R88" s="108"/>
      <c r="S88" s="108"/>
      <c r="T88" s="108"/>
      <c r="U88" s="108"/>
      <c r="V88" s="108"/>
      <c r="W88" s="108"/>
      <c r="X88" s="108"/>
      <c r="Y88" s="108"/>
    </row>
    <row r="89" hidden="1">
      <c r="A89" s="108"/>
      <c r="B89" s="107" t="s">
        <v>871</v>
      </c>
      <c r="C89" s="107"/>
      <c r="D89" s="115" t="s">
        <v>877</v>
      </c>
      <c r="E89" s="107" t="s">
        <v>878</v>
      </c>
      <c r="F89" s="211">
        <v>45345.0</v>
      </c>
      <c r="G89" s="211">
        <v>45405.0</v>
      </c>
      <c r="H89" s="115"/>
      <c r="I89" s="108"/>
      <c r="J89" s="108"/>
      <c r="K89" s="108"/>
      <c r="L89" s="108"/>
      <c r="M89" s="108"/>
      <c r="N89" s="108"/>
      <c r="O89" s="108"/>
      <c r="P89" s="108"/>
      <c r="Q89" s="108"/>
      <c r="R89" s="108"/>
      <c r="S89" s="108"/>
      <c r="T89" s="108"/>
      <c r="U89" s="108"/>
      <c r="V89" s="108"/>
      <c r="W89" s="108"/>
      <c r="X89" s="108"/>
      <c r="Y89" s="108"/>
    </row>
    <row r="90" hidden="1">
      <c r="A90" s="108"/>
      <c r="B90" s="107" t="s">
        <v>871</v>
      </c>
      <c r="C90" s="107" t="s">
        <v>879</v>
      </c>
      <c r="D90" s="115" t="s">
        <v>880</v>
      </c>
      <c r="E90" s="107" t="s">
        <v>881</v>
      </c>
      <c r="F90" s="211">
        <v>45435.0</v>
      </c>
      <c r="G90" s="211">
        <v>45466.0</v>
      </c>
      <c r="H90" s="239"/>
      <c r="I90" s="108"/>
      <c r="J90" s="108"/>
      <c r="K90" s="108"/>
      <c r="L90" s="108"/>
      <c r="M90" s="108"/>
      <c r="N90" s="108"/>
      <c r="O90" s="108"/>
      <c r="P90" s="108"/>
      <c r="Q90" s="108"/>
      <c r="R90" s="108"/>
      <c r="S90" s="108"/>
      <c r="T90" s="108"/>
      <c r="U90" s="108"/>
      <c r="V90" s="108"/>
      <c r="W90" s="108"/>
      <c r="X90" s="108"/>
      <c r="Y90" s="108"/>
    </row>
    <row r="91" hidden="1">
      <c r="A91" s="108"/>
      <c r="B91" s="107" t="s">
        <v>871</v>
      </c>
      <c r="C91" s="107" t="s">
        <v>882</v>
      </c>
      <c r="D91" s="115" t="s">
        <v>883</v>
      </c>
      <c r="E91" s="107" t="s">
        <v>884</v>
      </c>
      <c r="F91" s="211">
        <v>45108.0</v>
      </c>
      <c r="G91" s="211" t="s">
        <v>843</v>
      </c>
      <c r="H91" s="239"/>
      <c r="I91" s="108"/>
      <c r="J91" s="108"/>
      <c r="K91" s="108"/>
      <c r="L91" s="108"/>
      <c r="M91" s="108"/>
      <c r="N91" s="108"/>
      <c r="O91" s="108"/>
      <c r="P91" s="108"/>
      <c r="Q91" s="108"/>
      <c r="R91" s="108"/>
      <c r="S91" s="108"/>
      <c r="T91" s="108"/>
      <c r="U91" s="108"/>
      <c r="V91" s="108"/>
      <c r="W91" s="108"/>
      <c r="X91" s="108"/>
      <c r="Y91" s="108"/>
    </row>
    <row r="92" hidden="1">
      <c r="A92" s="108"/>
      <c r="B92" s="107" t="s">
        <v>871</v>
      </c>
      <c r="C92" s="107" t="s">
        <v>882</v>
      </c>
      <c r="D92" s="115" t="s">
        <v>886</v>
      </c>
      <c r="E92" s="107" t="s">
        <v>887</v>
      </c>
      <c r="F92" s="211">
        <v>45139.0</v>
      </c>
      <c r="G92" s="211" t="s">
        <v>843</v>
      </c>
      <c r="H92" s="115" t="s">
        <v>888</v>
      </c>
      <c r="I92" s="108"/>
      <c r="J92" s="108"/>
      <c r="K92" s="108"/>
      <c r="L92" s="108"/>
      <c r="M92" s="108"/>
      <c r="N92" s="108"/>
      <c r="O92" s="108"/>
      <c r="P92" s="108"/>
      <c r="Q92" s="108"/>
      <c r="R92" s="108"/>
      <c r="S92" s="108"/>
      <c r="T92" s="108"/>
      <c r="U92" s="108"/>
      <c r="V92" s="108"/>
      <c r="W92" s="108"/>
      <c r="X92" s="108"/>
      <c r="Y92" s="108"/>
    </row>
    <row r="93" hidden="1">
      <c r="A93" s="108"/>
      <c r="B93" s="107" t="s">
        <v>1032</v>
      </c>
      <c r="C93" s="107" t="s">
        <v>1033</v>
      </c>
      <c r="D93" s="115" t="s">
        <v>1034</v>
      </c>
      <c r="E93" s="107" t="s">
        <v>1035</v>
      </c>
      <c r="F93" s="211">
        <v>44256.0</v>
      </c>
      <c r="G93" s="211">
        <v>44256.0</v>
      </c>
      <c r="H93" s="239"/>
      <c r="I93" s="108"/>
      <c r="J93" s="108"/>
      <c r="K93" s="108"/>
      <c r="L93" s="108"/>
      <c r="M93" s="108"/>
      <c r="N93" s="108"/>
      <c r="O93" s="108"/>
      <c r="P93" s="108"/>
      <c r="Q93" s="108"/>
      <c r="R93" s="108"/>
      <c r="S93" s="108"/>
      <c r="T93" s="108"/>
      <c r="U93" s="108"/>
      <c r="V93" s="108"/>
      <c r="W93" s="108"/>
      <c r="X93" s="108"/>
      <c r="Y93" s="108"/>
    </row>
    <row r="94" hidden="1">
      <c r="A94" s="108"/>
      <c r="B94" s="107" t="s">
        <v>1032</v>
      </c>
      <c r="C94" s="107" t="s">
        <v>1036</v>
      </c>
      <c r="D94" s="115" t="s">
        <v>1037</v>
      </c>
      <c r="E94" s="107" t="s">
        <v>1038</v>
      </c>
      <c r="F94" s="211">
        <v>44256.0</v>
      </c>
      <c r="G94" s="211">
        <v>44348.0</v>
      </c>
      <c r="H94" s="239"/>
      <c r="I94" s="108"/>
      <c r="J94" s="108"/>
      <c r="K94" s="108"/>
      <c r="L94" s="108"/>
      <c r="M94" s="108"/>
      <c r="N94" s="108"/>
      <c r="O94" s="108"/>
      <c r="P94" s="108"/>
      <c r="Q94" s="108"/>
      <c r="R94" s="108"/>
      <c r="S94" s="108"/>
      <c r="T94" s="108"/>
      <c r="U94" s="108"/>
      <c r="V94" s="108"/>
      <c r="W94" s="108"/>
      <c r="X94" s="108"/>
      <c r="Y94" s="108"/>
    </row>
    <row r="95" hidden="1">
      <c r="A95" s="108"/>
      <c r="B95" s="107" t="s">
        <v>1032</v>
      </c>
      <c r="C95" s="107" t="s">
        <v>1033</v>
      </c>
      <c r="D95" s="115" t="s">
        <v>1039</v>
      </c>
      <c r="E95" s="107" t="s">
        <v>1040</v>
      </c>
      <c r="F95" s="211">
        <v>44348.0</v>
      </c>
      <c r="G95" s="211">
        <v>44409.0</v>
      </c>
      <c r="H95" s="239"/>
      <c r="I95" s="108"/>
      <c r="J95" s="108"/>
      <c r="K95" s="108"/>
      <c r="L95" s="108"/>
      <c r="M95" s="108"/>
      <c r="N95" s="108"/>
      <c r="O95" s="108"/>
      <c r="P95" s="108"/>
      <c r="Q95" s="108"/>
      <c r="R95" s="108"/>
      <c r="S95" s="108"/>
      <c r="T95" s="108"/>
      <c r="U95" s="108"/>
      <c r="V95" s="108"/>
      <c r="W95" s="108"/>
      <c r="X95" s="108"/>
      <c r="Y95" s="108"/>
    </row>
    <row r="96" hidden="1">
      <c r="A96" s="108"/>
      <c r="B96" s="107" t="s">
        <v>1032</v>
      </c>
      <c r="C96" s="107" t="s">
        <v>1041</v>
      </c>
      <c r="D96" s="115" t="s">
        <v>1042</v>
      </c>
      <c r="E96" s="107" t="s">
        <v>1043</v>
      </c>
      <c r="F96" s="211">
        <v>44256.0</v>
      </c>
      <c r="G96" s="211">
        <v>44440.0</v>
      </c>
      <c r="H96" s="115" t="s">
        <v>1044</v>
      </c>
      <c r="I96" s="108"/>
      <c r="J96" s="108"/>
      <c r="K96" s="108"/>
      <c r="L96" s="108"/>
      <c r="M96" s="108"/>
      <c r="N96" s="108"/>
      <c r="O96" s="108"/>
      <c r="P96" s="108"/>
      <c r="Q96" s="108"/>
      <c r="R96" s="108"/>
      <c r="S96" s="108"/>
      <c r="T96" s="108"/>
      <c r="U96" s="108"/>
      <c r="V96" s="108"/>
      <c r="W96" s="108"/>
      <c r="X96" s="108"/>
      <c r="Y96" s="108"/>
    </row>
    <row r="97" hidden="1">
      <c r="A97" s="108"/>
      <c r="B97" s="107" t="s">
        <v>1032</v>
      </c>
      <c r="C97" s="107" t="s">
        <v>1045</v>
      </c>
      <c r="D97" s="115" t="s">
        <v>1046</v>
      </c>
      <c r="E97" s="107" t="s">
        <v>1047</v>
      </c>
      <c r="F97" s="211">
        <v>44378.0</v>
      </c>
      <c r="G97" s="211">
        <v>44440.0</v>
      </c>
      <c r="H97" s="239"/>
      <c r="I97" s="108"/>
      <c r="J97" s="108"/>
      <c r="K97" s="108"/>
      <c r="L97" s="108"/>
      <c r="M97" s="108"/>
      <c r="N97" s="108"/>
      <c r="O97" s="108"/>
      <c r="P97" s="108"/>
      <c r="Q97" s="108"/>
      <c r="R97" s="108"/>
      <c r="S97" s="108"/>
      <c r="T97" s="108"/>
      <c r="U97" s="108"/>
      <c r="V97" s="108"/>
      <c r="W97" s="108"/>
      <c r="X97" s="108"/>
      <c r="Y97" s="108"/>
    </row>
    <row r="98" hidden="1">
      <c r="A98" s="108"/>
      <c r="B98" s="107" t="s">
        <v>1032</v>
      </c>
      <c r="C98" s="107" t="s">
        <v>1048</v>
      </c>
      <c r="D98" s="115" t="s">
        <v>1049</v>
      </c>
      <c r="E98" s="107" t="s">
        <v>1050</v>
      </c>
      <c r="F98" s="211">
        <v>44470.0</v>
      </c>
      <c r="G98" s="211">
        <v>44470.0</v>
      </c>
      <c r="H98" s="239"/>
      <c r="I98" s="108"/>
      <c r="J98" s="108"/>
      <c r="K98" s="108"/>
      <c r="L98" s="108"/>
      <c r="M98" s="108"/>
      <c r="N98" s="108"/>
      <c r="O98" s="108"/>
      <c r="P98" s="108"/>
      <c r="Q98" s="108"/>
      <c r="R98" s="108"/>
      <c r="S98" s="108"/>
      <c r="T98" s="108"/>
      <c r="U98" s="108"/>
      <c r="V98" s="108"/>
      <c r="W98" s="108"/>
      <c r="X98" s="108"/>
      <c r="Y98" s="108"/>
    </row>
    <row r="99" hidden="1">
      <c r="A99" s="108"/>
      <c r="B99" s="107" t="s">
        <v>1032</v>
      </c>
      <c r="C99" s="107" t="s">
        <v>1051</v>
      </c>
      <c r="D99" s="115" t="s">
        <v>1052</v>
      </c>
      <c r="E99" s="107" t="s">
        <v>1053</v>
      </c>
      <c r="F99" s="211">
        <v>44470.0</v>
      </c>
      <c r="G99" s="211">
        <v>44228.0</v>
      </c>
      <c r="H99" s="239"/>
      <c r="I99" s="108"/>
      <c r="J99" s="108"/>
      <c r="K99" s="108"/>
      <c r="L99" s="108"/>
      <c r="M99" s="108"/>
      <c r="N99" s="108"/>
      <c r="O99" s="108"/>
      <c r="P99" s="108"/>
      <c r="Q99" s="108"/>
      <c r="R99" s="108"/>
      <c r="S99" s="108"/>
      <c r="T99" s="108"/>
      <c r="U99" s="108"/>
      <c r="V99" s="108"/>
      <c r="W99" s="108"/>
      <c r="X99" s="108"/>
      <c r="Y99" s="108"/>
    </row>
    <row r="100" hidden="1">
      <c r="A100" s="108"/>
      <c r="B100" s="107" t="s">
        <v>1032</v>
      </c>
      <c r="C100" s="107" t="s">
        <v>1054</v>
      </c>
      <c r="D100" s="115" t="s">
        <v>1055</v>
      </c>
      <c r="E100" s="107" t="s">
        <v>1056</v>
      </c>
      <c r="F100" s="211">
        <v>44470.0</v>
      </c>
      <c r="G100" s="211">
        <v>44621.0</v>
      </c>
      <c r="H100" s="239"/>
      <c r="I100" s="108"/>
      <c r="J100" s="108"/>
      <c r="K100" s="108"/>
      <c r="L100" s="108"/>
      <c r="M100" s="108"/>
      <c r="N100" s="108"/>
      <c r="O100" s="108"/>
      <c r="P100" s="108"/>
      <c r="Q100" s="108"/>
      <c r="R100" s="108"/>
      <c r="S100" s="108"/>
      <c r="T100" s="108"/>
      <c r="U100" s="108"/>
      <c r="V100" s="108"/>
      <c r="W100" s="108"/>
      <c r="X100" s="108"/>
      <c r="Y100" s="108"/>
    </row>
    <row r="101" hidden="1">
      <c r="A101" s="108"/>
      <c r="B101" s="107" t="s">
        <v>1032</v>
      </c>
      <c r="C101" s="107" t="s">
        <v>1057</v>
      </c>
      <c r="D101" s="115" t="s">
        <v>1058</v>
      </c>
      <c r="E101" s="107" t="s">
        <v>1059</v>
      </c>
      <c r="F101" s="211">
        <v>44470.0</v>
      </c>
      <c r="G101" s="211">
        <v>44470.0</v>
      </c>
      <c r="H101" s="239"/>
      <c r="I101" s="108"/>
      <c r="J101" s="108"/>
      <c r="K101" s="108"/>
      <c r="L101" s="108"/>
      <c r="M101" s="108"/>
      <c r="N101" s="108"/>
      <c r="O101" s="108"/>
      <c r="P101" s="108"/>
      <c r="Q101" s="108"/>
      <c r="R101" s="108"/>
      <c r="S101" s="108"/>
      <c r="T101" s="108"/>
      <c r="U101" s="108"/>
      <c r="V101" s="108"/>
      <c r="W101" s="108"/>
      <c r="X101" s="108"/>
      <c r="Y101" s="108"/>
    </row>
    <row r="102" hidden="1">
      <c r="A102" s="108"/>
      <c r="B102" s="107" t="s">
        <v>1032</v>
      </c>
      <c r="C102" s="107" t="s">
        <v>1060</v>
      </c>
      <c r="D102" s="115" t="s">
        <v>1061</v>
      </c>
      <c r="E102" s="107" t="s">
        <v>1062</v>
      </c>
      <c r="F102" s="211">
        <v>44501.0</v>
      </c>
      <c r="G102" s="211">
        <v>44593.0</v>
      </c>
      <c r="H102" s="115" t="s">
        <v>1063</v>
      </c>
      <c r="I102" s="108"/>
      <c r="J102" s="108"/>
      <c r="K102" s="108"/>
      <c r="L102" s="108"/>
      <c r="M102" s="108"/>
      <c r="N102" s="108"/>
      <c r="O102" s="108"/>
      <c r="P102" s="108"/>
      <c r="Q102" s="108"/>
      <c r="R102" s="108"/>
      <c r="S102" s="108"/>
      <c r="T102" s="108"/>
      <c r="U102" s="108"/>
      <c r="V102" s="108"/>
      <c r="W102" s="108"/>
      <c r="X102" s="108"/>
      <c r="Y102" s="108"/>
    </row>
    <row r="103" hidden="1">
      <c r="A103" s="108"/>
      <c r="B103" s="107" t="s">
        <v>1032</v>
      </c>
      <c r="C103" s="107" t="s">
        <v>1064</v>
      </c>
      <c r="D103" s="115" t="s">
        <v>1065</v>
      </c>
      <c r="E103" s="107" t="s">
        <v>1043</v>
      </c>
      <c r="F103" s="211">
        <v>44652.0</v>
      </c>
      <c r="G103" s="211">
        <v>44682.0</v>
      </c>
      <c r="H103" s="115"/>
      <c r="I103" s="108"/>
      <c r="J103" s="108"/>
      <c r="K103" s="108"/>
      <c r="L103" s="108"/>
      <c r="M103" s="108"/>
      <c r="N103" s="108"/>
      <c r="O103" s="108"/>
      <c r="P103" s="108"/>
      <c r="Q103" s="108"/>
      <c r="R103" s="108"/>
      <c r="S103" s="108"/>
      <c r="T103" s="108"/>
      <c r="U103" s="108"/>
      <c r="V103" s="108"/>
      <c r="W103" s="108"/>
      <c r="X103" s="108"/>
      <c r="Y103" s="108"/>
    </row>
    <row r="104" hidden="1">
      <c r="A104" s="108"/>
      <c r="B104" s="107" t="s">
        <v>1032</v>
      </c>
      <c r="C104" s="107" t="s">
        <v>837</v>
      </c>
      <c r="D104" s="115" t="s">
        <v>1066</v>
      </c>
      <c r="E104" s="107" t="s">
        <v>1067</v>
      </c>
      <c r="F104" s="211">
        <v>44621.0</v>
      </c>
      <c r="G104" s="211">
        <v>44958.0</v>
      </c>
      <c r="H104" s="239"/>
      <c r="I104" s="108"/>
      <c r="J104" s="108"/>
      <c r="K104" s="108"/>
      <c r="L104" s="108"/>
      <c r="M104" s="108"/>
      <c r="N104" s="108"/>
      <c r="O104" s="108"/>
      <c r="P104" s="108"/>
      <c r="Q104" s="108"/>
      <c r="R104" s="108"/>
      <c r="S104" s="108"/>
      <c r="T104" s="108"/>
      <c r="U104" s="108"/>
      <c r="V104" s="108"/>
      <c r="W104" s="108"/>
      <c r="X104" s="108"/>
      <c r="Y104" s="108"/>
    </row>
    <row r="105" hidden="1">
      <c r="A105" s="108"/>
      <c r="B105" s="107" t="s">
        <v>1032</v>
      </c>
      <c r="C105" s="107" t="s">
        <v>1068</v>
      </c>
      <c r="D105" s="115" t="s">
        <v>1069</v>
      </c>
      <c r="E105" s="107" t="s">
        <v>1070</v>
      </c>
      <c r="F105" s="211">
        <v>44958.0</v>
      </c>
      <c r="G105" s="211">
        <v>45017.0</v>
      </c>
      <c r="H105" s="115"/>
      <c r="I105" s="108"/>
      <c r="J105" s="108"/>
      <c r="K105" s="108"/>
      <c r="L105" s="108"/>
      <c r="M105" s="108"/>
      <c r="N105" s="108"/>
      <c r="O105" s="108"/>
      <c r="P105" s="108"/>
      <c r="Q105" s="108"/>
      <c r="R105" s="108"/>
      <c r="S105" s="108"/>
      <c r="T105" s="108"/>
      <c r="U105" s="108"/>
      <c r="V105" s="108"/>
      <c r="W105" s="108"/>
      <c r="X105" s="108"/>
      <c r="Y105" s="108"/>
    </row>
    <row r="106" hidden="1">
      <c r="A106" s="108"/>
      <c r="B106" s="107" t="s">
        <v>1032</v>
      </c>
      <c r="C106" s="107" t="s">
        <v>1068</v>
      </c>
      <c r="D106" s="115" t="s">
        <v>1071</v>
      </c>
      <c r="E106" s="107" t="s">
        <v>1072</v>
      </c>
      <c r="F106" s="211">
        <v>45047.0</v>
      </c>
      <c r="G106" s="211">
        <v>45047.0</v>
      </c>
      <c r="H106" s="239"/>
      <c r="I106" s="108"/>
      <c r="J106" s="108"/>
      <c r="K106" s="108"/>
      <c r="L106" s="108"/>
      <c r="M106" s="108"/>
      <c r="N106" s="108"/>
      <c r="O106" s="108"/>
      <c r="P106" s="108"/>
      <c r="Q106" s="108"/>
      <c r="R106" s="108"/>
      <c r="S106" s="108"/>
      <c r="T106" s="108"/>
      <c r="U106" s="108"/>
      <c r="V106" s="108"/>
      <c r="W106" s="108"/>
      <c r="X106" s="108"/>
      <c r="Y106" s="108"/>
    </row>
    <row r="107" hidden="1">
      <c r="A107" s="108"/>
      <c r="B107" s="107" t="s">
        <v>1032</v>
      </c>
      <c r="C107" s="107" t="s">
        <v>828</v>
      </c>
      <c r="D107" s="115" t="s">
        <v>1073</v>
      </c>
      <c r="E107" s="107" t="s">
        <v>1074</v>
      </c>
      <c r="F107" s="211">
        <v>45078.0</v>
      </c>
      <c r="G107" s="211">
        <v>45078.0</v>
      </c>
      <c r="H107" s="239"/>
      <c r="I107" s="108"/>
      <c r="J107" s="108"/>
      <c r="K107" s="108"/>
      <c r="L107" s="108"/>
      <c r="M107" s="108"/>
      <c r="N107" s="108"/>
      <c r="O107" s="108"/>
      <c r="P107" s="108"/>
      <c r="Q107" s="108"/>
      <c r="R107" s="108"/>
      <c r="S107" s="108"/>
      <c r="T107" s="108"/>
      <c r="U107" s="108"/>
      <c r="V107" s="108"/>
      <c r="W107" s="108"/>
      <c r="X107" s="108"/>
      <c r="Y107" s="108"/>
    </row>
    <row r="108" hidden="1">
      <c r="A108" s="108"/>
      <c r="B108" s="107" t="s">
        <v>1032</v>
      </c>
      <c r="C108" s="107" t="s">
        <v>1075</v>
      </c>
      <c r="D108" s="115" t="s">
        <v>1076</v>
      </c>
      <c r="E108" s="107" t="s">
        <v>1077</v>
      </c>
      <c r="F108" s="211">
        <v>45078.0</v>
      </c>
      <c r="G108" s="211">
        <v>45108.0</v>
      </c>
      <c r="H108" s="239"/>
      <c r="I108" s="108"/>
      <c r="J108" s="108"/>
      <c r="K108" s="108"/>
      <c r="L108" s="108"/>
      <c r="M108" s="108"/>
      <c r="N108" s="108"/>
      <c r="O108" s="108"/>
      <c r="P108" s="108"/>
      <c r="Q108" s="108"/>
      <c r="R108" s="108"/>
      <c r="S108" s="108"/>
      <c r="T108" s="108"/>
      <c r="U108" s="108"/>
      <c r="V108" s="108"/>
      <c r="W108" s="108"/>
      <c r="X108" s="108"/>
      <c r="Y108" s="108"/>
    </row>
    <row r="109" hidden="1">
      <c r="A109" s="108"/>
      <c r="B109" s="107" t="s">
        <v>1032</v>
      </c>
      <c r="C109" s="107" t="s">
        <v>1075</v>
      </c>
      <c r="D109" s="115" t="s">
        <v>1078</v>
      </c>
      <c r="E109" s="107" t="s">
        <v>1079</v>
      </c>
      <c r="F109" s="211">
        <v>45139.0</v>
      </c>
      <c r="G109" s="211">
        <v>45139.0</v>
      </c>
      <c r="H109" s="239"/>
      <c r="I109" s="108"/>
      <c r="J109" s="108"/>
      <c r="K109" s="108"/>
      <c r="L109" s="108"/>
      <c r="M109" s="108"/>
      <c r="N109" s="108"/>
      <c r="O109" s="108"/>
      <c r="P109" s="108"/>
      <c r="Q109" s="108"/>
      <c r="R109" s="108"/>
      <c r="S109" s="108"/>
      <c r="T109" s="108"/>
      <c r="U109" s="108"/>
      <c r="V109" s="108"/>
      <c r="W109" s="108"/>
      <c r="X109" s="108"/>
      <c r="Y109" s="108"/>
    </row>
    <row r="110" hidden="1">
      <c r="A110" s="108"/>
      <c r="B110" s="107" t="s">
        <v>1032</v>
      </c>
      <c r="C110" s="107" t="s">
        <v>1080</v>
      </c>
      <c r="D110" s="115" t="s">
        <v>1081</v>
      </c>
      <c r="E110" s="107" t="s">
        <v>1082</v>
      </c>
      <c r="F110" s="211">
        <v>45139.0</v>
      </c>
      <c r="G110" s="208" t="s">
        <v>864</v>
      </c>
      <c r="H110" s="115" t="s">
        <v>1083</v>
      </c>
      <c r="I110" s="108"/>
      <c r="J110" s="108"/>
      <c r="K110" s="108"/>
      <c r="L110" s="108"/>
      <c r="M110" s="108"/>
      <c r="N110" s="108"/>
      <c r="O110" s="108"/>
      <c r="P110" s="108"/>
      <c r="Q110" s="108"/>
      <c r="R110" s="108"/>
      <c r="S110" s="108"/>
      <c r="T110" s="108"/>
      <c r="U110" s="108"/>
      <c r="V110" s="108"/>
      <c r="W110" s="108"/>
      <c r="X110" s="108"/>
      <c r="Y110" s="108"/>
    </row>
    <row r="111" hidden="1">
      <c r="A111" s="108"/>
      <c r="B111" s="107" t="s">
        <v>1032</v>
      </c>
      <c r="C111" s="107" t="s">
        <v>1068</v>
      </c>
      <c r="D111" s="115" t="s">
        <v>1084</v>
      </c>
      <c r="E111" s="107" t="s">
        <v>1085</v>
      </c>
      <c r="F111" s="211">
        <v>45200.0</v>
      </c>
      <c r="G111" s="208" t="s">
        <v>864</v>
      </c>
      <c r="H111" s="115" t="s">
        <v>1086</v>
      </c>
      <c r="I111" s="108"/>
      <c r="J111" s="108"/>
      <c r="K111" s="108"/>
      <c r="L111" s="108"/>
      <c r="M111" s="108"/>
      <c r="N111" s="108"/>
      <c r="O111" s="108"/>
      <c r="P111" s="108"/>
      <c r="Q111" s="108"/>
      <c r="R111" s="108"/>
      <c r="S111" s="108"/>
      <c r="T111" s="108"/>
      <c r="U111" s="108"/>
      <c r="V111" s="108"/>
      <c r="W111" s="108"/>
      <c r="X111" s="108"/>
      <c r="Y111" s="108"/>
    </row>
    <row r="112" hidden="1">
      <c r="A112" s="108"/>
      <c r="B112" s="107" t="s">
        <v>1087</v>
      </c>
      <c r="C112" s="107" t="s">
        <v>1088</v>
      </c>
      <c r="D112" s="115" t="s">
        <v>1089</v>
      </c>
      <c r="E112" s="107" t="s">
        <v>1090</v>
      </c>
      <c r="F112" s="211">
        <v>45431.0</v>
      </c>
      <c r="G112" s="211">
        <v>45431.0</v>
      </c>
      <c r="H112" s="239"/>
      <c r="I112" s="108"/>
      <c r="J112" s="108"/>
      <c r="K112" s="108"/>
      <c r="L112" s="108"/>
      <c r="M112" s="108"/>
      <c r="N112" s="108"/>
      <c r="O112" s="108"/>
      <c r="P112" s="108"/>
      <c r="Q112" s="108"/>
      <c r="R112" s="108"/>
      <c r="S112" s="108"/>
      <c r="T112" s="108"/>
      <c r="U112" s="108"/>
      <c r="V112" s="108"/>
      <c r="W112" s="108"/>
      <c r="X112" s="108"/>
      <c r="Y112" s="108"/>
    </row>
    <row r="113" hidden="1">
      <c r="A113" s="108"/>
      <c r="B113" s="107" t="s">
        <v>1087</v>
      </c>
      <c r="C113" s="107" t="s">
        <v>1091</v>
      </c>
      <c r="D113" s="115" t="s">
        <v>1092</v>
      </c>
      <c r="E113" s="107" t="s">
        <v>1093</v>
      </c>
      <c r="F113" s="211">
        <v>45462.0</v>
      </c>
      <c r="G113" s="211">
        <v>45615.0</v>
      </c>
      <c r="H113" s="239"/>
      <c r="I113" s="108"/>
      <c r="J113" s="108"/>
      <c r="K113" s="108"/>
      <c r="L113" s="108"/>
      <c r="M113" s="108"/>
      <c r="N113" s="108"/>
      <c r="O113" s="108"/>
      <c r="P113" s="108"/>
      <c r="Q113" s="108"/>
      <c r="R113" s="108"/>
      <c r="S113" s="108"/>
      <c r="T113" s="108"/>
      <c r="U113" s="108"/>
      <c r="V113" s="108"/>
      <c r="W113" s="108"/>
      <c r="X113" s="108"/>
      <c r="Y113" s="108"/>
    </row>
    <row r="114" hidden="1">
      <c r="A114" s="108"/>
      <c r="B114" s="107" t="s">
        <v>1087</v>
      </c>
      <c r="C114" s="107" t="s">
        <v>1091</v>
      </c>
      <c r="D114" s="115" t="s">
        <v>1094</v>
      </c>
      <c r="E114" s="107" t="s">
        <v>1095</v>
      </c>
      <c r="F114" s="211">
        <v>45494.0</v>
      </c>
      <c r="G114" s="211">
        <v>45494.0</v>
      </c>
      <c r="H114" s="239"/>
      <c r="I114" s="108"/>
      <c r="J114" s="108"/>
      <c r="K114" s="108"/>
      <c r="L114" s="108"/>
      <c r="M114" s="108"/>
      <c r="N114" s="108"/>
      <c r="O114" s="108"/>
      <c r="P114" s="108"/>
      <c r="Q114" s="108"/>
      <c r="R114" s="108"/>
      <c r="S114" s="108"/>
      <c r="T114" s="108"/>
      <c r="U114" s="108"/>
      <c r="V114" s="108"/>
      <c r="W114" s="108"/>
      <c r="X114" s="108"/>
      <c r="Y114" s="108"/>
    </row>
    <row r="115" hidden="1">
      <c r="A115" s="108"/>
      <c r="B115" s="107" t="s">
        <v>1087</v>
      </c>
      <c r="C115" s="107" t="s">
        <v>1091</v>
      </c>
      <c r="D115" s="115" t="s">
        <v>1096</v>
      </c>
      <c r="E115" s="107" t="s">
        <v>1097</v>
      </c>
      <c r="F115" s="211">
        <v>45586.0</v>
      </c>
      <c r="G115" s="211">
        <v>45312.0</v>
      </c>
      <c r="H115" s="239"/>
      <c r="I115" s="108"/>
      <c r="J115" s="108"/>
      <c r="K115" s="108"/>
      <c r="L115" s="108"/>
      <c r="M115" s="108"/>
      <c r="N115" s="108"/>
      <c r="O115" s="108"/>
      <c r="P115" s="108"/>
      <c r="Q115" s="108"/>
      <c r="R115" s="108"/>
      <c r="S115" s="108"/>
      <c r="T115" s="108"/>
      <c r="U115" s="108"/>
      <c r="V115" s="108"/>
      <c r="W115" s="108"/>
      <c r="X115" s="108"/>
      <c r="Y115" s="108"/>
    </row>
    <row r="116" hidden="1">
      <c r="A116" s="108"/>
      <c r="B116" s="107" t="s">
        <v>1087</v>
      </c>
      <c r="C116" s="107" t="s">
        <v>1098</v>
      </c>
      <c r="D116" s="115" t="s">
        <v>1099</v>
      </c>
      <c r="E116" s="107" t="s">
        <v>1100</v>
      </c>
      <c r="F116" s="211">
        <v>45344.0</v>
      </c>
      <c r="G116" s="211">
        <v>45434.0</v>
      </c>
      <c r="H116" s="239"/>
      <c r="I116" s="108"/>
      <c r="J116" s="108"/>
      <c r="K116" s="108"/>
      <c r="L116" s="108"/>
      <c r="M116" s="108"/>
      <c r="N116" s="108"/>
      <c r="O116" s="108"/>
      <c r="P116" s="108"/>
      <c r="Q116" s="108"/>
      <c r="R116" s="108"/>
      <c r="S116" s="108"/>
      <c r="T116" s="108"/>
      <c r="U116" s="108"/>
      <c r="V116" s="108"/>
      <c r="W116" s="108"/>
      <c r="X116" s="108"/>
      <c r="Y116" s="108"/>
    </row>
    <row r="117" hidden="1">
      <c r="A117" s="108"/>
      <c r="B117" s="107" t="s">
        <v>1087</v>
      </c>
      <c r="C117" s="107" t="s">
        <v>1080</v>
      </c>
      <c r="D117" s="115" t="s">
        <v>1101</v>
      </c>
      <c r="E117" s="107" t="s">
        <v>1102</v>
      </c>
      <c r="F117" s="211">
        <v>45434.0</v>
      </c>
      <c r="G117" s="211">
        <v>45465.0</v>
      </c>
      <c r="H117" s="239"/>
      <c r="I117" s="108"/>
      <c r="J117" s="108"/>
      <c r="K117" s="108"/>
      <c r="L117" s="108"/>
      <c r="M117" s="108"/>
      <c r="N117" s="108"/>
      <c r="O117" s="108"/>
      <c r="P117" s="108"/>
      <c r="Q117" s="108"/>
      <c r="R117" s="108"/>
      <c r="S117" s="108"/>
      <c r="T117" s="108"/>
      <c r="U117" s="108"/>
      <c r="V117" s="108"/>
      <c r="W117" s="108"/>
      <c r="X117" s="108"/>
      <c r="Y117" s="108"/>
    </row>
    <row r="118" hidden="1">
      <c r="A118" s="108"/>
      <c r="B118" s="107" t="s">
        <v>1087</v>
      </c>
      <c r="C118" s="107" t="s">
        <v>1091</v>
      </c>
      <c r="D118" s="115" t="s">
        <v>1103</v>
      </c>
      <c r="E118" s="107" t="s">
        <v>1104</v>
      </c>
      <c r="F118" s="211">
        <v>45526.0</v>
      </c>
      <c r="G118" s="211">
        <v>45526.0</v>
      </c>
      <c r="H118" s="239"/>
      <c r="I118" s="108"/>
      <c r="J118" s="108"/>
      <c r="K118" s="108"/>
      <c r="L118" s="108"/>
      <c r="M118" s="108"/>
      <c r="N118" s="108"/>
      <c r="O118" s="108"/>
      <c r="P118" s="108"/>
      <c r="Q118" s="108"/>
      <c r="R118" s="108"/>
      <c r="S118" s="108"/>
      <c r="T118" s="108"/>
      <c r="U118" s="108"/>
      <c r="V118" s="108"/>
      <c r="W118" s="108"/>
      <c r="X118" s="108"/>
      <c r="Y118" s="108"/>
    </row>
    <row r="119" hidden="1">
      <c r="A119" s="108"/>
      <c r="B119" s="107" t="s">
        <v>1105</v>
      </c>
      <c r="C119" s="107" t="s">
        <v>1106</v>
      </c>
      <c r="D119" s="115" t="s">
        <v>1107</v>
      </c>
      <c r="E119" s="107" t="s">
        <v>1108</v>
      </c>
      <c r="F119" s="211">
        <v>44013.0</v>
      </c>
      <c r="G119" s="211">
        <v>44287.0</v>
      </c>
      <c r="H119" s="239"/>
      <c r="I119" s="108"/>
      <c r="J119" s="108"/>
      <c r="K119" s="108"/>
      <c r="L119" s="108"/>
      <c r="M119" s="108"/>
      <c r="N119" s="108"/>
      <c r="O119" s="108"/>
      <c r="P119" s="108"/>
      <c r="Q119" s="108"/>
      <c r="R119" s="108"/>
      <c r="S119" s="108"/>
      <c r="T119" s="108"/>
      <c r="U119" s="108"/>
      <c r="V119" s="108"/>
      <c r="W119" s="108"/>
      <c r="X119" s="108"/>
      <c r="Y119" s="108"/>
    </row>
    <row r="120" hidden="1">
      <c r="A120" s="108"/>
      <c r="B120" s="107" t="s">
        <v>1105</v>
      </c>
      <c r="C120" s="107" t="s">
        <v>1109</v>
      </c>
      <c r="D120" s="115" t="s">
        <v>1110</v>
      </c>
      <c r="E120" s="107" t="s">
        <v>1111</v>
      </c>
      <c r="F120" s="211">
        <v>44256.0</v>
      </c>
      <c r="G120" s="211">
        <v>44317.0</v>
      </c>
      <c r="H120" s="239"/>
      <c r="I120" s="108"/>
      <c r="J120" s="108"/>
      <c r="K120" s="108"/>
      <c r="L120" s="108"/>
      <c r="M120" s="108"/>
      <c r="N120" s="108"/>
      <c r="O120" s="108"/>
      <c r="P120" s="108"/>
      <c r="Q120" s="108"/>
      <c r="R120" s="108"/>
      <c r="S120" s="108"/>
      <c r="T120" s="108"/>
      <c r="U120" s="108"/>
      <c r="V120" s="108"/>
      <c r="W120" s="108"/>
      <c r="X120" s="108"/>
      <c r="Y120" s="108"/>
    </row>
    <row r="121" hidden="1">
      <c r="A121" s="108"/>
      <c r="B121" s="107" t="s">
        <v>1105</v>
      </c>
      <c r="C121" s="107" t="s">
        <v>1112</v>
      </c>
      <c r="D121" s="115" t="s">
        <v>1113</v>
      </c>
      <c r="E121" s="107" t="s">
        <v>1114</v>
      </c>
      <c r="F121" s="211">
        <v>44378.0</v>
      </c>
      <c r="G121" s="211">
        <v>44409.0</v>
      </c>
      <c r="H121" s="239"/>
      <c r="I121" s="108"/>
      <c r="J121" s="108"/>
      <c r="K121" s="108"/>
      <c r="L121" s="108"/>
      <c r="M121" s="108"/>
      <c r="N121" s="108"/>
      <c r="O121" s="108"/>
      <c r="P121" s="108"/>
      <c r="Q121" s="108"/>
      <c r="R121" s="108"/>
      <c r="S121" s="108"/>
      <c r="T121" s="108"/>
      <c r="U121" s="108"/>
      <c r="V121" s="108"/>
      <c r="W121" s="108"/>
      <c r="X121" s="108"/>
      <c r="Y121" s="108"/>
    </row>
    <row r="122" hidden="1">
      <c r="A122" s="108"/>
      <c r="B122" s="107" t="s">
        <v>1105</v>
      </c>
      <c r="C122" s="107" t="s">
        <v>1033</v>
      </c>
      <c r="D122" s="115" t="s">
        <v>1115</v>
      </c>
      <c r="E122" s="107" t="s">
        <v>1116</v>
      </c>
      <c r="F122" s="211">
        <v>44409.0</v>
      </c>
      <c r="G122" s="211">
        <v>44470.0</v>
      </c>
      <c r="H122" s="115"/>
      <c r="I122" s="108"/>
      <c r="J122" s="108"/>
      <c r="K122" s="108"/>
      <c r="L122" s="108"/>
      <c r="M122" s="108"/>
      <c r="N122" s="108"/>
      <c r="O122" s="108"/>
      <c r="P122" s="108"/>
      <c r="Q122" s="108"/>
      <c r="R122" s="108"/>
      <c r="S122" s="108"/>
      <c r="T122" s="108"/>
      <c r="U122" s="108"/>
      <c r="V122" s="108"/>
      <c r="W122" s="108"/>
      <c r="X122" s="108"/>
      <c r="Y122" s="108"/>
    </row>
    <row r="123" hidden="1">
      <c r="A123" s="108"/>
      <c r="B123" s="107" t="s">
        <v>1105</v>
      </c>
      <c r="C123" s="107" t="s">
        <v>1117</v>
      </c>
      <c r="D123" s="115" t="s">
        <v>1118</v>
      </c>
      <c r="E123" s="107" t="s">
        <v>1119</v>
      </c>
      <c r="F123" s="211">
        <v>44409.0</v>
      </c>
      <c r="G123" s="211">
        <v>44470.0</v>
      </c>
      <c r="H123" s="239"/>
      <c r="I123" s="108"/>
      <c r="J123" s="108"/>
      <c r="K123" s="108"/>
      <c r="L123" s="108"/>
      <c r="M123" s="108"/>
      <c r="N123" s="108"/>
      <c r="O123" s="108"/>
      <c r="P123" s="108"/>
      <c r="Q123" s="108"/>
      <c r="R123" s="108"/>
      <c r="S123" s="108"/>
      <c r="T123" s="108"/>
      <c r="U123" s="108"/>
      <c r="V123" s="108"/>
      <c r="W123" s="108"/>
      <c r="X123" s="108"/>
      <c r="Y123" s="108"/>
    </row>
    <row r="124" hidden="1">
      <c r="A124" s="108"/>
      <c r="B124" s="107" t="s">
        <v>1105</v>
      </c>
      <c r="C124" s="107" t="s">
        <v>1120</v>
      </c>
      <c r="D124" s="115" t="s">
        <v>1121</v>
      </c>
      <c r="E124" s="107" t="s">
        <v>1122</v>
      </c>
      <c r="F124" s="211">
        <v>44470.0</v>
      </c>
      <c r="G124" s="211">
        <v>44470.0</v>
      </c>
      <c r="H124" s="115"/>
      <c r="I124" s="108"/>
      <c r="J124" s="108"/>
      <c r="K124" s="108"/>
      <c r="L124" s="108"/>
      <c r="M124" s="108"/>
      <c r="N124" s="108"/>
      <c r="O124" s="108"/>
      <c r="P124" s="108"/>
      <c r="Q124" s="108"/>
      <c r="R124" s="108"/>
      <c r="S124" s="108"/>
      <c r="T124" s="108"/>
      <c r="U124" s="108"/>
      <c r="V124" s="108"/>
      <c r="W124" s="108"/>
      <c r="X124" s="108"/>
      <c r="Y124" s="108"/>
    </row>
    <row r="125" hidden="1">
      <c r="A125" s="108"/>
      <c r="B125" s="107" t="s">
        <v>1105</v>
      </c>
      <c r="C125" s="107" t="s">
        <v>1123</v>
      </c>
      <c r="D125" s="115" t="s">
        <v>1124</v>
      </c>
      <c r="E125" s="107" t="s">
        <v>1125</v>
      </c>
      <c r="F125" s="211">
        <v>44470.0</v>
      </c>
      <c r="G125" s="211">
        <v>44682.0</v>
      </c>
      <c r="H125" s="115"/>
      <c r="I125" s="108"/>
      <c r="J125" s="108"/>
      <c r="K125" s="108"/>
      <c r="L125" s="108"/>
      <c r="M125" s="108"/>
      <c r="N125" s="108"/>
      <c r="O125" s="108"/>
      <c r="P125" s="108"/>
      <c r="Q125" s="108"/>
      <c r="R125" s="108"/>
      <c r="S125" s="108"/>
      <c r="T125" s="108"/>
      <c r="U125" s="108"/>
      <c r="V125" s="108"/>
      <c r="W125" s="108"/>
      <c r="X125" s="108"/>
      <c r="Y125" s="108"/>
    </row>
    <row r="126" hidden="1">
      <c r="A126" s="108"/>
      <c r="B126" s="107" t="s">
        <v>1105</v>
      </c>
      <c r="C126" s="107" t="s">
        <v>1126</v>
      </c>
      <c r="D126" s="115" t="s">
        <v>1127</v>
      </c>
      <c r="E126" s="107" t="s">
        <v>1122</v>
      </c>
      <c r="F126" s="211">
        <v>44774.0</v>
      </c>
      <c r="G126" s="211">
        <v>44796.0</v>
      </c>
      <c r="H126" s="239"/>
      <c r="I126" s="108"/>
      <c r="J126" s="108"/>
      <c r="K126" s="108"/>
      <c r="L126" s="108"/>
      <c r="M126" s="108"/>
      <c r="N126" s="108"/>
      <c r="O126" s="108"/>
      <c r="P126" s="108"/>
      <c r="Q126" s="108"/>
      <c r="R126" s="108"/>
      <c r="S126" s="108"/>
      <c r="T126" s="108"/>
      <c r="U126" s="108"/>
      <c r="V126" s="108"/>
      <c r="W126" s="108"/>
      <c r="X126" s="108"/>
      <c r="Y126" s="108"/>
    </row>
    <row r="127" hidden="1">
      <c r="A127" s="108"/>
      <c r="B127" s="107" t="s">
        <v>1105</v>
      </c>
      <c r="C127" s="107" t="s">
        <v>1128</v>
      </c>
      <c r="D127" s="115" t="s">
        <v>1129</v>
      </c>
      <c r="E127" s="107" t="s">
        <v>1130</v>
      </c>
      <c r="F127" s="211">
        <v>44805.0</v>
      </c>
      <c r="G127" s="208" t="s">
        <v>1131</v>
      </c>
      <c r="H127" s="239"/>
      <c r="I127" s="108"/>
      <c r="J127" s="108"/>
      <c r="K127" s="108"/>
      <c r="L127" s="108"/>
      <c r="M127" s="108"/>
      <c r="N127" s="108"/>
      <c r="O127" s="108"/>
      <c r="P127" s="108"/>
      <c r="Q127" s="108"/>
      <c r="R127" s="108"/>
      <c r="S127" s="108"/>
      <c r="T127" s="108"/>
      <c r="U127" s="108"/>
      <c r="V127" s="108"/>
      <c r="W127" s="108"/>
      <c r="X127" s="108"/>
      <c r="Y127" s="108"/>
    </row>
    <row r="128" hidden="1">
      <c r="A128" s="108"/>
      <c r="B128" s="107" t="s">
        <v>1105</v>
      </c>
      <c r="C128" s="107" t="s">
        <v>1132</v>
      </c>
      <c r="D128" s="115" t="s">
        <v>1127</v>
      </c>
      <c r="E128" s="107" t="s">
        <v>1122</v>
      </c>
      <c r="F128" s="211">
        <v>45017.0</v>
      </c>
      <c r="G128" s="211">
        <v>45046.0</v>
      </c>
      <c r="H128" s="115"/>
      <c r="I128" s="108"/>
      <c r="J128" s="108"/>
      <c r="K128" s="108"/>
      <c r="L128" s="108"/>
      <c r="M128" s="108"/>
      <c r="N128" s="108"/>
      <c r="O128" s="108"/>
      <c r="P128" s="108"/>
      <c r="Q128" s="108"/>
      <c r="R128" s="108"/>
      <c r="S128" s="108"/>
      <c r="T128" s="108"/>
      <c r="U128" s="108"/>
      <c r="V128" s="108"/>
      <c r="W128" s="108"/>
      <c r="X128" s="108"/>
      <c r="Y128" s="108"/>
    </row>
    <row r="129" hidden="1">
      <c r="A129" s="108"/>
      <c r="B129" s="107" t="s">
        <v>1105</v>
      </c>
      <c r="C129" s="107" t="s">
        <v>1128</v>
      </c>
      <c r="D129" s="115" t="s">
        <v>1129</v>
      </c>
      <c r="E129" s="107" t="s">
        <v>1130</v>
      </c>
      <c r="F129" s="211">
        <v>45047.0</v>
      </c>
      <c r="G129" s="208" t="s">
        <v>843</v>
      </c>
      <c r="H129" s="239"/>
      <c r="I129" s="108"/>
      <c r="J129" s="108"/>
      <c r="K129" s="108"/>
      <c r="L129" s="108"/>
      <c r="M129" s="108"/>
      <c r="N129" s="108"/>
      <c r="O129" s="108"/>
      <c r="P129" s="108"/>
      <c r="Q129" s="108"/>
      <c r="R129" s="108"/>
      <c r="S129" s="108"/>
      <c r="T129" s="108"/>
      <c r="U129" s="108"/>
      <c r="V129" s="108"/>
      <c r="W129" s="108"/>
      <c r="X129" s="108"/>
      <c r="Y129" s="108"/>
    </row>
    <row r="130" hidden="1">
      <c r="A130" s="108"/>
      <c r="B130" s="107" t="s">
        <v>1133</v>
      </c>
      <c r="C130" s="107" t="s">
        <v>1134</v>
      </c>
      <c r="D130" s="115" t="s">
        <v>1135</v>
      </c>
      <c r="E130" s="107" t="s">
        <v>1136</v>
      </c>
      <c r="F130" s="211">
        <v>44228.0</v>
      </c>
      <c r="G130" s="211">
        <v>44317.0</v>
      </c>
      <c r="H130" s="115"/>
      <c r="I130" s="108"/>
      <c r="J130" s="108"/>
      <c r="K130" s="108"/>
      <c r="L130" s="108"/>
      <c r="M130" s="108"/>
      <c r="N130" s="108"/>
      <c r="O130" s="108"/>
      <c r="P130" s="108"/>
      <c r="Q130" s="108"/>
      <c r="R130" s="108"/>
      <c r="S130" s="108"/>
      <c r="T130" s="108"/>
      <c r="U130" s="108"/>
      <c r="V130" s="108"/>
      <c r="W130" s="108"/>
      <c r="X130" s="108"/>
      <c r="Y130" s="108"/>
    </row>
    <row r="131" hidden="1">
      <c r="A131" s="108"/>
      <c r="B131" s="107" t="s">
        <v>1133</v>
      </c>
      <c r="C131" s="107" t="s">
        <v>1137</v>
      </c>
      <c r="D131" s="115" t="s">
        <v>1138</v>
      </c>
      <c r="E131" s="107" t="s">
        <v>1139</v>
      </c>
      <c r="F131" s="211">
        <v>44197.0</v>
      </c>
      <c r="G131" s="211">
        <v>44317.0</v>
      </c>
      <c r="H131" s="239"/>
      <c r="I131" s="108"/>
      <c r="J131" s="108"/>
      <c r="K131" s="108"/>
      <c r="L131" s="108"/>
      <c r="M131" s="108"/>
      <c r="N131" s="108"/>
      <c r="O131" s="108"/>
      <c r="P131" s="108"/>
      <c r="Q131" s="108"/>
      <c r="R131" s="108"/>
      <c r="S131" s="108"/>
      <c r="T131" s="108"/>
      <c r="U131" s="108"/>
      <c r="V131" s="108"/>
      <c r="W131" s="108"/>
      <c r="X131" s="108"/>
      <c r="Y131" s="108"/>
    </row>
    <row r="132" hidden="1">
      <c r="A132" s="108"/>
      <c r="B132" s="107" t="s">
        <v>1133</v>
      </c>
      <c r="C132" s="107" t="s">
        <v>1140</v>
      </c>
      <c r="D132" s="115" t="s">
        <v>1141</v>
      </c>
      <c r="E132" s="107" t="s">
        <v>1142</v>
      </c>
      <c r="F132" s="211">
        <v>44348.0</v>
      </c>
      <c r="G132" s="211">
        <v>44348.0</v>
      </c>
      <c r="H132" s="239"/>
      <c r="I132" s="108"/>
      <c r="J132" s="108"/>
      <c r="K132" s="108"/>
      <c r="L132" s="108"/>
      <c r="M132" s="108"/>
      <c r="N132" s="108"/>
      <c r="O132" s="108"/>
      <c r="P132" s="108"/>
      <c r="Q132" s="108"/>
      <c r="R132" s="108"/>
      <c r="S132" s="108"/>
      <c r="T132" s="108"/>
      <c r="U132" s="108"/>
      <c r="V132" s="108"/>
      <c r="W132" s="108"/>
      <c r="X132" s="108"/>
      <c r="Y132" s="108"/>
    </row>
    <row r="133" hidden="1">
      <c r="A133" s="108"/>
      <c r="B133" s="107" t="s">
        <v>1133</v>
      </c>
      <c r="C133" s="107" t="s">
        <v>1143</v>
      </c>
      <c r="D133" s="115" t="s">
        <v>1144</v>
      </c>
      <c r="E133" s="107" t="s">
        <v>1145</v>
      </c>
      <c r="F133" s="211">
        <v>44348.0</v>
      </c>
      <c r="G133" s="211">
        <v>44348.0</v>
      </c>
      <c r="H133" s="239"/>
      <c r="I133" s="108"/>
      <c r="J133" s="108"/>
      <c r="K133" s="108"/>
      <c r="L133" s="108"/>
      <c r="M133" s="108"/>
      <c r="N133" s="108"/>
      <c r="O133" s="108"/>
      <c r="P133" s="108"/>
      <c r="Q133" s="108"/>
      <c r="R133" s="108"/>
      <c r="S133" s="108"/>
      <c r="T133" s="108"/>
      <c r="U133" s="108"/>
      <c r="V133" s="108"/>
      <c r="W133" s="108"/>
      <c r="X133" s="108"/>
      <c r="Y133" s="108"/>
    </row>
    <row r="134" hidden="1">
      <c r="A134" s="108"/>
      <c r="B134" s="107" t="s">
        <v>1133</v>
      </c>
      <c r="C134" s="107" t="s">
        <v>1140</v>
      </c>
      <c r="D134" s="115" t="s">
        <v>1146</v>
      </c>
      <c r="E134" s="107" t="s">
        <v>1147</v>
      </c>
      <c r="F134" s="211">
        <v>44501.0</v>
      </c>
      <c r="G134" s="211">
        <v>44501.0</v>
      </c>
      <c r="H134" s="239"/>
      <c r="I134" s="108"/>
      <c r="J134" s="108"/>
      <c r="K134" s="108"/>
      <c r="L134" s="108"/>
      <c r="M134" s="108"/>
      <c r="N134" s="108"/>
      <c r="O134" s="108"/>
      <c r="P134" s="108"/>
      <c r="Q134" s="108"/>
      <c r="R134" s="108"/>
      <c r="S134" s="108"/>
      <c r="T134" s="108"/>
      <c r="U134" s="108"/>
      <c r="V134" s="108"/>
      <c r="W134" s="108"/>
      <c r="X134" s="108"/>
      <c r="Y134" s="108"/>
    </row>
    <row r="135" hidden="1">
      <c r="A135" s="244"/>
      <c r="B135" s="107" t="s">
        <v>1133</v>
      </c>
      <c r="C135" s="107" t="s">
        <v>1143</v>
      </c>
      <c r="D135" s="115" t="s">
        <v>1148</v>
      </c>
      <c r="E135" s="107" t="s">
        <v>1149</v>
      </c>
      <c r="F135" s="211">
        <v>44501.0</v>
      </c>
      <c r="G135" s="211">
        <v>44501.0</v>
      </c>
      <c r="H135" s="239"/>
      <c r="I135" s="108"/>
      <c r="J135" s="108"/>
      <c r="K135" s="108"/>
      <c r="L135" s="108"/>
      <c r="M135" s="108"/>
      <c r="N135" s="108"/>
      <c r="O135" s="108"/>
      <c r="P135" s="108"/>
      <c r="Q135" s="108"/>
      <c r="R135" s="108"/>
      <c r="S135" s="108"/>
      <c r="T135" s="108"/>
      <c r="U135" s="108"/>
      <c r="V135" s="108"/>
      <c r="W135" s="108"/>
      <c r="X135" s="108"/>
      <c r="Y135" s="108"/>
    </row>
    <row r="136" hidden="1">
      <c r="A136" s="108"/>
      <c r="B136" s="107" t="s">
        <v>1133</v>
      </c>
      <c r="C136" s="107" t="s">
        <v>1140</v>
      </c>
      <c r="D136" s="115" t="s">
        <v>1150</v>
      </c>
      <c r="E136" s="107" t="s">
        <v>1151</v>
      </c>
      <c r="F136" s="211">
        <v>44562.0</v>
      </c>
      <c r="G136" s="211">
        <v>44562.0</v>
      </c>
      <c r="H136" s="115"/>
      <c r="I136" s="108"/>
      <c r="J136" s="108"/>
      <c r="K136" s="108"/>
      <c r="L136" s="108"/>
      <c r="M136" s="108"/>
      <c r="N136" s="108"/>
      <c r="O136" s="108"/>
      <c r="P136" s="108"/>
      <c r="Q136" s="108"/>
      <c r="R136" s="108"/>
      <c r="S136" s="108"/>
      <c r="T136" s="108"/>
      <c r="U136" s="108"/>
      <c r="V136" s="108"/>
      <c r="W136" s="108"/>
      <c r="X136" s="108"/>
      <c r="Y136" s="108"/>
    </row>
    <row r="137" hidden="1">
      <c r="A137" s="108"/>
      <c r="B137" s="107" t="s">
        <v>1133</v>
      </c>
      <c r="C137" s="107" t="s">
        <v>1152</v>
      </c>
      <c r="D137" s="115" t="s">
        <v>1153</v>
      </c>
      <c r="E137" s="107" t="s">
        <v>1154</v>
      </c>
      <c r="F137" s="211">
        <v>44562.0</v>
      </c>
      <c r="G137" s="211">
        <v>44562.0</v>
      </c>
      <c r="H137" s="239"/>
      <c r="I137" s="108"/>
      <c r="J137" s="108"/>
      <c r="K137" s="108"/>
      <c r="L137" s="108"/>
      <c r="M137" s="108"/>
      <c r="N137" s="108"/>
      <c r="O137" s="108"/>
      <c r="P137" s="108"/>
      <c r="Q137" s="108"/>
      <c r="R137" s="108"/>
      <c r="S137" s="108"/>
      <c r="T137" s="108"/>
      <c r="U137" s="108"/>
      <c r="V137" s="108"/>
      <c r="W137" s="108"/>
      <c r="X137" s="108"/>
      <c r="Y137" s="108"/>
    </row>
    <row r="138" hidden="1">
      <c r="A138" s="108"/>
      <c r="B138" s="107" t="s">
        <v>1133</v>
      </c>
      <c r="C138" s="107" t="s">
        <v>1155</v>
      </c>
      <c r="D138" s="115" t="s">
        <v>1156</v>
      </c>
      <c r="E138" s="107" t="s">
        <v>1157</v>
      </c>
      <c r="F138" s="211">
        <v>44562.0</v>
      </c>
      <c r="G138" s="211">
        <v>44652.0</v>
      </c>
      <c r="H138" s="239"/>
      <c r="I138" s="108"/>
      <c r="J138" s="108"/>
      <c r="K138" s="108"/>
      <c r="L138" s="108"/>
      <c r="M138" s="108"/>
      <c r="N138" s="108"/>
      <c r="O138" s="108"/>
      <c r="P138" s="108"/>
      <c r="Q138" s="108"/>
      <c r="R138" s="108"/>
      <c r="S138" s="108"/>
      <c r="T138" s="108"/>
      <c r="U138" s="108"/>
      <c r="V138" s="108"/>
      <c r="W138" s="108"/>
      <c r="X138" s="108"/>
      <c r="Y138" s="108"/>
    </row>
    <row r="139" hidden="1">
      <c r="A139" s="108"/>
      <c r="B139" s="107" t="s">
        <v>1133</v>
      </c>
      <c r="C139" s="107" t="s">
        <v>1155</v>
      </c>
      <c r="D139" s="115" t="s">
        <v>1158</v>
      </c>
      <c r="E139" s="107" t="s">
        <v>1159</v>
      </c>
      <c r="F139" s="211">
        <v>44593.0</v>
      </c>
      <c r="G139" s="211">
        <v>44621.0</v>
      </c>
      <c r="H139" s="239"/>
      <c r="I139" s="108"/>
      <c r="J139" s="108"/>
      <c r="K139" s="108"/>
      <c r="L139" s="108"/>
      <c r="M139" s="108"/>
      <c r="N139" s="108"/>
      <c r="O139" s="108"/>
      <c r="P139" s="108"/>
      <c r="Q139" s="108"/>
      <c r="R139" s="108"/>
      <c r="S139" s="108"/>
      <c r="T139" s="108"/>
      <c r="U139" s="108"/>
      <c r="V139" s="108"/>
      <c r="W139" s="108"/>
      <c r="X139" s="108"/>
      <c r="Y139" s="108"/>
    </row>
    <row r="140" hidden="1">
      <c r="A140" s="108"/>
      <c r="B140" s="107" t="s">
        <v>1133</v>
      </c>
      <c r="C140" s="107" t="s">
        <v>1160</v>
      </c>
      <c r="D140" s="115" t="s">
        <v>1161</v>
      </c>
      <c r="E140" s="107" t="s">
        <v>1162</v>
      </c>
      <c r="F140" s="211">
        <v>44593.0</v>
      </c>
      <c r="G140" s="211">
        <v>44682.0</v>
      </c>
      <c r="H140" s="239"/>
      <c r="I140" s="108"/>
      <c r="J140" s="108"/>
      <c r="K140" s="108"/>
      <c r="L140" s="108"/>
      <c r="M140" s="108"/>
      <c r="N140" s="108"/>
      <c r="O140" s="108"/>
      <c r="P140" s="108"/>
      <c r="Q140" s="108"/>
      <c r="R140" s="108"/>
      <c r="S140" s="108"/>
      <c r="T140" s="108"/>
      <c r="U140" s="108"/>
      <c r="V140" s="108"/>
      <c r="W140" s="108"/>
      <c r="X140" s="108"/>
      <c r="Y140" s="108"/>
    </row>
    <row r="141" hidden="1">
      <c r="A141" s="108"/>
      <c r="B141" s="107" t="s">
        <v>1133</v>
      </c>
      <c r="C141" s="107"/>
      <c r="D141" s="115"/>
      <c r="E141" s="107"/>
      <c r="F141" s="211"/>
      <c r="G141" s="211"/>
      <c r="H141" s="115"/>
      <c r="I141" s="108"/>
      <c r="J141" s="108"/>
      <c r="K141" s="108"/>
      <c r="L141" s="108"/>
      <c r="M141" s="108"/>
      <c r="N141" s="108"/>
      <c r="O141" s="108"/>
      <c r="P141" s="108"/>
      <c r="Q141" s="108"/>
      <c r="R141" s="108"/>
      <c r="S141" s="108"/>
      <c r="T141" s="108"/>
      <c r="U141" s="108"/>
      <c r="V141" s="108"/>
      <c r="W141" s="108"/>
      <c r="X141" s="108"/>
      <c r="Y141" s="108"/>
    </row>
    <row r="142" hidden="1">
      <c r="A142" s="108"/>
      <c r="B142" s="107" t="s">
        <v>1133</v>
      </c>
      <c r="C142" s="107" t="s">
        <v>1163</v>
      </c>
      <c r="D142" s="115" t="s">
        <v>1164</v>
      </c>
      <c r="E142" s="107" t="s">
        <v>1165</v>
      </c>
      <c r="F142" s="211">
        <v>44682.0</v>
      </c>
      <c r="G142" s="211">
        <v>44682.0</v>
      </c>
      <c r="H142" s="239"/>
      <c r="I142" s="108"/>
      <c r="J142" s="108"/>
      <c r="K142" s="108"/>
      <c r="L142" s="108"/>
      <c r="M142" s="108"/>
      <c r="N142" s="108"/>
      <c r="O142" s="108"/>
      <c r="P142" s="108"/>
      <c r="Q142" s="108"/>
      <c r="R142" s="108"/>
      <c r="S142" s="108"/>
      <c r="T142" s="108"/>
      <c r="U142" s="108"/>
      <c r="V142" s="108"/>
      <c r="W142" s="108"/>
      <c r="X142" s="108"/>
      <c r="Y142" s="108"/>
    </row>
    <row r="143" hidden="1">
      <c r="A143" s="108"/>
      <c r="B143" s="107" t="s">
        <v>1133</v>
      </c>
      <c r="C143" s="107" t="s">
        <v>1166</v>
      </c>
      <c r="D143" s="115" t="s">
        <v>1167</v>
      </c>
      <c r="E143" s="107" t="s">
        <v>1168</v>
      </c>
      <c r="F143" s="211">
        <v>44805.0</v>
      </c>
      <c r="G143" s="208" t="s">
        <v>843</v>
      </c>
      <c r="H143" s="239"/>
      <c r="I143" s="108"/>
      <c r="J143" s="108"/>
      <c r="K143" s="108"/>
      <c r="L143" s="108"/>
      <c r="M143" s="108"/>
      <c r="N143" s="108"/>
      <c r="O143" s="108"/>
      <c r="P143" s="108"/>
      <c r="Q143" s="108"/>
      <c r="R143" s="108"/>
      <c r="S143" s="108"/>
      <c r="T143" s="108"/>
      <c r="U143" s="108"/>
      <c r="V143" s="108"/>
      <c r="W143" s="108"/>
      <c r="X143" s="108"/>
      <c r="Y143" s="108"/>
    </row>
    <row r="144" hidden="1">
      <c r="A144" s="108"/>
      <c r="B144" s="107" t="s">
        <v>1133</v>
      </c>
      <c r="C144" s="107" t="s">
        <v>1169</v>
      </c>
      <c r="D144" s="115" t="s">
        <v>1170</v>
      </c>
      <c r="E144" s="107" t="s">
        <v>1171</v>
      </c>
      <c r="F144" s="208" t="s">
        <v>1172</v>
      </c>
      <c r="G144" s="211">
        <v>44866.0</v>
      </c>
      <c r="H144" s="239"/>
      <c r="I144" s="108"/>
      <c r="J144" s="108"/>
      <c r="K144" s="108"/>
      <c r="L144" s="108"/>
      <c r="M144" s="108"/>
      <c r="N144" s="108"/>
      <c r="O144" s="108"/>
      <c r="P144" s="108"/>
      <c r="Q144" s="108"/>
      <c r="R144" s="108"/>
      <c r="S144" s="108"/>
      <c r="T144" s="108"/>
      <c r="U144" s="108"/>
      <c r="V144" s="108"/>
      <c r="W144" s="108"/>
      <c r="X144" s="108"/>
      <c r="Y144" s="108"/>
    </row>
    <row r="145" hidden="1">
      <c r="A145" s="108"/>
      <c r="B145" s="107" t="s">
        <v>1133</v>
      </c>
      <c r="C145" s="107" t="s">
        <v>1169</v>
      </c>
      <c r="D145" s="115" t="s">
        <v>1173</v>
      </c>
      <c r="E145" s="107" t="s">
        <v>1174</v>
      </c>
      <c r="F145" s="211">
        <v>44774.0</v>
      </c>
      <c r="G145" s="211">
        <v>44896.0</v>
      </c>
      <c r="H145" s="115"/>
      <c r="I145" s="108"/>
      <c r="J145" s="108"/>
      <c r="K145" s="108"/>
      <c r="L145" s="108"/>
      <c r="M145" s="108"/>
      <c r="N145" s="108"/>
      <c r="O145" s="108"/>
      <c r="P145" s="108"/>
      <c r="Q145" s="108"/>
      <c r="R145" s="108"/>
      <c r="S145" s="108"/>
      <c r="T145" s="108"/>
      <c r="U145" s="108"/>
      <c r="V145" s="108"/>
      <c r="W145" s="108"/>
      <c r="X145" s="108"/>
      <c r="Y145" s="108"/>
    </row>
    <row r="146" hidden="1">
      <c r="A146" s="108"/>
      <c r="B146" s="107" t="s">
        <v>1133</v>
      </c>
      <c r="C146" s="107" t="s">
        <v>1169</v>
      </c>
      <c r="D146" s="115" t="s">
        <v>1173</v>
      </c>
      <c r="E146" s="107" t="s">
        <v>1175</v>
      </c>
      <c r="F146" s="211">
        <v>45078.0</v>
      </c>
      <c r="G146" s="211">
        <v>45139.0</v>
      </c>
      <c r="H146" s="115"/>
      <c r="I146" s="108"/>
      <c r="J146" s="108"/>
      <c r="K146" s="108"/>
      <c r="L146" s="108"/>
      <c r="M146" s="108"/>
      <c r="N146" s="108"/>
      <c r="O146" s="108"/>
      <c r="P146" s="108"/>
      <c r="Q146" s="108"/>
      <c r="R146" s="108"/>
      <c r="S146" s="108"/>
      <c r="T146" s="108"/>
      <c r="U146" s="108"/>
      <c r="V146" s="108"/>
      <c r="W146" s="108"/>
      <c r="X146" s="108"/>
      <c r="Y146" s="108"/>
    </row>
    <row r="147" hidden="1">
      <c r="A147" s="108"/>
      <c r="B147" s="107" t="s">
        <v>1133</v>
      </c>
      <c r="C147" s="107" t="s">
        <v>1176</v>
      </c>
      <c r="D147" s="115" t="s">
        <v>1177</v>
      </c>
      <c r="E147" s="107" t="s">
        <v>1178</v>
      </c>
      <c r="F147" s="211">
        <v>44986.0</v>
      </c>
      <c r="G147" s="208" t="s">
        <v>843</v>
      </c>
      <c r="H147" s="115"/>
      <c r="I147" s="108"/>
      <c r="J147" s="108"/>
      <c r="K147" s="108"/>
      <c r="L147" s="108"/>
      <c r="M147" s="108"/>
      <c r="N147" s="108"/>
      <c r="O147" s="108"/>
      <c r="P147" s="108"/>
      <c r="Q147" s="108"/>
      <c r="R147" s="108"/>
      <c r="S147" s="108"/>
      <c r="T147" s="108"/>
      <c r="U147" s="108"/>
      <c r="V147" s="108"/>
      <c r="W147" s="108"/>
      <c r="X147" s="108"/>
      <c r="Y147" s="108"/>
    </row>
    <row r="148" hidden="1">
      <c r="A148" s="108"/>
      <c r="B148" s="107" t="s">
        <v>1133</v>
      </c>
      <c r="C148" s="107" t="s">
        <v>1176</v>
      </c>
      <c r="D148" s="115" t="s">
        <v>1179</v>
      </c>
      <c r="E148" s="107" t="s">
        <v>1180</v>
      </c>
      <c r="F148" s="211">
        <v>45231.0</v>
      </c>
      <c r="G148" s="211">
        <v>45231.0</v>
      </c>
      <c r="H148" s="239"/>
      <c r="I148" s="108"/>
      <c r="J148" s="108"/>
      <c r="K148" s="108"/>
      <c r="L148" s="108"/>
      <c r="M148" s="108"/>
      <c r="N148" s="108"/>
      <c r="O148" s="108"/>
      <c r="P148" s="108"/>
      <c r="Q148" s="108"/>
      <c r="R148" s="108"/>
      <c r="S148" s="108"/>
      <c r="T148" s="108"/>
      <c r="U148" s="108"/>
      <c r="V148" s="108"/>
      <c r="W148" s="108"/>
      <c r="X148" s="108"/>
      <c r="Y148" s="108"/>
    </row>
    <row r="149" hidden="1">
      <c r="A149" s="108"/>
      <c r="B149" s="107" t="s">
        <v>1133</v>
      </c>
      <c r="C149" s="107" t="s">
        <v>1176</v>
      </c>
      <c r="D149" s="115" t="s">
        <v>1181</v>
      </c>
      <c r="E149" s="107" t="s">
        <v>1182</v>
      </c>
      <c r="F149" s="211">
        <v>45218.0</v>
      </c>
      <c r="G149" s="211">
        <v>45258.0</v>
      </c>
      <c r="H149" s="115" t="s">
        <v>1183</v>
      </c>
      <c r="I149" s="108"/>
      <c r="J149" s="108"/>
      <c r="K149" s="108"/>
      <c r="L149" s="108"/>
      <c r="M149" s="108"/>
      <c r="N149" s="108"/>
      <c r="O149" s="108"/>
      <c r="P149" s="108"/>
      <c r="Q149" s="108"/>
      <c r="R149" s="108"/>
      <c r="S149" s="108"/>
      <c r="T149" s="108"/>
      <c r="U149" s="108"/>
      <c r="V149" s="108"/>
      <c r="W149" s="108"/>
      <c r="X149" s="108"/>
      <c r="Y149" s="108"/>
    </row>
    <row r="150" hidden="1">
      <c r="A150" s="108"/>
      <c r="B150" s="107" t="s">
        <v>1133</v>
      </c>
      <c r="C150" s="107" t="s">
        <v>1176</v>
      </c>
      <c r="D150" s="115" t="s">
        <v>1184</v>
      </c>
      <c r="E150" s="107" t="s">
        <v>1185</v>
      </c>
      <c r="F150" s="211">
        <v>45261.0</v>
      </c>
      <c r="G150" s="208" t="s">
        <v>843</v>
      </c>
      <c r="H150" s="239"/>
      <c r="I150" s="108"/>
      <c r="J150" s="108"/>
      <c r="K150" s="108"/>
      <c r="L150" s="108"/>
      <c r="M150" s="108"/>
      <c r="N150" s="108"/>
      <c r="O150" s="108"/>
      <c r="P150" s="108"/>
      <c r="Q150" s="108"/>
      <c r="R150" s="108"/>
      <c r="S150" s="108"/>
      <c r="T150" s="108"/>
      <c r="U150" s="108"/>
      <c r="V150" s="108"/>
      <c r="W150" s="108"/>
      <c r="X150" s="108"/>
      <c r="Y150" s="108"/>
    </row>
    <row r="151" hidden="1">
      <c r="A151" s="244"/>
      <c r="B151" s="107" t="s">
        <v>1133</v>
      </c>
      <c r="C151" s="107" t="s">
        <v>1166</v>
      </c>
      <c r="D151" s="115" t="s">
        <v>1186</v>
      </c>
      <c r="E151" s="107" t="s">
        <v>1187</v>
      </c>
      <c r="F151" s="211">
        <v>45261.0</v>
      </c>
      <c r="G151" s="208" t="s">
        <v>843</v>
      </c>
      <c r="H151" s="115" t="s">
        <v>1188</v>
      </c>
      <c r="I151" s="108"/>
      <c r="J151" s="108"/>
      <c r="K151" s="108"/>
      <c r="L151" s="108"/>
      <c r="M151" s="108"/>
      <c r="N151" s="108"/>
      <c r="O151" s="108"/>
      <c r="P151" s="108"/>
      <c r="Q151" s="108"/>
      <c r="R151" s="108"/>
      <c r="S151" s="108"/>
      <c r="T151" s="108"/>
      <c r="U151" s="108"/>
      <c r="V151" s="108"/>
      <c r="W151" s="108"/>
      <c r="X151" s="108"/>
      <c r="Y151" s="108"/>
    </row>
    <row r="152" hidden="1">
      <c r="A152" s="108"/>
      <c r="B152" s="107" t="s">
        <v>1189</v>
      </c>
      <c r="C152" s="107" t="s">
        <v>1190</v>
      </c>
      <c r="D152" s="115" t="s">
        <v>1191</v>
      </c>
      <c r="E152" s="107" t="s">
        <v>1192</v>
      </c>
      <c r="F152" s="211">
        <v>43344.0</v>
      </c>
      <c r="G152" s="211">
        <v>44256.0</v>
      </c>
      <c r="H152" s="115"/>
      <c r="I152" s="108"/>
      <c r="J152" s="108"/>
      <c r="K152" s="108"/>
      <c r="L152" s="108"/>
      <c r="M152" s="108"/>
      <c r="N152" s="108"/>
      <c r="O152" s="108"/>
      <c r="P152" s="108"/>
      <c r="Q152" s="108"/>
      <c r="R152" s="108"/>
      <c r="S152" s="108"/>
      <c r="T152" s="108"/>
      <c r="U152" s="108"/>
      <c r="V152" s="108"/>
      <c r="W152" s="108"/>
      <c r="X152" s="108"/>
      <c r="Y152" s="108"/>
    </row>
    <row r="153" hidden="1">
      <c r="A153" s="108"/>
      <c r="B153" s="107" t="s">
        <v>1189</v>
      </c>
      <c r="C153" s="107" t="s">
        <v>1193</v>
      </c>
      <c r="D153" s="115" t="s">
        <v>1194</v>
      </c>
      <c r="E153" s="107" t="s">
        <v>1195</v>
      </c>
      <c r="F153" s="211">
        <v>44470.0</v>
      </c>
      <c r="G153" s="211">
        <v>44531.0</v>
      </c>
      <c r="H153" s="239"/>
      <c r="I153" s="108"/>
      <c r="J153" s="108"/>
      <c r="K153" s="108"/>
      <c r="L153" s="108"/>
      <c r="M153" s="108"/>
      <c r="N153" s="108"/>
      <c r="O153" s="108"/>
      <c r="P153" s="108"/>
      <c r="Q153" s="108"/>
      <c r="R153" s="108"/>
      <c r="S153" s="108"/>
      <c r="T153" s="108"/>
      <c r="U153" s="108"/>
      <c r="V153" s="108"/>
      <c r="W153" s="108"/>
      <c r="X153" s="108"/>
      <c r="Y153" s="108"/>
    </row>
    <row r="154" hidden="1">
      <c r="A154" s="108"/>
      <c r="B154" s="107" t="s">
        <v>1189</v>
      </c>
      <c r="C154" s="107" t="s">
        <v>1196</v>
      </c>
      <c r="D154" s="115" t="s">
        <v>1197</v>
      </c>
      <c r="E154" s="107" t="s">
        <v>1198</v>
      </c>
      <c r="F154" s="211">
        <v>44713.0</v>
      </c>
      <c r="G154" s="211">
        <v>44743.0</v>
      </c>
      <c r="H154" s="239"/>
      <c r="I154" s="108"/>
      <c r="J154" s="108"/>
      <c r="K154" s="108"/>
      <c r="L154" s="108"/>
      <c r="M154" s="108"/>
      <c r="N154" s="108"/>
      <c r="O154" s="108"/>
      <c r="P154" s="108"/>
      <c r="Q154" s="108"/>
      <c r="R154" s="108"/>
      <c r="S154" s="108"/>
      <c r="T154" s="108"/>
      <c r="U154" s="108"/>
      <c r="V154" s="108"/>
      <c r="W154" s="108"/>
      <c r="X154" s="108"/>
      <c r="Y154" s="108"/>
    </row>
    <row r="155" hidden="1">
      <c r="A155" s="108"/>
      <c r="B155" s="107" t="s">
        <v>1189</v>
      </c>
      <c r="C155" s="107" t="s">
        <v>1199</v>
      </c>
      <c r="D155" s="115" t="s">
        <v>1200</v>
      </c>
      <c r="E155" s="107" t="s">
        <v>1201</v>
      </c>
      <c r="F155" s="211">
        <v>44774.0</v>
      </c>
      <c r="G155" s="211">
        <v>44896.0</v>
      </c>
      <c r="H155" s="239"/>
      <c r="I155" s="108"/>
      <c r="J155" s="108"/>
      <c r="K155" s="108"/>
      <c r="L155" s="108"/>
      <c r="M155" s="108"/>
      <c r="N155" s="108"/>
      <c r="O155" s="108"/>
      <c r="P155" s="108"/>
      <c r="Q155" s="108"/>
      <c r="R155" s="108"/>
      <c r="S155" s="108"/>
      <c r="T155" s="108"/>
      <c r="U155" s="108"/>
      <c r="V155" s="108"/>
      <c r="W155" s="108"/>
      <c r="X155" s="108"/>
      <c r="Y155" s="108"/>
    </row>
    <row r="156" hidden="1">
      <c r="A156" s="108"/>
      <c r="B156" s="107" t="s">
        <v>1189</v>
      </c>
      <c r="C156" s="107" t="s">
        <v>1202</v>
      </c>
      <c r="D156" s="115" t="s">
        <v>1203</v>
      </c>
      <c r="E156" s="107" t="s">
        <v>1204</v>
      </c>
      <c r="F156" s="211">
        <v>44774.0</v>
      </c>
      <c r="G156" s="211">
        <v>44835.0</v>
      </c>
      <c r="H156" s="239"/>
      <c r="I156" s="108"/>
      <c r="J156" s="108"/>
      <c r="K156" s="108"/>
      <c r="L156" s="108"/>
      <c r="M156" s="108"/>
      <c r="N156" s="108"/>
      <c r="O156" s="108"/>
      <c r="P156" s="108"/>
      <c r="Q156" s="108"/>
      <c r="R156" s="108"/>
      <c r="S156" s="108"/>
      <c r="T156" s="108"/>
      <c r="U156" s="108"/>
      <c r="V156" s="108"/>
      <c r="W156" s="108"/>
      <c r="X156" s="108"/>
      <c r="Y156" s="108"/>
    </row>
    <row r="157" hidden="1">
      <c r="A157" s="108"/>
      <c r="B157" s="107" t="s">
        <v>1189</v>
      </c>
      <c r="C157" s="107" t="s">
        <v>1205</v>
      </c>
      <c r="D157" s="115" t="s">
        <v>1206</v>
      </c>
      <c r="E157" s="107" t="s">
        <v>1207</v>
      </c>
      <c r="F157" s="211">
        <v>44805.0</v>
      </c>
      <c r="G157" s="211">
        <v>44896.0</v>
      </c>
      <c r="H157" s="115"/>
      <c r="I157" s="108"/>
      <c r="J157" s="108"/>
      <c r="K157" s="108"/>
      <c r="L157" s="108"/>
      <c r="M157" s="108"/>
      <c r="N157" s="108"/>
      <c r="O157" s="108"/>
      <c r="P157" s="108"/>
      <c r="Q157" s="108"/>
      <c r="R157" s="108"/>
      <c r="S157" s="108"/>
      <c r="T157" s="108"/>
      <c r="U157" s="108"/>
      <c r="V157" s="108"/>
      <c r="W157" s="108"/>
      <c r="X157" s="108"/>
      <c r="Y157" s="108"/>
    </row>
    <row r="158" hidden="1">
      <c r="A158" s="108"/>
      <c r="B158" s="107" t="s">
        <v>1189</v>
      </c>
      <c r="C158" s="107" t="s">
        <v>1205</v>
      </c>
      <c r="D158" s="115" t="s">
        <v>1208</v>
      </c>
      <c r="E158" s="107" t="s">
        <v>1209</v>
      </c>
      <c r="F158" s="211">
        <v>44896.0</v>
      </c>
      <c r="G158" s="211">
        <v>44896.0</v>
      </c>
      <c r="H158" s="239"/>
      <c r="I158" s="108"/>
      <c r="J158" s="108"/>
      <c r="K158" s="108"/>
      <c r="L158" s="108"/>
      <c r="M158" s="108"/>
      <c r="N158" s="108"/>
      <c r="O158" s="108"/>
      <c r="P158" s="108"/>
      <c r="Q158" s="108"/>
      <c r="R158" s="108"/>
      <c r="S158" s="108"/>
      <c r="T158" s="108"/>
      <c r="U158" s="108"/>
      <c r="V158" s="108"/>
      <c r="W158" s="108"/>
      <c r="X158" s="108"/>
      <c r="Y158" s="108"/>
    </row>
    <row r="159" hidden="1">
      <c r="A159" s="108"/>
      <c r="B159" s="107" t="s">
        <v>1189</v>
      </c>
      <c r="C159" s="107" t="s">
        <v>1205</v>
      </c>
      <c r="D159" s="115" t="s">
        <v>1210</v>
      </c>
      <c r="E159" s="107" t="s">
        <v>1211</v>
      </c>
      <c r="F159" s="211">
        <v>44927.0</v>
      </c>
      <c r="G159" s="211">
        <v>44927.0</v>
      </c>
      <c r="H159" s="239"/>
      <c r="I159" s="108"/>
      <c r="J159" s="108"/>
      <c r="K159" s="108"/>
      <c r="L159" s="108"/>
      <c r="M159" s="108"/>
      <c r="N159" s="108"/>
      <c r="O159" s="108"/>
      <c r="P159" s="108"/>
      <c r="Q159" s="108"/>
      <c r="R159" s="108"/>
      <c r="S159" s="108"/>
      <c r="T159" s="108"/>
      <c r="U159" s="108"/>
      <c r="V159" s="108"/>
      <c r="W159" s="108"/>
      <c r="X159" s="108"/>
      <c r="Y159" s="108"/>
    </row>
    <row r="160" hidden="1">
      <c r="A160" s="108"/>
      <c r="B160" s="107" t="s">
        <v>1189</v>
      </c>
      <c r="C160" s="107" t="s">
        <v>1080</v>
      </c>
      <c r="D160" s="115" t="s">
        <v>1212</v>
      </c>
      <c r="E160" s="107" t="s">
        <v>1213</v>
      </c>
      <c r="F160" s="211">
        <v>45374.0</v>
      </c>
      <c r="G160" s="211">
        <v>45435.0</v>
      </c>
      <c r="H160" s="239"/>
      <c r="I160" s="108"/>
      <c r="J160" s="108"/>
      <c r="K160" s="108"/>
      <c r="L160" s="108"/>
      <c r="M160" s="108"/>
      <c r="N160" s="108"/>
      <c r="O160" s="108"/>
      <c r="P160" s="108"/>
      <c r="Q160" s="108"/>
      <c r="R160" s="108"/>
      <c r="S160" s="108"/>
      <c r="T160" s="108"/>
      <c r="U160" s="108"/>
      <c r="V160" s="108"/>
      <c r="W160" s="108"/>
      <c r="X160" s="108"/>
      <c r="Y160" s="108"/>
    </row>
    <row r="161" hidden="1">
      <c r="A161" s="108"/>
      <c r="B161" s="107" t="s">
        <v>1189</v>
      </c>
      <c r="C161" s="107" t="s">
        <v>1214</v>
      </c>
      <c r="D161" s="115" t="s">
        <v>1215</v>
      </c>
      <c r="E161" s="107" t="s">
        <v>864</v>
      </c>
      <c r="F161" s="211">
        <v>45466.0</v>
      </c>
      <c r="G161" s="211"/>
      <c r="H161" s="239"/>
      <c r="I161" s="108"/>
      <c r="J161" s="108"/>
      <c r="K161" s="108"/>
      <c r="L161" s="108"/>
      <c r="M161" s="108"/>
      <c r="N161" s="108"/>
      <c r="O161" s="108"/>
      <c r="P161" s="108"/>
      <c r="Q161" s="108"/>
      <c r="R161" s="108"/>
      <c r="S161" s="108"/>
      <c r="T161" s="108"/>
      <c r="U161" s="108"/>
      <c r="V161" s="108"/>
      <c r="W161" s="108"/>
      <c r="X161" s="108"/>
      <c r="Y161" s="108"/>
    </row>
    <row r="162" hidden="1">
      <c r="A162" s="108"/>
      <c r="B162" s="107" t="s">
        <v>1189</v>
      </c>
      <c r="C162" s="107" t="s">
        <v>1216</v>
      </c>
      <c r="D162" s="115" t="s">
        <v>1217</v>
      </c>
      <c r="E162" s="107" t="s">
        <v>1218</v>
      </c>
      <c r="F162" s="211">
        <v>45466.0</v>
      </c>
      <c r="G162" s="211">
        <v>45466.0</v>
      </c>
      <c r="H162" s="239"/>
      <c r="I162" s="108"/>
      <c r="J162" s="108"/>
      <c r="K162" s="108"/>
      <c r="L162" s="108"/>
      <c r="M162" s="108"/>
      <c r="N162" s="108"/>
      <c r="O162" s="108"/>
      <c r="P162" s="108"/>
      <c r="Q162" s="108"/>
      <c r="R162" s="108"/>
      <c r="S162" s="108"/>
      <c r="T162" s="108"/>
      <c r="U162" s="108"/>
      <c r="V162" s="108"/>
      <c r="W162" s="108"/>
      <c r="X162" s="108"/>
      <c r="Y162" s="108"/>
    </row>
    <row r="163" hidden="1">
      <c r="A163" s="108"/>
      <c r="B163" s="107" t="s">
        <v>1189</v>
      </c>
      <c r="C163" s="107" t="s">
        <v>1214</v>
      </c>
      <c r="D163" s="115" t="s">
        <v>1215</v>
      </c>
      <c r="E163" s="107" t="s">
        <v>1219</v>
      </c>
      <c r="F163" s="211">
        <v>45527.0</v>
      </c>
      <c r="G163" s="211">
        <v>45527.0</v>
      </c>
      <c r="H163" s="239"/>
      <c r="I163" s="108"/>
      <c r="J163" s="108"/>
      <c r="K163" s="108"/>
      <c r="L163" s="108"/>
      <c r="M163" s="108"/>
      <c r="N163" s="108"/>
      <c r="O163" s="108"/>
      <c r="P163" s="108"/>
      <c r="Q163" s="108"/>
      <c r="R163" s="108"/>
      <c r="S163" s="108"/>
      <c r="T163" s="108"/>
      <c r="U163" s="108"/>
      <c r="V163" s="108"/>
      <c r="W163" s="108"/>
      <c r="X163" s="108"/>
      <c r="Y163" s="108"/>
    </row>
    <row r="164" hidden="1">
      <c r="A164" s="108"/>
      <c r="B164" s="107" t="s">
        <v>1189</v>
      </c>
      <c r="C164" s="107" t="s">
        <v>902</v>
      </c>
      <c r="D164" s="115" t="s">
        <v>1220</v>
      </c>
      <c r="E164" s="107" t="s">
        <v>1122</v>
      </c>
      <c r="F164" s="211">
        <v>45558.0</v>
      </c>
      <c r="G164" s="211" t="s">
        <v>843</v>
      </c>
      <c r="H164" s="239"/>
      <c r="I164" s="108"/>
      <c r="J164" s="108"/>
      <c r="K164" s="108"/>
      <c r="L164" s="108"/>
      <c r="M164" s="108"/>
      <c r="N164" s="108"/>
      <c r="O164" s="108"/>
      <c r="P164" s="108"/>
      <c r="Q164" s="108"/>
      <c r="R164" s="108"/>
      <c r="S164" s="108"/>
      <c r="T164" s="108"/>
      <c r="U164" s="108"/>
      <c r="V164" s="108"/>
      <c r="W164" s="108"/>
      <c r="X164" s="108"/>
      <c r="Y164" s="108"/>
    </row>
    <row r="165">
      <c r="A165" s="108"/>
      <c r="B165" s="107" t="s">
        <v>1221</v>
      </c>
      <c r="C165" s="107" t="s">
        <v>1222</v>
      </c>
      <c r="D165" s="115" t="s">
        <v>1223</v>
      </c>
      <c r="E165" s="107" t="s">
        <v>1224</v>
      </c>
      <c r="F165" s="211">
        <v>43221.0</v>
      </c>
      <c r="G165" s="211" t="s">
        <v>1225</v>
      </c>
      <c r="H165" s="239"/>
      <c r="I165" s="108"/>
      <c r="J165" s="108"/>
      <c r="K165" s="108"/>
      <c r="L165" s="108"/>
      <c r="M165" s="108"/>
      <c r="N165" s="108"/>
      <c r="O165" s="108"/>
      <c r="P165" s="108"/>
      <c r="Q165" s="108"/>
      <c r="R165" s="108"/>
      <c r="S165" s="108"/>
      <c r="T165" s="108"/>
      <c r="U165" s="108"/>
      <c r="V165" s="108"/>
      <c r="W165" s="108"/>
      <c r="X165" s="108"/>
      <c r="Y165" s="108"/>
    </row>
    <row r="166">
      <c r="A166" s="108"/>
      <c r="B166" s="107" t="s">
        <v>1221</v>
      </c>
      <c r="C166" s="107" t="s">
        <v>1226</v>
      </c>
      <c r="D166" s="115" t="s">
        <v>1227</v>
      </c>
      <c r="E166" s="107" t="s">
        <v>1228</v>
      </c>
      <c r="F166" s="211">
        <v>43191.0</v>
      </c>
      <c r="G166" s="211">
        <v>43221.0</v>
      </c>
      <c r="H166" s="239"/>
      <c r="I166" s="108"/>
      <c r="J166" s="108"/>
      <c r="K166" s="108"/>
      <c r="L166" s="108"/>
      <c r="M166" s="108"/>
      <c r="N166" s="108"/>
      <c r="O166" s="108"/>
      <c r="P166" s="108"/>
      <c r="Q166" s="108"/>
      <c r="R166" s="108"/>
      <c r="S166" s="108"/>
      <c r="T166" s="108"/>
      <c r="U166" s="108"/>
      <c r="V166" s="108"/>
      <c r="W166" s="108"/>
      <c r="X166" s="108"/>
      <c r="Y166" s="108"/>
    </row>
    <row r="167">
      <c r="A167" s="108"/>
      <c r="B167" s="107" t="s">
        <v>1221</v>
      </c>
      <c r="C167" s="107" t="s">
        <v>1229</v>
      </c>
      <c r="D167" s="115" t="s">
        <v>1230</v>
      </c>
      <c r="E167" s="107" t="s">
        <v>1231</v>
      </c>
      <c r="F167" s="211">
        <v>43040.0</v>
      </c>
      <c r="G167" s="211">
        <v>43739.0</v>
      </c>
      <c r="H167" s="239"/>
      <c r="I167" s="108"/>
      <c r="J167" s="108"/>
      <c r="K167" s="108"/>
      <c r="L167" s="108"/>
      <c r="M167" s="108"/>
      <c r="N167" s="108"/>
      <c r="O167" s="108"/>
      <c r="P167" s="108"/>
      <c r="Q167" s="108"/>
      <c r="R167" s="108"/>
      <c r="S167" s="108"/>
      <c r="T167" s="108"/>
      <c r="U167" s="108"/>
      <c r="V167" s="108"/>
      <c r="W167" s="108"/>
      <c r="X167" s="108"/>
      <c r="Y167" s="108"/>
    </row>
    <row r="168">
      <c r="A168" s="108"/>
      <c r="B168" s="107" t="s">
        <v>1221</v>
      </c>
      <c r="C168" s="107" t="s">
        <v>1229</v>
      </c>
      <c r="D168" s="115" t="s">
        <v>1230</v>
      </c>
      <c r="E168" s="107" t="s">
        <v>1232</v>
      </c>
      <c r="F168" s="211">
        <v>43040.0</v>
      </c>
      <c r="G168" s="211">
        <v>43739.0</v>
      </c>
      <c r="H168" s="239"/>
      <c r="I168" s="108"/>
      <c r="J168" s="108"/>
      <c r="K168" s="108"/>
      <c r="L168" s="108"/>
      <c r="M168" s="108"/>
      <c r="N168" s="108"/>
      <c r="O168" s="108"/>
      <c r="P168" s="108"/>
      <c r="Q168" s="108"/>
      <c r="R168" s="108"/>
      <c r="S168" s="108"/>
      <c r="T168" s="108"/>
      <c r="U168" s="108"/>
      <c r="V168" s="108"/>
      <c r="W168" s="108"/>
      <c r="X168" s="108"/>
      <c r="Y168" s="108"/>
    </row>
    <row r="169">
      <c r="A169" s="108"/>
      <c r="B169" s="107" t="s">
        <v>1221</v>
      </c>
      <c r="C169" s="107" t="s">
        <v>1229</v>
      </c>
      <c r="D169" s="115" t="s">
        <v>1230</v>
      </c>
      <c r="E169" s="107" t="s">
        <v>1233</v>
      </c>
      <c r="F169" s="211">
        <v>43040.0</v>
      </c>
      <c r="G169" s="211">
        <v>43739.0</v>
      </c>
      <c r="H169" s="245"/>
      <c r="I169" s="108"/>
      <c r="J169" s="108"/>
      <c r="K169" s="108"/>
      <c r="L169" s="108"/>
      <c r="M169" s="108"/>
      <c r="N169" s="108"/>
      <c r="O169" s="108"/>
      <c r="P169" s="108"/>
      <c r="Q169" s="108"/>
      <c r="R169" s="108"/>
      <c r="S169" s="108"/>
      <c r="T169" s="108"/>
      <c r="U169" s="108"/>
      <c r="V169" s="108"/>
      <c r="W169" s="108"/>
      <c r="X169" s="108"/>
      <c r="Y169" s="108"/>
    </row>
    <row r="170">
      <c r="A170" s="108"/>
      <c r="B170" s="107" t="s">
        <v>1221</v>
      </c>
      <c r="C170" s="107" t="s">
        <v>1229</v>
      </c>
      <c r="D170" s="115" t="s">
        <v>1230</v>
      </c>
      <c r="E170" s="107" t="s">
        <v>1234</v>
      </c>
      <c r="F170" s="211">
        <v>43040.0</v>
      </c>
      <c r="G170" s="211">
        <v>43739.0</v>
      </c>
      <c r="H170" s="245"/>
      <c r="I170" s="108"/>
      <c r="J170" s="108"/>
      <c r="K170" s="108"/>
      <c r="L170" s="108"/>
      <c r="M170" s="108"/>
      <c r="N170" s="108"/>
      <c r="O170" s="108"/>
      <c r="P170" s="108"/>
      <c r="Q170" s="108"/>
      <c r="R170" s="108"/>
      <c r="S170" s="108"/>
      <c r="T170" s="108"/>
      <c r="U170" s="108"/>
      <c r="V170" s="108"/>
      <c r="W170" s="108"/>
      <c r="X170" s="108"/>
      <c r="Y170" s="108"/>
    </row>
    <row r="171">
      <c r="A171" s="108"/>
      <c r="B171" s="107" t="s">
        <v>1221</v>
      </c>
      <c r="C171" s="107" t="s">
        <v>1229</v>
      </c>
      <c r="D171" s="115" t="s">
        <v>1230</v>
      </c>
      <c r="E171" s="107" t="s">
        <v>1235</v>
      </c>
      <c r="F171" s="211">
        <v>43040.0</v>
      </c>
      <c r="G171" s="211">
        <v>43739.0</v>
      </c>
      <c r="H171" s="245"/>
      <c r="I171" s="108"/>
      <c r="J171" s="108"/>
      <c r="K171" s="108"/>
      <c r="L171" s="108"/>
      <c r="M171" s="108"/>
      <c r="N171" s="108"/>
      <c r="O171" s="108"/>
      <c r="P171" s="108"/>
      <c r="Q171" s="108"/>
      <c r="R171" s="108"/>
      <c r="S171" s="108"/>
      <c r="T171" s="108"/>
      <c r="U171" s="108"/>
      <c r="V171" s="108"/>
      <c r="W171" s="108"/>
      <c r="X171" s="108"/>
      <c r="Y171" s="108"/>
    </row>
    <row r="172">
      <c r="A172" s="108"/>
      <c r="B172" s="107" t="s">
        <v>1221</v>
      </c>
      <c r="C172" s="107" t="s">
        <v>1236</v>
      </c>
      <c r="D172" s="115" t="s">
        <v>1237</v>
      </c>
      <c r="E172" s="107" t="s">
        <v>1238</v>
      </c>
      <c r="F172" s="211">
        <v>43647.0</v>
      </c>
      <c r="G172" s="211">
        <v>43678.0</v>
      </c>
      <c r="H172" s="115"/>
      <c r="I172" s="108"/>
      <c r="J172" s="108"/>
      <c r="K172" s="108"/>
      <c r="L172" s="108"/>
      <c r="M172" s="108"/>
      <c r="N172" s="108"/>
      <c r="O172" s="108"/>
      <c r="P172" s="108"/>
      <c r="Q172" s="108"/>
      <c r="R172" s="108"/>
      <c r="S172" s="108"/>
      <c r="T172" s="108"/>
      <c r="U172" s="108"/>
      <c r="V172" s="108"/>
      <c r="W172" s="108"/>
      <c r="X172" s="108"/>
      <c r="Y172" s="108"/>
    </row>
    <row r="173">
      <c r="A173" s="108"/>
      <c r="B173" s="107" t="s">
        <v>1221</v>
      </c>
      <c r="C173" s="107" t="s">
        <v>1229</v>
      </c>
      <c r="D173" s="115" t="s">
        <v>1230</v>
      </c>
      <c r="E173" s="107" t="s">
        <v>1239</v>
      </c>
      <c r="F173" s="211">
        <v>43040.0</v>
      </c>
      <c r="G173" s="211">
        <v>43739.0</v>
      </c>
      <c r="H173" s="239"/>
      <c r="I173" s="108"/>
      <c r="J173" s="108"/>
      <c r="K173" s="108"/>
      <c r="L173" s="108"/>
      <c r="M173" s="108"/>
      <c r="N173" s="108"/>
      <c r="O173" s="108"/>
      <c r="P173" s="108"/>
      <c r="Q173" s="108"/>
      <c r="R173" s="108"/>
      <c r="S173" s="108"/>
      <c r="T173" s="108"/>
      <c r="U173" s="108"/>
      <c r="V173" s="108"/>
      <c r="W173" s="108"/>
      <c r="X173" s="108"/>
      <c r="Y173" s="108"/>
    </row>
    <row r="174">
      <c r="A174" s="244"/>
      <c r="B174" s="107" t="s">
        <v>1221</v>
      </c>
      <c r="C174" s="107" t="s">
        <v>1229</v>
      </c>
      <c r="D174" s="115" t="s">
        <v>1230</v>
      </c>
      <c r="E174" s="107" t="s">
        <v>1240</v>
      </c>
      <c r="F174" s="211">
        <v>43040.0</v>
      </c>
      <c r="G174" s="211">
        <v>43739.0</v>
      </c>
      <c r="H174" s="239"/>
      <c r="I174" s="108"/>
      <c r="J174" s="108"/>
      <c r="K174" s="108"/>
      <c r="L174" s="108"/>
      <c r="M174" s="108"/>
      <c r="N174" s="108"/>
      <c r="O174" s="108"/>
      <c r="P174" s="108"/>
      <c r="Q174" s="108"/>
      <c r="R174" s="108"/>
      <c r="S174" s="108"/>
      <c r="T174" s="108"/>
      <c r="U174" s="108"/>
      <c r="V174" s="108"/>
      <c r="W174" s="108"/>
      <c r="X174" s="108"/>
      <c r="Y174" s="108"/>
    </row>
    <row r="175">
      <c r="A175" s="244"/>
      <c r="B175" s="107" t="s">
        <v>1221</v>
      </c>
      <c r="C175" s="107" t="s">
        <v>1241</v>
      </c>
      <c r="D175" s="115" t="s">
        <v>1242</v>
      </c>
      <c r="E175" s="107" t="s">
        <v>1243</v>
      </c>
      <c r="F175" s="211">
        <v>43160.0</v>
      </c>
      <c r="G175" s="211">
        <v>43862.0</v>
      </c>
      <c r="H175" s="239"/>
      <c r="I175" s="108"/>
      <c r="J175" s="108"/>
      <c r="K175" s="108"/>
      <c r="L175" s="108"/>
      <c r="M175" s="108"/>
      <c r="N175" s="108"/>
      <c r="O175" s="108"/>
      <c r="P175" s="108"/>
      <c r="Q175" s="108"/>
      <c r="R175" s="108"/>
      <c r="S175" s="108"/>
      <c r="T175" s="108"/>
      <c r="U175" s="108"/>
      <c r="V175" s="108"/>
      <c r="W175" s="108"/>
      <c r="X175" s="108"/>
      <c r="Y175" s="108"/>
    </row>
    <row r="176">
      <c r="A176" s="244"/>
      <c r="B176" s="107" t="s">
        <v>1221</v>
      </c>
      <c r="C176" s="107" t="s">
        <v>1241</v>
      </c>
      <c r="D176" s="115" t="s">
        <v>1242</v>
      </c>
      <c r="E176" s="107" t="s">
        <v>1244</v>
      </c>
      <c r="F176" s="211">
        <v>43862.0</v>
      </c>
      <c r="G176" s="211">
        <v>44105.0</v>
      </c>
      <c r="H176" s="239"/>
      <c r="I176" s="108"/>
      <c r="J176" s="108"/>
      <c r="K176" s="108"/>
      <c r="L176" s="108"/>
      <c r="M176" s="108"/>
      <c r="N176" s="108"/>
      <c r="O176" s="108"/>
      <c r="P176" s="108"/>
      <c r="Q176" s="108"/>
      <c r="R176" s="108"/>
      <c r="S176" s="108"/>
      <c r="T176" s="108"/>
      <c r="U176" s="108"/>
      <c r="V176" s="108"/>
      <c r="W176" s="108"/>
      <c r="X176" s="108"/>
      <c r="Y176" s="108"/>
    </row>
    <row r="177">
      <c r="A177" s="244"/>
      <c r="B177" s="107" t="s">
        <v>1221</v>
      </c>
      <c r="C177" s="107" t="s">
        <v>1241</v>
      </c>
      <c r="D177" s="115" t="s">
        <v>1242</v>
      </c>
      <c r="E177" s="107" t="s">
        <v>1245</v>
      </c>
      <c r="F177" s="211">
        <v>44105.0</v>
      </c>
      <c r="G177" s="211">
        <v>44287.0</v>
      </c>
      <c r="H177" s="239"/>
      <c r="I177" s="108"/>
      <c r="J177" s="108"/>
      <c r="K177" s="108"/>
      <c r="L177" s="108"/>
      <c r="M177" s="108"/>
      <c r="N177" s="108"/>
      <c r="O177" s="108"/>
      <c r="P177" s="108"/>
      <c r="Q177" s="108"/>
      <c r="R177" s="108"/>
      <c r="S177" s="108"/>
      <c r="T177" s="108"/>
      <c r="U177" s="108"/>
      <c r="V177" s="108"/>
      <c r="W177" s="108"/>
      <c r="X177" s="108"/>
      <c r="Y177" s="108"/>
    </row>
    <row r="178">
      <c r="A178" s="244"/>
      <c r="B178" s="107" t="s">
        <v>1221</v>
      </c>
      <c r="C178" s="107" t="s">
        <v>1241</v>
      </c>
      <c r="D178" s="115" t="s">
        <v>1242</v>
      </c>
      <c r="E178" s="107" t="s">
        <v>1246</v>
      </c>
      <c r="F178" s="211">
        <v>44287.0</v>
      </c>
      <c r="G178" s="211" t="s">
        <v>1247</v>
      </c>
      <c r="H178" s="239"/>
      <c r="I178" s="108"/>
      <c r="J178" s="108"/>
      <c r="K178" s="108"/>
      <c r="L178" s="108"/>
      <c r="M178" s="108"/>
      <c r="N178" s="108"/>
      <c r="O178" s="108"/>
      <c r="P178" s="108"/>
      <c r="Q178" s="108"/>
      <c r="R178" s="108"/>
      <c r="S178" s="108"/>
      <c r="T178" s="108"/>
      <c r="U178" s="108"/>
      <c r="V178" s="108"/>
      <c r="W178" s="108"/>
      <c r="X178" s="108"/>
      <c r="Y178" s="108"/>
    </row>
    <row r="179">
      <c r="A179" s="244"/>
      <c r="B179" s="107" t="s">
        <v>1221</v>
      </c>
      <c r="C179" s="107" t="s">
        <v>1241</v>
      </c>
      <c r="D179" s="115" t="s">
        <v>1242</v>
      </c>
      <c r="E179" s="107" t="s">
        <v>1248</v>
      </c>
      <c r="F179" s="211">
        <v>44348.0</v>
      </c>
      <c r="G179" s="211">
        <v>44409.0</v>
      </c>
      <c r="H179" s="239"/>
      <c r="I179" s="108"/>
      <c r="J179" s="108"/>
      <c r="K179" s="108"/>
      <c r="L179" s="108"/>
      <c r="M179" s="108"/>
      <c r="N179" s="108"/>
      <c r="O179" s="108"/>
      <c r="P179" s="108"/>
      <c r="Q179" s="108"/>
      <c r="R179" s="108"/>
      <c r="S179" s="108"/>
      <c r="T179" s="108"/>
      <c r="U179" s="108"/>
      <c r="V179" s="108"/>
      <c r="W179" s="108"/>
      <c r="X179" s="108"/>
      <c r="Y179" s="108"/>
    </row>
    <row r="180">
      <c r="A180" s="244"/>
      <c r="B180" s="107" t="s">
        <v>1221</v>
      </c>
      <c r="C180" s="107" t="s">
        <v>1241</v>
      </c>
      <c r="D180" s="115" t="s">
        <v>1242</v>
      </c>
      <c r="E180" s="107" t="s">
        <v>1249</v>
      </c>
      <c r="F180" s="211">
        <v>44409.0</v>
      </c>
      <c r="G180" s="211">
        <v>44440.0</v>
      </c>
      <c r="H180" s="239"/>
      <c r="I180" s="108"/>
      <c r="J180" s="108"/>
      <c r="K180" s="108"/>
      <c r="L180" s="108"/>
      <c r="M180" s="108"/>
      <c r="N180" s="108"/>
      <c r="O180" s="108"/>
      <c r="P180" s="108"/>
      <c r="Q180" s="108"/>
      <c r="R180" s="108"/>
      <c r="S180" s="108"/>
      <c r="T180" s="108"/>
      <c r="U180" s="108"/>
      <c r="V180" s="108"/>
      <c r="W180" s="108"/>
      <c r="X180" s="108"/>
      <c r="Y180" s="108"/>
    </row>
    <row r="181">
      <c r="A181" s="244"/>
      <c r="B181" s="107" t="s">
        <v>1221</v>
      </c>
      <c r="C181" s="107" t="s">
        <v>1241</v>
      </c>
      <c r="D181" s="115" t="s">
        <v>1242</v>
      </c>
      <c r="E181" s="107" t="s">
        <v>1250</v>
      </c>
      <c r="F181" s="211">
        <v>44440.0</v>
      </c>
      <c r="G181" s="211">
        <v>44470.0</v>
      </c>
      <c r="H181" s="239"/>
      <c r="I181" s="108"/>
      <c r="J181" s="108"/>
      <c r="K181" s="108"/>
      <c r="L181" s="108"/>
      <c r="M181" s="108"/>
      <c r="N181" s="108"/>
      <c r="O181" s="108"/>
      <c r="P181" s="108"/>
      <c r="Q181" s="108"/>
      <c r="R181" s="108"/>
      <c r="S181" s="108"/>
      <c r="T181" s="108"/>
      <c r="U181" s="108"/>
      <c r="V181" s="108"/>
      <c r="W181" s="108"/>
      <c r="X181" s="108"/>
      <c r="Y181" s="108"/>
    </row>
    <row r="182">
      <c r="A182" s="244"/>
      <c r="B182" s="107" t="s">
        <v>1221</v>
      </c>
      <c r="C182" s="107"/>
      <c r="D182" s="115"/>
      <c r="E182" s="107"/>
      <c r="F182" s="211"/>
      <c r="G182" s="211"/>
      <c r="H182" s="239"/>
      <c r="I182" s="108"/>
      <c r="J182" s="108"/>
      <c r="K182" s="108"/>
      <c r="L182" s="108"/>
      <c r="M182" s="108"/>
      <c r="N182" s="108"/>
      <c r="O182" s="108"/>
      <c r="P182" s="108"/>
      <c r="Q182" s="108"/>
      <c r="R182" s="108"/>
      <c r="S182" s="108"/>
      <c r="T182" s="108"/>
      <c r="U182" s="108"/>
      <c r="V182" s="108"/>
      <c r="W182" s="108"/>
      <c r="X182" s="108"/>
      <c r="Y182" s="108"/>
    </row>
    <row r="183">
      <c r="A183" s="244"/>
      <c r="B183" s="107" t="s">
        <v>1221</v>
      </c>
      <c r="C183" s="107" t="s">
        <v>1251</v>
      </c>
      <c r="D183" s="115" t="s">
        <v>1252</v>
      </c>
      <c r="E183" s="107" t="s">
        <v>1253</v>
      </c>
      <c r="F183" s="211">
        <v>43160.0</v>
      </c>
      <c r="G183" s="211">
        <v>43282.0</v>
      </c>
      <c r="H183" s="239"/>
      <c r="I183" s="108"/>
      <c r="J183" s="108"/>
      <c r="K183" s="108"/>
      <c r="L183" s="108"/>
      <c r="M183" s="108"/>
      <c r="N183" s="108"/>
      <c r="O183" s="108"/>
      <c r="P183" s="108"/>
      <c r="Q183" s="108"/>
      <c r="R183" s="108"/>
      <c r="S183" s="108"/>
      <c r="T183" s="108"/>
      <c r="U183" s="108"/>
      <c r="V183" s="108"/>
      <c r="W183" s="108"/>
      <c r="X183" s="108"/>
      <c r="Y183" s="108"/>
    </row>
    <row r="184">
      <c r="A184" s="244"/>
      <c r="B184" s="107" t="s">
        <v>1221</v>
      </c>
      <c r="C184" s="107" t="s">
        <v>1251</v>
      </c>
      <c r="D184" s="115" t="s">
        <v>1252</v>
      </c>
      <c r="E184" s="107" t="s">
        <v>1254</v>
      </c>
      <c r="F184" s="211">
        <v>43282.0</v>
      </c>
      <c r="G184" s="211">
        <v>43466.0</v>
      </c>
      <c r="H184" s="239"/>
      <c r="I184" s="108"/>
      <c r="J184" s="108"/>
      <c r="K184" s="108"/>
      <c r="L184" s="108"/>
      <c r="M184" s="108"/>
      <c r="N184" s="108"/>
      <c r="O184" s="108"/>
      <c r="P184" s="108"/>
      <c r="Q184" s="108"/>
      <c r="R184" s="108"/>
      <c r="S184" s="108"/>
      <c r="T184" s="108"/>
      <c r="U184" s="108"/>
      <c r="V184" s="108"/>
      <c r="W184" s="108"/>
      <c r="X184" s="108"/>
      <c r="Y184" s="108"/>
    </row>
    <row r="185">
      <c r="A185" s="244"/>
      <c r="B185" s="107" t="s">
        <v>1221</v>
      </c>
      <c r="C185" s="107" t="s">
        <v>1251</v>
      </c>
      <c r="D185" s="115" t="s">
        <v>1252</v>
      </c>
      <c r="E185" s="107" t="s">
        <v>1255</v>
      </c>
      <c r="F185" s="211">
        <v>43466.0</v>
      </c>
      <c r="G185" s="211">
        <v>43862.0</v>
      </c>
      <c r="H185" s="239"/>
      <c r="I185" s="108"/>
      <c r="J185" s="108"/>
      <c r="K185" s="108"/>
      <c r="L185" s="108"/>
      <c r="M185" s="108"/>
      <c r="N185" s="108"/>
      <c r="O185" s="108"/>
      <c r="P185" s="108"/>
      <c r="Q185" s="108"/>
      <c r="R185" s="108"/>
      <c r="S185" s="108"/>
      <c r="T185" s="108"/>
      <c r="U185" s="108"/>
      <c r="V185" s="108"/>
      <c r="W185" s="108"/>
      <c r="X185" s="108"/>
      <c r="Y185" s="108"/>
    </row>
    <row r="186">
      <c r="A186" s="244"/>
      <c r="B186" s="107" t="s">
        <v>1221</v>
      </c>
      <c r="C186" s="107" t="s">
        <v>1251</v>
      </c>
      <c r="D186" s="115" t="s">
        <v>1252</v>
      </c>
      <c r="E186" s="107" t="s">
        <v>1256</v>
      </c>
      <c r="F186" s="211">
        <v>43862.0</v>
      </c>
      <c r="G186" s="211">
        <v>44621.0</v>
      </c>
      <c r="H186" s="239"/>
      <c r="I186" s="108"/>
      <c r="J186" s="108"/>
      <c r="K186" s="108"/>
      <c r="L186" s="108"/>
      <c r="M186" s="108"/>
      <c r="N186" s="108"/>
      <c r="O186" s="108"/>
      <c r="P186" s="108"/>
      <c r="Q186" s="108"/>
      <c r="R186" s="108"/>
      <c r="S186" s="108"/>
      <c r="T186" s="108"/>
      <c r="U186" s="108"/>
      <c r="V186" s="108"/>
      <c r="W186" s="108"/>
      <c r="X186" s="108"/>
      <c r="Y186" s="108"/>
    </row>
    <row r="187">
      <c r="A187" s="244"/>
      <c r="B187" s="107" t="s">
        <v>1221</v>
      </c>
      <c r="C187" s="107" t="s">
        <v>1257</v>
      </c>
      <c r="D187" s="115" t="s">
        <v>1258</v>
      </c>
      <c r="E187" s="107" t="s">
        <v>1259</v>
      </c>
      <c r="F187" s="211">
        <v>43313.0</v>
      </c>
      <c r="G187" s="211" t="s">
        <v>1260</v>
      </c>
      <c r="H187" s="239"/>
      <c r="I187" s="108"/>
      <c r="J187" s="108"/>
      <c r="K187" s="108"/>
      <c r="L187" s="108"/>
      <c r="M187" s="108"/>
      <c r="N187" s="108"/>
      <c r="O187" s="108"/>
      <c r="P187" s="108"/>
      <c r="Q187" s="108"/>
      <c r="R187" s="108"/>
      <c r="S187" s="108"/>
      <c r="T187" s="108"/>
      <c r="U187" s="108"/>
      <c r="V187" s="108"/>
      <c r="W187" s="108"/>
      <c r="X187" s="108"/>
      <c r="Y187" s="108"/>
    </row>
    <row r="188">
      <c r="A188" s="244"/>
      <c r="B188" s="107" t="s">
        <v>1221</v>
      </c>
      <c r="C188" s="107" t="s">
        <v>1261</v>
      </c>
      <c r="D188" s="115" t="s">
        <v>1262</v>
      </c>
      <c r="E188" s="107" t="s">
        <v>1263</v>
      </c>
      <c r="F188" s="211">
        <v>44531.0</v>
      </c>
      <c r="G188" s="211">
        <v>44652.0</v>
      </c>
      <c r="H188" s="239"/>
      <c r="I188" s="108"/>
      <c r="J188" s="108"/>
      <c r="K188" s="108"/>
      <c r="L188" s="108"/>
      <c r="M188" s="108"/>
      <c r="N188" s="108"/>
      <c r="O188" s="108"/>
      <c r="P188" s="108"/>
      <c r="Q188" s="108"/>
      <c r="R188" s="108"/>
      <c r="S188" s="108"/>
      <c r="T188" s="108"/>
      <c r="U188" s="108"/>
      <c r="V188" s="108"/>
      <c r="W188" s="108"/>
      <c r="X188" s="108"/>
      <c r="Y188" s="108"/>
    </row>
    <row r="189">
      <c r="A189" s="244"/>
      <c r="B189" s="107" t="s">
        <v>1221</v>
      </c>
      <c r="C189" s="107" t="s">
        <v>1264</v>
      </c>
      <c r="D189" s="115" t="s">
        <v>1265</v>
      </c>
      <c r="E189" s="107" t="s">
        <v>1266</v>
      </c>
      <c r="F189" s="211">
        <v>44197.0</v>
      </c>
      <c r="G189" s="211">
        <v>44562.0</v>
      </c>
      <c r="H189" s="239"/>
      <c r="I189" s="108"/>
      <c r="J189" s="108"/>
      <c r="K189" s="108"/>
      <c r="L189" s="108"/>
      <c r="M189" s="108"/>
      <c r="N189" s="108"/>
      <c r="O189" s="108"/>
      <c r="P189" s="108"/>
      <c r="Q189" s="108"/>
      <c r="R189" s="108"/>
      <c r="S189" s="108"/>
      <c r="T189" s="108"/>
      <c r="U189" s="108"/>
      <c r="V189" s="108"/>
      <c r="W189" s="108"/>
      <c r="X189" s="108"/>
      <c r="Y189" s="108"/>
    </row>
    <row r="190">
      <c r="A190" s="244"/>
      <c r="B190" s="107" t="s">
        <v>1221</v>
      </c>
      <c r="C190" s="107" t="s">
        <v>1257</v>
      </c>
      <c r="D190" s="115" t="s">
        <v>1258</v>
      </c>
      <c r="E190" s="107" t="s">
        <v>1267</v>
      </c>
      <c r="F190" s="211">
        <v>44621.0</v>
      </c>
      <c r="G190" s="211">
        <v>44743.0</v>
      </c>
      <c r="H190" s="239"/>
      <c r="I190" s="108"/>
      <c r="J190" s="108"/>
      <c r="K190" s="108"/>
      <c r="L190" s="108"/>
      <c r="M190" s="108"/>
      <c r="N190" s="108"/>
      <c r="O190" s="108"/>
      <c r="P190" s="108"/>
      <c r="Q190" s="108"/>
      <c r="R190" s="108"/>
      <c r="S190" s="108"/>
      <c r="T190" s="108"/>
      <c r="U190" s="108"/>
      <c r="V190" s="108"/>
      <c r="W190" s="108"/>
      <c r="X190" s="108"/>
      <c r="Y190" s="108"/>
    </row>
    <row r="191">
      <c r="A191" s="244"/>
      <c r="B191" s="107" t="s">
        <v>1221</v>
      </c>
      <c r="C191" s="107" t="s">
        <v>1268</v>
      </c>
      <c r="D191" s="115" t="s">
        <v>1269</v>
      </c>
      <c r="E191" s="107" t="s">
        <v>1270</v>
      </c>
      <c r="F191" s="211">
        <v>44621.0</v>
      </c>
      <c r="G191" s="211">
        <v>44896.0</v>
      </c>
      <c r="H191" s="239"/>
      <c r="I191" s="108"/>
      <c r="J191" s="108"/>
      <c r="K191" s="108"/>
      <c r="L191" s="108"/>
      <c r="M191" s="108"/>
      <c r="N191" s="108"/>
      <c r="O191" s="108"/>
      <c r="P191" s="108"/>
      <c r="Q191" s="108"/>
      <c r="R191" s="108"/>
      <c r="S191" s="108"/>
      <c r="T191" s="108"/>
      <c r="U191" s="108"/>
      <c r="V191" s="108"/>
      <c r="W191" s="108"/>
      <c r="X191" s="108"/>
      <c r="Y191" s="108"/>
    </row>
    <row r="192">
      <c r="A192" s="244"/>
      <c r="B192" s="107" t="s">
        <v>1221</v>
      </c>
      <c r="C192" s="107" t="s">
        <v>1268</v>
      </c>
      <c r="D192" s="115" t="s">
        <v>1269</v>
      </c>
      <c r="E192" s="107" t="s">
        <v>1271</v>
      </c>
      <c r="F192" s="211">
        <v>44652.0</v>
      </c>
      <c r="G192" s="211">
        <v>44682.0</v>
      </c>
      <c r="H192" s="239"/>
      <c r="I192" s="108"/>
      <c r="J192" s="108"/>
      <c r="K192" s="108"/>
      <c r="L192" s="108"/>
      <c r="M192" s="108"/>
      <c r="N192" s="108"/>
      <c r="O192" s="108"/>
      <c r="P192" s="108"/>
      <c r="Q192" s="108"/>
      <c r="R192" s="108"/>
      <c r="S192" s="108"/>
      <c r="T192" s="108"/>
      <c r="U192" s="108"/>
      <c r="V192" s="108"/>
      <c r="W192" s="108"/>
      <c r="X192" s="108"/>
      <c r="Y192" s="108"/>
    </row>
    <row r="193">
      <c r="A193" s="244"/>
      <c r="B193" s="107" t="s">
        <v>1221</v>
      </c>
      <c r="C193" s="107" t="s">
        <v>1272</v>
      </c>
      <c r="D193" s="115" t="s">
        <v>1273</v>
      </c>
      <c r="E193" s="107" t="s">
        <v>1274</v>
      </c>
      <c r="F193" s="211">
        <v>44621.0</v>
      </c>
      <c r="G193" s="211">
        <v>44682.0</v>
      </c>
      <c r="H193" s="239"/>
      <c r="I193" s="108"/>
      <c r="J193" s="108"/>
      <c r="K193" s="108"/>
      <c r="L193" s="108"/>
      <c r="M193" s="108"/>
      <c r="N193" s="108"/>
      <c r="O193" s="108"/>
      <c r="P193" s="108"/>
      <c r="Q193" s="108"/>
      <c r="R193" s="108"/>
      <c r="S193" s="108"/>
      <c r="T193" s="108"/>
      <c r="U193" s="108"/>
      <c r="V193" s="108"/>
      <c r="W193" s="108"/>
      <c r="X193" s="108"/>
      <c r="Y193" s="108"/>
    </row>
    <row r="194">
      <c r="A194" s="244"/>
      <c r="B194" s="107" t="s">
        <v>1221</v>
      </c>
      <c r="C194" s="107" t="s">
        <v>1241</v>
      </c>
      <c r="D194" s="115" t="s">
        <v>1275</v>
      </c>
      <c r="E194" s="107" t="s">
        <v>1276</v>
      </c>
      <c r="F194" s="211">
        <v>44713.0</v>
      </c>
      <c r="G194" s="211">
        <v>44713.0</v>
      </c>
      <c r="H194" s="239"/>
      <c r="I194" s="108"/>
      <c r="J194" s="108"/>
      <c r="K194" s="108"/>
      <c r="L194" s="108"/>
      <c r="M194" s="108"/>
      <c r="N194" s="108"/>
      <c r="O194" s="108"/>
      <c r="P194" s="108"/>
      <c r="Q194" s="108"/>
      <c r="R194" s="108"/>
      <c r="S194" s="108"/>
      <c r="T194" s="108"/>
      <c r="U194" s="108"/>
      <c r="V194" s="108"/>
      <c r="W194" s="108"/>
      <c r="X194" s="108"/>
      <c r="Y194" s="108"/>
    </row>
    <row r="195">
      <c r="A195" s="244"/>
      <c r="B195" s="107" t="s">
        <v>1221</v>
      </c>
      <c r="C195" s="107" t="s">
        <v>1241</v>
      </c>
      <c r="D195" s="115" t="s">
        <v>1277</v>
      </c>
      <c r="E195" s="107" t="s">
        <v>1278</v>
      </c>
      <c r="F195" s="211">
        <v>44713.0</v>
      </c>
      <c r="G195" s="211">
        <v>44713.0</v>
      </c>
      <c r="H195" s="239"/>
      <c r="I195" s="108"/>
      <c r="J195" s="108"/>
      <c r="K195" s="108"/>
      <c r="L195" s="108"/>
      <c r="M195" s="108"/>
      <c r="N195" s="108"/>
      <c r="O195" s="108"/>
      <c r="P195" s="108"/>
      <c r="Q195" s="108"/>
      <c r="R195" s="108"/>
      <c r="S195" s="108"/>
      <c r="T195" s="108"/>
      <c r="U195" s="108"/>
      <c r="V195" s="108"/>
      <c r="W195" s="108"/>
      <c r="X195" s="108"/>
      <c r="Y195" s="108"/>
    </row>
    <row r="196">
      <c r="A196" s="244"/>
      <c r="B196" s="107" t="s">
        <v>1221</v>
      </c>
      <c r="C196" s="107" t="s">
        <v>1264</v>
      </c>
      <c r="D196" s="115" t="s">
        <v>1265</v>
      </c>
      <c r="E196" s="107" t="s">
        <v>1279</v>
      </c>
      <c r="F196" s="211">
        <v>44256.0</v>
      </c>
      <c r="G196" s="211">
        <v>44713.0</v>
      </c>
      <c r="H196" s="239"/>
      <c r="I196" s="108"/>
      <c r="J196" s="108"/>
      <c r="K196" s="108"/>
      <c r="L196" s="108"/>
      <c r="M196" s="108"/>
      <c r="N196" s="108"/>
      <c r="O196" s="108"/>
      <c r="P196" s="108"/>
      <c r="Q196" s="108"/>
      <c r="R196" s="108"/>
      <c r="S196" s="108"/>
      <c r="T196" s="108"/>
      <c r="U196" s="108"/>
      <c r="V196" s="108"/>
      <c r="W196" s="108"/>
      <c r="X196" s="108"/>
      <c r="Y196" s="108"/>
    </row>
    <row r="197">
      <c r="A197" s="244"/>
      <c r="B197" s="107" t="s">
        <v>1221</v>
      </c>
      <c r="C197" s="107" t="s">
        <v>1241</v>
      </c>
      <c r="D197" s="115" t="s">
        <v>1280</v>
      </c>
      <c r="E197" s="107" t="s">
        <v>1281</v>
      </c>
      <c r="F197" s="211">
        <v>44805.0</v>
      </c>
      <c r="G197" s="211">
        <v>44805.0</v>
      </c>
      <c r="H197" s="239"/>
      <c r="I197" s="108"/>
      <c r="J197" s="108"/>
      <c r="K197" s="108"/>
      <c r="L197" s="108"/>
      <c r="M197" s="108"/>
      <c r="N197" s="108"/>
      <c r="O197" s="108"/>
      <c r="P197" s="108"/>
      <c r="Q197" s="108"/>
      <c r="R197" s="108"/>
      <c r="S197" s="108"/>
      <c r="T197" s="108"/>
      <c r="U197" s="108"/>
      <c r="V197" s="108"/>
      <c r="W197" s="108"/>
      <c r="X197" s="108"/>
      <c r="Y197" s="108"/>
    </row>
    <row r="198">
      <c r="A198" s="244"/>
      <c r="B198" s="107" t="s">
        <v>1221</v>
      </c>
      <c r="C198" s="107" t="s">
        <v>1241</v>
      </c>
      <c r="D198" s="115" t="s">
        <v>1277</v>
      </c>
      <c r="E198" s="107" t="s">
        <v>1282</v>
      </c>
      <c r="F198" s="211">
        <v>44805.0</v>
      </c>
      <c r="G198" s="211">
        <v>44805.0</v>
      </c>
      <c r="H198" s="239"/>
      <c r="I198" s="108"/>
      <c r="J198" s="108"/>
      <c r="K198" s="108"/>
      <c r="L198" s="108"/>
      <c r="M198" s="108"/>
      <c r="N198" s="108"/>
      <c r="O198" s="108"/>
      <c r="P198" s="108"/>
      <c r="Q198" s="108"/>
      <c r="R198" s="108"/>
      <c r="S198" s="108"/>
      <c r="T198" s="108"/>
      <c r="U198" s="108"/>
      <c r="V198" s="108"/>
      <c r="W198" s="108"/>
      <c r="X198" s="108"/>
      <c r="Y198" s="108"/>
    </row>
    <row r="199">
      <c r="A199" s="244"/>
      <c r="B199" s="107" t="s">
        <v>1221</v>
      </c>
      <c r="C199" s="107" t="s">
        <v>1241</v>
      </c>
      <c r="D199" s="115" t="s">
        <v>1283</v>
      </c>
      <c r="E199" s="107" t="s">
        <v>1284</v>
      </c>
      <c r="F199" s="211">
        <v>44805.0</v>
      </c>
      <c r="G199" s="211">
        <v>44805.0</v>
      </c>
      <c r="H199" s="239"/>
      <c r="I199" s="108"/>
      <c r="J199" s="108"/>
      <c r="K199" s="108"/>
      <c r="L199" s="108"/>
      <c r="M199" s="108"/>
      <c r="N199" s="108"/>
      <c r="O199" s="108"/>
      <c r="P199" s="108"/>
      <c r="Q199" s="108"/>
      <c r="R199" s="108"/>
      <c r="S199" s="108"/>
      <c r="T199" s="108"/>
      <c r="U199" s="108"/>
      <c r="V199" s="108"/>
      <c r="W199" s="108"/>
      <c r="X199" s="108"/>
      <c r="Y199" s="108"/>
    </row>
    <row r="200">
      <c r="A200" s="244"/>
      <c r="B200" s="107" t="s">
        <v>1221</v>
      </c>
      <c r="C200" s="107" t="s">
        <v>1285</v>
      </c>
      <c r="D200" s="115" t="s">
        <v>1286</v>
      </c>
      <c r="E200" s="107" t="s">
        <v>1287</v>
      </c>
      <c r="F200" s="211">
        <v>44682.0</v>
      </c>
      <c r="G200" s="211">
        <v>44835.0</v>
      </c>
      <c r="H200" s="239"/>
      <c r="I200" s="108"/>
      <c r="J200" s="108"/>
      <c r="K200" s="108"/>
      <c r="L200" s="108"/>
      <c r="M200" s="108"/>
      <c r="N200" s="108"/>
      <c r="O200" s="108"/>
      <c r="P200" s="108"/>
      <c r="Q200" s="108"/>
      <c r="R200" s="108"/>
      <c r="S200" s="108"/>
      <c r="T200" s="108"/>
      <c r="U200" s="108"/>
      <c r="V200" s="108"/>
      <c r="W200" s="108"/>
      <c r="X200" s="108"/>
      <c r="Y200" s="108"/>
    </row>
    <row r="201">
      <c r="A201" s="244"/>
      <c r="B201" s="107" t="s">
        <v>1221</v>
      </c>
      <c r="C201" s="107" t="s">
        <v>1264</v>
      </c>
      <c r="D201" s="115" t="s">
        <v>1288</v>
      </c>
      <c r="E201" s="107" t="s">
        <v>1289</v>
      </c>
      <c r="F201" s="211">
        <v>44713.0</v>
      </c>
      <c r="G201" s="211">
        <v>44866.0</v>
      </c>
      <c r="H201" s="239"/>
      <c r="I201" s="108"/>
      <c r="J201" s="108"/>
      <c r="K201" s="108"/>
      <c r="L201" s="108"/>
      <c r="M201" s="108"/>
      <c r="N201" s="108"/>
      <c r="O201" s="108"/>
      <c r="P201" s="108"/>
      <c r="Q201" s="108"/>
      <c r="R201" s="108"/>
      <c r="S201" s="108"/>
      <c r="T201" s="108"/>
      <c r="U201" s="108"/>
      <c r="V201" s="108"/>
      <c r="W201" s="108"/>
      <c r="X201" s="108"/>
      <c r="Y201" s="108"/>
    </row>
    <row r="202">
      <c r="A202" s="244"/>
      <c r="B202" s="107" t="s">
        <v>1221</v>
      </c>
      <c r="C202" s="107" t="s">
        <v>1251</v>
      </c>
      <c r="D202" s="115" t="s">
        <v>1290</v>
      </c>
      <c r="E202" s="107" t="s">
        <v>1291</v>
      </c>
      <c r="F202" s="211">
        <v>44835.0</v>
      </c>
      <c r="G202" s="211">
        <v>44958.0</v>
      </c>
      <c r="H202" s="239"/>
      <c r="I202" s="108"/>
      <c r="J202" s="108"/>
      <c r="K202" s="108"/>
      <c r="L202" s="108"/>
      <c r="M202" s="108"/>
      <c r="N202" s="108"/>
      <c r="O202" s="108"/>
      <c r="P202" s="108"/>
      <c r="Q202" s="108"/>
      <c r="R202" s="108"/>
      <c r="S202" s="108"/>
      <c r="T202" s="108"/>
      <c r="U202" s="108"/>
      <c r="V202" s="108"/>
      <c r="W202" s="108"/>
      <c r="X202" s="108"/>
      <c r="Y202" s="108"/>
    </row>
    <row r="203">
      <c r="A203" s="244"/>
      <c r="B203" s="107" t="s">
        <v>1221</v>
      </c>
      <c r="C203" s="107" t="s">
        <v>1241</v>
      </c>
      <c r="D203" s="115" t="s">
        <v>1283</v>
      </c>
      <c r="E203" s="107" t="s">
        <v>1292</v>
      </c>
      <c r="F203" s="211">
        <v>44986.0</v>
      </c>
      <c r="G203" s="211">
        <v>44986.0</v>
      </c>
      <c r="H203" s="115" t="s">
        <v>1293</v>
      </c>
      <c r="I203" s="108"/>
      <c r="J203" s="108"/>
      <c r="K203" s="108"/>
      <c r="L203" s="108"/>
      <c r="M203" s="108"/>
      <c r="N203" s="108"/>
      <c r="O203" s="108"/>
      <c r="P203" s="108"/>
      <c r="Q203" s="108"/>
      <c r="R203" s="108"/>
      <c r="S203" s="108"/>
      <c r="T203" s="108"/>
      <c r="U203" s="108"/>
      <c r="V203" s="108"/>
      <c r="W203" s="108"/>
      <c r="X203" s="108"/>
      <c r="Y203" s="108"/>
    </row>
    <row r="204">
      <c r="A204" s="244"/>
      <c r="B204" s="107" t="s">
        <v>1221</v>
      </c>
      <c r="C204" s="107" t="s">
        <v>1251</v>
      </c>
      <c r="D204" s="115" t="s">
        <v>1294</v>
      </c>
      <c r="E204" s="107" t="s">
        <v>1295</v>
      </c>
      <c r="F204" s="211">
        <v>44866.0</v>
      </c>
      <c r="G204" s="211">
        <v>44986.0</v>
      </c>
      <c r="H204" s="239"/>
      <c r="I204" s="108"/>
      <c r="J204" s="108"/>
      <c r="K204" s="108"/>
      <c r="L204" s="108"/>
      <c r="M204" s="108"/>
      <c r="N204" s="108"/>
      <c r="O204" s="108"/>
      <c r="P204" s="108"/>
      <c r="Q204" s="108"/>
      <c r="R204" s="108"/>
      <c r="S204" s="108"/>
      <c r="T204" s="108"/>
      <c r="U204" s="108"/>
      <c r="V204" s="108"/>
      <c r="W204" s="108"/>
      <c r="X204" s="108"/>
      <c r="Y204" s="108"/>
    </row>
    <row r="205">
      <c r="A205" s="244"/>
      <c r="B205" s="107" t="s">
        <v>1221</v>
      </c>
      <c r="C205" s="107" t="s">
        <v>1251</v>
      </c>
      <c r="D205" s="115" t="s">
        <v>1294</v>
      </c>
      <c r="E205" s="107" t="s">
        <v>1296</v>
      </c>
      <c r="F205" s="211">
        <v>45017.0</v>
      </c>
      <c r="G205" s="211">
        <v>45047.0</v>
      </c>
      <c r="H205" s="239"/>
      <c r="I205" s="108"/>
      <c r="J205" s="108"/>
      <c r="K205" s="108"/>
      <c r="L205" s="108"/>
      <c r="M205" s="108"/>
      <c r="N205" s="108"/>
      <c r="O205" s="108"/>
      <c r="P205" s="108"/>
      <c r="Q205" s="108"/>
      <c r="R205" s="108"/>
      <c r="S205" s="108"/>
      <c r="T205" s="108"/>
      <c r="U205" s="108"/>
      <c r="V205" s="108"/>
      <c r="W205" s="108"/>
      <c r="X205" s="108"/>
      <c r="Y205" s="108"/>
    </row>
    <row r="206">
      <c r="A206" s="244"/>
      <c r="B206" s="107" t="s">
        <v>1221</v>
      </c>
      <c r="C206" s="107" t="s">
        <v>1297</v>
      </c>
      <c r="D206" s="115" t="s">
        <v>1298</v>
      </c>
      <c r="E206" s="107" t="s">
        <v>1299</v>
      </c>
      <c r="F206" s="211">
        <v>44866.0</v>
      </c>
      <c r="G206" s="211">
        <v>45078.0</v>
      </c>
      <c r="H206" s="239"/>
      <c r="I206" s="108"/>
      <c r="J206" s="108"/>
      <c r="K206" s="108"/>
      <c r="L206" s="108"/>
      <c r="M206" s="108"/>
      <c r="N206" s="108"/>
      <c r="O206" s="108"/>
      <c r="P206" s="108"/>
      <c r="Q206" s="108"/>
      <c r="R206" s="108"/>
      <c r="S206" s="108"/>
      <c r="T206" s="108"/>
      <c r="U206" s="108"/>
      <c r="V206" s="108"/>
      <c r="W206" s="108"/>
      <c r="X206" s="108"/>
      <c r="Y206" s="108"/>
    </row>
    <row r="207">
      <c r="A207" s="244"/>
      <c r="B207" s="107" t="s">
        <v>1221</v>
      </c>
      <c r="C207" s="107" t="s">
        <v>1300</v>
      </c>
      <c r="D207" s="115" t="s">
        <v>1301</v>
      </c>
      <c r="E207" s="107" t="s">
        <v>1302</v>
      </c>
      <c r="F207" s="211">
        <v>45108.0</v>
      </c>
      <c r="G207" s="211">
        <v>45261.0</v>
      </c>
      <c r="H207" s="239"/>
      <c r="I207" s="108"/>
      <c r="J207" s="108"/>
      <c r="K207" s="108"/>
      <c r="L207" s="108"/>
      <c r="M207" s="108"/>
      <c r="N207" s="108"/>
      <c r="O207" s="108"/>
      <c r="P207" s="108"/>
      <c r="Q207" s="108"/>
      <c r="R207" s="108"/>
      <c r="S207" s="108"/>
      <c r="T207" s="108"/>
      <c r="U207" s="108"/>
      <c r="V207" s="108"/>
      <c r="W207" s="108"/>
      <c r="X207" s="108"/>
      <c r="Y207" s="108"/>
    </row>
    <row r="208">
      <c r="A208" s="244"/>
      <c r="B208" s="107" t="s">
        <v>1221</v>
      </c>
      <c r="C208" s="107" t="s">
        <v>1241</v>
      </c>
      <c r="D208" s="115" t="s">
        <v>1283</v>
      </c>
      <c r="E208" s="107" t="s">
        <v>1292</v>
      </c>
      <c r="F208" s="211">
        <v>45170.0</v>
      </c>
      <c r="G208" s="211">
        <v>45170.0</v>
      </c>
      <c r="H208" s="115" t="s">
        <v>1303</v>
      </c>
      <c r="I208" s="108"/>
      <c r="J208" s="108"/>
      <c r="K208" s="108"/>
      <c r="L208" s="108"/>
      <c r="M208" s="108"/>
      <c r="N208" s="108"/>
      <c r="O208" s="108"/>
      <c r="P208" s="108"/>
      <c r="Q208" s="108"/>
      <c r="R208" s="108"/>
      <c r="S208" s="108"/>
      <c r="T208" s="108"/>
      <c r="U208" s="108"/>
      <c r="V208" s="108"/>
      <c r="W208" s="108"/>
      <c r="X208" s="108"/>
      <c r="Y208" s="108"/>
    </row>
    <row r="209">
      <c r="A209" s="244"/>
      <c r="B209" s="107" t="s">
        <v>1221</v>
      </c>
      <c r="C209" s="107" t="s">
        <v>1304</v>
      </c>
      <c r="D209" s="115" t="s">
        <v>1305</v>
      </c>
      <c r="E209" s="107" t="s">
        <v>1306</v>
      </c>
      <c r="F209" s="211">
        <v>45139.0</v>
      </c>
      <c r="G209" s="211">
        <v>45261.0</v>
      </c>
      <c r="H209" s="239"/>
      <c r="I209" s="108"/>
      <c r="J209" s="108"/>
      <c r="K209" s="108"/>
      <c r="L209" s="108"/>
      <c r="M209" s="108"/>
      <c r="N209" s="108"/>
      <c r="O209" s="108"/>
      <c r="P209" s="108"/>
      <c r="Q209" s="108"/>
      <c r="R209" s="108"/>
      <c r="S209" s="108"/>
      <c r="T209" s="108"/>
      <c r="U209" s="108"/>
      <c r="V209" s="108"/>
      <c r="W209" s="108"/>
      <c r="X209" s="108"/>
      <c r="Y209" s="108"/>
    </row>
    <row r="210">
      <c r="A210" s="244"/>
      <c r="B210" s="107" t="s">
        <v>1221</v>
      </c>
      <c r="C210" s="107" t="s">
        <v>1304</v>
      </c>
      <c r="D210" s="115" t="s">
        <v>1307</v>
      </c>
      <c r="E210" s="107" t="s">
        <v>1308</v>
      </c>
      <c r="F210" s="211">
        <v>45170.0</v>
      </c>
      <c r="G210" s="211">
        <v>45261.0</v>
      </c>
      <c r="H210" s="239"/>
      <c r="I210" s="108"/>
      <c r="J210" s="108"/>
      <c r="K210" s="108"/>
      <c r="L210" s="108"/>
      <c r="M210" s="108"/>
      <c r="N210" s="108"/>
      <c r="O210" s="108"/>
      <c r="P210" s="108"/>
      <c r="Q210" s="108"/>
      <c r="R210" s="108"/>
      <c r="S210" s="108"/>
      <c r="T210" s="108"/>
      <c r="U210" s="108"/>
      <c r="V210" s="108"/>
      <c r="W210" s="108"/>
      <c r="X210" s="108"/>
      <c r="Y210" s="108"/>
    </row>
    <row r="211">
      <c r="A211" s="244"/>
      <c r="B211" s="107" t="s">
        <v>1221</v>
      </c>
      <c r="C211" s="107" t="s">
        <v>1304</v>
      </c>
      <c r="D211" s="115" t="s">
        <v>1309</v>
      </c>
      <c r="E211" s="107" t="s">
        <v>1310</v>
      </c>
      <c r="F211" s="211">
        <v>45200.0</v>
      </c>
      <c r="G211" s="211" t="s">
        <v>843</v>
      </c>
      <c r="H211" s="115" t="s">
        <v>1311</v>
      </c>
      <c r="I211" s="108"/>
      <c r="J211" s="108"/>
      <c r="K211" s="108"/>
      <c r="L211" s="108"/>
      <c r="M211" s="108"/>
      <c r="N211" s="108"/>
      <c r="O211" s="108"/>
      <c r="P211" s="108"/>
      <c r="Q211" s="108"/>
      <c r="R211" s="108"/>
      <c r="S211" s="108"/>
      <c r="T211" s="108"/>
      <c r="U211" s="108"/>
      <c r="V211" s="108"/>
      <c r="W211" s="108"/>
      <c r="X211" s="108"/>
      <c r="Y211" s="108"/>
    </row>
    <row r="212">
      <c r="A212" s="244"/>
      <c r="B212" s="107" t="s">
        <v>1221</v>
      </c>
      <c r="C212" s="107" t="s">
        <v>1304</v>
      </c>
      <c r="D212" s="115" t="s">
        <v>1312</v>
      </c>
      <c r="E212" s="107" t="s">
        <v>1313</v>
      </c>
      <c r="F212" s="211">
        <v>45200.0</v>
      </c>
      <c r="G212" s="211" t="s">
        <v>843</v>
      </c>
      <c r="H212" s="239"/>
      <c r="I212" s="108"/>
      <c r="J212" s="108"/>
      <c r="K212" s="108"/>
      <c r="L212" s="108"/>
      <c r="M212" s="108"/>
      <c r="N212" s="108"/>
      <c r="O212" s="108"/>
      <c r="P212" s="108"/>
      <c r="Q212" s="108"/>
      <c r="R212" s="108"/>
      <c r="S212" s="108"/>
      <c r="T212" s="108"/>
      <c r="U212" s="108"/>
      <c r="V212" s="108"/>
      <c r="W212" s="108"/>
      <c r="X212" s="108"/>
      <c r="Y212" s="108"/>
    </row>
    <row r="213">
      <c r="A213" s="244"/>
      <c r="B213" s="107" t="s">
        <v>1221</v>
      </c>
      <c r="C213" s="107" t="s">
        <v>1304</v>
      </c>
      <c r="D213" s="115" t="s">
        <v>1312</v>
      </c>
      <c r="E213" s="107" t="s">
        <v>1314</v>
      </c>
      <c r="F213" s="211">
        <v>45231.0</v>
      </c>
      <c r="G213" s="211" t="s">
        <v>843</v>
      </c>
      <c r="H213" s="115" t="s">
        <v>1311</v>
      </c>
      <c r="I213" s="108"/>
      <c r="J213" s="108"/>
      <c r="K213" s="108"/>
      <c r="L213" s="108"/>
      <c r="M213" s="108"/>
      <c r="N213" s="108"/>
      <c r="O213" s="108"/>
      <c r="P213" s="108"/>
      <c r="Q213" s="108"/>
      <c r="R213" s="108"/>
      <c r="S213" s="108"/>
      <c r="T213" s="108"/>
      <c r="U213" s="108"/>
      <c r="V213" s="108"/>
      <c r="W213" s="108"/>
      <c r="X213" s="108"/>
      <c r="Y213" s="108"/>
    </row>
    <row r="214">
      <c r="A214" s="244"/>
      <c r="B214" s="107" t="s">
        <v>1221</v>
      </c>
      <c r="C214" s="107" t="s">
        <v>1304</v>
      </c>
      <c r="D214" s="115" t="s">
        <v>1315</v>
      </c>
      <c r="E214" s="107" t="s">
        <v>1316</v>
      </c>
      <c r="F214" s="211">
        <v>45323.0</v>
      </c>
      <c r="G214" s="211">
        <v>45323.0</v>
      </c>
      <c r="H214" s="239"/>
      <c r="I214" s="108"/>
      <c r="J214" s="108"/>
      <c r="K214" s="108"/>
      <c r="L214" s="108"/>
      <c r="M214" s="108"/>
      <c r="N214" s="108"/>
      <c r="O214" s="108"/>
      <c r="P214" s="108"/>
      <c r="Q214" s="108"/>
      <c r="R214" s="108"/>
      <c r="S214" s="108"/>
      <c r="T214" s="108"/>
      <c r="U214" s="108"/>
      <c r="V214" s="108"/>
      <c r="W214" s="108"/>
      <c r="X214" s="108"/>
      <c r="Y214" s="108"/>
    </row>
    <row r="215">
      <c r="A215" s="244"/>
      <c r="B215" s="107" t="s">
        <v>1221</v>
      </c>
      <c r="C215" s="107" t="s">
        <v>1304</v>
      </c>
      <c r="D215" s="115" t="s">
        <v>1312</v>
      </c>
      <c r="E215" s="107" t="s">
        <v>1317</v>
      </c>
      <c r="F215" s="211">
        <v>45323.0</v>
      </c>
      <c r="G215" s="211">
        <v>45323.0</v>
      </c>
      <c r="H215" s="239"/>
      <c r="I215" s="108"/>
      <c r="J215" s="108"/>
      <c r="K215" s="108"/>
      <c r="L215" s="108"/>
      <c r="M215" s="108"/>
      <c r="N215" s="108"/>
      <c r="O215" s="108"/>
      <c r="P215" s="108"/>
      <c r="Q215" s="108"/>
      <c r="R215" s="108"/>
      <c r="S215" s="108"/>
      <c r="T215" s="108"/>
      <c r="U215" s="108"/>
      <c r="V215" s="108"/>
      <c r="W215" s="108"/>
      <c r="X215" s="108"/>
      <c r="Y215" s="108"/>
    </row>
    <row r="216">
      <c r="A216" s="244"/>
      <c r="B216" s="246" t="s">
        <v>1221</v>
      </c>
      <c r="C216" s="247" t="s">
        <v>1241</v>
      </c>
      <c r="D216" s="247" t="s">
        <v>1318</v>
      </c>
      <c r="E216" s="247" t="s">
        <v>1319</v>
      </c>
      <c r="F216" s="248">
        <v>45413.0</v>
      </c>
      <c r="G216" s="248">
        <v>45413.0</v>
      </c>
      <c r="H216" s="249"/>
      <c r="I216" s="108"/>
      <c r="J216" s="108"/>
      <c r="K216" s="108"/>
      <c r="L216" s="108"/>
      <c r="M216" s="108"/>
      <c r="N216" s="108"/>
      <c r="O216" s="108"/>
      <c r="P216" s="108"/>
      <c r="Q216" s="108"/>
      <c r="R216" s="108"/>
      <c r="S216" s="108"/>
      <c r="T216" s="108"/>
      <c r="U216" s="108"/>
      <c r="V216" s="108"/>
      <c r="W216" s="108"/>
      <c r="X216" s="108"/>
      <c r="Y216" s="108"/>
    </row>
    <row r="217" hidden="1">
      <c r="A217" s="244"/>
      <c r="B217" s="107" t="s">
        <v>1320</v>
      </c>
      <c r="C217" s="107" t="s">
        <v>1321</v>
      </c>
      <c r="D217" s="115" t="s">
        <v>1023</v>
      </c>
      <c r="E217" s="107" t="s">
        <v>1322</v>
      </c>
      <c r="F217" s="211">
        <v>45200.0</v>
      </c>
      <c r="G217" s="211">
        <v>45231.0</v>
      </c>
      <c r="H217" s="239"/>
      <c r="I217" s="108"/>
      <c r="J217" s="108"/>
      <c r="K217" s="108"/>
      <c r="L217" s="108"/>
      <c r="M217" s="108"/>
      <c r="N217" s="108"/>
      <c r="O217" s="108"/>
      <c r="P217" s="108"/>
      <c r="Q217" s="108"/>
      <c r="R217" s="108"/>
      <c r="S217" s="108"/>
      <c r="T217" s="108"/>
      <c r="U217" s="108"/>
      <c r="V217" s="108"/>
      <c r="W217" s="108"/>
      <c r="X217" s="108"/>
      <c r="Y217" s="108"/>
    </row>
    <row r="218" hidden="1">
      <c r="A218" s="244"/>
      <c r="B218" s="107" t="s">
        <v>1320</v>
      </c>
      <c r="C218" s="107" t="s">
        <v>1323</v>
      </c>
      <c r="D218" s="115" t="s">
        <v>1324</v>
      </c>
      <c r="E218" s="107" t="s">
        <v>1325</v>
      </c>
      <c r="F218" s="211">
        <v>45200.0</v>
      </c>
      <c r="G218" s="211">
        <v>45366.0</v>
      </c>
      <c r="H218" s="239"/>
      <c r="I218" s="108"/>
      <c r="J218" s="108"/>
      <c r="K218" s="108"/>
      <c r="L218" s="108"/>
      <c r="M218" s="108"/>
      <c r="N218" s="108"/>
      <c r="O218" s="108"/>
      <c r="P218" s="108"/>
      <c r="Q218" s="108"/>
      <c r="R218" s="108"/>
      <c r="S218" s="108"/>
      <c r="T218" s="108"/>
      <c r="U218" s="108"/>
      <c r="V218" s="108"/>
      <c r="W218" s="108"/>
      <c r="X218" s="108"/>
      <c r="Y218" s="108"/>
    </row>
    <row r="219" hidden="1">
      <c r="A219" s="244"/>
      <c r="B219" s="107" t="s">
        <v>1320</v>
      </c>
      <c r="C219" s="107" t="s">
        <v>1015</v>
      </c>
      <c r="D219" s="115" t="s">
        <v>1326</v>
      </c>
      <c r="E219" s="107" t="s">
        <v>1327</v>
      </c>
      <c r="F219" s="211">
        <v>45323.0</v>
      </c>
      <c r="G219" s="211">
        <v>45381.0</v>
      </c>
      <c r="H219" s="239"/>
      <c r="I219" s="108"/>
      <c r="J219" s="108"/>
      <c r="K219" s="108"/>
      <c r="L219" s="108"/>
      <c r="M219" s="108"/>
      <c r="N219" s="108"/>
      <c r="O219" s="108"/>
      <c r="P219" s="108"/>
      <c r="Q219" s="108"/>
      <c r="R219" s="108"/>
      <c r="S219" s="108"/>
      <c r="T219" s="108"/>
      <c r="U219" s="108"/>
      <c r="V219" s="108"/>
      <c r="W219" s="108"/>
      <c r="X219" s="108"/>
      <c r="Y219" s="108"/>
    </row>
    <row r="220" hidden="1">
      <c r="A220" s="244"/>
      <c r="B220" s="107" t="s">
        <v>1320</v>
      </c>
      <c r="C220" s="107" t="s">
        <v>1328</v>
      </c>
      <c r="D220" s="115" t="s">
        <v>1329</v>
      </c>
      <c r="E220" s="107" t="s">
        <v>1330</v>
      </c>
      <c r="F220" s="211">
        <v>45352.0</v>
      </c>
      <c r="G220" s="211">
        <v>45381.0</v>
      </c>
      <c r="H220" s="239"/>
      <c r="I220" s="108"/>
      <c r="J220" s="108"/>
      <c r="K220" s="108"/>
      <c r="L220" s="108"/>
      <c r="M220" s="108"/>
      <c r="N220" s="108"/>
      <c r="O220" s="108"/>
      <c r="P220" s="108"/>
      <c r="Q220" s="108"/>
      <c r="R220" s="108"/>
      <c r="S220" s="108"/>
      <c r="T220" s="108"/>
      <c r="U220" s="108"/>
      <c r="V220" s="108"/>
      <c r="W220" s="108"/>
      <c r="X220" s="108"/>
      <c r="Y220" s="108"/>
    </row>
    <row r="221" hidden="1">
      <c r="A221" s="244"/>
      <c r="B221" s="107" t="s">
        <v>1320</v>
      </c>
      <c r="C221" s="107" t="s">
        <v>1331</v>
      </c>
      <c r="D221" s="115" t="s">
        <v>1332</v>
      </c>
      <c r="E221" s="107" t="s">
        <v>1333</v>
      </c>
      <c r="F221" s="211">
        <v>45383.0</v>
      </c>
      <c r="G221" s="211">
        <v>45473.0</v>
      </c>
      <c r="H221" s="239"/>
      <c r="I221" s="108"/>
      <c r="J221" s="108"/>
      <c r="K221" s="108"/>
      <c r="L221" s="108"/>
      <c r="M221" s="108"/>
      <c r="N221" s="108"/>
      <c r="O221" s="108"/>
      <c r="P221" s="108"/>
      <c r="Q221" s="108"/>
      <c r="R221" s="108"/>
      <c r="S221" s="108"/>
      <c r="T221" s="108"/>
      <c r="U221" s="108"/>
      <c r="V221" s="108"/>
      <c r="W221" s="108"/>
      <c r="X221" s="108"/>
      <c r="Y221" s="108"/>
    </row>
    <row r="222" hidden="1">
      <c r="A222" s="244"/>
      <c r="B222" s="107" t="s">
        <v>1320</v>
      </c>
      <c r="C222" s="107" t="s">
        <v>1334</v>
      </c>
      <c r="D222" s="115" t="s">
        <v>1335</v>
      </c>
      <c r="E222" s="107" t="s">
        <v>1336</v>
      </c>
      <c r="F222" s="211">
        <v>45383.0</v>
      </c>
      <c r="G222" s="211" t="s">
        <v>1337</v>
      </c>
      <c r="H222" s="239"/>
      <c r="I222" s="108"/>
      <c r="J222" s="108"/>
      <c r="K222" s="108"/>
      <c r="L222" s="108"/>
      <c r="M222" s="108"/>
      <c r="N222" s="108"/>
      <c r="O222" s="108"/>
      <c r="P222" s="108"/>
      <c r="Q222" s="108"/>
      <c r="R222" s="108"/>
      <c r="S222" s="108"/>
      <c r="T222" s="108"/>
      <c r="U222" s="108"/>
      <c r="V222" s="108"/>
      <c r="W222" s="108"/>
      <c r="X222" s="108"/>
      <c r="Y222" s="108"/>
    </row>
    <row r="223" hidden="1">
      <c r="A223" s="244"/>
      <c r="B223" s="107" t="s">
        <v>1338</v>
      </c>
      <c r="C223" s="107" t="s">
        <v>1321</v>
      </c>
      <c r="D223" s="115" t="s">
        <v>1023</v>
      </c>
      <c r="E223" s="107" t="s">
        <v>1322</v>
      </c>
      <c r="F223" s="211">
        <v>45352.0</v>
      </c>
      <c r="G223" s="211">
        <v>45412.0</v>
      </c>
      <c r="H223" s="239"/>
      <c r="I223" s="108"/>
      <c r="J223" s="108"/>
      <c r="K223" s="108"/>
      <c r="L223" s="108"/>
      <c r="M223" s="108"/>
      <c r="N223" s="108"/>
      <c r="O223" s="108"/>
      <c r="P223" s="108"/>
      <c r="Q223" s="108"/>
      <c r="R223" s="108"/>
      <c r="S223" s="108"/>
      <c r="T223" s="108"/>
      <c r="U223" s="108"/>
      <c r="V223" s="108"/>
      <c r="W223" s="108"/>
      <c r="X223" s="108"/>
      <c r="Y223" s="108"/>
    </row>
    <row r="224" hidden="1">
      <c r="A224" s="244"/>
      <c r="B224" s="107" t="s">
        <v>1338</v>
      </c>
      <c r="C224" s="107" t="s">
        <v>1339</v>
      </c>
      <c r="D224" s="115" t="s">
        <v>1340</v>
      </c>
      <c r="E224" s="107" t="s">
        <v>1341</v>
      </c>
      <c r="F224" s="211">
        <v>45352.0</v>
      </c>
      <c r="G224" s="211">
        <v>45412.0</v>
      </c>
      <c r="H224" s="239"/>
      <c r="I224" s="108"/>
      <c r="J224" s="108"/>
      <c r="K224" s="108"/>
      <c r="L224" s="108"/>
      <c r="M224" s="108"/>
      <c r="N224" s="108"/>
      <c r="O224" s="108"/>
      <c r="P224" s="108"/>
      <c r="Q224" s="108"/>
      <c r="R224" s="108"/>
      <c r="S224" s="108"/>
      <c r="T224" s="108"/>
      <c r="U224" s="108"/>
      <c r="V224" s="108"/>
      <c r="W224" s="108"/>
      <c r="X224" s="108"/>
      <c r="Y224" s="108"/>
    </row>
    <row r="225" hidden="1">
      <c r="A225" s="244"/>
      <c r="B225" s="107" t="s">
        <v>1338</v>
      </c>
      <c r="C225" s="107" t="s">
        <v>1342</v>
      </c>
      <c r="D225" s="115" t="s">
        <v>1343</v>
      </c>
      <c r="E225" s="107" t="s">
        <v>1341</v>
      </c>
      <c r="F225" s="211">
        <v>45352.0</v>
      </c>
      <c r="G225" s="211" t="s">
        <v>1337</v>
      </c>
      <c r="H225" s="239"/>
      <c r="I225" s="108"/>
      <c r="J225" s="108"/>
      <c r="K225" s="108"/>
      <c r="L225" s="108"/>
      <c r="M225" s="108"/>
      <c r="N225" s="108"/>
      <c r="O225" s="108"/>
      <c r="P225" s="108"/>
      <c r="Q225" s="108"/>
      <c r="R225" s="108"/>
      <c r="S225" s="108"/>
      <c r="T225" s="108"/>
      <c r="U225" s="108"/>
      <c r="V225" s="108"/>
      <c r="W225" s="108"/>
      <c r="X225" s="108"/>
      <c r="Y225" s="108"/>
    </row>
    <row r="226" hidden="1">
      <c r="A226" s="244"/>
      <c r="B226" s="107" t="s">
        <v>1338</v>
      </c>
      <c r="C226" s="107" t="s">
        <v>1328</v>
      </c>
      <c r="D226" s="115" t="s">
        <v>1329</v>
      </c>
      <c r="E226" s="107" t="s">
        <v>1330</v>
      </c>
      <c r="F226" s="211">
        <v>45352.0</v>
      </c>
      <c r="G226" s="211">
        <v>45381.0</v>
      </c>
      <c r="H226" s="239"/>
      <c r="I226" s="108"/>
      <c r="J226" s="108"/>
      <c r="K226" s="108"/>
      <c r="L226" s="108"/>
      <c r="M226" s="108"/>
      <c r="N226" s="108"/>
      <c r="O226" s="108"/>
      <c r="P226" s="108"/>
      <c r="Q226" s="108"/>
      <c r="R226" s="108"/>
      <c r="S226" s="108"/>
      <c r="T226" s="108"/>
      <c r="U226" s="108"/>
      <c r="V226" s="108"/>
      <c r="W226" s="108"/>
      <c r="X226" s="108"/>
      <c r="Y226" s="108"/>
    </row>
    <row r="227" hidden="1">
      <c r="A227" s="244"/>
      <c r="B227" s="107" t="s">
        <v>1344</v>
      </c>
      <c r="C227" s="107" t="s">
        <v>890</v>
      </c>
      <c r="D227" s="115" t="s">
        <v>891</v>
      </c>
      <c r="E227" s="107" t="s">
        <v>892</v>
      </c>
      <c r="F227" s="211">
        <v>44937.0</v>
      </c>
      <c r="G227" s="211">
        <v>45504.0</v>
      </c>
      <c r="H227" s="239"/>
      <c r="I227" s="108"/>
      <c r="J227" s="108"/>
      <c r="K227" s="108"/>
      <c r="L227" s="108"/>
      <c r="M227" s="108"/>
      <c r="N227" s="108"/>
      <c r="O227" s="108"/>
      <c r="P227" s="108"/>
      <c r="Q227" s="108"/>
      <c r="R227" s="108"/>
      <c r="S227" s="108"/>
      <c r="T227" s="108"/>
      <c r="U227" s="108"/>
      <c r="V227" s="108"/>
      <c r="W227" s="108"/>
      <c r="X227" s="108"/>
      <c r="Y227" s="108"/>
    </row>
    <row r="228" hidden="1">
      <c r="A228" s="244"/>
      <c r="B228" s="107" t="s">
        <v>1338</v>
      </c>
      <c r="C228" s="107" t="s">
        <v>1345</v>
      </c>
      <c r="D228" s="115" t="s">
        <v>1346</v>
      </c>
      <c r="E228" s="107" t="s">
        <v>1347</v>
      </c>
      <c r="F228" s="211">
        <v>45352.0</v>
      </c>
      <c r="G228" s="205">
        <v>45432.0</v>
      </c>
      <c r="H228" s="115"/>
      <c r="I228" s="108"/>
      <c r="J228" s="108"/>
      <c r="K228" s="108"/>
      <c r="L228" s="108"/>
      <c r="M228" s="108"/>
      <c r="N228" s="108"/>
      <c r="O228" s="108"/>
      <c r="P228" s="108"/>
      <c r="Q228" s="108"/>
      <c r="R228" s="108"/>
      <c r="S228" s="108"/>
      <c r="T228" s="108"/>
      <c r="U228" s="108"/>
      <c r="V228" s="108"/>
      <c r="W228" s="108"/>
      <c r="X228" s="108"/>
      <c r="Y228" s="108"/>
    </row>
    <row r="229" hidden="1">
      <c r="A229" s="244"/>
      <c r="B229" s="107"/>
      <c r="C229" s="107" t="s">
        <v>1348</v>
      </c>
      <c r="D229" s="115"/>
      <c r="E229" s="107"/>
      <c r="F229" s="205">
        <v>45432.0</v>
      </c>
      <c r="G229" s="205">
        <v>45432.0</v>
      </c>
      <c r="H229" s="239"/>
      <c r="I229" s="108"/>
      <c r="J229" s="108"/>
      <c r="K229" s="108"/>
      <c r="L229" s="108"/>
      <c r="M229" s="108"/>
      <c r="N229" s="108"/>
      <c r="O229" s="108"/>
      <c r="P229" s="108"/>
      <c r="Q229" s="108"/>
      <c r="R229" s="108"/>
      <c r="S229" s="108"/>
      <c r="T229" s="108"/>
      <c r="U229" s="108"/>
      <c r="V229" s="108"/>
      <c r="W229" s="108"/>
      <c r="X229" s="108"/>
      <c r="Y229" s="108"/>
    </row>
    <row r="230" hidden="1">
      <c r="A230" s="244"/>
      <c r="B230" s="107" t="s">
        <v>1320</v>
      </c>
      <c r="C230" s="107" t="s">
        <v>1321</v>
      </c>
      <c r="D230" s="115" t="s">
        <v>1023</v>
      </c>
      <c r="E230" s="107" t="s">
        <v>1322</v>
      </c>
      <c r="F230" s="211">
        <v>45200.0</v>
      </c>
      <c r="G230" s="211">
        <v>45231.0</v>
      </c>
      <c r="H230" s="239"/>
      <c r="I230" s="108"/>
      <c r="J230" s="108"/>
      <c r="K230" s="108"/>
      <c r="L230" s="108"/>
      <c r="M230" s="108"/>
      <c r="N230" s="108"/>
      <c r="O230" s="108"/>
      <c r="P230" s="108"/>
      <c r="Q230" s="108"/>
      <c r="R230" s="108"/>
      <c r="S230" s="108"/>
      <c r="T230" s="108"/>
      <c r="U230" s="108"/>
      <c r="V230" s="108"/>
      <c r="W230" s="108"/>
      <c r="X230" s="108"/>
      <c r="Y230" s="108"/>
    </row>
    <row r="231" hidden="1">
      <c r="A231" s="244"/>
      <c r="B231" s="107" t="s">
        <v>1320</v>
      </c>
      <c r="C231" s="107" t="s">
        <v>1323</v>
      </c>
      <c r="D231" s="115" t="s">
        <v>1324</v>
      </c>
      <c r="E231" s="107" t="s">
        <v>1325</v>
      </c>
      <c r="F231" s="211">
        <v>45200.0</v>
      </c>
      <c r="G231" s="211">
        <v>45366.0</v>
      </c>
      <c r="H231" s="239"/>
      <c r="I231" s="108"/>
      <c r="J231" s="108"/>
      <c r="K231" s="108"/>
      <c r="L231" s="108"/>
      <c r="M231" s="108"/>
      <c r="N231" s="108"/>
      <c r="O231" s="108"/>
      <c r="P231" s="108"/>
      <c r="Q231" s="108"/>
      <c r="R231" s="108"/>
      <c r="S231" s="108"/>
      <c r="T231" s="108"/>
      <c r="U231" s="108"/>
      <c r="V231" s="108"/>
      <c r="W231" s="108"/>
      <c r="X231" s="108"/>
      <c r="Y231" s="108"/>
    </row>
    <row r="232" hidden="1">
      <c r="A232" s="244"/>
      <c r="B232" s="107" t="s">
        <v>1320</v>
      </c>
      <c r="C232" s="107" t="s">
        <v>1015</v>
      </c>
      <c r="D232" s="115" t="s">
        <v>1326</v>
      </c>
      <c r="E232" s="107" t="s">
        <v>1327</v>
      </c>
      <c r="F232" s="211">
        <v>45323.0</v>
      </c>
      <c r="G232" s="211">
        <v>45381.0</v>
      </c>
      <c r="H232" s="239"/>
      <c r="I232" s="108"/>
      <c r="J232" s="108"/>
      <c r="K232" s="108"/>
      <c r="L232" s="108"/>
      <c r="M232" s="108"/>
      <c r="N232" s="108"/>
      <c r="O232" s="108"/>
      <c r="P232" s="108"/>
      <c r="Q232" s="108"/>
      <c r="R232" s="108"/>
      <c r="S232" s="108"/>
      <c r="T232" s="108"/>
      <c r="U232" s="108"/>
      <c r="V232" s="108"/>
      <c r="W232" s="108"/>
      <c r="X232" s="108"/>
      <c r="Y232" s="108"/>
    </row>
    <row r="233" hidden="1">
      <c r="A233" s="244"/>
      <c r="B233" s="107" t="s">
        <v>1320</v>
      </c>
      <c r="C233" s="107" t="s">
        <v>1328</v>
      </c>
      <c r="D233" s="115" t="s">
        <v>1329</v>
      </c>
      <c r="E233" s="107" t="s">
        <v>1330</v>
      </c>
      <c r="F233" s="211">
        <v>45352.0</v>
      </c>
      <c r="G233" s="211">
        <v>45381.0</v>
      </c>
      <c r="H233" s="239"/>
      <c r="I233" s="108"/>
      <c r="J233" s="108"/>
      <c r="K233" s="108"/>
      <c r="L233" s="108"/>
      <c r="M233" s="108"/>
      <c r="N233" s="108"/>
      <c r="O233" s="108"/>
      <c r="P233" s="108"/>
      <c r="Q233" s="108"/>
      <c r="R233" s="108"/>
      <c r="S233" s="108"/>
      <c r="T233" s="108"/>
      <c r="U233" s="108"/>
      <c r="V233" s="108"/>
      <c r="W233" s="108"/>
      <c r="X233" s="108"/>
      <c r="Y233" s="108"/>
    </row>
    <row r="234" hidden="1">
      <c r="A234" s="244"/>
      <c r="B234" s="107" t="s">
        <v>1320</v>
      </c>
      <c r="C234" s="107" t="s">
        <v>1331</v>
      </c>
      <c r="D234" s="115" t="s">
        <v>1332</v>
      </c>
      <c r="E234" s="107" t="s">
        <v>1333</v>
      </c>
      <c r="F234" s="211">
        <v>45383.0</v>
      </c>
      <c r="G234" s="211">
        <v>45473.0</v>
      </c>
      <c r="H234" s="239"/>
      <c r="I234" s="108"/>
      <c r="J234" s="108"/>
      <c r="K234" s="108"/>
      <c r="L234" s="108"/>
      <c r="M234" s="108"/>
      <c r="N234" s="108"/>
      <c r="O234" s="108"/>
      <c r="P234" s="108"/>
      <c r="Q234" s="108"/>
      <c r="R234" s="108"/>
      <c r="S234" s="108"/>
      <c r="T234" s="108"/>
      <c r="U234" s="108"/>
      <c r="V234" s="108"/>
      <c r="W234" s="108"/>
      <c r="X234" s="108"/>
      <c r="Y234" s="108"/>
    </row>
    <row r="235" hidden="1">
      <c r="A235" s="244"/>
      <c r="B235" s="107" t="s">
        <v>1320</v>
      </c>
      <c r="C235" s="107" t="s">
        <v>1334</v>
      </c>
      <c r="D235" s="115" t="s">
        <v>1335</v>
      </c>
      <c r="E235" s="107" t="s">
        <v>1336</v>
      </c>
      <c r="F235" s="211">
        <v>45383.0</v>
      </c>
      <c r="G235" s="211" t="s">
        <v>1337</v>
      </c>
      <c r="H235" s="239"/>
      <c r="I235" s="108"/>
      <c r="J235" s="108"/>
      <c r="K235" s="108"/>
      <c r="L235" s="108"/>
      <c r="M235" s="108"/>
      <c r="N235" s="108"/>
      <c r="O235" s="108"/>
      <c r="P235" s="108"/>
      <c r="Q235" s="108"/>
      <c r="R235" s="108"/>
      <c r="S235" s="108"/>
      <c r="T235" s="108"/>
      <c r="U235" s="108"/>
      <c r="V235" s="108"/>
      <c r="W235" s="108"/>
      <c r="X235" s="108"/>
      <c r="Y235" s="108"/>
    </row>
    <row r="236" hidden="1">
      <c r="A236" s="244"/>
      <c r="B236" s="107" t="s">
        <v>1338</v>
      </c>
      <c r="C236" s="107" t="s">
        <v>1321</v>
      </c>
      <c r="D236" s="115" t="s">
        <v>1023</v>
      </c>
      <c r="E236" s="107" t="s">
        <v>1322</v>
      </c>
      <c r="F236" s="211">
        <v>45352.0</v>
      </c>
      <c r="G236" s="211">
        <v>45412.0</v>
      </c>
      <c r="H236" s="239"/>
      <c r="I236" s="108"/>
      <c r="J236" s="108"/>
      <c r="K236" s="108"/>
      <c r="L236" s="108"/>
      <c r="M236" s="108"/>
      <c r="N236" s="108"/>
      <c r="O236" s="108"/>
      <c r="P236" s="108"/>
      <c r="Q236" s="108"/>
      <c r="R236" s="108"/>
      <c r="S236" s="108"/>
      <c r="T236" s="108"/>
      <c r="U236" s="108"/>
      <c r="V236" s="108"/>
      <c r="W236" s="108"/>
      <c r="X236" s="108"/>
      <c r="Y236" s="108"/>
    </row>
    <row r="237" hidden="1">
      <c r="A237" s="244"/>
      <c r="B237" s="107" t="s">
        <v>1338</v>
      </c>
      <c r="C237" s="107" t="s">
        <v>1339</v>
      </c>
      <c r="D237" s="115" t="s">
        <v>1340</v>
      </c>
      <c r="E237" s="107" t="s">
        <v>1341</v>
      </c>
      <c r="F237" s="211">
        <v>45352.0</v>
      </c>
      <c r="G237" s="211">
        <v>45412.0</v>
      </c>
      <c r="H237" s="239"/>
      <c r="I237" s="108"/>
      <c r="J237" s="108"/>
      <c r="K237" s="108"/>
      <c r="L237" s="108"/>
      <c r="M237" s="108"/>
      <c r="N237" s="108"/>
      <c r="O237" s="108"/>
      <c r="P237" s="108"/>
      <c r="Q237" s="108"/>
      <c r="R237" s="108"/>
      <c r="S237" s="108"/>
      <c r="T237" s="108"/>
      <c r="U237" s="108"/>
      <c r="V237" s="108"/>
      <c r="W237" s="108"/>
      <c r="X237" s="108"/>
      <c r="Y237" s="108"/>
    </row>
    <row r="238" hidden="1">
      <c r="A238" s="244"/>
      <c r="B238" s="107" t="s">
        <v>1338</v>
      </c>
      <c r="C238" s="107" t="s">
        <v>1342</v>
      </c>
      <c r="D238" s="115" t="s">
        <v>1343</v>
      </c>
      <c r="E238" s="107" t="s">
        <v>1341</v>
      </c>
      <c r="F238" s="211">
        <v>45352.0</v>
      </c>
      <c r="G238" s="211" t="s">
        <v>1337</v>
      </c>
      <c r="H238" s="239"/>
      <c r="I238" s="108"/>
      <c r="J238" s="108"/>
      <c r="K238" s="108"/>
      <c r="L238" s="108"/>
      <c r="M238" s="108"/>
      <c r="N238" s="108"/>
      <c r="O238" s="108"/>
      <c r="P238" s="108"/>
      <c r="Q238" s="108"/>
      <c r="R238" s="108"/>
      <c r="S238" s="108"/>
      <c r="T238" s="108"/>
      <c r="U238" s="108"/>
      <c r="V238" s="108"/>
      <c r="W238" s="108"/>
      <c r="X238" s="108"/>
      <c r="Y238" s="108"/>
    </row>
    <row r="239" hidden="1">
      <c r="A239" s="244"/>
      <c r="B239" s="107" t="s">
        <v>1338</v>
      </c>
      <c r="C239" s="107" t="s">
        <v>1328</v>
      </c>
      <c r="D239" s="115" t="s">
        <v>1329</v>
      </c>
      <c r="E239" s="107" t="s">
        <v>1330</v>
      </c>
      <c r="F239" s="211">
        <v>45352.0</v>
      </c>
      <c r="G239" s="211">
        <v>45381.0</v>
      </c>
      <c r="H239" s="239"/>
      <c r="I239" s="108"/>
      <c r="J239" s="108"/>
      <c r="K239" s="108"/>
      <c r="L239" s="108"/>
      <c r="M239" s="108"/>
      <c r="N239" s="108"/>
      <c r="O239" s="108"/>
      <c r="P239" s="108"/>
      <c r="Q239" s="108"/>
      <c r="R239" s="108"/>
      <c r="S239" s="108"/>
      <c r="T239" s="108"/>
      <c r="U239" s="108"/>
      <c r="V239" s="108"/>
      <c r="W239" s="108"/>
      <c r="X239" s="108"/>
      <c r="Y239" s="108"/>
    </row>
    <row r="240" hidden="1">
      <c r="A240" s="244"/>
      <c r="B240" s="107" t="s">
        <v>1349</v>
      </c>
      <c r="C240" s="107" t="s">
        <v>1350</v>
      </c>
      <c r="D240" s="115" t="s">
        <v>1351</v>
      </c>
      <c r="E240" s="107" t="s">
        <v>1352</v>
      </c>
      <c r="F240" s="211">
        <v>43344.0</v>
      </c>
      <c r="G240" s="211">
        <v>44348.0</v>
      </c>
      <c r="H240" s="239"/>
      <c r="I240" s="108"/>
      <c r="J240" s="108"/>
      <c r="K240" s="108"/>
      <c r="L240" s="108"/>
      <c r="M240" s="108"/>
      <c r="N240" s="108"/>
      <c r="O240" s="108"/>
      <c r="P240" s="108"/>
      <c r="Q240" s="108"/>
      <c r="R240" s="108"/>
      <c r="S240" s="108"/>
      <c r="T240" s="108"/>
      <c r="U240" s="108"/>
      <c r="V240" s="108"/>
      <c r="W240" s="108"/>
      <c r="X240" s="108"/>
      <c r="Y240" s="108"/>
    </row>
    <row r="241" hidden="1">
      <c r="A241" s="244"/>
      <c r="B241" s="107" t="s">
        <v>1349</v>
      </c>
      <c r="C241" s="107" t="s">
        <v>1353</v>
      </c>
      <c r="D241" s="115" t="s">
        <v>1354</v>
      </c>
      <c r="E241" s="107" t="s">
        <v>1355</v>
      </c>
      <c r="F241" s="211">
        <v>44197.0</v>
      </c>
      <c r="G241" s="211">
        <v>44621.0</v>
      </c>
      <c r="H241" s="239"/>
      <c r="I241" s="108"/>
      <c r="J241" s="108"/>
      <c r="K241" s="108"/>
      <c r="L241" s="108"/>
      <c r="M241" s="108"/>
      <c r="N241" s="108"/>
      <c r="O241" s="108"/>
      <c r="P241" s="108"/>
      <c r="Q241" s="108"/>
      <c r="R241" s="108"/>
      <c r="S241" s="108"/>
      <c r="T241" s="108"/>
      <c r="U241" s="108"/>
      <c r="V241" s="108"/>
      <c r="W241" s="108"/>
      <c r="X241" s="108"/>
      <c r="Y241" s="108"/>
    </row>
    <row r="242" hidden="1">
      <c r="A242" s="244"/>
      <c r="B242" s="107" t="s">
        <v>1349</v>
      </c>
      <c r="C242" s="107" t="s">
        <v>1356</v>
      </c>
      <c r="D242" s="115" t="s">
        <v>1357</v>
      </c>
      <c r="E242" s="107" t="s">
        <v>1358</v>
      </c>
      <c r="F242" s="211">
        <v>44652.0</v>
      </c>
      <c r="G242" s="211">
        <v>44713.0</v>
      </c>
      <c r="H242" s="239"/>
      <c r="I242" s="108"/>
      <c r="J242" s="108"/>
      <c r="K242" s="108"/>
      <c r="L242" s="108"/>
      <c r="M242" s="108"/>
      <c r="N242" s="108"/>
      <c r="O242" s="108"/>
      <c r="P242" s="108"/>
      <c r="Q242" s="108"/>
      <c r="R242" s="108"/>
      <c r="S242" s="108"/>
      <c r="T242" s="108"/>
      <c r="U242" s="108"/>
      <c r="V242" s="108"/>
      <c r="W242" s="108"/>
      <c r="X242" s="108"/>
      <c r="Y242" s="108"/>
    </row>
    <row r="243" hidden="1">
      <c r="A243" s="244"/>
      <c r="B243" s="107" t="s">
        <v>1349</v>
      </c>
      <c r="C243" s="107" t="s">
        <v>1359</v>
      </c>
      <c r="D243" s="115" t="s">
        <v>1360</v>
      </c>
      <c r="E243" s="107" t="s">
        <v>1361</v>
      </c>
      <c r="F243" s="211">
        <v>44713.0</v>
      </c>
      <c r="G243" s="211">
        <v>44743.0</v>
      </c>
      <c r="H243" s="239"/>
      <c r="I243" s="108"/>
      <c r="J243" s="108"/>
      <c r="K243" s="108"/>
      <c r="L243" s="108"/>
      <c r="M243" s="108"/>
      <c r="N243" s="108"/>
      <c r="O243" s="108"/>
      <c r="P243" s="108"/>
      <c r="Q243" s="108"/>
      <c r="R243" s="108"/>
      <c r="S243" s="108"/>
      <c r="T243" s="108"/>
      <c r="U243" s="108"/>
      <c r="V243" s="108"/>
      <c r="W243" s="108"/>
      <c r="X243" s="108"/>
      <c r="Y243" s="108"/>
    </row>
    <row r="244" hidden="1">
      <c r="A244" s="244"/>
      <c r="B244" s="107" t="s">
        <v>1349</v>
      </c>
      <c r="C244" s="107" t="s">
        <v>1362</v>
      </c>
      <c r="D244" s="115" t="s">
        <v>1363</v>
      </c>
      <c r="E244" s="107" t="s">
        <v>1364</v>
      </c>
      <c r="F244" s="211">
        <v>44652.0</v>
      </c>
      <c r="G244" s="211">
        <v>44713.0</v>
      </c>
      <c r="H244" s="239"/>
      <c r="I244" s="108"/>
      <c r="J244" s="108"/>
      <c r="K244" s="108"/>
      <c r="L244" s="108"/>
      <c r="M244" s="108"/>
      <c r="N244" s="108"/>
      <c r="O244" s="108"/>
      <c r="P244" s="108"/>
      <c r="Q244" s="108"/>
      <c r="R244" s="108"/>
      <c r="S244" s="108"/>
      <c r="T244" s="108"/>
      <c r="U244" s="108"/>
      <c r="V244" s="108"/>
      <c r="W244" s="108"/>
      <c r="X244" s="108"/>
      <c r="Y244" s="108"/>
    </row>
    <row r="245" hidden="1">
      <c r="A245" s="244"/>
      <c r="B245" s="107" t="s">
        <v>1349</v>
      </c>
      <c r="C245" s="107" t="s">
        <v>1362</v>
      </c>
      <c r="D245" s="115" t="s">
        <v>1365</v>
      </c>
      <c r="E245" s="107" t="s">
        <v>1366</v>
      </c>
      <c r="F245" s="211">
        <v>44835.0</v>
      </c>
      <c r="G245" s="211">
        <v>45017.0</v>
      </c>
      <c r="H245" s="239"/>
      <c r="I245" s="108"/>
      <c r="J245" s="108"/>
      <c r="K245" s="108"/>
      <c r="L245" s="108"/>
      <c r="M245" s="108"/>
      <c r="N245" s="108"/>
      <c r="O245" s="108"/>
      <c r="P245" s="108"/>
      <c r="Q245" s="108"/>
      <c r="R245" s="108"/>
      <c r="S245" s="108"/>
      <c r="T245" s="108"/>
      <c r="U245" s="108"/>
      <c r="V245" s="108"/>
      <c r="W245" s="108"/>
      <c r="X245" s="108"/>
      <c r="Y245" s="108"/>
    </row>
    <row r="246" hidden="1">
      <c r="A246" s="244"/>
      <c r="B246" s="107" t="s">
        <v>1349</v>
      </c>
      <c r="C246" s="107" t="s">
        <v>1367</v>
      </c>
      <c r="D246" s="115" t="s">
        <v>1368</v>
      </c>
      <c r="E246" s="107" t="s">
        <v>1369</v>
      </c>
      <c r="F246" s="211">
        <v>45374.0</v>
      </c>
      <c r="G246" s="211">
        <v>45405.0</v>
      </c>
      <c r="H246" s="239"/>
      <c r="I246" s="108"/>
      <c r="J246" s="108"/>
      <c r="K246" s="108"/>
      <c r="L246" s="108"/>
      <c r="M246" s="108"/>
      <c r="N246" s="108"/>
      <c r="O246" s="108"/>
      <c r="P246" s="108"/>
      <c r="Q246" s="108"/>
      <c r="R246" s="108"/>
      <c r="S246" s="108"/>
      <c r="T246" s="108"/>
      <c r="U246" s="108"/>
      <c r="V246" s="108"/>
      <c r="W246" s="108"/>
      <c r="X246" s="108"/>
      <c r="Y246" s="108"/>
    </row>
    <row r="247" hidden="1">
      <c r="A247" s="244"/>
      <c r="B247" s="107" t="s">
        <v>1370</v>
      </c>
      <c r="C247" s="107" t="s">
        <v>1371</v>
      </c>
      <c r="D247" s="115" t="s">
        <v>1372</v>
      </c>
      <c r="E247" s="107" t="s">
        <v>1373</v>
      </c>
      <c r="F247" s="211">
        <v>44930.0</v>
      </c>
      <c r="G247" s="211" t="s">
        <v>843</v>
      </c>
      <c r="H247" s="239"/>
      <c r="I247" s="108"/>
      <c r="J247" s="108"/>
      <c r="K247" s="108"/>
      <c r="L247" s="108"/>
      <c r="M247" s="108"/>
      <c r="N247" s="108"/>
      <c r="O247" s="108"/>
      <c r="P247" s="108"/>
      <c r="Q247" s="108"/>
      <c r="R247" s="108"/>
      <c r="S247" s="108"/>
      <c r="T247" s="108"/>
      <c r="U247" s="108"/>
      <c r="V247" s="108"/>
      <c r="W247" s="108"/>
      <c r="X247" s="108"/>
      <c r="Y247" s="108"/>
    </row>
    <row r="248" hidden="1">
      <c r="A248" s="244"/>
      <c r="B248" s="107" t="s">
        <v>1370</v>
      </c>
      <c r="C248" s="107" t="s">
        <v>1371</v>
      </c>
      <c r="D248" s="115" t="s">
        <v>1372</v>
      </c>
      <c r="E248" s="107" t="s">
        <v>1373</v>
      </c>
      <c r="F248" s="211">
        <v>45017.0</v>
      </c>
      <c r="G248" s="208" t="s">
        <v>843</v>
      </c>
      <c r="H248" s="239"/>
      <c r="I248" s="108"/>
      <c r="J248" s="108"/>
      <c r="K248" s="108"/>
      <c r="L248" s="108"/>
      <c r="M248" s="108"/>
      <c r="N248" s="108"/>
      <c r="O248" s="108"/>
      <c r="P248" s="108"/>
      <c r="Q248" s="108"/>
      <c r="R248" s="108"/>
      <c r="S248" s="108"/>
      <c r="T248" s="108"/>
      <c r="U248" s="108"/>
      <c r="V248" s="108"/>
      <c r="W248" s="108"/>
      <c r="X248" s="108"/>
      <c r="Y248" s="108"/>
    </row>
    <row r="249" hidden="1">
      <c r="A249" s="244"/>
      <c r="B249" s="107" t="s">
        <v>1349</v>
      </c>
      <c r="C249" s="107" t="s">
        <v>1374</v>
      </c>
      <c r="D249" s="115" t="s">
        <v>1375</v>
      </c>
      <c r="E249" s="107" t="s">
        <v>1376</v>
      </c>
      <c r="F249" s="211">
        <v>45075.0</v>
      </c>
      <c r="G249" s="211">
        <v>45079.0</v>
      </c>
      <c r="H249" s="239"/>
      <c r="I249" s="108"/>
      <c r="J249" s="108"/>
      <c r="K249" s="108"/>
      <c r="L249" s="108"/>
      <c r="M249" s="108"/>
      <c r="N249" s="108"/>
      <c r="O249" s="108"/>
      <c r="P249" s="108"/>
      <c r="Q249" s="108"/>
      <c r="R249" s="108"/>
      <c r="S249" s="108"/>
      <c r="T249" s="108"/>
      <c r="U249" s="108"/>
      <c r="V249" s="108"/>
      <c r="W249" s="108"/>
      <c r="X249" s="108"/>
      <c r="Y249" s="108"/>
    </row>
    <row r="250" hidden="1">
      <c r="A250" s="244"/>
      <c r="B250" s="107" t="s">
        <v>1349</v>
      </c>
      <c r="C250" s="107" t="s">
        <v>1362</v>
      </c>
      <c r="D250" s="115" t="s">
        <v>1377</v>
      </c>
      <c r="E250" s="107" t="s">
        <v>1378</v>
      </c>
      <c r="F250" s="211">
        <v>45079.0</v>
      </c>
      <c r="G250" s="211">
        <v>45108.0</v>
      </c>
      <c r="H250" s="115" t="s">
        <v>1379</v>
      </c>
      <c r="I250" s="108"/>
      <c r="J250" s="108"/>
      <c r="K250" s="108"/>
      <c r="L250" s="108"/>
      <c r="M250" s="108"/>
      <c r="N250" s="108"/>
      <c r="O250" s="108"/>
      <c r="P250" s="108"/>
      <c r="Q250" s="108"/>
      <c r="R250" s="108"/>
      <c r="S250" s="108"/>
      <c r="T250" s="108"/>
      <c r="U250" s="108"/>
      <c r="V250" s="108"/>
      <c r="W250" s="108"/>
      <c r="X250" s="108"/>
      <c r="Y250" s="108"/>
    </row>
    <row r="251" hidden="1">
      <c r="A251" s="244"/>
      <c r="B251" s="107" t="s">
        <v>1349</v>
      </c>
      <c r="C251" s="107" t="s">
        <v>1362</v>
      </c>
      <c r="D251" s="115" t="s">
        <v>1377</v>
      </c>
      <c r="E251" s="107" t="s">
        <v>1380</v>
      </c>
      <c r="F251" s="211">
        <v>45108.0</v>
      </c>
      <c r="G251" s="211">
        <v>45231.0</v>
      </c>
      <c r="H251" s="239"/>
      <c r="I251" s="108"/>
      <c r="J251" s="108"/>
      <c r="K251" s="108"/>
      <c r="L251" s="108"/>
      <c r="M251" s="108"/>
      <c r="N251" s="108"/>
      <c r="O251" s="108"/>
      <c r="P251" s="108"/>
      <c r="Q251" s="108"/>
      <c r="R251" s="108"/>
      <c r="S251" s="108"/>
      <c r="T251" s="108"/>
      <c r="U251" s="108"/>
      <c r="V251" s="108"/>
      <c r="W251" s="108"/>
      <c r="X251" s="108"/>
      <c r="Y251" s="108"/>
    </row>
    <row r="252" hidden="1">
      <c r="A252" s="244"/>
      <c r="B252" s="107" t="s">
        <v>871</v>
      </c>
      <c r="C252" s="107" t="s">
        <v>882</v>
      </c>
      <c r="D252" s="115" t="s">
        <v>886</v>
      </c>
      <c r="E252" s="107" t="s">
        <v>887</v>
      </c>
      <c r="F252" s="211">
        <v>45292.0</v>
      </c>
      <c r="G252" s="211" t="s">
        <v>843</v>
      </c>
      <c r="H252" s="115" t="s">
        <v>1381</v>
      </c>
      <c r="I252" s="108"/>
      <c r="J252" s="108"/>
      <c r="K252" s="108"/>
      <c r="L252" s="108"/>
      <c r="M252" s="108"/>
      <c r="N252" s="108"/>
      <c r="O252" s="108"/>
      <c r="P252" s="108"/>
      <c r="Q252" s="108"/>
      <c r="R252" s="108"/>
      <c r="S252" s="108"/>
      <c r="T252" s="108"/>
      <c r="U252" s="108"/>
      <c r="V252" s="108"/>
      <c r="W252" s="108"/>
      <c r="X252" s="108"/>
      <c r="Y252" s="108"/>
    </row>
    <row r="253" hidden="1">
      <c r="A253" s="244"/>
      <c r="B253" s="107" t="s">
        <v>1021</v>
      </c>
      <c r="C253" s="107" t="s">
        <v>1025</v>
      </c>
      <c r="D253" s="115" t="s">
        <v>1026</v>
      </c>
      <c r="E253" s="107" t="s">
        <v>1382</v>
      </c>
      <c r="F253" s="211">
        <v>45458.0</v>
      </c>
      <c r="G253" s="211">
        <v>45504.0</v>
      </c>
      <c r="H253" s="239"/>
      <c r="I253" s="108"/>
      <c r="J253" s="108"/>
      <c r="K253" s="108"/>
      <c r="L253" s="108"/>
      <c r="M253" s="108"/>
      <c r="N253" s="108"/>
      <c r="O253" s="108"/>
      <c r="P253" s="108"/>
      <c r="Q253" s="108"/>
      <c r="R253" s="108"/>
      <c r="S253" s="108"/>
      <c r="T253" s="108"/>
      <c r="U253" s="108"/>
      <c r="V253" s="108"/>
      <c r="W253" s="108"/>
      <c r="X253" s="108"/>
      <c r="Y253" s="108"/>
    </row>
    <row r="254" hidden="1">
      <c r="A254" s="244"/>
      <c r="B254" s="107" t="s">
        <v>926</v>
      </c>
      <c r="C254" s="107" t="s">
        <v>1383</v>
      </c>
      <c r="D254" s="115" t="s">
        <v>1384</v>
      </c>
      <c r="E254" s="107"/>
      <c r="F254" s="211"/>
      <c r="G254" s="211"/>
      <c r="H254" s="239"/>
      <c r="I254" s="108"/>
      <c r="J254" s="108"/>
      <c r="K254" s="108"/>
      <c r="L254" s="108"/>
      <c r="M254" s="108"/>
      <c r="N254" s="108"/>
      <c r="O254" s="108"/>
      <c r="P254" s="108"/>
      <c r="Q254" s="108"/>
      <c r="R254" s="108"/>
      <c r="S254" s="108"/>
      <c r="T254" s="108"/>
      <c r="U254" s="108"/>
      <c r="V254" s="108"/>
      <c r="W254" s="108"/>
      <c r="X254" s="108"/>
      <c r="Y254" s="108"/>
    </row>
    <row r="255" hidden="1">
      <c r="A255" s="244"/>
      <c r="B255" s="107" t="s">
        <v>926</v>
      </c>
      <c r="C255" s="107" t="s">
        <v>1385</v>
      </c>
      <c r="D255" s="115" t="s">
        <v>1386</v>
      </c>
      <c r="E255" s="107"/>
      <c r="F255" s="211"/>
      <c r="G255" s="211"/>
      <c r="H255" s="239"/>
      <c r="I255" s="108"/>
      <c r="J255" s="108"/>
      <c r="K255" s="108"/>
      <c r="L255" s="108"/>
      <c r="M255" s="108"/>
      <c r="N255" s="108"/>
      <c r="O255" s="108"/>
      <c r="P255" s="108"/>
      <c r="Q255" s="108"/>
      <c r="R255" s="108"/>
      <c r="S255" s="108"/>
      <c r="T255" s="108"/>
      <c r="U255" s="108"/>
      <c r="V255" s="108"/>
      <c r="W255" s="108"/>
      <c r="X255" s="108"/>
      <c r="Y255" s="108"/>
    </row>
    <row r="256" hidden="1">
      <c r="A256" s="244"/>
      <c r="B256" s="250" t="s">
        <v>1387</v>
      </c>
      <c r="C256" s="250" t="s">
        <v>1388</v>
      </c>
      <c r="D256" s="251" t="s">
        <v>1389</v>
      </c>
      <c r="E256" s="250" t="s">
        <v>1390</v>
      </c>
      <c r="F256" s="252">
        <v>45078.0</v>
      </c>
      <c r="G256" s="252">
        <v>45138.0</v>
      </c>
      <c r="H256" s="251" t="s">
        <v>1391</v>
      </c>
      <c r="I256" s="108"/>
      <c r="J256" s="108"/>
      <c r="K256" s="108"/>
      <c r="L256" s="108"/>
      <c r="M256" s="108"/>
      <c r="N256" s="108"/>
      <c r="O256" s="108"/>
      <c r="P256" s="108"/>
      <c r="Q256" s="108"/>
      <c r="R256" s="108"/>
      <c r="S256" s="108"/>
      <c r="T256" s="108"/>
      <c r="U256" s="108"/>
      <c r="V256" s="108"/>
      <c r="W256" s="108"/>
      <c r="X256" s="108"/>
      <c r="Y256" s="108"/>
    </row>
    <row r="257" hidden="1">
      <c r="A257" s="244"/>
      <c r="B257" s="250" t="s">
        <v>1387</v>
      </c>
      <c r="C257" s="250" t="s">
        <v>1392</v>
      </c>
      <c r="D257" s="251" t="s">
        <v>1393</v>
      </c>
      <c r="E257" s="250" t="s">
        <v>1005</v>
      </c>
      <c r="F257" s="252">
        <v>45228.0</v>
      </c>
      <c r="G257" s="252">
        <v>45230.0</v>
      </c>
      <c r="H257" s="253"/>
      <c r="I257" s="108"/>
      <c r="J257" s="108"/>
      <c r="K257" s="108"/>
      <c r="L257" s="108"/>
      <c r="M257" s="108"/>
      <c r="N257" s="108"/>
      <c r="O257" s="108"/>
      <c r="P257" s="108"/>
      <c r="Q257" s="108"/>
      <c r="R257" s="108"/>
      <c r="S257" s="108"/>
      <c r="T257" s="108"/>
      <c r="U257" s="108"/>
      <c r="V257" s="108"/>
      <c r="W257" s="108"/>
      <c r="X257" s="108"/>
      <c r="Y257" s="108"/>
    </row>
    <row r="258" hidden="1">
      <c r="A258" s="244"/>
      <c r="B258" s="250" t="s">
        <v>994</v>
      </c>
      <c r="C258" s="250" t="s">
        <v>995</v>
      </c>
      <c r="D258" s="251" t="s">
        <v>996</v>
      </c>
      <c r="E258" s="250" t="s">
        <v>997</v>
      </c>
      <c r="F258" s="252">
        <v>45619.0</v>
      </c>
      <c r="G258" s="254" t="s">
        <v>843</v>
      </c>
      <c r="H258" s="253"/>
      <c r="I258" s="108"/>
      <c r="J258" s="108"/>
      <c r="K258" s="108"/>
      <c r="L258" s="108"/>
      <c r="M258" s="108"/>
      <c r="N258" s="108"/>
      <c r="O258" s="108"/>
      <c r="P258" s="108"/>
      <c r="Q258" s="108"/>
      <c r="R258" s="108"/>
      <c r="S258" s="108"/>
      <c r="T258" s="108"/>
      <c r="U258" s="108"/>
      <c r="V258" s="108"/>
      <c r="W258" s="108"/>
      <c r="X258" s="108"/>
      <c r="Y258" s="108"/>
    </row>
    <row r="259" hidden="1">
      <c r="A259" s="244"/>
      <c r="B259" s="250" t="s">
        <v>994</v>
      </c>
      <c r="C259" s="250" t="s">
        <v>998</v>
      </c>
      <c r="D259" s="251" t="s">
        <v>999</v>
      </c>
      <c r="E259" s="250" t="s">
        <v>1000</v>
      </c>
      <c r="F259" s="252">
        <v>44986.0</v>
      </c>
      <c r="G259" s="252">
        <v>44999.0</v>
      </c>
      <c r="H259" s="251" t="s">
        <v>1002</v>
      </c>
      <c r="I259" s="108"/>
      <c r="J259" s="108"/>
      <c r="K259" s="108"/>
      <c r="L259" s="108"/>
      <c r="M259" s="108"/>
      <c r="N259" s="108"/>
      <c r="O259" s="108"/>
      <c r="P259" s="108"/>
      <c r="Q259" s="108"/>
      <c r="R259" s="108"/>
      <c r="S259" s="108"/>
      <c r="T259" s="108"/>
      <c r="U259" s="108"/>
      <c r="V259" s="108"/>
      <c r="W259" s="108"/>
      <c r="X259" s="108"/>
      <c r="Y259" s="108"/>
    </row>
    <row r="260" hidden="1">
      <c r="A260" s="244"/>
      <c r="B260" s="250" t="s">
        <v>994</v>
      </c>
      <c r="C260" s="250" t="s">
        <v>1003</v>
      </c>
      <c r="D260" s="251" t="s">
        <v>1004</v>
      </c>
      <c r="E260" s="250" t="s">
        <v>1005</v>
      </c>
      <c r="F260" s="252">
        <v>45088.0</v>
      </c>
      <c r="G260" s="252">
        <v>45091.0</v>
      </c>
      <c r="H260" s="253"/>
      <c r="I260" s="108"/>
      <c r="J260" s="108"/>
      <c r="K260" s="108"/>
      <c r="L260" s="108"/>
      <c r="M260" s="108"/>
      <c r="N260" s="108"/>
      <c r="O260" s="108"/>
      <c r="P260" s="108"/>
      <c r="Q260" s="108"/>
      <c r="R260" s="108"/>
      <c r="S260" s="108"/>
      <c r="T260" s="108"/>
      <c r="U260" s="108"/>
      <c r="V260" s="108"/>
      <c r="W260" s="108"/>
      <c r="X260" s="108"/>
      <c r="Y260" s="108"/>
    </row>
    <row r="261" hidden="1">
      <c r="A261" s="244"/>
      <c r="B261" s="250" t="s">
        <v>994</v>
      </c>
      <c r="C261" s="250" t="s">
        <v>995</v>
      </c>
      <c r="D261" s="251" t="s">
        <v>1394</v>
      </c>
      <c r="E261" s="250" t="s">
        <v>1395</v>
      </c>
      <c r="F261" s="252">
        <v>44866.0</v>
      </c>
      <c r="G261" s="252">
        <v>44926.0</v>
      </c>
      <c r="H261" s="253"/>
      <c r="I261" s="108"/>
      <c r="J261" s="108"/>
      <c r="K261" s="108"/>
      <c r="L261" s="108"/>
      <c r="M261" s="108"/>
      <c r="N261" s="108"/>
      <c r="O261" s="108"/>
      <c r="P261" s="108"/>
      <c r="Q261" s="108"/>
      <c r="R261" s="108"/>
      <c r="S261" s="108"/>
      <c r="T261" s="108"/>
      <c r="U261" s="108"/>
      <c r="V261" s="108"/>
      <c r="W261" s="108"/>
      <c r="X261" s="108"/>
      <c r="Y261" s="108"/>
    </row>
    <row r="262" hidden="1">
      <c r="A262" s="244"/>
      <c r="B262" s="250" t="s">
        <v>994</v>
      </c>
      <c r="C262" s="250" t="s">
        <v>1396</v>
      </c>
      <c r="D262" s="251" t="s">
        <v>1397</v>
      </c>
      <c r="E262" s="250" t="s">
        <v>1398</v>
      </c>
      <c r="F262" s="252">
        <v>44896.0</v>
      </c>
      <c r="G262" s="252">
        <v>45291.0</v>
      </c>
      <c r="H262" s="251"/>
      <c r="I262" s="108"/>
      <c r="J262" s="108"/>
      <c r="K262" s="108"/>
      <c r="L262" s="108"/>
      <c r="M262" s="108"/>
      <c r="N262" s="108"/>
      <c r="O262" s="108"/>
      <c r="P262" s="108"/>
      <c r="Q262" s="108"/>
      <c r="R262" s="108"/>
      <c r="S262" s="108"/>
      <c r="T262" s="108"/>
      <c r="U262" s="108"/>
      <c r="V262" s="108"/>
      <c r="W262" s="108"/>
      <c r="X262" s="108"/>
      <c r="Y262" s="108"/>
    </row>
    <row r="263" hidden="1">
      <c r="A263" s="244"/>
      <c r="B263" s="250" t="s">
        <v>994</v>
      </c>
      <c r="C263" s="250" t="s">
        <v>956</v>
      </c>
      <c r="D263" s="251" t="s">
        <v>1399</v>
      </c>
      <c r="E263" s="250" t="s">
        <v>1400</v>
      </c>
      <c r="F263" s="252">
        <v>44927.0</v>
      </c>
      <c r="G263" s="252">
        <v>44957.0</v>
      </c>
      <c r="H263" s="253"/>
      <c r="I263" s="108"/>
      <c r="J263" s="108"/>
      <c r="K263" s="108"/>
      <c r="L263" s="108"/>
      <c r="M263" s="108"/>
      <c r="N263" s="108"/>
      <c r="O263" s="108"/>
      <c r="P263" s="108"/>
      <c r="Q263" s="108"/>
      <c r="R263" s="108"/>
      <c r="S263" s="108"/>
      <c r="T263" s="108"/>
      <c r="U263" s="108"/>
      <c r="V263" s="108"/>
      <c r="W263" s="108"/>
      <c r="X263" s="108"/>
      <c r="Y263" s="108"/>
    </row>
    <row r="264" hidden="1">
      <c r="A264" s="244"/>
      <c r="B264" s="250" t="s">
        <v>994</v>
      </c>
      <c r="C264" s="250" t="s">
        <v>1401</v>
      </c>
      <c r="D264" s="251" t="s">
        <v>1402</v>
      </c>
      <c r="E264" s="250" t="s">
        <v>1403</v>
      </c>
      <c r="F264" s="252">
        <v>44927.0</v>
      </c>
      <c r="G264" s="252">
        <v>45046.0</v>
      </c>
      <c r="H264" s="253"/>
      <c r="I264" s="108"/>
      <c r="J264" s="108"/>
      <c r="K264" s="108"/>
      <c r="L264" s="108"/>
      <c r="M264" s="108"/>
      <c r="N264" s="108"/>
      <c r="O264" s="108"/>
      <c r="P264" s="108"/>
      <c r="Q264" s="108"/>
      <c r="R264" s="108"/>
      <c r="S264" s="108"/>
      <c r="T264" s="108"/>
      <c r="U264" s="108"/>
      <c r="V264" s="108"/>
      <c r="W264" s="108"/>
      <c r="X264" s="108"/>
      <c r="Y264" s="108"/>
    </row>
    <row r="265" hidden="1">
      <c r="A265" s="244"/>
      <c r="B265" s="250" t="s">
        <v>994</v>
      </c>
      <c r="C265" s="250" t="s">
        <v>1388</v>
      </c>
      <c r="D265" s="251" t="s">
        <v>1389</v>
      </c>
      <c r="E265" s="250" t="s">
        <v>1404</v>
      </c>
      <c r="F265" s="252">
        <v>45078.0</v>
      </c>
      <c r="G265" s="252">
        <v>45107.0</v>
      </c>
      <c r="H265" s="251" t="s">
        <v>1405</v>
      </c>
      <c r="I265" s="108"/>
      <c r="J265" s="108"/>
      <c r="K265" s="108"/>
      <c r="L265" s="108"/>
      <c r="M265" s="108"/>
      <c r="N265" s="108"/>
      <c r="O265" s="108"/>
      <c r="P265" s="108"/>
      <c r="Q265" s="108"/>
      <c r="R265" s="108"/>
      <c r="S265" s="108"/>
      <c r="T265" s="108"/>
      <c r="U265" s="108"/>
      <c r="V265" s="108"/>
      <c r="W265" s="108"/>
      <c r="X265" s="108"/>
      <c r="Y265" s="108"/>
    </row>
    <row r="266" hidden="1">
      <c r="A266" s="244"/>
      <c r="B266" s="250" t="s">
        <v>994</v>
      </c>
      <c r="C266" s="250" t="s">
        <v>1392</v>
      </c>
      <c r="D266" s="251" t="s">
        <v>1393</v>
      </c>
      <c r="E266" s="250" t="s">
        <v>1005</v>
      </c>
      <c r="F266" s="252">
        <v>45228.0</v>
      </c>
      <c r="G266" s="252">
        <v>45230.0</v>
      </c>
      <c r="H266" s="253"/>
      <c r="I266" s="108"/>
      <c r="J266" s="108"/>
      <c r="K266" s="108"/>
      <c r="L266" s="108"/>
      <c r="M266" s="108"/>
      <c r="N266" s="108"/>
      <c r="O266" s="108"/>
      <c r="P266" s="108"/>
      <c r="Q266" s="108"/>
      <c r="R266" s="108"/>
      <c r="S266" s="108"/>
      <c r="T266" s="108"/>
      <c r="U266" s="108"/>
      <c r="V266" s="108"/>
      <c r="W266" s="108"/>
      <c r="X266" s="108"/>
      <c r="Y266" s="108"/>
    </row>
    <row r="267" hidden="1">
      <c r="A267" s="244"/>
      <c r="B267" s="250" t="s">
        <v>994</v>
      </c>
      <c r="C267" s="250" t="s">
        <v>995</v>
      </c>
      <c r="D267" s="251" t="s">
        <v>1394</v>
      </c>
      <c r="E267" s="250" t="s">
        <v>1395</v>
      </c>
      <c r="F267" s="252">
        <v>44774.0</v>
      </c>
      <c r="G267" s="254" t="s">
        <v>843</v>
      </c>
      <c r="H267" s="251"/>
      <c r="I267" s="108"/>
      <c r="J267" s="108"/>
      <c r="K267" s="108"/>
      <c r="L267" s="108"/>
      <c r="M267" s="108"/>
      <c r="N267" s="108"/>
      <c r="O267" s="108"/>
      <c r="P267" s="108"/>
      <c r="Q267" s="108"/>
      <c r="R267" s="108"/>
      <c r="S267" s="108"/>
      <c r="T267" s="108"/>
      <c r="U267" s="108"/>
      <c r="V267" s="108"/>
      <c r="W267" s="108"/>
      <c r="X267" s="108"/>
      <c r="Y267" s="108"/>
    </row>
    <row r="268" hidden="1">
      <c r="A268" s="244"/>
      <c r="B268" s="250" t="s">
        <v>994</v>
      </c>
      <c r="C268" s="250" t="s">
        <v>1396</v>
      </c>
      <c r="D268" s="251" t="s">
        <v>1397</v>
      </c>
      <c r="E268" s="250" t="s">
        <v>1398</v>
      </c>
      <c r="F268" s="252">
        <v>44927.0</v>
      </c>
      <c r="G268" s="252">
        <v>45017.0</v>
      </c>
      <c r="H268" s="253"/>
      <c r="I268" s="108"/>
      <c r="J268" s="108"/>
      <c r="K268" s="108"/>
      <c r="L268" s="108"/>
      <c r="M268" s="108"/>
      <c r="N268" s="108"/>
      <c r="O268" s="108"/>
      <c r="P268" s="108"/>
      <c r="Q268" s="108"/>
      <c r="R268" s="108"/>
      <c r="S268" s="108"/>
      <c r="T268" s="108"/>
      <c r="U268" s="108"/>
      <c r="V268" s="108"/>
      <c r="W268" s="108"/>
      <c r="X268" s="108"/>
      <c r="Y268" s="108"/>
    </row>
    <row r="269" hidden="1">
      <c r="A269" s="244"/>
      <c r="B269" s="250" t="s">
        <v>994</v>
      </c>
      <c r="C269" s="250" t="s">
        <v>956</v>
      </c>
      <c r="D269" s="251" t="s">
        <v>1399</v>
      </c>
      <c r="E269" s="250" t="s">
        <v>1400</v>
      </c>
      <c r="F269" s="252">
        <v>44927.0</v>
      </c>
      <c r="G269" s="252">
        <v>45047.0</v>
      </c>
      <c r="H269" s="253"/>
      <c r="I269" s="108"/>
      <c r="J269" s="108"/>
      <c r="K269" s="108"/>
      <c r="L269" s="108"/>
      <c r="M269" s="108"/>
      <c r="N269" s="108"/>
      <c r="O269" s="108"/>
      <c r="P269" s="108"/>
      <c r="Q269" s="108"/>
      <c r="R269" s="108"/>
      <c r="S269" s="108"/>
      <c r="T269" s="108"/>
      <c r="U269" s="108"/>
      <c r="V269" s="108"/>
      <c r="W269" s="108"/>
      <c r="X269" s="108"/>
      <c r="Y269" s="108"/>
    </row>
    <row r="270" hidden="1">
      <c r="A270" s="244"/>
      <c r="B270" s="250" t="s">
        <v>994</v>
      </c>
      <c r="C270" s="250" t="s">
        <v>1401</v>
      </c>
      <c r="D270" s="251" t="s">
        <v>1402</v>
      </c>
      <c r="E270" s="250" t="s">
        <v>1403</v>
      </c>
      <c r="F270" s="252">
        <v>44958.0</v>
      </c>
      <c r="G270" s="254" t="s">
        <v>1131</v>
      </c>
      <c r="H270" s="251" t="s">
        <v>1406</v>
      </c>
      <c r="I270" s="108"/>
      <c r="J270" s="108"/>
      <c r="K270" s="108"/>
      <c r="L270" s="108"/>
      <c r="M270" s="108"/>
      <c r="N270" s="108"/>
      <c r="O270" s="108"/>
      <c r="P270" s="108"/>
      <c r="Q270" s="108"/>
      <c r="R270" s="108"/>
      <c r="S270" s="108"/>
      <c r="T270" s="108"/>
      <c r="U270" s="108"/>
      <c r="V270" s="108"/>
      <c r="W270" s="108"/>
      <c r="X270" s="108"/>
      <c r="Y270" s="108"/>
    </row>
    <row r="271" hidden="1">
      <c r="A271" s="244"/>
      <c r="B271" s="250" t="s">
        <v>994</v>
      </c>
      <c r="C271" s="250" t="s">
        <v>995</v>
      </c>
      <c r="D271" s="251" t="s">
        <v>1407</v>
      </c>
      <c r="E271" s="250" t="s">
        <v>1408</v>
      </c>
      <c r="F271" s="252">
        <v>45649.0</v>
      </c>
      <c r="G271" s="254" t="s">
        <v>843</v>
      </c>
      <c r="H271" s="251"/>
      <c r="I271" s="108"/>
      <c r="J271" s="108"/>
      <c r="K271" s="108"/>
      <c r="L271" s="108"/>
      <c r="M271" s="108"/>
      <c r="N271" s="108"/>
      <c r="O271" s="108"/>
      <c r="P271" s="108"/>
      <c r="Q271" s="108"/>
      <c r="R271" s="108"/>
      <c r="S271" s="108"/>
      <c r="T271" s="108"/>
      <c r="U271" s="108"/>
      <c r="V271" s="108"/>
      <c r="W271" s="108"/>
      <c r="X271" s="108"/>
      <c r="Y271" s="108"/>
    </row>
    <row r="272" hidden="1">
      <c r="A272" s="244"/>
      <c r="B272" s="250" t="s">
        <v>994</v>
      </c>
      <c r="C272" s="250" t="s">
        <v>995</v>
      </c>
      <c r="D272" s="251" t="s">
        <v>1394</v>
      </c>
      <c r="E272" s="250" t="s">
        <v>1395</v>
      </c>
      <c r="F272" s="252">
        <v>44562.0</v>
      </c>
      <c r="G272" s="254" t="s">
        <v>843</v>
      </c>
      <c r="H272" s="251"/>
      <c r="I272" s="108"/>
      <c r="J272" s="108"/>
      <c r="K272" s="108"/>
      <c r="L272" s="108"/>
      <c r="M272" s="108"/>
      <c r="N272" s="108"/>
      <c r="O272" s="108"/>
      <c r="P272" s="108"/>
      <c r="Q272" s="108"/>
      <c r="R272" s="108"/>
      <c r="S272" s="108"/>
      <c r="T272" s="108"/>
      <c r="U272" s="108"/>
      <c r="V272" s="108"/>
      <c r="W272" s="108"/>
      <c r="X272" s="108"/>
      <c r="Y272" s="108"/>
    </row>
    <row r="273" hidden="1">
      <c r="A273" s="244"/>
      <c r="B273" s="250" t="s">
        <v>994</v>
      </c>
      <c r="C273" s="250" t="s">
        <v>1401</v>
      </c>
      <c r="D273" s="251" t="s">
        <v>1409</v>
      </c>
      <c r="E273" s="250" t="s">
        <v>1410</v>
      </c>
      <c r="F273" s="252">
        <v>44593.0</v>
      </c>
      <c r="G273" s="254" t="s">
        <v>843</v>
      </c>
      <c r="H273" s="251"/>
      <c r="I273" s="108"/>
      <c r="J273" s="108"/>
      <c r="K273" s="108"/>
      <c r="L273" s="108"/>
      <c r="M273" s="108"/>
      <c r="N273" s="108"/>
      <c r="O273" s="108"/>
      <c r="P273" s="108"/>
      <c r="Q273" s="108"/>
      <c r="R273" s="108"/>
      <c r="S273" s="108"/>
      <c r="T273" s="108"/>
      <c r="U273" s="108"/>
      <c r="V273" s="108"/>
      <c r="W273" s="108"/>
      <c r="X273" s="108"/>
      <c r="Y273" s="108"/>
    </row>
    <row r="274" hidden="1">
      <c r="A274" s="244"/>
      <c r="B274" s="250" t="s">
        <v>994</v>
      </c>
      <c r="C274" s="250" t="s">
        <v>1411</v>
      </c>
      <c r="D274" s="251" t="s">
        <v>1412</v>
      </c>
      <c r="E274" s="250" t="s">
        <v>1404</v>
      </c>
      <c r="F274" s="252">
        <v>44713.0</v>
      </c>
      <c r="G274" s="252">
        <v>44773.0</v>
      </c>
      <c r="H274" s="251" t="s">
        <v>1413</v>
      </c>
      <c r="I274" s="108"/>
      <c r="J274" s="108"/>
      <c r="K274" s="108"/>
      <c r="L274" s="108"/>
      <c r="M274" s="108"/>
      <c r="N274" s="108"/>
      <c r="O274" s="108"/>
      <c r="P274" s="108"/>
      <c r="Q274" s="108"/>
      <c r="R274" s="108"/>
      <c r="S274" s="108"/>
      <c r="T274" s="108"/>
      <c r="U274" s="108"/>
      <c r="V274" s="108"/>
      <c r="W274" s="108"/>
      <c r="X274" s="108"/>
      <c r="Y274" s="108"/>
    </row>
    <row r="275" hidden="1">
      <c r="A275" s="244"/>
      <c r="B275" s="250" t="s">
        <v>994</v>
      </c>
      <c r="C275" s="250" t="s">
        <v>1414</v>
      </c>
      <c r="D275" s="251" t="s">
        <v>1415</v>
      </c>
      <c r="E275" s="250" t="s">
        <v>1404</v>
      </c>
      <c r="F275" s="252">
        <v>44866.0</v>
      </c>
      <c r="G275" s="252">
        <v>45077.0</v>
      </c>
      <c r="H275" s="251" t="s">
        <v>1416</v>
      </c>
      <c r="I275" s="108"/>
      <c r="J275" s="108"/>
      <c r="K275" s="108"/>
      <c r="L275" s="108"/>
      <c r="M275" s="108"/>
      <c r="N275" s="108"/>
      <c r="O275" s="108"/>
      <c r="P275" s="108"/>
      <c r="Q275" s="108"/>
      <c r="R275" s="108"/>
      <c r="S275" s="108"/>
      <c r="T275" s="108"/>
      <c r="U275" s="108"/>
      <c r="V275" s="108"/>
      <c r="W275" s="108"/>
      <c r="X275" s="108"/>
      <c r="Y275" s="108"/>
    </row>
    <row r="276" hidden="1">
      <c r="A276" s="244"/>
      <c r="B276" s="250" t="s">
        <v>994</v>
      </c>
      <c r="C276" s="250" t="s">
        <v>1417</v>
      </c>
      <c r="D276" s="251" t="s">
        <v>1418</v>
      </c>
      <c r="E276" s="250" t="s">
        <v>1404</v>
      </c>
      <c r="F276" s="252">
        <v>44927.0</v>
      </c>
      <c r="G276" s="252">
        <v>45093.0</v>
      </c>
      <c r="H276" s="251" t="s">
        <v>1419</v>
      </c>
      <c r="I276" s="108"/>
      <c r="J276" s="108"/>
      <c r="K276" s="108"/>
      <c r="L276" s="108"/>
      <c r="M276" s="108"/>
      <c r="N276" s="108"/>
      <c r="O276" s="108"/>
      <c r="P276" s="108"/>
      <c r="Q276" s="108"/>
      <c r="R276" s="108"/>
      <c r="S276" s="108"/>
      <c r="T276" s="108"/>
      <c r="U276" s="108"/>
      <c r="V276" s="108"/>
      <c r="W276" s="108"/>
      <c r="X276" s="108"/>
      <c r="Y276" s="108"/>
    </row>
    <row r="277" hidden="1">
      <c r="A277" s="244"/>
      <c r="B277" s="250" t="s">
        <v>994</v>
      </c>
      <c r="C277" s="250" t="s">
        <v>1420</v>
      </c>
      <c r="D277" s="251" t="s">
        <v>1004</v>
      </c>
      <c r="E277" s="250" t="s">
        <v>1005</v>
      </c>
      <c r="F277" s="252">
        <v>45088.0</v>
      </c>
      <c r="G277" s="252">
        <v>45091.0</v>
      </c>
      <c r="H277" s="253"/>
      <c r="I277" s="108"/>
      <c r="J277" s="108"/>
      <c r="K277" s="108"/>
      <c r="L277" s="108"/>
      <c r="M277" s="108"/>
      <c r="N277" s="108"/>
      <c r="O277" s="108"/>
      <c r="P277" s="108"/>
      <c r="Q277" s="108"/>
      <c r="R277" s="108"/>
      <c r="S277" s="108"/>
      <c r="T277" s="108"/>
      <c r="U277" s="108"/>
      <c r="V277" s="108"/>
      <c r="W277" s="108"/>
      <c r="X277" s="108"/>
      <c r="Y277" s="108"/>
    </row>
    <row r="278" hidden="1">
      <c r="A278" s="244"/>
      <c r="B278" s="250" t="s">
        <v>994</v>
      </c>
      <c r="C278" s="250" t="s">
        <v>995</v>
      </c>
      <c r="D278" s="251" t="s">
        <v>1394</v>
      </c>
      <c r="E278" s="250" t="s">
        <v>1395</v>
      </c>
      <c r="F278" s="252">
        <v>44562.0</v>
      </c>
      <c r="G278" s="254" t="s">
        <v>843</v>
      </c>
      <c r="H278" s="251"/>
      <c r="I278" s="108"/>
      <c r="J278" s="108"/>
      <c r="K278" s="108"/>
      <c r="L278" s="108"/>
      <c r="M278" s="108"/>
      <c r="N278" s="108"/>
      <c r="O278" s="108"/>
      <c r="P278" s="108"/>
      <c r="Q278" s="108"/>
      <c r="R278" s="108"/>
      <c r="S278" s="108"/>
      <c r="T278" s="108"/>
      <c r="U278" s="108"/>
      <c r="V278" s="108"/>
      <c r="W278" s="108"/>
      <c r="X278" s="108"/>
      <c r="Y278" s="108"/>
    </row>
    <row r="279" hidden="1">
      <c r="A279" s="244"/>
      <c r="B279" s="250" t="s">
        <v>994</v>
      </c>
      <c r="C279" s="250" t="s">
        <v>1421</v>
      </c>
      <c r="D279" s="251" t="s">
        <v>1422</v>
      </c>
      <c r="E279" s="250" t="s">
        <v>1423</v>
      </c>
      <c r="F279" s="252">
        <v>44562.0</v>
      </c>
      <c r="G279" s="252">
        <v>44652.0</v>
      </c>
      <c r="H279" s="253"/>
      <c r="I279" s="108"/>
      <c r="J279" s="108"/>
      <c r="K279" s="108"/>
      <c r="L279" s="108"/>
      <c r="M279" s="108"/>
      <c r="N279" s="108"/>
      <c r="O279" s="108"/>
      <c r="P279" s="108"/>
      <c r="Q279" s="108"/>
      <c r="R279" s="108"/>
      <c r="S279" s="108"/>
      <c r="T279" s="108"/>
      <c r="U279" s="108"/>
      <c r="V279" s="108"/>
      <c r="W279" s="108"/>
      <c r="X279" s="108"/>
      <c r="Y279" s="108"/>
    </row>
    <row r="280" hidden="1">
      <c r="A280" s="244"/>
      <c r="B280" s="250" t="s">
        <v>994</v>
      </c>
      <c r="C280" s="250" t="s">
        <v>921</v>
      </c>
      <c r="D280" s="251" t="s">
        <v>1424</v>
      </c>
      <c r="E280" s="250" t="s">
        <v>1425</v>
      </c>
      <c r="F280" s="252">
        <v>44652.0</v>
      </c>
      <c r="G280" s="252">
        <v>44743.0</v>
      </c>
      <c r="H280" s="253"/>
      <c r="I280" s="108"/>
      <c r="J280" s="108"/>
      <c r="K280" s="108"/>
      <c r="L280" s="108"/>
      <c r="M280" s="108"/>
      <c r="N280" s="108"/>
      <c r="O280" s="108"/>
      <c r="P280" s="108"/>
      <c r="Q280" s="108"/>
      <c r="R280" s="108"/>
      <c r="S280" s="108"/>
      <c r="T280" s="108"/>
      <c r="U280" s="108"/>
      <c r="V280" s="108"/>
      <c r="W280" s="108"/>
      <c r="X280" s="108"/>
      <c r="Y280" s="108"/>
    </row>
    <row r="281" hidden="1">
      <c r="A281" s="244"/>
      <c r="B281" s="250" t="s">
        <v>994</v>
      </c>
      <c r="C281" s="250" t="s">
        <v>1426</v>
      </c>
      <c r="D281" s="251" t="s">
        <v>1427</v>
      </c>
      <c r="E281" s="250" t="s">
        <v>1404</v>
      </c>
      <c r="F281" s="252">
        <v>44562.0</v>
      </c>
      <c r="G281" s="252">
        <v>44652.0</v>
      </c>
      <c r="H281" s="251" t="s">
        <v>1428</v>
      </c>
      <c r="I281" s="108"/>
      <c r="J281" s="108"/>
      <c r="K281" s="108"/>
      <c r="L281" s="108"/>
      <c r="M281" s="108"/>
      <c r="N281" s="108"/>
      <c r="O281" s="108"/>
      <c r="P281" s="108"/>
      <c r="Q281" s="108"/>
      <c r="R281" s="108"/>
      <c r="S281" s="108"/>
      <c r="T281" s="108"/>
      <c r="U281" s="108"/>
      <c r="V281" s="108"/>
      <c r="W281" s="108"/>
      <c r="X281" s="108"/>
      <c r="Y281" s="108"/>
    </row>
    <row r="282" hidden="1">
      <c r="A282" s="244"/>
      <c r="B282" s="250" t="s">
        <v>994</v>
      </c>
      <c r="C282" s="250" t="s">
        <v>1396</v>
      </c>
      <c r="D282" s="251" t="s">
        <v>1397</v>
      </c>
      <c r="E282" s="250" t="s">
        <v>1398</v>
      </c>
      <c r="F282" s="252">
        <v>44866.0</v>
      </c>
      <c r="G282" s="252">
        <v>44896.0</v>
      </c>
      <c r="H282" s="253"/>
      <c r="I282" s="108"/>
      <c r="J282" s="108"/>
      <c r="K282" s="108"/>
      <c r="L282" s="108"/>
      <c r="M282" s="108"/>
      <c r="N282" s="108"/>
      <c r="O282" s="108"/>
      <c r="P282" s="108"/>
      <c r="Q282" s="108"/>
      <c r="R282" s="108"/>
      <c r="S282" s="108"/>
      <c r="T282" s="108"/>
      <c r="U282" s="108"/>
      <c r="V282" s="108"/>
      <c r="W282" s="108"/>
      <c r="X282" s="108"/>
      <c r="Y282" s="108"/>
    </row>
    <row r="283" hidden="1">
      <c r="A283" s="244"/>
      <c r="B283" s="250" t="s">
        <v>994</v>
      </c>
      <c r="C283" s="250" t="s">
        <v>1429</v>
      </c>
      <c r="D283" s="251" t="s">
        <v>1412</v>
      </c>
      <c r="E283" s="250" t="s">
        <v>1404</v>
      </c>
      <c r="F283" s="252">
        <v>44835.0</v>
      </c>
      <c r="G283" s="252">
        <v>44866.0</v>
      </c>
      <c r="H283" s="251"/>
      <c r="I283" s="108"/>
      <c r="J283" s="108"/>
      <c r="K283" s="108"/>
      <c r="L283" s="108"/>
      <c r="M283" s="108"/>
      <c r="N283" s="108"/>
      <c r="O283" s="108"/>
      <c r="P283" s="108"/>
      <c r="Q283" s="108"/>
      <c r="R283" s="108"/>
      <c r="S283" s="108"/>
      <c r="T283" s="108"/>
      <c r="U283" s="108"/>
      <c r="V283" s="108"/>
      <c r="W283" s="108"/>
      <c r="X283" s="108"/>
      <c r="Y283" s="108"/>
    </row>
    <row r="284" hidden="1">
      <c r="A284" s="244"/>
      <c r="B284" s="250" t="s">
        <v>994</v>
      </c>
      <c r="C284" s="250" t="s">
        <v>995</v>
      </c>
      <c r="D284" s="251" t="s">
        <v>1394</v>
      </c>
      <c r="E284" s="250" t="s">
        <v>1395</v>
      </c>
      <c r="F284" s="252">
        <v>44713.0</v>
      </c>
      <c r="G284" s="252">
        <v>44773.0</v>
      </c>
      <c r="H284" s="253"/>
      <c r="I284" s="108"/>
      <c r="J284" s="108"/>
      <c r="K284" s="108"/>
      <c r="L284" s="108"/>
      <c r="M284" s="108"/>
      <c r="N284" s="108"/>
      <c r="O284" s="108"/>
      <c r="P284" s="108"/>
      <c r="Q284" s="108"/>
      <c r="R284" s="108"/>
      <c r="S284" s="108"/>
      <c r="T284" s="108"/>
      <c r="U284" s="108"/>
      <c r="V284" s="108"/>
      <c r="W284" s="108"/>
      <c r="X284" s="108"/>
      <c r="Y284" s="108"/>
    </row>
    <row r="285" hidden="1">
      <c r="A285" s="244"/>
      <c r="B285" s="250" t="s">
        <v>994</v>
      </c>
      <c r="C285" s="250" t="s">
        <v>956</v>
      </c>
      <c r="D285" s="251" t="s">
        <v>1430</v>
      </c>
      <c r="E285" s="250" t="s">
        <v>1431</v>
      </c>
      <c r="F285" s="252">
        <v>44743.0</v>
      </c>
      <c r="G285" s="252">
        <v>44774.0</v>
      </c>
      <c r="H285" s="253"/>
      <c r="I285" s="108"/>
      <c r="J285" s="108"/>
      <c r="K285" s="108"/>
      <c r="L285" s="108"/>
      <c r="M285" s="108"/>
      <c r="N285" s="108"/>
      <c r="O285" s="108"/>
      <c r="P285" s="108"/>
      <c r="Q285" s="108"/>
      <c r="R285" s="108"/>
      <c r="S285" s="108"/>
      <c r="T285" s="108"/>
      <c r="U285" s="108"/>
      <c r="V285" s="108"/>
      <c r="W285" s="108"/>
      <c r="X285" s="108"/>
      <c r="Y285" s="108"/>
    </row>
    <row r="286" hidden="1">
      <c r="A286" s="244"/>
      <c r="B286" s="250" t="s">
        <v>994</v>
      </c>
      <c r="C286" s="250" t="s">
        <v>1401</v>
      </c>
      <c r="D286" s="251" t="s">
        <v>1402</v>
      </c>
      <c r="E286" s="250" t="s">
        <v>1403</v>
      </c>
      <c r="F286" s="252">
        <v>44757.0</v>
      </c>
      <c r="G286" s="252">
        <v>44826.0</v>
      </c>
      <c r="H286" s="251" t="s">
        <v>1432</v>
      </c>
      <c r="I286" s="108"/>
      <c r="J286" s="108"/>
      <c r="K286" s="108"/>
      <c r="L286" s="108"/>
      <c r="M286" s="108"/>
      <c r="N286" s="108"/>
      <c r="O286" s="108"/>
      <c r="P286" s="108"/>
      <c r="Q286" s="108"/>
      <c r="R286" s="108"/>
      <c r="S286" s="108"/>
      <c r="T286" s="108"/>
      <c r="U286" s="108"/>
      <c r="V286" s="108"/>
      <c r="W286" s="108"/>
      <c r="X286" s="108"/>
      <c r="Y286" s="108"/>
    </row>
    <row r="287" hidden="1">
      <c r="A287" s="244"/>
      <c r="B287" s="250" t="s">
        <v>994</v>
      </c>
      <c r="C287" s="250" t="s">
        <v>995</v>
      </c>
      <c r="D287" s="251" t="s">
        <v>1394</v>
      </c>
      <c r="E287" s="250" t="s">
        <v>1395</v>
      </c>
      <c r="F287" s="252">
        <v>45170.0</v>
      </c>
      <c r="G287" s="252">
        <v>45200.0</v>
      </c>
      <c r="H287" s="253"/>
      <c r="I287" s="108"/>
      <c r="J287" s="108"/>
      <c r="K287" s="108"/>
      <c r="L287" s="108"/>
      <c r="M287" s="108"/>
      <c r="N287" s="108"/>
      <c r="O287" s="108"/>
      <c r="P287" s="108"/>
      <c r="Q287" s="108"/>
      <c r="R287" s="108"/>
      <c r="S287" s="108"/>
      <c r="T287" s="108"/>
      <c r="U287" s="108"/>
      <c r="V287" s="108"/>
      <c r="W287" s="108"/>
      <c r="X287" s="108"/>
      <c r="Y287" s="108"/>
    </row>
    <row r="288" hidden="1">
      <c r="A288" s="244"/>
      <c r="B288" s="250" t="s">
        <v>994</v>
      </c>
      <c r="C288" s="250" t="s">
        <v>1401</v>
      </c>
      <c r="D288" s="251" t="s">
        <v>1433</v>
      </c>
      <c r="E288" s="250" t="s">
        <v>1434</v>
      </c>
      <c r="F288" s="252">
        <v>45588.0</v>
      </c>
      <c r="G288" s="252">
        <v>45200.0</v>
      </c>
      <c r="H288" s="253"/>
      <c r="I288" s="108"/>
      <c r="J288" s="108"/>
      <c r="K288" s="108"/>
      <c r="L288" s="108"/>
      <c r="M288" s="108"/>
      <c r="N288" s="108"/>
      <c r="O288" s="108"/>
      <c r="P288" s="108"/>
      <c r="Q288" s="108"/>
      <c r="R288" s="108"/>
      <c r="S288" s="108"/>
      <c r="T288" s="108"/>
      <c r="U288" s="108"/>
      <c r="V288" s="108"/>
      <c r="W288" s="108"/>
      <c r="X288" s="108"/>
      <c r="Y288" s="108"/>
    </row>
    <row r="289" hidden="1">
      <c r="A289" s="244"/>
      <c r="B289" s="250" t="s">
        <v>994</v>
      </c>
      <c r="C289" s="250" t="s">
        <v>1401</v>
      </c>
      <c r="D289" s="251" t="s">
        <v>1435</v>
      </c>
      <c r="E289" s="250" t="s">
        <v>1436</v>
      </c>
      <c r="F289" s="252">
        <v>45588.0</v>
      </c>
      <c r="G289" s="252">
        <v>45231.0</v>
      </c>
      <c r="H289" s="253"/>
      <c r="I289" s="108"/>
      <c r="J289" s="108"/>
      <c r="K289" s="108"/>
      <c r="L289" s="108"/>
      <c r="M289" s="108"/>
      <c r="N289" s="108"/>
      <c r="O289" s="108"/>
      <c r="P289" s="108"/>
      <c r="Q289" s="108"/>
      <c r="R289" s="108"/>
      <c r="S289" s="108"/>
      <c r="T289" s="108"/>
      <c r="U289" s="108"/>
      <c r="V289" s="108"/>
      <c r="W289" s="108"/>
      <c r="X289" s="108"/>
      <c r="Y289" s="108"/>
    </row>
    <row r="290" hidden="1">
      <c r="A290" s="244"/>
      <c r="B290" s="250" t="s">
        <v>994</v>
      </c>
      <c r="C290" s="250" t="s">
        <v>1437</v>
      </c>
      <c r="D290" s="251" t="s">
        <v>1438</v>
      </c>
      <c r="E290" s="250" t="s">
        <v>1439</v>
      </c>
      <c r="F290" s="252">
        <v>45649.0</v>
      </c>
      <c r="G290" s="254" t="s">
        <v>843</v>
      </c>
      <c r="H290" s="253"/>
      <c r="I290" s="108"/>
      <c r="J290" s="108"/>
      <c r="K290" s="108"/>
      <c r="L290" s="108"/>
      <c r="M290" s="108"/>
      <c r="N290" s="108"/>
      <c r="O290" s="108"/>
      <c r="P290" s="108"/>
      <c r="Q290" s="108"/>
      <c r="R290" s="108"/>
      <c r="S290" s="108"/>
      <c r="T290" s="108"/>
      <c r="U290" s="108"/>
      <c r="V290" s="108"/>
      <c r="W290" s="108"/>
      <c r="X290" s="108"/>
      <c r="Y290" s="108"/>
    </row>
    <row r="291" hidden="1">
      <c r="A291" s="244"/>
      <c r="B291" s="250" t="s">
        <v>994</v>
      </c>
      <c r="C291" s="250" t="s">
        <v>995</v>
      </c>
      <c r="D291" s="251" t="s">
        <v>1394</v>
      </c>
      <c r="E291" s="250" t="s">
        <v>1395</v>
      </c>
      <c r="F291" s="252">
        <v>45588.0</v>
      </c>
      <c r="G291" s="255">
        <v>45200.0</v>
      </c>
      <c r="H291" s="253"/>
      <c r="I291" s="108"/>
      <c r="J291" s="108"/>
      <c r="K291" s="108"/>
      <c r="L291" s="108"/>
      <c r="M291" s="108"/>
      <c r="N291" s="108"/>
      <c r="O291" s="108"/>
      <c r="P291" s="108"/>
      <c r="Q291" s="108"/>
      <c r="R291" s="108"/>
      <c r="S291" s="108"/>
      <c r="T291" s="108"/>
      <c r="U291" s="108"/>
      <c r="V291" s="108"/>
      <c r="W291" s="108"/>
      <c r="X291" s="108"/>
      <c r="Y291" s="108"/>
    </row>
    <row r="292" hidden="1">
      <c r="A292" s="244"/>
      <c r="B292" s="250" t="s">
        <v>994</v>
      </c>
      <c r="C292" s="250" t="s">
        <v>1401</v>
      </c>
      <c r="D292" s="251" t="s">
        <v>1440</v>
      </c>
      <c r="E292" s="250" t="s">
        <v>1441</v>
      </c>
      <c r="F292" s="252">
        <v>45619.0</v>
      </c>
      <c r="G292" s="254" t="s">
        <v>843</v>
      </c>
      <c r="H292" s="253"/>
      <c r="I292" s="108"/>
      <c r="J292" s="108"/>
      <c r="K292" s="108"/>
      <c r="L292" s="108"/>
      <c r="M292" s="108"/>
      <c r="N292" s="108"/>
      <c r="O292" s="108"/>
      <c r="P292" s="108"/>
      <c r="Q292" s="108"/>
      <c r="R292" s="108"/>
      <c r="S292" s="108"/>
      <c r="T292" s="108"/>
      <c r="U292" s="108"/>
      <c r="V292" s="108"/>
      <c r="W292" s="108"/>
      <c r="X292" s="108"/>
      <c r="Y292" s="108"/>
    </row>
    <row r="293" hidden="1">
      <c r="A293" s="244"/>
      <c r="B293" s="107" t="s">
        <v>1349</v>
      </c>
      <c r="C293" s="107" t="s">
        <v>1442</v>
      </c>
      <c r="D293" s="115" t="s">
        <v>1443</v>
      </c>
      <c r="E293" s="107" t="s">
        <v>1444</v>
      </c>
      <c r="F293" s="211">
        <v>45231.0</v>
      </c>
      <c r="G293" s="208" t="s">
        <v>843</v>
      </c>
      <c r="H293" s="239"/>
      <c r="I293" s="108"/>
      <c r="J293" s="108"/>
      <c r="K293" s="108"/>
      <c r="L293" s="108"/>
      <c r="M293" s="108"/>
      <c r="N293" s="108"/>
      <c r="O293" s="108"/>
      <c r="P293" s="108"/>
      <c r="Q293" s="108"/>
      <c r="R293" s="108"/>
      <c r="S293" s="108"/>
      <c r="T293" s="108"/>
      <c r="U293" s="108"/>
      <c r="V293" s="108"/>
      <c r="W293" s="108"/>
      <c r="X293" s="108"/>
      <c r="Y293" s="108"/>
    </row>
    <row r="294" hidden="1">
      <c r="A294" s="244"/>
      <c r="B294" s="107" t="s">
        <v>1338</v>
      </c>
      <c r="C294" s="107" t="s">
        <v>1348</v>
      </c>
      <c r="D294" s="115"/>
      <c r="E294" s="107"/>
      <c r="F294" s="211">
        <v>45432.0</v>
      </c>
      <c r="G294" s="211">
        <v>45432.0</v>
      </c>
      <c r="H294" s="239"/>
      <c r="I294" s="108"/>
      <c r="J294" s="108"/>
      <c r="K294" s="108"/>
      <c r="L294" s="108"/>
      <c r="M294" s="108"/>
      <c r="N294" s="108"/>
      <c r="O294" s="108"/>
      <c r="P294" s="108"/>
      <c r="Q294" s="108"/>
      <c r="R294" s="108"/>
      <c r="S294" s="108"/>
      <c r="T294" s="108"/>
      <c r="U294" s="108"/>
      <c r="V294" s="108"/>
      <c r="W294" s="108"/>
      <c r="X294" s="108"/>
      <c r="Y294" s="108"/>
    </row>
    <row r="295">
      <c r="A295" s="244"/>
      <c r="B295" s="107"/>
      <c r="C295" s="107"/>
      <c r="D295" s="115"/>
      <c r="E295" s="107"/>
      <c r="F295" s="211"/>
      <c r="G295" s="256"/>
      <c r="H295" s="239"/>
      <c r="I295" s="108"/>
      <c r="J295" s="108"/>
      <c r="K295" s="108"/>
      <c r="L295" s="108"/>
      <c r="M295" s="108"/>
      <c r="N295" s="108"/>
      <c r="O295" s="108"/>
      <c r="P295" s="108"/>
      <c r="Q295" s="108"/>
      <c r="R295" s="108"/>
      <c r="S295" s="108"/>
      <c r="T295" s="108"/>
      <c r="U295" s="108"/>
      <c r="V295" s="108"/>
      <c r="W295" s="108"/>
      <c r="X295" s="108"/>
      <c r="Y295" s="108"/>
    </row>
    <row r="296">
      <c r="A296" s="244"/>
      <c r="B296" s="107"/>
      <c r="C296" s="107"/>
      <c r="D296" s="115"/>
      <c r="E296" s="107"/>
      <c r="F296" s="211"/>
      <c r="G296" s="256"/>
      <c r="H296" s="239"/>
      <c r="I296" s="108"/>
      <c r="J296" s="108"/>
      <c r="K296" s="108"/>
      <c r="L296" s="108"/>
      <c r="M296" s="108"/>
      <c r="N296" s="108"/>
      <c r="O296" s="108"/>
      <c r="P296" s="108"/>
      <c r="Q296" s="108"/>
      <c r="R296" s="108"/>
      <c r="S296" s="108"/>
      <c r="T296" s="108"/>
      <c r="U296" s="108"/>
      <c r="V296" s="108"/>
      <c r="W296" s="108"/>
      <c r="X296" s="108"/>
      <c r="Y296" s="108"/>
    </row>
    <row r="297">
      <c r="A297" s="244"/>
      <c r="B297" s="107"/>
      <c r="C297" s="107"/>
      <c r="D297" s="115"/>
      <c r="E297" s="107"/>
      <c r="F297" s="211"/>
      <c r="G297" s="256"/>
      <c r="H297" s="239"/>
      <c r="I297" s="108"/>
      <c r="J297" s="108"/>
      <c r="K297" s="108"/>
      <c r="L297" s="108"/>
      <c r="M297" s="108"/>
      <c r="N297" s="108"/>
      <c r="O297" s="108"/>
      <c r="P297" s="108"/>
      <c r="Q297" s="108"/>
      <c r="R297" s="108"/>
      <c r="S297" s="108"/>
      <c r="T297" s="108"/>
      <c r="U297" s="108"/>
      <c r="V297" s="108"/>
      <c r="W297" s="108"/>
      <c r="X297" s="108"/>
      <c r="Y297" s="108"/>
    </row>
    <row r="298">
      <c r="A298" s="244"/>
      <c r="B298" s="107"/>
      <c r="C298" s="107"/>
      <c r="D298" s="115"/>
      <c r="E298" s="107"/>
      <c r="F298" s="211"/>
      <c r="G298" s="256"/>
      <c r="H298" s="239"/>
      <c r="I298" s="108"/>
      <c r="J298" s="108"/>
      <c r="K298" s="108"/>
      <c r="L298" s="108"/>
      <c r="M298" s="108"/>
      <c r="N298" s="108"/>
      <c r="O298" s="108"/>
      <c r="P298" s="108"/>
      <c r="Q298" s="108"/>
      <c r="R298" s="108"/>
      <c r="S298" s="108"/>
      <c r="T298" s="108"/>
      <c r="U298" s="108"/>
      <c r="V298" s="108"/>
      <c r="W298" s="108"/>
      <c r="X298" s="108"/>
      <c r="Y298" s="108"/>
    </row>
    <row r="299">
      <c r="A299" s="244"/>
      <c r="B299" s="107"/>
      <c r="C299" s="107"/>
      <c r="D299" s="115"/>
      <c r="E299" s="107"/>
      <c r="F299" s="211"/>
      <c r="G299" s="256"/>
      <c r="H299" s="239"/>
      <c r="I299" s="108"/>
      <c r="J299" s="108"/>
      <c r="K299" s="108"/>
      <c r="L299" s="108"/>
      <c r="M299" s="108"/>
      <c r="N299" s="108"/>
      <c r="O299" s="108"/>
      <c r="P299" s="108"/>
      <c r="Q299" s="108"/>
      <c r="R299" s="108"/>
      <c r="S299" s="108"/>
      <c r="T299" s="108"/>
      <c r="U299" s="108"/>
      <c r="V299" s="108"/>
      <c r="W299" s="108"/>
      <c r="X299" s="108"/>
      <c r="Y299" s="108"/>
    </row>
    <row r="300">
      <c r="A300" s="244"/>
      <c r="B300" s="107"/>
      <c r="C300" s="107"/>
      <c r="D300" s="115"/>
      <c r="E300" s="107"/>
      <c r="F300" s="211"/>
      <c r="G300" s="256"/>
      <c r="H300" s="239"/>
      <c r="I300" s="108"/>
      <c r="J300" s="108"/>
      <c r="K300" s="108"/>
      <c r="L300" s="108"/>
      <c r="M300" s="108"/>
      <c r="N300" s="108"/>
      <c r="O300" s="108"/>
      <c r="P300" s="108"/>
      <c r="Q300" s="108"/>
      <c r="R300" s="108"/>
      <c r="S300" s="108"/>
      <c r="T300" s="108"/>
      <c r="U300" s="108"/>
      <c r="V300" s="108"/>
      <c r="W300" s="108"/>
      <c r="X300" s="108"/>
      <c r="Y300" s="108"/>
    </row>
    <row r="301">
      <c r="A301" s="244"/>
      <c r="B301" s="107"/>
      <c r="C301" s="107"/>
      <c r="D301" s="115"/>
      <c r="E301" s="107"/>
      <c r="F301" s="211"/>
      <c r="G301" s="256"/>
      <c r="H301" s="239"/>
      <c r="I301" s="108"/>
      <c r="J301" s="108"/>
      <c r="K301" s="108"/>
      <c r="L301" s="108"/>
      <c r="M301" s="108"/>
      <c r="N301" s="108"/>
      <c r="O301" s="108"/>
      <c r="P301" s="108"/>
      <c r="Q301" s="108"/>
      <c r="R301" s="108"/>
      <c r="S301" s="108"/>
      <c r="T301" s="108"/>
      <c r="U301" s="108"/>
      <c r="V301" s="108"/>
      <c r="W301" s="108"/>
      <c r="X301" s="108"/>
      <c r="Y301" s="108"/>
    </row>
    <row r="302">
      <c r="A302" s="244"/>
      <c r="B302" s="107"/>
      <c r="C302" s="107"/>
      <c r="D302" s="115"/>
      <c r="E302" s="107"/>
      <c r="F302" s="211"/>
      <c r="G302" s="256"/>
      <c r="H302" s="239"/>
      <c r="I302" s="108"/>
      <c r="J302" s="108"/>
      <c r="K302" s="108"/>
      <c r="L302" s="108"/>
      <c r="M302" s="108"/>
      <c r="N302" s="108"/>
      <c r="O302" s="108"/>
      <c r="P302" s="108"/>
      <c r="Q302" s="108"/>
      <c r="R302" s="108"/>
      <c r="S302" s="108"/>
      <c r="T302" s="108"/>
      <c r="U302" s="108"/>
      <c r="V302" s="108"/>
      <c r="W302" s="108"/>
      <c r="X302" s="108"/>
      <c r="Y302" s="108"/>
    </row>
    <row r="303">
      <c r="A303" s="244"/>
      <c r="B303" s="107"/>
      <c r="C303" s="107"/>
      <c r="D303" s="115"/>
      <c r="E303" s="107"/>
      <c r="F303" s="211"/>
      <c r="G303" s="256"/>
      <c r="H303" s="239"/>
      <c r="I303" s="108"/>
      <c r="J303" s="108"/>
      <c r="K303" s="108"/>
      <c r="L303" s="108"/>
      <c r="M303" s="108"/>
      <c r="N303" s="108"/>
      <c r="O303" s="108"/>
      <c r="P303" s="108"/>
      <c r="Q303" s="108"/>
      <c r="R303" s="108"/>
      <c r="S303" s="108"/>
      <c r="T303" s="108"/>
      <c r="U303" s="108"/>
      <c r="V303" s="108"/>
      <c r="W303" s="108"/>
      <c r="X303" s="108"/>
      <c r="Y303" s="108"/>
    </row>
    <row r="304">
      <c r="A304" s="244"/>
      <c r="B304" s="107"/>
      <c r="C304" s="107"/>
      <c r="D304" s="115"/>
      <c r="E304" s="107"/>
      <c r="F304" s="211"/>
      <c r="G304" s="256"/>
      <c r="H304" s="239"/>
      <c r="I304" s="108"/>
      <c r="J304" s="108"/>
      <c r="K304" s="108"/>
      <c r="L304" s="108"/>
      <c r="M304" s="108"/>
      <c r="N304" s="108"/>
      <c r="O304" s="108"/>
      <c r="P304" s="108"/>
      <c r="Q304" s="108"/>
      <c r="R304" s="108"/>
      <c r="S304" s="108"/>
      <c r="T304" s="108"/>
      <c r="U304" s="108"/>
      <c r="V304" s="108"/>
      <c r="W304" s="108"/>
      <c r="X304" s="108"/>
      <c r="Y304" s="108"/>
    </row>
    <row r="305">
      <c r="A305" s="244"/>
      <c r="B305" s="107"/>
      <c r="C305" s="107"/>
      <c r="D305" s="115"/>
      <c r="E305" s="107"/>
      <c r="F305" s="211"/>
      <c r="G305" s="256"/>
      <c r="H305" s="239"/>
      <c r="I305" s="108"/>
      <c r="J305" s="108"/>
      <c r="K305" s="108"/>
      <c r="L305" s="108"/>
      <c r="M305" s="108"/>
      <c r="N305" s="108"/>
      <c r="O305" s="108"/>
      <c r="P305" s="108"/>
      <c r="Q305" s="108"/>
      <c r="R305" s="108"/>
      <c r="S305" s="108"/>
      <c r="T305" s="108"/>
      <c r="U305" s="108"/>
      <c r="V305" s="108"/>
      <c r="W305" s="108"/>
      <c r="X305" s="108"/>
      <c r="Y305" s="108"/>
    </row>
    <row r="306">
      <c r="A306" s="244"/>
      <c r="B306" s="107"/>
      <c r="C306" s="107"/>
      <c r="D306" s="115"/>
      <c r="E306" s="107"/>
      <c r="F306" s="211"/>
      <c r="G306" s="256"/>
      <c r="H306" s="239"/>
      <c r="I306" s="108"/>
      <c r="J306" s="108"/>
      <c r="K306" s="108"/>
      <c r="L306" s="108"/>
      <c r="M306" s="108"/>
      <c r="N306" s="108"/>
      <c r="O306" s="108"/>
      <c r="P306" s="108"/>
      <c r="Q306" s="108"/>
      <c r="R306" s="108"/>
      <c r="S306" s="108"/>
      <c r="T306" s="108"/>
      <c r="U306" s="108"/>
      <c r="V306" s="108"/>
      <c r="W306" s="108"/>
      <c r="X306" s="108"/>
      <c r="Y306" s="108"/>
    </row>
    <row r="307">
      <c r="A307" s="244"/>
      <c r="B307" s="107"/>
      <c r="C307" s="107"/>
      <c r="D307" s="115"/>
      <c r="E307" s="107"/>
      <c r="F307" s="211"/>
      <c r="G307" s="256"/>
      <c r="H307" s="239"/>
      <c r="I307" s="108"/>
      <c r="J307" s="108"/>
      <c r="K307" s="108"/>
      <c r="L307" s="108"/>
      <c r="M307" s="108"/>
      <c r="N307" s="108"/>
      <c r="O307" s="108"/>
      <c r="P307" s="108"/>
      <c r="Q307" s="108"/>
      <c r="R307" s="108"/>
      <c r="S307" s="108"/>
      <c r="T307" s="108"/>
      <c r="U307" s="108"/>
      <c r="V307" s="108"/>
      <c r="W307" s="108"/>
      <c r="X307" s="108"/>
      <c r="Y307" s="108"/>
    </row>
    <row r="308">
      <c r="A308" s="244"/>
      <c r="B308" s="107"/>
      <c r="C308" s="107"/>
      <c r="D308" s="115"/>
      <c r="E308" s="107"/>
      <c r="F308" s="211"/>
      <c r="G308" s="256"/>
      <c r="H308" s="239"/>
      <c r="I308" s="108"/>
      <c r="J308" s="108"/>
      <c r="K308" s="108"/>
      <c r="L308" s="108"/>
      <c r="M308" s="108"/>
      <c r="N308" s="108"/>
      <c r="O308" s="108"/>
      <c r="P308" s="108"/>
      <c r="Q308" s="108"/>
      <c r="R308" s="108"/>
      <c r="S308" s="108"/>
      <c r="T308" s="108"/>
      <c r="U308" s="108"/>
      <c r="V308" s="108"/>
      <c r="W308" s="108"/>
      <c r="X308" s="108"/>
      <c r="Y308" s="108"/>
    </row>
    <row r="309">
      <c r="A309" s="244"/>
      <c r="B309" s="107"/>
      <c r="C309" s="107"/>
      <c r="D309" s="115"/>
      <c r="E309" s="107"/>
      <c r="F309" s="211"/>
      <c r="G309" s="256"/>
      <c r="H309" s="239"/>
      <c r="I309" s="108"/>
      <c r="J309" s="108"/>
      <c r="K309" s="108"/>
      <c r="L309" s="108"/>
      <c r="M309" s="108"/>
      <c r="N309" s="108"/>
      <c r="O309" s="108"/>
      <c r="P309" s="108"/>
      <c r="Q309" s="108"/>
      <c r="R309" s="108"/>
      <c r="S309" s="108"/>
      <c r="T309" s="108"/>
      <c r="U309" s="108"/>
      <c r="V309" s="108"/>
      <c r="W309" s="108"/>
      <c r="X309" s="108"/>
      <c r="Y309" s="108"/>
    </row>
    <row r="310">
      <c r="A310" s="244"/>
      <c r="B310" s="107"/>
      <c r="C310" s="107"/>
      <c r="D310" s="115"/>
      <c r="E310" s="107"/>
      <c r="F310" s="211"/>
      <c r="G310" s="256"/>
      <c r="H310" s="239"/>
      <c r="I310" s="108"/>
      <c r="J310" s="108"/>
      <c r="K310" s="108"/>
      <c r="L310" s="108"/>
      <c r="M310" s="108"/>
      <c r="N310" s="108"/>
      <c r="O310" s="108"/>
      <c r="P310" s="108"/>
      <c r="Q310" s="108"/>
      <c r="R310" s="108"/>
      <c r="S310" s="108"/>
      <c r="T310" s="108"/>
      <c r="U310" s="108"/>
      <c r="V310" s="108"/>
      <c r="W310" s="108"/>
      <c r="X310" s="108"/>
      <c r="Y310" s="108"/>
    </row>
    <row r="311">
      <c r="A311" s="244"/>
      <c r="B311" s="107"/>
      <c r="C311" s="107"/>
      <c r="D311" s="115"/>
      <c r="E311" s="107"/>
      <c r="F311" s="211"/>
      <c r="G311" s="256"/>
      <c r="H311" s="239"/>
      <c r="I311" s="108"/>
      <c r="J311" s="108"/>
      <c r="K311" s="108"/>
      <c r="L311" s="108"/>
      <c r="M311" s="108"/>
      <c r="N311" s="108"/>
      <c r="O311" s="108"/>
      <c r="P311" s="108"/>
      <c r="Q311" s="108"/>
      <c r="R311" s="108"/>
      <c r="S311" s="108"/>
      <c r="T311" s="108"/>
      <c r="U311" s="108"/>
      <c r="V311" s="108"/>
      <c r="W311" s="108"/>
      <c r="X311" s="108"/>
      <c r="Y311" s="108"/>
    </row>
    <row r="312">
      <c r="A312" s="244"/>
      <c r="B312" s="107"/>
      <c r="C312" s="107"/>
      <c r="D312" s="115"/>
      <c r="E312" s="107"/>
      <c r="F312" s="211"/>
      <c r="G312" s="256"/>
      <c r="H312" s="239"/>
      <c r="I312" s="108"/>
      <c r="J312" s="108"/>
      <c r="K312" s="108"/>
      <c r="L312" s="108"/>
      <c r="M312" s="108"/>
      <c r="N312" s="108"/>
      <c r="O312" s="108"/>
      <c r="P312" s="108"/>
      <c r="Q312" s="108"/>
      <c r="R312" s="108"/>
      <c r="S312" s="108"/>
      <c r="T312" s="108"/>
      <c r="U312" s="108"/>
      <c r="V312" s="108"/>
      <c r="W312" s="108"/>
      <c r="X312" s="108"/>
      <c r="Y312" s="108"/>
    </row>
    <row r="313">
      <c r="A313" s="244"/>
      <c r="B313" s="107"/>
      <c r="C313" s="107"/>
      <c r="D313" s="115"/>
      <c r="E313" s="107"/>
      <c r="F313" s="211"/>
      <c r="G313" s="256"/>
      <c r="H313" s="239"/>
      <c r="I313" s="108"/>
      <c r="J313" s="108"/>
      <c r="K313" s="108"/>
      <c r="L313" s="108"/>
      <c r="M313" s="108"/>
      <c r="N313" s="108"/>
      <c r="O313" s="108"/>
      <c r="P313" s="108"/>
      <c r="Q313" s="108"/>
      <c r="R313" s="108"/>
      <c r="S313" s="108"/>
      <c r="T313" s="108"/>
      <c r="U313" s="108"/>
      <c r="V313" s="108"/>
      <c r="W313" s="108"/>
      <c r="X313" s="108"/>
      <c r="Y313" s="108"/>
    </row>
    <row r="314">
      <c r="A314" s="244"/>
      <c r="B314" s="107"/>
      <c r="C314" s="107"/>
      <c r="D314" s="115"/>
      <c r="E314" s="107"/>
      <c r="F314" s="211"/>
      <c r="G314" s="256"/>
      <c r="H314" s="239"/>
      <c r="I314" s="108"/>
      <c r="J314" s="108"/>
      <c r="K314" s="108"/>
      <c r="L314" s="108"/>
      <c r="M314" s="108"/>
      <c r="N314" s="108"/>
      <c r="O314" s="108"/>
      <c r="P314" s="108"/>
      <c r="Q314" s="108"/>
      <c r="R314" s="108"/>
      <c r="S314" s="108"/>
      <c r="T314" s="108"/>
      <c r="U314" s="108"/>
      <c r="V314" s="108"/>
      <c r="W314" s="108"/>
      <c r="X314" s="108"/>
      <c r="Y314" s="108"/>
    </row>
    <row r="315">
      <c r="A315" s="244"/>
      <c r="B315" s="107"/>
      <c r="C315" s="107"/>
      <c r="D315" s="115"/>
      <c r="E315" s="107"/>
      <c r="F315" s="211"/>
      <c r="G315" s="256"/>
      <c r="H315" s="239"/>
      <c r="I315" s="108"/>
      <c r="J315" s="108"/>
      <c r="K315" s="108"/>
      <c r="L315" s="108"/>
      <c r="M315" s="108"/>
      <c r="N315" s="108"/>
      <c r="O315" s="108"/>
      <c r="P315" s="108"/>
      <c r="Q315" s="108"/>
      <c r="R315" s="108"/>
      <c r="S315" s="108"/>
      <c r="T315" s="108"/>
      <c r="U315" s="108"/>
      <c r="V315" s="108"/>
      <c r="W315" s="108"/>
      <c r="X315" s="108"/>
      <c r="Y315" s="108"/>
    </row>
    <row r="316">
      <c r="A316" s="244"/>
      <c r="B316" s="107"/>
      <c r="C316" s="107"/>
      <c r="D316" s="115"/>
      <c r="E316" s="107"/>
      <c r="F316" s="211"/>
      <c r="G316" s="256"/>
      <c r="H316" s="239"/>
      <c r="I316" s="108"/>
      <c r="J316" s="108"/>
      <c r="K316" s="108"/>
      <c r="L316" s="108"/>
      <c r="M316" s="108"/>
      <c r="N316" s="108"/>
      <c r="O316" s="108"/>
      <c r="P316" s="108"/>
      <c r="Q316" s="108"/>
      <c r="R316" s="108"/>
      <c r="S316" s="108"/>
      <c r="T316" s="108"/>
      <c r="U316" s="108"/>
      <c r="V316" s="108"/>
      <c r="W316" s="108"/>
      <c r="X316" s="108"/>
      <c r="Y316" s="108"/>
    </row>
    <row r="317">
      <c r="A317" s="244"/>
      <c r="B317" s="107"/>
      <c r="C317" s="107"/>
      <c r="D317" s="115"/>
      <c r="E317" s="107"/>
      <c r="F317" s="211"/>
      <c r="G317" s="256"/>
      <c r="H317" s="239"/>
      <c r="I317" s="108"/>
      <c r="J317" s="108"/>
      <c r="K317" s="108"/>
      <c r="L317" s="108"/>
      <c r="M317" s="108"/>
      <c r="N317" s="108"/>
      <c r="O317" s="108"/>
      <c r="P317" s="108"/>
      <c r="Q317" s="108"/>
      <c r="R317" s="108"/>
      <c r="S317" s="108"/>
      <c r="T317" s="108"/>
      <c r="U317" s="108"/>
      <c r="V317" s="108"/>
      <c r="W317" s="108"/>
      <c r="X317" s="108"/>
      <c r="Y317" s="108"/>
    </row>
    <row r="318">
      <c r="A318" s="244"/>
      <c r="B318" s="107"/>
      <c r="C318" s="107"/>
      <c r="D318" s="115"/>
      <c r="E318" s="107"/>
      <c r="F318" s="211"/>
      <c r="G318" s="256"/>
      <c r="H318" s="239"/>
      <c r="I318" s="108"/>
      <c r="J318" s="108"/>
      <c r="K318" s="108"/>
      <c r="L318" s="108"/>
      <c r="M318" s="108"/>
      <c r="N318" s="108"/>
      <c r="O318" s="108"/>
      <c r="P318" s="108"/>
      <c r="Q318" s="108"/>
      <c r="R318" s="108"/>
      <c r="S318" s="108"/>
      <c r="T318" s="108"/>
      <c r="U318" s="108"/>
      <c r="V318" s="108"/>
      <c r="W318" s="108"/>
      <c r="X318" s="108"/>
      <c r="Y318" s="108"/>
    </row>
    <row r="319">
      <c r="A319" s="244"/>
      <c r="B319" s="107"/>
      <c r="C319" s="107"/>
      <c r="D319" s="115"/>
      <c r="E319" s="107"/>
      <c r="F319" s="211"/>
      <c r="G319" s="256"/>
      <c r="H319" s="239"/>
      <c r="I319" s="108"/>
      <c r="J319" s="108"/>
      <c r="K319" s="108"/>
      <c r="L319" s="108"/>
      <c r="M319" s="108"/>
      <c r="N319" s="108"/>
      <c r="O319" s="108"/>
      <c r="P319" s="108"/>
      <c r="Q319" s="108"/>
      <c r="R319" s="108"/>
      <c r="S319" s="108"/>
      <c r="T319" s="108"/>
      <c r="U319" s="108"/>
      <c r="V319" s="108"/>
      <c r="W319" s="108"/>
      <c r="X319" s="108"/>
      <c r="Y319" s="108"/>
    </row>
    <row r="320">
      <c r="A320" s="244"/>
      <c r="B320" s="107"/>
      <c r="C320" s="107"/>
      <c r="D320" s="115"/>
      <c r="E320" s="107"/>
      <c r="F320" s="211"/>
      <c r="G320" s="256"/>
      <c r="H320" s="239"/>
      <c r="I320" s="108"/>
      <c r="J320" s="108"/>
      <c r="K320" s="108"/>
      <c r="L320" s="108"/>
      <c r="M320" s="108"/>
      <c r="N320" s="108"/>
      <c r="O320" s="108"/>
      <c r="P320" s="108"/>
      <c r="Q320" s="108"/>
      <c r="R320" s="108"/>
      <c r="S320" s="108"/>
      <c r="T320" s="108"/>
      <c r="U320" s="108"/>
      <c r="V320" s="108"/>
      <c r="W320" s="108"/>
      <c r="X320" s="108"/>
      <c r="Y320" s="108"/>
    </row>
    <row r="321">
      <c r="A321" s="244"/>
      <c r="B321" s="107"/>
      <c r="C321" s="107"/>
      <c r="D321" s="115"/>
      <c r="E321" s="107"/>
      <c r="F321" s="211"/>
      <c r="G321" s="256"/>
      <c r="H321" s="239"/>
      <c r="I321" s="108"/>
      <c r="J321" s="108"/>
      <c r="K321" s="108"/>
      <c r="L321" s="108"/>
      <c r="M321" s="108"/>
      <c r="N321" s="108"/>
      <c r="O321" s="108"/>
      <c r="P321" s="108"/>
      <c r="Q321" s="108"/>
      <c r="R321" s="108"/>
      <c r="S321" s="108"/>
      <c r="T321" s="108"/>
      <c r="U321" s="108"/>
      <c r="V321" s="108"/>
      <c r="W321" s="108"/>
      <c r="X321" s="108"/>
      <c r="Y321" s="108"/>
    </row>
    <row r="322">
      <c r="A322" s="244"/>
      <c r="B322" s="107"/>
      <c r="C322" s="107"/>
      <c r="D322" s="115"/>
      <c r="E322" s="107"/>
      <c r="F322" s="211"/>
      <c r="G322" s="256"/>
      <c r="H322" s="239"/>
      <c r="I322" s="108"/>
      <c r="J322" s="108"/>
      <c r="K322" s="108"/>
      <c r="L322" s="108"/>
      <c r="M322" s="108"/>
      <c r="N322" s="108"/>
      <c r="O322" s="108"/>
      <c r="P322" s="108"/>
      <c r="Q322" s="108"/>
      <c r="R322" s="108"/>
      <c r="S322" s="108"/>
      <c r="T322" s="108"/>
      <c r="U322" s="108"/>
      <c r="V322" s="108"/>
      <c r="W322" s="108"/>
      <c r="X322" s="108"/>
      <c r="Y322" s="108"/>
    </row>
    <row r="323">
      <c r="A323" s="244"/>
      <c r="B323" s="107"/>
      <c r="C323" s="107"/>
      <c r="D323" s="115"/>
      <c r="E323" s="107"/>
      <c r="F323" s="211"/>
      <c r="G323" s="256"/>
      <c r="H323" s="239"/>
      <c r="I323" s="108"/>
      <c r="J323" s="108"/>
      <c r="K323" s="108"/>
      <c r="L323" s="108"/>
      <c r="M323" s="108"/>
      <c r="N323" s="108"/>
      <c r="O323" s="108"/>
      <c r="P323" s="108"/>
      <c r="Q323" s="108"/>
      <c r="R323" s="108"/>
      <c r="S323" s="108"/>
      <c r="T323" s="108"/>
      <c r="U323" s="108"/>
      <c r="V323" s="108"/>
      <c r="W323" s="108"/>
      <c r="X323" s="108"/>
      <c r="Y323" s="108"/>
    </row>
    <row r="324">
      <c r="A324" s="244"/>
      <c r="B324" s="107"/>
      <c r="C324" s="107"/>
      <c r="D324" s="115"/>
      <c r="E324" s="107"/>
      <c r="F324" s="211"/>
      <c r="G324" s="256"/>
      <c r="H324" s="239"/>
      <c r="I324" s="108"/>
      <c r="J324" s="108"/>
      <c r="K324" s="108"/>
      <c r="L324" s="108"/>
      <c r="M324" s="108"/>
      <c r="N324" s="108"/>
      <c r="O324" s="108"/>
      <c r="P324" s="108"/>
      <c r="Q324" s="108"/>
      <c r="R324" s="108"/>
      <c r="S324" s="108"/>
      <c r="T324" s="108"/>
      <c r="U324" s="108"/>
      <c r="V324" s="108"/>
      <c r="W324" s="108"/>
      <c r="X324" s="108"/>
      <c r="Y324" s="108"/>
    </row>
    <row r="325">
      <c r="A325" s="244"/>
      <c r="B325" s="107"/>
      <c r="C325" s="107"/>
      <c r="D325" s="115"/>
      <c r="E325" s="107"/>
      <c r="F325" s="211"/>
      <c r="G325" s="256"/>
      <c r="H325" s="239"/>
      <c r="I325" s="108"/>
      <c r="J325" s="108"/>
      <c r="K325" s="108"/>
      <c r="L325" s="108"/>
      <c r="M325" s="108"/>
      <c r="N325" s="108"/>
      <c r="O325" s="108"/>
      <c r="P325" s="108"/>
      <c r="Q325" s="108"/>
      <c r="R325" s="108"/>
      <c r="S325" s="108"/>
      <c r="T325" s="108"/>
      <c r="U325" s="108"/>
      <c r="V325" s="108"/>
      <c r="W325" s="108"/>
      <c r="X325" s="108"/>
      <c r="Y325" s="108"/>
    </row>
    <row r="326">
      <c r="A326" s="244"/>
      <c r="B326" s="107"/>
      <c r="C326" s="107"/>
      <c r="D326" s="115"/>
      <c r="E326" s="107"/>
      <c r="F326" s="211"/>
      <c r="G326" s="256"/>
      <c r="H326" s="239"/>
      <c r="I326" s="108"/>
      <c r="J326" s="108"/>
      <c r="K326" s="108"/>
      <c r="L326" s="108"/>
      <c r="M326" s="108"/>
      <c r="N326" s="108"/>
      <c r="O326" s="108"/>
      <c r="P326" s="108"/>
      <c r="Q326" s="108"/>
      <c r="R326" s="108"/>
      <c r="S326" s="108"/>
      <c r="T326" s="108"/>
      <c r="U326" s="108"/>
      <c r="V326" s="108"/>
      <c r="W326" s="108"/>
      <c r="X326" s="108"/>
      <c r="Y326" s="108"/>
    </row>
    <row r="327">
      <c r="A327" s="244"/>
      <c r="B327" s="107"/>
      <c r="C327" s="107"/>
      <c r="D327" s="115"/>
      <c r="E327" s="107"/>
      <c r="F327" s="211"/>
      <c r="G327" s="256"/>
      <c r="H327" s="239"/>
      <c r="I327" s="108"/>
      <c r="J327" s="108"/>
      <c r="K327" s="108"/>
      <c r="L327" s="108"/>
      <c r="M327" s="108"/>
      <c r="N327" s="108"/>
      <c r="O327" s="108"/>
      <c r="P327" s="108"/>
      <c r="Q327" s="108"/>
      <c r="R327" s="108"/>
      <c r="S327" s="108"/>
      <c r="T327" s="108"/>
      <c r="U327" s="108"/>
      <c r="V327" s="108"/>
      <c r="W327" s="108"/>
      <c r="X327" s="108"/>
      <c r="Y327" s="108"/>
    </row>
    <row r="328">
      <c r="A328" s="244"/>
      <c r="B328" s="107"/>
      <c r="C328" s="107"/>
      <c r="D328" s="115"/>
      <c r="E328" s="107"/>
      <c r="F328" s="211"/>
      <c r="G328" s="256"/>
      <c r="H328" s="239"/>
      <c r="I328" s="108"/>
      <c r="J328" s="108"/>
      <c r="K328" s="108"/>
      <c r="L328" s="108"/>
      <c r="M328" s="108"/>
      <c r="N328" s="108"/>
      <c r="O328" s="108"/>
      <c r="P328" s="108"/>
      <c r="Q328" s="108"/>
      <c r="R328" s="108"/>
      <c r="S328" s="108"/>
      <c r="T328" s="108"/>
      <c r="U328" s="108"/>
      <c r="V328" s="108"/>
      <c r="W328" s="108"/>
      <c r="X328" s="108"/>
      <c r="Y328" s="108"/>
    </row>
    <row r="329">
      <c r="A329" s="244"/>
      <c r="B329" s="107"/>
      <c r="C329" s="107"/>
      <c r="D329" s="115"/>
      <c r="E329" s="107"/>
      <c r="F329" s="211"/>
      <c r="G329" s="256"/>
      <c r="H329" s="239"/>
      <c r="I329" s="108"/>
      <c r="J329" s="108"/>
      <c r="K329" s="108"/>
      <c r="L329" s="108"/>
      <c r="M329" s="108"/>
      <c r="N329" s="108"/>
      <c r="O329" s="108"/>
      <c r="P329" s="108"/>
      <c r="Q329" s="108"/>
      <c r="R329" s="108"/>
      <c r="S329" s="108"/>
      <c r="T329" s="108"/>
      <c r="U329" s="108"/>
      <c r="V329" s="108"/>
      <c r="W329" s="108"/>
      <c r="X329" s="108"/>
      <c r="Y329" s="108"/>
    </row>
    <row r="330">
      <c r="A330" s="244"/>
      <c r="B330" s="107"/>
      <c r="C330" s="107"/>
      <c r="D330" s="115"/>
      <c r="E330" s="107"/>
      <c r="F330" s="211"/>
      <c r="G330" s="256"/>
      <c r="H330" s="239"/>
      <c r="I330" s="108"/>
      <c r="J330" s="108"/>
      <c r="K330" s="108"/>
      <c r="L330" s="108"/>
      <c r="M330" s="108"/>
      <c r="N330" s="108"/>
      <c r="O330" s="108"/>
      <c r="P330" s="108"/>
      <c r="Q330" s="108"/>
      <c r="R330" s="108"/>
      <c r="S330" s="108"/>
      <c r="T330" s="108"/>
      <c r="U330" s="108"/>
      <c r="V330" s="108"/>
      <c r="W330" s="108"/>
      <c r="X330" s="108"/>
      <c r="Y330" s="108"/>
    </row>
    <row r="331">
      <c r="A331" s="244"/>
      <c r="B331" s="107"/>
      <c r="C331" s="107"/>
      <c r="D331" s="115"/>
      <c r="E331" s="107"/>
      <c r="F331" s="211"/>
      <c r="G331" s="256"/>
      <c r="H331" s="239"/>
      <c r="I331" s="108"/>
      <c r="J331" s="108"/>
      <c r="K331" s="108"/>
      <c r="L331" s="108"/>
      <c r="M331" s="108"/>
      <c r="N331" s="108"/>
      <c r="O331" s="108"/>
      <c r="P331" s="108"/>
      <c r="Q331" s="108"/>
      <c r="R331" s="108"/>
      <c r="S331" s="108"/>
      <c r="T331" s="108"/>
      <c r="U331" s="108"/>
      <c r="V331" s="108"/>
      <c r="W331" s="108"/>
      <c r="X331" s="108"/>
      <c r="Y331" s="108"/>
    </row>
    <row r="332">
      <c r="A332" s="244"/>
      <c r="B332" s="107"/>
      <c r="C332" s="107"/>
      <c r="D332" s="115"/>
      <c r="E332" s="107"/>
      <c r="F332" s="211"/>
      <c r="G332" s="256"/>
      <c r="H332" s="239"/>
      <c r="I332" s="108"/>
      <c r="J332" s="108"/>
      <c r="K332" s="108"/>
      <c r="L332" s="108"/>
      <c r="M332" s="108"/>
      <c r="N332" s="108"/>
      <c r="O332" s="108"/>
      <c r="P332" s="108"/>
      <c r="Q332" s="108"/>
      <c r="R332" s="108"/>
      <c r="S332" s="108"/>
      <c r="T332" s="108"/>
      <c r="U332" s="108"/>
      <c r="V332" s="108"/>
      <c r="W332" s="108"/>
      <c r="X332" s="108"/>
      <c r="Y332" s="108"/>
    </row>
    <row r="333">
      <c r="A333" s="244"/>
      <c r="B333" s="107"/>
      <c r="C333" s="107"/>
      <c r="D333" s="115"/>
      <c r="E333" s="107"/>
      <c r="F333" s="211"/>
      <c r="G333" s="256"/>
      <c r="H333" s="239"/>
      <c r="I333" s="108"/>
      <c r="J333" s="108"/>
      <c r="K333" s="108"/>
      <c r="L333" s="108"/>
      <c r="M333" s="108"/>
      <c r="N333" s="108"/>
      <c r="O333" s="108"/>
      <c r="P333" s="108"/>
      <c r="Q333" s="108"/>
      <c r="R333" s="108"/>
      <c r="S333" s="108"/>
      <c r="T333" s="108"/>
      <c r="U333" s="108"/>
      <c r="V333" s="108"/>
      <c r="W333" s="108"/>
      <c r="X333" s="108"/>
      <c r="Y333" s="108"/>
    </row>
    <row r="334">
      <c r="A334" s="244"/>
      <c r="B334" s="107"/>
      <c r="C334" s="107"/>
      <c r="D334" s="115"/>
      <c r="E334" s="107"/>
      <c r="F334" s="211"/>
      <c r="G334" s="256"/>
      <c r="H334" s="239"/>
      <c r="I334" s="108"/>
      <c r="J334" s="108"/>
      <c r="K334" s="108"/>
      <c r="L334" s="108"/>
      <c r="M334" s="108"/>
      <c r="N334" s="108"/>
      <c r="O334" s="108"/>
      <c r="P334" s="108"/>
      <c r="Q334" s="108"/>
      <c r="R334" s="108"/>
      <c r="S334" s="108"/>
      <c r="T334" s="108"/>
      <c r="U334" s="108"/>
      <c r="V334" s="108"/>
      <c r="W334" s="108"/>
      <c r="X334" s="108"/>
      <c r="Y334" s="108"/>
    </row>
    <row r="335">
      <c r="A335" s="244"/>
      <c r="B335" s="107"/>
      <c r="C335" s="107"/>
      <c r="D335" s="115"/>
      <c r="E335" s="107"/>
      <c r="F335" s="211"/>
      <c r="G335" s="256"/>
      <c r="H335" s="239"/>
      <c r="I335" s="108"/>
      <c r="J335" s="108"/>
      <c r="K335" s="108"/>
      <c r="L335" s="108"/>
      <c r="M335" s="108"/>
      <c r="N335" s="108"/>
      <c r="O335" s="108"/>
      <c r="P335" s="108"/>
      <c r="Q335" s="108"/>
      <c r="R335" s="108"/>
      <c r="S335" s="108"/>
      <c r="T335" s="108"/>
      <c r="U335" s="108"/>
      <c r="V335" s="108"/>
      <c r="W335" s="108"/>
      <c r="X335" s="108"/>
      <c r="Y335" s="108"/>
    </row>
    <row r="336">
      <c r="A336" s="244"/>
      <c r="B336" s="107"/>
      <c r="C336" s="107"/>
      <c r="D336" s="115"/>
      <c r="E336" s="107"/>
      <c r="F336" s="211"/>
      <c r="G336" s="256"/>
      <c r="H336" s="239"/>
      <c r="I336" s="108"/>
      <c r="J336" s="108"/>
      <c r="K336" s="108"/>
      <c r="L336" s="108"/>
      <c r="M336" s="108"/>
      <c r="N336" s="108"/>
      <c r="O336" s="108"/>
      <c r="P336" s="108"/>
      <c r="Q336" s="108"/>
      <c r="R336" s="108"/>
      <c r="S336" s="108"/>
      <c r="T336" s="108"/>
      <c r="U336" s="108"/>
      <c r="V336" s="108"/>
      <c r="W336" s="108"/>
      <c r="X336" s="108"/>
      <c r="Y336" s="108"/>
    </row>
    <row r="337">
      <c r="A337" s="244"/>
      <c r="B337" s="107"/>
      <c r="C337" s="107"/>
      <c r="D337" s="115"/>
      <c r="E337" s="107"/>
      <c r="F337" s="211"/>
      <c r="G337" s="256"/>
      <c r="H337" s="239"/>
      <c r="I337" s="108"/>
      <c r="J337" s="108"/>
      <c r="K337" s="108"/>
      <c r="L337" s="108"/>
      <c r="M337" s="108"/>
      <c r="N337" s="108"/>
      <c r="O337" s="108"/>
      <c r="P337" s="108"/>
      <c r="Q337" s="108"/>
      <c r="R337" s="108"/>
      <c r="S337" s="108"/>
      <c r="T337" s="108"/>
      <c r="U337" s="108"/>
      <c r="V337" s="108"/>
      <c r="W337" s="108"/>
      <c r="X337" s="108"/>
      <c r="Y337" s="108"/>
    </row>
    <row r="338">
      <c r="A338" s="244"/>
      <c r="B338" s="107"/>
      <c r="C338" s="107"/>
      <c r="D338" s="115"/>
      <c r="E338" s="107"/>
      <c r="F338" s="211"/>
      <c r="G338" s="256"/>
      <c r="H338" s="239"/>
      <c r="I338" s="108"/>
      <c r="J338" s="108"/>
      <c r="K338" s="108"/>
      <c r="L338" s="108"/>
      <c r="M338" s="108"/>
      <c r="N338" s="108"/>
      <c r="O338" s="108"/>
      <c r="P338" s="108"/>
      <c r="Q338" s="108"/>
      <c r="R338" s="108"/>
      <c r="S338" s="108"/>
      <c r="T338" s="108"/>
      <c r="U338" s="108"/>
      <c r="V338" s="108"/>
      <c r="W338" s="108"/>
      <c r="X338" s="108"/>
      <c r="Y338" s="108"/>
    </row>
    <row r="339">
      <c r="A339" s="244"/>
      <c r="B339" s="107"/>
      <c r="C339" s="107"/>
      <c r="D339" s="115"/>
      <c r="E339" s="107"/>
      <c r="F339" s="211"/>
      <c r="G339" s="256"/>
      <c r="H339" s="239"/>
      <c r="I339" s="108"/>
      <c r="J339" s="108"/>
      <c r="K339" s="108"/>
      <c r="L339" s="108"/>
      <c r="M339" s="108"/>
      <c r="N339" s="108"/>
      <c r="O339" s="108"/>
      <c r="P339" s="108"/>
      <c r="Q339" s="108"/>
      <c r="R339" s="108"/>
      <c r="S339" s="108"/>
      <c r="T339" s="108"/>
      <c r="U339" s="108"/>
      <c r="V339" s="108"/>
      <c r="W339" s="108"/>
      <c r="X339" s="108"/>
      <c r="Y339" s="108"/>
    </row>
    <row r="340">
      <c r="A340" s="244"/>
      <c r="B340" s="107"/>
      <c r="C340" s="107"/>
      <c r="D340" s="115"/>
      <c r="E340" s="107"/>
      <c r="F340" s="211"/>
      <c r="G340" s="256"/>
      <c r="H340" s="239"/>
      <c r="I340" s="108"/>
      <c r="J340" s="108"/>
      <c r="K340" s="108"/>
      <c r="L340" s="108"/>
      <c r="M340" s="108"/>
      <c r="N340" s="108"/>
      <c r="O340" s="108"/>
      <c r="P340" s="108"/>
      <c r="Q340" s="108"/>
      <c r="R340" s="108"/>
      <c r="S340" s="108"/>
      <c r="T340" s="108"/>
      <c r="U340" s="108"/>
      <c r="V340" s="108"/>
      <c r="W340" s="108"/>
      <c r="X340" s="108"/>
      <c r="Y340" s="108"/>
    </row>
    <row r="341">
      <c r="A341" s="244"/>
      <c r="B341" s="107"/>
      <c r="C341" s="107"/>
      <c r="D341" s="115"/>
      <c r="E341" s="107"/>
      <c r="F341" s="211"/>
      <c r="G341" s="256"/>
      <c r="H341" s="239"/>
      <c r="I341" s="108"/>
      <c r="J341" s="108"/>
      <c r="K341" s="108"/>
      <c r="L341" s="108"/>
      <c r="M341" s="108"/>
      <c r="N341" s="108"/>
      <c r="O341" s="108"/>
      <c r="P341" s="108"/>
      <c r="Q341" s="108"/>
      <c r="R341" s="108"/>
      <c r="S341" s="108"/>
      <c r="T341" s="108"/>
      <c r="U341" s="108"/>
      <c r="V341" s="108"/>
      <c r="W341" s="108"/>
      <c r="X341" s="108"/>
      <c r="Y341" s="108"/>
    </row>
    <row r="342">
      <c r="A342" s="244"/>
      <c r="B342" s="107"/>
      <c r="C342" s="107"/>
      <c r="D342" s="115"/>
      <c r="E342" s="107"/>
      <c r="F342" s="211"/>
      <c r="G342" s="256"/>
      <c r="H342" s="239"/>
      <c r="I342" s="108"/>
      <c r="J342" s="108"/>
      <c r="K342" s="108"/>
      <c r="L342" s="108"/>
      <c r="M342" s="108"/>
      <c r="N342" s="108"/>
      <c r="O342" s="108"/>
      <c r="P342" s="108"/>
      <c r="Q342" s="108"/>
      <c r="R342" s="108"/>
      <c r="S342" s="108"/>
      <c r="T342" s="108"/>
      <c r="U342" s="108"/>
      <c r="V342" s="108"/>
      <c r="W342" s="108"/>
      <c r="X342" s="108"/>
      <c r="Y342" s="108"/>
    </row>
    <row r="343">
      <c r="A343" s="244"/>
      <c r="B343" s="107"/>
      <c r="C343" s="107"/>
      <c r="D343" s="115"/>
      <c r="E343" s="107"/>
      <c r="F343" s="211"/>
      <c r="G343" s="256"/>
      <c r="H343" s="239"/>
      <c r="I343" s="108"/>
      <c r="J343" s="108"/>
      <c r="K343" s="108"/>
      <c r="L343" s="108"/>
      <c r="M343" s="108"/>
      <c r="N343" s="108"/>
      <c r="O343" s="108"/>
      <c r="P343" s="108"/>
      <c r="Q343" s="108"/>
      <c r="R343" s="108"/>
      <c r="S343" s="108"/>
      <c r="T343" s="108"/>
      <c r="U343" s="108"/>
      <c r="V343" s="108"/>
      <c r="W343" s="108"/>
      <c r="X343" s="108"/>
      <c r="Y343" s="108"/>
    </row>
    <row r="344">
      <c r="A344" s="244"/>
      <c r="B344" s="107"/>
      <c r="C344" s="107"/>
      <c r="D344" s="115"/>
      <c r="E344" s="107"/>
      <c r="F344" s="211"/>
      <c r="G344" s="256"/>
      <c r="H344" s="239"/>
      <c r="I344" s="108"/>
      <c r="J344" s="108"/>
      <c r="K344" s="108"/>
      <c r="L344" s="108"/>
      <c r="M344" s="108"/>
      <c r="N344" s="108"/>
      <c r="O344" s="108"/>
      <c r="P344" s="108"/>
      <c r="Q344" s="108"/>
      <c r="R344" s="108"/>
      <c r="S344" s="108"/>
      <c r="T344" s="108"/>
      <c r="U344" s="108"/>
      <c r="V344" s="108"/>
      <c r="W344" s="108"/>
      <c r="X344" s="108"/>
      <c r="Y344" s="108"/>
    </row>
    <row r="345">
      <c r="A345" s="244"/>
      <c r="B345" s="107"/>
      <c r="C345" s="107"/>
      <c r="D345" s="115"/>
      <c r="E345" s="107"/>
      <c r="F345" s="211"/>
      <c r="G345" s="256"/>
      <c r="H345" s="239"/>
      <c r="I345" s="108"/>
      <c r="J345" s="108"/>
      <c r="K345" s="108"/>
      <c r="L345" s="108"/>
      <c r="M345" s="108"/>
      <c r="N345" s="108"/>
      <c r="O345" s="108"/>
      <c r="P345" s="108"/>
      <c r="Q345" s="108"/>
      <c r="R345" s="108"/>
      <c r="S345" s="108"/>
      <c r="T345" s="108"/>
      <c r="U345" s="108"/>
      <c r="V345" s="108"/>
      <c r="W345" s="108"/>
      <c r="X345" s="108"/>
      <c r="Y345" s="108"/>
    </row>
    <row r="346">
      <c r="A346" s="244"/>
      <c r="B346" s="107"/>
      <c r="C346" s="107"/>
      <c r="D346" s="115"/>
      <c r="E346" s="107"/>
      <c r="F346" s="211"/>
      <c r="G346" s="256"/>
      <c r="H346" s="239"/>
      <c r="I346" s="108"/>
      <c r="J346" s="108"/>
      <c r="K346" s="108"/>
      <c r="L346" s="108"/>
      <c r="M346" s="108"/>
      <c r="N346" s="108"/>
      <c r="O346" s="108"/>
      <c r="P346" s="108"/>
      <c r="Q346" s="108"/>
      <c r="R346" s="108"/>
      <c r="S346" s="108"/>
      <c r="T346" s="108"/>
      <c r="U346" s="108"/>
      <c r="V346" s="108"/>
      <c r="W346" s="108"/>
      <c r="X346" s="108"/>
      <c r="Y346" s="108"/>
    </row>
    <row r="347">
      <c r="A347" s="244"/>
      <c r="B347" s="107"/>
      <c r="C347" s="107"/>
      <c r="D347" s="115"/>
      <c r="E347" s="107"/>
      <c r="F347" s="211"/>
      <c r="G347" s="256"/>
      <c r="H347" s="239"/>
      <c r="I347" s="108"/>
      <c r="J347" s="108"/>
      <c r="K347" s="108"/>
      <c r="L347" s="108"/>
      <c r="M347" s="108"/>
      <c r="N347" s="108"/>
      <c r="O347" s="108"/>
      <c r="P347" s="108"/>
      <c r="Q347" s="108"/>
      <c r="R347" s="108"/>
      <c r="S347" s="108"/>
      <c r="T347" s="108"/>
      <c r="U347" s="108"/>
      <c r="V347" s="108"/>
      <c r="W347" s="108"/>
      <c r="X347" s="108"/>
      <c r="Y347" s="108"/>
    </row>
    <row r="348">
      <c r="A348" s="244"/>
      <c r="B348" s="107"/>
      <c r="C348" s="107"/>
      <c r="D348" s="115"/>
      <c r="E348" s="107"/>
      <c r="F348" s="211"/>
      <c r="G348" s="256"/>
      <c r="H348" s="239"/>
      <c r="I348" s="108"/>
      <c r="J348" s="108"/>
      <c r="K348" s="108"/>
      <c r="L348" s="108"/>
      <c r="M348" s="108"/>
      <c r="N348" s="108"/>
      <c r="O348" s="108"/>
      <c r="P348" s="108"/>
      <c r="Q348" s="108"/>
      <c r="R348" s="108"/>
      <c r="S348" s="108"/>
      <c r="T348" s="108"/>
      <c r="U348" s="108"/>
      <c r="V348" s="108"/>
      <c r="W348" s="108"/>
      <c r="X348" s="108"/>
      <c r="Y348" s="108"/>
    </row>
    <row r="349">
      <c r="A349" s="244"/>
      <c r="B349" s="107"/>
      <c r="C349" s="107"/>
      <c r="D349" s="115"/>
      <c r="E349" s="107"/>
      <c r="F349" s="211"/>
      <c r="G349" s="256"/>
      <c r="H349" s="239"/>
      <c r="I349" s="108"/>
      <c r="J349" s="108"/>
      <c r="K349" s="108"/>
      <c r="L349" s="108"/>
      <c r="M349" s="108"/>
      <c r="N349" s="108"/>
      <c r="O349" s="108"/>
      <c r="P349" s="108"/>
      <c r="Q349" s="108"/>
      <c r="R349" s="108"/>
      <c r="S349" s="108"/>
      <c r="T349" s="108"/>
      <c r="U349" s="108"/>
      <c r="V349" s="108"/>
      <c r="W349" s="108"/>
      <c r="X349" s="108"/>
      <c r="Y349" s="108"/>
    </row>
    <row r="350">
      <c r="A350" s="244"/>
      <c r="B350" s="107"/>
      <c r="C350" s="107"/>
      <c r="D350" s="115"/>
      <c r="E350" s="107"/>
      <c r="F350" s="211"/>
      <c r="G350" s="256"/>
      <c r="H350" s="239"/>
      <c r="I350" s="108"/>
      <c r="J350" s="108"/>
      <c r="K350" s="108"/>
      <c r="L350" s="108"/>
      <c r="M350" s="108"/>
      <c r="N350" s="108"/>
      <c r="O350" s="108"/>
      <c r="P350" s="108"/>
      <c r="Q350" s="108"/>
      <c r="R350" s="108"/>
      <c r="S350" s="108"/>
      <c r="T350" s="108"/>
      <c r="U350" s="108"/>
      <c r="V350" s="108"/>
      <c r="W350" s="108"/>
      <c r="X350" s="108"/>
      <c r="Y350" s="108"/>
    </row>
    <row r="351">
      <c r="A351" s="244"/>
      <c r="B351" s="107"/>
      <c r="C351" s="107"/>
      <c r="D351" s="115"/>
      <c r="E351" s="107"/>
      <c r="F351" s="211"/>
      <c r="G351" s="256"/>
      <c r="H351" s="239"/>
      <c r="I351" s="108"/>
      <c r="J351" s="108"/>
      <c r="K351" s="108"/>
      <c r="L351" s="108"/>
      <c r="M351" s="108"/>
      <c r="N351" s="108"/>
      <c r="O351" s="108"/>
      <c r="P351" s="108"/>
      <c r="Q351" s="108"/>
      <c r="R351" s="108"/>
      <c r="S351" s="108"/>
      <c r="T351" s="108"/>
      <c r="U351" s="108"/>
      <c r="V351" s="108"/>
      <c r="W351" s="108"/>
      <c r="X351" s="108"/>
      <c r="Y351" s="108"/>
    </row>
    <row r="352">
      <c r="A352" s="244"/>
      <c r="B352" s="107"/>
      <c r="C352" s="107"/>
      <c r="D352" s="115"/>
      <c r="E352" s="107"/>
      <c r="F352" s="211"/>
      <c r="G352" s="256"/>
      <c r="H352" s="239"/>
      <c r="I352" s="108"/>
      <c r="J352" s="108"/>
      <c r="K352" s="108"/>
      <c r="L352" s="108"/>
      <c r="M352" s="108"/>
      <c r="N352" s="108"/>
      <c r="O352" s="108"/>
      <c r="P352" s="108"/>
      <c r="Q352" s="108"/>
      <c r="R352" s="108"/>
      <c r="S352" s="108"/>
      <c r="T352" s="108"/>
      <c r="U352" s="108"/>
      <c r="V352" s="108"/>
      <c r="W352" s="108"/>
      <c r="X352" s="108"/>
      <c r="Y352" s="108"/>
    </row>
    <row r="353">
      <c r="A353" s="244"/>
      <c r="B353" s="107"/>
      <c r="C353" s="107"/>
      <c r="D353" s="115"/>
      <c r="E353" s="107"/>
      <c r="F353" s="211"/>
      <c r="G353" s="256"/>
      <c r="H353" s="239"/>
      <c r="I353" s="108"/>
      <c r="J353" s="108"/>
      <c r="K353" s="108"/>
      <c r="L353" s="108"/>
      <c r="M353" s="108"/>
      <c r="N353" s="108"/>
      <c r="O353" s="108"/>
      <c r="P353" s="108"/>
      <c r="Q353" s="108"/>
      <c r="R353" s="108"/>
      <c r="S353" s="108"/>
      <c r="T353" s="108"/>
      <c r="U353" s="108"/>
      <c r="V353" s="108"/>
      <c r="W353" s="108"/>
      <c r="X353" s="108"/>
      <c r="Y353" s="108"/>
    </row>
    <row r="354">
      <c r="A354" s="244"/>
      <c r="B354" s="107"/>
      <c r="C354" s="107"/>
      <c r="D354" s="115"/>
      <c r="E354" s="107"/>
      <c r="F354" s="211"/>
      <c r="G354" s="256"/>
      <c r="H354" s="239"/>
      <c r="I354" s="108"/>
      <c r="J354" s="108"/>
      <c r="K354" s="108"/>
      <c r="L354" s="108"/>
      <c r="M354" s="108"/>
      <c r="N354" s="108"/>
      <c r="O354" s="108"/>
      <c r="P354" s="108"/>
      <c r="Q354" s="108"/>
      <c r="R354" s="108"/>
      <c r="S354" s="108"/>
      <c r="T354" s="108"/>
      <c r="U354" s="108"/>
      <c r="V354" s="108"/>
      <c r="W354" s="108"/>
      <c r="X354" s="108"/>
      <c r="Y354" s="108"/>
    </row>
    <row r="355">
      <c r="A355" s="244"/>
      <c r="B355" s="107"/>
      <c r="C355" s="107"/>
      <c r="D355" s="115"/>
      <c r="E355" s="107"/>
      <c r="F355" s="211"/>
      <c r="G355" s="256"/>
      <c r="H355" s="239"/>
      <c r="I355" s="108"/>
      <c r="J355" s="108"/>
      <c r="K355" s="108"/>
      <c r="L355" s="108"/>
      <c r="M355" s="108"/>
      <c r="N355" s="108"/>
      <c r="O355" s="108"/>
      <c r="P355" s="108"/>
      <c r="Q355" s="108"/>
      <c r="R355" s="108"/>
      <c r="S355" s="108"/>
      <c r="T355" s="108"/>
      <c r="U355" s="108"/>
      <c r="V355" s="108"/>
      <c r="W355" s="108"/>
      <c r="X355" s="108"/>
      <c r="Y355" s="108"/>
    </row>
    <row r="356">
      <c r="A356" s="244"/>
      <c r="B356" s="107"/>
      <c r="C356" s="107"/>
      <c r="D356" s="115"/>
      <c r="E356" s="107"/>
      <c r="F356" s="211"/>
      <c r="G356" s="256"/>
      <c r="H356" s="239"/>
      <c r="I356" s="108"/>
      <c r="J356" s="108"/>
      <c r="K356" s="108"/>
      <c r="L356" s="108"/>
      <c r="M356" s="108"/>
      <c r="N356" s="108"/>
      <c r="O356" s="108"/>
      <c r="P356" s="108"/>
      <c r="Q356" s="108"/>
      <c r="R356" s="108"/>
      <c r="S356" s="108"/>
      <c r="T356" s="108"/>
      <c r="U356" s="108"/>
      <c r="V356" s="108"/>
      <c r="W356" s="108"/>
      <c r="X356" s="108"/>
      <c r="Y356" s="108"/>
    </row>
    <row r="357">
      <c r="A357" s="244"/>
      <c r="B357" s="107"/>
      <c r="C357" s="107"/>
      <c r="D357" s="115"/>
      <c r="E357" s="107"/>
      <c r="F357" s="211"/>
      <c r="G357" s="256"/>
      <c r="H357" s="239"/>
      <c r="I357" s="108"/>
      <c r="J357" s="108"/>
      <c r="K357" s="108"/>
      <c r="L357" s="108"/>
      <c r="M357" s="108"/>
      <c r="N357" s="108"/>
      <c r="O357" s="108"/>
      <c r="P357" s="108"/>
      <c r="Q357" s="108"/>
      <c r="R357" s="108"/>
      <c r="S357" s="108"/>
      <c r="T357" s="108"/>
      <c r="U357" s="108"/>
      <c r="V357" s="108"/>
      <c r="W357" s="108"/>
      <c r="X357" s="108"/>
      <c r="Y357" s="108"/>
    </row>
    <row r="358">
      <c r="A358" s="244"/>
      <c r="B358" s="107"/>
      <c r="C358" s="107"/>
      <c r="D358" s="115"/>
      <c r="E358" s="107"/>
      <c r="F358" s="211"/>
      <c r="G358" s="256"/>
      <c r="H358" s="239"/>
      <c r="I358" s="108"/>
      <c r="J358" s="108"/>
      <c r="K358" s="108"/>
      <c r="L358" s="108"/>
      <c r="M358" s="108"/>
      <c r="N358" s="108"/>
      <c r="O358" s="108"/>
      <c r="P358" s="108"/>
      <c r="Q358" s="108"/>
      <c r="R358" s="108"/>
      <c r="S358" s="108"/>
      <c r="T358" s="108"/>
      <c r="U358" s="108"/>
      <c r="V358" s="108"/>
      <c r="W358" s="108"/>
      <c r="X358" s="108"/>
      <c r="Y358" s="108"/>
    </row>
    <row r="359">
      <c r="A359" s="244"/>
      <c r="B359" s="107"/>
      <c r="C359" s="107"/>
      <c r="D359" s="115"/>
      <c r="E359" s="107"/>
      <c r="F359" s="211"/>
      <c r="G359" s="256"/>
      <c r="H359" s="239"/>
      <c r="I359" s="108"/>
      <c r="J359" s="108"/>
      <c r="K359" s="108"/>
      <c r="L359" s="108"/>
      <c r="M359" s="108"/>
      <c r="N359" s="108"/>
      <c r="O359" s="108"/>
      <c r="P359" s="108"/>
      <c r="Q359" s="108"/>
      <c r="R359" s="108"/>
      <c r="S359" s="108"/>
      <c r="T359" s="108"/>
      <c r="U359" s="108"/>
      <c r="V359" s="108"/>
      <c r="W359" s="108"/>
      <c r="X359" s="108"/>
      <c r="Y359" s="108"/>
    </row>
    <row r="360">
      <c r="A360" s="244"/>
      <c r="B360" s="107"/>
      <c r="C360" s="107"/>
      <c r="D360" s="115"/>
      <c r="E360" s="107"/>
      <c r="F360" s="211"/>
      <c r="G360" s="256"/>
      <c r="H360" s="239"/>
      <c r="I360" s="108"/>
      <c r="J360" s="108"/>
      <c r="K360" s="108"/>
      <c r="L360" s="108"/>
      <c r="M360" s="108"/>
      <c r="N360" s="108"/>
      <c r="O360" s="108"/>
      <c r="P360" s="108"/>
      <c r="Q360" s="108"/>
      <c r="R360" s="108"/>
      <c r="S360" s="108"/>
      <c r="T360" s="108"/>
      <c r="U360" s="108"/>
      <c r="V360" s="108"/>
      <c r="W360" s="108"/>
      <c r="X360" s="108"/>
      <c r="Y360" s="108"/>
    </row>
    <row r="361">
      <c r="A361" s="244"/>
      <c r="B361" s="107"/>
      <c r="C361" s="107"/>
      <c r="D361" s="115"/>
      <c r="E361" s="107"/>
      <c r="F361" s="211"/>
      <c r="G361" s="256"/>
      <c r="H361" s="239"/>
      <c r="I361" s="108"/>
      <c r="J361" s="108"/>
      <c r="K361" s="108"/>
      <c r="L361" s="108"/>
      <c r="M361" s="108"/>
      <c r="N361" s="108"/>
      <c r="O361" s="108"/>
      <c r="P361" s="108"/>
      <c r="Q361" s="108"/>
      <c r="R361" s="108"/>
      <c r="S361" s="108"/>
      <c r="T361" s="108"/>
      <c r="U361" s="108"/>
      <c r="V361" s="108"/>
      <c r="W361" s="108"/>
      <c r="X361" s="108"/>
      <c r="Y361" s="108"/>
    </row>
    <row r="362">
      <c r="A362" s="244"/>
      <c r="B362" s="107"/>
      <c r="C362" s="107"/>
      <c r="D362" s="115"/>
      <c r="E362" s="107"/>
      <c r="F362" s="211"/>
      <c r="G362" s="256"/>
      <c r="H362" s="239"/>
      <c r="I362" s="108"/>
      <c r="J362" s="108"/>
      <c r="K362" s="108"/>
      <c r="L362" s="108"/>
      <c r="M362" s="108"/>
      <c r="N362" s="108"/>
      <c r="O362" s="108"/>
      <c r="P362" s="108"/>
      <c r="Q362" s="108"/>
      <c r="R362" s="108"/>
      <c r="S362" s="108"/>
      <c r="T362" s="108"/>
      <c r="U362" s="108"/>
      <c r="V362" s="108"/>
      <c r="W362" s="108"/>
      <c r="X362" s="108"/>
      <c r="Y362" s="108"/>
    </row>
    <row r="363">
      <c r="A363" s="244"/>
      <c r="B363" s="107"/>
      <c r="C363" s="107"/>
      <c r="D363" s="115"/>
      <c r="E363" s="107"/>
      <c r="F363" s="211"/>
      <c r="G363" s="256"/>
      <c r="H363" s="239"/>
      <c r="I363" s="108"/>
      <c r="J363" s="108"/>
      <c r="K363" s="108"/>
      <c r="L363" s="108"/>
      <c r="M363" s="108"/>
      <c r="N363" s="108"/>
      <c r="O363" s="108"/>
      <c r="P363" s="108"/>
      <c r="Q363" s="108"/>
      <c r="R363" s="108"/>
      <c r="S363" s="108"/>
      <c r="T363" s="108"/>
      <c r="U363" s="108"/>
      <c r="V363" s="108"/>
      <c r="W363" s="108"/>
      <c r="X363" s="108"/>
      <c r="Y363" s="108"/>
    </row>
    <row r="364">
      <c r="A364" s="244"/>
      <c r="B364" s="107"/>
      <c r="C364" s="107"/>
      <c r="D364" s="115"/>
      <c r="E364" s="107"/>
      <c r="F364" s="211"/>
      <c r="G364" s="256"/>
      <c r="H364" s="239"/>
      <c r="I364" s="108"/>
      <c r="J364" s="108"/>
      <c r="K364" s="108"/>
      <c r="L364" s="108"/>
      <c r="M364" s="108"/>
      <c r="N364" s="108"/>
      <c r="O364" s="108"/>
      <c r="P364" s="108"/>
      <c r="Q364" s="108"/>
      <c r="R364" s="108"/>
      <c r="S364" s="108"/>
      <c r="T364" s="108"/>
      <c r="U364" s="108"/>
      <c r="V364" s="108"/>
      <c r="W364" s="108"/>
      <c r="X364" s="108"/>
      <c r="Y364" s="108"/>
    </row>
    <row r="365">
      <c r="A365" s="244"/>
      <c r="B365" s="107"/>
      <c r="C365" s="107"/>
      <c r="D365" s="115"/>
      <c r="E365" s="107"/>
      <c r="F365" s="211"/>
      <c r="G365" s="256"/>
      <c r="H365" s="239"/>
      <c r="I365" s="108"/>
      <c r="J365" s="108"/>
      <c r="K365" s="108"/>
      <c r="L365" s="108"/>
      <c r="M365" s="108"/>
      <c r="N365" s="108"/>
      <c r="O365" s="108"/>
      <c r="P365" s="108"/>
      <c r="Q365" s="108"/>
      <c r="R365" s="108"/>
      <c r="S365" s="108"/>
      <c r="T365" s="108"/>
      <c r="U365" s="108"/>
      <c r="V365" s="108"/>
      <c r="W365" s="108"/>
      <c r="X365" s="108"/>
      <c r="Y365" s="108"/>
    </row>
    <row r="366">
      <c r="A366" s="244"/>
      <c r="B366" s="107"/>
      <c r="C366" s="107"/>
      <c r="D366" s="115"/>
      <c r="E366" s="107"/>
      <c r="F366" s="211"/>
      <c r="G366" s="256"/>
      <c r="H366" s="239"/>
      <c r="I366" s="108"/>
      <c r="J366" s="108"/>
      <c r="K366" s="108"/>
      <c r="L366" s="108"/>
      <c r="M366" s="108"/>
      <c r="N366" s="108"/>
      <c r="O366" s="108"/>
      <c r="P366" s="108"/>
      <c r="Q366" s="108"/>
      <c r="R366" s="108"/>
      <c r="S366" s="108"/>
      <c r="T366" s="108"/>
      <c r="U366" s="108"/>
      <c r="V366" s="108"/>
      <c r="W366" s="108"/>
      <c r="X366" s="108"/>
      <c r="Y366" s="108"/>
    </row>
    <row r="367">
      <c r="A367" s="244"/>
      <c r="B367" s="107"/>
      <c r="C367" s="107"/>
      <c r="D367" s="115"/>
      <c r="E367" s="107"/>
      <c r="F367" s="211"/>
      <c r="G367" s="256"/>
      <c r="H367" s="239"/>
      <c r="I367" s="108"/>
      <c r="J367" s="108"/>
      <c r="K367" s="108"/>
      <c r="L367" s="108"/>
      <c r="M367" s="108"/>
      <c r="N367" s="108"/>
      <c r="O367" s="108"/>
      <c r="P367" s="108"/>
      <c r="Q367" s="108"/>
      <c r="R367" s="108"/>
      <c r="S367" s="108"/>
      <c r="T367" s="108"/>
      <c r="U367" s="108"/>
      <c r="V367" s="108"/>
      <c r="W367" s="108"/>
      <c r="X367" s="108"/>
      <c r="Y367" s="108"/>
    </row>
    <row r="368">
      <c r="A368" s="244"/>
      <c r="B368" s="107"/>
      <c r="C368" s="107"/>
      <c r="D368" s="115"/>
      <c r="E368" s="107"/>
      <c r="F368" s="211"/>
      <c r="G368" s="256"/>
      <c r="H368" s="239"/>
      <c r="I368" s="108"/>
      <c r="J368" s="108"/>
      <c r="K368" s="108"/>
      <c r="L368" s="108"/>
      <c r="M368" s="108"/>
      <c r="N368" s="108"/>
      <c r="O368" s="108"/>
      <c r="P368" s="108"/>
      <c r="Q368" s="108"/>
      <c r="R368" s="108"/>
      <c r="S368" s="108"/>
      <c r="T368" s="108"/>
      <c r="U368" s="108"/>
      <c r="V368" s="108"/>
      <c r="W368" s="108"/>
      <c r="X368" s="108"/>
      <c r="Y368" s="108"/>
    </row>
    <row r="369">
      <c r="A369" s="244"/>
      <c r="B369" s="107"/>
      <c r="C369" s="107"/>
      <c r="D369" s="115"/>
      <c r="E369" s="107"/>
      <c r="F369" s="211"/>
      <c r="G369" s="256"/>
      <c r="H369" s="239"/>
      <c r="I369" s="108"/>
      <c r="J369" s="108"/>
      <c r="K369" s="108"/>
      <c r="L369" s="108"/>
      <c r="M369" s="108"/>
      <c r="N369" s="108"/>
      <c r="O369" s="108"/>
      <c r="P369" s="108"/>
      <c r="Q369" s="108"/>
      <c r="R369" s="108"/>
      <c r="S369" s="108"/>
      <c r="T369" s="108"/>
      <c r="U369" s="108"/>
      <c r="V369" s="108"/>
      <c r="W369" s="108"/>
      <c r="X369" s="108"/>
      <c r="Y369" s="108"/>
    </row>
    <row r="370">
      <c r="A370" s="244"/>
      <c r="B370" s="107"/>
      <c r="C370" s="107"/>
      <c r="D370" s="115"/>
      <c r="E370" s="107"/>
      <c r="F370" s="211"/>
      <c r="G370" s="256"/>
      <c r="H370" s="239"/>
      <c r="I370" s="108"/>
      <c r="J370" s="108"/>
      <c r="K370" s="108"/>
      <c r="L370" s="108"/>
      <c r="M370" s="108"/>
      <c r="N370" s="108"/>
      <c r="O370" s="108"/>
      <c r="P370" s="108"/>
      <c r="Q370" s="108"/>
      <c r="R370" s="108"/>
      <c r="S370" s="108"/>
      <c r="T370" s="108"/>
      <c r="U370" s="108"/>
      <c r="V370" s="108"/>
      <c r="W370" s="108"/>
      <c r="X370" s="108"/>
      <c r="Y370" s="108"/>
    </row>
    <row r="371">
      <c r="A371" s="244"/>
      <c r="B371" s="107"/>
      <c r="C371" s="107"/>
      <c r="D371" s="115"/>
      <c r="E371" s="107"/>
      <c r="F371" s="211"/>
      <c r="G371" s="256"/>
      <c r="H371" s="239"/>
      <c r="I371" s="108"/>
      <c r="J371" s="108"/>
      <c r="K371" s="108"/>
      <c r="L371" s="108"/>
      <c r="M371" s="108"/>
      <c r="N371" s="108"/>
      <c r="O371" s="108"/>
      <c r="P371" s="108"/>
      <c r="Q371" s="108"/>
      <c r="R371" s="108"/>
      <c r="S371" s="108"/>
      <c r="T371" s="108"/>
      <c r="U371" s="108"/>
      <c r="V371" s="108"/>
      <c r="W371" s="108"/>
      <c r="X371" s="108"/>
      <c r="Y371" s="108"/>
    </row>
    <row r="372">
      <c r="A372" s="244"/>
      <c r="B372" s="107"/>
      <c r="C372" s="107"/>
      <c r="D372" s="115"/>
      <c r="E372" s="107"/>
      <c r="F372" s="211"/>
      <c r="G372" s="256"/>
      <c r="H372" s="239"/>
      <c r="I372" s="108"/>
      <c r="J372" s="108"/>
      <c r="K372" s="108"/>
      <c r="L372" s="108"/>
      <c r="M372" s="108"/>
      <c r="N372" s="108"/>
      <c r="O372" s="108"/>
      <c r="P372" s="108"/>
      <c r="Q372" s="108"/>
      <c r="R372" s="108"/>
      <c r="S372" s="108"/>
      <c r="T372" s="108"/>
      <c r="U372" s="108"/>
      <c r="V372" s="108"/>
      <c r="W372" s="108"/>
      <c r="X372" s="108"/>
      <c r="Y372" s="108"/>
    </row>
    <row r="373">
      <c r="A373" s="244"/>
      <c r="B373" s="107"/>
      <c r="C373" s="107"/>
      <c r="D373" s="115"/>
      <c r="E373" s="107"/>
      <c r="F373" s="211"/>
      <c r="G373" s="256"/>
      <c r="H373" s="239"/>
      <c r="I373" s="108"/>
      <c r="J373" s="108"/>
      <c r="K373" s="108"/>
      <c r="L373" s="108"/>
      <c r="M373" s="108"/>
      <c r="N373" s="108"/>
      <c r="O373" s="108"/>
      <c r="P373" s="108"/>
      <c r="Q373" s="108"/>
      <c r="R373" s="108"/>
      <c r="S373" s="108"/>
      <c r="T373" s="108"/>
      <c r="U373" s="108"/>
      <c r="V373" s="108"/>
      <c r="W373" s="108"/>
      <c r="X373" s="108"/>
      <c r="Y373" s="108"/>
    </row>
    <row r="374">
      <c r="A374" s="244"/>
      <c r="B374" s="107"/>
      <c r="C374" s="107"/>
      <c r="D374" s="115"/>
      <c r="E374" s="107"/>
      <c r="F374" s="211"/>
      <c r="G374" s="256"/>
      <c r="H374" s="239"/>
      <c r="I374" s="108"/>
      <c r="J374" s="108"/>
      <c r="K374" s="108"/>
      <c r="L374" s="108"/>
      <c r="M374" s="108"/>
      <c r="N374" s="108"/>
      <c r="O374" s="108"/>
      <c r="P374" s="108"/>
      <c r="Q374" s="108"/>
      <c r="R374" s="108"/>
      <c r="S374" s="108"/>
      <c r="T374" s="108"/>
      <c r="U374" s="108"/>
      <c r="V374" s="108"/>
      <c r="W374" s="108"/>
      <c r="X374" s="108"/>
      <c r="Y374" s="108"/>
    </row>
    <row r="375">
      <c r="A375" s="244"/>
      <c r="B375" s="107"/>
      <c r="C375" s="107"/>
      <c r="D375" s="115"/>
      <c r="E375" s="107"/>
      <c r="F375" s="211"/>
      <c r="G375" s="256"/>
      <c r="H375" s="239"/>
      <c r="I375" s="108"/>
      <c r="J375" s="108"/>
      <c r="K375" s="108"/>
      <c r="L375" s="108"/>
      <c r="M375" s="108"/>
      <c r="N375" s="108"/>
      <c r="O375" s="108"/>
      <c r="P375" s="108"/>
      <c r="Q375" s="108"/>
      <c r="R375" s="108"/>
      <c r="S375" s="108"/>
      <c r="T375" s="108"/>
      <c r="U375" s="108"/>
      <c r="V375" s="108"/>
      <c r="W375" s="108"/>
      <c r="X375" s="108"/>
      <c r="Y375" s="108"/>
    </row>
    <row r="376">
      <c r="A376" s="244"/>
      <c r="B376" s="107"/>
      <c r="C376" s="107"/>
      <c r="D376" s="115"/>
      <c r="E376" s="107"/>
      <c r="F376" s="211"/>
      <c r="G376" s="256"/>
      <c r="H376" s="239"/>
      <c r="I376" s="108"/>
      <c r="J376" s="108"/>
      <c r="K376" s="108"/>
      <c r="L376" s="108"/>
      <c r="M376" s="108"/>
      <c r="N376" s="108"/>
      <c r="O376" s="108"/>
      <c r="P376" s="108"/>
      <c r="Q376" s="108"/>
      <c r="R376" s="108"/>
      <c r="S376" s="108"/>
      <c r="T376" s="108"/>
      <c r="U376" s="108"/>
      <c r="V376" s="108"/>
      <c r="W376" s="108"/>
      <c r="X376" s="108"/>
      <c r="Y376" s="108"/>
    </row>
    <row r="377">
      <c r="A377" s="244"/>
      <c r="B377" s="107"/>
      <c r="C377" s="107"/>
      <c r="D377" s="115"/>
      <c r="E377" s="107"/>
      <c r="F377" s="211"/>
      <c r="G377" s="256"/>
      <c r="H377" s="239"/>
      <c r="I377" s="108"/>
      <c r="J377" s="108"/>
      <c r="K377" s="108"/>
      <c r="L377" s="108"/>
      <c r="M377" s="108"/>
      <c r="N377" s="108"/>
      <c r="O377" s="108"/>
      <c r="P377" s="108"/>
      <c r="Q377" s="108"/>
      <c r="R377" s="108"/>
      <c r="S377" s="108"/>
      <c r="T377" s="108"/>
      <c r="U377" s="108"/>
      <c r="V377" s="108"/>
      <c r="W377" s="108"/>
      <c r="X377" s="108"/>
      <c r="Y377" s="108"/>
    </row>
    <row r="378">
      <c r="A378" s="244"/>
      <c r="B378" s="107"/>
      <c r="C378" s="107"/>
      <c r="D378" s="115"/>
      <c r="E378" s="107"/>
      <c r="F378" s="211"/>
      <c r="G378" s="256"/>
      <c r="H378" s="239"/>
      <c r="I378" s="108"/>
      <c r="J378" s="108"/>
      <c r="K378" s="108"/>
      <c r="L378" s="108"/>
      <c r="M378" s="108"/>
      <c r="N378" s="108"/>
      <c r="O378" s="108"/>
      <c r="P378" s="108"/>
      <c r="Q378" s="108"/>
      <c r="R378" s="108"/>
      <c r="S378" s="108"/>
      <c r="T378" s="108"/>
      <c r="U378" s="108"/>
      <c r="V378" s="108"/>
      <c r="W378" s="108"/>
      <c r="X378" s="108"/>
      <c r="Y378" s="108"/>
    </row>
    <row r="379">
      <c r="A379" s="244"/>
      <c r="B379" s="107"/>
      <c r="C379" s="107"/>
      <c r="D379" s="115"/>
      <c r="E379" s="107"/>
      <c r="F379" s="211"/>
      <c r="G379" s="256"/>
      <c r="H379" s="239"/>
      <c r="I379" s="108"/>
      <c r="J379" s="108"/>
      <c r="K379" s="108"/>
      <c r="L379" s="108"/>
      <c r="M379" s="108"/>
      <c r="N379" s="108"/>
      <c r="O379" s="108"/>
      <c r="P379" s="108"/>
      <c r="Q379" s="108"/>
      <c r="R379" s="108"/>
      <c r="S379" s="108"/>
      <c r="T379" s="108"/>
      <c r="U379" s="108"/>
      <c r="V379" s="108"/>
      <c r="W379" s="108"/>
      <c r="X379" s="108"/>
      <c r="Y379" s="108"/>
    </row>
    <row r="380">
      <c r="A380" s="244"/>
      <c r="B380" s="107"/>
      <c r="C380" s="107"/>
      <c r="D380" s="115"/>
      <c r="E380" s="107"/>
      <c r="F380" s="211"/>
      <c r="G380" s="256"/>
      <c r="H380" s="239"/>
      <c r="I380" s="108"/>
      <c r="J380" s="108"/>
      <c r="K380" s="108"/>
      <c r="L380" s="108"/>
      <c r="M380" s="108"/>
      <c r="N380" s="108"/>
      <c r="O380" s="108"/>
      <c r="P380" s="108"/>
      <c r="Q380" s="108"/>
      <c r="R380" s="108"/>
      <c r="S380" s="108"/>
      <c r="T380" s="108"/>
      <c r="U380" s="108"/>
      <c r="V380" s="108"/>
      <c r="W380" s="108"/>
      <c r="X380" s="108"/>
      <c r="Y380" s="108"/>
    </row>
    <row r="381">
      <c r="A381" s="244"/>
      <c r="B381" s="107"/>
      <c r="C381" s="107"/>
      <c r="D381" s="115"/>
      <c r="E381" s="107"/>
      <c r="F381" s="211"/>
      <c r="G381" s="256"/>
      <c r="H381" s="239"/>
      <c r="I381" s="108"/>
      <c r="J381" s="108"/>
      <c r="K381" s="108"/>
      <c r="L381" s="108"/>
      <c r="M381" s="108"/>
      <c r="N381" s="108"/>
      <c r="O381" s="108"/>
      <c r="P381" s="108"/>
      <c r="Q381" s="108"/>
      <c r="R381" s="108"/>
      <c r="S381" s="108"/>
      <c r="T381" s="108"/>
      <c r="U381" s="108"/>
      <c r="V381" s="108"/>
      <c r="W381" s="108"/>
      <c r="X381" s="108"/>
      <c r="Y381" s="108"/>
    </row>
    <row r="382">
      <c r="A382" s="244"/>
      <c r="B382" s="107"/>
      <c r="C382" s="107"/>
      <c r="D382" s="115"/>
      <c r="E382" s="107"/>
      <c r="F382" s="211"/>
      <c r="G382" s="256"/>
      <c r="H382" s="239"/>
      <c r="I382" s="108"/>
      <c r="J382" s="108"/>
      <c r="K382" s="108"/>
      <c r="L382" s="108"/>
      <c r="M382" s="108"/>
      <c r="N382" s="108"/>
      <c r="O382" s="108"/>
      <c r="P382" s="108"/>
      <c r="Q382" s="108"/>
      <c r="R382" s="108"/>
      <c r="S382" s="108"/>
      <c r="T382" s="108"/>
      <c r="U382" s="108"/>
      <c r="V382" s="108"/>
      <c r="W382" s="108"/>
      <c r="X382" s="108"/>
      <c r="Y382" s="108"/>
    </row>
    <row r="383">
      <c r="A383" s="244"/>
      <c r="B383" s="107"/>
      <c r="C383" s="107"/>
      <c r="D383" s="115"/>
      <c r="E383" s="107"/>
      <c r="F383" s="211"/>
      <c r="G383" s="256"/>
      <c r="H383" s="239"/>
      <c r="I383" s="108"/>
      <c r="J383" s="108"/>
      <c r="K383" s="108"/>
      <c r="L383" s="108"/>
      <c r="M383" s="108"/>
      <c r="N383" s="108"/>
      <c r="O383" s="108"/>
      <c r="P383" s="108"/>
      <c r="Q383" s="108"/>
      <c r="R383" s="108"/>
      <c r="S383" s="108"/>
      <c r="T383" s="108"/>
      <c r="U383" s="108"/>
      <c r="V383" s="108"/>
      <c r="W383" s="108"/>
      <c r="X383" s="108"/>
      <c r="Y383" s="108"/>
    </row>
    <row r="384">
      <c r="A384" s="244"/>
      <c r="B384" s="107"/>
      <c r="C384" s="107"/>
      <c r="D384" s="115"/>
      <c r="E384" s="107"/>
      <c r="F384" s="211"/>
      <c r="G384" s="256"/>
      <c r="H384" s="239"/>
      <c r="I384" s="108"/>
      <c r="J384" s="108"/>
      <c r="K384" s="108"/>
      <c r="L384" s="108"/>
      <c r="M384" s="108"/>
      <c r="N384" s="108"/>
      <c r="O384" s="108"/>
      <c r="P384" s="108"/>
      <c r="Q384" s="108"/>
      <c r="R384" s="108"/>
      <c r="S384" s="108"/>
      <c r="T384" s="108"/>
      <c r="U384" s="108"/>
      <c r="V384" s="108"/>
      <c r="W384" s="108"/>
      <c r="X384" s="108"/>
      <c r="Y384" s="108"/>
    </row>
    <row r="385">
      <c r="A385" s="244"/>
      <c r="B385" s="107"/>
      <c r="C385" s="107"/>
      <c r="D385" s="115"/>
      <c r="E385" s="107"/>
      <c r="F385" s="211"/>
      <c r="G385" s="256"/>
      <c r="H385" s="239"/>
      <c r="I385" s="108"/>
      <c r="J385" s="108"/>
      <c r="K385" s="108"/>
      <c r="L385" s="108"/>
      <c r="M385" s="108"/>
      <c r="N385" s="108"/>
      <c r="O385" s="108"/>
      <c r="P385" s="108"/>
      <c r="Q385" s="108"/>
      <c r="R385" s="108"/>
      <c r="S385" s="108"/>
      <c r="T385" s="108"/>
      <c r="U385" s="108"/>
      <c r="V385" s="108"/>
      <c r="W385" s="108"/>
      <c r="X385" s="108"/>
      <c r="Y385" s="108"/>
    </row>
    <row r="386">
      <c r="A386" s="244"/>
      <c r="B386" s="107"/>
      <c r="C386" s="107"/>
      <c r="D386" s="115"/>
      <c r="E386" s="107"/>
      <c r="F386" s="211"/>
      <c r="G386" s="256"/>
      <c r="H386" s="239"/>
      <c r="I386" s="108"/>
      <c r="J386" s="108"/>
      <c r="K386" s="108"/>
      <c r="L386" s="108"/>
      <c r="M386" s="108"/>
      <c r="N386" s="108"/>
      <c r="O386" s="108"/>
      <c r="P386" s="108"/>
      <c r="Q386" s="108"/>
      <c r="R386" s="108"/>
      <c r="S386" s="108"/>
      <c r="T386" s="108"/>
      <c r="U386" s="108"/>
      <c r="V386" s="108"/>
      <c r="W386" s="108"/>
      <c r="X386" s="108"/>
      <c r="Y386" s="108"/>
    </row>
    <row r="387">
      <c r="A387" s="244"/>
      <c r="B387" s="107"/>
      <c r="C387" s="107"/>
      <c r="D387" s="115"/>
      <c r="E387" s="107"/>
      <c r="F387" s="211"/>
      <c r="G387" s="256"/>
      <c r="H387" s="239"/>
      <c r="I387" s="108"/>
      <c r="J387" s="108"/>
      <c r="K387" s="108"/>
      <c r="L387" s="108"/>
      <c r="M387" s="108"/>
      <c r="N387" s="108"/>
      <c r="O387" s="108"/>
      <c r="P387" s="108"/>
      <c r="Q387" s="108"/>
      <c r="R387" s="108"/>
      <c r="S387" s="108"/>
      <c r="T387" s="108"/>
      <c r="U387" s="108"/>
      <c r="V387" s="108"/>
      <c r="W387" s="108"/>
      <c r="X387" s="108"/>
      <c r="Y387" s="108"/>
    </row>
    <row r="388">
      <c r="A388" s="244"/>
      <c r="B388" s="107"/>
      <c r="C388" s="107"/>
      <c r="D388" s="115"/>
      <c r="E388" s="107"/>
      <c r="F388" s="211"/>
      <c r="G388" s="256"/>
      <c r="H388" s="239"/>
      <c r="I388" s="108"/>
      <c r="J388" s="108"/>
      <c r="K388" s="108"/>
      <c r="L388" s="108"/>
      <c r="M388" s="108"/>
      <c r="N388" s="108"/>
      <c r="O388" s="108"/>
      <c r="P388" s="108"/>
      <c r="Q388" s="108"/>
      <c r="R388" s="108"/>
      <c r="S388" s="108"/>
      <c r="T388" s="108"/>
      <c r="U388" s="108"/>
      <c r="V388" s="108"/>
      <c r="W388" s="108"/>
      <c r="X388" s="108"/>
      <c r="Y388" s="108"/>
    </row>
    <row r="389">
      <c r="A389" s="244"/>
      <c r="B389" s="107"/>
      <c r="C389" s="107"/>
      <c r="D389" s="115"/>
      <c r="E389" s="107"/>
      <c r="F389" s="211"/>
      <c r="G389" s="256"/>
      <c r="H389" s="239"/>
      <c r="I389" s="108"/>
      <c r="J389" s="108"/>
      <c r="K389" s="108"/>
      <c r="L389" s="108"/>
      <c r="M389" s="108"/>
      <c r="N389" s="108"/>
      <c r="O389" s="108"/>
      <c r="P389" s="108"/>
      <c r="Q389" s="108"/>
      <c r="R389" s="108"/>
      <c r="S389" s="108"/>
      <c r="T389" s="108"/>
      <c r="U389" s="108"/>
      <c r="V389" s="108"/>
      <c r="W389" s="108"/>
      <c r="X389" s="108"/>
      <c r="Y389" s="108"/>
    </row>
    <row r="390">
      <c r="A390" s="244"/>
      <c r="B390" s="107"/>
      <c r="C390" s="107"/>
      <c r="D390" s="115"/>
      <c r="E390" s="107"/>
      <c r="F390" s="211"/>
      <c r="G390" s="256"/>
      <c r="H390" s="239"/>
      <c r="I390" s="108"/>
      <c r="J390" s="108"/>
      <c r="K390" s="108"/>
      <c r="L390" s="108"/>
      <c r="M390" s="108"/>
      <c r="N390" s="108"/>
      <c r="O390" s="108"/>
      <c r="P390" s="108"/>
      <c r="Q390" s="108"/>
      <c r="R390" s="108"/>
      <c r="S390" s="108"/>
      <c r="T390" s="108"/>
      <c r="U390" s="108"/>
      <c r="V390" s="108"/>
      <c r="W390" s="108"/>
      <c r="X390" s="108"/>
      <c r="Y390" s="108"/>
    </row>
    <row r="391">
      <c r="A391" s="244"/>
      <c r="B391" s="107"/>
      <c r="C391" s="107"/>
      <c r="D391" s="115"/>
      <c r="E391" s="107"/>
      <c r="F391" s="211"/>
      <c r="G391" s="256"/>
      <c r="H391" s="239"/>
      <c r="I391" s="108"/>
      <c r="J391" s="108"/>
      <c r="K391" s="108"/>
      <c r="L391" s="108"/>
      <c r="M391" s="108"/>
      <c r="N391" s="108"/>
      <c r="O391" s="108"/>
      <c r="P391" s="108"/>
      <c r="Q391" s="108"/>
      <c r="R391" s="108"/>
      <c r="S391" s="108"/>
      <c r="T391" s="108"/>
      <c r="U391" s="108"/>
      <c r="V391" s="108"/>
      <c r="W391" s="108"/>
      <c r="X391" s="108"/>
      <c r="Y391" s="108"/>
    </row>
    <row r="392">
      <c r="A392" s="244"/>
      <c r="B392" s="107"/>
      <c r="C392" s="107"/>
      <c r="D392" s="115"/>
      <c r="E392" s="107"/>
      <c r="F392" s="211"/>
      <c r="G392" s="256"/>
      <c r="H392" s="239"/>
      <c r="I392" s="108"/>
      <c r="J392" s="108"/>
      <c r="K392" s="108"/>
      <c r="L392" s="108"/>
      <c r="M392" s="108"/>
      <c r="N392" s="108"/>
      <c r="O392" s="108"/>
      <c r="P392" s="108"/>
      <c r="Q392" s="108"/>
      <c r="R392" s="108"/>
      <c r="S392" s="108"/>
      <c r="T392" s="108"/>
      <c r="U392" s="108"/>
      <c r="V392" s="108"/>
      <c r="W392" s="108"/>
      <c r="X392" s="108"/>
      <c r="Y392" s="108"/>
    </row>
    <row r="393">
      <c r="A393" s="244"/>
      <c r="B393" s="107"/>
      <c r="C393" s="107"/>
      <c r="D393" s="115"/>
      <c r="E393" s="107"/>
      <c r="F393" s="211"/>
      <c r="G393" s="256"/>
      <c r="H393" s="239"/>
      <c r="I393" s="108"/>
      <c r="J393" s="108"/>
      <c r="K393" s="108"/>
      <c r="L393" s="108"/>
      <c r="M393" s="108"/>
      <c r="N393" s="108"/>
      <c r="O393" s="108"/>
      <c r="P393" s="108"/>
      <c r="Q393" s="108"/>
      <c r="R393" s="108"/>
      <c r="S393" s="108"/>
      <c r="T393" s="108"/>
      <c r="U393" s="108"/>
      <c r="V393" s="108"/>
      <c r="W393" s="108"/>
      <c r="X393" s="108"/>
      <c r="Y393" s="108"/>
    </row>
    <row r="394">
      <c r="A394" s="244"/>
      <c r="B394" s="107"/>
      <c r="C394" s="107"/>
      <c r="D394" s="115"/>
      <c r="E394" s="107"/>
      <c r="F394" s="211"/>
      <c r="G394" s="256"/>
      <c r="H394" s="239"/>
      <c r="I394" s="108"/>
      <c r="J394" s="108"/>
      <c r="K394" s="108"/>
      <c r="L394" s="108"/>
      <c r="M394" s="108"/>
      <c r="N394" s="108"/>
      <c r="O394" s="108"/>
      <c r="P394" s="108"/>
      <c r="Q394" s="108"/>
      <c r="R394" s="108"/>
      <c r="S394" s="108"/>
      <c r="T394" s="108"/>
      <c r="U394" s="108"/>
      <c r="V394" s="108"/>
      <c r="W394" s="108"/>
      <c r="X394" s="108"/>
      <c r="Y394" s="108"/>
    </row>
    <row r="395">
      <c r="A395" s="244"/>
      <c r="B395" s="107"/>
      <c r="C395" s="107"/>
      <c r="D395" s="115"/>
      <c r="E395" s="107"/>
      <c r="F395" s="211"/>
      <c r="G395" s="256"/>
      <c r="H395" s="239"/>
      <c r="I395" s="108"/>
      <c r="J395" s="108"/>
      <c r="K395" s="108"/>
      <c r="L395" s="108"/>
      <c r="M395" s="108"/>
      <c r="N395" s="108"/>
      <c r="O395" s="108"/>
      <c r="P395" s="108"/>
      <c r="Q395" s="108"/>
      <c r="R395" s="108"/>
      <c r="S395" s="108"/>
      <c r="T395" s="108"/>
      <c r="U395" s="108"/>
      <c r="V395" s="108"/>
      <c r="W395" s="108"/>
      <c r="X395" s="108"/>
      <c r="Y395" s="108"/>
    </row>
    <row r="396">
      <c r="A396" s="244"/>
      <c r="B396" s="107"/>
      <c r="C396" s="107"/>
      <c r="D396" s="115"/>
      <c r="E396" s="107"/>
      <c r="F396" s="211"/>
      <c r="G396" s="256"/>
      <c r="H396" s="239"/>
      <c r="I396" s="108"/>
      <c r="J396" s="108"/>
      <c r="K396" s="108"/>
      <c r="L396" s="108"/>
      <c r="M396" s="108"/>
      <c r="N396" s="108"/>
      <c r="O396" s="108"/>
      <c r="P396" s="108"/>
      <c r="Q396" s="108"/>
      <c r="R396" s="108"/>
      <c r="S396" s="108"/>
      <c r="T396" s="108"/>
      <c r="U396" s="108"/>
      <c r="V396" s="108"/>
      <c r="W396" s="108"/>
      <c r="X396" s="108"/>
      <c r="Y396" s="108"/>
    </row>
    <row r="397">
      <c r="A397" s="244"/>
      <c r="B397" s="107"/>
      <c r="C397" s="107"/>
      <c r="D397" s="115"/>
      <c r="E397" s="107"/>
      <c r="F397" s="211"/>
      <c r="G397" s="256"/>
      <c r="H397" s="239"/>
      <c r="I397" s="108"/>
      <c r="J397" s="108"/>
      <c r="K397" s="108"/>
      <c r="L397" s="108"/>
      <c r="M397" s="108"/>
      <c r="N397" s="108"/>
      <c r="O397" s="108"/>
      <c r="P397" s="108"/>
      <c r="Q397" s="108"/>
      <c r="R397" s="108"/>
      <c r="S397" s="108"/>
      <c r="T397" s="108"/>
      <c r="U397" s="108"/>
      <c r="V397" s="108"/>
      <c r="W397" s="108"/>
      <c r="X397" s="108"/>
      <c r="Y397" s="108"/>
    </row>
    <row r="398">
      <c r="A398" s="244"/>
      <c r="B398" s="107"/>
      <c r="C398" s="107"/>
      <c r="D398" s="115"/>
      <c r="E398" s="107"/>
      <c r="F398" s="211"/>
      <c r="G398" s="256"/>
      <c r="H398" s="239"/>
      <c r="I398" s="108"/>
      <c r="J398" s="108"/>
      <c r="K398" s="108"/>
      <c r="L398" s="108"/>
      <c r="M398" s="108"/>
      <c r="N398" s="108"/>
      <c r="O398" s="108"/>
      <c r="P398" s="108"/>
      <c r="Q398" s="108"/>
      <c r="R398" s="108"/>
      <c r="S398" s="108"/>
      <c r="T398" s="108"/>
      <c r="U398" s="108"/>
      <c r="V398" s="108"/>
      <c r="W398" s="108"/>
      <c r="X398" s="108"/>
      <c r="Y398" s="108"/>
    </row>
    <row r="399">
      <c r="A399" s="244"/>
      <c r="B399" s="107"/>
      <c r="C399" s="107"/>
      <c r="D399" s="115"/>
      <c r="E399" s="107"/>
      <c r="F399" s="211"/>
      <c r="G399" s="256"/>
      <c r="H399" s="239"/>
      <c r="I399" s="108"/>
      <c r="J399" s="108"/>
      <c r="K399" s="108"/>
      <c r="L399" s="108"/>
      <c r="M399" s="108"/>
      <c r="N399" s="108"/>
      <c r="O399" s="108"/>
      <c r="P399" s="108"/>
      <c r="Q399" s="108"/>
      <c r="R399" s="108"/>
      <c r="S399" s="108"/>
      <c r="T399" s="108"/>
      <c r="U399" s="108"/>
      <c r="V399" s="108"/>
      <c r="W399" s="108"/>
      <c r="X399" s="108"/>
      <c r="Y399" s="108"/>
    </row>
    <row r="400">
      <c r="A400" s="244"/>
      <c r="B400" s="107"/>
      <c r="C400" s="107"/>
      <c r="D400" s="115"/>
      <c r="E400" s="107"/>
      <c r="F400" s="211"/>
      <c r="G400" s="256"/>
      <c r="H400" s="239"/>
      <c r="I400" s="108"/>
      <c r="J400" s="108"/>
      <c r="K400" s="108"/>
      <c r="L400" s="108"/>
      <c r="M400" s="108"/>
      <c r="N400" s="108"/>
      <c r="O400" s="108"/>
      <c r="P400" s="108"/>
      <c r="Q400" s="108"/>
      <c r="R400" s="108"/>
      <c r="S400" s="108"/>
      <c r="T400" s="108"/>
      <c r="U400" s="108"/>
      <c r="V400" s="108"/>
      <c r="W400" s="108"/>
      <c r="X400" s="108"/>
      <c r="Y400" s="108"/>
    </row>
    <row r="401">
      <c r="A401" s="244"/>
      <c r="B401" s="107"/>
      <c r="C401" s="107"/>
      <c r="D401" s="115"/>
      <c r="E401" s="107"/>
      <c r="F401" s="211"/>
      <c r="G401" s="256"/>
      <c r="H401" s="239"/>
      <c r="I401" s="108"/>
      <c r="J401" s="108"/>
      <c r="K401" s="108"/>
      <c r="L401" s="108"/>
      <c r="M401" s="108"/>
      <c r="N401" s="108"/>
      <c r="O401" s="108"/>
      <c r="P401" s="108"/>
      <c r="Q401" s="108"/>
      <c r="R401" s="108"/>
      <c r="S401" s="108"/>
      <c r="T401" s="108"/>
      <c r="U401" s="108"/>
      <c r="V401" s="108"/>
      <c r="W401" s="108"/>
      <c r="X401" s="108"/>
      <c r="Y401" s="108"/>
    </row>
    <row r="402">
      <c r="A402" s="244"/>
      <c r="B402" s="107"/>
      <c r="C402" s="107"/>
      <c r="D402" s="115"/>
      <c r="E402" s="107"/>
      <c r="F402" s="211"/>
      <c r="G402" s="256"/>
      <c r="H402" s="239"/>
      <c r="I402" s="108"/>
      <c r="J402" s="108"/>
      <c r="K402" s="108"/>
      <c r="L402" s="108"/>
      <c r="M402" s="108"/>
      <c r="N402" s="108"/>
      <c r="O402" s="108"/>
      <c r="P402" s="108"/>
      <c r="Q402" s="108"/>
      <c r="R402" s="108"/>
      <c r="S402" s="108"/>
      <c r="T402" s="108"/>
      <c r="U402" s="108"/>
      <c r="V402" s="108"/>
      <c r="W402" s="108"/>
      <c r="X402" s="108"/>
      <c r="Y402" s="108"/>
    </row>
    <row r="403">
      <c r="A403" s="244"/>
      <c r="B403" s="107"/>
      <c r="C403" s="107"/>
      <c r="D403" s="115"/>
      <c r="E403" s="107"/>
      <c r="F403" s="211"/>
      <c r="G403" s="256"/>
      <c r="H403" s="239"/>
      <c r="I403" s="108"/>
      <c r="J403" s="108"/>
      <c r="K403" s="108"/>
      <c r="L403" s="108"/>
      <c r="M403" s="108"/>
      <c r="N403" s="108"/>
      <c r="O403" s="108"/>
      <c r="P403" s="108"/>
      <c r="Q403" s="108"/>
      <c r="R403" s="108"/>
      <c r="S403" s="108"/>
      <c r="T403" s="108"/>
      <c r="U403" s="108"/>
      <c r="V403" s="108"/>
      <c r="W403" s="108"/>
      <c r="X403" s="108"/>
      <c r="Y403" s="108"/>
    </row>
    <row r="404">
      <c r="A404" s="244"/>
      <c r="B404" s="107"/>
      <c r="C404" s="107"/>
      <c r="D404" s="115"/>
      <c r="E404" s="107"/>
      <c r="F404" s="211"/>
      <c r="G404" s="256"/>
      <c r="H404" s="239"/>
      <c r="I404" s="108"/>
      <c r="J404" s="108"/>
      <c r="K404" s="108"/>
      <c r="L404" s="108"/>
      <c r="M404" s="108"/>
      <c r="N404" s="108"/>
      <c r="O404" s="108"/>
      <c r="P404" s="108"/>
      <c r="Q404" s="108"/>
      <c r="R404" s="108"/>
      <c r="S404" s="108"/>
      <c r="T404" s="108"/>
      <c r="U404" s="108"/>
      <c r="V404" s="108"/>
      <c r="W404" s="108"/>
      <c r="X404" s="108"/>
      <c r="Y404" s="108"/>
    </row>
    <row r="405">
      <c r="A405" s="244"/>
      <c r="B405" s="107"/>
      <c r="C405" s="107"/>
      <c r="D405" s="115"/>
      <c r="E405" s="107"/>
      <c r="F405" s="211"/>
      <c r="G405" s="256"/>
      <c r="H405" s="239"/>
      <c r="I405" s="108"/>
      <c r="J405" s="108"/>
      <c r="K405" s="108"/>
      <c r="L405" s="108"/>
      <c r="M405" s="108"/>
      <c r="N405" s="108"/>
      <c r="O405" s="108"/>
      <c r="P405" s="108"/>
      <c r="Q405" s="108"/>
      <c r="R405" s="108"/>
      <c r="S405" s="108"/>
      <c r="T405" s="108"/>
      <c r="U405" s="108"/>
      <c r="V405" s="108"/>
      <c r="W405" s="108"/>
      <c r="X405" s="108"/>
      <c r="Y405" s="108"/>
    </row>
    <row r="406">
      <c r="A406" s="244"/>
      <c r="B406" s="107"/>
      <c r="C406" s="107"/>
      <c r="D406" s="115"/>
      <c r="E406" s="107"/>
      <c r="F406" s="211"/>
      <c r="G406" s="256"/>
      <c r="H406" s="239"/>
      <c r="I406" s="108"/>
      <c r="J406" s="108"/>
      <c r="K406" s="108"/>
      <c r="L406" s="108"/>
      <c r="M406" s="108"/>
      <c r="N406" s="108"/>
      <c r="O406" s="108"/>
      <c r="P406" s="108"/>
      <c r="Q406" s="108"/>
      <c r="R406" s="108"/>
      <c r="S406" s="108"/>
      <c r="T406" s="108"/>
      <c r="U406" s="108"/>
      <c r="V406" s="108"/>
      <c r="W406" s="108"/>
      <c r="X406" s="108"/>
      <c r="Y406" s="108"/>
    </row>
    <row r="407">
      <c r="A407" s="244"/>
      <c r="B407" s="107"/>
      <c r="C407" s="107"/>
      <c r="D407" s="115"/>
      <c r="E407" s="107"/>
      <c r="F407" s="211"/>
      <c r="G407" s="256"/>
      <c r="H407" s="239"/>
      <c r="I407" s="108"/>
      <c r="J407" s="108"/>
      <c r="K407" s="108"/>
      <c r="L407" s="108"/>
      <c r="M407" s="108"/>
      <c r="N407" s="108"/>
      <c r="O407" s="108"/>
      <c r="P407" s="108"/>
      <c r="Q407" s="108"/>
      <c r="R407" s="108"/>
      <c r="S407" s="108"/>
      <c r="T407" s="108"/>
      <c r="U407" s="108"/>
      <c r="V407" s="108"/>
      <c r="W407" s="108"/>
      <c r="X407" s="108"/>
      <c r="Y407" s="108"/>
    </row>
    <row r="408">
      <c r="A408" s="244"/>
      <c r="B408" s="107"/>
      <c r="C408" s="107"/>
      <c r="D408" s="115"/>
      <c r="E408" s="107"/>
      <c r="F408" s="211"/>
      <c r="G408" s="256"/>
      <c r="H408" s="239"/>
      <c r="I408" s="108"/>
      <c r="J408" s="108"/>
      <c r="K408" s="108"/>
      <c r="L408" s="108"/>
      <c r="M408" s="108"/>
      <c r="N408" s="108"/>
      <c r="O408" s="108"/>
      <c r="P408" s="108"/>
      <c r="Q408" s="108"/>
      <c r="R408" s="108"/>
      <c r="S408" s="108"/>
      <c r="T408" s="108"/>
      <c r="U408" s="108"/>
      <c r="V408" s="108"/>
      <c r="W408" s="108"/>
      <c r="X408" s="108"/>
      <c r="Y408" s="108"/>
    </row>
    <row r="409">
      <c r="A409" s="244"/>
      <c r="B409" s="107"/>
      <c r="C409" s="107"/>
      <c r="D409" s="115"/>
      <c r="E409" s="107"/>
      <c r="F409" s="211"/>
      <c r="G409" s="256"/>
      <c r="H409" s="239"/>
      <c r="I409" s="108"/>
      <c r="J409" s="108"/>
      <c r="K409" s="108"/>
      <c r="L409" s="108"/>
      <c r="M409" s="108"/>
      <c r="N409" s="108"/>
      <c r="O409" s="108"/>
      <c r="P409" s="108"/>
      <c r="Q409" s="108"/>
      <c r="R409" s="108"/>
      <c r="S409" s="108"/>
      <c r="T409" s="108"/>
      <c r="U409" s="108"/>
      <c r="V409" s="108"/>
      <c r="W409" s="108"/>
      <c r="X409" s="108"/>
      <c r="Y409" s="108"/>
    </row>
    <row r="410">
      <c r="A410" s="244"/>
      <c r="B410" s="107"/>
      <c r="C410" s="107"/>
      <c r="D410" s="115"/>
      <c r="E410" s="107"/>
      <c r="F410" s="211"/>
      <c r="G410" s="256"/>
      <c r="H410" s="239"/>
      <c r="I410" s="108"/>
      <c r="J410" s="108"/>
      <c r="K410" s="108"/>
      <c r="L410" s="108"/>
      <c r="M410" s="108"/>
      <c r="N410" s="108"/>
      <c r="O410" s="108"/>
      <c r="P410" s="108"/>
      <c r="Q410" s="108"/>
      <c r="R410" s="108"/>
      <c r="S410" s="108"/>
      <c r="T410" s="108"/>
      <c r="U410" s="108"/>
      <c r="V410" s="108"/>
      <c r="W410" s="108"/>
      <c r="X410" s="108"/>
      <c r="Y410" s="108"/>
    </row>
    <row r="411">
      <c r="A411" s="244"/>
      <c r="B411" s="107"/>
      <c r="C411" s="107"/>
      <c r="D411" s="115"/>
      <c r="E411" s="107"/>
      <c r="F411" s="211"/>
      <c r="G411" s="256"/>
      <c r="H411" s="239"/>
      <c r="I411" s="108"/>
      <c r="J411" s="108"/>
      <c r="K411" s="108"/>
      <c r="L411" s="108"/>
      <c r="M411" s="108"/>
      <c r="N411" s="108"/>
      <c r="O411" s="108"/>
      <c r="P411" s="108"/>
      <c r="Q411" s="108"/>
      <c r="R411" s="108"/>
      <c r="S411" s="108"/>
      <c r="T411" s="108"/>
      <c r="U411" s="108"/>
      <c r="V411" s="108"/>
      <c r="W411" s="108"/>
      <c r="X411" s="108"/>
      <c r="Y411" s="108"/>
    </row>
    <row r="412">
      <c r="A412" s="244"/>
      <c r="B412" s="107"/>
      <c r="C412" s="107"/>
      <c r="D412" s="115"/>
      <c r="E412" s="107"/>
      <c r="F412" s="211"/>
      <c r="G412" s="256"/>
      <c r="H412" s="239"/>
      <c r="I412" s="108"/>
      <c r="J412" s="108"/>
      <c r="K412" s="108"/>
      <c r="L412" s="108"/>
      <c r="M412" s="108"/>
      <c r="N412" s="108"/>
      <c r="O412" s="108"/>
      <c r="P412" s="108"/>
      <c r="Q412" s="108"/>
      <c r="R412" s="108"/>
      <c r="S412" s="108"/>
      <c r="T412" s="108"/>
      <c r="U412" s="108"/>
      <c r="V412" s="108"/>
      <c r="W412" s="108"/>
      <c r="X412" s="108"/>
      <c r="Y412" s="108"/>
    </row>
    <row r="413">
      <c r="A413" s="244"/>
      <c r="B413" s="107"/>
      <c r="C413" s="107"/>
      <c r="D413" s="115"/>
      <c r="E413" s="107"/>
      <c r="F413" s="211"/>
      <c r="G413" s="256"/>
      <c r="H413" s="239"/>
      <c r="I413" s="108"/>
      <c r="J413" s="108"/>
      <c r="K413" s="108"/>
      <c r="L413" s="108"/>
      <c r="M413" s="108"/>
      <c r="N413" s="108"/>
      <c r="O413" s="108"/>
      <c r="P413" s="108"/>
      <c r="Q413" s="108"/>
      <c r="R413" s="108"/>
      <c r="S413" s="108"/>
      <c r="T413" s="108"/>
      <c r="U413" s="108"/>
      <c r="V413" s="108"/>
      <c r="W413" s="108"/>
      <c r="X413" s="108"/>
      <c r="Y413" s="108"/>
    </row>
    <row r="414">
      <c r="A414" s="244"/>
      <c r="B414" s="107"/>
      <c r="C414" s="107"/>
      <c r="D414" s="115"/>
      <c r="E414" s="107"/>
      <c r="F414" s="211"/>
      <c r="G414" s="256"/>
      <c r="H414" s="239"/>
      <c r="I414" s="108"/>
      <c r="J414" s="108"/>
      <c r="K414" s="108"/>
      <c r="L414" s="108"/>
      <c r="M414" s="108"/>
      <c r="N414" s="108"/>
      <c r="O414" s="108"/>
      <c r="P414" s="108"/>
      <c r="Q414" s="108"/>
      <c r="R414" s="108"/>
      <c r="S414" s="108"/>
      <c r="T414" s="108"/>
      <c r="U414" s="108"/>
      <c r="V414" s="108"/>
      <c r="W414" s="108"/>
      <c r="X414" s="108"/>
      <c r="Y414" s="108"/>
    </row>
    <row r="415">
      <c r="A415" s="244"/>
      <c r="B415" s="107"/>
      <c r="C415" s="107"/>
      <c r="D415" s="115"/>
      <c r="E415" s="107"/>
      <c r="F415" s="211"/>
      <c r="G415" s="256"/>
      <c r="H415" s="239"/>
      <c r="I415" s="108"/>
      <c r="J415" s="108"/>
      <c r="K415" s="108"/>
      <c r="L415" s="108"/>
      <c r="M415" s="108"/>
      <c r="N415" s="108"/>
      <c r="O415" s="108"/>
      <c r="P415" s="108"/>
      <c r="Q415" s="108"/>
      <c r="R415" s="108"/>
      <c r="S415" s="108"/>
      <c r="T415" s="108"/>
      <c r="U415" s="108"/>
      <c r="V415" s="108"/>
      <c r="W415" s="108"/>
      <c r="X415" s="108"/>
      <c r="Y415" s="108"/>
    </row>
    <row r="416">
      <c r="A416" s="244"/>
      <c r="B416" s="107"/>
      <c r="C416" s="107"/>
      <c r="D416" s="115"/>
      <c r="E416" s="107"/>
      <c r="F416" s="211"/>
      <c r="G416" s="256"/>
      <c r="H416" s="239"/>
      <c r="I416" s="108"/>
      <c r="J416" s="108"/>
      <c r="K416" s="108"/>
      <c r="L416" s="108"/>
      <c r="M416" s="108"/>
      <c r="N416" s="108"/>
      <c r="O416" s="108"/>
      <c r="P416" s="108"/>
      <c r="Q416" s="108"/>
      <c r="R416" s="108"/>
      <c r="S416" s="108"/>
      <c r="T416" s="108"/>
      <c r="U416" s="108"/>
      <c r="V416" s="108"/>
      <c r="W416" s="108"/>
      <c r="X416" s="108"/>
      <c r="Y416" s="108"/>
    </row>
    <row r="417">
      <c r="A417" s="244"/>
      <c r="B417" s="107"/>
      <c r="C417" s="107"/>
      <c r="D417" s="115"/>
      <c r="E417" s="107"/>
      <c r="F417" s="211"/>
      <c r="G417" s="256"/>
      <c r="H417" s="239"/>
      <c r="I417" s="108"/>
      <c r="J417" s="108"/>
      <c r="K417" s="108"/>
      <c r="L417" s="108"/>
      <c r="M417" s="108"/>
      <c r="N417" s="108"/>
      <c r="O417" s="108"/>
      <c r="P417" s="108"/>
      <c r="Q417" s="108"/>
      <c r="R417" s="108"/>
      <c r="S417" s="108"/>
      <c r="T417" s="108"/>
      <c r="U417" s="108"/>
      <c r="V417" s="108"/>
      <c r="W417" s="108"/>
      <c r="X417" s="108"/>
      <c r="Y417" s="108"/>
    </row>
    <row r="418">
      <c r="A418" s="244"/>
      <c r="B418" s="107"/>
      <c r="C418" s="107"/>
      <c r="D418" s="115"/>
      <c r="E418" s="107"/>
      <c r="F418" s="211"/>
      <c r="G418" s="256"/>
      <c r="H418" s="239"/>
      <c r="I418" s="108"/>
      <c r="J418" s="108"/>
      <c r="K418" s="108"/>
      <c r="L418" s="108"/>
      <c r="M418" s="108"/>
      <c r="N418" s="108"/>
      <c r="O418" s="108"/>
      <c r="P418" s="108"/>
      <c r="Q418" s="108"/>
      <c r="R418" s="108"/>
      <c r="S418" s="108"/>
      <c r="T418" s="108"/>
      <c r="U418" s="108"/>
      <c r="V418" s="108"/>
      <c r="W418" s="108"/>
      <c r="X418" s="108"/>
      <c r="Y418" s="108"/>
    </row>
    <row r="419">
      <c r="A419" s="244"/>
      <c r="B419" s="107"/>
      <c r="C419" s="107"/>
      <c r="D419" s="115"/>
      <c r="E419" s="107"/>
      <c r="F419" s="211"/>
      <c r="G419" s="256"/>
      <c r="H419" s="239"/>
      <c r="I419" s="108"/>
      <c r="J419" s="108"/>
      <c r="K419" s="108"/>
      <c r="L419" s="108"/>
      <c r="M419" s="108"/>
      <c r="N419" s="108"/>
      <c r="O419" s="108"/>
      <c r="P419" s="108"/>
      <c r="Q419" s="108"/>
      <c r="R419" s="108"/>
      <c r="S419" s="108"/>
      <c r="T419" s="108"/>
      <c r="U419" s="108"/>
      <c r="V419" s="108"/>
      <c r="W419" s="108"/>
      <c r="X419" s="108"/>
      <c r="Y419" s="108"/>
    </row>
    <row r="420">
      <c r="A420" s="244"/>
      <c r="B420" s="107"/>
      <c r="C420" s="107"/>
      <c r="D420" s="115"/>
      <c r="E420" s="107"/>
      <c r="F420" s="211"/>
      <c r="G420" s="256"/>
      <c r="H420" s="239"/>
      <c r="I420" s="108"/>
      <c r="J420" s="108"/>
      <c r="K420" s="108"/>
      <c r="L420" s="108"/>
      <c r="M420" s="108"/>
      <c r="N420" s="108"/>
      <c r="O420" s="108"/>
      <c r="P420" s="108"/>
      <c r="Q420" s="108"/>
      <c r="R420" s="108"/>
      <c r="S420" s="108"/>
      <c r="T420" s="108"/>
      <c r="U420" s="108"/>
      <c r="V420" s="108"/>
      <c r="W420" s="108"/>
      <c r="X420" s="108"/>
      <c r="Y420" s="108"/>
    </row>
    <row r="421">
      <c r="A421" s="244"/>
      <c r="B421" s="107"/>
      <c r="C421" s="107"/>
      <c r="D421" s="115"/>
      <c r="E421" s="107"/>
      <c r="F421" s="211"/>
      <c r="G421" s="256"/>
      <c r="H421" s="239"/>
      <c r="I421" s="108"/>
      <c r="J421" s="108"/>
      <c r="K421" s="108"/>
      <c r="L421" s="108"/>
      <c r="M421" s="108"/>
      <c r="N421" s="108"/>
      <c r="O421" s="108"/>
      <c r="P421" s="108"/>
      <c r="Q421" s="108"/>
      <c r="R421" s="108"/>
      <c r="S421" s="108"/>
      <c r="T421" s="108"/>
      <c r="U421" s="108"/>
      <c r="V421" s="108"/>
      <c r="W421" s="108"/>
      <c r="X421" s="108"/>
      <c r="Y421" s="108"/>
    </row>
    <row r="422">
      <c r="A422" s="244"/>
      <c r="B422" s="107"/>
      <c r="C422" s="107"/>
      <c r="D422" s="115"/>
      <c r="E422" s="107"/>
      <c r="F422" s="211"/>
      <c r="G422" s="256"/>
      <c r="H422" s="239"/>
      <c r="I422" s="108"/>
      <c r="J422" s="108"/>
      <c r="K422" s="108"/>
      <c r="L422" s="108"/>
      <c r="M422" s="108"/>
      <c r="N422" s="108"/>
      <c r="O422" s="108"/>
      <c r="P422" s="108"/>
      <c r="Q422" s="108"/>
      <c r="R422" s="108"/>
      <c r="S422" s="108"/>
      <c r="T422" s="108"/>
      <c r="U422" s="108"/>
      <c r="V422" s="108"/>
      <c r="W422" s="108"/>
      <c r="X422" s="108"/>
      <c r="Y422" s="108"/>
    </row>
    <row r="423">
      <c r="A423" s="244"/>
      <c r="B423" s="107"/>
      <c r="C423" s="107"/>
      <c r="D423" s="115"/>
      <c r="E423" s="107"/>
      <c r="F423" s="211"/>
      <c r="G423" s="256"/>
      <c r="H423" s="239"/>
      <c r="I423" s="108"/>
      <c r="J423" s="108"/>
      <c r="K423" s="108"/>
      <c r="L423" s="108"/>
      <c r="M423" s="108"/>
      <c r="N423" s="108"/>
      <c r="O423" s="108"/>
      <c r="P423" s="108"/>
      <c r="Q423" s="108"/>
      <c r="R423" s="108"/>
      <c r="S423" s="108"/>
      <c r="T423" s="108"/>
      <c r="U423" s="108"/>
      <c r="V423" s="108"/>
      <c r="W423" s="108"/>
      <c r="X423" s="108"/>
      <c r="Y423" s="108"/>
    </row>
    <row r="424">
      <c r="A424" s="244"/>
      <c r="B424" s="107"/>
      <c r="C424" s="107"/>
      <c r="D424" s="115"/>
      <c r="E424" s="107"/>
      <c r="F424" s="211"/>
      <c r="G424" s="256"/>
      <c r="H424" s="239"/>
      <c r="I424" s="108"/>
      <c r="J424" s="108"/>
      <c r="K424" s="108"/>
      <c r="L424" s="108"/>
      <c r="M424" s="108"/>
      <c r="N424" s="108"/>
      <c r="O424" s="108"/>
      <c r="P424" s="108"/>
      <c r="Q424" s="108"/>
      <c r="R424" s="108"/>
      <c r="S424" s="108"/>
      <c r="T424" s="108"/>
      <c r="U424" s="108"/>
      <c r="V424" s="108"/>
      <c r="W424" s="108"/>
      <c r="X424" s="108"/>
      <c r="Y424" s="108"/>
    </row>
    <row r="425">
      <c r="A425" s="244"/>
      <c r="B425" s="107"/>
      <c r="C425" s="107"/>
      <c r="D425" s="115"/>
      <c r="E425" s="107"/>
      <c r="F425" s="211"/>
      <c r="G425" s="256"/>
      <c r="H425" s="239"/>
      <c r="I425" s="108"/>
      <c r="J425" s="108"/>
      <c r="K425" s="108"/>
      <c r="L425" s="108"/>
      <c r="M425" s="108"/>
      <c r="N425" s="108"/>
      <c r="O425" s="108"/>
      <c r="P425" s="108"/>
      <c r="Q425" s="108"/>
      <c r="R425" s="108"/>
      <c r="S425" s="108"/>
      <c r="T425" s="108"/>
      <c r="U425" s="108"/>
      <c r="V425" s="108"/>
      <c r="W425" s="108"/>
      <c r="X425" s="108"/>
      <c r="Y425" s="108"/>
    </row>
    <row r="426">
      <c r="A426" s="244"/>
      <c r="B426" s="107"/>
      <c r="C426" s="107"/>
      <c r="D426" s="115"/>
      <c r="E426" s="107"/>
      <c r="F426" s="211"/>
      <c r="G426" s="256"/>
      <c r="H426" s="239"/>
      <c r="I426" s="108"/>
      <c r="J426" s="108"/>
      <c r="K426" s="108"/>
      <c r="L426" s="108"/>
      <c r="M426" s="108"/>
      <c r="N426" s="108"/>
      <c r="O426" s="108"/>
      <c r="P426" s="108"/>
      <c r="Q426" s="108"/>
      <c r="R426" s="108"/>
      <c r="S426" s="108"/>
      <c r="T426" s="108"/>
      <c r="U426" s="108"/>
      <c r="V426" s="108"/>
      <c r="W426" s="108"/>
      <c r="X426" s="108"/>
      <c r="Y426" s="108"/>
    </row>
    <row r="427">
      <c r="A427" s="244"/>
      <c r="B427" s="107"/>
      <c r="C427" s="107"/>
      <c r="D427" s="115"/>
      <c r="E427" s="107"/>
      <c r="F427" s="211"/>
      <c r="G427" s="256"/>
      <c r="H427" s="239"/>
      <c r="I427" s="108"/>
      <c r="J427" s="108"/>
      <c r="K427" s="108"/>
      <c r="L427" s="108"/>
      <c r="M427" s="108"/>
      <c r="N427" s="108"/>
      <c r="O427" s="108"/>
      <c r="P427" s="108"/>
      <c r="Q427" s="108"/>
      <c r="R427" s="108"/>
      <c r="S427" s="108"/>
      <c r="T427" s="108"/>
      <c r="U427" s="108"/>
      <c r="V427" s="108"/>
      <c r="W427" s="108"/>
      <c r="X427" s="108"/>
      <c r="Y427" s="108"/>
    </row>
    <row r="428">
      <c r="A428" s="244"/>
      <c r="B428" s="107"/>
      <c r="C428" s="107"/>
      <c r="D428" s="115"/>
      <c r="E428" s="107"/>
      <c r="F428" s="211"/>
      <c r="G428" s="256"/>
      <c r="H428" s="239"/>
      <c r="I428" s="108"/>
      <c r="J428" s="108"/>
      <c r="K428" s="108"/>
      <c r="L428" s="108"/>
      <c r="M428" s="108"/>
      <c r="N428" s="108"/>
      <c r="O428" s="108"/>
      <c r="P428" s="108"/>
      <c r="Q428" s="108"/>
      <c r="R428" s="108"/>
      <c r="S428" s="108"/>
      <c r="T428" s="108"/>
      <c r="U428" s="108"/>
      <c r="V428" s="108"/>
      <c r="W428" s="108"/>
      <c r="X428" s="108"/>
      <c r="Y428" s="108"/>
    </row>
    <row r="429">
      <c r="A429" s="244"/>
      <c r="B429" s="107"/>
      <c r="C429" s="107"/>
      <c r="D429" s="115"/>
      <c r="E429" s="107"/>
      <c r="F429" s="211"/>
      <c r="G429" s="256"/>
      <c r="H429" s="239"/>
      <c r="I429" s="108"/>
      <c r="J429" s="108"/>
      <c r="K429" s="108"/>
      <c r="L429" s="108"/>
      <c r="M429" s="108"/>
      <c r="N429" s="108"/>
      <c r="O429" s="108"/>
      <c r="P429" s="108"/>
      <c r="Q429" s="108"/>
      <c r="R429" s="108"/>
      <c r="S429" s="108"/>
      <c r="T429" s="108"/>
      <c r="U429" s="108"/>
      <c r="V429" s="108"/>
      <c r="W429" s="108"/>
      <c r="X429" s="108"/>
      <c r="Y429" s="108"/>
    </row>
    <row r="430">
      <c r="A430" s="244"/>
      <c r="B430" s="107"/>
      <c r="C430" s="107"/>
      <c r="D430" s="115"/>
      <c r="E430" s="107"/>
      <c r="F430" s="211"/>
      <c r="G430" s="256"/>
      <c r="H430" s="239"/>
      <c r="I430" s="108"/>
      <c r="J430" s="108"/>
      <c r="K430" s="108"/>
      <c r="L430" s="108"/>
      <c r="M430" s="108"/>
      <c r="N430" s="108"/>
      <c r="O430" s="108"/>
      <c r="P430" s="108"/>
      <c r="Q430" s="108"/>
      <c r="R430" s="108"/>
      <c r="S430" s="108"/>
      <c r="T430" s="108"/>
      <c r="U430" s="108"/>
      <c r="V430" s="108"/>
      <c r="W430" s="108"/>
      <c r="X430" s="108"/>
      <c r="Y430" s="108"/>
    </row>
    <row r="431">
      <c r="A431" s="244"/>
      <c r="B431" s="107"/>
      <c r="C431" s="107"/>
      <c r="D431" s="115"/>
      <c r="E431" s="107"/>
      <c r="F431" s="211"/>
      <c r="G431" s="256"/>
      <c r="H431" s="239"/>
      <c r="I431" s="108"/>
      <c r="J431" s="108"/>
      <c r="K431" s="108"/>
      <c r="L431" s="108"/>
      <c r="M431" s="108"/>
      <c r="N431" s="108"/>
      <c r="O431" s="108"/>
      <c r="P431" s="108"/>
      <c r="Q431" s="108"/>
      <c r="R431" s="108"/>
      <c r="S431" s="108"/>
      <c r="T431" s="108"/>
      <c r="U431" s="108"/>
      <c r="V431" s="108"/>
      <c r="W431" s="108"/>
      <c r="X431" s="108"/>
      <c r="Y431" s="108"/>
    </row>
    <row r="432">
      <c r="A432" s="244"/>
      <c r="B432" s="107"/>
      <c r="C432" s="107"/>
      <c r="D432" s="115"/>
      <c r="E432" s="107"/>
      <c r="F432" s="211"/>
      <c r="G432" s="256"/>
      <c r="H432" s="239"/>
      <c r="I432" s="108"/>
      <c r="J432" s="108"/>
      <c r="K432" s="108"/>
      <c r="L432" s="108"/>
      <c r="M432" s="108"/>
      <c r="N432" s="108"/>
      <c r="O432" s="108"/>
      <c r="P432" s="108"/>
      <c r="Q432" s="108"/>
      <c r="R432" s="108"/>
      <c r="S432" s="108"/>
      <c r="T432" s="108"/>
      <c r="U432" s="108"/>
      <c r="V432" s="108"/>
      <c r="W432" s="108"/>
      <c r="X432" s="108"/>
      <c r="Y432" s="108"/>
    </row>
    <row r="433">
      <c r="A433" s="244"/>
      <c r="B433" s="107"/>
      <c r="C433" s="107"/>
      <c r="D433" s="115"/>
      <c r="E433" s="107"/>
      <c r="F433" s="211"/>
      <c r="G433" s="256"/>
      <c r="H433" s="239"/>
      <c r="I433" s="108"/>
      <c r="J433" s="108"/>
      <c r="K433" s="108"/>
      <c r="L433" s="108"/>
      <c r="M433" s="108"/>
      <c r="N433" s="108"/>
      <c r="O433" s="108"/>
      <c r="P433" s="108"/>
      <c r="Q433" s="108"/>
      <c r="R433" s="108"/>
      <c r="S433" s="108"/>
      <c r="T433" s="108"/>
      <c r="U433" s="108"/>
      <c r="V433" s="108"/>
      <c r="W433" s="108"/>
      <c r="X433" s="108"/>
      <c r="Y433" s="108"/>
    </row>
    <row r="434">
      <c r="A434" s="244"/>
      <c r="B434" s="107"/>
      <c r="C434" s="107"/>
      <c r="D434" s="115"/>
      <c r="E434" s="107"/>
      <c r="F434" s="211"/>
      <c r="G434" s="256"/>
      <c r="H434" s="239"/>
      <c r="I434" s="108"/>
      <c r="J434" s="108"/>
      <c r="K434" s="108"/>
      <c r="L434" s="108"/>
      <c r="M434" s="108"/>
      <c r="N434" s="108"/>
      <c r="O434" s="108"/>
      <c r="P434" s="108"/>
      <c r="Q434" s="108"/>
      <c r="R434" s="108"/>
      <c r="S434" s="108"/>
      <c r="T434" s="108"/>
      <c r="U434" s="108"/>
      <c r="V434" s="108"/>
      <c r="W434" s="108"/>
      <c r="X434" s="108"/>
      <c r="Y434" s="108"/>
    </row>
    <row r="435">
      <c r="A435" s="244"/>
      <c r="B435" s="107"/>
      <c r="C435" s="107"/>
      <c r="D435" s="115"/>
      <c r="E435" s="107"/>
      <c r="F435" s="211"/>
      <c r="G435" s="256"/>
      <c r="H435" s="239"/>
      <c r="I435" s="108"/>
      <c r="J435" s="108"/>
      <c r="K435" s="108"/>
      <c r="L435" s="108"/>
      <c r="M435" s="108"/>
      <c r="N435" s="108"/>
      <c r="O435" s="108"/>
      <c r="P435" s="108"/>
      <c r="Q435" s="108"/>
      <c r="R435" s="108"/>
      <c r="S435" s="108"/>
      <c r="T435" s="108"/>
      <c r="U435" s="108"/>
      <c r="V435" s="108"/>
      <c r="W435" s="108"/>
      <c r="X435" s="108"/>
      <c r="Y435" s="108"/>
    </row>
    <row r="436">
      <c r="A436" s="244"/>
      <c r="B436" s="107"/>
      <c r="C436" s="107"/>
      <c r="D436" s="115"/>
      <c r="E436" s="107"/>
      <c r="F436" s="211"/>
      <c r="G436" s="256"/>
      <c r="H436" s="239"/>
      <c r="I436" s="108"/>
      <c r="J436" s="108"/>
      <c r="K436" s="108"/>
      <c r="L436" s="108"/>
      <c r="M436" s="108"/>
      <c r="N436" s="108"/>
      <c r="O436" s="108"/>
      <c r="P436" s="108"/>
      <c r="Q436" s="108"/>
      <c r="R436" s="108"/>
      <c r="S436" s="108"/>
      <c r="T436" s="108"/>
      <c r="U436" s="108"/>
      <c r="V436" s="108"/>
      <c r="W436" s="108"/>
      <c r="X436" s="108"/>
      <c r="Y436" s="108"/>
    </row>
    <row r="437">
      <c r="A437" s="244"/>
      <c r="B437" s="107"/>
      <c r="C437" s="107"/>
      <c r="D437" s="115"/>
      <c r="E437" s="107"/>
      <c r="F437" s="211"/>
      <c r="G437" s="256"/>
      <c r="H437" s="239"/>
      <c r="I437" s="108"/>
      <c r="J437" s="108"/>
      <c r="K437" s="108"/>
      <c r="L437" s="108"/>
      <c r="M437" s="108"/>
      <c r="N437" s="108"/>
      <c r="O437" s="108"/>
      <c r="P437" s="108"/>
      <c r="Q437" s="108"/>
      <c r="R437" s="108"/>
      <c r="S437" s="108"/>
      <c r="T437" s="108"/>
      <c r="U437" s="108"/>
      <c r="V437" s="108"/>
      <c r="W437" s="108"/>
      <c r="X437" s="108"/>
      <c r="Y437" s="108"/>
    </row>
    <row r="438">
      <c r="A438" s="244"/>
      <c r="B438" s="107"/>
      <c r="C438" s="107"/>
      <c r="D438" s="115"/>
      <c r="E438" s="107"/>
      <c r="F438" s="211"/>
      <c r="G438" s="256"/>
      <c r="H438" s="239"/>
      <c r="I438" s="108"/>
      <c r="J438" s="108"/>
      <c r="K438" s="108"/>
      <c r="L438" s="108"/>
      <c r="M438" s="108"/>
      <c r="N438" s="108"/>
      <c r="O438" s="108"/>
      <c r="P438" s="108"/>
      <c r="Q438" s="108"/>
      <c r="R438" s="108"/>
      <c r="S438" s="108"/>
      <c r="T438" s="108"/>
      <c r="U438" s="108"/>
      <c r="V438" s="108"/>
      <c r="W438" s="108"/>
      <c r="X438" s="108"/>
      <c r="Y438" s="108"/>
    </row>
    <row r="439">
      <c r="A439" s="244"/>
      <c r="B439" s="107"/>
      <c r="C439" s="107"/>
      <c r="D439" s="115"/>
      <c r="E439" s="107"/>
      <c r="F439" s="211"/>
      <c r="G439" s="256"/>
      <c r="H439" s="239"/>
      <c r="I439" s="108"/>
      <c r="J439" s="108"/>
      <c r="K439" s="108"/>
      <c r="L439" s="108"/>
      <c r="M439" s="108"/>
      <c r="N439" s="108"/>
      <c r="O439" s="108"/>
      <c r="P439" s="108"/>
      <c r="Q439" s="108"/>
      <c r="R439" s="108"/>
      <c r="S439" s="108"/>
      <c r="T439" s="108"/>
      <c r="U439" s="108"/>
      <c r="V439" s="108"/>
      <c r="W439" s="108"/>
      <c r="X439" s="108"/>
      <c r="Y439" s="108"/>
    </row>
    <row r="440">
      <c r="A440" s="244"/>
      <c r="B440" s="107"/>
      <c r="C440" s="107"/>
      <c r="D440" s="115"/>
      <c r="E440" s="107"/>
      <c r="F440" s="211"/>
      <c r="G440" s="256"/>
      <c r="H440" s="239"/>
      <c r="I440" s="108"/>
      <c r="J440" s="108"/>
      <c r="K440" s="108"/>
      <c r="L440" s="108"/>
      <c r="M440" s="108"/>
      <c r="N440" s="108"/>
      <c r="O440" s="108"/>
      <c r="P440" s="108"/>
      <c r="Q440" s="108"/>
      <c r="R440" s="108"/>
      <c r="S440" s="108"/>
      <c r="T440" s="108"/>
      <c r="U440" s="108"/>
      <c r="V440" s="108"/>
      <c r="W440" s="108"/>
      <c r="X440" s="108"/>
      <c r="Y440" s="108"/>
    </row>
    <row r="441">
      <c r="A441" s="244"/>
      <c r="B441" s="107"/>
      <c r="C441" s="107"/>
      <c r="D441" s="115"/>
      <c r="E441" s="107"/>
      <c r="F441" s="211"/>
      <c r="G441" s="256"/>
      <c r="H441" s="239"/>
      <c r="I441" s="108"/>
      <c r="J441" s="108"/>
      <c r="K441" s="108"/>
      <c r="L441" s="108"/>
      <c r="M441" s="108"/>
      <c r="N441" s="108"/>
      <c r="O441" s="108"/>
      <c r="P441" s="108"/>
      <c r="Q441" s="108"/>
      <c r="R441" s="108"/>
      <c r="S441" s="108"/>
      <c r="T441" s="108"/>
      <c r="U441" s="108"/>
      <c r="V441" s="108"/>
      <c r="W441" s="108"/>
      <c r="X441" s="108"/>
      <c r="Y441" s="108"/>
    </row>
    <row r="442">
      <c r="A442" s="244"/>
      <c r="B442" s="107"/>
      <c r="C442" s="107"/>
      <c r="D442" s="115"/>
      <c r="E442" s="107"/>
      <c r="F442" s="211"/>
      <c r="G442" s="256"/>
      <c r="H442" s="239"/>
      <c r="I442" s="108"/>
      <c r="J442" s="108"/>
      <c r="K442" s="108"/>
      <c r="L442" s="108"/>
      <c r="M442" s="108"/>
      <c r="N442" s="108"/>
      <c r="O442" s="108"/>
      <c r="P442" s="108"/>
      <c r="Q442" s="108"/>
      <c r="R442" s="108"/>
      <c r="S442" s="108"/>
      <c r="T442" s="108"/>
      <c r="U442" s="108"/>
      <c r="V442" s="108"/>
      <c r="W442" s="108"/>
      <c r="X442" s="108"/>
      <c r="Y442" s="108"/>
    </row>
    <row r="443">
      <c r="A443" s="244"/>
      <c r="B443" s="107"/>
      <c r="C443" s="107"/>
      <c r="D443" s="115"/>
      <c r="E443" s="107"/>
      <c r="F443" s="211"/>
      <c r="G443" s="256"/>
      <c r="H443" s="239"/>
      <c r="I443" s="108"/>
      <c r="J443" s="108"/>
      <c r="K443" s="108"/>
      <c r="L443" s="108"/>
      <c r="M443" s="108"/>
      <c r="N443" s="108"/>
      <c r="O443" s="108"/>
      <c r="P443" s="108"/>
      <c r="Q443" s="108"/>
      <c r="R443" s="108"/>
      <c r="S443" s="108"/>
      <c r="T443" s="108"/>
      <c r="U443" s="108"/>
      <c r="V443" s="108"/>
      <c r="W443" s="108"/>
      <c r="X443" s="108"/>
      <c r="Y443" s="108"/>
    </row>
    <row r="444">
      <c r="A444" s="244"/>
      <c r="B444" s="107"/>
      <c r="C444" s="107"/>
      <c r="D444" s="115"/>
      <c r="E444" s="107"/>
      <c r="F444" s="211"/>
      <c r="G444" s="256"/>
      <c r="H444" s="239"/>
      <c r="I444" s="108"/>
      <c r="J444" s="108"/>
      <c r="K444" s="108"/>
      <c r="L444" s="108"/>
      <c r="M444" s="108"/>
      <c r="N444" s="108"/>
      <c r="O444" s="108"/>
      <c r="P444" s="108"/>
      <c r="Q444" s="108"/>
      <c r="R444" s="108"/>
      <c r="S444" s="108"/>
      <c r="T444" s="108"/>
      <c r="U444" s="108"/>
      <c r="V444" s="108"/>
      <c r="W444" s="108"/>
      <c r="X444" s="108"/>
      <c r="Y444" s="108"/>
    </row>
    <row r="445">
      <c r="A445" s="244"/>
      <c r="B445" s="107"/>
      <c r="C445" s="107"/>
      <c r="D445" s="115"/>
      <c r="E445" s="107"/>
      <c r="F445" s="211"/>
      <c r="G445" s="256"/>
      <c r="H445" s="239"/>
      <c r="I445" s="108"/>
      <c r="J445" s="108"/>
      <c r="K445" s="108"/>
      <c r="L445" s="108"/>
      <c r="M445" s="108"/>
      <c r="N445" s="108"/>
      <c r="O445" s="108"/>
      <c r="P445" s="108"/>
      <c r="Q445" s="108"/>
      <c r="R445" s="108"/>
      <c r="S445" s="108"/>
      <c r="T445" s="108"/>
      <c r="U445" s="108"/>
      <c r="V445" s="108"/>
      <c r="W445" s="108"/>
      <c r="X445" s="108"/>
      <c r="Y445" s="108"/>
    </row>
    <row r="446">
      <c r="A446" s="244"/>
      <c r="B446" s="107"/>
      <c r="C446" s="107"/>
      <c r="D446" s="115"/>
      <c r="E446" s="107"/>
      <c r="F446" s="211"/>
      <c r="G446" s="256"/>
      <c r="H446" s="239"/>
      <c r="I446" s="108"/>
      <c r="J446" s="108"/>
      <c r="K446" s="108"/>
      <c r="L446" s="108"/>
      <c r="M446" s="108"/>
      <c r="N446" s="108"/>
      <c r="O446" s="108"/>
      <c r="P446" s="108"/>
      <c r="Q446" s="108"/>
      <c r="R446" s="108"/>
      <c r="S446" s="108"/>
      <c r="T446" s="108"/>
      <c r="U446" s="108"/>
      <c r="V446" s="108"/>
      <c r="W446" s="108"/>
      <c r="X446" s="108"/>
      <c r="Y446" s="108"/>
    </row>
    <row r="447">
      <c r="A447" s="244"/>
      <c r="B447" s="107"/>
      <c r="C447" s="107"/>
      <c r="D447" s="115"/>
      <c r="E447" s="107"/>
      <c r="F447" s="211"/>
      <c r="G447" s="256"/>
      <c r="H447" s="239"/>
      <c r="I447" s="108"/>
      <c r="J447" s="108"/>
      <c r="K447" s="108"/>
      <c r="L447" s="108"/>
      <c r="M447" s="108"/>
      <c r="N447" s="108"/>
      <c r="O447" s="108"/>
      <c r="P447" s="108"/>
      <c r="Q447" s="108"/>
      <c r="R447" s="108"/>
      <c r="S447" s="108"/>
      <c r="T447" s="108"/>
      <c r="U447" s="108"/>
      <c r="V447" s="108"/>
      <c r="W447" s="108"/>
      <c r="X447" s="108"/>
      <c r="Y447" s="108"/>
    </row>
    <row r="448">
      <c r="A448" s="244"/>
      <c r="B448" s="107"/>
      <c r="C448" s="107"/>
      <c r="D448" s="115"/>
      <c r="E448" s="107"/>
      <c r="F448" s="211"/>
      <c r="G448" s="256"/>
      <c r="H448" s="239"/>
      <c r="I448" s="108"/>
      <c r="J448" s="108"/>
      <c r="K448" s="108"/>
      <c r="L448" s="108"/>
      <c r="M448" s="108"/>
      <c r="N448" s="108"/>
      <c r="O448" s="108"/>
      <c r="P448" s="108"/>
      <c r="Q448" s="108"/>
      <c r="R448" s="108"/>
      <c r="S448" s="108"/>
      <c r="T448" s="108"/>
      <c r="U448" s="108"/>
      <c r="V448" s="108"/>
      <c r="W448" s="108"/>
      <c r="X448" s="108"/>
      <c r="Y448" s="108"/>
    </row>
    <row r="449">
      <c r="A449" s="244"/>
      <c r="B449" s="107"/>
      <c r="C449" s="107"/>
      <c r="D449" s="115"/>
      <c r="E449" s="107"/>
      <c r="F449" s="211"/>
      <c r="G449" s="256"/>
      <c r="H449" s="239"/>
      <c r="I449" s="108"/>
      <c r="J449" s="108"/>
      <c r="K449" s="108"/>
      <c r="L449" s="108"/>
      <c r="M449" s="108"/>
      <c r="N449" s="108"/>
      <c r="O449" s="108"/>
      <c r="P449" s="108"/>
      <c r="Q449" s="108"/>
      <c r="R449" s="108"/>
      <c r="S449" s="108"/>
      <c r="T449" s="108"/>
      <c r="U449" s="108"/>
      <c r="V449" s="108"/>
      <c r="W449" s="108"/>
      <c r="X449" s="108"/>
      <c r="Y449" s="108"/>
    </row>
    <row r="450">
      <c r="A450" s="244"/>
      <c r="B450" s="107"/>
      <c r="C450" s="107"/>
      <c r="D450" s="115"/>
      <c r="E450" s="107"/>
      <c r="F450" s="211"/>
      <c r="G450" s="256"/>
      <c r="H450" s="239"/>
      <c r="I450" s="108"/>
      <c r="J450" s="108"/>
      <c r="K450" s="108"/>
      <c r="L450" s="108"/>
      <c r="M450" s="108"/>
      <c r="N450" s="108"/>
      <c r="O450" s="108"/>
      <c r="P450" s="108"/>
      <c r="Q450" s="108"/>
      <c r="R450" s="108"/>
      <c r="S450" s="108"/>
      <c r="T450" s="108"/>
      <c r="U450" s="108"/>
      <c r="V450" s="108"/>
      <c r="W450" s="108"/>
      <c r="X450" s="108"/>
      <c r="Y450" s="108"/>
    </row>
    <row r="451">
      <c r="A451" s="244"/>
      <c r="B451" s="107"/>
      <c r="C451" s="107"/>
      <c r="D451" s="115"/>
      <c r="E451" s="107"/>
      <c r="F451" s="211"/>
      <c r="G451" s="256"/>
      <c r="H451" s="239"/>
      <c r="I451" s="108"/>
      <c r="J451" s="108"/>
      <c r="K451" s="108"/>
      <c r="L451" s="108"/>
      <c r="M451" s="108"/>
      <c r="N451" s="108"/>
      <c r="O451" s="108"/>
      <c r="P451" s="108"/>
      <c r="Q451" s="108"/>
      <c r="R451" s="108"/>
      <c r="S451" s="108"/>
      <c r="T451" s="108"/>
      <c r="U451" s="108"/>
      <c r="V451" s="108"/>
      <c r="W451" s="108"/>
      <c r="X451" s="108"/>
      <c r="Y451" s="108"/>
    </row>
    <row r="452">
      <c r="A452" s="244"/>
      <c r="B452" s="107"/>
      <c r="C452" s="107"/>
      <c r="D452" s="115"/>
      <c r="E452" s="107"/>
      <c r="F452" s="211"/>
      <c r="G452" s="256"/>
      <c r="H452" s="239"/>
      <c r="I452" s="108"/>
      <c r="J452" s="108"/>
      <c r="K452" s="108"/>
      <c r="L452" s="108"/>
      <c r="M452" s="108"/>
      <c r="N452" s="108"/>
      <c r="O452" s="108"/>
      <c r="P452" s="108"/>
      <c r="Q452" s="108"/>
      <c r="R452" s="108"/>
      <c r="S452" s="108"/>
      <c r="T452" s="108"/>
      <c r="U452" s="108"/>
      <c r="V452" s="108"/>
      <c r="W452" s="108"/>
      <c r="X452" s="108"/>
      <c r="Y452" s="108"/>
    </row>
    <row r="453">
      <c r="A453" s="244"/>
      <c r="B453" s="107"/>
      <c r="C453" s="107"/>
      <c r="D453" s="115"/>
      <c r="E453" s="107"/>
      <c r="F453" s="211"/>
      <c r="G453" s="256"/>
      <c r="H453" s="239"/>
      <c r="I453" s="108"/>
      <c r="J453" s="108"/>
      <c r="K453" s="108"/>
      <c r="L453" s="108"/>
      <c r="M453" s="108"/>
      <c r="N453" s="108"/>
      <c r="O453" s="108"/>
      <c r="P453" s="108"/>
      <c r="Q453" s="108"/>
      <c r="R453" s="108"/>
      <c r="S453" s="108"/>
      <c r="T453" s="108"/>
      <c r="U453" s="108"/>
      <c r="V453" s="108"/>
      <c r="W453" s="108"/>
      <c r="X453" s="108"/>
      <c r="Y453" s="108"/>
    </row>
    <row r="454">
      <c r="A454" s="244"/>
      <c r="B454" s="107"/>
      <c r="C454" s="107"/>
      <c r="D454" s="115"/>
      <c r="E454" s="107"/>
      <c r="F454" s="211"/>
      <c r="G454" s="256"/>
      <c r="H454" s="239"/>
      <c r="I454" s="108"/>
      <c r="J454" s="108"/>
      <c r="K454" s="108"/>
      <c r="L454" s="108"/>
      <c r="M454" s="108"/>
      <c r="N454" s="108"/>
      <c r="O454" s="108"/>
      <c r="P454" s="108"/>
      <c r="Q454" s="108"/>
      <c r="R454" s="108"/>
      <c r="S454" s="108"/>
      <c r="T454" s="108"/>
      <c r="U454" s="108"/>
      <c r="V454" s="108"/>
      <c r="W454" s="108"/>
      <c r="X454" s="108"/>
      <c r="Y454" s="108"/>
    </row>
    <row r="455">
      <c r="A455" s="244"/>
      <c r="B455" s="107"/>
      <c r="C455" s="107"/>
      <c r="D455" s="115"/>
      <c r="E455" s="107"/>
      <c r="F455" s="211"/>
      <c r="G455" s="256"/>
      <c r="H455" s="239"/>
      <c r="I455" s="108"/>
      <c r="J455" s="108"/>
      <c r="K455" s="108"/>
      <c r="L455" s="108"/>
      <c r="M455" s="108"/>
      <c r="N455" s="108"/>
      <c r="O455" s="108"/>
      <c r="P455" s="108"/>
      <c r="Q455" s="108"/>
      <c r="R455" s="108"/>
      <c r="S455" s="108"/>
      <c r="T455" s="108"/>
      <c r="U455" s="108"/>
      <c r="V455" s="108"/>
      <c r="W455" s="108"/>
      <c r="X455" s="108"/>
      <c r="Y455" s="108"/>
    </row>
    <row r="456">
      <c r="A456" s="244"/>
      <c r="B456" s="107"/>
      <c r="C456" s="107"/>
      <c r="D456" s="115"/>
      <c r="E456" s="107"/>
      <c r="F456" s="211"/>
      <c r="G456" s="256"/>
      <c r="H456" s="239"/>
      <c r="I456" s="108"/>
      <c r="J456" s="108"/>
      <c r="K456" s="108"/>
      <c r="L456" s="108"/>
      <c r="M456" s="108"/>
      <c r="N456" s="108"/>
      <c r="O456" s="108"/>
      <c r="P456" s="108"/>
      <c r="Q456" s="108"/>
      <c r="R456" s="108"/>
      <c r="S456" s="108"/>
      <c r="T456" s="108"/>
      <c r="U456" s="108"/>
      <c r="V456" s="108"/>
      <c r="W456" s="108"/>
      <c r="X456" s="108"/>
      <c r="Y456" s="108"/>
    </row>
    <row r="457">
      <c r="A457" s="244"/>
      <c r="B457" s="107"/>
      <c r="C457" s="107"/>
      <c r="D457" s="115"/>
      <c r="E457" s="107"/>
      <c r="F457" s="211"/>
      <c r="G457" s="256"/>
      <c r="H457" s="239"/>
      <c r="I457" s="108"/>
      <c r="J457" s="108"/>
      <c r="K457" s="108"/>
      <c r="L457" s="108"/>
      <c r="M457" s="108"/>
      <c r="N457" s="108"/>
      <c r="O457" s="108"/>
      <c r="P457" s="108"/>
      <c r="Q457" s="108"/>
      <c r="R457" s="108"/>
      <c r="S457" s="108"/>
      <c r="T457" s="108"/>
      <c r="U457" s="108"/>
      <c r="V457" s="108"/>
      <c r="W457" s="108"/>
      <c r="X457" s="108"/>
      <c r="Y457" s="108"/>
    </row>
    <row r="458">
      <c r="A458" s="244"/>
      <c r="B458" s="107"/>
      <c r="C458" s="107"/>
      <c r="D458" s="115"/>
      <c r="E458" s="107"/>
      <c r="F458" s="211"/>
      <c r="G458" s="256"/>
      <c r="H458" s="239"/>
      <c r="I458" s="108"/>
      <c r="J458" s="108"/>
      <c r="K458" s="108"/>
      <c r="L458" s="108"/>
      <c r="M458" s="108"/>
      <c r="N458" s="108"/>
      <c r="O458" s="108"/>
      <c r="P458" s="108"/>
      <c r="Q458" s="108"/>
      <c r="R458" s="108"/>
      <c r="S458" s="108"/>
      <c r="T458" s="108"/>
      <c r="U458" s="108"/>
      <c r="V458" s="108"/>
      <c r="W458" s="108"/>
      <c r="X458" s="108"/>
      <c r="Y458" s="108"/>
    </row>
    <row r="459">
      <c r="A459" s="244"/>
      <c r="B459" s="107"/>
      <c r="C459" s="107"/>
      <c r="D459" s="115"/>
      <c r="E459" s="107"/>
      <c r="F459" s="211"/>
      <c r="G459" s="256"/>
      <c r="H459" s="239"/>
      <c r="I459" s="108"/>
      <c r="J459" s="108"/>
      <c r="K459" s="108"/>
      <c r="L459" s="108"/>
      <c r="M459" s="108"/>
      <c r="N459" s="108"/>
      <c r="O459" s="108"/>
      <c r="P459" s="108"/>
      <c r="Q459" s="108"/>
      <c r="R459" s="108"/>
      <c r="S459" s="108"/>
      <c r="T459" s="108"/>
      <c r="U459" s="108"/>
      <c r="V459" s="108"/>
      <c r="W459" s="108"/>
      <c r="X459" s="108"/>
      <c r="Y459" s="108"/>
    </row>
    <row r="460">
      <c r="A460" s="244"/>
      <c r="B460" s="107"/>
      <c r="C460" s="107"/>
      <c r="D460" s="115"/>
      <c r="E460" s="107"/>
      <c r="F460" s="211"/>
      <c r="G460" s="256"/>
      <c r="H460" s="239"/>
      <c r="I460" s="108"/>
      <c r="J460" s="108"/>
      <c r="K460" s="108"/>
      <c r="L460" s="108"/>
      <c r="M460" s="108"/>
      <c r="N460" s="108"/>
      <c r="O460" s="108"/>
      <c r="P460" s="108"/>
      <c r="Q460" s="108"/>
      <c r="R460" s="108"/>
      <c r="S460" s="108"/>
      <c r="T460" s="108"/>
      <c r="U460" s="108"/>
      <c r="V460" s="108"/>
      <c r="W460" s="108"/>
      <c r="X460" s="108"/>
      <c r="Y460" s="108"/>
    </row>
    <row r="461">
      <c r="A461" s="244"/>
      <c r="B461" s="107"/>
      <c r="C461" s="107"/>
      <c r="D461" s="115"/>
      <c r="E461" s="107"/>
      <c r="F461" s="211"/>
      <c r="G461" s="256"/>
      <c r="H461" s="239"/>
      <c r="I461" s="108"/>
      <c r="J461" s="108"/>
      <c r="K461" s="108"/>
      <c r="L461" s="108"/>
      <c r="M461" s="108"/>
      <c r="N461" s="108"/>
      <c r="O461" s="108"/>
      <c r="P461" s="108"/>
      <c r="Q461" s="108"/>
      <c r="R461" s="108"/>
      <c r="S461" s="108"/>
      <c r="T461" s="108"/>
      <c r="U461" s="108"/>
      <c r="V461" s="108"/>
      <c r="W461" s="108"/>
      <c r="X461" s="108"/>
      <c r="Y461" s="108"/>
    </row>
    <row r="462">
      <c r="A462" s="244"/>
      <c r="B462" s="107"/>
      <c r="C462" s="107"/>
      <c r="D462" s="115"/>
      <c r="E462" s="107"/>
      <c r="F462" s="211"/>
      <c r="G462" s="256"/>
      <c r="H462" s="239"/>
      <c r="I462" s="108"/>
      <c r="J462" s="108"/>
      <c r="K462" s="108"/>
      <c r="L462" s="108"/>
      <c r="M462" s="108"/>
      <c r="N462" s="108"/>
      <c r="O462" s="108"/>
      <c r="P462" s="108"/>
      <c r="Q462" s="108"/>
      <c r="R462" s="108"/>
      <c r="S462" s="108"/>
      <c r="T462" s="108"/>
      <c r="U462" s="108"/>
      <c r="V462" s="108"/>
      <c r="W462" s="108"/>
      <c r="X462" s="108"/>
      <c r="Y462" s="108"/>
    </row>
    <row r="463">
      <c r="A463" s="244"/>
      <c r="B463" s="107"/>
      <c r="C463" s="107"/>
      <c r="D463" s="115"/>
      <c r="E463" s="107"/>
      <c r="F463" s="211"/>
      <c r="G463" s="256"/>
      <c r="H463" s="239"/>
      <c r="I463" s="108"/>
      <c r="J463" s="108"/>
      <c r="K463" s="108"/>
      <c r="L463" s="108"/>
      <c r="M463" s="108"/>
      <c r="N463" s="108"/>
      <c r="O463" s="108"/>
      <c r="P463" s="108"/>
      <c r="Q463" s="108"/>
      <c r="R463" s="108"/>
      <c r="S463" s="108"/>
      <c r="T463" s="108"/>
      <c r="U463" s="108"/>
      <c r="V463" s="108"/>
      <c r="W463" s="108"/>
      <c r="X463" s="108"/>
      <c r="Y463" s="108"/>
    </row>
    <row r="464">
      <c r="A464" s="244"/>
      <c r="B464" s="107"/>
      <c r="C464" s="107"/>
      <c r="D464" s="115"/>
      <c r="E464" s="107"/>
      <c r="F464" s="211"/>
      <c r="G464" s="256"/>
      <c r="H464" s="239"/>
      <c r="I464" s="108"/>
      <c r="J464" s="108"/>
      <c r="K464" s="108"/>
      <c r="L464" s="108"/>
      <c r="M464" s="108"/>
      <c r="N464" s="108"/>
      <c r="O464" s="108"/>
      <c r="P464" s="108"/>
      <c r="Q464" s="108"/>
      <c r="R464" s="108"/>
      <c r="S464" s="108"/>
      <c r="T464" s="108"/>
      <c r="U464" s="108"/>
      <c r="V464" s="108"/>
      <c r="W464" s="108"/>
      <c r="X464" s="108"/>
      <c r="Y464" s="108"/>
    </row>
    <row r="465">
      <c r="A465" s="244"/>
      <c r="B465" s="107"/>
      <c r="C465" s="107"/>
      <c r="D465" s="115"/>
      <c r="E465" s="107"/>
      <c r="F465" s="211"/>
      <c r="G465" s="256"/>
      <c r="H465" s="239"/>
      <c r="I465" s="108"/>
      <c r="J465" s="108"/>
      <c r="K465" s="108"/>
      <c r="L465" s="108"/>
      <c r="M465" s="108"/>
      <c r="N465" s="108"/>
      <c r="O465" s="108"/>
      <c r="P465" s="108"/>
      <c r="Q465" s="108"/>
      <c r="R465" s="108"/>
      <c r="S465" s="108"/>
      <c r="T465" s="108"/>
      <c r="U465" s="108"/>
      <c r="V465" s="108"/>
      <c r="W465" s="108"/>
      <c r="X465" s="108"/>
      <c r="Y465" s="108"/>
    </row>
    <row r="466">
      <c r="A466" s="244"/>
      <c r="B466" s="107"/>
      <c r="C466" s="107"/>
      <c r="D466" s="115"/>
      <c r="E466" s="107"/>
      <c r="F466" s="211"/>
      <c r="G466" s="256"/>
      <c r="H466" s="239"/>
      <c r="I466" s="108"/>
      <c r="J466" s="108"/>
      <c r="K466" s="108"/>
      <c r="L466" s="108"/>
      <c r="M466" s="108"/>
      <c r="N466" s="108"/>
      <c r="O466" s="108"/>
      <c r="P466" s="108"/>
      <c r="Q466" s="108"/>
      <c r="R466" s="108"/>
      <c r="S466" s="108"/>
      <c r="T466" s="108"/>
      <c r="U466" s="108"/>
      <c r="V466" s="108"/>
      <c r="W466" s="108"/>
      <c r="X466" s="108"/>
      <c r="Y466" s="108"/>
    </row>
    <row r="467">
      <c r="A467" s="244"/>
      <c r="B467" s="107"/>
      <c r="C467" s="107"/>
      <c r="D467" s="115"/>
      <c r="E467" s="107"/>
      <c r="F467" s="211"/>
      <c r="G467" s="256"/>
      <c r="H467" s="239"/>
      <c r="I467" s="108"/>
      <c r="J467" s="108"/>
      <c r="K467" s="108"/>
      <c r="L467" s="108"/>
      <c r="M467" s="108"/>
      <c r="N467" s="108"/>
      <c r="O467" s="108"/>
      <c r="P467" s="108"/>
      <c r="Q467" s="108"/>
      <c r="R467" s="108"/>
      <c r="S467" s="108"/>
      <c r="T467" s="108"/>
      <c r="U467" s="108"/>
      <c r="V467" s="108"/>
      <c r="W467" s="108"/>
      <c r="X467" s="108"/>
      <c r="Y467" s="108"/>
    </row>
    <row r="468">
      <c r="A468" s="244"/>
      <c r="B468" s="107"/>
      <c r="C468" s="107"/>
      <c r="D468" s="115"/>
      <c r="E468" s="107"/>
      <c r="F468" s="211"/>
      <c r="G468" s="256"/>
      <c r="H468" s="239"/>
      <c r="I468" s="108"/>
      <c r="J468" s="108"/>
      <c r="K468" s="108"/>
      <c r="L468" s="108"/>
      <c r="M468" s="108"/>
      <c r="N468" s="108"/>
      <c r="O468" s="108"/>
      <c r="P468" s="108"/>
      <c r="Q468" s="108"/>
      <c r="R468" s="108"/>
      <c r="S468" s="108"/>
      <c r="T468" s="108"/>
      <c r="U468" s="108"/>
      <c r="V468" s="108"/>
      <c r="W468" s="108"/>
      <c r="X468" s="108"/>
      <c r="Y468" s="108"/>
    </row>
    <row r="469">
      <c r="A469" s="244"/>
      <c r="B469" s="107"/>
      <c r="C469" s="107"/>
      <c r="D469" s="115"/>
      <c r="E469" s="107"/>
      <c r="F469" s="211"/>
      <c r="G469" s="256"/>
      <c r="H469" s="239"/>
      <c r="I469" s="108"/>
      <c r="J469" s="108"/>
      <c r="K469" s="108"/>
      <c r="L469" s="108"/>
      <c r="M469" s="108"/>
      <c r="N469" s="108"/>
      <c r="O469" s="108"/>
      <c r="P469" s="108"/>
      <c r="Q469" s="108"/>
      <c r="R469" s="108"/>
      <c r="S469" s="108"/>
      <c r="T469" s="108"/>
      <c r="U469" s="108"/>
      <c r="V469" s="108"/>
      <c r="W469" s="108"/>
      <c r="X469" s="108"/>
      <c r="Y469" s="108"/>
    </row>
    <row r="470">
      <c r="A470" s="244"/>
      <c r="B470" s="107"/>
      <c r="C470" s="107"/>
      <c r="D470" s="115"/>
      <c r="E470" s="107"/>
      <c r="F470" s="211"/>
      <c r="G470" s="256"/>
      <c r="H470" s="239"/>
      <c r="I470" s="108"/>
      <c r="J470" s="108"/>
      <c r="K470" s="108"/>
      <c r="L470" s="108"/>
      <c r="M470" s="108"/>
      <c r="N470" s="108"/>
      <c r="O470" s="108"/>
      <c r="P470" s="108"/>
      <c r="Q470" s="108"/>
      <c r="R470" s="108"/>
      <c r="S470" s="108"/>
      <c r="T470" s="108"/>
      <c r="U470" s="108"/>
      <c r="V470" s="108"/>
      <c r="W470" s="108"/>
      <c r="X470" s="108"/>
      <c r="Y470" s="108"/>
    </row>
    <row r="471">
      <c r="A471" s="244"/>
      <c r="B471" s="107"/>
      <c r="C471" s="107"/>
      <c r="D471" s="115"/>
      <c r="E471" s="107"/>
      <c r="F471" s="211"/>
      <c r="G471" s="256"/>
      <c r="H471" s="239"/>
      <c r="I471" s="108"/>
      <c r="J471" s="108"/>
      <c r="K471" s="108"/>
      <c r="L471" s="108"/>
      <c r="M471" s="108"/>
      <c r="N471" s="108"/>
      <c r="O471" s="108"/>
      <c r="P471" s="108"/>
      <c r="Q471" s="108"/>
      <c r="R471" s="108"/>
      <c r="S471" s="108"/>
      <c r="T471" s="108"/>
      <c r="U471" s="108"/>
      <c r="V471" s="108"/>
      <c r="W471" s="108"/>
      <c r="X471" s="108"/>
      <c r="Y471" s="108"/>
    </row>
    <row r="472">
      <c r="A472" s="244"/>
      <c r="B472" s="107"/>
      <c r="C472" s="107"/>
      <c r="D472" s="115"/>
      <c r="E472" s="107"/>
      <c r="F472" s="211"/>
      <c r="G472" s="256"/>
      <c r="H472" s="239"/>
      <c r="I472" s="108"/>
      <c r="J472" s="108"/>
      <c r="K472" s="108"/>
      <c r="L472" s="108"/>
      <c r="M472" s="108"/>
      <c r="N472" s="108"/>
      <c r="O472" s="108"/>
      <c r="P472" s="108"/>
      <c r="Q472" s="108"/>
      <c r="R472" s="108"/>
      <c r="S472" s="108"/>
      <c r="T472" s="108"/>
      <c r="U472" s="108"/>
      <c r="V472" s="108"/>
      <c r="W472" s="108"/>
      <c r="X472" s="108"/>
      <c r="Y472" s="108"/>
    </row>
    <row r="473">
      <c r="A473" s="244"/>
      <c r="B473" s="107"/>
      <c r="C473" s="107"/>
      <c r="D473" s="115"/>
      <c r="E473" s="107"/>
      <c r="F473" s="211"/>
      <c r="G473" s="256"/>
      <c r="H473" s="239"/>
      <c r="I473" s="108"/>
      <c r="J473" s="108"/>
      <c r="K473" s="108"/>
      <c r="L473" s="108"/>
      <c r="M473" s="108"/>
      <c r="N473" s="108"/>
      <c r="O473" s="108"/>
      <c r="P473" s="108"/>
      <c r="Q473" s="108"/>
      <c r="R473" s="108"/>
      <c r="S473" s="108"/>
      <c r="T473" s="108"/>
      <c r="U473" s="108"/>
      <c r="V473" s="108"/>
      <c r="W473" s="108"/>
      <c r="X473" s="108"/>
      <c r="Y473" s="108"/>
    </row>
    <row r="474">
      <c r="A474" s="244"/>
      <c r="B474" s="107"/>
      <c r="C474" s="107"/>
      <c r="D474" s="115"/>
      <c r="E474" s="107"/>
      <c r="F474" s="211"/>
      <c r="G474" s="256"/>
      <c r="H474" s="239"/>
      <c r="I474" s="108"/>
      <c r="J474" s="108"/>
      <c r="K474" s="108"/>
      <c r="L474" s="108"/>
      <c r="M474" s="108"/>
      <c r="N474" s="108"/>
      <c r="O474" s="108"/>
      <c r="P474" s="108"/>
      <c r="Q474" s="108"/>
      <c r="R474" s="108"/>
      <c r="S474" s="108"/>
      <c r="T474" s="108"/>
      <c r="U474" s="108"/>
      <c r="V474" s="108"/>
      <c r="W474" s="108"/>
      <c r="X474" s="108"/>
      <c r="Y474" s="108"/>
    </row>
    <row r="475">
      <c r="A475" s="244"/>
      <c r="B475" s="107"/>
      <c r="C475" s="107"/>
      <c r="D475" s="115"/>
      <c r="E475" s="107"/>
      <c r="F475" s="211"/>
      <c r="G475" s="256"/>
      <c r="H475" s="239"/>
      <c r="I475" s="108"/>
      <c r="J475" s="108"/>
      <c r="K475" s="108"/>
      <c r="L475" s="108"/>
      <c r="M475" s="108"/>
      <c r="N475" s="108"/>
      <c r="O475" s="108"/>
      <c r="P475" s="108"/>
      <c r="Q475" s="108"/>
      <c r="R475" s="108"/>
      <c r="S475" s="108"/>
      <c r="T475" s="108"/>
      <c r="U475" s="108"/>
      <c r="V475" s="108"/>
      <c r="W475" s="108"/>
      <c r="X475" s="108"/>
      <c r="Y475" s="108"/>
    </row>
    <row r="476">
      <c r="A476" s="244"/>
      <c r="B476" s="107"/>
      <c r="C476" s="107"/>
      <c r="D476" s="115"/>
      <c r="E476" s="107"/>
      <c r="F476" s="211"/>
      <c r="G476" s="256"/>
      <c r="H476" s="239"/>
      <c r="I476" s="108"/>
      <c r="J476" s="108"/>
      <c r="K476" s="108"/>
      <c r="L476" s="108"/>
      <c r="M476" s="108"/>
      <c r="N476" s="108"/>
      <c r="O476" s="108"/>
      <c r="P476" s="108"/>
      <c r="Q476" s="108"/>
      <c r="R476" s="108"/>
      <c r="S476" s="108"/>
      <c r="T476" s="108"/>
      <c r="U476" s="108"/>
      <c r="V476" s="108"/>
      <c r="W476" s="108"/>
      <c r="X476" s="108"/>
      <c r="Y476" s="108"/>
    </row>
    <row r="477">
      <c r="A477" s="244"/>
      <c r="B477" s="107"/>
      <c r="C477" s="107"/>
      <c r="D477" s="115"/>
      <c r="E477" s="107"/>
      <c r="F477" s="211"/>
      <c r="G477" s="256"/>
      <c r="H477" s="239"/>
      <c r="I477" s="108"/>
      <c r="J477" s="108"/>
      <c r="K477" s="108"/>
      <c r="L477" s="108"/>
      <c r="M477" s="108"/>
      <c r="N477" s="108"/>
      <c r="O477" s="108"/>
      <c r="P477" s="108"/>
      <c r="Q477" s="108"/>
      <c r="R477" s="108"/>
      <c r="S477" s="108"/>
      <c r="T477" s="108"/>
      <c r="U477" s="108"/>
      <c r="V477" s="108"/>
      <c r="W477" s="108"/>
      <c r="X477" s="108"/>
      <c r="Y477" s="108"/>
    </row>
    <row r="478">
      <c r="A478" s="244"/>
      <c r="B478" s="107"/>
      <c r="C478" s="107"/>
      <c r="D478" s="115"/>
      <c r="E478" s="107"/>
      <c r="F478" s="211"/>
      <c r="G478" s="256"/>
      <c r="H478" s="239"/>
      <c r="I478" s="108"/>
      <c r="J478" s="108"/>
      <c r="K478" s="108"/>
      <c r="L478" s="108"/>
      <c r="M478" s="108"/>
      <c r="N478" s="108"/>
      <c r="O478" s="108"/>
      <c r="P478" s="108"/>
      <c r="Q478" s="108"/>
      <c r="R478" s="108"/>
      <c r="S478" s="108"/>
      <c r="T478" s="108"/>
      <c r="U478" s="108"/>
      <c r="V478" s="108"/>
      <c r="W478" s="108"/>
      <c r="X478" s="108"/>
      <c r="Y478" s="108"/>
    </row>
    <row r="479">
      <c r="A479" s="244"/>
      <c r="B479" s="107"/>
      <c r="C479" s="107"/>
      <c r="D479" s="115"/>
      <c r="E479" s="107"/>
      <c r="F479" s="211"/>
      <c r="G479" s="256"/>
      <c r="H479" s="239"/>
      <c r="I479" s="108"/>
      <c r="J479" s="108"/>
      <c r="K479" s="108"/>
      <c r="L479" s="108"/>
      <c r="M479" s="108"/>
      <c r="N479" s="108"/>
      <c r="O479" s="108"/>
      <c r="P479" s="108"/>
      <c r="Q479" s="108"/>
      <c r="R479" s="108"/>
      <c r="S479" s="108"/>
      <c r="T479" s="108"/>
      <c r="U479" s="108"/>
      <c r="V479" s="108"/>
      <c r="W479" s="108"/>
      <c r="X479" s="108"/>
      <c r="Y479" s="108"/>
    </row>
    <row r="480">
      <c r="A480" s="244"/>
      <c r="B480" s="107"/>
      <c r="C480" s="107"/>
      <c r="D480" s="115"/>
      <c r="E480" s="107"/>
      <c r="F480" s="211"/>
      <c r="G480" s="256"/>
      <c r="H480" s="239"/>
      <c r="I480" s="108"/>
      <c r="J480" s="108"/>
      <c r="K480" s="108"/>
      <c r="L480" s="108"/>
      <c r="M480" s="108"/>
      <c r="N480" s="108"/>
      <c r="O480" s="108"/>
      <c r="P480" s="108"/>
      <c r="Q480" s="108"/>
      <c r="R480" s="108"/>
      <c r="S480" s="108"/>
      <c r="T480" s="108"/>
      <c r="U480" s="108"/>
      <c r="V480" s="108"/>
      <c r="W480" s="108"/>
      <c r="X480" s="108"/>
      <c r="Y480" s="108"/>
    </row>
    <row r="481">
      <c r="A481" s="244"/>
      <c r="B481" s="107"/>
      <c r="C481" s="107"/>
      <c r="D481" s="115"/>
      <c r="E481" s="107"/>
      <c r="F481" s="211"/>
      <c r="G481" s="256"/>
      <c r="H481" s="239"/>
      <c r="I481" s="108"/>
      <c r="J481" s="108"/>
      <c r="K481" s="108"/>
      <c r="L481" s="108"/>
      <c r="M481" s="108"/>
      <c r="N481" s="108"/>
      <c r="O481" s="108"/>
      <c r="P481" s="108"/>
      <c r="Q481" s="108"/>
      <c r="R481" s="108"/>
      <c r="S481" s="108"/>
      <c r="T481" s="108"/>
      <c r="U481" s="108"/>
      <c r="V481" s="108"/>
      <c r="W481" s="108"/>
      <c r="X481" s="108"/>
      <c r="Y481" s="108"/>
    </row>
    <row r="482">
      <c r="A482" s="244"/>
      <c r="B482" s="107"/>
      <c r="C482" s="107"/>
      <c r="D482" s="115"/>
      <c r="E482" s="107"/>
      <c r="F482" s="211"/>
      <c r="G482" s="256"/>
      <c r="H482" s="239"/>
      <c r="I482" s="108"/>
      <c r="J482" s="108"/>
      <c r="K482" s="108"/>
      <c r="L482" s="108"/>
      <c r="M482" s="108"/>
      <c r="N482" s="108"/>
      <c r="O482" s="108"/>
      <c r="P482" s="108"/>
      <c r="Q482" s="108"/>
      <c r="R482" s="108"/>
      <c r="S482" s="108"/>
      <c r="T482" s="108"/>
      <c r="U482" s="108"/>
      <c r="V482" s="108"/>
      <c r="W482" s="108"/>
      <c r="X482" s="108"/>
      <c r="Y482" s="108"/>
    </row>
    <row r="483">
      <c r="A483" s="244"/>
      <c r="B483" s="107"/>
      <c r="C483" s="107"/>
      <c r="D483" s="115"/>
      <c r="E483" s="107"/>
      <c r="F483" s="211"/>
      <c r="G483" s="256"/>
      <c r="H483" s="239"/>
      <c r="I483" s="108"/>
      <c r="J483" s="108"/>
      <c r="K483" s="108"/>
      <c r="L483" s="108"/>
      <c r="M483" s="108"/>
      <c r="N483" s="108"/>
      <c r="O483" s="108"/>
      <c r="P483" s="108"/>
      <c r="Q483" s="108"/>
      <c r="R483" s="108"/>
      <c r="S483" s="108"/>
      <c r="T483" s="108"/>
      <c r="U483" s="108"/>
      <c r="V483" s="108"/>
      <c r="W483" s="108"/>
      <c r="X483" s="108"/>
      <c r="Y483" s="108"/>
    </row>
    <row r="484">
      <c r="A484" s="244"/>
      <c r="B484" s="107"/>
      <c r="C484" s="107"/>
      <c r="D484" s="115"/>
      <c r="E484" s="107"/>
      <c r="F484" s="211"/>
      <c r="G484" s="256"/>
      <c r="H484" s="239"/>
      <c r="I484" s="108"/>
      <c r="J484" s="108"/>
      <c r="K484" s="108"/>
      <c r="L484" s="108"/>
      <c r="M484" s="108"/>
      <c r="N484" s="108"/>
      <c r="O484" s="108"/>
      <c r="P484" s="108"/>
      <c r="Q484" s="108"/>
      <c r="R484" s="108"/>
      <c r="S484" s="108"/>
      <c r="T484" s="108"/>
      <c r="U484" s="108"/>
      <c r="V484" s="108"/>
      <c r="W484" s="108"/>
      <c r="X484" s="108"/>
      <c r="Y484" s="108"/>
    </row>
    <row r="485">
      <c r="A485" s="244"/>
      <c r="B485" s="107"/>
      <c r="C485" s="107"/>
      <c r="D485" s="115"/>
      <c r="E485" s="107"/>
      <c r="F485" s="211"/>
      <c r="G485" s="256"/>
      <c r="H485" s="239"/>
      <c r="I485" s="108"/>
      <c r="J485" s="108"/>
      <c r="K485" s="108"/>
      <c r="L485" s="108"/>
      <c r="M485" s="108"/>
      <c r="N485" s="108"/>
      <c r="O485" s="108"/>
      <c r="P485" s="108"/>
      <c r="Q485" s="108"/>
      <c r="R485" s="108"/>
      <c r="S485" s="108"/>
      <c r="T485" s="108"/>
      <c r="U485" s="108"/>
      <c r="V485" s="108"/>
      <c r="W485" s="108"/>
      <c r="X485" s="108"/>
      <c r="Y485" s="108"/>
    </row>
    <row r="486">
      <c r="A486" s="244"/>
      <c r="B486" s="107"/>
      <c r="C486" s="107"/>
      <c r="D486" s="115"/>
      <c r="E486" s="107"/>
      <c r="F486" s="211"/>
      <c r="G486" s="256"/>
      <c r="H486" s="239"/>
      <c r="I486" s="108"/>
      <c r="J486" s="108"/>
      <c r="K486" s="108"/>
      <c r="L486" s="108"/>
      <c r="M486" s="108"/>
      <c r="N486" s="108"/>
      <c r="O486" s="108"/>
      <c r="P486" s="108"/>
      <c r="Q486" s="108"/>
      <c r="R486" s="108"/>
      <c r="S486" s="108"/>
      <c r="T486" s="108"/>
      <c r="U486" s="108"/>
      <c r="V486" s="108"/>
      <c r="W486" s="108"/>
      <c r="X486" s="108"/>
      <c r="Y486" s="108"/>
    </row>
    <row r="487">
      <c r="A487" s="244"/>
      <c r="B487" s="107"/>
      <c r="C487" s="107"/>
      <c r="D487" s="115"/>
      <c r="E487" s="107"/>
      <c r="F487" s="211"/>
      <c r="G487" s="256"/>
      <c r="H487" s="239"/>
      <c r="I487" s="108"/>
      <c r="J487" s="108"/>
      <c r="K487" s="108"/>
      <c r="L487" s="108"/>
      <c r="M487" s="108"/>
      <c r="N487" s="108"/>
      <c r="O487" s="108"/>
      <c r="P487" s="108"/>
      <c r="Q487" s="108"/>
      <c r="R487" s="108"/>
      <c r="S487" s="108"/>
      <c r="T487" s="108"/>
      <c r="U487" s="108"/>
      <c r="V487" s="108"/>
      <c r="W487" s="108"/>
      <c r="X487" s="108"/>
      <c r="Y487" s="108"/>
    </row>
    <row r="488">
      <c r="A488" s="244"/>
      <c r="B488" s="107"/>
      <c r="C488" s="107"/>
      <c r="D488" s="115"/>
      <c r="E488" s="107"/>
      <c r="F488" s="211"/>
      <c r="G488" s="256"/>
      <c r="H488" s="239"/>
      <c r="I488" s="108"/>
      <c r="J488" s="108"/>
      <c r="K488" s="108"/>
      <c r="L488" s="108"/>
      <c r="M488" s="108"/>
      <c r="N488" s="108"/>
      <c r="O488" s="108"/>
      <c r="P488" s="108"/>
      <c r="Q488" s="108"/>
      <c r="R488" s="108"/>
      <c r="S488" s="108"/>
      <c r="T488" s="108"/>
      <c r="U488" s="108"/>
      <c r="V488" s="108"/>
      <c r="W488" s="108"/>
      <c r="X488" s="108"/>
      <c r="Y488" s="108"/>
    </row>
    <row r="489">
      <c r="A489" s="244"/>
      <c r="B489" s="107"/>
      <c r="C489" s="107"/>
      <c r="D489" s="115"/>
      <c r="E489" s="107"/>
      <c r="F489" s="211"/>
      <c r="G489" s="256"/>
      <c r="H489" s="239"/>
      <c r="I489" s="108"/>
      <c r="J489" s="108"/>
      <c r="K489" s="108"/>
      <c r="L489" s="108"/>
      <c r="M489" s="108"/>
      <c r="N489" s="108"/>
      <c r="O489" s="108"/>
      <c r="P489" s="108"/>
      <c r="Q489" s="108"/>
      <c r="R489" s="108"/>
      <c r="S489" s="108"/>
      <c r="T489" s="108"/>
      <c r="U489" s="108"/>
      <c r="V489" s="108"/>
      <c r="W489" s="108"/>
      <c r="X489" s="108"/>
      <c r="Y489" s="108"/>
    </row>
    <row r="490">
      <c r="A490" s="244"/>
      <c r="B490" s="107"/>
      <c r="C490" s="107"/>
      <c r="D490" s="115"/>
      <c r="E490" s="107"/>
      <c r="F490" s="211"/>
      <c r="G490" s="256"/>
      <c r="H490" s="239"/>
      <c r="I490" s="108"/>
      <c r="J490" s="108"/>
      <c r="K490" s="108"/>
      <c r="L490" s="108"/>
      <c r="M490" s="108"/>
      <c r="N490" s="108"/>
      <c r="O490" s="108"/>
      <c r="P490" s="108"/>
      <c r="Q490" s="108"/>
      <c r="R490" s="108"/>
      <c r="S490" s="108"/>
      <c r="T490" s="108"/>
      <c r="U490" s="108"/>
      <c r="V490" s="108"/>
      <c r="W490" s="108"/>
      <c r="X490" s="108"/>
      <c r="Y490" s="108"/>
    </row>
    <row r="491">
      <c r="A491" s="244"/>
      <c r="B491" s="107"/>
      <c r="C491" s="107"/>
      <c r="D491" s="115"/>
      <c r="E491" s="107"/>
      <c r="F491" s="211"/>
      <c r="G491" s="256"/>
      <c r="H491" s="239"/>
      <c r="I491" s="108"/>
      <c r="J491" s="108"/>
      <c r="K491" s="108"/>
      <c r="L491" s="108"/>
      <c r="M491" s="108"/>
      <c r="N491" s="108"/>
      <c r="O491" s="108"/>
      <c r="P491" s="108"/>
      <c r="Q491" s="108"/>
      <c r="R491" s="108"/>
      <c r="S491" s="108"/>
      <c r="T491" s="108"/>
      <c r="U491" s="108"/>
      <c r="V491" s="108"/>
      <c r="W491" s="108"/>
      <c r="X491" s="108"/>
      <c r="Y491" s="108"/>
    </row>
    <row r="492">
      <c r="A492" s="244"/>
      <c r="B492" s="107"/>
      <c r="C492" s="107"/>
      <c r="D492" s="115"/>
      <c r="E492" s="107"/>
      <c r="F492" s="211"/>
      <c r="G492" s="256"/>
      <c r="H492" s="239"/>
      <c r="I492" s="108"/>
      <c r="J492" s="108"/>
      <c r="K492" s="108"/>
      <c r="L492" s="108"/>
      <c r="M492" s="108"/>
      <c r="N492" s="108"/>
      <c r="O492" s="108"/>
      <c r="P492" s="108"/>
      <c r="Q492" s="108"/>
      <c r="R492" s="108"/>
      <c r="S492" s="108"/>
      <c r="T492" s="108"/>
      <c r="U492" s="108"/>
      <c r="V492" s="108"/>
      <c r="W492" s="108"/>
      <c r="X492" s="108"/>
      <c r="Y492" s="108"/>
    </row>
    <row r="493">
      <c r="A493" s="244"/>
      <c r="B493" s="107"/>
      <c r="C493" s="107"/>
      <c r="D493" s="115"/>
      <c r="E493" s="107"/>
      <c r="F493" s="211"/>
      <c r="G493" s="256"/>
      <c r="H493" s="239"/>
      <c r="I493" s="108"/>
      <c r="J493" s="108"/>
      <c r="K493" s="108"/>
      <c r="L493" s="108"/>
      <c r="M493" s="108"/>
      <c r="N493" s="108"/>
      <c r="O493" s="108"/>
      <c r="P493" s="108"/>
      <c r="Q493" s="108"/>
      <c r="R493" s="108"/>
      <c r="S493" s="108"/>
      <c r="T493" s="108"/>
      <c r="U493" s="108"/>
      <c r="V493" s="108"/>
      <c r="W493" s="108"/>
      <c r="X493" s="108"/>
      <c r="Y493" s="108"/>
    </row>
    <row r="494">
      <c r="A494" s="244"/>
      <c r="B494" s="107"/>
      <c r="C494" s="107"/>
      <c r="D494" s="115"/>
      <c r="E494" s="107"/>
      <c r="F494" s="211"/>
      <c r="G494" s="256"/>
      <c r="H494" s="239"/>
      <c r="I494" s="108"/>
      <c r="J494" s="108"/>
      <c r="K494" s="108"/>
      <c r="L494" s="108"/>
      <c r="M494" s="108"/>
      <c r="N494" s="108"/>
      <c r="O494" s="108"/>
      <c r="P494" s="108"/>
      <c r="Q494" s="108"/>
      <c r="R494" s="108"/>
      <c r="S494" s="108"/>
      <c r="T494" s="108"/>
      <c r="U494" s="108"/>
      <c r="V494" s="108"/>
      <c r="W494" s="108"/>
      <c r="X494" s="108"/>
      <c r="Y494" s="108"/>
    </row>
    <row r="495">
      <c r="A495" s="244"/>
      <c r="B495" s="107"/>
      <c r="C495" s="107"/>
      <c r="D495" s="115"/>
      <c r="E495" s="107"/>
      <c r="F495" s="211"/>
      <c r="G495" s="256"/>
      <c r="H495" s="239"/>
      <c r="I495" s="108"/>
      <c r="J495" s="108"/>
      <c r="K495" s="108"/>
      <c r="L495" s="108"/>
      <c r="M495" s="108"/>
      <c r="N495" s="108"/>
      <c r="O495" s="108"/>
      <c r="P495" s="108"/>
      <c r="Q495" s="108"/>
      <c r="R495" s="108"/>
      <c r="S495" s="108"/>
      <c r="T495" s="108"/>
      <c r="U495" s="108"/>
      <c r="V495" s="108"/>
      <c r="W495" s="108"/>
      <c r="X495" s="108"/>
      <c r="Y495" s="108"/>
    </row>
    <row r="496">
      <c r="A496" s="244"/>
      <c r="B496" s="107"/>
      <c r="C496" s="107"/>
      <c r="D496" s="115"/>
      <c r="E496" s="107"/>
      <c r="F496" s="211"/>
      <c r="G496" s="256"/>
      <c r="H496" s="239"/>
      <c r="I496" s="108"/>
      <c r="J496" s="108"/>
      <c r="K496" s="108"/>
      <c r="L496" s="108"/>
      <c r="M496" s="108"/>
      <c r="N496" s="108"/>
      <c r="O496" s="108"/>
      <c r="P496" s="108"/>
      <c r="Q496" s="108"/>
      <c r="R496" s="108"/>
      <c r="S496" s="108"/>
      <c r="T496" s="108"/>
      <c r="U496" s="108"/>
      <c r="V496" s="108"/>
      <c r="W496" s="108"/>
      <c r="X496" s="108"/>
      <c r="Y496" s="108"/>
    </row>
    <row r="497">
      <c r="A497" s="244"/>
      <c r="B497" s="107"/>
      <c r="C497" s="107"/>
      <c r="D497" s="115"/>
      <c r="E497" s="107"/>
      <c r="F497" s="211"/>
      <c r="G497" s="256"/>
      <c r="H497" s="239"/>
      <c r="I497" s="108"/>
      <c r="J497" s="108"/>
      <c r="K497" s="108"/>
      <c r="L497" s="108"/>
      <c r="M497" s="108"/>
      <c r="N497" s="108"/>
      <c r="O497" s="108"/>
      <c r="P497" s="108"/>
      <c r="Q497" s="108"/>
      <c r="R497" s="108"/>
      <c r="S497" s="108"/>
      <c r="T497" s="108"/>
      <c r="U497" s="108"/>
      <c r="V497" s="108"/>
      <c r="W497" s="108"/>
      <c r="X497" s="108"/>
      <c r="Y497" s="108"/>
    </row>
    <row r="498">
      <c r="A498" s="244"/>
      <c r="B498" s="107"/>
      <c r="C498" s="107"/>
      <c r="D498" s="115"/>
      <c r="E498" s="107"/>
      <c r="F498" s="211"/>
      <c r="G498" s="256"/>
      <c r="H498" s="239"/>
      <c r="I498" s="108"/>
      <c r="J498" s="108"/>
      <c r="K498" s="108"/>
      <c r="L498" s="108"/>
      <c r="M498" s="108"/>
      <c r="N498" s="108"/>
      <c r="O498" s="108"/>
      <c r="P498" s="108"/>
      <c r="Q498" s="108"/>
      <c r="R498" s="108"/>
      <c r="S498" s="108"/>
      <c r="T498" s="108"/>
      <c r="U498" s="108"/>
      <c r="V498" s="108"/>
      <c r="W498" s="108"/>
      <c r="X498" s="108"/>
      <c r="Y498" s="108"/>
    </row>
    <row r="499">
      <c r="A499" s="244"/>
      <c r="B499" s="107"/>
      <c r="C499" s="107"/>
      <c r="D499" s="115"/>
      <c r="E499" s="107"/>
      <c r="F499" s="211"/>
      <c r="G499" s="256"/>
      <c r="H499" s="239"/>
      <c r="I499" s="108"/>
      <c r="J499" s="108"/>
      <c r="K499" s="108"/>
      <c r="L499" s="108"/>
      <c r="M499" s="108"/>
      <c r="N499" s="108"/>
      <c r="O499" s="108"/>
      <c r="P499" s="108"/>
      <c r="Q499" s="108"/>
      <c r="R499" s="108"/>
      <c r="S499" s="108"/>
      <c r="T499" s="108"/>
      <c r="U499" s="108"/>
      <c r="V499" s="108"/>
      <c r="W499" s="108"/>
      <c r="X499" s="108"/>
      <c r="Y499" s="108"/>
    </row>
    <row r="500">
      <c r="A500" s="244"/>
      <c r="B500" s="107"/>
      <c r="C500" s="107"/>
      <c r="D500" s="115"/>
      <c r="E500" s="107"/>
      <c r="F500" s="211"/>
      <c r="G500" s="256"/>
      <c r="H500" s="239"/>
      <c r="I500" s="108"/>
      <c r="J500" s="108"/>
      <c r="K500" s="108"/>
      <c r="L500" s="108"/>
      <c r="M500" s="108"/>
      <c r="N500" s="108"/>
      <c r="O500" s="108"/>
      <c r="P500" s="108"/>
      <c r="Q500" s="108"/>
      <c r="R500" s="108"/>
      <c r="S500" s="108"/>
      <c r="T500" s="108"/>
      <c r="U500" s="108"/>
      <c r="V500" s="108"/>
      <c r="W500" s="108"/>
      <c r="X500" s="108"/>
      <c r="Y500" s="108"/>
    </row>
    <row r="501">
      <c r="A501" s="244"/>
      <c r="B501" s="107"/>
      <c r="C501" s="107"/>
      <c r="D501" s="115"/>
      <c r="E501" s="107"/>
      <c r="F501" s="211"/>
      <c r="G501" s="256"/>
      <c r="H501" s="239"/>
      <c r="I501" s="108"/>
      <c r="J501" s="108"/>
      <c r="K501" s="108"/>
      <c r="L501" s="108"/>
      <c r="M501" s="108"/>
      <c r="N501" s="108"/>
      <c r="O501" s="108"/>
      <c r="P501" s="108"/>
      <c r="Q501" s="108"/>
      <c r="R501" s="108"/>
      <c r="S501" s="108"/>
      <c r="T501" s="108"/>
      <c r="U501" s="108"/>
      <c r="V501" s="108"/>
      <c r="W501" s="108"/>
      <c r="X501" s="108"/>
      <c r="Y501" s="108"/>
    </row>
    <row r="502">
      <c r="A502" s="244"/>
      <c r="B502" s="107"/>
      <c r="C502" s="107"/>
      <c r="D502" s="115"/>
      <c r="E502" s="107"/>
      <c r="F502" s="211"/>
      <c r="G502" s="256"/>
      <c r="H502" s="239"/>
      <c r="I502" s="108"/>
      <c r="J502" s="108"/>
      <c r="K502" s="108"/>
      <c r="L502" s="108"/>
      <c r="M502" s="108"/>
      <c r="N502" s="108"/>
      <c r="O502" s="108"/>
      <c r="P502" s="108"/>
      <c r="Q502" s="108"/>
      <c r="R502" s="108"/>
      <c r="S502" s="108"/>
      <c r="T502" s="108"/>
      <c r="U502" s="108"/>
      <c r="V502" s="108"/>
      <c r="W502" s="108"/>
      <c r="X502" s="108"/>
      <c r="Y502" s="108"/>
    </row>
    <row r="503">
      <c r="A503" s="244"/>
      <c r="B503" s="107"/>
      <c r="C503" s="107"/>
      <c r="D503" s="115"/>
      <c r="E503" s="107"/>
      <c r="F503" s="211"/>
      <c r="G503" s="256"/>
      <c r="H503" s="239"/>
      <c r="I503" s="108"/>
      <c r="J503" s="108"/>
      <c r="K503" s="108"/>
      <c r="L503" s="108"/>
      <c r="M503" s="108"/>
      <c r="N503" s="108"/>
      <c r="O503" s="108"/>
      <c r="P503" s="108"/>
      <c r="Q503" s="108"/>
      <c r="R503" s="108"/>
      <c r="S503" s="108"/>
      <c r="T503" s="108"/>
      <c r="U503" s="108"/>
      <c r="V503" s="108"/>
      <c r="W503" s="108"/>
      <c r="X503" s="108"/>
      <c r="Y503" s="108"/>
    </row>
    <row r="504">
      <c r="A504" s="244"/>
      <c r="B504" s="107"/>
      <c r="C504" s="107"/>
      <c r="D504" s="115"/>
      <c r="E504" s="107"/>
      <c r="F504" s="211"/>
      <c r="G504" s="256"/>
      <c r="H504" s="239"/>
      <c r="I504" s="108"/>
      <c r="J504" s="108"/>
      <c r="K504" s="108"/>
      <c r="L504" s="108"/>
      <c r="M504" s="108"/>
      <c r="N504" s="108"/>
      <c r="O504" s="108"/>
      <c r="P504" s="108"/>
      <c r="Q504" s="108"/>
      <c r="R504" s="108"/>
      <c r="S504" s="108"/>
      <c r="T504" s="108"/>
      <c r="U504" s="108"/>
      <c r="V504" s="108"/>
      <c r="W504" s="108"/>
      <c r="X504" s="108"/>
      <c r="Y504" s="108"/>
    </row>
    <row r="505">
      <c r="A505" s="244"/>
      <c r="B505" s="107"/>
      <c r="C505" s="107"/>
      <c r="D505" s="115"/>
      <c r="E505" s="107"/>
      <c r="F505" s="211"/>
      <c r="G505" s="256"/>
      <c r="H505" s="239"/>
      <c r="I505" s="108"/>
      <c r="J505" s="108"/>
      <c r="K505" s="108"/>
      <c r="L505" s="108"/>
      <c r="M505" s="108"/>
      <c r="N505" s="108"/>
      <c r="O505" s="108"/>
      <c r="P505" s="108"/>
      <c r="Q505" s="108"/>
      <c r="R505" s="108"/>
      <c r="S505" s="108"/>
      <c r="T505" s="108"/>
      <c r="U505" s="108"/>
      <c r="V505" s="108"/>
      <c r="W505" s="108"/>
      <c r="X505" s="108"/>
      <c r="Y505" s="108"/>
    </row>
    <row r="506">
      <c r="A506" s="244"/>
      <c r="B506" s="107"/>
      <c r="C506" s="107"/>
      <c r="D506" s="115"/>
      <c r="E506" s="107"/>
      <c r="F506" s="211"/>
      <c r="G506" s="256"/>
      <c r="H506" s="239"/>
      <c r="I506" s="108"/>
      <c r="J506" s="108"/>
      <c r="K506" s="108"/>
      <c r="L506" s="108"/>
      <c r="M506" s="108"/>
      <c r="N506" s="108"/>
      <c r="O506" s="108"/>
      <c r="P506" s="108"/>
      <c r="Q506" s="108"/>
      <c r="R506" s="108"/>
      <c r="S506" s="108"/>
      <c r="T506" s="108"/>
      <c r="U506" s="108"/>
      <c r="V506" s="108"/>
      <c r="W506" s="108"/>
      <c r="X506" s="108"/>
      <c r="Y506" s="108"/>
    </row>
    <row r="507">
      <c r="A507" s="244"/>
      <c r="B507" s="107"/>
      <c r="C507" s="107"/>
      <c r="D507" s="115"/>
      <c r="E507" s="107"/>
      <c r="F507" s="211"/>
      <c r="G507" s="256"/>
      <c r="H507" s="239"/>
      <c r="I507" s="108"/>
      <c r="J507" s="108"/>
      <c r="K507" s="108"/>
      <c r="L507" s="108"/>
      <c r="M507" s="108"/>
      <c r="N507" s="108"/>
      <c r="O507" s="108"/>
      <c r="P507" s="108"/>
      <c r="Q507" s="108"/>
      <c r="R507" s="108"/>
      <c r="S507" s="108"/>
      <c r="T507" s="108"/>
      <c r="U507" s="108"/>
      <c r="V507" s="108"/>
      <c r="W507" s="108"/>
      <c r="X507" s="108"/>
      <c r="Y507" s="108"/>
    </row>
    <row r="508">
      <c r="A508" s="244"/>
      <c r="B508" s="107"/>
      <c r="C508" s="107"/>
      <c r="D508" s="115"/>
      <c r="E508" s="107"/>
      <c r="F508" s="211"/>
      <c r="G508" s="256"/>
      <c r="H508" s="239"/>
      <c r="I508" s="108"/>
      <c r="J508" s="108"/>
      <c r="K508" s="108"/>
      <c r="L508" s="108"/>
      <c r="M508" s="108"/>
      <c r="N508" s="108"/>
      <c r="O508" s="108"/>
      <c r="P508" s="108"/>
      <c r="Q508" s="108"/>
      <c r="R508" s="108"/>
      <c r="S508" s="108"/>
      <c r="T508" s="108"/>
      <c r="U508" s="108"/>
      <c r="V508" s="108"/>
      <c r="W508" s="108"/>
      <c r="X508" s="108"/>
      <c r="Y508" s="108"/>
    </row>
    <row r="509">
      <c r="A509" s="244"/>
      <c r="B509" s="107"/>
      <c r="C509" s="107"/>
      <c r="D509" s="115"/>
      <c r="E509" s="107"/>
      <c r="F509" s="211"/>
      <c r="G509" s="256"/>
      <c r="H509" s="239"/>
      <c r="I509" s="108"/>
      <c r="J509" s="108"/>
      <c r="K509" s="108"/>
      <c r="L509" s="108"/>
      <c r="M509" s="108"/>
      <c r="N509" s="108"/>
      <c r="O509" s="108"/>
      <c r="P509" s="108"/>
      <c r="Q509" s="108"/>
      <c r="R509" s="108"/>
      <c r="S509" s="108"/>
      <c r="T509" s="108"/>
      <c r="U509" s="108"/>
      <c r="V509" s="108"/>
      <c r="W509" s="108"/>
      <c r="X509" s="108"/>
      <c r="Y509" s="108"/>
    </row>
    <row r="510">
      <c r="A510" s="244"/>
      <c r="B510" s="107"/>
      <c r="C510" s="107"/>
      <c r="D510" s="115"/>
      <c r="E510" s="107"/>
      <c r="F510" s="211"/>
      <c r="G510" s="256"/>
      <c r="H510" s="239"/>
      <c r="I510" s="108"/>
      <c r="J510" s="108"/>
      <c r="K510" s="108"/>
      <c r="L510" s="108"/>
      <c r="M510" s="108"/>
      <c r="N510" s="108"/>
      <c r="O510" s="108"/>
      <c r="P510" s="108"/>
      <c r="Q510" s="108"/>
      <c r="R510" s="108"/>
      <c r="S510" s="108"/>
      <c r="T510" s="108"/>
      <c r="U510" s="108"/>
      <c r="V510" s="108"/>
      <c r="W510" s="108"/>
      <c r="X510" s="108"/>
      <c r="Y510" s="108"/>
    </row>
    <row r="511">
      <c r="A511" s="244"/>
      <c r="B511" s="107"/>
      <c r="C511" s="107"/>
      <c r="D511" s="115"/>
      <c r="E511" s="107"/>
      <c r="F511" s="211"/>
      <c r="G511" s="256"/>
      <c r="H511" s="239"/>
      <c r="I511" s="108"/>
      <c r="J511" s="108"/>
      <c r="K511" s="108"/>
      <c r="L511" s="108"/>
      <c r="M511" s="108"/>
      <c r="N511" s="108"/>
      <c r="O511" s="108"/>
      <c r="P511" s="108"/>
      <c r="Q511" s="108"/>
      <c r="R511" s="108"/>
      <c r="S511" s="108"/>
      <c r="T511" s="108"/>
      <c r="U511" s="108"/>
      <c r="V511" s="108"/>
      <c r="W511" s="108"/>
      <c r="X511" s="108"/>
      <c r="Y511" s="108"/>
    </row>
    <row r="512">
      <c r="A512" s="244"/>
      <c r="B512" s="107"/>
      <c r="C512" s="107"/>
      <c r="D512" s="115"/>
      <c r="E512" s="107"/>
      <c r="F512" s="211"/>
      <c r="G512" s="256"/>
      <c r="H512" s="239"/>
      <c r="I512" s="108"/>
      <c r="J512" s="108"/>
      <c r="K512" s="108"/>
      <c r="L512" s="108"/>
      <c r="M512" s="108"/>
      <c r="N512" s="108"/>
      <c r="O512" s="108"/>
      <c r="P512" s="108"/>
      <c r="Q512" s="108"/>
      <c r="R512" s="108"/>
      <c r="S512" s="108"/>
      <c r="T512" s="108"/>
      <c r="U512" s="108"/>
      <c r="V512" s="108"/>
      <c r="W512" s="108"/>
      <c r="X512" s="108"/>
      <c r="Y512" s="108"/>
    </row>
    <row r="513">
      <c r="A513" s="244"/>
      <c r="B513" s="107"/>
      <c r="C513" s="107"/>
      <c r="D513" s="115"/>
      <c r="E513" s="107"/>
      <c r="F513" s="211"/>
      <c r="G513" s="256"/>
      <c r="H513" s="239"/>
      <c r="I513" s="108"/>
      <c r="J513" s="108"/>
      <c r="K513" s="108"/>
      <c r="L513" s="108"/>
      <c r="M513" s="108"/>
      <c r="N513" s="108"/>
      <c r="O513" s="108"/>
      <c r="P513" s="108"/>
      <c r="Q513" s="108"/>
      <c r="R513" s="108"/>
      <c r="S513" s="108"/>
      <c r="T513" s="108"/>
      <c r="U513" s="108"/>
      <c r="V513" s="108"/>
      <c r="W513" s="108"/>
      <c r="X513" s="108"/>
      <c r="Y513" s="108"/>
    </row>
    <row r="514">
      <c r="A514" s="244"/>
      <c r="B514" s="107"/>
      <c r="C514" s="107"/>
      <c r="D514" s="115"/>
      <c r="E514" s="107"/>
      <c r="F514" s="211"/>
      <c r="G514" s="256"/>
      <c r="H514" s="239"/>
      <c r="I514" s="108"/>
      <c r="J514" s="108"/>
      <c r="K514" s="108"/>
      <c r="L514" s="108"/>
      <c r="M514" s="108"/>
      <c r="N514" s="108"/>
      <c r="O514" s="108"/>
      <c r="P514" s="108"/>
      <c r="Q514" s="108"/>
      <c r="R514" s="108"/>
      <c r="S514" s="108"/>
      <c r="T514" s="108"/>
      <c r="U514" s="108"/>
      <c r="V514" s="108"/>
      <c r="W514" s="108"/>
      <c r="X514" s="108"/>
      <c r="Y514" s="108"/>
    </row>
    <row r="515">
      <c r="A515" s="244"/>
      <c r="B515" s="107"/>
      <c r="C515" s="107"/>
      <c r="D515" s="115"/>
      <c r="E515" s="107"/>
      <c r="F515" s="211"/>
      <c r="G515" s="256"/>
      <c r="H515" s="239"/>
      <c r="I515" s="108"/>
      <c r="J515" s="108"/>
      <c r="K515" s="108"/>
      <c r="L515" s="108"/>
      <c r="M515" s="108"/>
      <c r="N515" s="108"/>
      <c r="O515" s="108"/>
      <c r="P515" s="108"/>
      <c r="Q515" s="108"/>
      <c r="R515" s="108"/>
      <c r="S515" s="108"/>
      <c r="T515" s="108"/>
      <c r="U515" s="108"/>
      <c r="V515" s="108"/>
      <c r="W515" s="108"/>
      <c r="X515" s="108"/>
      <c r="Y515" s="108"/>
    </row>
    <row r="516">
      <c r="A516" s="244"/>
      <c r="B516" s="107"/>
      <c r="C516" s="107"/>
      <c r="D516" s="115"/>
      <c r="E516" s="107"/>
      <c r="F516" s="211"/>
      <c r="G516" s="256"/>
      <c r="H516" s="239"/>
      <c r="I516" s="108"/>
      <c r="J516" s="108"/>
      <c r="K516" s="108"/>
      <c r="L516" s="108"/>
      <c r="M516" s="108"/>
      <c r="N516" s="108"/>
      <c r="O516" s="108"/>
      <c r="P516" s="108"/>
      <c r="Q516" s="108"/>
      <c r="R516" s="108"/>
      <c r="S516" s="108"/>
      <c r="T516" s="108"/>
      <c r="U516" s="108"/>
      <c r="V516" s="108"/>
      <c r="W516" s="108"/>
      <c r="X516" s="108"/>
      <c r="Y516" s="108"/>
    </row>
    <row r="517">
      <c r="A517" s="244"/>
      <c r="B517" s="107"/>
      <c r="C517" s="107"/>
      <c r="D517" s="115"/>
      <c r="E517" s="107"/>
      <c r="F517" s="211"/>
      <c r="G517" s="256"/>
      <c r="H517" s="239"/>
      <c r="I517" s="108"/>
      <c r="J517" s="108"/>
      <c r="K517" s="108"/>
      <c r="L517" s="108"/>
      <c r="M517" s="108"/>
      <c r="N517" s="108"/>
      <c r="O517" s="108"/>
      <c r="P517" s="108"/>
      <c r="Q517" s="108"/>
      <c r="R517" s="108"/>
      <c r="S517" s="108"/>
      <c r="T517" s="108"/>
      <c r="U517" s="108"/>
      <c r="V517" s="108"/>
      <c r="W517" s="108"/>
      <c r="X517" s="108"/>
      <c r="Y517" s="108"/>
    </row>
    <row r="518">
      <c r="A518" s="244"/>
      <c r="B518" s="107"/>
      <c r="C518" s="107"/>
      <c r="D518" s="115"/>
      <c r="E518" s="107"/>
      <c r="F518" s="211"/>
      <c r="G518" s="256"/>
      <c r="H518" s="239"/>
      <c r="I518" s="108"/>
      <c r="J518" s="108"/>
      <c r="K518" s="108"/>
      <c r="L518" s="108"/>
      <c r="M518" s="108"/>
      <c r="N518" s="108"/>
      <c r="O518" s="108"/>
      <c r="P518" s="108"/>
      <c r="Q518" s="108"/>
      <c r="R518" s="108"/>
      <c r="S518" s="108"/>
      <c r="T518" s="108"/>
      <c r="U518" s="108"/>
      <c r="V518" s="108"/>
      <c r="W518" s="108"/>
      <c r="X518" s="108"/>
      <c r="Y518" s="108"/>
    </row>
    <row r="519">
      <c r="A519" s="244"/>
      <c r="B519" s="107"/>
      <c r="C519" s="107"/>
      <c r="D519" s="115"/>
      <c r="E519" s="107"/>
      <c r="F519" s="211"/>
      <c r="G519" s="256"/>
      <c r="H519" s="239"/>
      <c r="I519" s="108"/>
      <c r="J519" s="108"/>
      <c r="K519" s="108"/>
      <c r="L519" s="108"/>
      <c r="M519" s="108"/>
      <c r="N519" s="108"/>
      <c r="O519" s="108"/>
      <c r="P519" s="108"/>
      <c r="Q519" s="108"/>
      <c r="R519" s="108"/>
      <c r="S519" s="108"/>
      <c r="T519" s="108"/>
      <c r="U519" s="108"/>
      <c r="V519" s="108"/>
      <c r="W519" s="108"/>
      <c r="X519" s="108"/>
      <c r="Y519" s="108"/>
    </row>
    <row r="520">
      <c r="A520" s="244"/>
      <c r="B520" s="107"/>
      <c r="C520" s="107"/>
      <c r="D520" s="115"/>
      <c r="E520" s="107"/>
      <c r="F520" s="211"/>
      <c r="G520" s="256"/>
      <c r="H520" s="239"/>
      <c r="I520" s="108"/>
      <c r="J520" s="108"/>
      <c r="K520" s="108"/>
      <c r="L520" s="108"/>
      <c r="M520" s="108"/>
      <c r="N520" s="108"/>
      <c r="O520" s="108"/>
      <c r="P520" s="108"/>
      <c r="Q520" s="108"/>
      <c r="R520" s="108"/>
      <c r="S520" s="108"/>
      <c r="T520" s="108"/>
      <c r="U520" s="108"/>
      <c r="V520" s="108"/>
      <c r="W520" s="108"/>
      <c r="X520" s="108"/>
      <c r="Y520" s="108"/>
    </row>
    <row r="521">
      <c r="A521" s="244"/>
      <c r="B521" s="107"/>
      <c r="C521" s="107"/>
      <c r="D521" s="115"/>
      <c r="E521" s="107"/>
      <c r="F521" s="211"/>
      <c r="G521" s="256"/>
      <c r="H521" s="239"/>
      <c r="I521" s="108"/>
      <c r="J521" s="108"/>
      <c r="K521" s="108"/>
      <c r="L521" s="108"/>
      <c r="M521" s="108"/>
      <c r="N521" s="108"/>
      <c r="O521" s="108"/>
      <c r="P521" s="108"/>
      <c r="Q521" s="108"/>
      <c r="R521" s="108"/>
      <c r="S521" s="108"/>
      <c r="T521" s="108"/>
      <c r="U521" s="108"/>
      <c r="V521" s="108"/>
      <c r="W521" s="108"/>
      <c r="X521" s="108"/>
      <c r="Y521" s="108"/>
    </row>
    <row r="522">
      <c r="A522" s="244"/>
      <c r="B522" s="107"/>
      <c r="C522" s="107"/>
      <c r="D522" s="115"/>
      <c r="E522" s="107"/>
      <c r="F522" s="211"/>
      <c r="G522" s="256"/>
      <c r="H522" s="239"/>
      <c r="I522" s="108"/>
      <c r="J522" s="108"/>
      <c r="K522" s="108"/>
      <c r="L522" s="108"/>
      <c r="M522" s="108"/>
      <c r="N522" s="108"/>
      <c r="O522" s="108"/>
      <c r="P522" s="108"/>
      <c r="Q522" s="108"/>
      <c r="R522" s="108"/>
      <c r="S522" s="108"/>
      <c r="T522" s="108"/>
      <c r="U522" s="108"/>
      <c r="V522" s="108"/>
      <c r="W522" s="108"/>
      <c r="X522" s="108"/>
      <c r="Y522" s="108"/>
    </row>
    <row r="523">
      <c r="A523" s="244"/>
      <c r="B523" s="107"/>
      <c r="C523" s="107"/>
      <c r="D523" s="115"/>
      <c r="E523" s="107"/>
      <c r="F523" s="211"/>
      <c r="G523" s="256"/>
      <c r="H523" s="239"/>
      <c r="I523" s="108"/>
      <c r="J523" s="108"/>
      <c r="K523" s="108"/>
      <c r="L523" s="108"/>
      <c r="M523" s="108"/>
      <c r="N523" s="108"/>
      <c r="O523" s="108"/>
      <c r="P523" s="108"/>
      <c r="Q523" s="108"/>
      <c r="R523" s="108"/>
      <c r="S523" s="108"/>
      <c r="T523" s="108"/>
      <c r="U523" s="108"/>
      <c r="V523" s="108"/>
      <c r="W523" s="108"/>
      <c r="X523" s="108"/>
      <c r="Y523" s="108"/>
    </row>
    <row r="524">
      <c r="A524" s="244"/>
      <c r="B524" s="107"/>
      <c r="C524" s="107"/>
      <c r="D524" s="115"/>
      <c r="E524" s="107"/>
      <c r="F524" s="211"/>
      <c r="G524" s="256"/>
      <c r="H524" s="239"/>
      <c r="I524" s="108"/>
      <c r="J524" s="108"/>
      <c r="K524" s="108"/>
      <c r="L524" s="108"/>
      <c r="M524" s="108"/>
      <c r="N524" s="108"/>
      <c r="O524" s="108"/>
      <c r="P524" s="108"/>
      <c r="Q524" s="108"/>
      <c r="R524" s="108"/>
      <c r="S524" s="108"/>
      <c r="T524" s="108"/>
      <c r="U524" s="108"/>
      <c r="V524" s="108"/>
      <c r="W524" s="108"/>
      <c r="X524" s="108"/>
      <c r="Y524" s="108"/>
    </row>
    <row r="525">
      <c r="A525" s="244"/>
      <c r="B525" s="107"/>
      <c r="C525" s="107"/>
      <c r="D525" s="115"/>
      <c r="E525" s="107"/>
      <c r="F525" s="211"/>
      <c r="G525" s="256"/>
      <c r="H525" s="239"/>
      <c r="I525" s="108"/>
      <c r="J525" s="108"/>
      <c r="K525" s="108"/>
      <c r="L525" s="108"/>
      <c r="M525" s="108"/>
      <c r="N525" s="108"/>
      <c r="O525" s="108"/>
      <c r="P525" s="108"/>
      <c r="Q525" s="108"/>
      <c r="R525" s="108"/>
      <c r="S525" s="108"/>
      <c r="T525" s="108"/>
      <c r="U525" s="108"/>
      <c r="V525" s="108"/>
      <c r="W525" s="108"/>
      <c r="X525" s="108"/>
      <c r="Y525" s="108"/>
    </row>
    <row r="526">
      <c r="A526" s="244"/>
      <c r="B526" s="107"/>
      <c r="C526" s="107"/>
      <c r="D526" s="115"/>
      <c r="E526" s="107"/>
      <c r="F526" s="211"/>
      <c r="G526" s="256"/>
      <c r="H526" s="239"/>
      <c r="I526" s="108"/>
      <c r="J526" s="108"/>
      <c r="K526" s="108"/>
      <c r="L526" s="108"/>
      <c r="M526" s="108"/>
      <c r="N526" s="108"/>
      <c r="O526" s="108"/>
      <c r="P526" s="108"/>
      <c r="Q526" s="108"/>
      <c r="R526" s="108"/>
      <c r="S526" s="108"/>
      <c r="T526" s="108"/>
      <c r="U526" s="108"/>
      <c r="V526" s="108"/>
      <c r="W526" s="108"/>
      <c r="X526" s="108"/>
      <c r="Y526" s="108"/>
    </row>
    <row r="527">
      <c r="A527" s="244"/>
      <c r="B527" s="107"/>
      <c r="C527" s="107"/>
      <c r="D527" s="115"/>
      <c r="E527" s="107"/>
      <c r="F527" s="211"/>
      <c r="G527" s="256"/>
      <c r="H527" s="239"/>
      <c r="I527" s="108"/>
      <c r="J527" s="108"/>
      <c r="K527" s="108"/>
      <c r="L527" s="108"/>
      <c r="M527" s="108"/>
      <c r="N527" s="108"/>
      <c r="O527" s="108"/>
      <c r="P527" s="108"/>
      <c r="Q527" s="108"/>
      <c r="R527" s="108"/>
      <c r="S527" s="108"/>
      <c r="T527" s="108"/>
      <c r="U527" s="108"/>
      <c r="V527" s="108"/>
      <c r="W527" s="108"/>
      <c r="X527" s="108"/>
      <c r="Y527" s="108"/>
    </row>
    <row r="528">
      <c r="A528" s="244"/>
      <c r="B528" s="107"/>
      <c r="C528" s="107"/>
      <c r="D528" s="115"/>
      <c r="E528" s="107"/>
      <c r="F528" s="211"/>
      <c r="G528" s="256"/>
      <c r="H528" s="239"/>
      <c r="I528" s="108"/>
      <c r="J528" s="108"/>
      <c r="K528" s="108"/>
      <c r="L528" s="108"/>
      <c r="M528" s="108"/>
      <c r="N528" s="108"/>
      <c r="O528" s="108"/>
      <c r="P528" s="108"/>
      <c r="Q528" s="108"/>
      <c r="R528" s="108"/>
      <c r="S528" s="108"/>
      <c r="T528" s="108"/>
      <c r="U528" s="108"/>
      <c r="V528" s="108"/>
      <c r="W528" s="108"/>
      <c r="X528" s="108"/>
      <c r="Y528" s="108"/>
    </row>
    <row r="529">
      <c r="A529" s="244"/>
      <c r="B529" s="107"/>
      <c r="C529" s="107"/>
      <c r="D529" s="115"/>
      <c r="E529" s="107"/>
      <c r="F529" s="211"/>
      <c r="G529" s="256"/>
      <c r="H529" s="239"/>
      <c r="I529" s="108"/>
      <c r="J529" s="108"/>
      <c r="K529" s="108"/>
      <c r="L529" s="108"/>
      <c r="M529" s="108"/>
      <c r="N529" s="108"/>
      <c r="O529" s="108"/>
      <c r="P529" s="108"/>
      <c r="Q529" s="108"/>
      <c r="R529" s="108"/>
      <c r="S529" s="108"/>
      <c r="T529" s="108"/>
      <c r="U529" s="108"/>
      <c r="V529" s="108"/>
      <c r="W529" s="108"/>
      <c r="X529" s="108"/>
      <c r="Y529" s="108"/>
    </row>
    <row r="530">
      <c r="A530" s="244"/>
      <c r="B530" s="107"/>
      <c r="C530" s="107"/>
      <c r="D530" s="115"/>
      <c r="E530" s="107"/>
      <c r="F530" s="211"/>
      <c r="G530" s="256"/>
      <c r="H530" s="239"/>
      <c r="I530" s="108"/>
      <c r="J530" s="108"/>
      <c r="K530" s="108"/>
      <c r="L530" s="108"/>
      <c r="M530" s="108"/>
      <c r="N530" s="108"/>
      <c r="O530" s="108"/>
      <c r="P530" s="108"/>
      <c r="Q530" s="108"/>
      <c r="R530" s="108"/>
      <c r="S530" s="108"/>
      <c r="T530" s="108"/>
      <c r="U530" s="108"/>
      <c r="V530" s="108"/>
      <c r="W530" s="108"/>
      <c r="X530" s="108"/>
      <c r="Y530" s="108"/>
    </row>
    <row r="531">
      <c r="A531" s="244"/>
      <c r="B531" s="107"/>
      <c r="C531" s="107"/>
      <c r="D531" s="115"/>
      <c r="E531" s="107"/>
      <c r="F531" s="211"/>
      <c r="G531" s="256"/>
      <c r="H531" s="239"/>
      <c r="I531" s="108"/>
      <c r="J531" s="108"/>
      <c r="K531" s="108"/>
      <c r="L531" s="108"/>
      <c r="M531" s="108"/>
      <c r="N531" s="108"/>
      <c r="O531" s="108"/>
      <c r="P531" s="108"/>
      <c r="Q531" s="108"/>
      <c r="R531" s="108"/>
      <c r="S531" s="108"/>
      <c r="T531" s="108"/>
      <c r="U531" s="108"/>
      <c r="V531" s="108"/>
      <c r="W531" s="108"/>
      <c r="X531" s="108"/>
      <c r="Y531" s="108"/>
    </row>
    <row r="532">
      <c r="A532" s="244"/>
      <c r="B532" s="107"/>
      <c r="C532" s="107"/>
      <c r="D532" s="115"/>
      <c r="E532" s="107"/>
      <c r="F532" s="211"/>
      <c r="G532" s="256"/>
      <c r="H532" s="239"/>
      <c r="I532" s="108"/>
      <c r="J532" s="108"/>
      <c r="K532" s="108"/>
      <c r="L532" s="108"/>
      <c r="M532" s="108"/>
      <c r="N532" s="108"/>
      <c r="O532" s="108"/>
      <c r="P532" s="108"/>
      <c r="Q532" s="108"/>
      <c r="R532" s="108"/>
      <c r="S532" s="108"/>
      <c r="T532" s="108"/>
      <c r="U532" s="108"/>
      <c r="V532" s="108"/>
      <c r="W532" s="108"/>
      <c r="X532" s="108"/>
      <c r="Y532" s="108"/>
    </row>
    <row r="533">
      <c r="A533" s="244"/>
      <c r="B533" s="107"/>
      <c r="C533" s="107"/>
      <c r="D533" s="115"/>
      <c r="E533" s="107"/>
      <c r="F533" s="211"/>
      <c r="G533" s="256"/>
      <c r="H533" s="239"/>
      <c r="I533" s="108"/>
      <c r="J533" s="108"/>
      <c r="K533" s="108"/>
      <c r="L533" s="108"/>
      <c r="M533" s="108"/>
      <c r="N533" s="108"/>
      <c r="O533" s="108"/>
      <c r="P533" s="108"/>
      <c r="Q533" s="108"/>
      <c r="R533" s="108"/>
      <c r="S533" s="108"/>
      <c r="T533" s="108"/>
      <c r="U533" s="108"/>
      <c r="V533" s="108"/>
      <c r="W533" s="108"/>
      <c r="X533" s="108"/>
      <c r="Y533" s="108"/>
    </row>
    <row r="534">
      <c r="A534" s="244"/>
      <c r="B534" s="107"/>
      <c r="C534" s="107"/>
      <c r="D534" s="115"/>
      <c r="E534" s="107"/>
      <c r="F534" s="211"/>
      <c r="G534" s="256"/>
      <c r="H534" s="239"/>
      <c r="I534" s="108"/>
      <c r="J534" s="108"/>
      <c r="K534" s="108"/>
      <c r="L534" s="108"/>
      <c r="M534" s="108"/>
      <c r="N534" s="108"/>
      <c r="O534" s="108"/>
      <c r="P534" s="108"/>
      <c r="Q534" s="108"/>
      <c r="R534" s="108"/>
      <c r="S534" s="108"/>
      <c r="T534" s="108"/>
      <c r="U534" s="108"/>
      <c r="V534" s="108"/>
      <c r="W534" s="108"/>
      <c r="X534" s="108"/>
      <c r="Y534" s="108"/>
    </row>
    <row r="535">
      <c r="A535" s="244"/>
      <c r="B535" s="107"/>
      <c r="C535" s="107"/>
      <c r="D535" s="115"/>
      <c r="E535" s="107"/>
      <c r="F535" s="211"/>
      <c r="G535" s="256"/>
      <c r="H535" s="239"/>
      <c r="I535" s="108"/>
      <c r="J535" s="108"/>
      <c r="K535" s="108"/>
      <c r="L535" s="108"/>
      <c r="M535" s="108"/>
      <c r="N535" s="108"/>
      <c r="O535" s="108"/>
      <c r="P535" s="108"/>
      <c r="Q535" s="108"/>
      <c r="R535" s="108"/>
      <c r="S535" s="108"/>
      <c r="T535" s="108"/>
      <c r="U535" s="108"/>
      <c r="V535" s="108"/>
      <c r="W535" s="108"/>
      <c r="X535" s="108"/>
      <c r="Y535" s="108"/>
    </row>
    <row r="536">
      <c r="A536" s="244"/>
      <c r="B536" s="107"/>
      <c r="C536" s="107"/>
      <c r="D536" s="115"/>
      <c r="E536" s="107"/>
      <c r="F536" s="211"/>
      <c r="G536" s="256"/>
      <c r="H536" s="239"/>
      <c r="I536" s="108"/>
      <c r="J536" s="108"/>
      <c r="K536" s="108"/>
      <c r="L536" s="108"/>
      <c r="M536" s="108"/>
      <c r="N536" s="108"/>
      <c r="O536" s="108"/>
      <c r="P536" s="108"/>
      <c r="Q536" s="108"/>
      <c r="R536" s="108"/>
      <c r="S536" s="108"/>
      <c r="T536" s="108"/>
      <c r="U536" s="108"/>
      <c r="V536" s="108"/>
      <c r="W536" s="108"/>
      <c r="X536" s="108"/>
      <c r="Y536" s="108"/>
    </row>
    <row r="537">
      <c r="A537" s="244"/>
      <c r="B537" s="107"/>
      <c r="C537" s="107"/>
      <c r="D537" s="115"/>
      <c r="E537" s="107"/>
      <c r="F537" s="211"/>
      <c r="G537" s="256"/>
      <c r="H537" s="239"/>
      <c r="I537" s="108"/>
      <c r="J537" s="108"/>
      <c r="K537" s="108"/>
      <c r="L537" s="108"/>
      <c r="M537" s="108"/>
      <c r="N537" s="108"/>
      <c r="O537" s="108"/>
      <c r="P537" s="108"/>
      <c r="Q537" s="108"/>
      <c r="R537" s="108"/>
      <c r="S537" s="108"/>
      <c r="T537" s="108"/>
      <c r="U537" s="108"/>
      <c r="V537" s="108"/>
      <c r="W537" s="108"/>
      <c r="X537" s="108"/>
      <c r="Y537" s="108"/>
    </row>
    <row r="538">
      <c r="A538" s="244"/>
      <c r="B538" s="107"/>
      <c r="C538" s="107"/>
      <c r="D538" s="115"/>
      <c r="E538" s="107"/>
      <c r="F538" s="211"/>
      <c r="G538" s="256"/>
      <c r="H538" s="239"/>
      <c r="I538" s="108"/>
      <c r="J538" s="108"/>
      <c r="K538" s="108"/>
      <c r="L538" s="108"/>
      <c r="M538" s="108"/>
      <c r="N538" s="108"/>
      <c r="O538" s="108"/>
      <c r="P538" s="108"/>
      <c r="Q538" s="108"/>
      <c r="R538" s="108"/>
      <c r="S538" s="108"/>
      <c r="T538" s="108"/>
      <c r="U538" s="108"/>
      <c r="V538" s="108"/>
      <c r="W538" s="108"/>
      <c r="X538" s="108"/>
      <c r="Y538" s="108"/>
    </row>
    <row r="539">
      <c r="A539" s="244"/>
      <c r="B539" s="107"/>
      <c r="C539" s="107"/>
      <c r="D539" s="115"/>
      <c r="E539" s="107"/>
      <c r="F539" s="211"/>
      <c r="G539" s="256"/>
      <c r="H539" s="239"/>
      <c r="I539" s="108"/>
      <c r="J539" s="108"/>
      <c r="K539" s="108"/>
      <c r="L539" s="108"/>
      <c r="M539" s="108"/>
      <c r="N539" s="108"/>
      <c r="O539" s="108"/>
      <c r="P539" s="108"/>
      <c r="Q539" s="108"/>
      <c r="R539" s="108"/>
      <c r="S539" s="108"/>
      <c r="T539" s="108"/>
      <c r="U539" s="108"/>
      <c r="V539" s="108"/>
      <c r="W539" s="108"/>
      <c r="X539" s="108"/>
      <c r="Y539" s="108"/>
    </row>
    <row r="540">
      <c r="A540" s="244"/>
      <c r="B540" s="107"/>
      <c r="C540" s="107"/>
      <c r="D540" s="115"/>
      <c r="E540" s="107"/>
      <c r="F540" s="211"/>
      <c r="G540" s="256"/>
      <c r="H540" s="239"/>
      <c r="I540" s="108"/>
      <c r="J540" s="108"/>
      <c r="K540" s="108"/>
      <c r="L540" s="108"/>
      <c r="M540" s="108"/>
      <c r="N540" s="108"/>
      <c r="O540" s="108"/>
      <c r="P540" s="108"/>
      <c r="Q540" s="108"/>
      <c r="R540" s="108"/>
      <c r="S540" s="108"/>
      <c r="T540" s="108"/>
      <c r="U540" s="108"/>
      <c r="V540" s="108"/>
      <c r="W540" s="108"/>
      <c r="X540" s="108"/>
      <c r="Y540" s="108"/>
    </row>
    <row r="541">
      <c r="A541" s="244"/>
      <c r="B541" s="107"/>
      <c r="C541" s="107"/>
      <c r="D541" s="115"/>
      <c r="E541" s="107"/>
      <c r="F541" s="211"/>
      <c r="G541" s="256"/>
      <c r="H541" s="239"/>
      <c r="I541" s="108"/>
      <c r="J541" s="108"/>
      <c r="K541" s="108"/>
      <c r="L541" s="108"/>
      <c r="M541" s="108"/>
      <c r="N541" s="108"/>
      <c r="O541" s="108"/>
      <c r="P541" s="108"/>
      <c r="Q541" s="108"/>
      <c r="R541" s="108"/>
      <c r="S541" s="108"/>
      <c r="T541" s="108"/>
      <c r="U541" s="108"/>
      <c r="V541" s="108"/>
      <c r="W541" s="108"/>
      <c r="X541" s="108"/>
      <c r="Y541" s="108"/>
    </row>
    <row r="542">
      <c r="A542" s="244"/>
      <c r="B542" s="107"/>
      <c r="C542" s="107"/>
      <c r="D542" s="115"/>
      <c r="E542" s="107"/>
      <c r="F542" s="211"/>
      <c r="G542" s="256"/>
      <c r="H542" s="239"/>
      <c r="I542" s="108"/>
      <c r="J542" s="108"/>
      <c r="K542" s="108"/>
      <c r="L542" s="108"/>
      <c r="M542" s="108"/>
      <c r="N542" s="108"/>
      <c r="O542" s="108"/>
      <c r="P542" s="108"/>
      <c r="Q542" s="108"/>
      <c r="R542" s="108"/>
      <c r="S542" s="108"/>
      <c r="T542" s="108"/>
      <c r="U542" s="108"/>
      <c r="V542" s="108"/>
      <c r="W542" s="108"/>
      <c r="X542" s="108"/>
      <c r="Y542" s="108"/>
    </row>
    <row r="543">
      <c r="A543" s="244"/>
      <c r="B543" s="107"/>
      <c r="C543" s="107"/>
      <c r="D543" s="115"/>
      <c r="E543" s="107"/>
      <c r="F543" s="211"/>
      <c r="G543" s="256"/>
      <c r="H543" s="239"/>
      <c r="I543" s="108"/>
      <c r="J543" s="108"/>
      <c r="K543" s="108"/>
      <c r="L543" s="108"/>
      <c r="M543" s="108"/>
      <c r="N543" s="108"/>
      <c r="O543" s="108"/>
      <c r="P543" s="108"/>
      <c r="Q543" s="108"/>
      <c r="R543" s="108"/>
      <c r="S543" s="108"/>
      <c r="T543" s="108"/>
      <c r="U543" s="108"/>
      <c r="V543" s="108"/>
      <c r="W543" s="108"/>
      <c r="X543" s="108"/>
      <c r="Y543" s="108"/>
    </row>
    <row r="544">
      <c r="A544" s="244"/>
      <c r="B544" s="107"/>
      <c r="C544" s="107"/>
      <c r="D544" s="115"/>
      <c r="E544" s="107"/>
      <c r="F544" s="211"/>
      <c r="G544" s="256"/>
      <c r="H544" s="239"/>
      <c r="I544" s="108"/>
      <c r="J544" s="108"/>
      <c r="K544" s="108"/>
      <c r="L544" s="108"/>
      <c r="M544" s="108"/>
      <c r="N544" s="108"/>
      <c r="O544" s="108"/>
      <c r="P544" s="108"/>
      <c r="Q544" s="108"/>
      <c r="R544" s="108"/>
      <c r="S544" s="108"/>
      <c r="T544" s="108"/>
      <c r="U544" s="108"/>
      <c r="V544" s="108"/>
      <c r="W544" s="108"/>
      <c r="X544" s="108"/>
      <c r="Y544" s="108"/>
    </row>
    <row r="545">
      <c r="A545" s="244"/>
      <c r="B545" s="107"/>
      <c r="C545" s="107"/>
      <c r="D545" s="115"/>
      <c r="E545" s="107"/>
      <c r="F545" s="211"/>
      <c r="G545" s="256"/>
      <c r="H545" s="239"/>
      <c r="I545" s="108"/>
      <c r="J545" s="108"/>
      <c r="K545" s="108"/>
      <c r="L545" s="108"/>
      <c r="M545" s="108"/>
      <c r="N545" s="108"/>
      <c r="O545" s="108"/>
      <c r="P545" s="108"/>
      <c r="Q545" s="108"/>
      <c r="R545" s="108"/>
      <c r="S545" s="108"/>
      <c r="T545" s="108"/>
      <c r="U545" s="108"/>
      <c r="V545" s="108"/>
      <c r="W545" s="108"/>
      <c r="X545" s="108"/>
      <c r="Y545" s="108"/>
    </row>
    <row r="546">
      <c r="A546" s="244"/>
      <c r="B546" s="107"/>
      <c r="C546" s="107"/>
      <c r="D546" s="115"/>
      <c r="E546" s="107"/>
      <c r="F546" s="211"/>
      <c r="G546" s="256"/>
      <c r="H546" s="239"/>
      <c r="I546" s="108"/>
      <c r="J546" s="108"/>
      <c r="K546" s="108"/>
      <c r="L546" s="108"/>
      <c r="M546" s="108"/>
      <c r="N546" s="108"/>
      <c r="O546" s="108"/>
      <c r="P546" s="108"/>
      <c r="Q546" s="108"/>
      <c r="R546" s="108"/>
      <c r="S546" s="108"/>
      <c r="T546" s="108"/>
      <c r="U546" s="108"/>
      <c r="V546" s="108"/>
      <c r="W546" s="108"/>
      <c r="X546" s="108"/>
      <c r="Y546" s="108"/>
    </row>
    <row r="547">
      <c r="A547" s="244"/>
      <c r="B547" s="107"/>
      <c r="C547" s="107"/>
      <c r="D547" s="115"/>
      <c r="E547" s="107"/>
      <c r="F547" s="211"/>
      <c r="G547" s="256"/>
      <c r="H547" s="239"/>
      <c r="I547" s="108"/>
      <c r="J547" s="108"/>
      <c r="K547" s="108"/>
      <c r="L547" s="108"/>
      <c r="M547" s="108"/>
      <c r="N547" s="108"/>
      <c r="O547" s="108"/>
      <c r="P547" s="108"/>
      <c r="Q547" s="108"/>
      <c r="R547" s="108"/>
      <c r="S547" s="108"/>
      <c r="T547" s="108"/>
      <c r="U547" s="108"/>
      <c r="V547" s="108"/>
      <c r="W547" s="108"/>
      <c r="X547" s="108"/>
      <c r="Y547" s="108"/>
    </row>
    <row r="548">
      <c r="A548" s="244"/>
      <c r="B548" s="107"/>
      <c r="C548" s="107"/>
      <c r="D548" s="115"/>
      <c r="E548" s="107"/>
      <c r="F548" s="211"/>
      <c r="G548" s="256"/>
      <c r="H548" s="239"/>
      <c r="I548" s="108"/>
      <c r="J548" s="108"/>
      <c r="K548" s="108"/>
      <c r="L548" s="108"/>
      <c r="M548" s="108"/>
      <c r="N548" s="108"/>
      <c r="O548" s="108"/>
      <c r="P548" s="108"/>
      <c r="Q548" s="108"/>
      <c r="R548" s="108"/>
      <c r="S548" s="108"/>
      <c r="T548" s="108"/>
      <c r="U548" s="108"/>
      <c r="V548" s="108"/>
      <c r="W548" s="108"/>
      <c r="X548" s="108"/>
      <c r="Y548" s="108"/>
    </row>
    <row r="549">
      <c r="A549" s="244"/>
      <c r="B549" s="107"/>
      <c r="C549" s="107"/>
      <c r="D549" s="115"/>
      <c r="E549" s="107"/>
      <c r="F549" s="211"/>
      <c r="G549" s="256"/>
      <c r="H549" s="239"/>
      <c r="I549" s="108"/>
      <c r="J549" s="108"/>
      <c r="K549" s="108"/>
      <c r="L549" s="108"/>
      <c r="M549" s="108"/>
      <c r="N549" s="108"/>
      <c r="O549" s="108"/>
      <c r="P549" s="108"/>
      <c r="Q549" s="108"/>
      <c r="R549" s="108"/>
      <c r="S549" s="108"/>
      <c r="T549" s="108"/>
      <c r="U549" s="108"/>
      <c r="V549" s="108"/>
      <c r="W549" s="108"/>
      <c r="X549" s="108"/>
      <c r="Y549" s="108"/>
    </row>
    <row r="550">
      <c r="A550" s="244"/>
      <c r="B550" s="107"/>
      <c r="C550" s="107"/>
      <c r="D550" s="115"/>
      <c r="E550" s="107"/>
      <c r="F550" s="211"/>
      <c r="G550" s="256"/>
      <c r="H550" s="239"/>
      <c r="I550" s="108"/>
      <c r="J550" s="108"/>
      <c r="K550" s="108"/>
      <c r="L550" s="108"/>
      <c r="M550" s="108"/>
      <c r="N550" s="108"/>
      <c r="O550" s="108"/>
      <c r="P550" s="108"/>
      <c r="Q550" s="108"/>
      <c r="R550" s="108"/>
      <c r="S550" s="108"/>
      <c r="T550" s="108"/>
      <c r="U550" s="108"/>
      <c r="V550" s="108"/>
      <c r="W550" s="108"/>
      <c r="X550" s="108"/>
      <c r="Y550" s="108"/>
    </row>
    <row r="551">
      <c r="A551" s="244"/>
      <c r="B551" s="107"/>
      <c r="C551" s="107"/>
      <c r="D551" s="115"/>
      <c r="E551" s="107"/>
      <c r="F551" s="211"/>
      <c r="G551" s="256"/>
      <c r="H551" s="239"/>
      <c r="I551" s="108"/>
      <c r="J551" s="108"/>
      <c r="K551" s="108"/>
      <c r="L551" s="108"/>
      <c r="M551" s="108"/>
      <c r="N551" s="108"/>
      <c r="O551" s="108"/>
      <c r="P551" s="108"/>
      <c r="Q551" s="108"/>
      <c r="R551" s="108"/>
      <c r="S551" s="108"/>
      <c r="T551" s="108"/>
      <c r="U551" s="108"/>
      <c r="V551" s="108"/>
      <c r="W551" s="108"/>
      <c r="X551" s="108"/>
      <c r="Y551" s="108"/>
    </row>
    <row r="552">
      <c r="A552" s="244"/>
      <c r="B552" s="107"/>
      <c r="C552" s="107"/>
      <c r="D552" s="115"/>
      <c r="E552" s="107"/>
      <c r="F552" s="211"/>
      <c r="G552" s="256"/>
      <c r="H552" s="239"/>
      <c r="I552" s="108"/>
      <c r="J552" s="108"/>
      <c r="K552" s="108"/>
      <c r="L552" s="108"/>
      <c r="M552" s="108"/>
      <c r="N552" s="108"/>
      <c r="O552" s="108"/>
      <c r="P552" s="108"/>
      <c r="Q552" s="108"/>
      <c r="R552" s="108"/>
      <c r="S552" s="108"/>
      <c r="T552" s="108"/>
      <c r="U552" s="108"/>
      <c r="V552" s="108"/>
      <c r="W552" s="108"/>
      <c r="X552" s="108"/>
      <c r="Y552" s="108"/>
    </row>
    <row r="553">
      <c r="A553" s="244"/>
      <c r="B553" s="107"/>
      <c r="C553" s="107"/>
      <c r="D553" s="115"/>
      <c r="E553" s="107"/>
      <c r="F553" s="211"/>
      <c r="G553" s="256"/>
      <c r="H553" s="239"/>
      <c r="I553" s="108"/>
      <c r="J553" s="108"/>
      <c r="K553" s="108"/>
      <c r="L553" s="108"/>
      <c r="M553" s="108"/>
      <c r="N553" s="108"/>
      <c r="O553" s="108"/>
      <c r="P553" s="108"/>
      <c r="Q553" s="108"/>
      <c r="R553" s="108"/>
      <c r="S553" s="108"/>
      <c r="T553" s="108"/>
      <c r="U553" s="108"/>
      <c r="V553" s="108"/>
      <c r="W553" s="108"/>
      <c r="X553" s="108"/>
      <c r="Y553" s="108"/>
    </row>
    <row r="554">
      <c r="A554" s="244"/>
      <c r="B554" s="107"/>
      <c r="C554" s="107"/>
      <c r="D554" s="115"/>
      <c r="E554" s="107"/>
      <c r="F554" s="211"/>
      <c r="G554" s="256"/>
      <c r="H554" s="239"/>
      <c r="I554" s="108"/>
      <c r="J554" s="108"/>
      <c r="K554" s="108"/>
      <c r="L554" s="108"/>
      <c r="M554" s="108"/>
      <c r="N554" s="108"/>
      <c r="O554" s="108"/>
      <c r="P554" s="108"/>
      <c r="Q554" s="108"/>
      <c r="R554" s="108"/>
      <c r="S554" s="108"/>
      <c r="T554" s="108"/>
      <c r="U554" s="108"/>
      <c r="V554" s="108"/>
      <c r="W554" s="108"/>
      <c r="X554" s="108"/>
      <c r="Y554" s="108"/>
    </row>
    <row r="555">
      <c r="A555" s="244"/>
      <c r="B555" s="107"/>
      <c r="C555" s="107"/>
      <c r="D555" s="115"/>
      <c r="E555" s="107"/>
      <c r="F555" s="211"/>
      <c r="G555" s="256"/>
      <c r="H555" s="239"/>
      <c r="I555" s="108"/>
      <c r="J555" s="108"/>
      <c r="K555" s="108"/>
      <c r="L555" s="108"/>
      <c r="M555" s="108"/>
      <c r="N555" s="108"/>
      <c r="O555" s="108"/>
      <c r="P555" s="108"/>
      <c r="Q555" s="108"/>
      <c r="R555" s="108"/>
      <c r="S555" s="108"/>
      <c r="T555" s="108"/>
      <c r="U555" s="108"/>
      <c r="V555" s="108"/>
      <c r="W555" s="108"/>
      <c r="X555" s="108"/>
      <c r="Y555" s="108"/>
    </row>
    <row r="556">
      <c r="A556" s="244"/>
      <c r="B556" s="107"/>
      <c r="C556" s="107"/>
      <c r="D556" s="115"/>
      <c r="E556" s="107"/>
      <c r="F556" s="211"/>
      <c r="G556" s="256"/>
      <c r="H556" s="239"/>
      <c r="I556" s="108"/>
      <c r="J556" s="108"/>
      <c r="K556" s="108"/>
      <c r="L556" s="108"/>
      <c r="M556" s="108"/>
      <c r="N556" s="108"/>
      <c r="O556" s="108"/>
      <c r="P556" s="108"/>
      <c r="Q556" s="108"/>
      <c r="R556" s="108"/>
      <c r="S556" s="108"/>
      <c r="T556" s="108"/>
      <c r="U556" s="108"/>
      <c r="V556" s="108"/>
      <c r="W556" s="108"/>
      <c r="X556" s="108"/>
      <c r="Y556" s="108"/>
    </row>
    <row r="557">
      <c r="A557" s="244"/>
      <c r="B557" s="107"/>
      <c r="C557" s="107"/>
      <c r="D557" s="115"/>
      <c r="E557" s="107"/>
      <c r="F557" s="211"/>
      <c r="G557" s="256"/>
      <c r="H557" s="239"/>
      <c r="I557" s="108"/>
      <c r="J557" s="108"/>
      <c r="K557" s="108"/>
      <c r="L557" s="108"/>
      <c r="M557" s="108"/>
      <c r="N557" s="108"/>
      <c r="O557" s="108"/>
      <c r="P557" s="108"/>
      <c r="Q557" s="108"/>
      <c r="R557" s="108"/>
      <c r="S557" s="108"/>
      <c r="T557" s="108"/>
      <c r="U557" s="108"/>
      <c r="V557" s="108"/>
      <c r="W557" s="108"/>
      <c r="X557" s="108"/>
      <c r="Y557" s="108"/>
    </row>
    <row r="558">
      <c r="A558" s="244"/>
      <c r="B558" s="107"/>
      <c r="C558" s="107"/>
      <c r="D558" s="115"/>
      <c r="E558" s="107"/>
      <c r="F558" s="211"/>
      <c r="G558" s="256"/>
      <c r="H558" s="239"/>
      <c r="I558" s="108"/>
      <c r="J558" s="108"/>
      <c r="K558" s="108"/>
      <c r="L558" s="108"/>
      <c r="M558" s="108"/>
      <c r="N558" s="108"/>
      <c r="O558" s="108"/>
      <c r="P558" s="108"/>
      <c r="Q558" s="108"/>
      <c r="R558" s="108"/>
      <c r="S558" s="108"/>
      <c r="T558" s="108"/>
      <c r="U558" s="108"/>
      <c r="V558" s="108"/>
      <c r="W558" s="108"/>
      <c r="X558" s="108"/>
      <c r="Y558" s="108"/>
    </row>
    <row r="559">
      <c r="A559" s="244"/>
      <c r="B559" s="107"/>
      <c r="C559" s="107"/>
      <c r="D559" s="115"/>
      <c r="E559" s="107"/>
      <c r="F559" s="211"/>
      <c r="G559" s="256"/>
      <c r="H559" s="239"/>
      <c r="I559" s="108"/>
      <c r="J559" s="108"/>
      <c r="K559" s="108"/>
      <c r="L559" s="108"/>
      <c r="M559" s="108"/>
      <c r="N559" s="108"/>
      <c r="O559" s="108"/>
      <c r="P559" s="108"/>
      <c r="Q559" s="108"/>
      <c r="R559" s="108"/>
      <c r="S559" s="108"/>
      <c r="T559" s="108"/>
      <c r="U559" s="108"/>
      <c r="V559" s="108"/>
      <c r="W559" s="108"/>
      <c r="X559" s="108"/>
      <c r="Y559" s="108"/>
    </row>
    <row r="560">
      <c r="A560" s="244"/>
      <c r="B560" s="107"/>
      <c r="C560" s="107"/>
      <c r="D560" s="115"/>
      <c r="E560" s="107"/>
      <c r="F560" s="211"/>
      <c r="G560" s="256"/>
      <c r="H560" s="239"/>
      <c r="I560" s="108"/>
      <c r="J560" s="108"/>
      <c r="K560" s="108"/>
      <c r="L560" s="108"/>
      <c r="M560" s="108"/>
      <c r="N560" s="108"/>
      <c r="O560" s="108"/>
      <c r="P560" s="108"/>
      <c r="Q560" s="108"/>
      <c r="R560" s="108"/>
      <c r="S560" s="108"/>
      <c r="T560" s="108"/>
      <c r="U560" s="108"/>
      <c r="V560" s="108"/>
      <c r="W560" s="108"/>
      <c r="X560" s="108"/>
      <c r="Y560" s="108"/>
    </row>
    <row r="561">
      <c r="A561" s="244"/>
      <c r="B561" s="107"/>
      <c r="C561" s="107"/>
      <c r="D561" s="115"/>
      <c r="E561" s="107"/>
      <c r="F561" s="211"/>
      <c r="G561" s="256"/>
      <c r="H561" s="239"/>
      <c r="I561" s="108"/>
      <c r="J561" s="108"/>
      <c r="K561" s="108"/>
      <c r="L561" s="108"/>
      <c r="M561" s="108"/>
      <c r="N561" s="108"/>
      <c r="O561" s="108"/>
      <c r="P561" s="108"/>
      <c r="Q561" s="108"/>
      <c r="R561" s="108"/>
      <c r="S561" s="108"/>
      <c r="T561" s="108"/>
      <c r="U561" s="108"/>
      <c r="V561" s="108"/>
      <c r="W561" s="108"/>
      <c r="X561" s="108"/>
      <c r="Y561" s="108"/>
    </row>
    <row r="562">
      <c r="A562" s="244"/>
      <c r="B562" s="107"/>
      <c r="C562" s="107"/>
      <c r="D562" s="115"/>
      <c r="E562" s="107"/>
      <c r="F562" s="211"/>
      <c r="G562" s="256"/>
      <c r="H562" s="239"/>
      <c r="I562" s="108"/>
      <c r="J562" s="108"/>
      <c r="K562" s="108"/>
      <c r="L562" s="108"/>
      <c r="M562" s="108"/>
      <c r="N562" s="108"/>
      <c r="O562" s="108"/>
      <c r="P562" s="108"/>
      <c r="Q562" s="108"/>
      <c r="R562" s="108"/>
      <c r="S562" s="108"/>
      <c r="T562" s="108"/>
      <c r="U562" s="108"/>
      <c r="V562" s="108"/>
      <c r="W562" s="108"/>
      <c r="X562" s="108"/>
      <c r="Y562" s="108"/>
    </row>
    <row r="563">
      <c r="A563" s="244"/>
      <c r="B563" s="107"/>
      <c r="C563" s="107"/>
      <c r="D563" s="115"/>
      <c r="E563" s="107"/>
      <c r="F563" s="211"/>
      <c r="G563" s="256"/>
      <c r="H563" s="239"/>
      <c r="I563" s="108"/>
      <c r="J563" s="108"/>
      <c r="K563" s="108"/>
      <c r="L563" s="108"/>
      <c r="M563" s="108"/>
      <c r="N563" s="108"/>
      <c r="O563" s="108"/>
      <c r="P563" s="108"/>
      <c r="Q563" s="108"/>
      <c r="R563" s="108"/>
      <c r="S563" s="108"/>
      <c r="T563" s="108"/>
      <c r="U563" s="108"/>
      <c r="V563" s="108"/>
      <c r="W563" s="108"/>
      <c r="X563" s="108"/>
      <c r="Y563" s="108"/>
    </row>
    <row r="564">
      <c r="A564" s="244"/>
      <c r="B564" s="107"/>
      <c r="C564" s="107"/>
      <c r="D564" s="115"/>
      <c r="E564" s="107"/>
      <c r="F564" s="211"/>
      <c r="G564" s="256"/>
      <c r="H564" s="239"/>
      <c r="I564" s="108"/>
      <c r="J564" s="108"/>
      <c r="K564" s="108"/>
      <c r="L564" s="108"/>
      <c r="M564" s="108"/>
      <c r="N564" s="108"/>
      <c r="O564" s="108"/>
      <c r="P564" s="108"/>
      <c r="Q564" s="108"/>
      <c r="R564" s="108"/>
      <c r="S564" s="108"/>
      <c r="T564" s="108"/>
      <c r="U564" s="108"/>
      <c r="V564" s="108"/>
      <c r="W564" s="108"/>
      <c r="X564" s="108"/>
      <c r="Y564" s="108"/>
    </row>
    <row r="565">
      <c r="A565" s="244"/>
      <c r="B565" s="107"/>
      <c r="C565" s="107"/>
      <c r="D565" s="115"/>
      <c r="E565" s="107"/>
      <c r="F565" s="211"/>
      <c r="G565" s="256"/>
      <c r="H565" s="239"/>
      <c r="I565" s="108"/>
      <c r="J565" s="108"/>
      <c r="K565" s="108"/>
      <c r="L565" s="108"/>
      <c r="M565" s="108"/>
      <c r="N565" s="108"/>
      <c r="O565" s="108"/>
      <c r="P565" s="108"/>
      <c r="Q565" s="108"/>
      <c r="R565" s="108"/>
      <c r="S565" s="108"/>
      <c r="T565" s="108"/>
      <c r="U565" s="108"/>
      <c r="V565" s="108"/>
      <c r="W565" s="108"/>
      <c r="X565" s="108"/>
      <c r="Y565" s="108"/>
    </row>
    <row r="566">
      <c r="A566" s="244"/>
      <c r="B566" s="107"/>
      <c r="C566" s="107"/>
      <c r="D566" s="115"/>
      <c r="E566" s="107"/>
      <c r="F566" s="211"/>
      <c r="G566" s="256"/>
      <c r="H566" s="239"/>
      <c r="I566" s="108"/>
      <c r="J566" s="108"/>
      <c r="K566" s="108"/>
      <c r="L566" s="108"/>
      <c r="M566" s="108"/>
      <c r="N566" s="108"/>
      <c r="O566" s="108"/>
      <c r="P566" s="108"/>
      <c r="Q566" s="108"/>
      <c r="R566" s="108"/>
      <c r="S566" s="108"/>
      <c r="T566" s="108"/>
      <c r="U566" s="108"/>
      <c r="V566" s="108"/>
      <c r="W566" s="108"/>
      <c r="X566" s="108"/>
      <c r="Y566" s="108"/>
    </row>
    <row r="567">
      <c r="A567" s="244"/>
      <c r="B567" s="107"/>
      <c r="C567" s="107"/>
      <c r="D567" s="115"/>
      <c r="E567" s="107"/>
      <c r="F567" s="211"/>
      <c r="G567" s="256"/>
      <c r="H567" s="239"/>
      <c r="I567" s="108"/>
      <c r="J567" s="108"/>
      <c r="K567" s="108"/>
      <c r="L567" s="108"/>
      <c r="M567" s="108"/>
      <c r="N567" s="108"/>
      <c r="O567" s="108"/>
      <c r="P567" s="108"/>
      <c r="Q567" s="108"/>
      <c r="R567" s="108"/>
      <c r="S567" s="108"/>
      <c r="T567" s="108"/>
      <c r="U567" s="108"/>
      <c r="V567" s="108"/>
      <c r="W567" s="108"/>
      <c r="X567" s="108"/>
      <c r="Y567" s="108"/>
    </row>
    <row r="568">
      <c r="A568" s="244"/>
      <c r="B568" s="107"/>
      <c r="C568" s="107"/>
      <c r="D568" s="115"/>
      <c r="E568" s="107"/>
      <c r="F568" s="211"/>
      <c r="G568" s="256"/>
      <c r="H568" s="239"/>
      <c r="I568" s="108"/>
      <c r="J568" s="108"/>
      <c r="K568" s="108"/>
      <c r="L568" s="108"/>
      <c r="M568" s="108"/>
      <c r="N568" s="108"/>
      <c r="O568" s="108"/>
      <c r="P568" s="108"/>
      <c r="Q568" s="108"/>
      <c r="R568" s="108"/>
      <c r="S568" s="108"/>
      <c r="T568" s="108"/>
      <c r="U568" s="108"/>
      <c r="V568" s="108"/>
      <c r="W568" s="108"/>
      <c r="X568" s="108"/>
      <c r="Y568" s="108"/>
    </row>
    <row r="569">
      <c r="A569" s="244"/>
      <c r="B569" s="107"/>
      <c r="C569" s="107"/>
      <c r="D569" s="115"/>
      <c r="E569" s="107"/>
      <c r="F569" s="211"/>
      <c r="G569" s="256"/>
      <c r="H569" s="239"/>
      <c r="I569" s="108"/>
      <c r="J569" s="108"/>
      <c r="K569" s="108"/>
      <c r="L569" s="108"/>
      <c r="M569" s="108"/>
      <c r="N569" s="108"/>
      <c r="O569" s="108"/>
      <c r="P569" s="108"/>
      <c r="Q569" s="108"/>
      <c r="R569" s="108"/>
      <c r="S569" s="108"/>
      <c r="T569" s="108"/>
      <c r="U569" s="108"/>
      <c r="V569" s="108"/>
      <c r="W569" s="108"/>
      <c r="X569" s="108"/>
      <c r="Y569" s="108"/>
    </row>
    <row r="570">
      <c r="A570" s="244"/>
      <c r="B570" s="107"/>
      <c r="C570" s="107"/>
      <c r="D570" s="115"/>
      <c r="E570" s="107"/>
      <c r="F570" s="211"/>
      <c r="G570" s="256"/>
      <c r="H570" s="239"/>
      <c r="I570" s="108"/>
      <c r="J570" s="108"/>
      <c r="K570" s="108"/>
      <c r="L570" s="108"/>
      <c r="M570" s="108"/>
      <c r="N570" s="108"/>
      <c r="O570" s="108"/>
      <c r="P570" s="108"/>
      <c r="Q570" s="108"/>
      <c r="R570" s="108"/>
      <c r="S570" s="108"/>
      <c r="T570" s="108"/>
      <c r="U570" s="108"/>
      <c r="V570" s="108"/>
      <c r="W570" s="108"/>
      <c r="X570" s="108"/>
      <c r="Y570" s="108"/>
    </row>
    <row r="571">
      <c r="A571" s="244"/>
      <c r="B571" s="107"/>
      <c r="C571" s="107"/>
      <c r="D571" s="115"/>
      <c r="E571" s="107"/>
      <c r="F571" s="211"/>
      <c r="G571" s="256"/>
      <c r="H571" s="239"/>
      <c r="I571" s="108"/>
      <c r="J571" s="108"/>
      <c r="K571" s="108"/>
      <c r="L571" s="108"/>
      <c r="M571" s="108"/>
      <c r="N571" s="108"/>
      <c r="O571" s="108"/>
      <c r="P571" s="108"/>
      <c r="Q571" s="108"/>
      <c r="R571" s="108"/>
      <c r="S571" s="108"/>
      <c r="T571" s="108"/>
      <c r="U571" s="108"/>
      <c r="V571" s="108"/>
      <c r="W571" s="108"/>
      <c r="X571" s="108"/>
      <c r="Y571" s="108"/>
    </row>
    <row r="572">
      <c r="A572" s="244"/>
      <c r="B572" s="107"/>
      <c r="C572" s="107"/>
      <c r="D572" s="115"/>
      <c r="E572" s="107"/>
      <c r="F572" s="211"/>
      <c r="G572" s="256"/>
      <c r="H572" s="239"/>
      <c r="I572" s="108"/>
      <c r="J572" s="108"/>
      <c r="K572" s="108"/>
      <c r="L572" s="108"/>
      <c r="M572" s="108"/>
      <c r="N572" s="108"/>
      <c r="O572" s="108"/>
      <c r="P572" s="108"/>
      <c r="Q572" s="108"/>
      <c r="R572" s="108"/>
      <c r="S572" s="108"/>
      <c r="T572" s="108"/>
      <c r="U572" s="108"/>
      <c r="V572" s="108"/>
      <c r="W572" s="108"/>
      <c r="X572" s="108"/>
      <c r="Y572" s="108"/>
    </row>
    <row r="573">
      <c r="A573" s="244"/>
      <c r="B573" s="107"/>
      <c r="C573" s="107"/>
      <c r="D573" s="115"/>
      <c r="E573" s="107"/>
      <c r="F573" s="211"/>
      <c r="G573" s="256"/>
      <c r="H573" s="239"/>
      <c r="I573" s="108"/>
      <c r="J573" s="108"/>
      <c r="K573" s="108"/>
      <c r="L573" s="108"/>
      <c r="M573" s="108"/>
      <c r="N573" s="108"/>
      <c r="O573" s="108"/>
      <c r="P573" s="108"/>
      <c r="Q573" s="108"/>
      <c r="R573" s="108"/>
      <c r="S573" s="108"/>
      <c r="T573" s="108"/>
      <c r="U573" s="108"/>
      <c r="V573" s="108"/>
      <c r="W573" s="108"/>
      <c r="X573" s="108"/>
      <c r="Y573" s="108"/>
    </row>
    <row r="574">
      <c r="A574" s="244"/>
      <c r="B574" s="107"/>
      <c r="C574" s="107"/>
      <c r="D574" s="115"/>
      <c r="E574" s="107"/>
      <c r="F574" s="211"/>
      <c r="G574" s="256"/>
      <c r="H574" s="239"/>
      <c r="I574" s="108"/>
      <c r="J574" s="108"/>
      <c r="K574" s="108"/>
      <c r="L574" s="108"/>
      <c r="M574" s="108"/>
      <c r="N574" s="108"/>
      <c r="O574" s="108"/>
      <c r="P574" s="108"/>
      <c r="Q574" s="108"/>
      <c r="R574" s="108"/>
      <c r="S574" s="108"/>
      <c r="T574" s="108"/>
      <c r="U574" s="108"/>
      <c r="V574" s="108"/>
      <c r="W574" s="108"/>
      <c r="X574" s="108"/>
      <c r="Y574" s="108"/>
    </row>
    <row r="575">
      <c r="A575" s="244"/>
      <c r="B575" s="107"/>
      <c r="C575" s="107"/>
      <c r="D575" s="115"/>
      <c r="E575" s="107"/>
      <c r="F575" s="211"/>
      <c r="G575" s="256"/>
      <c r="H575" s="239"/>
      <c r="I575" s="108"/>
      <c r="J575" s="108"/>
      <c r="K575" s="108"/>
      <c r="L575" s="108"/>
      <c r="M575" s="108"/>
      <c r="N575" s="108"/>
      <c r="O575" s="108"/>
      <c r="P575" s="108"/>
      <c r="Q575" s="108"/>
      <c r="R575" s="108"/>
      <c r="S575" s="108"/>
      <c r="T575" s="108"/>
      <c r="U575" s="108"/>
      <c r="V575" s="108"/>
      <c r="W575" s="108"/>
      <c r="X575" s="108"/>
      <c r="Y575" s="108"/>
    </row>
    <row r="576">
      <c r="A576" s="244"/>
      <c r="B576" s="107"/>
      <c r="C576" s="107"/>
      <c r="D576" s="115"/>
      <c r="E576" s="107"/>
      <c r="F576" s="211"/>
      <c r="G576" s="256"/>
      <c r="H576" s="239"/>
      <c r="I576" s="108"/>
      <c r="J576" s="108"/>
      <c r="K576" s="108"/>
      <c r="L576" s="108"/>
      <c r="M576" s="108"/>
      <c r="N576" s="108"/>
      <c r="O576" s="108"/>
      <c r="P576" s="108"/>
      <c r="Q576" s="108"/>
      <c r="R576" s="108"/>
      <c r="S576" s="108"/>
      <c r="T576" s="108"/>
      <c r="U576" s="108"/>
      <c r="V576" s="108"/>
      <c r="W576" s="108"/>
      <c r="X576" s="108"/>
      <c r="Y576" s="108"/>
    </row>
    <row r="577">
      <c r="A577" s="244"/>
      <c r="B577" s="107"/>
      <c r="C577" s="107"/>
      <c r="D577" s="115"/>
      <c r="E577" s="107"/>
      <c r="F577" s="211"/>
      <c r="G577" s="256"/>
      <c r="H577" s="239"/>
      <c r="I577" s="108"/>
      <c r="J577" s="108"/>
      <c r="K577" s="108"/>
      <c r="L577" s="108"/>
      <c r="M577" s="108"/>
      <c r="N577" s="108"/>
      <c r="O577" s="108"/>
      <c r="P577" s="108"/>
      <c r="Q577" s="108"/>
      <c r="R577" s="108"/>
      <c r="S577" s="108"/>
      <c r="T577" s="108"/>
      <c r="U577" s="108"/>
      <c r="V577" s="108"/>
      <c r="W577" s="108"/>
      <c r="X577" s="108"/>
      <c r="Y577" s="108"/>
    </row>
    <row r="578">
      <c r="A578" s="244"/>
      <c r="B578" s="107"/>
      <c r="C578" s="107"/>
      <c r="D578" s="115"/>
      <c r="E578" s="107"/>
      <c r="F578" s="211"/>
      <c r="G578" s="256"/>
      <c r="H578" s="239"/>
      <c r="I578" s="108"/>
      <c r="J578" s="108"/>
      <c r="K578" s="108"/>
      <c r="L578" s="108"/>
      <c r="M578" s="108"/>
      <c r="N578" s="108"/>
      <c r="O578" s="108"/>
      <c r="P578" s="108"/>
      <c r="Q578" s="108"/>
      <c r="R578" s="108"/>
      <c r="S578" s="108"/>
      <c r="T578" s="108"/>
      <c r="U578" s="108"/>
      <c r="V578" s="108"/>
      <c r="W578" s="108"/>
      <c r="X578" s="108"/>
      <c r="Y578" s="108"/>
    </row>
    <row r="579">
      <c r="A579" s="244"/>
      <c r="B579" s="107"/>
      <c r="C579" s="107"/>
      <c r="D579" s="115"/>
      <c r="E579" s="107"/>
      <c r="F579" s="211"/>
      <c r="G579" s="256"/>
      <c r="H579" s="239"/>
      <c r="I579" s="108"/>
      <c r="J579" s="108"/>
      <c r="K579" s="108"/>
      <c r="L579" s="108"/>
      <c r="M579" s="108"/>
      <c r="N579" s="108"/>
      <c r="O579" s="108"/>
      <c r="P579" s="108"/>
      <c r="Q579" s="108"/>
      <c r="R579" s="108"/>
      <c r="S579" s="108"/>
      <c r="T579" s="108"/>
      <c r="U579" s="108"/>
      <c r="V579" s="108"/>
      <c r="W579" s="108"/>
      <c r="X579" s="108"/>
      <c r="Y579" s="108"/>
    </row>
    <row r="580">
      <c r="A580" s="244"/>
      <c r="B580" s="107"/>
      <c r="C580" s="107"/>
      <c r="D580" s="115"/>
      <c r="E580" s="107"/>
      <c r="F580" s="211"/>
      <c r="G580" s="256"/>
      <c r="H580" s="239"/>
      <c r="I580" s="108"/>
      <c r="J580" s="108"/>
      <c r="K580" s="108"/>
      <c r="L580" s="108"/>
      <c r="M580" s="108"/>
      <c r="N580" s="108"/>
      <c r="O580" s="108"/>
      <c r="P580" s="108"/>
      <c r="Q580" s="108"/>
      <c r="R580" s="108"/>
      <c r="S580" s="108"/>
      <c r="T580" s="108"/>
      <c r="U580" s="108"/>
      <c r="V580" s="108"/>
      <c r="W580" s="108"/>
      <c r="X580" s="108"/>
      <c r="Y580" s="108"/>
    </row>
    <row r="581">
      <c r="A581" s="244"/>
      <c r="B581" s="107"/>
      <c r="C581" s="107"/>
      <c r="D581" s="115"/>
      <c r="E581" s="107"/>
      <c r="F581" s="211"/>
      <c r="G581" s="256"/>
      <c r="H581" s="239"/>
      <c r="I581" s="108"/>
      <c r="J581" s="108"/>
      <c r="K581" s="108"/>
      <c r="L581" s="108"/>
      <c r="M581" s="108"/>
      <c r="N581" s="108"/>
      <c r="O581" s="108"/>
      <c r="P581" s="108"/>
      <c r="Q581" s="108"/>
      <c r="R581" s="108"/>
      <c r="S581" s="108"/>
      <c r="T581" s="108"/>
      <c r="U581" s="108"/>
      <c r="V581" s="108"/>
      <c r="W581" s="108"/>
      <c r="X581" s="108"/>
      <c r="Y581" s="108"/>
    </row>
    <row r="582">
      <c r="A582" s="244"/>
      <c r="B582" s="107"/>
      <c r="C582" s="107"/>
      <c r="D582" s="115"/>
      <c r="E582" s="107"/>
      <c r="F582" s="211"/>
      <c r="G582" s="256"/>
      <c r="H582" s="239"/>
      <c r="I582" s="108"/>
      <c r="J582" s="108"/>
      <c r="K582" s="108"/>
      <c r="L582" s="108"/>
      <c r="M582" s="108"/>
      <c r="N582" s="108"/>
      <c r="O582" s="108"/>
      <c r="P582" s="108"/>
      <c r="Q582" s="108"/>
      <c r="R582" s="108"/>
      <c r="S582" s="108"/>
      <c r="T582" s="108"/>
      <c r="U582" s="108"/>
      <c r="V582" s="108"/>
      <c r="W582" s="108"/>
      <c r="X582" s="108"/>
      <c r="Y582" s="108"/>
    </row>
    <row r="583">
      <c r="A583" s="244"/>
      <c r="B583" s="107"/>
      <c r="C583" s="107"/>
      <c r="D583" s="115"/>
      <c r="E583" s="107"/>
      <c r="F583" s="211"/>
      <c r="G583" s="256"/>
      <c r="H583" s="239"/>
      <c r="I583" s="108"/>
      <c r="J583" s="108"/>
      <c r="K583" s="108"/>
      <c r="L583" s="108"/>
      <c r="M583" s="108"/>
      <c r="N583" s="108"/>
      <c r="O583" s="108"/>
      <c r="P583" s="108"/>
      <c r="Q583" s="108"/>
      <c r="R583" s="108"/>
      <c r="S583" s="108"/>
      <c r="T583" s="108"/>
      <c r="U583" s="108"/>
      <c r="V583" s="108"/>
      <c r="W583" s="108"/>
      <c r="X583" s="108"/>
      <c r="Y583" s="108"/>
    </row>
    <row r="584">
      <c r="A584" s="244"/>
      <c r="B584" s="107"/>
      <c r="C584" s="107"/>
      <c r="D584" s="115"/>
      <c r="E584" s="107"/>
      <c r="F584" s="211"/>
      <c r="G584" s="256"/>
      <c r="H584" s="239"/>
      <c r="I584" s="108"/>
      <c r="J584" s="108"/>
      <c r="K584" s="108"/>
      <c r="L584" s="108"/>
      <c r="M584" s="108"/>
      <c r="N584" s="108"/>
      <c r="O584" s="108"/>
      <c r="P584" s="108"/>
      <c r="Q584" s="108"/>
      <c r="R584" s="108"/>
      <c r="S584" s="108"/>
      <c r="T584" s="108"/>
      <c r="U584" s="108"/>
      <c r="V584" s="108"/>
      <c r="W584" s="108"/>
      <c r="X584" s="108"/>
      <c r="Y584" s="108"/>
    </row>
    <row r="585">
      <c r="A585" s="244"/>
      <c r="B585" s="107"/>
      <c r="C585" s="107"/>
      <c r="D585" s="115"/>
      <c r="E585" s="107"/>
      <c r="F585" s="211"/>
      <c r="G585" s="256"/>
      <c r="H585" s="239"/>
      <c r="I585" s="108"/>
      <c r="J585" s="108"/>
      <c r="K585" s="108"/>
      <c r="L585" s="108"/>
      <c r="M585" s="108"/>
      <c r="N585" s="108"/>
      <c r="O585" s="108"/>
      <c r="P585" s="108"/>
      <c r="Q585" s="108"/>
      <c r="R585" s="108"/>
      <c r="S585" s="108"/>
      <c r="T585" s="108"/>
      <c r="U585" s="108"/>
      <c r="V585" s="108"/>
      <c r="W585" s="108"/>
      <c r="X585" s="108"/>
      <c r="Y585" s="108"/>
    </row>
    <row r="586">
      <c r="A586" s="244"/>
      <c r="B586" s="107"/>
      <c r="C586" s="107"/>
      <c r="D586" s="115"/>
      <c r="E586" s="107"/>
      <c r="F586" s="211"/>
      <c r="G586" s="256"/>
      <c r="H586" s="239"/>
      <c r="I586" s="108"/>
      <c r="J586" s="108"/>
      <c r="K586" s="108"/>
      <c r="L586" s="108"/>
      <c r="M586" s="108"/>
      <c r="N586" s="108"/>
      <c r="O586" s="108"/>
      <c r="P586" s="108"/>
      <c r="Q586" s="108"/>
      <c r="R586" s="108"/>
      <c r="S586" s="108"/>
      <c r="T586" s="108"/>
      <c r="U586" s="108"/>
      <c r="V586" s="108"/>
      <c r="W586" s="108"/>
      <c r="X586" s="108"/>
      <c r="Y586" s="108"/>
    </row>
    <row r="587">
      <c r="A587" s="244"/>
      <c r="B587" s="107"/>
      <c r="C587" s="107"/>
      <c r="D587" s="115"/>
      <c r="E587" s="107"/>
      <c r="F587" s="211"/>
      <c r="G587" s="256"/>
      <c r="H587" s="239"/>
      <c r="I587" s="108"/>
      <c r="J587" s="108"/>
      <c r="K587" s="108"/>
      <c r="L587" s="108"/>
      <c r="M587" s="108"/>
      <c r="N587" s="108"/>
      <c r="O587" s="108"/>
      <c r="P587" s="108"/>
      <c r="Q587" s="108"/>
      <c r="R587" s="108"/>
      <c r="S587" s="108"/>
      <c r="T587" s="108"/>
      <c r="U587" s="108"/>
      <c r="V587" s="108"/>
      <c r="W587" s="108"/>
      <c r="X587" s="108"/>
      <c r="Y587" s="108"/>
    </row>
    <row r="588">
      <c r="A588" s="244"/>
      <c r="B588" s="107"/>
      <c r="C588" s="107"/>
      <c r="D588" s="115"/>
      <c r="E588" s="107"/>
      <c r="F588" s="211"/>
      <c r="G588" s="256"/>
      <c r="H588" s="239"/>
      <c r="I588" s="108"/>
      <c r="J588" s="108"/>
      <c r="K588" s="108"/>
      <c r="L588" s="108"/>
      <c r="M588" s="108"/>
      <c r="N588" s="108"/>
      <c r="O588" s="108"/>
      <c r="P588" s="108"/>
      <c r="Q588" s="108"/>
      <c r="R588" s="108"/>
      <c r="S588" s="108"/>
      <c r="T588" s="108"/>
      <c r="U588" s="108"/>
      <c r="V588" s="108"/>
      <c r="W588" s="108"/>
      <c r="X588" s="108"/>
      <c r="Y588" s="108"/>
    </row>
    <row r="589">
      <c r="A589" s="244"/>
      <c r="B589" s="107"/>
      <c r="C589" s="107"/>
      <c r="D589" s="115"/>
      <c r="E589" s="107"/>
      <c r="F589" s="211"/>
      <c r="G589" s="256"/>
      <c r="H589" s="239"/>
      <c r="I589" s="108"/>
      <c r="J589" s="108"/>
      <c r="K589" s="108"/>
      <c r="L589" s="108"/>
      <c r="M589" s="108"/>
      <c r="N589" s="108"/>
      <c r="O589" s="108"/>
      <c r="P589" s="108"/>
      <c r="Q589" s="108"/>
      <c r="R589" s="108"/>
      <c r="S589" s="108"/>
      <c r="T589" s="108"/>
      <c r="U589" s="108"/>
      <c r="V589" s="108"/>
      <c r="W589" s="108"/>
      <c r="X589" s="108"/>
      <c r="Y589" s="108"/>
    </row>
    <row r="590">
      <c r="A590" s="244"/>
      <c r="B590" s="107"/>
      <c r="C590" s="107"/>
      <c r="D590" s="115"/>
      <c r="E590" s="107"/>
      <c r="F590" s="211"/>
      <c r="G590" s="256"/>
      <c r="H590" s="239"/>
      <c r="I590" s="108"/>
      <c r="J590" s="108"/>
      <c r="K590" s="108"/>
      <c r="L590" s="108"/>
      <c r="M590" s="108"/>
      <c r="N590" s="108"/>
      <c r="O590" s="108"/>
      <c r="P590" s="108"/>
      <c r="Q590" s="108"/>
      <c r="R590" s="108"/>
      <c r="S590" s="108"/>
      <c r="T590" s="108"/>
      <c r="U590" s="108"/>
      <c r="V590" s="108"/>
      <c r="W590" s="108"/>
      <c r="X590" s="108"/>
      <c r="Y590" s="108"/>
    </row>
    <row r="591">
      <c r="A591" s="244"/>
      <c r="B591" s="107"/>
      <c r="C591" s="107"/>
      <c r="D591" s="115"/>
      <c r="E591" s="107"/>
      <c r="F591" s="211"/>
      <c r="G591" s="256"/>
      <c r="H591" s="239"/>
      <c r="I591" s="108"/>
      <c r="J591" s="108"/>
      <c r="K591" s="108"/>
      <c r="L591" s="108"/>
      <c r="M591" s="108"/>
      <c r="N591" s="108"/>
      <c r="O591" s="108"/>
      <c r="P591" s="108"/>
      <c r="Q591" s="108"/>
      <c r="R591" s="108"/>
      <c r="S591" s="108"/>
      <c r="T591" s="108"/>
      <c r="U591" s="108"/>
      <c r="V591" s="108"/>
      <c r="W591" s="108"/>
      <c r="X591" s="108"/>
      <c r="Y591" s="108"/>
    </row>
    <row r="592">
      <c r="A592" s="244"/>
      <c r="B592" s="107"/>
      <c r="C592" s="107"/>
      <c r="D592" s="115"/>
      <c r="E592" s="107"/>
      <c r="F592" s="211"/>
      <c r="G592" s="256"/>
      <c r="H592" s="239"/>
      <c r="I592" s="108"/>
      <c r="J592" s="108"/>
      <c r="K592" s="108"/>
      <c r="L592" s="108"/>
      <c r="M592" s="108"/>
      <c r="N592" s="108"/>
      <c r="O592" s="108"/>
      <c r="P592" s="108"/>
      <c r="Q592" s="108"/>
      <c r="R592" s="108"/>
      <c r="S592" s="108"/>
      <c r="T592" s="108"/>
      <c r="U592" s="108"/>
      <c r="V592" s="108"/>
      <c r="W592" s="108"/>
      <c r="X592" s="108"/>
      <c r="Y592" s="108"/>
    </row>
    <row r="593">
      <c r="A593" s="244"/>
      <c r="B593" s="107"/>
      <c r="C593" s="107"/>
      <c r="D593" s="115"/>
      <c r="E593" s="107"/>
      <c r="F593" s="211"/>
      <c r="G593" s="256"/>
      <c r="H593" s="239"/>
      <c r="I593" s="108"/>
      <c r="J593" s="108"/>
      <c r="K593" s="108"/>
      <c r="L593" s="108"/>
      <c r="M593" s="108"/>
      <c r="N593" s="108"/>
      <c r="O593" s="108"/>
      <c r="P593" s="108"/>
      <c r="Q593" s="108"/>
      <c r="R593" s="108"/>
      <c r="S593" s="108"/>
      <c r="T593" s="108"/>
      <c r="U593" s="108"/>
      <c r="V593" s="108"/>
      <c r="W593" s="108"/>
      <c r="X593" s="108"/>
      <c r="Y593" s="108"/>
    </row>
    <row r="594">
      <c r="A594" s="244"/>
      <c r="B594" s="107"/>
      <c r="C594" s="107"/>
      <c r="D594" s="115"/>
      <c r="E594" s="107"/>
      <c r="F594" s="211"/>
      <c r="G594" s="256"/>
      <c r="H594" s="239"/>
      <c r="I594" s="108"/>
      <c r="J594" s="108"/>
      <c r="K594" s="108"/>
      <c r="L594" s="108"/>
      <c r="M594" s="108"/>
      <c r="N594" s="108"/>
      <c r="O594" s="108"/>
      <c r="P594" s="108"/>
      <c r="Q594" s="108"/>
      <c r="R594" s="108"/>
      <c r="S594" s="108"/>
      <c r="T594" s="108"/>
      <c r="U594" s="108"/>
      <c r="V594" s="108"/>
      <c r="W594" s="108"/>
      <c r="X594" s="108"/>
      <c r="Y594" s="108"/>
    </row>
    <row r="595">
      <c r="A595" s="244"/>
      <c r="B595" s="107"/>
      <c r="C595" s="107"/>
      <c r="D595" s="115"/>
      <c r="E595" s="107"/>
      <c r="F595" s="211"/>
      <c r="G595" s="256"/>
      <c r="H595" s="239"/>
      <c r="I595" s="108"/>
      <c r="J595" s="108"/>
      <c r="K595" s="108"/>
      <c r="L595" s="108"/>
      <c r="M595" s="108"/>
      <c r="N595" s="108"/>
      <c r="O595" s="108"/>
      <c r="P595" s="108"/>
      <c r="Q595" s="108"/>
      <c r="R595" s="108"/>
      <c r="S595" s="108"/>
      <c r="T595" s="108"/>
      <c r="U595" s="108"/>
      <c r="V595" s="108"/>
      <c r="W595" s="108"/>
      <c r="X595" s="108"/>
      <c r="Y595" s="108"/>
    </row>
    <row r="596">
      <c r="A596" s="244"/>
      <c r="B596" s="107"/>
      <c r="C596" s="107"/>
      <c r="D596" s="115"/>
      <c r="E596" s="107"/>
      <c r="F596" s="211"/>
      <c r="G596" s="256"/>
      <c r="H596" s="239"/>
      <c r="I596" s="108"/>
      <c r="J596" s="108"/>
      <c r="K596" s="108"/>
      <c r="L596" s="108"/>
      <c r="M596" s="108"/>
      <c r="N596" s="108"/>
      <c r="O596" s="108"/>
      <c r="P596" s="108"/>
      <c r="Q596" s="108"/>
      <c r="R596" s="108"/>
      <c r="S596" s="108"/>
      <c r="T596" s="108"/>
      <c r="U596" s="108"/>
      <c r="V596" s="108"/>
      <c r="W596" s="108"/>
      <c r="X596" s="108"/>
      <c r="Y596" s="108"/>
    </row>
    <row r="597">
      <c r="A597" s="244"/>
      <c r="B597" s="107"/>
      <c r="C597" s="107"/>
      <c r="D597" s="115"/>
      <c r="E597" s="107"/>
      <c r="F597" s="211"/>
      <c r="G597" s="256"/>
      <c r="H597" s="239"/>
      <c r="I597" s="108"/>
      <c r="J597" s="108"/>
      <c r="K597" s="108"/>
      <c r="L597" s="108"/>
      <c r="M597" s="108"/>
      <c r="N597" s="108"/>
      <c r="O597" s="108"/>
      <c r="P597" s="108"/>
      <c r="Q597" s="108"/>
      <c r="R597" s="108"/>
      <c r="S597" s="108"/>
      <c r="T597" s="108"/>
      <c r="U597" s="108"/>
      <c r="V597" s="108"/>
      <c r="W597" s="108"/>
      <c r="X597" s="108"/>
      <c r="Y597" s="108"/>
    </row>
    <row r="598">
      <c r="A598" s="244"/>
      <c r="B598" s="107"/>
      <c r="C598" s="107"/>
      <c r="D598" s="115"/>
      <c r="E598" s="107"/>
      <c r="F598" s="211"/>
      <c r="G598" s="256"/>
      <c r="H598" s="239"/>
      <c r="I598" s="108"/>
      <c r="J598" s="108"/>
      <c r="K598" s="108"/>
      <c r="L598" s="108"/>
      <c r="M598" s="108"/>
      <c r="N598" s="108"/>
      <c r="O598" s="108"/>
      <c r="P598" s="108"/>
      <c r="Q598" s="108"/>
      <c r="R598" s="108"/>
      <c r="S598" s="108"/>
      <c r="T598" s="108"/>
      <c r="U598" s="108"/>
      <c r="V598" s="108"/>
      <c r="W598" s="108"/>
      <c r="X598" s="108"/>
      <c r="Y598" s="108"/>
    </row>
    <row r="599">
      <c r="A599" s="244"/>
      <c r="B599" s="107"/>
      <c r="C599" s="107"/>
      <c r="D599" s="115"/>
      <c r="E599" s="107"/>
      <c r="F599" s="211"/>
      <c r="G599" s="256"/>
      <c r="H599" s="239"/>
      <c r="I599" s="108"/>
      <c r="J599" s="108"/>
      <c r="K599" s="108"/>
      <c r="L599" s="108"/>
      <c r="M599" s="108"/>
      <c r="N599" s="108"/>
      <c r="O599" s="108"/>
      <c r="P599" s="108"/>
      <c r="Q599" s="108"/>
      <c r="R599" s="108"/>
      <c r="S599" s="108"/>
      <c r="T599" s="108"/>
      <c r="U599" s="108"/>
      <c r="V599" s="108"/>
      <c r="W599" s="108"/>
      <c r="X599" s="108"/>
      <c r="Y599" s="108"/>
    </row>
    <row r="600">
      <c r="A600" s="244"/>
      <c r="B600" s="107"/>
      <c r="C600" s="107"/>
      <c r="D600" s="115"/>
      <c r="E600" s="107"/>
      <c r="F600" s="211"/>
      <c r="G600" s="256"/>
      <c r="H600" s="239"/>
      <c r="I600" s="108"/>
      <c r="J600" s="108"/>
      <c r="K600" s="108"/>
      <c r="L600" s="108"/>
      <c r="M600" s="108"/>
      <c r="N600" s="108"/>
      <c r="O600" s="108"/>
      <c r="P600" s="108"/>
      <c r="Q600" s="108"/>
      <c r="R600" s="108"/>
      <c r="S600" s="108"/>
      <c r="T600" s="108"/>
      <c r="U600" s="108"/>
      <c r="V600" s="108"/>
      <c r="W600" s="108"/>
      <c r="X600" s="108"/>
      <c r="Y600" s="108"/>
    </row>
    <row r="601">
      <c r="A601" s="244"/>
      <c r="B601" s="107"/>
      <c r="C601" s="107"/>
      <c r="D601" s="115"/>
      <c r="E601" s="107"/>
      <c r="F601" s="211"/>
      <c r="G601" s="256"/>
      <c r="H601" s="239"/>
      <c r="I601" s="108"/>
      <c r="J601" s="108"/>
      <c r="K601" s="108"/>
      <c r="L601" s="108"/>
      <c r="M601" s="108"/>
      <c r="N601" s="108"/>
      <c r="O601" s="108"/>
      <c r="P601" s="108"/>
      <c r="Q601" s="108"/>
      <c r="R601" s="108"/>
      <c r="S601" s="108"/>
      <c r="T601" s="108"/>
      <c r="U601" s="108"/>
      <c r="V601" s="108"/>
      <c r="W601" s="108"/>
      <c r="X601" s="108"/>
      <c r="Y601" s="108"/>
    </row>
    <row r="602">
      <c r="A602" s="244"/>
      <c r="B602" s="107"/>
      <c r="C602" s="107"/>
      <c r="D602" s="115"/>
      <c r="E602" s="107"/>
      <c r="F602" s="211"/>
      <c r="G602" s="256"/>
      <c r="H602" s="239"/>
      <c r="I602" s="108"/>
      <c r="J602" s="108"/>
      <c r="K602" s="108"/>
      <c r="L602" s="108"/>
      <c r="M602" s="108"/>
      <c r="N602" s="108"/>
      <c r="O602" s="108"/>
      <c r="P602" s="108"/>
      <c r="Q602" s="108"/>
      <c r="R602" s="108"/>
      <c r="S602" s="108"/>
      <c r="T602" s="108"/>
      <c r="U602" s="108"/>
      <c r="V602" s="108"/>
      <c r="W602" s="108"/>
      <c r="X602" s="108"/>
      <c r="Y602" s="108"/>
    </row>
    <row r="603">
      <c r="A603" s="244"/>
      <c r="B603" s="107"/>
      <c r="C603" s="107"/>
      <c r="D603" s="115"/>
      <c r="E603" s="107"/>
      <c r="F603" s="211"/>
      <c r="G603" s="256"/>
      <c r="H603" s="239"/>
      <c r="I603" s="108"/>
      <c r="J603" s="108"/>
      <c r="K603" s="108"/>
      <c r="L603" s="108"/>
      <c r="M603" s="108"/>
      <c r="N603" s="108"/>
      <c r="O603" s="108"/>
      <c r="P603" s="108"/>
      <c r="Q603" s="108"/>
      <c r="R603" s="108"/>
      <c r="S603" s="108"/>
      <c r="T603" s="108"/>
      <c r="U603" s="108"/>
      <c r="V603" s="108"/>
      <c r="W603" s="108"/>
      <c r="X603" s="108"/>
      <c r="Y603" s="108"/>
    </row>
    <row r="604">
      <c r="A604" s="244"/>
      <c r="B604" s="107"/>
      <c r="C604" s="107"/>
      <c r="D604" s="115"/>
      <c r="E604" s="107"/>
      <c r="F604" s="211"/>
      <c r="G604" s="256"/>
      <c r="H604" s="239"/>
      <c r="I604" s="108"/>
      <c r="J604" s="108"/>
      <c r="K604" s="108"/>
      <c r="L604" s="108"/>
      <c r="M604" s="108"/>
      <c r="N604" s="108"/>
      <c r="O604" s="108"/>
      <c r="P604" s="108"/>
      <c r="Q604" s="108"/>
      <c r="R604" s="108"/>
      <c r="S604" s="108"/>
      <c r="T604" s="108"/>
      <c r="U604" s="108"/>
      <c r="V604" s="108"/>
      <c r="W604" s="108"/>
      <c r="X604" s="108"/>
      <c r="Y604" s="108"/>
    </row>
    <row r="605">
      <c r="A605" s="244"/>
      <c r="B605" s="107"/>
      <c r="C605" s="107"/>
      <c r="D605" s="115"/>
      <c r="E605" s="107"/>
      <c r="F605" s="211"/>
      <c r="G605" s="256"/>
      <c r="H605" s="239"/>
      <c r="I605" s="108"/>
      <c r="J605" s="108"/>
      <c r="K605" s="108"/>
      <c r="L605" s="108"/>
      <c r="M605" s="108"/>
      <c r="N605" s="108"/>
      <c r="O605" s="108"/>
      <c r="P605" s="108"/>
      <c r="Q605" s="108"/>
      <c r="R605" s="108"/>
      <c r="S605" s="108"/>
      <c r="T605" s="108"/>
      <c r="U605" s="108"/>
      <c r="V605" s="108"/>
      <c r="W605" s="108"/>
      <c r="X605" s="108"/>
      <c r="Y605" s="108"/>
    </row>
    <row r="606">
      <c r="A606" s="244"/>
      <c r="B606" s="107"/>
      <c r="C606" s="107"/>
      <c r="D606" s="115"/>
      <c r="E606" s="107"/>
      <c r="F606" s="211"/>
      <c r="G606" s="256"/>
      <c r="H606" s="239"/>
      <c r="I606" s="108"/>
      <c r="J606" s="108"/>
      <c r="K606" s="108"/>
      <c r="L606" s="108"/>
      <c r="M606" s="108"/>
      <c r="N606" s="108"/>
      <c r="O606" s="108"/>
      <c r="P606" s="108"/>
      <c r="Q606" s="108"/>
      <c r="R606" s="108"/>
      <c r="S606" s="108"/>
      <c r="T606" s="108"/>
      <c r="U606" s="108"/>
      <c r="V606" s="108"/>
      <c r="W606" s="108"/>
      <c r="X606" s="108"/>
      <c r="Y606" s="108"/>
    </row>
    <row r="607">
      <c r="A607" s="244"/>
      <c r="B607" s="107"/>
      <c r="C607" s="107"/>
      <c r="D607" s="115"/>
      <c r="E607" s="107"/>
      <c r="F607" s="211"/>
      <c r="G607" s="256"/>
      <c r="H607" s="239"/>
      <c r="I607" s="108"/>
      <c r="J607" s="108"/>
      <c r="K607" s="108"/>
      <c r="L607" s="108"/>
      <c r="M607" s="108"/>
      <c r="N607" s="108"/>
      <c r="O607" s="108"/>
      <c r="P607" s="108"/>
      <c r="Q607" s="108"/>
      <c r="R607" s="108"/>
      <c r="S607" s="108"/>
      <c r="T607" s="108"/>
      <c r="U607" s="108"/>
      <c r="V607" s="108"/>
      <c r="W607" s="108"/>
      <c r="X607" s="108"/>
      <c r="Y607" s="108"/>
    </row>
    <row r="608">
      <c r="A608" s="244"/>
      <c r="B608" s="107"/>
      <c r="C608" s="107"/>
      <c r="D608" s="115"/>
      <c r="E608" s="107"/>
      <c r="F608" s="211"/>
      <c r="G608" s="256"/>
      <c r="H608" s="239"/>
      <c r="I608" s="108"/>
      <c r="J608" s="108"/>
      <c r="K608" s="108"/>
      <c r="L608" s="108"/>
      <c r="M608" s="108"/>
      <c r="N608" s="108"/>
      <c r="O608" s="108"/>
      <c r="P608" s="108"/>
      <c r="Q608" s="108"/>
      <c r="R608" s="108"/>
      <c r="S608" s="108"/>
      <c r="T608" s="108"/>
      <c r="U608" s="108"/>
      <c r="V608" s="108"/>
      <c r="W608" s="108"/>
      <c r="X608" s="108"/>
      <c r="Y608" s="108"/>
    </row>
    <row r="609">
      <c r="A609" s="244"/>
      <c r="B609" s="107"/>
      <c r="C609" s="107"/>
      <c r="D609" s="115"/>
      <c r="E609" s="107"/>
      <c r="F609" s="211"/>
      <c r="G609" s="256"/>
      <c r="H609" s="239"/>
      <c r="I609" s="108"/>
      <c r="J609" s="108"/>
      <c r="K609" s="108"/>
      <c r="L609" s="108"/>
      <c r="M609" s="108"/>
      <c r="N609" s="108"/>
      <c r="O609" s="108"/>
      <c r="P609" s="108"/>
      <c r="Q609" s="108"/>
      <c r="R609" s="108"/>
      <c r="S609" s="108"/>
      <c r="T609" s="108"/>
      <c r="U609" s="108"/>
      <c r="V609" s="108"/>
      <c r="W609" s="108"/>
      <c r="X609" s="108"/>
      <c r="Y609" s="108"/>
    </row>
    <row r="610">
      <c r="A610" s="244"/>
      <c r="B610" s="107"/>
      <c r="C610" s="107"/>
      <c r="D610" s="115"/>
      <c r="E610" s="107"/>
      <c r="F610" s="211"/>
      <c r="G610" s="256"/>
      <c r="H610" s="239"/>
      <c r="I610" s="108"/>
      <c r="J610" s="108"/>
      <c r="K610" s="108"/>
      <c r="L610" s="108"/>
      <c r="M610" s="108"/>
      <c r="N610" s="108"/>
      <c r="O610" s="108"/>
      <c r="P610" s="108"/>
      <c r="Q610" s="108"/>
      <c r="R610" s="108"/>
      <c r="S610" s="108"/>
      <c r="T610" s="108"/>
      <c r="U610" s="108"/>
      <c r="V610" s="108"/>
      <c r="W610" s="108"/>
      <c r="X610" s="108"/>
      <c r="Y610" s="108"/>
    </row>
    <row r="611">
      <c r="A611" s="244"/>
      <c r="B611" s="107"/>
      <c r="C611" s="107"/>
      <c r="D611" s="115"/>
      <c r="E611" s="107"/>
      <c r="F611" s="211"/>
      <c r="G611" s="256"/>
      <c r="H611" s="239"/>
      <c r="I611" s="108"/>
      <c r="J611" s="108"/>
      <c r="K611" s="108"/>
      <c r="L611" s="108"/>
      <c r="M611" s="108"/>
      <c r="N611" s="108"/>
      <c r="O611" s="108"/>
      <c r="P611" s="108"/>
      <c r="Q611" s="108"/>
      <c r="R611" s="108"/>
      <c r="S611" s="108"/>
      <c r="T611" s="108"/>
      <c r="U611" s="108"/>
      <c r="V611" s="108"/>
      <c r="W611" s="108"/>
      <c r="X611" s="108"/>
      <c r="Y611" s="108"/>
    </row>
    <row r="612">
      <c r="A612" s="244"/>
      <c r="B612" s="107"/>
      <c r="C612" s="107"/>
      <c r="D612" s="115"/>
      <c r="E612" s="107"/>
      <c r="F612" s="211"/>
      <c r="G612" s="256"/>
      <c r="H612" s="239"/>
      <c r="I612" s="108"/>
      <c r="J612" s="108"/>
      <c r="K612" s="108"/>
      <c r="L612" s="108"/>
      <c r="M612" s="108"/>
      <c r="N612" s="108"/>
      <c r="O612" s="108"/>
      <c r="P612" s="108"/>
      <c r="Q612" s="108"/>
      <c r="R612" s="108"/>
      <c r="S612" s="108"/>
      <c r="T612" s="108"/>
      <c r="U612" s="108"/>
      <c r="V612" s="108"/>
      <c r="W612" s="108"/>
      <c r="X612" s="108"/>
      <c r="Y612" s="108"/>
    </row>
    <row r="613">
      <c r="A613" s="244"/>
      <c r="B613" s="107"/>
      <c r="C613" s="107"/>
      <c r="D613" s="115"/>
      <c r="E613" s="107"/>
      <c r="F613" s="211"/>
      <c r="G613" s="256"/>
      <c r="H613" s="239"/>
      <c r="I613" s="108"/>
      <c r="J613" s="108"/>
      <c r="K613" s="108"/>
      <c r="L613" s="108"/>
      <c r="M613" s="108"/>
      <c r="N613" s="108"/>
      <c r="O613" s="108"/>
      <c r="P613" s="108"/>
      <c r="Q613" s="108"/>
      <c r="R613" s="108"/>
      <c r="S613" s="108"/>
      <c r="T613" s="108"/>
      <c r="U613" s="108"/>
      <c r="V613" s="108"/>
      <c r="W613" s="108"/>
      <c r="X613" s="108"/>
      <c r="Y613" s="108"/>
    </row>
    <row r="614">
      <c r="A614" s="244"/>
      <c r="B614" s="107"/>
      <c r="C614" s="107"/>
      <c r="D614" s="115"/>
      <c r="E614" s="107"/>
      <c r="F614" s="211"/>
      <c r="G614" s="256"/>
      <c r="H614" s="239"/>
      <c r="I614" s="108"/>
      <c r="J614" s="108"/>
      <c r="K614" s="108"/>
      <c r="L614" s="108"/>
      <c r="M614" s="108"/>
      <c r="N614" s="108"/>
      <c r="O614" s="108"/>
      <c r="P614" s="108"/>
      <c r="Q614" s="108"/>
      <c r="R614" s="108"/>
      <c r="S614" s="108"/>
      <c r="T614" s="108"/>
      <c r="U614" s="108"/>
      <c r="V614" s="108"/>
      <c r="W614" s="108"/>
      <c r="X614" s="108"/>
      <c r="Y614" s="108"/>
    </row>
    <row r="615">
      <c r="A615" s="244"/>
      <c r="B615" s="107"/>
      <c r="C615" s="107"/>
      <c r="D615" s="115"/>
      <c r="E615" s="107"/>
      <c r="F615" s="211"/>
      <c r="G615" s="256"/>
      <c r="H615" s="239"/>
      <c r="I615" s="108"/>
      <c r="J615" s="108"/>
      <c r="K615" s="108"/>
      <c r="L615" s="108"/>
      <c r="M615" s="108"/>
      <c r="N615" s="108"/>
      <c r="O615" s="108"/>
      <c r="P615" s="108"/>
      <c r="Q615" s="108"/>
      <c r="R615" s="108"/>
      <c r="S615" s="108"/>
      <c r="T615" s="108"/>
      <c r="U615" s="108"/>
      <c r="V615" s="108"/>
      <c r="W615" s="108"/>
      <c r="X615" s="108"/>
      <c r="Y615" s="108"/>
    </row>
    <row r="616">
      <c r="A616" s="244"/>
      <c r="B616" s="107"/>
      <c r="C616" s="107"/>
      <c r="D616" s="115"/>
      <c r="E616" s="107"/>
      <c r="F616" s="211"/>
      <c r="G616" s="256"/>
      <c r="H616" s="239"/>
      <c r="I616" s="108"/>
      <c r="J616" s="108"/>
      <c r="K616" s="108"/>
      <c r="L616" s="108"/>
      <c r="M616" s="108"/>
      <c r="N616" s="108"/>
      <c r="O616" s="108"/>
      <c r="P616" s="108"/>
      <c r="Q616" s="108"/>
      <c r="R616" s="108"/>
      <c r="S616" s="108"/>
      <c r="T616" s="108"/>
      <c r="U616" s="108"/>
      <c r="V616" s="108"/>
      <c r="W616" s="108"/>
      <c r="X616" s="108"/>
      <c r="Y616" s="108"/>
    </row>
    <row r="617">
      <c r="A617" s="244"/>
      <c r="B617" s="107"/>
      <c r="C617" s="107"/>
      <c r="D617" s="115"/>
      <c r="E617" s="107"/>
      <c r="F617" s="211"/>
      <c r="G617" s="256"/>
      <c r="H617" s="239"/>
      <c r="I617" s="108"/>
      <c r="J617" s="108"/>
      <c r="K617" s="108"/>
      <c r="L617" s="108"/>
      <c r="M617" s="108"/>
      <c r="N617" s="108"/>
      <c r="O617" s="108"/>
      <c r="P617" s="108"/>
      <c r="Q617" s="108"/>
      <c r="R617" s="108"/>
      <c r="S617" s="108"/>
      <c r="T617" s="108"/>
      <c r="U617" s="108"/>
      <c r="V617" s="108"/>
      <c r="W617" s="108"/>
      <c r="X617" s="108"/>
      <c r="Y617" s="108"/>
    </row>
    <row r="618">
      <c r="A618" s="244"/>
      <c r="B618" s="107"/>
      <c r="C618" s="107"/>
      <c r="D618" s="115"/>
      <c r="E618" s="107"/>
      <c r="F618" s="211"/>
      <c r="G618" s="256"/>
      <c r="H618" s="239"/>
      <c r="I618" s="108"/>
      <c r="J618" s="108"/>
      <c r="K618" s="108"/>
      <c r="L618" s="108"/>
      <c r="M618" s="108"/>
      <c r="N618" s="108"/>
      <c r="O618" s="108"/>
      <c r="P618" s="108"/>
      <c r="Q618" s="108"/>
      <c r="R618" s="108"/>
      <c r="S618" s="108"/>
      <c r="T618" s="108"/>
      <c r="U618" s="108"/>
      <c r="V618" s="108"/>
      <c r="W618" s="108"/>
      <c r="X618" s="108"/>
      <c r="Y618" s="108"/>
    </row>
    <row r="619">
      <c r="A619" s="244"/>
      <c r="B619" s="107"/>
      <c r="C619" s="107"/>
      <c r="D619" s="115"/>
      <c r="E619" s="107"/>
      <c r="F619" s="211"/>
      <c r="G619" s="256"/>
      <c r="H619" s="239"/>
      <c r="I619" s="108"/>
      <c r="J619" s="108"/>
      <c r="K619" s="108"/>
      <c r="L619" s="108"/>
      <c r="M619" s="108"/>
      <c r="N619" s="108"/>
      <c r="O619" s="108"/>
      <c r="P619" s="108"/>
      <c r="Q619" s="108"/>
      <c r="R619" s="108"/>
      <c r="S619" s="108"/>
      <c r="T619" s="108"/>
      <c r="U619" s="108"/>
      <c r="V619" s="108"/>
      <c r="W619" s="108"/>
      <c r="X619" s="108"/>
      <c r="Y619" s="108"/>
    </row>
    <row r="620">
      <c r="A620" s="244"/>
      <c r="B620" s="107"/>
      <c r="C620" s="107"/>
      <c r="D620" s="115"/>
      <c r="E620" s="107"/>
      <c r="F620" s="211"/>
      <c r="G620" s="256"/>
      <c r="H620" s="239"/>
      <c r="I620" s="108"/>
      <c r="J620" s="108"/>
      <c r="K620" s="108"/>
      <c r="L620" s="108"/>
      <c r="M620" s="108"/>
      <c r="N620" s="108"/>
      <c r="O620" s="108"/>
      <c r="P620" s="108"/>
      <c r="Q620" s="108"/>
      <c r="R620" s="108"/>
      <c r="S620" s="108"/>
      <c r="T620" s="108"/>
      <c r="U620" s="108"/>
      <c r="V620" s="108"/>
      <c r="W620" s="108"/>
      <c r="X620" s="108"/>
      <c r="Y620" s="108"/>
    </row>
    <row r="621">
      <c r="A621" s="244"/>
      <c r="B621" s="107"/>
      <c r="C621" s="107"/>
      <c r="D621" s="115"/>
      <c r="E621" s="107"/>
      <c r="F621" s="211"/>
      <c r="G621" s="256"/>
      <c r="H621" s="239"/>
      <c r="I621" s="108"/>
      <c r="J621" s="108"/>
      <c r="K621" s="108"/>
      <c r="L621" s="108"/>
      <c r="M621" s="108"/>
      <c r="N621" s="108"/>
      <c r="O621" s="108"/>
      <c r="P621" s="108"/>
      <c r="Q621" s="108"/>
      <c r="R621" s="108"/>
      <c r="S621" s="108"/>
      <c r="T621" s="108"/>
      <c r="U621" s="108"/>
      <c r="V621" s="108"/>
      <c r="W621" s="108"/>
      <c r="X621" s="108"/>
      <c r="Y621" s="108"/>
    </row>
    <row r="622">
      <c r="A622" s="244"/>
      <c r="B622" s="107"/>
      <c r="C622" s="107"/>
      <c r="D622" s="115"/>
      <c r="E622" s="107"/>
      <c r="F622" s="211"/>
      <c r="G622" s="256"/>
      <c r="H622" s="239"/>
      <c r="I622" s="108"/>
      <c r="J622" s="108"/>
      <c r="K622" s="108"/>
      <c r="L622" s="108"/>
      <c r="M622" s="108"/>
      <c r="N622" s="108"/>
      <c r="O622" s="108"/>
      <c r="P622" s="108"/>
      <c r="Q622" s="108"/>
      <c r="R622" s="108"/>
      <c r="S622" s="108"/>
      <c r="T622" s="108"/>
      <c r="U622" s="108"/>
      <c r="V622" s="108"/>
      <c r="W622" s="108"/>
      <c r="X622" s="108"/>
      <c r="Y622" s="108"/>
    </row>
    <row r="623">
      <c r="A623" s="244"/>
      <c r="B623" s="107"/>
      <c r="C623" s="107"/>
      <c r="D623" s="115"/>
      <c r="E623" s="107"/>
      <c r="F623" s="211"/>
      <c r="G623" s="256"/>
      <c r="H623" s="239"/>
      <c r="I623" s="108"/>
      <c r="J623" s="108"/>
      <c r="K623" s="108"/>
      <c r="L623" s="108"/>
      <c r="M623" s="108"/>
      <c r="N623" s="108"/>
      <c r="O623" s="108"/>
      <c r="P623" s="108"/>
      <c r="Q623" s="108"/>
      <c r="R623" s="108"/>
      <c r="S623" s="108"/>
      <c r="T623" s="108"/>
      <c r="U623" s="108"/>
      <c r="V623" s="108"/>
      <c r="W623" s="108"/>
      <c r="X623" s="108"/>
      <c r="Y623" s="108"/>
    </row>
    <row r="624">
      <c r="A624" s="244"/>
      <c r="B624" s="107"/>
      <c r="C624" s="107"/>
      <c r="D624" s="115"/>
      <c r="E624" s="107"/>
      <c r="F624" s="211"/>
      <c r="G624" s="256"/>
      <c r="H624" s="239"/>
      <c r="I624" s="108"/>
      <c r="J624" s="108"/>
      <c r="K624" s="108"/>
      <c r="L624" s="108"/>
      <c r="M624" s="108"/>
      <c r="N624" s="108"/>
      <c r="O624" s="108"/>
      <c r="P624" s="108"/>
      <c r="Q624" s="108"/>
      <c r="R624" s="108"/>
      <c r="S624" s="108"/>
      <c r="T624" s="108"/>
      <c r="U624" s="108"/>
      <c r="V624" s="108"/>
      <c r="W624" s="108"/>
      <c r="X624" s="108"/>
      <c r="Y624" s="108"/>
    </row>
    <row r="625">
      <c r="A625" s="244"/>
      <c r="B625" s="107"/>
      <c r="C625" s="107"/>
      <c r="D625" s="115"/>
      <c r="E625" s="107"/>
      <c r="F625" s="211"/>
      <c r="G625" s="256"/>
      <c r="H625" s="239"/>
      <c r="I625" s="108"/>
      <c r="J625" s="108"/>
      <c r="K625" s="108"/>
      <c r="L625" s="108"/>
      <c r="M625" s="108"/>
      <c r="N625" s="108"/>
      <c r="O625" s="108"/>
      <c r="P625" s="108"/>
      <c r="Q625" s="108"/>
      <c r="R625" s="108"/>
      <c r="S625" s="108"/>
      <c r="T625" s="108"/>
      <c r="U625" s="108"/>
      <c r="V625" s="108"/>
      <c r="W625" s="108"/>
      <c r="X625" s="108"/>
      <c r="Y625" s="108"/>
    </row>
    <row r="626">
      <c r="A626" s="244"/>
      <c r="B626" s="107"/>
      <c r="C626" s="107"/>
      <c r="D626" s="115"/>
      <c r="E626" s="107"/>
      <c r="F626" s="211"/>
      <c r="G626" s="256"/>
      <c r="H626" s="239"/>
      <c r="I626" s="108"/>
      <c r="J626" s="108"/>
      <c r="K626" s="108"/>
      <c r="L626" s="108"/>
      <c r="M626" s="108"/>
      <c r="N626" s="108"/>
      <c r="O626" s="108"/>
      <c r="P626" s="108"/>
      <c r="Q626" s="108"/>
      <c r="R626" s="108"/>
      <c r="S626" s="108"/>
      <c r="T626" s="108"/>
      <c r="U626" s="108"/>
      <c r="V626" s="108"/>
      <c r="W626" s="108"/>
      <c r="X626" s="108"/>
      <c r="Y626" s="108"/>
    </row>
    <row r="627">
      <c r="A627" s="244"/>
      <c r="B627" s="107"/>
      <c r="C627" s="107"/>
      <c r="D627" s="115"/>
      <c r="E627" s="107"/>
      <c r="F627" s="211"/>
      <c r="G627" s="256"/>
      <c r="H627" s="239"/>
      <c r="I627" s="108"/>
      <c r="J627" s="108"/>
      <c r="K627" s="108"/>
      <c r="L627" s="108"/>
      <c r="M627" s="108"/>
      <c r="N627" s="108"/>
      <c r="O627" s="108"/>
      <c r="P627" s="108"/>
      <c r="Q627" s="108"/>
      <c r="R627" s="108"/>
      <c r="S627" s="108"/>
      <c r="T627" s="108"/>
      <c r="U627" s="108"/>
      <c r="V627" s="108"/>
      <c r="W627" s="108"/>
      <c r="X627" s="108"/>
      <c r="Y627" s="108"/>
    </row>
    <row r="628">
      <c r="A628" s="244"/>
      <c r="B628" s="107"/>
      <c r="C628" s="107"/>
      <c r="D628" s="115"/>
      <c r="E628" s="107"/>
      <c r="F628" s="211"/>
      <c r="G628" s="256"/>
      <c r="H628" s="239"/>
      <c r="I628" s="108"/>
      <c r="J628" s="108"/>
      <c r="K628" s="108"/>
      <c r="L628" s="108"/>
      <c r="M628" s="108"/>
      <c r="N628" s="108"/>
      <c r="O628" s="108"/>
      <c r="P628" s="108"/>
      <c r="Q628" s="108"/>
      <c r="R628" s="108"/>
      <c r="S628" s="108"/>
      <c r="T628" s="108"/>
      <c r="U628" s="108"/>
      <c r="V628" s="108"/>
      <c r="W628" s="108"/>
      <c r="X628" s="108"/>
      <c r="Y628" s="108"/>
    </row>
    <row r="629">
      <c r="A629" s="244"/>
      <c r="B629" s="107"/>
      <c r="C629" s="107"/>
      <c r="D629" s="115"/>
      <c r="E629" s="107"/>
      <c r="F629" s="211"/>
      <c r="G629" s="256"/>
      <c r="H629" s="239"/>
      <c r="I629" s="108"/>
      <c r="J629" s="108"/>
      <c r="K629" s="108"/>
      <c r="L629" s="108"/>
      <c r="M629" s="108"/>
      <c r="N629" s="108"/>
      <c r="O629" s="108"/>
      <c r="P629" s="108"/>
      <c r="Q629" s="108"/>
      <c r="R629" s="108"/>
      <c r="S629" s="108"/>
      <c r="T629" s="108"/>
      <c r="U629" s="108"/>
      <c r="V629" s="108"/>
      <c r="W629" s="108"/>
      <c r="X629" s="108"/>
      <c r="Y629" s="108"/>
    </row>
    <row r="630">
      <c r="A630" s="244"/>
      <c r="B630" s="107"/>
      <c r="C630" s="107"/>
      <c r="D630" s="115"/>
      <c r="E630" s="107"/>
      <c r="F630" s="211"/>
      <c r="G630" s="256"/>
      <c r="H630" s="239"/>
      <c r="I630" s="108"/>
      <c r="J630" s="108"/>
      <c r="K630" s="108"/>
      <c r="L630" s="108"/>
      <c r="M630" s="108"/>
      <c r="N630" s="108"/>
      <c r="O630" s="108"/>
      <c r="P630" s="108"/>
      <c r="Q630" s="108"/>
      <c r="R630" s="108"/>
      <c r="S630" s="108"/>
      <c r="T630" s="108"/>
      <c r="U630" s="108"/>
      <c r="V630" s="108"/>
      <c r="W630" s="108"/>
      <c r="X630" s="108"/>
      <c r="Y630" s="108"/>
    </row>
    <row r="631">
      <c r="A631" s="244"/>
      <c r="B631" s="107"/>
      <c r="C631" s="107"/>
      <c r="D631" s="115"/>
      <c r="E631" s="107"/>
      <c r="F631" s="211"/>
      <c r="G631" s="256"/>
      <c r="H631" s="239"/>
      <c r="I631" s="108"/>
      <c r="J631" s="108"/>
      <c r="K631" s="108"/>
      <c r="L631" s="108"/>
      <c r="M631" s="108"/>
      <c r="N631" s="108"/>
      <c r="O631" s="108"/>
      <c r="P631" s="108"/>
      <c r="Q631" s="108"/>
      <c r="R631" s="108"/>
      <c r="S631" s="108"/>
      <c r="T631" s="108"/>
      <c r="U631" s="108"/>
      <c r="V631" s="108"/>
      <c r="W631" s="108"/>
      <c r="X631" s="108"/>
      <c r="Y631" s="108"/>
    </row>
    <row r="632">
      <c r="A632" s="244"/>
      <c r="B632" s="107"/>
      <c r="C632" s="107"/>
      <c r="D632" s="115"/>
      <c r="E632" s="107"/>
      <c r="F632" s="211"/>
      <c r="G632" s="256"/>
      <c r="H632" s="239"/>
      <c r="I632" s="108"/>
      <c r="J632" s="108"/>
      <c r="K632" s="108"/>
      <c r="L632" s="108"/>
      <c r="M632" s="108"/>
      <c r="N632" s="108"/>
      <c r="O632" s="108"/>
      <c r="P632" s="108"/>
      <c r="Q632" s="108"/>
      <c r="R632" s="108"/>
      <c r="S632" s="108"/>
      <c r="T632" s="108"/>
      <c r="U632" s="108"/>
      <c r="V632" s="108"/>
      <c r="W632" s="108"/>
      <c r="X632" s="108"/>
      <c r="Y632" s="108"/>
    </row>
    <row r="633">
      <c r="A633" s="244"/>
      <c r="B633" s="107"/>
      <c r="C633" s="107"/>
      <c r="D633" s="115"/>
      <c r="E633" s="107"/>
      <c r="F633" s="211"/>
      <c r="G633" s="256"/>
      <c r="H633" s="239"/>
      <c r="I633" s="108"/>
      <c r="J633" s="108"/>
      <c r="K633" s="108"/>
      <c r="L633" s="108"/>
      <c r="M633" s="108"/>
      <c r="N633" s="108"/>
      <c r="O633" s="108"/>
      <c r="P633" s="108"/>
      <c r="Q633" s="108"/>
      <c r="R633" s="108"/>
      <c r="S633" s="108"/>
      <c r="T633" s="108"/>
      <c r="U633" s="108"/>
      <c r="V633" s="108"/>
      <c r="W633" s="108"/>
      <c r="X633" s="108"/>
      <c r="Y633" s="108"/>
    </row>
    <row r="634">
      <c r="A634" s="244"/>
      <c r="B634" s="107"/>
      <c r="C634" s="107"/>
      <c r="D634" s="115"/>
      <c r="E634" s="107"/>
      <c r="F634" s="211"/>
      <c r="G634" s="256"/>
      <c r="H634" s="239"/>
      <c r="I634" s="108"/>
      <c r="J634" s="108"/>
      <c r="K634" s="108"/>
      <c r="L634" s="108"/>
      <c r="M634" s="108"/>
      <c r="N634" s="108"/>
      <c r="O634" s="108"/>
      <c r="P634" s="108"/>
      <c r="Q634" s="108"/>
      <c r="R634" s="108"/>
      <c r="S634" s="108"/>
      <c r="T634" s="108"/>
      <c r="U634" s="108"/>
      <c r="V634" s="108"/>
      <c r="W634" s="108"/>
      <c r="X634" s="108"/>
      <c r="Y634" s="108"/>
    </row>
    <row r="635">
      <c r="A635" s="244"/>
      <c r="B635" s="107"/>
      <c r="C635" s="107"/>
      <c r="D635" s="115"/>
      <c r="E635" s="107"/>
      <c r="F635" s="211"/>
      <c r="G635" s="256"/>
      <c r="H635" s="239"/>
      <c r="I635" s="108"/>
      <c r="J635" s="108"/>
      <c r="K635" s="108"/>
      <c r="L635" s="108"/>
      <c r="M635" s="108"/>
      <c r="N635" s="108"/>
      <c r="O635" s="108"/>
      <c r="P635" s="108"/>
      <c r="Q635" s="108"/>
      <c r="R635" s="108"/>
      <c r="S635" s="108"/>
      <c r="T635" s="108"/>
      <c r="U635" s="108"/>
      <c r="V635" s="108"/>
      <c r="W635" s="108"/>
      <c r="X635" s="108"/>
      <c r="Y635" s="108"/>
    </row>
    <row r="636">
      <c r="A636" s="244"/>
      <c r="B636" s="107"/>
      <c r="C636" s="107"/>
      <c r="D636" s="115"/>
      <c r="E636" s="107"/>
      <c r="F636" s="211"/>
      <c r="G636" s="256"/>
      <c r="H636" s="239"/>
      <c r="I636" s="108"/>
      <c r="J636" s="108"/>
      <c r="K636" s="108"/>
      <c r="L636" s="108"/>
      <c r="M636" s="108"/>
      <c r="N636" s="108"/>
      <c r="O636" s="108"/>
      <c r="P636" s="108"/>
      <c r="Q636" s="108"/>
      <c r="R636" s="108"/>
      <c r="S636" s="108"/>
      <c r="T636" s="108"/>
      <c r="U636" s="108"/>
      <c r="V636" s="108"/>
      <c r="W636" s="108"/>
      <c r="X636" s="108"/>
      <c r="Y636" s="108"/>
    </row>
    <row r="637">
      <c r="A637" s="244"/>
      <c r="B637" s="107"/>
      <c r="C637" s="107"/>
      <c r="D637" s="115"/>
      <c r="E637" s="107"/>
      <c r="F637" s="211"/>
      <c r="G637" s="256"/>
      <c r="H637" s="239"/>
      <c r="I637" s="108"/>
      <c r="J637" s="108"/>
      <c r="K637" s="108"/>
      <c r="L637" s="108"/>
      <c r="M637" s="108"/>
      <c r="N637" s="108"/>
      <c r="O637" s="108"/>
      <c r="P637" s="108"/>
      <c r="Q637" s="108"/>
      <c r="R637" s="108"/>
      <c r="S637" s="108"/>
      <c r="T637" s="108"/>
      <c r="U637" s="108"/>
      <c r="V637" s="108"/>
      <c r="W637" s="108"/>
      <c r="X637" s="108"/>
      <c r="Y637" s="108"/>
    </row>
    <row r="638">
      <c r="A638" s="244"/>
      <c r="B638" s="107"/>
      <c r="C638" s="107"/>
      <c r="D638" s="115"/>
      <c r="E638" s="107"/>
      <c r="F638" s="211"/>
      <c r="G638" s="256"/>
      <c r="H638" s="239"/>
      <c r="I638" s="108"/>
      <c r="J638" s="108"/>
      <c r="K638" s="108"/>
      <c r="L638" s="108"/>
      <c r="M638" s="108"/>
      <c r="N638" s="108"/>
      <c r="O638" s="108"/>
      <c r="P638" s="108"/>
      <c r="Q638" s="108"/>
      <c r="R638" s="108"/>
      <c r="S638" s="108"/>
      <c r="T638" s="108"/>
      <c r="U638" s="108"/>
      <c r="V638" s="108"/>
      <c r="W638" s="108"/>
      <c r="X638" s="108"/>
      <c r="Y638" s="108"/>
    </row>
    <row r="639">
      <c r="A639" s="244"/>
      <c r="B639" s="107"/>
      <c r="C639" s="107"/>
      <c r="D639" s="115"/>
      <c r="E639" s="107"/>
      <c r="F639" s="211"/>
      <c r="G639" s="256"/>
      <c r="H639" s="239"/>
      <c r="I639" s="108"/>
      <c r="J639" s="108"/>
      <c r="K639" s="108"/>
      <c r="L639" s="108"/>
      <c r="M639" s="108"/>
      <c r="N639" s="108"/>
      <c r="O639" s="108"/>
      <c r="P639" s="108"/>
      <c r="Q639" s="108"/>
      <c r="R639" s="108"/>
      <c r="S639" s="108"/>
      <c r="T639" s="108"/>
      <c r="U639" s="108"/>
      <c r="V639" s="108"/>
      <c r="W639" s="108"/>
      <c r="X639" s="108"/>
      <c r="Y639" s="108"/>
    </row>
    <row r="640">
      <c r="A640" s="244"/>
      <c r="B640" s="107"/>
      <c r="C640" s="107"/>
      <c r="D640" s="115"/>
      <c r="E640" s="107"/>
      <c r="F640" s="211"/>
      <c r="G640" s="256"/>
      <c r="H640" s="239"/>
      <c r="I640" s="108"/>
      <c r="J640" s="108"/>
      <c r="K640" s="108"/>
      <c r="L640" s="108"/>
      <c r="M640" s="108"/>
      <c r="N640" s="108"/>
      <c r="O640" s="108"/>
      <c r="P640" s="108"/>
      <c r="Q640" s="108"/>
      <c r="R640" s="108"/>
      <c r="S640" s="108"/>
      <c r="T640" s="108"/>
      <c r="U640" s="108"/>
      <c r="V640" s="108"/>
      <c r="W640" s="108"/>
      <c r="X640" s="108"/>
      <c r="Y640" s="108"/>
    </row>
    <row r="641">
      <c r="A641" s="244"/>
      <c r="B641" s="107"/>
      <c r="C641" s="107"/>
      <c r="D641" s="115"/>
      <c r="E641" s="107"/>
      <c r="F641" s="211"/>
      <c r="G641" s="256"/>
      <c r="H641" s="239"/>
      <c r="I641" s="108"/>
      <c r="J641" s="108"/>
      <c r="K641" s="108"/>
      <c r="L641" s="108"/>
      <c r="M641" s="108"/>
      <c r="N641" s="108"/>
      <c r="O641" s="108"/>
      <c r="P641" s="108"/>
      <c r="Q641" s="108"/>
      <c r="R641" s="108"/>
      <c r="S641" s="108"/>
      <c r="T641" s="108"/>
      <c r="U641" s="108"/>
      <c r="V641" s="108"/>
      <c r="W641" s="108"/>
      <c r="X641" s="108"/>
      <c r="Y641" s="108"/>
    </row>
    <row r="642">
      <c r="A642" s="244"/>
      <c r="B642" s="107"/>
      <c r="C642" s="107"/>
      <c r="D642" s="115"/>
      <c r="E642" s="107"/>
      <c r="F642" s="211"/>
      <c r="G642" s="256"/>
      <c r="H642" s="239"/>
      <c r="I642" s="108"/>
      <c r="J642" s="108"/>
      <c r="K642" s="108"/>
      <c r="L642" s="108"/>
      <c r="M642" s="108"/>
      <c r="N642" s="108"/>
      <c r="O642" s="108"/>
      <c r="P642" s="108"/>
      <c r="Q642" s="108"/>
      <c r="R642" s="108"/>
      <c r="S642" s="108"/>
      <c r="T642" s="108"/>
      <c r="U642" s="108"/>
      <c r="V642" s="108"/>
      <c r="W642" s="108"/>
      <c r="X642" s="108"/>
      <c r="Y642" s="108"/>
    </row>
    <row r="643">
      <c r="A643" s="244"/>
      <c r="B643" s="107"/>
      <c r="C643" s="107"/>
      <c r="D643" s="115"/>
      <c r="E643" s="107"/>
      <c r="F643" s="211"/>
      <c r="G643" s="256"/>
      <c r="H643" s="239"/>
      <c r="I643" s="108"/>
      <c r="J643" s="108"/>
      <c r="K643" s="108"/>
      <c r="L643" s="108"/>
      <c r="M643" s="108"/>
      <c r="N643" s="108"/>
      <c r="O643" s="108"/>
      <c r="P643" s="108"/>
      <c r="Q643" s="108"/>
      <c r="R643" s="108"/>
      <c r="S643" s="108"/>
      <c r="T643" s="108"/>
      <c r="U643" s="108"/>
      <c r="V643" s="108"/>
      <c r="W643" s="108"/>
      <c r="X643" s="108"/>
      <c r="Y643" s="108"/>
    </row>
    <row r="644">
      <c r="A644" s="244"/>
      <c r="B644" s="107"/>
      <c r="C644" s="107"/>
      <c r="D644" s="115"/>
      <c r="E644" s="107"/>
      <c r="F644" s="211"/>
      <c r="G644" s="256"/>
      <c r="H644" s="239"/>
      <c r="I644" s="108"/>
      <c r="J644" s="108"/>
      <c r="K644" s="108"/>
      <c r="L644" s="108"/>
      <c r="M644" s="108"/>
      <c r="N644" s="108"/>
      <c r="O644" s="108"/>
      <c r="P644" s="108"/>
      <c r="Q644" s="108"/>
      <c r="R644" s="108"/>
      <c r="S644" s="108"/>
      <c r="T644" s="108"/>
      <c r="U644" s="108"/>
      <c r="V644" s="108"/>
      <c r="W644" s="108"/>
      <c r="X644" s="108"/>
      <c r="Y644" s="108"/>
    </row>
    <row r="645">
      <c r="A645" s="244"/>
      <c r="B645" s="107"/>
      <c r="C645" s="107"/>
      <c r="D645" s="115"/>
      <c r="E645" s="107"/>
      <c r="F645" s="211"/>
      <c r="G645" s="256"/>
      <c r="H645" s="239"/>
      <c r="I645" s="108"/>
      <c r="J645" s="108"/>
      <c r="K645" s="108"/>
      <c r="L645" s="108"/>
      <c r="M645" s="108"/>
      <c r="N645" s="108"/>
      <c r="O645" s="108"/>
      <c r="P645" s="108"/>
      <c r="Q645" s="108"/>
      <c r="R645" s="108"/>
      <c r="S645" s="108"/>
      <c r="T645" s="108"/>
      <c r="U645" s="108"/>
      <c r="V645" s="108"/>
      <c r="W645" s="108"/>
      <c r="X645" s="108"/>
      <c r="Y645" s="108"/>
    </row>
    <row r="646">
      <c r="A646" s="244"/>
      <c r="B646" s="107"/>
      <c r="C646" s="107"/>
      <c r="D646" s="115"/>
      <c r="E646" s="107"/>
      <c r="F646" s="211"/>
      <c r="G646" s="256"/>
      <c r="H646" s="239"/>
      <c r="I646" s="108"/>
      <c r="J646" s="108"/>
      <c r="K646" s="108"/>
      <c r="L646" s="108"/>
      <c r="M646" s="108"/>
      <c r="N646" s="108"/>
      <c r="O646" s="108"/>
      <c r="P646" s="108"/>
      <c r="Q646" s="108"/>
      <c r="R646" s="108"/>
      <c r="S646" s="108"/>
      <c r="T646" s="108"/>
      <c r="U646" s="108"/>
      <c r="V646" s="108"/>
      <c r="W646" s="108"/>
      <c r="X646" s="108"/>
      <c r="Y646" s="108"/>
    </row>
    <row r="647">
      <c r="A647" s="244"/>
      <c r="B647" s="107"/>
      <c r="C647" s="107"/>
      <c r="D647" s="115"/>
      <c r="E647" s="107"/>
      <c r="F647" s="211"/>
      <c r="G647" s="256"/>
      <c r="H647" s="239"/>
      <c r="I647" s="108"/>
      <c r="J647" s="108"/>
      <c r="K647" s="108"/>
      <c r="L647" s="108"/>
      <c r="M647" s="108"/>
      <c r="N647" s="108"/>
      <c r="O647" s="108"/>
      <c r="P647" s="108"/>
      <c r="Q647" s="108"/>
      <c r="R647" s="108"/>
      <c r="S647" s="108"/>
      <c r="T647" s="108"/>
      <c r="U647" s="108"/>
      <c r="V647" s="108"/>
      <c r="W647" s="108"/>
      <c r="X647" s="108"/>
      <c r="Y647" s="108"/>
    </row>
    <row r="648">
      <c r="A648" s="244"/>
      <c r="B648" s="107"/>
      <c r="C648" s="107"/>
      <c r="D648" s="115"/>
      <c r="E648" s="107"/>
      <c r="F648" s="211"/>
      <c r="G648" s="256"/>
      <c r="H648" s="239"/>
      <c r="I648" s="108"/>
      <c r="J648" s="108"/>
      <c r="K648" s="108"/>
      <c r="L648" s="108"/>
      <c r="M648" s="108"/>
      <c r="N648" s="108"/>
      <c r="O648" s="108"/>
      <c r="P648" s="108"/>
      <c r="Q648" s="108"/>
      <c r="R648" s="108"/>
      <c r="S648" s="108"/>
      <c r="T648" s="108"/>
      <c r="U648" s="108"/>
      <c r="V648" s="108"/>
      <c r="W648" s="108"/>
      <c r="X648" s="108"/>
      <c r="Y648" s="108"/>
    </row>
    <row r="649">
      <c r="A649" s="244"/>
      <c r="B649" s="107"/>
      <c r="C649" s="107"/>
      <c r="D649" s="115"/>
      <c r="E649" s="107"/>
      <c r="F649" s="211"/>
      <c r="G649" s="256"/>
      <c r="H649" s="239"/>
      <c r="I649" s="108"/>
      <c r="J649" s="108"/>
      <c r="K649" s="108"/>
      <c r="L649" s="108"/>
      <c r="M649" s="108"/>
      <c r="N649" s="108"/>
      <c r="O649" s="108"/>
      <c r="P649" s="108"/>
      <c r="Q649" s="108"/>
      <c r="R649" s="108"/>
      <c r="S649" s="108"/>
      <c r="T649" s="108"/>
      <c r="U649" s="108"/>
      <c r="V649" s="108"/>
      <c r="W649" s="108"/>
      <c r="X649" s="108"/>
      <c r="Y649" s="108"/>
    </row>
    <row r="650">
      <c r="A650" s="244"/>
      <c r="B650" s="107"/>
      <c r="C650" s="107"/>
      <c r="D650" s="115"/>
      <c r="E650" s="107"/>
      <c r="F650" s="211"/>
      <c r="G650" s="256"/>
      <c r="H650" s="239"/>
      <c r="I650" s="108"/>
      <c r="J650" s="108"/>
      <c r="K650" s="108"/>
      <c r="L650" s="108"/>
      <c r="M650" s="108"/>
      <c r="N650" s="108"/>
      <c r="O650" s="108"/>
      <c r="P650" s="108"/>
      <c r="Q650" s="108"/>
      <c r="R650" s="108"/>
      <c r="S650" s="108"/>
      <c r="T650" s="108"/>
      <c r="U650" s="108"/>
      <c r="V650" s="108"/>
      <c r="W650" s="108"/>
      <c r="X650" s="108"/>
      <c r="Y650" s="108"/>
    </row>
    <row r="651">
      <c r="A651" s="244"/>
      <c r="B651" s="107"/>
      <c r="C651" s="107"/>
      <c r="D651" s="115"/>
      <c r="E651" s="107"/>
      <c r="F651" s="211"/>
      <c r="G651" s="256"/>
      <c r="H651" s="239"/>
      <c r="I651" s="108"/>
      <c r="J651" s="108"/>
      <c r="K651" s="108"/>
      <c r="L651" s="108"/>
      <c r="M651" s="108"/>
      <c r="N651" s="108"/>
      <c r="O651" s="108"/>
      <c r="P651" s="108"/>
      <c r="Q651" s="108"/>
      <c r="R651" s="108"/>
      <c r="S651" s="108"/>
      <c r="T651" s="108"/>
      <c r="U651" s="108"/>
      <c r="V651" s="108"/>
      <c r="W651" s="108"/>
      <c r="X651" s="108"/>
      <c r="Y651" s="108"/>
    </row>
    <row r="652">
      <c r="A652" s="244"/>
      <c r="B652" s="107"/>
      <c r="C652" s="107"/>
      <c r="D652" s="115"/>
      <c r="E652" s="107"/>
      <c r="F652" s="211"/>
      <c r="G652" s="256"/>
      <c r="H652" s="239"/>
      <c r="I652" s="108"/>
      <c r="J652" s="108"/>
      <c r="K652" s="108"/>
      <c r="L652" s="108"/>
      <c r="M652" s="108"/>
      <c r="N652" s="108"/>
      <c r="O652" s="108"/>
      <c r="P652" s="108"/>
      <c r="Q652" s="108"/>
      <c r="R652" s="108"/>
      <c r="S652" s="108"/>
      <c r="T652" s="108"/>
      <c r="U652" s="108"/>
      <c r="V652" s="108"/>
      <c r="W652" s="108"/>
      <c r="X652" s="108"/>
      <c r="Y652" s="108"/>
    </row>
    <row r="653">
      <c r="A653" s="244"/>
      <c r="B653" s="107"/>
      <c r="C653" s="107"/>
      <c r="D653" s="115"/>
      <c r="E653" s="107"/>
      <c r="F653" s="211"/>
      <c r="G653" s="256"/>
      <c r="H653" s="239"/>
      <c r="I653" s="108"/>
      <c r="J653" s="108"/>
      <c r="K653" s="108"/>
      <c r="L653" s="108"/>
      <c r="M653" s="108"/>
      <c r="N653" s="108"/>
      <c r="O653" s="108"/>
      <c r="P653" s="108"/>
      <c r="Q653" s="108"/>
      <c r="R653" s="108"/>
      <c r="S653" s="108"/>
      <c r="T653" s="108"/>
      <c r="U653" s="108"/>
      <c r="V653" s="108"/>
      <c r="W653" s="108"/>
      <c r="X653" s="108"/>
      <c r="Y653" s="108"/>
    </row>
    <row r="654">
      <c r="A654" s="244"/>
      <c r="B654" s="107"/>
      <c r="C654" s="107"/>
      <c r="D654" s="115"/>
      <c r="E654" s="107"/>
      <c r="F654" s="211"/>
      <c r="G654" s="256"/>
      <c r="H654" s="239"/>
      <c r="I654" s="108"/>
      <c r="J654" s="108"/>
      <c r="K654" s="108"/>
      <c r="L654" s="108"/>
      <c r="M654" s="108"/>
      <c r="N654" s="108"/>
      <c r="O654" s="108"/>
      <c r="P654" s="108"/>
      <c r="Q654" s="108"/>
      <c r="R654" s="108"/>
      <c r="S654" s="108"/>
      <c r="T654" s="108"/>
      <c r="U654" s="108"/>
      <c r="V654" s="108"/>
      <c r="W654" s="108"/>
      <c r="X654" s="108"/>
      <c r="Y654" s="108"/>
    </row>
    <row r="655">
      <c r="A655" s="244"/>
      <c r="B655" s="107"/>
      <c r="C655" s="107"/>
      <c r="D655" s="115"/>
      <c r="E655" s="107"/>
      <c r="F655" s="211"/>
      <c r="G655" s="256"/>
      <c r="H655" s="239"/>
      <c r="I655" s="108"/>
      <c r="J655" s="108"/>
      <c r="K655" s="108"/>
      <c r="L655" s="108"/>
      <c r="M655" s="108"/>
      <c r="N655" s="108"/>
      <c r="O655" s="108"/>
      <c r="P655" s="108"/>
      <c r="Q655" s="108"/>
      <c r="R655" s="108"/>
      <c r="S655" s="108"/>
      <c r="T655" s="108"/>
      <c r="U655" s="108"/>
      <c r="V655" s="108"/>
      <c r="W655" s="108"/>
      <c r="X655" s="108"/>
      <c r="Y655" s="108"/>
    </row>
    <row r="656">
      <c r="A656" s="244"/>
      <c r="B656" s="107"/>
      <c r="C656" s="107"/>
      <c r="D656" s="115"/>
      <c r="E656" s="107"/>
      <c r="F656" s="211"/>
      <c r="G656" s="256"/>
      <c r="H656" s="239"/>
      <c r="I656" s="108"/>
      <c r="J656" s="108"/>
      <c r="K656" s="108"/>
      <c r="L656" s="108"/>
      <c r="M656" s="108"/>
      <c r="N656" s="108"/>
      <c r="O656" s="108"/>
      <c r="P656" s="108"/>
      <c r="Q656" s="108"/>
      <c r="R656" s="108"/>
      <c r="S656" s="108"/>
      <c r="T656" s="108"/>
      <c r="U656" s="108"/>
      <c r="V656" s="108"/>
      <c r="W656" s="108"/>
      <c r="X656" s="108"/>
      <c r="Y656" s="108"/>
    </row>
    <row r="657">
      <c r="A657" s="244"/>
      <c r="B657" s="107"/>
      <c r="C657" s="107"/>
      <c r="D657" s="115"/>
      <c r="E657" s="107"/>
      <c r="F657" s="211"/>
      <c r="G657" s="256"/>
      <c r="H657" s="239"/>
      <c r="I657" s="108"/>
      <c r="J657" s="108"/>
      <c r="K657" s="108"/>
      <c r="L657" s="108"/>
      <c r="M657" s="108"/>
      <c r="N657" s="108"/>
      <c r="O657" s="108"/>
      <c r="P657" s="108"/>
      <c r="Q657" s="108"/>
      <c r="R657" s="108"/>
      <c r="S657" s="108"/>
      <c r="T657" s="108"/>
      <c r="U657" s="108"/>
      <c r="V657" s="108"/>
      <c r="W657" s="108"/>
      <c r="X657" s="108"/>
      <c r="Y657" s="108"/>
    </row>
    <row r="658">
      <c r="A658" s="244"/>
      <c r="B658" s="107"/>
      <c r="C658" s="107"/>
      <c r="D658" s="115"/>
      <c r="E658" s="107"/>
      <c r="F658" s="211"/>
      <c r="G658" s="256"/>
      <c r="H658" s="239"/>
      <c r="I658" s="108"/>
      <c r="J658" s="108"/>
      <c r="K658" s="108"/>
      <c r="L658" s="108"/>
      <c r="M658" s="108"/>
      <c r="N658" s="108"/>
      <c r="O658" s="108"/>
      <c r="P658" s="108"/>
      <c r="Q658" s="108"/>
      <c r="R658" s="108"/>
      <c r="S658" s="108"/>
      <c r="T658" s="108"/>
      <c r="U658" s="108"/>
      <c r="V658" s="108"/>
      <c r="W658" s="108"/>
      <c r="X658" s="108"/>
      <c r="Y658" s="108"/>
    </row>
    <row r="659">
      <c r="A659" s="244"/>
      <c r="B659" s="107"/>
      <c r="C659" s="107"/>
      <c r="D659" s="115"/>
      <c r="E659" s="107"/>
      <c r="F659" s="211"/>
      <c r="G659" s="256"/>
      <c r="H659" s="239"/>
      <c r="I659" s="108"/>
      <c r="J659" s="108"/>
      <c r="K659" s="108"/>
      <c r="L659" s="108"/>
      <c r="M659" s="108"/>
      <c r="N659" s="108"/>
      <c r="O659" s="108"/>
      <c r="P659" s="108"/>
      <c r="Q659" s="108"/>
      <c r="R659" s="108"/>
      <c r="S659" s="108"/>
      <c r="T659" s="108"/>
      <c r="U659" s="108"/>
      <c r="V659" s="108"/>
      <c r="W659" s="108"/>
      <c r="X659" s="108"/>
      <c r="Y659" s="108"/>
    </row>
    <row r="660">
      <c r="A660" s="244"/>
      <c r="B660" s="107"/>
      <c r="C660" s="107"/>
      <c r="D660" s="115"/>
      <c r="E660" s="107"/>
      <c r="F660" s="211"/>
      <c r="G660" s="256"/>
      <c r="H660" s="239"/>
      <c r="I660" s="108"/>
      <c r="J660" s="108"/>
      <c r="K660" s="108"/>
      <c r="L660" s="108"/>
      <c r="M660" s="108"/>
      <c r="N660" s="108"/>
      <c r="O660" s="108"/>
      <c r="P660" s="108"/>
      <c r="Q660" s="108"/>
      <c r="R660" s="108"/>
      <c r="S660" s="108"/>
      <c r="T660" s="108"/>
      <c r="U660" s="108"/>
      <c r="V660" s="108"/>
      <c r="W660" s="108"/>
      <c r="X660" s="108"/>
      <c r="Y660" s="108"/>
    </row>
    <row r="661">
      <c r="A661" s="244"/>
      <c r="B661" s="107"/>
      <c r="C661" s="107"/>
      <c r="D661" s="115"/>
      <c r="E661" s="107"/>
      <c r="F661" s="211"/>
      <c r="G661" s="256"/>
      <c r="H661" s="239"/>
      <c r="I661" s="108"/>
      <c r="J661" s="108"/>
      <c r="K661" s="108"/>
      <c r="L661" s="108"/>
      <c r="M661" s="108"/>
      <c r="N661" s="108"/>
      <c r="O661" s="108"/>
      <c r="P661" s="108"/>
      <c r="Q661" s="108"/>
      <c r="R661" s="108"/>
      <c r="S661" s="108"/>
      <c r="T661" s="108"/>
      <c r="U661" s="108"/>
      <c r="V661" s="108"/>
      <c r="W661" s="108"/>
      <c r="X661" s="108"/>
      <c r="Y661" s="108"/>
    </row>
    <row r="662">
      <c r="A662" s="244"/>
      <c r="B662" s="107"/>
      <c r="C662" s="107"/>
      <c r="D662" s="115"/>
      <c r="E662" s="107"/>
      <c r="F662" s="211"/>
      <c r="G662" s="256"/>
      <c r="H662" s="239"/>
      <c r="I662" s="108"/>
      <c r="J662" s="108"/>
      <c r="K662" s="108"/>
      <c r="L662" s="108"/>
      <c r="M662" s="108"/>
      <c r="N662" s="108"/>
      <c r="O662" s="108"/>
      <c r="P662" s="108"/>
      <c r="Q662" s="108"/>
      <c r="R662" s="108"/>
      <c r="S662" s="108"/>
      <c r="T662" s="108"/>
      <c r="U662" s="108"/>
      <c r="V662" s="108"/>
      <c r="W662" s="108"/>
      <c r="X662" s="108"/>
      <c r="Y662" s="108"/>
    </row>
    <row r="663">
      <c r="A663" s="244"/>
      <c r="B663" s="107"/>
      <c r="C663" s="107"/>
      <c r="D663" s="115"/>
      <c r="E663" s="107"/>
      <c r="F663" s="211"/>
      <c r="G663" s="256"/>
      <c r="H663" s="239"/>
      <c r="I663" s="108"/>
      <c r="J663" s="108"/>
      <c r="K663" s="108"/>
      <c r="L663" s="108"/>
      <c r="M663" s="108"/>
      <c r="N663" s="108"/>
      <c r="O663" s="108"/>
      <c r="P663" s="108"/>
      <c r="Q663" s="108"/>
      <c r="R663" s="108"/>
      <c r="S663" s="108"/>
      <c r="T663" s="108"/>
      <c r="U663" s="108"/>
      <c r="V663" s="108"/>
      <c r="W663" s="108"/>
      <c r="X663" s="108"/>
      <c r="Y663" s="108"/>
    </row>
    <row r="664">
      <c r="A664" s="244"/>
      <c r="B664" s="107"/>
      <c r="C664" s="107"/>
      <c r="D664" s="115"/>
      <c r="E664" s="107"/>
      <c r="F664" s="211"/>
      <c r="G664" s="256"/>
      <c r="H664" s="239"/>
      <c r="I664" s="108"/>
      <c r="J664" s="108"/>
      <c r="K664" s="108"/>
      <c r="L664" s="108"/>
      <c r="M664" s="108"/>
      <c r="N664" s="108"/>
      <c r="O664" s="108"/>
      <c r="P664" s="108"/>
      <c r="Q664" s="108"/>
      <c r="R664" s="108"/>
      <c r="S664" s="108"/>
      <c r="T664" s="108"/>
      <c r="U664" s="108"/>
      <c r="V664" s="108"/>
      <c r="W664" s="108"/>
      <c r="X664" s="108"/>
      <c r="Y664" s="108"/>
    </row>
    <row r="665">
      <c r="A665" s="244"/>
      <c r="B665" s="107"/>
      <c r="C665" s="107"/>
      <c r="D665" s="115"/>
      <c r="E665" s="107"/>
      <c r="F665" s="211"/>
      <c r="G665" s="256"/>
      <c r="H665" s="239"/>
      <c r="I665" s="108"/>
      <c r="J665" s="108"/>
      <c r="K665" s="108"/>
      <c r="L665" s="108"/>
      <c r="M665" s="108"/>
      <c r="N665" s="108"/>
      <c r="O665" s="108"/>
      <c r="P665" s="108"/>
      <c r="Q665" s="108"/>
      <c r="R665" s="108"/>
      <c r="S665" s="108"/>
      <c r="T665" s="108"/>
      <c r="U665" s="108"/>
      <c r="V665" s="108"/>
      <c r="W665" s="108"/>
      <c r="X665" s="108"/>
      <c r="Y665" s="108"/>
    </row>
    <row r="666">
      <c r="A666" s="244"/>
      <c r="B666" s="107"/>
      <c r="C666" s="107"/>
      <c r="D666" s="115"/>
      <c r="E666" s="107"/>
      <c r="F666" s="211"/>
      <c r="G666" s="256"/>
      <c r="H666" s="239"/>
      <c r="I666" s="108"/>
      <c r="J666" s="108"/>
      <c r="K666" s="108"/>
      <c r="L666" s="108"/>
      <c r="M666" s="108"/>
      <c r="N666" s="108"/>
      <c r="O666" s="108"/>
      <c r="P666" s="108"/>
      <c r="Q666" s="108"/>
      <c r="R666" s="108"/>
      <c r="S666" s="108"/>
      <c r="T666" s="108"/>
      <c r="U666" s="108"/>
      <c r="V666" s="108"/>
      <c r="W666" s="108"/>
      <c r="X666" s="108"/>
      <c r="Y666" s="108"/>
    </row>
    <row r="667">
      <c r="A667" s="244"/>
      <c r="B667" s="107"/>
      <c r="C667" s="107"/>
      <c r="D667" s="115"/>
      <c r="E667" s="107"/>
      <c r="F667" s="211"/>
      <c r="G667" s="256"/>
      <c r="H667" s="239"/>
      <c r="I667" s="108"/>
      <c r="J667" s="108"/>
      <c r="K667" s="108"/>
      <c r="L667" s="108"/>
      <c r="M667" s="108"/>
      <c r="N667" s="108"/>
      <c r="O667" s="108"/>
      <c r="P667" s="108"/>
      <c r="Q667" s="108"/>
      <c r="R667" s="108"/>
      <c r="S667" s="108"/>
      <c r="T667" s="108"/>
      <c r="U667" s="108"/>
      <c r="V667" s="108"/>
      <c r="W667" s="108"/>
      <c r="X667" s="108"/>
      <c r="Y667" s="108"/>
    </row>
    <row r="668">
      <c r="A668" s="244"/>
      <c r="B668" s="107"/>
      <c r="C668" s="107"/>
      <c r="D668" s="115"/>
      <c r="E668" s="107"/>
      <c r="F668" s="211"/>
      <c r="G668" s="256"/>
      <c r="H668" s="239"/>
      <c r="I668" s="108"/>
      <c r="J668" s="108"/>
      <c r="K668" s="108"/>
      <c r="L668" s="108"/>
      <c r="M668" s="108"/>
      <c r="N668" s="108"/>
      <c r="O668" s="108"/>
      <c r="P668" s="108"/>
      <c r="Q668" s="108"/>
      <c r="R668" s="108"/>
      <c r="S668" s="108"/>
      <c r="T668" s="108"/>
      <c r="U668" s="108"/>
      <c r="V668" s="108"/>
      <c r="W668" s="108"/>
      <c r="X668" s="108"/>
      <c r="Y668" s="108"/>
    </row>
    <row r="669">
      <c r="A669" s="244"/>
      <c r="B669" s="107"/>
      <c r="C669" s="107"/>
      <c r="D669" s="115"/>
      <c r="E669" s="107"/>
      <c r="F669" s="211"/>
      <c r="G669" s="256"/>
      <c r="H669" s="239"/>
      <c r="I669" s="108"/>
      <c r="J669" s="108"/>
      <c r="K669" s="108"/>
      <c r="L669" s="108"/>
      <c r="M669" s="108"/>
      <c r="N669" s="108"/>
      <c r="O669" s="108"/>
      <c r="P669" s="108"/>
      <c r="Q669" s="108"/>
      <c r="R669" s="108"/>
      <c r="S669" s="108"/>
      <c r="T669" s="108"/>
      <c r="U669" s="108"/>
      <c r="V669" s="108"/>
      <c r="W669" s="108"/>
      <c r="X669" s="108"/>
      <c r="Y669" s="108"/>
    </row>
    <row r="670">
      <c r="A670" s="244"/>
      <c r="B670" s="107"/>
      <c r="C670" s="107"/>
      <c r="D670" s="115"/>
      <c r="E670" s="107"/>
      <c r="F670" s="211"/>
      <c r="G670" s="256"/>
      <c r="H670" s="239"/>
      <c r="I670" s="108"/>
      <c r="J670" s="108"/>
      <c r="K670" s="108"/>
      <c r="L670" s="108"/>
      <c r="M670" s="108"/>
      <c r="N670" s="108"/>
      <c r="O670" s="108"/>
      <c r="P670" s="108"/>
      <c r="Q670" s="108"/>
      <c r="R670" s="108"/>
      <c r="S670" s="108"/>
      <c r="T670" s="108"/>
      <c r="U670" s="108"/>
      <c r="V670" s="108"/>
      <c r="W670" s="108"/>
      <c r="X670" s="108"/>
      <c r="Y670" s="108"/>
    </row>
    <row r="671">
      <c r="A671" s="244"/>
      <c r="B671" s="107"/>
      <c r="C671" s="107"/>
      <c r="D671" s="115"/>
      <c r="E671" s="107"/>
      <c r="F671" s="211"/>
      <c r="G671" s="256"/>
      <c r="H671" s="239"/>
      <c r="I671" s="108"/>
      <c r="J671" s="108"/>
      <c r="K671" s="108"/>
      <c r="L671" s="108"/>
      <c r="M671" s="108"/>
      <c r="N671" s="108"/>
      <c r="O671" s="108"/>
      <c r="P671" s="108"/>
      <c r="Q671" s="108"/>
      <c r="R671" s="108"/>
      <c r="S671" s="108"/>
      <c r="T671" s="108"/>
      <c r="U671" s="108"/>
      <c r="V671" s="108"/>
      <c r="W671" s="108"/>
      <c r="X671" s="108"/>
      <c r="Y671" s="108"/>
    </row>
    <row r="672">
      <c r="A672" s="244"/>
      <c r="B672" s="107"/>
      <c r="C672" s="107"/>
      <c r="D672" s="115"/>
      <c r="E672" s="107"/>
      <c r="F672" s="211"/>
      <c r="G672" s="256"/>
      <c r="H672" s="239"/>
      <c r="I672" s="108"/>
      <c r="J672" s="108"/>
      <c r="K672" s="108"/>
      <c r="L672" s="108"/>
      <c r="M672" s="108"/>
      <c r="N672" s="108"/>
      <c r="O672" s="108"/>
      <c r="P672" s="108"/>
      <c r="Q672" s="108"/>
      <c r="R672" s="108"/>
      <c r="S672" s="108"/>
      <c r="T672" s="108"/>
      <c r="U672" s="108"/>
      <c r="V672" s="108"/>
      <c r="W672" s="108"/>
      <c r="X672" s="108"/>
      <c r="Y672" s="108"/>
    </row>
    <row r="673">
      <c r="A673" s="244"/>
      <c r="B673" s="107"/>
      <c r="C673" s="107"/>
      <c r="D673" s="115"/>
      <c r="E673" s="107"/>
      <c r="F673" s="211"/>
      <c r="G673" s="256"/>
      <c r="H673" s="239"/>
      <c r="I673" s="108"/>
      <c r="J673" s="108"/>
      <c r="K673" s="108"/>
      <c r="L673" s="108"/>
      <c r="M673" s="108"/>
      <c r="N673" s="108"/>
      <c r="O673" s="108"/>
      <c r="P673" s="108"/>
      <c r="Q673" s="108"/>
      <c r="R673" s="108"/>
      <c r="S673" s="108"/>
      <c r="T673" s="108"/>
      <c r="U673" s="108"/>
      <c r="V673" s="108"/>
      <c r="W673" s="108"/>
      <c r="X673" s="108"/>
      <c r="Y673" s="108"/>
    </row>
    <row r="674">
      <c r="A674" s="244"/>
      <c r="B674" s="107"/>
      <c r="C674" s="107"/>
      <c r="D674" s="115"/>
      <c r="E674" s="107"/>
      <c r="F674" s="211"/>
      <c r="G674" s="256"/>
      <c r="H674" s="239"/>
      <c r="I674" s="108"/>
      <c r="J674" s="108"/>
      <c r="K674" s="108"/>
      <c r="L674" s="108"/>
      <c r="M674" s="108"/>
      <c r="N674" s="108"/>
      <c r="O674" s="108"/>
      <c r="P674" s="108"/>
      <c r="Q674" s="108"/>
      <c r="R674" s="108"/>
      <c r="S674" s="108"/>
      <c r="T674" s="108"/>
      <c r="U674" s="108"/>
      <c r="V674" s="108"/>
      <c r="W674" s="108"/>
      <c r="X674" s="108"/>
      <c r="Y674" s="108"/>
    </row>
    <row r="675">
      <c r="A675" s="244"/>
      <c r="B675" s="107"/>
      <c r="C675" s="107"/>
      <c r="D675" s="115"/>
      <c r="E675" s="107"/>
      <c r="F675" s="211"/>
      <c r="G675" s="256"/>
      <c r="H675" s="239"/>
      <c r="I675" s="108"/>
      <c r="J675" s="108"/>
      <c r="K675" s="108"/>
      <c r="L675" s="108"/>
      <c r="M675" s="108"/>
      <c r="N675" s="108"/>
      <c r="O675" s="108"/>
      <c r="P675" s="108"/>
      <c r="Q675" s="108"/>
      <c r="R675" s="108"/>
      <c r="S675" s="108"/>
      <c r="T675" s="108"/>
      <c r="U675" s="108"/>
      <c r="V675" s="108"/>
      <c r="W675" s="108"/>
      <c r="X675" s="108"/>
      <c r="Y675" s="108"/>
    </row>
    <row r="676">
      <c r="A676" s="244"/>
      <c r="B676" s="107"/>
      <c r="C676" s="107"/>
      <c r="D676" s="115"/>
      <c r="E676" s="107"/>
      <c r="F676" s="211"/>
      <c r="G676" s="256"/>
      <c r="H676" s="239"/>
      <c r="I676" s="108"/>
      <c r="J676" s="108"/>
      <c r="K676" s="108"/>
      <c r="L676" s="108"/>
      <c r="M676" s="108"/>
      <c r="N676" s="108"/>
      <c r="O676" s="108"/>
      <c r="P676" s="108"/>
      <c r="Q676" s="108"/>
      <c r="R676" s="108"/>
      <c r="S676" s="108"/>
      <c r="T676" s="108"/>
      <c r="U676" s="108"/>
      <c r="V676" s="108"/>
      <c r="W676" s="108"/>
      <c r="X676" s="108"/>
      <c r="Y676" s="108"/>
    </row>
    <row r="677">
      <c r="A677" s="244"/>
      <c r="B677" s="107"/>
      <c r="C677" s="107"/>
      <c r="D677" s="115"/>
      <c r="E677" s="107"/>
      <c r="F677" s="211"/>
      <c r="G677" s="256"/>
      <c r="H677" s="239"/>
      <c r="I677" s="108"/>
      <c r="J677" s="108"/>
      <c r="K677" s="108"/>
      <c r="L677" s="108"/>
      <c r="M677" s="108"/>
      <c r="N677" s="108"/>
      <c r="O677" s="108"/>
      <c r="P677" s="108"/>
      <c r="Q677" s="108"/>
      <c r="R677" s="108"/>
      <c r="S677" s="108"/>
      <c r="T677" s="108"/>
      <c r="U677" s="108"/>
      <c r="V677" s="108"/>
      <c r="W677" s="108"/>
      <c r="X677" s="108"/>
      <c r="Y677" s="108"/>
    </row>
    <row r="678">
      <c r="A678" s="244"/>
      <c r="B678" s="107"/>
      <c r="C678" s="107"/>
      <c r="D678" s="115"/>
      <c r="E678" s="107"/>
      <c r="F678" s="211"/>
      <c r="G678" s="256"/>
      <c r="H678" s="239"/>
      <c r="I678" s="108"/>
      <c r="J678" s="108"/>
      <c r="K678" s="108"/>
      <c r="L678" s="108"/>
      <c r="M678" s="108"/>
      <c r="N678" s="108"/>
      <c r="O678" s="108"/>
      <c r="P678" s="108"/>
      <c r="Q678" s="108"/>
      <c r="R678" s="108"/>
      <c r="S678" s="108"/>
      <c r="T678" s="108"/>
      <c r="U678" s="108"/>
      <c r="V678" s="108"/>
      <c r="W678" s="108"/>
      <c r="X678" s="108"/>
      <c r="Y678" s="108"/>
    </row>
    <row r="679">
      <c r="A679" s="244"/>
      <c r="B679" s="107"/>
      <c r="C679" s="107"/>
      <c r="D679" s="115"/>
      <c r="E679" s="107"/>
      <c r="F679" s="211"/>
      <c r="G679" s="256"/>
      <c r="H679" s="239"/>
      <c r="I679" s="108"/>
      <c r="J679" s="108"/>
      <c r="K679" s="108"/>
      <c r="L679" s="108"/>
      <c r="M679" s="108"/>
      <c r="N679" s="108"/>
      <c r="O679" s="108"/>
      <c r="P679" s="108"/>
      <c r="Q679" s="108"/>
      <c r="R679" s="108"/>
      <c r="S679" s="108"/>
      <c r="T679" s="108"/>
      <c r="U679" s="108"/>
      <c r="V679" s="108"/>
      <c r="W679" s="108"/>
      <c r="X679" s="108"/>
      <c r="Y679" s="108"/>
    </row>
    <row r="680">
      <c r="A680" s="244"/>
      <c r="B680" s="107"/>
      <c r="C680" s="107"/>
      <c r="D680" s="115"/>
      <c r="E680" s="107"/>
      <c r="F680" s="211"/>
      <c r="G680" s="256"/>
      <c r="H680" s="239"/>
      <c r="I680" s="108"/>
      <c r="J680" s="108"/>
      <c r="K680" s="108"/>
      <c r="L680" s="108"/>
      <c r="M680" s="108"/>
      <c r="N680" s="108"/>
      <c r="O680" s="108"/>
      <c r="P680" s="108"/>
      <c r="Q680" s="108"/>
      <c r="R680" s="108"/>
      <c r="S680" s="108"/>
      <c r="T680" s="108"/>
      <c r="U680" s="108"/>
      <c r="V680" s="108"/>
      <c r="W680" s="108"/>
      <c r="X680" s="108"/>
      <c r="Y680" s="108"/>
    </row>
    <row r="681">
      <c r="A681" s="244"/>
      <c r="B681" s="107"/>
      <c r="C681" s="107"/>
      <c r="D681" s="115"/>
      <c r="E681" s="107"/>
      <c r="F681" s="211"/>
      <c r="G681" s="256"/>
      <c r="H681" s="239"/>
      <c r="I681" s="108"/>
      <c r="J681" s="108"/>
      <c r="K681" s="108"/>
      <c r="L681" s="108"/>
      <c r="M681" s="108"/>
      <c r="N681" s="108"/>
      <c r="O681" s="108"/>
      <c r="P681" s="108"/>
      <c r="Q681" s="108"/>
      <c r="R681" s="108"/>
      <c r="S681" s="108"/>
      <c r="T681" s="108"/>
      <c r="U681" s="108"/>
      <c r="V681" s="108"/>
      <c r="W681" s="108"/>
      <c r="X681" s="108"/>
      <c r="Y681" s="108"/>
    </row>
    <row r="682">
      <c r="A682" s="244"/>
      <c r="B682" s="107"/>
      <c r="C682" s="107"/>
      <c r="D682" s="115"/>
      <c r="E682" s="107"/>
      <c r="F682" s="211"/>
      <c r="G682" s="256"/>
      <c r="H682" s="239"/>
      <c r="I682" s="108"/>
      <c r="J682" s="108"/>
      <c r="K682" s="108"/>
      <c r="L682" s="108"/>
      <c r="M682" s="108"/>
      <c r="N682" s="108"/>
      <c r="O682" s="108"/>
      <c r="P682" s="108"/>
      <c r="Q682" s="108"/>
      <c r="R682" s="108"/>
      <c r="S682" s="108"/>
      <c r="T682" s="108"/>
      <c r="U682" s="108"/>
      <c r="V682" s="108"/>
      <c r="W682" s="108"/>
      <c r="X682" s="108"/>
      <c r="Y682" s="108"/>
    </row>
    <row r="683">
      <c r="A683" s="244"/>
      <c r="B683" s="107"/>
      <c r="C683" s="107"/>
      <c r="D683" s="115"/>
      <c r="E683" s="107"/>
      <c r="F683" s="211"/>
      <c r="G683" s="256"/>
      <c r="H683" s="239"/>
      <c r="I683" s="108"/>
      <c r="J683" s="108"/>
      <c r="K683" s="108"/>
      <c r="L683" s="108"/>
      <c r="M683" s="108"/>
      <c r="N683" s="108"/>
      <c r="O683" s="108"/>
      <c r="P683" s="108"/>
      <c r="Q683" s="108"/>
      <c r="R683" s="108"/>
      <c r="S683" s="108"/>
      <c r="T683" s="108"/>
      <c r="U683" s="108"/>
      <c r="V683" s="108"/>
      <c r="W683" s="108"/>
      <c r="X683" s="108"/>
      <c r="Y683" s="108"/>
    </row>
    <row r="684">
      <c r="A684" s="244"/>
      <c r="B684" s="107"/>
      <c r="C684" s="107"/>
      <c r="D684" s="115"/>
      <c r="E684" s="107"/>
      <c r="F684" s="211"/>
      <c r="G684" s="256"/>
      <c r="H684" s="239"/>
      <c r="I684" s="108"/>
      <c r="J684" s="108"/>
      <c r="K684" s="108"/>
      <c r="L684" s="108"/>
      <c r="M684" s="108"/>
      <c r="N684" s="108"/>
      <c r="O684" s="108"/>
      <c r="P684" s="108"/>
      <c r="Q684" s="108"/>
      <c r="R684" s="108"/>
      <c r="S684" s="108"/>
      <c r="T684" s="108"/>
      <c r="U684" s="108"/>
      <c r="V684" s="108"/>
      <c r="W684" s="108"/>
      <c r="X684" s="108"/>
      <c r="Y684" s="108"/>
    </row>
    <row r="685">
      <c r="A685" s="244"/>
      <c r="B685" s="107"/>
      <c r="C685" s="107"/>
      <c r="D685" s="115"/>
      <c r="E685" s="107"/>
      <c r="F685" s="211"/>
      <c r="G685" s="256"/>
      <c r="H685" s="239"/>
      <c r="I685" s="108"/>
      <c r="J685" s="108"/>
      <c r="K685" s="108"/>
      <c r="L685" s="108"/>
      <c r="M685" s="108"/>
      <c r="N685" s="108"/>
      <c r="O685" s="108"/>
      <c r="P685" s="108"/>
      <c r="Q685" s="108"/>
      <c r="R685" s="108"/>
      <c r="S685" s="108"/>
      <c r="T685" s="108"/>
      <c r="U685" s="108"/>
      <c r="V685" s="108"/>
      <c r="W685" s="108"/>
      <c r="X685" s="108"/>
      <c r="Y685" s="108"/>
    </row>
    <row r="686">
      <c r="A686" s="244"/>
      <c r="B686" s="107"/>
      <c r="C686" s="107"/>
      <c r="D686" s="115"/>
      <c r="E686" s="107"/>
      <c r="F686" s="211"/>
      <c r="G686" s="256"/>
      <c r="H686" s="239"/>
      <c r="I686" s="108"/>
      <c r="J686" s="108"/>
      <c r="K686" s="108"/>
      <c r="L686" s="108"/>
      <c r="M686" s="108"/>
      <c r="N686" s="108"/>
      <c r="O686" s="108"/>
      <c r="P686" s="108"/>
      <c r="Q686" s="108"/>
      <c r="R686" s="108"/>
      <c r="S686" s="108"/>
      <c r="T686" s="108"/>
      <c r="U686" s="108"/>
      <c r="V686" s="108"/>
      <c r="W686" s="108"/>
      <c r="X686" s="108"/>
      <c r="Y686" s="108"/>
    </row>
    <row r="687">
      <c r="A687" s="244"/>
      <c r="B687" s="107"/>
      <c r="C687" s="107"/>
      <c r="D687" s="115"/>
      <c r="E687" s="107"/>
      <c r="F687" s="211"/>
      <c r="G687" s="256"/>
      <c r="H687" s="239"/>
      <c r="I687" s="108"/>
      <c r="J687" s="108"/>
      <c r="K687" s="108"/>
      <c r="L687" s="108"/>
      <c r="M687" s="108"/>
      <c r="N687" s="108"/>
      <c r="O687" s="108"/>
      <c r="P687" s="108"/>
      <c r="Q687" s="108"/>
      <c r="R687" s="108"/>
      <c r="S687" s="108"/>
      <c r="T687" s="108"/>
      <c r="U687" s="108"/>
      <c r="V687" s="108"/>
      <c r="W687" s="108"/>
      <c r="X687" s="108"/>
      <c r="Y687" s="108"/>
    </row>
    <row r="688">
      <c r="A688" s="244"/>
      <c r="B688" s="107"/>
      <c r="C688" s="107"/>
      <c r="D688" s="115"/>
      <c r="E688" s="107"/>
      <c r="F688" s="211"/>
      <c r="G688" s="256"/>
      <c r="H688" s="239"/>
      <c r="I688" s="108"/>
      <c r="J688" s="108"/>
      <c r="K688" s="108"/>
      <c r="L688" s="108"/>
      <c r="M688" s="108"/>
      <c r="N688" s="108"/>
      <c r="O688" s="108"/>
      <c r="P688" s="108"/>
      <c r="Q688" s="108"/>
      <c r="R688" s="108"/>
      <c r="S688" s="108"/>
      <c r="T688" s="108"/>
      <c r="U688" s="108"/>
      <c r="V688" s="108"/>
      <c r="W688" s="108"/>
      <c r="X688" s="108"/>
      <c r="Y688" s="108"/>
    </row>
    <row r="689">
      <c r="A689" s="244"/>
      <c r="B689" s="107"/>
      <c r="C689" s="107"/>
      <c r="D689" s="115"/>
      <c r="E689" s="107"/>
      <c r="F689" s="211"/>
      <c r="G689" s="256"/>
      <c r="H689" s="239"/>
      <c r="I689" s="108"/>
      <c r="J689" s="108"/>
      <c r="K689" s="108"/>
      <c r="L689" s="108"/>
      <c r="M689" s="108"/>
      <c r="N689" s="108"/>
      <c r="O689" s="108"/>
      <c r="P689" s="108"/>
      <c r="Q689" s="108"/>
      <c r="R689" s="108"/>
      <c r="S689" s="108"/>
      <c r="T689" s="108"/>
      <c r="U689" s="108"/>
      <c r="V689" s="108"/>
      <c r="W689" s="108"/>
      <c r="X689" s="108"/>
      <c r="Y689" s="108"/>
    </row>
    <row r="690">
      <c r="A690" s="244"/>
      <c r="B690" s="107"/>
      <c r="C690" s="107"/>
      <c r="D690" s="115"/>
      <c r="E690" s="107"/>
      <c r="F690" s="211"/>
      <c r="G690" s="256"/>
      <c r="H690" s="239"/>
      <c r="I690" s="108"/>
      <c r="J690" s="108"/>
      <c r="K690" s="108"/>
      <c r="L690" s="108"/>
      <c r="M690" s="108"/>
      <c r="N690" s="108"/>
      <c r="O690" s="108"/>
      <c r="P690" s="108"/>
      <c r="Q690" s="108"/>
      <c r="R690" s="108"/>
      <c r="S690" s="108"/>
      <c r="T690" s="108"/>
      <c r="U690" s="108"/>
      <c r="V690" s="108"/>
      <c r="W690" s="108"/>
      <c r="X690" s="108"/>
      <c r="Y690" s="108"/>
    </row>
    <row r="691">
      <c r="A691" s="244"/>
      <c r="B691" s="107"/>
      <c r="C691" s="107"/>
      <c r="D691" s="115"/>
      <c r="E691" s="107"/>
      <c r="F691" s="211"/>
      <c r="G691" s="256"/>
      <c r="H691" s="239"/>
      <c r="I691" s="108"/>
      <c r="J691" s="108"/>
      <c r="K691" s="108"/>
      <c r="L691" s="108"/>
      <c r="M691" s="108"/>
      <c r="N691" s="108"/>
      <c r="O691" s="108"/>
      <c r="P691" s="108"/>
      <c r="Q691" s="108"/>
      <c r="R691" s="108"/>
      <c r="S691" s="108"/>
      <c r="T691" s="108"/>
      <c r="U691" s="108"/>
      <c r="V691" s="108"/>
      <c r="W691" s="108"/>
      <c r="X691" s="108"/>
      <c r="Y691" s="108"/>
    </row>
    <row r="692">
      <c r="A692" s="244"/>
      <c r="B692" s="107"/>
      <c r="C692" s="107"/>
      <c r="D692" s="115"/>
      <c r="E692" s="107"/>
      <c r="F692" s="211"/>
      <c r="G692" s="256"/>
      <c r="H692" s="239"/>
      <c r="I692" s="108"/>
      <c r="J692" s="108"/>
      <c r="K692" s="108"/>
      <c r="L692" s="108"/>
      <c r="M692" s="108"/>
      <c r="N692" s="108"/>
      <c r="O692" s="108"/>
      <c r="P692" s="108"/>
      <c r="Q692" s="108"/>
      <c r="R692" s="108"/>
      <c r="S692" s="108"/>
      <c r="T692" s="108"/>
      <c r="U692" s="108"/>
      <c r="V692" s="108"/>
      <c r="W692" s="108"/>
      <c r="X692" s="108"/>
      <c r="Y692" s="108"/>
    </row>
    <row r="693">
      <c r="A693" s="244"/>
      <c r="B693" s="107"/>
      <c r="C693" s="107"/>
      <c r="D693" s="115"/>
      <c r="E693" s="107"/>
      <c r="F693" s="211"/>
      <c r="G693" s="256"/>
      <c r="H693" s="239"/>
      <c r="I693" s="108"/>
      <c r="J693" s="108"/>
      <c r="K693" s="108"/>
      <c r="L693" s="108"/>
      <c r="M693" s="108"/>
      <c r="N693" s="108"/>
      <c r="O693" s="108"/>
      <c r="P693" s="108"/>
      <c r="Q693" s="108"/>
      <c r="R693" s="108"/>
      <c r="S693" s="108"/>
      <c r="T693" s="108"/>
      <c r="U693" s="108"/>
      <c r="V693" s="108"/>
      <c r="W693" s="108"/>
      <c r="X693" s="108"/>
      <c r="Y693" s="108"/>
    </row>
    <row r="694">
      <c r="A694" s="244"/>
      <c r="B694" s="107"/>
      <c r="C694" s="107"/>
      <c r="D694" s="115"/>
      <c r="E694" s="107"/>
      <c r="F694" s="211"/>
      <c r="G694" s="256"/>
      <c r="H694" s="239"/>
      <c r="I694" s="108"/>
      <c r="J694" s="108"/>
      <c r="K694" s="108"/>
      <c r="L694" s="108"/>
      <c r="M694" s="108"/>
      <c r="N694" s="108"/>
      <c r="O694" s="108"/>
      <c r="P694" s="108"/>
      <c r="Q694" s="108"/>
      <c r="R694" s="108"/>
      <c r="S694" s="108"/>
      <c r="T694" s="108"/>
      <c r="U694" s="108"/>
      <c r="V694" s="108"/>
      <c r="W694" s="108"/>
      <c r="X694" s="108"/>
      <c r="Y694" s="108"/>
    </row>
    <row r="695">
      <c r="A695" s="244"/>
      <c r="B695" s="107"/>
      <c r="C695" s="107"/>
      <c r="D695" s="115"/>
      <c r="E695" s="107"/>
      <c r="F695" s="211"/>
      <c r="G695" s="256"/>
      <c r="H695" s="239"/>
      <c r="I695" s="108"/>
      <c r="J695" s="108"/>
      <c r="K695" s="108"/>
      <c r="L695" s="108"/>
      <c r="M695" s="108"/>
      <c r="N695" s="108"/>
      <c r="O695" s="108"/>
      <c r="P695" s="108"/>
      <c r="Q695" s="108"/>
      <c r="R695" s="108"/>
      <c r="S695" s="108"/>
      <c r="T695" s="108"/>
      <c r="U695" s="108"/>
      <c r="V695" s="108"/>
      <c r="W695" s="108"/>
      <c r="X695" s="108"/>
      <c r="Y695" s="108"/>
    </row>
    <row r="696">
      <c r="A696" s="244"/>
      <c r="B696" s="107"/>
      <c r="C696" s="107"/>
      <c r="D696" s="115"/>
      <c r="E696" s="107"/>
      <c r="F696" s="211"/>
      <c r="G696" s="256"/>
      <c r="H696" s="239"/>
      <c r="I696" s="108"/>
      <c r="J696" s="108"/>
      <c r="K696" s="108"/>
      <c r="L696" s="108"/>
      <c r="M696" s="108"/>
      <c r="N696" s="108"/>
      <c r="O696" s="108"/>
      <c r="P696" s="108"/>
      <c r="Q696" s="108"/>
      <c r="R696" s="108"/>
      <c r="S696" s="108"/>
      <c r="T696" s="108"/>
      <c r="U696" s="108"/>
      <c r="V696" s="108"/>
      <c r="W696" s="108"/>
      <c r="X696" s="108"/>
      <c r="Y696" s="108"/>
    </row>
    <row r="697">
      <c r="A697" s="244"/>
      <c r="B697" s="107"/>
      <c r="C697" s="107"/>
      <c r="D697" s="115"/>
      <c r="E697" s="107"/>
      <c r="F697" s="211"/>
      <c r="G697" s="256"/>
      <c r="H697" s="239"/>
      <c r="I697" s="108"/>
      <c r="J697" s="108"/>
      <c r="K697" s="108"/>
      <c r="L697" s="108"/>
      <c r="M697" s="108"/>
      <c r="N697" s="108"/>
      <c r="O697" s="108"/>
      <c r="P697" s="108"/>
      <c r="Q697" s="108"/>
      <c r="R697" s="108"/>
      <c r="S697" s="108"/>
      <c r="T697" s="108"/>
      <c r="U697" s="108"/>
      <c r="V697" s="108"/>
      <c r="W697" s="108"/>
      <c r="X697" s="108"/>
      <c r="Y697" s="108"/>
    </row>
    <row r="698">
      <c r="A698" s="244"/>
      <c r="B698" s="107"/>
      <c r="C698" s="107"/>
      <c r="D698" s="115"/>
      <c r="E698" s="107"/>
      <c r="F698" s="211"/>
      <c r="G698" s="256"/>
      <c r="H698" s="239"/>
      <c r="I698" s="108"/>
      <c r="J698" s="108"/>
      <c r="K698" s="108"/>
      <c r="L698" s="108"/>
      <c r="M698" s="108"/>
      <c r="N698" s="108"/>
      <c r="O698" s="108"/>
      <c r="P698" s="108"/>
      <c r="Q698" s="108"/>
      <c r="R698" s="108"/>
      <c r="S698" s="108"/>
      <c r="T698" s="108"/>
      <c r="U698" s="108"/>
      <c r="V698" s="108"/>
      <c r="W698" s="108"/>
      <c r="X698" s="108"/>
      <c r="Y698" s="108"/>
    </row>
    <row r="699">
      <c r="A699" s="244"/>
      <c r="B699" s="107"/>
      <c r="C699" s="107"/>
      <c r="D699" s="115"/>
      <c r="E699" s="107"/>
      <c r="F699" s="211"/>
      <c r="G699" s="256"/>
      <c r="H699" s="239"/>
      <c r="I699" s="108"/>
      <c r="J699" s="108"/>
      <c r="K699" s="108"/>
      <c r="L699" s="108"/>
      <c r="M699" s="108"/>
      <c r="N699" s="108"/>
      <c r="O699" s="108"/>
      <c r="P699" s="108"/>
      <c r="Q699" s="108"/>
      <c r="R699" s="108"/>
      <c r="S699" s="108"/>
      <c r="T699" s="108"/>
      <c r="U699" s="108"/>
      <c r="V699" s="108"/>
      <c r="W699" s="108"/>
      <c r="X699" s="108"/>
      <c r="Y699" s="108"/>
    </row>
    <row r="700">
      <c r="A700" s="244"/>
      <c r="B700" s="107"/>
      <c r="C700" s="107"/>
      <c r="D700" s="115"/>
      <c r="E700" s="107"/>
      <c r="F700" s="211"/>
      <c r="G700" s="256"/>
      <c r="H700" s="239"/>
      <c r="I700" s="108"/>
      <c r="J700" s="108"/>
      <c r="K700" s="108"/>
      <c r="L700" s="108"/>
      <c r="M700" s="108"/>
      <c r="N700" s="108"/>
      <c r="O700" s="108"/>
      <c r="P700" s="108"/>
      <c r="Q700" s="108"/>
      <c r="R700" s="108"/>
      <c r="S700" s="108"/>
      <c r="T700" s="108"/>
      <c r="U700" s="108"/>
      <c r="V700" s="108"/>
      <c r="W700" s="108"/>
      <c r="X700" s="108"/>
      <c r="Y700" s="108"/>
    </row>
    <row r="701">
      <c r="A701" s="244"/>
      <c r="B701" s="107"/>
      <c r="C701" s="107"/>
      <c r="D701" s="115"/>
      <c r="E701" s="107"/>
      <c r="F701" s="211"/>
      <c r="G701" s="256"/>
      <c r="H701" s="239"/>
      <c r="I701" s="108"/>
      <c r="J701" s="108"/>
      <c r="K701" s="108"/>
      <c r="L701" s="108"/>
      <c r="M701" s="108"/>
      <c r="N701" s="108"/>
      <c r="O701" s="108"/>
      <c r="P701" s="108"/>
      <c r="Q701" s="108"/>
      <c r="R701" s="108"/>
      <c r="S701" s="108"/>
      <c r="T701" s="108"/>
      <c r="U701" s="108"/>
      <c r="V701" s="108"/>
      <c r="W701" s="108"/>
      <c r="X701" s="108"/>
      <c r="Y701" s="108"/>
    </row>
    <row r="702">
      <c r="A702" s="244"/>
      <c r="B702" s="107"/>
      <c r="C702" s="107"/>
      <c r="D702" s="115"/>
      <c r="E702" s="107"/>
      <c r="F702" s="211"/>
      <c r="G702" s="256"/>
      <c r="H702" s="239"/>
      <c r="I702" s="108"/>
      <c r="J702" s="108"/>
      <c r="K702" s="108"/>
      <c r="L702" s="108"/>
      <c r="M702" s="108"/>
      <c r="N702" s="108"/>
      <c r="O702" s="108"/>
      <c r="P702" s="108"/>
      <c r="Q702" s="108"/>
      <c r="R702" s="108"/>
      <c r="S702" s="108"/>
      <c r="T702" s="108"/>
      <c r="U702" s="108"/>
      <c r="V702" s="108"/>
      <c r="W702" s="108"/>
      <c r="X702" s="108"/>
      <c r="Y702" s="108"/>
    </row>
    <row r="703">
      <c r="A703" s="244"/>
      <c r="B703" s="107"/>
      <c r="C703" s="107"/>
      <c r="D703" s="115"/>
      <c r="E703" s="107"/>
      <c r="F703" s="211"/>
      <c r="G703" s="256"/>
      <c r="H703" s="239"/>
      <c r="I703" s="108"/>
      <c r="J703" s="108"/>
      <c r="K703" s="108"/>
      <c r="L703" s="108"/>
      <c r="M703" s="108"/>
      <c r="N703" s="108"/>
      <c r="O703" s="108"/>
      <c r="P703" s="108"/>
      <c r="Q703" s="108"/>
      <c r="R703" s="108"/>
      <c r="S703" s="108"/>
      <c r="T703" s="108"/>
      <c r="U703" s="108"/>
      <c r="V703" s="108"/>
      <c r="W703" s="108"/>
      <c r="X703" s="108"/>
      <c r="Y703" s="108"/>
    </row>
    <row r="704">
      <c r="A704" s="244"/>
      <c r="B704" s="107"/>
      <c r="C704" s="107"/>
      <c r="D704" s="115"/>
      <c r="E704" s="107"/>
      <c r="F704" s="211"/>
      <c r="G704" s="256"/>
      <c r="H704" s="239"/>
      <c r="I704" s="108"/>
      <c r="J704" s="108"/>
      <c r="K704" s="108"/>
      <c r="L704" s="108"/>
      <c r="M704" s="108"/>
      <c r="N704" s="108"/>
      <c r="O704" s="108"/>
      <c r="P704" s="108"/>
      <c r="Q704" s="108"/>
      <c r="R704" s="108"/>
      <c r="S704" s="108"/>
      <c r="T704" s="108"/>
      <c r="U704" s="108"/>
      <c r="V704" s="108"/>
      <c r="W704" s="108"/>
      <c r="X704" s="108"/>
      <c r="Y704" s="108"/>
    </row>
    <row r="705">
      <c r="A705" s="244"/>
      <c r="B705" s="107"/>
      <c r="C705" s="107"/>
      <c r="D705" s="115"/>
      <c r="E705" s="107"/>
      <c r="F705" s="211"/>
      <c r="G705" s="256"/>
      <c r="H705" s="239"/>
      <c r="I705" s="108"/>
      <c r="J705" s="108"/>
      <c r="K705" s="108"/>
      <c r="L705" s="108"/>
      <c r="M705" s="108"/>
      <c r="N705" s="108"/>
      <c r="O705" s="108"/>
      <c r="P705" s="108"/>
      <c r="Q705" s="108"/>
      <c r="R705" s="108"/>
      <c r="S705" s="108"/>
      <c r="T705" s="108"/>
      <c r="U705" s="108"/>
      <c r="V705" s="108"/>
      <c r="W705" s="108"/>
      <c r="X705" s="108"/>
      <c r="Y705" s="108"/>
    </row>
    <row r="706">
      <c r="A706" s="244"/>
      <c r="B706" s="107"/>
      <c r="C706" s="107"/>
      <c r="D706" s="115"/>
      <c r="E706" s="107"/>
      <c r="F706" s="211"/>
      <c r="G706" s="256"/>
      <c r="H706" s="239"/>
      <c r="I706" s="108"/>
      <c r="J706" s="108"/>
      <c r="K706" s="108"/>
      <c r="L706" s="108"/>
      <c r="M706" s="108"/>
      <c r="N706" s="108"/>
      <c r="O706" s="108"/>
      <c r="P706" s="108"/>
      <c r="Q706" s="108"/>
      <c r="R706" s="108"/>
      <c r="S706" s="108"/>
      <c r="T706" s="108"/>
      <c r="U706" s="108"/>
      <c r="V706" s="108"/>
      <c r="W706" s="108"/>
      <c r="X706" s="108"/>
      <c r="Y706" s="108"/>
    </row>
    <row r="707">
      <c r="A707" s="244"/>
      <c r="B707" s="107"/>
      <c r="C707" s="107"/>
      <c r="D707" s="115"/>
      <c r="E707" s="107"/>
      <c r="F707" s="211"/>
      <c r="G707" s="256"/>
      <c r="H707" s="239"/>
      <c r="I707" s="108"/>
      <c r="J707" s="108"/>
      <c r="K707" s="108"/>
      <c r="L707" s="108"/>
      <c r="M707" s="108"/>
      <c r="N707" s="108"/>
      <c r="O707" s="108"/>
      <c r="P707" s="108"/>
      <c r="Q707" s="108"/>
      <c r="R707" s="108"/>
      <c r="S707" s="108"/>
      <c r="T707" s="108"/>
      <c r="U707" s="108"/>
      <c r="V707" s="108"/>
      <c r="W707" s="108"/>
      <c r="X707" s="108"/>
      <c r="Y707" s="108"/>
    </row>
    <row r="708">
      <c r="A708" s="244"/>
      <c r="B708" s="107"/>
      <c r="C708" s="107"/>
      <c r="D708" s="115"/>
      <c r="E708" s="107"/>
      <c r="F708" s="211"/>
      <c r="G708" s="256"/>
      <c r="H708" s="239"/>
      <c r="I708" s="108"/>
      <c r="J708" s="108"/>
      <c r="K708" s="108"/>
      <c r="L708" s="108"/>
      <c r="M708" s="108"/>
      <c r="N708" s="108"/>
      <c r="O708" s="108"/>
      <c r="P708" s="108"/>
      <c r="Q708" s="108"/>
      <c r="R708" s="108"/>
      <c r="S708" s="108"/>
      <c r="T708" s="108"/>
      <c r="U708" s="108"/>
      <c r="V708" s="108"/>
      <c r="W708" s="108"/>
      <c r="X708" s="108"/>
      <c r="Y708" s="108"/>
    </row>
    <row r="709">
      <c r="A709" s="244"/>
      <c r="B709" s="107"/>
      <c r="C709" s="107"/>
      <c r="D709" s="115"/>
      <c r="E709" s="107"/>
      <c r="F709" s="211"/>
      <c r="G709" s="256"/>
      <c r="H709" s="239"/>
      <c r="I709" s="108"/>
      <c r="J709" s="108"/>
      <c r="K709" s="108"/>
      <c r="L709" s="108"/>
      <c r="M709" s="108"/>
      <c r="N709" s="108"/>
      <c r="O709" s="108"/>
      <c r="P709" s="108"/>
      <c r="Q709" s="108"/>
      <c r="R709" s="108"/>
      <c r="S709" s="108"/>
      <c r="T709" s="108"/>
      <c r="U709" s="108"/>
      <c r="V709" s="108"/>
      <c r="W709" s="108"/>
      <c r="X709" s="108"/>
      <c r="Y709" s="108"/>
    </row>
    <row r="710">
      <c r="A710" s="244"/>
      <c r="B710" s="107"/>
      <c r="C710" s="107"/>
      <c r="D710" s="115"/>
      <c r="E710" s="107"/>
      <c r="F710" s="211"/>
      <c r="G710" s="256"/>
      <c r="H710" s="239"/>
      <c r="I710" s="108"/>
      <c r="J710" s="108"/>
      <c r="K710" s="108"/>
      <c r="L710" s="108"/>
      <c r="M710" s="108"/>
      <c r="N710" s="108"/>
      <c r="O710" s="108"/>
      <c r="P710" s="108"/>
      <c r="Q710" s="108"/>
      <c r="R710" s="108"/>
      <c r="S710" s="108"/>
      <c r="T710" s="108"/>
      <c r="U710" s="108"/>
      <c r="V710" s="108"/>
      <c r="W710" s="108"/>
      <c r="X710" s="108"/>
      <c r="Y710" s="108"/>
    </row>
    <row r="711">
      <c r="A711" s="244"/>
      <c r="B711" s="107"/>
      <c r="C711" s="107"/>
      <c r="D711" s="115"/>
      <c r="E711" s="107"/>
      <c r="F711" s="211"/>
      <c r="G711" s="256"/>
      <c r="H711" s="239"/>
      <c r="I711" s="108"/>
      <c r="J711" s="108"/>
      <c r="K711" s="108"/>
      <c r="L711" s="108"/>
      <c r="M711" s="108"/>
      <c r="N711" s="108"/>
      <c r="O711" s="108"/>
      <c r="P711" s="108"/>
      <c r="Q711" s="108"/>
      <c r="R711" s="108"/>
      <c r="S711" s="108"/>
      <c r="T711" s="108"/>
      <c r="U711" s="108"/>
      <c r="V711" s="108"/>
      <c r="W711" s="108"/>
      <c r="X711" s="108"/>
      <c r="Y711" s="108"/>
    </row>
    <row r="712">
      <c r="A712" s="244"/>
      <c r="B712" s="107"/>
      <c r="C712" s="107"/>
      <c r="D712" s="115"/>
      <c r="E712" s="107"/>
      <c r="F712" s="211"/>
      <c r="G712" s="256"/>
      <c r="H712" s="239"/>
      <c r="I712" s="108"/>
      <c r="J712" s="108"/>
      <c r="K712" s="108"/>
      <c r="L712" s="108"/>
      <c r="M712" s="108"/>
      <c r="N712" s="108"/>
      <c r="O712" s="108"/>
      <c r="P712" s="108"/>
      <c r="Q712" s="108"/>
      <c r="R712" s="108"/>
      <c r="S712" s="108"/>
      <c r="T712" s="108"/>
      <c r="U712" s="108"/>
      <c r="V712" s="108"/>
      <c r="W712" s="108"/>
      <c r="X712" s="108"/>
      <c r="Y712" s="108"/>
    </row>
    <row r="713">
      <c r="A713" s="244"/>
      <c r="B713" s="107"/>
      <c r="C713" s="107"/>
      <c r="D713" s="115"/>
      <c r="E713" s="107"/>
      <c r="F713" s="211"/>
      <c r="G713" s="256"/>
      <c r="H713" s="239"/>
      <c r="I713" s="108"/>
      <c r="J713" s="108"/>
      <c r="K713" s="108"/>
      <c r="L713" s="108"/>
      <c r="M713" s="108"/>
      <c r="N713" s="108"/>
      <c r="O713" s="108"/>
      <c r="P713" s="108"/>
      <c r="Q713" s="108"/>
      <c r="R713" s="108"/>
      <c r="S713" s="108"/>
      <c r="T713" s="108"/>
      <c r="U713" s="108"/>
      <c r="V713" s="108"/>
      <c r="W713" s="108"/>
      <c r="X713" s="108"/>
      <c r="Y713" s="108"/>
    </row>
    <row r="714">
      <c r="A714" s="244"/>
      <c r="B714" s="107"/>
      <c r="C714" s="107"/>
      <c r="D714" s="115"/>
      <c r="E714" s="107"/>
      <c r="F714" s="211"/>
      <c r="G714" s="256"/>
      <c r="H714" s="239"/>
      <c r="I714" s="108"/>
      <c r="J714" s="108"/>
      <c r="K714" s="108"/>
      <c r="L714" s="108"/>
      <c r="M714" s="108"/>
      <c r="N714" s="108"/>
      <c r="O714" s="108"/>
      <c r="P714" s="108"/>
      <c r="Q714" s="108"/>
      <c r="R714" s="108"/>
      <c r="S714" s="108"/>
      <c r="T714" s="108"/>
      <c r="U714" s="108"/>
      <c r="V714" s="108"/>
      <c r="W714" s="108"/>
      <c r="X714" s="108"/>
      <c r="Y714" s="108"/>
    </row>
    <row r="715">
      <c r="A715" s="244"/>
      <c r="B715" s="107"/>
      <c r="C715" s="107"/>
      <c r="D715" s="115"/>
      <c r="E715" s="107"/>
      <c r="F715" s="211"/>
      <c r="G715" s="256"/>
      <c r="H715" s="239"/>
      <c r="I715" s="108"/>
      <c r="J715" s="108"/>
      <c r="K715" s="108"/>
      <c r="L715" s="108"/>
      <c r="M715" s="108"/>
      <c r="N715" s="108"/>
      <c r="O715" s="108"/>
      <c r="P715" s="108"/>
      <c r="Q715" s="108"/>
      <c r="R715" s="108"/>
      <c r="S715" s="108"/>
      <c r="T715" s="108"/>
      <c r="U715" s="108"/>
      <c r="V715" s="108"/>
      <c r="W715" s="108"/>
      <c r="X715" s="108"/>
      <c r="Y715" s="108"/>
    </row>
    <row r="716">
      <c r="A716" s="244"/>
      <c r="B716" s="107"/>
      <c r="C716" s="107"/>
      <c r="D716" s="115"/>
      <c r="E716" s="107"/>
      <c r="F716" s="211"/>
      <c r="G716" s="256"/>
      <c r="H716" s="239"/>
      <c r="I716" s="108"/>
      <c r="J716" s="108"/>
      <c r="K716" s="108"/>
      <c r="L716" s="108"/>
      <c r="M716" s="108"/>
      <c r="N716" s="108"/>
      <c r="O716" s="108"/>
      <c r="P716" s="108"/>
      <c r="Q716" s="108"/>
      <c r="R716" s="108"/>
      <c r="S716" s="108"/>
      <c r="T716" s="108"/>
      <c r="U716" s="108"/>
      <c r="V716" s="108"/>
      <c r="W716" s="108"/>
      <c r="X716" s="108"/>
      <c r="Y716" s="108"/>
    </row>
    <row r="717">
      <c r="A717" s="244"/>
      <c r="B717" s="107"/>
      <c r="C717" s="107"/>
      <c r="D717" s="115"/>
      <c r="E717" s="107"/>
      <c r="F717" s="211"/>
      <c r="G717" s="256"/>
      <c r="H717" s="239"/>
      <c r="I717" s="108"/>
      <c r="J717" s="108"/>
      <c r="K717" s="108"/>
      <c r="L717" s="108"/>
      <c r="M717" s="108"/>
      <c r="N717" s="108"/>
      <c r="O717" s="108"/>
      <c r="P717" s="108"/>
      <c r="Q717" s="108"/>
      <c r="R717" s="108"/>
      <c r="S717" s="108"/>
      <c r="T717" s="108"/>
      <c r="U717" s="108"/>
      <c r="V717" s="108"/>
      <c r="W717" s="108"/>
      <c r="X717" s="108"/>
      <c r="Y717" s="108"/>
    </row>
    <row r="718">
      <c r="A718" s="244"/>
      <c r="B718" s="107"/>
      <c r="C718" s="107"/>
      <c r="D718" s="115"/>
      <c r="E718" s="107"/>
      <c r="F718" s="211"/>
      <c r="G718" s="256"/>
      <c r="H718" s="239"/>
      <c r="I718" s="108"/>
      <c r="J718" s="108"/>
      <c r="K718" s="108"/>
      <c r="L718" s="108"/>
      <c r="M718" s="108"/>
      <c r="N718" s="108"/>
      <c r="O718" s="108"/>
      <c r="P718" s="108"/>
      <c r="Q718" s="108"/>
      <c r="R718" s="108"/>
      <c r="S718" s="108"/>
      <c r="T718" s="108"/>
      <c r="U718" s="108"/>
      <c r="V718" s="108"/>
      <c r="W718" s="108"/>
      <c r="X718" s="108"/>
      <c r="Y718" s="108"/>
    </row>
    <row r="719">
      <c r="A719" s="244"/>
      <c r="B719" s="107"/>
      <c r="C719" s="107"/>
      <c r="D719" s="115"/>
      <c r="E719" s="107"/>
      <c r="F719" s="211"/>
      <c r="G719" s="256"/>
      <c r="H719" s="239"/>
      <c r="I719" s="108"/>
      <c r="J719" s="108"/>
      <c r="K719" s="108"/>
      <c r="L719" s="108"/>
      <c r="M719" s="108"/>
      <c r="N719" s="108"/>
      <c r="O719" s="108"/>
      <c r="P719" s="108"/>
      <c r="Q719" s="108"/>
      <c r="R719" s="108"/>
      <c r="S719" s="108"/>
      <c r="T719" s="108"/>
      <c r="U719" s="108"/>
      <c r="V719" s="108"/>
      <c r="W719" s="108"/>
      <c r="X719" s="108"/>
      <c r="Y719" s="108"/>
    </row>
    <row r="720">
      <c r="A720" s="244"/>
      <c r="B720" s="107"/>
      <c r="C720" s="107"/>
      <c r="D720" s="115"/>
      <c r="E720" s="107"/>
      <c r="F720" s="211"/>
      <c r="G720" s="256"/>
      <c r="H720" s="239"/>
      <c r="I720" s="108"/>
      <c r="J720" s="108"/>
      <c r="K720" s="108"/>
      <c r="L720" s="108"/>
      <c r="M720" s="108"/>
      <c r="N720" s="108"/>
      <c r="O720" s="108"/>
      <c r="P720" s="108"/>
      <c r="Q720" s="108"/>
      <c r="R720" s="108"/>
      <c r="S720" s="108"/>
      <c r="T720" s="108"/>
      <c r="U720" s="108"/>
      <c r="V720" s="108"/>
      <c r="W720" s="108"/>
      <c r="X720" s="108"/>
      <c r="Y720" s="108"/>
    </row>
    <row r="721">
      <c r="A721" s="244"/>
      <c r="B721" s="107"/>
      <c r="C721" s="107"/>
      <c r="D721" s="115"/>
      <c r="E721" s="107"/>
      <c r="F721" s="211"/>
      <c r="G721" s="256"/>
      <c r="H721" s="239"/>
      <c r="I721" s="108"/>
      <c r="J721" s="108"/>
      <c r="K721" s="108"/>
      <c r="L721" s="108"/>
      <c r="M721" s="108"/>
      <c r="N721" s="108"/>
      <c r="O721" s="108"/>
      <c r="P721" s="108"/>
      <c r="Q721" s="108"/>
      <c r="R721" s="108"/>
      <c r="S721" s="108"/>
      <c r="T721" s="108"/>
      <c r="U721" s="108"/>
      <c r="V721" s="108"/>
      <c r="W721" s="108"/>
      <c r="X721" s="108"/>
      <c r="Y721" s="108"/>
    </row>
    <row r="722">
      <c r="A722" s="244"/>
      <c r="B722" s="107"/>
      <c r="C722" s="107"/>
      <c r="D722" s="115"/>
      <c r="E722" s="107"/>
      <c r="F722" s="211"/>
      <c r="G722" s="256"/>
      <c r="H722" s="239"/>
      <c r="I722" s="108"/>
      <c r="J722" s="108"/>
      <c r="K722" s="108"/>
      <c r="L722" s="108"/>
      <c r="M722" s="108"/>
      <c r="N722" s="108"/>
      <c r="O722" s="108"/>
      <c r="P722" s="108"/>
      <c r="Q722" s="108"/>
      <c r="R722" s="108"/>
      <c r="S722" s="108"/>
      <c r="T722" s="108"/>
      <c r="U722" s="108"/>
      <c r="V722" s="108"/>
      <c r="W722" s="108"/>
      <c r="X722" s="108"/>
      <c r="Y722" s="108"/>
    </row>
    <row r="723">
      <c r="A723" s="244"/>
      <c r="B723" s="107"/>
      <c r="C723" s="107"/>
      <c r="D723" s="115"/>
      <c r="E723" s="107"/>
      <c r="F723" s="211"/>
      <c r="G723" s="256"/>
      <c r="H723" s="239"/>
      <c r="I723" s="108"/>
      <c r="J723" s="108"/>
      <c r="K723" s="108"/>
      <c r="L723" s="108"/>
      <c r="M723" s="108"/>
      <c r="N723" s="108"/>
      <c r="O723" s="108"/>
      <c r="P723" s="108"/>
      <c r="Q723" s="108"/>
      <c r="R723" s="108"/>
      <c r="S723" s="108"/>
      <c r="T723" s="108"/>
      <c r="U723" s="108"/>
      <c r="V723" s="108"/>
      <c r="W723" s="108"/>
      <c r="X723" s="108"/>
      <c r="Y723" s="108"/>
    </row>
    <row r="724">
      <c r="A724" s="244"/>
      <c r="B724" s="107"/>
      <c r="C724" s="107"/>
      <c r="D724" s="115"/>
      <c r="E724" s="107"/>
      <c r="F724" s="211"/>
      <c r="G724" s="256"/>
      <c r="H724" s="239"/>
      <c r="I724" s="108"/>
      <c r="J724" s="108"/>
      <c r="K724" s="108"/>
      <c r="L724" s="108"/>
      <c r="M724" s="108"/>
      <c r="N724" s="108"/>
      <c r="O724" s="108"/>
      <c r="P724" s="108"/>
      <c r="Q724" s="108"/>
      <c r="R724" s="108"/>
      <c r="S724" s="108"/>
      <c r="T724" s="108"/>
      <c r="U724" s="108"/>
      <c r="V724" s="108"/>
      <c r="W724" s="108"/>
      <c r="X724" s="108"/>
      <c r="Y724" s="108"/>
    </row>
    <row r="725">
      <c r="A725" s="244"/>
      <c r="B725" s="107"/>
      <c r="C725" s="107"/>
      <c r="D725" s="115"/>
      <c r="E725" s="107"/>
      <c r="F725" s="211"/>
      <c r="G725" s="256"/>
      <c r="H725" s="239"/>
      <c r="I725" s="108"/>
      <c r="J725" s="108"/>
      <c r="K725" s="108"/>
      <c r="L725" s="108"/>
      <c r="M725" s="108"/>
      <c r="N725" s="108"/>
      <c r="O725" s="108"/>
      <c r="P725" s="108"/>
      <c r="Q725" s="108"/>
      <c r="R725" s="108"/>
      <c r="S725" s="108"/>
      <c r="T725" s="108"/>
      <c r="U725" s="108"/>
      <c r="V725" s="108"/>
      <c r="W725" s="108"/>
      <c r="X725" s="108"/>
      <c r="Y725" s="108"/>
    </row>
    <row r="726">
      <c r="A726" s="244"/>
      <c r="B726" s="107"/>
      <c r="C726" s="107"/>
      <c r="D726" s="115"/>
      <c r="E726" s="107"/>
      <c r="F726" s="211"/>
      <c r="G726" s="256"/>
      <c r="H726" s="239"/>
      <c r="I726" s="108"/>
      <c r="J726" s="108"/>
      <c r="K726" s="108"/>
      <c r="L726" s="108"/>
      <c r="M726" s="108"/>
      <c r="N726" s="108"/>
      <c r="O726" s="108"/>
      <c r="P726" s="108"/>
      <c r="Q726" s="108"/>
      <c r="R726" s="108"/>
      <c r="S726" s="108"/>
      <c r="T726" s="108"/>
      <c r="U726" s="108"/>
      <c r="V726" s="108"/>
      <c r="W726" s="108"/>
      <c r="X726" s="108"/>
      <c r="Y726" s="108"/>
    </row>
    <row r="727">
      <c r="A727" s="244"/>
      <c r="B727" s="107"/>
      <c r="C727" s="107"/>
      <c r="D727" s="115"/>
      <c r="E727" s="107"/>
      <c r="F727" s="211"/>
      <c r="G727" s="256"/>
      <c r="H727" s="239"/>
      <c r="I727" s="108"/>
      <c r="J727" s="108"/>
      <c r="K727" s="108"/>
      <c r="L727" s="108"/>
      <c r="M727" s="108"/>
      <c r="N727" s="108"/>
      <c r="O727" s="108"/>
      <c r="P727" s="108"/>
      <c r="Q727" s="108"/>
      <c r="R727" s="108"/>
      <c r="S727" s="108"/>
      <c r="T727" s="108"/>
      <c r="U727" s="108"/>
      <c r="V727" s="108"/>
      <c r="W727" s="108"/>
      <c r="X727" s="108"/>
      <c r="Y727" s="108"/>
    </row>
    <row r="728">
      <c r="A728" s="244"/>
      <c r="B728" s="107"/>
      <c r="C728" s="107"/>
      <c r="D728" s="115"/>
      <c r="E728" s="107"/>
      <c r="F728" s="211"/>
      <c r="G728" s="256"/>
      <c r="H728" s="239"/>
      <c r="I728" s="108"/>
      <c r="J728" s="108"/>
      <c r="K728" s="108"/>
      <c r="L728" s="108"/>
      <c r="M728" s="108"/>
      <c r="N728" s="108"/>
      <c r="O728" s="108"/>
      <c r="P728" s="108"/>
      <c r="Q728" s="108"/>
      <c r="R728" s="108"/>
      <c r="S728" s="108"/>
      <c r="T728" s="108"/>
      <c r="U728" s="108"/>
      <c r="V728" s="108"/>
      <c r="W728" s="108"/>
      <c r="X728" s="108"/>
      <c r="Y728" s="108"/>
    </row>
    <row r="729">
      <c r="A729" s="244"/>
      <c r="B729" s="107"/>
      <c r="C729" s="107"/>
      <c r="D729" s="115"/>
      <c r="E729" s="107"/>
      <c r="F729" s="211"/>
      <c r="G729" s="256"/>
      <c r="H729" s="239"/>
      <c r="I729" s="108"/>
      <c r="J729" s="108"/>
      <c r="K729" s="108"/>
      <c r="L729" s="108"/>
      <c r="M729" s="108"/>
      <c r="N729" s="108"/>
      <c r="O729" s="108"/>
      <c r="P729" s="108"/>
      <c r="Q729" s="108"/>
      <c r="R729" s="108"/>
      <c r="S729" s="108"/>
      <c r="T729" s="108"/>
      <c r="U729" s="108"/>
      <c r="V729" s="108"/>
      <c r="W729" s="108"/>
      <c r="X729" s="108"/>
      <c r="Y729" s="108"/>
    </row>
    <row r="730">
      <c r="A730" s="244"/>
      <c r="B730" s="107"/>
      <c r="C730" s="107"/>
      <c r="D730" s="115"/>
      <c r="E730" s="107"/>
      <c r="F730" s="211"/>
      <c r="G730" s="256"/>
      <c r="H730" s="239"/>
      <c r="I730" s="108"/>
      <c r="J730" s="108"/>
      <c r="K730" s="108"/>
      <c r="L730" s="108"/>
      <c r="M730" s="108"/>
      <c r="N730" s="108"/>
      <c r="O730" s="108"/>
      <c r="P730" s="108"/>
      <c r="Q730" s="108"/>
      <c r="R730" s="108"/>
      <c r="S730" s="108"/>
      <c r="T730" s="108"/>
      <c r="U730" s="108"/>
      <c r="V730" s="108"/>
      <c r="W730" s="108"/>
      <c r="X730" s="108"/>
      <c r="Y730" s="108"/>
    </row>
    <row r="731">
      <c r="A731" s="244"/>
      <c r="B731" s="107"/>
      <c r="C731" s="107"/>
      <c r="D731" s="115"/>
      <c r="E731" s="107"/>
      <c r="F731" s="211"/>
      <c r="G731" s="256"/>
      <c r="H731" s="239"/>
      <c r="I731" s="108"/>
      <c r="J731" s="108"/>
      <c r="K731" s="108"/>
      <c r="L731" s="108"/>
      <c r="M731" s="108"/>
      <c r="N731" s="108"/>
      <c r="O731" s="108"/>
      <c r="P731" s="108"/>
      <c r="Q731" s="108"/>
      <c r="R731" s="108"/>
      <c r="S731" s="108"/>
      <c r="T731" s="108"/>
      <c r="U731" s="108"/>
      <c r="V731" s="108"/>
      <c r="W731" s="108"/>
      <c r="X731" s="108"/>
      <c r="Y731" s="108"/>
    </row>
    <row r="732">
      <c r="A732" s="244"/>
      <c r="B732" s="107"/>
      <c r="C732" s="107"/>
      <c r="D732" s="115"/>
      <c r="E732" s="107"/>
      <c r="F732" s="211"/>
      <c r="G732" s="256"/>
      <c r="H732" s="239"/>
      <c r="I732" s="108"/>
      <c r="J732" s="108"/>
      <c r="K732" s="108"/>
      <c r="L732" s="108"/>
      <c r="M732" s="108"/>
      <c r="N732" s="108"/>
      <c r="O732" s="108"/>
      <c r="P732" s="108"/>
      <c r="Q732" s="108"/>
      <c r="R732" s="108"/>
      <c r="S732" s="108"/>
      <c r="T732" s="108"/>
      <c r="U732" s="108"/>
      <c r="V732" s="108"/>
      <c r="W732" s="108"/>
      <c r="X732" s="108"/>
      <c r="Y732" s="108"/>
    </row>
    <row r="733">
      <c r="A733" s="244"/>
      <c r="B733" s="107"/>
      <c r="C733" s="107"/>
      <c r="D733" s="115"/>
      <c r="E733" s="107"/>
      <c r="F733" s="211"/>
      <c r="G733" s="256"/>
      <c r="H733" s="239"/>
      <c r="I733" s="108"/>
      <c r="J733" s="108"/>
      <c r="K733" s="108"/>
      <c r="L733" s="108"/>
      <c r="M733" s="108"/>
      <c r="N733" s="108"/>
      <c r="O733" s="108"/>
      <c r="P733" s="108"/>
      <c r="Q733" s="108"/>
      <c r="R733" s="108"/>
      <c r="S733" s="108"/>
      <c r="T733" s="108"/>
      <c r="U733" s="108"/>
      <c r="V733" s="108"/>
      <c r="W733" s="108"/>
      <c r="X733" s="108"/>
      <c r="Y733" s="108"/>
    </row>
    <row r="734">
      <c r="A734" s="244"/>
      <c r="B734" s="107"/>
      <c r="C734" s="107"/>
      <c r="D734" s="115"/>
      <c r="E734" s="107"/>
      <c r="F734" s="211"/>
      <c r="G734" s="256"/>
      <c r="H734" s="239"/>
      <c r="I734" s="108"/>
      <c r="J734" s="108"/>
      <c r="K734" s="108"/>
      <c r="L734" s="108"/>
      <c r="M734" s="108"/>
      <c r="N734" s="108"/>
      <c r="O734" s="108"/>
      <c r="P734" s="108"/>
      <c r="Q734" s="108"/>
      <c r="R734" s="108"/>
      <c r="S734" s="108"/>
      <c r="T734" s="108"/>
      <c r="U734" s="108"/>
      <c r="V734" s="108"/>
      <c r="W734" s="108"/>
      <c r="X734" s="108"/>
      <c r="Y734" s="108"/>
    </row>
    <row r="735">
      <c r="A735" s="244"/>
      <c r="B735" s="107"/>
      <c r="C735" s="107"/>
      <c r="D735" s="115"/>
      <c r="E735" s="107"/>
      <c r="F735" s="211"/>
      <c r="G735" s="256"/>
      <c r="H735" s="239"/>
      <c r="I735" s="108"/>
      <c r="J735" s="108"/>
      <c r="K735" s="108"/>
      <c r="L735" s="108"/>
      <c r="M735" s="108"/>
      <c r="N735" s="108"/>
      <c r="O735" s="108"/>
      <c r="P735" s="108"/>
      <c r="Q735" s="108"/>
      <c r="R735" s="108"/>
      <c r="S735" s="108"/>
      <c r="T735" s="108"/>
      <c r="U735" s="108"/>
      <c r="V735" s="108"/>
      <c r="W735" s="108"/>
      <c r="X735" s="108"/>
      <c r="Y735" s="108"/>
    </row>
    <row r="736">
      <c r="A736" s="244"/>
      <c r="B736" s="107"/>
      <c r="C736" s="107"/>
      <c r="D736" s="115"/>
      <c r="E736" s="107"/>
      <c r="F736" s="211"/>
      <c r="G736" s="256"/>
      <c r="H736" s="239"/>
      <c r="I736" s="108"/>
      <c r="J736" s="108"/>
      <c r="K736" s="108"/>
      <c r="L736" s="108"/>
      <c r="M736" s="108"/>
      <c r="N736" s="108"/>
      <c r="O736" s="108"/>
      <c r="P736" s="108"/>
      <c r="Q736" s="108"/>
      <c r="R736" s="108"/>
      <c r="S736" s="108"/>
      <c r="T736" s="108"/>
      <c r="U736" s="108"/>
      <c r="V736" s="108"/>
      <c r="W736" s="108"/>
      <c r="X736" s="108"/>
      <c r="Y736" s="108"/>
    </row>
    <row r="737">
      <c r="A737" s="244"/>
      <c r="B737" s="107"/>
      <c r="C737" s="107"/>
      <c r="D737" s="115"/>
      <c r="E737" s="107"/>
      <c r="F737" s="211"/>
      <c r="G737" s="256"/>
      <c r="H737" s="239"/>
      <c r="I737" s="108"/>
      <c r="J737" s="108"/>
      <c r="K737" s="108"/>
      <c r="L737" s="108"/>
      <c r="M737" s="108"/>
      <c r="N737" s="108"/>
      <c r="O737" s="108"/>
      <c r="P737" s="108"/>
      <c r="Q737" s="108"/>
      <c r="R737" s="108"/>
      <c r="S737" s="108"/>
      <c r="T737" s="108"/>
      <c r="U737" s="108"/>
      <c r="V737" s="108"/>
      <c r="W737" s="108"/>
      <c r="X737" s="108"/>
      <c r="Y737" s="108"/>
    </row>
    <row r="738">
      <c r="A738" s="244"/>
      <c r="B738" s="107"/>
      <c r="C738" s="107"/>
      <c r="D738" s="115"/>
      <c r="E738" s="107"/>
      <c r="F738" s="211"/>
      <c r="G738" s="256"/>
      <c r="H738" s="239"/>
      <c r="I738" s="108"/>
      <c r="J738" s="108"/>
      <c r="K738" s="108"/>
      <c r="L738" s="108"/>
      <c r="M738" s="108"/>
      <c r="N738" s="108"/>
      <c r="O738" s="108"/>
      <c r="P738" s="108"/>
      <c r="Q738" s="108"/>
      <c r="R738" s="108"/>
      <c r="S738" s="108"/>
      <c r="T738" s="108"/>
      <c r="U738" s="108"/>
      <c r="V738" s="108"/>
      <c r="W738" s="108"/>
      <c r="X738" s="108"/>
      <c r="Y738" s="108"/>
    </row>
    <row r="739">
      <c r="A739" s="244"/>
      <c r="B739" s="107"/>
      <c r="C739" s="107"/>
      <c r="D739" s="115"/>
      <c r="E739" s="107"/>
      <c r="F739" s="211"/>
      <c r="G739" s="256"/>
      <c r="H739" s="239"/>
      <c r="I739" s="108"/>
      <c r="J739" s="108"/>
      <c r="K739" s="108"/>
      <c r="L739" s="108"/>
      <c r="M739" s="108"/>
      <c r="N739" s="108"/>
      <c r="O739" s="108"/>
      <c r="P739" s="108"/>
      <c r="Q739" s="108"/>
      <c r="R739" s="108"/>
      <c r="S739" s="108"/>
      <c r="T739" s="108"/>
      <c r="U739" s="108"/>
      <c r="V739" s="108"/>
      <c r="W739" s="108"/>
      <c r="X739" s="108"/>
      <c r="Y739" s="108"/>
    </row>
    <row r="740">
      <c r="A740" s="244"/>
      <c r="B740" s="107"/>
      <c r="C740" s="107"/>
      <c r="D740" s="115"/>
      <c r="E740" s="107"/>
      <c r="F740" s="211"/>
      <c r="G740" s="256"/>
      <c r="H740" s="239"/>
      <c r="I740" s="108"/>
      <c r="J740" s="108"/>
      <c r="K740" s="108"/>
      <c r="L740" s="108"/>
      <c r="M740" s="108"/>
      <c r="N740" s="108"/>
      <c r="O740" s="108"/>
      <c r="P740" s="108"/>
      <c r="Q740" s="108"/>
      <c r="R740" s="108"/>
      <c r="S740" s="108"/>
      <c r="T740" s="108"/>
      <c r="U740" s="108"/>
      <c r="V740" s="108"/>
      <c r="W740" s="108"/>
      <c r="X740" s="108"/>
      <c r="Y740" s="108"/>
    </row>
    <row r="741">
      <c r="A741" s="244"/>
      <c r="B741" s="107"/>
      <c r="C741" s="107"/>
      <c r="D741" s="115"/>
      <c r="E741" s="107"/>
      <c r="F741" s="211"/>
      <c r="G741" s="256"/>
      <c r="H741" s="239"/>
      <c r="I741" s="108"/>
      <c r="J741" s="108"/>
      <c r="K741" s="108"/>
      <c r="L741" s="108"/>
      <c r="M741" s="108"/>
      <c r="N741" s="108"/>
      <c r="O741" s="108"/>
      <c r="P741" s="108"/>
      <c r="Q741" s="108"/>
      <c r="R741" s="108"/>
      <c r="S741" s="108"/>
      <c r="T741" s="108"/>
      <c r="U741" s="108"/>
      <c r="V741" s="108"/>
      <c r="W741" s="108"/>
      <c r="X741" s="108"/>
      <c r="Y741" s="108"/>
    </row>
    <row r="742">
      <c r="A742" s="244"/>
      <c r="B742" s="107"/>
      <c r="C742" s="107"/>
      <c r="D742" s="115"/>
      <c r="E742" s="107"/>
      <c r="F742" s="211"/>
      <c r="G742" s="256"/>
      <c r="H742" s="239"/>
      <c r="I742" s="108"/>
      <c r="J742" s="108"/>
      <c r="K742" s="108"/>
      <c r="L742" s="108"/>
      <c r="M742" s="108"/>
      <c r="N742" s="108"/>
      <c r="O742" s="108"/>
      <c r="P742" s="108"/>
      <c r="Q742" s="108"/>
      <c r="R742" s="108"/>
      <c r="S742" s="108"/>
      <c r="T742" s="108"/>
      <c r="U742" s="108"/>
      <c r="V742" s="108"/>
      <c r="W742" s="108"/>
      <c r="X742" s="108"/>
      <c r="Y742" s="108"/>
    </row>
    <row r="743">
      <c r="A743" s="244"/>
      <c r="B743" s="107"/>
      <c r="C743" s="107"/>
      <c r="D743" s="115"/>
      <c r="E743" s="107"/>
      <c r="F743" s="211"/>
      <c r="G743" s="256"/>
      <c r="H743" s="239"/>
      <c r="I743" s="108"/>
      <c r="J743" s="108"/>
      <c r="K743" s="108"/>
      <c r="L743" s="108"/>
      <c r="M743" s="108"/>
      <c r="N743" s="108"/>
      <c r="O743" s="108"/>
      <c r="P743" s="108"/>
      <c r="Q743" s="108"/>
      <c r="R743" s="108"/>
      <c r="S743" s="108"/>
      <c r="T743" s="108"/>
      <c r="U743" s="108"/>
      <c r="V743" s="108"/>
      <c r="W743" s="108"/>
      <c r="X743" s="108"/>
      <c r="Y743" s="108"/>
    </row>
    <row r="744">
      <c r="A744" s="244"/>
      <c r="B744" s="107"/>
      <c r="C744" s="107"/>
      <c r="D744" s="115"/>
      <c r="E744" s="107"/>
      <c r="F744" s="211"/>
      <c r="G744" s="256"/>
      <c r="H744" s="239"/>
      <c r="I744" s="108"/>
      <c r="J744" s="108"/>
      <c r="K744" s="108"/>
      <c r="L744" s="108"/>
      <c r="M744" s="108"/>
      <c r="N744" s="108"/>
      <c r="O744" s="108"/>
      <c r="P744" s="108"/>
      <c r="Q744" s="108"/>
      <c r="R744" s="108"/>
      <c r="S744" s="108"/>
      <c r="T744" s="108"/>
      <c r="U744" s="108"/>
      <c r="V744" s="108"/>
      <c r="W744" s="108"/>
      <c r="X744" s="108"/>
      <c r="Y744" s="108"/>
    </row>
    <row r="745">
      <c r="A745" s="244"/>
      <c r="B745" s="107"/>
      <c r="C745" s="107"/>
      <c r="D745" s="115"/>
      <c r="E745" s="107"/>
      <c r="F745" s="211"/>
      <c r="G745" s="256"/>
      <c r="H745" s="239"/>
      <c r="I745" s="108"/>
      <c r="J745" s="108"/>
      <c r="K745" s="108"/>
      <c r="L745" s="108"/>
      <c r="M745" s="108"/>
      <c r="N745" s="108"/>
      <c r="O745" s="108"/>
      <c r="P745" s="108"/>
      <c r="Q745" s="108"/>
      <c r="R745" s="108"/>
      <c r="S745" s="108"/>
      <c r="T745" s="108"/>
      <c r="U745" s="108"/>
      <c r="V745" s="108"/>
      <c r="W745" s="108"/>
      <c r="X745" s="108"/>
      <c r="Y745" s="108"/>
    </row>
    <row r="746">
      <c r="A746" s="244"/>
      <c r="B746" s="107"/>
      <c r="C746" s="107"/>
      <c r="D746" s="115"/>
      <c r="E746" s="107"/>
      <c r="F746" s="211"/>
      <c r="G746" s="256"/>
      <c r="H746" s="239"/>
      <c r="I746" s="108"/>
      <c r="J746" s="108"/>
      <c r="K746" s="108"/>
      <c r="L746" s="108"/>
      <c r="M746" s="108"/>
      <c r="N746" s="108"/>
      <c r="O746" s="108"/>
      <c r="P746" s="108"/>
      <c r="Q746" s="108"/>
      <c r="R746" s="108"/>
      <c r="S746" s="108"/>
      <c r="T746" s="108"/>
      <c r="U746" s="108"/>
      <c r="V746" s="108"/>
      <c r="W746" s="108"/>
      <c r="X746" s="108"/>
      <c r="Y746" s="108"/>
    </row>
    <row r="747">
      <c r="A747" s="244"/>
      <c r="B747" s="107"/>
      <c r="C747" s="107"/>
      <c r="D747" s="115"/>
      <c r="E747" s="107"/>
      <c r="F747" s="211"/>
      <c r="G747" s="256"/>
      <c r="H747" s="239"/>
      <c r="I747" s="108"/>
      <c r="J747" s="108"/>
      <c r="K747" s="108"/>
      <c r="L747" s="108"/>
      <c r="M747" s="108"/>
      <c r="N747" s="108"/>
      <c r="O747" s="108"/>
      <c r="P747" s="108"/>
      <c r="Q747" s="108"/>
      <c r="R747" s="108"/>
      <c r="S747" s="108"/>
      <c r="T747" s="108"/>
      <c r="U747" s="108"/>
      <c r="V747" s="108"/>
      <c r="W747" s="108"/>
      <c r="X747" s="108"/>
      <c r="Y747" s="108"/>
    </row>
    <row r="748">
      <c r="A748" s="244"/>
      <c r="B748" s="107"/>
      <c r="C748" s="107"/>
      <c r="D748" s="115"/>
      <c r="E748" s="107"/>
      <c r="F748" s="211"/>
      <c r="G748" s="256"/>
      <c r="H748" s="239"/>
      <c r="I748" s="108"/>
      <c r="J748" s="108"/>
      <c r="K748" s="108"/>
      <c r="L748" s="108"/>
      <c r="M748" s="108"/>
      <c r="N748" s="108"/>
      <c r="O748" s="108"/>
      <c r="P748" s="108"/>
      <c r="Q748" s="108"/>
      <c r="R748" s="108"/>
      <c r="S748" s="108"/>
      <c r="T748" s="108"/>
      <c r="U748" s="108"/>
      <c r="V748" s="108"/>
      <c r="W748" s="108"/>
      <c r="X748" s="108"/>
      <c r="Y748" s="108"/>
    </row>
    <row r="749">
      <c r="A749" s="244"/>
      <c r="B749" s="107"/>
      <c r="C749" s="107"/>
      <c r="D749" s="115"/>
      <c r="E749" s="107"/>
      <c r="F749" s="211"/>
      <c r="G749" s="256"/>
      <c r="H749" s="239"/>
      <c r="I749" s="108"/>
      <c r="J749" s="108"/>
      <c r="K749" s="108"/>
      <c r="L749" s="108"/>
      <c r="M749" s="108"/>
      <c r="N749" s="108"/>
      <c r="O749" s="108"/>
      <c r="P749" s="108"/>
      <c r="Q749" s="108"/>
      <c r="R749" s="108"/>
      <c r="S749" s="108"/>
      <c r="T749" s="108"/>
      <c r="U749" s="108"/>
      <c r="V749" s="108"/>
      <c r="W749" s="108"/>
      <c r="X749" s="108"/>
      <c r="Y749" s="108"/>
    </row>
    <row r="750">
      <c r="A750" s="244"/>
      <c r="B750" s="107"/>
      <c r="C750" s="107"/>
      <c r="D750" s="115"/>
      <c r="E750" s="107"/>
      <c r="F750" s="211"/>
      <c r="G750" s="256"/>
      <c r="H750" s="239"/>
      <c r="I750" s="108"/>
      <c r="J750" s="108"/>
      <c r="K750" s="108"/>
      <c r="L750" s="108"/>
      <c r="M750" s="108"/>
      <c r="N750" s="108"/>
      <c r="O750" s="108"/>
      <c r="P750" s="108"/>
      <c r="Q750" s="108"/>
      <c r="R750" s="108"/>
      <c r="S750" s="108"/>
      <c r="T750" s="108"/>
      <c r="U750" s="108"/>
      <c r="V750" s="108"/>
      <c r="W750" s="108"/>
      <c r="X750" s="108"/>
      <c r="Y750" s="108"/>
    </row>
    <row r="751">
      <c r="A751" s="244"/>
      <c r="B751" s="107"/>
      <c r="C751" s="107"/>
      <c r="D751" s="115"/>
      <c r="E751" s="107"/>
      <c r="F751" s="211"/>
      <c r="G751" s="256"/>
      <c r="H751" s="239"/>
      <c r="I751" s="108"/>
      <c r="J751" s="108"/>
      <c r="K751" s="108"/>
      <c r="L751" s="108"/>
      <c r="M751" s="108"/>
      <c r="N751" s="108"/>
      <c r="O751" s="108"/>
      <c r="P751" s="108"/>
      <c r="Q751" s="108"/>
      <c r="R751" s="108"/>
      <c r="S751" s="108"/>
      <c r="T751" s="108"/>
      <c r="U751" s="108"/>
      <c r="V751" s="108"/>
      <c r="W751" s="108"/>
      <c r="X751" s="108"/>
      <c r="Y751" s="108"/>
    </row>
    <row r="752">
      <c r="A752" s="244"/>
      <c r="B752" s="107"/>
      <c r="C752" s="107"/>
      <c r="D752" s="115"/>
      <c r="E752" s="107"/>
      <c r="F752" s="211"/>
      <c r="G752" s="256"/>
      <c r="H752" s="239"/>
      <c r="I752" s="108"/>
      <c r="J752" s="108"/>
      <c r="K752" s="108"/>
      <c r="L752" s="108"/>
      <c r="M752" s="108"/>
      <c r="N752" s="108"/>
      <c r="O752" s="108"/>
      <c r="P752" s="108"/>
      <c r="Q752" s="108"/>
      <c r="R752" s="108"/>
      <c r="S752" s="108"/>
      <c r="T752" s="108"/>
      <c r="U752" s="108"/>
      <c r="V752" s="108"/>
      <c r="W752" s="108"/>
      <c r="X752" s="108"/>
      <c r="Y752" s="108"/>
    </row>
    <row r="753">
      <c r="A753" s="244"/>
      <c r="B753" s="107"/>
      <c r="C753" s="107"/>
      <c r="D753" s="115"/>
      <c r="E753" s="107"/>
      <c r="F753" s="211"/>
      <c r="G753" s="256"/>
      <c r="H753" s="239"/>
      <c r="I753" s="108"/>
      <c r="J753" s="108"/>
      <c r="K753" s="108"/>
      <c r="L753" s="108"/>
      <c r="M753" s="108"/>
      <c r="N753" s="108"/>
      <c r="O753" s="108"/>
      <c r="P753" s="108"/>
      <c r="Q753" s="108"/>
      <c r="R753" s="108"/>
      <c r="S753" s="108"/>
      <c r="T753" s="108"/>
      <c r="U753" s="108"/>
      <c r="V753" s="108"/>
      <c r="W753" s="108"/>
      <c r="X753" s="108"/>
      <c r="Y753" s="108"/>
    </row>
    <row r="754">
      <c r="A754" s="244"/>
      <c r="B754" s="107"/>
      <c r="C754" s="107"/>
      <c r="D754" s="115"/>
      <c r="E754" s="107"/>
      <c r="F754" s="211"/>
      <c r="G754" s="256"/>
      <c r="H754" s="239"/>
      <c r="I754" s="108"/>
      <c r="J754" s="108"/>
      <c r="K754" s="108"/>
      <c r="L754" s="108"/>
      <c r="M754" s="108"/>
      <c r="N754" s="108"/>
      <c r="O754" s="108"/>
      <c r="P754" s="108"/>
      <c r="Q754" s="108"/>
      <c r="R754" s="108"/>
      <c r="S754" s="108"/>
      <c r="T754" s="108"/>
      <c r="U754" s="108"/>
      <c r="V754" s="108"/>
      <c r="W754" s="108"/>
      <c r="X754" s="108"/>
      <c r="Y754" s="108"/>
    </row>
    <row r="755">
      <c r="A755" s="244"/>
      <c r="B755" s="107"/>
      <c r="C755" s="107"/>
      <c r="D755" s="115"/>
      <c r="E755" s="107"/>
      <c r="F755" s="211"/>
      <c r="G755" s="256"/>
      <c r="H755" s="239"/>
      <c r="I755" s="108"/>
      <c r="J755" s="108"/>
      <c r="K755" s="108"/>
      <c r="L755" s="108"/>
      <c r="M755" s="108"/>
      <c r="N755" s="108"/>
      <c r="O755" s="108"/>
      <c r="P755" s="108"/>
      <c r="Q755" s="108"/>
      <c r="R755" s="108"/>
      <c r="S755" s="108"/>
      <c r="T755" s="108"/>
      <c r="U755" s="108"/>
      <c r="V755" s="108"/>
      <c r="W755" s="108"/>
      <c r="X755" s="108"/>
      <c r="Y755" s="108"/>
    </row>
    <row r="756">
      <c r="A756" s="244"/>
      <c r="B756" s="107"/>
      <c r="C756" s="107"/>
      <c r="D756" s="115"/>
      <c r="E756" s="107"/>
      <c r="F756" s="211"/>
      <c r="G756" s="256"/>
      <c r="H756" s="239"/>
      <c r="I756" s="108"/>
      <c r="J756" s="108"/>
      <c r="K756" s="108"/>
      <c r="L756" s="108"/>
      <c r="M756" s="108"/>
      <c r="N756" s="108"/>
      <c r="O756" s="108"/>
      <c r="P756" s="108"/>
      <c r="Q756" s="108"/>
      <c r="R756" s="108"/>
      <c r="S756" s="108"/>
      <c r="T756" s="108"/>
      <c r="U756" s="108"/>
      <c r="V756" s="108"/>
      <c r="W756" s="108"/>
      <c r="X756" s="108"/>
      <c r="Y756" s="108"/>
    </row>
    <row r="757">
      <c r="A757" s="244"/>
      <c r="B757" s="107"/>
      <c r="C757" s="107"/>
      <c r="D757" s="115"/>
      <c r="E757" s="107"/>
      <c r="F757" s="211"/>
      <c r="G757" s="256"/>
      <c r="H757" s="239"/>
      <c r="I757" s="108"/>
      <c r="J757" s="108"/>
      <c r="K757" s="108"/>
      <c r="L757" s="108"/>
      <c r="M757" s="108"/>
      <c r="N757" s="108"/>
      <c r="O757" s="108"/>
      <c r="P757" s="108"/>
      <c r="Q757" s="108"/>
      <c r="R757" s="108"/>
      <c r="S757" s="108"/>
      <c r="T757" s="108"/>
      <c r="U757" s="108"/>
      <c r="V757" s="108"/>
      <c r="W757" s="108"/>
      <c r="X757" s="108"/>
      <c r="Y757" s="108"/>
    </row>
    <row r="758">
      <c r="A758" s="244"/>
      <c r="B758" s="107"/>
      <c r="C758" s="107"/>
      <c r="D758" s="115"/>
      <c r="E758" s="107"/>
      <c r="F758" s="211"/>
      <c r="G758" s="256"/>
      <c r="H758" s="239"/>
      <c r="I758" s="108"/>
      <c r="J758" s="108"/>
      <c r="K758" s="108"/>
      <c r="L758" s="108"/>
      <c r="M758" s="108"/>
      <c r="N758" s="108"/>
      <c r="O758" s="108"/>
      <c r="P758" s="108"/>
      <c r="Q758" s="108"/>
      <c r="R758" s="108"/>
      <c r="S758" s="108"/>
      <c r="T758" s="108"/>
      <c r="U758" s="108"/>
      <c r="V758" s="108"/>
      <c r="W758" s="108"/>
      <c r="X758" s="108"/>
      <c r="Y758" s="108"/>
    </row>
    <row r="759">
      <c r="A759" s="244"/>
      <c r="B759" s="107"/>
      <c r="C759" s="107"/>
      <c r="D759" s="115"/>
      <c r="E759" s="107"/>
      <c r="F759" s="211"/>
      <c r="G759" s="256"/>
      <c r="H759" s="239"/>
      <c r="I759" s="108"/>
      <c r="J759" s="108"/>
      <c r="K759" s="108"/>
      <c r="L759" s="108"/>
      <c r="M759" s="108"/>
      <c r="N759" s="108"/>
      <c r="O759" s="108"/>
      <c r="P759" s="108"/>
      <c r="Q759" s="108"/>
      <c r="R759" s="108"/>
      <c r="S759" s="108"/>
      <c r="T759" s="108"/>
      <c r="U759" s="108"/>
      <c r="V759" s="108"/>
      <c r="W759" s="108"/>
      <c r="X759" s="108"/>
      <c r="Y759" s="108"/>
    </row>
    <row r="760">
      <c r="A760" s="244"/>
      <c r="B760" s="107"/>
      <c r="C760" s="107"/>
      <c r="D760" s="115"/>
      <c r="E760" s="107"/>
      <c r="F760" s="211"/>
      <c r="G760" s="256"/>
      <c r="H760" s="239"/>
      <c r="I760" s="108"/>
      <c r="J760" s="108"/>
      <c r="K760" s="108"/>
      <c r="L760" s="108"/>
      <c r="M760" s="108"/>
      <c r="N760" s="108"/>
      <c r="O760" s="108"/>
      <c r="P760" s="108"/>
      <c r="Q760" s="108"/>
      <c r="R760" s="108"/>
      <c r="S760" s="108"/>
      <c r="T760" s="108"/>
      <c r="U760" s="108"/>
      <c r="V760" s="108"/>
      <c r="W760" s="108"/>
      <c r="X760" s="108"/>
      <c r="Y760" s="108"/>
    </row>
    <row r="761">
      <c r="A761" s="244"/>
      <c r="B761" s="107"/>
      <c r="C761" s="107"/>
      <c r="D761" s="115"/>
      <c r="E761" s="107"/>
      <c r="F761" s="211"/>
      <c r="G761" s="256"/>
      <c r="H761" s="239"/>
      <c r="I761" s="108"/>
      <c r="J761" s="108"/>
      <c r="K761" s="108"/>
      <c r="L761" s="108"/>
      <c r="M761" s="108"/>
      <c r="N761" s="108"/>
      <c r="O761" s="108"/>
      <c r="P761" s="108"/>
      <c r="Q761" s="108"/>
      <c r="R761" s="108"/>
      <c r="S761" s="108"/>
      <c r="T761" s="108"/>
      <c r="U761" s="108"/>
      <c r="V761" s="108"/>
      <c r="W761" s="108"/>
      <c r="X761" s="108"/>
      <c r="Y761" s="108"/>
    </row>
    <row r="762">
      <c r="A762" s="244"/>
      <c r="B762" s="107"/>
      <c r="C762" s="107"/>
      <c r="D762" s="115"/>
      <c r="E762" s="107"/>
      <c r="F762" s="211"/>
      <c r="G762" s="256"/>
      <c r="H762" s="239"/>
      <c r="I762" s="108"/>
      <c r="J762" s="108"/>
      <c r="K762" s="108"/>
      <c r="L762" s="108"/>
      <c r="M762" s="108"/>
      <c r="N762" s="108"/>
      <c r="O762" s="108"/>
      <c r="P762" s="108"/>
      <c r="Q762" s="108"/>
      <c r="R762" s="108"/>
      <c r="S762" s="108"/>
      <c r="T762" s="108"/>
      <c r="U762" s="108"/>
      <c r="V762" s="108"/>
      <c r="W762" s="108"/>
      <c r="X762" s="108"/>
      <c r="Y762" s="108"/>
    </row>
    <row r="763">
      <c r="A763" s="244"/>
      <c r="B763" s="107"/>
      <c r="C763" s="107"/>
      <c r="D763" s="115"/>
      <c r="E763" s="107"/>
      <c r="F763" s="211"/>
      <c r="G763" s="256"/>
      <c r="H763" s="239"/>
      <c r="I763" s="108"/>
      <c r="J763" s="108"/>
      <c r="K763" s="108"/>
      <c r="L763" s="108"/>
      <c r="M763" s="108"/>
      <c r="N763" s="108"/>
      <c r="O763" s="108"/>
      <c r="P763" s="108"/>
      <c r="Q763" s="108"/>
      <c r="R763" s="108"/>
      <c r="S763" s="108"/>
      <c r="T763" s="108"/>
      <c r="U763" s="108"/>
      <c r="V763" s="108"/>
      <c r="W763" s="108"/>
      <c r="X763" s="108"/>
      <c r="Y763" s="108"/>
    </row>
    <row r="764">
      <c r="A764" s="244"/>
      <c r="B764" s="107"/>
      <c r="C764" s="107"/>
      <c r="D764" s="115"/>
      <c r="E764" s="107"/>
      <c r="F764" s="211"/>
      <c r="G764" s="256"/>
      <c r="H764" s="239"/>
      <c r="I764" s="108"/>
      <c r="J764" s="108"/>
      <c r="K764" s="108"/>
      <c r="L764" s="108"/>
      <c r="M764" s="108"/>
      <c r="N764" s="108"/>
      <c r="O764" s="108"/>
      <c r="P764" s="108"/>
      <c r="Q764" s="108"/>
      <c r="R764" s="108"/>
      <c r="S764" s="108"/>
      <c r="T764" s="108"/>
      <c r="U764" s="108"/>
      <c r="V764" s="108"/>
      <c r="W764" s="108"/>
      <c r="X764" s="108"/>
      <c r="Y764" s="108"/>
    </row>
    <row r="765">
      <c r="A765" s="244"/>
      <c r="B765" s="107"/>
      <c r="C765" s="107"/>
      <c r="D765" s="115"/>
      <c r="E765" s="107"/>
      <c r="F765" s="211"/>
      <c r="G765" s="256"/>
      <c r="H765" s="239"/>
      <c r="I765" s="108"/>
      <c r="J765" s="108"/>
      <c r="K765" s="108"/>
      <c r="L765" s="108"/>
      <c r="M765" s="108"/>
      <c r="N765" s="108"/>
      <c r="O765" s="108"/>
      <c r="P765" s="108"/>
      <c r="Q765" s="108"/>
      <c r="R765" s="108"/>
      <c r="S765" s="108"/>
      <c r="T765" s="108"/>
      <c r="U765" s="108"/>
      <c r="V765" s="108"/>
      <c r="W765" s="108"/>
      <c r="X765" s="108"/>
      <c r="Y765" s="108"/>
    </row>
    <row r="766">
      <c r="A766" s="244"/>
      <c r="B766" s="107"/>
      <c r="C766" s="107"/>
      <c r="D766" s="115"/>
      <c r="E766" s="107"/>
      <c r="F766" s="211"/>
      <c r="G766" s="256"/>
      <c r="H766" s="239"/>
      <c r="I766" s="108"/>
      <c r="J766" s="108"/>
      <c r="K766" s="108"/>
      <c r="L766" s="108"/>
      <c r="M766" s="108"/>
      <c r="N766" s="108"/>
      <c r="O766" s="108"/>
      <c r="P766" s="108"/>
      <c r="Q766" s="108"/>
      <c r="R766" s="108"/>
      <c r="S766" s="108"/>
      <c r="T766" s="108"/>
      <c r="U766" s="108"/>
      <c r="V766" s="108"/>
      <c r="W766" s="108"/>
      <c r="X766" s="108"/>
      <c r="Y766" s="108"/>
    </row>
    <row r="767">
      <c r="A767" s="244"/>
      <c r="B767" s="107"/>
      <c r="C767" s="107"/>
      <c r="D767" s="115"/>
      <c r="E767" s="107"/>
      <c r="F767" s="211"/>
      <c r="G767" s="256"/>
      <c r="H767" s="239"/>
      <c r="I767" s="108"/>
      <c r="J767" s="108"/>
      <c r="K767" s="108"/>
      <c r="L767" s="108"/>
      <c r="M767" s="108"/>
      <c r="N767" s="108"/>
      <c r="O767" s="108"/>
      <c r="P767" s="108"/>
      <c r="Q767" s="108"/>
      <c r="R767" s="108"/>
      <c r="S767" s="108"/>
      <c r="T767" s="108"/>
      <c r="U767" s="108"/>
      <c r="V767" s="108"/>
      <c r="W767" s="108"/>
      <c r="X767" s="108"/>
      <c r="Y767" s="108"/>
    </row>
    <row r="768">
      <c r="A768" s="244"/>
      <c r="B768" s="107"/>
      <c r="C768" s="107"/>
      <c r="D768" s="115"/>
      <c r="E768" s="107"/>
      <c r="F768" s="211"/>
      <c r="G768" s="256"/>
      <c r="H768" s="239"/>
      <c r="I768" s="108"/>
      <c r="J768" s="108"/>
      <c r="K768" s="108"/>
      <c r="L768" s="108"/>
      <c r="M768" s="108"/>
      <c r="N768" s="108"/>
      <c r="O768" s="108"/>
      <c r="P768" s="108"/>
      <c r="Q768" s="108"/>
      <c r="R768" s="108"/>
      <c r="S768" s="108"/>
      <c r="T768" s="108"/>
      <c r="U768" s="108"/>
      <c r="V768" s="108"/>
      <c r="W768" s="108"/>
      <c r="X768" s="108"/>
      <c r="Y768" s="108"/>
    </row>
    <row r="769">
      <c r="A769" s="244"/>
      <c r="B769" s="107"/>
      <c r="C769" s="107"/>
      <c r="D769" s="115"/>
      <c r="E769" s="107"/>
      <c r="F769" s="211"/>
      <c r="G769" s="256"/>
      <c r="H769" s="239"/>
      <c r="I769" s="108"/>
      <c r="J769" s="108"/>
      <c r="K769" s="108"/>
      <c r="L769" s="108"/>
      <c r="M769" s="108"/>
      <c r="N769" s="108"/>
      <c r="O769" s="108"/>
      <c r="P769" s="108"/>
      <c r="Q769" s="108"/>
      <c r="R769" s="108"/>
      <c r="S769" s="108"/>
      <c r="T769" s="108"/>
      <c r="U769" s="108"/>
      <c r="V769" s="108"/>
      <c r="W769" s="108"/>
      <c r="X769" s="108"/>
      <c r="Y769" s="108"/>
    </row>
    <row r="770">
      <c r="A770" s="244"/>
      <c r="B770" s="107"/>
      <c r="C770" s="107"/>
      <c r="D770" s="115"/>
      <c r="E770" s="107"/>
      <c r="F770" s="211"/>
      <c r="G770" s="256"/>
      <c r="H770" s="239"/>
      <c r="I770" s="108"/>
      <c r="J770" s="108"/>
      <c r="K770" s="108"/>
      <c r="L770" s="108"/>
      <c r="M770" s="108"/>
      <c r="N770" s="108"/>
      <c r="O770" s="108"/>
      <c r="P770" s="108"/>
      <c r="Q770" s="108"/>
      <c r="R770" s="108"/>
      <c r="S770" s="108"/>
      <c r="T770" s="108"/>
      <c r="U770" s="108"/>
      <c r="V770" s="108"/>
      <c r="W770" s="108"/>
      <c r="X770" s="108"/>
      <c r="Y770" s="108"/>
    </row>
    <row r="771">
      <c r="A771" s="244"/>
      <c r="B771" s="107"/>
      <c r="C771" s="107"/>
      <c r="D771" s="115"/>
      <c r="E771" s="107"/>
      <c r="F771" s="211"/>
      <c r="G771" s="256"/>
      <c r="H771" s="239"/>
      <c r="I771" s="108"/>
      <c r="J771" s="108"/>
      <c r="K771" s="108"/>
      <c r="L771" s="108"/>
      <c r="M771" s="108"/>
      <c r="N771" s="108"/>
      <c r="O771" s="108"/>
      <c r="P771" s="108"/>
      <c r="Q771" s="108"/>
      <c r="R771" s="108"/>
      <c r="S771" s="108"/>
      <c r="T771" s="108"/>
      <c r="U771" s="108"/>
      <c r="V771" s="108"/>
      <c r="W771" s="108"/>
      <c r="X771" s="108"/>
      <c r="Y771" s="108"/>
    </row>
    <row r="772">
      <c r="A772" s="244"/>
      <c r="B772" s="107"/>
      <c r="C772" s="107"/>
      <c r="D772" s="115"/>
      <c r="E772" s="107"/>
      <c r="F772" s="211"/>
      <c r="G772" s="256"/>
      <c r="H772" s="239"/>
      <c r="I772" s="108"/>
      <c r="J772" s="108"/>
      <c r="K772" s="108"/>
      <c r="L772" s="108"/>
      <c r="M772" s="108"/>
      <c r="N772" s="108"/>
      <c r="O772" s="108"/>
      <c r="P772" s="108"/>
      <c r="Q772" s="108"/>
      <c r="R772" s="108"/>
      <c r="S772" s="108"/>
      <c r="T772" s="108"/>
      <c r="U772" s="108"/>
      <c r="V772" s="108"/>
      <c r="W772" s="108"/>
      <c r="X772" s="108"/>
      <c r="Y772" s="108"/>
    </row>
    <row r="773">
      <c r="A773" s="244"/>
      <c r="B773" s="107"/>
      <c r="C773" s="107"/>
      <c r="D773" s="115"/>
      <c r="E773" s="107"/>
      <c r="F773" s="211"/>
      <c r="G773" s="256"/>
      <c r="H773" s="239"/>
      <c r="I773" s="108"/>
      <c r="J773" s="108"/>
      <c r="K773" s="108"/>
      <c r="L773" s="108"/>
      <c r="M773" s="108"/>
      <c r="N773" s="108"/>
      <c r="O773" s="108"/>
      <c r="P773" s="108"/>
      <c r="Q773" s="108"/>
      <c r="R773" s="108"/>
      <c r="S773" s="108"/>
      <c r="T773" s="108"/>
      <c r="U773" s="108"/>
      <c r="V773" s="108"/>
      <c r="W773" s="108"/>
      <c r="X773" s="108"/>
      <c r="Y773" s="108"/>
    </row>
    <row r="774">
      <c r="A774" s="244"/>
      <c r="B774" s="107"/>
      <c r="C774" s="107"/>
      <c r="D774" s="115"/>
      <c r="E774" s="107"/>
      <c r="F774" s="211"/>
      <c r="G774" s="256"/>
      <c r="H774" s="239"/>
      <c r="I774" s="108"/>
      <c r="J774" s="108"/>
      <c r="K774" s="108"/>
      <c r="L774" s="108"/>
      <c r="M774" s="108"/>
      <c r="N774" s="108"/>
      <c r="O774" s="108"/>
      <c r="P774" s="108"/>
      <c r="Q774" s="108"/>
      <c r="R774" s="108"/>
      <c r="S774" s="108"/>
      <c r="T774" s="108"/>
      <c r="U774" s="108"/>
      <c r="V774" s="108"/>
      <c r="W774" s="108"/>
      <c r="X774" s="108"/>
      <c r="Y774" s="108"/>
    </row>
    <row r="775">
      <c r="A775" s="244"/>
      <c r="B775" s="107"/>
      <c r="C775" s="107"/>
      <c r="D775" s="115"/>
      <c r="E775" s="107"/>
      <c r="F775" s="211"/>
      <c r="G775" s="256"/>
      <c r="H775" s="239"/>
      <c r="I775" s="108"/>
      <c r="J775" s="108"/>
      <c r="K775" s="108"/>
      <c r="L775" s="108"/>
      <c r="M775" s="108"/>
      <c r="N775" s="108"/>
      <c r="O775" s="108"/>
      <c r="P775" s="108"/>
      <c r="Q775" s="108"/>
      <c r="R775" s="108"/>
      <c r="S775" s="108"/>
      <c r="T775" s="108"/>
      <c r="U775" s="108"/>
      <c r="V775" s="108"/>
      <c r="W775" s="108"/>
      <c r="X775" s="108"/>
      <c r="Y775" s="108"/>
    </row>
    <row r="776">
      <c r="A776" s="244"/>
      <c r="B776" s="107"/>
      <c r="C776" s="107"/>
      <c r="D776" s="115"/>
      <c r="E776" s="107"/>
      <c r="F776" s="211"/>
      <c r="G776" s="256"/>
      <c r="H776" s="239"/>
      <c r="I776" s="108"/>
      <c r="J776" s="108"/>
      <c r="K776" s="108"/>
      <c r="L776" s="108"/>
      <c r="M776" s="108"/>
      <c r="N776" s="108"/>
      <c r="O776" s="108"/>
      <c r="P776" s="108"/>
      <c r="Q776" s="108"/>
      <c r="R776" s="108"/>
      <c r="S776" s="108"/>
      <c r="T776" s="108"/>
      <c r="U776" s="108"/>
      <c r="V776" s="108"/>
      <c r="W776" s="108"/>
      <c r="X776" s="108"/>
      <c r="Y776" s="108"/>
    </row>
    <row r="777">
      <c r="A777" s="244"/>
      <c r="B777" s="107"/>
      <c r="C777" s="107"/>
      <c r="D777" s="115"/>
      <c r="E777" s="107"/>
      <c r="F777" s="211"/>
      <c r="G777" s="256"/>
      <c r="H777" s="239"/>
      <c r="I777" s="108"/>
      <c r="J777" s="108"/>
      <c r="K777" s="108"/>
      <c r="L777" s="108"/>
      <c r="M777" s="108"/>
      <c r="N777" s="108"/>
      <c r="O777" s="108"/>
      <c r="P777" s="108"/>
      <c r="Q777" s="108"/>
      <c r="R777" s="108"/>
      <c r="S777" s="108"/>
      <c r="T777" s="108"/>
      <c r="U777" s="108"/>
      <c r="V777" s="108"/>
      <c r="W777" s="108"/>
      <c r="X777" s="108"/>
      <c r="Y777" s="108"/>
    </row>
    <row r="778">
      <c r="A778" s="244"/>
      <c r="B778" s="107"/>
      <c r="C778" s="107"/>
      <c r="D778" s="115"/>
      <c r="E778" s="107"/>
      <c r="F778" s="211"/>
      <c r="G778" s="256"/>
      <c r="H778" s="239"/>
      <c r="I778" s="108"/>
      <c r="J778" s="108"/>
      <c r="K778" s="108"/>
      <c r="L778" s="108"/>
      <c r="M778" s="108"/>
      <c r="N778" s="108"/>
      <c r="O778" s="108"/>
      <c r="P778" s="108"/>
      <c r="Q778" s="108"/>
      <c r="R778" s="108"/>
      <c r="S778" s="108"/>
      <c r="T778" s="108"/>
      <c r="U778" s="108"/>
      <c r="V778" s="108"/>
      <c r="W778" s="108"/>
      <c r="X778" s="108"/>
      <c r="Y778" s="108"/>
    </row>
    <row r="779">
      <c r="A779" s="244"/>
      <c r="B779" s="107"/>
      <c r="C779" s="107"/>
      <c r="D779" s="115"/>
      <c r="E779" s="107"/>
      <c r="F779" s="211"/>
      <c r="G779" s="256"/>
      <c r="H779" s="239"/>
      <c r="I779" s="108"/>
      <c r="J779" s="108"/>
      <c r="K779" s="108"/>
      <c r="L779" s="108"/>
      <c r="M779" s="108"/>
      <c r="N779" s="108"/>
      <c r="O779" s="108"/>
      <c r="P779" s="108"/>
      <c r="Q779" s="108"/>
      <c r="R779" s="108"/>
      <c r="S779" s="108"/>
      <c r="T779" s="108"/>
      <c r="U779" s="108"/>
      <c r="V779" s="108"/>
      <c r="W779" s="108"/>
      <c r="X779" s="108"/>
      <c r="Y779" s="108"/>
    </row>
    <row r="780">
      <c r="A780" s="244"/>
      <c r="B780" s="107"/>
      <c r="C780" s="107"/>
      <c r="D780" s="115"/>
      <c r="E780" s="107"/>
      <c r="F780" s="211"/>
      <c r="G780" s="256"/>
      <c r="H780" s="239"/>
      <c r="I780" s="108"/>
      <c r="J780" s="108"/>
      <c r="K780" s="108"/>
      <c r="L780" s="108"/>
      <c r="M780" s="108"/>
      <c r="N780" s="108"/>
      <c r="O780" s="108"/>
      <c r="P780" s="108"/>
      <c r="Q780" s="108"/>
      <c r="R780" s="108"/>
      <c r="S780" s="108"/>
      <c r="T780" s="108"/>
      <c r="U780" s="108"/>
      <c r="V780" s="108"/>
      <c r="W780" s="108"/>
      <c r="X780" s="108"/>
      <c r="Y780" s="108"/>
    </row>
    <row r="781">
      <c r="A781" s="244"/>
      <c r="B781" s="107"/>
      <c r="C781" s="107"/>
      <c r="D781" s="115"/>
      <c r="E781" s="107"/>
      <c r="F781" s="211"/>
      <c r="G781" s="256"/>
      <c r="H781" s="239"/>
      <c r="I781" s="108"/>
      <c r="J781" s="108"/>
      <c r="K781" s="108"/>
      <c r="L781" s="108"/>
      <c r="M781" s="108"/>
      <c r="N781" s="108"/>
      <c r="O781" s="108"/>
      <c r="P781" s="108"/>
      <c r="Q781" s="108"/>
      <c r="R781" s="108"/>
      <c r="S781" s="108"/>
      <c r="T781" s="108"/>
      <c r="U781" s="108"/>
      <c r="V781" s="108"/>
      <c r="W781" s="108"/>
      <c r="X781" s="108"/>
      <c r="Y781" s="108"/>
    </row>
    <row r="782">
      <c r="A782" s="244"/>
      <c r="B782" s="107"/>
      <c r="C782" s="107"/>
      <c r="D782" s="115"/>
      <c r="E782" s="107"/>
      <c r="F782" s="211"/>
      <c r="G782" s="256"/>
      <c r="H782" s="239"/>
      <c r="I782" s="108"/>
      <c r="J782" s="108"/>
      <c r="K782" s="108"/>
      <c r="L782" s="108"/>
      <c r="M782" s="108"/>
      <c r="N782" s="108"/>
      <c r="O782" s="108"/>
      <c r="P782" s="108"/>
      <c r="Q782" s="108"/>
      <c r="R782" s="108"/>
      <c r="S782" s="108"/>
      <c r="T782" s="108"/>
      <c r="U782" s="108"/>
      <c r="V782" s="108"/>
      <c r="W782" s="108"/>
      <c r="X782" s="108"/>
      <c r="Y782" s="108"/>
    </row>
    <row r="783">
      <c r="A783" s="244"/>
      <c r="B783" s="107"/>
      <c r="C783" s="107"/>
      <c r="D783" s="115"/>
      <c r="E783" s="107"/>
      <c r="F783" s="211"/>
      <c r="G783" s="256"/>
      <c r="H783" s="239"/>
      <c r="I783" s="108"/>
      <c r="J783" s="108"/>
      <c r="K783" s="108"/>
      <c r="L783" s="108"/>
      <c r="M783" s="108"/>
      <c r="N783" s="108"/>
      <c r="O783" s="108"/>
      <c r="P783" s="108"/>
      <c r="Q783" s="108"/>
      <c r="R783" s="108"/>
      <c r="S783" s="108"/>
      <c r="T783" s="108"/>
      <c r="U783" s="108"/>
      <c r="V783" s="108"/>
      <c r="W783" s="108"/>
      <c r="X783" s="108"/>
      <c r="Y783" s="108"/>
    </row>
    <row r="784">
      <c r="A784" s="244"/>
      <c r="B784" s="107"/>
      <c r="C784" s="107"/>
      <c r="D784" s="115"/>
      <c r="E784" s="107"/>
      <c r="F784" s="211"/>
      <c r="G784" s="256"/>
      <c r="H784" s="239"/>
      <c r="I784" s="108"/>
      <c r="J784" s="108"/>
      <c r="K784" s="108"/>
      <c r="L784" s="108"/>
      <c r="M784" s="108"/>
      <c r="N784" s="108"/>
      <c r="O784" s="108"/>
      <c r="P784" s="108"/>
      <c r="Q784" s="108"/>
      <c r="R784" s="108"/>
      <c r="S784" s="108"/>
      <c r="T784" s="108"/>
      <c r="U784" s="108"/>
      <c r="V784" s="108"/>
      <c r="W784" s="108"/>
      <c r="X784" s="108"/>
      <c r="Y784" s="108"/>
    </row>
    <row r="785">
      <c r="A785" s="244"/>
      <c r="B785" s="107"/>
      <c r="C785" s="107"/>
      <c r="D785" s="115"/>
      <c r="E785" s="107"/>
      <c r="F785" s="211"/>
      <c r="G785" s="256"/>
      <c r="H785" s="239"/>
      <c r="I785" s="108"/>
      <c r="J785" s="108"/>
      <c r="K785" s="108"/>
      <c r="L785" s="108"/>
      <c r="M785" s="108"/>
      <c r="N785" s="108"/>
      <c r="O785" s="108"/>
      <c r="P785" s="108"/>
      <c r="Q785" s="108"/>
      <c r="R785" s="108"/>
      <c r="S785" s="108"/>
      <c r="T785" s="108"/>
      <c r="U785" s="108"/>
      <c r="V785" s="108"/>
      <c r="W785" s="108"/>
      <c r="X785" s="108"/>
      <c r="Y785" s="108"/>
    </row>
    <row r="786">
      <c r="A786" s="244"/>
      <c r="B786" s="107"/>
      <c r="C786" s="107"/>
      <c r="D786" s="115"/>
      <c r="E786" s="107"/>
      <c r="F786" s="211"/>
      <c r="G786" s="256"/>
      <c r="H786" s="239"/>
      <c r="I786" s="108"/>
      <c r="J786" s="108"/>
      <c r="K786" s="108"/>
      <c r="L786" s="108"/>
      <c r="M786" s="108"/>
      <c r="N786" s="108"/>
      <c r="O786" s="108"/>
      <c r="P786" s="108"/>
      <c r="Q786" s="108"/>
      <c r="R786" s="108"/>
      <c r="S786" s="108"/>
      <c r="T786" s="108"/>
      <c r="U786" s="108"/>
      <c r="V786" s="108"/>
      <c r="W786" s="108"/>
      <c r="X786" s="108"/>
      <c r="Y786" s="108"/>
    </row>
    <row r="787">
      <c r="A787" s="244"/>
      <c r="B787" s="107"/>
      <c r="C787" s="107"/>
      <c r="D787" s="115"/>
      <c r="E787" s="107"/>
      <c r="F787" s="211"/>
      <c r="G787" s="256"/>
      <c r="H787" s="239"/>
      <c r="I787" s="108"/>
      <c r="J787" s="108"/>
      <c r="K787" s="108"/>
      <c r="L787" s="108"/>
      <c r="M787" s="108"/>
      <c r="N787" s="108"/>
      <c r="O787" s="108"/>
      <c r="P787" s="108"/>
      <c r="Q787" s="108"/>
      <c r="R787" s="108"/>
      <c r="S787" s="108"/>
      <c r="T787" s="108"/>
      <c r="U787" s="108"/>
      <c r="V787" s="108"/>
      <c r="W787" s="108"/>
      <c r="X787" s="108"/>
      <c r="Y787" s="108"/>
    </row>
    <row r="788">
      <c r="A788" s="244"/>
      <c r="B788" s="107"/>
      <c r="C788" s="107"/>
      <c r="D788" s="115"/>
      <c r="E788" s="107"/>
      <c r="F788" s="211"/>
      <c r="G788" s="256"/>
      <c r="H788" s="239"/>
      <c r="I788" s="108"/>
      <c r="J788" s="108"/>
      <c r="K788" s="108"/>
      <c r="L788" s="108"/>
      <c r="M788" s="108"/>
      <c r="N788" s="108"/>
      <c r="O788" s="108"/>
      <c r="P788" s="108"/>
      <c r="Q788" s="108"/>
      <c r="R788" s="108"/>
      <c r="S788" s="108"/>
      <c r="T788" s="108"/>
      <c r="U788" s="108"/>
      <c r="V788" s="108"/>
      <c r="W788" s="108"/>
      <c r="X788" s="108"/>
      <c r="Y788" s="108"/>
    </row>
    <row r="789">
      <c r="A789" s="244"/>
      <c r="B789" s="107"/>
      <c r="C789" s="107"/>
      <c r="D789" s="115"/>
      <c r="E789" s="107"/>
      <c r="F789" s="211"/>
      <c r="G789" s="256"/>
      <c r="H789" s="239"/>
      <c r="I789" s="108"/>
      <c r="J789" s="108"/>
      <c r="K789" s="108"/>
      <c r="L789" s="108"/>
      <c r="M789" s="108"/>
      <c r="N789" s="108"/>
      <c r="O789" s="108"/>
      <c r="P789" s="108"/>
      <c r="Q789" s="108"/>
      <c r="R789" s="108"/>
      <c r="S789" s="108"/>
      <c r="T789" s="108"/>
      <c r="U789" s="108"/>
      <c r="V789" s="108"/>
      <c r="W789" s="108"/>
      <c r="X789" s="108"/>
      <c r="Y789" s="108"/>
    </row>
    <row r="790">
      <c r="A790" s="244"/>
      <c r="B790" s="107"/>
      <c r="C790" s="107"/>
      <c r="D790" s="115"/>
      <c r="E790" s="107"/>
      <c r="F790" s="211"/>
      <c r="G790" s="256"/>
      <c r="H790" s="239"/>
      <c r="I790" s="108"/>
      <c r="J790" s="108"/>
      <c r="K790" s="108"/>
      <c r="L790" s="108"/>
      <c r="M790" s="108"/>
      <c r="N790" s="108"/>
      <c r="O790" s="108"/>
      <c r="P790" s="108"/>
      <c r="Q790" s="108"/>
      <c r="R790" s="108"/>
      <c r="S790" s="108"/>
      <c r="T790" s="108"/>
      <c r="U790" s="108"/>
      <c r="V790" s="108"/>
      <c r="W790" s="108"/>
      <c r="X790" s="108"/>
      <c r="Y790" s="108"/>
    </row>
    <row r="791">
      <c r="A791" s="244"/>
      <c r="B791" s="107"/>
      <c r="C791" s="107"/>
      <c r="D791" s="115"/>
      <c r="E791" s="107"/>
      <c r="F791" s="211"/>
      <c r="G791" s="256"/>
      <c r="H791" s="239"/>
      <c r="I791" s="108"/>
      <c r="J791" s="108"/>
      <c r="K791" s="108"/>
      <c r="L791" s="108"/>
      <c r="M791" s="108"/>
      <c r="N791" s="108"/>
      <c r="O791" s="108"/>
      <c r="P791" s="108"/>
      <c r="Q791" s="108"/>
      <c r="R791" s="108"/>
      <c r="S791" s="108"/>
      <c r="T791" s="108"/>
      <c r="U791" s="108"/>
      <c r="V791" s="108"/>
      <c r="W791" s="108"/>
      <c r="X791" s="108"/>
      <c r="Y791" s="108"/>
    </row>
    <row r="792">
      <c r="A792" s="244"/>
      <c r="B792" s="107"/>
      <c r="C792" s="107"/>
      <c r="D792" s="115"/>
      <c r="E792" s="107"/>
      <c r="F792" s="211"/>
      <c r="G792" s="256"/>
      <c r="H792" s="239"/>
      <c r="I792" s="108"/>
      <c r="J792" s="108"/>
      <c r="K792" s="108"/>
      <c r="L792" s="108"/>
      <c r="M792" s="108"/>
      <c r="N792" s="108"/>
      <c r="O792" s="108"/>
      <c r="P792" s="108"/>
      <c r="Q792" s="108"/>
      <c r="R792" s="108"/>
      <c r="S792" s="108"/>
      <c r="T792" s="108"/>
      <c r="U792" s="108"/>
      <c r="V792" s="108"/>
      <c r="W792" s="108"/>
      <c r="X792" s="108"/>
      <c r="Y792" s="108"/>
    </row>
    <row r="793">
      <c r="A793" s="244"/>
      <c r="B793" s="107"/>
      <c r="C793" s="107"/>
      <c r="D793" s="115"/>
      <c r="E793" s="107"/>
      <c r="F793" s="211"/>
      <c r="G793" s="256"/>
      <c r="H793" s="239"/>
      <c r="I793" s="108"/>
      <c r="J793" s="108"/>
      <c r="K793" s="108"/>
      <c r="L793" s="108"/>
      <c r="M793" s="108"/>
      <c r="N793" s="108"/>
      <c r="O793" s="108"/>
      <c r="P793" s="108"/>
      <c r="Q793" s="108"/>
      <c r="R793" s="108"/>
      <c r="S793" s="108"/>
      <c r="T793" s="108"/>
      <c r="U793" s="108"/>
      <c r="V793" s="108"/>
      <c r="W793" s="108"/>
      <c r="X793" s="108"/>
      <c r="Y793" s="108"/>
    </row>
    <row r="794">
      <c r="A794" s="244"/>
      <c r="B794" s="107"/>
      <c r="C794" s="107"/>
      <c r="D794" s="115"/>
      <c r="E794" s="107"/>
      <c r="F794" s="211"/>
      <c r="G794" s="256"/>
      <c r="H794" s="239"/>
      <c r="I794" s="108"/>
      <c r="J794" s="108"/>
      <c r="K794" s="108"/>
      <c r="L794" s="108"/>
      <c r="M794" s="108"/>
      <c r="N794" s="108"/>
      <c r="O794" s="108"/>
      <c r="P794" s="108"/>
      <c r="Q794" s="108"/>
      <c r="R794" s="108"/>
      <c r="S794" s="108"/>
      <c r="T794" s="108"/>
      <c r="U794" s="108"/>
      <c r="V794" s="108"/>
      <c r="W794" s="108"/>
      <c r="X794" s="108"/>
      <c r="Y794" s="108"/>
    </row>
    <row r="795">
      <c r="A795" s="244"/>
      <c r="B795" s="107"/>
      <c r="C795" s="107"/>
      <c r="D795" s="115"/>
      <c r="E795" s="107"/>
      <c r="F795" s="211"/>
      <c r="G795" s="256"/>
      <c r="H795" s="239"/>
      <c r="I795" s="108"/>
      <c r="J795" s="108"/>
      <c r="K795" s="108"/>
      <c r="L795" s="108"/>
      <c r="M795" s="108"/>
      <c r="N795" s="108"/>
      <c r="O795" s="108"/>
      <c r="P795" s="108"/>
      <c r="Q795" s="108"/>
      <c r="R795" s="108"/>
      <c r="S795" s="108"/>
      <c r="T795" s="108"/>
      <c r="U795" s="108"/>
      <c r="V795" s="108"/>
      <c r="W795" s="108"/>
      <c r="X795" s="108"/>
      <c r="Y795" s="108"/>
    </row>
    <row r="796">
      <c r="A796" s="244"/>
      <c r="B796" s="107"/>
      <c r="C796" s="107"/>
      <c r="D796" s="115"/>
      <c r="E796" s="107"/>
      <c r="F796" s="211"/>
      <c r="G796" s="256"/>
      <c r="H796" s="239"/>
      <c r="I796" s="108"/>
      <c r="J796" s="108"/>
      <c r="K796" s="108"/>
      <c r="L796" s="108"/>
      <c r="M796" s="108"/>
      <c r="N796" s="108"/>
      <c r="O796" s="108"/>
      <c r="P796" s="108"/>
      <c r="Q796" s="108"/>
      <c r="R796" s="108"/>
      <c r="S796" s="108"/>
      <c r="T796" s="108"/>
      <c r="U796" s="108"/>
      <c r="V796" s="108"/>
      <c r="W796" s="108"/>
      <c r="X796" s="108"/>
      <c r="Y796" s="108"/>
    </row>
    <row r="797">
      <c r="A797" s="244"/>
      <c r="B797" s="107"/>
      <c r="C797" s="107"/>
      <c r="D797" s="115"/>
      <c r="E797" s="107"/>
      <c r="F797" s="211"/>
      <c r="G797" s="256"/>
      <c r="H797" s="239"/>
      <c r="I797" s="108"/>
      <c r="J797" s="108"/>
      <c r="K797" s="108"/>
      <c r="L797" s="108"/>
      <c r="M797" s="108"/>
      <c r="N797" s="108"/>
      <c r="O797" s="108"/>
      <c r="P797" s="108"/>
      <c r="Q797" s="108"/>
      <c r="R797" s="108"/>
      <c r="S797" s="108"/>
      <c r="T797" s="108"/>
      <c r="U797" s="108"/>
      <c r="V797" s="108"/>
      <c r="W797" s="108"/>
      <c r="X797" s="108"/>
      <c r="Y797" s="108"/>
    </row>
    <row r="798">
      <c r="A798" s="244"/>
      <c r="B798" s="107"/>
      <c r="C798" s="107"/>
      <c r="D798" s="115"/>
      <c r="E798" s="107"/>
      <c r="F798" s="211"/>
      <c r="G798" s="256"/>
      <c r="H798" s="239"/>
      <c r="I798" s="108"/>
      <c r="J798" s="108"/>
      <c r="K798" s="108"/>
      <c r="L798" s="108"/>
      <c r="M798" s="108"/>
      <c r="N798" s="108"/>
      <c r="O798" s="108"/>
      <c r="P798" s="108"/>
      <c r="Q798" s="108"/>
      <c r="R798" s="108"/>
      <c r="S798" s="108"/>
      <c r="T798" s="108"/>
      <c r="U798" s="108"/>
      <c r="V798" s="108"/>
      <c r="W798" s="108"/>
      <c r="X798" s="108"/>
      <c r="Y798" s="108"/>
    </row>
    <row r="799">
      <c r="A799" s="244"/>
      <c r="B799" s="107"/>
      <c r="C799" s="107"/>
      <c r="D799" s="115"/>
      <c r="E799" s="107"/>
      <c r="F799" s="211"/>
      <c r="G799" s="256"/>
      <c r="H799" s="239"/>
      <c r="I799" s="108"/>
      <c r="J799" s="108"/>
      <c r="K799" s="108"/>
      <c r="L799" s="108"/>
      <c r="M799" s="108"/>
      <c r="N799" s="108"/>
      <c r="O799" s="108"/>
      <c r="P799" s="108"/>
      <c r="Q799" s="108"/>
      <c r="R799" s="108"/>
      <c r="S799" s="108"/>
      <c r="T799" s="108"/>
      <c r="U799" s="108"/>
      <c r="V799" s="108"/>
      <c r="W799" s="108"/>
      <c r="X799" s="108"/>
      <c r="Y799" s="108"/>
    </row>
    <row r="800">
      <c r="A800" s="244"/>
      <c r="B800" s="107"/>
      <c r="C800" s="107"/>
      <c r="D800" s="115"/>
      <c r="E800" s="107"/>
      <c r="F800" s="211"/>
      <c r="G800" s="256"/>
      <c r="H800" s="239"/>
      <c r="I800" s="108"/>
      <c r="J800" s="108"/>
      <c r="K800" s="108"/>
      <c r="L800" s="108"/>
      <c r="M800" s="108"/>
      <c r="N800" s="108"/>
      <c r="O800" s="108"/>
      <c r="P800" s="108"/>
      <c r="Q800" s="108"/>
      <c r="R800" s="108"/>
      <c r="S800" s="108"/>
      <c r="T800" s="108"/>
      <c r="U800" s="108"/>
      <c r="V800" s="108"/>
      <c r="W800" s="108"/>
      <c r="X800" s="108"/>
      <c r="Y800" s="108"/>
    </row>
    <row r="801">
      <c r="A801" s="244"/>
      <c r="B801" s="107"/>
      <c r="C801" s="107"/>
      <c r="D801" s="115"/>
      <c r="E801" s="107"/>
      <c r="F801" s="211"/>
      <c r="G801" s="256"/>
      <c r="H801" s="239"/>
      <c r="I801" s="108"/>
      <c r="J801" s="108"/>
      <c r="K801" s="108"/>
      <c r="L801" s="108"/>
      <c r="M801" s="108"/>
      <c r="N801" s="108"/>
      <c r="O801" s="108"/>
      <c r="P801" s="108"/>
      <c r="Q801" s="108"/>
      <c r="R801" s="108"/>
      <c r="S801" s="108"/>
      <c r="T801" s="108"/>
      <c r="U801" s="108"/>
      <c r="V801" s="108"/>
      <c r="W801" s="108"/>
      <c r="X801" s="108"/>
      <c r="Y801" s="108"/>
    </row>
    <row r="802">
      <c r="A802" s="244"/>
      <c r="B802" s="107"/>
      <c r="C802" s="107"/>
      <c r="D802" s="115"/>
      <c r="E802" s="107"/>
      <c r="F802" s="211"/>
      <c r="G802" s="256"/>
      <c r="H802" s="239"/>
      <c r="I802" s="108"/>
      <c r="J802" s="108"/>
      <c r="K802" s="108"/>
      <c r="L802" s="108"/>
      <c r="M802" s="108"/>
      <c r="N802" s="108"/>
      <c r="O802" s="108"/>
      <c r="P802" s="108"/>
      <c r="Q802" s="108"/>
      <c r="R802" s="108"/>
      <c r="S802" s="108"/>
      <c r="T802" s="108"/>
      <c r="U802" s="108"/>
      <c r="V802" s="108"/>
      <c r="W802" s="108"/>
      <c r="X802" s="108"/>
      <c r="Y802" s="108"/>
    </row>
    <row r="803">
      <c r="A803" s="244"/>
      <c r="B803" s="107"/>
      <c r="C803" s="107"/>
      <c r="D803" s="115"/>
      <c r="E803" s="107"/>
      <c r="F803" s="211"/>
      <c r="G803" s="256"/>
      <c r="H803" s="239"/>
      <c r="I803" s="108"/>
      <c r="J803" s="108"/>
      <c r="K803" s="108"/>
      <c r="L803" s="108"/>
      <c r="M803" s="108"/>
      <c r="N803" s="108"/>
      <c r="O803" s="108"/>
      <c r="P803" s="108"/>
      <c r="Q803" s="108"/>
      <c r="R803" s="108"/>
      <c r="S803" s="108"/>
      <c r="T803" s="108"/>
      <c r="U803" s="108"/>
      <c r="V803" s="108"/>
      <c r="W803" s="108"/>
      <c r="X803" s="108"/>
      <c r="Y803" s="108"/>
    </row>
    <row r="804">
      <c r="A804" s="244"/>
      <c r="B804" s="107"/>
      <c r="C804" s="107"/>
      <c r="D804" s="115"/>
      <c r="E804" s="107"/>
      <c r="F804" s="211"/>
      <c r="G804" s="256"/>
      <c r="H804" s="239"/>
      <c r="I804" s="108"/>
      <c r="J804" s="108"/>
      <c r="K804" s="108"/>
      <c r="L804" s="108"/>
      <c r="M804" s="108"/>
      <c r="N804" s="108"/>
      <c r="O804" s="108"/>
      <c r="P804" s="108"/>
      <c r="Q804" s="108"/>
      <c r="R804" s="108"/>
      <c r="S804" s="108"/>
      <c r="T804" s="108"/>
      <c r="U804" s="108"/>
      <c r="V804" s="108"/>
      <c r="W804" s="108"/>
      <c r="X804" s="108"/>
      <c r="Y804" s="108"/>
    </row>
    <row r="805">
      <c r="A805" s="244"/>
      <c r="B805" s="107"/>
      <c r="C805" s="107"/>
      <c r="D805" s="115"/>
      <c r="E805" s="107"/>
      <c r="F805" s="211"/>
      <c r="G805" s="256"/>
      <c r="H805" s="239"/>
      <c r="I805" s="108"/>
      <c r="J805" s="108"/>
      <c r="K805" s="108"/>
      <c r="L805" s="108"/>
      <c r="M805" s="108"/>
      <c r="N805" s="108"/>
      <c r="O805" s="108"/>
      <c r="P805" s="108"/>
      <c r="Q805" s="108"/>
      <c r="R805" s="108"/>
      <c r="S805" s="108"/>
      <c r="T805" s="108"/>
      <c r="U805" s="108"/>
      <c r="V805" s="108"/>
      <c r="W805" s="108"/>
      <c r="X805" s="108"/>
      <c r="Y805" s="108"/>
    </row>
    <row r="806">
      <c r="A806" s="244"/>
      <c r="B806" s="107"/>
      <c r="C806" s="107"/>
      <c r="D806" s="115"/>
      <c r="E806" s="107"/>
      <c r="F806" s="211"/>
      <c r="G806" s="256"/>
      <c r="H806" s="239"/>
      <c r="I806" s="108"/>
      <c r="J806" s="108"/>
      <c r="K806" s="108"/>
      <c r="L806" s="108"/>
      <c r="M806" s="108"/>
      <c r="N806" s="108"/>
      <c r="O806" s="108"/>
      <c r="P806" s="108"/>
      <c r="Q806" s="108"/>
      <c r="R806" s="108"/>
      <c r="S806" s="108"/>
      <c r="T806" s="108"/>
      <c r="U806" s="108"/>
      <c r="V806" s="108"/>
      <c r="W806" s="108"/>
      <c r="X806" s="108"/>
      <c r="Y806" s="108"/>
    </row>
    <row r="807">
      <c r="A807" s="244"/>
      <c r="B807" s="107"/>
      <c r="C807" s="107"/>
      <c r="D807" s="115"/>
      <c r="E807" s="107"/>
      <c r="F807" s="211"/>
      <c r="G807" s="256"/>
      <c r="H807" s="239"/>
      <c r="I807" s="108"/>
      <c r="J807" s="108"/>
      <c r="K807" s="108"/>
      <c r="L807" s="108"/>
      <c r="M807" s="108"/>
      <c r="N807" s="108"/>
      <c r="O807" s="108"/>
      <c r="P807" s="108"/>
      <c r="Q807" s="108"/>
      <c r="R807" s="108"/>
      <c r="S807" s="108"/>
      <c r="T807" s="108"/>
      <c r="U807" s="108"/>
      <c r="V807" s="108"/>
      <c r="W807" s="108"/>
      <c r="X807" s="108"/>
      <c r="Y807" s="108"/>
    </row>
    <row r="808">
      <c r="A808" s="244"/>
      <c r="B808" s="107"/>
      <c r="C808" s="107"/>
      <c r="D808" s="115"/>
      <c r="E808" s="107"/>
      <c r="F808" s="211"/>
      <c r="G808" s="256"/>
      <c r="H808" s="239"/>
      <c r="I808" s="108"/>
      <c r="J808" s="108"/>
      <c r="K808" s="108"/>
      <c r="L808" s="108"/>
      <c r="M808" s="108"/>
      <c r="N808" s="108"/>
      <c r="O808" s="108"/>
      <c r="P808" s="108"/>
      <c r="Q808" s="108"/>
      <c r="R808" s="108"/>
      <c r="S808" s="108"/>
      <c r="T808" s="108"/>
      <c r="U808" s="108"/>
      <c r="V808" s="108"/>
      <c r="W808" s="108"/>
      <c r="X808" s="108"/>
      <c r="Y808" s="108"/>
    </row>
    <row r="809">
      <c r="A809" s="244"/>
      <c r="B809" s="107"/>
      <c r="C809" s="107"/>
      <c r="D809" s="115"/>
      <c r="E809" s="107"/>
      <c r="F809" s="211"/>
      <c r="G809" s="256"/>
      <c r="H809" s="239"/>
      <c r="I809" s="108"/>
      <c r="J809" s="108"/>
      <c r="K809" s="108"/>
      <c r="L809" s="108"/>
      <c r="M809" s="108"/>
      <c r="N809" s="108"/>
      <c r="O809" s="108"/>
      <c r="P809" s="108"/>
      <c r="Q809" s="108"/>
      <c r="R809" s="108"/>
      <c r="S809" s="108"/>
      <c r="T809" s="108"/>
      <c r="U809" s="108"/>
      <c r="V809" s="108"/>
      <c r="W809" s="108"/>
      <c r="X809" s="108"/>
      <c r="Y809" s="108"/>
    </row>
    <row r="810">
      <c r="A810" s="244"/>
      <c r="B810" s="107"/>
      <c r="C810" s="107"/>
      <c r="D810" s="115"/>
      <c r="E810" s="107"/>
      <c r="F810" s="211"/>
      <c r="G810" s="256"/>
      <c r="H810" s="239"/>
      <c r="I810" s="108"/>
      <c r="J810" s="108"/>
      <c r="K810" s="108"/>
      <c r="L810" s="108"/>
      <c r="M810" s="108"/>
      <c r="N810" s="108"/>
      <c r="O810" s="108"/>
      <c r="P810" s="108"/>
      <c r="Q810" s="108"/>
      <c r="R810" s="108"/>
      <c r="S810" s="108"/>
      <c r="T810" s="108"/>
      <c r="U810" s="108"/>
      <c r="V810" s="108"/>
      <c r="W810" s="108"/>
      <c r="X810" s="108"/>
      <c r="Y810" s="108"/>
    </row>
    <row r="811">
      <c r="A811" s="244"/>
      <c r="B811" s="107"/>
      <c r="C811" s="107"/>
      <c r="D811" s="115"/>
      <c r="E811" s="107"/>
      <c r="F811" s="211"/>
      <c r="G811" s="256"/>
      <c r="H811" s="239"/>
      <c r="I811" s="108"/>
      <c r="J811" s="108"/>
      <c r="K811" s="108"/>
      <c r="L811" s="108"/>
      <c r="M811" s="108"/>
      <c r="N811" s="108"/>
      <c r="O811" s="108"/>
      <c r="P811" s="108"/>
      <c r="Q811" s="108"/>
      <c r="R811" s="108"/>
      <c r="S811" s="108"/>
      <c r="T811" s="108"/>
      <c r="U811" s="108"/>
      <c r="V811" s="108"/>
      <c r="W811" s="108"/>
      <c r="X811" s="108"/>
      <c r="Y811" s="108"/>
    </row>
    <row r="812">
      <c r="A812" s="244"/>
      <c r="B812" s="107"/>
      <c r="C812" s="107"/>
      <c r="D812" s="115"/>
      <c r="E812" s="107"/>
      <c r="F812" s="211"/>
      <c r="G812" s="256"/>
      <c r="H812" s="239"/>
      <c r="I812" s="108"/>
      <c r="J812" s="108"/>
      <c r="K812" s="108"/>
      <c r="L812" s="108"/>
      <c r="M812" s="108"/>
      <c r="N812" s="108"/>
      <c r="O812" s="108"/>
      <c r="P812" s="108"/>
      <c r="Q812" s="108"/>
      <c r="R812" s="108"/>
      <c r="S812" s="108"/>
      <c r="T812" s="108"/>
      <c r="U812" s="108"/>
      <c r="V812" s="108"/>
      <c r="W812" s="108"/>
      <c r="X812" s="108"/>
      <c r="Y812" s="108"/>
    </row>
    <row r="813">
      <c r="A813" s="244"/>
      <c r="B813" s="107"/>
      <c r="C813" s="107"/>
      <c r="D813" s="115"/>
      <c r="E813" s="107"/>
      <c r="F813" s="211"/>
      <c r="G813" s="256"/>
      <c r="H813" s="239"/>
      <c r="I813" s="108"/>
      <c r="J813" s="108"/>
      <c r="K813" s="108"/>
      <c r="L813" s="108"/>
      <c r="M813" s="108"/>
      <c r="N813" s="108"/>
      <c r="O813" s="108"/>
      <c r="P813" s="108"/>
      <c r="Q813" s="108"/>
      <c r="R813" s="108"/>
      <c r="S813" s="108"/>
      <c r="T813" s="108"/>
      <c r="U813" s="108"/>
      <c r="V813" s="108"/>
      <c r="W813" s="108"/>
      <c r="X813" s="108"/>
      <c r="Y813" s="108"/>
    </row>
    <row r="814">
      <c r="A814" s="244"/>
      <c r="B814" s="107"/>
      <c r="C814" s="107"/>
      <c r="D814" s="115"/>
      <c r="E814" s="107"/>
      <c r="F814" s="211"/>
      <c r="G814" s="256"/>
      <c r="H814" s="239"/>
      <c r="I814" s="108"/>
      <c r="J814" s="108"/>
      <c r="K814" s="108"/>
      <c r="L814" s="108"/>
      <c r="M814" s="108"/>
      <c r="N814" s="108"/>
      <c r="O814" s="108"/>
      <c r="P814" s="108"/>
      <c r="Q814" s="108"/>
      <c r="R814" s="108"/>
      <c r="S814" s="108"/>
      <c r="T814" s="108"/>
      <c r="U814" s="108"/>
      <c r="V814" s="108"/>
      <c r="W814" s="108"/>
      <c r="X814" s="108"/>
      <c r="Y814" s="108"/>
    </row>
    <row r="815">
      <c r="A815" s="244"/>
      <c r="B815" s="107"/>
      <c r="C815" s="107"/>
      <c r="D815" s="115"/>
      <c r="E815" s="107"/>
      <c r="F815" s="211"/>
      <c r="G815" s="256"/>
      <c r="H815" s="239"/>
      <c r="I815" s="108"/>
      <c r="J815" s="108"/>
      <c r="K815" s="108"/>
      <c r="L815" s="108"/>
      <c r="M815" s="108"/>
      <c r="N815" s="108"/>
      <c r="O815" s="108"/>
      <c r="P815" s="108"/>
      <c r="Q815" s="108"/>
      <c r="R815" s="108"/>
      <c r="S815" s="108"/>
      <c r="T815" s="108"/>
      <c r="U815" s="108"/>
      <c r="V815" s="108"/>
      <c r="W815" s="108"/>
      <c r="X815" s="108"/>
      <c r="Y815" s="108"/>
    </row>
    <row r="816">
      <c r="A816" s="244"/>
      <c r="B816" s="107"/>
      <c r="C816" s="107"/>
      <c r="D816" s="115"/>
      <c r="E816" s="107"/>
      <c r="F816" s="211"/>
      <c r="G816" s="256"/>
      <c r="H816" s="239"/>
      <c r="I816" s="108"/>
      <c r="J816" s="108"/>
      <c r="K816" s="108"/>
      <c r="L816" s="108"/>
      <c r="M816" s="108"/>
      <c r="N816" s="108"/>
      <c r="O816" s="108"/>
      <c r="P816" s="108"/>
      <c r="Q816" s="108"/>
      <c r="R816" s="108"/>
      <c r="S816" s="108"/>
      <c r="T816" s="108"/>
      <c r="U816" s="108"/>
      <c r="V816" s="108"/>
      <c r="W816" s="108"/>
      <c r="X816" s="108"/>
      <c r="Y816" s="108"/>
    </row>
    <row r="817">
      <c r="A817" s="244"/>
      <c r="B817" s="107"/>
      <c r="C817" s="107"/>
      <c r="D817" s="115"/>
      <c r="E817" s="107"/>
      <c r="F817" s="211"/>
      <c r="G817" s="256"/>
      <c r="H817" s="239"/>
      <c r="I817" s="108"/>
      <c r="J817" s="108"/>
      <c r="K817" s="108"/>
      <c r="L817" s="108"/>
      <c r="M817" s="108"/>
      <c r="N817" s="108"/>
      <c r="O817" s="108"/>
      <c r="P817" s="108"/>
      <c r="Q817" s="108"/>
      <c r="R817" s="108"/>
      <c r="S817" s="108"/>
      <c r="T817" s="108"/>
      <c r="U817" s="108"/>
      <c r="V817" s="108"/>
      <c r="W817" s="108"/>
      <c r="X817" s="108"/>
      <c r="Y817" s="108"/>
    </row>
    <row r="818">
      <c r="A818" s="244"/>
      <c r="B818" s="107"/>
      <c r="C818" s="107"/>
      <c r="D818" s="115"/>
      <c r="E818" s="107"/>
      <c r="F818" s="211"/>
      <c r="G818" s="256"/>
      <c r="H818" s="239"/>
      <c r="I818" s="108"/>
      <c r="J818" s="108"/>
      <c r="K818" s="108"/>
      <c r="L818" s="108"/>
      <c r="M818" s="108"/>
      <c r="N818" s="108"/>
      <c r="O818" s="108"/>
      <c r="P818" s="108"/>
      <c r="Q818" s="108"/>
      <c r="R818" s="108"/>
      <c r="S818" s="108"/>
      <c r="T818" s="108"/>
      <c r="U818" s="108"/>
      <c r="V818" s="108"/>
      <c r="W818" s="108"/>
      <c r="X818" s="108"/>
      <c r="Y818" s="108"/>
    </row>
    <row r="819">
      <c r="A819" s="244"/>
      <c r="B819" s="107"/>
      <c r="C819" s="107"/>
      <c r="D819" s="115"/>
      <c r="E819" s="107"/>
      <c r="F819" s="211"/>
      <c r="G819" s="256"/>
      <c r="H819" s="239"/>
      <c r="I819" s="108"/>
      <c r="J819" s="108"/>
      <c r="K819" s="108"/>
      <c r="L819" s="108"/>
      <c r="M819" s="108"/>
      <c r="N819" s="108"/>
      <c r="O819" s="108"/>
      <c r="P819" s="108"/>
      <c r="Q819" s="108"/>
      <c r="R819" s="108"/>
      <c r="S819" s="108"/>
      <c r="T819" s="108"/>
      <c r="U819" s="108"/>
      <c r="V819" s="108"/>
      <c r="W819" s="108"/>
      <c r="X819" s="108"/>
      <c r="Y819" s="108"/>
    </row>
    <row r="820">
      <c r="A820" s="244"/>
      <c r="B820" s="107"/>
      <c r="C820" s="107"/>
      <c r="D820" s="115"/>
      <c r="E820" s="107"/>
      <c r="F820" s="211"/>
      <c r="G820" s="256"/>
      <c r="H820" s="239"/>
      <c r="I820" s="108"/>
      <c r="J820" s="108"/>
      <c r="K820" s="108"/>
      <c r="L820" s="108"/>
      <c r="M820" s="108"/>
      <c r="N820" s="108"/>
      <c r="O820" s="108"/>
      <c r="P820" s="108"/>
      <c r="Q820" s="108"/>
      <c r="R820" s="108"/>
      <c r="S820" s="108"/>
      <c r="T820" s="108"/>
      <c r="U820" s="108"/>
      <c r="V820" s="108"/>
      <c r="W820" s="108"/>
      <c r="X820" s="108"/>
      <c r="Y820" s="108"/>
    </row>
    <row r="821">
      <c r="A821" s="244"/>
      <c r="B821" s="107"/>
      <c r="C821" s="107"/>
      <c r="D821" s="115"/>
      <c r="E821" s="107"/>
      <c r="F821" s="211"/>
      <c r="G821" s="256"/>
      <c r="H821" s="239"/>
      <c r="I821" s="108"/>
      <c r="J821" s="108"/>
      <c r="K821" s="108"/>
      <c r="L821" s="108"/>
      <c r="M821" s="108"/>
      <c r="N821" s="108"/>
      <c r="O821" s="108"/>
      <c r="P821" s="108"/>
      <c r="Q821" s="108"/>
      <c r="R821" s="108"/>
      <c r="S821" s="108"/>
      <c r="T821" s="108"/>
      <c r="U821" s="108"/>
      <c r="V821" s="108"/>
      <c r="W821" s="108"/>
      <c r="X821" s="108"/>
      <c r="Y821" s="108"/>
    </row>
    <row r="822">
      <c r="A822" s="244"/>
      <c r="B822" s="107"/>
      <c r="C822" s="107"/>
      <c r="D822" s="115"/>
      <c r="E822" s="107"/>
      <c r="F822" s="211"/>
      <c r="G822" s="256"/>
      <c r="H822" s="239"/>
      <c r="I822" s="108"/>
      <c r="J822" s="108"/>
      <c r="K822" s="108"/>
      <c r="L822" s="108"/>
      <c r="M822" s="108"/>
      <c r="N822" s="108"/>
      <c r="O822" s="108"/>
      <c r="P822" s="108"/>
      <c r="Q822" s="108"/>
      <c r="R822" s="108"/>
      <c r="S822" s="108"/>
      <c r="T822" s="108"/>
      <c r="U822" s="108"/>
      <c r="V822" s="108"/>
      <c r="W822" s="108"/>
      <c r="X822" s="108"/>
      <c r="Y822" s="108"/>
    </row>
    <row r="823">
      <c r="A823" s="244"/>
      <c r="B823" s="107"/>
      <c r="C823" s="107"/>
      <c r="D823" s="115"/>
      <c r="E823" s="107"/>
      <c r="F823" s="211"/>
      <c r="G823" s="256"/>
      <c r="H823" s="239"/>
      <c r="I823" s="108"/>
      <c r="J823" s="108"/>
      <c r="K823" s="108"/>
      <c r="L823" s="108"/>
      <c r="M823" s="108"/>
      <c r="N823" s="108"/>
      <c r="O823" s="108"/>
      <c r="P823" s="108"/>
      <c r="Q823" s="108"/>
      <c r="R823" s="108"/>
      <c r="S823" s="108"/>
      <c r="T823" s="108"/>
      <c r="U823" s="108"/>
      <c r="V823" s="108"/>
      <c r="W823" s="108"/>
      <c r="X823" s="108"/>
      <c r="Y823" s="108"/>
    </row>
    <row r="824">
      <c r="A824" s="244"/>
      <c r="B824" s="107"/>
      <c r="C824" s="107"/>
      <c r="D824" s="115"/>
      <c r="E824" s="107"/>
      <c r="F824" s="211"/>
      <c r="G824" s="256"/>
      <c r="H824" s="239"/>
      <c r="I824" s="108"/>
      <c r="J824" s="108"/>
      <c r="K824" s="108"/>
      <c r="L824" s="108"/>
      <c r="M824" s="108"/>
      <c r="N824" s="108"/>
      <c r="O824" s="108"/>
      <c r="P824" s="108"/>
      <c r="Q824" s="108"/>
      <c r="R824" s="108"/>
      <c r="S824" s="108"/>
      <c r="T824" s="108"/>
      <c r="U824" s="108"/>
      <c r="V824" s="108"/>
      <c r="W824" s="108"/>
      <c r="X824" s="108"/>
      <c r="Y824" s="108"/>
    </row>
    <row r="825">
      <c r="A825" s="244"/>
      <c r="B825" s="107"/>
      <c r="C825" s="107"/>
      <c r="D825" s="115"/>
      <c r="E825" s="107"/>
      <c r="F825" s="211"/>
      <c r="G825" s="256"/>
      <c r="H825" s="239"/>
      <c r="I825" s="108"/>
      <c r="J825" s="108"/>
      <c r="K825" s="108"/>
      <c r="L825" s="108"/>
      <c r="M825" s="108"/>
      <c r="N825" s="108"/>
      <c r="O825" s="108"/>
      <c r="P825" s="108"/>
      <c r="Q825" s="108"/>
      <c r="R825" s="108"/>
      <c r="S825" s="108"/>
      <c r="T825" s="108"/>
      <c r="U825" s="108"/>
      <c r="V825" s="108"/>
      <c r="W825" s="108"/>
      <c r="X825" s="108"/>
      <c r="Y825" s="108"/>
    </row>
    <row r="826">
      <c r="A826" s="244"/>
      <c r="B826" s="107"/>
      <c r="C826" s="107"/>
      <c r="D826" s="115"/>
      <c r="E826" s="107"/>
      <c r="F826" s="211"/>
      <c r="G826" s="256"/>
      <c r="H826" s="239"/>
      <c r="I826" s="108"/>
      <c r="J826" s="108"/>
      <c r="K826" s="108"/>
      <c r="L826" s="108"/>
      <c r="M826" s="108"/>
      <c r="N826" s="108"/>
      <c r="O826" s="108"/>
      <c r="P826" s="108"/>
      <c r="Q826" s="108"/>
      <c r="R826" s="108"/>
      <c r="S826" s="108"/>
      <c r="T826" s="108"/>
      <c r="U826" s="108"/>
      <c r="V826" s="108"/>
      <c r="W826" s="108"/>
      <c r="X826" s="108"/>
      <c r="Y826" s="108"/>
    </row>
    <row r="827">
      <c r="A827" s="244"/>
      <c r="B827" s="107"/>
      <c r="C827" s="107"/>
      <c r="D827" s="115"/>
      <c r="E827" s="107"/>
      <c r="F827" s="211"/>
      <c r="G827" s="256"/>
      <c r="H827" s="239"/>
      <c r="I827" s="108"/>
      <c r="J827" s="108"/>
      <c r="K827" s="108"/>
      <c r="L827" s="108"/>
      <c r="M827" s="108"/>
      <c r="N827" s="108"/>
      <c r="O827" s="108"/>
      <c r="P827" s="108"/>
      <c r="Q827" s="108"/>
      <c r="R827" s="108"/>
      <c r="S827" s="108"/>
      <c r="T827" s="108"/>
      <c r="U827" s="108"/>
      <c r="V827" s="108"/>
      <c r="W827" s="108"/>
      <c r="X827" s="108"/>
      <c r="Y827" s="108"/>
    </row>
    <row r="828">
      <c r="A828" s="244"/>
      <c r="B828" s="107"/>
      <c r="C828" s="107"/>
      <c r="D828" s="115"/>
      <c r="E828" s="107"/>
      <c r="F828" s="211"/>
      <c r="G828" s="256"/>
      <c r="H828" s="239"/>
      <c r="I828" s="108"/>
      <c r="J828" s="108"/>
      <c r="K828" s="108"/>
      <c r="L828" s="108"/>
      <c r="M828" s="108"/>
      <c r="N828" s="108"/>
      <c r="O828" s="108"/>
      <c r="P828" s="108"/>
      <c r="Q828" s="108"/>
      <c r="R828" s="108"/>
      <c r="S828" s="108"/>
      <c r="T828" s="108"/>
      <c r="U828" s="108"/>
      <c r="V828" s="108"/>
      <c r="W828" s="108"/>
      <c r="X828" s="108"/>
      <c r="Y828" s="108"/>
    </row>
    <row r="829">
      <c r="A829" s="244"/>
      <c r="B829" s="107"/>
      <c r="C829" s="107"/>
      <c r="D829" s="115"/>
      <c r="E829" s="107"/>
      <c r="F829" s="211"/>
      <c r="G829" s="256"/>
      <c r="H829" s="239"/>
      <c r="I829" s="108"/>
      <c r="J829" s="108"/>
      <c r="K829" s="108"/>
      <c r="L829" s="108"/>
      <c r="M829" s="108"/>
      <c r="N829" s="108"/>
      <c r="O829" s="108"/>
      <c r="P829" s="108"/>
      <c r="Q829" s="108"/>
      <c r="R829" s="108"/>
      <c r="S829" s="108"/>
      <c r="T829" s="108"/>
      <c r="U829" s="108"/>
      <c r="V829" s="108"/>
      <c r="W829" s="108"/>
      <c r="X829" s="108"/>
      <c r="Y829" s="108"/>
    </row>
    <row r="830">
      <c r="A830" s="244"/>
      <c r="B830" s="107"/>
      <c r="C830" s="107"/>
      <c r="D830" s="115"/>
      <c r="E830" s="107"/>
      <c r="F830" s="211"/>
      <c r="G830" s="256"/>
      <c r="H830" s="239"/>
      <c r="I830" s="108"/>
      <c r="J830" s="108"/>
      <c r="K830" s="108"/>
      <c r="L830" s="108"/>
      <c r="M830" s="108"/>
      <c r="N830" s="108"/>
      <c r="O830" s="108"/>
      <c r="P830" s="108"/>
      <c r="Q830" s="108"/>
      <c r="R830" s="108"/>
      <c r="S830" s="108"/>
      <c r="T830" s="108"/>
      <c r="U830" s="108"/>
      <c r="V830" s="108"/>
      <c r="W830" s="108"/>
      <c r="X830" s="108"/>
      <c r="Y830" s="108"/>
    </row>
    <row r="831">
      <c r="A831" s="244"/>
      <c r="B831" s="107"/>
      <c r="C831" s="107"/>
      <c r="D831" s="115"/>
      <c r="E831" s="107"/>
      <c r="F831" s="211"/>
      <c r="G831" s="256"/>
      <c r="H831" s="239"/>
      <c r="I831" s="108"/>
      <c r="J831" s="108"/>
      <c r="K831" s="108"/>
      <c r="L831" s="108"/>
      <c r="M831" s="108"/>
      <c r="N831" s="108"/>
      <c r="O831" s="108"/>
      <c r="P831" s="108"/>
      <c r="Q831" s="108"/>
      <c r="R831" s="108"/>
      <c r="S831" s="108"/>
      <c r="T831" s="108"/>
      <c r="U831" s="108"/>
      <c r="V831" s="108"/>
      <c r="W831" s="108"/>
      <c r="X831" s="108"/>
      <c r="Y831" s="108"/>
    </row>
    <row r="832">
      <c r="A832" s="244"/>
      <c r="B832" s="107"/>
      <c r="C832" s="107"/>
      <c r="D832" s="115"/>
      <c r="E832" s="107"/>
      <c r="F832" s="211"/>
      <c r="G832" s="256"/>
      <c r="H832" s="239"/>
      <c r="I832" s="108"/>
      <c r="J832" s="108"/>
      <c r="K832" s="108"/>
      <c r="L832" s="108"/>
      <c r="M832" s="108"/>
      <c r="N832" s="108"/>
      <c r="O832" s="108"/>
      <c r="P832" s="108"/>
      <c r="Q832" s="108"/>
      <c r="R832" s="108"/>
      <c r="S832" s="108"/>
      <c r="T832" s="108"/>
      <c r="U832" s="108"/>
      <c r="V832" s="108"/>
      <c r="W832" s="108"/>
      <c r="X832" s="108"/>
      <c r="Y832" s="108"/>
    </row>
    <row r="833">
      <c r="A833" s="244"/>
      <c r="B833" s="107"/>
      <c r="C833" s="107"/>
      <c r="D833" s="115"/>
      <c r="E833" s="107"/>
      <c r="F833" s="211"/>
      <c r="G833" s="256"/>
      <c r="H833" s="239"/>
      <c r="I833" s="108"/>
      <c r="J833" s="108"/>
      <c r="K833" s="108"/>
      <c r="L833" s="108"/>
      <c r="M833" s="108"/>
      <c r="N833" s="108"/>
      <c r="O833" s="108"/>
      <c r="P833" s="108"/>
      <c r="Q833" s="108"/>
      <c r="R833" s="108"/>
      <c r="S833" s="108"/>
      <c r="T833" s="108"/>
      <c r="U833" s="108"/>
      <c r="V833" s="108"/>
      <c r="W833" s="108"/>
      <c r="X833" s="108"/>
      <c r="Y833" s="108"/>
    </row>
    <row r="834">
      <c r="A834" s="244"/>
      <c r="B834" s="107"/>
      <c r="C834" s="107"/>
      <c r="D834" s="115"/>
      <c r="E834" s="107"/>
      <c r="F834" s="211"/>
      <c r="G834" s="256"/>
      <c r="H834" s="239"/>
      <c r="I834" s="108"/>
      <c r="J834" s="108"/>
      <c r="K834" s="108"/>
      <c r="L834" s="108"/>
      <c r="M834" s="108"/>
      <c r="N834" s="108"/>
      <c r="O834" s="108"/>
      <c r="P834" s="108"/>
      <c r="Q834" s="108"/>
      <c r="R834" s="108"/>
      <c r="S834" s="108"/>
      <c r="T834" s="108"/>
      <c r="U834" s="108"/>
      <c r="V834" s="108"/>
      <c r="W834" s="108"/>
      <c r="X834" s="108"/>
      <c r="Y834" s="108"/>
    </row>
    <row r="835">
      <c r="A835" s="244"/>
      <c r="B835" s="107"/>
      <c r="C835" s="107"/>
      <c r="D835" s="115"/>
      <c r="E835" s="107"/>
      <c r="F835" s="211"/>
      <c r="G835" s="256"/>
      <c r="H835" s="239"/>
      <c r="I835" s="108"/>
      <c r="J835" s="108"/>
      <c r="K835" s="108"/>
      <c r="L835" s="108"/>
      <c r="M835" s="108"/>
      <c r="N835" s="108"/>
      <c r="O835" s="108"/>
      <c r="P835" s="108"/>
      <c r="Q835" s="108"/>
      <c r="R835" s="108"/>
      <c r="S835" s="108"/>
      <c r="T835" s="108"/>
      <c r="U835" s="108"/>
      <c r="V835" s="108"/>
      <c r="W835" s="108"/>
      <c r="X835" s="108"/>
      <c r="Y835" s="108"/>
    </row>
    <row r="836">
      <c r="A836" s="244"/>
      <c r="B836" s="107"/>
      <c r="C836" s="107"/>
      <c r="D836" s="115"/>
      <c r="E836" s="107"/>
      <c r="F836" s="211"/>
      <c r="G836" s="256"/>
      <c r="H836" s="239"/>
      <c r="I836" s="108"/>
      <c r="J836" s="108"/>
      <c r="K836" s="108"/>
      <c r="L836" s="108"/>
      <c r="M836" s="108"/>
      <c r="N836" s="108"/>
      <c r="O836" s="108"/>
      <c r="P836" s="108"/>
      <c r="Q836" s="108"/>
      <c r="R836" s="108"/>
      <c r="S836" s="108"/>
      <c r="T836" s="108"/>
      <c r="U836" s="108"/>
      <c r="V836" s="108"/>
      <c r="W836" s="108"/>
      <c r="X836" s="108"/>
      <c r="Y836" s="108"/>
    </row>
    <row r="837">
      <c r="A837" s="244"/>
      <c r="B837" s="107"/>
      <c r="C837" s="107"/>
      <c r="D837" s="115"/>
      <c r="E837" s="107"/>
      <c r="F837" s="211"/>
      <c r="G837" s="256"/>
      <c r="H837" s="239"/>
      <c r="I837" s="108"/>
      <c r="J837" s="108"/>
      <c r="K837" s="108"/>
      <c r="L837" s="108"/>
      <c r="M837" s="108"/>
      <c r="N837" s="108"/>
      <c r="O837" s="108"/>
      <c r="P837" s="108"/>
      <c r="Q837" s="108"/>
      <c r="R837" s="108"/>
      <c r="S837" s="108"/>
      <c r="T837" s="108"/>
      <c r="U837" s="108"/>
      <c r="V837" s="108"/>
      <c r="W837" s="108"/>
      <c r="X837" s="108"/>
      <c r="Y837" s="108"/>
    </row>
    <row r="838">
      <c r="A838" s="244"/>
      <c r="B838" s="107"/>
      <c r="C838" s="107"/>
      <c r="D838" s="115"/>
      <c r="E838" s="107"/>
      <c r="F838" s="211"/>
      <c r="G838" s="256"/>
      <c r="H838" s="239"/>
      <c r="I838" s="108"/>
      <c r="J838" s="108"/>
      <c r="K838" s="108"/>
      <c r="L838" s="108"/>
      <c r="M838" s="108"/>
      <c r="N838" s="108"/>
      <c r="O838" s="108"/>
      <c r="P838" s="108"/>
      <c r="Q838" s="108"/>
      <c r="R838" s="108"/>
      <c r="S838" s="108"/>
      <c r="T838" s="108"/>
      <c r="U838" s="108"/>
      <c r="V838" s="108"/>
      <c r="W838" s="108"/>
      <c r="X838" s="108"/>
      <c r="Y838" s="108"/>
    </row>
    <row r="839">
      <c r="A839" s="244"/>
      <c r="B839" s="107"/>
      <c r="C839" s="107"/>
      <c r="D839" s="115"/>
      <c r="E839" s="107"/>
      <c r="F839" s="211"/>
      <c r="G839" s="256"/>
      <c r="H839" s="239"/>
      <c r="I839" s="108"/>
      <c r="J839" s="108"/>
      <c r="K839" s="108"/>
      <c r="L839" s="108"/>
      <c r="M839" s="108"/>
      <c r="N839" s="108"/>
      <c r="O839" s="108"/>
      <c r="P839" s="108"/>
      <c r="Q839" s="108"/>
      <c r="R839" s="108"/>
      <c r="S839" s="108"/>
      <c r="T839" s="108"/>
      <c r="U839" s="108"/>
      <c r="V839" s="108"/>
      <c r="W839" s="108"/>
      <c r="X839" s="108"/>
      <c r="Y839" s="108"/>
    </row>
    <row r="840">
      <c r="A840" s="244"/>
      <c r="B840" s="107"/>
      <c r="C840" s="107"/>
      <c r="D840" s="115"/>
      <c r="E840" s="107"/>
      <c r="F840" s="211"/>
      <c r="G840" s="256"/>
      <c r="H840" s="239"/>
      <c r="I840" s="108"/>
      <c r="J840" s="108"/>
      <c r="K840" s="108"/>
      <c r="L840" s="108"/>
      <c r="M840" s="108"/>
      <c r="N840" s="108"/>
      <c r="O840" s="108"/>
      <c r="P840" s="108"/>
      <c r="Q840" s="108"/>
      <c r="R840" s="108"/>
      <c r="S840" s="108"/>
      <c r="T840" s="108"/>
      <c r="U840" s="108"/>
      <c r="V840" s="108"/>
      <c r="W840" s="108"/>
      <c r="X840" s="108"/>
      <c r="Y840" s="108"/>
    </row>
    <row r="841">
      <c r="A841" s="244"/>
      <c r="B841" s="107"/>
      <c r="C841" s="107"/>
      <c r="D841" s="115"/>
      <c r="E841" s="107"/>
      <c r="F841" s="211"/>
      <c r="G841" s="256"/>
      <c r="H841" s="239"/>
      <c r="I841" s="108"/>
      <c r="J841" s="108"/>
      <c r="K841" s="108"/>
      <c r="L841" s="108"/>
      <c r="M841" s="108"/>
      <c r="N841" s="108"/>
      <c r="O841" s="108"/>
      <c r="P841" s="108"/>
      <c r="Q841" s="108"/>
      <c r="R841" s="108"/>
      <c r="S841" s="108"/>
      <c r="T841" s="108"/>
      <c r="U841" s="108"/>
      <c r="V841" s="108"/>
      <c r="W841" s="108"/>
      <c r="X841" s="108"/>
      <c r="Y841" s="108"/>
    </row>
    <row r="842">
      <c r="A842" s="244"/>
      <c r="B842" s="107"/>
      <c r="C842" s="107"/>
      <c r="D842" s="115"/>
      <c r="E842" s="107"/>
      <c r="F842" s="211"/>
      <c r="G842" s="256"/>
      <c r="H842" s="239"/>
      <c r="I842" s="108"/>
      <c r="J842" s="108"/>
      <c r="K842" s="108"/>
      <c r="L842" s="108"/>
      <c r="M842" s="108"/>
      <c r="N842" s="108"/>
      <c r="O842" s="108"/>
      <c r="P842" s="108"/>
      <c r="Q842" s="108"/>
      <c r="R842" s="108"/>
      <c r="S842" s="108"/>
      <c r="T842" s="108"/>
      <c r="U842" s="108"/>
      <c r="V842" s="108"/>
      <c r="W842" s="108"/>
      <c r="X842" s="108"/>
      <c r="Y842" s="108"/>
    </row>
    <row r="843">
      <c r="A843" s="244"/>
      <c r="B843" s="107"/>
      <c r="C843" s="107"/>
      <c r="D843" s="115"/>
      <c r="E843" s="107"/>
      <c r="F843" s="211"/>
      <c r="G843" s="256"/>
      <c r="H843" s="239"/>
      <c r="I843" s="108"/>
      <c r="J843" s="108"/>
      <c r="K843" s="108"/>
      <c r="L843" s="108"/>
      <c r="M843" s="108"/>
      <c r="N843" s="108"/>
      <c r="O843" s="108"/>
      <c r="P843" s="108"/>
      <c r="Q843" s="108"/>
      <c r="R843" s="108"/>
      <c r="S843" s="108"/>
      <c r="T843" s="108"/>
      <c r="U843" s="108"/>
      <c r="V843" s="108"/>
      <c r="W843" s="108"/>
      <c r="X843" s="108"/>
      <c r="Y843" s="108"/>
    </row>
    <row r="844">
      <c r="A844" s="244"/>
      <c r="B844" s="107"/>
      <c r="C844" s="107"/>
      <c r="D844" s="115"/>
      <c r="E844" s="107"/>
      <c r="F844" s="211"/>
      <c r="G844" s="256"/>
      <c r="H844" s="239"/>
      <c r="I844" s="108"/>
      <c r="J844" s="108"/>
      <c r="K844" s="108"/>
      <c r="L844" s="108"/>
      <c r="M844" s="108"/>
      <c r="N844" s="108"/>
      <c r="O844" s="108"/>
      <c r="P844" s="108"/>
      <c r="Q844" s="108"/>
      <c r="R844" s="108"/>
      <c r="S844" s="108"/>
      <c r="T844" s="108"/>
      <c r="U844" s="108"/>
      <c r="V844" s="108"/>
      <c r="W844" s="108"/>
      <c r="X844" s="108"/>
      <c r="Y844" s="108"/>
    </row>
    <row r="845">
      <c r="A845" s="244"/>
      <c r="B845" s="107"/>
      <c r="C845" s="107"/>
      <c r="D845" s="115"/>
      <c r="E845" s="107"/>
      <c r="F845" s="211"/>
      <c r="G845" s="256"/>
      <c r="H845" s="239"/>
      <c r="I845" s="108"/>
      <c r="J845" s="108"/>
      <c r="K845" s="108"/>
      <c r="L845" s="108"/>
      <c r="M845" s="108"/>
      <c r="N845" s="108"/>
      <c r="O845" s="108"/>
      <c r="P845" s="108"/>
      <c r="Q845" s="108"/>
      <c r="R845" s="108"/>
      <c r="S845" s="108"/>
      <c r="T845" s="108"/>
      <c r="U845" s="108"/>
      <c r="V845" s="108"/>
      <c r="W845" s="108"/>
      <c r="X845" s="108"/>
      <c r="Y845" s="108"/>
    </row>
    <row r="846">
      <c r="A846" s="244"/>
      <c r="B846" s="107"/>
      <c r="C846" s="107"/>
      <c r="D846" s="115"/>
      <c r="E846" s="107"/>
      <c r="F846" s="211"/>
      <c r="G846" s="256"/>
      <c r="H846" s="239"/>
      <c r="I846" s="108"/>
      <c r="J846" s="108"/>
      <c r="K846" s="108"/>
      <c r="L846" s="108"/>
      <c r="M846" s="108"/>
      <c r="N846" s="108"/>
      <c r="O846" s="108"/>
      <c r="P846" s="108"/>
      <c r="Q846" s="108"/>
      <c r="R846" s="108"/>
      <c r="S846" s="108"/>
      <c r="T846" s="108"/>
      <c r="U846" s="108"/>
      <c r="V846" s="108"/>
      <c r="W846" s="108"/>
      <c r="X846" s="108"/>
      <c r="Y846" s="108"/>
    </row>
    <row r="847">
      <c r="A847" s="244"/>
      <c r="B847" s="107"/>
      <c r="C847" s="107"/>
      <c r="D847" s="115"/>
      <c r="E847" s="107"/>
      <c r="F847" s="211"/>
      <c r="G847" s="256"/>
      <c r="H847" s="239"/>
      <c r="I847" s="108"/>
      <c r="J847" s="108"/>
      <c r="K847" s="108"/>
      <c r="L847" s="108"/>
      <c r="M847" s="108"/>
      <c r="N847" s="108"/>
      <c r="O847" s="108"/>
      <c r="P847" s="108"/>
      <c r="Q847" s="108"/>
      <c r="R847" s="108"/>
      <c r="S847" s="108"/>
      <c r="T847" s="108"/>
      <c r="U847" s="108"/>
      <c r="V847" s="108"/>
      <c r="W847" s="108"/>
      <c r="X847" s="108"/>
      <c r="Y847" s="108"/>
    </row>
    <row r="848">
      <c r="A848" s="244"/>
      <c r="B848" s="107"/>
      <c r="C848" s="107"/>
      <c r="D848" s="115"/>
      <c r="E848" s="107"/>
      <c r="F848" s="211"/>
      <c r="G848" s="256"/>
      <c r="H848" s="239"/>
      <c r="I848" s="108"/>
      <c r="J848" s="108"/>
      <c r="K848" s="108"/>
      <c r="L848" s="108"/>
      <c r="M848" s="108"/>
      <c r="N848" s="108"/>
      <c r="O848" s="108"/>
      <c r="P848" s="108"/>
      <c r="Q848" s="108"/>
      <c r="R848" s="108"/>
      <c r="S848" s="108"/>
      <c r="T848" s="108"/>
      <c r="U848" s="108"/>
      <c r="V848" s="108"/>
      <c r="W848" s="108"/>
      <c r="X848" s="108"/>
      <c r="Y848" s="108"/>
    </row>
    <row r="849">
      <c r="A849" s="244"/>
      <c r="B849" s="107"/>
      <c r="C849" s="107"/>
      <c r="D849" s="115"/>
      <c r="E849" s="107"/>
      <c r="F849" s="211"/>
      <c r="G849" s="256"/>
      <c r="H849" s="239"/>
      <c r="I849" s="108"/>
      <c r="J849" s="108"/>
      <c r="K849" s="108"/>
      <c r="L849" s="108"/>
      <c r="M849" s="108"/>
      <c r="N849" s="108"/>
      <c r="O849" s="108"/>
      <c r="P849" s="108"/>
      <c r="Q849" s="108"/>
      <c r="R849" s="108"/>
      <c r="S849" s="108"/>
      <c r="T849" s="108"/>
      <c r="U849" s="108"/>
      <c r="V849" s="108"/>
      <c r="W849" s="108"/>
      <c r="X849" s="108"/>
      <c r="Y849" s="108"/>
    </row>
    <row r="850">
      <c r="A850" s="244"/>
      <c r="B850" s="107"/>
      <c r="C850" s="107"/>
      <c r="D850" s="115"/>
      <c r="E850" s="107"/>
      <c r="F850" s="211"/>
      <c r="G850" s="256"/>
      <c r="H850" s="239"/>
      <c r="I850" s="108"/>
      <c r="J850" s="108"/>
      <c r="K850" s="108"/>
      <c r="L850" s="108"/>
      <c r="M850" s="108"/>
      <c r="N850" s="108"/>
      <c r="O850" s="108"/>
      <c r="P850" s="108"/>
      <c r="Q850" s="108"/>
      <c r="R850" s="108"/>
      <c r="S850" s="108"/>
      <c r="T850" s="108"/>
      <c r="U850" s="108"/>
      <c r="V850" s="108"/>
      <c r="W850" s="108"/>
      <c r="X850" s="108"/>
      <c r="Y850" s="108"/>
    </row>
    <row r="851">
      <c r="A851" s="244"/>
      <c r="B851" s="107"/>
      <c r="C851" s="107"/>
      <c r="D851" s="115"/>
      <c r="E851" s="107"/>
      <c r="F851" s="211"/>
      <c r="G851" s="256"/>
      <c r="H851" s="239"/>
      <c r="I851" s="108"/>
      <c r="J851" s="108"/>
      <c r="K851" s="108"/>
      <c r="L851" s="108"/>
      <c r="M851" s="108"/>
      <c r="N851" s="108"/>
      <c r="O851" s="108"/>
      <c r="P851" s="108"/>
      <c r="Q851" s="108"/>
      <c r="R851" s="108"/>
      <c r="S851" s="108"/>
      <c r="T851" s="108"/>
      <c r="U851" s="108"/>
      <c r="V851" s="108"/>
      <c r="W851" s="108"/>
      <c r="X851" s="108"/>
      <c r="Y851" s="108"/>
    </row>
    <row r="852">
      <c r="A852" s="244"/>
      <c r="B852" s="107"/>
      <c r="C852" s="107"/>
      <c r="D852" s="115"/>
      <c r="E852" s="107"/>
      <c r="F852" s="211"/>
      <c r="G852" s="256"/>
      <c r="H852" s="239"/>
      <c r="I852" s="108"/>
      <c r="J852" s="108"/>
      <c r="K852" s="108"/>
      <c r="L852" s="108"/>
      <c r="M852" s="108"/>
      <c r="N852" s="108"/>
      <c r="O852" s="108"/>
      <c r="P852" s="108"/>
      <c r="Q852" s="108"/>
      <c r="R852" s="108"/>
      <c r="S852" s="108"/>
      <c r="T852" s="108"/>
      <c r="U852" s="108"/>
      <c r="V852" s="108"/>
      <c r="W852" s="108"/>
      <c r="X852" s="108"/>
      <c r="Y852" s="108"/>
    </row>
    <row r="853">
      <c r="A853" s="244"/>
      <c r="B853" s="107"/>
      <c r="C853" s="107"/>
      <c r="D853" s="115"/>
      <c r="E853" s="107"/>
      <c r="F853" s="211"/>
      <c r="G853" s="256"/>
      <c r="H853" s="239"/>
      <c r="I853" s="108"/>
      <c r="J853" s="108"/>
      <c r="K853" s="108"/>
      <c r="L853" s="108"/>
      <c r="M853" s="108"/>
      <c r="N853" s="108"/>
      <c r="O853" s="108"/>
      <c r="P853" s="108"/>
      <c r="Q853" s="108"/>
      <c r="R853" s="108"/>
      <c r="S853" s="108"/>
      <c r="T853" s="108"/>
      <c r="U853" s="108"/>
      <c r="V853" s="108"/>
      <c r="W853" s="108"/>
      <c r="X853" s="108"/>
      <c r="Y853" s="108"/>
    </row>
    <row r="854">
      <c r="A854" s="244"/>
      <c r="B854" s="107"/>
      <c r="C854" s="107"/>
      <c r="D854" s="115"/>
      <c r="E854" s="107"/>
      <c r="F854" s="211"/>
      <c r="G854" s="256"/>
      <c r="H854" s="239"/>
      <c r="I854" s="108"/>
      <c r="J854" s="108"/>
      <c r="K854" s="108"/>
      <c r="L854" s="108"/>
      <c r="M854" s="108"/>
      <c r="N854" s="108"/>
      <c r="O854" s="108"/>
      <c r="P854" s="108"/>
      <c r="Q854" s="108"/>
      <c r="R854" s="108"/>
      <c r="S854" s="108"/>
      <c r="T854" s="108"/>
      <c r="U854" s="108"/>
      <c r="V854" s="108"/>
      <c r="W854" s="108"/>
      <c r="X854" s="108"/>
      <c r="Y854" s="108"/>
    </row>
    <row r="855">
      <c r="A855" s="244"/>
      <c r="B855" s="107"/>
      <c r="C855" s="107"/>
      <c r="D855" s="115"/>
      <c r="E855" s="107"/>
      <c r="F855" s="211"/>
      <c r="G855" s="256"/>
      <c r="H855" s="239"/>
      <c r="I855" s="108"/>
      <c r="J855" s="108"/>
      <c r="K855" s="108"/>
      <c r="L855" s="108"/>
      <c r="M855" s="108"/>
      <c r="N855" s="108"/>
      <c r="O855" s="108"/>
      <c r="P855" s="108"/>
      <c r="Q855" s="108"/>
      <c r="R855" s="108"/>
      <c r="S855" s="108"/>
      <c r="T855" s="108"/>
      <c r="U855" s="108"/>
      <c r="V855" s="108"/>
      <c r="W855" s="108"/>
      <c r="X855" s="108"/>
      <c r="Y855" s="108"/>
    </row>
    <row r="856">
      <c r="A856" s="244"/>
      <c r="B856" s="107"/>
      <c r="C856" s="107"/>
      <c r="D856" s="115"/>
      <c r="E856" s="107"/>
      <c r="F856" s="211"/>
      <c r="G856" s="256"/>
      <c r="H856" s="239"/>
      <c r="I856" s="108"/>
      <c r="J856" s="108"/>
      <c r="K856" s="108"/>
      <c r="L856" s="108"/>
      <c r="M856" s="108"/>
      <c r="N856" s="108"/>
      <c r="O856" s="108"/>
      <c r="P856" s="108"/>
      <c r="Q856" s="108"/>
      <c r="R856" s="108"/>
      <c r="S856" s="108"/>
      <c r="T856" s="108"/>
      <c r="U856" s="108"/>
      <c r="V856" s="108"/>
      <c r="W856" s="108"/>
      <c r="X856" s="108"/>
      <c r="Y856" s="108"/>
    </row>
    <row r="857">
      <c r="A857" s="244"/>
      <c r="B857" s="107"/>
      <c r="C857" s="107"/>
      <c r="D857" s="115"/>
      <c r="E857" s="107"/>
      <c r="F857" s="211"/>
      <c r="G857" s="256"/>
      <c r="H857" s="239"/>
      <c r="I857" s="108"/>
      <c r="J857" s="108"/>
      <c r="K857" s="108"/>
      <c r="L857" s="108"/>
      <c r="M857" s="108"/>
      <c r="N857" s="108"/>
      <c r="O857" s="108"/>
      <c r="P857" s="108"/>
      <c r="Q857" s="108"/>
      <c r="R857" s="108"/>
      <c r="S857" s="108"/>
      <c r="T857" s="108"/>
      <c r="U857" s="108"/>
      <c r="V857" s="108"/>
      <c r="W857" s="108"/>
      <c r="X857" s="108"/>
      <c r="Y857" s="108"/>
    </row>
    <row r="858">
      <c r="A858" s="244"/>
      <c r="B858" s="107"/>
      <c r="C858" s="107"/>
      <c r="D858" s="115"/>
      <c r="E858" s="107"/>
      <c r="F858" s="211"/>
      <c r="G858" s="256"/>
      <c r="H858" s="239"/>
      <c r="I858" s="108"/>
      <c r="J858" s="108"/>
      <c r="K858" s="108"/>
      <c r="L858" s="108"/>
      <c r="M858" s="108"/>
      <c r="N858" s="108"/>
      <c r="O858" s="108"/>
      <c r="P858" s="108"/>
      <c r="Q858" s="108"/>
      <c r="R858" s="108"/>
      <c r="S858" s="108"/>
      <c r="T858" s="108"/>
      <c r="U858" s="108"/>
      <c r="V858" s="108"/>
      <c r="W858" s="108"/>
      <c r="X858" s="108"/>
      <c r="Y858" s="108"/>
    </row>
    <row r="859">
      <c r="A859" s="244"/>
      <c r="B859" s="107"/>
      <c r="C859" s="107"/>
      <c r="D859" s="115"/>
      <c r="E859" s="107"/>
      <c r="F859" s="211"/>
      <c r="G859" s="256"/>
      <c r="H859" s="239"/>
      <c r="I859" s="108"/>
      <c r="J859" s="108"/>
      <c r="K859" s="108"/>
      <c r="L859" s="108"/>
      <c r="M859" s="108"/>
      <c r="N859" s="108"/>
      <c r="O859" s="108"/>
      <c r="P859" s="108"/>
      <c r="Q859" s="108"/>
      <c r="R859" s="108"/>
      <c r="S859" s="108"/>
      <c r="T859" s="108"/>
      <c r="U859" s="108"/>
      <c r="V859" s="108"/>
      <c r="W859" s="108"/>
      <c r="X859" s="108"/>
      <c r="Y859" s="108"/>
    </row>
    <row r="860">
      <c r="A860" s="244"/>
      <c r="B860" s="107"/>
      <c r="C860" s="107"/>
      <c r="D860" s="115"/>
      <c r="E860" s="107"/>
      <c r="F860" s="211"/>
      <c r="G860" s="256"/>
      <c r="H860" s="239"/>
      <c r="I860" s="108"/>
      <c r="J860" s="108"/>
      <c r="K860" s="108"/>
      <c r="L860" s="108"/>
      <c r="M860" s="108"/>
      <c r="N860" s="108"/>
      <c r="O860" s="108"/>
      <c r="P860" s="108"/>
      <c r="Q860" s="108"/>
      <c r="R860" s="108"/>
      <c r="S860" s="108"/>
      <c r="T860" s="108"/>
      <c r="U860" s="108"/>
      <c r="V860" s="108"/>
      <c r="W860" s="108"/>
      <c r="X860" s="108"/>
      <c r="Y860" s="108"/>
    </row>
    <row r="861">
      <c r="A861" s="244"/>
      <c r="B861" s="107"/>
      <c r="C861" s="107"/>
      <c r="D861" s="115"/>
      <c r="E861" s="107"/>
      <c r="F861" s="211"/>
      <c r="G861" s="256"/>
      <c r="H861" s="239"/>
      <c r="I861" s="108"/>
      <c r="J861" s="108"/>
      <c r="K861" s="108"/>
      <c r="L861" s="108"/>
      <c r="M861" s="108"/>
      <c r="N861" s="108"/>
      <c r="O861" s="108"/>
      <c r="P861" s="108"/>
      <c r="Q861" s="108"/>
      <c r="R861" s="108"/>
      <c r="S861" s="108"/>
      <c r="T861" s="108"/>
      <c r="U861" s="108"/>
      <c r="V861" s="108"/>
      <c r="W861" s="108"/>
      <c r="X861" s="108"/>
      <c r="Y861" s="108"/>
    </row>
    <row r="862">
      <c r="A862" s="244"/>
      <c r="B862" s="107"/>
      <c r="C862" s="107"/>
      <c r="D862" s="115"/>
      <c r="E862" s="107"/>
      <c r="F862" s="211"/>
      <c r="G862" s="256"/>
      <c r="H862" s="239"/>
      <c r="I862" s="108"/>
      <c r="J862" s="108"/>
      <c r="K862" s="108"/>
      <c r="L862" s="108"/>
      <c r="M862" s="108"/>
      <c r="N862" s="108"/>
      <c r="O862" s="108"/>
      <c r="P862" s="108"/>
      <c r="Q862" s="108"/>
      <c r="R862" s="108"/>
      <c r="S862" s="108"/>
      <c r="T862" s="108"/>
      <c r="U862" s="108"/>
      <c r="V862" s="108"/>
      <c r="W862" s="108"/>
      <c r="X862" s="108"/>
      <c r="Y862" s="108"/>
    </row>
    <row r="863">
      <c r="A863" s="244"/>
      <c r="B863" s="107"/>
      <c r="C863" s="107"/>
      <c r="D863" s="115"/>
      <c r="E863" s="107"/>
      <c r="F863" s="211"/>
      <c r="G863" s="256"/>
      <c r="H863" s="239"/>
      <c r="I863" s="108"/>
      <c r="J863" s="108"/>
      <c r="K863" s="108"/>
      <c r="L863" s="108"/>
      <c r="M863" s="108"/>
      <c r="N863" s="108"/>
      <c r="O863" s="108"/>
      <c r="P863" s="108"/>
      <c r="Q863" s="108"/>
      <c r="R863" s="108"/>
      <c r="S863" s="108"/>
      <c r="T863" s="108"/>
      <c r="U863" s="108"/>
      <c r="V863" s="108"/>
      <c r="W863" s="108"/>
      <c r="X863" s="108"/>
      <c r="Y863" s="108"/>
    </row>
    <row r="864">
      <c r="A864" s="244"/>
      <c r="B864" s="107"/>
      <c r="C864" s="107"/>
      <c r="D864" s="115"/>
      <c r="E864" s="107"/>
      <c r="F864" s="211"/>
      <c r="G864" s="256"/>
      <c r="H864" s="239"/>
      <c r="I864" s="108"/>
      <c r="J864" s="108"/>
      <c r="K864" s="108"/>
      <c r="L864" s="108"/>
      <c r="M864" s="108"/>
      <c r="N864" s="108"/>
      <c r="O864" s="108"/>
      <c r="P864" s="108"/>
      <c r="Q864" s="108"/>
      <c r="R864" s="108"/>
      <c r="S864" s="108"/>
      <c r="T864" s="108"/>
      <c r="U864" s="108"/>
      <c r="V864" s="108"/>
      <c r="W864" s="108"/>
      <c r="X864" s="108"/>
      <c r="Y864" s="108"/>
    </row>
    <row r="865">
      <c r="A865" s="244"/>
      <c r="B865" s="107"/>
      <c r="C865" s="107"/>
      <c r="D865" s="115"/>
      <c r="E865" s="107"/>
      <c r="F865" s="211"/>
      <c r="G865" s="256"/>
      <c r="H865" s="239"/>
      <c r="I865" s="108"/>
      <c r="J865" s="108"/>
      <c r="K865" s="108"/>
      <c r="L865" s="108"/>
      <c r="M865" s="108"/>
      <c r="N865" s="108"/>
      <c r="O865" s="108"/>
      <c r="P865" s="108"/>
      <c r="Q865" s="108"/>
      <c r="R865" s="108"/>
      <c r="S865" s="108"/>
      <c r="T865" s="108"/>
      <c r="U865" s="108"/>
      <c r="V865" s="108"/>
      <c r="W865" s="108"/>
      <c r="X865" s="108"/>
      <c r="Y865" s="108"/>
    </row>
    <row r="866">
      <c r="A866" s="244"/>
      <c r="B866" s="107"/>
      <c r="C866" s="107"/>
      <c r="D866" s="115"/>
      <c r="E866" s="107"/>
      <c r="F866" s="211"/>
      <c r="G866" s="256"/>
      <c r="H866" s="239"/>
      <c r="I866" s="108"/>
      <c r="J866" s="108"/>
      <c r="K866" s="108"/>
      <c r="L866" s="108"/>
      <c r="M866" s="108"/>
      <c r="N866" s="108"/>
      <c r="O866" s="108"/>
      <c r="P866" s="108"/>
      <c r="Q866" s="108"/>
      <c r="R866" s="108"/>
      <c r="S866" s="108"/>
      <c r="T866" s="108"/>
      <c r="U866" s="108"/>
      <c r="V866" s="108"/>
      <c r="W866" s="108"/>
      <c r="X866" s="108"/>
      <c r="Y866" s="108"/>
    </row>
    <row r="867">
      <c r="A867" s="244"/>
      <c r="B867" s="107"/>
      <c r="C867" s="107"/>
      <c r="D867" s="115"/>
      <c r="E867" s="107"/>
      <c r="F867" s="211"/>
      <c r="G867" s="256"/>
      <c r="H867" s="239"/>
      <c r="I867" s="108"/>
      <c r="J867" s="108"/>
      <c r="K867" s="108"/>
      <c r="L867" s="108"/>
      <c r="M867" s="108"/>
      <c r="N867" s="108"/>
      <c r="O867" s="108"/>
      <c r="P867" s="108"/>
      <c r="Q867" s="108"/>
      <c r="R867" s="108"/>
      <c r="S867" s="108"/>
      <c r="T867" s="108"/>
      <c r="U867" s="108"/>
      <c r="V867" s="108"/>
      <c r="W867" s="108"/>
      <c r="X867" s="108"/>
      <c r="Y867" s="108"/>
    </row>
    <row r="868">
      <c r="A868" s="244"/>
      <c r="B868" s="107"/>
      <c r="C868" s="107"/>
      <c r="D868" s="115"/>
      <c r="E868" s="107"/>
      <c r="F868" s="211"/>
      <c r="G868" s="256"/>
      <c r="H868" s="239"/>
      <c r="I868" s="108"/>
      <c r="J868" s="108"/>
      <c r="K868" s="108"/>
      <c r="L868" s="108"/>
      <c r="M868" s="108"/>
      <c r="N868" s="108"/>
      <c r="O868" s="108"/>
      <c r="P868" s="108"/>
      <c r="Q868" s="108"/>
      <c r="R868" s="108"/>
      <c r="S868" s="108"/>
      <c r="T868" s="108"/>
      <c r="U868" s="108"/>
      <c r="V868" s="108"/>
      <c r="W868" s="108"/>
      <c r="X868" s="108"/>
      <c r="Y868" s="108"/>
    </row>
    <row r="869">
      <c r="A869" s="244"/>
      <c r="B869" s="107"/>
      <c r="C869" s="107"/>
      <c r="D869" s="115"/>
      <c r="E869" s="107"/>
      <c r="F869" s="211"/>
      <c r="G869" s="256"/>
      <c r="H869" s="239"/>
      <c r="I869" s="108"/>
      <c r="J869" s="108"/>
      <c r="K869" s="108"/>
      <c r="L869" s="108"/>
      <c r="M869" s="108"/>
      <c r="N869" s="108"/>
      <c r="O869" s="108"/>
      <c r="P869" s="108"/>
      <c r="Q869" s="108"/>
      <c r="R869" s="108"/>
      <c r="S869" s="108"/>
      <c r="T869" s="108"/>
      <c r="U869" s="108"/>
      <c r="V869" s="108"/>
      <c r="W869" s="108"/>
      <c r="X869" s="108"/>
      <c r="Y869" s="108"/>
    </row>
    <row r="870">
      <c r="A870" s="244"/>
      <c r="B870" s="107"/>
      <c r="C870" s="107"/>
      <c r="D870" s="115"/>
      <c r="E870" s="107"/>
      <c r="F870" s="211"/>
      <c r="G870" s="256"/>
      <c r="H870" s="239"/>
      <c r="I870" s="108"/>
      <c r="J870" s="108"/>
      <c r="K870" s="108"/>
      <c r="L870" s="108"/>
      <c r="M870" s="108"/>
      <c r="N870" s="108"/>
      <c r="O870" s="108"/>
      <c r="P870" s="108"/>
      <c r="Q870" s="108"/>
      <c r="R870" s="108"/>
      <c r="S870" s="108"/>
      <c r="T870" s="108"/>
      <c r="U870" s="108"/>
      <c r="V870" s="108"/>
      <c r="W870" s="108"/>
      <c r="X870" s="108"/>
      <c r="Y870" s="108"/>
    </row>
    <row r="871">
      <c r="A871" s="244"/>
      <c r="B871" s="107"/>
      <c r="C871" s="107"/>
      <c r="D871" s="115"/>
      <c r="E871" s="107"/>
      <c r="F871" s="211"/>
      <c r="G871" s="256"/>
      <c r="H871" s="239"/>
      <c r="I871" s="108"/>
      <c r="J871" s="108"/>
      <c r="K871" s="108"/>
      <c r="L871" s="108"/>
      <c r="M871" s="108"/>
      <c r="N871" s="108"/>
      <c r="O871" s="108"/>
      <c r="P871" s="108"/>
      <c r="Q871" s="108"/>
      <c r="R871" s="108"/>
      <c r="S871" s="108"/>
      <c r="T871" s="108"/>
      <c r="U871" s="108"/>
      <c r="V871" s="108"/>
      <c r="W871" s="108"/>
      <c r="X871" s="108"/>
      <c r="Y871" s="108"/>
    </row>
    <row r="872">
      <c r="A872" s="244"/>
      <c r="B872" s="107"/>
      <c r="C872" s="107"/>
      <c r="D872" s="115"/>
      <c r="E872" s="107"/>
      <c r="F872" s="211"/>
      <c r="G872" s="256"/>
      <c r="H872" s="239"/>
      <c r="I872" s="108"/>
      <c r="J872" s="108"/>
      <c r="K872" s="108"/>
      <c r="L872" s="108"/>
      <c r="M872" s="108"/>
      <c r="N872" s="108"/>
      <c r="O872" s="108"/>
      <c r="P872" s="108"/>
      <c r="Q872" s="108"/>
      <c r="R872" s="108"/>
      <c r="S872" s="108"/>
      <c r="T872" s="108"/>
      <c r="U872" s="108"/>
      <c r="V872" s="108"/>
      <c r="W872" s="108"/>
      <c r="X872" s="108"/>
      <c r="Y872" s="108"/>
    </row>
    <row r="873">
      <c r="A873" s="244"/>
      <c r="B873" s="107"/>
      <c r="C873" s="107"/>
      <c r="D873" s="115"/>
      <c r="E873" s="107"/>
      <c r="F873" s="211"/>
      <c r="G873" s="256"/>
      <c r="H873" s="239"/>
      <c r="I873" s="108"/>
      <c r="J873" s="108"/>
      <c r="K873" s="108"/>
      <c r="L873" s="108"/>
      <c r="M873" s="108"/>
      <c r="N873" s="108"/>
      <c r="O873" s="108"/>
      <c r="P873" s="108"/>
      <c r="Q873" s="108"/>
      <c r="R873" s="108"/>
      <c r="S873" s="108"/>
      <c r="T873" s="108"/>
      <c r="U873" s="108"/>
      <c r="V873" s="108"/>
      <c r="W873" s="108"/>
      <c r="X873" s="108"/>
      <c r="Y873" s="108"/>
    </row>
    <row r="874">
      <c r="A874" s="244"/>
      <c r="B874" s="107"/>
      <c r="C874" s="107"/>
      <c r="D874" s="115"/>
      <c r="E874" s="107"/>
      <c r="F874" s="211"/>
      <c r="G874" s="256"/>
      <c r="H874" s="239"/>
      <c r="I874" s="108"/>
      <c r="J874" s="108"/>
      <c r="K874" s="108"/>
      <c r="L874" s="108"/>
      <c r="M874" s="108"/>
      <c r="N874" s="108"/>
      <c r="O874" s="108"/>
      <c r="P874" s="108"/>
      <c r="Q874" s="108"/>
      <c r="R874" s="108"/>
      <c r="S874" s="108"/>
      <c r="T874" s="108"/>
      <c r="U874" s="108"/>
      <c r="V874" s="108"/>
      <c r="W874" s="108"/>
      <c r="X874" s="108"/>
      <c r="Y874" s="108"/>
    </row>
    <row r="875">
      <c r="A875" s="244"/>
      <c r="B875" s="107"/>
      <c r="C875" s="107"/>
      <c r="D875" s="115"/>
      <c r="E875" s="107"/>
      <c r="F875" s="211"/>
      <c r="G875" s="256"/>
      <c r="H875" s="239"/>
      <c r="I875" s="108"/>
      <c r="J875" s="108"/>
      <c r="K875" s="108"/>
      <c r="L875" s="108"/>
      <c r="M875" s="108"/>
      <c r="N875" s="108"/>
      <c r="O875" s="108"/>
      <c r="P875" s="108"/>
      <c r="Q875" s="108"/>
      <c r="R875" s="108"/>
      <c r="S875" s="108"/>
      <c r="T875" s="108"/>
      <c r="U875" s="108"/>
      <c r="V875" s="108"/>
      <c r="W875" s="108"/>
      <c r="X875" s="108"/>
      <c r="Y875" s="108"/>
    </row>
    <row r="876">
      <c r="A876" s="244"/>
      <c r="B876" s="107"/>
      <c r="C876" s="107"/>
      <c r="D876" s="115"/>
      <c r="E876" s="107"/>
      <c r="F876" s="211"/>
      <c r="G876" s="256"/>
      <c r="H876" s="239"/>
      <c r="I876" s="108"/>
      <c r="J876" s="108"/>
      <c r="K876" s="108"/>
      <c r="L876" s="108"/>
      <c r="M876" s="108"/>
      <c r="N876" s="108"/>
      <c r="O876" s="108"/>
      <c r="P876" s="108"/>
      <c r="Q876" s="108"/>
      <c r="R876" s="108"/>
      <c r="S876" s="108"/>
      <c r="T876" s="108"/>
      <c r="U876" s="108"/>
      <c r="V876" s="108"/>
      <c r="W876" s="108"/>
      <c r="X876" s="108"/>
      <c r="Y876" s="108"/>
    </row>
    <row r="877">
      <c r="A877" s="244"/>
      <c r="B877" s="107"/>
      <c r="C877" s="107"/>
      <c r="D877" s="115"/>
      <c r="E877" s="107"/>
      <c r="F877" s="211"/>
      <c r="G877" s="256"/>
      <c r="H877" s="239"/>
      <c r="I877" s="108"/>
      <c r="J877" s="108"/>
      <c r="K877" s="108"/>
      <c r="L877" s="108"/>
      <c r="M877" s="108"/>
      <c r="N877" s="108"/>
      <c r="O877" s="108"/>
      <c r="P877" s="108"/>
      <c r="Q877" s="108"/>
      <c r="R877" s="108"/>
      <c r="S877" s="108"/>
      <c r="T877" s="108"/>
      <c r="U877" s="108"/>
      <c r="V877" s="108"/>
      <c r="W877" s="108"/>
      <c r="X877" s="108"/>
      <c r="Y877" s="108"/>
    </row>
    <row r="878">
      <c r="A878" s="244"/>
      <c r="B878" s="107"/>
      <c r="C878" s="107"/>
      <c r="D878" s="115"/>
      <c r="E878" s="107"/>
      <c r="F878" s="211"/>
      <c r="G878" s="256"/>
      <c r="H878" s="239"/>
      <c r="I878" s="108"/>
      <c r="J878" s="108"/>
      <c r="K878" s="108"/>
      <c r="L878" s="108"/>
      <c r="M878" s="108"/>
      <c r="N878" s="108"/>
      <c r="O878" s="108"/>
      <c r="P878" s="108"/>
      <c r="Q878" s="108"/>
      <c r="R878" s="108"/>
      <c r="S878" s="108"/>
      <c r="T878" s="108"/>
      <c r="U878" s="108"/>
      <c r="V878" s="108"/>
      <c r="W878" s="108"/>
      <c r="X878" s="108"/>
      <c r="Y878" s="108"/>
    </row>
    <row r="879">
      <c r="A879" s="244"/>
      <c r="B879" s="107"/>
      <c r="C879" s="107"/>
      <c r="D879" s="115"/>
      <c r="E879" s="107"/>
      <c r="F879" s="211"/>
      <c r="G879" s="256"/>
      <c r="H879" s="239"/>
      <c r="I879" s="108"/>
      <c r="J879" s="108"/>
      <c r="K879" s="108"/>
      <c r="L879" s="108"/>
      <c r="M879" s="108"/>
      <c r="N879" s="108"/>
      <c r="O879" s="108"/>
      <c r="P879" s="108"/>
      <c r="Q879" s="108"/>
      <c r="R879" s="108"/>
      <c r="S879" s="108"/>
      <c r="T879" s="108"/>
      <c r="U879" s="108"/>
      <c r="V879" s="108"/>
      <c r="W879" s="108"/>
      <c r="X879" s="108"/>
      <c r="Y879" s="108"/>
    </row>
    <row r="880">
      <c r="A880" s="244"/>
      <c r="B880" s="107"/>
      <c r="C880" s="107"/>
      <c r="D880" s="115"/>
      <c r="E880" s="107"/>
      <c r="F880" s="211"/>
      <c r="G880" s="256"/>
      <c r="H880" s="239"/>
      <c r="I880" s="108"/>
      <c r="J880" s="108"/>
      <c r="K880" s="108"/>
      <c r="L880" s="108"/>
      <c r="M880" s="108"/>
      <c r="N880" s="108"/>
      <c r="O880" s="108"/>
      <c r="P880" s="108"/>
      <c r="Q880" s="108"/>
      <c r="R880" s="108"/>
      <c r="S880" s="108"/>
      <c r="T880" s="108"/>
      <c r="U880" s="108"/>
      <c r="V880" s="108"/>
      <c r="W880" s="108"/>
      <c r="X880" s="108"/>
      <c r="Y880" s="108"/>
    </row>
    <row r="881">
      <c r="A881" s="244"/>
      <c r="B881" s="107"/>
      <c r="C881" s="107"/>
      <c r="D881" s="115"/>
      <c r="E881" s="107"/>
      <c r="F881" s="211"/>
      <c r="G881" s="256"/>
      <c r="H881" s="239"/>
      <c r="I881" s="108"/>
      <c r="J881" s="108"/>
      <c r="K881" s="108"/>
      <c r="L881" s="108"/>
      <c r="M881" s="108"/>
      <c r="N881" s="108"/>
      <c r="O881" s="108"/>
      <c r="P881" s="108"/>
      <c r="Q881" s="108"/>
      <c r="R881" s="108"/>
      <c r="S881" s="108"/>
      <c r="T881" s="108"/>
      <c r="U881" s="108"/>
      <c r="V881" s="108"/>
      <c r="W881" s="108"/>
      <c r="X881" s="108"/>
      <c r="Y881" s="108"/>
    </row>
    <row r="882">
      <c r="A882" s="244"/>
      <c r="B882" s="107"/>
      <c r="C882" s="107"/>
      <c r="D882" s="115"/>
      <c r="E882" s="107"/>
      <c r="F882" s="211"/>
      <c r="G882" s="256"/>
      <c r="H882" s="239"/>
      <c r="I882" s="108"/>
      <c r="J882" s="108"/>
      <c r="K882" s="108"/>
      <c r="L882" s="108"/>
      <c r="M882" s="108"/>
      <c r="N882" s="108"/>
      <c r="O882" s="108"/>
      <c r="P882" s="108"/>
      <c r="Q882" s="108"/>
      <c r="R882" s="108"/>
      <c r="S882" s="108"/>
      <c r="T882" s="108"/>
      <c r="U882" s="108"/>
      <c r="V882" s="108"/>
      <c r="W882" s="108"/>
      <c r="X882" s="108"/>
      <c r="Y882" s="108"/>
    </row>
    <row r="883">
      <c r="A883" s="244"/>
      <c r="B883" s="107"/>
      <c r="C883" s="107"/>
      <c r="D883" s="115"/>
      <c r="E883" s="107"/>
      <c r="F883" s="211"/>
      <c r="G883" s="256"/>
      <c r="H883" s="239"/>
      <c r="I883" s="108"/>
      <c r="J883" s="108"/>
      <c r="K883" s="108"/>
      <c r="L883" s="108"/>
      <c r="M883" s="108"/>
      <c r="N883" s="108"/>
      <c r="O883" s="108"/>
      <c r="P883" s="108"/>
      <c r="Q883" s="108"/>
      <c r="R883" s="108"/>
      <c r="S883" s="108"/>
      <c r="T883" s="108"/>
      <c r="U883" s="108"/>
      <c r="V883" s="108"/>
      <c r="W883" s="108"/>
      <c r="X883" s="108"/>
      <c r="Y883" s="108"/>
    </row>
    <row r="884">
      <c r="A884" s="244"/>
      <c r="B884" s="107"/>
      <c r="C884" s="107"/>
      <c r="D884" s="115"/>
      <c r="E884" s="107"/>
      <c r="F884" s="211"/>
      <c r="G884" s="256"/>
      <c r="H884" s="239"/>
      <c r="I884" s="108"/>
      <c r="J884" s="108"/>
      <c r="K884" s="108"/>
      <c r="L884" s="108"/>
      <c r="M884" s="108"/>
      <c r="N884" s="108"/>
      <c r="O884" s="108"/>
      <c r="P884" s="108"/>
      <c r="Q884" s="108"/>
      <c r="R884" s="108"/>
      <c r="S884" s="108"/>
      <c r="T884" s="108"/>
      <c r="U884" s="108"/>
      <c r="V884" s="108"/>
      <c r="W884" s="108"/>
      <c r="X884" s="108"/>
      <c r="Y884" s="108"/>
    </row>
    <row r="885">
      <c r="A885" s="244"/>
      <c r="B885" s="107"/>
      <c r="C885" s="107"/>
      <c r="D885" s="115"/>
      <c r="E885" s="107"/>
      <c r="F885" s="211"/>
      <c r="G885" s="256"/>
      <c r="H885" s="239"/>
      <c r="I885" s="108"/>
      <c r="J885" s="108"/>
      <c r="K885" s="108"/>
      <c r="L885" s="108"/>
      <c r="M885" s="108"/>
      <c r="N885" s="108"/>
      <c r="O885" s="108"/>
      <c r="P885" s="108"/>
      <c r="Q885" s="108"/>
      <c r="R885" s="108"/>
      <c r="S885" s="108"/>
      <c r="T885" s="108"/>
      <c r="U885" s="108"/>
      <c r="V885" s="108"/>
      <c r="W885" s="108"/>
      <c r="X885" s="108"/>
      <c r="Y885" s="108"/>
    </row>
    <row r="886">
      <c r="A886" s="244"/>
      <c r="B886" s="107"/>
      <c r="C886" s="107"/>
      <c r="D886" s="115"/>
      <c r="E886" s="107"/>
      <c r="F886" s="211"/>
      <c r="G886" s="256"/>
      <c r="H886" s="239"/>
      <c r="I886" s="108"/>
      <c r="J886" s="108"/>
      <c r="K886" s="108"/>
      <c r="L886" s="108"/>
      <c r="M886" s="108"/>
      <c r="N886" s="108"/>
      <c r="O886" s="108"/>
      <c r="P886" s="108"/>
      <c r="Q886" s="108"/>
      <c r="R886" s="108"/>
      <c r="S886" s="108"/>
      <c r="T886" s="108"/>
      <c r="U886" s="108"/>
      <c r="V886" s="108"/>
      <c r="W886" s="108"/>
      <c r="X886" s="108"/>
      <c r="Y886" s="108"/>
    </row>
    <row r="887">
      <c r="A887" s="244"/>
      <c r="B887" s="107"/>
      <c r="C887" s="107"/>
      <c r="D887" s="115"/>
      <c r="E887" s="107"/>
      <c r="F887" s="211"/>
      <c r="G887" s="256"/>
      <c r="H887" s="239"/>
      <c r="I887" s="108"/>
      <c r="J887" s="108"/>
      <c r="K887" s="108"/>
      <c r="L887" s="108"/>
      <c r="M887" s="108"/>
      <c r="N887" s="108"/>
      <c r="O887" s="108"/>
      <c r="P887" s="108"/>
      <c r="Q887" s="108"/>
      <c r="R887" s="108"/>
      <c r="S887" s="108"/>
      <c r="T887" s="108"/>
      <c r="U887" s="108"/>
      <c r="V887" s="108"/>
      <c r="W887" s="108"/>
      <c r="X887" s="108"/>
      <c r="Y887" s="108"/>
    </row>
    <row r="888">
      <c r="A888" s="244"/>
      <c r="B888" s="107"/>
      <c r="C888" s="107"/>
      <c r="D888" s="115"/>
      <c r="E888" s="107"/>
      <c r="F888" s="211"/>
      <c r="G888" s="256"/>
      <c r="H888" s="239"/>
      <c r="I888" s="108"/>
      <c r="J888" s="108"/>
      <c r="K888" s="108"/>
      <c r="L888" s="108"/>
      <c r="M888" s="108"/>
      <c r="N888" s="108"/>
      <c r="O888" s="108"/>
      <c r="P888" s="108"/>
      <c r="Q888" s="108"/>
      <c r="R888" s="108"/>
      <c r="S888" s="108"/>
      <c r="T888" s="108"/>
      <c r="U888" s="108"/>
      <c r="V888" s="108"/>
      <c r="W888" s="108"/>
      <c r="X888" s="108"/>
      <c r="Y888" s="108"/>
    </row>
    <row r="889">
      <c r="A889" s="244"/>
      <c r="B889" s="107"/>
      <c r="C889" s="107"/>
      <c r="D889" s="115"/>
      <c r="E889" s="107"/>
      <c r="F889" s="211"/>
      <c r="G889" s="256"/>
      <c r="H889" s="239"/>
      <c r="I889" s="108"/>
      <c r="J889" s="108"/>
      <c r="K889" s="108"/>
      <c r="L889" s="108"/>
      <c r="M889" s="108"/>
      <c r="N889" s="108"/>
      <c r="O889" s="108"/>
      <c r="P889" s="108"/>
      <c r="Q889" s="108"/>
      <c r="R889" s="108"/>
      <c r="S889" s="108"/>
      <c r="T889" s="108"/>
      <c r="U889" s="108"/>
      <c r="V889" s="108"/>
      <c r="W889" s="108"/>
      <c r="X889" s="108"/>
      <c r="Y889" s="108"/>
    </row>
    <row r="890">
      <c r="A890" s="244"/>
      <c r="B890" s="107"/>
      <c r="C890" s="107"/>
      <c r="D890" s="115"/>
      <c r="E890" s="107"/>
      <c r="F890" s="211"/>
      <c r="G890" s="256"/>
      <c r="H890" s="239"/>
      <c r="I890" s="108"/>
      <c r="J890" s="108"/>
      <c r="K890" s="108"/>
      <c r="L890" s="108"/>
      <c r="M890" s="108"/>
      <c r="N890" s="108"/>
      <c r="O890" s="108"/>
      <c r="P890" s="108"/>
      <c r="Q890" s="108"/>
      <c r="R890" s="108"/>
      <c r="S890" s="108"/>
      <c r="T890" s="108"/>
      <c r="U890" s="108"/>
      <c r="V890" s="108"/>
      <c r="W890" s="108"/>
      <c r="X890" s="108"/>
      <c r="Y890" s="108"/>
    </row>
    <row r="891">
      <c r="A891" s="244"/>
      <c r="B891" s="107"/>
      <c r="C891" s="107"/>
      <c r="D891" s="115"/>
      <c r="E891" s="107"/>
      <c r="F891" s="211"/>
      <c r="G891" s="256"/>
      <c r="H891" s="239"/>
      <c r="I891" s="108"/>
      <c r="J891" s="108"/>
      <c r="K891" s="108"/>
      <c r="L891" s="108"/>
      <c r="M891" s="108"/>
      <c r="N891" s="108"/>
      <c r="O891" s="108"/>
      <c r="P891" s="108"/>
      <c r="Q891" s="108"/>
      <c r="R891" s="108"/>
      <c r="S891" s="108"/>
      <c r="T891" s="108"/>
      <c r="U891" s="108"/>
      <c r="V891" s="108"/>
      <c r="W891" s="108"/>
      <c r="X891" s="108"/>
      <c r="Y891" s="108"/>
    </row>
    <row r="892">
      <c r="A892" s="244"/>
      <c r="B892" s="107"/>
      <c r="C892" s="107"/>
      <c r="D892" s="115"/>
      <c r="E892" s="107"/>
      <c r="F892" s="211"/>
      <c r="G892" s="256"/>
      <c r="H892" s="239"/>
      <c r="I892" s="108"/>
      <c r="J892" s="108"/>
      <c r="K892" s="108"/>
      <c r="L892" s="108"/>
      <c r="M892" s="108"/>
      <c r="N892" s="108"/>
      <c r="O892" s="108"/>
      <c r="P892" s="108"/>
      <c r="Q892" s="108"/>
      <c r="R892" s="108"/>
      <c r="S892" s="108"/>
      <c r="T892" s="108"/>
      <c r="U892" s="108"/>
      <c r="V892" s="108"/>
      <c r="W892" s="108"/>
      <c r="X892" s="108"/>
      <c r="Y892" s="108"/>
    </row>
    <row r="893">
      <c r="A893" s="244"/>
      <c r="B893" s="107"/>
      <c r="C893" s="107"/>
      <c r="D893" s="115"/>
      <c r="E893" s="107"/>
      <c r="F893" s="211"/>
      <c r="G893" s="256"/>
      <c r="H893" s="239"/>
      <c r="I893" s="108"/>
      <c r="J893" s="108"/>
      <c r="K893" s="108"/>
      <c r="L893" s="108"/>
      <c r="M893" s="108"/>
      <c r="N893" s="108"/>
      <c r="O893" s="108"/>
      <c r="P893" s="108"/>
      <c r="Q893" s="108"/>
      <c r="R893" s="108"/>
      <c r="S893" s="108"/>
      <c r="T893" s="108"/>
      <c r="U893" s="108"/>
      <c r="V893" s="108"/>
      <c r="W893" s="108"/>
      <c r="X893" s="108"/>
      <c r="Y893" s="108"/>
    </row>
    <row r="894">
      <c r="A894" s="244"/>
      <c r="B894" s="107"/>
      <c r="C894" s="107"/>
      <c r="D894" s="115"/>
      <c r="E894" s="107"/>
      <c r="F894" s="211"/>
      <c r="G894" s="256"/>
      <c r="H894" s="239"/>
      <c r="I894" s="108"/>
      <c r="J894" s="108"/>
      <c r="K894" s="108"/>
      <c r="L894" s="108"/>
      <c r="M894" s="108"/>
      <c r="N894" s="108"/>
      <c r="O894" s="108"/>
      <c r="P894" s="108"/>
      <c r="Q894" s="108"/>
      <c r="R894" s="108"/>
      <c r="S894" s="108"/>
      <c r="T894" s="108"/>
      <c r="U894" s="108"/>
      <c r="V894" s="108"/>
      <c r="W894" s="108"/>
      <c r="X894" s="108"/>
      <c r="Y894" s="108"/>
    </row>
    <row r="895">
      <c r="A895" s="244"/>
      <c r="B895" s="107"/>
      <c r="C895" s="107"/>
      <c r="D895" s="115"/>
      <c r="E895" s="107"/>
      <c r="F895" s="211"/>
      <c r="G895" s="256"/>
      <c r="H895" s="239"/>
      <c r="I895" s="108"/>
      <c r="J895" s="108"/>
      <c r="K895" s="108"/>
      <c r="L895" s="108"/>
      <c r="M895" s="108"/>
      <c r="N895" s="108"/>
      <c r="O895" s="108"/>
      <c r="P895" s="108"/>
      <c r="Q895" s="108"/>
      <c r="R895" s="108"/>
      <c r="S895" s="108"/>
      <c r="T895" s="108"/>
      <c r="U895" s="108"/>
      <c r="V895" s="108"/>
      <c r="W895" s="108"/>
      <c r="X895" s="108"/>
      <c r="Y895" s="108"/>
    </row>
    <row r="896">
      <c r="A896" s="244"/>
      <c r="B896" s="107"/>
      <c r="C896" s="107"/>
      <c r="D896" s="115"/>
      <c r="E896" s="107"/>
      <c r="F896" s="211"/>
      <c r="G896" s="256"/>
      <c r="H896" s="239"/>
      <c r="I896" s="108"/>
      <c r="J896" s="108"/>
      <c r="K896" s="108"/>
      <c r="L896" s="108"/>
      <c r="M896" s="108"/>
      <c r="N896" s="108"/>
      <c r="O896" s="108"/>
      <c r="P896" s="108"/>
      <c r="Q896" s="108"/>
      <c r="R896" s="108"/>
      <c r="S896" s="108"/>
      <c r="T896" s="108"/>
      <c r="U896" s="108"/>
      <c r="V896" s="108"/>
      <c r="W896" s="108"/>
      <c r="X896" s="108"/>
      <c r="Y896" s="108"/>
    </row>
    <row r="897">
      <c r="A897" s="244"/>
      <c r="B897" s="107"/>
      <c r="C897" s="107"/>
      <c r="D897" s="115"/>
      <c r="E897" s="107"/>
      <c r="F897" s="211"/>
      <c r="G897" s="256"/>
      <c r="H897" s="239"/>
      <c r="I897" s="108"/>
      <c r="J897" s="108"/>
      <c r="K897" s="108"/>
      <c r="L897" s="108"/>
      <c r="M897" s="108"/>
      <c r="N897" s="108"/>
      <c r="O897" s="108"/>
      <c r="P897" s="108"/>
      <c r="Q897" s="108"/>
      <c r="R897" s="108"/>
      <c r="S897" s="108"/>
      <c r="T897" s="108"/>
      <c r="U897" s="108"/>
      <c r="V897" s="108"/>
      <c r="W897" s="108"/>
      <c r="X897" s="108"/>
      <c r="Y897" s="108"/>
    </row>
    <row r="898">
      <c r="A898" s="244"/>
      <c r="B898" s="107"/>
      <c r="C898" s="107"/>
      <c r="D898" s="115"/>
      <c r="E898" s="107"/>
      <c r="F898" s="211"/>
      <c r="G898" s="256"/>
      <c r="H898" s="239"/>
      <c r="I898" s="108"/>
      <c r="J898" s="108"/>
      <c r="K898" s="108"/>
      <c r="L898" s="108"/>
      <c r="M898" s="108"/>
      <c r="N898" s="108"/>
      <c r="O898" s="108"/>
      <c r="P898" s="108"/>
      <c r="Q898" s="108"/>
      <c r="R898" s="108"/>
      <c r="S898" s="108"/>
      <c r="T898" s="108"/>
      <c r="U898" s="108"/>
      <c r="V898" s="108"/>
      <c r="W898" s="108"/>
      <c r="X898" s="108"/>
      <c r="Y898" s="108"/>
    </row>
    <row r="899">
      <c r="A899" s="244"/>
      <c r="B899" s="107"/>
      <c r="C899" s="107"/>
      <c r="D899" s="115"/>
      <c r="E899" s="107"/>
      <c r="F899" s="211"/>
      <c r="G899" s="256"/>
      <c r="H899" s="239"/>
      <c r="I899" s="108"/>
      <c r="J899" s="108"/>
      <c r="K899" s="108"/>
      <c r="L899" s="108"/>
      <c r="M899" s="108"/>
      <c r="N899" s="108"/>
      <c r="O899" s="108"/>
      <c r="P899" s="108"/>
      <c r="Q899" s="108"/>
      <c r="R899" s="108"/>
      <c r="S899" s="108"/>
      <c r="T899" s="108"/>
      <c r="U899" s="108"/>
      <c r="V899" s="108"/>
      <c r="W899" s="108"/>
      <c r="X899" s="108"/>
      <c r="Y899" s="108"/>
    </row>
    <row r="900">
      <c r="A900" s="244"/>
      <c r="B900" s="107"/>
      <c r="C900" s="107"/>
      <c r="D900" s="115"/>
      <c r="E900" s="107"/>
      <c r="F900" s="211"/>
      <c r="G900" s="256"/>
      <c r="H900" s="239"/>
      <c r="I900" s="108"/>
      <c r="J900" s="108"/>
      <c r="K900" s="108"/>
      <c r="L900" s="108"/>
      <c r="M900" s="108"/>
      <c r="N900" s="108"/>
      <c r="O900" s="108"/>
      <c r="P900" s="108"/>
      <c r="Q900" s="108"/>
      <c r="R900" s="108"/>
      <c r="S900" s="108"/>
      <c r="T900" s="108"/>
      <c r="U900" s="108"/>
      <c r="V900" s="108"/>
      <c r="W900" s="108"/>
      <c r="X900" s="108"/>
      <c r="Y900" s="108"/>
    </row>
    <row r="901">
      <c r="A901" s="244"/>
      <c r="B901" s="107"/>
      <c r="C901" s="107"/>
      <c r="D901" s="115"/>
      <c r="E901" s="107"/>
      <c r="F901" s="211"/>
      <c r="G901" s="256"/>
      <c r="H901" s="239"/>
      <c r="I901" s="108"/>
      <c r="J901" s="108"/>
      <c r="K901" s="108"/>
      <c r="L901" s="108"/>
      <c r="M901" s="108"/>
      <c r="N901" s="108"/>
      <c r="O901" s="108"/>
      <c r="P901" s="108"/>
      <c r="Q901" s="108"/>
      <c r="R901" s="108"/>
      <c r="S901" s="108"/>
      <c r="T901" s="108"/>
      <c r="U901" s="108"/>
      <c r="V901" s="108"/>
      <c r="W901" s="108"/>
      <c r="X901" s="108"/>
      <c r="Y901" s="108"/>
    </row>
    <row r="902">
      <c r="A902" s="244"/>
      <c r="B902" s="107"/>
      <c r="C902" s="107"/>
      <c r="D902" s="115"/>
      <c r="E902" s="107"/>
      <c r="F902" s="211"/>
      <c r="G902" s="256"/>
      <c r="H902" s="239"/>
      <c r="I902" s="108"/>
      <c r="J902" s="108"/>
      <c r="K902" s="108"/>
      <c r="L902" s="108"/>
      <c r="M902" s="108"/>
      <c r="N902" s="108"/>
      <c r="O902" s="108"/>
      <c r="P902" s="108"/>
      <c r="Q902" s="108"/>
      <c r="R902" s="108"/>
      <c r="S902" s="108"/>
      <c r="T902" s="108"/>
      <c r="U902" s="108"/>
      <c r="V902" s="108"/>
      <c r="W902" s="108"/>
      <c r="X902" s="108"/>
      <c r="Y902" s="108"/>
    </row>
    <row r="903">
      <c r="A903" s="244"/>
      <c r="B903" s="107"/>
      <c r="C903" s="107"/>
      <c r="D903" s="115"/>
      <c r="E903" s="107"/>
      <c r="F903" s="211"/>
      <c r="G903" s="256"/>
      <c r="H903" s="239"/>
      <c r="I903" s="108"/>
      <c r="J903" s="108"/>
      <c r="K903" s="108"/>
      <c r="L903" s="108"/>
      <c r="M903" s="108"/>
      <c r="N903" s="108"/>
      <c r="O903" s="108"/>
      <c r="P903" s="108"/>
      <c r="Q903" s="108"/>
      <c r="R903" s="108"/>
      <c r="S903" s="108"/>
      <c r="T903" s="108"/>
      <c r="U903" s="108"/>
      <c r="V903" s="108"/>
      <c r="W903" s="108"/>
      <c r="X903" s="108"/>
      <c r="Y903" s="108"/>
    </row>
    <row r="904">
      <c r="A904" s="244"/>
      <c r="B904" s="107"/>
      <c r="C904" s="107"/>
      <c r="D904" s="115"/>
      <c r="E904" s="107"/>
      <c r="F904" s="211"/>
      <c r="G904" s="256"/>
      <c r="H904" s="239"/>
      <c r="I904" s="108"/>
      <c r="J904" s="108"/>
      <c r="K904" s="108"/>
      <c r="L904" s="108"/>
      <c r="M904" s="108"/>
      <c r="N904" s="108"/>
      <c r="O904" s="108"/>
      <c r="P904" s="108"/>
      <c r="Q904" s="108"/>
      <c r="R904" s="108"/>
      <c r="S904" s="108"/>
      <c r="T904" s="108"/>
      <c r="U904" s="108"/>
      <c r="V904" s="108"/>
      <c r="W904" s="108"/>
      <c r="X904" s="108"/>
      <c r="Y904" s="108"/>
    </row>
    <row r="905">
      <c r="A905" s="244"/>
      <c r="B905" s="107"/>
      <c r="C905" s="107"/>
      <c r="D905" s="115"/>
      <c r="E905" s="107"/>
      <c r="F905" s="211"/>
      <c r="G905" s="256"/>
      <c r="H905" s="239"/>
      <c r="I905" s="108"/>
      <c r="J905" s="108"/>
      <c r="K905" s="108"/>
      <c r="L905" s="108"/>
      <c r="M905" s="108"/>
      <c r="N905" s="108"/>
      <c r="O905" s="108"/>
      <c r="P905" s="108"/>
      <c r="Q905" s="108"/>
      <c r="R905" s="108"/>
      <c r="S905" s="108"/>
      <c r="T905" s="108"/>
      <c r="U905" s="108"/>
      <c r="V905" s="108"/>
      <c r="W905" s="108"/>
      <c r="X905" s="108"/>
      <c r="Y905" s="108"/>
    </row>
    <row r="906">
      <c r="A906" s="244"/>
      <c r="B906" s="107"/>
      <c r="C906" s="107"/>
      <c r="D906" s="115"/>
      <c r="E906" s="107"/>
      <c r="F906" s="211"/>
      <c r="G906" s="256"/>
      <c r="H906" s="239"/>
      <c r="I906" s="108"/>
      <c r="J906" s="108"/>
      <c r="K906" s="108"/>
      <c r="L906" s="108"/>
      <c r="M906" s="108"/>
      <c r="N906" s="108"/>
      <c r="O906" s="108"/>
      <c r="P906" s="108"/>
      <c r="Q906" s="108"/>
      <c r="R906" s="108"/>
      <c r="S906" s="108"/>
      <c r="T906" s="108"/>
      <c r="U906" s="108"/>
      <c r="V906" s="108"/>
      <c r="W906" s="108"/>
      <c r="X906" s="108"/>
      <c r="Y906" s="108"/>
    </row>
    <row r="907">
      <c r="A907" s="244"/>
      <c r="B907" s="107"/>
      <c r="C907" s="107"/>
      <c r="D907" s="115"/>
      <c r="E907" s="107"/>
      <c r="F907" s="211"/>
      <c r="G907" s="256"/>
      <c r="H907" s="239"/>
      <c r="I907" s="108"/>
      <c r="J907" s="108"/>
      <c r="K907" s="108"/>
      <c r="L907" s="108"/>
      <c r="M907" s="108"/>
      <c r="N907" s="108"/>
      <c r="O907" s="108"/>
      <c r="P907" s="108"/>
      <c r="Q907" s="108"/>
      <c r="R907" s="108"/>
      <c r="S907" s="108"/>
      <c r="T907" s="108"/>
      <c r="U907" s="108"/>
      <c r="V907" s="108"/>
      <c r="W907" s="108"/>
      <c r="X907" s="108"/>
      <c r="Y907" s="108"/>
    </row>
    <row r="908">
      <c r="A908" s="244"/>
      <c r="B908" s="107"/>
      <c r="C908" s="107"/>
      <c r="D908" s="115"/>
      <c r="E908" s="107"/>
      <c r="F908" s="211"/>
      <c r="G908" s="256"/>
      <c r="H908" s="239"/>
      <c r="I908" s="108"/>
      <c r="J908" s="108"/>
      <c r="K908" s="108"/>
      <c r="L908" s="108"/>
      <c r="M908" s="108"/>
      <c r="N908" s="108"/>
      <c r="O908" s="108"/>
      <c r="P908" s="108"/>
      <c r="Q908" s="108"/>
      <c r="R908" s="108"/>
      <c r="S908" s="108"/>
      <c r="T908" s="108"/>
      <c r="U908" s="108"/>
      <c r="V908" s="108"/>
      <c r="W908" s="108"/>
      <c r="X908" s="108"/>
      <c r="Y908" s="108"/>
    </row>
    <row r="909">
      <c r="A909" s="244"/>
      <c r="B909" s="107"/>
      <c r="C909" s="107"/>
      <c r="D909" s="115"/>
      <c r="E909" s="107"/>
      <c r="F909" s="211"/>
      <c r="G909" s="256"/>
      <c r="H909" s="239"/>
      <c r="I909" s="108"/>
      <c r="J909" s="108"/>
      <c r="K909" s="108"/>
      <c r="L909" s="108"/>
      <c r="M909" s="108"/>
      <c r="N909" s="108"/>
      <c r="O909" s="108"/>
      <c r="P909" s="108"/>
      <c r="Q909" s="108"/>
      <c r="R909" s="108"/>
      <c r="S909" s="108"/>
      <c r="T909" s="108"/>
      <c r="U909" s="108"/>
      <c r="V909" s="108"/>
      <c r="W909" s="108"/>
      <c r="X909" s="108"/>
      <c r="Y909" s="108"/>
    </row>
    <row r="910">
      <c r="A910" s="244"/>
      <c r="B910" s="107"/>
      <c r="C910" s="107"/>
      <c r="D910" s="115"/>
      <c r="E910" s="107"/>
      <c r="F910" s="211"/>
      <c r="G910" s="256"/>
      <c r="H910" s="239"/>
      <c r="I910" s="108"/>
      <c r="J910" s="108"/>
      <c r="K910" s="108"/>
      <c r="L910" s="108"/>
      <c r="M910" s="108"/>
      <c r="N910" s="108"/>
      <c r="O910" s="108"/>
      <c r="P910" s="108"/>
      <c r="Q910" s="108"/>
      <c r="R910" s="108"/>
      <c r="S910" s="108"/>
      <c r="T910" s="108"/>
      <c r="U910" s="108"/>
      <c r="V910" s="108"/>
      <c r="W910" s="108"/>
      <c r="X910" s="108"/>
      <c r="Y910" s="108"/>
    </row>
    <row r="911">
      <c r="A911" s="244"/>
      <c r="B911" s="107"/>
      <c r="C911" s="107"/>
      <c r="D911" s="115"/>
      <c r="E911" s="107"/>
      <c r="F911" s="211"/>
      <c r="G911" s="256"/>
      <c r="H911" s="239"/>
      <c r="I911" s="108"/>
      <c r="J911" s="108"/>
      <c r="K911" s="108"/>
      <c r="L911" s="108"/>
      <c r="M911" s="108"/>
      <c r="N911" s="108"/>
      <c r="O911" s="108"/>
      <c r="P911" s="108"/>
      <c r="Q911" s="108"/>
      <c r="R911" s="108"/>
      <c r="S911" s="108"/>
      <c r="T911" s="108"/>
      <c r="U911" s="108"/>
      <c r="V911" s="108"/>
      <c r="W911" s="108"/>
      <c r="X911" s="108"/>
      <c r="Y911" s="108"/>
    </row>
    <row r="912">
      <c r="A912" s="244"/>
      <c r="B912" s="107"/>
      <c r="C912" s="107"/>
      <c r="D912" s="115"/>
      <c r="E912" s="107"/>
      <c r="F912" s="211"/>
      <c r="G912" s="256"/>
      <c r="H912" s="239"/>
      <c r="I912" s="108"/>
      <c r="J912" s="108"/>
      <c r="K912" s="108"/>
      <c r="L912" s="108"/>
      <c r="M912" s="108"/>
      <c r="N912" s="108"/>
      <c r="O912" s="108"/>
      <c r="P912" s="108"/>
      <c r="Q912" s="108"/>
      <c r="R912" s="108"/>
      <c r="S912" s="108"/>
      <c r="T912" s="108"/>
      <c r="U912" s="108"/>
      <c r="V912" s="108"/>
      <c r="W912" s="108"/>
      <c r="X912" s="108"/>
      <c r="Y912" s="108"/>
    </row>
    <row r="913">
      <c r="A913" s="244"/>
      <c r="B913" s="107"/>
      <c r="C913" s="107"/>
      <c r="D913" s="115"/>
      <c r="E913" s="107"/>
      <c r="F913" s="211"/>
      <c r="G913" s="256"/>
      <c r="H913" s="239"/>
      <c r="I913" s="108"/>
      <c r="J913" s="108"/>
      <c r="K913" s="108"/>
      <c r="L913" s="108"/>
      <c r="M913" s="108"/>
      <c r="N913" s="108"/>
      <c r="O913" s="108"/>
      <c r="P913" s="108"/>
      <c r="Q913" s="108"/>
      <c r="R913" s="108"/>
      <c r="S913" s="108"/>
      <c r="T913" s="108"/>
      <c r="U913" s="108"/>
      <c r="V913" s="108"/>
      <c r="W913" s="108"/>
      <c r="X913" s="108"/>
      <c r="Y913" s="108"/>
    </row>
    <row r="914">
      <c r="A914" s="244"/>
      <c r="B914" s="107"/>
      <c r="C914" s="107"/>
      <c r="D914" s="115"/>
      <c r="E914" s="107"/>
      <c r="F914" s="211"/>
      <c r="G914" s="256"/>
      <c r="H914" s="239"/>
      <c r="I914" s="108"/>
      <c r="J914" s="108"/>
      <c r="K914" s="108"/>
      <c r="L914" s="108"/>
      <c r="M914" s="108"/>
      <c r="N914" s="108"/>
      <c r="O914" s="108"/>
      <c r="P914" s="108"/>
      <c r="Q914" s="108"/>
      <c r="R914" s="108"/>
      <c r="S914" s="108"/>
      <c r="T914" s="108"/>
      <c r="U914" s="108"/>
      <c r="V914" s="108"/>
      <c r="W914" s="108"/>
      <c r="X914" s="108"/>
      <c r="Y914" s="108"/>
    </row>
    <row r="915">
      <c r="A915" s="244"/>
      <c r="B915" s="107"/>
      <c r="C915" s="107"/>
      <c r="D915" s="115"/>
      <c r="E915" s="107"/>
      <c r="F915" s="211"/>
      <c r="G915" s="256"/>
      <c r="H915" s="239"/>
      <c r="I915" s="108"/>
      <c r="J915" s="108"/>
      <c r="K915" s="108"/>
      <c r="L915" s="108"/>
      <c r="M915" s="108"/>
      <c r="N915" s="108"/>
      <c r="O915" s="108"/>
      <c r="P915" s="108"/>
      <c r="Q915" s="108"/>
      <c r="R915" s="108"/>
      <c r="S915" s="108"/>
      <c r="T915" s="108"/>
      <c r="U915" s="108"/>
      <c r="V915" s="108"/>
      <c r="W915" s="108"/>
      <c r="X915" s="108"/>
      <c r="Y915" s="108"/>
    </row>
    <row r="916">
      <c r="A916" s="244"/>
      <c r="B916" s="107"/>
      <c r="C916" s="107"/>
      <c r="D916" s="115"/>
      <c r="E916" s="107"/>
      <c r="F916" s="211"/>
      <c r="G916" s="256"/>
      <c r="H916" s="239"/>
      <c r="I916" s="108"/>
      <c r="J916" s="108"/>
      <c r="K916" s="108"/>
      <c r="L916" s="108"/>
      <c r="M916" s="108"/>
      <c r="N916" s="108"/>
      <c r="O916" s="108"/>
      <c r="P916" s="108"/>
      <c r="Q916" s="108"/>
      <c r="R916" s="108"/>
      <c r="S916" s="108"/>
      <c r="T916" s="108"/>
      <c r="U916" s="108"/>
      <c r="V916" s="108"/>
      <c r="W916" s="108"/>
      <c r="X916" s="108"/>
      <c r="Y916" s="108"/>
    </row>
    <row r="917">
      <c r="A917" s="244"/>
      <c r="B917" s="107"/>
      <c r="C917" s="107"/>
      <c r="D917" s="115"/>
      <c r="E917" s="107"/>
      <c r="F917" s="211"/>
      <c r="G917" s="256"/>
      <c r="H917" s="239"/>
      <c r="I917" s="108"/>
      <c r="J917" s="108"/>
      <c r="K917" s="108"/>
      <c r="L917" s="108"/>
      <c r="M917" s="108"/>
      <c r="N917" s="108"/>
      <c r="O917" s="108"/>
      <c r="P917" s="108"/>
      <c r="Q917" s="108"/>
      <c r="R917" s="108"/>
      <c r="S917" s="108"/>
      <c r="T917" s="108"/>
      <c r="U917" s="108"/>
      <c r="V917" s="108"/>
      <c r="W917" s="108"/>
      <c r="X917" s="108"/>
      <c r="Y917" s="108"/>
    </row>
    <row r="918">
      <c r="A918" s="244"/>
      <c r="B918" s="107"/>
      <c r="C918" s="107"/>
      <c r="D918" s="115"/>
      <c r="E918" s="107"/>
      <c r="F918" s="211"/>
      <c r="G918" s="256"/>
      <c r="H918" s="239"/>
      <c r="I918" s="108"/>
      <c r="J918" s="108"/>
      <c r="K918" s="108"/>
      <c r="L918" s="108"/>
      <c r="M918" s="108"/>
      <c r="N918" s="108"/>
      <c r="O918" s="108"/>
      <c r="P918" s="108"/>
      <c r="Q918" s="108"/>
      <c r="R918" s="108"/>
      <c r="S918" s="108"/>
      <c r="T918" s="108"/>
      <c r="U918" s="108"/>
      <c r="V918" s="108"/>
      <c r="W918" s="108"/>
      <c r="X918" s="108"/>
      <c r="Y918" s="108"/>
    </row>
    <row r="919">
      <c r="A919" s="244"/>
      <c r="B919" s="107"/>
      <c r="C919" s="107"/>
      <c r="D919" s="115"/>
      <c r="E919" s="107"/>
      <c r="F919" s="211"/>
      <c r="G919" s="256"/>
      <c r="H919" s="239"/>
      <c r="I919" s="108"/>
      <c r="J919" s="108"/>
      <c r="K919" s="108"/>
      <c r="L919" s="108"/>
      <c r="M919" s="108"/>
      <c r="N919" s="108"/>
      <c r="O919" s="108"/>
      <c r="P919" s="108"/>
      <c r="Q919" s="108"/>
      <c r="R919" s="108"/>
      <c r="S919" s="108"/>
      <c r="T919" s="108"/>
      <c r="U919" s="108"/>
      <c r="V919" s="108"/>
      <c r="W919" s="108"/>
      <c r="X919" s="108"/>
      <c r="Y919" s="108"/>
    </row>
    <row r="920">
      <c r="A920" s="244"/>
      <c r="B920" s="107"/>
      <c r="C920" s="107"/>
      <c r="D920" s="115"/>
      <c r="E920" s="107"/>
      <c r="F920" s="211"/>
      <c r="G920" s="256"/>
      <c r="H920" s="239"/>
      <c r="I920" s="108"/>
      <c r="J920" s="108"/>
      <c r="K920" s="108"/>
      <c r="L920" s="108"/>
      <c r="M920" s="108"/>
      <c r="N920" s="108"/>
      <c r="O920" s="108"/>
      <c r="P920" s="108"/>
      <c r="Q920" s="108"/>
      <c r="R920" s="108"/>
      <c r="S920" s="108"/>
      <c r="T920" s="108"/>
      <c r="U920" s="108"/>
      <c r="V920" s="108"/>
      <c r="W920" s="108"/>
      <c r="X920" s="108"/>
      <c r="Y920" s="108"/>
    </row>
    <row r="921">
      <c r="A921" s="244"/>
      <c r="B921" s="107"/>
      <c r="C921" s="107"/>
      <c r="D921" s="115"/>
      <c r="E921" s="107"/>
      <c r="F921" s="211"/>
      <c r="G921" s="256"/>
      <c r="H921" s="239"/>
      <c r="I921" s="108"/>
      <c r="J921" s="108"/>
      <c r="K921" s="108"/>
      <c r="L921" s="108"/>
      <c r="M921" s="108"/>
      <c r="N921" s="108"/>
      <c r="O921" s="108"/>
      <c r="P921" s="108"/>
      <c r="Q921" s="108"/>
      <c r="R921" s="108"/>
      <c r="S921" s="108"/>
      <c r="T921" s="108"/>
      <c r="U921" s="108"/>
      <c r="V921" s="108"/>
      <c r="W921" s="108"/>
      <c r="X921" s="108"/>
      <c r="Y921" s="108"/>
    </row>
    <row r="922">
      <c r="A922" s="244"/>
      <c r="B922" s="107"/>
      <c r="C922" s="107"/>
      <c r="D922" s="115"/>
      <c r="E922" s="107"/>
      <c r="F922" s="211"/>
      <c r="G922" s="256"/>
      <c r="H922" s="239"/>
      <c r="I922" s="108"/>
      <c r="J922" s="108"/>
      <c r="K922" s="108"/>
      <c r="L922" s="108"/>
      <c r="M922" s="108"/>
      <c r="N922" s="108"/>
      <c r="O922" s="108"/>
      <c r="P922" s="108"/>
      <c r="Q922" s="108"/>
      <c r="R922" s="108"/>
      <c r="S922" s="108"/>
      <c r="T922" s="108"/>
      <c r="U922" s="108"/>
      <c r="V922" s="108"/>
      <c r="W922" s="108"/>
      <c r="X922" s="108"/>
      <c r="Y922" s="108"/>
    </row>
    <row r="923">
      <c r="A923" s="244"/>
      <c r="B923" s="107"/>
      <c r="C923" s="107"/>
      <c r="D923" s="115"/>
      <c r="E923" s="107"/>
      <c r="F923" s="211"/>
      <c r="G923" s="256"/>
      <c r="H923" s="239"/>
      <c r="I923" s="108"/>
      <c r="J923" s="108"/>
      <c r="K923" s="108"/>
      <c r="L923" s="108"/>
      <c r="M923" s="108"/>
      <c r="N923" s="108"/>
      <c r="O923" s="108"/>
      <c r="P923" s="108"/>
      <c r="Q923" s="108"/>
      <c r="R923" s="108"/>
      <c r="S923" s="108"/>
      <c r="T923" s="108"/>
      <c r="U923" s="108"/>
      <c r="V923" s="108"/>
      <c r="W923" s="108"/>
      <c r="X923" s="108"/>
      <c r="Y923" s="108"/>
    </row>
    <row r="924">
      <c r="A924" s="244"/>
      <c r="B924" s="107"/>
      <c r="C924" s="107"/>
      <c r="D924" s="115"/>
      <c r="E924" s="107"/>
      <c r="F924" s="211"/>
      <c r="G924" s="256"/>
      <c r="H924" s="239"/>
      <c r="I924" s="108"/>
      <c r="J924" s="108"/>
      <c r="K924" s="108"/>
      <c r="L924" s="108"/>
      <c r="M924" s="108"/>
      <c r="N924" s="108"/>
      <c r="O924" s="108"/>
      <c r="P924" s="108"/>
      <c r="Q924" s="108"/>
      <c r="R924" s="108"/>
      <c r="S924" s="108"/>
      <c r="T924" s="108"/>
      <c r="U924" s="108"/>
      <c r="V924" s="108"/>
      <c r="W924" s="108"/>
      <c r="X924" s="108"/>
      <c r="Y924" s="108"/>
    </row>
    <row r="925">
      <c r="A925" s="244"/>
      <c r="B925" s="107"/>
      <c r="C925" s="107"/>
      <c r="D925" s="115"/>
      <c r="E925" s="107"/>
      <c r="F925" s="211"/>
      <c r="G925" s="256"/>
      <c r="H925" s="239"/>
      <c r="I925" s="108"/>
      <c r="J925" s="108"/>
      <c r="K925" s="108"/>
      <c r="L925" s="108"/>
      <c r="M925" s="108"/>
      <c r="N925" s="108"/>
      <c r="O925" s="108"/>
      <c r="P925" s="108"/>
      <c r="Q925" s="108"/>
      <c r="R925" s="108"/>
      <c r="S925" s="108"/>
      <c r="T925" s="108"/>
      <c r="U925" s="108"/>
      <c r="V925" s="108"/>
      <c r="W925" s="108"/>
      <c r="X925" s="108"/>
      <c r="Y925" s="108"/>
    </row>
    <row r="926">
      <c r="A926" s="244"/>
      <c r="B926" s="107"/>
      <c r="C926" s="107"/>
      <c r="D926" s="115"/>
      <c r="E926" s="107"/>
      <c r="F926" s="211"/>
      <c r="G926" s="256"/>
      <c r="H926" s="239"/>
      <c r="I926" s="108"/>
      <c r="J926" s="108"/>
      <c r="K926" s="108"/>
      <c r="L926" s="108"/>
      <c r="M926" s="108"/>
      <c r="N926" s="108"/>
      <c r="O926" s="108"/>
      <c r="P926" s="108"/>
      <c r="Q926" s="108"/>
      <c r="R926" s="108"/>
      <c r="S926" s="108"/>
      <c r="T926" s="108"/>
      <c r="U926" s="108"/>
      <c r="V926" s="108"/>
      <c r="W926" s="108"/>
      <c r="X926" s="108"/>
      <c r="Y926" s="108"/>
    </row>
    <row r="927">
      <c r="A927" s="244"/>
      <c r="B927" s="107"/>
      <c r="C927" s="107"/>
      <c r="D927" s="115"/>
      <c r="E927" s="107"/>
      <c r="F927" s="211"/>
      <c r="G927" s="256"/>
      <c r="H927" s="239"/>
      <c r="I927" s="108"/>
      <c r="J927" s="108"/>
      <c r="K927" s="108"/>
      <c r="L927" s="108"/>
      <c r="M927" s="108"/>
      <c r="N927" s="108"/>
      <c r="O927" s="108"/>
      <c r="P927" s="108"/>
      <c r="Q927" s="108"/>
      <c r="R927" s="108"/>
      <c r="S927" s="108"/>
      <c r="T927" s="108"/>
      <c r="U927" s="108"/>
      <c r="V927" s="108"/>
      <c r="W927" s="108"/>
      <c r="X927" s="108"/>
      <c r="Y927" s="108"/>
    </row>
    <row r="928">
      <c r="A928" s="244"/>
      <c r="B928" s="107"/>
      <c r="C928" s="107"/>
      <c r="D928" s="115"/>
      <c r="E928" s="107"/>
      <c r="F928" s="211"/>
      <c r="G928" s="256"/>
      <c r="H928" s="239"/>
      <c r="I928" s="108"/>
      <c r="J928" s="108"/>
      <c r="K928" s="108"/>
      <c r="L928" s="108"/>
      <c r="M928" s="108"/>
      <c r="N928" s="108"/>
      <c r="O928" s="108"/>
      <c r="P928" s="108"/>
      <c r="Q928" s="108"/>
      <c r="R928" s="108"/>
      <c r="S928" s="108"/>
      <c r="T928" s="108"/>
      <c r="U928" s="108"/>
      <c r="V928" s="108"/>
      <c r="W928" s="108"/>
      <c r="X928" s="108"/>
      <c r="Y928" s="108"/>
    </row>
    <row r="929">
      <c r="A929" s="244"/>
      <c r="B929" s="107"/>
      <c r="C929" s="107"/>
      <c r="D929" s="115"/>
      <c r="E929" s="107"/>
      <c r="F929" s="211"/>
      <c r="G929" s="256"/>
      <c r="H929" s="239"/>
      <c r="I929" s="108"/>
      <c r="J929" s="108"/>
      <c r="K929" s="108"/>
      <c r="L929" s="108"/>
      <c r="M929" s="108"/>
      <c r="N929" s="108"/>
      <c r="O929" s="108"/>
      <c r="P929" s="108"/>
      <c r="Q929" s="108"/>
      <c r="R929" s="108"/>
      <c r="S929" s="108"/>
      <c r="T929" s="108"/>
      <c r="U929" s="108"/>
      <c r="V929" s="108"/>
      <c r="W929" s="108"/>
      <c r="X929" s="108"/>
      <c r="Y929" s="108"/>
    </row>
    <row r="930">
      <c r="A930" s="244"/>
      <c r="B930" s="107"/>
      <c r="C930" s="107"/>
      <c r="D930" s="115"/>
      <c r="E930" s="107"/>
      <c r="F930" s="211"/>
      <c r="G930" s="256"/>
      <c r="H930" s="239"/>
      <c r="I930" s="108"/>
      <c r="J930" s="108"/>
      <c r="K930" s="108"/>
      <c r="L930" s="108"/>
      <c r="M930" s="108"/>
      <c r="N930" s="108"/>
      <c r="O930" s="108"/>
      <c r="P930" s="108"/>
      <c r="Q930" s="108"/>
      <c r="R930" s="108"/>
      <c r="S930" s="108"/>
      <c r="T930" s="108"/>
      <c r="U930" s="108"/>
      <c r="V930" s="108"/>
      <c r="W930" s="108"/>
      <c r="X930" s="108"/>
      <c r="Y930" s="108"/>
    </row>
    <row r="931">
      <c r="A931" s="244"/>
      <c r="B931" s="107"/>
      <c r="C931" s="107"/>
      <c r="D931" s="115"/>
      <c r="E931" s="107"/>
      <c r="F931" s="211"/>
      <c r="G931" s="256"/>
      <c r="H931" s="239"/>
      <c r="I931" s="108"/>
      <c r="J931" s="108"/>
      <c r="K931" s="108"/>
      <c r="L931" s="108"/>
      <c r="M931" s="108"/>
      <c r="N931" s="108"/>
      <c r="O931" s="108"/>
      <c r="P931" s="108"/>
      <c r="Q931" s="108"/>
      <c r="R931" s="108"/>
      <c r="S931" s="108"/>
      <c r="T931" s="108"/>
      <c r="U931" s="108"/>
      <c r="V931" s="108"/>
      <c r="W931" s="108"/>
      <c r="X931" s="108"/>
      <c r="Y931" s="108"/>
    </row>
    <row r="932">
      <c r="A932" s="244"/>
      <c r="B932" s="107"/>
      <c r="C932" s="107"/>
      <c r="D932" s="115"/>
      <c r="E932" s="107"/>
      <c r="F932" s="211"/>
      <c r="G932" s="256"/>
      <c r="H932" s="239"/>
      <c r="I932" s="108"/>
      <c r="J932" s="108"/>
      <c r="K932" s="108"/>
      <c r="L932" s="108"/>
      <c r="M932" s="108"/>
      <c r="N932" s="108"/>
      <c r="O932" s="108"/>
      <c r="P932" s="108"/>
      <c r="Q932" s="108"/>
      <c r="R932" s="108"/>
      <c r="S932" s="108"/>
      <c r="T932" s="108"/>
      <c r="U932" s="108"/>
      <c r="V932" s="108"/>
      <c r="W932" s="108"/>
      <c r="X932" s="108"/>
      <c r="Y932" s="108"/>
    </row>
    <row r="933">
      <c r="A933" s="244"/>
      <c r="B933" s="107"/>
      <c r="C933" s="107"/>
      <c r="D933" s="115"/>
      <c r="E933" s="107"/>
      <c r="F933" s="211"/>
      <c r="G933" s="256"/>
      <c r="H933" s="239"/>
      <c r="I933" s="108"/>
      <c r="J933" s="108"/>
      <c r="K933" s="108"/>
      <c r="L933" s="108"/>
      <c r="M933" s="108"/>
      <c r="N933" s="108"/>
      <c r="O933" s="108"/>
      <c r="P933" s="108"/>
      <c r="Q933" s="108"/>
      <c r="R933" s="108"/>
      <c r="S933" s="108"/>
      <c r="T933" s="108"/>
      <c r="U933" s="108"/>
      <c r="V933" s="108"/>
      <c r="W933" s="108"/>
      <c r="X933" s="108"/>
      <c r="Y933" s="108"/>
    </row>
    <row r="934">
      <c r="A934" s="244"/>
      <c r="B934" s="107"/>
      <c r="C934" s="107"/>
      <c r="D934" s="115"/>
      <c r="E934" s="107"/>
      <c r="F934" s="211"/>
      <c r="G934" s="256"/>
      <c r="H934" s="239"/>
      <c r="I934" s="108"/>
      <c r="J934" s="108"/>
      <c r="K934" s="108"/>
      <c r="L934" s="108"/>
      <c r="M934" s="108"/>
      <c r="N934" s="108"/>
      <c r="O934" s="108"/>
      <c r="P934" s="108"/>
      <c r="Q934" s="108"/>
      <c r="R934" s="108"/>
      <c r="S934" s="108"/>
      <c r="T934" s="108"/>
      <c r="U934" s="108"/>
      <c r="V934" s="108"/>
      <c r="W934" s="108"/>
      <c r="X934" s="108"/>
      <c r="Y934" s="108"/>
    </row>
    <row r="935">
      <c r="A935" s="244"/>
      <c r="B935" s="107"/>
      <c r="C935" s="107"/>
      <c r="D935" s="115"/>
      <c r="E935" s="107"/>
      <c r="F935" s="211"/>
      <c r="G935" s="256"/>
      <c r="H935" s="239"/>
      <c r="I935" s="108"/>
      <c r="J935" s="108"/>
      <c r="K935" s="108"/>
      <c r="L935" s="108"/>
      <c r="M935" s="108"/>
      <c r="N935" s="108"/>
      <c r="O935" s="108"/>
      <c r="P935" s="108"/>
      <c r="Q935" s="108"/>
      <c r="R935" s="108"/>
      <c r="S935" s="108"/>
      <c r="T935" s="108"/>
      <c r="U935" s="108"/>
      <c r="V935" s="108"/>
      <c r="W935" s="108"/>
      <c r="X935" s="108"/>
      <c r="Y935" s="108"/>
    </row>
    <row r="936">
      <c r="A936" s="244"/>
      <c r="B936" s="107"/>
      <c r="C936" s="107"/>
      <c r="D936" s="115"/>
      <c r="E936" s="107"/>
      <c r="F936" s="211"/>
      <c r="G936" s="256"/>
      <c r="H936" s="239"/>
      <c r="I936" s="108"/>
      <c r="J936" s="108"/>
      <c r="K936" s="108"/>
      <c r="L936" s="108"/>
      <c r="M936" s="108"/>
      <c r="N936" s="108"/>
      <c r="O936" s="108"/>
      <c r="P936" s="108"/>
      <c r="Q936" s="108"/>
      <c r="R936" s="108"/>
      <c r="S936" s="108"/>
      <c r="T936" s="108"/>
      <c r="U936" s="108"/>
      <c r="V936" s="108"/>
      <c r="W936" s="108"/>
      <c r="X936" s="108"/>
      <c r="Y936" s="108"/>
    </row>
    <row r="937">
      <c r="A937" s="244"/>
      <c r="B937" s="107"/>
      <c r="C937" s="107"/>
      <c r="D937" s="115"/>
      <c r="E937" s="107"/>
      <c r="F937" s="211"/>
      <c r="G937" s="256"/>
      <c r="H937" s="239"/>
      <c r="I937" s="108"/>
      <c r="J937" s="108"/>
      <c r="K937" s="108"/>
      <c r="L937" s="108"/>
      <c r="M937" s="108"/>
      <c r="N937" s="108"/>
      <c r="O937" s="108"/>
      <c r="P937" s="108"/>
      <c r="Q937" s="108"/>
      <c r="R937" s="108"/>
      <c r="S937" s="108"/>
      <c r="T937" s="108"/>
      <c r="U937" s="108"/>
      <c r="V937" s="108"/>
      <c r="W937" s="108"/>
      <c r="X937" s="108"/>
      <c r="Y937" s="108"/>
    </row>
    <row r="938">
      <c r="A938" s="244"/>
      <c r="B938" s="107"/>
      <c r="C938" s="107"/>
      <c r="D938" s="115"/>
      <c r="E938" s="107"/>
      <c r="F938" s="211"/>
      <c r="G938" s="256"/>
      <c r="H938" s="239"/>
      <c r="I938" s="108"/>
      <c r="J938" s="108"/>
      <c r="K938" s="108"/>
      <c r="L938" s="108"/>
      <c r="M938" s="108"/>
      <c r="N938" s="108"/>
      <c r="O938" s="108"/>
      <c r="P938" s="108"/>
      <c r="Q938" s="108"/>
      <c r="R938" s="108"/>
      <c r="S938" s="108"/>
      <c r="T938" s="108"/>
      <c r="U938" s="108"/>
      <c r="V938" s="108"/>
      <c r="W938" s="108"/>
      <c r="X938" s="108"/>
      <c r="Y938" s="108"/>
    </row>
    <row r="939">
      <c r="A939" s="244"/>
      <c r="B939" s="107"/>
      <c r="C939" s="107"/>
      <c r="D939" s="115"/>
      <c r="E939" s="107"/>
      <c r="F939" s="211"/>
      <c r="G939" s="256"/>
      <c r="H939" s="239"/>
      <c r="I939" s="108"/>
      <c r="J939" s="108"/>
      <c r="K939" s="108"/>
      <c r="L939" s="108"/>
      <c r="M939" s="108"/>
      <c r="N939" s="108"/>
      <c r="O939" s="108"/>
      <c r="P939" s="108"/>
      <c r="Q939" s="108"/>
      <c r="R939" s="108"/>
      <c r="S939" s="108"/>
      <c r="T939" s="108"/>
      <c r="U939" s="108"/>
      <c r="V939" s="108"/>
      <c r="W939" s="108"/>
      <c r="X939" s="108"/>
      <c r="Y939" s="108"/>
    </row>
    <row r="940">
      <c r="A940" s="244"/>
      <c r="B940" s="107"/>
      <c r="C940" s="107"/>
      <c r="D940" s="115"/>
      <c r="E940" s="107"/>
      <c r="F940" s="211"/>
      <c r="G940" s="256"/>
      <c r="H940" s="239"/>
      <c r="I940" s="108"/>
      <c r="J940" s="108"/>
      <c r="K940" s="108"/>
      <c r="L940" s="108"/>
      <c r="M940" s="108"/>
      <c r="N940" s="108"/>
      <c r="O940" s="108"/>
      <c r="P940" s="108"/>
      <c r="Q940" s="108"/>
      <c r="R940" s="108"/>
      <c r="S940" s="108"/>
      <c r="T940" s="108"/>
      <c r="U940" s="108"/>
      <c r="V940" s="108"/>
      <c r="W940" s="108"/>
      <c r="X940" s="108"/>
      <c r="Y940" s="108"/>
    </row>
    <row r="941">
      <c r="A941" s="244"/>
      <c r="B941" s="107"/>
      <c r="C941" s="107"/>
      <c r="D941" s="115"/>
      <c r="E941" s="107"/>
      <c r="F941" s="211"/>
      <c r="G941" s="256"/>
      <c r="H941" s="239"/>
      <c r="I941" s="108"/>
      <c r="J941" s="108"/>
      <c r="K941" s="108"/>
      <c r="L941" s="108"/>
      <c r="M941" s="108"/>
      <c r="N941" s="108"/>
      <c r="O941" s="108"/>
      <c r="P941" s="108"/>
      <c r="Q941" s="108"/>
      <c r="R941" s="108"/>
      <c r="S941" s="108"/>
      <c r="T941" s="108"/>
      <c r="U941" s="108"/>
      <c r="V941" s="108"/>
      <c r="W941" s="108"/>
      <c r="X941" s="108"/>
      <c r="Y941" s="108"/>
    </row>
    <row r="942">
      <c r="A942" s="244"/>
      <c r="B942" s="107"/>
      <c r="C942" s="107"/>
      <c r="D942" s="115"/>
      <c r="E942" s="107"/>
      <c r="F942" s="211"/>
      <c r="G942" s="256"/>
      <c r="H942" s="239"/>
      <c r="I942" s="108"/>
      <c r="J942" s="108"/>
      <c r="K942" s="108"/>
      <c r="L942" s="108"/>
      <c r="M942" s="108"/>
      <c r="N942" s="108"/>
      <c r="O942" s="108"/>
      <c r="P942" s="108"/>
      <c r="Q942" s="108"/>
      <c r="R942" s="108"/>
      <c r="S942" s="108"/>
      <c r="T942" s="108"/>
      <c r="U942" s="108"/>
      <c r="V942" s="108"/>
      <c r="W942" s="108"/>
      <c r="X942" s="108"/>
      <c r="Y942" s="108"/>
    </row>
    <row r="943">
      <c r="A943" s="244"/>
      <c r="B943" s="107"/>
      <c r="C943" s="107"/>
      <c r="D943" s="115"/>
      <c r="E943" s="107"/>
      <c r="F943" s="211"/>
      <c r="G943" s="256"/>
      <c r="H943" s="239"/>
      <c r="I943" s="108"/>
      <c r="J943" s="108"/>
      <c r="K943" s="108"/>
      <c r="L943" s="108"/>
      <c r="M943" s="108"/>
      <c r="N943" s="108"/>
      <c r="O943" s="108"/>
      <c r="P943" s="108"/>
      <c r="Q943" s="108"/>
      <c r="R943" s="108"/>
      <c r="S943" s="108"/>
      <c r="T943" s="108"/>
      <c r="U943" s="108"/>
      <c r="V943" s="108"/>
      <c r="W943" s="108"/>
      <c r="X943" s="108"/>
      <c r="Y943" s="108"/>
    </row>
    <row r="944">
      <c r="A944" s="244"/>
      <c r="B944" s="107"/>
      <c r="C944" s="107"/>
      <c r="D944" s="115"/>
      <c r="E944" s="107"/>
      <c r="F944" s="211"/>
      <c r="G944" s="256"/>
      <c r="H944" s="239"/>
      <c r="I944" s="108"/>
      <c r="J944" s="108"/>
      <c r="K944" s="108"/>
      <c r="L944" s="108"/>
      <c r="M944" s="108"/>
      <c r="N944" s="108"/>
      <c r="O944" s="108"/>
      <c r="P944" s="108"/>
      <c r="Q944" s="108"/>
      <c r="R944" s="108"/>
      <c r="S944" s="108"/>
      <c r="T944" s="108"/>
      <c r="U944" s="108"/>
      <c r="V944" s="108"/>
      <c r="W944" s="108"/>
      <c r="X944" s="108"/>
      <c r="Y944" s="108"/>
    </row>
    <row r="945">
      <c r="A945" s="244"/>
      <c r="B945" s="107"/>
      <c r="C945" s="107"/>
      <c r="D945" s="115"/>
      <c r="E945" s="107"/>
      <c r="F945" s="211"/>
      <c r="G945" s="256"/>
      <c r="H945" s="239"/>
      <c r="I945" s="108"/>
      <c r="J945" s="108"/>
      <c r="K945" s="108"/>
      <c r="L945" s="108"/>
      <c r="M945" s="108"/>
      <c r="N945" s="108"/>
      <c r="O945" s="108"/>
      <c r="P945" s="108"/>
      <c r="Q945" s="108"/>
      <c r="R945" s="108"/>
      <c r="S945" s="108"/>
      <c r="T945" s="108"/>
      <c r="U945" s="108"/>
      <c r="V945" s="108"/>
      <c r="W945" s="108"/>
      <c r="X945" s="108"/>
      <c r="Y945" s="108"/>
    </row>
    <row r="946">
      <c r="A946" s="244"/>
      <c r="B946" s="107"/>
      <c r="C946" s="107"/>
      <c r="D946" s="115"/>
      <c r="E946" s="107"/>
      <c r="F946" s="211"/>
      <c r="G946" s="256"/>
      <c r="H946" s="239"/>
      <c r="I946" s="108"/>
      <c r="J946" s="108"/>
      <c r="K946" s="108"/>
      <c r="L946" s="108"/>
      <c r="M946" s="108"/>
      <c r="N946" s="108"/>
      <c r="O946" s="108"/>
      <c r="P946" s="108"/>
      <c r="Q946" s="108"/>
      <c r="R946" s="108"/>
      <c r="S946" s="108"/>
      <c r="T946" s="108"/>
      <c r="U946" s="108"/>
      <c r="V946" s="108"/>
      <c r="W946" s="108"/>
      <c r="X946" s="108"/>
      <c r="Y946" s="108"/>
    </row>
    <row r="947">
      <c r="A947" s="244"/>
      <c r="B947" s="107"/>
      <c r="C947" s="107"/>
      <c r="D947" s="115"/>
      <c r="E947" s="107"/>
      <c r="F947" s="211"/>
      <c r="G947" s="256"/>
      <c r="H947" s="239"/>
      <c r="I947" s="108"/>
      <c r="J947" s="108"/>
      <c r="K947" s="108"/>
      <c r="L947" s="108"/>
      <c r="M947" s="108"/>
      <c r="N947" s="108"/>
      <c r="O947" s="108"/>
      <c r="P947" s="108"/>
      <c r="Q947" s="108"/>
      <c r="R947" s="108"/>
      <c r="S947" s="108"/>
      <c r="T947" s="108"/>
      <c r="U947" s="108"/>
      <c r="V947" s="108"/>
      <c r="W947" s="108"/>
      <c r="X947" s="108"/>
      <c r="Y947" s="108"/>
    </row>
    <row r="948">
      <c r="A948" s="244"/>
      <c r="B948" s="107"/>
      <c r="C948" s="107"/>
      <c r="D948" s="115"/>
      <c r="E948" s="107"/>
      <c r="F948" s="211"/>
      <c r="G948" s="256"/>
      <c r="H948" s="239"/>
      <c r="I948" s="108"/>
      <c r="J948" s="108"/>
      <c r="K948" s="108"/>
      <c r="L948" s="108"/>
      <c r="M948" s="108"/>
      <c r="N948" s="108"/>
      <c r="O948" s="108"/>
      <c r="P948" s="108"/>
      <c r="Q948" s="108"/>
      <c r="R948" s="108"/>
      <c r="S948" s="108"/>
      <c r="T948" s="108"/>
      <c r="U948" s="108"/>
      <c r="V948" s="108"/>
      <c r="W948" s="108"/>
      <c r="X948" s="108"/>
      <c r="Y948" s="108"/>
    </row>
    <row r="949">
      <c r="A949" s="244"/>
      <c r="B949" s="107"/>
      <c r="C949" s="107"/>
      <c r="D949" s="115"/>
      <c r="E949" s="107"/>
      <c r="F949" s="211"/>
      <c r="G949" s="256"/>
      <c r="H949" s="239"/>
      <c r="I949" s="108"/>
      <c r="J949" s="108"/>
      <c r="K949" s="108"/>
      <c r="L949" s="108"/>
      <c r="M949" s="108"/>
      <c r="N949" s="108"/>
      <c r="O949" s="108"/>
      <c r="P949" s="108"/>
      <c r="Q949" s="108"/>
      <c r="R949" s="108"/>
      <c r="S949" s="108"/>
      <c r="T949" s="108"/>
      <c r="U949" s="108"/>
      <c r="V949" s="108"/>
      <c r="W949" s="108"/>
      <c r="X949" s="108"/>
      <c r="Y949" s="108"/>
    </row>
    <row r="950">
      <c r="A950" s="244"/>
      <c r="B950" s="107"/>
      <c r="C950" s="107"/>
      <c r="D950" s="115"/>
      <c r="E950" s="107"/>
      <c r="F950" s="211"/>
      <c r="G950" s="256"/>
      <c r="H950" s="239"/>
      <c r="I950" s="108"/>
      <c r="J950" s="108"/>
      <c r="K950" s="108"/>
      <c r="L950" s="108"/>
      <c r="M950" s="108"/>
      <c r="N950" s="108"/>
      <c r="O950" s="108"/>
      <c r="P950" s="108"/>
      <c r="Q950" s="108"/>
      <c r="R950" s="108"/>
      <c r="S950" s="108"/>
      <c r="T950" s="108"/>
      <c r="U950" s="108"/>
      <c r="V950" s="108"/>
      <c r="W950" s="108"/>
      <c r="X950" s="108"/>
      <c r="Y950" s="108"/>
    </row>
    <row r="951">
      <c r="A951" s="244"/>
      <c r="B951" s="107"/>
      <c r="C951" s="107"/>
      <c r="D951" s="115"/>
      <c r="E951" s="107"/>
      <c r="F951" s="211"/>
      <c r="G951" s="256"/>
      <c r="H951" s="239"/>
      <c r="I951" s="108"/>
      <c r="J951" s="108"/>
      <c r="K951" s="108"/>
      <c r="L951" s="108"/>
      <c r="M951" s="108"/>
      <c r="N951" s="108"/>
      <c r="O951" s="108"/>
      <c r="P951" s="108"/>
      <c r="Q951" s="108"/>
      <c r="R951" s="108"/>
      <c r="S951" s="108"/>
      <c r="T951" s="108"/>
      <c r="U951" s="108"/>
      <c r="V951" s="108"/>
      <c r="W951" s="108"/>
      <c r="X951" s="108"/>
      <c r="Y951" s="108"/>
    </row>
    <row r="952">
      <c r="A952" s="244"/>
      <c r="B952" s="107"/>
      <c r="C952" s="107"/>
      <c r="D952" s="115"/>
      <c r="E952" s="107"/>
      <c r="F952" s="211"/>
      <c r="G952" s="256"/>
      <c r="H952" s="239"/>
      <c r="I952" s="108"/>
      <c r="J952" s="108"/>
      <c r="K952" s="108"/>
      <c r="L952" s="108"/>
      <c r="M952" s="108"/>
      <c r="N952" s="108"/>
      <c r="O952" s="108"/>
      <c r="P952" s="108"/>
      <c r="Q952" s="108"/>
      <c r="R952" s="108"/>
      <c r="S952" s="108"/>
      <c r="T952" s="108"/>
      <c r="U952" s="108"/>
      <c r="V952" s="108"/>
      <c r="W952" s="108"/>
      <c r="X952" s="108"/>
      <c r="Y952" s="108"/>
    </row>
    <row r="953">
      <c r="A953" s="244"/>
      <c r="B953" s="107"/>
      <c r="C953" s="107"/>
      <c r="D953" s="115"/>
      <c r="E953" s="107"/>
      <c r="F953" s="211"/>
      <c r="G953" s="256"/>
      <c r="H953" s="239"/>
      <c r="I953" s="108"/>
      <c r="J953" s="108"/>
      <c r="K953" s="108"/>
      <c r="L953" s="108"/>
      <c r="M953" s="108"/>
      <c r="N953" s="108"/>
      <c r="O953" s="108"/>
      <c r="P953" s="108"/>
      <c r="Q953" s="108"/>
      <c r="R953" s="108"/>
      <c r="S953" s="108"/>
      <c r="T953" s="108"/>
      <c r="U953" s="108"/>
      <c r="V953" s="108"/>
      <c r="W953" s="108"/>
      <c r="X953" s="108"/>
      <c r="Y953" s="108"/>
    </row>
    <row r="954">
      <c r="A954" s="244"/>
      <c r="B954" s="107"/>
      <c r="C954" s="107"/>
      <c r="D954" s="115"/>
      <c r="E954" s="107"/>
      <c r="F954" s="211"/>
      <c r="G954" s="256"/>
      <c r="H954" s="239"/>
      <c r="I954" s="108"/>
      <c r="J954" s="108"/>
      <c r="K954" s="108"/>
      <c r="L954" s="108"/>
      <c r="M954" s="108"/>
      <c r="N954" s="108"/>
      <c r="O954" s="108"/>
      <c r="P954" s="108"/>
      <c r="Q954" s="108"/>
      <c r="R954" s="108"/>
      <c r="S954" s="108"/>
      <c r="T954" s="108"/>
      <c r="U954" s="108"/>
      <c r="V954" s="108"/>
      <c r="W954" s="108"/>
      <c r="X954" s="108"/>
      <c r="Y954" s="108"/>
    </row>
    <row r="955">
      <c r="A955" s="244"/>
      <c r="B955" s="107"/>
      <c r="C955" s="107"/>
      <c r="D955" s="115"/>
      <c r="E955" s="107"/>
      <c r="F955" s="211"/>
      <c r="G955" s="256"/>
      <c r="H955" s="239"/>
      <c r="I955" s="108"/>
      <c r="J955" s="108"/>
      <c r="K955" s="108"/>
      <c r="L955" s="108"/>
      <c r="M955" s="108"/>
      <c r="N955" s="108"/>
      <c r="O955" s="108"/>
      <c r="P955" s="108"/>
      <c r="Q955" s="108"/>
      <c r="R955" s="108"/>
      <c r="S955" s="108"/>
      <c r="T955" s="108"/>
      <c r="U955" s="108"/>
      <c r="V955" s="108"/>
      <c r="W955" s="108"/>
      <c r="X955" s="108"/>
      <c r="Y955" s="108"/>
    </row>
    <row r="956">
      <c r="A956" s="244"/>
      <c r="B956" s="107"/>
      <c r="C956" s="107"/>
      <c r="D956" s="115"/>
      <c r="E956" s="107"/>
      <c r="F956" s="211"/>
      <c r="G956" s="256"/>
      <c r="H956" s="239"/>
      <c r="I956" s="108"/>
      <c r="J956" s="108"/>
      <c r="K956" s="108"/>
      <c r="L956" s="108"/>
      <c r="M956" s="108"/>
      <c r="N956" s="108"/>
      <c r="O956" s="108"/>
      <c r="P956" s="108"/>
      <c r="Q956" s="108"/>
      <c r="R956" s="108"/>
      <c r="S956" s="108"/>
      <c r="T956" s="108"/>
      <c r="U956" s="108"/>
      <c r="V956" s="108"/>
      <c r="W956" s="108"/>
      <c r="X956" s="108"/>
      <c r="Y956" s="108"/>
    </row>
    <row r="957">
      <c r="A957" s="244"/>
      <c r="B957" s="107"/>
      <c r="C957" s="107"/>
      <c r="D957" s="115"/>
      <c r="E957" s="107"/>
      <c r="F957" s="211"/>
      <c r="G957" s="256"/>
      <c r="H957" s="239"/>
      <c r="I957" s="108"/>
      <c r="J957" s="108"/>
      <c r="K957" s="108"/>
      <c r="L957" s="108"/>
      <c r="M957" s="108"/>
      <c r="N957" s="108"/>
      <c r="O957" s="108"/>
      <c r="P957" s="108"/>
      <c r="Q957" s="108"/>
      <c r="R957" s="108"/>
      <c r="S957" s="108"/>
      <c r="T957" s="108"/>
      <c r="U957" s="108"/>
      <c r="V957" s="108"/>
      <c r="W957" s="108"/>
      <c r="X957" s="108"/>
      <c r="Y957" s="108"/>
    </row>
    <row r="958">
      <c r="A958" s="244"/>
      <c r="B958" s="107"/>
      <c r="C958" s="107"/>
      <c r="D958" s="115"/>
      <c r="E958" s="107"/>
      <c r="F958" s="211"/>
      <c r="G958" s="256"/>
      <c r="H958" s="239"/>
      <c r="I958" s="108"/>
      <c r="J958" s="108"/>
      <c r="K958" s="108"/>
      <c r="L958" s="108"/>
      <c r="M958" s="108"/>
      <c r="N958" s="108"/>
      <c r="O958" s="108"/>
      <c r="P958" s="108"/>
      <c r="Q958" s="108"/>
      <c r="R958" s="108"/>
      <c r="S958" s="108"/>
      <c r="T958" s="108"/>
      <c r="U958" s="108"/>
      <c r="V958" s="108"/>
      <c r="W958" s="108"/>
      <c r="X958" s="108"/>
      <c r="Y958" s="108"/>
    </row>
    <row r="959">
      <c r="A959" s="244"/>
      <c r="B959" s="107"/>
      <c r="C959" s="107"/>
      <c r="D959" s="115"/>
      <c r="E959" s="107"/>
      <c r="F959" s="211"/>
      <c r="G959" s="256"/>
      <c r="H959" s="239"/>
      <c r="I959" s="108"/>
      <c r="J959" s="108"/>
      <c r="K959" s="108"/>
      <c r="L959" s="108"/>
      <c r="M959" s="108"/>
      <c r="N959" s="108"/>
      <c r="O959" s="108"/>
      <c r="P959" s="108"/>
      <c r="Q959" s="108"/>
      <c r="R959" s="108"/>
      <c r="S959" s="108"/>
      <c r="T959" s="108"/>
      <c r="U959" s="108"/>
      <c r="V959" s="108"/>
      <c r="W959" s="108"/>
      <c r="X959" s="108"/>
      <c r="Y959" s="108"/>
    </row>
    <row r="960">
      <c r="A960" s="244"/>
      <c r="B960" s="107"/>
      <c r="C960" s="107"/>
      <c r="D960" s="115"/>
      <c r="E960" s="107"/>
      <c r="F960" s="211"/>
      <c r="G960" s="256"/>
      <c r="H960" s="239"/>
      <c r="I960" s="108"/>
      <c r="J960" s="108"/>
      <c r="K960" s="108"/>
      <c r="L960" s="108"/>
      <c r="M960" s="108"/>
      <c r="N960" s="108"/>
      <c r="O960" s="108"/>
      <c r="P960" s="108"/>
      <c r="Q960" s="108"/>
      <c r="R960" s="108"/>
      <c r="S960" s="108"/>
      <c r="T960" s="108"/>
      <c r="U960" s="108"/>
      <c r="V960" s="108"/>
      <c r="W960" s="108"/>
      <c r="X960" s="108"/>
      <c r="Y960" s="108"/>
    </row>
    <row r="961">
      <c r="A961" s="244"/>
      <c r="B961" s="107"/>
      <c r="C961" s="107"/>
      <c r="D961" s="115"/>
      <c r="E961" s="107"/>
      <c r="F961" s="211"/>
      <c r="G961" s="256"/>
      <c r="H961" s="239"/>
      <c r="I961" s="108"/>
      <c r="J961" s="108"/>
      <c r="K961" s="108"/>
      <c r="L961" s="108"/>
      <c r="M961" s="108"/>
      <c r="N961" s="108"/>
      <c r="O961" s="108"/>
      <c r="P961" s="108"/>
      <c r="Q961" s="108"/>
      <c r="R961" s="108"/>
      <c r="S961" s="108"/>
      <c r="T961" s="108"/>
      <c r="U961" s="108"/>
      <c r="V961" s="108"/>
      <c r="W961" s="108"/>
      <c r="X961" s="108"/>
      <c r="Y961" s="108"/>
    </row>
    <row r="962">
      <c r="A962" s="244"/>
      <c r="B962" s="107"/>
      <c r="C962" s="107"/>
      <c r="D962" s="115"/>
      <c r="E962" s="107"/>
      <c r="F962" s="211"/>
      <c r="G962" s="256"/>
      <c r="H962" s="239"/>
      <c r="I962" s="108"/>
      <c r="J962" s="108"/>
      <c r="K962" s="108"/>
      <c r="L962" s="108"/>
      <c r="M962" s="108"/>
      <c r="N962" s="108"/>
      <c r="O962" s="108"/>
      <c r="P962" s="108"/>
      <c r="Q962" s="108"/>
      <c r="R962" s="108"/>
      <c r="S962" s="108"/>
      <c r="T962" s="108"/>
      <c r="U962" s="108"/>
      <c r="V962" s="108"/>
      <c r="W962" s="108"/>
      <c r="X962" s="108"/>
      <c r="Y962" s="108"/>
    </row>
    <row r="963">
      <c r="A963" s="244"/>
      <c r="B963" s="107"/>
      <c r="C963" s="107"/>
      <c r="D963" s="115"/>
      <c r="E963" s="107"/>
      <c r="F963" s="211"/>
      <c r="G963" s="256"/>
      <c r="H963" s="239"/>
      <c r="I963" s="108"/>
      <c r="J963" s="108"/>
      <c r="K963" s="108"/>
      <c r="L963" s="108"/>
      <c r="M963" s="108"/>
      <c r="N963" s="108"/>
      <c r="O963" s="108"/>
      <c r="P963" s="108"/>
      <c r="Q963" s="108"/>
      <c r="R963" s="108"/>
      <c r="S963" s="108"/>
      <c r="T963" s="108"/>
      <c r="U963" s="108"/>
      <c r="V963" s="108"/>
      <c r="W963" s="108"/>
      <c r="X963" s="108"/>
      <c r="Y963" s="108"/>
    </row>
    <row r="964">
      <c r="A964" s="244"/>
      <c r="B964" s="107"/>
      <c r="C964" s="107"/>
      <c r="D964" s="115"/>
      <c r="E964" s="107"/>
      <c r="F964" s="211"/>
      <c r="G964" s="256"/>
      <c r="H964" s="239"/>
      <c r="I964" s="108"/>
      <c r="J964" s="108"/>
      <c r="K964" s="108"/>
      <c r="L964" s="108"/>
      <c r="M964" s="108"/>
      <c r="N964" s="108"/>
      <c r="O964" s="108"/>
      <c r="P964" s="108"/>
      <c r="Q964" s="108"/>
      <c r="R964" s="108"/>
      <c r="S964" s="108"/>
      <c r="T964" s="108"/>
      <c r="U964" s="108"/>
      <c r="V964" s="108"/>
      <c r="W964" s="108"/>
      <c r="X964" s="108"/>
      <c r="Y964" s="108"/>
    </row>
    <row r="965">
      <c r="A965" s="244"/>
      <c r="B965" s="107"/>
      <c r="C965" s="107"/>
      <c r="D965" s="115"/>
      <c r="E965" s="107"/>
      <c r="F965" s="211"/>
      <c r="G965" s="256"/>
      <c r="H965" s="239"/>
      <c r="I965" s="108"/>
      <c r="J965" s="108"/>
      <c r="K965" s="108"/>
      <c r="L965" s="108"/>
      <c r="M965" s="108"/>
      <c r="N965" s="108"/>
      <c r="O965" s="108"/>
      <c r="P965" s="108"/>
      <c r="Q965" s="108"/>
      <c r="R965" s="108"/>
      <c r="S965" s="108"/>
      <c r="T965" s="108"/>
      <c r="U965" s="108"/>
      <c r="V965" s="108"/>
      <c r="W965" s="108"/>
      <c r="X965" s="108"/>
      <c r="Y965" s="108"/>
    </row>
    <row r="966">
      <c r="A966" s="244"/>
      <c r="B966" s="107"/>
      <c r="C966" s="107"/>
      <c r="D966" s="115"/>
      <c r="E966" s="107"/>
      <c r="F966" s="211"/>
      <c r="G966" s="256"/>
      <c r="H966" s="239"/>
      <c r="I966" s="108"/>
      <c r="J966" s="108"/>
      <c r="K966" s="108"/>
      <c r="L966" s="108"/>
      <c r="M966" s="108"/>
      <c r="N966" s="108"/>
      <c r="O966" s="108"/>
      <c r="P966" s="108"/>
      <c r="Q966" s="108"/>
      <c r="R966" s="108"/>
      <c r="S966" s="108"/>
      <c r="T966" s="108"/>
      <c r="U966" s="108"/>
      <c r="V966" s="108"/>
      <c r="W966" s="108"/>
      <c r="X966" s="108"/>
      <c r="Y966" s="108"/>
    </row>
    <row r="967">
      <c r="A967" s="244"/>
      <c r="B967" s="107"/>
      <c r="C967" s="107"/>
      <c r="D967" s="115"/>
      <c r="E967" s="107"/>
      <c r="F967" s="211"/>
      <c r="G967" s="256"/>
      <c r="H967" s="239"/>
      <c r="I967" s="108"/>
      <c r="J967" s="108"/>
      <c r="K967" s="108"/>
      <c r="L967" s="108"/>
      <c r="M967" s="108"/>
      <c r="N967" s="108"/>
      <c r="O967" s="108"/>
      <c r="P967" s="108"/>
      <c r="Q967" s="108"/>
      <c r="R967" s="108"/>
      <c r="S967" s="108"/>
      <c r="T967" s="108"/>
      <c r="U967" s="108"/>
      <c r="V967" s="108"/>
      <c r="W967" s="108"/>
      <c r="X967" s="108"/>
      <c r="Y967" s="108"/>
    </row>
    <row r="968">
      <c r="A968" s="244"/>
      <c r="B968" s="107"/>
      <c r="C968" s="107"/>
      <c r="D968" s="115"/>
      <c r="E968" s="107"/>
      <c r="F968" s="211"/>
      <c r="G968" s="256"/>
      <c r="H968" s="239"/>
      <c r="I968" s="108"/>
      <c r="J968" s="108"/>
      <c r="K968" s="108"/>
      <c r="L968" s="108"/>
      <c r="M968" s="108"/>
      <c r="N968" s="108"/>
      <c r="O968" s="108"/>
      <c r="P968" s="108"/>
      <c r="Q968" s="108"/>
      <c r="R968" s="108"/>
      <c r="S968" s="108"/>
      <c r="T968" s="108"/>
      <c r="U968" s="108"/>
      <c r="V968" s="108"/>
      <c r="W968" s="108"/>
      <c r="X968" s="108"/>
      <c r="Y968" s="108"/>
    </row>
    <row r="969">
      <c r="A969" s="244"/>
      <c r="B969" s="107"/>
      <c r="C969" s="107"/>
      <c r="D969" s="115"/>
      <c r="E969" s="107"/>
      <c r="F969" s="211"/>
      <c r="G969" s="256"/>
      <c r="H969" s="239"/>
      <c r="I969" s="108"/>
      <c r="J969" s="108"/>
      <c r="K969" s="108"/>
      <c r="L969" s="108"/>
      <c r="M969" s="108"/>
      <c r="N969" s="108"/>
      <c r="O969" s="108"/>
      <c r="P969" s="108"/>
      <c r="Q969" s="108"/>
      <c r="R969" s="108"/>
      <c r="S969" s="108"/>
      <c r="T969" s="108"/>
      <c r="U969" s="108"/>
      <c r="V969" s="108"/>
      <c r="W969" s="108"/>
      <c r="X969" s="108"/>
      <c r="Y969" s="108"/>
    </row>
    <row r="970">
      <c r="A970" s="244"/>
      <c r="B970" s="107"/>
      <c r="C970" s="107"/>
      <c r="D970" s="115"/>
      <c r="E970" s="107"/>
      <c r="F970" s="211"/>
      <c r="G970" s="256"/>
      <c r="H970" s="239"/>
      <c r="I970" s="108"/>
      <c r="J970" s="108"/>
      <c r="K970" s="108"/>
      <c r="L970" s="108"/>
      <c r="M970" s="108"/>
      <c r="N970" s="108"/>
      <c r="O970" s="108"/>
      <c r="P970" s="108"/>
      <c r="Q970" s="108"/>
      <c r="R970" s="108"/>
      <c r="S970" s="108"/>
      <c r="T970" s="108"/>
      <c r="U970" s="108"/>
      <c r="V970" s="108"/>
      <c r="W970" s="108"/>
      <c r="X970" s="108"/>
      <c r="Y970" s="108"/>
    </row>
    <row r="971">
      <c r="A971" s="244"/>
      <c r="B971" s="107"/>
      <c r="C971" s="107"/>
      <c r="D971" s="115"/>
      <c r="E971" s="107"/>
      <c r="F971" s="211"/>
      <c r="G971" s="256"/>
      <c r="H971" s="239"/>
      <c r="I971" s="108"/>
      <c r="J971" s="108"/>
      <c r="K971" s="108"/>
      <c r="L971" s="108"/>
      <c r="M971" s="108"/>
      <c r="N971" s="108"/>
      <c r="O971" s="108"/>
      <c r="P971" s="108"/>
      <c r="Q971" s="108"/>
      <c r="R971" s="108"/>
      <c r="S971" s="108"/>
      <c r="T971" s="108"/>
      <c r="U971" s="108"/>
      <c r="V971" s="108"/>
      <c r="W971" s="108"/>
      <c r="X971" s="108"/>
      <c r="Y971" s="108"/>
    </row>
    <row r="972">
      <c r="A972" s="244"/>
      <c r="B972" s="107"/>
      <c r="C972" s="107"/>
      <c r="D972" s="115"/>
      <c r="E972" s="107"/>
      <c r="F972" s="211"/>
      <c r="G972" s="256"/>
      <c r="H972" s="239"/>
      <c r="I972" s="108"/>
      <c r="J972" s="108"/>
      <c r="K972" s="108"/>
      <c r="L972" s="108"/>
      <c r="M972" s="108"/>
      <c r="N972" s="108"/>
      <c r="O972" s="108"/>
      <c r="P972" s="108"/>
      <c r="Q972" s="108"/>
      <c r="R972" s="108"/>
      <c r="S972" s="108"/>
      <c r="T972" s="108"/>
      <c r="U972" s="108"/>
      <c r="V972" s="108"/>
      <c r="W972" s="108"/>
      <c r="X972" s="108"/>
      <c r="Y972" s="108"/>
    </row>
    <row r="973">
      <c r="A973" s="244"/>
      <c r="B973" s="107"/>
      <c r="C973" s="107"/>
      <c r="D973" s="115"/>
      <c r="E973" s="107"/>
      <c r="F973" s="211"/>
      <c r="G973" s="256"/>
      <c r="H973" s="239"/>
      <c r="I973" s="108"/>
      <c r="J973" s="108"/>
      <c r="K973" s="108"/>
      <c r="L973" s="108"/>
      <c r="M973" s="108"/>
      <c r="N973" s="108"/>
      <c r="O973" s="108"/>
      <c r="P973" s="108"/>
      <c r="Q973" s="108"/>
      <c r="R973" s="108"/>
      <c r="S973" s="108"/>
      <c r="T973" s="108"/>
      <c r="U973" s="108"/>
      <c r="V973" s="108"/>
      <c r="W973" s="108"/>
      <c r="X973" s="108"/>
      <c r="Y973" s="108"/>
    </row>
    <row r="974">
      <c r="A974" s="244"/>
      <c r="B974" s="107"/>
      <c r="C974" s="107"/>
      <c r="D974" s="115"/>
      <c r="E974" s="107"/>
      <c r="F974" s="211"/>
      <c r="G974" s="256"/>
      <c r="H974" s="239"/>
      <c r="I974" s="108"/>
      <c r="J974" s="108"/>
      <c r="K974" s="108"/>
      <c r="L974" s="108"/>
      <c r="M974" s="108"/>
      <c r="N974" s="108"/>
      <c r="O974" s="108"/>
      <c r="P974" s="108"/>
      <c r="Q974" s="108"/>
      <c r="R974" s="108"/>
      <c r="S974" s="108"/>
      <c r="T974" s="108"/>
      <c r="U974" s="108"/>
      <c r="V974" s="108"/>
      <c r="W974" s="108"/>
      <c r="X974" s="108"/>
      <c r="Y974" s="108"/>
    </row>
    <row r="975">
      <c r="A975" s="244"/>
      <c r="B975" s="107"/>
      <c r="C975" s="107"/>
      <c r="D975" s="115"/>
      <c r="E975" s="107"/>
      <c r="F975" s="211"/>
      <c r="G975" s="256"/>
      <c r="H975" s="239"/>
      <c r="I975" s="108"/>
      <c r="J975" s="108"/>
      <c r="K975" s="108"/>
      <c r="L975" s="108"/>
      <c r="M975" s="108"/>
      <c r="N975" s="108"/>
      <c r="O975" s="108"/>
      <c r="P975" s="108"/>
      <c r="Q975" s="108"/>
      <c r="R975" s="108"/>
      <c r="S975" s="108"/>
      <c r="T975" s="108"/>
      <c r="U975" s="108"/>
      <c r="V975" s="108"/>
      <c r="W975" s="108"/>
      <c r="X975" s="108"/>
      <c r="Y975" s="108"/>
    </row>
    <row r="976">
      <c r="A976" s="244"/>
      <c r="B976" s="107"/>
      <c r="C976" s="107"/>
      <c r="D976" s="115"/>
      <c r="E976" s="107"/>
      <c r="F976" s="211"/>
      <c r="G976" s="256"/>
      <c r="H976" s="239"/>
      <c r="I976" s="108"/>
      <c r="J976" s="108"/>
      <c r="K976" s="108"/>
      <c r="L976" s="108"/>
      <c r="M976" s="108"/>
      <c r="N976" s="108"/>
      <c r="O976" s="108"/>
      <c r="P976" s="108"/>
      <c r="Q976" s="108"/>
      <c r="R976" s="108"/>
      <c r="S976" s="108"/>
      <c r="T976" s="108"/>
      <c r="U976" s="108"/>
      <c r="V976" s="108"/>
      <c r="W976" s="108"/>
      <c r="X976" s="108"/>
      <c r="Y976" s="108"/>
    </row>
    <row r="977">
      <c r="A977" s="244"/>
      <c r="B977" s="107"/>
      <c r="C977" s="107"/>
      <c r="D977" s="115"/>
      <c r="E977" s="107"/>
      <c r="F977" s="211"/>
      <c r="G977" s="256"/>
      <c r="H977" s="239"/>
      <c r="I977" s="108"/>
      <c r="J977" s="108"/>
      <c r="K977" s="108"/>
      <c r="L977" s="108"/>
      <c r="M977" s="108"/>
      <c r="N977" s="108"/>
      <c r="O977" s="108"/>
      <c r="P977" s="108"/>
      <c r="Q977" s="108"/>
      <c r="R977" s="108"/>
      <c r="S977" s="108"/>
      <c r="T977" s="108"/>
      <c r="U977" s="108"/>
      <c r="V977" s="108"/>
      <c r="W977" s="108"/>
      <c r="X977" s="108"/>
      <c r="Y977" s="108"/>
    </row>
    <row r="978">
      <c r="A978" s="244"/>
      <c r="B978" s="107"/>
      <c r="C978" s="107"/>
      <c r="D978" s="115"/>
      <c r="E978" s="107"/>
      <c r="F978" s="211"/>
      <c r="G978" s="256"/>
      <c r="H978" s="239"/>
      <c r="I978" s="108"/>
      <c r="J978" s="108"/>
      <c r="K978" s="108"/>
      <c r="L978" s="108"/>
      <c r="M978" s="108"/>
      <c r="N978" s="108"/>
      <c r="O978" s="108"/>
      <c r="P978" s="108"/>
      <c r="Q978" s="108"/>
      <c r="R978" s="108"/>
      <c r="S978" s="108"/>
      <c r="T978" s="108"/>
      <c r="U978" s="108"/>
      <c r="V978" s="108"/>
      <c r="W978" s="108"/>
      <c r="X978" s="108"/>
      <c r="Y978" s="108"/>
    </row>
    <row r="979">
      <c r="A979" s="244"/>
      <c r="B979" s="107"/>
      <c r="C979" s="107"/>
      <c r="D979" s="115"/>
      <c r="E979" s="107"/>
      <c r="F979" s="211"/>
      <c r="G979" s="256"/>
      <c r="H979" s="239"/>
      <c r="I979" s="108"/>
      <c r="J979" s="108"/>
      <c r="K979" s="108"/>
      <c r="L979" s="108"/>
      <c r="M979" s="108"/>
      <c r="N979" s="108"/>
      <c r="O979" s="108"/>
      <c r="P979" s="108"/>
      <c r="Q979" s="108"/>
      <c r="R979" s="108"/>
      <c r="S979" s="108"/>
      <c r="T979" s="108"/>
      <c r="U979" s="108"/>
      <c r="V979" s="108"/>
      <c r="W979" s="108"/>
      <c r="X979" s="108"/>
      <c r="Y979" s="108"/>
    </row>
    <row r="980">
      <c r="A980" s="244"/>
      <c r="B980" s="107"/>
      <c r="C980" s="107"/>
      <c r="D980" s="115"/>
      <c r="E980" s="107"/>
      <c r="F980" s="211"/>
      <c r="G980" s="256"/>
      <c r="H980" s="239"/>
      <c r="I980" s="108"/>
      <c r="J980" s="108"/>
      <c r="K980" s="108"/>
      <c r="L980" s="108"/>
      <c r="M980" s="108"/>
      <c r="N980" s="108"/>
      <c r="O980" s="108"/>
      <c r="P980" s="108"/>
      <c r="Q980" s="108"/>
      <c r="R980" s="108"/>
      <c r="S980" s="108"/>
      <c r="T980" s="108"/>
      <c r="U980" s="108"/>
      <c r="V980" s="108"/>
      <c r="W980" s="108"/>
      <c r="X980" s="108"/>
      <c r="Y980" s="108"/>
    </row>
    <row r="981">
      <c r="A981" s="244"/>
      <c r="B981" s="107"/>
      <c r="C981" s="107"/>
      <c r="D981" s="115"/>
      <c r="E981" s="107"/>
      <c r="F981" s="211"/>
      <c r="G981" s="256"/>
      <c r="H981" s="239"/>
      <c r="I981" s="108"/>
      <c r="J981" s="108"/>
      <c r="K981" s="108"/>
      <c r="L981" s="108"/>
      <c r="M981" s="108"/>
      <c r="N981" s="108"/>
      <c r="O981" s="108"/>
      <c r="P981" s="108"/>
      <c r="Q981" s="108"/>
      <c r="R981" s="108"/>
      <c r="S981" s="108"/>
      <c r="T981" s="108"/>
      <c r="U981" s="108"/>
      <c r="V981" s="108"/>
      <c r="W981" s="108"/>
      <c r="X981" s="108"/>
      <c r="Y981" s="108"/>
    </row>
    <row r="982">
      <c r="A982" s="244"/>
      <c r="B982" s="107"/>
      <c r="C982" s="107"/>
      <c r="D982" s="115"/>
      <c r="E982" s="107"/>
      <c r="F982" s="211"/>
      <c r="G982" s="256"/>
      <c r="H982" s="239"/>
      <c r="I982" s="108"/>
      <c r="J982" s="108"/>
      <c r="K982" s="108"/>
      <c r="L982" s="108"/>
      <c r="M982" s="108"/>
      <c r="N982" s="108"/>
      <c r="O982" s="108"/>
      <c r="P982" s="108"/>
      <c r="Q982" s="108"/>
      <c r="R982" s="108"/>
      <c r="S982" s="108"/>
      <c r="T982" s="108"/>
      <c r="U982" s="108"/>
      <c r="V982" s="108"/>
      <c r="W982" s="108"/>
      <c r="X982" s="108"/>
      <c r="Y982" s="108"/>
    </row>
    <row r="983">
      <c r="A983" s="244"/>
      <c r="B983" s="107"/>
      <c r="C983" s="107"/>
      <c r="D983" s="115"/>
      <c r="E983" s="107"/>
      <c r="F983" s="211"/>
      <c r="G983" s="256"/>
      <c r="H983" s="239"/>
      <c r="I983" s="108"/>
      <c r="J983" s="108"/>
      <c r="K983" s="108"/>
      <c r="L983" s="108"/>
      <c r="M983" s="108"/>
      <c r="N983" s="108"/>
      <c r="O983" s="108"/>
      <c r="P983" s="108"/>
      <c r="Q983" s="108"/>
      <c r="R983" s="108"/>
      <c r="S983" s="108"/>
      <c r="T983" s="108"/>
      <c r="U983" s="108"/>
      <c r="V983" s="108"/>
      <c r="W983" s="108"/>
      <c r="X983" s="108"/>
      <c r="Y983" s="108"/>
    </row>
    <row r="984">
      <c r="A984" s="244"/>
      <c r="B984" s="107"/>
      <c r="C984" s="107"/>
      <c r="D984" s="115"/>
      <c r="E984" s="107"/>
      <c r="F984" s="211"/>
      <c r="G984" s="256"/>
      <c r="H984" s="239"/>
      <c r="I984" s="108"/>
      <c r="J984" s="108"/>
      <c r="K984" s="108"/>
      <c r="L984" s="108"/>
      <c r="M984" s="108"/>
      <c r="N984" s="108"/>
      <c r="O984" s="108"/>
      <c r="P984" s="108"/>
      <c r="Q984" s="108"/>
      <c r="R984" s="108"/>
      <c r="S984" s="108"/>
      <c r="T984" s="108"/>
      <c r="U984" s="108"/>
      <c r="V984" s="108"/>
      <c r="W984" s="108"/>
      <c r="X984" s="108"/>
      <c r="Y984" s="108"/>
    </row>
    <row r="985">
      <c r="A985" s="244"/>
      <c r="B985" s="107"/>
      <c r="C985" s="107"/>
      <c r="D985" s="115"/>
      <c r="E985" s="107"/>
      <c r="F985" s="211"/>
      <c r="G985" s="256"/>
      <c r="H985" s="239"/>
      <c r="I985" s="108"/>
      <c r="J985" s="108"/>
      <c r="K985" s="108"/>
      <c r="L985" s="108"/>
      <c r="M985" s="108"/>
      <c r="N985" s="108"/>
      <c r="O985" s="108"/>
      <c r="P985" s="108"/>
      <c r="Q985" s="108"/>
      <c r="R985" s="108"/>
      <c r="S985" s="108"/>
      <c r="T985" s="108"/>
      <c r="U985" s="108"/>
      <c r="V985" s="108"/>
      <c r="W985" s="108"/>
      <c r="X985" s="108"/>
      <c r="Y985" s="108"/>
    </row>
    <row r="986">
      <c r="A986" s="244"/>
      <c r="B986" s="107"/>
      <c r="C986" s="107"/>
      <c r="D986" s="115"/>
      <c r="E986" s="107"/>
      <c r="F986" s="211"/>
      <c r="G986" s="256"/>
      <c r="H986" s="239"/>
      <c r="I986" s="108"/>
      <c r="J986" s="108"/>
      <c r="K986" s="108"/>
      <c r="L986" s="108"/>
      <c r="M986" s="108"/>
      <c r="N986" s="108"/>
      <c r="O986" s="108"/>
      <c r="P986" s="108"/>
      <c r="Q986" s="108"/>
      <c r="R986" s="108"/>
      <c r="S986" s="108"/>
      <c r="T986" s="108"/>
      <c r="U986" s="108"/>
      <c r="V986" s="108"/>
      <c r="W986" s="108"/>
      <c r="X986" s="108"/>
      <c r="Y986" s="108"/>
    </row>
    <row r="987">
      <c r="A987" s="244"/>
      <c r="B987" s="107"/>
      <c r="C987" s="107"/>
      <c r="D987" s="115"/>
      <c r="E987" s="107"/>
      <c r="F987" s="211"/>
      <c r="G987" s="256"/>
      <c r="H987" s="239"/>
      <c r="I987" s="108"/>
      <c r="J987" s="108"/>
      <c r="K987" s="108"/>
      <c r="L987" s="108"/>
      <c r="M987" s="108"/>
      <c r="N987" s="108"/>
      <c r="O987" s="108"/>
      <c r="P987" s="108"/>
      <c r="Q987" s="108"/>
      <c r="R987" s="108"/>
      <c r="S987" s="108"/>
      <c r="T987" s="108"/>
      <c r="U987" s="108"/>
      <c r="V987" s="108"/>
      <c r="W987" s="108"/>
      <c r="X987" s="108"/>
      <c r="Y987" s="108"/>
    </row>
    <row r="988">
      <c r="A988" s="244"/>
      <c r="B988" s="107"/>
      <c r="C988" s="107"/>
      <c r="D988" s="115"/>
      <c r="E988" s="107"/>
      <c r="F988" s="211"/>
      <c r="G988" s="256"/>
      <c r="H988" s="239"/>
      <c r="I988" s="108"/>
      <c r="J988" s="108"/>
      <c r="K988" s="108"/>
      <c r="L988" s="108"/>
      <c r="M988" s="108"/>
      <c r="N988" s="108"/>
      <c r="O988" s="108"/>
      <c r="P988" s="108"/>
      <c r="Q988" s="108"/>
      <c r="R988" s="108"/>
      <c r="S988" s="108"/>
      <c r="T988" s="108"/>
      <c r="U988" s="108"/>
      <c r="V988" s="108"/>
      <c r="W988" s="108"/>
      <c r="X988" s="108"/>
      <c r="Y988" s="108"/>
    </row>
    <row r="989">
      <c r="A989" s="244"/>
      <c r="B989" s="107"/>
      <c r="C989" s="107"/>
      <c r="D989" s="115"/>
      <c r="E989" s="107"/>
      <c r="F989" s="211"/>
      <c r="G989" s="256"/>
      <c r="H989" s="239"/>
      <c r="I989" s="108"/>
      <c r="J989" s="108"/>
      <c r="K989" s="108"/>
      <c r="L989" s="108"/>
      <c r="M989" s="108"/>
      <c r="N989" s="108"/>
      <c r="O989" s="108"/>
      <c r="P989" s="108"/>
      <c r="Q989" s="108"/>
      <c r="R989" s="108"/>
      <c r="S989" s="108"/>
      <c r="T989" s="108"/>
      <c r="U989" s="108"/>
      <c r="V989" s="108"/>
      <c r="W989" s="108"/>
      <c r="X989" s="108"/>
      <c r="Y989" s="108"/>
    </row>
    <row r="990">
      <c r="A990" s="244"/>
      <c r="B990" s="107"/>
      <c r="C990" s="107"/>
      <c r="D990" s="115"/>
      <c r="E990" s="107"/>
      <c r="F990" s="211"/>
      <c r="G990" s="256"/>
      <c r="H990" s="239"/>
      <c r="I990" s="108"/>
      <c r="J990" s="108"/>
      <c r="K990" s="108"/>
      <c r="L990" s="108"/>
      <c r="M990" s="108"/>
      <c r="N990" s="108"/>
      <c r="O990" s="108"/>
      <c r="P990" s="108"/>
      <c r="Q990" s="108"/>
      <c r="R990" s="108"/>
      <c r="S990" s="108"/>
      <c r="T990" s="108"/>
      <c r="U990" s="108"/>
      <c r="V990" s="108"/>
      <c r="W990" s="108"/>
      <c r="X990" s="108"/>
      <c r="Y990" s="108"/>
    </row>
    <row r="991">
      <c r="A991" s="244"/>
      <c r="B991" s="107"/>
      <c r="C991" s="107"/>
      <c r="D991" s="115"/>
      <c r="E991" s="107"/>
      <c r="F991" s="211"/>
      <c r="G991" s="256"/>
      <c r="H991" s="239"/>
      <c r="I991" s="108"/>
      <c r="J991" s="108"/>
      <c r="K991" s="108"/>
      <c r="L991" s="108"/>
      <c r="M991" s="108"/>
      <c r="N991" s="108"/>
      <c r="O991" s="108"/>
      <c r="P991" s="108"/>
      <c r="Q991" s="108"/>
      <c r="R991" s="108"/>
      <c r="S991" s="108"/>
      <c r="T991" s="108"/>
      <c r="U991" s="108"/>
      <c r="V991" s="108"/>
      <c r="W991" s="108"/>
      <c r="X991" s="108"/>
      <c r="Y991" s="108"/>
    </row>
    <row r="992">
      <c r="A992" s="244"/>
      <c r="B992" s="107"/>
      <c r="C992" s="107"/>
      <c r="D992" s="115"/>
      <c r="E992" s="107"/>
      <c r="F992" s="211"/>
      <c r="G992" s="256"/>
      <c r="H992" s="239"/>
      <c r="I992" s="108"/>
      <c r="J992" s="108"/>
      <c r="K992" s="108"/>
      <c r="L992" s="108"/>
      <c r="M992" s="108"/>
      <c r="N992" s="108"/>
      <c r="O992" s="108"/>
      <c r="P992" s="108"/>
      <c r="Q992" s="108"/>
      <c r="R992" s="108"/>
      <c r="S992" s="108"/>
      <c r="T992" s="108"/>
      <c r="U992" s="108"/>
      <c r="V992" s="108"/>
      <c r="W992" s="108"/>
      <c r="X992" s="108"/>
      <c r="Y992" s="108"/>
    </row>
    <row r="993">
      <c r="A993" s="244"/>
      <c r="B993" s="107"/>
      <c r="C993" s="107"/>
      <c r="D993" s="115"/>
      <c r="E993" s="107"/>
      <c r="F993" s="211"/>
      <c r="G993" s="256"/>
      <c r="H993" s="239"/>
      <c r="I993" s="108"/>
      <c r="J993" s="108"/>
      <c r="K993" s="108"/>
      <c r="L993" s="108"/>
      <c r="M993" s="108"/>
      <c r="N993" s="108"/>
      <c r="O993" s="108"/>
      <c r="P993" s="108"/>
      <c r="Q993" s="108"/>
      <c r="R993" s="108"/>
      <c r="S993" s="108"/>
      <c r="T993" s="108"/>
      <c r="U993" s="108"/>
      <c r="V993" s="108"/>
      <c r="W993" s="108"/>
      <c r="X993" s="108"/>
      <c r="Y993" s="108"/>
    </row>
    <row r="994">
      <c r="A994" s="244"/>
      <c r="B994" s="107"/>
      <c r="C994" s="107"/>
      <c r="D994" s="115"/>
      <c r="E994" s="107"/>
      <c r="F994" s="211"/>
      <c r="G994" s="256"/>
      <c r="H994" s="239"/>
      <c r="I994" s="108"/>
      <c r="J994" s="108"/>
      <c r="K994" s="108"/>
      <c r="L994" s="108"/>
      <c r="M994" s="108"/>
      <c r="N994" s="108"/>
      <c r="O994" s="108"/>
      <c r="P994" s="108"/>
      <c r="Q994" s="108"/>
      <c r="R994" s="108"/>
      <c r="S994" s="108"/>
      <c r="T994" s="108"/>
      <c r="U994" s="108"/>
      <c r="V994" s="108"/>
      <c r="W994" s="108"/>
      <c r="X994" s="108"/>
      <c r="Y994" s="108"/>
    </row>
    <row r="995">
      <c r="A995" s="244"/>
      <c r="B995" s="107"/>
      <c r="C995" s="107"/>
      <c r="D995" s="115"/>
      <c r="E995" s="107"/>
      <c r="F995" s="211"/>
      <c r="G995" s="256"/>
      <c r="H995" s="239"/>
      <c r="I995" s="108"/>
      <c r="J995" s="108"/>
      <c r="K995" s="108"/>
      <c r="L995" s="108"/>
      <c r="M995" s="108"/>
      <c r="N995" s="108"/>
      <c r="O995" s="108"/>
      <c r="P995" s="108"/>
      <c r="Q995" s="108"/>
      <c r="R995" s="108"/>
      <c r="S995" s="108"/>
      <c r="T995" s="108"/>
      <c r="U995" s="108"/>
      <c r="V995" s="108"/>
      <c r="W995" s="108"/>
      <c r="X995" s="108"/>
      <c r="Y995" s="108"/>
    </row>
    <row r="996">
      <c r="A996" s="244"/>
      <c r="B996" s="107"/>
      <c r="C996" s="107"/>
      <c r="D996" s="115"/>
      <c r="E996" s="107"/>
      <c r="F996" s="211"/>
      <c r="G996" s="256"/>
      <c r="H996" s="239"/>
      <c r="I996" s="108"/>
      <c r="J996" s="108"/>
      <c r="K996" s="108"/>
      <c r="L996" s="108"/>
      <c r="M996" s="108"/>
      <c r="N996" s="108"/>
      <c r="O996" s="108"/>
      <c r="P996" s="108"/>
      <c r="Q996" s="108"/>
      <c r="R996" s="108"/>
      <c r="S996" s="108"/>
      <c r="T996" s="108"/>
      <c r="U996" s="108"/>
      <c r="V996" s="108"/>
      <c r="W996" s="108"/>
      <c r="X996" s="108"/>
      <c r="Y996" s="108"/>
    </row>
    <row r="997">
      <c r="A997" s="244"/>
      <c r="B997" s="107"/>
      <c r="C997" s="107"/>
      <c r="D997" s="115"/>
      <c r="E997" s="107"/>
      <c r="F997" s="211"/>
      <c r="G997" s="256"/>
      <c r="H997" s="239"/>
      <c r="I997" s="108"/>
      <c r="J997" s="108"/>
      <c r="K997" s="108"/>
      <c r="L997" s="108"/>
      <c r="M997" s="108"/>
      <c r="N997" s="108"/>
      <c r="O997" s="108"/>
      <c r="P997" s="108"/>
      <c r="Q997" s="108"/>
      <c r="R997" s="108"/>
      <c r="S997" s="108"/>
      <c r="T997" s="108"/>
      <c r="U997" s="108"/>
      <c r="V997" s="108"/>
      <c r="W997" s="108"/>
      <c r="X997" s="108"/>
      <c r="Y997" s="108"/>
    </row>
    <row r="998">
      <c r="A998" s="244"/>
      <c r="B998" s="107"/>
      <c r="C998" s="107"/>
      <c r="D998" s="115"/>
      <c r="E998" s="107"/>
      <c r="F998" s="211"/>
      <c r="G998" s="256"/>
      <c r="H998" s="239"/>
      <c r="I998" s="108"/>
      <c r="J998" s="108"/>
      <c r="K998" s="108"/>
      <c r="L998" s="108"/>
      <c r="M998" s="108"/>
      <c r="N998" s="108"/>
      <c r="O998" s="108"/>
      <c r="P998" s="108"/>
      <c r="Q998" s="108"/>
      <c r="R998" s="108"/>
      <c r="S998" s="108"/>
      <c r="T998" s="108"/>
      <c r="U998" s="108"/>
      <c r="V998" s="108"/>
      <c r="W998" s="108"/>
      <c r="X998" s="108"/>
      <c r="Y998" s="108"/>
    </row>
    <row r="999">
      <c r="A999" s="244"/>
      <c r="B999" s="107"/>
      <c r="C999" s="107"/>
      <c r="D999" s="115"/>
      <c r="E999" s="107"/>
      <c r="F999" s="211"/>
      <c r="G999" s="256"/>
      <c r="H999" s="239"/>
      <c r="I999" s="108"/>
      <c r="J999" s="108"/>
      <c r="K999" s="108"/>
      <c r="L999" s="108"/>
      <c r="M999" s="108"/>
      <c r="N999" s="108"/>
      <c r="O999" s="108"/>
      <c r="P999" s="108"/>
      <c r="Q999" s="108"/>
      <c r="R999" s="108"/>
      <c r="S999" s="108"/>
      <c r="T999" s="108"/>
      <c r="U999" s="108"/>
      <c r="V999" s="108"/>
      <c r="W999" s="108"/>
      <c r="X999" s="108"/>
      <c r="Y999" s="108"/>
    </row>
    <row r="1000">
      <c r="A1000" s="244"/>
      <c r="B1000" s="107"/>
      <c r="C1000" s="107"/>
      <c r="D1000" s="115"/>
      <c r="E1000" s="107"/>
      <c r="F1000" s="211"/>
      <c r="G1000" s="256"/>
      <c r="H1000" s="239"/>
      <c r="I1000" s="108"/>
      <c r="J1000" s="108"/>
      <c r="K1000" s="108"/>
      <c r="L1000" s="108"/>
      <c r="M1000" s="108"/>
      <c r="N1000" s="108"/>
      <c r="O1000" s="108"/>
      <c r="P1000" s="108"/>
      <c r="Q1000" s="108"/>
      <c r="R1000" s="108"/>
      <c r="S1000" s="108"/>
      <c r="T1000" s="108"/>
      <c r="U1000" s="108"/>
      <c r="V1000" s="108"/>
      <c r="W1000" s="108"/>
      <c r="X1000" s="108"/>
      <c r="Y1000" s="108"/>
    </row>
    <row r="1001">
      <c r="A1001" s="244"/>
      <c r="B1001" s="107"/>
      <c r="C1001" s="107"/>
      <c r="D1001" s="115"/>
      <c r="E1001" s="107"/>
      <c r="F1001" s="211"/>
      <c r="G1001" s="256"/>
      <c r="H1001" s="239"/>
      <c r="I1001" s="108"/>
      <c r="J1001" s="108"/>
      <c r="K1001" s="108"/>
      <c r="L1001" s="108"/>
      <c r="M1001" s="108"/>
      <c r="N1001" s="108"/>
      <c r="O1001" s="108"/>
      <c r="P1001" s="108"/>
      <c r="Q1001" s="108"/>
      <c r="R1001" s="108"/>
      <c r="S1001" s="108"/>
      <c r="T1001" s="108"/>
      <c r="U1001" s="108"/>
      <c r="V1001" s="108"/>
      <c r="W1001" s="108"/>
      <c r="X1001" s="108"/>
      <c r="Y1001" s="108"/>
    </row>
    <row r="1002">
      <c r="A1002" s="244"/>
      <c r="B1002" s="107"/>
      <c r="C1002" s="107"/>
      <c r="D1002" s="115"/>
      <c r="E1002" s="107"/>
      <c r="F1002" s="211"/>
      <c r="G1002" s="256"/>
      <c r="H1002" s="239"/>
      <c r="I1002" s="108"/>
      <c r="J1002" s="108"/>
      <c r="K1002" s="108"/>
      <c r="L1002" s="108"/>
      <c r="M1002" s="108"/>
      <c r="N1002" s="108"/>
      <c r="O1002" s="108"/>
      <c r="P1002" s="108"/>
      <c r="Q1002" s="108"/>
      <c r="R1002" s="108"/>
      <c r="S1002" s="108"/>
      <c r="T1002" s="108"/>
      <c r="U1002" s="108"/>
      <c r="V1002" s="108"/>
      <c r="W1002" s="108"/>
      <c r="X1002" s="108"/>
      <c r="Y1002" s="108"/>
    </row>
    <row r="1003">
      <c r="A1003" s="244"/>
      <c r="B1003" s="107"/>
      <c r="C1003" s="107"/>
      <c r="D1003" s="115"/>
      <c r="E1003" s="107"/>
      <c r="F1003" s="211"/>
      <c r="G1003" s="256"/>
      <c r="H1003" s="239"/>
      <c r="I1003" s="108"/>
      <c r="J1003" s="108"/>
      <c r="K1003" s="108"/>
      <c r="L1003" s="108"/>
      <c r="M1003" s="108"/>
      <c r="N1003" s="108"/>
      <c r="O1003" s="108"/>
      <c r="P1003" s="108"/>
      <c r="Q1003" s="108"/>
      <c r="R1003" s="108"/>
      <c r="S1003" s="108"/>
      <c r="T1003" s="108"/>
      <c r="U1003" s="108"/>
      <c r="V1003" s="108"/>
      <c r="W1003" s="108"/>
      <c r="X1003" s="108"/>
      <c r="Y1003" s="108"/>
    </row>
    <row r="1004">
      <c r="A1004" s="244"/>
      <c r="B1004" s="107"/>
      <c r="C1004" s="107"/>
      <c r="D1004" s="115"/>
      <c r="E1004" s="107"/>
      <c r="F1004" s="211"/>
      <c r="G1004" s="256"/>
      <c r="H1004" s="239"/>
      <c r="I1004" s="108"/>
      <c r="J1004" s="108"/>
      <c r="K1004" s="108"/>
      <c r="L1004" s="108"/>
      <c r="M1004" s="108"/>
      <c r="N1004" s="108"/>
      <c r="O1004" s="108"/>
      <c r="P1004" s="108"/>
      <c r="Q1004" s="108"/>
      <c r="R1004" s="108"/>
      <c r="S1004" s="108"/>
      <c r="T1004" s="108"/>
      <c r="U1004" s="108"/>
      <c r="V1004" s="108"/>
      <c r="W1004" s="108"/>
      <c r="X1004" s="108"/>
      <c r="Y1004" s="108"/>
    </row>
    <row r="1005">
      <c r="A1005" s="244"/>
      <c r="B1005" s="107"/>
      <c r="C1005" s="107"/>
      <c r="D1005" s="115"/>
      <c r="E1005" s="107"/>
      <c r="F1005" s="211"/>
      <c r="G1005" s="256"/>
      <c r="H1005" s="239"/>
      <c r="I1005" s="108"/>
      <c r="J1005" s="108"/>
      <c r="K1005" s="108"/>
      <c r="L1005" s="108"/>
      <c r="M1005" s="108"/>
      <c r="N1005" s="108"/>
      <c r="O1005" s="108"/>
      <c r="P1005" s="108"/>
      <c r="Q1005" s="108"/>
      <c r="R1005" s="108"/>
      <c r="S1005" s="108"/>
      <c r="T1005" s="108"/>
      <c r="U1005" s="108"/>
      <c r="V1005" s="108"/>
      <c r="W1005" s="108"/>
      <c r="X1005" s="108"/>
      <c r="Y1005" s="108"/>
    </row>
    <row r="1006">
      <c r="A1006" s="244"/>
      <c r="B1006" s="107"/>
      <c r="C1006" s="107"/>
      <c r="D1006" s="115"/>
      <c r="E1006" s="107"/>
      <c r="F1006" s="211"/>
      <c r="G1006" s="256"/>
      <c r="H1006" s="239"/>
      <c r="I1006" s="108"/>
      <c r="J1006" s="108"/>
      <c r="K1006" s="108"/>
      <c r="L1006" s="108"/>
      <c r="M1006" s="108"/>
      <c r="N1006" s="108"/>
      <c r="O1006" s="108"/>
      <c r="P1006" s="108"/>
      <c r="Q1006" s="108"/>
      <c r="R1006" s="108"/>
      <c r="S1006" s="108"/>
      <c r="T1006" s="108"/>
      <c r="U1006" s="108"/>
      <c r="V1006" s="108"/>
      <c r="W1006" s="108"/>
      <c r="X1006" s="108"/>
      <c r="Y1006" s="108"/>
    </row>
    <row r="1007">
      <c r="A1007" s="244"/>
      <c r="B1007" s="107"/>
      <c r="C1007" s="107"/>
      <c r="D1007" s="115"/>
      <c r="E1007" s="107"/>
      <c r="F1007" s="211"/>
      <c r="G1007" s="256"/>
      <c r="H1007" s="239"/>
      <c r="I1007" s="108"/>
      <c r="J1007" s="108"/>
      <c r="K1007" s="108"/>
      <c r="L1007" s="108"/>
      <c r="M1007" s="108"/>
      <c r="N1007" s="108"/>
      <c r="O1007" s="108"/>
      <c r="P1007" s="108"/>
      <c r="Q1007" s="108"/>
      <c r="R1007" s="108"/>
      <c r="S1007" s="108"/>
      <c r="T1007" s="108"/>
      <c r="U1007" s="108"/>
      <c r="V1007" s="108"/>
      <c r="W1007" s="108"/>
      <c r="X1007" s="108"/>
      <c r="Y1007" s="108"/>
    </row>
    <row r="1008">
      <c r="A1008" s="244"/>
      <c r="B1008" s="107"/>
      <c r="C1008" s="107"/>
      <c r="D1008" s="115"/>
      <c r="E1008" s="107"/>
      <c r="F1008" s="211"/>
      <c r="G1008" s="256"/>
      <c r="H1008" s="239"/>
      <c r="I1008" s="108"/>
      <c r="J1008" s="108"/>
      <c r="K1008" s="108"/>
      <c r="L1008" s="108"/>
      <c r="M1008" s="108"/>
      <c r="N1008" s="108"/>
      <c r="O1008" s="108"/>
      <c r="P1008" s="108"/>
      <c r="Q1008" s="108"/>
      <c r="R1008" s="108"/>
      <c r="S1008" s="108"/>
      <c r="T1008" s="108"/>
      <c r="U1008" s="108"/>
      <c r="V1008" s="108"/>
      <c r="W1008" s="108"/>
      <c r="X1008" s="108"/>
      <c r="Y1008" s="108"/>
    </row>
    <row r="1009">
      <c r="A1009" s="244"/>
      <c r="B1009" s="107"/>
      <c r="C1009" s="107"/>
      <c r="D1009" s="115"/>
      <c r="E1009" s="107"/>
      <c r="F1009" s="211"/>
      <c r="G1009" s="256"/>
      <c r="H1009" s="239"/>
      <c r="I1009" s="108"/>
      <c r="J1009" s="108"/>
      <c r="K1009" s="108"/>
      <c r="L1009" s="108"/>
      <c r="M1009" s="108"/>
      <c r="N1009" s="108"/>
      <c r="O1009" s="108"/>
      <c r="P1009" s="108"/>
      <c r="Q1009" s="108"/>
      <c r="R1009" s="108"/>
      <c r="S1009" s="108"/>
      <c r="T1009" s="108"/>
      <c r="U1009" s="108"/>
      <c r="V1009" s="108"/>
      <c r="W1009" s="108"/>
      <c r="X1009" s="108"/>
      <c r="Y1009" s="108"/>
    </row>
    <row r="1010">
      <c r="A1010" s="244"/>
      <c r="B1010" s="107"/>
      <c r="C1010" s="107"/>
      <c r="D1010" s="115"/>
      <c r="E1010" s="107"/>
      <c r="F1010" s="211"/>
      <c r="G1010" s="256"/>
      <c r="H1010" s="239"/>
      <c r="I1010" s="108"/>
      <c r="J1010" s="108"/>
      <c r="K1010" s="108"/>
      <c r="L1010" s="108"/>
      <c r="M1010" s="108"/>
      <c r="N1010" s="108"/>
      <c r="O1010" s="108"/>
      <c r="P1010" s="108"/>
      <c r="Q1010" s="108"/>
      <c r="R1010" s="108"/>
      <c r="S1010" s="108"/>
      <c r="T1010" s="108"/>
      <c r="U1010" s="108"/>
      <c r="V1010" s="108"/>
      <c r="W1010" s="108"/>
      <c r="X1010" s="108"/>
      <c r="Y1010" s="108"/>
    </row>
    <row r="1011">
      <c r="A1011" s="244"/>
      <c r="B1011" s="107"/>
      <c r="C1011" s="107"/>
      <c r="D1011" s="115"/>
      <c r="E1011" s="107"/>
      <c r="F1011" s="211"/>
      <c r="G1011" s="256"/>
      <c r="H1011" s="239"/>
      <c r="I1011" s="108"/>
      <c r="J1011" s="108"/>
      <c r="K1011" s="108"/>
      <c r="L1011" s="108"/>
      <c r="M1011" s="108"/>
      <c r="N1011" s="108"/>
      <c r="O1011" s="108"/>
      <c r="P1011" s="108"/>
      <c r="Q1011" s="108"/>
      <c r="R1011" s="108"/>
      <c r="S1011" s="108"/>
      <c r="T1011" s="108"/>
      <c r="U1011" s="108"/>
      <c r="V1011" s="108"/>
      <c r="W1011" s="108"/>
      <c r="X1011" s="108"/>
      <c r="Y1011" s="108"/>
    </row>
    <row r="1012">
      <c r="A1012" s="244"/>
      <c r="B1012" s="107"/>
      <c r="C1012" s="107"/>
      <c r="D1012" s="115"/>
      <c r="E1012" s="107"/>
      <c r="F1012" s="211"/>
      <c r="G1012" s="256"/>
      <c r="H1012" s="239"/>
      <c r="I1012" s="108"/>
      <c r="J1012" s="108"/>
      <c r="K1012" s="108"/>
      <c r="L1012" s="108"/>
      <c r="M1012" s="108"/>
      <c r="N1012" s="108"/>
      <c r="O1012" s="108"/>
      <c r="P1012" s="108"/>
      <c r="Q1012" s="108"/>
      <c r="R1012" s="108"/>
      <c r="S1012" s="108"/>
      <c r="T1012" s="108"/>
      <c r="U1012" s="108"/>
      <c r="V1012" s="108"/>
      <c r="W1012" s="108"/>
      <c r="X1012" s="108"/>
      <c r="Y1012" s="108"/>
    </row>
    <row r="1013">
      <c r="A1013" s="244"/>
      <c r="B1013" s="107"/>
      <c r="C1013" s="107"/>
      <c r="D1013" s="115"/>
      <c r="E1013" s="107"/>
      <c r="F1013" s="211"/>
      <c r="G1013" s="256"/>
      <c r="H1013" s="239"/>
      <c r="I1013" s="108"/>
      <c r="J1013" s="108"/>
      <c r="K1013" s="108"/>
      <c r="L1013" s="108"/>
      <c r="M1013" s="108"/>
      <c r="N1013" s="108"/>
      <c r="O1013" s="108"/>
      <c r="P1013" s="108"/>
      <c r="Q1013" s="108"/>
      <c r="R1013" s="108"/>
      <c r="S1013" s="108"/>
      <c r="T1013" s="108"/>
      <c r="U1013" s="108"/>
      <c r="V1013" s="108"/>
      <c r="W1013" s="108"/>
      <c r="X1013" s="108"/>
      <c r="Y1013" s="108"/>
    </row>
    <row r="1014">
      <c r="A1014" s="244"/>
      <c r="B1014" s="107"/>
      <c r="C1014" s="107"/>
      <c r="D1014" s="115"/>
      <c r="E1014" s="107"/>
      <c r="F1014" s="211"/>
      <c r="G1014" s="256"/>
      <c r="H1014" s="239"/>
      <c r="I1014" s="108"/>
      <c r="J1014" s="108"/>
      <c r="K1014" s="108"/>
      <c r="L1014" s="108"/>
      <c r="M1014" s="108"/>
      <c r="N1014" s="108"/>
      <c r="O1014" s="108"/>
      <c r="P1014" s="108"/>
      <c r="Q1014" s="108"/>
      <c r="R1014" s="108"/>
      <c r="S1014" s="108"/>
      <c r="T1014" s="108"/>
      <c r="U1014" s="108"/>
      <c r="V1014" s="108"/>
      <c r="W1014" s="108"/>
      <c r="X1014" s="108"/>
      <c r="Y1014" s="108"/>
    </row>
    <row r="1015">
      <c r="A1015" s="244"/>
      <c r="B1015" s="107"/>
      <c r="C1015" s="107"/>
      <c r="D1015" s="115"/>
      <c r="E1015" s="107"/>
      <c r="F1015" s="211"/>
      <c r="G1015" s="256"/>
      <c r="H1015" s="239"/>
      <c r="I1015" s="108"/>
      <c r="J1015" s="108"/>
      <c r="K1015" s="108"/>
      <c r="L1015" s="108"/>
      <c r="M1015" s="108"/>
      <c r="N1015" s="108"/>
      <c r="O1015" s="108"/>
      <c r="P1015" s="108"/>
      <c r="Q1015" s="108"/>
      <c r="R1015" s="108"/>
      <c r="S1015" s="108"/>
      <c r="T1015" s="108"/>
      <c r="U1015" s="108"/>
      <c r="V1015" s="108"/>
      <c r="W1015" s="108"/>
      <c r="X1015" s="108"/>
      <c r="Y1015" s="108"/>
    </row>
    <row r="1016">
      <c r="A1016" s="244"/>
      <c r="B1016" s="107"/>
      <c r="C1016" s="107"/>
      <c r="D1016" s="115"/>
      <c r="E1016" s="107"/>
      <c r="F1016" s="211"/>
      <c r="G1016" s="256"/>
      <c r="H1016" s="239"/>
      <c r="I1016" s="108"/>
      <c r="J1016" s="108"/>
      <c r="K1016" s="108"/>
      <c r="L1016" s="108"/>
      <c r="M1016" s="108"/>
      <c r="N1016" s="108"/>
      <c r="O1016" s="108"/>
      <c r="P1016" s="108"/>
      <c r="Q1016" s="108"/>
      <c r="R1016" s="108"/>
      <c r="S1016" s="108"/>
      <c r="T1016" s="108"/>
      <c r="U1016" s="108"/>
      <c r="V1016" s="108"/>
      <c r="W1016" s="108"/>
      <c r="X1016" s="108"/>
      <c r="Y1016" s="108"/>
    </row>
    <row r="1017">
      <c r="A1017" s="244"/>
      <c r="B1017" s="107"/>
      <c r="C1017" s="107"/>
      <c r="D1017" s="115"/>
      <c r="E1017" s="107"/>
      <c r="F1017" s="211"/>
      <c r="G1017" s="256"/>
      <c r="H1017" s="239"/>
      <c r="I1017" s="108"/>
      <c r="J1017" s="108"/>
      <c r="K1017" s="108"/>
      <c r="L1017" s="108"/>
      <c r="M1017" s="108"/>
      <c r="N1017" s="108"/>
      <c r="O1017" s="108"/>
      <c r="P1017" s="108"/>
      <c r="Q1017" s="108"/>
      <c r="R1017" s="108"/>
      <c r="S1017" s="108"/>
      <c r="T1017" s="108"/>
      <c r="U1017" s="108"/>
      <c r="V1017" s="108"/>
      <c r="W1017" s="108"/>
      <c r="X1017" s="108"/>
      <c r="Y1017" s="108"/>
    </row>
    <row r="1018">
      <c r="A1018" s="244"/>
      <c r="B1018" s="107"/>
      <c r="C1018" s="107"/>
      <c r="D1018" s="115"/>
      <c r="E1018" s="107"/>
      <c r="F1018" s="211"/>
      <c r="G1018" s="256"/>
      <c r="H1018" s="239"/>
      <c r="I1018" s="108"/>
      <c r="J1018" s="108"/>
      <c r="K1018" s="108"/>
      <c r="L1018" s="108"/>
      <c r="M1018" s="108"/>
      <c r="N1018" s="108"/>
      <c r="O1018" s="108"/>
      <c r="P1018" s="108"/>
      <c r="Q1018" s="108"/>
      <c r="R1018" s="108"/>
      <c r="S1018" s="108"/>
      <c r="T1018" s="108"/>
      <c r="U1018" s="108"/>
      <c r="V1018" s="108"/>
      <c r="W1018" s="108"/>
      <c r="X1018" s="108"/>
      <c r="Y1018" s="108"/>
    </row>
    <row r="1019">
      <c r="A1019" s="244"/>
      <c r="B1019" s="107"/>
      <c r="C1019" s="107"/>
      <c r="D1019" s="115"/>
      <c r="E1019" s="107"/>
      <c r="F1019" s="211"/>
      <c r="G1019" s="256"/>
      <c r="H1019" s="239"/>
      <c r="I1019" s="108"/>
      <c r="J1019" s="108"/>
      <c r="K1019" s="108"/>
      <c r="L1019" s="108"/>
      <c r="M1019" s="108"/>
      <c r="N1019" s="108"/>
      <c r="O1019" s="108"/>
      <c r="P1019" s="108"/>
      <c r="Q1019" s="108"/>
      <c r="R1019" s="108"/>
      <c r="S1019" s="108"/>
      <c r="T1019" s="108"/>
      <c r="U1019" s="108"/>
      <c r="V1019" s="108"/>
      <c r="W1019" s="108"/>
      <c r="X1019" s="108"/>
      <c r="Y1019" s="108"/>
    </row>
    <row r="1020">
      <c r="A1020" s="244"/>
      <c r="B1020" s="107"/>
      <c r="C1020" s="107"/>
      <c r="D1020" s="115"/>
      <c r="E1020" s="107"/>
      <c r="F1020" s="211"/>
      <c r="G1020" s="256"/>
      <c r="H1020" s="239"/>
      <c r="I1020" s="108"/>
      <c r="J1020" s="108"/>
      <c r="K1020" s="108"/>
      <c r="L1020" s="108"/>
      <c r="M1020" s="108"/>
      <c r="N1020" s="108"/>
      <c r="O1020" s="108"/>
      <c r="P1020" s="108"/>
      <c r="Q1020" s="108"/>
      <c r="R1020" s="108"/>
      <c r="S1020" s="108"/>
      <c r="T1020" s="108"/>
      <c r="U1020" s="108"/>
      <c r="V1020" s="108"/>
      <c r="W1020" s="108"/>
      <c r="X1020" s="108"/>
      <c r="Y1020" s="108"/>
    </row>
    <row r="1021">
      <c r="A1021" s="244"/>
      <c r="B1021" s="107"/>
      <c r="C1021" s="107"/>
      <c r="D1021" s="115"/>
      <c r="E1021" s="107"/>
      <c r="F1021" s="211"/>
      <c r="G1021" s="256"/>
      <c r="H1021" s="239"/>
      <c r="I1021" s="108"/>
      <c r="J1021" s="108"/>
      <c r="K1021" s="108"/>
      <c r="L1021" s="108"/>
      <c r="M1021" s="108"/>
      <c r="N1021" s="108"/>
      <c r="O1021" s="108"/>
      <c r="P1021" s="108"/>
      <c r="Q1021" s="108"/>
      <c r="R1021" s="108"/>
      <c r="S1021" s="108"/>
      <c r="T1021" s="108"/>
      <c r="U1021" s="108"/>
      <c r="V1021" s="108"/>
      <c r="W1021" s="108"/>
      <c r="X1021" s="108"/>
      <c r="Y1021" s="108"/>
    </row>
    <row r="1022">
      <c r="A1022" s="244"/>
      <c r="B1022" s="107"/>
      <c r="C1022" s="107"/>
      <c r="D1022" s="115"/>
      <c r="E1022" s="107"/>
      <c r="F1022" s="211"/>
      <c r="G1022" s="256"/>
      <c r="H1022" s="239"/>
      <c r="I1022" s="108"/>
      <c r="J1022" s="108"/>
      <c r="K1022" s="108"/>
      <c r="L1022" s="108"/>
      <c r="M1022" s="108"/>
      <c r="N1022" s="108"/>
      <c r="O1022" s="108"/>
      <c r="P1022" s="108"/>
      <c r="Q1022" s="108"/>
      <c r="R1022" s="108"/>
      <c r="S1022" s="108"/>
      <c r="T1022" s="108"/>
      <c r="U1022" s="108"/>
      <c r="V1022" s="108"/>
      <c r="W1022" s="108"/>
      <c r="X1022" s="108"/>
      <c r="Y1022" s="108"/>
    </row>
    <row r="1023">
      <c r="A1023" s="244"/>
      <c r="B1023" s="107"/>
      <c r="C1023" s="107"/>
      <c r="D1023" s="115"/>
      <c r="E1023" s="107"/>
      <c r="F1023" s="211"/>
      <c r="G1023" s="256"/>
      <c r="H1023" s="239"/>
      <c r="I1023" s="108"/>
      <c r="J1023" s="108"/>
      <c r="K1023" s="108"/>
      <c r="L1023" s="108"/>
      <c r="M1023" s="108"/>
      <c r="N1023" s="108"/>
      <c r="O1023" s="108"/>
      <c r="P1023" s="108"/>
      <c r="Q1023" s="108"/>
      <c r="R1023" s="108"/>
      <c r="S1023" s="108"/>
      <c r="T1023" s="108"/>
      <c r="U1023" s="108"/>
      <c r="V1023" s="108"/>
      <c r="W1023" s="108"/>
      <c r="X1023" s="108"/>
      <c r="Y1023" s="108"/>
    </row>
    <row r="1024">
      <c r="A1024" s="244"/>
      <c r="B1024" s="107"/>
      <c r="C1024" s="107"/>
      <c r="D1024" s="115"/>
      <c r="E1024" s="107"/>
      <c r="F1024" s="211"/>
      <c r="G1024" s="256"/>
      <c r="H1024" s="239"/>
      <c r="I1024" s="108"/>
      <c r="J1024" s="108"/>
      <c r="K1024" s="108"/>
      <c r="L1024" s="108"/>
      <c r="M1024" s="108"/>
      <c r="N1024" s="108"/>
      <c r="O1024" s="108"/>
      <c r="P1024" s="108"/>
      <c r="Q1024" s="108"/>
      <c r="R1024" s="108"/>
      <c r="S1024" s="108"/>
      <c r="T1024" s="108"/>
      <c r="U1024" s="108"/>
      <c r="V1024" s="108"/>
      <c r="W1024" s="108"/>
      <c r="X1024" s="108"/>
      <c r="Y1024" s="108"/>
    </row>
    <row r="1025">
      <c r="A1025" s="244"/>
      <c r="B1025" s="107"/>
      <c r="C1025" s="107"/>
      <c r="D1025" s="115"/>
      <c r="E1025" s="107"/>
      <c r="F1025" s="211"/>
      <c r="G1025" s="256"/>
      <c r="H1025" s="239"/>
      <c r="I1025" s="108"/>
      <c r="J1025" s="108"/>
      <c r="K1025" s="108"/>
      <c r="L1025" s="108"/>
      <c r="M1025" s="108"/>
      <c r="N1025" s="108"/>
      <c r="O1025" s="108"/>
      <c r="P1025" s="108"/>
      <c r="Q1025" s="108"/>
      <c r="R1025" s="108"/>
      <c r="S1025" s="108"/>
      <c r="T1025" s="108"/>
      <c r="U1025" s="108"/>
      <c r="V1025" s="108"/>
      <c r="W1025" s="108"/>
      <c r="X1025" s="108"/>
      <c r="Y1025" s="108"/>
    </row>
    <row r="1026">
      <c r="A1026" s="244"/>
      <c r="B1026" s="107"/>
      <c r="C1026" s="107"/>
      <c r="D1026" s="115"/>
      <c r="E1026" s="107"/>
      <c r="F1026" s="211"/>
      <c r="G1026" s="256"/>
      <c r="H1026" s="239"/>
      <c r="I1026" s="108"/>
      <c r="J1026" s="108"/>
      <c r="K1026" s="108"/>
      <c r="L1026" s="108"/>
      <c r="M1026" s="108"/>
      <c r="N1026" s="108"/>
      <c r="O1026" s="108"/>
      <c r="P1026" s="108"/>
      <c r="Q1026" s="108"/>
      <c r="R1026" s="108"/>
      <c r="S1026" s="108"/>
      <c r="T1026" s="108"/>
      <c r="U1026" s="108"/>
      <c r="V1026" s="108"/>
      <c r="W1026" s="108"/>
      <c r="X1026" s="108"/>
      <c r="Y1026" s="108"/>
    </row>
    <row r="1027">
      <c r="A1027" s="244"/>
      <c r="B1027" s="107"/>
      <c r="C1027" s="107"/>
      <c r="D1027" s="115"/>
      <c r="E1027" s="107"/>
      <c r="F1027" s="211"/>
      <c r="G1027" s="256"/>
      <c r="H1027" s="239"/>
      <c r="I1027" s="108"/>
      <c r="J1027" s="108"/>
      <c r="K1027" s="108"/>
      <c r="L1027" s="108"/>
      <c r="M1027" s="108"/>
      <c r="N1027" s="108"/>
      <c r="O1027" s="108"/>
      <c r="P1027" s="108"/>
      <c r="Q1027" s="108"/>
      <c r="R1027" s="108"/>
      <c r="S1027" s="108"/>
      <c r="T1027" s="108"/>
      <c r="U1027" s="108"/>
      <c r="V1027" s="108"/>
      <c r="W1027" s="108"/>
      <c r="X1027" s="108"/>
      <c r="Y1027" s="108"/>
    </row>
    <row r="1028">
      <c r="A1028" s="244"/>
      <c r="B1028" s="107"/>
      <c r="C1028" s="107"/>
      <c r="D1028" s="115"/>
      <c r="E1028" s="107"/>
      <c r="F1028" s="211"/>
      <c r="G1028" s="256"/>
      <c r="H1028" s="239"/>
      <c r="I1028" s="108"/>
      <c r="J1028" s="108"/>
      <c r="K1028" s="108"/>
      <c r="L1028" s="108"/>
      <c r="M1028" s="108"/>
      <c r="N1028" s="108"/>
      <c r="O1028" s="108"/>
      <c r="P1028" s="108"/>
      <c r="Q1028" s="108"/>
      <c r="R1028" s="108"/>
      <c r="S1028" s="108"/>
      <c r="T1028" s="108"/>
      <c r="U1028" s="108"/>
      <c r="V1028" s="108"/>
      <c r="W1028" s="108"/>
      <c r="X1028" s="108"/>
      <c r="Y1028" s="108"/>
    </row>
    <row r="1029">
      <c r="A1029" s="244"/>
      <c r="B1029" s="107"/>
      <c r="C1029" s="107"/>
      <c r="D1029" s="115"/>
      <c r="E1029" s="107"/>
      <c r="F1029" s="211"/>
      <c r="G1029" s="256"/>
      <c r="H1029" s="239"/>
      <c r="I1029" s="108"/>
      <c r="J1029" s="108"/>
      <c r="K1029" s="108"/>
      <c r="L1029" s="108"/>
      <c r="M1029" s="108"/>
      <c r="N1029" s="108"/>
      <c r="O1029" s="108"/>
      <c r="P1029" s="108"/>
      <c r="Q1029" s="108"/>
      <c r="R1029" s="108"/>
      <c r="S1029" s="108"/>
      <c r="T1029" s="108"/>
      <c r="U1029" s="108"/>
      <c r="V1029" s="108"/>
      <c r="W1029" s="108"/>
      <c r="X1029" s="108"/>
      <c r="Y1029" s="108"/>
    </row>
    <row r="1030">
      <c r="A1030" s="244"/>
      <c r="B1030" s="107"/>
      <c r="C1030" s="107"/>
      <c r="D1030" s="115"/>
      <c r="E1030" s="107"/>
      <c r="F1030" s="211"/>
      <c r="G1030" s="256"/>
      <c r="H1030" s="239"/>
      <c r="I1030" s="108"/>
      <c r="J1030" s="108"/>
      <c r="K1030" s="108"/>
      <c r="L1030" s="108"/>
      <c r="M1030" s="108"/>
      <c r="N1030" s="108"/>
      <c r="O1030" s="108"/>
      <c r="P1030" s="108"/>
      <c r="Q1030" s="108"/>
      <c r="R1030" s="108"/>
      <c r="S1030" s="108"/>
      <c r="T1030" s="108"/>
      <c r="U1030" s="108"/>
      <c r="V1030" s="108"/>
      <c r="W1030" s="108"/>
      <c r="X1030" s="108"/>
      <c r="Y1030" s="108"/>
    </row>
    <row r="1031">
      <c r="A1031" s="244"/>
      <c r="B1031" s="107"/>
      <c r="C1031" s="107"/>
      <c r="D1031" s="115"/>
      <c r="E1031" s="107"/>
      <c r="F1031" s="211"/>
      <c r="G1031" s="256"/>
      <c r="H1031" s="239"/>
      <c r="I1031" s="108"/>
      <c r="J1031" s="108"/>
      <c r="K1031" s="108"/>
      <c r="L1031" s="108"/>
      <c r="M1031" s="108"/>
      <c r="N1031" s="108"/>
      <c r="O1031" s="108"/>
      <c r="P1031" s="108"/>
      <c r="Q1031" s="108"/>
      <c r="R1031" s="108"/>
      <c r="S1031" s="108"/>
      <c r="T1031" s="108"/>
      <c r="U1031" s="108"/>
      <c r="V1031" s="108"/>
      <c r="W1031" s="108"/>
      <c r="X1031" s="108"/>
      <c r="Y1031" s="108"/>
    </row>
    <row r="1032">
      <c r="A1032" s="244"/>
      <c r="B1032" s="107"/>
      <c r="C1032" s="107"/>
      <c r="D1032" s="115"/>
      <c r="E1032" s="107"/>
      <c r="F1032" s="211"/>
      <c r="G1032" s="256"/>
      <c r="H1032" s="239"/>
      <c r="I1032" s="108"/>
      <c r="J1032" s="108"/>
      <c r="K1032" s="108"/>
      <c r="L1032" s="108"/>
      <c r="M1032" s="108"/>
      <c r="N1032" s="108"/>
      <c r="O1032" s="108"/>
      <c r="P1032" s="108"/>
      <c r="Q1032" s="108"/>
      <c r="R1032" s="108"/>
      <c r="S1032" s="108"/>
      <c r="T1032" s="108"/>
      <c r="U1032" s="108"/>
      <c r="V1032" s="108"/>
      <c r="W1032" s="108"/>
      <c r="X1032" s="108"/>
      <c r="Y1032" s="108"/>
    </row>
    <row r="1033">
      <c r="A1033" s="244"/>
      <c r="B1033" s="107"/>
      <c r="C1033" s="107"/>
      <c r="D1033" s="115"/>
      <c r="E1033" s="107"/>
      <c r="F1033" s="211"/>
      <c r="G1033" s="256"/>
      <c r="H1033" s="239"/>
      <c r="I1033" s="108"/>
      <c r="J1033" s="108"/>
      <c r="K1033" s="108"/>
      <c r="L1033" s="108"/>
      <c r="M1033" s="108"/>
      <c r="N1033" s="108"/>
      <c r="O1033" s="108"/>
      <c r="P1033" s="108"/>
      <c r="Q1033" s="108"/>
      <c r="R1033" s="108"/>
      <c r="S1033" s="108"/>
      <c r="T1033" s="108"/>
      <c r="U1033" s="108"/>
      <c r="V1033" s="108"/>
      <c r="W1033" s="108"/>
      <c r="X1033" s="108"/>
      <c r="Y1033" s="108"/>
    </row>
    <row r="1034">
      <c r="A1034" s="244"/>
      <c r="B1034" s="107"/>
      <c r="C1034" s="107"/>
      <c r="D1034" s="115"/>
      <c r="E1034" s="107"/>
      <c r="F1034" s="211"/>
      <c r="G1034" s="256"/>
      <c r="H1034" s="239"/>
      <c r="I1034" s="108"/>
      <c r="J1034" s="108"/>
      <c r="K1034" s="108"/>
      <c r="L1034" s="108"/>
      <c r="M1034" s="108"/>
      <c r="N1034" s="108"/>
      <c r="O1034" s="108"/>
      <c r="P1034" s="108"/>
      <c r="Q1034" s="108"/>
      <c r="R1034" s="108"/>
      <c r="S1034" s="108"/>
      <c r="T1034" s="108"/>
      <c r="U1034" s="108"/>
      <c r="V1034" s="108"/>
      <c r="W1034" s="108"/>
      <c r="X1034" s="108"/>
      <c r="Y1034" s="108"/>
    </row>
    <row r="1035">
      <c r="A1035" s="244"/>
      <c r="B1035" s="107"/>
      <c r="C1035" s="107"/>
      <c r="D1035" s="115"/>
      <c r="E1035" s="107"/>
      <c r="F1035" s="211"/>
      <c r="G1035" s="256"/>
      <c r="H1035" s="239"/>
      <c r="I1035" s="108"/>
      <c r="J1035" s="108"/>
      <c r="K1035" s="108"/>
      <c r="L1035" s="108"/>
      <c r="M1035" s="108"/>
      <c r="N1035" s="108"/>
      <c r="O1035" s="108"/>
      <c r="P1035" s="108"/>
      <c r="Q1035" s="108"/>
      <c r="R1035" s="108"/>
      <c r="S1035" s="108"/>
      <c r="T1035" s="108"/>
      <c r="U1035" s="108"/>
      <c r="V1035" s="108"/>
      <c r="W1035" s="108"/>
      <c r="X1035" s="108"/>
      <c r="Y1035" s="108"/>
    </row>
    <row r="1036">
      <c r="A1036" s="244"/>
      <c r="B1036" s="107"/>
      <c r="C1036" s="107"/>
      <c r="D1036" s="115"/>
      <c r="E1036" s="107"/>
      <c r="F1036" s="211"/>
      <c r="G1036" s="256"/>
      <c r="H1036" s="239"/>
      <c r="I1036" s="108"/>
      <c r="J1036" s="108"/>
      <c r="K1036" s="108"/>
      <c r="L1036" s="108"/>
      <c r="M1036" s="108"/>
      <c r="N1036" s="108"/>
      <c r="O1036" s="108"/>
      <c r="P1036" s="108"/>
      <c r="Q1036" s="108"/>
      <c r="R1036" s="108"/>
      <c r="S1036" s="108"/>
      <c r="T1036" s="108"/>
      <c r="U1036" s="108"/>
      <c r="V1036" s="108"/>
      <c r="W1036" s="108"/>
      <c r="X1036" s="108"/>
      <c r="Y1036" s="108"/>
    </row>
    <row r="1037">
      <c r="A1037" s="244"/>
      <c r="B1037" s="107"/>
      <c r="C1037" s="107"/>
      <c r="D1037" s="115"/>
      <c r="E1037" s="107"/>
      <c r="F1037" s="211"/>
      <c r="G1037" s="256"/>
      <c r="H1037" s="239"/>
      <c r="I1037" s="108"/>
      <c r="J1037" s="108"/>
      <c r="K1037" s="108"/>
      <c r="L1037" s="108"/>
      <c r="M1037" s="108"/>
      <c r="N1037" s="108"/>
      <c r="O1037" s="108"/>
      <c r="P1037" s="108"/>
      <c r="Q1037" s="108"/>
      <c r="R1037" s="108"/>
      <c r="S1037" s="108"/>
      <c r="T1037" s="108"/>
      <c r="U1037" s="108"/>
      <c r="V1037" s="108"/>
      <c r="W1037" s="108"/>
      <c r="X1037" s="108"/>
      <c r="Y1037" s="108"/>
    </row>
    <row r="1038">
      <c r="A1038" s="244"/>
      <c r="B1038" s="107"/>
      <c r="C1038" s="107"/>
      <c r="D1038" s="115"/>
      <c r="E1038" s="107"/>
      <c r="F1038" s="211"/>
      <c r="G1038" s="256"/>
      <c r="H1038" s="239"/>
      <c r="I1038" s="108"/>
      <c r="J1038" s="108"/>
      <c r="K1038" s="108"/>
      <c r="L1038" s="108"/>
      <c r="M1038" s="108"/>
      <c r="N1038" s="108"/>
      <c r="O1038" s="108"/>
      <c r="P1038" s="108"/>
      <c r="Q1038" s="108"/>
      <c r="R1038" s="108"/>
      <c r="S1038" s="108"/>
      <c r="T1038" s="108"/>
      <c r="U1038" s="108"/>
      <c r="V1038" s="108"/>
      <c r="W1038" s="108"/>
      <c r="X1038" s="108"/>
      <c r="Y1038" s="108"/>
    </row>
    <row r="1039">
      <c r="A1039" s="244"/>
      <c r="B1039" s="107"/>
      <c r="C1039" s="107"/>
      <c r="D1039" s="115"/>
      <c r="E1039" s="107"/>
      <c r="F1039" s="211"/>
      <c r="G1039" s="256"/>
      <c r="H1039" s="239"/>
      <c r="I1039" s="108"/>
      <c r="J1039" s="108"/>
      <c r="K1039" s="108"/>
      <c r="L1039" s="108"/>
      <c r="M1039" s="108"/>
      <c r="N1039" s="108"/>
      <c r="O1039" s="108"/>
      <c r="P1039" s="108"/>
      <c r="Q1039" s="108"/>
      <c r="R1039" s="108"/>
      <c r="S1039" s="108"/>
      <c r="T1039" s="108"/>
      <c r="U1039" s="108"/>
      <c r="V1039" s="108"/>
      <c r="W1039" s="108"/>
      <c r="X1039" s="108"/>
      <c r="Y1039" s="108"/>
    </row>
    <row r="1040">
      <c r="A1040" s="244"/>
      <c r="B1040" s="107"/>
      <c r="C1040" s="107"/>
      <c r="D1040" s="115"/>
      <c r="E1040" s="107"/>
      <c r="F1040" s="211"/>
      <c r="G1040" s="256"/>
      <c r="H1040" s="239"/>
      <c r="I1040" s="108"/>
      <c r="J1040" s="108"/>
      <c r="K1040" s="108"/>
      <c r="L1040" s="108"/>
      <c r="M1040" s="108"/>
      <c r="N1040" s="108"/>
      <c r="O1040" s="108"/>
      <c r="P1040" s="108"/>
      <c r="Q1040" s="108"/>
      <c r="R1040" s="108"/>
      <c r="S1040" s="108"/>
      <c r="T1040" s="108"/>
      <c r="U1040" s="108"/>
      <c r="V1040" s="108"/>
      <c r="W1040" s="108"/>
      <c r="X1040" s="108"/>
      <c r="Y1040" s="108"/>
    </row>
    <row r="1041">
      <c r="A1041" s="244"/>
      <c r="B1041" s="107"/>
      <c r="C1041" s="107"/>
      <c r="D1041" s="115"/>
      <c r="E1041" s="107"/>
      <c r="F1041" s="211"/>
      <c r="G1041" s="256"/>
      <c r="H1041" s="239"/>
      <c r="I1041" s="108"/>
      <c r="J1041" s="108"/>
      <c r="K1041" s="108"/>
      <c r="L1041" s="108"/>
      <c r="M1041" s="108"/>
      <c r="N1041" s="108"/>
      <c r="O1041" s="108"/>
      <c r="P1041" s="108"/>
      <c r="Q1041" s="108"/>
      <c r="R1041" s="108"/>
      <c r="S1041" s="108"/>
      <c r="T1041" s="108"/>
      <c r="U1041" s="108"/>
      <c r="V1041" s="108"/>
      <c r="W1041" s="108"/>
      <c r="X1041" s="108"/>
      <c r="Y1041" s="108"/>
    </row>
    <row r="1042">
      <c r="A1042" s="244"/>
      <c r="B1042" s="107"/>
      <c r="C1042" s="107"/>
      <c r="D1042" s="115"/>
      <c r="E1042" s="107"/>
      <c r="F1042" s="211"/>
      <c r="G1042" s="256"/>
      <c r="H1042" s="239"/>
      <c r="I1042" s="108"/>
      <c r="J1042" s="108"/>
      <c r="K1042" s="108"/>
      <c r="L1042" s="108"/>
      <c r="M1042" s="108"/>
      <c r="N1042" s="108"/>
      <c r="O1042" s="108"/>
      <c r="P1042" s="108"/>
      <c r="Q1042" s="108"/>
      <c r="R1042" s="108"/>
      <c r="S1042" s="108"/>
      <c r="T1042" s="108"/>
      <c r="U1042" s="108"/>
      <c r="V1042" s="108"/>
      <c r="W1042" s="108"/>
      <c r="X1042" s="108"/>
      <c r="Y1042" s="108"/>
    </row>
    <row r="1043">
      <c r="A1043" s="244"/>
      <c r="B1043" s="107"/>
      <c r="C1043" s="107"/>
      <c r="D1043" s="115"/>
      <c r="E1043" s="107"/>
      <c r="F1043" s="211"/>
      <c r="G1043" s="256"/>
      <c r="H1043" s="239"/>
      <c r="I1043" s="108"/>
      <c r="J1043" s="108"/>
      <c r="K1043" s="108"/>
      <c r="L1043" s="108"/>
      <c r="M1043" s="108"/>
      <c r="N1043" s="108"/>
      <c r="O1043" s="108"/>
      <c r="P1043" s="108"/>
      <c r="Q1043" s="108"/>
      <c r="R1043" s="108"/>
      <c r="S1043" s="108"/>
      <c r="T1043" s="108"/>
      <c r="U1043" s="108"/>
      <c r="V1043" s="108"/>
      <c r="W1043" s="108"/>
      <c r="X1043" s="108"/>
      <c r="Y1043" s="108"/>
    </row>
    <row r="1044">
      <c r="A1044" s="244"/>
      <c r="B1044" s="107"/>
      <c r="C1044" s="107"/>
      <c r="D1044" s="115"/>
      <c r="E1044" s="107"/>
      <c r="F1044" s="211"/>
      <c r="G1044" s="256"/>
      <c r="H1044" s="239"/>
      <c r="I1044" s="108"/>
      <c r="J1044" s="108"/>
      <c r="K1044" s="108"/>
      <c r="L1044" s="108"/>
      <c r="M1044" s="108"/>
      <c r="N1044" s="108"/>
      <c r="O1044" s="108"/>
      <c r="P1044" s="108"/>
      <c r="Q1044" s="108"/>
      <c r="R1044" s="108"/>
      <c r="S1044" s="108"/>
      <c r="T1044" s="108"/>
      <c r="U1044" s="108"/>
      <c r="V1044" s="108"/>
      <c r="W1044" s="108"/>
      <c r="X1044" s="108"/>
      <c r="Y1044" s="108"/>
    </row>
    <row r="1045">
      <c r="A1045" s="244"/>
      <c r="B1045" s="107"/>
      <c r="C1045" s="107"/>
      <c r="D1045" s="115"/>
      <c r="E1045" s="107"/>
      <c r="F1045" s="211"/>
      <c r="G1045" s="256"/>
      <c r="H1045" s="239"/>
      <c r="I1045" s="108"/>
      <c r="J1045" s="108"/>
      <c r="K1045" s="108"/>
      <c r="L1045" s="108"/>
      <c r="M1045" s="108"/>
      <c r="N1045" s="108"/>
      <c r="O1045" s="108"/>
      <c r="P1045" s="108"/>
      <c r="Q1045" s="108"/>
      <c r="R1045" s="108"/>
      <c r="S1045" s="108"/>
      <c r="T1045" s="108"/>
      <c r="U1045" s="108"/>
      <c r="V1045" s="108"/>
      <c r="W1045" s="108"/>
      <c r="X1045" s="108"/>
      <c r="Y1045" s="108"/>
    </row>
    <row r="1046">
      <c r="A1046" s="244"/>
      <c r="B1046" s="107"/>
      <c r="C1046" s="107"/>
      <c r="D1046" s="115"/>
      <c r="E1046" s="107"/>
      <c r="F1046" s="211"/>
      <c r="G1046" s="256"/>
      <c r="H1046" s="239"/>
      <c r="I1046" s="108"/>
      <c r="J1046" s="108"/>
      <c r="K1046" s="108"/>
      <c r="L1046" s="108"/>
      <c r="M1046" s="108"/>
      <c r="N1046" s="108"/>
      <c r="O1046" s="108"/>
      <c r="P1046" s="108"/>
      <c r="Q1046" s="108"/>
      <c r="R1046" s="108"/>
      <c r="S1046" s="108"/>
      <c r="T1046" s="108"/>
      <c r="U1046" s="108"/>
      <c r="V1046" s="108"/>
      <c r="W1046" s="108"/>
      <c r="X1046" s="108"/>
      <c r="Y1046" s="108"/>
    </row>
    <row r="1047">
      <c r="A1047" s="244"/>
      <c r="B1047" s="107"/>
      <c r="C1047" s="107"/>
      <c r="D1047" s="115"/>
      <c r="E1047" s="107"/>
      <c r="F1047" s="211"/>
      <c r="G1047" s="256"/>
      <c r="H1047" s="239"/>
      <c r="I1047" s="108"/>
      <c r="J1047" s="108"/>
      <c r="K1047" s="108"/>
      <c r="L1047" s="108"/>
      <c r="M1047" s="108"/>
      <c r="N1047" s="108"/>
      <c r="O1047" s="108"/>
      <c r="P1047" s="108"/>
      <c r="Q1047" s="108"/>
      <c r="R1047" s="108"/>
      <c r="S1047" s="108"/>
      <c r="T1047" s="108"/>
      <c r="U1047" s="108"/>
      <c r="V1047" s="108"/>
      <c r="W1047" s="108"/>
      <c r="X1047" s="108"/>
      <c r="Y1047" s="108"/>
    </row>
    <row r="1048">
      <c r="A1048" s="244"/>
      <c r="B1048" s="107"/>
      <c r="C1048" s="107"/>
      <c r="D1048" s="115"/>
      <c r="E1048" s="107"/>
      <c r="F1048" s="211"/>
      <c r="G1048" s="256"/>
      <c r="H1048" s="239"/>
      <c r="I1048" s="108"/>
      <c r="J1048" s="108"/>
      <c r="K1048" s="108"/>
      <c r="L1048" s="108"/>
      <c r="M1048" s="108"/>
      <c r="N1048" s="108"/>
      <c r="O1048" s="108"/>
      <c r="P1048" s="108"/>
      <c r="Q1048" s="108"/>
      <c r="R1048" s="108"/>
      <c r="S1048" s="108"/>
      <c r="T1048" s="108"/>
      <c r="U1048" s="108"/>
      <c r="V1048" s="108"/>
      <c r="W1048" s="108"/>
      <c r="X1048" s="108"/>
      <c r="Y1048" s="108"/>
    </row>
    <row r="1049">
      <c r="A1049" s="244"/>
      <c r="B1049" s="107"/>
      <c r="C1049" s="107"/>
      <c r="D1049" s="115"/>
      <c r="E1049" s="107"/>
      <c r="F1049" s="211"/>
      <c r="G1049" s="256"/>
      <c r="H1049" s="239"/>
      <c r="I1049" s="108"/>
      <c r="J1049" s="108"/>
      <c r="K1049" s="108"/>
      <c r="L1049" s="108"/>
      <c r="M1049" s="108"/>
      <c r="N1049" s="108"/>
      <c r="O1049" s="108"/>
      <c r="P1049" s="108"/>
      <c r="Q1049" s="108"/>
      <c r="R1049" s="108"/>
      <c r="S1049" s="108"/>
      <c r="T1049" s="108"/>
      <c r="U1049" s="108"/>
      <c r="V1049" s="108"/>
      <c r="W1049" s="108"/>
      <c r="X1049" s="108"/>
      <c r="Y1049" s="108"/>
    </row>
    <row r="1050">
      <c r="A1050" s="244"/>
      <c r="B1050" s="107"/>
      <c r="C1050" s="107"/>
      <c r="D1050" s="115"/>
      <c r="E1050" s="107"/>
      <c r="F1050" s="211"/>
      <c r="G1050" s="256"/>
      <c r="H1050" s="239"/>
      <c r="I1050" s="108"/>
      <c r="J1050" s="108"/>
      <c r="K1050" s="108"/>
      <c r="L1050" s="108"/>
      <c r="M1050" s="108"/>
      <c r="N1050" s="108"/>
      <c r="O1050" s="108"/>
      <c r="P1050" s="108"/>
      <c r="Q1050" s="108"/>
      <c r="R1050" s="108"/>
      <c r="S1050" s="108"/>
      <c r="T1050" s="108"/>
      <c r="U1050" s="108"/>
      <c r="V1050" s="108"/>
      <c r="W1050" s="108"/>
      <c r="X1050" s="108"/>
      <c r="Y1050" s="108"/>
    </row>
    <row r="1051">
      <c r="A1051" s="244"/>
      <c r="B1051" s="107"/>
      <c r="C1051" s="107"/>
      <c r="D1051" s="115"/>
      <c r="E1051" s="107"/>
      <c r="F1051" s="211"/>
      <c r="G1051" s="256"/>
      <c r="H1051" s="239"/>
      <c r="I1051" s="108"/>
      <c r="J1051" s="108"/>
      <c r="K1051" s="108"/>
      <c r="L1051" s="108"/>
      <c r="M1051" s="108"/>
      <c r="N1051" s="108"/>
      <c r="O1051" s="108"/>
      <c r="P1051" s="108"/>
      <c r="Q1051" s="108"/>
      <c r="R1051" s="108"/>
      <c r="S1051" s="108"/>
      <c r="T1051" s="108"/>
      <c r="U1051" s="108"/>
      <c r="V1051" s="108"/>
      <c r="W1051" s="108"/>
      <c r="X1051" s="108"/>
      <c r="Y1051" s="108"/>
    </row>
    <row r="1052">
      <c r="A1052" s="244"/>
      <c r="B1052" s="107"/>
      <c r="C1052" s="107"/>
      <c r="D1052" s="115"/>
      <c r="E1052" s="107"/>
      <c r="F1052" s="211"/>
      <c r="G1052" s="256"/>
      <c r="H1052" s="239"/>
      <c r="I1052" s="108"/>
      <c r="J1052" s="108"/>
      <c r="K1052" s="108"/>
      <c r="L1052" s="108"/>
      <c r="M1052" s="108"/>
      <c r="N1052" s="108"/>
      <c r="O1052" s="108"/>
      <c r="P1052" s="108"/>
      <c r="Q1052" s="108"/>
      <c r="R1052" s="108"/>
      <c r="S1052" s="108"/>
      <c r="T1052" s="108"/>
      <c r="U1052" s="108"/>
      <c r="V1052" s="108"/>
      <c r="W1052" s="108"/>
      <c r="X1052" s="108"/>
      <c r="Y1052" s="108"/>
    </row>
    <row r="1053">
      <c r="A1053" s="244"/>
      <c r="B1053" s="107"/>
      <c r="C1053" s="107"/>
      <c r="D1053" s="115"/>
      <c r="E1053" s="107"/>
      <c r="F1053" s="211"/>
      <c r="G1053" s="256"/>
      <c r="H1053" s="239"/>
      <c r="I1053" s="108"/>
      <c r="J1053" s="108"/>
      <c r="K1053" s="108"/>
      <c r="L1053" s="108"/>
      <c r="M1053" s="108"/>
      <c r="N1053" s="108"/>
      <c r="O1053" s="108"/>
      <c r="P1053" s="108"/>
      <c r="Q1053" s="108"/>
      <c r="R1053" s="108"/>
      <c r="S1053" s="108"/>
      <c r="T1053" s="108"/>
      <c r="U1053" s="108"/>
      <c r="V1053" s="108"/>
      <c r="W1053" s="108"/>
      <c r="X1053" s="108"/>
      <c r="Y1053" s="108"/>
    </row>
    <row r="1054">
      <c r="A1054" s="244"/>
      <c r="B1054" s="107"/>
      <c r="C1054" s="107"/>
      <c r="D1054" s="115"/>
      <c r="E1054" s="107"/>
      <c r="F1054" s="211"/>
      <c r="G1054" s="256"/>
      <c r="H1054" s="239"/>
      <c r="I1054" s="108"/>
      <c r="J1054" s="108"/>
      <c r="K1054" s="108"/>
      <c r="L1054" s="108"/>
      <c r="M1054" s="108"/>
      <c r="N1054" s="108"/>
      <c r="O1054" s="108"/>
      <c r="P1054" s="108"/>
      <c r="Q1054" s="108"/>
      <c r="R1054" s="108"/>
      <c r="S1054" s="108"/>
      <c r="T1054" s="108"/>
      <c r="U1054" s="108"/>
      <c r="V1054" s="108"/>
      <c r="W1054" s="108"/>
      <c r="X1054" s="108"/>
      <c r="Y1054" s="108"/>
    </row>
    <row r="1055">
      <c r="A1055" s="244"/>
      <c r="B1055" s="107"/>
      <c r="C1055" s="107"/>
      <c r="D1055" s="115"/>
      <c r="E1055" s="107"/>
      <c r="F1055" s="211"/>
      <c r="G1055" s="256"/>
      <c r="H1055" s="239"/>
      <c r="I1055" s="108"/>
      <c r="J1055" s="108"/>
      <c r="K1055" s="108"/>
      <c r="L1055" s="108"/>
      <c r="M1055" s="108"/>
      <c r="N1055" s="108"/>
      <c r="O1055" s="108"/>
      <c r="P1055" s="108"/>
      <c r="Q1055" s="108"/>
      <c r="R1055" s="108"/>
      <c r="S1055" s="108"/>
      <c r="T1055" s="108"/>
      <c r="U1055" s="108"/>
      <c r="V1055" s="108"/>
      <c r="W1055" s="108"/>
      <c r="X1055" s="108"/>
      <c r="Y1055" s="108"/>
    </row>
    <row r="1056">
      <c r="A1056" s="244"/>
      <c r="B1056" s="107"/>
      <c r="C1056" s="107"/>
      <c r="D1056" s="115"/>
      <c r="E1056" s="107"/>
      <c r="F1056" s="211"/>
      <c r="G1056" s="256"/>
      <c r="H1056" s="239"/>
      <c r="I1056" s="108"/>
      <c r="J1056" s="108"/>
      <c r="K1056" s="108"/>
      <c r="L1056" s="108"/>
      <c r="M1056" s="108"/>
      <c r="N1056" s="108"/>
      <c r="O1056" s="108"/>
      <c r="P1056" s="108"/>
      <c r="Q1056" s="108"/>
      <c r="R1056" s="108"/>
      <c r="S1056" s="108"/>
      <c r="T1056" s="108"/>
      <c r="U1056" s="108"/>
      <c r="V1056" s="108"/>
      <c r="W1056" s="108"/>
      <c r="X1056" s="108"/>
      <c r="Y1056" s="108"/>
    </row>
    <row r="1057">
      <c r="A1057" s="244"/>
      <c r="B1057" s="107"/>
      <c r="C1057" s="107"/>
      <c r="D1057" s="115"/>
      <c r="E1057" s="107"/>
      <c r="F1057" s="211"/>
      <c r="G1057" s="256"/>
      <c r="H1057" s="239"/>
      <c r="I1057" s="108"/>
      <c r="J1057" s="108"/>
      <c r="K1057" s="108"/>
      <c r="L1057" s="108"/>
      <c r="M1057" s="108"/>
      <c r="N1057" s="108"/>
      <c r="O1057" s="108"/>
      <c r="P1057" s="108"/>
      <c r="Q1057" s="108"/>
      <c r="R1057" s="108"/>
      <c r="S1057" s="108"/>
      <c r="T1057" s="108"/>
      <c r="U1057" s="108"/>
      <c r="V1057" s="108"/>
      <c r="W1057" s="108"/>
      <c r="X1057" s="108"/>
      <c r="Y1057" s="108"/>
    </row>
    <row r="1058">
      <c r="A1058" s="244"/>
      <c r="B1058" s="107"/>
      <c r="C1058" s="107"/>
      <c r="D1058" s="115"/>
      <c r="E1058" s="107"/>
      <c r="F1058" s="211"/>
      <c r="G1058" s="256"/>
      <c r="H1058" s="239"/>
      <c r="I1058" s="108"/>
      <c r="J1058" s="108"/>
      <c r="K1058" s="108"/>
      <c r="L1058" s="108"/>
      <c r="M1058" s="108"/>
      <c r="N1058" s="108"/>
      <c r="O1058" s="108"/>
      <c r="P1058" s="108"/>
      <c r="Q1058" s="108"/>
      <c r="R1058" s="108"/>
      <c r="S1058" s="108"/>
      <c r="T1058" s="108"/>
      <c r="U1058" s="108"/>
      <c r="V1058" s="108"/>
      <c r="W1058" s="108"/>
      <c r="X1058" s="108"/>
      <c r="Y1058" s="108"/>
    </row>
    <row r="1059">
      <c r="A1059" s="244"/>
      <c r="B1059" s="107"/>
      <c r="C1059" s="107"/>
      <c r="D1059" s="115"/>
      <c r="E1059" s="107"/>
      <c r="F1059" s="211"/>
      <c r="G1059" s="256"/>
      <c r="H1059" s="239"/>
      <c r="I1059" s="108"/>
      <c r="J1059" s="108"/>
      <c r="K1059" s="108"/>
      <c r="L1059" s="108"/>
      <c r="M1059" s="108"/>
      <c r="N1059" s="108"/>
      <c r="O1059" s="108"/>
      <c r="P1059" s="108"/>
      <c r="Q1059" s="108"/>
      <c r="R1059" s="108"/>
      <c r="S1059" s="108"/>
      <c r="T1059" s="108"/>
      <c r="U1059" s="108"/>
      <c r="V1059" s="108"/>
      <c r="W1059" s="108"/>
      <c r="X1059" s="108"/>
      <c r="Y1059" s="108"/>
    </row>
    <row r="1060">
      <c r="A1060" s="244"/>
      <c r="B1060" s="107"/>
      <c r="C1060" s="107"/>
      <c r="D1060" s="115"/>
      <c r="E1060" s="107"/>
      <c r="F1060" s="211"/>
      <c r="G1060" s="256"/>
      <c r="H1060" s="239"/>
      <c r="I1060" s="108"/>
      <c r="J1060" s="108"/>
      <c r="K1060" s="108"/>
      <c r="L1060" s="108"/>
      <c r="M1060" s="108"/>
      <c r="N1060" s="108"/>
      <c r="O1060" s="108"/>
      <c r="P1060" s="108"/>
      <c r="Q1060" s="108"/>
      <c r="R1060" s="108"/>
      <c r="S1060" s="108"/>
      <c r="T1060" s="108"/>
      <c r="U1060" s="108"/>
      <c r="V1060" s="108"/>
      <c r="W1060" s="108"/>
      <c r="X1060" s="108"/>
      <c r="Y1060" s="108"/>
    </row>
    <row r="1061">
      <c r="A1061" s="244"/>
      <c r="B1061" s="107"/>
      <c r="C1061" s="107"/>
      <c r="D1061" s="115"/>
      <c r="E1061" s="107"/>
      <c r="F1061" s="211"/>
      <c r="G1061" s="256"/>
      <c r="H1061" s="239"/>
      <c r="I1061" s="108"/>
      <c r="J1061" s="108"/>
      <c r="K1061" s="108"/>
      <c r="L1061" s="108"/>
      <c r="M1061" s="108"/>
      <c r="N1061" s="108"/>
      <c r="O1061" s="108"/>
      <c r="P1061" s="108"/>
      <c r="Q1061" s="108"/>
      <c r="R1061" s="108"/>
      <c r="S1061" s="108"/>
      <c r="T1061" s="108"/>
      <c r="U1061" s="108"/>
      <c r="V1061" s="108"/>
      <c r="W1061" s="108"/>
      <c r="X1061" s="108"/>
      <c r="Y1061" s="108"/>
    </row>
    <row r="1062">
      <c r="A1062" s="244"/>
      <c r="B1062" s="107"/>
      <c r="C1062" s="107"/>
      <c r="D1062" s="115"/>
      <c r="E1062" s="107"/>
      <c r="F1062" s="211"/>
      <c r="G1062" s="256"/>
      <c r="H1062" s="239"/>
      <c r="I1062" s="108"/>
      <c r="J1062" s="108"/>
      <c r="K1062" s="108"/>
      <c r="L1062" s="108"/>
      <c r="M1062" s="108"/>
      <c r="N1062" s="108"/>
      <c r="O1062" s="108"/>
      <c r="P1062" s="108"/>
      <c r="Q1062" s="108"/>
      <c r="R1062" s="108"/>
      <c r="S1062" s="108"/>
      <c r="T1062" s="108"/>
      <c r="U1062" s="108"/>
      <c r="V1062" s="108"/>
      <c r="W1062" s="108"/>
      <c r="X1062" s="108"/>
      <c r="Y1062" s="108"/>
    </row>
    <row r="1063">
      <c r="A1063" s="244"/>
      <c r="B1063" s="107"/>
      <c r="C1063" s="107"/>
      <c r="D1063" s="115"/>
      <c r="E1063" s="107"/>
      <c r="F1063" s="211"/>
      <c r="G1063" s="256"/>
      <c r="H1063" s="239"/>
      <c r="I1063" s="108"/>
      <c r="J1063" s="108"/>
      <c r="K1063" s="108"/>
      <c r="L1063" s="108"/>
      <c r="M1063" s="108"/>
      <c r="N1063" s="108"/>
      <c r="O1063" s="108"/>
      <c r="P1063" s="108"/>
      <c r="Q1063" s="108"/>
      <c r="R1063" s="108"/>
      <c r="S1063" s="108"/>
      <c r="T1063" s="108"/>
      <c r="U1063" s="108"/>
      <c r="V1063" s="108"/>
      <c r="W1063" s="108"/>
      <c r="X1063" s="108"/>
      <c r="Y1063" s="108"/>
    </row>
    <row r="1064">
      <c r="A1064" s="244"/>
      <c r="B1064" s="107"/>
      <c r="C1064" s="107"/>
      <c r="D1064" s="115"/>
      <c r="E1064" s="107"/>
      <c r="F1064" s="211"/>
      <c r="G1064" s="256"/>
      <c r="H1064" s="239"/>
      <c r="I1064" s="108"/>
      <c r="J1064" s="108"/>
      <c r="K1064" s="108"/>
      <c r="L1064" s="108"/>
      <c r="M1064" s="108"/>
      <c r="N1064" s="108"/>
      <c r="O1064" s="108"/>
      <c r="P1064" s="108"/>
      <c r="Q1064" s="108"/>
      <c r="R1064" s="108"/>
      <c r="S1064" s="108"/>
      <c r="T1064" s="108"/>
      <c r="U1064" s="108"/>
      <c r="V1064" s="108"/>
      <c r="W1064" s="108"/>
      <c r="X1064" s="108"/>
      <c r="Y1064" s="108"/>
    </row>
    <row r="1065">
      <c r="A1065" s="244"/>
      <c r="B1065" s="107"/>
      <c r="C1065" s="107"/>
      <c r="D1065" s="115"/>
      <c r="E1065" s="107"/>
      <c r="F1065" s="211"/>
      <c r="G1065" s="256"/>
      <c r="H1065" s="239"/>
      <c r="I1065" s="108"/>
      <c r="J1065" s="108"/>
      <c r="K1065" s="108"/>
      <c r="L1065" s="108"/>
      <c r="M1065" s="108"/>
      <c r="N1065" s="108"/>
      <c r="O1065" s="108"/>
      <c r="P1065" s="108"/>
      <c r="Q1065" s="108"/>
      <c r="R1065" s="108"/>
      <c r="S1065" s="108"/>
      <c r="T1065" s="108"/>
      <c r="U1065" s="108"/>
      <c r="V1065" s="108"/>
      <c r="W1065" s="108"/>
      <c r="X1065" s="108"/>
      <c r="Y1065" s="108"/>
    </row>
    <row r="1066">
      <c r="A1066" s="244"/>
      <c r="B1066" s="107"/>
      <c r="C1066" s="107"/>
      <c r="D1066" s="115"/>
      <c r="E1066" s="107"/>
      <c r="F1066" s="211"/>
      <c r="G1066" s="256"/>
      <c r="H1066" s="239"/>
      <c r="I1066" s="108"/>
      <c r="J1066" s="108"/>
      <c r="K1066" s="108"/>
      <c r="L1066" s="108"/>
      <c r="M1066" s="108"/>
      <c r="N1066" s="108"/>
      <c r="O1066" s="108"/>
      <c r="P1066" s="108"/>
      <c r="Q1066" s="108"/>
      <c r="R1066" s="108"/>
      <c r="S1066" s="108"/>
      <c r="T1066" s="108"/>
      <c r="U1066" s="108"/>
      <c r="V1066" s="108"/>
      <c r="W1066" s="108"/>
      <c r="X1066" s="108"/>
      <c r="Y1066" s="108"/>
    </row>
    <row r="1067">
      <c r="A1067" s="244"/>
      <c r="B1067" s="107"/>
      <c r="C1067" s="107"/>
      <c r="D1067" s="115"/>
      <c r="E1067" s="107"/>
      <c r="F1067" s="211"/>
      <c r="G1067" s="256"/>
      <c r="H1067" s="239"/>
      <c r="I1067" s="108"/>
      <c r="J1067" s="108"/>
      <c r="K1067" s="108"/>
      <c r="L1067" s="108"/>
      <c r="M1067" s="108"/>
      <c r="N1067" s="108"/>
      <c r="O1067" s="108"/>
      <c r="P1067" s="108"/>
      <c r="Q1067" s="108"/>
      <c r="R1067" s="108"/>
      <c r="S1067" s="108"/>
      <c r="T1067" s="108"/>
      <c r="U1067" s="108"/>
      <c r="V1067" s="108"/>
      <c r="W1067" s="108"/>
      <c r="X1067" s="108"/>
      <c r="Y1067" s="108"/>
    </row>
    <row r="1068">
      <c r="A1068" s="244"/>
      <c r="B1068" s="107"/>
      <c r="C1068" s="107"/>
      <c r="D1068" s="115"/>
      <c r="E1068" s="107"/>
      <c r="F1068" s="211"/>
      <c r="G1068" s="256"/>
      <c r="H1068" s="239"/>
      <c r="I1068" s="108"/>
      <c r="J1068" s="108"/>
      <c r="K1068" s="108"/>
      <c r="L1068" s="108"/>
      <c r="M1068" s="108"/>
      <c r="N1068" s="108"/>
      <c r="O1068" s="108"/>
      <c r="P1068" s="108"/>
      <c r="Q1068" s="108"/>
      <c r="R1068" s="108"/>
      <c r="S1068" s="108"/>
      <c r="T1068" s="108"/>
      <c r="U1068" s="108"/>
      <c r="V1068" s="108"/>
      <c r="W1068" s="108"/>
      <c r="X1068" s="108"/>
      <c r="Y1068" s="108"/>
    </row>
    <row r="1069">
      <c r="A1069" s="244"/>
      <c r="B1069" s="107"/>
      <c r="C1069" s="107"/>
      <c r="D1069" s="115"/>
      <c r="E1069" s="107"/>
      <c r="F1069" s="211"/>
      <c r="G1069" s="256"/>
      <c r="H1069" s="239"/>
      <c r="I1069" s="108"/>
      <c r="J1069" s="108"/>
      <c r="K1069" s="108"/>
      <c r="L1069" s="108"/>
      <c r="M1069" s="108"/>
      <c r="N1069" s="108"/>
      <c r="O1069" s="108"/>
      <c r="P1069" s="108"/>
      <c r="Q1069" s="108"/>
      <c r="R1069" s="108"/>
      <c r="S1069" s="108"/>
      <c r="T1069" s="108"/>
      <c r="U1069" s="108"/>
      <c r="V1069" s="108"/>
      <c r="W1069" s="108"/>
      <c r="X1069" s="108"/>
      <c r="Y1069" s="108"/>
    </row>
    <row r="1070">
      <c r="A1070" s="244"/>
      <c r="B1070" s="107"/>
      <c r="C1070" s="107"/>
      <c r="D1070" s="115"/>
      <c r="E1070" s="107"/>
      <c r="F1070" s="211"/>
      <c r="G1070" s="256"/>
      <c r="H1070" s="239"/>
      <c r="I1070" s="108"/>
      <c r="J1070" s="108"/>
      <c r="K1070" s="108"/>
      <c r="L1070" s="108"/>
      <c r="M1070" s="108"/>
      <c r="N1070" s="108"/>
      <c r="O1070" s="108"/>
      <c r="P1070" s="108"/>
      <c r="Q1070" s="108"/>
      <c r="R1070" s="108"/>
      <c r="S1070" s="108"/>
      <c r="T1070" s="108"/>
      <c r="U1070" s="108"/>
      <c r="V1070" s="108"/>
      <c r="W1070" s="108"/>
      <c r="X1070" s="108"/>
      <c r="Y1070" s="108"/>
    </row>
    <row r="1071">
      <c r="A1071" s="244"/>
      <c r="B1071" s="107"/>
      <c r="C1071" s="107"/>
      <c r="D1071" s="115"/>
      <c r="E1071" s="107"/>
      <c r="F1071" s="211"/>
      <c r="G1071" s="256"/>
      <c r="H1071" s="239"/>
      <c r="I1071" s="108"/>
      <c r="J1071" s="108"/>
      <c r="K1071" s="108"/>
      <c r="L1071" s="108"/>
      <c r="M1071" s="108"/>
      <c r="N1071" s="108"/>
      <c r="O1071" s="108"/>
      <c r="P1071" s="108"/>
      <c r="Q1071" s="108"/>
      <c r="R1071" s="108"/>
      <c r="S1071" s="108"/>
      <c r="T1071" s="108"/>
      <c r="U1071" s="108"/>
      <c r="V1071" s="108"/>
      <c r="W1071" s="108"/>
      <c r="X1071" s="108"/>
      <c r="Y1071" s="108"/>
    </row>
    <row r="1072">
      <c r="A1072" s="244"/>
      <c r="B1072" s="107"/>
      <c r="C1072" s="107"/>
      <c r="D1072" s="115"/>
      <c r="E1072" s="107"/>
      <c r="F1072" s="211"/>
      <c r="G1072" s="256"/>
      <c r="H1072" s="239"/>
      <c r="I1072" s="108"/>
      <c r="J1072" s="108"/>
      <c r="K1072" s="108"/>
      <c r="L1072" s="108"/>
      <c r="M1072" s="108"/>
      <c r="N1072" s="108"/>
      <c r="O1072" s="108"/>
      <c r="P1072" s="108"/>
      <c r="Q1072" s="108"/>
      <c r="R1072" s="108"/>
      <c r="S1072" s="108"/>
      <c r="T1072" s="108"/>
      <c r="U1072" s="108"/>
      <c r="V1072" s="108"/>
      <c r="W1072" s="108"/>
      <c r="X1072" s="108"/>
      <c r="Y1072" s="108"/>
    </row>
    <row r="1073">
      <c r="A1073" s="244"/>
      <c r="B1073" s="107"/>
      <c r="C1073" s="107"/>
      <c r="D1073" s="115"/>
      <c r="E1073" s="107"/>
      <c r="F1073" s="211"/>
      <c r="G1073" s="256"/>
      <c r="H1073" s="239"/>
      <c r="I1073" s="108"/>
      <c r="J1073" s="108"/>
      <c r="K1073" s="108"/>
      <c r="L1073" s="108"/>
      <c r="M1073" s="108"/>
      <c r="N1073" s="108"/>
      <c r="O1073" s="108"/>
      <c r="P1073" s="108"/>
      <c r="Q1073" s="108"/>
      <c r="R1073" s="108"/>
      <c r="S1073" s="108"/>
      <c r="T1073" s="108"/>
      <c r="U1073" s="108"/>
      <c r="V1073" s="108"/>
      <c r="W1073" s="108"/>
      <c r="X1073" s="108"/>
      <c r="Y1073" s="108"/>
    </row>
    <row r="1074">
      <c r="A1074" s="244"/>
      <c r="B1074" s="107"/>
      <c r="C1074" s="107"/>
      <c r="D1074" s="115"/>
      <c r="E1074" s="107"/>
      <c r="F1074" s="211"/>
      <c r="G1074" s="256"/>
      <c r="H1074" s="239"/>
      <c r="I1074" s="108"/>
      <c r="J1074" s="108"/>
      <c r="K1074" s="108"/>
      <c r="L1074" s="108"/>
      <c r="M1074" s="108"/>
      <c r="N1074" s="108"/>
      <c r="O1074" s="108"/>
      <c r="P1074" s="108"/>
      <c r="Q1074" s="108"/>
      <c r="R1074" s="108"/>
      <c r="S1074" s="108"/>
      <c r="T1074" s="108"/>
      <c r="U1074" s="108"/>
      <c r="V1074" s="108"/>
      <c r="W1074" s="108"/>
      <c r="X1074" s="108"/>
      <c r="Y1074" s="108"/>
    </row>
    <row r="1075">
      <c r="A1075" s="244"/>
      <c r="B1075" s="107"/>
      <c r="C1075" s="107"/>
      <c r="D1075" s="115"/>
      <c r="E1075" s="107"/>
      <c r="F1075" s="211"/>
      <c r="G1075" s="256"/>
      <c r="H1075" s="239"/>
      <c r="I1075" s="108"/>
      <c r="J1075" s="108"/>
      <c r="K1075" s="108"/>
      <c r="L1075" s="108"/>
      <c r="M1075" s="108"/>
      <c r="N1075" s="108"/>
      <c r="O1075" s="108"/>
      <c r="P1075" s="108"/>
      <c r="Q1075" s="108"/>
      <c r="R1075" s="108"/>
      <c r="S1075" s="108"/>
      <c r="T1075" s="108"/>
      <c r="U1075" s="108"/>
      <c r="V1075" s="108"/>
      <c r="W1075" s="108"/>
      <c r="X1075" s="108"/>
      <c r="Y1075" s="108"/>
    </row>
    <row r="1076">
      <c r="A1076" s="244"/>
      <c r="B1076" s="107"/>
      <c r="C1076" s="107"/>
      <c r="D1076" s="115"/>
      <c r="E1076" s="107"/>
      <c r="F1076" s="211"/>
      <c r="G1076" s="256"/>
      <c r="H1076" s="239"/>
      <c r="I1076" s="108"/>
      <c r="J1076" s="108"/>
      <c r="K1076" s="108"/>
      <c r="L1076" s="108"/>
      <c r="M1076" s="108"/>
      <c r="N1076" s="108"/>
      <c r="O1076" s="108"/>
      <c r="P1076" s="108"/>
      <c r="Q1076" s="108"/>
      <c r="R1076" s="108"/>
      <c r="S1076" s="108"/>
      <c r="T1076" s="108"/>
      <c r="U1076" s="108"/>
      <c r="V1076" s="108"/>
      <c r="W1076" s="108"/>
      <c r="X1076" s="108"/>
      <c r="Y1076" s="108"/>
    </row>
    <row r="1077">
      <c r="A1077" s="244"/>
      <c r="B1077" s="107"/>
      <c r="C1077" s="107"/>
      <c r="D1077" s="115"/>
      <c r="E1077" s="107"/>
      <c r="F1077" s="211"/>
      <c r="G1077" s="256"/>
      <c r="H1077" s="239"/>
      <c r="I1077" s="108"/>
      <c r="J1077" s="108"/>
      <c r="K1077" s="108"/>
      <c r="L1077" s="108"/>
      <c r="M1077" s="108"/>
      <c r="N1077" s="108"/>
      <c r="O1077" s="108"/>
      <c r="P1077" s="108"/>
      <c r="Q1077" s="108"/>
      <c r="R1077" s="108"/>
      <c r="S1077" s="108"/>
      <c r="T1077" s="108"/>
      <c r="U1077" s="108"/>
      <c r="V1077" s="108"/>
      <c r="W1077" s="108"/>
      <c r="X1077" s="108"/>
      <c r="Y1077" s="108"/>
    </row>
    <row r="1078">
      <c r="A1078" s="244"/>
      <c r="B1078" s="107"/>
      <c r="C1078" s="107"/>
      <c r="D1078" s="115"/>
      <c r="E1078" s="107"/>
      <c r="F1078" s="211"/>
      <c r="G1078" s="256"/>
      <c r="H1078" s="239"/>
      <c r="I1078" s="108"/>
      <c r="J1078" s="108"/>
      <c r="K1078" s="108"/>
      <c r="L1078" s="108"/>
      <c r="M1078" s="108"/>
      <c r="N1078" s="108"/>
      <c r="O1078" s="108"/>
      <c r="P1078" s="108"/>
      <c r="Q1078" s="108"/>
      <c r="R1078" s="108"/>
      <c r="S1078" s="108"/>
      <c r="T1078" s="108"/>
      <c r="U1078" s="108"/>
      <c r="V1078" s="108"/>
      <c r="W1078" s="108"/>
      <c r="X1078" s="108"/>
      <c r="Y1078" s="108"/>
    </row>
    <row r="1079">
      <c r="A1079" s="244"/>
      <c r="B1079" s="107"/>
      <c r="C1079" s="107"/>
      <c r="D1079" s="115"/>
      <c r="E1079" s="107"/>
      <c r="F1079" s="211"/>
      <c r="G1079" s="256"/>
      <c r="H1079" s="239"/>
      <c r="I1079" s="108"/>
      <c r="J1079" s="108"/>
      <c r="K1079" s="108"/>
      <c r="L1079" s="108"/>
      <c r="M1079" s="108"/>
      <c r="N1079" s="108"/>
      <c r="O1079" s="108"/>
      <c r="P1079" s="108"/>
      <c r="Q1079" s="108"/>
      <c r="R1079" s="108"/>
      <c r="S1079" s="108"/>
      <c r="T1079" s="108"/>
      <c r="U1079" s="108"/>
      <c r="V1079" s="108"/>
      <c r="W1079" s="108"/>
      <c r="X1079" s="108"/>
      <c r="Y1079" s="108"/>
    </row>
    <row r="1080">
      <c r="A1080" s="244"/>
      <c r="B1080" s="107"/>
      <c r="C1080" s="107"/>
      <c r="D1080" s="115"/>
      <c r="E1080" s="107"/>
      <c r="F1080" s="211"/>
      <c r="G1080" s="256"/>
      <c r="H1080" s="239"/>
      <c r="I1080" s="108"/>
      <c r="J1080" s="108"/>
      <c r="K1080" s="108"/>
      <c r="L1080" s="108"/>
      <c r="M1080" s="108"/>
      <c r="N1080" s="108"/>
      <c r="O1080" s="108"/>
      <c r="P1080" s="108"/>
      <c r="Q1080" s="108"/>
      <c r="R1080" s="108"/>
      <c r="S1080" s="108"/>
      <c r="T1080" s="108"/>
      <c r="U1080" s="108"/>
      <c r="V1080" s="108"/>
      <c r="W1080" s="108"/>
      <c r="X1080" s="108"/>
      <c r="Y1080" s="108"/>
    </row>
    <row r="1081">
      <c r="A1081" s="244"/>
      <c r="B1081" s="107"/>
      <c r="C1081" s="107"/>
      <c r="D1081" s="115"/>
      <c r="E1081" s="107"/>
      <c r="F1081" s="211"/>
      <c r="G1081" s="256"/>
      <c r="H1081" s="239"/>
      <c r="I1081" s="108"/>
      <c r="J1081" s="108"/>
      <c r="K1081" s="108"/>
      <c r="L1081" s="108"/>
      <c r="M1081" s="108"/>
      <c r="N1081" s="108"/>
      <c r="O1081" s="108"/>
      <c r="P1081" s="108"/>
      <c r="Q1081" s="108"/>
      <c r="R1081" s="108"/>
      <c r="S1081" s="108"/>
      <c r="T1081" s="108"/>
      <c r="U1081" s="108"/>
      <c r="V1081" s="108"/>
      <c r="W1081" s="108"/>
      <c r="X1081" s="108"/>
      <c r="Y1081" s="108"/>
    </row>
    <row r="1082">
      <c r="A1082" s="244"/>
      <c r="B1082" s="107"/>
      <c r="C1082" s="107"/>
      <c r="D1082" s="115"/>
      <c r="E1082" s="107"/>
      <c r="F1082" s="211"/>
      <c r="G1082" s="256"/>
      <c r="H1082" s="239"/>
      <c r="I1082" s="108"/>
      <c r="J1082" s="108"/>
      <c r="K1082" s="108"/>
      <c r="L1082" s="108"/>
      <c r="M1082" s="108"/>
      <c r="N1082" s="108"/>
      <c r="O1082" s="108"/>
      <c r="P1082" s="108"/>
      <c r="Q1082" s="108"/>
      <c r="R1082" s="108"/>
      <c r="S1082" s="108"/>
      <c r="T1082" s="108"/>
      <c r="U1082" s="108"/>
      <c r="V1082" s="108"/>
      <c r="W1082" s="108"/>
      <c r="X1082" s="108"/>
      <c r="Y1082" s="108"/>
    </row>
    <row r="1083">
      <c r="A1083" s="244"/>
      <c r="B1083" s="107"/>
      <c r="C1083" s="107"/>
      <c r="D1083" s="115"/>
      <c r="E1083" s="107"/>
      <c r="F1083" s="211"/>
      <c r="G1083" s="256"/>
      <c r="H1083" s="239"/>
      <c r="I1083" s="108"/>
      <c r="J1083" s="108"/>
      <c r="K1083" s="108"/>
      <c r="L1083" s="108"/>
      <c r="M1083" s="108"/>
      <c r="N1083" s="108"/>
      <c r="O1083" s="108"/>
      <c r="P1083" s="108"/>
      <c r="Q1083" s="108"/>
      <c r="R1083" s="108"/>
      <c r="S1083" s="108"/>
      <c r="T1083" s="108"/>
      <c r="U1083" s="108"/>
      <c r="V1083" s="108"/>
      <c r="W1083" s="108"/>
      <c r="X1083" s="108"/>
      <c r="Y1083" s="108"/>
    </row>
    <row r="1084">
      <c r="A1084" s="244"/>
      <c r="B1084" s="107"/>
      <c r="C1084" s="107"/>
      <c r="D1084" s="115"/>
      <c r="E1084" s="107"/>
      <c r="F1084" s="211"/>
      <c r="G1084" s="256"/>
      <c r="H1084" s="239"/>
      <c r="I1084" s="108"/>
      <c r="J1084" s="108"/>
      <c r="K1084" s="108"/>
      <c r="L1084" s="108"/>
      <c r="M1084" s="108"/>
      <c r="N1084" s="108"/>
      <c r="O1084" s="108"/>
      <c r="P1084" s="108"/>
      <c r="Q1084" s="108"/>
      <c r="R1084" s="108"/>
      <c r="S1084" s="108"/>
      <c r="T1084" s="108"/>
      <c r="U1084" s="108"/>
      <c r="V1084" s="108"/>
      <c r="W1084" s="108"/>
      <c r="X1084" s="108"/>
      <c r="Y1084" s="108"/>
    </row>
    <row r="1085">
      <c r="A1085" s="244"/>
      <c r="B1085" s="107"/>
      <c r="C1085" s="107"/>
      <c r="D1085" s="115"/>
      <c r="E1085" s="107"/>
      <c r="F1085" s="211"/>
      <c r="G1085" s="256"/>
      <c r="H1085" s="239"/>
      <c r="I1085" s="108"/>
      <c r="J1085" s="108"/>
      <c r="K1085" s="108"/>
      <c r="L1085" s="108"/>
      <c r="M1085" s="108"/>
      <c r="N1085" s="108"/>
      <c r="O1085" s="108"/>
      <c r="P1085" s="108"/>
      <c r="Q1085" s="108"/>
      <c r="R1085" s="108"/>
      <c r="S1085" s="108"/>
      <c r="T1085" s="108"/>
      <c r="U1085" s="108"/>
      <c r="V1085" s="108"/>
      <c r="W1085" s="108"/>
      <c r="X1085" s="108"/>
      <c r="Y1085" s="108"/>
    </row>
    <row r="1086">
      <c r="A1086" s="244"/>
      <c r="B1086" s="107"/>
      <c r="C1086" s="107"/>
      <c r="D1086" s="115"/>
      <c r="E1086" s="107"/>
      <c r="F1086" s="211"/>
      <c r="G1086" s="256"/>
      <c r="H1086" s="239"/>
      <c r="I1086" s="108"/>
      <c r="J1086" s="108"/>
      <c r="K1086" s="108"/>
      <c r="L1086" s="108"/>
      <c r="M1086" s="108"/>
      <c r="N1086" s="108"/>
      <c r="O1086" s="108"/>
      <c r="P1086" s="108"/>
      <c r="Q1086" s="108"/>
      <c r="R1086" s="108"/>
      <c r="S1086" s="108"/>
      <c r="T1086" s="108"/>
      <c r="U1086" s="108"/>
      <c r="V1086" s="108"/>
      <c r="W1086" s="108"/>
      <c r="X1086" s="108"/>
      <c r="Y1086" s="108"/>
    </row>
    <row r="1087">
      <c r="A1087" s="244"/>
      <c r="B1087" s="107"/>
      <c r="C1087" s="107"/>
      <c r="D1087" s="115"/>
      <c r="E1087" s="107"/>
      <c r="F1087" s="211"/>
      <c r="G1087" s="256"/>
      <c r="H1087" s="239"/>
      <c r="I1087" s="108"/>
      <c r="J1087" s="108"/>
      <c r="K1087" s="108"/>
      <c r="L1087" s="108"/>
      <c r="M1087" s="108"/>
      <c r="N1087" s="108"/>
      <c r="O1087" s="108"/>
      <c r="P1087" s="108"/>
      <c r="Q1087" s="108"/>
      <c r="R1087" s="108"/>
      <c r="S1087" s="108"/>
      <c r="T1087" s="108"/>
      <c r="U1087" s="108"/>
      <c r="V1087" s="108"/>
      <c r="W1087" s="108"/>
      <c r="X1087" s="108"/>
      <c r="Y1087" s="108"/>
    </row>
    <row r="1088">
      <c r="A1088" s="244"/>
      <c r="B1088" s="107"/>
      <c r="C1088" s="107"/>
      <c r="D1088" s="115"/>
      <c r="E1088" s="107"/>
      <c r="F1088" s="211"/>
      <c r="G1088" s="256"/>
      <c r="H1088" s="239"/>
      <c r="I1088" s="108"/>
      <c r="J1088" s="108"/>
      <c r="K1088" s="108"/>
      <c r="L1088" s="108"/>
      <c r="M1088" s="108"/>
      <c r="N1088" s="108"/>
      <c r="O1088" s="108"/>
      <c r="P1088" s="108"/>
      <c r="Q1088" s="108"/>
      <c r="R1088" s="108"/>
      <c r="S1088" s="108"/>
      <c r="T1088" s="108"/>
      <c r="U1088" s="108"/>
      <c r="V1088" s="108"/>
      <c r="W1088" s="108"/>
      <c r="X1088" s="108"/>
      <c r="Y1088" s="108"/>
    </row>
    <row r="1089">
      <c r="A1089" s="244"/>
      <c r="B1089" s="107"/>
      <c r="C1089" s="107"/>
      <c r="D1089" s="115"/>
      <c r="E1089" s="107"/>
      <c r="F1089" s="211"/>
      <c r="G1089" s="256"/>
      <c r="H1089" s="239"/>
      <c r="I1089" s="108"/>
      <c r="J1089" s="108"/>
      <c r="K1089" s="108"/>
      <c r="L1089" s="108"/>
      <c r="M1089" s="108"/>
      <c r="N1089" s="108"/>
      <c r="O1089" s="108"/>
      <c r="P1089" s="108"/>
      <c r="Q1089" s="108"/>
      <c r="R1089" s="108"/>
      <c r="S1089" s="108"/>
      <c r="T1089" s="108"/>
      <c r="U1089" s="108"/>
      <c r="V1089" s="108"/>
      <c r="W1089" s="108"/>
      <c r="X1089" s="108"/>
      <c r="Y1089" s="108"/>
    </row>
    <row r="1090">
      <c r="A1090" s="244"/>
      <c r="B1090" s="107"/>
      <c r="C1090" s="107"/>
      <c r="D1090" s="115"/>
      <c r="E1090" s="107"/>
      <c r="F1090" s="211"/>
      <c r="G1090" s="256"/>
      <c r="H1090" s="239"/>
      <c r="I1090" s="108"/>
      <c r="J1090" s="108"/>
      <c r="K1090" s="108"/>
      <c r="L1090" s="108"/>
      <c r="M1090" s="108"/>
      <c r="N1090" s="108"/>
      <c r="O1090" s="108"/>
      <c r="P1090" s="108"/>
      <c r="Q1090" s="108"/>
      <c r="R1090" s="108"/>
      <c r="S1090" s="108"/>
      <c r="T1090" s="108"/>
      <c r="U1090" s="108"/>
      <c r="V1090" s="108"/>
      <c r="W1090" s="108"/>
      <c r="X1090" s="108"/>
      <c r="Y1090" s="108"/>
    </row>
    <row r="1091">
      <c r="A1091" s="244"/>
      <c r="B1091" s="107"/>
      <c r="C1091" s="107"/>
      <c r="D1091" s="115"/>
      <c r="E1091" s="107"/>
      <c r="F1091" s="211"/>
      <c r="G1091" s="256"/>
      <c r="H1091" s="239"/>
      <c r="I1091" s="108"/>
      <c r="J1091" s="108"/>
      <c r="K1091" s="108"/>
      <c r="L1091" s="108"/>
      <c r="M1091" s="108"/>
      <c r="N1091" s="108"/>
      <c r="O1091" s="108"/>
      <c r="P1091" s="108"/>
      <c r="Q1091" s="108"/>
      <c r="R1091" s="108"/>
      <c r="S1091" s="108"/>
      <c r="T1091" s="108"/>
      <c r="U1091" s="108"/>
      <c r="V1091" s="108"/>
      <c r="W1091" s="108"/>
      <c r="X1091" s="108"/>
      <c r="Y1091" s="108"/>
    </row>
    <row r="1092">
      <c r="A1092" s="244"/>
      <c r="B1092" s="107"/>
      <c r="C1092" s="107"/>
      <c r="D1092" s="115"/>
      <c r="E1092" s="107"/>
      <c r="F1092" s="211"/>
      <c r="G1092" s="256"/>
      <c r="H1092" s="239"/>
      <c r="I1092" s="108"/>
      <c r="J1092" s="108"/>
      <c r="K1092" s="108"/>
      <c r="L1092" s="108"/>
      <c r="M1092" s="108"/>
      <c r="N1092" s="108"/>
      <c r="O1092" s="108"/>
      <c r="P1092" s="108"/>
      <c r="Q1092" s="108"/>
      <c r="R1092" s="108"/>
      <c r="S1092" s="108"/>
      <c r="T1092" s="108"/>
      <c r="U1092" s="108"/>
      <c r="V1092" s="108"/>
      <c r="W1092" s="108"/>
      <c r="X1092" s="108"/>
      <c r="Y1092" s="108"/>
    </row>
    <row r="1093">
      <c r="A1093" s="244"/>
      <c r="B1093" s="107"/>
      <c r="C1093" s="107"/>
      <c r="D1093" s="115"/>
      <c r="E1093" s="107"/>
      <c r="F1093" s="211"/>
      <c r="G1093" s="256"/>
      <c r="H1093" s="239"/>
      <c r="I1093" s="108"/>
      <c r="J1093" s="108"/>
      <c r="K1093" s="108"/>
      <c r="L1093" s="108"/>
      <c r="M1093" s="108"/>
      <c r="N1093" s="108"/>
      <c r="O1093" s="108"/>
      <c r="P1093" s="108"/>
      <c r="Q1093" s="108"/>
      <c r="R1093" s="108"/>
      <c r="S1093" s="108"/>
      <c r="T1093" s="108"/>
      <c r="U1093" s="108"/>
      <c r="V1093" s="108"/>
      <c r="W1093" s="108"/>
      <c r="X1093" s="108"/>
      <c r="Y1093" s="108"/>
    </row>
    <row r="1094">
      <c r="A1094" s="244"/>
      <c r="B1094" s="107"/>
      <c r="C1094" s="107"/>
      <c r="D1094" s="115"/>
      <c r="E1094" s="107"/>
      <c r="F1094" s="211"/>
      <c r="G1094" s="256"/>
      <c r="H1094" s="239"/>
      <c r="I1094" s="108"/>
      <c r="J1094" s="108"/>
      <c r="K1094" s="108"/>
      <c r="L1094" s="108"/>
      <c r="M1094" s="108"/>
      <c r="N1094" s="108"/>
      <c r="O1094" s="108"/>
      <c r="P1094" s="108"/>
      <c r="Q1094" s="108"/>
      <c r="R1094" s="108"/>
      <c r="S1094" s="108"/>
      <c r="T1094" s="108"/>
      <c r="U1094" s="108"/>
      <c r="V1094" s="108"/>
      <c r="W1094" s="108"/>
      <c r="X1094" s="108"/>
      <c r="Y1094" s="108"/>
    </row>
    <row r="1095">
      <c r="A1095" s="244"/>
      <c r="B1095" s="107"/>
      <c r="C1095" s="107"/>
      <c r="D1095" s="115"/>
      <c r="E1095" s="107"/>
      <c r="F1095" s="211"/>
      <c r="G1095" s="256"/>
      <c r="H1095" s="239"/>
      <c r="I1095" s="108"/>
      <c r="J1095" s="108"/>
      <c r="K1095" s="108"/>
      <c r="L1095" s="108"/>
      <c r="M1095" s="108"/>
      <c r="N1095" s="108"/>
      <c r="O1095" s="108"/>
      <c r="P1095" s="108"/>
      <c r="Q1095" s="108"/>
      <c r="R1095" s="108"/>
      <c r="S1095" s="108"/>
      <c r="T1095" s="108"/>
      <c r="U1095" s="108"/>
      <c r="V1095" s="108"/>
      <c r="W1095" s="108"/>
      <c r="X1095" s="108"/>
      <c r="Y1095" s="108"/>
    </row>
    <row r="1096">
      <c r="A1096" s="244"/>
      <c r="B1096" s="107"/>
      <c r="C1096" s="107"/>
      <c r="D1096" s="115"/>
      <c r="E1096" s="107"/>
      <c r="F1096" s="211"/>
      <c r="G1096" s="256"/>
      <c r="H1096" s="239"/>
      <c r="I1096" s="108"/>
      <c r="J1096" s="108"/>
      <c r="K1096" s="108"/>
      <c r="L1096" s="108"/>
      <c r="M1096" s="108"/>
      <c r="N1096" s="108"/>
      <c r="O1096" s="108"/>
      <c r="P1096" s="108"/>
      <c r="Q1096" s="108"/>
      <c r="R1096" s="108"/>
      <c r="S1096" s="108"/>
      <c r="T1096" s="108"/>
      <c r="U1096" s="108"/>
      <c r="V1096" s="108"/>
      <c r="W1096" s="108"/>
      <c r="X1096" s="108"/>
      <c r="Y1096" s="108"/>
    </row>
    <row r="1097">
      <c r="A1097" s="244"/>
      <c r="B1097" s="107"/>
      <c r="C1097" s="107"/>
      <c r="D1097" s="115"/>
      <c r="E1097" s="107"/>
      <c r="F1097" s="211"/>
      <c r="G1097" s="256"/>
      <c r="H1097" s="239"/>
      <c r="I1097" s="108"/>
      <c r="J1097" s="108"/>
      <c r="K1097" s="108"/>
      <c r="L1097" s="108"/>
      <c r="M1097" s="108"/>
      <c r="N1097" s="108"/>
      <c r="O1097" s="108"/>
      <c r="P1097" s="108"/>
      <c r="Q1097" s="108"/>
      <c r="R1097" s="108"/>
      <c r="S1097" s="108"/>
      <c r="T1097" s="108"/>
      <c r="U1097" s="108"/>
      <c r="V1097" s="108"/>
      <c r="W1097" s="108"/>
      <c r="X1097" s="108"/>
      <c r="Y1097" s="108"/>
    </row>
    <row r="1098">
      <c r="A1098" s="244"/>
      <c r="B1098" s="107"/>
      <c r="C1098" s="107"/>
      <c r="D1098" s="115"/>
      <c r="E1098" s="107"/>
      <c r="F1098" s="211"/>
      <c r="G1098" s="256"/>
      <c r="H1098" s="239"/>
      <c r="I1098" s="108"/>
      <c r="J1098" s="108"/>
      <c r="K1098" s="108"/>
      <c r="L1098" s="108"/>
      <c r="M1098" s="108"/>
      <c r="N1098" s="108"/>
      <c r="O1098" s="108"/>
      <c r="P1098" s="108"/>
      <c r="Q1098" s="108"/>
      <c r="R1098" s="108"/>
      <c r="S1098" s="108"/>
      <c r="T1098" s="108"/>
      <c r="U1098" s="108"/>
      <c r="V1098" s="108"/>
      <c r="W1098" s="108"/>
      <c r="X1098" s="108"/>
      <c r="Y1098" s="108"/>
    </row>
    <row r="1099">
      <c r="A1099" s="244"/>
      <c r="B1099" s="107"/>
      <c r="C1099" s="107"/>
      <c r="D1099" s="115"/>
      <c r="E1099" s="107"/>
      <c r="F1099" s="211"/>
      <c r="G1099" s="256"/>
      <c r="H1099" s="239"/>
      <c r="I1099" s="108"/>
      <c r="J1099" s="108"/>
      <c r="K1099" s="108"/>
      <c r="L1099" s="108"/>
      <c r="M1099" s="108"/>
      <c r="N1099" s="108"/>
      <c r="O1099" s="108"/>
      <c r="P1099" s="108"/>
      <c r="Q1099" s="108"/>
      <c r="R1099" s="108"/>
      <c r="S1099" s="108"/>
      <c r="T1099" s="108"/>
      <c r="U1099" s="108"/>
      <c r="V1099" s="108"/>
      <c r="W1099" s="108"/>
      <c r="X1099" s="108"/>
      <c r="Y1099" s="108"/>
    </row>
    <row r="1100">
      <c r="A1100" s="244"/>
      <c r="B1100" s="107"/>
      <c r="C1100" s="107"/>
      <c r="D1100" s="115"/>
      <c r="E1100" s="107"/>
      <c r="F1100" s="211"/>
      <c r="G1100" s="256"/>
      <c r="H1100" s="239"/>
      <c r="I1100" s="108"/>
      <c r="J1100" s="108"/>
      <c r="K1100" s="108"/>
      <c r="L1100" s="108"/>
      <c r="M1100" s="108"/>
      <c r="N1100" s="108"/>
      <c r="O1100" s="108"/>
      <c r="P1100" s="108"/>
      <c r="Q1100" s="108"/>
      <c r="R1100" s="108"/>
      <c r="S1100" s="108"/>
      <c r="T1100" s="108"/>
      <c r="U1100" s="108"/>
      <c r="V1100" s="108"/>
      <c r="W1100" s="108"/>
      <c r="X1100" s="108"/>
      <c r="Y1100" s="108"/>
    </row>
    <row r="1101">
      <c r="A1101" s="244"/>
      <c r="B1101" s="107"/>
      <c r="C1101" s="107"/>
      <c r="D1101" s="115"/>
      <c r="E1101" s="107"/>
      <c r="F1101" s="211"/>
      <c r="G1101" s="256"/>
      <c r="H1101" s="239"/>
      <c r="I1101" s="108"/>
      <c r="J1101" s="108"/>
      <c r="K1101" s="108"/>
      <c r="L1101" s="108"/>
      <c r="M1101" s="108"/>
      <c r="N1101" s="108"/>
      <c r="O1101" s="108"/>
      <c r="P1101" s="108"/>
      <c r="Q1101" s="108"/>
      <c r="R1101" s="108"/>
      <c r="S1101" s="108"/>
      <c r="T1101" s="108"/>
      <c r="U1101" s="108"/>
      <c r="V1101" s="108"/>
      <c r="W1101" s="108"/>
      <c r="X1101" s="108"/>
      <c r="Y1101" s="108"/>
    </row>
    <row r="1102">
      <c r="A1102" s="244"/>
      <c r="B1102" s="107"/>
      <c r="C1102" s="107"/>
      <c r="D1102" s="115"/>
      <c r="E1102" s="107"/>
      <c r="F1102" s="211"/>
      <c r="G1102" s="256"/>
      <c r="H1102" s="239"/>
      <c r="I1102" s="108"/>
      <c r="J1102" s="108"/>
      <c r="K1102" s="108"/>
      <c r="L1102" s="108"/>
      <c r="M1102" s="108"/>
      <c r="N1102" s="108"/>
      <c r="O1102" s="108"/>
      <c r="P1102" s="108"/>
      <c r="Q1102" s="108"/>
      <c r="R1102" s="108"/>
      <c r="S1102" s="108"/>
      <c r="T1102" s="108"/>
      <c r="U1102" s="108"/>
      <c r="V1102" s="108"/>
      <c r="W1102" s="108"/>
      <c r="X1102" s="108"/>
      <c r="Y1102" s="108"/>
    </row>
    <row r="1103">
      <c r="A1103" s="244"/>
      <c r="B1103" s="107"/>
      <c r="C1103" s="107"/>
      <c r="D1103" s="115"/>
      <c r="E1103" s="107"/>
      <c r="F1103" s="211"/>
      <c r="G1103" s="256"/>
      <c r="H1103" s="239"/>
      <c r="I1103" s="108"/>
      <c r="J1103" s="108"/>
      <c r="K1103" s="108"/>
      <c r="L1103" s="108"/>
      <c r="M1103" s="108"/>
      <c r="N1103" s="108"/>
      <c r="O1103" s="108"/>
      <c r="P1103" s="108"/>
      <c r="Q1103" s="108"/>
      <c r="R1103" s="108"/>
      <c r="S1103" s="108"/>
      <c r="T1103" s="108"/>
      <c r="U1103" s="108"/>
      <c r="V1103" s="108"/>
      <c r="W1103" s="108"/>
      <c r="X1103" s="108"/>
      <c r="Y1103" s="108"/>
    </row>
    <row r="1104">
      <c r="A1104" s="244"/>
      <c r="B1104" s="107"/>
      <c r="C1104" s="107"/>
      <c r="D1104" s="115"/>
      <c r="E1104" s="107"/>
      <c r="F1104" s="211"/>
      <c r="G1104" s="256"/>
      <c r="H1104" s="239"/>
      <c r="I1104" s="108"/>
      <c r="J1104" s="108"/>
      <c r="K1104" s="108"/>
      <c r="L1104" s="108"/>
      <c r="M1104" s="108"/>
      <c r="N1104" s="108"/>
      <c r="O1104" s="108"/>
      <c r="P1104" s="108"/>
      <c r="Q1104" s="108"/>
      <c r="R1104" s="108"/>
      <c r="S1104" s="108"/>
      <c r="T1104" s="108"/>
      <c r="U1104" s="108"/>
      <c r="V1104" s="108"/>
      <c r="W1104" s="108"/>
      <c r="X1104" s="108"/>
      <c r="Y1104" s="108"/>
    </row>
    <row r="1105">
      <c r="A1105" s="244"/>
      <c r="B1105" s="107"/>
      <c r="C1105" s="107"/>
      <c r="D1105" s="115"/>
      <c r="E1105" s="107"/>
      <c r="F1105" s="211"/>
      <c r="G1105" s="256"/>
      <c r="H1105" s="239"/>
      <c r="I1105" s="108"/>
      <c r="J1105" s="108"/>
      <c r="K1105" s="108"/>
      <c r="L1105" s="108"/>
      <c r="M1105" s="108"/>
      <c r="N1105" s="108"/>
      <c r="O1105" s="108"/>
      <c r="P1105" s="108"/>
      <c r="Q1105" s="108"/>
      <c r="R1105" s="108"/>
      <c r="S1105" s="108"/>
      <c r="T1105" s="108"/>
      <c r="U1105" s="108"/>
      <c r="V1105" s="108"/>
      <c r="W1105" s="108"/>
      <c r="X1105" s="108"/>
      <c r="Y1105" s="108"/>
    </row>
    <row r="1106">
      <c r="A1106" s="244"/>
      <c r="B1106" s="107"/>
      <c r="C1106" s="107"/>
      <c r="D1106" s="115"/>
      <c r="E1106" s="107"/>
      <c r="F1106" s="211"/>
      <c r="G1106" s="256"/>
      <c r="H1106" s="239"/>
      <c r="I1106" s="108"/>
      <c r="J1106" s="108"/>
      <c r="K1106" s="108"/>
      <c r="L1106" s="108"/>
      <c r="M1106" s="108"/>
      <c r="N1106" s="108"/>
      <c r="O1106" s="108"/>
      <c r="P1106" s="108"/>
      <c r="Q1106" s="108"/>
      <c r="R1106" s="108"/>
      <c r="S1106" s="108"/>
      <c r="T1106" s="108"/>
      <c r="U1106" s="108"/>
      <c r="V1106" s="108"/>
      <c r="W1106" s="108"/>
      <c r="X1106" s="108"/>
      <c r="Y1106" s="108"/>
    </row>
    <row r="1107">
      <c r="A1107" s="244"/>
      <c r="B1107" s="107"/>
      <c r="C1107" s="107"/>
      <c r="D1107" s="115"/>
      <c r="E1107" s="107"/>
      <c r="F1107" s="211"/>
      <c r="G1107" s="256"/>
      <c r="H1107" s="239"/>
      <c r="I1107" s="108"/>
      <c r="J1107" s="108"/>
      <c r="K1107" s="108"/>
      <c r="L1107" s="108"/>
      <c r="M1107" s="108"/>
      <c r="N1107" s="108"/>
      <c r="O1107" s="108"/>
      <c r="P1107" s="108"/>
      <c r="Q1107" s="108"/>
      <c r="R1107" s="108"/>
      <c r="S1107" s="108"/>
      <c r="T1107" s="108"/>
      <c r="U1107" s="108"/>
      <c r="V1107" s="108"/>
      <c r="W1107" s="108"/>
      <c r="X1107" s="108"/>
      <c r="Y1107" s="108"/>
    </row>
    <row r="1108">
      <c r="A1108" s="244"/>
      <c r="B1108" s="107"/>
      <c r="C1108" s="107"/>
      <c r="D1108" s="115"/>
      <c r="E1108" s="107"/>
      <c r="F1108" s="211"/>
      <c r="G1108" s="256"/>
      <c r="H1108" s="239"/>
      <c r="I1108" s="108"/>
      <c r="J1108" s="108"/>
      <c r="K1108" s="108"/>
      <c r="L1108" s="108"/>
      <c r="M1108" s="108"/>
      <c r="N1108" s="108"/>
      <c r="O1108" s="108"/>
      <c r="P1108" s="108"/>
      <c r="Q1108" s="108"/>
      <c r="R1108" s="108"/>
      <c r="S1108" s="108"/>
      <c r="T1108" s="108"/>
      <c r="U1108" s="108"/>
      <c r="V1108" s="108"/>
      <c r="W1108" s="108"/>
      <c r="X1108" s="108"/>
      <c r="Y1108" s="108"/>
    </row>
    <row r="1109">
      <c r="A1109" s="244"/>
      <c r="B1109" s="107"/>
      <c r="C1109" s="107"/>
      <c r="D1109" s="115"/>
      <c r="E1109" s="107"/>
      <c r="F1109" s="211"/>
      <c r="G1109" s="256"/>
      <c r="H1109" s="239"/>
      <c r="I1109" s="108"/>
      <c r="J1109" s="108"/>
      <c r="K1109" s="108"/>
      <c r="L1109" s="108"/>
      <c r="M1109" s="108"/>
      <c r="N1109" s="108"/>
      <c r="O1109" s="108"/>
      <c r="P1109" s="108"/>
      <c r="Q1109" s="108"/>
      <c r="R1109" s="108"/>
      <c r="S1109" s="108"/>
      <c r="T1109" s="108"/>
      <c r="U1109" s="108"/>
      <c r="V1109" s="108"/>
      <c r="W1109" s="108"/>
      <c r="X1109" s="108"/>
      <c r="Y1109" s="108"/>
    </row>
    <row r="1110">
      <c r="A1110" s="244"/>
      <c r="B1110" s="107"/>
      <c r="C1110" s="107"/>
      <c r="D1110" s="115"/>
      <c r="E1110" s="107"/>
      <c r="F1110" s="211"/>
      <c r="G1110" s="256"/>
      <c r="H1110" s="239"/>
      <c r="I1110" s="108"/>
      <c r="J1110" s="108"/>
      <c r="K1110" s="108"/>
      <c r="L1110" s="108"/>
      <c r="M1110" s="108"/>
      <c r="N1110" s="108"/>
      <c r="O1110" s="108"/>
      <c r="P1110" s="108"/>
      <c r="Q1110" s="108"/>
      <c r="R1110" s="108"/>
      <c r="S1110" s="108"/>
      <c r="T1110" s="108"/>
      <c r="U1110" s="108"/>
      <c r="V1110" s="108"/>
      <c r="W1110" s="108"/>
      <c r="X1110" s="108"/>
      <c r="Y1110" s="108"/>
    </row>
    <row r="1111">
      <c r="A1111" s="244"/>
      <c r="B1111" s="107"/>
      <c r="C1111" s="107"/>
      <c r="D1111" s="115"/>
      <c r="E1111" s="107"/>
      <c r="F1111" s="211"/>
      <c r="G1111" s="256"/>
      <c r="H1111" s="239"/>
      <c r="I1111" s="108"/>
      <c r="J1111" s="108"/>
      <c r="K1111" s="108"/>
      <c r="L1111" s="108"/>
      <c r="M1111" s="108"/>
      <c r="N1111" s="108"/>
      <c r="O1111" s="108"/>
      <c r="P1111" s="108"/>
      <c r="Q1111" s="108"/>
      <c r="R1111" s="108"/>
      <c r="S1111" s="108"/>
      <c r="T1111" s="108"/>
      <c r="U1111" s="108"/>
      <c r="V1111" s="108"/>
      <c r="W1111" s="108"/>
      <c r="X1111" s="108"/>
      <c r="Y1111" s="108"/>
    </row>
    <row r="1112">
      <c r="A1112" s="244"/>
      <c r="B1112" s="107"/>
      <c r="C1112" s="107"/>
      <c r="D1112" s="115"/>
      <c r="E1112" s="107"/>
      <c r="F1112" s="211"/>
      <c r="G1112" s="256"/>
      <c r="H1112" s="239"/>
      <c r="I1112" s="108"/>
      <c r="J1112" s="108"/>
      <c r="K1112" s="108"/>
      <c r="L1112" s="108"/>
      <c r="M1112" s="108"/>
      <c r="N1112" s="108"/>
      <c r="O1112" s="108"/>
      <c r="P1112" s="108"/>
      <c r="Q1112" s="108"/>
      <c r="R1112" s="108"/>
      <c r="S1112" s="108"/>
      <c r="T1112" s="108"/>
      <c r="U1112" s="108"/>
      <c r="V1112" s="108"/>
      <c r="W1112" s="108"/>
      <c r="X1112" s="108"/>
      <c r="Y1112" s="108"/>
    </row>
    <row r="1113">
      <c r="A1113" s="244"/>
      <c r="B1113" s="107"/>
      <c r="C1113" s="107"/>
      <c r="D1113" s="115"/>
      <c r="E1113" s="107"/>
      <c r="F1113" s="211"/>
      <c r="G1113" s="256"/>
      <c r="H1113" s="239"/>
      <c r="I1113" s="108"/>
      <c r="J1113" s="108"/>
      <c r="K1113" s="108"/>
      <c r="L1113" s="108"/>
      <c r="M1113" s="108"/>
      <c r="N1113" s="108"/>
      <c r="O1113" s="108"/>
      <c r="P1113" s="108"/>
      <c r="Q1113" s="108"/>
      <c r="R1113" s="108"/>
      <c r="S1113" s="108"/>
      <c r="T1113" s="108"/>
      <c r="U1113" s="108"/>
      <c r="V1113" s="108"/>
      <c r="W1113" s="108"/>
      <c r="X1113" s="108"/>
      <c r="Y1113" s="108"/>
    </row>
    <row r="1114">
      <c r="A1114" s="244"/>
      <c r="B1114" s="107"/>
      <c r="C1114" s="107"/>
      <c r="D1114" s="115"/>
      <c r="E1114" s="107"/>
      <c r="F1114" s="211"/>
      <c r="G1114" s="256"/>
      <c r="H1114" s="239"/>
      <c r="I1114" s="108"/>
      <c r="J1114" s="108"/>
      <c r="K1114" s="108"/>
      <c r="L1114" s="108"/>
      <c r="M1114" s="108"/>
      <c r="N1114" s="108"/>
      <c r="O1114" s="108"/>
      <c r="P1114" s="108"/>
      <c r="Q1114" s="108"/>
      <c r="R1114" s="108"/>
      <c r="S1114" s="108"/>
      <c r="T1114" s="108"/>
      <c r="U1114" s="108"/>
      <c r="V1114" s="108"/>
      <c r="W1114" s="108"/>
      <c r="X1114" s="108"/>
      <c r="Y1114" s="108"/>
    </row>
    <row r="1115">
      <c r="A1115" s="244"/>
      <c r="B1115" s="107"/>
      <c r="C1115" s="107"/>
      <c r="D1115" s="115"/>
      <c r="E1115" s="107"/>
      <c r="F1115" s="211"/>
      <c r="G1115" s="256"/>
      <c r="H1115" s="239"/>
      <c r="I1115" s="108"/>
      <c r="J1115" s="108"/>
      <c r="K1115" s="108"/>
      <c r="L1115" s="108"/>
      <c r="M1115" s="108"/>
      <c r="N1115" s="108"/>
      <c r="O1115" s="108"/>
      <c r="P1115" s="108"/>
      <c r="Q1115" s="108"/>
      <c r="R1115" s="108"/>
      <c r="S1115" s="108"/>
      <c r="T1115" s="108"/>
      <c r="U1115" s="108"/>
      <c r="V1115" s="108"/>
      <c r="W1115" s="108"/>
      <c r="X1115" s="108"/>
      <c r="Y1115" s="108"/>
    </row>
    <row r="1116">
      <c r="A1116" s="244"/>
      <c r="B1116" s="107"/>
      <c r="C1116" s="107"/>
      <c r="D1116" s="115"/>
      <c r="E1116" s="107"/>
      <c r="F1116" s="211"/>
      <c r="G1116" s="256"/>
      <c r="H1116" s="239"/>
      <c r="I1116" s="108"/>
      <c r="J1116" s="108"/>
      <c r="K1116" s="108"/>
      <c r="L1116" s="108"/>
      <c r="M1116" s="108"/>
      <c r="N1116" s="108"/>
      <c r="O1116" s="108"/>
      <c r="P1116" s="108"/>
      <c r="Q1116" s="108"/>
      <c r="R1116" s="108"/>
      <c r="S1116" s="108"/>
      <c r="T1116" s="108"/>
      <c r="U1116" s="108"/>
      <c r="V1116" s="108"/>
      <c r="W1116" s="108"/>
      <c r="X1116" s="108"/>
      <c r="Y1116" s="108"/>
    </row>
    <row r="1117">
      <c r="A1117" s="244"/>
      <c r="B1117" s="107"/>
      <c r="C1117" s="107"/>
      <c r="D1117" s="115"/>
      <c r="E1117" s="107"/>
      <c r="F1117" s="211"/>
      <c r="G1117" s="256"/>
      <c r="H1117" s="239"/>
      <c r="I1117" s="108"/>
      <c r="J1117" s="108"/>
      <c r="K1117" s="108"/>
      <c r="L1117" s="108"/>
      <c r="M1117" s="108"/>
      <c r="N1117" s="108"/>
      <c r="O1117" s="108"/>
      <c r="P1117" s="108"/>
      <c r="Q1117" s="108"/>
      <c r="R1117" s="108"/>
      <c r="S1117" s="108"/>
      <c r="T1117" s="108"/>
      <c r="U1117" s="108"/>
      <c r="V1117" s="108"/>
      <c r="W1117" s="108"/>
      <c r="X1117" s="108"/>
      <c r="Y1117" s="108"/>
    </row>
    <row r="1118">
      <c r="A1118" s="244"/>
      <c r="B1118" s="107"/>
      <c r="C1118" s="107"/>
      <c r="D1118" s="115"/>
      <c r="E1118" s="107"/>
      <c r="F1118" s="211"/>
      <c r="G1118" s="256"/>
      <c r="H1118" s="239"/>
      <c r="I1118" s="108"/>
      <c r="J1118" s="108"/>
      <c r="K1118" s="108"/>
      <c r="L1118" s="108"/>
      <c r="M1118" s="108"/>
      <c r="N1118" s="108"/>
      <c r="O1118" s="108"/>
      <c r="P1118" s="108"/>
      <c r="Q1118" s="108"/>
      <c r="R1118" s="108"/>
      <c r="S1118" s="108"/>
      <c r="T1118" s="108"/>
      <c r="U1118" s="108"/>
      <c r="V1118" s="108"/>
      <c r="W1118" s="108"/>
      <c r="X1118" s="108"/>
      <c r="Y1118" s="108"/>
    </row>
    <row r="1119">
      <c r="A1119" s="244"/>
      <c r="B1119" s="107"/>
      <c r="C1119" s="107"/>
      <c r="D1119" s="115"/>
      <c r="E1119" s="107"/>
      <c r="F1119" s="211"/>
      <c r="G1119" s="256"/>
      <c r="H1119" s="239"/>
      <c r="I1119" s="108"/>
      <c r="J1119" s="108"/>
      <c r="K1119" s="108"/>
      <c r="L1119" s="108"/>
      <c r="M1119" s="108"/>
      <c r="N1119" s="108"/>
      <c r="O1119" s="108"/>
      <c r="P1119" s="108"/>
      <c r="Q1119" s="108"/>
      <c r="R1119" s="108"/>
      <c r="S1119" s="108"/>
      <c r="T1119" s="108"/>
      <c r="U1119" s="108"/>
      <c r="V1119" s="108"/>
      <c r="W1119" s="108"/>
      <c r="X1119" s="108"/>
      <c r="Y1119" s="108"/>
    </row>
    <row r="1120">
      <c r="A1120" s="244"/>
      <c r="B1120" s="107"/>
      <c r="C1120" s="107"/>
      <c r="D1120" s="115"/>
      <c r="E1120" s="107"/>
      <c r="F1120" s="211"/>
      <c r="G1120" s="256"/>
      <c r="H1120" s="239"/>
      <c r="I1120" s="108"/>
      <c r="J1120" s="108"/>
      <c r="K1120" s="108"/>
      <c r="L1120" s="108"/>
      <c r="M1120" s="108"/>
      <c r="N1120" s="108"/>
      <c r="O1120" s="108"/>
      <c r="P1120" s="108"/>
      <c r="Q1120" s="108"/>
      <c r="R1120" s="108"/>
      <c r="S1120" s="108"/>
      <c r="T1120" s="108"/>
      <c r="U1120" s="108"/>
      <c r="V1120" s="108"/>
      <c r="W1120" s="108"/>
      <c r="X1120" s="108"/>
      <c r="Y1120" s="108"/>
    </row>
    <row r="1121">
      <c r="A1121" s="244"/>
      <c r="B1121" s="107"/>
      <c r="C1121" s="107"/>
      <c r="D1121" s="115"/>
      <c r="E1121" s="107"/>
      <c r="F1121" s="211"/>
      <c r="G1121" s="256"/>
      <c r="H1121" s="239"/>
      <c r="I1121" s="108"/>
      <c r="J1121" s="108"/>
      <c r="K1121" s="108"/>
      <c r="L1121" s="108"/>
      <c r="M1121" s="108"/>
      <c r="N1121" s="108"/>
      <c r="O1121" s="108"/>
      <c r="P1121" s="108"/>
      <c r="Q1121" s="108"/>
      <c r="R1121" s="108"/>
      <c r="S1121" s="108"/>
      <c r="T1121" s="108"/>
      <c r="U1121" s="108"/>
      <c r="V1121" s="108"/>
      <c r="W1121" s="108"/>
      <c r="X1121" s="108"/>
      <c r="Y1121" s="108"/>
    </row>
    <row r="1122">
      <c r="A1122" s="244"/>
      <c r="B1122" s="107"/>
      <c r="C1122" s="107"/>
      <c r="D1122" s="115"/>
      <c r="E1122" s="107"/>
      <c r="F1122" s="211"/>
      <c r="G1122" s="256"/>
      <c r="H1122" s="239"/>
      <c r="I1122" s="108"/>
      <c r="J1122" s="108"/>
      <c r="K1122" s="108"/>
      <c r="L1122" s="108"/>
      <c r="M1122" s="108"/>
      <c r="N1122" s="108"/>
      <c r="O1122" s="108"/>
      <c r="P1122" s="108"/>
      <c r="Q1122" s="108"/>
      <c r="R1122" s="108"/>
      <c r="S1122" s="108"/>
      <c r="T1122" s="108"/>
      <c r="U1122" s="108"/>
      <c r="V1122" s="108"/>
      <c r="W1122" s="108"/>
      <c r="X1122" s="108"/>
      <c r="Y1122" s="108"/>
    </row>
    <row r="1123">
      <c r="A1123" s="244"/>
      <c r="B1123" s="107"/>
      <c r="C1123" s="107"/>
      <c r="D1123" s="115"/>
      <c r="E1123" s="107"/>
      <c r="F1123" s="211"/>
      <c r="G1123" s="256"/>
      <c r="H1123" s="239"/>
      <c r="I1123" s="108"/>
      <c r="J1123" s="108"/>
      <c r="K1123" s="108"/>
      <c r="L1123" s="108"/>
      <c r="M1123" s="108"/>
      <c r="N1123" s="108"/>
      <c r="O1123" s="108"/>
      <c r="P1123" s="108"/>
      <c r="Q1123" s="108"/>
      <c r="R1123" s="108"/>
      <c r="S1123" s="108"/>
      <c r="T1123" s="108"/>
      <c r="U1123" s="108"/>
      <c r="V1123" s="108"/>
      <c r="W1123" s="108"/>
      <c r="X1123" s="108"/>
      <c r="Y1123" s="108"/>
    </row>
    <row r="1124">
      <c r="A1124" s="244"/>
      <c r="B1124" s="107"/>
      <c r="C1124" s="107"/>
      <c r="D1124" s="115"/>
      <c r="E1124" s="107"/>
      <c r="F1124" s="211"/>
      <c r="G1124" s="256"/>
      <c r="H1124" s="239"/>
      <c r="I1124" s="108"/>
      <c r="J1124" s="108"/>
      <c r="K1124" s="108"/>
      <c r="L1124" s="108"/>
      <c r="M1124" s="108"/>
      <c r="N1124" s="108"/>
      <c r="O1124" s="108"/>
      <c r="P1124" s="108"/>
      <c r="Q1124" s="108"/>
      <c r="R1124" s="108"/>
      <c r="S1124" s="108"/>
      <c r="T1124" s="108"/>
      <c r="U1124" s="108"/>
      <c r="V1124" s="108"/>
      <c r="W1124" s="108"/>
      <c r="X1124" s="108"/>
      <c r="Y1124" s="108"/>
    </row>
    <row r="1125">
      <c r="A1125" s="244"/>
      <c r="B1125" s="107"/>
      <c r="C1125" s="107"/>
      <c r="D1125" s="115"/>
      <c r="E1125" s="107"/>
      <c r="F1125" s="211"/>
      <c r="G1125" s="256"/>
      <c r="H1125" s="239"/>
      <c r="I1125" s="108"/>
      <c r="J1125" s="108"/>
      <c r="K1125" s="108"/>
      <c r="L1125" s="108"/>
      <c r="M1125" s="108"/>
      <c r="N1125" s="108"/>
      <c r="O1125" s="108"/>
      <c r="P1125" s="108"/>
      <c r="Q1125" s="108"/>
      <c r="R1125" s="108"/>
      <c r="S1125" s="108"/>
      <c r="T1125" s="108"/>
      <c r="U1125" s="108"/>
      <c r="V1125" s="108"/>
      <c r="W1125" s="108"/>
      <c r="X1125" s="108"/>
      <c r="Y1125" s="108"/>
    </row>
    <row r="1126">
      <c r="A1126" s="244"/>
      <c r="B1126" s="107"/>
      <c r="C1126" s="107"/>
      <c r="D1126" s="115"/>
      <c r="E1126" s="107"/>
      <c r="F1126" s="211"/>
      <c r="G1126" s="256"/>
      <c r="H1126" s="239"/>
      <c r="I1126" s="108"/>
      <c r="J1126" s="108"/>
      <c r="K1126" s="108"/>
      <c r="L1126" s="108"/>
      <c r="M1126" s="108"/>
      <c r="N1126" s="108"/>
      <c r="O1126" s="108"/>
      <c r="P1126" s="108"/>
      <c r="Q1126" s="108"/>
      <c r="R1126" s="108"/>
      <c r="S1126" s="108"/>
      <c r="T1126" s="108"/>
      <c r="U1126" s="108"/>
      <c r="V1126" s="108"/>
      <c r="W1126" s="108"/>
      <c r="X1126" s="108"/>
      <c r="Y1126" s="108"/>
    </row>
    <row r="1127">
      <c r="A1127" s="244"/>
      <c r="B1127" s="107"/>
      <c r="C1127" s="107"/>
      <c r="D1127" s="115"/>
      <c r="E1127" s="107"/>
      <c r="F1127" s="211"/>
      <c r="G1127" s="256"/>
      <c r="H1127" s="239"/>
      <c r="I1127" s="108"/>
      <c r="J1127" s="108"/>
      <c r="K1127" s="108"/>
      <c r="L1127" s="108"/>
      <c r="M1127" s="108"/>
      <c r="N1127" s="108"/>
      <c r="O1127" s="108"/>
      <c r="P1127" s="108"/>
      <c r="Q1127" s="108"/>
      <c r="R1127" s="108"/>
      <c r="S1127" s="108"/>
      <c r="T1127" s="108"/>
      <c r="U1127" s="108"/>
      <c r="V1127" s="108"/>
      <c r="W1127" s="108"/>
      <c r="X1127" s="108"/>
      <c r="Y1127" s="108"/>
    </row>
    <row r="1128">
      <c r="A1128" s="244"/>
      <c r="B1128" s="107"/>
      <c r="C1128" s="107"/>
      <c r="D1128" s="115"/>
      <c r="E1128" s="107"/>
      <c r="F1128" s="211"/>
      <c r="G1128" s="256"/>
      <c r="H1128" s="239"/>
      <c r="I1128" s="108"/>
      <c r="J1128" s="108"/>
      <c r="K1128" s="108"/>
      <c r="L1128" s="108"/>
      <c r="M1128" s="108"/>
      <c r="N1128" s="108"/>
      <c r="O1128" s="108"/>
      <c r="P1128" s="108"/>
      <c r="Q1128" s="108"/>
      <c r="R1128" s="108"/>
      <c r="S1128" s="108"/>
      <c r="T1128" s="108"/>
      <c r="U1128" s="108"/>
      <c r="V1128" s="108"/>
      <c r="W1128" s="108"/>
      <c r="X1128" s="108"/>
      <c r="Y1128" s="108"/>
    </row>
    <row r="1129">
      <c r="A1129" s="244"/>
      <c r="B1129" s="107"/>
      <c r="C1129" s="107"/>
      <c r="D1129" s="115"/>
      <c r="E1129" s="107"/>
      <c r="F1129" s="211"/>
      <c r="G1129" s="256"/>
      <c r="H1129" s="239"/>
      <c r="I1129" s="108"/>
      <c r="J1129" s="108"/>
      <c r="K1129" s="108"/>
      <c r="L1129" s="108"/>
      <c r="M1129" s="108"/>
      <c r="N1129" s="108"/>
      <c r="O1129" s="108"/>
      <c r="P1129" s="108"/>
      <c r="Q1129" s="108"/>
      <c r="R1129" s="108"/>
      <c r="S1129" s="108"/>
      <c r="T1129" s="108"/>
      <c r="U1129" s="108"/>
      <c r="V1129" s="108"/>
      <c r="W1129" s="108"/>
      <c r="X1129" s="108"/>
      <c r="Y1129" s="108"/>
    </row>
    <row r="1130">
      <c r="A1130" s="244"/>
      <c r="B1130" s="107"/>
      <c r="C1130" s="107"/>
      <c r="D1130" s="115"/>
      <c r="E1130" s="107"/>
      <c r="F1130" s="211"/>
      <c r="G1130" s="256"/>
      <c r="H1130" s="239"/>
      <c r="I1130" s="108"/>
      <c r="J1130" s="108"/>
      <c r="K1130" s="108"/>
      <c r="L1130" s="108"/>
      <c r="M1130" s="108"/>
      <c r="N1130" s="108"/>
      <c r="O1130" s="108"/>
      <c r="P1130" s="108"/>
      <c r="Q1130" s="108"/>
      <c r="R1130" s="108"/>
      <c r="S1130" s="108"/>
      <c r="T1130" s="108"/>
      <c r="U1130" s="108"/>
      <c r="V1130" s="108"/>
      <c r="W1130" s="108"/>
      <c r="X1130" s="108"/>
      <c r="Y1130" s="108"/>
    </row>
    <row r="1131">
      <c r="A1131" s="244"/>
      <c r="B1131" s="107"/>
      <c r="C1131" s="107"/>
      <c r="D1131" s="115"/>
      <c r="E1131" s="107"/>
      <c r="F1131" s="211"/>
      <c r="G1131" s="256"/>
      <c r="H1131" s="239"/>
      <c r="I1131" s="108"/>
      <c r="J1131" s="108"/>
      <c r="K1131" s="108"/>
      <c r="L1131" s="108"/>
      <c r="M1131" s="108"/>
      <c r="N1131" s="108"/>
      <c r="O1131" s="108"/>
      <c r="P1131" s="108"/>
      <c r="Q1131" s="108"/>
      <c r="R1131" s="108"/>
      <c r="S1131" s="108"/>
      <c r="T1131" s="108"/>
      <c r="U1131" s="108"/>
      <c r="V1131" s="108"/>
      <c r="W1131" s="108"/>
      <c r="X1131" s="108"/>
      <c r="Y1131" s="108"/>
    </row>
    <row r="1132">
      <c r="A1132" s="244"/>
      <c r="B1132" s="107"/>
      <c r="C1132" s="107"/>
      <c r="D1132" s="115"/>
      <c r="E1132" s="107"/>
      <c r="F1132" s="211"/>
      <c r="G1132" s="256"/>
      <c r="H1132" s="239"/>
      <c r="I1132" s="108"/>
      <c r="J1132" s="108"/>
      <c r="K1132" s="108"/>
      <c r="L1132" s="108"/>
      <c r="M1132" s="108"/>
      <c r="N1132" s="108"/>
      <c r="O1132" s="108"/>
      <c r="P1132" s="108"/>
      <c r="Q1132" s="108"/>
      <c r="R1132" s="108"/>
      <c r="S1132" s="108"/>
      <c r="T1132" s="108"/>
      <c r="U1132" s="108"/>
      <c r="V1132" s="108"/>
      <c r="W1132" s="108"/>
      <c r="X1132" s="108"/>
      <c r="Y1132" s="108"/>
    </row>
    <row r="1133">
      <c r="A1133" s="244"/>
      <c r="B1133" s="107"/>
      <c r="C1133" s="107"/>
      <c r="D1133" s="115"/>
      <c r="E1133" s="107"/>
      <c r="F1133" s="211"/>
      <c r="G1133" s="256"/>
      <c r="H1133" s="239"/>
      <c r="I1133" s="108"/>
      <c r="J1133" s="108"/>
      <c r="K1133" s="108"/>
      <c r="L1133" s="108"/>
      <c r="M1133" s="108"/>
      <c r="N1133" s="108"/>
      <c r="O1133" s="108"/>
      <c r="P1133" s="108"/>
      <c r="Q1133" s="108"/>
      <c r="R1133" s="108"/>
      <c r="S1133" s="108"/>
      <c r="T1133" s="108"/>
      <c r="U1133" s="108"/>
      <c r="V1133" s="108"/>
      <c r="W1133" s="108"/>
      <c r="X1133" s="108"/>
      <c r="Y1133" s="108"/>
    </row>
    <row r="1134">
      <c r="A1134" s="244"/>
      <c r="B1134" s="107"/>
      <c r="C1134" s="107"/>
      <c r="D1134" s="115"/>
      <c r="E1134" s="107"/>
      <c r="F1134" s="211"/>
      <c r="G1134" s="256"/>
      <c r="H1134" s="239"/>
      <c r="I1134" s="108"/>
      <c r="J1134" s="108"/>
      <c r="K1134" s="108"/>
      <c r="L1134" s="108"/>
      <c r="M1134" s="108"/>
      <c r="N1134" s="108"/>
      <c r="O1134" s="108"/>
      <c r="P1134" s="108"/>
      <c r="Q1134" s="108"/>
      <c r="R1134" s="108"/>
      <c r="S1134" s="108"/>
      <c r="T1134" s="108"/>
      <c r="U1134" s="108"/>
      <c r="V1134" s="108"/>
      <c r="W1134" s="108"/>
      <c r="X1134" s="108"/>
      <c r="Y1134" s="108"/>
    </row>
    <row r="1135">
      <c r="A1135" s="244"/>
      <c r="B1135" s="107"/>
      <c r="C1135" s="107"/>
      <c r="D1135" s="115"/>
      <c r="E1135" s="107"/>
      <c r="F1135" s="211"/>
      <c r="G1135" s="256"/>
      <c r="H1135" s="239"/>
      <c r="I1135" s="108"/>
      <c r="J1135" s="108"/>
      <c r="K1135" s="108"/>
      <c r="L1135" s="108"/>
      <c r="M1135" s="108"/>
      <c r="N1135" s="108"/>
      <c r="O1135" s="108"/>
      <c r="P1135" s="108"/>
      <c r="Q1135" s="108"/>
      <c r="R1135" s="108"/>
      <c r="S1135" s="108"/>
      <c r="T1135" s="108"/>
      <c r="U1135" s="108"/>
      <c r="V1135" s="108"/>
      <c r="W1135" s="108"/>
      <c r="X1135" s="108"/>
      <c r="Y1135" s="108"/>
    </row>
    <row r="1136">
      <c r="A1136" s="244"/>
      <c r="B1136" s="107"/>
      <c r="C1136" s="107"/>
      <c r="D1136" s="115"/>
      <c r="E1136" s="107"/>
      <c r="F1136" s="211"/>
      <c r="G1136" s="256"/>
      <c r="H1136" s="239"/>
      <c r="I1136" s="108"/>
      <c r="J1136" s="108"/>
      <c r="K1136" s="108"/>
      <c r="L1136" s="108"/>
      <c r="M1136" s="108"/>
      <c r="N1136" s="108"/>
      <c r="O1136" s="108"/>
      <c r="P1136" s="108"/>
      <c r="Q1136" s="108"/>
      <c r="R1136" s="108"/>
      <c r="S1136" s="108"/>
      <c r="T1136" s="108"/>
      <c r="U1136" s="108"/>
      <c r="V1136" s="108"/>
      <c r="W1136" s="108"/>
      <c r="X1136" s="108"/>
      <c r="Y1136" s="108"/>
    </row>
    <row r="1137">
      <c r="A1137" s="244"/>
      <c r="B1137" s="107"/>
      <c r="C1137" s="107"/>
      <c r="D1137" s="115"/>
      <c r="E1137" s="107"/>
      <c r="F1137" s="211"/>
      <c r="G1137" s="256"/>
      <c r="H1137" s="239"/>
      <c r="I1137" s="108"/>
      <c r="J1137" s="108"/>
      <c r="K1137" s="108"/>
      <c r="L1137" s="108"/>
      <c r="M1137" s="108"/>
      <c r="N1137" s="108"/>
      <c r="O1137" s="108"/>
      <c r="P1137" s="108"/>
      <c r="Q1137" s="108"/>
      <c r="R1137" s="108"/>
      <c r="S1137" s="108"/>
      <c r="T1137" s="108"/>
      <c r="U1137" s="108"/>
      <c r="V1137" s="108"/>
      <c r="W1137" s="108"/>
      <c r="X1137" s="108"/>
      <c r="Y1137" s="108"/>
    </row>
    <row r="1138">
      <c r="A1138" s="244"/>
      <c r="B1138" s="107"/>
      <c r="C1138" s="107"/>
      <c r="D1138" s="115"/>
      <c r="E1138" s="107"/>
      <c r="F1138" s="211"/>
      <c r="G1138" s="256"/>
      <c r="H1138" s="239"/>
      <c r="I1138" s="108"/>
      <c r="J1138" s="108"/>
      <c r="K1138" s="108"/>
      <c r="L1138" s="108"/>
      <c r="M1138" s="108"/>
      <c r="N1138" s="108"/>
      <c r="O1138" s="108"/>
      <c r="P1138" s="108"/>
      <c r="Q1138" s="108"/>
      <c r="R1138" s="108"/>
      <c r="S1138" s="108"/>
      <c r="T1138" s="108"/>
      <c r="U1138" s="108"/>
      <c r="V1138" s="108"/>
      <c r="W1138" s="108"/>
      <c r="X1138" s="108"/>
      <c r="Y1138" s="108"/>
    </row>
    <row r="1139">
      <c r="A1139" s="244"/>
      <c r="B1139" s="107"/>
      <c r="C1139" s="107"/>
      <c r="D1139" s="115"/>
      <c r="E1139" s="107"/>
      <c r="F1139" s="211"/>
      <c r="G1139" s="256"/>
      <c r="H1139" s="239"/>
      <c r="I1139" s="108"/>
      <c r="J1139" s="108"/>
      <c r="K1139" s="108"/>
      <c r="L1139" s="108"/>
      <c r="M1139" s="108"/>
      <c r="N1139" s="108"/>
      <c r="O1139" s="108"/>
      <c r="P1139" s="108"/>
      <c r="Q1139" s="108"/>
      <c r="R1139" s="108"/>
      <c r="S1139" s="108"/>
      <c r="T1139" s="108"/>
      <c r="U1139" s="108"/>
      <c r="V1139" s="108"/>
      <c r="W1139" s="108"/>
      <c r="X1139" s="108"/>
      <c r="Y1139" s="108"/>
    </row>
    <row r="1140">
      <c r="A1140" s="244"/>
      <c r="B1140" s="107"/>
      <c r="C1140" s="107"/>
      <c r="D1140" s="115"/>
      <c r="E1140" s="107"/>
      <c r="F1140" s="211"/>
      <c r="G1140" s="256"/>
      <c r="H1140" s="239"/>
      <c r="I1140" s="108"/>
      <c r="J1140" s="108"/>
      <c r="K1140" s="108"/>
      <c r="L1140" s="108"/>
      <c r="M1140" s="108"/>
      <c r="N1140" s="108"/>
      <c r="O1140" s="108"/>
      <c r="P1140" s="108"/>
      <c r="Q1140" s="108"/>
      <c r="R1140" s="108"/>
      <c r="S1140" s="108"/>
      <c r="T1140" s="108"/>
      <c r="U1140" s="108"/>
      <c r="V1140" s="108"/>
      <c r="W1140" s="108"/>
      <c r="X1140" s="108"/>
      <c r="Y1140" s="108"/>
    </row>
    <row r="1141">
      <c r="A1141" s="244"/>
      <c r="B1141" s="107"/>
      <c r="C1141" s="107"/>
      <c r="D1141" s="115"/>
      <c r="E1141" s="107"/>
      <c r="F1141" s="211"/>
      <c r="G1141" s="256"/>
      <c r="H1141" s="239"/>
      <c r="I1141" s="108"/>
      <c r="J1141" s="108"/>
      <c r="K1141" s="108"/>
      <c r="L1141" s="108"/>
      <c r="M1141" s="108"/>
      <c r="N1141" s="108"/>
      <c r="O1141" s="108"/>
      <c r="P1141" s="108"/>
      <c r="Q1141" s="108"/>
      <c r="R1141" s="108"/>
      <c r="S1141" s="108"/>
      <c r="T1141" s="108"/>
      <c r="U1141" s="108"/>
      <c r="V1141" s="108"/>
      <c r="W1141" s="108"/>
      <c r="X1141" s="108"/>
      <c r="Y1141" s="108"/>
    </row>
    <row r="1142">
      <c r="A1142" s="244"/>
      <c r="B1142" s="107"/>
      <c r="C1142" s="107"/>
      <c r="D1142" s="115"/>
      <c r="E1142" s="107"/>
      <c r="F1142" s="211"/>
      <c r="G1142" s="256"/>
      <c r="H1142" s="239"/>
      <c r="I1142" s="108"/>
      <c r="J1142" s="108"/>
      <c r="K1142" s="108"/>
      <c r="L1142" s="108"/>
      <c r="M1142" s="108"/>
      <c r="N1142" s="108"/>
      <c r="O1142" s="108"/>
      <c r="P1142" s="108"/>
      <c r="Q1142" s="108"/>
      <c r="R1142" s="108"/>
      <c r="S1142" s="108"/>
      <c r="T1142" s="108"/>
      <c r="U1142" s="108"/>
      <c r="V1142" s="108"/>
      <c r="W1142" s="108"/>
      <c r="X1142" s="108"/>
      <c r="Y1142" s="108"/>
    </row>
    <row r="1143">
      <c r="A1143" s="244"/>
      <c r="B1143" s="107"/>
      <c r="C1143" s="107"/>
      <c r="D1143" s="115"/>
      <c r="E1143" s="107"/>
      <c r="F1143" s="211"/>
      <c r="G1143" s="256"/>
      <c r="H1143" s="239"/>
      <c r="I1143" s="108"/>
      <c r="J1143" s="108"/>
      <c r="K1143" s="108"/>
      <c r="L1143" s="108"/>
      <c r="M1143" s="108"/>
      <c r="N1143" s="108"/>
      <c r="O1143" s="108"/>
      <c r="P1143" s="108"/>
      <c r="Q1143" s="108"/>
      <c r="R1143" s="108"/>
      <c r="S1143" s="108"/>
      <c r="T1143" s="108"/>
      <c r="U1143" s="108"/>
      <c r="V1143" s="108"/>
      <c r="W1143" s="108"/>
      <c r="X1143" s="108"/>
      <c r="Y1143" s="108"/>
    </row>
    <row r="1144">
      <c r="A1144" s="244"/>
      <c r="B1144" s="107"/>
      <c r="C1144" s="107"/>
      <c r="D1144" s="115"/>
      <c r="E1144" s="107"/>
      <c r="F1144" s="211"/>
      <c r="G1144" s="256"/>
      <c r="H1144" s="239"/>
      <c r="I1144" s="108"/>
      <c r="J1144" s="108"/>
      <c r="K1144" s="108"/>
      <c r="L1144" s="108"/>
      <c r="M1144" s="108"/>
      <c r="N1144" s="108"/>
      <c r="O1144" s="108"/>
      <c r="P1144" s="108"/>
      <c r="Q1144" s="108"/>
      <c r="R1144" s="108"/>
      <c r="S1144" s="108"/>
      <c r="T1144" s="108"/>
      <c r="U1144" s="108"/>
      <c r="V1144" s="108"/>
      <c r="W1144" s="108"/>
      <c r="X1144" s="108"/>
      <c r="Y1144" s="108"/>
    </row>
    <row r="1145">
      <c r="A1145" s="244"/>
      <c r="B1145" s="107"/>
      <c r="C1145" s="107"/>
      <c r="D1145" s="115"/>
      <c r="E1145" s="107"/>
      <c r="F1145" s="211"/>
      <c r="G1145" s="256"/>
      <c r="H1145" s="239"/>
      <c r="I1145" s="108"/>
      <c r="J1145" s="108"/>
      <c r="K1145" s="108"/>
      <c r="L1145" s="108"/>
      <c r="M1145" s="108"/>
      <c r="N1145" s="108"/>
      <c r="O1145" s="108"/>
      <c r="P1145" s="108"/>
      <c r="Q1145" s="108"/>
      <c r="R1145" s="108"/>
      <c r="S1145" s="108"/>
      <c r="T1145" s="108"/>
      <c r="U1145" s="108"/>
      <c r="V1145" s="108"/>
      <c r="W1145" s="108"/>
      <c r="X1145" s="108"/>
      <c r="Y1145" s="108"/>
    </row>
    <row r="1146">
      <c r="A1146" s="244"/>
      <c r="B1146" s="107"/>
      <c r="C1146" s="107"/>
      <c r="D1146" s="115"/>
      <c r="E1146" s="107"/>
      <c r="F1146" s="211"/>
      <c r="G1146" s="256"/>
      <c r="H1146" s="239"/>
      <c r="I1146" s="108"/>
      <c r="J1146" s="108"/>
      <c r="K1146" s="108"/>
      <c r="L1146" s="108"/>
      <c r="M1146" s="108"/>
      <c r="N1146" s="108"/>
      <c r="O1146" s="108"/>
      <c r="P1146" s="108"/>
      <c r="Q1146" s="108"/>
      <c r="R1146" s="108"/>
      <c r="S1146" s="108"/>
      <c r="T1146" s="108"/>
      <c r="U1146" s="108"/>
      <c r="V1146" s="108"/>
      <c r="W1146" s="108"/>
      <c r="X1146" s="108"/>
      <c r="Y1146" s="108"/>
    </row>
    <row r="1147">
      <c r="A1147" s="244"/>
      <c r="B1147" s="107"/>
      <c r="C1147" s="107"/>
      <c r="D1147" s="115"/>
      <c r="E1147" s="107"/>
      <c r="F1147" s="211"/>
      <c r="G1147" s="256"/>
      <c r="H1147" s="239"/>
      <c r="I1147" s="108"/>
      <c r="J1147" s="108"/>
      <c r="K1147" s="108"/>
      <c r="L1147" s="108"/>
      <c r="M1147" s="108"/>
      <c r="N1147" s="108"/>
      <c r="O1147" s="108"/>
      <c r="P1147" s="108"/>
      <c r="Q1147" s="108"/>
      <c r="R1147" s="108"/>
      <c r="S1147" s="108"/>
      <c r="T1147" s="108"/>
      <c r="U1147" s="108"/>
      <c r="V1147" s="108"/>
      <c r="W1147" s="108"/>
      <c r="X1147" s="108"/>
      <c r="Y1147" s="108"/>
    </row>
    <row r="1148">
      <c r="A1148" s="244"/>
      <c r="B1148" s="107"/>
      <c r="C1148" s="107"/>
      <c r="D1148" s="115"/>
      <c r="E1148" s="107"/>
      <c r="F1148" s="211"/>
      <c r="G1148" s="256"/>
      <c r="H1148" s="239"/>
      <c r="I1148" s="108"/>
      <c r="J1148" s="108"/>
      <c r="K1148" s="108"/>
      <c r="L1148" s="108"/>
      <c r="M1148" s="108"/>
      <c r="N1148" s="108"/>
      <c r="O1148" s="108"/>
      <c r="P1148" s="108"/>
      <c r="Q1148" s="108"/>
      <c r="R1148" s="108"/>
      <c r="S1148" s="108"/>
      <c r="T1148" s="108"/>
      <c r="U1148" s="108"/>
      <c r="V1148" s="108"/>
      <c r="W1148" s="108"/>
      <c r="X1148" s="108"/>
      <c r="Y1148" s="108"/>
    </row>
    <row r="1149">
      <c r="A1149" s="244"/>
      <c r="B1149" s="107"/>
      <c r="C1149" s="107"/>
      <c r="D1149" s="115"/>
      <c r="E1149" s="107"/>
      <c r="F1149" s="211"/>
      <c r="G1149" s="256"/>
      <c r="H1149" s="239"/>
      <c r="I1149" s="108"/>
      <c r="J1149" s="108"/>
      <c r="K1149" s="108"/>
      <c r="L1149" s="108"/>
      <c r="M1149" s="108"/>
      <c r="N1149" s="108"/>
      <c r="O1149" s="108"/>
      <c r="P1149" s="108"/>
      <c r="Q1149" s="108"/>
      <c r="R1149" s="108"/>
      <c r="S1149" s="108"/>
      <c r="T1149" s="108"/>
      <c r="U1149" s="108"/>
      <c r="V1149" s="108"/>
      <c r="W1149" s="108"/>
      <c r="X1149" s="108"/>
      <c r="Y1149" s="108"/>
    </row>
    <row r="1150">
      <c r="A1150" s="244"/>
      <c r="B1150" s="107"/>
      <c r="C1150" s="107"/>
      <c r="D1150" s="115"/>
      <c r="E1150" s="107"/>
      <c r="F1150" s="211"/>
      <c r="G1150" s="256"/>
      <c r="H1150" s="239"/>
      <c r="I1150" s="108"/>
      <c r="J1150" s="108"/>
      <c r="K1150" s="108"/>
      <c r="L1150" s="108"/>
      <c r="M1150" s="108"/>
      <c r="N1150" s="108"/>
      <c r="O1150" s="108"/>
      <c r="P1150" s="108"/>
      <c r="Q1150" s="108"/>
      <c r="R1150" s="108"/>
      <c r="S1150" s="108"/>
      <c r="T1150" s="108"/>
      <c r="U1150" s="108"/>
      <c r="V1150" s="108"/>
      <c r="W1150" s="108"/>
      <c r="X1150" s="108"/>
      <c r="Y1150" s="108"/>
    </row>
    <row r="1151">
      <c r="A1151" s="244"/>
      <c r="B1151" s="107"/>
      <c r="C1151" s="107"/>
      <c r="D1151" s="115"/>
      <c r="E1151" s="107"/>
      <c r="F1151" s="211"/>
      <c r="G1151" s="256"/>
      <c r="H1151" s="239"/>
      <c r="I1151" s="108"/>
      <c r="J1151" s="108"/>
      <c r="K1151" s="108"/>
      <c r="L1151" s="108"/>
      <c r="M1151" s="108"/>
      <c r="N1151" s="108"/>
      <c r="O1151" s="108"/>
      <c r="P1151" s="108"/>
      <c r="Q1151" s="108"/>
      <c r="R1151" s="108"/>
      <c r="S1151" s="108"/>
      <c r="T1151" s="108"/>
      <c r="U1151" s="108"/>
      <c r="V1151" s="108"/>
      <c r="W1151" s="108"/>
      <c r="X1151" s="108"/>
      <c r="Y1151" s="108"/>
    </row>
    <row r="1152">
      <c r="A1152" s="244"/>
      <c r="B1152" s="107"/>
      <c r="C1152" s="107"/>
      <c r="D1152" s="115"/>
      <c r="E1152" s="107"/>
      <c r="F1152" s="211"/>
      <c r="G1152" s="256"/>
      <c r="H1152" s="239"/>
      <c r="I1152" s="108"/>
      <c r="J1152" s="108"/>
      <c r="K1152" s="108"/>
      <c r="L1152" s="108"/>
      <c r="M1152" s="108"/>
      <c r="N1152" s="108"/>
      <c r="O1152" s="108"/>
      <c r="P1152" s="108"/>
      <c r="Q1152" s="108"/>
      <c r="R1152" s="108"/>
      <c r="S1152" s="108"/>
      <c r="T1152" s="108"/>
      <c r="U1152" s="108"/>
      <c r="V1152" s="108"/>
      <c r="W1152" s="108"/>
      <c r="X1152" s="108"/>
      <c r="Y1152" s="108"/>
    </row>
    <row r="1153">
      <c r="A1153" s="244"/>
      <c r="B1153" s="107"/>
      <c r="C1153" s="107"/>
      <c r="D1153" s="115"/>
      <c r="E1153" s="107"/>
      <c r="F1153" s="211"/>
      <c r="G1153" s="256"/>
      <c r="H1153" s="239"/>
      <c r="I1153" s="108"/>
      <c r="J1153" s="108"/>
      <c r="K1153" s="108"/>
      <c r="L1153" s="108"/>
      <c r="M1153" s="108"/>
      <c r="N1153" s="108"/>
      <c r="O1153" s="108"/>
      <c r="P1153" s="108"/>
      <c r="Q1153" s="108"/>
      <c r="R1153" s="108"/>
      <c r="S1153" s="108"/>
      <c r="T1153" s="108"/>
      <c r="U1153" s="108"/>
      <c r="V1153" s="108"/>
      <c r="W1153" s="108"/>
      <c r="X1153" s="108"/>
      <c r="Y1153" s="108"/>
    </row>
    <row r="1154">
      <c r="A1154" s="244"/>
      <c r="B1154" s="107"/>
      <c r="C1154" s="107"/>
      <c r="D1154" s="115"/>
      <c r="E1154" s="107"/>
      <c r="F1154" s="211"/>
      <c r="G1154" s="256"/>
      <c r="H1154" s="239"/>
      <c r="I1154" s="108"/>
      <c r="J1154" s="108"/>
      <c r="K1154" s="108"/>
      <c r="L1154" s="108"/>
      <c r="M1154" s="108"/>
      <c r="N1154" s="108"/>
      <c r="O1154" s="108"/>
      <c r="P1154" s="108"/>
      <c r="Q1154" s="108"/>
      <c r="R1154" s="108"/>
      <c r="S1154" s="108"/>
      <c r="T1154" s="108"/>
      <c r="U1154" s="108"/>
      <c r="V1154" s="108"/>
      <c r="W1154" s="108"/>
      <c r="X1154" s="108"/>
      <c r="Y1154" s="108"/>
    </row>
    <row r="1155">
      <c r="A1155" s="244"/>
      <c r="B1155" s="107"/>
      <c r="C1155" s="107"/>
      <c r="D1155" s="115"/>
      <c r="E1155" s="107"/>
      <c r="F1155" s="211"/>
      <c r="G1155" s="256"/>
      <c r="H1155" s="239"/>
      <c r="I1155" s="108"/>
      <c r="J1155" s="108"/>
      <c r="K1155" s="108"/>
      <c r="L1155" s="108"/>
      <c r="M1155" s="108"/>
      <c r="N1155" s="108"/>
      <c r="O1155" s="108"/>
      <c r="P1155" s="108"/>
      <c r="Q1155" s="108"/>
      <c r="R1155" s="108"/>
      <c r="S1155" s="108"/>
      <c r="T1155" s="108"/>
      <c r="U1155" s="108"/>
      <c r="V1155" s="108"/>
      <c r="W1155" s="108"/>
      <c r="X1155" s="108"/>
      <c r="Y1155" s="108"/>
    </row>
    <row r="1156">
      <c r="A1156" s="244"/>
      <c r="B1156" s="107"/>
      <c r="C1156" s="107"/>
      <c r="D1156" s="115"/>
      <c r="E1156" s="107"/>
      <c r="F1156" s="211"/>
      <c r="G1156" s="256"/>
      <c r="H1156" s="239"/>
      <c r="I1156" s="108"/>
      <c r="J1156" s="108"/>
      <c r="K1156" s="108"/>
      <c r="L1156" s="108"/>
      <c r="M1156" s="108"/>
      <c r="N1156" s="108"/>
      <c r="O1156" s="108"/>
      <c r="P1156" s="108"/>
      <c r="Q1156" s="108"/>
      <c r="R1156" s="108"/>
      <c r="S1156" s="108"/>
      <c r="T1156" s="108"/>
      <c r="U1156" s="108"/>
      <c r="V1156" s="108"/>
      <c r="W1156" s="108"/>
      <c r="X1156" s="108"/>
      <c r="Y1156" s="108"/>
    </row>
    <row r="1157">
      <c r="A1157" s="244"/>
      <c r="B1157" s="107"/>
      <c r="C1157" s="107"/>
      <c r="D1157" s="115"/>
      <c r="E1157" s="107"/>
      <c r="F1157" s="211"/>
      <c r="G1157" s="256"/>
      <c r="H1157" s="239"/>
      <c r="I1157" s="108"/>
      <c r="J1157" s="108"/>
      <c r="K1157" s="108"/>
      <c r="L1157" s="108"/>
      <c r="M1157" s="108"/>
      <c r="N1157" s="108"/>
      <c r="O1157" s="108"/>
      <c r="P1157" s="108"/>
      <c r="Q1157" s="108"/>
      <c r="R1157" s="108"/>
      <c r="S1157" s="108"/>
      <c r="T1157" s="108"/>
      <c r="U1157" s="108"/>
      <c r="V1157" s="108"/>
      <c r="W1157" s="108"/>
      <c r="X1157" s="108"/>
      <c r="Y1157" s="108"/>
    </row>
    <row r="1158">
      <c r="A1158" s="244"/>
      <c r="B1158" s="107"/>
      <c r="C1158" s="107"/>
      <c r="D1158" s="115"/>
      <c r="E1158" s="107"/>
      <c r="F1158" s="211"/>
      <c r="G1158" s="256"/>
      <c r="H1158" s="239"/>
      <c r="I1158" s="108"/>
      <c r="J1158" s="108"/>
      <c r="K1158" s="108"/>
      <c r="L1158" s="108"/>
      <c r="M1158" s="108"/>
      <c r="N1158" s="108"/>
      <c r="O1158" s="108"/>
      <c r="P1158" s="108"/>
      <c r="Q1158" s="108"/>
      <c r="R1158" s="108"/>
      <c r="S1158" s="108"/>
      <c r="T1158" s="108"/>
      <c r="U1158" s="108"/>
      <c r="V1158" s="108"/>
      <c r="W1158" s="108"/>
      <c r="X1158" s="108"/>
      <c r="Y1158" s="108"/>
    </row>
    <row r="1159">
      <c r="A1159" s="244"/>
      <c r="B1159" s="107"/>
      <c r="C1159" s="107"/>
      <c r="D1159" s="115"/>
      <c r="E1159" s="107"/>
      <c r="F1159" s="211"/>
      <c r="G1159" s="256"/>
      <c r="H1159" s="239"/>
      <c r="I1159" s="108"/>
      <c r="J1159" s="108"/>
      <c r="K1159" s="108"/>
      <c r="L1159" s="108"/>
      <c r="M1159" s="108"/>
      <c r="N1159" s="108"/>
      <c r="O1159" s="108"/>
      <c r="P1159" s="108"/>
      <c r="Q1159" s="108"/>
      <c r="R1159" s="108"/>
      <c r="S1159" s="108"/>
      <c r="T1159" s="108"/>
      <c r="U1159" s="108"/>
      <c r="V1159" s="108"/>
      <c r="W1159" s="108"/>
      <c r="X1159" s="108"/>
      <c r="Y1159" s="108"/>
    </row>
    <row r="1160">
      <c r="A1160" s="244"/>
      <c r="B1160" s="107"/>
      <c r="C1160" s="107"/>
      <c r="D1160" s="115"/>
      <c r="E1160" s="107"/>
      <c r="F1160" s="211"/>
      <c r="G1160" s="256"/>
      <c r="H1160" s="239"/>
      <c r="I1160" s="108"/>
      <c r="J1160" s="108"/>
      <c r="K1160" s="108"/>
      <c r="L1160" s="108"/>
      <c r="M1160" s="108"/>
      <c r="N1160" s="108"/>
      <c r="O1160" s="108"/>
      <c r="P1160" s="108"/>
      <c r="Q1160" s="108"/>
      <c r="R1160" s="108"/>
      <c r="S1160" s="108"/>
      <c r="T1160" s="108"/>
      <c r="U1160" s="108"/>
      <c r="V1160" s="108"/>
      <c r="W1160" s="108"/>
      <c r="X1160" s="108"/>
      <c r="Y1160" s="108"/>
    </row>
    <row r="1161">
      <c r="A1161" s="244"/>
      <c r="B1161" s="107"/>
      <c r="C1161" s="107"/>
      <c r="D1161" s="115"/>
      <c r="E1161" s="107"/>
      <c r="F1161" s="211"/>
      <c r="G1161" s="256"/>
      <c r="H1161" s="239"/>
      <c r="I1161" s="108"/>
      <c r="J1161" s="108"/>
      <c r="K1161" s="108"/>
      <c r="L1161" s="108"/>
      <c r="M1161" s="108"/>
      <c r="N1161" s="108"/>
      <c r="O1161" s="108"/>
      <c r="P1161" s="108"/>
      <c r="Q1161" s="108"/>
      <c r="R1161" s="108"/>
      <c r="S1161" s="108"/>
      <c r="T1161" s="108"/>
      <c r="U1161" s="108"/>
      <c r="V1161" s="108"/>
      <c r="W1161" s="108"/>
      <c r="X1161" s="108"/>
      <c r="Y1161" s="108"/>
    </row>
    <row r="1162">
      <c r="A1162" s="244"/>
      <c r="B1162" s="107"/>
      <c r="C1162" s="107"/>
      <c r="D1162" s="115"/>
      <c r="E1162" s="107"/>
      <c r="F1162" s="211"/>
      <c r="G1162" s="256"/>
      <c r="H1162" s="239"/>
      <c r="I1162" s="108"/>
      <c r="J1162" s="108"/>
      <c r="K1162" s="108"/>
      <c r="L1162" s="108"/>
      <c r="M1162" s="108"/>
      <c r="N1162" s="108"/>
      <c r="O1162" s="108"/>
      <c r="P1162" s="108"/>
      <c r="Q1162" s="108"/>
      <c r="R1162" s="108"/>
      <c r="S1162" s="108"/>
      <c r="T1162" s="108"/>
      <c r="U1162" s="108"/>
      <c r="V1162" s="108"/>
      <c r="W1162" s="108"/>
      <c r="X1162" s="108"/>
      <c r="Y1162" s="108"/>
    </row>
    <row r="1163">
      <c r="A1163" s="244"/>
      <c r="B1163" s="107"/>
      <c r="C1163" s="107"/>
      <c r="D1163" s="115"/>
      <c r="E1163" s="107"/>
      <c r="F1163" s="211"/>
      <c r="G1163" s="256"/>
      <c r="H1163" s="239"/>
      <c r="I1163" s="108"/>
      <c r="J1163" s="108"/>
      <c r="K1163" s="108"/>
      <c r="L1163" s="108"/>
      <c r="M1163" s="108"/>
      <c r="N1163" s="108"/>
      <c r="O1163" s="108"/>
      <c r="P1163" s="108"/>
      <c r="Q1163" s="108"/>
      <c r="R1163" s="108"/>
      <c r="S1163" s="108"/>
      <c r="T1163" s="108"/>
      <c r="U1163" s="108"/>
      <c r="V1163" s="108"/>
      <c r="W1163" s="108"/>
      <c r="X1163" s="108"/>
      <c r="Y1163" s="108"/>
    </row>
    <row r="1164">
      <c r="A1164" s="244"/>
      <c r="B1164" s="107"/>
      <c r="C1164" s="107"/>
      <c r="D1164" s="115"/>
      <c r="E1164" s="107"/>
      <c r="F1164" s="211"/>
      <c r="G1164" s="256"/>
      <c r="H1164" s="239"/>
      <c r="I1164" s="108"/>
      <c r="J1164" s="108"/>
      <c r="K1164" s="108"/>
      <c r="L1164" s="108"/>
      <c r="M1164" s="108"/>
      <c r="N1164" s="108"/>
      <c r="O1164" s="108"/>
      <c r="P1164" s="108"/>
      <c r="Q1164" s="108"/>
      <c r="R1164" s="108"/>
      <c r="S1164" s="108"/>
      <c r="T1164" s="108"/>
      <c r="U1164" s="108"/>
      <c r="V1164" s="108"/>
      <c r="W1164" s="108"/>
      <c r="X1164" s="108"/>
      <c r="Y1164" s="108"/>
    </row>
    <row r="1165">
      <c r="A1165" s="244"/>
      <c r="B1165" s="107"/>
      <c r="C1165" s="107"/>
      <c r="D1165" s="115"/>
      <c r="E1165" s="107"/>
      <c r="F1165" s="211"/>
      <c r="G1165" s="256"/>
      <c r="H1165" s="239"/>
      <c r="I1165" s="108"/>
      <c r="J1165" s="108"/>
      <c r="K1165" s="108"/>
      <c r="L1165" s="108"/>
      <c r="M1165" s="108"/>
      <c r="N1165" s="108"/>
      <c r="O1165" s="108"/>
      <c r="P1165" s="108"/>
      <c r="Q1165" s="108"/>
      <c r="R1165" s="108"/>
      <c r="S1165" s="108"/>
      <c r="T1165" s="108"/>
      <c r="U1165" s="108"/>
      <c r="V1165" s="108"/>
      <c r="W1165" s="108"/>
      <c r="X1165" s="108"/>
      <c r="Y1165" s="108"/>
    </row>
    <row r="1166">
      <c r="A1166" s="244"/>
      <c r="B1166" s="107"/>
      <c r="C1166" s="107"/>
      <c r="D1166" s="115"/>
      <c r="E1166" s="107"/>
      <c r="F1166" s="211"/>
      <c r="G1166" s="256"/>
      <c r="H1166" s="239"/>
      <c r="I1166" s="108"/>
      <c r="J1166" s="108"/>
      <c r="K1166" s="108"/>
      <c r="L1166" s="108"/>
      <c r="M1166" s="108"/>
      <c r="N1166" s="108"/>
      <c r="O1166" s="108"/>
      <c r="P1166" s="108"/>
      <c r="Q1166" s="108"/>
      <c r="R1166" s="108"/>
      <c r="S1166" s="108"/>
      <c r="T1166" s="108"/>
      <c r="U1166" s="108"/>
      <c r="V1166" s="108"/>
      <c r="W1166" s="108"/>
      <c r="X1166" s="108"/>
      <c r="Y1166" s="108"/>
    </row>
    <row r="1167">
      <c r="A1167" s="244"/>
      <c r="B1167" s="107"/>
      <c r="C1167" s="107"/>
      <c r="D1167" s="115"/>
      <c r="E1167" s="107"/>
      <c r="F1167" s="211"/>
      <c r="G1167" s="256"/>
      <c r="H1167" s="239"/>
      <c r="I1167" s="108"/>
      <c r="J1167" s="108"/>
      <c r="K1167" s="108"/>
      <c r="L1167" s="108"/>
      <c r="M1167" s="108"/>
      <c r="N1167" s="108"/>
      <c r="O1167" s="108"/>
      <c r="P1167" s="108"/>
      <c r="Q1167" s="108"/>
      <c r="R1167" s="108"/>
      <c r="S1167" s="108"/>
      <c r="T1167" s="108"/>
      <c r="U1167" s="108"/>
      <c r="V1167" s="108"/>
      <c r="W1167" s="108"/>
      <c r="X1167" s="108"/>
      <c r="Y1167" s="108"/>
    </row>
    <row r="1168">
      <c r="A1168" s="244"/>
      <c r="B1168" s="107"/>
      <c r="C1168" s="107"/>
      <c r="D1168" s="115"/>
      <c r="E1168" s="107"/>
      <c r="F1168" s="211"/>
      <c r="G1168" s="256"/>
      <c r="H1168" s="239"/>
      <c r="I1168" s="108"/>
      <c r="J1168" s="108"/>
      <c r="K1168" s="108"/>
      <c r="L1168" s="108"/>
      <c r="M1168" s="108"/>
      <c r="N1168" s="108"/>
      <c r="O1168" s="108"/>
      <c r="P1168" s="108"/>
      <c r="Q1168" s="108"/>
      <c r="R1168" s="108"/>
      <c r="S1168" s="108"/>
      <c r="T1168" s="108"/>
      <c r="U1168" s="108"/>
      <c r="V1168" s="108"/>
      <c r="W1168" s="108"/>
      <c r="X1168" s="108"/>
      <c r="Y1168" s="108"/>
    </row>
    <row r="1169">
      <c r="A1169" s="244"/>
      <c r="B1169" s="107"/>
      <c r="C1169" s="107"/>
      <c r="D1169" s="115"/>
      <c r="E1169" s="107"/>
      <c r="F1169" s="211"/>
      <c r="G1169" s="256"/>
      <c r="H1169" s="239"/>
      <c r="I1169" s="108"/>
      <c r="J1169" s="108"/>
      <c r="K1169" s="108"/>
      <c r="L1169" s="108"/>
      <c r="M1169" s="108"/>
      <c r="N1169" s="108"/>
      <c r="O1169" s="108"/>
      <c r="P1169" s="108"/>
      <c r="Q1169" s="108"/>
      <c r="R1169" s="108"/>
      <c r="S1169" s="108"/>
      <c r="T1169" s="108"/>
      <c r="U1169" s="108"/>
      <c r="V1169" s="108"/>
      <c r="W1169" s="108"/>
      <c r="X1169" s="108"/>
      <c r="Y1169" s="108"/>
    </row>
    <row r="1170">
      <c r="A1170" s="244"/>
      <c r="B1170" s="107"/>
      <c r="C1170" s="107"/>
      <c r="D1170" s="115"/>
      <c r="E1170" s="107"/>
      <c r="F1170" s="211"/>
      <c r="G1170" s="256"/>
      <c r="H1170" s="239"/>
      <c r="I1170" s="108"/>
      <c r="J1170" s="108"/>
      <c r="K1170" s="108"/>
      <c r="L1170" s="108"/>
      <c r="M1170" s="108"/>
      <c r="N1170" s="108"/>
      <c r="O1170" s="108"/>
      <c r="P1170" s="108"/>
      <c r="Q1170" s="108"/>
      <c r="R1170" s="108"/>
      <c r="S1170" s="108"/>
      <c r="T1170" s="108"/>
      <c r="U1170" s="108"/>
      <c r="V1170" s="108"/>
      <c r="W1170" s="108"/>
      <c r="X1170" s="108"/>
      <c r="Y1170" s="108"/>
    </row>
    <row r="1171">
      <c r="A1171" s="244"/>
      <c r="B1171" s="107"/>
      <c r="C1171" s="107"/>
      <c r="D1171" s="115"/>
      <c r="E1171" s="107"/>
      <c r="F1171" s="211"/>
      <c r="G1171" s="256"/>
      <c r="H1171" s="239"/>
      <c r="I1171" s="108"/>
      <c r="J1171" s="108"/>
      <c r="K1171" s="108"/>
      <c r="L1171" s="108"/>
      <c r="M1171" s="108"/>
      <c r="N1171" s="108"/>
      <c r="O1171" s="108"/>
      <c r="P1171" s="108"/>
      <c r="Q1171" s="108"/>
      <c r="R1171" s="108"/>
      <c r="S1171" s="108"/>
      <c r="T1171" s="108"/>
      <c r="U1171" s="108"/>
      <c r="V1171" s="108"/>
      <c r="W1171" s="108"/>
      <c r="X1171" s="108"/>
      <c r="Y1171" s="108"/>
    </row>
    <row r="1172">
      <c r="A1172" s="244"/>
      <c r="B1172" s="107"/>
      <c r="C1172" s="107"/>
      <c r="D1172" s="115"/>
      <c r="E1172" s="107"/>
      <c r="F1172" s="211"/>
      <c r="G1172" s="256"/>
      <c r="H1172" s="239"/>
      <c r="I1172" s="108"/>
      <c r="J1172" s="108"/>
      <c r="K1172" s="108"/>
      <c r="L1172" s="108"/>
      <c r="M1172" s="108"/>
      <c r="N1172" s="108"/>
      <c r="O1172" s="108"/>
      <c r="P1172" s="108"/>
      <c r="Q1172" s="108"/>
      <c r="R1172" s="108"/>
      <c r="S1172" s="108"/>
      <c r="T1172" s="108"/>
      <c r="U1172" s="108"/>
      <c r="V1172" s="108"/>
      <c r="W1172" s="108"/>
      <c r="X1172" s="108"/>
      <c r="Y1172" s="108"/>
    </row>
    <row r="1173">
      <c r="A1173" s="244"/>
      <c r="B1173" s="107"/>
      <c r="C1173" s="107"/>
      <c r="D1173" s="115"/>
      <c r="E1173" s="107"/>
      <c r="F1173" s="211"/>
      <c r="G1173" s="256"/>
      <c r="H1173" s="239"/>
      <c r="I1173" s="108"/>
      <c r="J1173" s="108"/>
      <c r="K1173" s="108"/>
      <c r="L1173" s="108"/>
      <c r="M1173" s="108"/>
      <c r="N1173" s="108"/>
      <c r="O1173" s="108"/>
      <c r="P1173" s="108"/>
      <c r="Q1173" s="108"/>
      <c r="R1173" s="108"/>
      <c r="S1173" s="108"/>
      <c r="T1173" s="108"/>
      <c r="U1173" s="108"/>
      <c r="V1173" s="108"/>
      <c r="W1173" s="108"/>
      <c r="X1173" s="108"/>
      <c r="Y1173" s="108"/>
    </row>
    <row r="1174">
      <c r="A1174" s="244"/>
      <c r="B1174" s="107"/>
      <c r="C1174" s="107"/>
      <c r="D1174" s="115"/>
      <c r="E1174" s="107"/>
      <c r="F1174" s="211"/>
      <c r="G1174" s="256"/>
      <c r="H1174" s="239"/>
      <c r="I1174" s="108"/>
      <c r="J1174" s="108"/>
      <c r="K1174" s="108"/>
      <c r="L1174" s="108"/>
      <c r="M1174" s="108"/>
      <c r="N1174" s="108"/>
      <c r="O1174" s="108"/>
      <c r="P1174" s="108"/>
      <c r="Q1174" s="108"/>
      <c r="R1174" s="108"/>
      <c r="S1174" s="108"/>
      <c r="T1174" s="108"/>
      <c r="U1174" s="108"/>
      <c r="V1174" s="108"/>
      <c r="W1174" s="108"/>
      <c r="X1174" s="108"/>
      <c r="Y1174" s="108"/>
    </row>
    <row r="1175">
      <c r="A1175" s="244"/>
      <c r="B1175" s="107"/>
      <c r="C1175" s="107"/>
      <c r="D1175" s="115"/>
      <c r="E1175" s="107"/>
      <c r="F1175" s="211"/>
      <c r="G1175" s="256"/>
      <c r="H1175" s="239"/>
      <c r="I1175" s="108"/>
      <c r="J1175" s="108"/>
      <c r="K1175" s="108"/>
      <c r="L1175" s="108"/>
      <c r="M1175" s="108"/>
      <c r="N1175" s="108"/>
      <c r="O1175" s="108"/>
      <c r="P1175" s="108"/>
      <c r="Q1175" s="108"/>
      <c r="R1175" s="108"/>
      <c r="S1175" s="108"/>
      <c r="T1175" s="108"/>
      <c r="U1175" s="108"/>
      <c r="V1175" s="108"/>
      <c r="W1175" s="108"/>
      <c r="X1175" s="108"/>
      <c r="Y1175" s="108"/>
    </row>
    <row r="1176">
      <c r="A1176" s="244"/>
      <c r="B1176" s="107"/>
      <c r="C1176" s="107"/>
      <c r="D1176" s="115"/>
      <c r="E1176" s="107"/>
      <c r="F1176" s="211"/>
      <c r="G1176" s="256"/>
      <c r="H1176" s="239"/>
      <c r="I1176" s="108"/>
      <c r="J1176" s="108"/>
      <c r="K1176" s="108"/>
      <c r="L1176" s="108"/>
      <c r="M1176" s="108"/>
      <c r="N1176" s="108"/>
      <c r="O1176" s="108"/>
      <c r="P1176" s="108"/>
      <c r="Q1176" s="108"/>
      <c r="R1176" s="108"/>
      <c r="S1176" s="108"/>
      <c r="T1176" s="108"/>
      <c r="U1176" s="108"/>
      <c r="V1176" s="108"/>
      <c r="W1176" s="108"/>
      <c r="X1176" s="108"/>
      <c r="Y1176" s="108"/>
    </row>
    <row r="1177">
      <c r="A1177" s="244"/>
      <c r="B1177" s="107"/>
      <c r="C1177" s="107"/>
      <c r="D1177" s="115"/>
      <c r="E1177" s="107"/>
      <c r="F1177" s="211"/>
      <c r="G1177" s="256"/>
      <c r="H1177" s="239"/>
      <c r="I1177" s="108"/>
      <c r="J1177" s="108"/>
      <c r="K1177" s="108"/>
      <c r="L1177" s="108"/>
      <c r="M1177" s="108"/>
      <c r="N1177" s="108"/>
      <c r="O1177" s="108"/>
      <c r="P1177" s="108"/>
      <c r="Q1177" s="108"/>
      <c r="R1177" s="108"/>
      <c r="S1177" s="108"/>
      <c r="T1177" s="108"/>
      <c r="U1177" s="108"/>
      <c r="V1177" s="108"/>
      <c r="W1177" s="108"/>
      <c r="X1177" s="108"/>
      <c r="Y1177" s="108"/>
    </row>
    <row r="1178">
      <c r="A1178" s="244"/>
      <c r="B1178" s="107"/>
      <c r="C1178" s="107"/>
      <c r="D1178" s="115"/>
      <c r="E1178" s="107"/>
      <c r="F1178" s="211"/>
      <c r="G1178" s="256"/>
      <c r="H1178" s="239"/>
      <c r="I1178" s="108"/>
      <c r="J1178" s="108"/>
      <c r="K1178" s="108"/>
      <c r="L1178" s="108"/>
      <c r="M1178" s="108"/>
      <c r="N1178" s="108"/>
      <c r="O1178" s="108"/>
      <c r="P1178" s="108"/>
      <c r="Q1178" s="108"/>
      <c r="R1178" s="108"/>
      <c r="S1178" s="108"/>
      <c r="T1178" s="108"/>
      <c r="U1178" s="108"/>
      <c r="V1178" s="108"/>
      <c r="W1178" s="108"/>
      <c r="X1178" s="108"/>
      <c r="Y1178" s="108"/>
    </row>
    <row r="1179">
      <c r="A1179" s="244"/>
      <c r="B1179" s="107"/>
      <c r="C1179" s="107"/>
      <c r="D1179" s="115"/>
      <c r="E1179" s="107"/>
      <c r="F1179" s="211"/>
      <c r="G1179" s="256"/>
      <c r="H1179" s="239"/>
      <c r="I1179" s="108"/>
      <c r="J1179" s="108"/>
      <c r="K1179" s="108"/>
      <c r="L1179" s="108"/>
      <c r="M1179" s="108"/>
      <c r="N1179" s="108"/>
      <c r="O1179" s="108"/>
      <c r="P1179" s="108"/>
      <c r="Q1179" s="108"/>
      <c r="R1179" s="108"/>
      <c r="S1179" s="108"/>
      <c r="T1179" s="108"/>
      <c r="U1179" s="108"/>
      <c r="V1179" s="108"/>
      <c r="W1179" s="108"/>
      <c r="X1179" s="108"/>
      <c r="Y1179" s="108"/>
    </row>
    <row r="1180">
      <c r="A1180" s="244"/>
      <c r="B1180" s="107"/>
      <c r="C1180" s="107"/>
      <c r="D1180" s="115"/>
      <c r="E1180" s="107"/>
      <c r="F1180" s="211"/>
      <c r="G1180" s="256"/>
      <c r="H1180" s="239"/>
      <c r="I1180" s="108"/>
      <c r="J1180" s="108"/>
      <c r="K1180" s="108"/>
      <c r="L1180" s="108"/>
      <c r="M1180" s="108"/>
      <c r="N1180" s="108"/>
      <c r="O1180" s="108"/>
      <c r="P1180" s="108"/>
      <c r="Q1180" s="108"/>
      <c r="R1180" s="108"/>
      <c r="S1180" s="108"/>
      <c r="T1180" s="108"/>
      <c r="U1180" s="108"/>
      <c r="V1180" s="108"/>
      <c r="W1180" s="108"/>
      <c r="X1180" s="108"/>
      <c r="Y1180" s="108"/>
    </row>
    <row r="1181">
      <c r="A1181" s="244"/>
      <c r="B1181" s="107"/>
      <c r="C1181" s="107"/>
      <c r="D1181" s="115"/>
      <c r="E1181" s="107"/>
      <c r="F1181" s="211"/>
      <c r="G1181" s="256"/>
      <c r="H1181" s="239"/>
      <c r="I1181" s="108"/>
      <c r="J1181" s="108"/>
      <c r="K1181" s="108"/>
      <c r="L1181" s="108"/>
      <c r="M1181" s="108"/>
      <c r="N1181" s="108"/>
      <c r="O1181" s="108"/>
      <c r="P1181" s="108"/>
      <c r="Q1181" s="108"/>
      <c r="R1181" s="108"/>
      <c r="S1181" s="108"/>
      <c r="T1181" s="108"/>
      <c r="U1181" s="108"/>
      <c r="V1181" s="108"/>
      <c r="W1181" s="108"/>
      <c r="X1181" s="108"/>
      <c r="Y1181" s="108"/>
    </row>
    <row r="1182">
      <c r="A1182" s="244"/>
      <c r="B1182" s="107"/>
      <c r="C1182" s="107"/>
      <c r="D1182" s="115"/>
      <c r="E1182" s="107"/>
      <c r="F1182" s="211"/>
      <c r="G1182" s="256"/>
      <c r="H1182" s="239"/>
      <c r="I1182" s="108"/>
      <c r="J1182" s="108"/>
      <c r="K1182" s="108"/>
      <c r="L1182" s="108"/>
      <c r="M1182" s="108"/>
      <c r="N1182" s="108"/>
      <c r="O1182" s="108"/>
      <c r="P1182" s="108"/>
      <c r="Q1182" s="108"/>
      <c r="R1182" s="108"/>
      <c r="S1182" s="108"/>
      <c r="T1182" s="108"/>
      <c r="U1182" s="108"/>
      <c r="V1182" s="108"/>
      <c r="W1182" s="108"/>
      <c r="X1182" s="108"/>
      <c r="Y1182" s="108"/>
    </row>
    <row r="1183">
      <c r="A1183" s="244"/>
      <c r="B1183" s="107"/>
      <c r="C1183" s="107"/>
      <c r="D1183" s="115"/>
      <c r="E1183" s="107"/>
      <c r="F1183" s="211"/>
      <c r="G1183" s="256"/>
      <c r="H1183" s="239"/>
      <c r="I1183" s="108"/>
      <c r="J1183" s="108"/>
      <c r="K1183" s="108"/>
      <c r="L1183" s="108"/>
      <c r="M1183" s="108"/>
      <c r="N1183" s="108"/>
      <c r="O1183" s="108"/>
      <c r="P1183" s="108"/>
      <c r="Q1183" s="108"/>
      <c r="R1183" s="108"/>
      <c r="S1183" s="108"/>
      <c r="T1183" s="108"/>
      <c r="U1183" s="108"/>
      <c r="V1183" s="108"/>
      <c r="W1183" s="108"/>
      <c r="X1183" s="108"/>
      <c r="Y1183" s="108"/>
    </row>
    <row r="1184">
      <c r="A1184" s="244"/>
      <c r="B1184" s="107"/>
      <c r="C1184" s="107"/>
      <c r="D1184" s="115"/>
      <c r="E1184" s="107"/>
      <c r="F1184" s="211"/>
      <c r="G1184" s="256"/>
      <c r="H1184" s="239"/>
      <c r="I1184" s="108"/>
      <c r="J1184" s="108"/>
      <c r="K1184" s="108"/>
      <c r="L1184" s="108"/>
      <c r="M1184" s="108"/>
      <c r="N1184" s="108"/>
      <c r="O1184" s="108"/>
      <c r="P1184" s="108"/>
      <c r="Q1184" s="108"/>
      <c r="R1184" s="108"/>
      <c r="S1184" s="108"/>
      <c r="T1184" s="108"/>
      <c r="U1184" s="108"/>
      <c r="V1184" s="108"/>
      <c r="W1184" s="108"/>
      <c r="X1184" s="108"/>
      <c r="Y1184" s="108"/>
    </row>
    <row r="1185">
      <c r="A1185" s="244"/>
      <c r="B1185" s="107"/>
      <c r="C1185" s="107"/>
      <c r="D1185" s="115"/>
      <c r="E1185" s="107"/>
      <c r="F1185" s="211"/>
      <c r="G1185" s="256"/>
      <c r="H1185" s="239"/>
      <c r="I1185" s="108"/>
      <c r="J1185" s="108"/>
      <c r="K1185" s="108"/>
      <c r="L1185" s="108"/>
      <c r="M1185" s="108"/>
      <c r="N1185" s="108"/>
      <c r="O1185" s="108"/>
      <c r="P1185" s="108"/>
      <c r="Q1185" s="108"/>
      <c r="R1185" s="108"/>
      <c r="S1185" s="108"/>
      <c r="T1185" s="108"/>
      <c r="U1185" s="108"/>
      <c r="V1185" s="108"/>
      <c r="W1185" s="108"/>
      <c r="X1185" s="108"/>
      <c r="Y1185" s="108"/>
    </row>
    <row r="1186">
      <c r="A1186" s="244"/>
      <c r="B1186" s="107"/>
      <c r="C1186" s="107"/>
      <c r="D1186" s="115"/>
      <c r="E1186" s="107"/>
      <c r="F1186" s="211"/>
      <c r="G1186" s="256"/>
      <c r="H1186" s="239"/>
      <c r="I1186" s="108"/>
      <c r="J1186" s="108"/>
      <c r="K1186" s="108"/>
      <c r="L1186" s="108"/>
      <c r="M1186" s="108"/>
      <c r="N1186" s="108"/>
      <c r="O1186" s="108"/>
      <c r="P1186" s="108"/>
      <c r="Q1186" s="108"/>
      <c r="R1186" s="108"/>
      <c r="S1186" s="108"/>
      <c r="T1186" s="108"/>
      <c r="U1186" s="108"/>
      <c r="V1186" s="108"/>
      <c r="W1186" s="108"/>
      <c r="X1186" s="108"/>
      <c r="Y1186" s="108"/>
    </row>
    <row r="1187">
      <c r="A1187" s="244"/>
      <c r="B1187" s="107"/>
      <c r="C1187" s="107"/>
      <c r="D1187" s="115"/>
      <c r="E1187" s="107"/>
      <c r="F1187" s="211"/>
      <c r="G1187" s="256"/>
      <c r="H1187" s="239"/>
      <c r="I1187" s="108"/>
      <c r="J1187" s="108"/>
      <c r="K1187" s="108"/>
      <c r="L1187" s="108"/>
      <c r="M1187" s="108"/>
      <c r="N1187" s="108"/>
      <c r="O1187" s="108"/>
      <c r="P1187" s="108"/>
      <c r="Q1187" s="108"/>
      <c r="R1187" s="108"/>
      <c r="S1187" s="108"/>
      <c r="T1187" s="108"/>
      <c r="U1187" s="108"/>
      <c r="V1187" s="108"/>
      <c r="W1187" s="108"/>
      <c r="X1187" s="108"/>
      <c r="Y1187" s="108"/>
    </row>
    <row r="1188">
      <c r="A1188" s="244"/>
      <c r="B1188" s="107"/>
      <c r="C1188" s="107"/>
      <c r="D1188" s="115"/>
      <c r="E1188" s="107"/>
      <c r="F1188" s="211"/>
      <c r="G1188" s="256"/>
      <c r="H1188" s="239"/>
      <c r="I1188" s="108"/>
      <c r="J1188" s="108"/>
      <c r="K1188" s="108"/>
      <c r="L1188" s="108"/>
      <c r="M1188" s="108"/>
      <c r="N1188" s="108"/>
      <c r="O1188" s="108"/>
      <c r="P1188" s="108"/>
      <c r="Q1188" s="108"/>
      <c r="R1188" s="108"/>
      <c r="S1188" s="108"/>
      <c r="T1188" s="108"/>
      <c r="U1188" s="108"/>
      <c r="V1188" s="108"/>
      <c r="W1188" s="108"/>
      <c r="X1188" s="108"/>
      <c r="Y1188" s="108"/>
    </row>
    <row r="1189">
      <c r="A1189" s="244"/>
      <c r="B1189" s="107"/>
      <c r="C1189" s="107"/>
      <c r="D1189" s="115"/>
      <c r="E1189" s="107"/>
      <c r="F1189" s="211"/>
      <c r="G1189" s="256"/>
      <c r="H1189" s="239"/>
      <c r="I1189" s="108"/>
      <c r="J1189" s="108"/>
      <c r="K1189" s="108"/>
      <c r="L1189" s="108"/>
      <c r="M1189" s="108"/>
      <c r="N1189" s="108"/>
      <c r="O1189" s="108"/>
      <c r="P1189" s="108"/>
      <c r="Q1189" s="108"/>
      <c r="R1189" s="108"/>
      <c r="S1189" s="108"/>
      <c r="T1189" s="108"/>
      <c r="U1189" s="108"/>
      <c r="V1189" s="108"/>
      <c r="W1189" s="108"/>
      <c r="X1189" s="108"/>
      <c r="Y1189" s="108"/>
    </row>
    <row r="1190">
      <c r="A1190" s="244"/>
      <c r="B1190" s="107"/>
      <c r="C1190" s="107"/>
      <c r="D1190" s="115"/>
      <c r="E1190" s="107"/>
      <c r="F1190" s="211"/>
      <c r="G1190" s="256"/>
      <c r="H1190" s="239"/>
      <c r="I1190" s="108"/>
      <c r="J1190" s="108"/>
      <c r="K1190" s="108"/>
      <c r="L1190" s="108"/>
      <c r="M1190" s="108"/>
      <c r="N1190" s="108"/>
      <c r="O1190" s="108"/>
      <c r="P1190" s="108"/>
      <c r="Q1190" s="108"/>
      <c r="R1190" s="108"/>
      <c r="S1190" s="108"/>
      <c r="T1190" s="108"/>
      <c r="U1190" s="108"/>
      <c r="V1190" s="108"/>
      <c r="W1190" s="108"/>
      <c r="X1190" s="108"/>
      <c r="Y1190" s="108"/>
    </row>
    <row r="1191">
      <c r="A1191" s="244"/>
      <c r="B1191" s="107"/>
      <c r="C1191" s="107"/>
      <c r="D1191" s="115"/>
      <c r="E1191" s="107"/>
      <c r="F1191" s="211"/>
      <c r="G1191" s="256"/>
      <c r="H1191" s="239"/>
      <c r="I1191" s="108"/>
      <c r="J1191" s="108"/>
      <c r="K1191" s="108"/>
      <c r="L1191" s="108"/>
      <c r="M1191" s="108"/>
      <c r="N1191" s="108"/>
      <c r="O1191" s="108"/>
      <c r="P1191" s="108"/>
      <c r="Q1191" s="108"/>
      <c r="R1191" s="108"/>
      <c r="S1191" s="108"/>
      <c r="T1191" s="108"/>
      <c r="U1191" s="108"/>
      <c r="V1191" s="108"/>
      <c r="W1191" s="108"/>
      <c r="X1191" s="108"/>
      <c r="Y1191" s="108"/>
    </row>
    <row r="1192">
      <c r="A1192" s="244"/>
      <c r="B1192" s="107"/>
      <c r="C1192" s="107"/>
      <c r="D1192" s="115"/>
      <c r="E1192" s="107"/>
      <c r="F1192" s="211"/>
      <c r="G1192" s="256"/>
      <c r="H1192" s="239"/>
      <c r="I1192" s="108"/>
      <c r="J1192" s="108"/>
      <c r="K1192" s="108"/>
      <c r="L1192" s="108"/>
      <c r="M1192" s="108"/>
      <c r="N1192" s="108"/>
      <c r="O1192" s="108"/>
      <c r="P1192" s="108"/>
      <c r="Q1192" s="108"/>
      <c r="R1192" s="108"/>
      <c r="S1192" s="108"/>
      <c r="T1192" s="108"/>
      <c r="U1192" s="108"/>
      <c r="V1192" s="108"/>
      <c r="W1192" s="108"/>
      <c r="X1192" s="108"/>
      <c r="Y1192" s="108"/>
    </row>
    <row r="1193">
      <c r="A1193" s="244"/>
      <c r="B1193" s="107"/>
      <c r="C1193" s="107"/>
      <c r="D1193" s="115"/>
      <c r="E1193" s="107"/>
      <c r="F1193" s="211"/>
      <c r="G1193" s="256"/>
      <c r="H1193" s="239"/>
      <c r="I1193" s="108"/>
      <c r="J1193" s="108"/>
      <c r="K1193" s="108"/>
      <c r="L1193" s="108"/>
      <c r="M1193" s="108"/>
      <c r="N1193" s="108"/>
      <c r="O1193" s="108"/>
      <c r="P1193" s="108"/>
      <c r="Q1193" s="108"/>
      <c r="R1193" s="108"/>
      <c r="S1193" s="108"/>
      <c r="T1193" s="108"/>
      <c r="U1193" s="108"/>
      <c r="V1193" s="108"/>
      <c r="W1193" s="108"/>
      <c r="X1193" s="108"/>
      <c r="Y1193" s="108"/>
    </row>
    <row r="1194">
      <c r="A1194" s="244"/>
      <c r="B1194" s="107"/>
      <c r="C1194" s="107"/>
      <c r="D1194" s="115"/>
      <c r="E1194" s="107"/>
      <c r="F1194" s="211"/>
      <c r="G1194" s="256"/>
      <c r="H1194" s="239"/>
      <c r="I1194" s="108"/>
      <c r="J1194" s="108"/>
      <c r="K1194" s="108"/>
      <c r="L1194" s="108"/>
      <c r="M1194" s="108"/>
      <c r="N1194" s="108"/>
      <c r="O1194" s="108"/>
      <c r="P1194" s="108"/>
      <c r="Q1194" s="108"/>
      <c r="R1194" s="108"/>
      <c r="S1194" s="108"/>
      <c r="T1194" s="108"/>
      <c r="U1194" s="108"/>
      <c r="V1194" s="108"/>
      <c r="W1194" s="108"/>
      <c r="X1194" s="108"/>
      <c r="Y1194" s="108"/>
    </row>
    <row r="1195">
      <c r="A1195" s="244"/>
      <c r="B1195" s="107"/>
      <c r="C1195" s="107"/>
      <c r="D1195" s="115"/>
      <c r="E1195" s="107"/>
      <c r="F1195" s="211"/>
      <c r="G1195" s="256"/>
      <c r="H1195" s="239"/>
      <c r="I1195" s="108"/>
      <c r="J1195" s="108"/>
      <c r="K1195" s="108"/>
      <c r="L1195" s="108"/>
      <c r="M1195" s="108"/>
      <c r="N1195" s="108"/>
      <c r="O1195" s="108"/>
      <c r="P1195" s="108"/>
      <c r="Q1195" s="108"/>
      <c r="R1195" s="108"/>
      <c r="S1195" s="108"/>
      <c r="T1195" s="108"/>
      <c r="U1195" s="108"/>
      <c r="V1195" s="108"/>
      <c r="W1195" s="108"/>
      <c r="X1195" s="108"/>
      <c r="Y1195" s="108"/>
    </row>
    <row r="1196">
      <c r="A1196" s="244"/>
      <c r="B1196" s="107"/>
      <c r="C1196" s="107"/>
      <c r="D1196" s="115"/>
      <c r="E1196" s="107"/>
      <c r="F1196" s="211"/>
      <c r="G1196" s="256"/>
      <c r="H1196" s="239"/>
      <c r="I1196" s="108"/>
      <c r="J1196" s="108"/>
      <c r="K1196" s="108"/>
      <c r="L1196" s="108"/>
      <c r="M1196" s="108"/>
      <c r="N1196" s="108"/>
      <c r="O1196" s="108"/>
      <c r="P1196" s="108"/>
      <c r="Q1196" s="108"/>
      <c r="R1196" s="108"/>
      <c r="S1196" s="108"/>
      <c r="T1196" s="108"/>
      <c r="U1196" s="108"/>
      <c r="V1196" s="108"/>
      <c r="W1196" s="108"/>
      <c r="X1196" s="108"/>
      <c r="Y1196" s="108"/>
    </row>
    <row r="1197">
      <c r="A1197" s="244"/>
      <c r="B1197" s="107"/>
      <c r="C1197" s="107"/>
      <c r="D1197" s="115"/>
      <c r="E1197" s="107"/>
      <c r="F1197" s="211"/>
      <c r="G1197" s="256"/>
      <c r="H1197" s="239"/>
      <c r="I1197" s="108"/>
      <c r="J1197" s="108"/>
      <c r="K1197" s="108"/>
      <c r="L1197" s="108"/>
      <c r="M1197" s="108"/>
      <c r="N1197" s="108"/>
      <c r="O1197" s="108"/>
      <c r="P1197" s="108"/>
      <c r="Q1197" s="108"/>
      <c r="R1197" s="108"/>
      <c r="S1197" s="108"/>
      <c r="T1197" s="108"/>
      <c r="U1197" s="108"/>
      <c r="V1197" s="108"/>
      <c r="W1197" s="108"/>
      <c r="X1197" s="108"/>
      <c r="Y1197" s="108"/>
    </row>
    <row r="1198">
      <c r="A1198" s="244"/>
      <c r="B1198" s="107"/>
      <c r="C1198" s="107"/>
      <c r="D1198" s="115"/>
      <c r="E1198" s="107"/>
      <c r="F1198" s="211"/>
      <c r="G1198" s="256"/>
      <c r="H1198" s="239"/>
      <c r="I1198" s="108"/>
      <c r="J1198" s="108"/>
      <c r="K1198" s="108"/>
      <c r="L1198" s="108"/>
      <c r="M1198" s="108"/>
      <c r="N1198" s="108"/>
      <c r="O1198" s="108"/>
      <c r="P1198" s="108"/>
      <c r="Q1198" s="108"/>
      <c r="R1198" s="108"/>
      <c r="S1198" s="108"/>
      <c r="T1198" s="108"/>
      <c r="U1198" s="108"/>
      <c r="V1198" s="108"/>
      <c r="W1198" s="108"/>
      <c r="X1198" s="108"/>
      <c r="Y1198" s="108"/>
    </row>
    <row r="1199">
      <c r="A1199" s="244"/>
      <c r="B1199" s="107"/>
      <c r="C1199" s="107"/>
      <c r="D1199" s="115"/>
      <c r="E1199" s="107"/>
      <c r="F1199" s="211"/>
      <c r="G1199" s="256"/>
      <c r="H1199" s="239"/>
      <c r="I1199" s="108"/>
      <c r="J1199" s="108"/>
      <c r="K1199" s="108"/>
      <c r="L1199" s="108"/>
      <c r="M1199" s="108"/>
      <c r="N1199" s="108"/>
      <c r="O1199" s="108"/>
      <c r="P1199" s="108"/>
      <c r="Q1199" s="108"/>
      <c r="R1199" s="108"/>
      <c r="S1199" s="108"/>
      <c r="T1199" s="108"/>
      <c r="U1199" s="108"/>
      <c r="V1199" s="108"/>
      <c r="W1199" s="108"/>
      <c r="X1199" s="108"/>
      <c r="Y1199" s="108"/>
    </row>
    <row r="1200">
      <c r="A1200" s="244"/>
      <c r="B1200" s="107"/>
      <c r="C1200" s="107"/>
      <c r="D1200" s="115"/>
      <c r="E1200" s="107"/>
      <c r="F1200" s="211"/>
      <c r="G1200" s="256"/>
      <c r="H1200" s="239"/>
      <c r="I1200" s="108"/>
      <c r="J1200" s="108"/>
      <c r="K1200" s="108"/>
      <c r="L1200" s="108"/>
      <c r="M1200" s="108"/>
      <c r="N1200" s="108"/>
      <c r="O1200" s="108"/>
      <c r="P1200" s="108"/>
      <c r="Q1200" s="108"/>
      <c r="R1200" s="108"/>
      <c r="S1200" s="108"/>
      <c r="T1200" s="108"/>
      <c r="U1200" s="108"/>
      <c r="V1200" s="108"/>
      <c r="W1200" s="108"/>
      <c r="X1200" s="108"/>
      <c r="Y1200" s="108"/>
    </row>
    <row r="1201">
      <c r="A1201" s="244"/>
      <c r="B1201" s="107"/>
      <c r="C1201" s="107"/>
      <c r="D1201" s="115"/>
      <c r="E1201" s="107"/>
      <c r="F1201" s="211"/>
      <c r="G1201" s="256"/>
      <c r="H1201" s="239"/>
      <c r="I1201" s="108"/>
      <c r="J1201" s="108"/>
      <c r="K1201" s="108"/>
      <c r="L1201" s="108"/>
      <c r="M1201" s="108"/>
      <c r="N1201" s="108"/>
      <c r="O1201" s="108"/>
      <c r="P1201" s="108"/>
      <c r="Q1201" s="108"/>
      <c r="R1201" s="108"/>
      <c r="S1201" s="108"/>
      <c r="T1201" s="108"/>
      <c r="U1201" s="108"/>
      <c r="V1201" s="108"/>
      <c r="W1201" s="108"/>
      <c r="X1201" s="108"/>
      <c r="Y1201" s="108"/>
    </row>
    <row r="1202">
      <c r="A1202" s="244"/>
      <c r="B1202" s="107"/>
      <c r="C1202" s="107"/>
      <c r="D1202" s="115"/>
      <c r="E1202" s="107"/>
      <c r="F1202" s="211"/>
      <c r="G1202" s="256"/>
      <c r="H1202" s="239"/>
      <c r="I1202" s="108"/>
      <c r="J1202" s="108"/>
      <c r="K1202" s="108"/>
      <c r="L1202" s="108"/>
      <c r="M1202" s="108"/>
      <c r="N1202" s="108"/>
      <c r="O1202" s="108"/>
      <c r="P1202" s="108"/>
      <c r="Q1202" s="108"/>
      <c r="R1202" s="108"/>
      <c r="S1202" s="108"/>
      <c r="T1202" s="108"/>
      <c r="U1202" s="108"/>
      <c r="V1202" s="108"/>
      <c r="W1202" s="108"/>
      <c r="X1202" s="108"/>
      <c r="Y1202" s="108"/>
    </row>
    <row r="1203">
      <c r="A1203" s="244"/>
      <c r="B1203" s="107"/>
      <c r="C1203" s="107"/>
      <c r="D1203" s="115"/>
      <c r="E1203" s="107"/>
      <c r="F1203" s="211"/>
      <c r="G1203" s="256"/>
      <c r="H1203" s="239"/>
      <c r="I1203" s="108"/>
      <c r="J1203" s="108"/>
      <c r="K1203" s="108"/>
      <c r="L1203" s="108"/>
      <c r="M1203" s="108"/>
      <c r="N1203" s="108"/>
      <c r="O1203" s="108"/>
      <c r="P1203" s="108"/>
      <c r="Q1203" s="108"/>
      <c r="R1203" s="108"/>
      <c r="S1203" s="108"/>
      <c r="T1203" s="108"/>
      <c r="U1203" s="108"/>
      <c r="V1203" s="108"/>
      <c r="W1203" s="108"/>
      <c r="X1203" s="108"/>
      <c r="Y1203" s="108"/>
    </row>
    <row r="1204">
      <c r="A1204" s="244"/>
      <c r="B1204" s="107"/>
      <c r="C1204" s="107"/>
      <c r="D1204" s="115"/>
      <c r="E1204" s="107"/>
      <c r="F1204" s="211"/>
      <c r="G1204" s="256"/>
      <c r="H1204" s="239"/>
      <c r="I1204" s="108"/>
      <c r="J1204" s="108"/>
      <c r="K1204" s="108"/>
      <c r="L1204" s="108"/>
      <c r="M1204" s="108"/>
      <c r="N1204" s="108"/>
      <c r="O1204" s="108"/>
      <c r="P1204" s="108"/>
      <c r="Q1204" s="108"/>
      <c r="R1204" s="108"/>
      <c r="S1204" s="108"/>
      <c r="T1204" s="108"/>
      <c r="U1204" s="108"/>
      <c r="V1204" s="108"/>
      <c r="W1204" s="108"/>
      <c r="X1204" s="108"/>
      <c r="Y1204" s="108"/>
    </row>
    <row r="1205">
      <c r="A1205" s="244"/>
      <c r="B1205" s="107"/>
      <c r="C1205" s="107"/>
      <c r="D1205" s="115"/>
      <c r="E1205" s="107"/>
      <c r="F1205" s="211"/>
      <c r="G1205" s="256"/>
      <c r="H1205" s="239"/>
      <c r="I1205" s="108"/>
      <c r="J1205" s="108"/>
      <c r="K1205" s="108"/>
      <c r="L1205" s="108"/>
      <c r="M1205" s="108"/>
      <c r="N1205" s="108"/>
      <c r="O1205" s="108"/>
      <c r="P1205" s="108"/>
      <c r="Q1205" s="108"/>
      <c r="R1205" s="108"/>
      <c r="S1205" s="108"/>
      <c r="T1205" s="108"/>
      <c r="U1205" s="108"/>
      <c r="V1205" s="108"/>
      <c r="W1205" s="108"/>
      <c r="X1205" s="108"/>
      <c r="Y1205" s="108"/>
    </row>
    <row r="1206">
      <c r="A1206" s="244"/>
      <c r="B1206" s="107"/>
      <c r="C1206" s="107"/>
      <c r="D1206" s="115"/>
      <c r="E1206" s="107"/>
      <c r="F1206" s="211"/>
      <c r="G1206" s="256"/>
      <c r="H1206" s="239"/>
      <c r="I1206" s="108"/>
      <c r="J1206" s="108"/>
      <c r="K1206" s="108"/>
      <c r="L1206" s="108"/>
      <c r="M1206" s="108"/>
      <c r="N1206" s="108"/>
      <c r="O1206" s="108"/>
      <c r="P1206" s="108"/>
      <c r="Q1206" s="108"/>
      <c r="R1206" s="108"/>
      <c r="S1206" s="108"/>
      <c r="T1206" s="108"/>
      <c r="U1206" s="108"/>
      <c r="V1206" s="108"/>
      <c r="W1206" s="108"/>
      <c r="X1206" s="108"/>
      <c r="Y1206" s="108"/>
    </row>
    <row r="1207">
      <c r="A1207" s="244"/>
      <c r="B1207" s="107"/>
      <c r="C1207" s="107"/>
      <c r="D1207" s="115"/>
      <c r="E1207" s="107"/>
      <c r="F1207" s="211"/>
      <c r="G1207" s="256"/>
      <c r="H1207" s="239"/>
      <c r="I1207" s="108"/>
      <c r="J1207" s="108"/>
      <c r="K1207" s="108"/>
      <c r="L1207" s="108"/>
      <c r="M1207" s="108"/>
      <c r="N1207" s="108"/>
      <c r="O1207" s="108"/>
      <c r="P1207" s="108"/>
      <c r="Q1207" s="108"/>
      <c r="R1207" s="108"/>
      <c r="S1207" s="108"/>
      <c r="T1207" s="108"/>
      <c r="U1207" s="108"/>
      <c r="V1207" s="108"/>
      <c r="W1207" s="108"/>
      <c r="X1207" s="108"/>
      <c r="Y1207" s="108"/>
    </row>
    <row r="1208">
      <c r="A1208" s="244"/>
      <c r="B1208" s="107"/>
      <c r="C1208" s="107"/>
      <c r="D1208" s="115"/>
      <c r="E1208" s="107"/>
      <c r="F1208" s="211"/>
      <c r="G1208" s="256"/>
      <c r="H1208" s="239"/>
      <c r="I1208" s="108"/>
      <c r="J1208" s="108"/>
      <c r="K1208" s="108"/>
      <c r="L1208" s="108"/>
      <c r="M1208" s="108"/>
      <c r="N1208" s="108"/>
      <c r="O1208" s="108"/>
      <c r="P1208" s="108"/>
      <c r="Q1208" s="108"/>
      <c r="R1208" s="108"/>
      <c r="S1208" s="108"/>
      <c r="T1208" s="108"/>
      <c r="U1208" s="108"/>
      <c r="V1208" s="108"/>
      <c r="W1208" s="108"/>
      <c r="X1208" s="108"/>
      <c r="Y1208" s="108"/>
    </row>
    <row r="1209">
      <c r="A1209" s="244"/>
      <c r="B1209" s="107"/>
      <c r="C1209" s="107"/>
      <c r="D1209" s="115"/>
      <c r="E1209" s="107"/>
      <c r="F1209" s="211"/>
      <c r="G1209" s="256"/>
      <c r="H1209" s="239"/>
      <c r="I1209" s="108"/>
      <c r="J1209" s="108"/>
      <c r="K1209" s="108"/>
      <c r="L1209" s="108"/>
      <c r="M1209" s="108"/>
      <c r="N1209" s="108"/>
      <c r="O1209" s="108"/>
      <c r="P1209" s="108"/>
      <c r="Q1209" s="108"/>
      <c r="R1209" s="108"/>
      <c r="S1209" s="108"/>
      <c r="T1209" s="108"/>
      <c r="U1209" s="108"/>
      <c r="V1209" s="108"/>
      <c r="W1209" s="108"/>
      <c r="X1209" s="108"/>
      <c r="Y1209" s="108"/>
    </row>
    <row r="1210">
      <c r="A1210" s="244"/>
      <c r="B1210" s="107"/>
      <c r="C1210" s="107"/>
      <c r="D1210" s="115"/>
      <c r="E1210" s="107"/>
      <c r="F1210" s="211"/>
      <c r="G1210" s="256"/>
      <c r="H1210" s="239"/>
      <c r="I1210" s="108"/>
      <c r="J1210" s="108"/>
      <c r="K1210" s="108"/>
      <c r="L1210" s="108"/>
      <c r="M1210" s="108"/>
      <c r="N1210" s="108"/>
      <c r="O1210" s="108"/>
      <c r="P1210" s="108"/>
      <c r="Q1210" s="108"/>
      <c r="R1210" s="108"/>
      <c r="S1210" s="108"/>
      <c r="T1210" s="108"/>
      <c r="U1210" s="108"/>
      <c r="V1210" s="108"/>
      <c r="W1210" s="108"/>
      <c r="X1210" s="108"/>
      <c r="Y1210" s="108"/>
    </row>
    <row r="1211">
      <c r="A1211" s="244"/>
      <c r="B1211" s="107"/>
      <c r="C1211" s="107"/>
      <c r="D1211" s="115"/>
      <c r="E1211" s="107"/>
      <c r="F1211" s="211"/>
      <c r="G1211" s="256"/>
      <c r="H1211" s="239"/>
      <c r="I1211" s="108"/>
      <c r="J1211" s="108"/>
      <c r="K1211" s="108"/>
      <c r="L1211" s="108"/>
      <c r="M1211" s="108"/>
      <c r="N1211" s="108"/>
      <c r="O1211" s="108"/>
      <c r="P1211" s="108"/>
      <c r="Q1211" s="108"/>
      <c r="R1211" s="108"/>
      <c r="S1211" s="108"/>
      <c r="T1211" s="108"/>
      <c r="U1211" s="108"/>
      <c r="V1211" s="108"/>
      <c r="W1211" s="108"/>
      <c r="X1211" s="108"/>
      <c r="Y1211" s="108"/>
    </row>
    <row r="1212">
      <c r="A1212" s="244"/>
      <c r="B1212" s="107"/>
      <c r="C1212" s="107"/>
      <c r="D1212" s="115"/>
      <c r="E1212" s="107"/>
      <c r="F1212" s="211"/>
      <c r="G1212" s="256"/>
      <c r="H1212" s="239"/>
      <c r="I1212" s="108"/>
      <c r="J1212" s="108"/>
      <c r="K1212" s="108"/>
      <c r="L1212" s="108"/>
      <c r="M1212" s="108"/>
      <c r="N1212" s="108"/>
      <c r="O1212" s="108"/>
      <c r="P1212" s="108"/>
      <c r="Q1212" s="108"/>
      <c r="R1212" s="108"/>
      <c r="S1212" s="108"/>
      <c r="T1212" s="108"/>
      <c r="U1212" s="108"/>
      <c r="V1212" s="108"/>
      <c r="W1212" s="108"/>
      <c r="X1212" s="108"/>
      <c r="Y1212" s="108"/>
    </row>
    <row r="1213">
      <c r="A1213" s="244"/>
      <c r="B1213" s="107"/>
      <c r="C1213" s="107"/>
      <c r="D1213" s="115"/>
      <c r="E1213" s="107"/>
      <c r="F1213" s="211"/>
      <c r="G1213" s="256"/>
      <c r="H1213" s="239"/>
      <c r="I1213" s="108"/>
      <c r="J1213" s="108"/>
      <c r="K1213" s="108"/>
      <c r="L1213" s="108"/>
      <c r="M1213" s="108"/>
      <c r="N1213" s="108"/>
      <c r="O1213" s="108"/>
      <c r="P1213" s="108"/>
      <c r="Q1213" s="108"/>
      <c r="R1213" s="108"/>
      <c r="S1213" s="108"/>
      <c r="T1213" s="108"/>
      <c r="U1213" s="108"/>
      <c r="V1213" s="108"/>
      <c r="W1213" s="108"/>
      <c r="X1213" s="108"/>
      <c r="Y1213" s="108"/>
    </row>
    <row r="1214">
      <c r="A1214" s="244"/>
      <c r="B1214" s="107"/>
      <c r="C1214" s="107"/>
      <c r="D1214" s="115"/>
      <c r="E1214" s="107"/>
      <c r="F1214" s="211"/>
      <c r="G1214" s="256"/>
      <c r="H1214" s="239"/>
      <c r="I1214" s="108"/>
      <c r="J1214" s="108"/>
      <c r="K1214" s="108"/>
      <c r="L1214" s="108"/>
      <c r="M1214" s="108"/>
      <c r="N1214" s="108"/>
      <c r="O1214" s="108"/>
      <c r="P1214" s="108"/>
      <c r="Q1214" s="108"/>
      <c r="R1214" s="108"/>
      <c r="S1214" s="108"/>
      <c r="T1214" s="108"/>
      <c r="U1214" s="108"/>
      <c r="V1214" s="108"/>
      <c r="W1214" s="108"/>
      <c r="X1214" s="108"/>
      <c r="Y1214" s="108"/>
    </row>
    <row r="1215">
      <c r="A1215" s="244"/>
      <c r="B1215" s="107"/>
      <c r="C1215" s="107"/>
      <c r="D1215" s="115"/>
      <c r="E1215" s="107"/>
      <c r="F1215" s="211"/>
      <c r="G1215" s="256"/>
      <c r="H1215" s="239"/>
      <c r="I1215" s="108"/>
      <c r="J1215" s="108"/>
      <c r="K1215" s="108"/>
      <c r="L1215" s="108"/>
      <c r="M1215" s="108"/>
      <c r="N1215" s="108"/>
      <c r="O1215" s="108"/>
      <c r="P1215" s="108"/>
      <c r="Q1215" s="108"/>
      <c r="R1215" s="108"/>
      <c r="S1215" s="108"/>
      <c r="T1215" s="108"/>
      <c r="U1215" s="108"/>
      <c r="V1215" s="108"/>
      <c r="W1215" s="108"/>
      <c r="X1215" s="108"/>
      <c r="Y1215" s="108"/>
    </row>
    <row r="1216">
      <c r="A1216" s="244"/>
      <c r="B1216" s="107"/>
      <c r="C1216" s="107"/>
      <c r="D1216" s="115"/>
      <c r="E1216" s="107"/>
      <c r="F1216" s="211"/>
      <c r="G1216" s="256"/>
      <c r="H1216" s="239"/>
      <c r="I1216" s="108"/>
      <c r="J1216" s="108"/>
      <c r="K1216" s="108"/>
      <c r="L1216" s="108"/>
      <c r="M1216" s="108"/>
      <c r="N1216" s="108"/>
      <c r="O1216" s="108"/>
      <c r="P1216" s="108"/>
      <c r="Q1216" s="108"/>
      <c r="R1216" s="108"/>
      <c r="S1216" s="108"/>
      <c r="T1216" s="108"/>
      <c r="U1216" s="108"/>
      <c r="V1216" s="108"/>
      <c r="W1216" s="108"/>
      <c r="X1216" s="108"/>
      <c r="Y1216" s="108"/>
    </row>
  </sheetData>
  <autoFilter ref="$B$11:$H$294">
    <filterColumn colId="0">
      <filters>
        <filter val="Retort"/>
      </filters>
    </filterColumn>
  </autoFilter>
  <mergeCells count="1">
    <mergeCell ref="B5:D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1.13"/>
  </cols>
  <sheetData>
    <row r="1">
      <c r="A1" s="257" t="s">
        <v>208</v>
      </c>
      <c r="B1" s="258">
        <f t="shared" ref="B1:E1" si="1">sum(B3:B10)</f>
        <v>15366.96</v>
      </c>
      <c r="C1" s="258">
        <f t="shared" si="1"/>
        <v>37022.72821</v>
      </c>
      <c r="D1" s="258">
        <f t="shared" si="1"/>
        <v>34877.28698</v>
      </c>
      <c r="E1" s="258">
        <f t="shared" si="1"/>
        <v>12531.24418</v>
      </c>
      <c r="F1" s="259">
        <f>sum(B1:E1)</f>
        <v>99798.21937</v>
      </c>
    </row>
    <row r="2">
      <c r="A2" s="260"/>
      <c r="B2" s="261" t="s">
        <v>1445</v>
      </c>
      <c r="C2" s="261" t="s">
        <v>1446</v>
      </c>
      <c r="D2" s="261" t="s">
        <v>1447</v>
      </c>
      <c r="E2" s="261" t="s">
        <v>1448</v>
      </c>
      <c r="F2" s="261" t="s">
        <v>208</v>
      </c>
    </row>
    <row r="3">
      <c r="A3" s="262" t="s">
        <v>146</v>
      </c>
      <c r="B3" s="263">
        <f>IFERROR(__xludf.DUMMYFUNCTION("iferror(sum(filter(TIMESHEET!$N:$N,month(TIMESHEET!$F:$F)&gt;=1,month(TIMESHEET!$F:$F)&lt;=3,TIMESHEET!$E:$E=$A3)),0)"),3857.3900000000003)</f>
        <v>3857.39</v>
      </c>
      <c r="C3" s="263">
        <f>IFERROR(__xludf.DUMMYFUNCTION("iferror(sum(filter(TIMESHEET!$N:$N,month(TIMESHEET!$F:$F)&gt;=4,month(TIMESHEET!$F:$F)&lt;=6,TIMESHEET!$E:$E=$A3)),0)"),4738.302749096433)</f>
        <v>4738.302749</v>
      </c>
      <c r="D3" s="263">
        <f>IFERROR(__xludf.DUMMYFUNCTION("iferror(sum(filter(TIMESHEET!$N:$N,month(TIMESHEET!$F:$F)&gt;=7,month(TIMESHEET!$F:$F)&lt;=9,TIMESHEET!$E:$E=$A3)),0)"),10732.006945744717)</f>
        <v>10732.00695</v>
      </c>
      <c r="E3" s="263">
        <f>IFERROR(__xludf.DUMMYFUNCTION("iferror(sum(filter(TIMESHEET!$N:$N,month(TIMESHEET!$F:$F)&gt;=10,month(TIMESHEET!$F:$F)&lt;=12,TIMESHEET!$E:$E=$A3)),0)"),1004.0271087436868)</f>
        <v>1004.027109</v>
      </c>
      <c r="F3" s="264">
        <f t="shared" ref="F3:F10" si="2">sum(B3:E3)</f>
        <v>20331.7268</v>
      </c>
    </row>
    <row r="4">
      <c r="A4" s="265" t="s">
        <v>132</v>
      </c>
      <c r="B4" s="263">
        <f>IFERROR(__xludf.DUMMYFUNCTION("iferror(sum(filter(TIMESHEET!$N:$N,month(TIMESHEET!$F:$F)&gt;=1,month(TIMESHEET!$F:$F)&lt;=3,TIMESHEET!$E:$E=$A4)),0)"),0.0)</f>
        <v>0</v>
      </c>
      <c r="C4" s="263">
        <f>IFERROR(__xludf.DUMMYFUNCTION("iferror(sum(filter(TIMESHEET!$N:$N,month(TIMESHEET!$F:$F)&gt;=4,month(TIMESHEET!$F:$F)&lt;=6,TIMESHEET!$E:$E=$A4)),0)"),7477.0271452840925)</f>
        <v>7477.027145</v>
      </c>
      <c r="D4" s="263">
        <f>IFERROR(__xludf.DUMMYFUNCTION("iferror(sum(filter(TIMESHEET!$N:$N,month(TIMESHEET!$F:$F)&gt;=7,month(TIMESHEET!$F:$F)&lt;=9,TIMESHEET!$E:$E=$A4)),0)"),6263.716680179222)</f>
        <v>6263.71668</v>
      </c>
      <c r="E4" s="263">
        <f>IFERROR(__xludf.DUMMYFUNCTION("iferror(sum(filter(TIMESHEET!$N:$N,month(TIMESHEET!$F:$F)&gt;=10,month(TIMESHEET!$F:$F)&lt;=12,TIMESHEET!$E:$E=$A4)),0)"),0.0)</f>
        <v>0</v>
      </c>
      <c r="F4" s="264">
        <f t="shared" si="2"/>
        <v>13740.74383</v>
      </c>
    </row>
    <row r="5">
      <c r="A5" s="262" t="s">
        <v>144</v>
      </c>
      <c r="B5" s="263">
        <f>IFERROR(__xludf.DUMMYFUNCTION("iferror(sum(filter(TIMESHEET!$N:$N,month(TIMESHEET!$F:$F)&gt;=1,month(TIMESHEET!$F:$F)&lt;=3,TIMESHEET!$E:$E=$A5)),0)"),167.76999999999998)</f>
        <v>167.77</v>
      </c>
      <c r="C5" s="263">
        <f>IFERROR(__xludf.DUMMYFUNCTION("iferror(sum(filter(TIMESHEET!$N:$N,month(TIMESHEET!$F:$F)&gt;=4,month(TIMESHEET!$F:$F)&lt;=6,TIMESHEET!$E:$E=$A5)),0)"),2041.8805688987534)</f>
        <v>2041.880569</v>
      </c>
      <c r="D5" s="263">
        <f>IFERROR(__xludf.DUMMYFUNCTION("iferror(sum(filter(TIMESHEET!$N:$N,month(TIMESHEET!$F:$F)&gt;=7,month(TIMESHEET!$F:$F)&lt;=9,TIMESHEET!$E:$E=$A5)),0)"),4593.724226536621)</f>
        <v>4593.724227</v>
      </c>
      <c r="E5" s="263">
        <f>IFERROR(__xludf.DUMMYFUNCTION("iferror(sum(filter(TIMESHEET!$N:$N,month(TIMESHEET!$F:$F)&gt;=10,month(TIMESHEET!$F:$F)&lt;=12,TIMESHEET!$E:$E=$A5)),0)"),2968.6551103900615)</f>
        <v>2968.65511</v>
      </c>
      <c r="F5" s="264">
        <f t="shared" si="2"/>
        <v>9772.029906</v>
      </c>
    </row>
    <row r="6">
      <c r="A6" s="262" t="s">
        <v>122</v>
      </c>
      <c r="B6" s="263">
        <f>IFERROR(__xludf.DUMMYFUNCTION("iferror(sum(filter(TIMESHEET!$N:$N,month(TIMESHEET!$F:$F)&gt;=1,month(TIMESHEET!$F:$F)&lt;=3,TIMESHEET!$E:$E=$A6)),0)"),1648.94)</f>
        <v>1648.94</v>
      </c>
      <c r="C6" s="263">
        <f>IFERROR(__xludf.DUMMYFUNCTION("iferror(sum(filter(TIMESHEET!$N:$N,month(TIMESHEET!$F:$F)&gt;=4,month(TIMESHEET!$F:$F)&lt;=6,TIMESHEET!$E:$E=$A6)),0)"),195.01895661157022)</f>
        <v>195.0189566</v>
      </c>
      <c r="D6" s="263">
        <f>IFERROR(__xludf.DUMMYFUNCTION("iferror(sum(filter(TIMESHEET!$N:$N,month(TIMESHEET!$F:$F)&gt;=7,month(TIMESHEET!$F:$F)&lt;=9,TIMESHEET!$E:$E=$A6)),0)"),0.0)</f>
        <v>0</v>
      </c>
      <c r="E6" s="263">
        <f>IFERROR(__xludf.DUMMYFUNCTION("iferror(sum(filter(TIMESHEET!$N:$N,month(TIMESHEET!$F:$F)&gt;=10,month(TIMESHEET!$F:$F)&lt;=12,TIMESHEET!$E:$E=$A6)),0)"),0.0)</f>
        <v>0</v>
      </c>
      <c r="F6" s="264">
        <f t="shared" si="2"/>
        <v>1843.958957</v>
      </c>
    </row>
    <row r="7">
      <c r="A7" s="262" t="s">
        <v>131</v>
      </c>
      <c r="B7" s="263">
        <f>IFERROR(__xludf.DUMMYFUNCTION("iferror(sum(filter(TIMESHEET!$N:$N,month(TIMESHEET!$F:$F)&gt;=1,month(TIMESHEET!$F:$F)&lt;=3,TIMESHEET!$E:$E=$A7)),0)"),0.0)</f>
        <v>0</v>
      </c>
      <c r="C7" s="263">
        <f>IFERROR(__xludf.DUMMYFUNCTION("iferror(sum(filter(TIMESHEET!$N:$N,month(TIMESHEET!$F:$F)&gt;=4,month(TIMESHEET!$F:$F)&lt;=6,TIMESHEET!$E:$E=$A7)),0)"),2270.395206477272)</f>
        <v>2270.395206</v>
      </c>
      <c r="D7" s="263">
        <f>IFERROR(__xludf.DUMMYFUNCTION("iferror(sum(filter(TIMESHEET!$N:$N,month(TIMESHEET!$F:$F)&gt;=7,month(TIMESHEET!$F:$F)&lt;=9,TIMESHEET!$E:$E=$A7)),0)"),0.0)</f>
        <v>0</v>
      </c>
      <c r="E7" s="263">
        <f>IFERROR(__xludf.DUMMYFUNCTION("iferror(sum(filter(TIMESHEET!$N:$N,month(TIMESHEET!$F:$F)&gt;=10,month(TIMESHEET!$F:$F)&lt;=12,TIMESHEET!$E:$E=$A7)),0)"),969.2442595738639)</f>
        <v>969.2442596</v>
      </c>
      <c r="F7" s="264">
        <f t="shared" si="2"/>
        <v>3239.639466</v>
      </c>
    </row>
    <row r="8">
      <c r="A8" s="262" t="s">
        <v>126</v>
      </c>
      <c r="B8" s="263">
        <f>IFERROR(__xludf.DUMMYFUNCTION("iferror(sum(filter(TIMESHEET!$N:$N,month(TIMESHEET!$F:$F)&gt;=1,month(TIMESHEET!$F:$F)&lt;=3,TIMESHEET!$E:$E=$A8)),0)"),1838.5299999999997)</f>
        <v>1838.53</v>
      </c>
      <c r="C8" s="263">
        <f>IFERROR(__xludf.DUMMYFUNCTION("iferror(sum(filter(TIMESHEET!$N:$N,month(TIMESHEET!$F:$F)&gt;=4,month(TIMESHEET!$F:$F)&lt;=6,TIMESHEET!$E:$E=$A8)),0)"),7852.899095880679)</f>
        <v>7852.899096</v>
      </c>
      <c r="D8" s="263">
        <f>IFERROR(__xludf.DUMMYFUNCTION("iferror(sum(filter(TIMESHEET!$N:$N,month(TIMESHEET!$F:$F)&gt;=7,month(TIMESHEET!$F:$F)&lt;=9,TIMESHEET!$E:$E=$A8)),0)"),11834.85782235123)</f>
        <v>11834.85782</v>
      </c>
      <c r="E8" s="263">
        <f>IFERROR(__xludf.DUMMYFUNCTION("iferror(sum(filter(TIMESHEET!$N:$N,month(TIMESHEET!$F:$F)&gt;=10,month(TIMESHEET!$F:$F)&lt;=12,TIMESHEET!$E:$E=$A8)),0)"),0.0)</f>
        <v>0</v>
      </c>
      <c r="F8" s="264">
        <f t="shared" si="2"/>
        <v>21526.28692</v>
      </c>
    </row>
    <row r="9">
      <c r="A9" s="262" t="s">
        <v>134</v>
      </c>
      <c r="B9" s="263">
        <f>IFERROR(__xludf.DUMMYFUNCTION("iferror(sum(filter(TIMESHEET!$N:$N,month(TIMESHEET!$F:$F)&gt;=1,month(TIMESHEET!$F:$F)&lt;=3,TIMESHEET!$E:$E=$A9)),0)"),7599.280000000001)</f>
        <v>7599.28</v>
      </c>
      <c r="C9" s="263">
        <f>IFERROR(__xludf.DUMMYFUNCTION("iferror(sum(filter(TIMESHEET!$N:$N,month(TIMESHEET!$F:$F)&gt;=4,month(TIMESHEET!$F:$F)&lt;=6,TIMESHEET!$E:$E=$A9)),0)"),11142.319585446656)</f>
        <v>11142.31959</v>
      </c>
      <c r="D9" s="263">
        <f>IFERROR(__xludf.DUMMYFUNCTION("iferror(sum(filter(TIMESHEET!$N:$N,month(TIMESHEET!$F:$F)&gt;=7,month(TIMESHEET!$F:$F)&lt;=9,TIMESHEET!$E:$E=$A9)),0)"),0.0)</f>
        <v>0</v>
      </c>
      <c r="E9" s="263">
        <f>IFERROR(__xludf.DUMMYFUNCTION("iferror(sum(filter(TIMESHEET!$N:$N,month(TIMESHEET!$F:$F)&gt;=10,month(TIMESHEET!$F:$F)&lt;=12,TIMESHEET!$E:$E=$A9)),0)"),5176.620439037418)</f>
        <v>5176.620439</v>
      </c>
      <c r="F9" s="264">
        <f t="shared" si="2"/>
        <v>23918.22002</v>
      </c>
    </row>
    <row r="10">
      <c r="A10" s="262" t="s">
        <v>145</v>
      </c>
      <c r="B10" s="263">
        <f>IFERROR(__xludf.DUMMYFUNCTION("iferror(sum(filter(TIMESHEET!$N:$N,month(TIMESHEET!$F:$F)&gt;=1,month(TIMESHEET!$F:$F)&lt;=3,TIMESHEET!$E:$E=$A10)),0)"),255.04999999999998)</f>
        <v>255.05</v>
      </c>
      <c r="C10" s="263">
        <f>IFERROR(__xludf.DUMMYFUNCTION("iferror(sum(filter(TIMESHEET!$N:$N,month(TIMESHEET!$F:$F)&gt;=4,month(TIMESHEET!$F:$F)&lt;=6,TIMESHEET!$E:$E=$A10)),0)"),1304.8849007670453)</f>
        <v>1304.884901</v>
      </c>
      <c r="D10" s="263">
        <f>IFERROR(__xludf.DUMMYFUNCTION("iferror(sum(filter(TIMESHEET!$N:$N,month(TIMESHEET!$F:$F)&gt;=7,month(TIMESHEET!$F:$F)&lt;=9,TIMESHEET!$E:$E=$A10)),0)"),1452.9813060894269)</f>
        <v>1452.981306</v>
      </c>
      <c r="E10" s="263">
        <f>IFERROR(__xludf.DUMMYFUNCTION("iferror(sum(filter(TIMESHEET!$N:$N,month(TIMESHEET!$F:$F)&gt;=10,month(TIMESHEET!$F:$F)&lt;=12,TIMESHEET!$E:$E=$A10)),0)"),2412.697265959145)</f>
        <v>2412.697266</v>
      </c>
      <c r="F10" s="264">
        <f t="shared" si="2"/>
        <v>5425.613473</v>
      </c>
    </row>
    <row r="11">
      <c r="B11" s="266"/>
      <c r="C11" s="266"/>
      <c r="D11" s="266"/>
      <c r="E11" s="266"/>
      <c r="F11" s="266"/>
    </row>
    <row r="12">
      <c r="B12" s="266"/>
      <c r="C12" s="266"/>
      <c r="D12" s="266"/>
      <c r="E12" s="266"/>
      <c r="F12" s="266"/>
    </row>
    <row r="13">
      <c r="B13" s="266"/>
      <c r="C13" s="266"/>
      <c r="D13" s="266"/>
      <c r="E13" s="266"/>
      <c r="F13" s="266"/>
    </row>
    <row r="14">
      <c r="B14" s="266"/>
      <c r="C14" s="266"/>
      <c r="D14" s="266"/>
      <c r="E14" s="266"/>
      <c r="F14" s="266"/>
    </row>
    <row r="15">
      <c r="B15" s="266"/>
      <c r="C15" s="266"/>
      <c r="D15" s="266"/>
      <c r="E15" s="266"/>
      <c r="F15" s="266"/>
    </row>
    <row r="16">
      <c r="B16" s="266"/>
      <c r="C16" s="266"/>
      <c r="D16" s="266"/>
      <c r="E16" s="266"/>
      <c r="F16" s="266"/>
    </row>
    <row r="17">
      <c r="B17" s="266"/>
      <c r="C17" s="266"/>
      <c r="D17" s="266"/>
      <c r="E17" s="266"/>
      <c r="F17" s="266"/>
    </row>
    <row r="18">
      <c r="B18" s="266"/>
      <c r="C18" s="266"/>
      <c r="D18" s="266"/>
      <c r="E18" s="266"/>
      <c r="F18" s="266"/>
    </row>
    <row r="19">
      <c r="B19" s="266"/>
      <c r="C19" s="266"/>
      <c r="D19" s="266"/>
      <c r="E19" s="266"/>
      <c r="F19" s="266"/>
    </row>
    <row r="20">
      <c r="B20" s="266"/>
      <c r="C20" s="266"/>
      <c r="D20" s="266"/>
      <c r="E20" s="266"/>
      <c r="F20" s="266"/>
    </row>
    <row r="21">
      <c r="B21" s="266"/>
      <c r="C21" s="266"/>
      <c r="D21" s="266"/>
      <c r="E21" s="266"/>
      <c r="F21" s="266"/>
    </row>
    <row r="22">
      <c r="B22" s="266"/>
      <c r="C22" s="266"/>
      <c r="D22" s="266"/>
      <c r="E22" s="266"/>
      <c r="F22" s="266"/>
    </row>
    <row r="23">
      <c r="B23" s="266"/>
      <c r="C23" s="266"/>
      <c r="D23" s="266"/>
      <c r="E23" s="266"/>
      <c r="F23" s="266"/>
    </row>
    <row r="24">
      <c r="B24" s="266"/>
      <c r="C24" s="266"/>
      <c r="D24" s="266"/>
      <c r="E24" s="266"/>
      <c r="F24" s="266"/>
    </row>
    <row r="25">
      <c r="B25" s="266"/>
      <c r="C25" s="266"/>
      <c r="D25" s="266"/>
      <c r="E25" s="266"/>
      <c r="F25" s="266"/>
    </row>
    <row r="26">
      <c r="B26" s="266"/>
      <c r="C26" s="266"/>
      <c r="D26" s="266"/>
      <c r="E26" s="266"/>
      <c r="F26" s="266"/>
    </row>
    <row r="27">
      <c r="B27" s="266"/>
      <c r="C27" s="266"/>
      <c r="D27" s="266"/>
      <c r="E27" s="266"/>
      <c r="F27" s="266"/>
    </row>
    <row r="28">
      <c r="B28" s="266"/>
      <c r="C28" s="266"/>
      <c r="D28" s="266"/>
      <c r="E28" s="266"/>
      <c r="F28" s="266"/>
    </row>
    <row r="29">
      <c r="B29" s="266"/>
      <c r="C29" s="266"/>
      <c r="D29" s="266"/>
      <c r="E29" s="266"/>
      <c r="F29" s="266"/>
    </row>
    <row r="30">
      <c r="B30" s="266"/>
      <c r="C30" s="266"/>
      <c r="D30" s="266"/>
      <c r="E30" s="266"/>
      <c r="F30" s="266"/>
    </row>
    <row r="31">
      <c r="B31" s="266"/>
      <c r="C31" s="266"/>
      <c r="D31" s="266"/>
      <c r="E31" s="266"/>
      <c r="F31" s="266"/>
    </row>
    <row r="32">
      <c r="B32" s="266"/>
      <c r="C32" s="266"/>
      <c r="D32" s="266"/>
      <c r="E32" s="266"/>
      <c r="F32" s="266"/>
    </row>
    <row r="33">
      <c r="B33" s="266"/>
      <c r="C33" s="266"/>
      <c r="D33" s="266"/>
      <c r="E33" s="266"/>
      <c r="F33" s="266"/>
    </row>
    <row r="34">
      <c r="B34" s="266"/>
      <c r="C34" s="266"/>
      <c r="D34" s="266"/>
      <c r="E34" s="266"/>
      <c r="F34" s="266"/>
    </row>
    <row r="35">
      <c r="B35" s="266"/>
      <c r="C35" s="266"/>
      <c r="D35" s="266"/>
      <c r="E35" s="266"/>
      <c r="F35" s="266"/>
    </row>
    <row r="36">
      <c r="B36" s="266"/>
      <c r="C36" s="266"/>
      <c r="D36" s="266"/>
      <c r="E36" s="266"/>
      <c r="F36" s="266"/>
    </row>
    <row r="37">
      <c r="B37" s="266"/>
      <c r="C37" s="266"/>
      <c r="D37" s="266"/>
      <c r="E37" s="266"/>
      <c r="F37" s="266"/>
    </row>
    <row r="38">
      <c r="B38" s="266"/>
      <c r="C38" s="266"/>
      <c r="D38" s="266"/>
      <c r="E38" s="266"/>
      <c r="F38" s="266"/>
    </row>
    <row r="39">
      <c r="B39" s="266"/>
      <c r="C39" s="266"/>
      <c r="D39" s="266"/>
      <c r="E39" s="266"/>
      <c r="F39" s="266"/>
    </row>
    <row r="40">
      <c r="B40" s="266"/>
      <c r="C40" s="266"/>
      <c r="D40" s="266"/>
      <c r="E40" s="266"/>
      <c r="F40" s="266"/>
    </row>
    <row r="41">
      <c r="B41" s="266"/>
      <c r="C41" s="266"/>
      <c r="D41" s="266"/>
      <c r="E41" s="266"/>
      <c r="F41" s="266"/>
    </row>
    <row r="42">
      <c r="B42" s="266"/>
      <c r="C42" s="266"/>
      <c r="D42" s="266"/>
      <c r="E42" s="266"/>
      <c r="F42" s="266"/>
    </row>
    <row r="43">
      <c r="B43" s="266"/>
      <c r="C43" s="266"/>
      <c r="D43" s="266"/>
      <c r="E43" s="266"/>
      <c r="F43" s="266"/>
    </row>
    <row r="44">
      <c r="B44" s="266"/>
      <c r="C44" s="266"/>
      <c r="D44" s="266"/>
      <c r="E44" s="266"/>
      <c r="F44" s="266"/>
    </row>
    <row r="45">
      <c r="B45" s="266"/>
      <c r="C45" s="266"/>
      <c r="D45" s="266"/>
      <c r="E45" s="266"/>
      <c r="F45" s="266"/>
    </row>
    <row r="46">
      <c r="B46" s="266"/>
      <c r="C46" s="266"/>
      <c r="D46" s="266"/>
      <c r="E46" s="266"/>
      <c r="F46" s="266"/>
    </row>
    <row r="47">
      <c r="B47" s="266"/>
      <c r="C47" s="266"/>
      <c r="D47" s="266"/>
      <c r="E47" s="266"/>
      <c r="F47" s="266"/>
    </row>
    <row r="48">
      <c r="B48" s="266"/>
      <c r="C48" s="266"/>
      <c r="D48" s="266"/>
      <c r="E48" s="266"/>
      <c r="F48" s="266"/>
    </row>
    <row r="49">
      <c r="B49" s="266"/>
      <c r="C49" s="266"/>
      <c r="D49" s="266"/>
      <c r="E49" s="266"/>
      <c r="F49" s="266"/>
    </row>
    <row r="50">
      <c r="B50" s="266"/>
      <c r="C50" s="266"/>
      <c r="D50" s="266"/>
      <c r="E50" s="266"/>
      <c r="F50" s="266"/>
    </row>
    <row r="51">
      <c r="B51" s="266"/>
      <c r="C51" s="266"/>
      <c r="D51" s="266"/>
      <c r="E51" s="266"/>
      <c r="F51" s="266"/>
    </row>
    <row r="52">
      <c r="B52" s="266"/>
      <c r="C52" s="266"/>
      <c r="D52" s="266"/>
      <c r="E52" s="266"/>
      <c r="F52" s="266"/>
    </row>
    <row r="53">
      <c r="B53" s="266"/>
      <c r="C53" s="266"/>
      <c r="D53" s="266"/>
      <c r="E53" s="266"/>
      <c r="F53" s="266"/>
    </row>
    <row r="54">
      <c r="B54" s="266"/>
      <c r="C54" s="266"/>
      <c r="D54" s="266"/>
      <c r="E54" s="266"/>
      <c r="F54" s="266"/>
    </row>
    <row r="55">
      <c r="B55" s="266"/>
      <c r="C55" s="266"/>
      <c r="D55" s="266"/>
      <c r="E55" s="266"/>
      <c r="F55" s="266"/>
    </row>
    <row r="56">
      <c r="B56" s="266"/>
      <c r="C56" s="266"/>
      <c r="D56" s="266"/>
      <c r="E56" s="266"/>
      <c r="F56" s="266"/>
    </row>
    <row r="57">
      <c r="B57" s="266"/>
      <c r="C57" s="266"/>
      <c r="D57" s="266"/>
      <c r="E57" s="266"/>
      <c r="F57" s="266"/>
    </row>
    <row r="58">
      <c r="B58" s="266"/>
      <c r="C58" s="266"/>
      <c r="D58" s="266"/>
      <c r="E58" s="266"/>
      <c r="F58" s="266"/>
    </row>
    <row r="59">
      <c r="B59" s="266"/>
      <c r="C59" s="266"/>
      <c r="D59" s="266"/>
      <c r="E59" s="266"/>
      <c r="F59" s="266"/>
    </row>
    <row r="60">
      <c r="B60" s="266"/>
      <c r="C60" s="266"/>
      <c r="D60" s="266"/>
      <c r="E60" s="266"/>
      <c r="F60" s="266"/>
    </row>
    <row r="61">
      <c r="B61" s="266"/>
      <c r="C61" s="266"/>
      <c r="D61" s="266"/>
      <c r="E61" s="266"/>
      <c r="F61" s="266"/>
    </row>
    <row r="62">
      <c r="B62" s="266"/>
      <c r="C62" s="266"/>
      <c r="D62" s="266"/>
      <c r="E62" s="266"/>
      <c r="F62" s="266"/>
    </row>
    <row r="63">
      <c r="B63" s="266"/>
      <c r="C63" s="266"/>
      <c r="D63" s="266"/>
      <c r="E63" s="266"/>
      <c r="F63" s="266"/>
    </row>
    <row r="64">
      <c r="B64" s="266"/>
      <c r="C64" s="266"/>
      <c r="D64" s="266"/>
      <c r="E64" s="266"/>
      <c r="F64" s="266"/>
    </row>
    <row r="65">
      <c r="B65" s="266"/>
      <c r="C65" s="266"/>
      <c r="D65" s="266"/>
      <c r="E65" s="266"/>
      <c r="F65" s="266"/>
    </row>
    <row r="66">
      <c r="B66" s="266"/>
      <c r="C66" s="266"/>
      <c r="D66" s="266"/>
      <c r="E66" s="266"/>
      <c r="F66" s="266"/>
    </row>
    <row r="67">
      <c r="B67" s="266"/>
      <c r="C67" s="266"/>
      <c r="D67" s="266"/>
      <c r="E67" s="266"/>
      <c r="F67" s="266"/>
    </row>
    <row r="68">
      <c r="B68" s="266"/>
      <c r="C68" s="266"/>
      <c r="D68" s="266"/>
      <c r="E68" s="266"/>
      <c r="F68" s="266"/>
    </row>
    <row r="69">
      <c r="B69" s="266"/>
      <c r="C69" s="266"/>
      <c r="D69" s="266"/>
      <c r="E69" s="266"/>
      <c r="F69" s="266"/>
    </row>
    <row r="70">
      <c r="B70" s="266"/>
      <c r="C70" s="266"/>
      <c r="D70" s="266"/>
      <c r="E70" s="266"/>
      <c r="F70" s="266"/>
    </row>
    <row r="71">
      <c r="B71" s="266"/>
      <c r="C71" s="266"/>
      <c r="D71" s="266"/>
      <c r="E71" s="266"/>
      <c r="F71" s="266"/>
    </row>
    <row r="72">
      <c r="B72" s="266"/>
      <c r="C72" s="266"/>
      <c r="D72" s="266"/>
      <c r="E72" s="266"/>
      <c r="F72" s="266"/>
    </row>
    <row r="73">
      <c r="B73" s="266"/>
      <c r="C73" s="266"/>
      <c r="D73" s="266"/>
      <c r="E73" s="266"/>
      <c r="F73" s="266"/>
    </row>
    <row r="74">
      <c r="B74" s="266"/>
      <c r="C74" s="266"/>
      <c r="D74" s="266"/>
      <c r="E74" s="266"/>
      <c r="F74" s="266"/>
    </row>
    <row r="75">
      <c r="B75" s="266"/>
      <c r="C75" s="266"/>
      <c r="D75" s="266"/>
      <c r="E75" s="266"/>
      <c r="F75" s="266"/>
    </row>
    <row r="76">
      <c r="B76" s="266"/>
      <c r="C76" s="266"/>
      <c r="D76" s="266"/>
      <c r="E76" s="266"/>
      <c r="F76" s="266"/>
    </row>
    <row r="77">
      <c r="B77" s="266"/>
      <c r="C77" s="266"/>
      <c r="D77" s="266"/>
      <c r="E77" s="266"/>
      <c r="F77" s="266"/>
    </row>
    <row r="78">
      <c r="B78" s="266"/>
      <c r="C78" s="266"/>
      <c r="D78" s="266"/>
      <c r="E78" s="266"/>
      <c r="F78" s="266"/>
    </row>
    <row r="79">
      <c r="B79" s="266"/>
      <c r="C79" s="266"/>
      <c r="D79" s="266"/>
      <c r="E79" s="266"/>
      <c r="F79" s="266"/>
    </row>
    <row r="80">
      <c r="B80" s="266"/>
      <c r="C80" s="266"/>
      <c r="D80" s="266"/>
      <c r="E80" s="266"/>
      <c r="F80" s="266"/>
    </row>
    <row r="81">
      <c r="B81" s="266"/>
      <c r="C81" s="266"/>
      <c r="D81" s="266"/>
      <c r="E81" s="266"/>
      <c r="F81" s="266"/>
    </row>
    <row r="82">
      <c r="B82" s="266"/>
      <c r="C82" s="266"/>
      <c r="D82" s="266"/>
      <c r="E82" s="266"/>
      <c r="F82" s="266"/>
    </row>
    <row r="83">
      <c r="B83" s="266"/>
      <c r="C83" s="266"/>
      <c r="D83" s="266"/>
      <c r="E83" s="266"/>
      <c r="F83" s="266"/>
    </row>
    <row r="84">
      <c r="B84" s="266"/>
      <c r="C84" s="266"/>
      <c r="D84" s="266"/>
      <c r="E84" s="266"/>
      <c r="F84" s="266"/>
    </row>
    <row r="85">
      <c r="B85" s="266"/>
      <c r="C85" s="266"/>
      <c r="D85" s="266"/>
      <c r="E85" s="266"/>
      <c r="F85" s="266"/>
    </row>
    <row r="86">
      <c r="B86" s="266"/>
      <c r="C86" s="266"/>
      <c r="D86" s="266"/>
      <c r="E86" s="266"/>
      <c r="F86" s="266"/>
    </row>
    <row r="87">
      <c r="B87" s="266"/>
      <c r="C87" s="266"/>
      <c r="D87" s="266"/>
      <c r="E87" s="266"/>
      <c r="F87" s="266"/>
    </row>
    <row r="88">
      <c r="B88" s="266"/>
      <c r="C88" s="266"/>
      <c r="D88" s="266"/>
      <c r="E88" s="266"/>
      <c r="F88" s="266"/>
    </row>
    <row r="89">
      <c r="B89" s="266"/>
      <c r="C89" s="266"/>
      <c r="D89" s="266"/>
      <c r="E89" s="266"/>
      <c r="F89" s="266"/>
    </row>
    <row r="90">
      <c r="B90" s="266"/>
      <c r="C90" s="266"/>
      <c r="D90" s="266"/>
      <c r="E90" s="266"/>
      <c r="F90" s="266"/>
    </row>
    <row r="91">
      <c r="B91" s="266"/>
      <c r="C91" s="266"/>
      <c r="D91" s="266"/>
      <c r="E91" s="266"/>
      <c r="F91" s="266"/>
    </row>
    <row r="92">
      <c r="B92" s="266"/>
      <c r="C92" s="266"/>
      <c r="D92" s="266"/>
      <c r="E92" s="266"/>
      <c r="F92" s="266"/>
    </row>
    <row r="93">
      <c r="B93" s="266"/>
      <c r="C93" s="266"/>
      <c r="D93" s="266"/>
      <c r="E93" s="266"/>
      <c r="F93" s="266"/>
    </row>
    <row r="94">
      <c r="B94" s="266"/>
      <c r="C94" s="266"/>
      <c r="D94" s="266"/>
      <c r="E94" s="266"/>
      <c r="F94" s="266"/>
    </row>
    <row r="95">
      <c r="B95" s="266"/>
      <c r="C95" s="266"/>
      <c r="D95" s="266"/>
      <c r="E95" s="266"/>
      <c r="F95" s="266"/>
    </row>
    <row r="96">
      <c r="B96" s="266"/>
      <c r="C96" s="266"/>
      <c r="D96" s="266"/>
      <c r="E96" s="266"/>
      <c r="F96" s="266"/>
    </row>
    <row r="97">
      <c r="B97" s="266"/>
      <c r="C97" s="266"/>
      <c r="D97" s="266"/>
      <c r="E97" s="266"/>
      <c r="F97" s="266"/>
    </row>
    <row r="98">
      <c r="B98" s="266"/>
      <c r="C98" s="266"/>
      <c r="D98" s="266"/>
      <c r="E98" s="266"/>
      <c r="F98" s="266"/>
    </row>
    <row r="99">
      <c r="B99" s="266"/>
      <c r="C99" s="266"/>
      <c r="D99" s="266"/>
      <c r="E99" s="266"/>
      <c r="F99" s="266"/>
    </row>
    <row r="100">
      <c r="B100" s="266"/>
      <c r="C100" s="266"/>
      <c r="D100" s="266"/>
      <c r="E100" s="266"/>
      <c r="F100" s="266"/>
    </row>
    <row r="101">
      <c r="B101" s="266"/>
      <c r="C101" s="266"/>
      <c r="D101" s="266"/>
      <c r="E101" s="266"/>
      <c r="F101" s="266"/>
    </row>
    <row r="102">
      <c r="B102" s="266"/>
      <c r="C102" s="266"/>
      <c r="D102" s="266"/>
      <c r="E102" s="266"/>
      <c r="F102" s="266"/>
    </row>
    <row r="103">
      <c r="B103" s="266"/>
      <c r="C103" s="266"/>
      <c r="D103" s="266"/>
      <c r="E103" s="266"/>
      <c r="F103" s="266"/>
    </row>
    <row r="104">
      <c r="B104" s="266"/>
      <c r="C104" s="266"/>
      <c r="D104" s="266"/>
      <c r="E104" s="266"/>
      <c r="F104" s="266"/>
    </row>
    <row r="105">
      <c r="B105" s="266"/>
      <c r="C105" s="266"/>
      <c r="D105" s="266"/>
      <c r="E105" s="266"/>
      <c r="F105" s="266"/>
    </row>
    <row r="106">
      <c r="B106" s="266"/>
      <c r="C106" s="266"/>
      <c r="D106" s="266"/>
      <c r="E106" s="266"/>
      <c r="F106" s="266"/>
    </row>
    <row r="107">
      <c r="B107" s="266"/>
      <c r="C107" s="266"/>
      <c r="D107" s="266"/>
      <c r="E107" s="266"/>
      <c r="F107" s="266"/>
    </row>
    <row r="108">
      <c r="B108" s="266"/>
      <c r="C108" s="266"/>
      <c r="D108" s="266"/>
      <c r="E108" s="266"/>
      <c r="F108" s="266"/>
    </row>
    <row r="109">
      <c r="B109" s="266"/>
      <c r="C109" s="266"/>
      <c r="D109" s="266"/>
      <c r="E109" s="266"/>
      <c r="F109" s="266"/>
    </row>
    <row r="110">
      <c r="B110" s="266"/>
      <c r="C110" s="266"/>
      <c r="D110" s="266"/>
      <c r="E110" s="266"/>
      <c r="F110" s="266"/>
    </row>
    <row r="111">
      <c r="B111" s="266"/>
      <c r="C111" s="266"/>
      <c r="D111" s="266"/>
      <c r="E111" s="266"/>
      <c r="F111" s="266"/>
    </row>
    <row r="112">
      <c r="B112" s="266"/>
      <c r="C112" s="266"/>
      <c r="D112" s="266"/>
      <c r="E112" s="266"/>
      <c r="F112" s="266"/>
    </row>
    <row r="113">
      <c r="B113" s="266"/>
      <c r="C113" s="266"/>
      <c r="D113" s="266"/>
      <c r="E113" s="266"/>
      <c r="F113" s="266"/>
    </row>
    <row r="114">
      <c r="B114" s="266"/>
      <c r="C114" s="266"/>
      <c r="D114" s="266"/>
      <c r="E114" s="266"/>
      <c r="F114" s="266"/>
    </row>
    <row r="115">
      <c r="B115" s="266"/>
      <c r="C115" s="266"/>
      <c r="D115" s="266"/>
      <c r="E115" s="266"/>
      <c r="F115" s="266"/>
    </row>
    <row r="116">
      <c r="B116" s="266"/>
      <c r="C116" s="266"/>
      <c r="D116" s="266"/>
      <c r="E116" s="266"/>
      <c r="F116" s="266"/>
    </row>
    <row r="117">
      <c r="B117" s="266"/>
      <c r="C117" s="266"/>
      <c r="D117" s="266"/>
      <c r="E117" s="266"/>
      <c r="F117" s="266"/>
    </row>
    <row r="118">
      <c r="B118" s="266"/>
      <c r="C118" s="266"/>
      <c r="D118" s="266"/>
      <c r="E118" s="266"/>
      <c r="F118" s="266"/>
    </row>
    <row r="119">
      <c r="B119" s="266"/>
      <c r="C119" s="266"/>
      <c r="D119" s="266"/>
      <c r="E119" s="266"/>
      <c r="F119" s="266"/>
    </row>
    <row r="120">
      <c r="B120" s="266"/>
      <c r="C120" s="266"/>
      <c r="D120" s="266"/>
      <c r="E120" s="266"/>
      <c r="F120" s="266"/>
    </row>
    <row r="121">
      <c r="B121" s="266"/>
      <c r="C121" s="266"/>
      <c r="D121" s="266"/>
      <c r="E121" s="266"/>
      <c r="F121" s="266"/>
    </row>
    <row r="122">
      <c r="B122" s="266"/>
      <c r="C122" s="266"/>
      <c r="D122" s="266"/>
      <c r="E122" s="266"/>
      <c r="F122" s="266"/>
    </row>
    <row r="123">
      <c r="B123" s="266"/>
      <c r="C123" s="266"/>
      <c r="D123" s="266"/>
      <c r="E123" s="266"/>
      <c r="F123" s="266"/>
    </row>
    <row r="124">
      <c r="B124" s="266"/>
      <c r="C124" s="266"/>
      <c r="D124" s="266"/>
      <c r="E124" s="266"/>
      <c r="F124" s="266"/>
    </row>
    <row r="125">
      <c r="B125" s="266"/>
      <c r="C125" s="266"/>
      <c r="D125" s="266"/>
      <c r="E125" s="266"/>
      <c r="F125" s="266"/>
    </row>
    <row r="126">
      <c r="B126" s="266"/>
      <c r="C126" s="266"/>
      <c r="D126" s="266"/>
      <c r="E126" s="266"/>
      <c r="F126" s="266"/>
    </row>
    <row r="127">
      <c r="B127" s="266"/>
      <c r="C127" s="266"/>
      <c r="D127" s="266"/>
      <c r="E127" s="266"/>
      <c r="F127" s="266"/>
    </row>
    <row r="128">
      <c r="B128" s="266"/>
      <c r="C128" s="266"/>
      <c r="D128" s="266"/>
      <c r="E128" s="266"/>
      <c r="F128" s="266"/>
    </row>
    <row r="129">
      <c r="B129" s="266"/>
      <c r="C129" s="266"/>
      <c r="D129" s="266"/>
      <c r="E129" s="266"/>
      <c r="F129" s="266"/>
    </row>
    <row r="130">
      <c r="B130" s="266"/>
      <c r="C130" s="266"/>
      <c r="D130" s="266"/>
      <c r="E130" s="266"/>
      <c r="F130" s="266"/>
    </row>
    <row r="131">
      <c r="B131" s="266"/>
      <c r="C131" s="266"/>
      <c r="D131" s="266"/>
      <c r="E131" s="266"/>
      <c r="F131" s="266"/>
    </row>
    <row r="132">
      <c r="B132" s="266"/>
      <c r="C132" s="266"/>
      <c r="D132" s="266"/>
      <c r="E132" s="266"/>
      <c r="F132" s="266"/>
    </row>
    <row r="133">
      <c r="B133" s="266"/>
      <c r="C133" s="266"/>
      <c r="D133" s="266"/>
      <c r="E133" s="266"/>
      <c r="F133" s="266"/>
    </row>
    <row r="134">
      <c r="B134" s="266"/>
      <c r="C134" s="266"/>
      <c r="D134" s="266"/>
      <c r="E134" s="266"/>
      <c r="F134" s="266"/>
    </row>
    <row r="135">
      <c r="B135" s="266"/>
      <c r="C135" s="266"/>
      <c r="D135" s="266"/>
      <c r="E135" s="266"/>
      <c r="F135" s="266"/>
    </row>
    <row r="136">
      <c r="B136" s="266"/>
      <c r="C136" s="266"/>
      <c r="D136" s="266"/>
      <c r="E136" s="266"/>
      <c r="F136" s="266"/>
    </row>
    <row r="137">
      <c r="B137" s="266"/>
      <c r="C137" s="266"/>
      <c r="D137" s="266"/>
      <c r="E137" s="266"/>
      <c r="F137" s="266"/>
    </row>
    <row r="138">
      <c r="B138" s="266"/>
      <c r="C138" s="266"/>
      <c r="D138" s="266"/>
      <c r="E138" s="266"/>
      <c r="F138" s="266"/>
    </row>
    <row r="139">
      <c r="B139" s="266"/>
      <c r="C139" s="266"/>
      <c r="D139" s="266"/>
      <c r="E139" s="266"/>
      <c r="F139" s="266"/>
    </row>
    <row r="140">
      <c r="B140" s="266"/>
      <c r="C140" s="266"/>
      <c r="D140" s="266"/>
      <c r="E140" s="266"/>
      <c r="F140" s="266"/>
    </row>
    <row r="141">
      <c r="B141" s="266"/>
      <c r="C141" s="266"/>
      <c r="D141" s="266"/>
      <c r="E141" s="266"/>
      <c r="F141" s="266"/>
    </row>
    <row r="142">
      <c r="B142" s="266"/>
      <c r="C142" s="266"/>
      <c r="D142" s="266"/>
      <c r="E142" s="266"/>
      <c r="F142" s="266"/>
    </row>
    <row r="143">
      <c r="B143" s="266"/>
      <c r="C143" s="266"/>
      <c r="D143" s="266"/>
      <c r="E143" s="266"/>
      <c r="F143" s="266"/>
    </row>
    <row r="144">
      <c r="B144" s="266"/>
      <c r="C144" s="266"/>
      <c r="D144" s="266"/>
      <c r="E144" s="266"/>
      <c r="F144" s="266"/>
    </row>
    <row r="145">
      <c r="B145" s="266"/>
      <c r="C145" s="266"/>
      <c r="D145" s="266"/>
      <c r="E145" s="266"/>
      <c r="F145" s="266"/>
    </row>
    <row r="146">
      <c r="B146" s="266"/>
      <c r="C146" s="266"/>
      <c r="D146" s="266"/>
      <c r="E146" s="266"/>
      <c r="F146" s="266"/>
    </row>
    <row r="147">
      <c r="B147" s="266"/>
      <c r="C147" s="266"/>
      <c r="D147" s="266"/>
      <c r="E147" s="266"/>
      <c r="F147" s="266"/>
    </row>
    <row r="148">
      <c r="B148" s="266"/>
      <c r="C148" s="266"/>
      <c r="D148" s="266"/>
      <c r="E148" s="266"/>
      <c r="F148" s="266"/>
    </row>
    <row r="149">
      <c r="B149" s="266"/>
      <c r="C149" s="266"/>
      <c r="D149" s="266"/>
      <c r="E149" s="266"/>
      <c r="F149" s="266"/>
    </row>
    <row r="150">
      <c r="B150" s="266"/>
      <c r="C150" s="266"/>
      <c r="D150" s="266"/>
      <c r="E150" s="266"/>
      <c r="F150" s="266"/>
    </row>
    <row r="151">
      <c r="B151" s="266"/>
      <c r="C151" s="266"/>
      <c r="D151" s="266"/>
      <c r="E151" s="266"/>
      <c r="F151" s="266"/>
    </row>
    <row r="152">
      <c r="B152" s="266"/>
      <c r="C152" s="266"/>
      <c r="D152" s="266"/>
      <c r="E152" s="266"/>
      <c r="F152" s="266"/>
    </row>
    <row r="153">
      <c r="B153" s="266"/>
      <c r="C153" s="266"/>
      <c r="D153" s="266"/>
      <c r="E153" s="266"/>
      <c r="F153" s="266"/>
    </row>
    <row r="154">
      <c r="B154" s="266"/>
      <c r="C154" s="266"/>
      <c r="D154" s="266"/>
      <c r="E154" s="266"/>
      <c r="F154" s="266"/>
    </row>
    <row r="155">
      <c r="B155" s="266"/>
      <c r="C155" s="266"/>
      <c r="D155" s="266"/>
      <c r="E155" s="266"/>
      <c r="F155" s="266"/>
    </row>
    <row r="156">
      <c r="B156" s="266"/>
      <c r="C156" s="266"/>
      <c r="D156" s="266"/>
      <c r="E156" s="266"/>
      <c r="F156" s="266"/>
    </row>
    <row r="157">
      <c r="B157" s="266"/>
      <c r="C157" s="266"/>
      <c r="D157" s="266"/>
      <c r="E157" s="266"/>
      <c r="F157" s="266"/>
    </row>
    <row r="158">
      <c r="B158" s="266"/>
      <c r="C158" s="266"/>
      <c r="D158" s="266"/>
      <c r="E158" s="266"/>
      <c r="F158" s="266"/>
    </row>
    <row r="159">
      <c r="B159" s="266"/>
      <c r="C159" s="266"/>
      <c r="D159" s="266"/>
      <c r="E159" s="266"/>
      <c r="F159" s="266"/>
    </row>
    <row r="160">
      <c r="B160" s="266"/>
      <c r="C160" s="266"/>
      <c r="D160" s="266"/>
      <c r="E160" s="266"/>
      <c r="F160" s="266"/>
    </row>
    <row r="161">
      <c r="B161" s="266"/>
      <c r="C161" s="266"/>
      <c r="D161" s="266"/>
      <c r="E161" s="266"/>
      <c r="F161" s="266"/>
    </row>
    <row r="162">
      <c r="B162" s="266"/>
      <c r="C162" s="266"/>
      <c r="D162" s="266"/>
      <c r="E162" s="266"/>
      <c r="F162" s="266"/>
    </row>
    <row r="163">
      <c r="B163" s="266"/>
      <c r="C163" s="266"/>
      <c r="D163" s="266"/>
      <c r="E163" s="266"/>
      <c r="F163" s="266"/>
    </row>
    <row r="164">
      <c r="B164" s="266"/>
      <c r="C164" s="266"/>
      <c r="D164" s="266"/>
      <c r="E164" s="266"/>
      <c r="F164" s="266"/>
    </row>
    <row r="165">
      <c r="B165" s="266"/>
      <c r="C165" s="266"/>
      <c r="D165" s="266"/>
      <c r="E165" s="266"/>
      <c r="F165" s="266"/>
    </row>
    <row r="166">
      <c r="B166" s="266"/>
      <c r="C166" s="266"/>
      <c r="D166" s="266"/>
      <c r="E166" s="266"/>
      <c r="F166" s="266"/>
    </row>
    <row r="167">
      <c r="B167" s="266"/>
      <c r="C167" s="266"/>
      <c r="D167" s="266"/>
      <c r="E167" s="266"/>
      <c r="F167" s="266"/>
    </row>
    <row r="168">
      <c r="B168" s="266"/>
      <c r="C168" s="266"/>
      <c r="D168" s="266"/>
      <c r="E168" s="266"/>
      <c r="F168" s="266"/>
    </row>
    <row r="169">
      <c r="B169" s="266"/>
      <c r="C169" s="266"/>
      <c r="D169" s="266"/>
      <c r="E169" s="266"/>
      <c r="F169" s="266"/>
    </row>
    <row r="170">
      <c r="B170" s="266"/>
      <c r="C170" s="266"/>
      <c r="D170" s="266"/>
      <c r="E170" s="266"/>
      <c r="F170" s="266"/>
    </row>
    <row r="171">
      <c r="B171" s="266"/>
      <c r="C171" s="266"/>
      <c r="D171" s="266"/>
      <c r="E171" s="266"/>
      <c r="F171" s="266"/>
    </row>
    <row r="172">
      <c r="B172" s="266"/>
      <c r="C172" s="266"/>
      <c r="D172" s="266"/>
      <c r="E172" s="266"/>
      <c r="F172" s="266"/>
    </row>
    <row r="173">
      <c r="B173" s="266"/>
      <c r="C173" s="266"/>
      <c r="D173" s="266"/>
      <c r="E173" s="266"/>
      <c r="F173" s="266"/>
    </row>
    <row r="174">
      <c r="B174" s="266"/>
      <c r="C174" s="266"/>
      <c r="D174" s="266"/>
      <c r="E174" s="266"/>
      <c r="F174" s="266"/>
    </row>
    <row r="175">
      <c r="B175" s="266"/>
      <c r="C175" s="266"/>
      <c r="D175" s="266"/>
      <c r="E175" s="266"/>
      <c r="F175" s="266"/>
    </row>
    <row r="176">
      <c r="B176" s="266"/>
      <c r="C176" s="266"/>
      <c r="D176" s="266"/>
      <c r="E176" s="266"/>
      <c r="F176" s="266"/>
    </row>
    <row r="177">
      <c r="B177" s="266"/>
      <c r="C177" s="266"/>
      <c r="D177" s="266"/>
      <c r="E177" s="266"/>
      <c r="F177" s="266"/>
    </row>
    <row r="178">
      <c r="B178" s="266"/>
      <c r="C178" s="266"/>
      <c r="D178" s="266"/>
      <c r="E178" s="266"/>
      <c r="F178" s="266"/>
    </row>
    <row r="179">
      <c r="B179" s="266"/>
      <c r="C179" s="266"/>
      <c r="D179" s="266"/>
      <c r="E179" s="266"/>
      <c r="F179" s="266"/>
    </row>
    <row r="180">
      <c r="B180" s="266"/>
      <c r="C180" s="266"/>
      <c r="D180" s="266"/>
      <c r="E180" s="266"/>
      <c r="F180" s="266"/>
    </row>
    <row r="181">
      <c r="B181" s="266"/>
      <c r="C181" s="266"/>
      <c r="D181" s="266"/>
      <c r="E181" s="266"/>
      <c r="F181" s="266"/>
    </row>
    <row r="182">
      <c r="B182" s="266"/>
      <c r="C182" s="266"/>
      <c r="D182" s="266"/>
      <c r="E182" s="266"/>
      <c r="F182" s="266"/>
    </row>
    <row r="183">
      <c r="B183" s="266"/>
      <c r="C183" s="266"/>
      <c r="D183" s="266"/>
      <c r="E183" s="266"/>
      <c r="F183" s="266"/>
    </row>
    <row r="184">
      <c r="B184" s="266"/>
      <c r="C184" s="266"/>
      <c r="D184" s="266"/>
      <c r="E184" s="266"/>
      <c r="F184" s="266"/>
    </row>
    <row r="185">
      <c r="B185" s="266"/>
      <c r="C185" s="266"/>
      <c r="D185" s="266"/>
      <c r="E185" s="266"/>
      <c r="F185" s="266"/>
    </row>
    <row r="186">
      <c r="B186" s="266"/>
      <c r="C186" s="266"/>
      <c r="D186" s="266"/>
      <c r="E186" s="266"/>
      <c r="F186" s="266"/>
    </row>
    <row r="187">
      <c r="B187" s="266"/>
      <c r="C187" s="266"/>
      <c r="D187" s="266"/>
      <c r="E187" s="266"/>
      <c r="F187" s="266"/>
    </row>
    <row r="188">
      <c r="B188" s="266"/>
      <c r="C188" s="266"/>
      <c r="D188" s="266"/>
      <c r="E188" s="266"/>
      <c r="F188" s="266"/>
    </row>
    <row r="189">
      <c r="B189" s="266"/>
      <c r="C189" s="266"/>
      <c r="D189" s="266"/>
      <c r="E189" s="266"/>
      <c r="F189" s="266"/>
    </row>
    <row r="190">
      <c r="B190" s="266"/>
      <c r="C190" s="266"/>
      <c r="D190" s="266"/>
      <c r="E190" s="266"/>
      <c r="F190" s="266"/>
    </row>
    <row r="191">
      <c r="B191" s="266"/>
      <c r="C191" s="266"/>
      <c r="D191" s="266"/>
      <c r="E191" s="266"/>
      <c r="F191" s="266"/>
    </row>
    <row r="192">
      <c r="B192" s="266"/>
      <c r="C192" s="266"/>
      <c r="D192" s="266"/>
      <c r="E192" s="266"/>
      <c r="F192" s="266"/>
    </row>
    <row r="193">
      <c r="B193" s="266"/>
      <c r="C193" s="266"/>
      <c r="D193" s="266"/>
      <c r="E193" s="266"/>
      <c r="F193" s="266"/>
    </row>
    <row r="194">
      <c r="B194" s="266"/>
      <c r="C194" s="266"/>
      <c r="D194" s="266"/>
      <c r="E194" s="266"/>
      <c r="F194" s="266"/>
    </row>
    <row r="195">
      <c r="B195" s="266"/>
      <c r="C195" s="266"/>
      <c r="D195" s="266"/>
      <c r="E195" s="266"/>
      <c r="F195" s="266"/>
    </row>
    <row r="196">
      <c r="B196" s="266"/>
      <c r="C196" s="266"/>
      <c r="D196" s="266"/>
      <c r="E196" s="266"/>
      <c r="F196" s="266"/>
    </row>
    <row r="197">
      <c r="B197" s="266"/>
      <c r="C197" s="266"/>
      <c r="D197" s="266"/>
      <c r="E197" s="266"/>
      <c r="F197" s="266"/>
    </row>
    <row r="198">
      <c r="B198" s="266"/>
      <c r="C198" s="266"/>
      <c r="D198" s="266"/>
      <c r="E198" s="266"/>
      <c r="F198" s="266"/>
    </row>
    <row r="199">
      <c r="B199" s="266"/>
      <c r="C199" s="266"/>
      <c r="D199" s="266"/>
      <c r="E199" s="266"/>
      <c r="F199" s="266"/>
    </row>
    <row r="200">
      <c r="B200" s="266"/>
      <c r="C200" s="266"/>
      <c r="D200" s="266"/>
      <c r="E200" s="266"/>
      <c r="F200" s="266"/>
    </row>
    <row r="201">
      <c r="B201" s="266"/>
      <c r="C201" s="266"/>
      <c r="D201" s="266"/>
      <c r="E201" s="266"/>
      <c r="F201" s="266"/>
    </row>
    <row r="202">
      <c r="B202" s="266"/>
      <c r="C202" s="266"/>
      <c r="D202" s="266"/>
      <c r="E202" s="266"/>
      <c r="F202" s="266"/>
    </row>
    <row r="203">
      <c r="B203" s="266"/>
      <c r="C203" s="266"/>
      <c r="D203" s="266"/>
      <c r="E203" s="266"/>
      <c r="F203" s="266"/>
    </row>
    <row r="204">
      <c r="B204" s="266"/>
      <c r="C204" s="266"/>
      <c r="D204" s="266"/>
      <c r="E204" s="266"/>
      <c r="F204" s="266"/>
    </row>
    <row r="205">
      <c r="B205" s="266"/>
      <c r="C205" s="266"/>
      <c r="D205" s="266"/>
      <c r="E205" s="266"/>
      <c r="F205" s="266"/>
    </row>
    <row r="206">
      <c r="B206" s="266"/>
      <c r="C206" s="266"/>
      <c r="D206" s="266"/>
      <c r="E206" s="266"/>
      <c r="F206" s="266"/>
    </row>
    <row r="207">
      <c r="B207" s="266"/>
      <c r="C207" s="266"/>
      <c r="D207" s="266"/>
      <c r="E207" s="266"/>
      <c r="F207" s="266"/>
    </row>
    <row r="208">
      <c r="B208" s="266"/>
      <c r="C208" s="266"/>
      <c r="D208" s="266"/>
      <c r="E208" s="266"/>
      <c r="F208" s="266"/>
    </row>
    <row r="209">
      <c r="B209" s="266"/>
      <c r="C209" s="266"/>
      <c r="D209" s="266"/>
      <c r="E209" s="266"/>
      <c r="F209" s="266"/>
    </row>
    <row r="210">
      <c r="B210" s="266"/>
      <c r="C210" s="266"/>
      <c r="D210" s="266"/>
      <c r="E210" s="266"/>
      <c r="F210" s="266"/>
    </row>
    <row r="211">
      <c r="B211" s="266"/>
      <c r="C211" s="266"/>
      <c r="D211" s="266"/>
      <c r="E211" s="266"/>
      <c r="F211" s="266"/>
    </row>
    <row r="212">
      <c r="B212" s="266"/>
      <c r="C212" s="266"/>
      <c r="D212" s="266"/>
      <c r="E212" s="266"/>
      <c r="F212" s="266"/>
    </row>
    <row r="213">
      <c r="B213" s="266"/>
      <c r="C213" s="266"/>
      <c r="D213" s="266"/>
      <c r="E213" s="266"/>
      <c r="F213" s="266"/>
    </row>
    <row r="214">
      <c r="B214" s="266"/>
      <c r="C214" s="266"/>
      <c r="D214" s="266"/>
      <c r="E214" s="266"/>
      <c r="F214" s="266"/>
    </row>
    <row r="215">
      <c r="B215" s="266"/>
      <c r="C215" s="266"/>
      <c r="D215" s="266"/>
      <c r="E215" s="266"/>
      <c r="F215" s="266"/>
    </row>
    <row r="216">
      <c r="B216" s="266"/>
      <c r="C216" s="266"/>
      <c r="D216" s="266"/>
      <c r="E216" s="266"/>
      <c r="F216" s="266"/>
    </row>
    <row r="217">
      <c r="B217" s="266"/>
      <c r="C217" s="266"/>
      <c r="D217" s="266"/>
      <c r="E217" s="266"/>
      <c r="F217" s="266"/>
    </row>
    <row r="218">
      <c r="B218" s="266"/>
      <c r="C218" s="266"/>
      <c r="D218" s="266"/>
      <c r="E218" s="266"/>
      <c r="F218" s="266"/>
    </row>
    <row r="219">
      <c r="B219" s="266"/>
      <c r="C219" s="266"/>
      <c r="D219" s="266"/>
      <c r="E219" s="266"/>
      <c r="F219" s="266"/>
    </row>
    <row r="220">
      <c r="B220" s="266"/>
      <c r="C220" s="266"/>
      <c r="D220" s="266"/>
      <c r="E220" s="266"/>
      <c r="F220" s="266"/>
    </row>
    <row r="221">
      <c r="B221" s="266"/>
      <c r="C221" s="266"/>
      <c r="D221" s="266"/>
      <c r="E221" s="266"/>
      <c r="F221" s="266"/>
    </row>
    <row r="222">
      <c r="B222" s="266"/>
      <c r="C222" s="266"/>
      <c r="D222" s="266"/>
      <c r="E222" s="266"/>
      <c r="F222" s="266"/>
    </row>
    <row r="223">
      <c r="B223" s="266"/>
      <c r="C223" s="266"/>
      <c r="D223" s="266"/>
      <c r="E223" s="266"/>
      <c r="F223" s="266"/>
    </row>
    <row r="224">
      <c r="B224" s="266"/>
      <c r="C224" s="266"/>
      <c r="D224" s="266"/>
      <c r="E224" s="266"/>
      <c r="F224" s="266"/>
    </row>
    <row r="225">
      <c r="B225" s="266"/>
      <c r="C225" s="266"/>
      <c r="D225" s="266"/>
      <c r="E225" s="266"/>
      <c r="F225" s="266"/>
    </row>
    <row r="226">
      <c r="B226" s="266"/>
      <c r="C226" s="266"/>
      <c r="D226" s="266"/>
      <c r="E226" s="266"/>
      <c r="F226" s="266"/>
    </row>
    <row r="227">
      <c r="B227" s="266"/>
      <c r="C227" s="266"/>
      <c r="D227" s="266"/>
      <c r="E227" s="266"/>
      <c r="F227" s="266"/>
    </row>
    <row r="228">
      <c r="B228" s="266"/>
      <c r="C228" s="266"/>
      <c r="D228" s="266"/>
      <c r="E228" s="266"/>
      <c r="F228" s="266"/>
    </row>
    <row r="229">
      <c r="B229" s="266"/>
      <c r="C229" s="266"/>
      <c r="D229" s="266"/>
      <c r="E229" s="266"/>
      <c r="F229" s="266"/>
    </row>
    <row r="230">
      <c r="B230" s="266"/>
      <c r="C230" s="266"/>
      <c r="D230" s="266"/>
      <c r="E230" s="266"/>
      <c r="F230" s="266"/>
    </row>
    <row r="231">
      <c r="B231" s="266"/>
      <c r="C231" s="266"/>
      <c r="D231" s="266"/>
      <c r="E231" s="266"/>
      <c r="F231" s="266"/>
    </row>
    <row r="232">
      <c r="B232" s="266"/>
      <c r="C232" s="266"/>
      <c r="D232" s="266"/>
      <c r="E232" s="266"/>
      <c r="F232" s="266"/>
    </row>
    <row r="233">
      <c r="B233" s="266"/>
      <c r="C233" s="266"/>
      <c r="D233" s="266"/>
      <c r="E233" s="266"/>
      <c r="F233" s="266"/>
    </row>
    <row r="234">
      <c r="B234" s="266"/>
      <c r="C234" s="266"/>
      <c r="D234" s="266"/>
      <c r="E234" s="266"/>
      <c r="F234" s="266"/>
    </row>
    <row r="235">
      <c r="B235" s="266"/>
      <c r="C235" s="266"/>
      <c r="D235" s="266"/>
      <c r="E235" s="266"/>
      <c r="F235" s="266"/>
    </row>
    <row r="236">
      <c r="B236" s="266"/>
      <c r="C236" s="266"/>
      <c r="D236" s="266"/>
      <c r="E236" s="266"/>
      <c r="F236" s="266"/>
    </row>
    <row r="237">
      <c r="B237" s="266"/>
      <c r="C237" s="266"/>
      <c r="D237" s="266"/>
      <c r="E237" s="266"/>
      <c r="F237" s="266"/>
    </row>
    <row r="238">
      <c r="B238" s="266"/>
      <c r="C238" s="266"/>
      <c r="D238" s="266"/>
      <c r="E238" s="266"/>
      <c r="F238" s="266"/>
    </row>
    <row r="239">
      <c r="B239" s="266"/>
      <c r="C239" s="266"/>
      <c r="D239" s="266"/>
      <c r="E239" s="266"/>
      <c r="F239" s="266"/>
    </row>
    <row r="240">
      <c r="B240" s="266"/>
      <c r="C240" s="266"/>
      <c r="D240" s="266"/>
      <c r="E240" s="266"/>
      <c r="F240" s="266"/>
    </row>
    <row r="241">
      <c r="B241" s="266"/>
      <c r="C241" s="266"/>
      <c r="D241" s="266"/>
      <c r="E241" s="266"/>
      <c r="F241" s="266"/>
    </row>
    <row r="242">
      <c r="B242" s="266"/>
      <c r="C242" s="266"/>
      <c r="D242" s="266"/>
      <c r="E242" s="266"/>
      <c r="F242" s="266"/>
    </row>
    <row r="243">
      <c r="B243" s="266"/>
      <c r="C243" s="266"/>
      <c r="D243" s="266"/>
      <c r="E243" s="266"/>
      <c r="F243" s="266"/>
    </row>
    <row r="244">
      <c r="B244" s="266"/>
      <c r="C244" s="266"/>
      <c r="D244" s="266"/>
      <c r="E244" s="266"/>
      <c r="F244" s="266"/>
    </row>
    <row r="245">
      <c r="B245" s="266"/>
      <c r="C245" s="266"/>
      <c r="D245" s="266"/>
      <c r="E245" s="266"/>
      <c r="F245" s="266"/>
    </row>
    <row r="246">
      <c r="B246" s="266"/>
      <c r="C246" s="266"/>
      <c r="D246" s="266"/>
      <c r="E246" s="266"/>
      <c r="F246" s="266"/>
    </row>
    <row r="247">
      <c r="B247" s="266"/>
      <c r="C247" s="266"/>
      <c r="D247" s="266"/>
      <c r="E247" s="266"/>
      <c r="F247" s="266"/>
    </row>
    <row r="248">
      <c r="B248" s="266"/>
      <c r="C248" s="266"/>
      <c r="D248" s="266"/>
      <c r="E248" s="266"/>
      <c r="F248" s="266"/>
    </row>
    <row r="249">
      <c r="B249" s="266"/>
      <c r="C249" s="266"/>
      <c r="D249" s="266"/>
      <c r="E249" s="266"/>
      <c r="F249" s="266"/>
    </row>
    <row r="250">
      <c r="B250" s="266"/>
      <c r="C250" s="266"/>
      <c r="D250" s="266"/>
      <c r="E250" s="266"/>
      <c r="F250" s="266"/>
    </row>
    <row r="251">
      <c r="B251" s="266"/>
      <c r="C251" s="266"/>
      <c r="D251" s="266"/>
      <c r="E251" s="266"/>
      <c r="F251" s="266"/>
    </row>
    <row r="252">
      <c r="B252" s="266"/>
      <c r="C252" s="266"/>
      <c r="D252" s="266"/>
      <c r="E252" s="266"/>
      <c r="F252" s="266"/>
    </row>
    <row r="253">
      <c r="B253" s="266"/>
      <c r="C253" s="266"/>
      <c r="D253" s="266"/>
      <c r="E253" s="266"/>
      <c r="F253" s="266"/>
    </row>
    <row r="254">
      <c r="B254" s="266"/>
      <c r="C254" s="266"/>
      <c r="D254" s="266"/>
      <c r="E254" s="266"/>
      <c r="F254" s="266"/>
    </row>
    <row r="255">
      <c r="B255" s="266"/>
      <c r="C255" s="266"/>
      <c r="D255" s="266"/>
      <c r="E255" s="266"/>
      <c r="F255" s="266"/>
    </row>
    <row r="256">
      <c r="B256" s="266"/>
      <c r="C256" s="266"/>
      <c r="D256" s="266"/>
      <c r="E256" s="266"/>
      <c r="F256" s="266"/>
    </row>
    <row r="257">
      <c r="B257" s="266"/>
      <c r="C257" s="266"/>
      <c r="D257" s="266"/>
      <c r="E257" s="266"/>
      <c r="F257" s="266"/>
    </row>
    <row r="258">
      <c r="B258" s="266"/>
      <c r="C258" s="266"/>
      <c r="D258" s="266"/>
      <c r="E258" s="266"/>
      <c r="F258" s="266"/>
    </row>
    <row r="259">
      <c r="B259" s="266"/>
      <c r="C259" s="266"/>
      <c r="D259" s="266"/>
      <c r="E259" s="266"/>
      <c r="F259" s="266"/>
    </row>
    <row r="260">
      <c r="B260" s="266"/>
      <c r="C260" s="266"/>
      <c r="D260" s="266"/>
      <c r="E260" s="266"/>
      <c r="F260" s="266"/>
    </row>
    <row r="261">
      <c r="B261" s="266"/>
      <c r="C261" s="266"/>
      <c r="D261" s="266"/>
      <c r="E261" s="266"/>
      <c r="F261" s="266"/>
    </row>
    <row r="262">
      <c r="B262" s="266"/>
      <c r="C262" s="266"/>
      <c r="D262" s="266"/>
      <c r="E262" s="266"/>
      <c r="F262" s="266"/>
    </row>
    <row r="263">
      <c r="B263" s="266"/>
      <c r="C263" s="266"/>
      <c r="D263" s="266"/>
      <c r="E263" s="266"/>
      <c r="F263" s="266"/>
    </row>
    <row r="264">
      <c r="B264" s="266"/>
      <c r="C264" s="266"/>
      <c r="D264" s="266"/>
      <c r="E264" s="266"/>
      <c r="F264" s="266"/>
    </row>
    <row r="265">
      <c r="B265" s="266"/>
      <c r="C265" s="266"/>
      <c r="D265" s="266"/>
      <c r="E265" s="266"/>
      <c r="F265" s="266"/>
    </row>
    <row r="266">
      <c r="B266" s="266"/>
      <c r="C266" s="266"/>
      <c r="D266" s="266"/>
      <c r="E266" s="266"/>
      <c r="F266" s="266"/>
    </row>
    <row r="267">
      <c r="B267" s="266"/>
      <c r="C267" s="266"/>
      <c r="D267" s="266"/>
      <c r="E267" s="266"/>
      <c r="F267" s="266"/>
    </row>
    <row r="268">
      <c r="B268" s="266"/>
      <c r="C268" s="266"/>
      <c r="D268" s="266"/>
      <c r="E268" s="266"/>
      <c r="F268" s="266"/>
    </row>
    <row r="269">
      <c r="B269" s="266"/>
      <c r="C269" s="266"/>
      <c r="D269" s="266"/>
      <c r="E269" s="266"/>
      <c r="F269" s="266"/>
    </row>
    <row r="270">
      <c r="B270" s="266"/>
      <c r="C270" s="266"/>
      <c r="D270" s="266"/>
      <c r="E270" s="266"/>
      <c r="F270" s="266"/>
    </row>
    <row r="271">
      <c r="B271" s="266"/>
      <c r="C271" s="266"/>
      <c r="D271" s="266"/>
      <c r="E271" s="266"/>
      <c r="F271" s="266"/>
    </row>
    <row r="272">
      <c r="B272" s="266"/>
      <c r="C272" s="266"/>
      <c r="D272" s="266"/>
      <c r="E272" s="266"/>
      <c r="F272" s="266"/>
    </row>
    <row r="273">
      <c r="B273" s="266"/>
      <c r="C273" s="266"/>
      <c r="D273" s="266"/>
      <c r="E273" s="266"/>
      <c r="F273" s="266"/>
    </row>
    <row r="274">
      <c r="B274" s="266"/>
      <c r="C274" s="266"/>
      <c r="D274" s="266"/>
      <c r="E274" s="266"/>
      <c r="F274" s="266"/>
    </row>
    <row r="275">
      <c r="B275" s="266"/>
      <c r="C275" s="266"/>
      <c r="D275" s="266"/>
      <c r="E275" s="266"/>
      <c r="F275" s="266"/>
    </row>
    <row r="276">
      <c r="B276" s="266"/>
      <c r="C276" s="266"/>
      <c r="D276" s="266"/>
      <c r="E276" s="266"/>
      <c r="F276" s="266"/>
    </row>
    <row r="277">
      <c r="B277" s="266"/>
      <c r="C277" s="266"/>
      <c r="D277" s="266"/>
      <c r="E277" s="266"/>
      <c r="F277" s="266"/>
    </row>
    <row r="278">
      <c r="B278" s="266"/>
      <c r="C278" s="266"/>
      <c r="D278" s="266"/>
      <c r="E278" s="266"/>
      <c r="F278" s="266"/>
    </row>
    <row r="279">
      <c r="B279" s="266"/>
      <c r="C279" s="266"/>
      <c r="D279" s="266"/>
      <c r="E279" s="266"/>
      <c r="F279" s="266"/>
    </row>
    <row r="280">
      <c r="B280" s="266"/>
      <c r="C280" s="266"/>
      <c r="D280" s="266"/>
      <c r="E280" s="266"/>
      <c r="F280" s="266"/>
    </row>
    <row r="281">
      <c r="B281" s="266"/>
      <c r="C281" s="266"/>
      <c r="D281" s="266"/>
      <c r="E281" s="266"/>
      <c r="F281" s="266"/>
    </row>
    <row r="282">
      <c r="B282" s="266"/>
      <c r="C282" s="266"/>
      <c r="D282" s="266"/>
      <c r="E282" s="266"/>
      <c r="F282" s="266"/>
    </row>
    <row r="283">
      <c r="B283" s="266"/>
      <c r="C283" s="266"/>
      <c r="D283" s="266"/>
      <c r="E283" s="266"/>
      <c r="F283" s="266"/>
    </row>
    <row r="284">
      <c r="B284" s="266"/>
      <c r="C284" s="266"/>
      <c r="D284" s="266"/>
      <c r="E284" s="266"/>
      <c r="F284" s="266"/>
    </row>
    <row r="285">
      <c r="B285" s="266"/>
      <c r="C285" s="266"/>
      <c r="D285" s="266"/>
      <c r="E285" s="266"/>
      <c r="F285" s="266"/>
    </row>
    <row r="286">
      <c r="B286" s="266"/>
      <c r="C286" s="266"/>
      <c r="D286" s="266"/>
      <c r="E286" s="266"/>
      <c r="F286" s="266"/>
    </row>
    <row r="287">
      <c r="B287" s="266"/>
      <c r="C287" s="266"/>
      <c r="D287" s="266"/>
      <c r="E287" s="266"/>
      <c r="F287" s="266"/>
    </row>
    <row r="288">
      <c r="B288" s="266"/>
      <c r="C288" s="266"/>
      <c r="D288" s="266"/>
      <c r="E288" s="266"/>
      <c r="F288" s="266"/>
    </row>
    <row r="289">
      <c r="B289" s="266"/>
      <c r="C289" s="266"/>
      <c r="D289" s="266"/>
      <c r="E289" s="266"/>
      <c r="F289" s="266"/>
    </row>
    <row r="290">
      <c r="B290" s="266"/>
      <c r="C290" s="266"/>
      <c r="D290" s="266"/>
      <c r="E290" s="266"/>
      <c r="F290" s="266"/>
    </row>
    <row r="291">
      <c r="B291" s="266"/>
      <c r="C291" s="266"/>
      <c r="D291" s="266"/>
      <c r="E291" s="266"/>
      <c r="F291" s="266"/>
    </row>
    <row r="292">
      <c r="B292" s="266"/>
      <c r="C292" s="266"/>
      <c r="D292" s="266"/>
      <c r="E292" s="266"/>
      <c r="F292" s="266"/>
    </row>
    <row r="293">
      <c r="B293" s="266"/>
      <c r="C293" s="266"/>
      <c r="D293" s="266"/>
      <c r="E293" s="266"/>
      <c r="F293" s="266"/>
    </row>
    <row r="294">
      <c r="B294" s="266"/>
      <c r="C294" s="266"/>
      <c r="D294" s="266"/>
      <c r="E294" s="266"/>
      <c r="F294" s="266"/>
    </row>
    <row r="295">
      <c r="B295" s="266"/>
      <c r="C295" s="266"/>
      <c r="D295" s="266"/>
      <c r="E295" s="266"/>
      <c r="F295" s="266"/>
    </row>
    <row r="296">
      <c r="B296" s="266"/>
      <c r="C296" s="266"/>
      <c r="D296" s="266"/>
      <c r="E296" s="266"/>
      <c r="F296" s="266"/>
    </row>
    <row r="297">
      <c r="B297" s="266"/>
      <c r="C297" s="266"/>
      <c r="D297" s="266"/>
      <c r="E297" s="266"/>
      <c r="F297" s="266"/>
    </row>
    <row r="298">
      <c r="B298" s="266"/>
      <c r="C298" s="266"/>
      <c r="D298" s="266"/>
      <c r="E298" s="266"/>
      <c r="F298" s="266"/>
    </row>
    <row r="299">
      <c r="B299" s="266"/>
      <c r="C299" s="266"/>
      <c r="D299" s="266"/>
      <c r="E299" s="266"/>
      <c r="F299" s="266"/>
    </row>
    <row r="300">
      <c r="B300" s="266"/>
      <c r="C300" s="266"/>
      <c r="D300" s="266"/>
      <c r="E300" s="266"/>
      <c r="F300" s="266"/>
    </row>
    <row r="301">
      <c r="B301" s="266"/>
      <c r="C301" s="266"/>
      <c r="D301" s="266"/>
      <c r="E301" s="266"/>
      <c r="F301" s="266"/>
    </row>
    <row r="302">
      <c r="B302" s="266"/>
      <c r="C302" s="266"/>
      <c r="D302" s="266"/>
      <c r="E302" s="266"/>
      <c r="F302" s="266"/>
    </row>
    <row r="303">
      <c r="B303" s="266"/>
      <c r="C303" s="266"/>
      <c r="D303" s="266"/>
      <c r="E303" s="266"/>
      <c r="F303" s="266"/>
    </row>
    <row r="304">
      <c r="B304" s="266"/>
      <c r="C304" s="266"/>
      <c r="D304" s="266"/>
      <c r="E304" s="266"/>
      <c r="F304" s="266"/>
    </row>
    <row r="305">
      <c r="B305" s="266"/>
      <c r="C305" s="266"/>
      <c r="D305" s="266"/>
      <c r="E305" s="266"/>
      <c r="F305" s="266"/>
    </row>
    <row r="306">
      <c r="B306" s="266"/>
      <c r="C306" s="266"/>
      <c r="D306" s="266"/>
      <c r="E306" s="266"/>
      <c r="F306" s="266"/>
    </row>
    <row r="307">
      <c r="B307" s="266"/>
      <c r="C307" s="266"/>
      <c r="D307" s="266"/>
      <c r="E307" s="266"/>
      <c r="F307" s="266"/>
    </row>
    <row r="308">
      <c r="B308" s="266"/>
      <c r="C308" s="266"/>
      <c r="D308" s="266"/>
      <c r="E308" s="266"/>
      <c r="F308" s="266"/>
    </row>
    <row r="309">
      <c r="B309" s="266"/>
      <c r="C309" s="266"/>
      <c r="D309" s="266"/>
      <c r="E309" s="266"/>
      <c r="F309" s="266"/>
    </row>
    <row r="310">
      <c r="B310" s="266"/>
      <c r="C310" s="266"/>
      <c r="D310" s="266"/>
      <c r="E310" s="266"/>
      <c r="F310" s="266"/>
    </row>
    <row r="311">
      <c r="B311" s="266"/>
      <c r="C311" s="266"/>
      <c r="D311" s="266"/>
      <c r="E311" s="266"/>
      <c r="F311" s="266"/>
    </row>
    <row r="312">
      <c r="B312" s="266"/>
      <c r="C312" s="266"/>
      <c r="D312" s="266"/>
      <c r="E312" s="266"/>
      <c r="F312" s="266"/>
    </row>
    <row r="313">
      <c r="B313" s="266"/>
      <c r="C313" s="266"/>
      <c r="D313" s="266"/>
      <c r="E313" s="266"/>
      <c r="F313" s="266"/>
    </row>
    <row r="314">
      <c r="B314" s="266"/>
      <c r="C314" s="266"/>
      <c r="D314" s="266"/>
      <c r="E314" s="266"/>
      <c r="F314" s="266"/>
    </row>
    <row r="315">
      <c r="B315" s="266"/>
      <c r="C315" s="266"/>
      <c r="D315" s="266"/>
      <c r="E315" s="266"/>
      <c r="F315" s="266"/>
    </row>
    <row r="316">
      <c r="B316" s="266"/>
      <c r="C316" s="266"/>
      <c r="D316" s="266"/>
      <c r="E316" s="266"/>
      <c r="F316" s="266"/>
    </row>
    <row r="317">
      <c r="B317" s="266"/>
      <c r="C317" s="266"/>
      <c r="D317" s="266"/>
      <c r="E317" s="266"/>
      <c r="F317" s="266"/>
    </row>
    <row r="318">
      <c r="B318" s="266"/>
      <c r="C318" s="266"/>
      <c r="D318" s="266"/>
      <c r="E318" s="266"/>
      <c r="F318" s="266"/>
    </row>
    <row r="319">
      <c r="B319" s="266"/>
      <c r="C319" s="266"/>
      <c r="D319" s="266"/>
      <c r="E319" s="266"/>
      <c r="F319" s="266"/>
    </row>
    <row r="320">
      <c r="B320" s="266"/>
      <c r="C320" s="266"/>
      <c r="D320" s="266"/>
      <c r="E320" s="266"/>
      <c r="F320" s="266"/>
    </row>
    <row r="321">
      <c r="B321" s="266"/>
      <c r="C321" s="266"/>
      <c r="D321" s="266"/>
      <c r="E321" s="266"/>
      <c r="F321" s="266"/>
    </row>
    <row r="322">
      <c r="B322" s="266"/>
      <c r="C322" s="266"/>
      <c r="D322" s="266"/>
      <c r="E322" s="266"/>
      <c r="F322" s="266"/>
    </row>
    <row r="323">
      <c r="B323" s="266"/>
      <c r="C323" s="266"/>
      <c r="D323" s="266"/>
      <c r="E323" s="266"/>
      <c r="F323" s="266"/>
    </row>
    <row r="324">
      <c r="B324" s="266"/>
      <c r="C324" s="266"/>
      <c r="D324" s="266"/>
      <c r="E324" s="266"/>
      <c r="F324" s="266"/>
    </row>
    <row r="325">
      <c r="B325" s="266"/>
      <c r="C325" s="266"/>
      <c r="D325" s="266"/>
      <c r="E325" s="266"/>
      <c r="F325" s="266"/>
    </row>
    <row r="326">
      <c r="B326" s="266"/>
      <c r="C326" s="266"/>
      <c r="D326" s="266"/>
      <c r="E326" s="266"/>
      <c r="F326" s="266"/>
    </row>
    <row r="327">
      <c r="B327" s="266"/>
      <c r="C327" s="266"/>
      <c r="D327" s="266"/>
      <c r="E327" s="266"/>
      <c r="F327" s="266"/>
    </row>
    <row r="328">
      <c r="B328" s="266"/>
      <c r="C328" s="266"/>
      <c r="D328" s="266"/>
      <c r="E328" s="266"/>
      <c r="F328" s="266"/>
    </row>
    <row r="329">
      <c r="B329" s="266"/>
      <c r="C329" s="266"/>
      <c r="D329" s="266"/>
      <c r="E329" s="266"/>
      <c r="F329" s="266"/>
    </row>
    <row r="330">
      <c r="B330" s="266"/>
      <c r="C330" s="266"/>
      <c r="D330" s="266"/>
      <c r="E330" s="266"/>
      <c r="F330" s="266"/>
    </row>
    <row r="331">
      <c r="B331" s="266"/>
      <c r="C331" s="266"/>
      <c r="D331" s="266"/>
      <c r="E331" s="266"/>
      <c r="F331" s="266"/>
    </row>
    <row r="332">
      <c r="B332" s="266"/>
      <c r="C332" s="266"/>
      <c r="D332" s="266"/>
      <c r="E332" s="266"/>
      <c r="F332" s="266"/>
    </row>
    <row r="333">
      <c r="B333" s="266"/>
      <c r="C333" s="266"/>
      <c r="D333" s="266"/>
      <c r="E333" s="266"/>
      <c r="F333" s="266"/>
    </row>
    <row r="334">
      <c r="B334" s="266"/>
      <c r="C334" s="266"/>
      <c r="D334" s="266"/>
      <c r="E334" s="266"/>
      <c r="F334" s="266"/>
    </row>
    <row r="335">
      <c r="B335" s="266"/>
      <c r="C335" s="266"/>
      <c r="D335" s="266"/>
      <c r="E335" s="266"/>
      <c r="F335" s="266"/>
    </row>
    <row r="336">
      <c r="B336" s="266"/>
      <c r="C336" s="266"/>
      <c r="D336" s="266"/>
      <c r="E336" s="266"/>
      <c r="F336" s="266"/>
    </row>
    <row r="337">
      <c r="B337" s="266"/>
      <c r="C337" s="266"/>
      <c r="D337" s="266"/>
      <c r="E337" s="266"/>
      <c r="F337" s="266"/>
    </row>
    <row r="338">
      <c r="B338" s="266"/>
      <c r="C338" s="266"/>
      <c r="D338" s="266"/>
      <c r="E338" s="266"/>
      <c r="F338" s="266"/>
    </row>
    <row r="339">
      <c r="B339" s="266"/>
      <c r="C339" s="266"/>
      <c r="D339" s="266"/>
      <c r="E339" s="266"/>
      <c r="F339" s="266"/>
    </row>
    <row r="340">
      <c r="B340" s="266"/>
      <c r="C340" s="266"/>
      <c r="D340" s="266"/>
      <c r="E340" s="266"/>
      <c r="F340" s="266"/>
    </row>
    <row r="341">
      <c r="B341" s="266"/>
      <c r="C341" s="266"/>
      <c r="D341" s="266"/>
      <c r="E341" s="266"/>
      <c r="F341" s="266"/>
    </row>
    <row r="342">
      <c r="B342" s="266"/>
      <c r="C342" s="266"/>
      <c r="D342" s="266"/>
      <c r="E342" s="266"/>
      <c r="F342" s="266"/>
    </row>
    <row r="343">
      <c r="B343" s="266"/>
      <c r="C343" s="266"/>
      <c r="D343" s="266"/>
      <c r="E343" s="266"/>
      <c r="F343" s="266"/>
    </row>
    <row r="344">
      <c r="B344" s="266"/>
      <c r="C344" s="266"/>
      <c r="D344" s="266"/>
      <c r="E344" s="266"/>
      <c r="F344" s="266"/>
    </row>
    <row r="345">
      <c r="B345" s="266"/>
      <c r="C345" s="266"/>
      <c r="D345" s="266"/>
      <c r="E345" s="266"/>
      <c r="F345" s="266"/>
    </row>
    <row r="346">
      <c r="B346" s="266"/>
      <c r="C346" s="266"/>
      <c r="D346" s="266"/>
      <c r="E346" s="266"/>
      <c r="F346" s="266"/>
    </row>
    <row r="347">
      <c r="B347" s="266"/>
      <c r="C347" s="266"/>
      <c r="D347" s="266"/>
      <c r="E347" s="266"/>
      <c r="F347" s="266"/>
    </row>
    <row r="348">
      <c r="B348" s="266"/>
      <c r="C348" s="266"/>
      <c r="D348" s="266"/>
      <c r="E348" s="266"/>
      <c r="F348" s="266"/>
    </row>
    <row r="349">
      <c r="B349" s="266"/>
      <c r="C349" s="266"/>
      <c r="D349" s="266"/>
      <c r="E349" s="266"/>
      <c r="F349" s="266"/>
    </row>
    <row r="350">
      <c r="B350" s="266"/>
      <c r="C350" s="266"/>
      <c r="D350" s="266"/>
      <c r="E350" s="266"/>
      <c r="F350" s="266"/>
    </row>
    <row r="351">
      <c r="B351" s="266"/>
      <c r="C351" s="266"/>
      <c r="D351" s="266"/>
      <c r="E351" s="266"/>
      <c r="F351" s="266"/>
    </row>
    <row r="352">
      <c r="B352" s="266"/>
      <c r="C352" s="266"/>
      <c r="D352" s="266"/>
      <c r="E352" s="266"/>
      <c r="F352" s="266"/>
    </row>
    <row r="353">
      <c r="B353" s="266"/>
      <c r="C353" s="266"/>
      <c r="D353" s="266"/>
      <c r="E353" s="266"/>
      <c r="F353" s="266"/>
    </row>
    <row r="354">
      <c r="B354" s="266"/>
      <c r="C354" s="266"/>
      <c r="D354" s="266"/>
      <c r="E354" s="266"/>
      <c r="F354" s="266"/>
    </row>
    <row r="355">
      <c r="B355" s="266"/>
      <c r="C355" s="266"/>
      <c r="D355" s="266"/>
      <c r="E355" s="266"/>
      <c r="F355" s="266"/>
    </row>
    <row r="356">
      <c r="B356" s="266"/>
      <c r="C356" s="266"/>
      <c r="D356" s="266"/>
      <c r="E356" s="266"/>
      <c r="F356" s="266"/>
    </row>
    <row r="357">
      <c r="B357" s="266"/>
      <c r="C357" s="266"/>
      <c r="D357" s="266"/>
      <c r="E357" s="266"/>
      <c r="F357" s="266"/>
    </row>
    <row r="358">
      <c r="B358" s="266"/>
      <c r="C358" s="266"/>
      <c r="D358" s="266"/>
      <c r="E358" s="266"/>
      <c r="F358" s="266"/>
    </row>
    <row r="359">
      <c r="B359" s="266"/>
      <c r="C359" s="266"/>
      <c r="D359" s="266"/>
      <c r="E359" s="266"/>
      <c r="F359" s="266"/>
    </row>
    <row r="360">
      <c r="B360" s="266"/>
      <c r="C360" s="266"/>
      <c r="D360" s="266"/>
      <c r="E360" s="266"/>
      <c r="F360" s="266"/>
    </row>
    <row r="361">
      <c r="B361" s="266"/>
      <c r="C361" s="266"/>
      <c r="D361" s="266"/>
      <c r="E361" s="266"/>
      <c r="F361" s="266"/>
    </row>
    <row r="362">
      <c r="B362" s="266"/>
      <c r="C362" s="266"/>
      <c r="D362" s="266"/>
      <c r="E362" s="266"/>
      <c r="F362" s="266"/>
    </row>
    <row r="363">
      <c r="B363" s="266"/>
      <c r="C363" s="266"/>
      <c r="D363" s="266"/>
      <c r="E363" s="266"/>
      <c r="F363" s="266"/>
    </row>
    <row r="364">
      <c r="B364" s="266"/>
      <c r="C364" s="266"/>
      <c r="D364" s="266"/>
      <c r="E364" s="266"/>
      <c r="F364" s="266"/>
    </row>
    <row r="365">
      <c r="B365" s="266"/>
      <c r="C365" s="266"/>
      <c r="D365" s="266"/>
      <c r="E365" s="266"/>
      <c r="F365" s="266"/>
    </row>
    <row r="366">
      <c r="B366" s="266"/>
      <c r="C366" s="266"/>
      <c r="D366" s="266"/>
      <c r="E366" s="266"/>
      <c r="F366" s="266"/>
    </row>
    <row r="367">
      <c r="B367" s="266"/>
      <c r="C367" s="266"/>
      <c r="D367" s="266"/>
      <c r="E367" s="266"/>
      <c r="F367" s="266"/>
    </row>
    <row r="368">
      <c r="B368" s="266"/>
      <c r="C368" s="266"/>
      <c r="D368" s="266"/>
      <c r="E368" s="266"/>
      <c r="F368" s="266"/>
    </row>
    <row r="369">
      <c r="B369" s="266"/>
      <c r="C369" s="266"/>
      <c r="D369" s="266"/>
      <c r="E369" s="266"/>
      <c r="F369" s="266"/>
    </row>
    <row r="370">
      <c r="B370" s="266"/>
      <c r="C370" s="266"/>
      <c r="D370" s="266"/>
      <c r="E370" s="266"/>
      <c r="F370" s="266"/>
    </row>
    <row r="371">
      <c r="B371" s="266"/>
      <c r="C371" s="266"/>
      <c r="D371" s="266"/>
      <c r="E371" s="266"/>
      <c r="F371" s="266"/>
    </row>
    <row r="372">
      <c r="B372" s="266"/>
      <c r="C372" s="266"/>
      <c r="D372" s="266"/>
      <c r="E372" s="266"/>
      <c r="F372" s="266"/>
    </row>
    <row r="373">
      <c r="B373" s="266"/>
      <c r="C373" s="266"/>
      <c r="D373" s="266"/>
      <c r="E373" s="266"/>
      <c r="F373" s="266"/>
    </row>
    <row r="374">
      <c r="B374" s="266"/>
      <c r="C374" s="266"/>
      <c r="D374" s="266"/>
      <c r="E374" s="266"/>
      <c r="F374" s="266"/>
    </row>
    <row r="375">
      <c r="B375" s="266"/>
      <c r="C375" s="266"/>
      <c r="D375" s="266"/>
      <c r="E375" s="266"/>
      <c r="F375" s="266"/>
    </row>
    <row r="376">
      <c r="B376" s="266"/>
      <c r="C376" s="266"/>
      <c r="D376" s="266"/>
      <c r="E376" s="266"/>
      <c r="F376" s="266"/>
    </row>
    <row r="377">
      <c r="B377" s="266"/>
      <c r="C377" s="266"/>
      <c r="D377" s="266"/>
      <c r="E377" s="266"/>
      <c r="F377" s="266"/>
    </row>
    <row r="378">
      <c r="B378" s="266"/>
      <c r="C378" s="266"/>
      <c r="D378" s="266"/>
      <c r="E378" s="266"/>
      <c r="F378" s="266"/>
    </row>
    <row r="379">
      <c r="B379" s="266"/>
      <c r="C379" s="266"/>
      <c r="D379" s="266"/>
      <c r="E379" s="266"/>
      <c r="F379" s="266"/>
    </row>
    <row r="380">
      <c r="B380" s="266"/>
      <c r="C380" s="266"/>
      <c r="D380" s="266"/>
      <c r="E380" s="266"/>
      <c r="F380" s="266"/>
    </row>
    <row r="381">
      <c r="B381" s="266"/>
      <c r="C381" s="266"/>
      <c r="D381" s="266"/>
      <c r="E381" s="266"/>
      <c r="F381" s="266"/>
    </row>
    <row r="382">
      <c r="B382" s="266"/>
      <c r="C382" s="266"/>
      <c r="D382" s="266"/>
      <c r="E382" s="266"/>
      <c r="F382" s="266"/>
    </row>
    <row r="383">
      <c r="B383" s="266"/>
      <c r="C383" s="266"/>
      <c r="D383" s="266"/>
      <c r="E383" s="266"/>
      <c r="F383" s="266"/>
    </row>
    <row r="384">
      <c r="B384" s="266"/>
      <c r="C384" s="266"/>
      <c r="D384" s="266"/>
      <c r="E384" s="266"/>
      <c r="F384" s="266"/>
    </row>
    <row r="385">
      <c r="B385" s="266"/>
      <c r="C385" s="266"/>
      <c r="D385" s="266"/>
      <c r="E385" s="266"/>
      <c r="F385" s="266"/>
    </row>
    <row r="386">
      <c r="B386" s="266"/>
      <c r="C386" s="266"/>
      <c r="D386" s="266"/>
      <c r="E386" s="266"/>
      <c r="F386" s="266"/>
    </row>
    <row r="387">
      <c r="B387" s="266"/>
      <c r="C387" s="266"/>
      <c r="D387" s="266"/>
      <c r="E387" s="266"/>
      <c r="F387" s="266"/>
    </row>
    <row r="388">
      <c r="B388" s="266"/>
      <c r="C388" s="266"/>
      <c r="D388" s="266"/>
      <c r="E388" s="266"/>
      <c r="F388" s="266"/>
    </row>
    <row r="389">
      <c r="B389" s="266"/>
      <c r="C389" s="266"/>
      <c r="D389" s="266"/>
      <c r="E389" s="266"/>
      <c r="F389" s="266"/>
    </row>
    <row r="390">
      <c r="B390" s="266"/>
      <c r="C390" s="266"/>
      <c r="D390" s="266"/>
      <c r="E390" s="266"/>
      <c r="F390" s="266"/>
    </row>
    <row r="391">
      <c r="B391" s="266"/>
      <c r="C391" s="266"/>
      <c r="D391" s="266"/>
      <c r="E391" s="266"/>
      <c r="F391" s="266"/>
    </row>
    <row r="392">
      <c r="B392" s="266"/>
      <c r="C392" s="266"/>
      <c r="D392" s="266"/>
      <c r="E392" s="266"/>
      <c r="F392" s="266"/>
    </row>
    <row r="393">
      <c r="B393" s="266"/>
      <c r="C393" s="266"/>
      <c r="D393" s="266"/>
      <c r="E393" s="266"/>
      <c r="F393" s="266"/>
    </row>
    <row r="394">
      <c r="B394" s="266"/>
      <c r="C394" s="266"/>
      <c r="D394" s="266"/>
      <c r="E394" s="266"/>
      <c r="F394" s="266"/>
    </row>
    <row r="395">
      <c r="B395" s="266"/>
      <c r="C395" s="266"/>
      <c r="D395" s="266"/>
      <c r="E395" s="266"/>
      <c r="F395" s="266"/>
    </row>
    <row r="396">
      <c r="B396" s="266"/>
      <c r="C396" s="266"/>
      <c r="D396" s="266"/>
      <c r="E396" s="266"/>
      <c r="F396" s="266"/>
    </row>
    <row r="397">
      <c r="B397" s="266"/>
      <c r="C397" s="266"/>
      <c r="D397" s="266"/>
      <c r="E397" s="266"/>
      <c r="F397" s="266"/>
    </row>
    <row r="398">
      <c r="B398" s="266"/>
      <c r="C398" s="266"/>
      <c r="D398" s="266"/>
      <c r="E398" s="266"/>
      <c r="F398" s="266"/>
    </row>
    <row r="399">
      <c r="B399" s="266"/>
      <c r="C399" s="266"/>
      <c r="D399" s="266"/>
      <c r="E399" s="266"/>
      <c r="F399" s="266"/>
    </row>
    <row r="400">
      <c r="B400" s="266"/>
      <c r="C400" s="266"/>
      <c r="D400" s="266"/>
      <c r="E400" s="266"/>
      <c r="F400" s="266"/>
    </row>
    <row r="401">
      <c r="B401" s="266"/>
      <c r="C401" s="266"/>
      <c r="D401" s="266"/>
      <c r="E401" s="266"/>
      <c r="F401" s="266"/>
    </row>
    <row r="402">
      <c r="B402" s="266"/>
      <c r="C402" s="266"/>
      <c r="D402" s="266"/>
      <c r="E402" s="266"/>
      <c r="F402" s="266"/>
    </row>
    <row r="403">
      <c r="B403" s="266"/>
      <c r="C403" s="266"/>
      <c r="D403" s="266"/>
      <c r="E403" s="266"/>
      <c r="F403" s="266"/>
    </row>
    <row r="404">
      <c r="B404" s="266"/>
      <c r="C404" s="266"/>
      <c r="D404" s="266"/>
      <c r="E404" s="266"/>
      <c r="F404" s="266"/>
    </row>
    <row r="405">
      <c r="B405" s="266"/>
      <c r="C405" s="266"/>
      <c r="D405" s="266"/>
      <c r="E405" s="266"/>
      <c r="F405" s="266"/>
    </row>
    <row r="406">
      <c r="B406" s="266"/>
      <c r="C406" s="266"/>
      <c r="D406" s="266"/>
      <c r="E406" s="266"/>
      <c r="F406" s="266"/>
    </row>
    <row r="407">
      <c r="B407" s="266"/>
      <c r="C407" s="266"/>
      <c r="D407" s="266"/>
      <c r="E407" s="266"/>
      <c r="F407" s="266"/>
    </row>
    <row r="408">
      <c r="B408" s="266"/>
      <c r="C408" s="266"/>
      <c r="D408" s="266"/>
      <c r="E408" s="266"/>
      <c r="F408" s="266"/>
    </row>
    <row r="409">
      <c r="B409" s="266"/>
      <c r="C409" s="266"/>
      <c r="D409" s="266"/>
      <c r="E409" s="266"/>
      <c r="F409" s="266"/>
    </row>
    <row r="410">
      <c r="B410" s="266"/>
      <c r="C410" s="266"/>
      <c r="D410" s="266"/>
      <c r="E410" s="266"/>
      <c r="F410" s="266"/>
    </row>
    <row r="411">
      <c r="B411" s="266"/>
      <c r="C411" s="266"/>
      <c r="D411" s="266"/>
      <c r="E411" s="266"/>
      <c r="F411" s="266"/>
    </row>
    <row r="412">
      <c r="B412" s="266"/>
      <c r="C412" s="266"/>
      <c r="D412" s="266"/>
      <c r="E412" s="266"/>
      <c r="F412" s="266"/>
    </row>
    <row r="413">
      <c r="B413" s="266"/>
      <c r="C413" s="266"/>
      <c r="D413" s="266"/>
      <c r="E413" s="266"/>
      <c r="F413" s="266"/>
    </row>
    <row r="414">
      <c r="B414" s="266"/>
      <c r="C414" s="266"/>
      <c r="D414" s="266"/>
      <c r="E414" s="266"/>
      <c r="F414" s="266"/>
    </row>
    <row r="415">
      <c r="B415" s="266"/>
      <c r="C415" s="266"/>
      <c r="D415" s="266"/>
      <c r="E415" s="266"/>
      <c r="F415" s="266"/>
    </row>
    <row r="416">
      <c r="B416" s="266"/>
      <c r="C416" s="266"/>
      <c r="D416" s="266"/>
      <c r="E416" s="266"/>
      <c r="F416" s="266"/>
    </row>
    <row r="417">
      <c r="B417" s="266"/>
      <c r="C417" s="266"/>
      <c r="D417" s="266"/>
      <c r="E417" s="266"/>
      <c r="F417" s="266"/>
    </row>
    <row r="418">
      <c r="B418" s="266"/>
      <c r="C418" s="266"/>
      <c r="D418" s="266"/>
      <c r="E418" s="266"/>
      <c r="F418" s="266"/>
    </row>
    <row r="419">
      <c r="B419" s="266"/>
      <c r="C419" s="266"/>
      <c r="D419" s="266"/>
      <c r="E419" s="266"/>
      <c r="F419" s="266"/>
    </row>
    <row r="420">
      <c r="B420" s="266"/>
      <c r="C420" s="266"/>
      <c r="D420" s="266"/>
      <c r="E420" s="266"/>
      <c r="F420" s="266"/>
    </row>
    <row r="421">
      <c r="B421" s="266"/>
      <c r="C421" s="266"/>
      <c r="D421" s="266"/>
      <c r="E421" s="266"/>
      <c r="F421" s="266"/>
    </row>
    <row r="422">
      <c r="B422" s="266"/>
      <c r="C422" s="266"/>
      <c r="D422" s="266"/>
      <c r="E422" s="266"/>
      <c r="F422" s="266"/>
    </row>
    <row r="423">
      <c r="B423" s="266"/>
      <c r="C423" s="266"/>
      <c r="D423" s="266"/>
      <c r="E423" s="266"/>
      <c r="F423" s="266"/>
    </row>
    <row r="424">
      <c r="B424" s="266"/>
      <c r="C424" s="266"/>
      <c r="D424" s="266"/>
      <c r="E424" s="266"/>
      <c r="F424" s="266"/>
    </row>
    <row r="425">
      <c r="B425" s="266"/>
      <c r="C425" s="266"/>
      <c r="D425" s="266"/>
      <c r="E425" s="266"/>
      <c r="F425" s="266"/>
    </row>
    <row r="426">
      <c r="B426" s="266"/>
      <c r="C426" s="266"/>
      <c r="D426" s="266"/>
      <c r="E426" s="266"/>
      <c r="F426" s="266"/>
    </row>
    <row r="427">
      <c r="B427" s="266"/>
      <c r="C427" s="266"/>
      <c r="D427" s="266"/>
      <c r="E427" s="266"/>
      <c r="F427" s="266"/>
    </row>
    <row r="428">
      <c r="B428" s="266"/>
      <c r="C428" s="266"/>
      <c r="D428" s="266"/>
      <c r="E428" s="266"/>
      <c r="F428" s="266"/>
    </row>
    <row r="429">
      <c r="B429" s="266"/>
      <c r="C429" s="266"/>
      <c r="D429" s="266"/>
      <c r="E429" s="266"/>
      <c r="F429" s="266"/>
    </row>
    <row r="430">
      <c r="B430" s="266"/>
      <c r="C430" s="266"/>
      <c r="D430" s="266"/>
      <c r="E430" s="266"/>
      <c r="F430" s="266"/>
    </row>
    <row r="431">
      <c r="B431" s="266"/>
      <c r="C431" s="266"/>
      <c r="D431" s="266"/>
      <c r="E431" s="266"/>
      <c r="F431" s="266"/>
    </row>
    <row r="432">
      <c r="B432" s="266"/>
      <c r="C432" s="266"/>
      <c r="D432" s="266"/>
      <c r="E432" s="266"/>
      <c r="F432" s="266"/>
    </row>
    <row r="433">
      <c r="B433" s="266"/>
      <c r="C433" s="266"/>
      <c r="D433" s="266"/>
      <c r="E433" s="266"/>
      <c r="F433" s="266"/>
    </row>
    <row r="434">
      <c r="B434" s="266"/>
      <c r="C434" s="266"/>
      <c r="D434" s="266"/>
      <c r="E434" s="266"/>
      <c r="F434" s="266"/>
    </row>
    <row r="435">
      <c r="B435" s="266"/>
      <c r="C435" s="266"/>
      <c r="D435" s="266"/>
      <c r="E435" s="266"/>
      <c r="F435" s="266"/>
    </row>
    <row r="436">
      <c r="B436" s="266"/>
      <c r="C436" s="266"/>
      <c r="D436" s="266"/>
      <c r="E436" s="266"/>
      <c r="F436" s="266"/>
    </row>
    <row r="437">
      <c r="B437" s="266"/>
      <c r="C437" s="266"/>
      <c r="D437" s="266"/>
      <c r="E437" s="266"/>
      <c r="F437" s="266"/>
    </row>
    <row r="438">
      <c r="B438" s="266"/>
      <c r="C438" s="266"/>
      <c r="D438" s="266"/>
      <c r="E438" s="266"/>
      <c r="F438" s="266"/>
    </row>
    <row r="439">
      <c r="B439" s="266"/>
      <c r="C439" s="266"/>
      <c r="D439" s="266"/>
      <c r="E439" s="266"/>
      <c r="F439" s="266"/>
    </row>
    <row r="440">
      <c r="B440" s="266"/>
      <c r="C440" s="266"/>
      <c r="D440" s="266"/>
      <c r="E440" s="266"/>
      <c r="F440" s="266"/>
    </row>
    <row r="441">
      <c r="B441" s="266"/>
      <c r="C441" s="266"/>
      <c r="D441" s="266"/>
      <c r="E441" s="266"/>
      <c r="F441" s="266"/>
    </row>
    <row r="442">
      <c r="B442" s="266"/>
      <c r="C442" s="266"/>
      <c r="D442" s="266"/>
      <c r="E442" s="266"/>
      <c r="F442" s="266"/>
    </row>
    <row r="443">
      <c r="B443" s="266"/>
      <c r="C443" s="266"/>
      <c r="D443" s="266"/>
      <c r="E443" s="266"/>
      <c r="F443" s="266"/>
    </row>
    <row r="444">
      <c r="B444" s="266"/>
      <c r="C444" s="266"/>
      <c r="D444" s="266"/>
      <c r="E444" s="266"/>
      <c r="F444" s="266"/>
    </row>
    <row r="445">
      <c r="B445" s="266"/>
      <c r="C445" s="266"/>
      <c r="D445" s="266"/>
      <c r="E445" s="266"/>
      <c r="F445" s="266"/>
    </row>
    <row r="446">
      <c r="B446" s="266"/>
      <c r="C446" s="266"/>
      <c r="D446" s="266"/>
      <c r="E446" s="266"/>
      <c r="F446" s="266"/>
    </row>
    <row r="447">
      <c r="B447" s="266"/>
      <c r="C447" s="266"/>
      <c r="D447" s="266"/>
      <c r="E447" s="266"/>
      <c r="F447" s="266"/>
    </row>
    <row r="448">
      <c r="B448" s="266"/>
      <c r="C448" s="266"/>
      <c r="D448" s="266"/>
      <c r="E448" s="266"/>
      <c r="F448" s="266"/>
    </row>
    <row r="449">
      <c r="B449" s="266"/>
      <c r="C449" s="266"/>
      <c r="D449" s="266"/>
      <c r="E449" s="266"/>
      <c r="F449" s="266"/>
    </row>
    <row r="450">
      <c r="B450" s="266"/>
      <c r="C450" s="266"/>
      <c r="D450" s="266"/>
      <c r="E450" s="266"/>
      <c r="F450" s="266"/>
    </row>
    <row r="451">
      <c r="B451" s="266"/>
      <c r="C451" s="266"/>
      <c r="D451" s="266"/>
      <c r="E451" s="266"/>
      <c r="F451" s="266"/>
    </row>
    <row r="452">
      <c r="B452" s="266"/>
      <c r="C452" s="266"/>
      <c r="D452" s="266"/>
      <c r="E452" s="266"/>
      <c r="F452" s="266"/>
    </row>
    <row r="453">
      <c r="B453" s="266"/>
      <c r="C453" s="266"/>
      <c r="D453" s="266"/>
      <c r="E453" s="266"/>
      <c r="F453" s="266"/>
    </row>
    <row r="454">
      <c r="B454" s="266"/>
      <c r="C454" s="266"/>
      <c r="D454" s="266"/>
      <c r="E454" s="266"/>
      <c r="F454" s="266"/>
    </row>
    <row r="455">
      <c r="B455" s="266"/>
      <c r="C455" s="266"/>
      <c r="D455" s="266"/>
      <c r="E455" s="266"/>
      <c r="F455" s="266"/>
    </row>
    <row r="456">
      <c r="B456" s="266"/>
      <c r="C456" s="266"/>
      <c r="D456" s="266"/>
      <c r="E456" s="266"/>
      <c r="F456" s="266"/>
    </row>
    <row r="457">
      <c r="B457" s="266"/>
      <c r="C457" s="266"/>
      <c r="D457" s="266"/>
      <c r="E457" s="266"/>
      <c r="F457" s="266"/>
    </row>
    <row r="458">
      <c r="B458" s="266"/>
      <c r="C458" s="266"/>
      <c r="D458" s="266"/>
      <c r="E458" s="266"/>
      <c r="F458" s="266"/>
    </row>
    <row r="459">
      <c r="B459" s="266"/>
      <c r="C459" s="266"/>
      <c r="D459" s="266"/>
      <c r="E459" s="266"/>
      <c r="F459" s="266"/>
    </row>
    <row r="460">
      <c r="B460" s="266"/>
      <c r="C460" s="266"/>
      <c r="D460" s="266"/>
      <c r="E460" s="266"/>
      <c r="F460" s="266"/>
    </row>
    <row r="461">
      <c r="B461" s="266"/>
      <c r="C461" s="266"/>
      <c r="D461" s="266"/>
      <c r="E461" s="266"/>
      <c r="F461" s="266"/>
    </row>
    <row r="462">
      <c r="B462" s="266"/>
      <c r="C462" s="266"/>
      <c r="D462" s="266"/>
      <c r="E462" s="266"/>
      <c r="F462" s="266"/>
    </row>
    <row r="463">
      <c r="B463" s="266"/>
      <c r="C463" s="266"/>
      <c r="D463" s="266"/>
      <c r="E463" s="266"/>
      <c r="F463" s="266"/>
    </row>
    <row r="464">
      <c r="B464" s="266"/>
      <c r="C464" s="266"/>
      <c r="D464" s="266"/>
      <c r="E464" s="266"/>
      <c r="F464" s="266"/>
    </row>
    <row r="465">
      <c r="B465" s="266"/>
      <c r="C465" s="266"/>
      <c r="D465" s="266"/>
      <c r="E465" s="266"/>
      <c r="F465" s="266"/>
    </row>
    <row r="466">
      <c r="B466" s="266"/>
      <c r="C466" s="266"/>
      <c r="D466" s="266"/>
      <c r="E466" s="266"/>
      <c r="F466" s="266"/>
    </row>
    <row r="467">
      <c r="B467" s="266"/>
      <c r="C467" s="266"/>
      <c r="D467" s="266"/>
      <c r="E467" s="266"/>
      <c r="F467" s="266"/>
    </row>
    <row r="468">
      <c r="B468" s="266"/>
      <c r="C468" s="266"/>
      <c r="D468" s="266"/>
      <c r="E468" s="266"/>
      <c r="F468" s="266"/>
    </row>
    <row r="469">
      <c r="B469" s="266"/>
      <c r="C469" s="266"/>
      <c r="D469" s="266"/>
      <c r="E469" s="266"/>
      <c r="F469" s="266"/>
    </row>
    <row r="470">
      <c r="B470" s="266"/>
      <c r="C470" s="266"/>
      <c r="D470" s="266"/>
      <c r="E470" s="266"/>
      <c r="F470" s="266"/>
    </row>
    <row r="471">
      <c r="B471" s="266"/>
      <c r="C471" s="266"/>
      <c r="D471" s="266"/>
      <c r="E471" s="266"/>
      <c r="F471" s="266"/>
    </row>
    <row r="472">
      <c r="B472" s="266"/>
      <c r="C472" s="266"/>
      <c r="D472" s="266"/>
      <c r="E472" s="266"/>
      <c r="F472" s="266"/>
    </row>
    <row r="473">
      <c r="B473" s="266"/>
      <c r="C473" s="266"/>
      <c r="D473" s="266"/>
      <c r="E473" s="266"/>
      <c r="F473" s="266"/>
    </row>
    <row r="474">
      <c r="B474" s="266"/>
      <c r="C474" s="266"/>
      <c r="D474" s="266"/>
      <c r="E474" s="266"/>
      <c r="F474" s="266"/>
    </row>
    <row r="475">
      <c r="B475" s="266"/>
      <c r="C475" s="266"/>
      <c r="D475" s="266"/>
      <c r="E475" s="266"/>
      <c r="F475" s="266"/>
    </row>
    <row r="476">
      <c r="B476" s="266"/>
      <c r="C476" s="266"/>
      <c r="D476" s="266"/>
      <c r="E476" s="266"/>
      <c r="F476" s="266"/>
    </row>
    <row r="477">
      <c r="B477" s="266"/>
      <c r="C477" s="266"/>
      <c r="D477" s="266"/>
      <c r="E477" s="266"/>
      <c r="F477" s="266"/>
    </row>
    <row r="478">
      <c r="B478" s="266"/>
      <c r="C478" s="266"/>
      <c r="D478" s="266"/>
      <c r="E478" s="266"/>
      <c r="F478" s="266"/>
    </row>
    <row r="479">
      <c r="B479" s="266"/>
      <c r="C479" s="266"/>
      <c r="D479" s="266"/>
      <c r="E479" s="266"/>
      <c r="F479" s="266"/>
    </row>
    <row r="480">
      <c r="B480" s="266"/>
      <c r="C480" s="266"/>
      <c r="D480" s="266"/>
      <c r="E480" s="266"/>
      <c r="F480" s="266"/>
    </row>
    <row r="481">
      <c r="B481" s="266"/>
      <c r="C481" s="266"/>
      <c r="D481" s="266"/>
      <c r="E481" s="266"/>
      <c r="F481" s="266"/>
    </row>
    <row r="482">
      <c r="B482" s="266"/>
      <c r="C482" s="266"/>
      <c r="D482" s="266"/>
      <c r="E482" s="266"/>
      <c r="F482" s="266"/>
    </row>
    <row r="483">
      <c r="B483" s="266"/>
      <c r="C483" s="266"/>
      <c r="D483" s="266"/>
      <c r="E483" s="266"/>
      <c r="F483" s="266"/>
    </row>
    <row r="484">
      <c r="B484" s="266"/>
      <c r="C484" s="266"/>
      <c r="D484" s="266"/>
      <c r="E484" s="266"/>
      <c r="F484" s="266"/>
    </row>
    <row r="485">
      <c r="B485" s="266"/>
      <c r="C485" s="266"/>
      <c r="D485" s="266"/>
      <c r="E485" s="266"/>
      <c r="F485" s="266"/>
    </row>
    <row r="486">
      <c r="B486" s="266"/>
      <c r="C486" s="266"/>
      <c r="D486" s="266"/>
      <c r="E486" s="266"/>
      <c r="F486" s="266"/>
    </row>
    <row r="487">
      <c r="B487" s="266"/>
      <c r="C487" s="266"/>
      <c r="D487" s="266"/>
      <c r="E487" s="266"/>
      <c r="F487" s="266"/>
    </row>
    <row r="488">
      <c r="B488" s="266"/>
      <c r="C488" s="266"/>
      <c r="D488" s="266"/>
      <c r="E488" s="266"/>
      <c r="F488" s="266"/>
    </row>
    <row r="489">
      <c r="B489" s="266"/>
      <c r="C489" s="266"/>
      <c r="D489" s="266"/>
      <c r="E489" s="266"/>
      <c r="F489" s="266"/>
    </row>
    <row r="490">
      <c r="B490" s="266"/>
      <c r="C490" s="266"/>
      <c r="D490" s="266"/>
      <c r="E490" s="266"/>
      <c r="F490" s="266"/>
    </row>
    <row r="491">
      <c r="B491" s="266"/>
      <c r="C491" s="266"/>
      <c r="D491" s="266"/>
      <c r="E491" s="266"/>
      <c r="F491" s="266"/>
    </row>
    <row r="492">
      <c r="B492" s="266"/>
      <c r="C492" s="266"/>
      <c r="D492" s="266"/>
      <c r="E492" s="266"/>
      <c r="F492" s="266"/>
    </row>
    <row r="493">
      <c r="B493" s="266"/>
      <c r="C493" s="266"/>
      <c r="D493" s="266"/>
      <c r="E493" s="266"/>
      <c r="F493" s="266"/>
    </row>
    <row r="494">
      <c r="B494" s="266"/>
      <c r="C494" s="266"/>
      <c r="D494" s="266"/>
      <c r="E494" s="266"/>
      <c r="F494" s="266"/>
    </row>
    <row r="495">
      <c r="B495" s="266"/>
      <c r="C495" s="266"/>
      <c r="D495" s="266"/>
      <c r="E495" s="266"/>
      <c r="F495" s="266"/>
    </row>
    <row r="496">
      <c r="B496" s="266"/>
      <c r="C496" s="266"/>
      <c r="D496" s="266"/>
      <c r="E496" s="266"/>
      <c r="F496" s="266"/>
    </row>
    <row r="497">
      <c r="B497" s="266"/>
      <c r="C497" s="266"/>
      <c r="D497" s="266"/>
      <c r="E497" s="266"/>
      <c r="F497" s="266"/>
    </row>
    <row r="498">
      <c r="B498" s="266"/>
      <c r="C498" s="266"/>
      <c r="D498" s="266"/>
      <c r="E498" s="266"/>
      <c r="F498" s="266"/>
    </row>
    <row r="499">
      <c r="B499" s="266"/>
      <c r="C499" s="266"/>
      <c r="D499" s="266"/>
      <c r="E499" s="266"/>
      <c r="F499" s="266"/>
    </row>
    <row r="500">
      <c r="B500" s="266"/>
      <c r="C500" s="266"/>
      <c r="D500" s="266"/>
      <c r="E500" s="266"/>
      <c r="F500" s="266"/>
    </row>
    <row r="501">
      <c r="B501" s="266"/>
      <c r="C501" s="266"/>
      <c r="D501" s="266"/>
      <c r="E501" s="266"/>
      <c r="F501" s="266"/>
    </row>
    <row r="502">
      <c r="B502" s="266"/>
      <c r="C502" s="266"/>
      <c r="D502" s="266"/>
      <c r="E502" s="266"/>
      <c r="F502" s="266"/>
    </row>
    <row r="503">
      <c r="B503" s="266"/>
      <c r="C503" s="266"/>
      <c r="D503" s="266"/>
      <c r="E503" s="266"/>
      <c r="F503" s="266"/>
    </row>
    <row r="504">
      <c r="B504" s="266"/>
      <c r="C504" s="266"/>
      <c r="D504" s="266"/>
      <c r="E504" s="266"/>
      <c r="F504" s="266"/>
    </row>
    <row r="505">
      <c r="B505" s="266"/>
      <c r="C505" s="266"/>
      <c r="D505" s="266"/>
      <c r="E505" s="266"/>
      <c r="F505" s="266"/>
    </row>
    <row r="506">
      <c r="B506" s="266"/>
      <c r="C506" s="266"/>
      <c r="D506" s="266"/>
      <c r="E506" s="266"/>
      <c r="F506" s="266"/>
    </row>
    <row r="507">
      <c r="B507" s="266"/>
      <c r="C507" s="266"/>
      <c r="D507" s="266"/>
      <c r="E507" s="266"/>
      <c r="F507" s="266"/>
    </row>
    <row r="508">
      <c r="B508" s="266"/>
      <c r="C508" s="266"/>
      <c r="D508" s="266"/>
      <c r="E508" s="266"/>
      <c r="F508" s="266"/>
    </row>
    <row r="509">
      <c r="B509" s="266"/>
      <c r="C509" s="266"/>
      <c r="D509" s="266"/>
      <c r="E509" s="266"/>
      <c r="F509" s="266"/>
    </row>
    <row r="510">
      <c r="B510" s="266"/>
      <c r="C510" s="266"/>
      <c r="D510" s="266"/>
      <c r="E510" s="266"/>
      <c r="F510" s="266"/>
    </row>
    <row r="511">
      <c r="B511" s="266"/>
      <c r="C511" s="266"/>
      <c r="D511" s="266"/>
      <c r="E511" s="266"/>
      <c r="F511" s="266"/>
    </row>
    <row r="512">
      <c r="B512" s="266"/>
      <c r="C512" s="266"/>
      <c r="D512" s="266"/>
      <c r="E512" s="266"/>
      <c r="F512" s="266"/>
    </row>
    <row r="513">
      <c r="B513" s="266"/>
      <c r="C513" s="266"/>
      <c r="D513" s="266"/>
      <c r="E513" s="266"/>
      <c r="F513" s="266"/>
    </row>
    <row r="514">
      <c r="B514" s="266"/>
      <c r="C514" s="266"/>
      <c r="D514" s="266"/>
      <c r="E514" s="266"/>
      <c r="F514" s="266"/>
    </row>
    <row r="515">
      <c r="B515" s="266"/>
      <c r="C515" s="266"/>
      <c r="D515" s="266"/>
      <c r="E515" s="266"/>
      <c r="F515" s="266"/>
    </row>
    <row r="516">
      <c r="B516" s="266"/>
      <c r="C516" s="266"/>
      <c r="D516" s="266"/>
      <c r="E516" s="266"/>
      <c r="F516" s="266"/>
    </row>
    <row r="517">
      <c r="B517" s="266"/>
      <c r="C517" s="266"/>
      <c r="D517" s="266"/>
      <c r="E517" s="266"/>
      <c r="F517" s="266"/>
    </row>
    <row r="518">
      <c r="B518" s="266"/>
      <c r="C518" s="266"/>
      <c r="D518" s="266"/>
      <c r="E518" s="266"/>
      <c r="F518" s="266"/>
    </row>
    <row r="519">
      <c r="B519" s="266"/>
      <c r="C519" s="266"/>
      <c r="D519" s="266"/>
      <c r="E519" s="266"/>
      <c r="F519" s="266"/>
    </row>
    <row r="520">
      <c r="B520" s="266"/>
      <c r="C520" s="266"/>
      <c r="D520" s="266"/>
      <c r="E520" s="266"/>
      <c r="F520" s="266"/>
    </row>
    <row r="521">
      <c r="B521" s="266"/>
      <c r="C521" s="266"/>
      <c r="D521" s="266"/>
      <c r="E521" s="266"/>
      <c r="F521" s="266"/>
    </row>
    <row r="522">
      <c r="B522" s="266"/>
      <c r="C522" s="266"/>
      <c r="D522" s="266"/>
      <c r="E522" s="266"/>
      <c r="F522" s="266"/>
    </row>
    <row r="523">
      <c r="B523" s="266"/>
      <c r="C523" s="266"/>
      <c r="D523" s="266"/>
      <c r="E523" s="266"/>
      <c r="F523" s="266"/>
    </row>
    <row r="524">
      <c r="B524" s="266"/>
      <c r="C524" s="266"/>
      <c r="D524" s="266"/>
      <c r="E524" s="266"/>
      <c r="F524" s="266"/>
    </row>
    <row r="525">
      <c r="B525" s="266"/>
      <c r="C525" s="266"/>
      <c r="D525" s="266"/>
      <c r="E525" s="266"/>
      <c r="F525" s="266"/>
    </row>
    <row r="526">
      <c r="B526" s="266"/>
      <c r="C526" s="266"/>
      <c r="D526" s="266"/>
      <c r="E526" s="266"/>
      <c r="F526" s="266"/>
    </row>
    <row r="527">
      <c r="B527" s="266"/>
      <c r="C527" s="266"/>
      <c r="D527" s="266"/>
      <c r="E527" s="266"/>
      <c r="F527" s="266"/>
    </row>
    <row r="528">
      <c r="B528" s="266"/>
      <c r="C528" s="266"/>
      <c r="D528" s="266"/>
      <c r="E528" s="266"/>
      <c r="F528" s="266"/>
    </row>
    <row r="529">
      <c r="B529" s="266"/>
      <c r="C529" s="266"/>
      <c r="D529" s="266"/>
      <c r="E529" s="266"/>
      <c r="F529" s="266"/>
    </row>
    <row r="530">
      <c r="B530" s="266"/>
      <c r="C530" s="266"/>
      <c r="D530" s="266"/>
      <c r="E530" s="266"/>
      <c r="F530" s="266"/>
    </row>
    <row r="531">
      <c r="B531" s="266"/>
      <c r="C531" s="266"/>
      <c r="D531" s="266"/>
      <c r="E531" s="266"/>
      <c r="F531" s="266"/>
    </row>
    <row r="532">
      <c r="B532" s="266"/>
      <c r="C532" s="266"/>
      <c r="D532" s="266"/>
      <c r="E532" s="266"/>
      <c r="F532" s="266"/>
    </row>
    <row r="533">
      <c r="B533" s="266"/>
      <c r="C533" s="266"/>
      <c r="D533" s="266"/>
      <c r="E533" s="266"/>
      <c r="F533" s="266"/>
    </row>
    <row r="534">
      <c r="B534" s="266"/>
      <c r="C534" s="266"/>
      <c r="D534" s="266"/>
      <c r="E534" s="266"/>
      <c r="F534" s="266"/>
    </row>
    <row r="535">
      <c r="B535" s="266"/>
      <c r="C535" s="266"/>
      <c r="D535" s="266"/>
      <c r="E535" s="266"/>
      <c r="F535" s="266"/>
    </row>
    <row r="536">
      <c r="B536" s="266"/>
      <c r="C536" s="266"/>
      <c r="D536" s="266"/>
      <c r="E536" s="266"/>
      <c r="F536" s="266"/>
    </row>
    <row r="537">
      <c r="B537" s="266"/>
      <c r="C537" s="266"/>
      <c r="D537" s="266"/>
      <c r="E537" s="266"/>
      <c r="F537" s="266"/>
    </row>
    <row r="538">
      <c r="B538" s="266"/>
      <c r="C538" s="266"/>
      <c r="D538" s="266"/>
      <c r="E538" s="266"/>
      <c r="F538" s="266"/>
    </row>
    <row r="539">
      <c r="B539" s="266"/>
      <c r="C539" s="266"/>
      <c r="D539" s="266"/>
      <c r="E539" s="266"/>
      <c r="F539" s="266"/>
    </row>
    <row r="540">
      <c r="B540" s="266"/>
      <c r="C540" s="266"/>
      <c r="D540" s="266"/>
      <c r="E540" s="266"/>
      <c r="F540" s="266"/>
    </row>
    <row r="541">
      <c r="B541" s="266"/>
      <c r="C541" s="266"/>
      <c r="D541" s="266"/>
      <c r="E541" s="266"/>
      <c r="F541" s="266"/>
    </row>
    <row r="542">
      <c r="B542" s="266"/>
      <c r="C542" s="266"/>
      <c r="D542" s="266"/>
      <c r="E542" s="266"/>
      <c r="F542" s="266"/>
    </row>
    <row r="543">
      <c r="B543" s="266"/>
      <c r="C543" s="266"/>
      <c r="D543" s="266"/>
      <c r="E543" s="266"/>
      <c r="F543" s="266"/>
    </row>
    <row r="544">
      <c r="B544" s="266"/>
      <c r="C544" s="266"/>
      <c r="D544" s="266"/>
      <c r="E544" s="266"/>
      <c r="F544" s="266"/>
    </row>
    <row r="545">
      <c r="B545" s="266"/>
      <c r="C545" s="266"/>
      <c r="D545" s="266"/>
      <c r="E545" s="266"/>
      <c r="F545" s="266"/>
    </row>
    <row r="546">
      <c r="B546" s="266"/>
      <c r="C546" s="266"/>
      <c r="D546" s="266"/>
      <c r="E546" s="266"/>
      <c r="F546" s="266"/>
    </row>
    <row r="547">
      <c r="B547" s="266"/>
      <c r="C547" s="266"/>
      <c r="D547" s="266"/>
      <c r="E547" s="266"/>
      <c r="F547" s="266"/>
    </row>
    <row r="548">
      <c r="B548" s="266"/>
      <c r="C548" s="266"/>
      <c r="D548" s="266"/>
      <c r="E548" s="266"/>
      <c r="F548" s="266"/>
    </row>
    <row r="549">
      <c r="B549" s="266"/>
      <c r="C549" s="266"/>
      <c r="D549" s="266"/>
      <c r="E549" s="266"/>
      <c r="F549" s="266"/>
    </row>
    <row r="550">
      <c r="B550" s="266"/>
      <c r="C550" s="266"/>
      <c r="D550" s="266"/>
      <c r="E550" s="266"/>
      <c r="F550" s="266"/>
    </row>
    <row r="551">
      <c r="B551" s="266"/>
      <c r="C551" s="266"/>
      <c r="D551" s="266"/>
      <c r="E551" s="266"/>
      <c r="F551" s="266"/>
    </row>
    <row r="552">
      <c r="B552" s="266"/>
      <c r="C552" s="266"/>
      <c r="D552" s="266"/>
      <c r="E552" s="266"/>
      <c r="F552" s="266"/>
    </row>
    <row r="553">
      <c r="B553" s="266"/>
      <c r="C553" s="266"/>
      <c r="D553" s="266"/>
      <c r="E553" s="266"/>
      <c r="F553" s="266"/>
    </row>
    <row r="554">
      <c r="B554" s="266"/>
      <c r="C554" s="266"/>
      <c r="D554" s="266"/>
      <c r="E554" s="266"/>
      <c r="F554" s="266"/>
    </row>
    <row r="555">
      <c r="B555" s="266"/>
      <c r="C555" s="266"/>
      <c r="D555" s="266"/>
      <c r="E555" s="266"/>
      <c r="F555" s="266"/>
    </row>
    <row r="556">
      <c r="B556" s="266"/>
      <c r="C556" s="266"/>
      <c r="D556" s="266"/>
      <c r="E556" s="266"/>
      <c r="F556" s="266"/>
    </row>
    <row r="557">
      <c r="B557" s="266"/>
      <c r="C557" s="266"/>
      <c r="D557" s="266"/>
      <c r="E557" s="266"/>
      <c r="F557" s="266"/>
    </row>
    <row r="558">
      <c r="B558" s="266"/>
      <c r="C558" s="266"/>
      <c r="D558" s="266"/>
      <c r="E558" s="266"/>
      <c r="F558" s="266"/>
    </row>
    <row r="559">
      <c r="B559" s="266"/>
      <c r="C559" s="266"/>
      <c r="D559" s="266"/>
      <c r="E559" s="266"/>
      <c r="F559" s="266"/>
    </row>
    <row r="560">
      <c r="B560" s="266"/>
      <c r="C560" s="266"/>
      <c r="D560" s="266"/>
      <c r="E560" s="266"/>
      <c r="F560" s="266"/>
    </row>
    <row r="561">
      <c r="B561" s="266"/>
      <c r="C561" s="266"/>
      <c r="D561" s="266"/>
      <c r="E561" s="266"/>
      <c r="F561" s="266"/>
    </row>
    <row r="562">
      <c r="B562" s="266"/>
      <c r="C562" s="266"/>
      <c r="D562" s="266"/>
      <c r="E562" s="266"/>
      <c r="F562" s="266"/>
    </row>
    <row r="563">
      <c r="B563" s="266"/>
      <c r="C563" s="266"/>
      <c r="D563" s="266"/>
      <c r="E563" s="266"/>
      <c r="F563" s="266"/>
    </row>
    <row r="564">
      <c r="B564" s="266"/>
      <c r="C564" s="266"/>
      <c r="D564" s="266"/>
      <c r="E564" s="266"/>
      <c r="F564" s="266"/>
    </row>
    <row r="565">
      <c r="B565" s="266"/>
      <c r="C565" s="266"/>
      <c r="D565" s="266"/>
      <c r="E565" s="266"/>
      <c r="F565" s="266"/>
    </row>
    <row r="566">
      <c r="B566" s="266"/>
      <c r="C566" s="266"/>
      <c r="D566" s="266"/>
      <c r="E566" s="266"/>
      <c r="F566" s="266"/>
    </row>
    <row r="567">
      <c r="B567" s="266"/>
      <c r="C567" s="266"/>
      <c r="D567" s="266"/>
      <c r="E567" s="266"/>
      <c r="F567" s="266"/>
    </row>
    <row r="568">
      <c r="B568" s="266"/>
      <c r="C568" s="266"/>
      <c r="D568" s="266"/>
      <c r="E568" s="266"/>
      <c r="F568" s="266"/>
    </row>
    <row r="569">
      <c r="B569" s="266"/>
      <c r="C569" s="266"/>
      <c r="D569" s="266"/>
      <c r="E569" s="266"/>
      <c r="F569" s="266"/>
    </row>
    <row r="570">
      <c r="B570" s="266"/>
      <c r="C570" s="266"/>
      <c r="D570" s="266"/>
      <c r="E570" s="266"/>
      <c r="F570" s="266"/>
    </row>
    <row r="571">
      <c r="B571" s="266"/>
      <c r="C571" s="266"/>
      <c r="D571" s="266"/>
      <c r="E571" s="266"/>
      <c r="F571" s="266"/>
    </row>
    <row r="572">
      <c r="B572" s="266"/>
      <c r="C572" s="266"/>
      <c r="D572" s="266"/>
      <c r="E572" s="266"/>
      <c r="F572" s="266"/>
    </row>
    <row r="573">
      <c r="B573" s="266"/>
      <c r="C573" s="266"/>
      <c r="D573" s="266"/>
      <c r="E573" s="266"/>
      <c r="F573" s="266"/>
    </row>
    <row r="574">
      <c r="B574" s="266"/>
      <c r="C574" s="266"/>
      <c r="D574" s="266"/>
      <c r="E574" s="266"/>
      <c r="F574" s="266"/>
    </row>
    <row r="575">
      <c r="B575" s="266"/>
      <c r="C575" s="266"/>
      <c r="D575" s="266"/>
      <c r="E575" s="266"/>
      <c r="F575" s="266"/>
    </row>
    <row r="576">
      <c r="B576" s="266"/>
      <c r="C576" s="266"/>
      <c r="D576" s="266"/>
      <c r="E576" s="266"/>
      <c r="F576" s="266"/>
    </row>
    <row r="577">
      <c r="B577" s="266"/>
      <c r="C577" s="266"/>
      <c r="D577" s="266"/>
      <c r="E577" s="266"/>
      <c r="F577" s="266"/>
    </row>
    <row r="578">
      <c r="B578" s="266"/>
      <c r="C578" s="266"/>
      <c r="D578" s="266"/>
      <c r="E578" s="266"/>
      <c r="F578" s="266"/>
    </row>
    <row r="579">
      <c r="B579" s="266"/>
      <c r="C579" s="266"/>
      <c r="D579" s="266"/>
      <c r="E579" s="266"/>
      <c r="F579" s="266"/>
    </row>
    <row r="580">
      <c r="B580" s="266"/>
      <c r="C580" s="266"/>
      <c r="D580" s="266"/>
      <c r="E580" s="266"/>
      <c r="F580" s="266"/>
    </row>
    <row r="581">
      <c r="B581" s="266"/>
      <c r="C581" s="266"/>
      <c r="D581" s="266"/>
      <c r="E581" s="266"/>
      <c r="F581" s="266"/>
    </row>
    <row r="582">
      <c r="B582" s="266"/>
      <c r="C582" s="266"/>
      <c r="D582" s="266"/>
      <c r="E582" s="266"/>
      <c r="F582" s="266"/>
    </row>
    <row r="583">
      <c r="B583" s="266"/>
      <c r="C583" s="266"/>
      <c r="D583" s="266"/>
      <c r="E583" s="266"/>
      <c r="F583" s="266"/>
    </row>
    <row r="584">
      <c r="B584" s="266"/>
      <c r="C584" s="266"/>
      <c r="D584" s="266"/>
      <c r="E584" s="266"/>
      <c r="F584" s="266"/>
    </row>
    <row r="585">
      <c r="B585" s="266"/>
      <c r="C585" s="266"/>
      <c r="D585" s="266"/>
      <c r="E585" s="266"/>
      <c r="F585" s="266"/>
    </row>
    <row r="586">
      <c r="B586" s="266"/>
      <c r="C586" s="266"/>
      <c r="D586" s="266"/>
      <c r="E586" s="266"/>
      <c r="F586" s="266"/>
    </row>
    <row r="587">
      <c r="B587" s="266"/>
      <c r="C587" s="266"/>
      <c r="D587" s="266"/>
      <c r="E587" s="266"/>
      <c r="F587" s="266"/>
    </row>
    <row r="588">
      <c r="B588" s="266"/>
      <c r="C588" s="266"/>
      <c r="D588" s="266"/>
      <c r="E588" s="266"/>
      <c r="F588" s="266"/>
    </row>
    <row r="589">
      <c r="B589" s="266"/>
      <c r="C589" s="266"/>
      <c r="D589" s="266"/>
      <c r="E589" s="266"/>
      <c r="F589" s="266"/>
    </row>
    <row r="590">
      <c r="B590" s="266"/>
      <c r="C590" s="266"/>
      <c r="D590" s="266"/>
      <c r="E590" s="266"/>
      <c r="F590" s="266"/>
    </row>
    <row r="591">
      <c r="B591" s="266"/>
      <c r="C591" s="266"/>
      <c r="D591" s="266"/>
      <c r="E591" s="266"/>
      <c r="F591" s="266"/>
    </row>
    <row r="592">
      <c r="B592" s="266"/>
      <c r="C592" s="266"/>
      <c r="D592" s="266"/>
      <c r="E592" s="266"/>
      <c r="F592" s="266"/>
    </row>
    <row r="593">
      <c r="B593" s="266"/>
      <c r="C593" s="266"/>
      <c r="D593" s="266"/>
      <c r="E593" s="266"/>
      <c r="F593" s="266"/>
    </row>
    <row r="594">
      <c r="B594" s="266"/>
      <c r="C594" s="266"/>
      <c r="D594" s="266"/>
      <c r="E594" s="266"/>
      <c r="F594" s="266"/>
    </row>
    <row r="595">
      <c r="B595" s="266"/>
      <c r="C595" s="266"/>
      <c r="D595" s="266"/>
      <c r="E595" s="266"/>
      <c r="F595" s="266"/>
    </row>
    <row r="596">
      <c r="B596" s="266"/>
      <c r="C596" s="266"/>
      <c r="D596" s="266"/>
      <c r="E596" s="266"/>
      <c r="F596" s="266"/>
    </row>
    <row r="597">
      <c r="B597" s="266"/>
      <c r="C597" s="266"/>
      <c r="D597" s="266"/>
      <c r="E597" s="266"/>
      <c r="F597" s="266"/>
    </row>
    <row r="598">
      <c r="B598" s="266"/>
      <c r="C598" s="266"/>
      <c r="D598" s="266"/>
      <c r="E598" s="266"/>
      <c r="F598" s="266"/>
    </row>
    <row r="599">
      <c r="B599" s="266"/>
      <c r="C599" s="266"/>
      <c r="D599" s="266"/>
      <c r="E599" s="266"/>
      <c r="F599" s="266"/>
    </row>
    <row r="600">
      <c r="B600" s="266"/>
      <c r="C600" s="266"/>
      <c r="D600" s="266"/>
      <c r="E600" s="266"/>
      <c r="F600" s="266"/>
    </row>
    <row r="601">
      <c r="B601" s="266"/>
      <c r="C601" s="266"/>
      <c r="D601" s="266"/>
      <c r="E601" s="266"/>
      <c r="F601" s="266"/>
    </row>
    <row r="602">
      <c r="B602" s="266"/>
      <c r="C602" s="266"/>
      <c r="D602" s="266"/>
      <c r="E602" s="266"/>
      <c r="F602" s="266"/>
    </row>
    <row r="603">
      <c r="B603" s="266"/>
      <c r="C603" s="266"/>
      <c r="D603" s="266"/>
      <c r="E603" s="266"/>
      <c r="F603" s="266"/>
    </row>
    <row r="604">
      <c r="B604" s="266"/>
      <c r="C604" s="266"/>
      <c r="D604" s="266"/>
      <c r="E604" s="266"/>
      <c r="F604" s="266"/>
    </row>
    <row r="605">
      <c r="B605" s="266"/>
      <c r="C605" s="266"/>
      <c r="D605" s="266"/>
      <c r="E605" s="266"/>
      <c r="F605" s="266"/>
    </row>
    <row r="606">
      <c r="B606" s="266"/>
      <c r="C606" s="266"/>
      <c r="D606" s="266"/>
      <c r="E606" s="266"/>
      <c r="F606" s="266"/>
    </row>
    <row r="607">
      <c r="B607" s="266"/>
      <c r="C607" s="266"/>
      <c r="D607" s="266"/>
      <c r="E607" s="266"/>
      <c r="F607" s="266"/>
    </row>
    <row r="608">
      <c r="B608" s="266"/>
      <c r="C608" s="266"/>
      <c r="D608" s="266"/>
      <c r="E608" s="266"/>
      <c r="F608" s="266"/>
    </row>
    <row r="609">
      <c r="B609" s="266"/>
      <c r="C609" s="266"/>
      <c r="D609" s="266"/>
      <c r="E609" s="266"/>
      <c r="F609" s="266"/>
    </row>
    <row r="610">
      <c r="B610" s="266"/>
      <c r="C610" s="266"/>
      <c r="D610" s="266"/>
      <c r="E610" s="266"/>
      <c r="F610" s="266"/>
    </row>
    <row r="611">
      <c r="B611" s="266"/>
      <c r="C611" s="266"/>
      <c r="D611" s="266"/>
      <c r="E611" s="266"/>
      <c r="F611" s="266"/>
    </row>
    <row r="612">
      <c r="B612" s="266"/>
      <c r="C612" s="266"/>
      <c r="D612" s="266"/>
      <c r="E612" s="266"/>
      <c r="F612" s="266"/>
    </row>
    <row r="613">
      <c r="B613" s="266"/>
      <c r="C613" s="266"/>
      <c r="D613" s="266"/>
      <c r="E613" s="266"/>
      <c r="F613" s="266"/>
    </row>
    <row r="614">
      <c r="B614" s="266"/>
      <c r="C614" s="266"/>
      <c r="D614" s="266"/>
      <c r="E614" s="266"/>
      <c r="F614" s="266"/>
    </row>
    <row r="615">
      <c r="B615" s="266"/>
      <c r="C615" s="266"/>
      <c r="D615" s="266"/>
      <c r="E615" s="266"/>
      <c r="F615" s="266"/>
    </row>
    <row r="616">
      <c r="B616" s="266"/>
      <c r="C616" s="266"/>
      <c r="D616" s="266"/>
      <c r="E616" s="266"/>
      <c r="F616" s="266"/>
    </row>
    <row r="617">
      <c r="B617" s="266"/>
      <c r="C617" s="266"/>
      <c r="D617" s="266"/>
      <c r="E617" s="266"/>
      <c r="F617" s="266"/>
    </row>
    <row r="618">
      <c r="B618" s="266"/>
      <c r="C618" s="266"/>
      <c r="D618" s="266"/>
      <c r="E618" s="266"/>
      <c r="F618" s="266"/>
    </row>
    <row r="619">
      <c r="B619" s="266"/>
      <c r="C619" s="266"/>
      <c r="D619" s="266"/>
      <c r="E619" s="266"/>
      <c r="F619" s="266"/>
    </row>
    <row r="620">
      <c r="B620" s="266"/>
      <c r="C620" s="266"/>
      <c r="D620" s="266"/>
      <c r="E620" s="266"/>
      <c r="F620" s="266"/>
    </row>
    <row r="621">
      <c r="B621" s="266"/>
      <c r="C621" s="266"/>
      <c r="D621" s="266"/>
      <c r="E621" s="266"/>
      <c r="F621" s="266"/>
    </row>
    <row r="622">
      <c r="B622" s="266"/>
      <c r="C622" s="266"/>
      <c r="D622" s="266"/>
      <c r="E622" s="266"/>
      <c r="F622" s="266"/>
    </row>
    <row r="623">
      <c r="B623" s="266"/>
      <c r="C623" s="266"/>
      <c r="D623" s="266"/>
      <c r="E623" s="266"/>
      <c r="F623" s="266"/>
    </row>
    <row r="624">
      <c r="B624" s="266"/>
      <c r="C624" s="266"/>
      <c r="D624" s="266"/>
      <c r="E624" s="266"/>
      <c r="F624" s="266"/>
    </row>
    <row r="625">
      <c r="B625" s="266"/>
      <c r="C625" s="266"/>
      <c r="D625" s="266"/>
      <c r="E625" s="266"/>
      <c r="F625" s="266"/>
    </row>
    <row r="626">
      <c r="B626" s="266"/>
      <c r="C626" s="266"/>
      <c r="D626" s="266"/>
      <c r="E626" s="266"/>
      <c r="F626" s="266"/>
    </row>
    <row r="627">
      <c r="B627" s="266"/>
      <c r="C627" s="266"/>
      <c r="D627" s="266"/>
      <c r="E627" s="266"/>
      <c r="F627" s="266"/>
    </row>
    <row r="628">
      <c r="B628" s="266"/>
      <c r="C628" s="266"/>
      <c r="D628" s="266"/>
      <c r="E628" s="266"/>
      <c r="F628" s="266"/>
    </row>
    <row r="629">
      <c r="B629" s="266"/>
      <c r="C629" s="266"/>
      <c r="D629" s="266"/>
      <c r="E629" s="266"/>
      <c r="F629" s="266"/>
    </row>
    <row r="630">
      <c r="B630" s="266"/>
      <c r="C630" s="266"/>
      <c r="D630" s="266"/>
      <c r="E630" s="266"/>
      <c r="F630" s="266"/>
    </row>
    <row r="631">
      <c r="B631" s="266"/>
      <c r="C631" s="266"/>
      <c r="D631" s="266"/>
      <c r="E631" s="266"/>
      <c r="F631" s="266"/>
    </row>
    <row r="632">
      <c r="B632" s="266"/>
      <c r="C632" s="266"/>
      <c r="D632" s="266"/>
      <c r="E632" s="266"/>
      <c r="F632" s="266"/>
    </row>
    <row r="633">
      <c r="B633" s="266"/>
      <c r="C633" s="266"/>
      <c r="D633" s="266"/>
      <c r="E633" s="266"/>
      <c r="F633" s="266"/>
    </row>
    <row r="634">
      <c r="B634" s="266"/>
      <c r="C634" s="266"/>
      <c r="D634" s="266"/>
      <c r="E634" s="266"/>
      <c r="F634" s="266"/>
    </row>
    <row r="635">
      <c r="B635" s="266"/>
      <c r="C635" s="266"/>
      <c r="D635" s="266"/>
      <c r="E635" s="266"/>
      <c r="F635" s="266"/>
    </row>
    <row r="636">
      <c r="B636" s="266"/>
      <c r="C636" s="266"/>
      <c r="D636" s="266"/>
      <c r="E636" s="266"/>
      <c r="F636" s="266"/>
    </row>
    <row r="637">
      <c r="B637" s="266"/>
      <c r="C637" s="266"/>
      <c r="D637" s="266"/>
      <c r="E637" s="266"/>
      <c r="F637" s="266"/>
    </row>
    <row r="638">
      <c r="B638" s="266"/>
      <c r="C638" s="266"/>
      <c r="D638" s="266"/>
      <c r="E638" s="266"/>
      <c r="F638" s="266"/>
    </row>
    <row r="639">
      <c r="B639" s="266"/>
      <c r="C639" s="266"/>
      <c r="D639" s="266"/>
      <c r="E639" s="266"/>
      <c r="F639" s="266"/>
    </row>
    <row r="640">
      <c r="B640" s="266"/>
      <c r="C640" s="266"/>
      <c r="D640" s="266"/>
      <c r="E640" s="266"/>
      <c r="F640" s="266"/>
    </row>
    <row r="641">
      <c r="B641" s="266"/>
      <c r="C641" s="266"/>
      <c r="D641" s="266"/>
      <c r="E641" s="266"/>
      <c r="F641" s="266"/>
    </row>
    <row r="642">
      <c r="B642" s="266"/>
      <c r="C642" s="266"/>
      <c r="D642" s="266"/>
      <c r="E642" s="266"/>
      <c r="F642" s="266"/>
    </row>
    <row r="643">
      <c r="B643" s="266"/>
      <c r="C643" s="266"/>
      <c r="D643" s="266"/>
      <c r="E643" s="266"/>
      <c r="F643" s="266"/>
    </row>
    <row r="644">
      <c r="B644" s="266"/>
      <c r="C644" s="266"/>
      <c r="D644" s="266"/>
      <c r="E644" s="266"/>
      <c r="F644" s="266"/>
    </row>
    <row r="645">
      <c r="B645" s="266"/>
      <c r="C645" s="266"/>
      <c r="D645" s="266"/>
      <c r="E645" s="266"/>
      <c r="F645" s="266"/>
    </row>
    <row r="646">
      <c r="B646" s="266"/>
      <c r="C646" s="266"/>
      <c r="D646" s="266"/>
      <c r="E646" s="266"/>
      <c r="F646" s="266"/>
    </row>
    <row r="647">
      <c r="B647" s="266"/>
      <c r="C647" s="266"/>
      <c r="D647" s="266"/>
      <c r="E647" s="266"/>
      <c r="F647" s="266"/>
    </row>
    <row r="648">
      <c r="B648" s="266"/>
      <c r="C648" s="266"/>
      <c r="D648" s="266"/>
      <c r="E648" s="266"/>
      <c r="F648" s="266"/>
    </row>
    <row r="649">
      <c r="B649" s="266"/>
      <c r="C649" s="266"/>
      <c r="D649" s="266"/>
      <c r="E649" s="266"/>
      <c r="F649" s="266"/>
    </row>
    <row r="650">
      <c r="B650" s="266"/>
      <c r="C650" s="266"/>
      <c r="D650" s="266"/>
      <c r="E650" s="266"/>
      <c r="F650" s="266"/>
    </row>
    <row r="651">
      <c r="B651" s="266"/>
      <c r="C651" s="266"/>
      <c r="D651" s="266"/>
      <c r="E651" s="266"/>
      <c r="F651" s="266"/>
    </row>
    <row r="652">
      <c r="B652" s="266"/>
      <c r="C652" s="266"/>
      <c r="D652" s="266"/>
      <c r="E652" s="266"/>
      <c r="F652" s="266"/>
    </row>
    <row r="653">
      <c r="B653" s="266"/>
      <c r="C653" s="266"/>
      <c r="D653" s="266"/>
      <c r="E653" s="266"/>
      <c r="F653" s="266"/>
    </row>
    <row r="654">
      <c r="B654" s="266"/>
      <c r="C654" s="266"/>
      <c r="D654" s="266"/>
      <c r="E654" s="266"/>
      <c r="F654" s="266"/>
    </row>
    <row r="655">
      <c r="B655" s="266"/>
      <c r="C655" s="266"/>
      <c r="D655" s="266"/>
      <c r="E655" s="266"/>
      <c r="F655" s="266"/>
    </row>
    <row r="656">
      <c r="B656" s="266"/>
      <c r="C656" s="266"/>
      <c r="D656" s="266"/>
      <c r="E656" s="266"/>
      <c r="F656" s="266"/>
    </row>
    <row r="657">
      <c r="B657" s="266"/>
      <c r="C657" s="266"/>
      <c r="D657" s="266"/>
      <c r="E657" s="266"/>
      <c r="F657" s="266"/>
    </row>
    <row r="658">
      <c r="B658" s="266"/>
      <c r="C658" s="266"/>
      <c r="D658" s="266"/>
      <c r="E658" s="266"/>
      <c r="F658" s="266"/>
    </row>
    <row r="659">
      <c r="B659" s="266"/>
      <c r="C659" s="266"/>
      <c r="D659" s="266"/>
      <c r="E659" s="266"/>
      <c r="F659" s="266"/>
    </row>
    <row r="660">
      <c r="B660" s="266"/>
      <c r="C660" s="266"/>
      <c r="D660" s="266"/>
      <c r="E660" s="266"/>
      <c r="F660" s="266"/>
    </row>
    <row r="661">
      <c r="B661" s="266"/>
      <c r="C661" s="266"/>
      <c r="D661" s="266"/>
      <c r="E661" s="266"/>
      <c r="F661" s="266"/>
    </row>
    <row r="662">
      <c r="B662" s="266"/>
      <c r="C662" s="266"/>
      <c r="D662" s="266"/>
      <c r="E662" s="266"/>
      <c r="F662" s="266"/>
    </row>
    <row r="663">
      <c r="B663" s="266"/>
      <c r="C663" s="266"/>
      <c r="D663" s="266"/>
      <c r="E663" s="266"/>
      <c r="F663" s="266"/>
    </row>
    <row r="664">
      <c r="B664" s="266"/>
      <c r="C664" s="266"/>
      <c r="D664" s="266"/>
      <c r="E664" s="266"/>
      <c r="F664" s="266"/>
    </row>
    <row r="665">
      <c r="B665" s="266"/>
      <c r="C665" s="266"/>
      <c r="D665" s="266"/>
      <c r="E665" s="266"/>
      <c r="F665" s="266"/>
    </row>
    <row r="666">
      <c r="B666" s="266"/>
      <c r="C666" s="266"/>
      <c r="D666" s="266"/>
      <c r="E666" s="266"/>
      <c r="F666" s="266"/>
    </row>
    <row r="667">
      <c r="B667" s="266"/>
      <c r="C667" s="266"/>
      <c r="D667" s="266"/>
      <c r="E667" s="266"/>
      <c r="F667" s="266"/>
    </row>
    <row r="668">
      <c r="B668" s="266"/>
      <c r="C668" s="266"/>
      <c r="D668" s="266"/>
      <c r="E668" s="266"/>
      <c r="F668" s="266"/>
    </row>
    <row r="669">
      <c r="B669" s="266"/>
      <c r="C669" s="266"/>
      <c r="D669" s="266"/>
      <c r="E669" s="266"/>
      <c r="F669" s="266"/>
    </row>
    <row r="670">
      <c r="B670" s="266"/>
      <c r="C670" s="266"/>
      <c r="D670" s="266"/>
      <c r="E670" s="266"/>
      <c r="F670" s="266"/>
    </row>
    <row r="671">
      <c r="B671" s="266"/>
      <c r="C671" s="266"/>
      <c r="D671" s="266"/>
      <c r="E671" s="266"/>
      <c r="F671" s="266"/>
    </row>
    <row r="672">
      <c r="B672" s="266"/>
      <c r="C672" s="266"/>
      <c r="D672" s="266"/>
      <c r="E672" s="266"/>
      <c r="F672" s="266"/>
    </row>
    <row r="673">
      <c r="B673" s="266"/>
      <c r="C673" s="266"/>
      <c r="D673" s="266"/>
      <c r="E673" s="266"/>
      <c r="F673" s="266"/>
    </row>
    <row r="674">
      <c r="B674" s="266"/>
      <c r="C674" s="266"/>
      <c r="D674" s="266"/>
      <c r="E674" s="266"/>
      <c r="F674" s="266"/>
    </row>
    <row r="675">
      <c r="B675" s="266"/>
      <c r="C675" s="266"/>
      <c r="D675" s="266"/>
      <c r="E675" s="266"/>
      <c r="F675" s="266"/>
    </row>
    <row r="676">
      <c r="B676" s="266"/>
      <c r="C676" s="266"/>
      <c r="D676" s="266"/>
      <c r="E676" s="266"/>
      <c r="F676" s="266"/>
    </row>
    <row r="677">
      <c r="B677" s="266"/>
      <c r="C677" s="266"/>
      <c r="D677" s="266"/>
      <c r="E677" s="266"/>
      <c r="F677" s="266"/>
    </row>
    <row r="678">
      <c r="B678" s="266"/>
      <c r="C678" s="266"/>
      <c r="D678" s="266"/>
      <c r="E678" s="266"/>
      <c r="F678" s="266"/>
    </row>
    <row r="679">
      <c r="B679" s="266"/>
      <c r="C679" s="266"/>
      <c r="D679" s="266"/>
      <c r="E679" s="266"/>
      <c r="F679" s="266"/>
    </row>
    <row r="680">
      <c r="B680" s="266"/>
      <c r="C680" s="266"/>
      <c r="D680" s="266"/>
      <c r="E680" s="266"/>
      <c r="F680" s="266"/>
    </row>
    <row r="681">
      <c r="B681" s="266"/>
      <c r="C681" s="266"/>
      <c r="D681" s="266"/>
      <c r="E681" s="266"/>
      <c r="F681" s="266"/>
    </row>
    <row r="682">
      <c r="B682" s="266"/>
      <c r="C682" s="266"/>
      <c r="D682" s="266"/>
      <c r="E682" s="266"/>
      <c r="F682" s="266"/>
    </row>
    <row r="683">
      <c r="B683" s="266"/>
      <c r="C683" s="266"/>
      <c r="D683" s="266"/>
      <c r="E683" s="266"/>
      <c r="F683" s="266"/>
    </row>
    <row r="684">
      <c r="B684" s="266"/>
      <c r="C684" s="266"/>
      <c r="D684" s="266"/>
      <c r="E684" s="266"/>
      <c r="F684" s="266"/>
    </row>
    <row r="685">
      <c r="B685" s="266"/>
      <c r="C685" s="266"/>
      <c r="D685" s="266"/>
      <c r="E685" s="266"/>
      <c r="F685" s="266"/>
    </row>
    <row r="686">
      <c r="B686" s="266"/>
      <c r="C686" s="266"/>
      <c r="D686" s="266"/>
      <c r="E686" s="266"/>
      <c r="F686" s="266"/>
    </row>
    <row r="687">
      <c r="B687" s="266"/>
      <c r="C687" s="266"/>
      <c r="D687" s="266"/>
      <c r="E687" s="266"/>
      <c r="F687" s="266"/>
    </row>
    <row r="688">
      <c r="B688" s="266"/>
      <c r="C688" s="266"/>
      <c r="D688" s="266"/>
      <c r="E688" s="266"/>
      <c r="F688" s="266"/>
    </row>
    <row r="689">
      <c r="B689" s="266"/>
      <c r="C689" s="266"/>
      <c r="D689" s="266"/>
      <c r="E689" s="266"/>
      <c r="F689" s="266"/>
    </row>
    <row r="690">
      <c r="B690" s="266"/>
      <c r="C690" s="266"/>
      <c r="D690" s="266"/>
      <c r="E690" s="266"/>
      <c r="F690" s="266"/>
    </row>
    <row r="691">
      <c r="B691" s="266"/>
      <c r="C691" s="266"/>
      <c r="D691" s="266"/>
      <c r="E691" s="266"/>
      <c r="F691" s="266"/>
    </row>
    <row r="692">
      <c r="B692" s="266"/>
      <c r="C692" s="266"/>
      <c r="D692" s="266"/>
      <c r="E692" s="266"/>
      <c r="F692" s="266"/>
    </row>
    <row r="693">
      <c r="B693" s="266"/>
      <c r="C693" s="266"/>
      <c r="D693" s="266"/>
      <c r="E693" s="266"/>
      <c r="F693" s="266"/>
    </row>
    <row r="694">
      <c r="B694" s="266"/>
      <c r="C694" s="266"/>
      <c r="D694" s="266"/>
      <c r="E694" s="266"/>
      <c r="F694" s="266"/>
    </row>
    <row r="695">
      <c r="B695" s="266"/>
      <c r="C695" s="266"/>
      <c r="D695" s="266"/>
      <c r="E695" s="266"/>
      <c r="F695" s="266"/>
    </row>
    <row r="696">
      <c r="B696" s="266"/>
      <c r="C696" s="266"/>
      <c r="D696" s="266"/>
      <c r="E696" s="266"/>
      <c r="F696" s="266"/>
    </row>
    <row r="697">
      <c r="B697" s="266"/>
      <c r="C697" s="266"/>
      <c r="D697" s="266"/>
      <c r="E697" s="266"/>
      <c r="F697" s="266"/>
    </row>
    <row r="698">
      <c r="B698" s="266"/>
      <c r="C698" s="266"/>
      <c r="D698" s="266"/>
      <c r="E698" s="266"/>
      <c r="F698" s="266"/>
    </row>
    <row r="699">
      <c r="B699" s="266"/>
      <c r="C699" s="266"/>
      <c r="D699" s="266"/>
      <c r="E699" s="266"/>
      <c r="F699" s="266"/>
    </row>
    <row r="700">
      <c r="B700" s="266"/>
      <c r="C700" s="266"/>
      <c r="D700" s="266"/>
      <c r="E700" s="266"/>
      <c r="F700" s="266"/>
    </row>
    <row r="701">
      <c r="B701" s="266"/>
      <c r="C701" s="266"/>
      <c r="D701" s="266"/>
      <c r="E701" s="266"/>
      <c r="F701" s="266"/>
    </row>
    <row r="702">
      <c r="B702" s="266"/>
      <c r="C702" s="266"/>
      <c r="D702" s="266"/>
      <c r="E702" s="266"/>
      <c r="F702" s="266"/>
    </row>
    <row r="703">
      <c r="B703" s="266"/>
      <c r="C703" s="266"/>
      <c r="D703" s="266"/>
      <c r="E703" s="266"/>
      <c r="F703" s="266"/>
    </row>
    <row r="704">
      <c r="B704" s="266"/>
      <c r="C704" s="266"/>
      <c r="D704" s="266"/>
      <c r="E704" s="266"/>
      <c r="F704" s="266"/>
    </row>
    <row r="705">
      <c r="B705" s="266"/>
      <c r="C705" s="266"/>
      <c r="D705" s="266"/>
      <c r="E705" s="266"/>
      <c r="F705" s="266"/>
    </row>
    <row r="706">
      <c r="B706" s="266"/>
      <c r="C706" s="266"/>
      <c r="D706" s="266"/>
      <c r="E706" s="266"/>
      <c r="F706" s="266"/>
    </row>
    <row r="707">
      <c r="B707" s="266"/>
      <c r="C707" s="266"/>
      <c r="D707" s="266"/>
      <c r="E707" s="266"/>
      <c r="F707" s="266"/>
    </row>
    <row r="708">
      <c r="B708" s="266"/>
      <c r="C708" s="266"/>
      <c r="D708" s="266"/>
      <c r="E708" s="266"/>
      <c r="F708" s="266"/>
    </row>
    <row r="709">
      <c r="B709" s="266"/>
      <c r="C709" s="266"/>
      <c r="D709" s="266"/>
      <c r="E709" s="266"/>
      <c r="F709" s="266"/>
    </row>
    <row r="710">
      <c r="B710" s="266"/>
      <c r="C710" s="266"/>
      <c r="D710" s="266"/>
      <c r="E710" s="266"/>
      <c r="F710" s="266"/>
    </row>
    <row r="711">
      <c r="B711" s="266"/>
      <c r="C711" s="266"/>
      <c r="D711" s="266"/>
      <c r="E711" s="266"/>
      <c r="F711" s="266"/>
    </row>
    <row r="712">
      <c r="B712" s="266"/>
      <c r="C712" s="266"/>
      <c r="D712" s="266"/>
      <c r="E712" s="266"/>
      <c r="F712" s="266"/>
    </row>
    <row r="713">
      <c r="B713" s="266"/>
      <c r="C713" s="266"/>
      <c r="D713" s="266"/>
      <c r="E713" s="266"/>
      <c r="F713" s="266"/>
    </row>
    <row r="714">
      <c r="B714" s="266"/>
      <c r="C714" s="266"/>
      <c r="D714" s="266"/>
      <c r="E714" s="266"/>
      <c r="F714" s="266"/>
    </row>
    <row r="715">
      <c r="B715" s="266"/>
      <c r="C715" s="266"/>
      <c r="D715" s="266"/>
      <c r="E715" s="266"/>
      <c r="F715" s="266"/>
    </row>
    <row r="716">
      <c r="B716" s="266"/>
      <c r="C716" s="266"/>
      <c r="D716" s="266"/>
      <c r="E716" s="266"/>
      <c r="F716" s="266"/>
    </row>
    <row r="717">
      <c r="B717" s="266"/>
      <c r="C717" s="266"/>
      <c r="D717" s="266"/>
      <c r="E717" s="266"/>
      <c r="F717" s="266"/>
    </row>
    <row r="718">
      <c r="B718" s="266"/>
      <c r="C718" s="266"/>
      <c r="D718" s="266"/>
      <c r="E718" s="266"/>
      <c r="F718" s="266"/>
    </row>
    <row r="719">
      <c r="B719" s="266"/>
      <c r="C719" s="266"/>
      <c r="D719" s="266"/>
      <c r="E719" s="266"/>
      <c r="F719" s="266"/>
    </row>
    <row r="720">
      <c r="B720" s="266"/>
      <c r="C720" s="266"/>
      <c r="D720" s="266"/>
      <c r="E720" s="266"/>
      <c r="F720" s="266"/>
    </row>
    <row r="721">
      <c r="B721" s="266"/>
      <c r="C721" s="266"/>
      <c r="D721" s="266"/>
      <c r="E721" s="266"/>
      <c r="F721" s="266"/>
    </row>
    <row r="722">
      <c r="B722" s="266"/>
      <c r="C722" s="266"/>
      <c r="D722" s="266"/>
      <c r="E722" s="266"/>
      <c r="F722" s="266"/>
    </row>
    <row r="723">
      <c r="B723" s="266"/>
      <c r="C723" s="266"/>
      <c r="D723" s="266"/>
      <c r="E723" s="266"/>
      <c r="F723" s="266"/>
    </row>
    <row r="724">
      <c r="B724" s="266"/>
      <c r="C724" s="266"/>
      <c r="D724" s="266"/>
      <c r="E724" s="266"/>
      <c r="F724" s="266"/>
    </row>
    <row r="725">
      <c r="B725" s="266"/>
      <c r="C725" s="266"/>
      <c r="D725" s="266"/>
      <c r="E725" s="266"/>
      <c r="F725" s="266"/>
    </row>
    <row r="726">
      <c r="B726" s="266"/>
      <c r="C726" s="266"/>
      <c r="D726" s="266"/>
      <c r="E726" s="266"/>
      <c r="F726" s="266"/>
    </row>
    <row r="727">
      <c r="B727" s="266"/>
      <c r="C727" s="266"/>
      <c r="D727" s="266"/>
      <c r="E727" s="266"/>
      <c r="F727" s="266"/>
    </row>
    <row r="728">
      <c r="B728" s="266"/>
      <c r="C728" s="266"/>
      <c r="D728" s="266"/>
      <c r="E728" s="266"/>
      <c r="F728" s="266"/>
    </row>
    <row r="729">
      <c r="B729" s="266"/>
      <c r="C729" s="266"/>
      <c r="D729" s="266"/>
      <c r="E729" s="266"/>
      <c r="F729" s="266"/>
    </row>
    <row r="730">
      <c r="B730" s="266"/>
      <c r="C730" s="266"/>
      <c r="D730" s="266"/>
      <c r="E730" s="266"/>
      <c r="F730" s="266"/>
    </row>
    <row r="731">
      <c r="B731" s="266"/>
      <c r="C731" s="266"/>
      <c r="D731" s="266"/>
      <c r="E731" s="266"/>
      <c r="F731" s="266"/>
    </row>
    <row r="732">
      <c r="B732" s="266"/>
      <c r="C732" s="266"/>
      <c r="D732" s="266"/>
      <c r="E732" s="266"/>
      <c r="F732" s="266"/>
    </row>
    <row r="733">
      <c r="B733" s="266"/>
      <c r="C733" s="266"/>
      <c r="D733" s="266"/>
      <c r="E733" s="266"/>
      <c r="F733" s="266"/>
    </row>
    <row r="734">
      <c r="B734" s="266"/>
      <c r="C734" s="266"/>
      <c r="D734" s="266"/>
      <c r="E734" s="266"/>
      <c r="F734" s="266"/>
    </row>
    <row r="735">
      <c r="B735" s="266"/>
      <c r="C735" s="266"/>
      <c r="D735" s="266"/>
      <c r="E735" s="266"/>
      <c r="F735" s="266"/>
    </row>
    <row r="736">
      <c r="B736" s="266"/>
      <c r="C736" s="266"/>
      <c r="D736" s="266"/>
      <c r="E736" s="266"/>
      <c r="F736" s="266"/>
    </row>
    <row r="737">
      <c r="B737" s="266"/>
      <c r="C737" s="266"/>
      <c r="D737" s="266"/>
      <c r="E737" s="266"/>
      <c r="F737" s="266"/>
    </row>
    <row r="738">
      <c r="B738" s="266"/>
      <c r="C738" s="266"/>
      <c r="D738" s="266"/>
      <c r="E738" s="266"/>
      <c r="F738" s="266"/>
    </row>
    <row r="739">
      <c r="B739" s="266"/>
      <c r="C739" s="266"/>
      <c r="D739" s="266"/>
      <c r="E739" s="266"/>
      <c r="F739" s="266"/>
    </row>
    <row r="740">
      <c r="B740" s="266"/>
      <c r="C740" s="266"/>
      <c r="D740" s="266"/>
      <c r="E740" s="266"/>
      <c r="F740" s="266"/>
    </row>
    <row r="741">
      <c r="B741" s="266"/>
      <c r="C741" s="266"/>
      <c r="D741" s="266"/>
      <c r="E741" s="266"/>
      <c r="F741" s="266"/>
    </row>
    <row r="742">
      <c r="B742" s="266"/>
      <c r="C742" s="266"/>
      <c r="D742" s="266"/>
      <c r="E742" s="266"/>
      <c r="F742" s="266"/>
    </row>
    <row r="743">
      <c r="B743" s="266"/>
      <c r="C743" s="266"/>
      <c r="D743" s="266"/>
      <c r="E743" s="266"/>
      <c r="F743" s="266"/>
    </row>
    <row r="744">
      <c r="B744" s="266"/>
      <c r="C744" s="266"/>
      <c r="D744" s="266"/>
      <c r="E744" s="266"/>
      <c r="F744" s="266"/>
    </row>
    <row r="745">
      <c r="B745" s="266"/>
      <c r="C745" s="266"/>
      <c r="D745" s="266"/>
      <c r="E745" s="266"/>
      <c r="F745" s="266"/>
    </row>
    <row r="746">
      <c r="B746" s="266"/>
      <c r="C746" s="266"/>
      <c r="D746" s="266"/>
      <c r="E746" s="266"/>
      <c r="F746" s="266"/>
    </row>
    <row r="747">
      <c r="B747" s="266"/>
      <c r="C747" s="266"/>
      <c r="D747" s="266"/>
      <c r="E747" s="266"/>
      <c r="F747" s="266"/>
    </row>
    <row r="748">
      <c r="B748" s="266"/>
      <c r="C748" s="266"/>
      <c r="D748" s="266"/>
      <c r="E748" s="266"/>
      <c r="F748" s="266"/>
    </row>
    <row r="749">
      <c r="B749" s="266"/>
      <c r="C749" s="266"/>
      <c r="D749" s="266"/>
      <c r="E749" s="266"/>
      <c r="F749" s="266"/>
    </row>
    <row r="750">
      <c r="B750" s="266"/>
      <c r="C750" s="266"/>
      <c r="D750" s="266"/>
      <c r="E750" s="266"/>
      <c r="F750" s="266"/>
    </row>
    <row r="751">
      <c r="B751" s="266"/>
      <c r="C751" s="266"/>
      <c r="D751" s="266"/>
      <c r="E751" s="266"/>
      <c r="F751" s="266"/>
    </row>
    <row r="752">
      <c r="B752" s="266"/>
      <c r="C752" s="266"/>
      <c r="D752" s="266"/>
      <c r="E752" s="266"/>
      <c r="F752" s="266"/>
    </row>
    <row r="753">
      <c r="B753" s="266"/>
      <c r="C753" s="266"/>
      <c r="D753" s="266"/>
      <c r="E753" s="266"/>
      <c r="F753" s="266"/>
    </row>
    <row r="754">
      <c r="B754" s="266"/>
      <c r="C754" s="266"/>
      <c r="D754" s="266"/>
      <c r="E754" s="266"/>
      <c r="F754" s="266"/>
    </row>
    <row r="755">
      <c r="B755" s="266"/>
      <c r="C755" s="266"/>
      <c r="D755" s="266"/>
      <c r="E755" s="266"/>
      <c r="F755" s="266"/>
    </row>
    <row r="756">
      <c r="B756" s="266"/>
      <c r="C756" s="266"/>
      <c r="D756" s="266"/>
      <c r="E756" s="266"/>
      <c r="F756" s="266"/>
    </row>
    <row r="757">
      <c r="B757" s="266"/>
      <c r="C757" s="266"/>
      <c r="D757" s="266"/>
      <c r="E757" s="266"/>
      <c r="F757" s="266"/>
    </row>
    <row r="758">
      <c r="B758" s="266"/>
      <c r="C758" s="266"/>
      <c r="D758" s="266"/>
      <c r="E758" s="266"/>
      <c r="F758" s="266"/>
    </row>
    <row r="759">
      <c r="B759" s="266"/>
      <c r="C759" s="266"/>
      <c r="D759" s="266"/>
      <c r="E759" s="266"/>
      <c r="F759" s="266"/>
    </row>
    <row r="760">
      <c r="B760" s="266"/>
      <c r="C760" s="266"/>
      <c r="D760" s="266"/>
      <c r="E760" s="266"/>
      <c r="F760" s="266"/>
    </row>
    <row r="761">
      <c r="B761" s="266"/>
      <c r="C761" s="266"/>
      <c r="D761" s="266"/>
      <c r="E761" s="266"/>
      <c r="F761" s="266"/>
    </row>
    <row r="762">
      <c r="B762" s="266"/>
      <c r="C762" s="266"/>
      <c r="D762" s="266"/>
      <c r="E762" s="266"/>
      <c r="F762" s="266"/>
    </row>
    <row r="763">
      <c r="B763" s="266"/>
      <c r="C763" s="266"/>
      <c r="D763" s="266"/>
      <c r="E763" s="266"/>
      <c r="F763" s="266"/>
    </row>
    <row r="764">
      <c r="B764" s="266"/>
      <c r="C764" s="266"/>
      <c r="D764" s="266"/>
      <c r="E764" s="266"/>
      <c r="F764" s="266"/>
    </row>
    <row r="765">
      <c r="B765" s="266"/>
      <c r="C765" s="266"/>
      <c r="D765" s="266"/>
      <c r="E765" s="266"/>
      <c r="F765" s="266"/>
    </row>
    <row r="766">
      <c r="B766" s="266"/>
      <c r="C766" s="266"/>
      <c r="D766" s="266"/>
      <c r="E766" s="266"/>
      <c r="F766" s="266"/>
    </row>
    <row r="767">
      <c r="B767" s="266"/>
      <c r="C767" s="266"/>
      <c r="D767" s="266"/>
      <c r="E767" s="266"/>
      <c r="F767" s="266"/>
    </row>
    <row r="768">
      <c r="B768" s="266"/>
      <c r="C768" s="266"/>
      <c r="D768" s="266"/>
      <c r="E768" s="266"/>
      <c r="F768" s="266"/>
    </row>
    <row r="769">
      <c r="B769" s="266"/>
      <c r="C769" s="266"/>
      <c r="D769" s="266"/>
      <c r="E769" s="266"/>
      <c r="F769" s="266"/>
    </row>
    <row r="770">
      <c r="B770" s="266"/>
      <c r="C770" s="266"/>
      <c r="D770" s="266"/>
      <c r="E770" s="266"/>
      <c r="F770" s="266"/>
    </row>
    <row r="771">
      <c r="B771" s="266"/>
      <c r="C771" s="266"/>
      <c r="D771" s="266"/>
      <c r="E771" s="266"/>
      <c r="F771" s="266"/>
    </row>
    <row r="772">
      <c r="B772" s="266"/>
      <c r="C772" s="266"/>
      <c r="D772" s="266"/>
      <c r="E772" s="266"/>
      <c r="F772" s="266"/>
    </row>
    <row r="773">
      <c r="B773" s="266"/>
      <c r="C773" s="266"/>
      <c r="D773" s="266"/>
      <c r="E773" s="266"/>
      <c r="F773" s="266"/>
    </row>
    <row r="774">
      <c r="B774" s="266"/>
      <c r="C774" s="266"/>
      <c r="D774" s="266"/>
      <c r="E774" s="266"/>
      <c r="F774" s="266"/>
    </row>
    <row r="775">
      <c r="B775" s="266"/>
      <c r="C775" s="266"/>
      <c r="D775" s="266"/>
      <c r="E775" s="266"/>
      <c r="F775" s="266"/>
    </row>
    <row r="776">
      <c r="B776" s="266"/>
      <c r="C776" s="266"/>
      <c r="D776" s="266"/>
      <c r="E776" s="266"/>
      <c r="F776" s="266"/>
    </row>
    <row r="777">
      <c r="B777" s="266"/>
      <c r="C777" s="266"/>
      <c r="D777" s="266"/>
      <c r="E777" s="266"/>
      <c r="F777" s="266"/>
    </row>
    <row r="778">
      <c r="B778" s="266"/>
      <c r="C778" s="266"/>
      <c r="D778" s="266"/>
      <c r="E778" s="266"/>
      <c r="F778" s="266"/>
    </row>
    <row r="779">
      <c r="B779" s="266"/>
      <c r="C779" s="266"/>
      <c r="D779" s="266"/>
      <c r="E779" s="266"/>
      <c r="F779" s="266"/>
    </row>
    <row r="780">
      <c r="B780" s="266"/>
      <c r="C780" s="266"/>
      <c r="D780" s="266"/>
      <c r="E780" s="266"/>
      <c r="F780" s="266"/>
    </row>
    <row r="781">
      <c r="B781" s="266"/>
      <c r="C781" s="266"/>
      <c r="D781" s="266"/>
      <c r="E781" s="266"/>
      <c r="F781" s="266"/>
    </row>
    <row r="782">
      <c r="B782" s="266"/>
      <c r="C782" s="266"/>
      <c r="D782" s="266"/>
      <c r="E782" s="266"/>
      <c r="F782" s="266"/>
    </row>
    <row r="783">
      <c r="B783" s="266"/>
      <c r="C783" s="266"/>
      <c r="D783" s="266"/>
      <c r="E783" s="266"/>
      <c r="F783" s="266"/>
    </row>
    <row r="784">
      <c r="B784" s="266"/>
      <c r="C784" s="266"/>
      <c r="D784" s="266"/>
      <c r="E784" s="266"/>
      <c r="F784" s="266"/>
    </row>
    <row r="785">
      <c r="B785" s="266"/>
      <c r="C785" s="266"/>
      <c r="D785" s="266"/>
      <c r="E785" s="266"/>
      <c r="F785" s="266"/>
    </row>
    <row r="786">
      <c r="B786" s="266"/>
      <c r="C786" s="266"/>
      <c r="D786" s="266"/>
      <c r="E786" s="266"/>
      <c r="F786" s="266"/>
    </row>
    <row r="787">
      <c r="B787" s="266"/>
      <c r="C787" s="266"/>
      <c r="D787" s="266"/>
      <c r="E787" s="266"/>
      <c r="F787" s="266"/>
    </row>
    <row r="788">
      <c r="B788" s="266"/>
      <c r="C788" s="266"/>
      <c r="D788" s="266"/>
      <c r="E788" s="266"/>
      <c r="F788" s="266"/>
    </row>
    <row r="789">
      <c r="B789" s="266"/>
      <c r="C789" s="266"/>
      <c r="D789" s="266"/>
      <c r="E789" s="266"/>
      <c r="F789" s="266"/>
    </row>
    <row r="790">
      <c r="B790" s="266"/>
      <c r="C790" s="266"/>
      <c r="D790" s="266"/>
      <c r="E790" s="266"/>
      <c r="F790" s="266"/>
    </row>
    <row r="791">
      <c r="B791" s="266"/>
      <c r="C791" s="266"/>
      <c r="D791" s="266"/>
      <c r="E791" s="266"/>
      <c r="F791" s="266"/>
    </row>
    <row r="792">
      <c r="B792" s="266"/>
      <c r="C792" s="266"/>
      <c r="D792" s="266"/>
      <c r="E792" s="266"/>
      <c r="F792" s="266"/>
    </row>
    <row r="793">
      <c r="B793" s="266"/>
      <c r="C793" s="266"/>
      <c r="D793" s="266"/>
      <c r="E793" s="266"/>
      <c r="F793" s="266"/>
    </row>
    <row r="794">
      <c r="B794" s="266"/>
      <c r="C794" s="266"/>
      <c r="D794" s="266"/>
      <c r="E794" s="266"/>
      <c r="F794" s="266"/>
    </row>
    <row r="795">
      <c r="B795" s="266"/>
      <c r="C795" s="266"/>
      <c r="D795" s="266"/>
      <c r="E795" s="266"/>
      <c r="F795" s="266"/>
    </row>
    <row r="796">
      <c r="B796" s="266"/>
      <c r="C796" s="266"/>
      <c r="D796" s="266"/>
      <c r="E796" s="266"/>
      <c r="F796" s="266"/>
    </row>
    <row r="797">
      <c r="B797" s="266"/>
      <c r="C797" s="266"/>
      <c r="D797" s="266"/>
      <c r="E797" s="266"/>
      <c r="F797" s="266"/>
    </row>
    <row r="798">
      <c r="B798" s="266"/>
      <c r="C798" s="266"/>
      <c r="D798" s="266"/>
      <c r="E798" s="266"/>
      <c r="F798" s="266"/>
    </row>
    <row r="799">
      <c r="B799" s="266"/>
      <c r="C799" s="266"/>
      <c r="D799" s="266"/>
      <c r="E799" s="266"/>
      <c r="F799" s="266"/>
    </row>
    <row r="800">
      <c r="B800" s="266"/>
      <c r="C800" s="266"/>
      <c r="D800" s="266"/>
      <c r="E800" s="266"/>
      <c r="F800" s="266"/>
    </row>
    <row r="801">
      <c r="B801" s="266"/>
      <c r="C801" s="266"/>
      <c r="D801" s="266"/>
      <c r="E801" s="266"/>
      <c r="F801" s="266"/>
    </row>
    <row r="802">
      <c r="B802" s="266"/>
      <c r="C802" s="266"/>
      <c r="D802" s="266"/>
      <c r="E802" s="266"/>
      <c r="F802" s="266"/>
    </row>
    <row r="803">
      <c r="B803" s="266"/>
      <c r="C803" s="266"/>
      <c r="D803" s="266"/>
      <c r="E803" s="266"/>
      <c r="F803" s="266"/>
    </row>
    <row r="804">
      <c r="B804" s="266"/>
      <c r="C804" s="266"/>
      <c r="D804" s="266"/>
      <c r="E804" s="266"/>
      <c r="F804" s="266"/>
    </row>
    <row r="805">
      <c r="B805" s="266"/>
      <c r="C805" s="266"/>
      <c r="D805" s="266"/>
      <c r="E805" s="266"/>
      <c r="F805" s="266"/>
    </row>
    <row r="806">
      <c r="B806" s="266"/>
      <c r="C806" s="266"/>
      <c r="D806" s="266"/>
      <c r="E806" s="266"/>
      <c r="F806" s="266"/>
    </row>
    <row r="807">
      <c r="B807" s="266"/>
      <c r="C807" s="266"/>
      <c r="D807" s="266"/>
      <c r="E807" s="266"/>
      <c r="F807" s="266"/>
    </row>
    <row r="808">
      <c r="B808" s="266"/>
      <c r="C808" s="266"/>
      <c r="D808" s="266"/>
      <c r="E808" s="266"/>
      <c r="F808" s="266"/>
    </row>
    <row r="809">
      <c r="B809" s="266"/>
      <c r="C809" s="266"/>
      <c r="D809" s="266"/>
      <c r="E809" s="266"/>
      <c r="F809" s="266"/>
    </row>
    <row r="810">
      <c r="B810" s="266"/>
      <c r="C810" s="266"/>
      <c r="D810" s="266"/>
      <c r="E810" s="266"/>
      <c r="F810" s="266"/>
    </row>
    <row r="811">
      <c r="B811" s="266"/>
      <c r="C811" s="266"/>
      <c r="D811" s="266"/>
      <c r="E811" s="266"/>
      <c r="F811" s="266"/>
    </row>
    <row r="812">
      <c r="B812" s="266"/>
      <c r="C812" s="266"/>
      <c r="D812" s="266"/>
      <c r="E812" s="266"/>
      <c r="F812" s="266"/>
    </row>
    <row r="813">
      <c r="B813" s="266"/>
      <c r="C813" s="266"/>
      <c r="D813" s="266"/>
      <c r="E813" s="266"/>
      <c r="F813" s="266"/>
    </row>
    <row r="814">
      <c r="B814" s="266"/>
      <c r="C814" s="266"/>
      <c r="D814" s="266"/>
      <c r="E814" s="266"/>
      <c r="F814" s="266"/>
    </row>
    <row r="815">
      <c r="B815" s="266"/>
      <c r="C815" s="266"/>
      <c r="D815" s="266"/>
      <c r="E815" s="266"/>
      <c r="F815" s="266"/>
    </row>
    <row r="816">
      <c r="B816" s="266"/>
      <c r="C816" s="266"/>
      <c r="D816" s="266"/>
      <c r="E816" s="266"/>
      <c r="F816" s="266"/>
    </row>
    <row r="817">
      <c r="B817" s="266"/>
      <c r="C817" s="266"/>
      <c r="D817" s="266"/>
      <c r="E817" s="266"/>
      <c r="F817" s="266"/>
    </row>
    <row r="818">
      <c r="B818" s="266"/>
      <c r="C818" s="266"/>
      <c r="D818" s="266"/>
      <c r="E818" s="266"/>
      <c r="F818" s="266"/>
    </row>
    <row r="819">
      <c r="B819" s="266"/>
      <c r="C819" s="266"/>
      <c r="D819" s="266"/>
      <c r="E819" s="266"/>
      <c r="F819" s="266"/>
    </row>
    <row r="820">
      <c r="B820" s="266"/>
      <c r="C820" s="266"/>
      <c r="D820" s="266"/>
      <c r="E820" s="266"/>
      <c r="F820" s="266"/>
    </row>
    <row r="821">
      <c r="B821" s="266"/>
      <c r="C821" s="266"/>
      <c r="D821" s="266"/>
      <c r="E821" s="266"/>
      <c r="F821" s="266"/>
    </row>
    <row r="822">
      <c r="B822" s="266"/>
      <c r="C822" s="266"/>
      <c r="D822" s="266"/>
      <c r="E822" s="266"/>
      <c r="F822" s="266"/>
    </row>
    <row r="823">
      <c r="B823" s="266"/>
      <c r="C823" s="266"/>
      <c r="D823" s="266"/>
      <c r="E823" s="266"/>
      <c r="F823" s="266"/>
    </row>
    <row r="824">
      <c r="B824" s="266"/>
      <c r="C824" s="266"/>
      <c r="D824" s="266"/>
      <c r="E824" s="266"/>
      <c r="F824" s="266"/>
    </row>
    <row r="825">
      <c r="B825" s="266"/>
      <c r="C825" s="266"/>
      <c r="D825" s="266"/>
      <c r="E825" s="266"/>
      <c r="F825" s="266"/>
    </row>
    <row r="826">
      <c r="B826" s="266"/>
      <c r="C826" s="266"/>
      <c r="D826" s="266"/>
      <c r="E826" s="266"/>
      <c r="F826" s="266"/>
    </row>
    <row r="827">
      <c r="B827" s="266"/>
      <c r="C827" s="266"/>
      <c r="D827" s="266"/>
      <c r="E827" s="266"/>
      <c r="F827" s="266"/>
    </row>
    <row r="828">
      <c r="B828" s="266"/>
      <c r="C828" s="266"/>
      <c r="D828" s="266"/>
      <c r="E828" s="266"/>
      <c r="F828" s="266"/>
    </row>
    <row r="829">
      <c r="B829" s="266"/>
      <c r="C829" s="266"/>
      <c r="D829" s="266"/>
      <c r="E829" s="266"/>
      <c r="F829" s="266"/>
    </row>
    <row r="830">
      <c r="B830" s="266"/>
      <c r="C830" s="266"/>
      <c r="D830" s="266"/>
      <c r="E830" s="266"/>
      <c r="F830" s="266"/>
    </row>
    <row r="831">
      <c r="B831" s="266"/>
      <c r="C831" s="266"/>
      <c r="D831" s="266"/>
      <c r="E831" s="266"/>
      <c r="F831" s="266"/>
    </row>
    <row r="832">
      <c r="B832" s="266"/>
      <c r="C832" s="266"/>
      <c r="D832" s="266"/>
      <c r="E832" s="266"/>
      <c r="F832" s="266"/>
    </row>
    <row r="833">
      <c r="B833" s="266"/>
      <c r="C833" s="266"/>
      <c r="D833" s="266"/>
      <c r="E833" s="266"/>
      <c r="F833" s="266"/>
    </row>
    <row r="834">
      <c r="B834" s="266"/>
      <c r="C834" s="266"/>
      <c r="D834" s="266"/>
      <c r="E834" s="266"/>
      <c r="F834" s="266"/>
    </row>
    <row r="835">
      <c r="B835" s="266"/>
      <c r="C835" s="266"/>
      <c r="D835" s="266"/>
      <c r="E835" s="266"/>
      <c r="F835" s="266"/>
    </row>
    <row r="836">
      <c r="B836" s="266"/>
      <c r="C836" s="266"/>
      <c r="D836" s="266"/>
      <c r="E836" s="266"/>
      <c r="F836" s="266"/>
    </row>
    <row r="837">
      <c r="B837" s="266"/>
      <c r="C837" s="266"/>
      <c r="D837" s="266"/>
      <c r="E837" s="266"/>
      <c r="F837" s="266"/>
    </row>
    <row r="838">
      <c r="B838" s="266"/>
      <c r="C838" s="266"/>
      <c r="D838" s="266"/>
      <c r="E838" s="266"/>
      <c r="F838" s="266"/>
    </row>
    <row r="839">
      <c r="B839" s="266"/>
      <c r="C839" s="266"/>
      <c r="D839" s="266"/>
      <c r="E839" s="266"/>
      <c r="F839" s="266"/>
    </row>
    <row r="840">
      <c r="B840" s="266"/>
      <c r="C840" s="266"/>
      <c r="D840" s="266"/>
      <c r="E840" s="266"/>
      <c r="F840" s="266"/>
    </row>
    <row r="841">
      <c r="B841" s="266"/>
      <c r="C841" s="266"/>
      <c r="D841" s="266"/>
      <c r="E841" s="266"/>
      <c r="F841" s="266"/>
    </row>
    <row r="842">
      <c r="B842" s="266"/>
      <c r="C842" s="266"/>
      <c r="D842" s="266"/>
      <c r="E842" s="266"/>
      <c r="F842" s="266"/>
    </row>
    <row r="843">
      <c r="B843" s="266"/>
      <c r="C843" s="266"/>
      <c r="D843" s="266"/>
      <c r="E843" s="266"/>
      <c r="F843" s="266"/>
    </row>
    <row r="844">
      <c r="B844" s="266"/>
      <c r="C844" s="266"/>
      <c r="D844" s="266"/>
      <c r="E844" s="266"/>
      <c r="F844" s="266"/>
    </row>
    <row r="845">
      <c r="B845" s="266"/>
      <c r="C845" s="266"/>
      <c r="D845" s="266"/>
      <c r="E845" s="266"/>
      <c r="F845" s="266"/>
    </row>
    <row r="846">
      <c r="B846" s="266"/>
      <c r="C846" s="266"/>
      <c r="D846" s="266"/>
      <c r="E846" s="266"/>
      <c r="F846" s="266"/>
    </row>
    <row r="847">
      <c r="B847" s="266"/>
      <c r="C847" s="266"/>
      <c r="D847" s="266"/>
      <c r="E847" s="266"/>
      <c r="F847" s="266"/>
    </row>
    <row r="848">
      <c r="B848" s="266"/>
      <c r="C848" s="266"/>
      <c r="D848" s="266"/>
      <c r="E848" s="266"/>
      <c r="F848" s="266"/>
    </row>
    <row r="849">
      <c r="B849" s="266"/>
      <c r="C849" s="266"/>
      <c r="D849" s="266"/>
      <c r="E849" s="266"/>
      <c r="F849" s="266"/>
    </row>
    <row r="850">
      <c r="B850" s="266"/>
      <c r="C850" s="266"/>
      <c r="D850" s="266"/>
      <c r="E850" s="266"/>
      <c r="F850" s="266"/>
    </row>
    <row r="851">
      <c r="B851" s="266"/>
      <c r="C851" s="266"/>
      <c r="D851" s="266"/>
      <c r="E851" s="266"/>
      <c r="F851" s="266"/>
    </row>
    <row r="852">
      <c r="B852" s="266"/>
      <c r="C852" s="266"/>
      <c r="D852" s="266"/>
      <c r="E852" s="266"/>
      <c r="F852" s="266"/>
    </row>
    <row r="853">
      <c r="B853" s="266"/>
      <c r="C853" s="266"/>
      <c r="D853" s="266"/>
      <c r="E853" s="266"/>
      <c r="F853" s="266"/>
    </row>
    <row r="854">
      <c r="B854" s="266"/>
      <c r="C854" s="266"/>
      <c r="D854" s="266"/>
      <c r="E854" s="266"/>
      <c r="F854" s="266"/>
    </row>
    <row r="855">
      <c r="B855" s="266"/>
      <c r="C855" s="266"/>
      <c r="D855" s="266"/>
      <c r="E855" s="266"/>
      <c r="F855" s="266"/>
    </row>
    <row r="856">
      <c r="B856" s="266"/>
      <c r="C856" s="266"/>
      <c r="D856" s="266"/>
      <c r="E856" s="266"/>
      <c r="F856" s="266"/>
    </row>
    <row r="857">
      <c r="B857" s="266"/>
      <c r="C857" s="266"/>
      <c r="D857" s="266"/>
      <c r="E857" s="266"/>
      <c r="F857" s="266"/>
    </row>
    <row r="858">
      <c r="B858" s="266"/>
      <c r="C858" s="266"/>
      <c r="D858" s="266"/>
      <c r="E858" s="266"/>
      <c r="F858" s="266"/>
    </row>
    <row r="859">
      <c r="B859" s="266"/>
      <c r="C859" s="266"/>
      <c r="D859" s="266"/>
      <c r="E859" s="266"/>
      <c r="F859" s="266"/>
    </row>
    <row r="860">
      <c r="B860" s="266"/>
      <c r="C860" s="266"/>
      <c r="D860" s="266"/>
      <c r="E860" s="266"/>
      <c r="F860" s="266"/>
    </row>
    <row r="861">
      <c r="B861" s="266"/>
      <c r="C861" s="266"/>
      <c r="D861" s="266"/>
      <c r="E861" s="266"/>
      <c r="F861" s="266"/>
    </row>
    <row r="862">
      <c r="B862" s="266"/>
      <c r="C862" s="266"/>
      <c r="D862" s="266"/>
      <c r="E862" s="266"/>
      <c r="F862" s="266"/>
    </row>
    <row r="863">
      <c r="B863" s="266"/>
      <c r="C863" s="266"/>
      <c r="D863" s="266"/>
      <c r="E863" s="266"/>
      <c r="F863" s="266"/>
    </row>
    <row r="864">
      <c r="B864" s="266"/>
      <c r="C864" s="266"/>
      <c r="D864" s="266"/>
      <c r="E864" s="266"/>
      <c r="F864" s="266"/>
    </row>
    <row r="865">
      <c r="B865" s="266"/>
      <c r="C865" s="266"/>
      <c r="D865" s="266"/>
      <c r="E865" s="266"/>
      <c r="F865" s="266"/>
    </row>
    <row r="866">
      <c r="B866" s="266"/>
      <c r="C866" s="266"/>
      <c r="D866" s="266"/>
      <c r="E866" s="266"/>
      <c r="F866" s="266"/>
    </row>
    <row r="867">
      <c r="B867" s="266"/>
      <c r="C867" s="266"/>
      <c r="D867" s="266"/>
      <c r="E867" s="266"/>
      <c r="F867" s="266"/>
    </row>
    <row r="868">
      <c r="B868" s="266"/>
      <c r="C868" s="266"/>
      <c r="D868" s="266"/>
      <c r="E868" s="266"/>
      <c r="F868" s="266"/>
    </row>
    <row r="869">
      <c r="B869" s="266"/>
      <c r="C869" s="266"/>
      <c r="D869" s="266"/>
      <c r="E869" s="266"/>
      <c r="F869" s="266"/>
    </row>
    <row r="870">
      <c r="B870" s="266"/>
      <c r="C870" s="266"/>
      <c r="D870" s="266"/>
      <c r="E870" s="266"/>
      <c r="F870" s="266"/>
    </row>
    <row r="871">
      <c r="B871" s="266"/>
      <c r="C871" s="266"/>
      <c r="D871" s="266"/>
      <c r="E871" s="266"/>
      <c r="F871" s="266"/>
    </row>
    <row r="872">
      <c r="B872" s="266"/>
      <c r="C872" s="266"/>
      <c r="D872" s="266"/>
      <c r="E872" s="266"/>
      <c r="F872" s="266"/>
    </row>
    <row r="873">
      <c r="B873" s="266"/>
      <c r="C873" s="266"/>
      <c r="D873" s="266"/>
      <c r="E873" s="266"/>
      <c r="F873" s="266"/>
    </row>
    <row r="874">
      <c r="B874" s="266"/>
      <c r="C874" s="266"/>
      <c r="D874" s="266"/>
      <c r="E874" s="266"/>
      <c r="F874" s="266"/>
    </row>
    <row r="875">
      <c r="B875" s="266"/>
      <c r="C875" s="266"/>
      <c r="D875" s="266"/>
      <c r="E875" s="266"/>
      <c r="F875" s="266"/>
    </row>
    <row r="876">
      <c r="B876" s="266"/>
      <c r="C876" s="266"/>
      <c r="D876" s="266"/>
      <c r="E876" s="266"/>
      <c r="F876" s="266"/>
    </row>
    <row r="877">
      <c r="B877" s="266"/>
      <c r="C877" s="266"/>
      <c r="D877" s="266"/>
      <c r="E877" s="266"/>
      <c r="F877" s="266"/>
    </row>
    <row r="878">
      <c r="B878" s="266"/>
      <c r="C878" s="266"/>
      <c r="D878" s="266"/>
      <c r="E878" s="266"/>
      <c r="F878" s="266"/>
    </row>
    <row r="879">
      <c r="B879" s="266"/>
      <c r="C879" s="266"/>
      <c r="D879" s="266"/>
      <c r="E879" s="266"/>
      <c r="F879" s="266"/>
    </row>
    <row r="880">
      <c r="B880" s="266"/>
      <c r="C880" s="266"/>
      <c r="D880" s="266"/>
      <c r="E880" s="266"/>
      <c r="F880" s="266"/>
    </row>
    <row r="881">
      <c r="B881" s="266"/>
      <c r="C881" s="266"/>
      <c r="D881" s="266"/>
      <c r="E881" s="266"/>
      <c r="F881" s="266"/>
    </row>
    <row r="882">
      <c r="B882" s="266"/>
      <c r="C882" s="266"/>
      <c r="D882" s="266"/>
      <c r="E882" s="266"/>
      <c r="F882" s="266"/>
    </row>
    <row r="883">
      <c r="B883" s="266"/>
      <c r="C883" s="266"/>
      <c r="D883" s="266"/>
      <c r="E883" s="266"/>
      <c r="F883" s="266"/>
    </row>
    <row r="884">
      <c r="B884" s="266"/>
      <c r="C884" s="266"/>
      <c r="D884" s="266"/>
      <c r="E884" s="266"/>
      <c r="F884" s="266"/>
    </row>
    <row r="885">
      <c r="B885" s="266"/>
      <c r="C885" s="266"/>
      <c r="D885" s="266"/>
      <c r="E885" s="266"/>
      <c r="F885" s="266"/>
    </row>
    <row r="886">
      <c r="B886" s="266"/>
      <c r="C886" s="266"/>
      <c r="D886" s="266"/>
      <c r="E886" s="266"/>
      <c r="F886" s="266"/>
    </row>
    <row r="887">
      <c r="B887" s="266"/>
      <c r="C887" s="266"/>
      <c r="D887" s="266"/>
      <c r="E887" s="266"/>
      <c r="F887" s="266"/>
    </row>
    <row r="888">
      <c r="B888" s="266"/>
      <c r="C888" s="266"/>
      <c r="D888" s="266"/>
      <c r="E888" s="266"/>
      <c r="F888" s="266"/>
    </row>
    <row r="889">
      <c r="B889" s="266"/>
      <c r="C889" s="266"/>
      <c r="D889" s="266"/>
      <c r="E889" s="266"/>
      <c r="F889" s="266"/>
    </row>
    <row r="890">
      <c r="B890" s="266"/>
      <c r="C890" s="266"/>
      <c r="D890" s="266"/>
      <c r="E890" s="266"/>
      <c r="F890" s="266"/>
    </row>
    <row r="891">
      <c r="B891" s="266"/>
      <c r="C891" s="266"/>
      <c r="D891" s="266"/>
      <c r="E891" s="266"/>
      <c r="F891" s="266"/>
    </row>
    <row r="892">
      <c r="B892" s="266"/>
      <c r="C892" s="266"/>
      <c r="D892" s="266"/>
      <c r="E892" s="266"/>
      <c r="F892" s="266"/>
    </row>
    <row r="893">
      <c r="B893" s="266"/>
      <c r="C893" s="266"/>
      <c r="D893" s="266"/>
      <c r="E893" s="266"/>
      <c r="F893" s="266"/>
    </row>
    <row r="894">
      <c r="B894" s="266"/>
      <c r="C894" s="266"/>
      <c r="D894" s="266"/>
      <c r="E894" s="266"/>
      <c r="F894" s="266"/>
    </row>
    <row r="895">
      <c r="B895" s="266"/>
      <c r="C895" s="266"/>
      <c r="D895" s="266"/>
      <c r="E895" s="266"/>
      <c r="F895" s="266"/>
    </row>
    <row r="896">
      <c r="B896" s="266"/>
      <c r="C896" s="266"/>
      <c r="D896" s="266"/>
      <c r="E896" s="266"/>
      <c r="F896" s="266"/>
    </row>
    <row r="897">
      <c r="B897" s="266"/>
      <c r="C897" s="266"/>
      <c r="D897" s="266"/>
      <c r="E897" s="266"/>
      <c r="F897" s="266"/>
    </row>
    <row r="898">
      <c r="B898" s="266"/>
      <c r="C898" s="266"/>
      <c r="D898" s="266"/>
      <c r="E898" s="266"/>
      <c r="F898" s="266"/>
    </row>
    <row r="899">
      <c r="B899" s="266"/>
      <c r="C899" s="266"/>
      <c r="D899" s="266"/>
      <c r="E899" s="266"/>
      <c r="F899" s="266"/>
    </row>
    <row r="900">
      <c r="B900" s="266"/>
      <c r="C900" s="266"/>
      <c r="D900" s="266"/>
      <c r="E900" s="266"/>
      <c r="F900" s="266"/>
    </row>
    <row r="901">
      <c r="B901" s="266"/>
      <c r="C901" s="266"/>
      <c r="D901" s="266"/>
      <c r="E901" s="266"/>
      <c r="F901" s="266"/>
    </row>
    <row r="902">
      <c r="B902" s="266"/>
      <c r="C902" s="266"/>
      <c r="D902" s="266"/>
      <c r="E902" s="266"/>
      <c r="F902" s="266"/>
    </row>
    <row r="903">
      <c r="B903" s="266"/>
      <c r="C903" s="266"/>
      <c r="D903" s="266"/>
      <c r="E903" s="266"/>
      <c r="F903" s="266"/>
    </row>
    <row r="904">
      <c r="B904" s="266"/>
      <c r="C904" s="266"/>
      <c r="D904" s="266"/>
      <c r="E904" s="266"/>
      <c r="F904" s="266"/>
    </row>
    <row r="905">
      <c r="B905" s="266"/>
      <c r="C905" s="266"/>
      <c r="D905" s="266"/>
      <c r="E905" s="266"/>
      <c r="F905" s="266"/>
    </row>
    <row r="906">
      <c r="B906" s="266"/>
      <c r="C906" s="266"/>
      <c r="D906" s="266"/>
      <c r="E906" s="266"/>
      <c r="F906" s="266"/>
    </row>
    <row r="907">
      <c r="B907" s="266"/>
      <c r="C907" s="266"/>
      <c r="D907" s="266"/>
      <c r="E907" s="266"/>
      <c r="F907" s="266"/>
    </row>
    <row r="908">
      <c r="B908" s="266"/>
      <c r="C908" s="266"/>
      <c r="D908" s="266"/>
      <c r="E908" s="266"/>
      <c r="F908" s="266"/>
    </row>
    <row r="909">
      <c r="B909" s="266"/>
      <c r="C909" s="266"/>
      <c r="D909" s="266"/>
      <c r="E909" s="266"/>
      <c r="F909" s="266"/>
    </row>
    <row r="910">
      <c r="B910" s="266"/>
      <c r="C910" s="266"/>
      <c r="D910" s="266"/>
      <c r="E910" s="266"/>
      <c r="F910" s="266"/>
    </row>
    <row r="911">
      <c r="B911" s="266"/>
      <c r="C911" s="266"/>
      <c r="D911" s="266"/>
      <c r="E911" s="266"/>
      <c r="F911" s="266"/>
    </row>
    <row r="912">
      <c r="B912" s="266"/>
      <c r="C912" s="266"/>
      <c r="D912" s="266"/>
      <c r="E912" s="266"/>
      <c r="F912" s="266"/>
    </row>
    <row r="913">
      <c r="B913" s="266"/>
      <c r="C913" s="266"/>
      <c r="D913" s="266"/>
      <c r="E913" s="266"/>
      <c r="F913" s="266"/>
    </row>
    <row r="914">
      <c r="B914" s="266"/>
      <c r="C914" s="266"/>
      <c r="D914" s="266"/>
      <c r="E914" s="266"/>
      <c r="F914" s="266"/>
    </row>
    <row r="915">
      <c r="B915" s="266"/>
      <c r="C915" s="266"/>
      <c r="D915" s="266"/>
      <c r="E915" s="266"/>
      <c r="F915" s="266"/>
    </row>
    <row r="916">
      <c r="B916" s="266"/>
      <c r="C916" s="266"/>
      <c r="D916" s="266"/>
      <c r="E916" s="266"/>
      <c r="F916" s="266"/>
    </row>
    <row r="917">
      <c r="B917" s="266"/>
      <c r="C917" s="266"/>
      <c r="D917" s="266"/>
      <c r="E917" s="266"/>
      <c r="F917" s="266"/>
    </row>
    <row r="918">
      <c r="B918" s="266"/>
      <c r="C918" s="266"/>
      <c r="D918" s="266"/>
      <c r="E918" s="266"/>
      <c r="F918" s="266"/>
    </row>
    <row r="919">
      <c r="B919" s="266"/>
      <c r="C919" s="266"/>
      <c r="D919" s="266"/>
      <c r="E919" s="266"/>
      <c r="F919" s="266"/>
    </row>
    <row r="920">
      <c r="B920" s="266"/>
      <c r="C920" s="266"/>
      <c r="D920" s="266"/>
      <c r="E920" s="266"/>
      <c r="F920" s="266"/>
    </row>
    <row r="921">
      <c r="B921" s="266"/>
      <c r="C921" s="266"/>
      <c r="D921" s="266"/>
      <c r="E921" s="266"/>
      <c r="F921" s="266"/>
    </row>
    <row r="922">
      <c r="B922" s="266"/>
      <c r="C922" s="266"/>
      <c r="D922" s="266"/>
      <c r="E922" s="266"/>
      <c r="F922" s="266"/>
    </row>
    <row r="923">
      <c r="B923" s="266"/>
      <c r="C923" s="266"/>
      <c r="D923" s="266"/>
      <c r="E923" s="266"/>
      <c r="F923" s="266"/>
    </row>
    <row r="924">
      <c r="B924" s="266"/>
      <c r="C924" s="266"/>
      <c r="D924" s="266"/>
      <c r="E924" s="266"/>
      <c r="F924" s="266"/>
    </row>
    <row r="925">
      <c r="B925" s="266"/>
      <c r="C925" s="266"/>
      <c r="D925" s="266"/>
      <c r="E925" s="266"/>
      <c r="F925" s="266"/>
    </row>
    <row r="926">
      <c r="B926" s="266"/>
      <c r="C926" s="266"/>
      <c r="D926" s="266"/>
      <c r="E926" s="266"/>
      <c r="F926" s="266"/>
    </row>
    <row r="927">
      <c r="B927" s="266"/>
      <c r="C927" s="266"/>
      <c r="D927" s="266"/>
      <c r="E927" s="266"/>
      <c r="F927" s="266"/>
    </row>
    <row r="928">
      <c r="B928" s="266"/>
      <c r="C928" s="266"/>
      <c r="D928" s="266"/>
      <c r="E928" s="266"/>
      <c r="F928" s="266"/>
    </row>
    <row r="929">
      <c r="B929" s="266"/>
      <c r="C929" s="266"/>
      <c r="D929" s="266"/>
      <c r="E929" s="266"/>
      <c r="F929" s="266"/>
    </row>
    <row r="930">
      <c r="B930" s="266"/>
      <c r="C930" s="266"/>
      <c r="D930" s="266"/>
      <c r="E930" s="266"/>
      <c r="F930" s="266"/>
    </row>
    <row r="931">
      <c r="B931" s="266"/>
      <c r="C931" s="266"/>
      <c r="D931" s="266"/>
      <c r="E931" s="266"/>
      <c r="F931" s="266"/>
    </row>
    <row r="932">
      <c r="B932" s="266"/>
      <c r="C932" s="266"/>
      <c r="D932" s="266"/>
      <c r="E932" s="266"/>
      <c r="F932" s="266"/>
    </row>
    <row r="933">
      <c r="B933" s="266"/>
      <c r="C933" s="266"/>
      <c r="D933" s="266"/>
      <c r="E933" s="266"/>
      <c r="F933" s="266"/>
    </row>
    <row r="934">
      <c r="B934" s="266"/>
      <c r="C934" s="266"/>
      <c r="D934" s="266"/>
      <c r="E934" s="266"/>
      <c r="F934" s="266"/>
    </row>
    <row r="935">
      <c r="B935" s="266"/>
      <c r="C935" s="266"/>
      <c r="D935" s="266"/>
      <c r="E935" s="266"/>
      <c r="F935" s="266"/>
    </row>
    <row r="936">
      <c r="B936" s="266"/>
      <c r="C936" s="266"/>
      <c r="D936" s="266"/>
      <c r="E936" s="266"/>
      <c r="F936" s="266"/>
    </row>
    <row r="937">
      <c r="B937" s="266"/>
      <c r="C937" s="266"/>
      <c r="D937" s="266"/>
      <c r="E937" s="266"/>
      <c r="F937" s="266"/>
    </row>
    <row r="938">
      <c r="B938" s="266"/>
      <c r="C938" s="266"/>
      <c r="D938" s="266"/>
      <c r="E938" s="266"/>
      <c r="F938" s="266"/>
    </row>
    <row r="939">
      <c r="B939" s="266"/>
      <c r="C939" s="266"/>
      <c r="D939" s="266"/>
      <c r="E939" s="266"/>
      <c r="F939" s="266"/>
    </row>
    <row r="940">
      <c r="B940" s="266"/>
      <c r="C940" s="266"/>
      <c r="D940" s="266"/>
      <c r="E940" s="266"/>
      <c r="F940" s="266"/>
    </row>
    <row r="941">
      <c r="B941" s="266"/>
      <c r="C941" s="266"/>
      <c r="D941" s="266"/>
      <c r="E941" s="266"/>
      <c r="F941" s="266"/>
    </row>
    <row r="942">
      <c r="B942" s="266"/>
      <c r="C942" s="266"/>
      <c r="D942" s="266"/>
      <c r="E942" s="266"/>
      <c r="F942" s="266"/>
    </row>
    <row r="943">
      <c r="B943" s="266"/>
      <c r="C943" s="266"/>
      <c r="D943" s="266"/>
      <c r="E943" s="266"/>
      <c r="F943" s="266"/>
    </row>
    <row r="944">
      <c r="B944" s="266"/>
      <c r="C944" s="266"/>
      <c r="D944" s="266"/>
      <c r="E944" s="266"/>
      <c r="F944" s="266"/>
    </row>
    <row r="945">
      <c r="B945" s="266"/>
      <c r="C945" s="266"/>
      <c r="D945" s="266"/>
      <c r="E945" s="266"/>
      <c r="F945" s="266"/>
    </row>
    <row r="946">
      <c r="B946" s="266"/>
      <c r="C946" s="266"/>
      <c r="D946" s="266"/>
      <c r="E946" s="266"/>
      <c r="F946" s="266"/>
    </row>
    <row r="947">
      <c r="B947" s="266"/>
      <c r="C947" s="266"/>
      <c r="D947" s="266"/>
      <c r="E947" s="266"/>
      <c r="F947" s="266"/>
    </row>
    <row r="948">
      <c r="B948" s="266"/>
      <c r="C948" s="266"/>
      <c r="D948" s="266"/>
      <c r="E948" s="266"/>
      <c r="F948" s="266"/>
    </row>
    <row r="949">
      <c r="B949" s="266"/>
      <c r="C949" s="266"/>
      <c r="D949" s="266"/>
      <c r="E949" s="266"/>
      <c r="F949" s="266"/>
    </row>
    <row r="950">
      <c r="B950" s="266"/>
      <c r="C950" s="266"/>
      <c r="D950" s="266"/>
      <c r="E950" s="266"/>
      <c r="F950" s="266"/>
    </row>
    <row r="951">
      <c r="B951" s="266"/>
      <c r="C951" s="266"/>
      <c r="D951" s="266"/>
      <c r="E951" s="266"/>
      <c r="F951" s="266"/>
    </row>
    <row r="952">
      <c r="B952" s="266"/>
      <c r="C952" s="266"/>
      <c r="D952" s="266"/>
      <c r="E952" s="266"/>
      <c r="F952" s="266"/>
    </row>
    <row r="953">
      <c r="B953" s="266"/>
      <c r="C953" s="266"/>
      <c r="D953" s="266"/>
      <c r="E953" s="266"/>
      <c r="F953" s="266"/>
    </row>
    <row r="954">
      <c r="B954" s="266"/>
      <c r="C954" s="266"/>
      <c r="D954" s="266"/>
      <c r="E954" s="266"/>
      <c r="F954" s="266"/>
    </row>
    <row r="955">
      <c r="B955" s="266"/>
      <c r="C955" s="266"/>
      <c r="D955" s="266"/>
      <c r="E955" s="266"/>
      <c r="F955" s="266"/>
    </row>
    <row r="956">
      <c r="B956" s="266"/>
      <c r="C956" s="266"/>
      <c r="D956" s="266"/>
      <c r="E956" s="266"/>
      <c r="F956" s="266"/>
    </row>
    <row r="957">
      <c r="B957" s="266"/>
      <c r="C957" s="266"/>
      <c r="D957" s="266"/>
      <c r="E957" s="266"/>
      <c r="F957" s="266"/>
    </row>
    <row r="958">
      <c r="B958" s="266"/>
      <c r="C958" s="266"/>
      <c r="D958" s="266"/>
      <c r="E958" s="266"/>
      <c r="F958" s="266"/>
    </row>
    <row r="959">
      <c r="B959" s="266"/>
      <c r="C959" s="266"/>
      <c r="D959" s="266"/>
      <c r="E959" s="266"/>
      <c r="F959" s="266"/>
    </row>
    <row r="960">
      <c r="B960" s="266"/>
      <c r="C960" s="266"/>
      <c r="D960" s="266"/>
      <c r="E960" s="266"/>
      <c r="F960" s="266"/>
    </row>
    <row r="961">
      <c r="B961" s="266"/>
      <c r="C961" s="266"/>
      <c r="D961" s="266"/>
      <c r="E961" s="266"/>
      <c r="F961" s="266"/>
    </row>
    <row r="962">
      <c r="B962" s="266"/>
      <c r="C962" s="266"/>
      <c r="D962" s="266"/>
      <c r="E962" s="266"/>
      <c r="F962" s="266"/>
    </row>
    <row r="963">
      <c r="B963" s="266"/>
      <c r="C963" s="266"/>
      <c r="D963" s="266"/>
      <c r="E963" s="266"/>
      <c r="F963" s="266"/>
    </row>
    <row r="964">
      <c r="B964" s="266"/>
      <c r="C964" s="266"/>
      <c r="D964" s="266"/>
      <c r="E964" s="266"/>
      <c r="F964" s="266"/>
    </row>
    <row r="965">
      <c r="B965" s="266"/>
      <c r="C965" s="266"/>
      <c r="D965" s="266"/>
      <c r="E965" s="266"/>
      <c r="F965" s="266"/>
    </row>
    <row r="966">
      <c r="B966" s="266"/>
      <c r="C966" s="266"/>
      <c r="D966" s="266"/>
      <c r="E966" s="266"/>
      <c r="F966" s="266"/>
    </row>
    <row r="967">
      <c r="B967" s="266"/>
      <c r="C967" s="266"/>
      <c r="D967" s="266"/>
      <c r="E967" s="266"/>
      <c r="F967" s="266"/>
    </row>
    <row r="968">
      <c r="B968" s="266"/>
      <c r="C968" s="266"/>
      <c r="D968" s="266"/>
      <c r="E968" s="266"/>
      <c r="F968" s="266"/>
    </row>
    <row r="969">
      <c r="B969" s="266"/>
      <c r="C969" s="266"/>
      <c r="D969" s="266"/>
      <c r="E969" s="266"/>
      <c r="F969" s="266"/>
    </row>
    <row r="970">
      <c r="B970" s="266"/>
      <c r="C970" s="266"/>
      <c r="D970" s="266"/>
      <c r="E970" s="266"/>
      <c r="F970" s="266"/>
    </row>
    <row r="971">
      <c r="B971" s="266"/>
      <c r="C971" s="266"/>
      <c r="D971" s="266"/>
      <c r="E971" s="266"/>
      <c r="F971" s="266"/>
    </row>
    <row r="972">
      <c r="B972" s="266"/>
      <c r="C972" s="266"/>
      <c r="D972" s="266"/>
      <c r="E972" s="266"/>
      <c r="F972" s="266"/>
    </row>
    <row r="973">
      <c r="B973" s="266"/>
      <c r="C973" s="266"/>
      <c r="D973" s="266"/>
      <c r="E973" s="266"/>
      <c r="F973" s="266"/>
    </row>
    <row r="974">
      <c r="B974" s="266"/>
      <c r="C974" s="266"/>
      <c r="D974" s="266"/>
      <c r="E974" s="266"/>
      <c r="F974" s="266"/>
    </row>
    <row r="975">
      <c r="B975" s="266"/>
      <c r="C975" s="266"/>
      <c r="D975" s="266"/>
      <c r="E975" s="266"/>
      <c r="F975" s="266"/>
    </row>
    <row r="976">
      <c r="B976" s="266"/>
      <c r="C976" s="266"/>
      <c r="D976" s="266"/>
      <c r="E976" s="266"/>
      <c r="F976" s="266"/>
    </row>
    <row r="977">
      <c r="B977" s="266"/>
      <c r="C977" s="266"/>
      <c r="D977" s="266"/>
      <c r="E977" s="266"/>
      <c r="F977" s="266"/>
    </row>
    <row r="978">
      <c r="B978" s="266"/>
      <c r="C978" s="266"/>
      <c r="D978" s="266"/>
      <c r="E978" s="266"/>
      <c r="F978" s="266"/>
    </row>
    <row r="979">
      <c r="B979" s="266"/>
      <c r="C979" s="266"/>
      <c r="D979" s="266"/>
      <c r="E979" s="266"/>
      <c r="F979" s="266"/>
    </row>
    <row r="980">
      <c r="B980" s="266"/>
      <c r="C980" s="266"/>
      <c r="D980" s="266"/>
      <c r="E980" s="266"/>
      <c r="F980" s="266"/>
    </row>
    <row r="981">
      <c r="B981" s="266"/>
      <c r="C981" s="266"/>
      <c r="D981" s="266"/>
      <c r="E981" s="266"/>
      <c r="F981" s="266"/>
    </row>
    <row r="982">
      <c r="B982" s="266"/>
      <c r="C982" s="266"/>
      <c r="D982" s="266"/>
      <c r="E982" s="266"/>
      <c r="F982" s="266"/>
    </row>
    <row r="983">
      <c r="B983" s="266"/>
      <c r="C983" s="266"/>
      <c r="D983" s="266"/>
      <c r="E983" s="266"/>
      <c r="F983" s="266"/>
    </row>
    <row r="984">
      <c r="B984" s="266"/>
      <c r="C984" s="266"/>
      <c r="D984" s="266"/>
      <c r="E984" s="266"/>
      <c r="F984" s="266"/>
    </row>
    <row r="985">
      <c r="B985" s="266"/>
      <c r="C985" s="266"/>
      <c r="D985" s="266"/>
      <c r="E985" s="266"/>
      <c r="F985" s="266"/>
    </row>
    <row r="986">
      <c r="B986" s="266"/>
      <c r="C986" s="266"/>
      <c r="D986" s="266"/>
      <c r="E986" s="266"/>
      <c r="F986" s="266"/>
    </row>
    <row r="987">
      <c r="B987" s="266"/>
      <c r="C987" s="266"/>
      <c r="D987" s="266"/>
      <c r="E987" s="266"/>
      <c r="F987" s="266"/>
    </row>
    <row r="988">
      <c r="B988" s="266"/>
      <c r="C988" s="266"/>
      <c r="D988" s="266"/>
      <c r="E988" s="266"/>
      <c r="F988" s="266"/>
    </row>
    <row r="989">
      <c r="B989" s="266"/>
      <c r="C989" s="266"/>
      <c r="D989" s="266"/>
      <c r="E989" s="266"/>
      <c r="F989" s="266"/>
    </row>
    <row r="990">
      <c r="B990" s="266"/>
      <c r="C990" s="266"/>
      <c r="D990" s="266"/>
      <c r="E990" s="266"/>
      <c r="F990" s="266"/>
    </row>
    <row r="991">
      <c r="B991" s="266"/>
      <c r="C991" s="266"/>
      <c r="D991" s="266"/>
      <c r="E991" s="266"/>
      <c r="F991" s="266"/>
    </row>
    <row r="992">
      <c r="B992" s="266"/>
      <c r="C992" s="266"/>
      <c r="D992" s="266"/>
      <c r="E992" s="266"/>
      <c r="F992" s="266"/>
    </row>
    <row r="993">
      <c r="B993" s="266"/>
      <c r="C993" s="266"/>
      <c r="D993" s="266"/>
      <c r="E993" s="266"/>
      <c r="F993" s="266"/>
    </row>
    <row r="994">
      <c r="B994" s="266"/>
      <c r="C994" s="266"/>
      <c r="D994" s="266"/>
      <c r="E994" s="266"/>
      <c r="F994" s="266"/>
    </row>
    <row r="995">
      <c r="B995" s="266"/>
      <c r="C995" s="266"/>
      <c r="D995" s="266"/>
      <c r="E995" s="266"/>
      <c r="F995" s="266"/>
    </row>
    <row r="996">
      <c r="B996" s="266"/>
      <c r="C996" s="266"/>
      <c r="D996" s="266"/>
      <c r="E996" s="266"/>
      <c r="F996" s="266"/>
    </row>
    <row r="997">
      <c r="B997" s="266"/>
      <c r="C997" s="266"/>
      <c r="D997" s="266"/>
      <c r="E997" s="266"/>
      <c r="F997" s="266"/>
    </row>
    <row r="998">
      <c r="B998" s="266"/>
      <c r="C998" s="266"/>
      <c r="D998" s="266"/>
      <c r="E998" s="266"/>
      <c r="F998" s="266"/>
    </row>
    <row r="999">
      <c r="B999" s="266"/>
      <c r="C999" s="266"/>
      <c r="D999" s="266"/>
      <c r="E999" s="266"/>
      <c r="F999" s="266"/>
    </row>
    <row r="1000">
      <c r="B1000" s="266"/>
      <c r="C1000" s="266"/>
      <c r="D1000" s="266"/>
      <c r="E1000" s="266"/>
      <c r="F1000" s="266"/>
    </row>
    <row r="1001">
      <c r="B1001" s="266"/>
      <c r="C1001" s="266"/>
      <c r="D1001" s="266"/>
      <c r="E1001" s="266"/>
      <c r="F1001" s="266"/>
    </row>
    <row r="1002">
      <c r="B1002" s="266"/>
      <c r="C1002" s="266"/>
      <c r="D1002" s="266"/>
      <c r="E1002" s="266"/>
      <c r="F1002" s="266"/>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s>
  <sheetData>
    <row r="1">
      <c r="A1" s="8" t="s">
        <v>227</v>
      </c>
      <c r="B1" s="8" t="s">
        <v>1449</v>
      </c>
      <c r="C1" s="8" t="s">
        <v>157</v>
      </c>
    </row>
    <row r="2">
      <c r="A2" s="8" t="s">
        <v>386</v>
      </c>
      <c r="B2" s="8" t="s">
        <v>3</v>
      </c>
      <c r="C2" s="8" t="s">
        <v>1450</v>
      </c>
      <c r="D2" s="232">
        <f>IFERROR(__xludf.DUMMYFUNCTION("sum(filter(TIMESHEET!G:G,TIMESHEET!C:C=B2))"),32.85833333333332)</f>
        <v>32.85833333</v>
      </c>
    </row>
    <row r="3">
      <c r="A3" s="8" t="s">
        <v>657</v>
      </c>
      <c r="B3" s="8" t="s">
        <v>240</v>
      </c>
      <c r="C3" s="8" t="s">
        <v>1451</v>
      </c>
      <c r="D3" s="232">
        <f>IFERROR(__xludf.DUMMYFUNCTION("sum(filter(TIMESHEET!G:G,TIMESHEET!C:C=B3))"),0.375)</f>
        <v>0.375</v>
      </c>
    </row>
    <row r="4">
      <c r="A4" s="8" t="s">
        <v>397</v>
      </c>
      <c r="B4" s="8" t="s">
        <v>4</v>
      </c>
      <c r="C4" s="8" t="s">
        <v>1450</v>
      </c>
      <c r="D4" s="232">
        <f>IFERROR(__xludf.DUMMYFUNCTION("sum(filter(TIMESHEET!G:G,TIMESHEET!C:C=B4))"),9.51805555555555)</f>
        <v>9.518055556</v>
      </c>
    </row>
    <row r="5">
      <c r="A5" s="8" t="s">
        <v>379</v>
      </c>
      <c r="B5" s="8" t="s">
        <v>5</v>
      </c>
      <c r="C5" s="8" t="s">
        <v>1450</v>
      </c>
      <c r="D5" s="232">
        <f>IFERROR(__xludf.DUMMYFUNCTION("sum(filter(TIMESHEET!G:G,TIMESHEET!C:C=B5))"),6.878472222222224)</f>
        <v>6.878472222</v>
      </c>
    </row>
    <row r="6">
      <c r="A6" s="8" t="s">
        <v>1452</v>
      </c>
      <c r="B6" s="8" t="s">
        <v>6</v>
      </c>
      <c r="C6" s="8" t="s">
        <v>1450</v>
      </c>
      <c r="D6" s="231" t="str">
        <f>IFERROR(__xludf.DUMMYFUNCTION("sum(filter(TIMESHEET!G:G,TIMESHEET!C:C=B6))"),"#N/A")</f>
        <v>#N/A</v>
      </c>
    </row>
    <row r="7">
      <c r="A7" s="8" t="s">
        <v>1453</v>
      </c>
      <c r="B7" s="8" t="s">
        <v>241</v>
      </c>
      <c r="C7" s="8" t="s">
        <v>1450</v>
      </c>
      <c r="D7" s="231" t="str">
        <f>IFERROR(__xludf.DUMMYFUNCTION("sum(filter(TIMESHEET!G:G,TIMESHEET!C:C=B7))"),"#N/A")</f>
        <v>#N/A</v>
      </c>
    </row>
    <row r="8">
      <c r="A8" s="8" t="s">
        <v>378</v>
      </c>
      <c r="B8" s="8" t="s">
        <v>7</v>
      </c>
      <c r="C8" s="8" t="s">
        <v>1450</v>
      </c>
      <c r="D8" s="232">
        <f>IFERROR(__xludf.DUMMYFUNCTION("sum(filter(TIMESHEET!G:G,TIMESHEET!C:C=B8))"),0.21875)</f>
        <v>0.21875</v>
      </c>
    </row>
    <row r="9">
      <c r="A9" s="8" t="s">
        <v>441</v>
      </c>
      <c r="B9" s="8" t="s">
        <v>8</v>
      </c>
      <c r="C9" s="8" t="s">
        <v>1450</v>
      </c>
      <c r="D9" s="232">
        <f>IFERROR(__xludf.DUMMYFUNCTION("sum(filter(TIMESHEET!G:G,TIMESHEET!C:C=B9))"),2.0770833333333334)</f>
        <v>2.077083333</v>
      </c>
    </row>
    <row r="10">
      <c r="A10" s="8" t="s">
        <v>410</v>
      </c>
      <c r="B10" s="8" t="s">
        <v>9</v>
      </c>
      <c r="C10" s="8" t="s">
        <v>1450</v>
      </c>
      <c r="D10" s="232">
        <f>IFERROR(__xludf.DUMMYFUNCTION("sum(filter(TIMESHEET!G:G,TIMESHEET!C:C=B10))"),1.9687500000000002)</f>
        <v>1.96875</v>
      </c>
    </row>
    <row r="11">
      <c r="A11" s="8" t="s">
        <v>389</v>
      </c>
      <c r="B11" s="8" t="s">
        <v>10</v>
      </c>
      <c r="C11" s="8" t="s">
        <v>1450</v>
      </c>
      <c r="D11" s="232">
        <f>IFERROR(__xludf.DUMMYFUNCTION("sum(filter(TIMESHEET!G:G,TIMESHEET!C:C=B11))"),2.395138888888889)</f>
        <v>2.395138889</v>
      </c>
    </row>
    <row r="12">
      <c r="A12" s="8" t="s">
        <v>1454</v>
      </c>
      <c r="B12" s="8" t="s">
        <v>243</v>
      </c>
      <c r="C12" s="8" t="s">
        <v>1451</v>
      </c>
      <c r="D12" s="231" t="str">
        <f>IFERROR(__xludf.DUMMYFUNCTION("sum(filter(TIMESHEET!G:G,TIMESHEET!C:C=B12))"),"#N/A")</f>
        <v>#N/A</v>
      </c>
    </row>
    <row r="13">
      <c r="A13" s="8" t="s">
        <v>1455</v>
      </c>
      <c r="B13" s="8" t="s">
        <v>244</v>
      </c>
      <c r="C13" s="8" t="s">
        <v>1451</v>
      </c>
      <c r="D13" s="231" t="str">
        <f>IFERROR(__xludf.DUMMYFUNCTION("sum(filter(TIMESHEET!G:G,TIMESHEET!C:C=B13))"),"#N/A")</f>
        <v>#N/A</v>
      </c>
    </row>
    <row r="14">
      <c r="A14" s="8" t="s">
        <v>457</v>
      </c>
      <c r="B14" s="8" t="s">
        <v>11</v>
      </c>
      <c r="C14" s="8" t="s">
        <v>1450</v>
      </c>
      <c r="D14" s="232">
        <f>IFERROR(__xludf.DUMMYFUNCTION("sum(filter(TIMESHEET!G:G,TIMESHEET!C:C=B14))"),2.479166666666667)</f>
        <v>2.479166667</v>
      </c>
    </row>
    <row r="15">
      <c r="A15" s="8" t="s">
        <v>1456</v>
      </c>
      <c r="B15" s="8" t="s">
        <v>245</v>
      </c>
      <c r="C15" s="8" t="s">
        <v>1450</v>
      </c>
      <c r="D15" s="231" t="str">
        <f>IFERROR(__xludf.DUMMYFUNCTION("sum(filter(TIMESHEET!G:G,TIMESHEET!C:C=B15))"),"#N/A")</f>
        <v>#N/A</v>
      </c>
    </row>
    <row r="16">
      <c r="A16" s="8" t="s">
        <v>506</v>
      </c>
      <c r="B16" s="8" t="s">
        <v>12</v>
      </c>
      <c r="C16" s="8" t="s">
        <v>1450</v>
      </c>
      <c r="D16" s="232">
        <f>IFERROR(__xludf.DUMMYFUNCTION("sum(filter(TIMESHEET!G:G,TIMESHEET!C:C=B16))"),1.0208333333333335)</f>
        <v>1.020833333</v>
      </c>
    </row>
    <row r="17">
      <c r="A17" s="8" t="s">
        <v>510</v>
      </c>
      <c r="B17" s="8" t="s">
        <v>13</v>
      </c>
      <c r="C17" s="8" t="s">
        <v>1450</v>
      </c>
      <c r="D17" s="232">
        <f>IFERROR(__xludf.DUMMYFUNCTION("sum(filter(TIMESHEET!G:G,TIMESHEET!C:C=B17))"),1.4166666666666665)</f>
        <v>1.416666667</v>
      </c>
    </row>
    <row r="18">
      <c r="A18" s="8" t="s">
        <v>428</v>
      </c>
      <c r="B18" s="8" t="s">
        <v>14</v>
      </c>
      <c r="C18" s="8" t="s">
        <v>1450</v>
      </c>
      <c r="D18" s="232">
        <f>IFERROR(__xludf.DUMMYFUNCTION("sum(filter(TIMESHEET!G:G,TIMESHEET!C:C=B18))"),5.718750000000006)</f>
        <v>5.71875</v>
      </c>
    </row>
    <row r="19">
      <c r="A19" s="8" t="s">
        <v>1457</v>
      </c>
      <c r="B19" s="8" t="s">
        <v>15</v>
      </c>
      <c r="C19" s="8" t="s">
        <v>1450</v>
      </c>
      <c r="D19" s="231" t="str">
        <f>IFERROR(__xludf.DUMMYFUNCTION("sum(filter(TIMESHEET!G:G,TIMESHEET!C:C=B19))"),"#N/A")</f>
        <v>#N/A</v>
      </c>
    </row>
    <row r="20">
      <c r="A20" s="8" t="s">
        <v>1458</v>
      </c>
      <c r="B20" s="8" t="s">
        <v>246</v>
      </c>
      <c r="C20" s="8" t="s">
        <v>1450</v>
      </c>
      <c r="D20" s="231" t="str">
        <f>IFERROR(__xludf.DUMMYFUNCTION("sum(filter(TIMESHEET!G:G,TIMESHEET!C:C=B20))"),"#N/A")</f>
        <v>#N/A</v>
      </c>
    </row>
    <row r="21">
      <c r="A21" s="8" t="s">
        <v>1459</v>
      </c>
      <c r="B21" s="8" t="s">
        <v>18</v>
      </c>
      <c r="C21" s="8" t="s">
        <v>1450</v>
      </c>
      <c r="D21" s="231" t="str">
        <f>IFERROR(__xludf.DUMMYFUNCTION("sum(filter(TIMESHEET!G:G,TIMESHEET!C:C=B21))"),"#N/A")</f>
        <v>#N/A</v>
      </c>
    </row>
    <row r="22">
      <c r="A22" s="8" t="s">
        <v>433</v>
      </c>
      <c r="B22" s="8" t="s">
        <v>247</v>
      </c>
      <c r="C22" s="8" t="s">
        <v>1450</v>
      </c>
      <c r="D22" s="232">
        <f>IFERROR(__xludf.DUMMYFUNCTION("sum(filter(TIMESHEET!G:G,TIMESHEET!C:C=B22))"),0.8645833333333334)</f>
        <v>0.8645833333</v>
      </c>
    </row>
    <row r="23">
      <c r="A23" s="8" t="s">
        <v>431</v>
      </c>
      <c r="B23" s="8" t="s">
        <v>19</v>
      </c>
      <c r="C23" s="8" t="s">
        <v>1450</v>
      </c>
      <c r="D23" s="232">
        <f>IFERROR(__xludf.DUMMYFUNCTION("sum(filter(TIMESHEET!G:G,TIMESHEET!C:C=B23))"),0.3125)</f>
        <v>0.3125</v>
      </c>
    </row>
    <row r="24">
      <c r="A24" s="8" t="s">
        <v>1460</v>
      </c>
      <c r="B24" s="8" t="s">
        <v>248</v>
      </c>
      <c r="C24" s="8" t="s">
        <v>1450</v>
      </c>
      <c r="D24" s="231" t="str">
        <f>IFERROR(__xludf.DUMMYFUNCTION("sum(filter(TIMESHEET!G:G,TIMESHEET!C:C=B24))"),"#N/A")</f>
        <v>#N/A</v>
      </c>
    </row>
    <row r="25">
      <c r="A25" s="8" t="s">
        <v>384</v>
      </c>
      <c r="B25" s="8" t="s">
        <v>249</v>
      </c>
      <c r="C25" s="8" t="s">
        <v>1450</v>
      </c>
      <c r="D25" s="232">
        <f>IFERROR(__xludf.DUMMYFUNCTION("sum(filter(TIMESHEET!G:G,TIMESHEET!C:C=B25))"),0.2881944444444444)</f>
        <v>0.2881944444</v>
      </c>
    </row>
    <row r="26">
      <c r="A26" s="8" t="s">
        <v>534</v>
      </c>
      <c r="B26" s="8" t="s">
        <v>21</v>
      </c>
      <c r="C26" s="8" t="s">
        <v>1450</v>
      </c>
      <c r="D26" s="232">
        <f>IFERROR(__xludf.DUMMYFUNCTION("sum(filter(TIMESHEET!G:G,TIMESHEET!C:C=B26))"),0.125)</f>
        <v>0.125</v>
      </c>
    </row>
    <row r="27">
      <c r="A27" s="8" t="s">
        <v>1461</v>
      </c>
      <c r="B27" s="8" t="s">
        <v>1462</v>
      </c>
      <c r="C27" s="8" t="s">
        <v>1450</v>
      </c>
      <c r="D27" s="231" t="str">
        <f>IFERROR(__xludf.DUMMYFUNCTION("sum(filter(TIMESHEET!G:G,TIMESHEET!C:C=B27))"),"#N/A")</f>
        <v>#N/A</v>
      </c>
    </row>
    <row r="28">
      <c r="A28" s="8" t="s">
        <v>595</v>
      </c>
      <c r="B28" s="8" t="s">
        <v>250</v>
      </c>
      <c r="C28" s="8" t="s">
        <v>1450</v>
      </c>
      <c r="D28" s="232">
        <f>IFERROR(__xludf.DUMMYFUNCTION("sum(filter(TIMESHEET!G:G,TIMESHEET!C:C=B28))"),0.020833333333333332)</f>
        <v>0.02083333333</v>
      </c>
    </row>
    <row r="29">
      <c r="A29" s="8" t="s">
        <v>426</v>
      </c>
      <c r="B29" s="8" t="s">
        <v>23</v>
      </c>
      <c r="C29" s="8" t="s">
        <v>1450</v>
      </c>
      <c r="D29" s="232">
        <f>IFERROR(__xludf.DUMMYFUNCTION("sum(filter(TIMESHEET!G:G,TIMESHEET!C:C=B29))"),2.25)</f>
        <v>2.25</v>
      </c>
    </row>
    <row r="30">
      <c r="A30" s="8" t="s">
        <v>511</v>
      </c>
      <c r="B30" s="8" t="s">
        <v>24</v>
      </c>
      <c r="C30" s="8" t="s">
        <v>1450</v>
      </c>
      <c r="D30" s="232">
        <f>IFERROR(__xludf.DUMMYFUNCTION("sum(filter(TIMESHEET!G:G,TIMESHEET!C:C=B30))"),0.4583333333333333)</f>
        <v>0.4583333333</v>
      </c>
    </row>
    <row r="31">
      <c r="A31" s="8" t="s">
        <v>508</v>
      </c>
      <c r="B31" s="8" t="s">
        <v>25</v>
      </c>
      <c r="C31" s="8" t="s">
        <v>1450</v>
      </c>
      <c r="D31" s="232">
        <f>IFERROR(__xludf.DUMMYFUNCTION("sum(filter(TIMESHEET!G:G,TIMESHEET!C:C=B31))"),1.4999999999999998)</f>
        <v>1.5</v>
      </c>
    </row>
    <row r="32">
      <c r="A32" s="8" t="s">
        <v>1463</v>
      </c>
      <c r="B32" s="8" t="s">
        <v>26</v>
      </c>
      <c r="C32" s="8" t="s">
        <v>1450</v>
      </c>
      <c r="D32" s="231" t="str">
        <f>IFERROR(__xludf.DUMMYFUNCTION("sum(filter(TIMESHEET!G:G,TIMESHEET!C:C=B32))"),"#N/A")</f>
        <v>#N/A</v>
      </c>
    </row>
    <row r="33">
      <c r="A33" s="8" t="s">
        <v>516</v>
      </c>
      <c r="B33" s="8" t="s">
        <v>27</v>
      </c>
      <c r="C33" s="8" t="s">
        <v>1450</v>
      </c>
      <c r="D33" s="232">
        <f>IFERROR(__xludf.DUMMYFUNCTION("sum(filter(TIMESHEET!G:G,TIMESHEET!C:C=B33))"),1.1666666666666667)</f>
        <v>1.166666667</v>
      </c>
    </row>
    <row r="34">
      <c r="A34" s="8" t="s">
        <v>547</v>
      </c>
      <c r="B34" s="8" t="s">
        <v>251</v>
      </c>
      <c r="C34" s="8" t="s">
        <v>1450</v>
      </c>
      <c r="D34" s="232">
        <f>IFERROR(__xludf.DUMMYFUNCTION("sum(filter(TIMESHEET!G:G,TIMESHEET!C:C=B34))"),0.1875)</f>
        <v>0.1875</v>
      </c>
    </row>
    <row r="35">
      <c r="A35" s="8" t="s">
        <v>408</v>
      </c>
      <c r="B35" s="8" t="s">
        <v>28</v>
      </c>
      <c r="C35" s="8" t="s">
        <v>1450</v>
      </c>
      <c r="D35" s="232">
        <f>IFERROR(__xludf.DUMMYFUNCTION("sum(filter(TIMESHEET!G:G,TIMESHEET!C:C=B35))"),2.2395833333333335)</f>
        <v>2.239583333</v>
      </c>
    </row>
    <row r="36">
      <c r="A36" s="8" t="s">
        <v>531</v>
      </c>
      <c r="B36" s="8" t="s">
        <v>529</v>
      </c>
      <c r="C36" s="8" t="s">
        <v>1450</v>
      </c>
      <c r="D36" s="232">
        <f>IFERROR(__xludf.DUMMYFUNCTION("sum(filter(TIMESHEET!G:G,TIMESHEET!C:C=B36))"),0.14583333333333331)</f>
        <v>0.1458333333</v>
      </c>
    </row>
    <row r="37">
      <c r="A37" s="8" t="s">
        <v>1464</v>
      </c>
      <c r="B37" s="8" t="s">
        <v>1465</v>
      </c>
      <c r="C37" s="8" t="s">
        <v>1450</v>
      </c>
      <c r="D37" s="231" t="str">
        <f>IFERROR(__xludf.DUMMYFUNCTION("sum(filter(TIMESHEET!G:G,TIMESHEET!C:C=B37))"),"#N/A")</f>
        <v>#N/A</v>
      </c>
    </row>
    <row r="38">
      <c r="A38" s="8" t="s">
        <v>376</v>
      </c>
      <c r="B38" s="8" t="s">
        <v>374</v>
      </c>
      <c r="C38" s="8" t="s">
        <v>1450</v>
      </c>
      <c r="D38" s="232">
        <f>IFERROR(__xludf.DUMMYFUNCTION("sum(filter(TIMESHEET!G:G,TIMESHEET!C:C=B38))"),0.6006944444444444)</f>
        <v>0.6006944444</v>
      </c>
    </row>
    <row r="39">
      <c r="A39" s="8" t="s">
        <v>382</v>
      </c>
      <c r="B39" s="8" t="s">
        <v>380</v>
      </c>
      <c r="C39" s="8" t="s">
        <v>1450</v>
      </c>
      <c r="D39" s="232">
        <f>IFERROR(__xludf.DUMMYFUNCTION("sum(filter(TIMESHEET!G:G,TIMESHEET!C:C=B39))"),0.37152777777777773)</f>
        <v>0.3715277778</v>
      </c>
    </row>
    <row r="40">
      <c r="A40" s="8" t="s">
        <v>373</v>
      </c>
      <c r="B40" s="8" t="s">
        <v>29</v>
      </c>
      <c r="C40" s="8" t="s">
        <v>1450</v>
      </c>
      <c r="D40" s="232">
        <f>IFERROR(__xludf.DUMMYFUNCTION("sum(filter(TIMESHEET!G:G,TIMESHEET!C:C=B40))"),2.951388888888889)</f>
        <v>2.951388889</v>
      </c>
    </row>
    <row r="41">
      <c r="A41" s="8" t="s">
        <v>584</v>
      </c>
      <c r="B41" s="8" t="s">
        <v>32</v>
      </c>
      <c r="C41" s="8" t="s">
        <v>1450</v>
      </c>
      <c r="D41" s="232">
        <f>IFERROR(__xludf.DUMMYFUNCTION("sum(filter(TIMESHEET!G:G,TIMESHEET!C:C=B41))"),2.5104166666666665)</f>
        <v>2.510416667</v>
      </c>
    </row>
    <row r="42">
      <c r="A42" s="8" t="s">
        <v>587</v>
      </c>
      <c r="B42" s="8" t="s">
        <v>34</v>
      </c>
      <c r="C42" s="8" t="s">
        <v>1450</v>
      </c>
      <c r="D42" s="232">
        <f>IFERROR(__xludf.DUMMYFUNCTION("sum(filter(TIMESHEET!G:G,TIMESHEET!C:C=B42))"),2.6458333333333335)</f>
        <v>2.645833333</v>
      </c>
    </row>
    <row r="43">
      <c r="A43" s="8" t="s">
        <v>596</v>
      </c>
      <c r="B43" s="8" t="s">
        <v>35</v>
      </c>
      <c r="C43" s="8" t="s">
        <v>1450</v>
      </c>
      <c r="D43" s="232">
        <f>IFERROR(__xludf.DUMMYFUNCTION("sum(filter(TIMESHEET!G:G,TIMESHEET!C:C=B43))"),0.20833333333333331)</f>
        <v>0.2083333333</v>
      </c>
    </row>
    <row r="44">
      <c r="A44" s="8" t="s">
        <v>743</v>
      </c>
      <c r="B44" s="8" t="s">
        <v>36</v>
      </c>
      <c r="C44" s="8" t="s">
        <v>1450</v>
      </c>
      <c r="D44" s="232">
        <f>IFERROR(__xludf.DUMMYFUNCTION("sum(filter(TIMESHEET!G:G,TIMESHEET!C:C=B44))"),0.5416666666666666)</f>
        <v>0.5416666667</v>
      </c>
    </row>
    <row r="45">
      <c r="A45" s="8" t="s">
        <v>749</v>
      </c>
      <c r="B45" s="8" t="s">
        <v>37</v>
      </c>
      <c r="C45" s="8" t="s">
        <v>1450</v>
      </c>
      <c r="D45" s="232">
        <f>IFERROR(__xludf.DUMMYFUNCTION("sum(filter(TIMESHEET!G:G,TIMESHEET!C:C=B45))"),0.125)</f>
        <v>0.125</v>
      </c>
    </row>
    <row r="46">
      <c r="A46" s="8" t="s">
        <v>755</v>
      </c>
      <c r="B46" s="8" t="s">
        <v>753</v>
      </c>
      <c r="C46" s="8" t="s">
        <v>1450</v>
      </c>
      <c r="D46" s="232">
        <f>IFERROR(__xludf.DUMMYFUNCTION("sum(filter(TIMESHEET!G:G,TIMESHEET!C:C=B46))"),0.40625)</f>
        <v>0.40625</v>
      </c>
    </row>
    <row r="47">
      <c r="A47" s="8" t="s">
        <v>428</v>
      </c>
      <c r="B47" s="8" t="s">
        <v>14</v>
      </c>
      <c r="C47" s="8" t="s">
        <v>1450</v>
      </c>
      <c r="D47" s="232">
        <f>IFERROR(__xludf.DUMMYFUNCTION("sum(filter(TIMESHEET!G:G,TIMESHEET!C:C=B47))"),5.718750000000006)</f>
        <v>5.71875</v>
      </c>
    </row>
    <row r="48">
      <c r="A48" s="8" t="s">
        <v>743</v>
      </c>
      <c r="B48" s="8" t="s">
        <v>36</v>
      </c>
      <c r="C48" s="8" t="s">
        <v>1450</v>
      </c>
      <c r="D48" s="232">
        <f>IFERROR(__xludf.DUMMYFUNCTION("sum(filter(TIMESHEET!G:G,TIMESHEET!C:C=B48))"),0.5416666666666666)</f>
        <v>0.5416666667</v>
      </c>
    </row>
    <row r="49">
      <c r="A49" s="8" t="s">
        <v>587</v>
      </c>
      <c r="B49" s="8" t="s">
        <v>34</v>
      </c>
      <c r="C49" s="8" t="s">
        <v>1450</v>
      </c>
      <c r="D49" s="232">
        <f>IFERROR(__xludf.DUMMYFUNCTION("sum(filter(TIMESHEET!G:G,TIMESHEET!C:C=B49))"),2.6458333333333335)</f>
        <v>2.645833333</v>
      </c>
    </row>
    <row r="50">
      <c r="A50" s="8" t="s">
        <v>596</v>
      </c>
      <c r="B50" s="8" t="s">
        <v>35</v>
      </c>
      <c r="C50" s="8" t="s">
        <v>1450</v>
      </c>
      <c r="D50" s="232">
        <f>IFERROR(__xludf.DUMMYFUNCTION("sum(filter(TIMESHEET!G:G,TIMESHEET!C:C=B50))"),0.20833333333333331)</f>
        <v>0.2083333333</v>
      </c>
    </row>
    <row r="51">
      <c r="A51" s="8" t="s">
        <v>584</v>
      </c>
      <c r="B51" s="8" t="s">
        <v>32</v>
      </c>
      <c r="C51" s="8" t="s">
        <v>1450</v>
      </c>
      <c r="D51" s="232">
        <f>IFERROR(__xludf.DUMMYFUNCTION("sum(filter(TIMESHEET!G:G,TIMESHEET!C:C=B51))"),2.5104166666666665)</f>
        <v>2.510416667</v>
      </c>
    </row>
    <row r="52">
      <c r="A52" s="8" t="s">
        <v>743</v>
      </c>
      <c r="B52" s="8" t="s">
        <v>36</v>
      </c>
      <c r="C52" s="8" t="s">
        <v>1450</v>
      </c>
      <c r="D52" s="232">
        <f>IFERROR(__xludf.DUMMYFUNCTION("sum(filter(TIMESHEET!G:G,TIMESHEET!C:C=B52))"),0.5416666666666666)</f>
        <v>0.5416666667</v>
      </c>
    </row>
    <row r="53">
      <c r="A53" s="8" t="s">
        <v>408</v>
      </c>
      <c r="B53" s="8" t="s">
        <v>28</v>
      </c>
      <c r="C53" s="8" t="s">
        <v>1450</v>
      </c>
      <c r="D53" s="232">
        <f>IFERROR(__xludf.DUMMYFUNCTION("sum(filter(TIMESHEET!G:G,TIMESHEET!C:C=B53))"),2.2395833333333335)</f>
        <v>2.239583333</v>
      </c>
    </row>
    <row r="54">
      <c r="A54" s="8" t="s">
        <v>743</v>
      </c>
      <c r="B54" s="8" t="s">
        <v>36</v>
      </c>
      <c r="C54" s="8" t="s">
        <v>1450</v>
      </c>
      <c r="D54" s="232">
        <f>IFERROR(__xludf.DUMMYFUNCTION("sum(filter(TIMESHEET!G:G,TIMESHEET!C:C=B54))"),0.5416666666666666)</f>
        <v>0.5416666667</v>
      </c>
    </row>
    <row r="55">
      <c r="A55" s="8" t="s">
        <v>749</v>
      </c>
      <c r="B55" s="8" t="s">
        <v>37</v>
      </c>
      <c r="C55" s="8" t="s">
        <v>1450</v>
      </c>
      <c r="D55" s="232">
        <f>IFERROR(__xludf.DUMMYFUNCTION("sum(filter(TIMESHEET!G:G,TIMESHEET!C:C=B55))"),0.125)</f>
        <v>0.125</v>
      </c>
    </row>
    <row r="56">
      <c r="A56" s="8" t="s">
        <v>386</v>
      </c>
      <c r="B56" s="8" t="s">
        <v>3</v>
      </c>
      <c r="C56" s="8" t="s">
        <v>1450</v>
      </c>
      <c r="D56" s="232">
        <f>IFERROR(__xludf.DUMMYFUNCTION("sum(filter(TIMESHEET!G:G,TIMESHEET!C:C=B56))"),32.85833333333332)</f>
        <v>32.85833333</v>
      </c>
    </row>
    <row r="57">
      <c r="A57" s="8" t="s">
        <v>386</v>
      </c>
      <c r="B57" s="8" t="s">
        <v>3</v>
      </c>
      <c r="C57" s="8" t="s">
        <v>1450</v>
      </c>
      <c r="D57" s="232">
        <f>IFERROR(__xludf.DUMMYFUNCTION("sum(filter(TIMESHEET!G:G,TIMESHEET!C:C=B57))"),32.85833333333332)</f>
        <v>32.85833333</v>
      </c>
    </row>
    <row r="58">
      <c r="A58" s="8" t="s">
        <v>428</v>
      </c>
      <c r="B58" s="8" t="s">
        <v>14</v>
      </c>
      <c r="C58" s="8" t="s">
        <v>1450</v>
      </c>
      <c r="D58" s="232">
        <f>IFERROR(__xludf.DUMMYFUNCTION("sum(filter(TIMESHEET!G:G,TIMESHEET!C:C=B58))"),5.718750000000006)</f>
        <v>5.71875</v>
      </c>
    </row>
    <row r="59">
      <c r="A59" s="8" t="s">
        <v>743</v>
      </c>
      <c r="B59" s="8" t="s">
        <v>36</v>
      </c>
      <c r="C59" s="8" t="s">
        <v>1450</v>
      </c>
      <c r="D59" s="232">
        <f>IFERROR(__xludf.DUMMYFUNCTION("sum(filter(TIMESHEET!G:G,TIMESHEET!C:C=B59))"),0.5416666666666666)</f>
        <v>0.5416666667</v>
      </c>
    </row>
    <row r="60">
      <c r="A60" s="8" t="s">
        <v>408</v>
      </c>
      <c r="B60" s="8" t="s">
        <v>28</v>
      </c>
      <c r="C60" s="8" t="s">
        <v>1450</v>
      </c>
      <c r="D60" s="232">
        <f>IFERROR(__xludf.DUMMYFUNCTION("sum(filter(TIMESHEET!G:G,TIMESHEET!C:C=B60))"),2.2395833333333335)</f>
        <v>2.239583333</v>
      </c>
    </row>
    <row r="61">
      <c r="A61" s="8" t="s">
        <v>386</v>
      </c>
      <c r="B61" s="8" t="s">
        <v>3</v>
      </c>
      <c r="C61" s="8" t="s">
        <v>1450</v>
      </c>
      <c r="D61" s="232">
        <f>IFERROR(__xludf.DUMMYFUNCTION("sum(filter(TIMESHEET!G:G,TIMESHEET!C:C=B61))"),32.85833333333332)</f>
        <v>32.85833333</v>
      </c>
    </row>
    <row r="62">
      <c r="A62" s="8" t="s">
        <v>386</v>
      </c>
      <c r="B62" s="8" t="s">
        <v>3</v>
      </c>
      <c r="C62" s="8" t="s">
        <v>1450</v>
      </c>
      <c r="D62" s="232">
        <f>IFERROR(__xludf.DUMMYFUNCTION("sum(filter(TIMESHEET!G:G,TIMESHEET!C:C=B62))"),32.85833333333332)</f>
        <v>32.85833333</v>
      </c>
    </row>
    <row r="63">
      <c r="A63" s="8" t="s">
        <v>587</v>
      </c>
      <c r="B63" s="8" t="s">
        <v>34</v>
      </c>
      <c r="C63" s="8" t="s">
        <v>1450</v>
      </c>
      <c r="D63" s="232">
        <f>IFERROR(__xludf.DUMMYFUNCTION("sum(filter(TIMESHEET!G:G,TIMESHEET!C:C=B63))"),2.6458333333333335)</f>
        <v>2.645833333</v>
      </c>
    </row>
    <row r="64">
      <c r="A64" s="8" t="s">
        <v>386</v>
      </c>
      <c r="B64" s="8" t="s">
        <v>3</v>
      </c>
      <c r="C64" s="8" t="s">
        <v>1450</v>
      </c>
      <c r="D64" s="232">
        <f>IFERROR(__xludf.DUMMYFUNCTION("sum(filter(TIMESHEET!G:G,TIMESHEET!C:C=B64))"),32.85833333333332)</f>
        <v>32.85833333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6" width="14.38"/>
    <col customWidth="1" min="7" max="7" width="22.8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1466</v>
      </c>
      <c r="C4" s="267"/>
      <c r="D4" s="267"/>
      <c r="E4" s="267"/>
      <c r="F4" s="267"/>
      <c r="G4" s="267"/>
      <c r="H4" s="267"/>
      <c r="I4" s="270"/>
      <c r="J4" s="271" t="s">
        <v>0</v>
      </c>
      <c r="K4" s="267"/>
      <c r="L4" s="267"/>
      <c r="M4" s="85" t="b">
        <v>0</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c r="A11" s="267"/>
      <c r="B11" s="273" t="s">
        <v>95</v>
      </c>
      <c r="C11" s="267"/>
      <c r="D11" s="270"/>
      <c r="E11" s="274" t="s">
        <v>1469</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1470</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104</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40.5" customHeight="1">
      <c r="A19" s="267"/>
      <c r="B19" s="273" t="s">
        <v>106</v>
      </c>
      <c r="C19" s="267"/>
      <c r="D19" s="270"/>
      <c r="E19" s="274" t="s">
        <v>1471</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1472</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155.25" customHeight="1">
      <c r="A25" s="267"/>
      <c r="B25" s="273" t="s">
        <v>113</v>
      </c>
      <c r="C25" s="267"/>
      <c r="D25" s="270"/>
      <c r="E25" s="287" t="s">
        <v>1473</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119</v>
      </c>
      <c r="F28" s="296" t="s">
        <v>120</v>
      </c>
      <c r="G28" s="295" t="s">
        <v>121</v>
      </c>
      <c r="H28" s="297"/>
      <c r="I28" s="276"/>
      <c r="J28" s="298"/>
      <c r="K28" s="277"/>
      <c r="L28" s="299" t="s">
        <v>77</v>
      </c>
      <c r="M28" s="280" t="s">
        <v>97</v>
      </c>
      <c r="N28" s="267"/>
    </row>
    <row r="29">
      <c r="A29" s="267"/>
      <c r="D29" s="270"/>
      <c r="E29" s="295" t="s">
        <v>122</v>
      </c>
      <c r="F29" s="296" t="s">
        <v>123</v>
      </c>
      <c r="G29" s="295" t="s">
        <v>121</v>
      </c>
      <c r="H29" s="297"/>
      <c r="I29" s="276"/>
      <c r="J29" s="298"/>
      <c r="K29" s="277"/>
      <c r="L29" s="299" t="s">
        <v>79</v>
      </c>
      <c r="M29" s="277"/>
      <c r="N29" s="267"/>
    </row>
    <row r="30">
      <c r="A30" s="267"/>
      <c r="B30" s="267"/>
      <c r="C30" s="267"/>
      <c r="D30" s="270"/>
      <c r="E30" s="295" t="s">
        <v>124</v>
      </c>
      <c r="F30" s="296" t="s">
        <v>1475</v>
      </c>
      <c r="G30" s="295" t="s">
        <v>121</v>
      </c>
      <c r="H30" s="297"/>
      <c r="I30" s="276"/>
      <c r="J30" s="298"/>
      <c r="K30" s="277"/>
      <c r="L30" s="299" t="s">
        <v>121</v>
      </c>
      <c r="M30" s="277"/>
      <c r="N30" s="267"/>
    </row>
    <row r="31">
      <c r="A31" s="267"/>
      <c r="B31" s="267"/>
      <c r="C31" s="267"/>
      <c r="D31" s="270"/>
      <c r="E31" s="295" t="s">
        <v>1476</v>
      </c>
      <c r="F31" s="296" t="s">
        <v>198</v>
      </c>
      <c r="G31" s="295" t="s">
        <v>121</v>
      </c>
      <c r="H31" s="297"/>
      <c r="I31" s="276"/>
      <c r="J31" s="298"/>
      <c r="K31" s="277"/>
      <c r="L31" s="299" t="s">
        <v>81</v>
      </c>
      <c r="M31" s="277"/>
      <c r="N31" s="267"/>
    </row>
    <row r="32">
      <c r="A32" s="267"/>
      <c r="B32" s="267"/>
      <c r="C32" s="267"/>
      <c r="D32" s="270"/>
      <c r="E32" s="295" t="s">
        <v>1477</v>
      </c>
      <c r="F32" s="296" t="s">
        <v>186</v>
      </c>
      <c r="G32" s="295" t="s">
        <v>82</v>
      </c>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3"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1479</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1480</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302"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1481</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1482</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302" t="s">
        <v>1483</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1484</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126</v>
      </c>
      <c r="F28" s="296" t="s">
        <v>127</v>
      </c>
      <c r="G28" s="295" t="s">
        <v>121</v>
      </c>
      <c r="H28" s="297"/>
      <c r="I28" s="276"/>
      <c r="J28" s="298"/>
      <c r="K28" s="277"/>
      <c r="L28" s="299" t="s">
        <v>77</v>
      </c>
      <c r="M28" s="280" t="s">
        <v>97</v>
      </c>
      <c r="N28" s="267"/>
    </row>
    <row r="29">
      <c r="A29" s="267"/>
      <c r="D29" s="270"/>
      <c r="E29" s="295" t="s">
        <v>128</v>
      </c>
      <c r="F29" s="296" t="s">
        <v>120</v>
      </c>
      <c r="G29" s="295" t="s">
        <v>79</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295" t="s">
        <v>124</v>
      </c>
      <c r="F31" s="296" t="s">
        <v>125</v>
      </c>
      <c r="G31" s="295" t="s">
        <v>121</v>
      </c>
      <c r="H31" s="297"/>
      <c r="I31" s="276"/>
      <c r="J31" s="298"/>
      <c r="K31" s="277"/>
      <c r="L31" s="299" t="s">
        <v>81</v>
      </c>
      <c r="M31" s="277"/>
      <c r="N31" s="267"/>
    </row>
    <row r="32">
      <c r="A32" s="267"/>
      <c r="B32" s="267"/>
      <c r="C32" s="267"/>
      <c r="D32" s="270"/>
      <c r="E32" s="295" t="s">
        <v>129</v>
      </c>
      <c r="F32" s="296" t="s">
        <v>130</v>
      </c>
      <c r="G32" s="295" t="s">
        <v>81</v>
      </c>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52"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1485</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1486</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1487</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1488</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110</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1489</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1490</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126</v>
      </c>
      <c r="F28" s="296" t="s">
        <v>127</v>
      </c>
      <c r="G28" s="295" t="s">
        <v>121</v>
      </c>
      <c r="H28" s="297"/>
      <c r="I28" s="276"/>
      <c r="J28" s="298"/>
      <c r="K28" s="277"/>
      <c r="L28" s="299" t="s">
        <v>77</v>
      </c>
      <c r="M28" s="280" t="s">
        <v>97</v>
      </c>
      <c r="N28" s="267"/>
    </row>
    <row r="29">
      <c r="A29" s="267"/>
      <c r="D29" s="270"/>
      <c r="E29" s="295" t="s">
        <v>131</v>
      </c>
      <c r="F29" s="296" t="s">
        <v>120</v>
      </c>
      <c r="G29" s="295" t="s">
        <v>79</v>
      </c>
      <c r="H29" s="297"/>
      <c r="I29" s="276"/>
      <c r="J29" s="298"/>
      <c r="K29" s="277"/>
      <c r="L29" s="299" t="s">
        <v>79</v>
      </c>
      <c r="M29" s="277"/>
      <c r="N29" s="267"/>
    </row>
    <row r="30">
      <c r="A30" s="267"/>
      <c r="B30" s="267"/>
      <c r="C30" s="267"/>
      <c r="D30" s="270"/>
      <c r="E30" s="295" t="s">
        <v>124</v>
      </c>
      <c r="F30" s="296" t="s">
        <v>125</v>
      </c>
      <c r="G30" s="295" t="s">
        <v>121</v>
      </c>
      <c r="H30" s="297"/>
      <c r="I30" s="276"/>
      <c r="J30" s="298"/>
      <c r="K30" s="277"/>
      <c r="L30" s="299" t="s">
        <v>121</v>
      </c>
      <c r="M30" s="277"/>
      <c r="N30" s="267"/>
    </row>
    <row r="31">
      <c r="A31" s="267"/>
      <c r="B31" s="267"/>
      <c r="C31" s="267"/>
      <c r="D31" s="270"/>
      <c r="E31" s="295" t="s">
        <v>129</v>
      </c>
      <c r="F31" s="296" t="s">
        <v>130</v>
      </c>
      <c r="G31" s="295" t="s">
        <v>81</v>
      </c>
      <c r="H31" s="297"/>
      <c r="I31" s="276"/>
      <c r="J31" s="298"/>
      <c r="K31" s="277"/>
      <c r="L31" s="299" t="s">
        <v>81</v>
      </c>
      <c r="M31" s="277"/>
      <c r="N31" s="267"/>
    </row>
    <row r="32">
      <c r="A32" s="267"/>
      <c r="B32" s="267"/>
      <c r="C32" s="267"/>
      <c r="D32" s="270"/>
      <c r="E32" s="295" t="s">
        <v>122</v>
      </c>
      <c r="F32" s="296" t="s">
        <v>123</v>
      </c>
      <c r="G32" s="295" t="s">
        <v>121</v>
      </c>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4"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1491</v>
      </c>
      <c r="C4" s="267"/>
      <c r="D4" s="267"/>
      <c r="E4" s="267"/>
      <c r="F4" s="267"/>
      <c r="G4" s="267"/>
      <c r="H4" s="267"/>
      <c r="I4" s="270"/>
      <c r="J4" s="271" t="s">
        <v>0</v>
      </c>
      <c r="K4" s="267"/>
      <c r="L4" s="267"/>
      <c r="M4" s="85" t="b">
        <v>0</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03"/>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ht="30.75" customHeight="1">
      <c r="A15" s="267"/>
      <c r="B15" s="273" t="s">
        <v>101</v>
      </c>
      <c r="C15" s="267"/>
      <c r="D15" s="270"/>
      <c r="E15" s="303"/>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03"/>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03"/>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ht="39.75" customHeight="1">
      <c r="A23" s="267"/>
      <c r="B23" s="273" t="s">
        <v>112</v>
      </c>
      <c r="C23" s="267"/>
      <c r="D23" s="270"/>
      <c r="E23" s="303"/>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03"/>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c r="F28" s="317"/>
      <c r="G28" s="317"/>
      <c r="H28" s="318"/>
      <c r="I28" s="305"/>
      <c r="J28" s="281"/>
      <c r="K28" s="270"/>
      <c r="L28" s="271" t="s">
        <v>77</v>
      </c>
      <c r="M28" s="306" t="s">
        <v>97</v>
      </c>
      <c r="N28" s="267"/>
    </row>
    <row r="29">
      <c r="A29" s="267"/>
      <c r="D29" s="270"/>
      <c r="E29" s="316"/>
      <c r="F29" s="317"/>
      <c r="G29" s="317"/>
      <c r="H29" s="318"/>
      <c r="I29" s="305"/>
      <c r="J29" s="281"/>
      <c r="K29" s="270"/>
      <c r="L29" s="271" t="s">
        <v>79</v>
      </c>
      <c r="M29" s="267"/>
      <c r="N29" s="267"/>
    </row>
    <row r="30">
      <c r="A30" s="267"/>
      <c r="B30" s="267"/>
      <c r="C30" s="267"/>
      <c r="D30" s="270"/>
      <c r="E30" s="316"/>
      <c r="F30" s="319"/>
      <c r="G30" s="317"/>
      <c r="H30" s="318"/>
      <c r="I30" s="305"/>
      <c r="J30" s="281"/>
      <c r="K30" s="270"/>
      <c r="L30" s="271" t="s">
        <v>121</v>
      </c>
      <c r="M30" s="267"/>
      <c r="N30" s="267"/>
    </row>
    <row r="31">
      <c r="A31" s="267"/>
      <c r="B31" s="267"/>
      <c r="C31" s="267"/>
      <c r="D31" s="270"/>
      <c r="E31" s="316"/>
      <c r="F31" s="317"/>
      <c r="G31" s="317"/>
      <c r="H31" s="318"/>
      <c r="I31" s="305"/>
      <c r="J31" s="281"/>
      <c r="K31" s="270"/>
      <c r="L31" s="271" t="s">
        <v>81</v>
      </c>
      <c r="M31" s="267"/>
      <c r="N31" s="267"/>
    </row>
    <row r="32">
      <c r="A32" s="267"/>
      <c r="B32" s="267"/>
      <c r="C32" s="267"/>
      <c r="D32" s="270"/>
      <c r="E32" s="316"/>
      <c r="F32" s="317"/>
      <c r="G32" s="317"/>
      <c r="H32" s="318"/>
      <c r="I32" s="305"/>
      <c r="J32" s="267"/>
      <c r="K32" s="270"/>
      <c r="L32" s="271" t="s">
        <v>82</v>
      </c>
      <c r="M32" s="267"/>
      <c r="N32" s="267"/>
    </row>
    <row r="33">
      <c r="A33" s="267"/>
      <c r="B33" s="267"/>
      <c r="C33" s="267"/>
      <c r="D33" s="270"/>
      <c r="E33" s="316"/>
      <c r="F33" s="317"/>
      <c r="G33" s="317"/>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6" width="24.0"/>
    <col customWidth="1" min="7" max="7" width="18.25"/>
    <col customWidth="1" min="8" max="9" width="2.25"/>
    <col customWidth="1" min="10" max="10" width="7.25"/>
    <col customWidth="1" min="11" max="11" width="2.25"/>
    <col customWidth="1" min="12" max="12" width="14.38"/>
    <col customWidth="1" min="13" max="13" width="3.0"/>
    <col customWidth="1" min="14" max="14" width="3.13"/>
    <col customWidth="1" min="15" max="31"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1492</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1493</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52.5" customHeight="1">
      <c r="A15" s="267"/>
      <c r="B15" s="273" t="s">
        <v>101</v>
      </c>
      <c r="C15" s="267"/>
      <c r="D15" s="270"/>
      <c r="E15" s="274" t="s">
        <v>1494</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104</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1495</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110</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1496</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1497</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1498</v>
      </c>
      <c r="F28" s="296" t="s">
        <v>120</v>
      </c>
      <c r="G28" s="295" t="s">
        <v>121</v>
      </c>
      <c r="H28" s="297"/>
      <c r="I28" s="276"/>
      <c r="J28" s="298"/>
      <c r="K28" s="277"/>
      <c r="L28" s="299" t="s">
        <v>77</v>
      </c>
      <c r="M28" s="280" t="s">
        <v>97</v>
      </c>
      <c r="N28" s="267"/>
    </row>
    <row r="29">
      <c r="A29" s="267"/>
      <c r="D29" s="270"/>
      <c r="E29" s="300"/>
      <c r="F29" s="301"/>
      <c r="G29" s="300"/>
      <c r="H29" s="297"/>
      <c r="I29" s="276"/>
      <c r="J29" s="298"/>
      <c r="K29" s="277"/>
      <c r="L29" s="299" t="s">
        <v>79</v>
      </c>
      <c r="M29" s="277"/>
      <c r="N29" s="267"/>
    </row>
    <row r="30">
      <c r="A30" s="267"/>
      <c r="B30" s="267"/>
      <c r="C30" s="267"/>
      <c r="D30" s="270"/>
      <c r="E30" s="300"/>
      <c r="F30" s="301"/>
      <c r="G30" s="300"/>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53"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1499</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20" t="s">
        <v>1500</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c r="A15" s="267"/>
      <c r="B15" s="273" t="s">
        <v>101</v>
      </c>
      <c r="C15" s="267"/>
      <c r="D15" s="270"/>
      <c r="E15" s="274" t="s">
        <v>1501</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c r="A19" s="267"/>
      <c r="B19" s="273" t="s">
        <v>106</v>
      </c>
      <c r="C19" s="267"/>
      <c r="D19" s="270"/>
      <c r="E19" s="274" t="s">
        <v>1502</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c r="A23" s="267"/>
      <c r="B23" s="273" t="s">
        <v>112</v>
      </c>
      <c r="C23" s="267"/>
      <c r="D23" s="270"/>
      <c r="E23" s="274" t="s">
        <v>1503</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1504</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1505</v>
      </c>
      <c r="G28" s="295" t="s">
        <v>81</v>
      </c>
      <c r="H28" s="297"/>
      <c r="I28" s="276"/>
      <c r="J28" s="298"/>
      <c r="K28" s="277"/>
      <c r="L28" s="299" t="s">
        <v>77</v>
      </c>
      <c r="M28" s="280" t="s">
        <v>97</v>
      </c>
      <c r="N28" s="267"/>
    </row>
    <row r="29">
      <c r="A29" s="267"/>
      <c r="D29" s="270"/>
      <c r="E29" s="295" t="s">
        <v>136</v>
      </c>
      <c r="F29" s="296" t="s">
        <v>120</v>
      </c>
      <c r="G29" s="295" t="s">
        <v>82</v>
      </c>
      <c r="H29" s="297"/>
      <c r="I29" s="276"/>
      <c r="J29" s="298"/>
      <c r="K29" s="277"/>
      <c r="L29" s="299" t="s">
        <v>79</v>
      </c>
      <c r="M29" s="277"/>
      <c r="N29" s="267"/>
    </row>
    <row r="30">
      <c r="A30" s="267"/>
      <c r="B30" s="267"/>
      <c r="C30" s="267"/>
      <c r="D30" s="270"/>
      <c r="E30" s="295" t="s">
        <v>134</v>
      </c>
      <c r="F30" s="321" t="s">
        <v>135</v>
      </c>
      <c r="G30" s="295" t="s">
        <v>81</v>
      </c>
      <c r="H30" s="297"/>
      <c r="I30" s="276"/>
      <c r="J30" s="298"/>
      <c r="K30" s="277"/>
      <c r="L30" s="299" t="s">
        <v>121</v>
      </c>
      <c r="M30" s="277"/>
      <c r="N30" s="267"/>
    </row>
    <row r="31">
      <c r="A31" s="267"/>
      <c r="B31" s="267"/>
      <c r="C31" s="267"/>
      <c r="D31" s="270"/>
      <c r="E31" s="295" t="s">
        <v>129</v>
      </c>
      <c r="F31" s="296" t="s">
        <v>1506</v>
      </c>
      <c r="G31" s="295" t="s">
        <v>81</v>
      </c>
      <c r="H31" s="297"/>
      <c r="I31" s="276"/>
      <c r="J31" s="298"/>
      <c r="K31" s="277"/>
      <c r="L31" s="299" t="s">
        <v>81</v>
      </c>
      <c r="M31" s="277"/>
      <c r="N31" s="267"/>
    </row>
    <row r="32">
      <c r="A32" s="267"/>
      <c r="B32" s="267"/>
      <c r="C32" s="267"/>
      <c r="D32" s="270"/>
      <c r="E32" s="295" t="s">
        <v>122</v>
      </c>
      <c r="F32" s="296" t="s">
        <v>123</v>
      </c>
      <c r="G32" s="295" t="s">
        <v>121</v>
      </c>
      <c r="H32" s="297"/>
      <c r="I32" s="276"/>
      <c r="J32" s="278"/>
      <c r="K32" s="277"/>
      <c r="L32" s="299" t="s">
        <v>82</v>
      </c>
      <c r="M32" s="277"/>
      <c r="N32" s="267"/>
    </row>
    <row r="33">
      <c r="A33" s="267"/>
      <c r="B33" s="267"/>
      <c r="C33" s="267"/>
      <c r="D33" s="270"/>
      <c r="E33" s="295" t="s">
        <v>128</v>
      </c>
      <c r="F33" s="296" t="s">
        <v>120</v>
      </c>
      <c r="G33" s="295" t="s">
        <v>121</v>
      </c>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1507</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1508</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1509</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1510</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110</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1511</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1512</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1513</v>
      </c>
      <c r="F28" s="296" t="s">
        <v>120</v>
      </c>
      <c r="G28" s="295" t="s">
        <v>79</v>
      </c>
      <c r="H28" s="297"/>
      <c r="I28" s="276"/>
      <c r="J28" s="298"/>
      <c r="K28" s="277"/>
      <c r="L28" s="299" t="s">
        <v>77</v>
      </c>
      <c r="M28" s="280" t="s">
        <v>97</v>
      </c>
      <c r="N28" s="267"/>
    </row>
    <row r="29">
      <c r="A29" s="267"/>
      <c r="D29" s="270"/>
      <c r="E29" s="295" t="s">
        <v>124</v>
      </c>
      <c r="F29" s="296" t="s">
        <v>125</v>
      </c>
      <c r="G29" s="295" t="s">
        <v>121</v>
      </c>
      <c r="H29" s="297"/>
      <c r="I29" s="276"/>
      <c r="J29" s="298"/>
      <c r="K29" s="277"/>
      <c r="L29" s="299" t="s">
        <v>79</v>
      </c>
      <c r="M29" s="277"/>
      <c r="N29" s="267"/>
    </row>
    <row r="30">
      <c r="A30" s="267"/>
      <c r="B30" s="267"/>
      <c r="C30" s="267"/>
      <c r="D30" s="270"/>
      <c r="E30" s="300"/>
      <c r="F30" s="301"/>
      <c r="G30" s="300"/>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82" t="s">
        <v>366</v>
      </c>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1514</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1515</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5.25" customHeight="1">
      <c r="A15" s="267"/>
      <c r="B15" s="273" t="s">
        <v>101</v>
      </c>
      <c r="C15" s="267"/>
      <c r="D15" s="270"/>
      <c r="E15" s="274" t="s">
        <v>1516</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52.5" customHeight="1">
      <c r="A19" s="267"/>
      <c r="B19" s="273" t="s">
        <v>106</v>
      </c>
      <c r="C19" s="267"/>
      <c r="D19" s="270"/>
      <c r="E19" s="274" t="s">
        <v>1517</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105.0" customHeight="1">
      <c r="A23" s="267"/>
      <c r="B23" s="273" t="s">
        <v>112</v>
      </c>
      <c r="C23" s="267"/>
      <c r="D23" s="270"/>
      <c r="E23" s="274" t="s">
        <v>1518</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63.0" customHeight="1">
      <c r="A25" s="267"/>
      <c r="B25" s="273" t="s">
        <v>113</v>
      </c>
      <c r="C25" s="267"/>
      <c r="D25" s="270"/>
      <c r="E25" s="274" t="s">
        <v>1519</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131</v>
      </c>
      <c r="F28" s="296" t="s">
        <v>1520</v>
      </c>
      <c r="G28" s="295" t="s">
        <v>79</v>
      </c>
      <c r="H28" s="297"/>
      <c r="I28" s="276"/>
      <c r="J28" s="298"/>
      <c r="K28" s="277"/>
      <c r="L28" s="299" t="s">
        <v>77</v>
      </c>
      <c r="M28" s="280" t="s">
        <v>97</v>
      </c>
      <c r="N28" s="267"/>
    </row>
    <row r="29">
      <c r="A29" s="267"/>
      <c r="D29" s="270"/>
      <c r="E29" s="295" t="s">
        <v>124</v>
      </c>
      <c r="F29" s="296" t="s">
        <v>125</v>
      </c>
      <c r="G29" s="295" t="s">
        <v>121</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31:G33">
      <formula1>$L$28:$L$32</formula1>
    </dataValidation>
  </dataValidations>
  <printOptions/>
  <pageMargins bottom="0.787401575" footer="0.0" header="0.0" left="0.511811024" right="0.511811024" top="0.7874015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1521</v>
      </c>
      <c r="C4" s="267"/>
      <c r="D4" s="267"/>
      <c r="E4" s="267"/>
      <c r="F4" s="267"/>
      <c r="G4" s="267"/>
      <c r="H4" s="267"/>
      <c r="I4" s="270"/>
      <c r="J4" s="271" t="s">
        <v>0</v>
      </c>
      <c r="K4" s="267"/>
      <c r="L4" s="267"/>
      <c r="M4" s="85" t="b">
        <v>0</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02" t="s">
        <v>1522</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302" t="s">
        <v>1523</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1524</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1525</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322" t="s">
        <v>1526</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127</v>
      </c>
      <c r="G28" s="295" t="s">
        <v>81</v>
      </c>
      <c r="H28" s="297"/>
      <c r="I28" s="276"/>
      <c r="J28" s="298"/>
      <c r="K28" s="277"/>
      <c r="L28" s="299" t="s">
        <v>77</v>
      </c>
      <c r="M28" s="280" t="s">
        <v>97</v>
      </c>
      <c r="N28" s="267"/>
    </row>
    <row r="29">
      <c r="A29" s="267"/>
      <c r="D29" s="270"/>
      <c r="E29" s="295" t="s">
        <v>129</v>
      </c>
      <c r="F29" s="296" t="s">
        <v>130</v>
      </c>
      <c r="G29" s="295" t="s">
        <v>81</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295" t="s">
        <v>1527</v>
      </c>
      <c r="F31" s="296" t="s">
        <v>127</v>
      </c>
      <c r="G31" s="295" t="s">
        <v>82</v>
      </c>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1528</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1529</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55.5" customHeight="1">
      <c r="A15" s="267"/>
      <c r="B15" s="273" t="s">
        <v>101</v>
      </c>
      <c r="C15" s="267"/>
      <c r="D15" s="270"/>
      <c r="E15" s="323" t="s">
        <v>1530</v>
      </c>
      <c r="F15" s="275"/>
      <c r="G15" s="276"/>
      <c r="H15" s="293"/>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82.5" customHeight="1">
      <c r="A19" s="267"/>
      <c r="B19" s="273" t="s">
        <v>106</v>
      </c>
      <c r="C19" s="267"/>
      <c r="D19" s="270"/>
      <c r="E19" s="274" t="s">
        <v>1531</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111</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207.0" customHeight="1">
      <c r="A23" s="267"/>
      <c r="B23" s="273" t="s">
        <v>112</v>
      </c>
      <c r="C23" s="267"/>
      <c r="D23" s="270"/>
      <c r="E23" s="274" t="s">
        <v>1532</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1533</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129</v>
      </c>
      <c r="F28" s="296" t="s">
        <v>1506</v>
      </c>
      <c r="G28" s="295" t="s">
        <v>81</v>
      </c>
      <c r="H28" s="297"/>
      <c r="I28" s="276"/>
      <c r="J28" s="298"/>
      <c r="K28" s="277"/>
      <c r="L28" s="299" t="s">
        <v>77</v>
      </c>
      <c r="M28" s="280" t="s">
        <v>97</v>
      </c>
      <c r="N28" s="267"/>
    </row>
    <row r="29">
      <c r="A29" s="267"/>
      <c r="D29" s="270"/>
      <c r="E29" s="295" t="s">
        <v>122</v>
      </c>
      <c r="F29" s="296" t="s">
        <v>123</v>
      </c>
      <c r="G29" s="295" t="s">
        <v>121</v>
      </c>
      <c r="H29" s="297"/>
      <c r="I29" s="276"/>
      <c r="J29" s="298"/>
      <c r="K29" s="277"/>
      <c r="L29" s="299" t="s">
        <v>79</v>
      </c>
      <c r="M29" s="277"/>
      <c r="N29" s="267"/>
    </row>
    <row r="30">
      <c r="A30" s="267"/>
      <c r="B30" s="267"/>
      <c r="C30" s="267"/>
      <c r="D30" s="270"/>
      <c r="E30" s="295" t="s">
        <v>132</v>
      </c>
      <c r="F30" s="296" t="s">
        <v>1505</v>
      </c>
      <c r="G30" s="295" t="s">
        <v>81</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1534</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1535</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1536</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1537</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1538</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1539</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1540</v>
      </c>
      <c r="G28" s="295" t="s">
        <v>81</v>
      </c>
      <c r="H28" s="297"/>
      <c r="I28" s="276"/>
      <c r="J28" s="298"/>
      <c r="K28" s="277"/>
      <c r="L28" s="299" t="s">
        <v>77</v>
      </c>
      <c r="M28" s="280" t="s">
        <v>97</v>
      </c>
      <c r="N28" s="267"/>
    </row>
    <row r="29">
      <c r="A29" s="267"/>
      <c r="D29" s="270"/>
      <c r="E29" s="295" t="s">
        <v>1541</v>
      </c>
      <c r="F29" s="296" t="s">
        <v>1542</v>
      </c>
      <c r="G29" s="295" t="s">
        <v>81</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1543</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1544</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96</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1545</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105</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1546</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1547</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1548</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1505</v>
      </c>
      <c r="G28" s="295" t="s">
        <v>81</v>
      </c>
      <c r="H28" s="297"/>
      <c r="I28" s="276"/>
      <c r="J28" s="298"/>
      <c r="K28" s="277"/>
      <c r="L28" s="299" t="s">
        <v>77</v>
      </c>
      <c r="M28" s="280" t="s">
        <v>97</v>
      </c>
      <c r="N28" s="267"/>
    </row>
    <row r="29">
      <c r="A29" s="267"/>
      <c r="D29" s="270"/>
      <c r="E29" s="295" t="s">
        <v>1549</v>
      </c>
      <c r="F29" s="296" t="s">
        <v>1505</v>
      </c>
      <c r="G29" s="295" t="s">
        <v>121</v>
      </c>
      <c r="H29" s="297"/>
      <c r="I29" s="276"/>
      <c r="J29" s="298"/>
      <c r="K29" s="277"/>
      <c r="L29" s="299" t="s">
        <v>79</v>
      </c>
      <c r="M29" s="277"/>
      <c r="N29" s="267"/>
    </row>
    <row r="30">
      <c r="A30" s="267"/>
      <c r="B30" s="267"/>
      <c r="C30" s="267"/>
      <c r="D30" s="270"/>
      <c r="E30" s="295" t="s">
        <v>129</v>
      </c>
      <c r="F30" s="296" t="s">
        <v>1550</v>
      </c>
      <c r="G30" s="295" t="s">
        <v>81</v>
      </c>
      <c r="H30" s="297"/>
      <c r="I30" s="276"/>
      <c r="J30" s="298"/>
      <c r="K30" s="277"/>
      <c r="L30" s="299" t="s">
        <v>121</v>
      </c>
      <c r="M30" s="277"/>
      <c r="N30" s="267"/>
    </row>
    <row r="31">
      <c r="A31" s="267"/>
      <c r="B31" s="267"/>
      <c r="C31" s="267"/>
      <c r="D31" s="270"/>
      <c r="E31" s="295" t="s">
        <v>145</v>
      </c>
      <c r="F31" s="296" t="s">
        <v>1505</v>
      </c>
      <c r="G31" s="295" t="s">
        <v>121</v>
      </c>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1551</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1552</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302"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52.5" customHeight="1">
      <c r="A15" s="267"/>
      <c r="B15" s="273" t="s">
        <v>101</v>
      </c>
      <c r="C15" s="267"/>
      <c r="D15" s="270"/>
      <c r="E15" s="302" t="s">
        <v>1553</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1554</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111</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1555</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1556</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119</v>
      </c>
      <c r="F28" s="296" t="s">
        <v>1557</v>
      </c>
      <c r="G28" s="295" t="s">
        <v>121</v>
      </c>
      <c r="H28" s="297"/>
      <c r="I28" s="276"/>
      <c r="J28" s="298"/>
      <c r="K28" s="277"/>
      <c r="L28" s="299" t="s">
        <v>77</v>
      </c>
      <c r="M28" s="280" t="s">
        <v>97</v>
      </c>
      <c r="N28" s="267"/>
    </row>
    <row r="29">
      <c r="A29" s="267"/>
      <c r="D29" s="270"/>
      <c r="E29" s="295" t="s">
        <v>1513</v>
      </c>
      <c r="F29" s="296" t="s">
        <v>1558</v>
      </c>
      <c r="G29" s="295" t="s">
        <v>79</v>
      </c>
      <c r="H29" s="297"/>
      <c r="I29" s="276"/>
      <c r="J29" s="298"/>
      <c r="K29" s="277"/>
      <c r="L29" s="299" t="s">
        <v>79</v>
      </c>
      <c r="M29" s="277"/>
      <c r="N29" s="267"/>
    </row>
    <row r="30">
      <c r="A30" s="267"/>
      <c r="B30" s="267"/>
      <c r="C30" s="267"/>
      <c r="D30" s="270"/>
      <c r="E30" s="295" t="s">
        <v>124</v>
      </c>
      <c r="F30" s="296" t="s">
        <v>1559</v>
      </c>
      <c r="G30" s="295" t="s">
        <v>121</v>
      </c>
      <c r="H30" s="297"/>
      <c r="I30" s="276"/>
      <c r="J30" s="298"/>
      <c r="K30" s="277"/>
      <c r="L30" s="299" t="s">
        <v>121</v>
      </c>
      <c r="M30" s="277"/>
      <c r="N30" s="267"/>
    </row>
    <row r="31">
      <c r="A31" s="267"/>
      <c r="B31" s="267"/>
      <c r="C31" s="267"/>
      <c r="D31" s="270"/>
      <c r="E31" s="295" t="s">
        <v>137</v>
      </c>
      <c r="F31" s="296" t="s">
        <v>1560</v>
      </c>
      <c r="G31" s="295" t="s">
        <v>121</v>
      </c>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1561</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1562</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96</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1563</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105</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1564</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1565</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1566</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126</v>
      </c>
      <c r="F28" s="296" t="s">
        <v>127</v>
      </c>
      <c r="G28" s="295" t="s">
        <v>121</v>
      </c>
      <c r="H28" s="297"/>
      <c r="I28" s="276"/>
      <c r="J28" s="298"/>
      <c r="K28" s="277"/>
      <c r="L28" s="299" t="s">
        <v>77</v>
      </c>
      <c r="M28" s="280" t="s">
        <v>97</v>
      </c>
      <c r="N28" s="267"/>
    </row>
    <row r="29">
      <c r="A29" s="267"/>
      <c r="D29" s="270"/>
      <c r="E29" s="295" t="s">
        <v>1567</v>
      </c>
      <c r="F29" s="296" t="s">
        <v>127</v>
      </c>
      <c r="G29" s="295" t="s">
        <v>81</v>
      </c>
      <c r="H29" s="297"/>
      <c r="I29" s="276"/>
      <c r="J29" s="298"/>
      <c r="K29" s="277"/>
      <c r="L29" s="299" t="s">
        <v>79</v>
      </c>
      <c r="M29" s="277"/>
      <c r="N29" s="267"/>
    </row>
    <row r="30">
      <c r="A30" s="267"/>
      <c r="B30" s="267"/>
      <c r="C30" s="267"/>
      <c r="D30" s="270"/>
      <c r="E30" s="295" t="s">
        <v>129</v>
      </c>
      <c r="F30" s="296" t="s">
        <v>130</v>
      </c>
      <c r="G30" s="295" t="s">
        <v>81</v>
      </c>
      <c r="H30" s="297"/>
      <c r="I30" s="276"/>
      <c r="J30" s="298"/>
      <c r="K30" s="277"/>
      <c r="L30" s="299" t="s">
        <v>121</v>
      </c>
      <c r="M30" s="277"/>
      <c r="N30" s="267"/>
    </row>
    <row r="31">
      <c r="A31" s="267"/>
      <c r="B31" s="267"/>
      <c r="C31" s="267"/>
      <c r="D31" s="270"/>
      <c r="E31" s="295" t="s">
        <v>1568</v>
      </c>
      <c r="F31" s="296" t="s">
        <v>123</v>
      </c>
      <c r="G31" s="295" t="s">
        <v>121</v>
      </c>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1"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1569</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02" t="s">
        <v>1570</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96</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40.5" customHeight="1">
      <c r="A15" s="267"/>
      <c r="B15" s="273" t="s">
        <v>101</v>
      </c>
      <c r="C15" s="267"/>
      <c r="D15" s="270"/>
      <c r="E15" s="274" t="s">
        <v>1571</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105</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51.0" customHeight="1">
      <c r="A19" s="267"/>
      <c r="B19" s="273" t="s">
        <v>106</v>
      </c>
      <c r="C19" s="267"/>
      <c r="D19" s="270"/>
      <c r="E19" s="274" t="s">
        <v>1572</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111</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302" t="s">
        <v>1573</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1574</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126</v>
      </c>
      <c r="F28" s="296" t="s">
        <v>127</v>
      </c>
      <c r="G28" s="295" t="s">
        <v>121</v>
      </c>
      <c r="H28" s="297"/>
      <c r="I28" s="276"/>
      <c r="J28" s="298"/>
      <c r="K28" s="277"/>
      <c r="L28" s="299" t="s">
        <v>77</v>
      </c>
      <c r="M28" s="280" t="s">
        <v>97</v>
      </c>
      <c r="N28" s="267"/>
    </row>
    <row r="29">
      <c r="A29" s="267"/>
      <c r="D29" s="270"/>
      <c r="E29" s="295" t="s">
        <v>129</v>
      </c>
      <c r="F29" s="296" t="s">
        <v>130</v>
      </c>
      <c r="G29" s="295" t="s">
        <v>81</v>
      </c>
      <c r="H29" s="297"/>
      <c r="I29" s="276"/>
      <c r="J29" s="298"/>
      <c r="K29" s="277"/>
      <c r="L29" s="299" t="s">
        <v>79</v>
      </c>
      <c r="M29" s="277"/>
      <c r="N29" s="267"/>
    </row>
    <row r="30">
      <c r="A30" s="267"/>
      <c r="B30" s="267"/>
      <c r="C30" s="267"/>
      <c r="D30" s="270"/>
      <c r="E30" s="295" t="s">
        <v>1568</v>
      </c>
      <c r="F30" s="296" t="s">
        <v>123</v>
      </c>
      <c r="G30" s="295" t="s">
        <v>121</v>
      </c>
      <c r="H30" s="297"/>
      <c r="I30" s="276"/>
      <c r="J30" s="298"/>
      <c r="K30" s="277"/>
      <c r="L30" s="299" t="s">
        <v>121</v>
      </c>
      <c r="M30" s="277"/>
      <c r="N30" s="267"/>
    </row>
    <row r="31">
      <c r="A31" s="267"/>
      <c r="B31" s="267"/>
      <c r="C31" s="267"/>
      <c r="D31" s="270"/>
      <c r="E31" s="295" t="s">
        <v>132</v>
      </c>
      <c r="F31" s="296" t="s">
        <v>127</v>
      </c>
      <c r="G31" s="295" t="s">
        <v>81</v>
      </c>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1575</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1576</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c r="A15" s="267"/>
      <c r="B15" s="273" t="s">
        <v>101</v>
      </c>
      <c r="C15" s="267"/>
      <c r="D15" s="270"/>
      <c r="E15" s="274" t="s">
        <v>1577</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322" t="s">
        <v>104</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c r="A19" s="267"/>
      <c r="B19" s="273" t="s">
        <v>106</v>
      </c>
      <c r="C19" s="267"/>
      <c r="D19" s="270"/>
      <c r="E19" s="274" t="s">
        <v>1578</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302"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1579</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302" t="s">
        <v>1580</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324" t="s">
        <v>118</v>
      </c>
      <c r="I27" s="325"/>
      <c r="J27" s="293"/>
      <c r="K27" s="293"/>
      <c r="L27" s="277"/>
      <c r="M27" s="277"/>
      <c r="N27" s="267"/>
    </row>
    <row r="28">
      <c r="A28" s="267"/>
      <c r="B28" s="294" t="s">
        <v>366</v>
      </c>
      <c r="D28" s="270"/>
      <c r="E28" s="295" t="s">
        <v>124</v>
      </c>
      <c r="F28" s="296" t="s">
        <v>1581</v>
      </c>
      <c r="G28" s="295" t="s">
        <v>121</v>
      </c>
      <c r="H28" s="297"/>
      <c r="I28" s="276"/>
      <c r="J28" s="298"/>
      <c r="K28" s="277"/>
      <c r="L28" s="299" t="s">
        <v>77</v>
      </c>
      <c r="M28" s="280" t="s">
        <v>97</v>
      </c>
      <c r="N28" s="267"/>
    </row>
    <row r="29">
      <c r="A29" s="267"/>
      <c r="D29" s="270"/>
      <c r="E29" s="295" t="s">
        <v>131</v>
      </c>
      <c r="F29" s="296" t="s">
        <v>120</v>
      </c>
      <c r="G29" s="295" t="s">
        <v>79</v>
      </c>
      <c r="H29" s="297"/>
      <c r="I29" s="276"/>
      <c r="J29" s="298"/>
      <c r="K29" s="277"/>
      <c r="L29" s="299" t="s">
        <v>79</v>
      </c>
      <c r="M29" s="277"/>
      <c r="N29" s="267"/>
    </row>
    <row r="30">
      <c r="A30" s="267"/>
      <c r="B30" s="267"/>
      <c r="C30" s="267"/>
      <c r="D30" s="270"/>
      <c r="E30" s="300"/>
      <c r="F30" s="301"/>
      <c r="G30" s="300"/>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1582</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942</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1583</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322" t="s">
        <v>105</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1584</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111</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1585</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302" t="s">
        <v>1586</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1549</v>
      </c>
      <c r="F28" s="296" t="s">
        <v>1505</v>
      </c>
      <c r="G28" s="295" t="s">
        <v>121</v>
      </c>
      <c r="H28" s="297"/>
      <c r="I28" s="276"/>
      <c r="J28" s="298"/>
      <c r="K28" s="277"/>
      <c r="L28" s="299" t="s">
        <v>77</v>
      </c>
      <c r="M28" s="280" t="s">
        <v>97</v>
      </c>
      <c r="N28" s="267"/>
    </row>
    <row r="29">
      <c r="A29" s="267"/>
      <c r="D29" s="270"/>
      <c r="E29" s="295" t="s">
        <v>129</v>
      </c>
      <c r="F29" s="296" t="s">
        <v>1550</v>
      </c>
      <c r="G29" s="295" t="s">
        <v>81</v>
      </c>
      <c r="H29" s="297"/>
      <c r="I29" s="276"/>
      <c r="J29" s="298"/>
      <c r="K29" s="277"/>
      <c r="L29" s="299" t="s">
        <v>79</v>
      </c>
      <c r="M29" s="277"/>
      <c r="N29" s="267"/>
    </row>
    <row r="30">
      <c r="A30" s="267"/>
      <c r="B30" s="267"/>
      <c r="C30" s="267"/>
      <c r="D30" s="270"/>
      <c r="E30" s="295" t="s">
        <v>1527</v>
      </c>
      <c r="F30" s="296" t="s">
        <v>1505</v>
      </c>
      <c r="G30" s="295" t="s">
        <v>82</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1587</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1588</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1589</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1590</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110</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1591</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322" t="s">
        <v>1592</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1549</v>
      </c>
      <c r="F28" s="296" t="s">
        <v>1505</v>
      </c>
      <c r="G28" s="295" t="s">
        <v>121</v>
      </c>
      <c r="H28" s="297"/>
      <c r="I28" s="276"/>
      <c r="J28" s="298"/>
      <c r="K28" s="277"/>
      <c r="L28" s="299" t="s">
        <v>77</v>
      </c>
      <c r="M28" s="280" t="s">
        <v>97</v>
      </c>
      <c r="N28" s="267"/>
    </row>
    <row r="29">
      <c r="A29" s="267"/>
      <c r="D29" s="270"/>
      <c r="E29" s="295" t="s">
        <v>129</v>
      </c>
      <c r="F29" s="296" t="s">
        <v>1550</v>
      </c>
      <c r="G29" s="295" t="s">
        <v>81</v>
      </c>
      <c r="H29" s="297"/>
      <c r="I29" s="276"/>
      <c r="J29" s="298"/>
      <c r="K29" s="277"/>
      <c r="L29" s="299" t="s">
        <v>79</v>
      </c>
      <c r="M29" s="277"/>
      <c r="N29" s="267"/>
    </row>
    <row r="30">
      <c r="A30" s="267"/>
      <c r="B30" s="267"/>
      <c r="C30" s="267"/>
      <c r="D30" s="270"/>
      <c r="E30" s="295" t="s">
        <v>1527</v>
      </c>
      <c r="F30" s="296" t="s">
        <v>1505</v>
      </c>
      <c r="G30" s="295" t="s">
        <v>82</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1593</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1594</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c r="A15" s="267"/>
      <c r="B15" s="273" t="s">
        <v>101</v>
      </c>
      <c r="C15" s="267"/>
      <c r="D15" s="270"/>
      <c r="E15" s="274" t="s">
        <v>1595</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c r="A19" s="267"/>
      <c r="B19" s="273" t="s">
        <v>106</v>
      </c>
      <c r="C19" s="267"/>
      <c r="D19" s="270"/>
      <c r="E19" s="274" t="s">
        <v>1596</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1597</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274" t="s">
        <v>1598</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1540</v>
      </c>
      <c r="G28" s="295" t="s">
        <v>81</v>
      </c>
      <c r="H28" s="297"/>
      <c r="I28" s="276"/>
      <c r="J28" s="298"/>
      <c r="K28" s="277"/>
      <c r="L28" s="299" t="s">
        <v>77</v>
      </c>
      <c r="M28" s="280" t="s">
        <v>97</v>
      </c>
      <c r="N28" s="267"/>
    </row>
    <row r="29">
      <c r="A29" s="267"/>
      <c r="D29" s="270"/>
      <c r="E29" s="295" t="s">
        <v>1541</v>
      </c>
      <c r="F29" s="296" t="s">
        <v>1542</v>
      </c>
      <c r="G29" s="295" t="s">
        <v>81</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1599</v>
      </c>
      <c r="C4" s="267"/>
      <c r="D4" s="267"/>
      <c r="E4" s="267"/>
      <c r="F4" s="267"/>
      <c r="G4" s="267"/>
      <c r="H4" s="267"/>
      <c r="I4" s="270"/>
      <c r="J4" s="271" t="s">
        <v>0</v>
      </c>
      <c r="K4" s="267"/>
      <c r="L4" s="267"/>
      <c r="M4" s="85" t="b">
        <v>0</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03"/>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c r="A15" s="267"/>
      <c r="B15" s="273" t="s">
        <v>101</v>
      </c>
      <c r="C15" s="267"/>
      <c r="D15" s="270"/>
      <c r="E15" s="303"/>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26"/>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03"/>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c r="A23" s="267"/>
      <c r="B23" s="273" t="s">
        <v>112</v>
      </c>
      <c r="C23" s="267"/>
      <c r="D23" s="270"/>
      <c r="E23" s="303"/>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03"/>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c r="F28" s="317"/>
      <c r="G28" s="317"/>
      <c r="H28" s="318"/>
      <c r="I28" s="305"/>
      <c r="J28" s="281"/>
      <c r="K28" s="270"/>
      <c r="L28" s="271" t="s">
        <v>77</v>
      </c>
      <c r="M28" s="306" t="s">
        <v>97</v>
      </c>
      <c r="N28" s="267"/>
    </row>
    <row r="29">
      <c r="A29" s="267"/>
      <c r="D29" s="270"/>
      <c r="E29" s="316"/>
      <c r="F29" s="317"/>
      <c r="G29" s="317"/>
      <c r="H29" s="318"/>
      <c r="I29" s="305"/>
      <c r="J29" s="281"/>
      <c r="K29" s="270"/>
      <c r="L29" s="271" t="s">
        <v>79</v>
      </c>
      <c r="M29" s="267"/>
      <c r="N29" s="267"/>
    </row>
    <row r="30">
      <c r="A30" s="267"/>
      <c r="B30" s="267"/>
      <c r="C30" s="267"/>
      <c r="D30" s="270"/>
      <c r="E30" s="316"/>
      <c r="F30" s="317"/>
      <c r="G30" s="317"/>
      <c r="H30" s="318"/>
      <c r="I30" s="305"/>
      <c r="J30" s="281"/>
      <c r="K30" s="270"/>
      <c r="L30" s="271" t="s">
        <v>121</v>
      </c>
      <c r="M30" s="267"/>
      <c r="N30" s="267"/>
    </row>
    <row r="31">
      <c r="A31" s="267"/>
      <c r="B31" s="267"/>
      <c r="C31" s="267"/>
      <c r="D31" s="270"/>
      <c r="E31" s="316"/>
      <c r="F31" s="317"/>
      <c r="G31" s="317"/>
      <c r="H31" s="318"/>
      <c r="I31" s="305"/>
      <c r="J31" s="281"/>
      <c r="K31" s="270"/>
      <c r="L31" s="271" t="s">
        <v>81</v>
      </c>
      <c r="M31" s="267"/>
      <c r="N31" s="267"/>
    </row>
    <row r="32">
      <c r="A32" s="267"/>
      <c r="B32" s="267"/>
      <c r="C32" s="267"/>
      <c r="D32" s="270"/>
      <c r="E32" s="316"/>
      <c r="F32" s="317"/>
      <c r="G32" s="317"/>
      <c r="H32" s="318"/>
      <c r="I32" s="305"/>
      <c r="J32" s="267"/>
      <c r="K32" s="270"/>
      <c r="L32" s="271" t="s">
        <v>82</v>
      </c>
      <c r="M32" s="267"/>
      <c r="N32" s="267"/>
    </row>
    <row r="33">
      <c r="A33" s="267"/>
      <c r="B33" s="267"/>
      <c r="C33" s="267"/>
      <c r="D33" s="270"/>
      <c r="E33" s="316"/>
      <c r="F33" s="317"/>
      <c r="G33" s="317"/>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26"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1600</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1601</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99</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30.75" customHeight="1">
      <c r="A15" s="267"/>
      <c r="B15" s="273" t="s">
        <v>101</v>
      </c>
      <c r="C15" s="267"/>
      <c r="D15" s="270"/>
      <c r="E15" s="274" t="s">
        <v>1602</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ht="29.25" customHeight="1">
      <c r="A19" s="267"/>
      <c r="B19" s="273" t="s">
        <v>106</v>
      </c>
      <c r="C19" s="267"/>
      <c r="D19" s="270"/>
      <c r="E19" s="274" t="s">
        <v>1603</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1604</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ht="41.25" customHeight="1">
      <c r="A25" s="267"/>
      <c r="B25" s="273" t="s">
        <v>113</v>
      </c>
      <c r="C25" s="267"/>
      <c r="D25" s="270"/>
      <c r="E25" s="322" t="s">
        <v>1605</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1540</v>
      </c>
      <c r="G28" s="295" t="s">
        <v>81</v>
      </c>
      <c r="H28" s="297"/>
      <c r="I28" s="276"/>
      <c r="J28" s="298"/>
      <c r="K28" s="277"/>
      <c r="L28" s="299" t="s">
        <v>77</v>
      </c>
      <c r="M28" s="280" t="s">
        <v>97</v>
      </c>
      <c r="N28" s="267"/>
    </row>
    <row r="29">
      <c r="A29" s="267"/>
      <c r="D29" s="270"/>
      <c r="E29" s="295" t="s">
        <v>1541</v>
      </c>
      <c r="F29" s="296" t="s">
        <v>1542</v>
      </c>
      <c r="G29" s="295" t="s">
        <v>81</v>
      </c>
      <c r="H29" s="297"/>
      <c r="I29" s="276"/>
      <c r="J29" s="298"/>
      <c r="K29" s="277"/>
      <c r="L29" s="299" t="s">
        <v>79</v>
      </c>
      <c r="M29" s="277"/>
      <c r="N29" s="267"/>
    </row>
    <row r="30">
      <c r="A30" s="267"/>
      <c r="B30" s="267"/>
      <c r="C30" s="267"/>
      <c r="D30" s="270"/>
      <c r="E30" s="295" t="s">
        <v>122</v>
      </c>
      <c r="F30" s="296" t="s">
        <v>123</v>
      </c>
      <c r="G30" s="295" t="s">
        <v>121</v>
      </c>
      <c r="H30" s="297"/>
      <c r="I30" s="276"/>
      <c r="J30" s="298"/>
      <c r="K30" s="277"/>
      <c r="L30" s="299" t="s">
        <v>121</v>
      </c>
      <c r="M30" s="277"/>
      <c r="N30" s="267"/>
    </row>
    <row r="31">
      <c r="A31" s="267"/>
      <c r="B31" s="267"/>
      <c r="C31" s="267"/>
      <c r="D31" s="270"/>
      <c r="E31" s="300"/>
      <c r="F31" s="301"/>
      <c r="G31" s="300"/>
      <c r="H31" s="297"/>
      <c r="I31" s="276"/>
      <c r="J31" s="298"/>
      <c r="K31" s="277"/>
      <c r="L31" s="299" t="s">
        <v>81</v>
      </c>
      <c r="M31" s="277"/>
      <c r="N31" s="267"/>
    </row>
    <row r="32">
      <c r="A32" s="267"/>
      <c r="B32" s="267"/>
      <c r="C32" s="267"/>
      <c r="D32" s="270"/>
      <c r="E32" s="300"/>
      <c r="F32" s="301"/>
      <c r="G32" s="300"/>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1606</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274" t="s">
        <v>1607</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274"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ht="60.0" customHeight="1">
      <c r="A15" s="267"/>
      <c r="B15" s="273" t="s">
        <v>101</v>
      </c>
      <c r="C15" s="267"/>
      <c r="D15" s="270"/>
      <c r="E15" s="327" t="s">
        <v>1608</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c r="A19" s="267"/>
      <c r="B19" s="273" t="s">
        <v>106</v>
      </c>
      <c r="C19" s="267"/>
      <c r="D19" s="270"/>
      <c r="E19" s="322" t="s">
        <v>1609</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274" t="s">
        <v>110</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ht="39.75" customHeight="1">
      <c r="A23" s="267"/>
      <c r="B23" s="273" t="s">
        <v>112</v>
      </c>
      <c r="C23" s="267"/>
      <c r="D23" s="270"/>
      <c r="E23" s="274" t="s">
        <v>1610</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c r="A25" s="267"/>
      <c r="B25" s="273" t="s">
        <v>113</v>
      </c>
      <c r="C25" s="267"/>
      <c r="D25" s="270"/>
      <c r="E25" s="322" t="s">
        <v>1611</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295" t="s">
        <v>132</v>
      </c>
      <c r="F28" s="296" t="s">
        <v>127</v>
      </c>
      <c r="G28" s="295" t="s">
        <v>81</v>
      </c>
      <c r="H28" s="297"/>
      <c r="I28" s="276"/>
      <c r="J28" s="298"/>
      <c r="K28" s="277"/>
      <c r="L28" s="299" t="s">
        <v>77</v>
      </c>
      <c r="M28" s="280" t="s">
        <v>97</v>
      </c>
      <c r="N28" s="267"/>
    </row>
    <row r="29">
      <c r="A29" s="267"/>
      <c r="D29" s="270"/>
      <c r="E29" s="295" t="s">
        <v>1498</v>
      </c>
      <c r="F29" s="296" t="s">
        <v>120</v>
      </c>
      <c r="G29" s="295" t="s">
        <v>121</v>
      </c>
      <c r="H29" s="297"/>
      <c r="I29" s="276"/>
      <c r="J29" s="298"/>
      <c r="K29" s="277"/>
      <c r="L29" s="299" t="s">
        <v>79</v>
      </c>
      <c r="M29" s="277"/>
      <c r="N29" s="267"/>
    </row>
    <row r="30">
      <c r="A30" s="267"/>
      <c r="B30" s="267"/>
      <c r="C30" s="267"/>
      <c r="D30" s="270"/>
      <c r="E30" s="295" t="s">
        <v>129</v>
      </c>
      <c r="F30" s="296" t="s">
        <v>130</v>
      </c>
      <c r="G30" s="295" t="s">
        <v>81</v>
      </c>
      <c r="H30" s="297"/>
      <c r="I30" s="276"/>
      <c r="J30" s="298"/>
      <c r="K30" s="277"/>
      <c r="L30" s="299" t="s">
        <v>121</v>
      </c>
      <c r="M30" s="277"/>
      <c r="N30" s="267"/>
    </row>
    <row r="31">
      <c r="A31" s="267"/>
      <c r="B31" s="267"/>
      <c r="C31" s="267"/>
      <c r="D31" s="270"/>
      <c r="E31" s="295" t="s">
        <v>122</v>
      </c>
      <c r="F31" s="296" t="s">
        <v>123</v>
      </c>
      <c r="G31" s="295" t="s">
        <v>121</v>
      </c>
      <c r="H31" s="297"/>
      <c r="I31" s="276"/>
      <c r="J31" s="298"/>
      <c r="K31" s="277"/>
      <c r="L31" s="299" t="s">
        <v>81</v>
      </c>
      <c r="M31" s="277"/>
      <c r="N31" s="267"/>
    </row>
    <row r="32">
      <c r="A32" s="267"/>
      <c r="B32" s="267"/>
      <c r="C32" s="267"/>
      <c r="D32" s="270"/>
      <c r="E32" s="295" t="s">
        <v>124</v>
      </c>
      <c r="F32" s="296" t="s">
        <v>125</v>
      </c>
      <c r="G32" s="295" t="s">
        <v>121</v>
      </c>
      <c r="H32" s="297"/>
      <c r="I32" s="276"/>
      <c r="J32" s="278"/>
      <c r="K32" s="277"/>
      <c r="L32" s="299" t="s">
        <v>82</v>
      </c>
      <c r="M32" s="277"/>
      <c r="N32" s="267"/>
    </row>
    <row r="33">
      <c r="A33" s="267"/>
      <c r="B33" s="267"/>
      <c r="C33" s="267"/>
      <c r="D33" s="270"/>
      <c r="E33" s="300"/>
      <c r="F33" s="301"/>
      <c r="G33" s="300"/>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1612</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22" t="s">
        <v>889</v>
      </c>
      <c r="F11" s="275"/>
      <c r="G11" s="276"/>
      <c r="H11" s="277"/>
      <c r="I11" s="277"/>
      <c r="J11" s="277"/>
      <c r="K11" s="277"/>
      <c r="L11" s="277"/>
      <c r="M11" s="277"/>
      <c r="N11" s="267"/>
    </row>
    <row r="12">
      <c r="A12" s="267"/>
      <c r="B12" s="267"/>
      <c r="C12" s="267"/>
      <c r="D12" s="267"/>
      <c r="E12" s="277"/>
      <c r="F12" s="277"/>
      <c r="G12" s="277"/>
      <c r="H12" s="278"/>
      <c r="I12" s="277"/>
      <c r="J12" s="279" t="s">
        <v>96</v>
      </c>
      <c r="K12" s="277"/>
      <c r="L12" s="277"/>
      <c r="M12" s="280" t="s">
        <v>97</v>
      </c>
      <c r="N12" s="267"/>
    </row>
    <row r="13">
      <c r="A13" s="267"/>
      <c r="B13" s="273" t="s">
        <v>98</v>
      </c>
      <c r="C13" s="267"/>
      <c r="D13" s="270"/>
      <c r="E13" s="322" t="s">
        <v>100</v>
      </c>
      <c r="F13" s="276"/>
      <c r="G13" s="277"/>
      <c r="H13" s="278"/>
      <c r="I13" s="277"/>
      <c r="J13" s="279" t="s">
        <v>99</v>
      </c>
      <c r="K13" s="277"/>
      <c r="L13" s="277"/>
      <c r="M13" s="280" t="s">
        <v>97</v>
      </c>
      <c r="N13" s="267"/>
    </row>
    <row r="14">
      <c r="A14" s="267"/>
      <c r="B14" s="267"/>
      <c r="C14" s="267"/>
      <c r="D14" s="267"/>
      <c r="E14" s="277"/>
      <c r="F14" s="277"/>
      <c r="G14" s="277"/>
      <c r="H14" s="278"/>
      <c r="I14" s="277"/>
      <c r="J14" s="279" t="s">
        <v>100</v>
      </c>
      <c r="K14" s="277"/>
      <c r="L14" s="277"/>
      <c r="M14" s="280" t="s">
        <v>97</v>
      </c>
      <c r="N14" s="267"/>
    </row>
    <row r="15">
      <c r="A15" s="267"/>
      <c r="B15" s="273" t="s">
        <v>101</v>
      </c>
      <c r="C15" s="267"/>
      <c r="D15" s="270"/>
      <c r="E15" s="302" t="s">
        <v>1613</v>
      </c>
      <c r="F15" s="275"/>
      <c r="G15" s="276"/>
      <c r="H15" s="277"/>
      <c r="I15" s="277"/>
      <c r="J15" s="277"/>
      <c r="K15" s="277"/>
      <c r="L15" s="277"/>
      <c r="M15" s="277"/>
      <c r="N15" s="267"/>
    </row>
    <row r="16">
      <c r="A16" s="267"/>
      <c r="B16" s="267"/>
      <c r="C16" s="267"/>
      <c r="D16" s="267"/>
      <c r="E16" s="277"/>
      <c r="F16" s="277"/>
      <c r="G16" s="277"/>
      <c r="H16" s="278"/>
      <c r="I16" s="277"/>
      <c r="J16" s="279" t="s">
        <v>102</v>
      </c>
      <c r="K16" s="277"/>
      <c r="L16" s="277"/>
      <c r="M16" s="280" t="s">
        <v>97</v>
      </c>
      <c r="N16" s="267"/>
    </row>
    <row r="17">
      <c r="A17" s="267"/>
      <c r="B17" s="273" t="s">
        <v>103</v>
      </c>
      <c r="C17" s="267"/>
      <c r="D17" s="270"/>
      <c r="E17" s="274" t="s">
        <v>102</v>
      </c>
      <c r="F17" s="276"/>
      <c r="G17" s="277"/>
      <c r="H17" s="278"/>
      <c r="I17" s="277"/>
      <c r="J17" s="279" t="s">
        <v>104</v>
      </c>
      <c r="K17" s="277"/>
      <c r="L17" s="277"/>
      <c r="M17" s="280" t="s">
        <v>97</v>
      </c>
      <c r="N17" s="267"/>
    </row>
    <row r="18">
      <c r="A18" s="267"/>
      <c r="B18" s="281"/>
      <c r="C18" s="282"/>
      <c r="D18" s="282"/>
      <c r="E18" s="277"/>
      <c r="F18" s="277"/>
      <c r="G18" s="277"/>
      <c r="H18" s="278"/>
      <c r="I18" s="277"/>
      <c r="J18" s="283" t="s">
        <v>105</v>
      </c>
      <c r="K18" s="284"/>
      <c r="L18" s="284"/>
      <c r="M18" s="285" t="s">
        <v>97</v>
      </c>
      <c r="N18" s="267"/>
    </row>
    <row r="19">
      <c r="A19" s="267"/>
      <c r="B19" s="273" t="s">
        <v>106</v>
      </c>
      <c r="C19" s="267"/>
      <c r="D19" s="270"/>
      <c r="E19" s="302" t="s">
        <v>1614</v>
      </c>
      <c r="F19" s="275"/>
      <c r="G19" s="276"/>
      <c r="H19" s="277"/>
      <c r="I19" s="277"/>
      <c r="J19" s="286" t="s">
        <v>107</v>
      </c>
      <c r="N19" s="267"/>
    </row>
    <row r="20">
      <c r="A20" s="267"/>
      <c r="B20" s="267"/>
      <c r="C20" s="267"/>
      <c r="D20" s="267"/>
      <c r="E20" s="277"/>
      <c r="F20" s="277"/>
      <c r="G20" s="277"/>
      <c r="H20" s="278"/>
      <c r="I20" s="277"/>
      <c r="J20" s="279" t="s">
        <v>108</v>
      </c>
      <c r="K20" s="277"/>
      <c r="L20" s="277"/>
      <c r="M20" s="280" t="s">
        <v>97</v>
      </c>
      <c r="N20" s="267"/>
    </row>
    <row r="21">
      <c r="A21" s="267"/>
      <c r="B21" s="273" t="s">
        <v>109</v>
      </c>
      <c r="C21" s="267"/>
      <c r="D21" s="270"/>
      <c r="E21" s="322" t="s">
        <v>108</v>
      </c>
      <c r="F21" s="276"/>
      <c r="G21" s="277"/>
      <c r="H21" s="278"/>
      <c r="I21" s="277"/>
      <c r="J21" s="279" t="s">
        <v>110</v>
      </c>
      <c r="K21" s="277"/>
      <c r="L21" s="277"/>
      <c r="M21" s="280" t="s">
        <v>97</v>
      </c>
      <c r="N21" s="267"/>
    </row>
    <row r="22">
      <c r="A22" s="267"/>
      <c r="B22" s="267"/>
      <c r="C22" s="267"/>
      <c r="D22" s="267"/>
      <c r="E22" s="277"/>
      <c r="F22" s="277"/>
      <c r="G22" s="277"/>
      <c r="H22" s="278"/>
      <c r="I22" s="277"/>
      <c r="J22" s="279" t="s">
        <v>111</v>
      </c>
      <c r="K22" s="277"/>
      <c r="L22" s="277"/>
      <c r="M22" s="280" t="s">
        <v>97</v>
      </c>
      <c r="N22" s="267"/>
    </row>
    <row r="23">
      <c r="A23" s="267"/>
      <c r="B23" s="273" t="s">
        <v>112</v>
      </c>
      <c r="C23" s="267"/>
      <c r="D23" s="270"/>
      <c r="E23" s="302" t="s">
        <v>1615</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c r="A25" s="267"/>
      <c r="B25" s="273" t="s">
        <v>113</v>
      </c>
      <c r="C25" s="267"/>
      <c r="D25" s="270"/>
      <c r="E25" s="302" t="s">
        <v>1616</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289" t="s">
        <v>163</v>
      </c>
      <c r="F27" s="290" t="s">
        <v>1474</v>
      </c>
      <c r="G27" s="290" t="s">
        <v>117</v>
      </c>
      <c r="H27" s="291" t="s">
        <v>118</v>
      </c>
      <c r="I27" s="292"/>
      <c r="J27" s="293"/>
      <c r="K27" s="293"/>
      <c r="L27" s="277"/>
      <c r="M27" s="277"/>
      <c r="N27" s="267"/>
    </row>
    <row r="28">
      <c r="A28" s="267"/>
      <c r="B28" s="294" t="s">
        <v>366</v>
      </c>
      <c r="D28" s="270"/>
      <c r="E28" s="328" t="s">
        <v>126</v>
      </c>
      <c r="F28" s="329" t="s">
        <v>127</v>
      </c>
      <c r="G28" s="328" t="s">
        <v>121</v>
      </c>
      <c r="H28" s="297"/>
      <c r="I28" s="276"/>
      <c r="J28" s="298"/>
      <c r="K28" s="277"/>
      <c r="L28" s="299" t="s">
        <v>77</v>
      </c>
      <c r="M28" s="280" t="s">
        <v>97</v>
      </c>
      <c r="N28" s="267"/>
    </row>
    <row r="29">
      <c r="A29" s="267"/>
      <c r="D29" s="270"/>
      <c r="E29" s="328" t="s">
        <v>131</v>
      </c>
      <c r="F29" s="329" t="s">
        <v>120</v>
      </c>
      <c r="G29" s="328" t="s">
        <v>79</v>
      </c>
      <c r="H29" s="297"/>
      <c r="I29" s="276"/>
      <c r="J29" s="298"/>
      <c r="K29" s="277"/>
      <c r="L29" s="299" t="s">
        <v>79</v>
      </c>
      <c r="M29" s="277"/>
      <c r="N29" s="267"/>
    </row>
    <row r="30">
      <c r="A30" s="267"/>
      <c r="B30" s="267"/>
      <c r="C30" s="267"/>
      <c r="D30" s="270"/>
      <c r="E30" s="328" t="s">
        <v>122</v>
      </c>
      <c r="F30" s="329" t="s">
        <v>123</v>
      </c>
      <c r="G30" s="328" t="s">
        <v>121</v>
      </c>
      <c r="H30" s="297"/>
      <c r="I30" s="276"/>
      <c r="J30" s="298"/>
      <c r="K30" s="277"/>
      <c r="L30" s="299" t="s">
        <v>121</v>
      </c>
      <c r="M30" s="277"/>
      <c r="N30" s="267"/>
    </row>
    <row r="31">
      <c r="A31" s="267"/>
      <c r="B31" s="267"/>
      <c r="C31" s="267"/>
      <c r="D31" s="270"/>
      <c r="E31" s="328" t="s">
        <v>124</v>
      </c>
      <c r="F31" s="329" t="s">
        <v>1617</v>
      </c>
      <c r="G31" s="328" t="s">
        <v>121</v>
      </c>
      <c r="H31" s="297"/>
      <c r="I31" s="276"/>
      <c r="J31" s="298"/>
      <c r="K31" s="277"/>
      <c r="L31" s="299" t="s">
        <v>81</v>
      </c>
      <c r="M31" s="277"/>
      <c r="N31" s="267"/>
    </row>
    <row r="32">
      <c r="A32" s="267"/>
      <c r="B32" s="267"/>
      <c r="C32" s="267"/>
      <c r="D32" s="270"/>
      <c r="E32" s="328" t="s">
        <v>129</v>
      </c>
      <c r="F32" s="329" t="s">
        <v>130</v>
      </c>
      <c r="G32" s="328" t="s">
        <v>81</v>
      </c>
      <c r="H32" s="297"/>
      <c r="I32" s="276"/>
      <c r="J32" s="278"/>
      <c r="K32" s="277"/>
      <c r="L32" s="299" t="s">
        <v>82</v>
      </c>
      <c r="M32" s="277"/>
      <c r="N32" s="267"/>
    </row>
    <row r="33">
      <c r="A33" s="267"/>
      <c r="B33" s="267"/>
      <c r="C33" s="267"/>
      <c r="D33" s="270"/>
      <c r="E33" s="328" t="s">
        <v>134</v>
      </c>
      <c r="F33" s="330" t="s">
        <v>135</v>
      </c>
      <c r="G33" s="328" t="s">
        <v>81</v>
      </c>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5"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267" t="s">
        <v>1618</v>
      </c>
      <c r="C4" s="267"/>
      <c r="D4" s="267"/>
      <c r="E4" s="267"/>
      <c r="F4" s="267"/>
      <c r="G4" s="267"/>
      <c r="H4" s="267"/>
      <c r="I4" s="270"/>
      <c r="J4" s="271" t="s">
        <v>0</v>
      </c>
      <c r="K4" s="267"/>
      <c r="L4" s="267"/>
      <c r="M4" s="331"/>
      <c r="N4" s="267"/>
    </row>
    <row r="5" ht="23.25" customHeight="1">
      <c r="A5" s="267"/>
      <c r="B5" s="272" t="s">
        <v>1467</v>
      </c>
      <c r="G5" s="267"/>
      <c r="H5" s="267"/>
      <c r="I5" s="270"/>
      <c r="J5" s="271" t="s">
        <v>1</v>
      </c>
      <c r="K5" s="267"/>
      <c r="L5" s="267"/>
      <c r="M5" s="331"/>
      <c r="N5" s="267"/>
    </row>
    <row r="6" ht="23.25" customHeight="1">
      <c r="A6" s="267"/>
      <c r="G6" s="267"/>
      <c r="H6" s="267"/>
      <c r="I6" s="270"/>
      <c r="J6" s="271" t="s">
        <v>2</v>
      </c>
      <c r="K6" s="267"/>
      <c r="L6" s="267"/>
      <c r="M6" s="331"/>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c r="A11" s="267"/>
      <c r="B11" s="273" t="s">
        <v>95</v>
      </c>
      <c r="C11" s="267"/>
      <c r="D11" s="270"/>
      <c r="E11" s="303" t="s">
        <v>1619</v>
      </c>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t="s">
        <v>100</v>
      </c>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ht="30.75" customHeight="1">
      <c r="A15" s="267"/>
      <c r="B15" s="273" t="s">
        <v>101</v>
      </c>
      <c r="C15" s="267"/>
      <c r="D15" s="270"/>
      <c r="E15" s="303" t="s">
        <v>1620</v>
      </c>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03" t="s">
        <v>102</v>
      </c>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03" t="s">
        <v>1621</v>
      </c>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t="s">
        <v>108</v>
      </c>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ht="39.75" customHeight="1">
      <c r="A23" s="267"/>
      <c r="B23" s="273" t="s">
        <v>112</v>
      </c>
      <c r="C23" s="267"/>
      <c r="D23" s="270"/>
      <c r="E23" s="303" t="s">
        <v>1622</v>
      </c>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03" t="s">
        <v>1623</v>
      </c>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t="s">
        <v>1624</v>
      </c>
      <c r="F28" s="317" t="s">
        <v>127</v>
      </c>
      <c r="G28" s="317" t="s">
        <v>121</v>
      </c>
      <c r="H28" s="318"/>
      <c r="I28" s="305"/>
      <c r="J28" s="281"/>
      <c r="K28" s="270"/>
      <c r="L28" s="271" t="s">
        <v>77</v>
      </c>
      <c r="M28" s="306" t="s">
        <v>97</v>
      </c>
      <c r="N28" s="267"/>
    </row>
    <row r="29">
      <c r="A29" s="267"/>
      <c r="D29" s="270"/>
      <c r="E29" s="316" t="s">
        <v>131</v>
      </c>
      <c r="F29" s="317" t="s">
        <v>120</v>
      </c>
      <c r="G29" s="317" t="s">
        <v>79</v>
      </c>
      <c r="H29" s="318"/>
      <c r="I29" s="305"/>
      <c r="J29" s="281"/>
      <c r="K29" s="270"/>
      <c r="L29" s="271" t="s">
        <v>79</v>
      </c>
      <c r="M29" s="267"/>
      <c r="N29" s="267"/>
    </row>
    <row r="30">
      <c r="A30" s="267"/>
      <c r="B30" s="267"/>
      <c r="C30" s="267"/>
      <c r="D30" s="270"/>
      <c r="E30" s="316" t="s">
        <v>122</v>
      </c>
      <c r="F30" s="317" t="s">
        <v>123</v>
      </c>
      <c r="G30" s="317" t="s">
        <v>121</v>
      </c>
      <c r="H30" s="318"/>
      <c r="I30" s="305"/>
      <c r="J30" s="281"/>
      <c r="K30" s="270"/>
      <c r="L30" s="271" t="s">
        <v>121</v>
      </c>
      <c r="M30" s="267"/>
      <c r="N30" s="267"/>
    </row>
    <row r="31">
      <c r="A31" s="267"/>
      <c r="B31" s="267"/>
      <c r="C31" s="267"/>
      <c r="D31" s="270"/>
      <c r="E31" s="316" t="s">
        <v>124</v>
      </c>
      <c r="F31" s="317" t="s">
        <v>1617</v>
      </c>
      <c r="G31" s="317" t="s">
        <v>121</v>
      </c>
      <c r="H31" s="318"/>
      <c r="I31" s="305"/>
      <c r="J31" s="281"/>
      <c r="K31" s="270"/>
      <c r="L31" s="271" t="s">
        <v>81</v>
      </c>
      <c r="M31" s="267"/>
      <c r="N31" s="267"/>
    </row>
    <row r="32">
      <c r="A32" s="267"/>
      <c r="B32" s="267"/>
      <c r="C32" s="267"/>
      <c r="D32" s="270"/>
      <c r="E32" s="316" t="s">
        <v>129</v>
      </c>
      <c r="F32" s="317" t="s">
        <v>130</v>
      </c>
      <c r="G32" s="317" t="s">
        <v>81</v>
      </c>
      <c r="H32" s="318"/>
      <c r="I32" s="305"/>
      <c r="J32" s="267"/>
      <c r="K32" s="270"/>
      <c r="L32" s="271" t="s">
        <v>82</v>
      </c>
      <c r="M32" s="267"/>
      <c r="N32" s="267"/>
    </row>
    <row r="33">
      <c r="A33" s="267"/>
      <c r="B33" s="267"/>
      <c r="C33" s="267"/>
      <c r="D33" s="270"/>
      <c r="E33" s="316" t="s">
        <v>134</v>
      </c>
      <c r="F33" s="319" t="s">
        <v>135</v>
      </c>
      <c r="G33" s="317" t="s">
        <v>81</v>
      </c>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s>
  <printOptions/>
  <pageMargins bottom="0.787401575" footer="0.0" header="0.0" left="0.511811024" right="0.511811024" top="0.7874015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5"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267" t="s">
        <v>1625</v>
      </c>
      <c r="C4" s="267"/>
      <c r="D4" s="267"/>
      <c r="E4" s="267"/>
      <c r="F4" s="267"/>
      <c r="G4" s="267"/>
      <c r="H4" s="267"/>
      <c r="I4" s="270"/>
      <c r="J4" s="271" t="s">
        <v>0</v>
      </c>
      <c r="K4" s="267"/>
      <c r="L4" s="267"/>
      <c r="M4" s="332" t="b">
        <v>1</v>
      </c>
      <c r="N4" s="267"/>
    </row>
    <row r="5" ht="23.25" customHeight="1">
      <c r="A5" s="267"/>
      <c r="B5" s="272" t="s">
        <v>1467</v>
      </c>
      <c r="G5" s="267"/>
      <c r="H5" s="267"/>
      <c r="I5" s="270"/>
      <c r="J5" s="271" t="s">
        <v>1</v>
      </c>
      <c r="K5" s="267"/>
      <c r="L5" s="267"/>
      <c r="M5" s="331" t="b">
        <v>0</v>
      </c>
      <c r="N5" s="267"/>
    </row>
    <row r="6" ht="23.25" customHeight="1">
      <c r="A6" s="267"/>
      <c r="G6" s="267"/>
      <c r="H6" s="267"/>
      <c r="I6" s="270"/>
      <c r="J6" s="271" t="s">
        <v>2</v>
      </c>
      <c r="K6" s="267"/>
      <c r="L6" s="267"/>
      <c r="M6" s="331"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c r="A11" s="267"/>
      <c r="B11" s="273" t="s">
        <v>95</v>
      </c>
      <c r="C11" s="267"/>
      <c r="D11" s="270"/>
      <c r="E11" s="303" t="s">
        <v>1626</v>
      </c>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t="s">
        <v>99</v>
      </c>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ht="51.0" customHeight="1">
      <c r="A15" s="267"/>
      <c r="B15" s="273" t="s">
        <v>101</v>
      </c>
      <c r="C15" s="267"/>
      <c r="D15" s="270"/>
      <c r="E15" s="326" t="s">
        <v>1627</v>
      </c>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03" t="s">
        <v>102</v>
      </c>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26" t="s">
        <v>1628</v>
      </c>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t="s">
        <v>108</v>
      </c>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ht="39.75" customHeight="1">
      <c r="A23" s="267"/>
      <c r="B23" s="273" t="s">
        <v>112</v>
      </c>
      <c r="C23" s="267"/>
      <c r="D23" s="270"/>
      <c r="E23" s="326" t="s">
        <v>1629</v>
      </c>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26" t="s">
        <v>1630</v>
      </c>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t="s">
        <v>1624</v>
      </c>
      <c r="F28" s="317" t="s">
        <v>127</v>
      </c>
      <c r="G28" s="317" t="s">
        <v>121</v>
      </c>
      <c r="H28" s="318"/>
      <c r="I28" s="305"/>
      <c r="J28" s="281"/>
      <c r="K28" s="270"/>
      <c r="L28" s="271" t="s">
        <v>77</v>
      </c>
      <c r="M28" s="306" t="s">
        <v>97</v>
      </c>
      <c r="N28" s="267"/>
    </row>
    <row r="29">
      <c r="A29" s="267"/>
      <c r="D29" s="270"/>
      <c r="E29" s="316" t="s">
        <v>132</v>
      </c>
      <c r="F29" s="317" t="s">
        <v>127</v>
      </c>
      <c r="G29" s="317" t="s">
        <v>81</v>
      </c>
      <c r="H29" s="318"/>
      <c r="I29" s="305"/>
      <c r="J29" s="281"/>
      <c r="K29" s="270"/>
      <c r="L29" s="271" t="s">
        <v>79</v>
      </c>
      <c r="M29" s="267"/>
      <c r="N29" s="267"/>
    </row>
    <row r="30">
      <c r="A30" s="267"/>
      <c r="B30" s="267"/>
      <c r="C30" s="267"/>
      <c r="D30" s="270"/>
      <c r="E30" s="316"/>
      <c r="F30" s="317"/>
      <c r="G30" s="317"/>
      <c r="H30" s="318"/>
      <c r="I30" s="305"/>
      <c r="J30" s="281"/>
      <c r="K30" s="270"/>
      <c r="L30" s="271" t="s">
        <v>121</v>
      </c>
      <c r="M30" s="267"/>
      <c r="N30" s="267"/>
    </row>
    <row r="31">
      <c r="A31" s="267"/>
      <c r="B31" s="267"/>
      <c r="C31" s="267"/>
      <c r="D31" s="270"/>
      <c r="E31" s="316"/>
      <c r="F31" s="317"/>
      <c r="G31" s="317"/>
      <c r="H31" s="318"/>
      <c r="I31" s="305"/>
      <c r="J31" s="281"/>
      <c r="K31" s="270"/>
      <c r="L31" s="271" t="s">
        <v>81</v>
      </c>
      <c r="M31" s="267"/>
      <c r="N31" s="267"/>
    </row>
    <row r="32">
      <c r="A32" s="267"/>
      <c r="B32" s="267"/>
      <c r="C32" s="267"/>
      <c r="D32" s="270"/>
      <c r="E32" s="316"/>
      <c r="F32" s="317"/>
      <c r="G32" s="317"/>
      <c r="H32" s="318"/>
      <c r="I32" s="305"/>
      <c r="J32" s="267"/>
      <c r="K32" s="270"/>
      <c r="L32" s="271" t="s">
        <v>82</v>
      </c>
      <c r="M32" s="267"/>
      <c r="N32" s="267"/>
    </row>
    <row r="33">
      <c r="A33" s="267"/>
      <c r="B33" s="267"/>
      <c r="C33" s="267"/>
      <c r="D33" s="270"/>
      <c r="E33" s="316"/>
      <c r="F33" s="319"/>
      <c r="G33" s="317"/>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s>
  <printOptions/>
  <pageMargins bottom="0.787401575" footer="0.0" header="0.0" left="0.511811024" right="0.511811024" top="0.7874015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5"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267" t="s">
        <v>1631</v>
      </c>
      <c r="C4" s="267"/>
      <c r="D4" s="267"/>
      <c r="E4" s="267"/>
      <c r="F4" s="267"/>
      <c r="G4" s="267"/>
      <c r="H4" s="267"/>
      <c r="I4" s="270"/>
      <c r="J4" s="271" t="s">
        <v>0</v>
      </c>
      <c r="K4" s="267"/>
      <c r="L4" s="267"/>
      <c r="M4" s="331"/>
      <c r="N4" s="267"/>
    </row>
    <row r="5" ht="23.25" customHeight="1">
      <c r="A5" s="267"/>
      <c r="B5" s="272" t="s">
        <v>1467</v>
      </c>
      <c r="G5" s="267"/>
      <c r="H5" s="267"/>
      <c r="I5" s="270"/>
      <c r="J5" s="271" t="s">
        <v>1</v>
      </c>
      <c r="K5" s="267"/>
      <c r="L5" s="267"/>
      <c r="M5" s="331"/>
      <c r="N5" s="267"/>
    </row>
    <row r="6" ht="23.25" customHeight="1">
      <c r="A6" s="267"/>
      <c r="G6" s="267"/>
      <c r="H6" s="267"/>
      <c r="I6" s="270"/>
      <c r="J6" s="271" t="s">
        <v>2</v>
      </c>
      <c r="K6" s="267"/>
      <c r="L6" s="267"/>
      <c r="M6" s="331"/>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c r="A11" s="267"/>
      <c r="B11" s="273" t="s">
        <v>95</v>
      </c>
      <c r="C11" s="267"/>
      <c r="D11" s="270"/>
      <c r="E11" s="303" t="s">
        <v>1632</v>
      </c>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t="s">
        <v>99</v>
      </c>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ht="51.0" customHeight="1">
      <c r="A15" s="267"/>
      <c r="B15" s="273" t="s">
        <v>101</v>
      </c>
      <c r="C15" s="267"/>
      <c r="D15" s="270"/>
      <c r="E15" s="326" t="s">
        <v>1633</v>
      </c>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03" t="s">
        <v>102</v>
      </c>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26" t="s">
        <v>1634</v>
      </c>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t="s">
        <v>108</v>
      </c>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ht="39.75" customHeight="1">
      <c r="A23" s="267"/>
      <c r="B23" s="273" t="s">
        <v>112</v>
      </c>
      <c r="C23" s="267"/>
      <c r="D23" s="270"/>
      <c r="E23" s="326" t="s">
        <v>1635</v>
      </c>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26" t="s">
        <v>1636</v>
      </c>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t="s">
        <v>1624</v>
      </c>
      <c r="F28" s="317" t="s">
        <v>127</v>
      </c>
      <c r="G28" s="317" t="s">
        <v>121</v>
      </c>
      <c r="H28" s="318"/>
      <c r="I28" s="305"/>
      <c r="J28" s="281"/>
      <c r="K28" s="270"/>
      <c r="L28" s="271" t="s">
        <v>77</v>
      </c>
      <c r="M28" s="306" t="s">
        <v>97</v>
      </c>
      <c r="N28" s="267"/>
    </row>
    <row r="29">
      <c r="A29" s="267"/>
      <c r="D29" s="270"/>
      <c r="E29" s="316" t="s">
        <v>131</v>
      </c>
      <c r="F29" s="317" t="s">
        <v>120</v>
      </c>
      <c r="G29" s="317" t="s">
        <v>79</v>
      </c>
      <c r="H29" s="318"/>
      <c r="I29" s="305"/>
      <c r="J29" s="281"/>
      <c r="K29" s="270"/>
      <c r="L29" s="271" t="s">
        <v>79</v>
      </c>
      <c r="M29" s="267"/>
      <c r="N29" s="267"/>
    </row>
    <row r="30">
      <c r="A30" s="267"/>
      <c r="B30" s="267"/>
      <c r="C30" s="267"/>
      <c r="D30" s="270"/>
      <c r="E30" s="316" t="s">
        <v>1513</v>
      </c>
      <c r="F30" s="317" t="s">
        <v>1637</v>
      </c>
      <c r="G30" s="317" t="s">
        <v>121</v>
      </c>
      <c r="H30" s="318"/>
      <c r="I30" s="305"/>
      <c r="J30" s="281"/>
      <c r="K30" s="270"/>
      <c r="L30" s="271" t="s">
        <v>121</v>
      </c>
      <c r="M30" s="267"/>
      <c r="N30" s="267"/>
    </row>
    <row r="31">
      <c r="A31" s="267"/>
      <c r="B31" s="267"/>
      <c r="C31" s="267"/>
      <c r="D31" s="270"/>
      <c r="E31" s="316" t="s">
        <v>1638</v>
      </c>
      <c r="F31" s="317" t="s">
        <v>1639</v>
      </c>
      <c r="G31" s="317" t="s">
        <v>121</v>
      </c>
      <c r="H31" s="318"/>
      <c r="I31" s="305"/>
      <c r="J31" s="281"/>
      <c r="K31" s="270"/>
      <c r="L31" s="271" t="s">
        <v>81</v>
      </c>
      <c r="M31" s="267"/>
      <c r="N31" s="267"/>
    </row>
    <row r="32">
      <c r="A32" s="267"/>
      <c r="B32" s="267"/>
      <c r="C32" s="267"/>
      <c r="D32" s="270"/>
      <c r="E32" s="316"/>
      <c r="F32" s="317"/>
      <c r="G32" s="317"/>
      <c r="H32" s="318"/>
      <c r="I32" s="305"/>
      <c r="J32" s="267"/>
      <c r="K32" s="270"/>
      <c r="L32" s="271" t="s">
        <v>82</v>
      </c>
      <c r="M32" s="267"/>
      <c r="N32" s="267"/>
    </row>
    <row r="33">
      <c r="A33" s="267"/>
      <c r="B33" s="267"/>
      <c r="C33" s="267"/>
      <c r="D33" s="270"/>
      <c r="E33" s="316"/>
      <c r="F33" s="319"/>
      <c r="G33" s="317"/>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s>
  <printOptions/>
  <pageMargins bottom="0.787401575" footer="0.0" header="0.0" left="0.511811024" right="0.511811024" top="0.7874015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45"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267" t="s">
        <v>1640</v>
      </c>
      <c r="C4" s="267"/>
      <c r="D4" s="267"/>
      <c r="E4" s="267"/>
      <c r="F4" s="267"/>
      <c r="G4" s="267"/>
      <c r="H4" s="267"/>
      <c r="I4" s="270"/>
      <c r="J4" s="271" t="s">
        <v>0</v>
      </c>
      <c r="K4" s="267"/>
      <c r="L4" s="267"/>
      <c r="M4" s="331"/>
      <c r="N4" s="267"/>
    </row>
    <row r="5" ht="23.25" customHeight="1">
      <c r="A5" s="267"/>
      <c r="B5" s="272" t="s">
        <v>1467</v>
      </c>
      <c r="G5" s="267"/>
      <c r="H5" s="267"/>
      <c r="I5" s="270"/>
      <c r="J5" s="271" t="s">
        <v>1</v>
      </c>
      <c r="K5" s="267"/>
      <c r="L5" s="267"/>
      <c r="M5" s="331"/>
      <c r="N5" s="267"/>
    </row>
    <row r="6" ht="23.25" customHeight="1">
      <c r="A6" s="267"/>
      <c r="G6" s="267"/>
      <c r="H6" s="267"/>
      <c r="I6" s="270"/>
      <c r="J6" s="271" t="s">
        <v>2</v>
      </c>
      <c r="K6" s="267"/>
      <c r="L6" s="267"/>
      <c r="M6" s="331"/>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c r="A11" s="267"/>
      <c r="B11" s="273" t="s">
        <v>95</v>
      </c>
      <c r="C11" s="267"/>
      <c r="D11" s="270"/>
      <c r="E11" s="303" t="s">
        <v>1641</v>
      </c>
      <c r="F11" s="304"/>
      <c r="G11" s="305"/>
      <c r="H11" s="267"/>
      <c r="I11" s="267"/>
      <c r="J11" s="267"/>
      <c r="K11" s="267"/>
      <c r="L11" s="267"/>
      <c r="M11" s="267"/>
      <c r="N11" s="267"/>
    </row>
    <row r="12">
      <c r="A12" s="267"/>
      <c r="B12" s="267"/>
      <c r="C12" s="267"/>
      <c r="D12" s="267"/>
      <c r="E12" s="267"/>
      <c r="F12" s="267"/>
      <c r="G12" s="267"/>
      <c r="H12" s="267"/>
      <c r="I12" s="270"/>
      <c r="J12" s="271" t="s">
        <v>96</v>
      </c>
      <c r="K12" s="271"/>
      <c r="L12" s="271"/>
      <c r="M12" s="306" t="s">
        <v>97</v>
      </c>
      <c r="N12" s="267"/>
    </row>
    <row r="13">
      <c r="A13" s="267"/>
      <c r="B13" s="273" t="s">
        <v>98</v>
      </c>
      <c r="C13" s="267"/>
      <c r="D13" s="270"/>
      <c r="E13" s="303" t="s">
        <v>99</v>
      </c>
      <c r="F13" s="305"/>
      <c r="G13" s="307"/>
      <c r="H13" s="267"/>
      <c r="I13" s="270"/>
      <c r="J13" s="271" t="s">
        <v>99</v>
      </c>
      <c r="K13" s="271"/>
      <c r="L13" s="271"/>
      <c r="M13" s="306" t="s">
        <v>97</v>
      </c>
      <c r="N13" s="267"/>
    </row>
    <row r="14">
      <c r="A14" s="267"/>
      <c r="B14" s="267"/>
      <c r="C14" s="267"/>
      <c r="D14" s="267"/>
      <c r="E14" s="267"/>
      <c r="F14" s="267"/>
      <c r="G14" s="267"/>
      <c r="H14" s="267"/>
      <c r="I14" s="270"/>
      <c r="J14" s="271" t="s">
        <v>100</v>
      </c>
      <c r="K14" s="271"/>
      <c r="L14" s="271"/>
      <c r="M14" s="306" t="s">
        <v>97</v>
      </c>
      <c r="N14" s="267"/>
    </row>
    <row r="15" ht="51.0" customHeight="1">
      <c r="A15" s="267"/>
      <c r="B15" s="273" t="s">
        <v>101</v>
      </c>
      <c r="C15" s="267"/>
      <c r="D15" s="270"/>
      <c r="E15" s="326" t="s">
        <v>1642</v>
      </c>
      <c r="F15" s="304"/>
      <c r="G15" s="305"/>
      <c r="H15" s="308"/>
      <c r="I15" s="308"/>
      <c r="J15" s="309"/>
      <c r="K15" s="309"/>
      <c r="L15" s="309"/>
      <c r="M15" s="309"/>
      <c r="N15" s="267"/>
    </row>
    <row r="16">
      <c r="A16" s="267"/>
      <c r="B16" s="267"/>
      <c r="C16" s="267"/>
      <c r="D16" s="267"/>
      <c r="E16" s="267"/>
      <c r="F16" s="267"/>
      <c r="G16" s="267"/>
      <c r="H16" s="267"/>
      <c r="I16" s="270"/>
      <c r="J16" s="271" t="s">
        <v>102</v>
      </c>
      <c r="K16" s="271"/>
      <c r="L16" s="271"/>
      <c r="M16" s="306" t="s">
        <v>97</v>
      </c>
      <c r="N16" s="267"/>
    </row>
    <row r="17">
      <c r="A17" s="267"/>
      <c r="B17" s="273" t="s">
        <v>103</v>
      </c>
      <c r="C17" s="267"/>
      <c r="D17" s="270"/>
      <c r="E17" s="303" t="s">
        <v>102</v>
      </c>
      <c r="F17" s="305"/>
      <c r="G17" s="307"/>
      <c r="H17" s="267"/>
      <c r="I17" s="270"/>
      <c r="J17" s="271" t="s">
        <v>104</v>
      </c>
      <c r="K17" s="271"/>
      <c r="L17" s="271"/>
      <c r="M17" s="306" t="s">
        <v>97</v>
      </c>
      <c r="N17" s="267"/>
    </row>
    <row r="18">
      <c r="A18" s="267"/>
      <c r="B18" s="281"/>
      <c r="C18" s="282"/>
      <c r="D18" s="282"/>
      <c r="E18" s="282"/>
      <c r="F18" s="267"/>
      <c r="G18" s="267"/>
      <c r="H18" s="267"/>
      <c r="I18" s="270"/>
      <c r="J18" s="310" t="s">
        <v>105</v>
      </c>
      <c r="K18" s="310"/>
      <c r="L18" s="310"/>
      <c r="M18" s="311" t="s">
        <v>97</v>
      </c>
      <c r="N18" s="267"/>
    </row>
    <row r="19" ht="29.25" customHeight="1">
      <c r="A19" s="267"/>
      <c r="B19" s="273" t="s">
        <v>106</v>
      </c>
      <c r="C19" s="267"/>
      <c r="D19" s="270"/>
      <c r="E19" s="326" t="s">
        <v>1643</v>
      </c>
      <c r="F19" s="304"/>
      <c r="G19" s="305"/>
      <c r="H19" s="267"/>
      <c r="I19" s="267"/>
      <c r="J19" s="312" t="s">
        <v>107</v>
      </c>
      <c r="N19" s="267"/>
    </row>
    <row r="20">
      <c r="A20" s="267"/>
      <c r="B20" s="267"/>
      <c r="C20" s="267"/>
      <c r="D20" s="267"/>
      <c r="E20" s="267"/>
      <c r="F20" s="267"/>
      <c r="G20" s="267"/>
      <c r="H20" s="267"/>
      <c r="I20" s="270"/>
      <c r="J20" s="271" t="s">
        <v>108</v>
      </c>
      <c r="K20" s="271"/>
      <c r="L20" s="271"/>
      <c r="M20" s="306" t="s">
        <v>97</v>
      </c>
      <c r="N20" s="267"/>
    </row>
    <row r="21">
      <c r="A21" s="267"/>
      <c r="B21" s="273" t="s">
        <v>109</v>
      </c>
      <c r="C21" s="267"/>
      <c r="D21" s="270"/>
      <c r="E21" s="303" t="s">
        <v>108</v>
      </c>
      <c r="F21" s="305"/>
      <c r="G21" s="307"/>
      <c r="H21" s="267"/>
      <c r="I21" s="270"/>
      <c r="J21" s="271" t="s">
        <v>110</v>
      </c>
      <c r="K21" s="271"/>
      <c r="L21" s="271"/>
      <c r="M21" s="306" t="s">
        <v>97</v>
      </c>
      <c r="N21" s="267"/>
    </row>
    <row r="22">
      <c r="A22" s="267"/>
      <c r="B22" s="267"/>
      <c r="C22" s="267"/>
      <c r="D22" s="267"/>
      <c r="E22" s="267"/>
      <c r="F22" s="267"/>
      <c r="G22" s="267"/>
      <c r="H22" s="267"/>
      <c r="I22" s="270"/>
      <c r="J22" s="271" t="s">
        <v>111</v>
      </c>
      <c r="K22" s="271"/>
      <c r="L22" s="271"/>
      <c r="M22" s="306" t="s">
        <v>97</v>
      </c>
      <c r="N22" s="267"/>
    </row>
    <row r="23" ht="39.75" customHeight="1">
      <c r="A23" s="267"/>
      <c r="B23" s="273" t="s">
        <v>112</v>
      </c>
      <c r="C23" s="267"/>
      <c r="D23" s="270"/>
      <c r="E23" s="326" t="s">
        <v>1644</v>
      </c>
      <c r="F23" s="304"/>
      <c r="G23" s="305"/>
      <c r="H23" s="267"/>
      <c r="I23" s="267"/>
      <c r="J23" s="267"/>
      <c r="K23" s="267"/>
      <c r="L23" s="267"/>
      <c r="M23" s="267"/>
      <c r="N23" s="267"/>
    </row>
    <row r="24">
      <c r="A24" s="267"/>
      <c r="B24" s="267"/>
      <c r="C24" s="267"/>
      <c r="D24" s="267"/>
      <c r="E24" s="267"/>
      <c r="F24" s="267"/>
      <c r="G24" s="267"/>
      <c r="H24" s="267"/>
      <c r="I24" s="267"/>
      <c r="J24" s="267"/>
      <c r="K24" s="267"/>
      <c r="L24" s="267"/>
      <c r="M24" s="267"/>
      <c r="N24" s="267"/>
    </row>
    <row r="25" ht="41.25" customHeight="1">
      <c r="A25" s="267"/>
      <c r="B25" s="273" t="s">
        <v>113</v>
      </c>
      <c r="C25" s="267"/>
      <c r="D25" s="270"/>
      <c r="E25" s="326" t="s">
        <v>1645</v>
      </c>
      <c r="F25" s="304"/>
      <c r="G25" s="304"/>
      <c r="H25" s="304"/>
      <c r="I25" s="304"/>
      <c r="J25" s="304"/>
      <c r="K25" s="304"/>
      <c r="L25" s="305"/>
      <c r="M25" s="267"/>
      <c r="N25" s="267"/>
    </row>
    <row r="26">
      <c r="A26" s="267"/>
      <c r="B26" s="267"/>
      <c r="C26" s="267"/>
      <c r="D26" s="267"/>
      <c r="E26" s="267"/>
      <c r="F26" s="267"/>
      <c r="G26" s="267"/>
      <c r="H26" s="267"/>
      <c r="I26" s="267"/>
      <c r="J26" s="267"/>
      <c r="K26" s="267"/>
      <c r="L26" s="267"/>
      <c r="M26" s="267"/>
      <c r="N26" s="267"/>
    </row>
    <row r="27">
      <c r="A27" s="267"/>
      <c r="B27" s="273" t="s">
        <v>114</v>
      </c>
      <c r="C27" s="267"/>
      <c r="D27" s="270"/>
      <c r="E27" s="313" t="s">
        <v>163</v>
      </c>
      <c r="F27" s="314" t="s">
        <v>1474</v>
      </c>
      <c r="G27" s="313" t="s">
        <v>117</v>
      </c>
      <c r="H27" s="315" t="s">
        <v>118</v>
      </c>
      <c r="I27" s="104"/>
      <c r="J27" s="281"/>
      <c r="K27" s="281"/>
      <c r="L27" s="307"/>
      <c r="M27" s="267"/>
      <c r="N27" s="267"/>
    </row>
    <row r="28">
      <c r="A28" s="267"/>
      <c r="B28" s="294" t="s">
        <v>366</v>
      </c>
      <c r="D28" s="270"/>
      <c r="E28" s="316" t="s">
        <v>1624</v>
      </c>
      <c r="F28" s="317" t="s">
        <v>127</v>
      </c>
      <c r="G28" s="317" t="s">
        <v>121</v>
      </c>
      <c r="H28" s="318"/>
      <c r="I28" s="305"/>
      <c r="J28" s="281"/>
      <c r="K28" s="270"/>
      <c r="L28" s="271" t="s">
        <v>77</v>
      </c>
      <c r="M28" s="306" t="s">
        <v>97</v>
      </c>
      <c r="N28" s="267"/>
    </row>
    <row r="29">
      <c r="A29" s="267"/>
      <c r="D29" s="270"/>
      <c r="E29" s="316"/>
      <c r="F29" s="317"/>
      <c r="G29" s="317"/>
      <c r="H29" s="318"/>
      <c r="I29" s="305"/>
      <c r="J29" s="281"/>
      <c r="K29" s="270"/>
      <c r="L29" s="271" t="s">
        <v>79</v>
      </c>
      <c r="M29" s="267"/>
      <c r="N29" s="267"/>
    </row>
    <row r="30">
      <c r="A30" s="267"/>
      <c r="B30" s="267"/>
      <c r="C30" s="267"/>
      <c r="D30" s="270"/>
      <c r="E30" s="316"/>
      <c r="F30" s="317"/>
      <c r="G30" s="317"/>
      <c r="H30" s="318"/>
      <c r="I30" s="305"/>
      <c r="J30" s="281"/>
      <c r="K30" s="270"/>
      <c r="L30" s="271" t="s">
        <v>121</v>
      </c>
      <c r="M30" s="267"/>
      <c r="N30" s="267"/>
    </row>
    <row r="31">
      <c r="A31" s="267"/>
      <c r="B31" s="267"/>
      <c r="C31" s="267"/>
      <c r="D31" s="270"/>
      <c r="E31" s="316"/>
      <c r="F31" s="317"/>
      <c r="G31" s="317"/>
      <c r="H31" s="318"/>
      <c r="I31" s="305"/>
      <c r="J31" s="281"/>
      <c r="K31" s="270"/>
      <c r="L31" s="271" t="s">
        <v>81</v>
      </c>
      <c r="M31" s="267"/>
      <c r="N31" s="267"/>
    </row>
    <row r="32">
      <c r="A32" s="267"/>
      <c r="B32" s="267"/>
      <c r="C32" s="267"/>
      <c r="D32" s="270"/>
      <c r="E32" s="316"/>
      <c r="F32" s="317"/>
      <c r="G32" s="317"/>
      <c r="H32" s="318"/>
      <c r="I32" s="305"/>
      <c r="J32" s="267"/>
      <c r="K32" s="270"/>
      <c r="L32" s="271" t="s">
        <v>82</v>
      </c>
      <c r="M32" s="267"/>
      <c r="N32" s="267"/>
    </row>
    <row r="33">
      <c r="A33" s="267"/>
      <c r="B33" s="267"/>
      <c r="C33" s="267"/>
      <c r="D33" s="270"/>
      <c r="E33" s="316"/>
      <c r="F33" s="319"/>
      <c r="G33" s="317"/>
      <c r="H33" s="318"/>
      <c r="I33" s="305"/>
      <c r="J33" s="267"/>
      <c r="K33" s="267"/>
      <c r="L33" s="267"/>
      <c r="M33" s="26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s>
  <printOptions/>
  <pageMargins bottom="0.787401575" footer="0.0" header="0.0" left="0.511811024" right="0.511811024" top="0.7874015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sheetViews>
  <sheetFormatPr customHeight="1" defaultColWidth="12.63" defaultRowHeight="15.75"/>
  <cols>
    <col customWidth="1" min="1" max="1" width="2.25"/>
    <col customWidth="1" min="2" max="2" width="14.38"/>
    <col customWidth="1" min="3" max="3" width="7.25"/>
    <col customWidth="1" min="4" max="4" width="2.25"/>
    <col customWidth="1" min="5" max="5" width="21.63"/>
    <col customWidth="1" min="6" max="7" width="14.38"/>
    <col customWidth="1" min="8" max="9" width="2.25"/>
    <col customWidth="1" min="10" max="10" width="7.25"/>
    <col customWidth="1" min="11" max="11" width="2.25"/>
    <col customWidth="1" min="12" max="12" width="14.38"/>
    <col customWidth="1" min="13" max="13" width="3.0"/>
    <col customWidth="1" min="14" max="14" width="3.13"/>
    <col customWidth="1" min="15" max="32" width="14.38"/>
  </cols>
  <sheetData>
    <row r="1" ht="11.25" customHeight="1">
      <c r="A1" s="267"/>
      <c r="B1" s="267"/>
      <c r="C1" s="267"/>
      <c r="D1" s="267"/>
      <c r="E1" s="267"/>
      <c r="F1" s="267"/>
      <c r="G1" s="267"/>
      <c r="H1" s="267"/>
      <c r="I1" s="267"/>
      <c r="J1" s="267"/>
      <c r="K1" s="267"/>
      <c r="L1" s="267"/>
      <c r="M1" s="267"/>
      <c r="N1" s="267"/>
    </row>
    <row r="2">
      <c r="A2" s="267"/>
      <c r="B2" s="268" t="s">
        <v>89</v>
      </c>
      <c r="C2" s="267"/>
      <c r="D2" s="267"/>
      <c r="E2" s="267"/>
      <c r="F2" s="267"/>
      <c r="G2" s="267"/>
      <c r="H2" s="267"/>
      <c r="I2" s="267"/>
      <c r="J2" s="267"/>
      <c r="K2" s="267"/>
      <c r="L2" s="267"/>
      <c r="M2" s="267"/>
      <c r="N2" s="267"/>
    </row>
    <row r="3">
      <c r="A3" s="267"/>
      <c r="B3" s="269" t="s">
        <v>90</v>
      </c>
      <c r="C3" s="267"/>
      <c r="D3" s="267"/>
      <c r="E3" s="267"/>
      <c r="F3" s="267"/>
      <c r="G3" s="267"/>
      <c r="N3" s="267"/>
    </row>
    <row r="4">
      <c r="A4" s="267"/>
      <c r="B4" s="82" t="s">
        <v>1646</v>
      </c>
      <c r="C4" s="267"/>
      <c r="D4" s="267"/>
      <c r="E4" s="267"/>
      <c r="F4" s="267"/>
      <c r="G4" s="267"/>
      <c r="H4" s="267"/>
      <c r="I4" s="270"/>
      <c r="J4" s="271" t="s">
        <v>0</v>
      </c>
      <c r="K4" s="267"/>
      <c r="L4" s="267"/>
      <c r="M4" s="85" t="b">
        <v>1</v>
      </c>
      <c r="N4" s="267"/>
    </row>
    <row r="5" ht="23.25" customHeight="1">
      <c r="A5" s="267"/>
      <c r="B5" s="272" t="s">
        <v>1467</v>
      </c>
      <c r="G5" s="267"/>
      <c r="H5" s="267"/>
      <c r="I5" s="270"/>
      <c r="J5" s="271" t="s">
        <v>1</v>
      </c>
      <c r="K5" s="267"/>
      <c r="L5" s="267"/>
      <c r="M5" s="85" t="b">
        <v>0</v>
      </c>
      <c r="N5" s="267"/>
    </row>
    <row r="6" ht="23.25" customHeight="1">
      <c r="A6" s="267"/>
      <c r="G6" s="267"/>
      <c r="H6" s="267"/>
      <c r="I6" s="270"/>
      <c r="J6" s="271" t="s">
        <v>2</v>
      </c>
      <c r="K6" s="267"/>
      <c r="L6" s="267"/>
      <c r="M6" s="85" t="b">
        <v>0</v>
      </c>
      <c r="N6" s="267"/>
    </row>
    <row r="7">
      <c r="A7" s="267"/>
      <c r="B7" s="267"/>
      <c r="C7" s="267"/>
      <c r="D7" s="267"/>
      <c r="E7" s="267"/>
      <c r="F7" s="267"/>
      <c r="G7" s="267"/>
      <c r="H7" s="267"/>
      <c r="I7" s="267"/>
      <c r="J7" s="271"/>
      <c r="K7" s="267"/>
      <c r="L7" s="267"/>
      <c r="M7" s="267"/>
      <c r="N7" s="267"/>
    </row>
    <row r="8">
      <c r="A8" s="267"/>
      <c r="B8" s="268" t="s">
        <v>152</v>
      </c>
      <c r="C8" s="267"/>
      <c r="D8" s="267"/>
      <c r="E8" s="267"/>
      <c r="F8" s="267"/>
      <c r="G8" s="267"/>
      <c r="H8" s="267"/>
      <c r="N8" s="267"/>
    </row>
    <row r="9">
      <c r="A9" s="267"/>
      <c r="B9" s="269" t="s">
        <v>1468</v>
      </c>
      <c r="C9" s="267"/>
      <c r="D9" s="267"/>
      <c r="E9" s="267"/>
      <c r="F9" s="267"/>
      <c r="G9" s="267"/>
      <c r="H9" s="267"/>
      <c r="I9" s="267"/>
      <c r="J9" s="267"/>
      <c r="K9" s="267"/>
      <c r="L9" s="267"/>
      <c r="M9" s="267"/>
      <c r="N9" s="267"/>
    </row>
    <row r="10">
      <c r="A10" s="267"/>
      <c r="B10" s="267"/>
      <c r="C10" s="267"/>
      <c r="D10" s="267"/>
      <c r="E10" s="267"/>
      <c r="F10" s="267"/>
      <c r="G10" s="267"/>
      <c r="H10" s="267"/>
      <c r="I10" s="267"/>
      <c r="J10" s="267"/>
      <c r="K10" s="267"/>
      <c r="L10" s="267"/>
      <c r="M10" s="267"/>
      <c r="N10" s="267"/>
    </row>
    <row r="11" ht="13.5" customHeight="1">
      <c r="A11" s="267"/>
      <c r="B11" s="273" t="s">
        <v>95</v>
      </c>
      <c r="C11" s="267"/>
      <c r="D11" s="270"/>
      <c r="E11" s="333" t="s">
        <v>1632</v>
      </c>
      <c r="F11" s="275"/>
      <c r="G11" s="276"/>
      <c r="H11" s="277"/>
      <c r="I11" s="277"/>
      <c r="J11" s="277"/>
      <c r="K11" s="277"/>
      <c r="L11" s="277"/>
      <c r="M11" s="277"/>
      <c r="N11" s="267"/>
    </row>
    <row r="12">
      <c r="A12" s="267"/>
      <c r="B12" s="267"/>
      <c r="C12" s="267"/>
      <c r="D12" s="267"/>
      <c r="E12" s="277"/>
      <c r="F12" s="277"/>
      <c r="G12" s="277"/>
      <c r="H12" s="278"/>
      <c r="I12" s="277"/>
      <c r="J12" s="334" t="s">
        <v>96</v>
      </c>
      <c r="K12" s="277"/>
      <c r="L12" s="277"/>
      <c r="M12" s="280" t="s">
        <v>97</v>
      </c>
      <c r="N12" s="267"/>
    </row>
    <row r="13">
      <c r="A13" s="267"/>
      <c r="B13" s="273" t="s">
        <v>98</v>
      </c>
      <c r="C13" s="267"/>
      <c r="D13" s="270"/>
      <c r="E13" s="333" t="s">
        <v>99</v>
      </c>
      <c r="F13" s="276"/>
      <c r="G13" s="277"/>
      <c r="H13" s="278"/>
      <c r="I13" s="277"/>
      <c r="J13" s="334" t="s">
        <v>99</v>
      </c>
      <c r="K13" s="277"/>
      <c r="L13" s="277"/>
      <c r="M13" s="280" t="s">
        <v>97</v>
      </c>
      <c r="N13" s="267"/>
    </row>
    <row r="14">
      <c r="A14" s="267"/>
      <c r="B14" s="267"/>
      <c r="C14" s="267"/>
      <c r="D14" s="267"/>
      <c r="E14" s="277"/>
      <c r="F14" s="277"/>
      <c r="G14" s="277"/>
      <c r="H14" s="278"/>
      <c r="I14" s="277"/>
      <c r="J14" s="334" t="s">
        <v>100</v>
      </c>
      <c r="K14" s="277"/>
      <c r="L14" s="277"/>
      <c r="M14" s="280" t="s">
        <v>97</v>
      </c>
      <c r="N14" s="267"/>
    </row>
    <row r="15">
      <c r="A15" s="267"/>
      <c r="B15" s="273" t="s">
        <v>101</v>
      </c>
      <c r="C15" s="267"/>
      <c r="D15" s="270"/>
      <c r="E15" s="333" t="s">
        <v>1647</v>
      </c>
      <c r="F15" s="275"/>
      <c r="G15" s="276"/>
      <c r="H15" s="277"/>
      <c r="I15" s="277"/>
      <c r="J15" s="277"/>
      <c r="K15" s="277"/>
      <c r="L15" s="277"/>
      <c r="M15" s="277"/>
      <c r="N15" s="267"/>
    </row>
    <row r="16">
      <c r="A16" s="267"/>
      <c r="B16" s="267"/>
      <c r="C16" s="267"/>
      <c r="D16" s="267"/>
      <c r="E16" s="277"/>
      <c r="F16" s="277"/>
      <c r="G16" s="277"/>
      <c r="H16" s="278"/>
      <c r="I16" s="277"/>
      <c r="J16" s="334" t="s">
        <v>102</v>
      </c>
      <c r="K16" s="277"/>
      <c r="L16" s="277"/>
      <c r="M16" s="280" t="s">
        <v>97</v>
      </c>
      <c r="N16" s="267"/>
    </row>
    <row r="17">
      <c r="A17" s="267"/>
      <c r="B17" s="273" t="s">
        <v>103</v>
      </c>
      <c r="C17" s="267"/>
      <c r="D17" s="270"/>
      <c r="E17" s="335" t="s">
        <v>102</v>
      </c>
      <c r="F17" s="276"/>
      <c r="G17" s="277"/>
      <c r="H17" s="278"/>
      <c r="I17" s="277"/>
      <c r="J17" s="334" t="s">
        <v>104</v>
      </c>
      <c r="K17" s="277"/>
      <c r="L17" s="277"/>
      <c r="M17" s="280" t="s">
        <v>97</v>
      </c>
      <c r="N17" s="267"/>
    </row>
    <row r="18">
      <c r="A18" s="267"/>
      <c r="B18" s="281"/>
      <c r="C18" s="282"/>
      <c r="D18" s="282"/>
      <c r="E18" s="277"/>
      <c r="F18" s="277"/>
      <c r="G18" s="277"/>
      <c r="H18" s="278"/>
      <c r="I18" s="277"/>
      <c r="J18" s="336" t="s">
        <v>105</v>
      </c>
      <c r="K18" s="284"/>
      <c r="L18" s="284"/>
      <c r="M18" s="285" t="s">
        <v>97</v>
      </c>
      <c r="N18" s="267"/>
    </row>
    <row r="19">
      <c r="A19" s="267"/>
      <c r="B19" s="273" t="s">
        <v>106</v>
      </c>
      <c r="C19" s="267"/>
      <c r="D19" s="270"/>
      <c r="E19" s="333" t="s">
        <v>1648</v>
      </c>
      <c r="F19" s="275"/>
      <c r="G19" s="276"/>
      <c r="H19" s="277"/>
      <c r="I19" s="277"/>
      <c r="J19" s="337" t="s">
        <v>107</v>
      </c>
      <c r="N19" s="267"/>
    </row>
    <row r="20">
      <c r="A20" s="267"/>
      <c r="B20" s="267"/>
      <c r="C20" s="267"/>
      <c r="D20" s="267"/>
      <c r="E20" s="277"/>
      <c r="F20" s="277"/>
      <c r="G20" s="277"/>
      <c r="H20" s="278"/>
      <c r="I20" s="277"/>
      <c r="J20" s="334" t="s">
        <v>108</v>
      </c>
      <c r="K20" s="277"/>
      <c r="L20" s="277"/>
      <c r="M20" s="280" t="s">
        <v>97</v>
      </c>
      <c r="N20" s="267"/>
    </row>
    <row r="21">
      <c r="A21" s="267"/>
      <c r="B21" s="273" t="s">
        <v>109</v>
      </c>
      <c r="C21" s="267"/>
      <c r="D21" s="270"/>
      <c r="E21" s="333" t="s">
        <v>108</v>
      </c>
      <c r="F21" s="276"/>
      <c r="G21" s="277"/>
      <c r="H21" s="278"/>
      <c r="I21" s="277"/>
      <c r="J21" s="334" t="s">
        <v>110</v>
      </c>
      <c r="K21" s="277"/>
      <c r="L21" s="277"/>
      <c r="M21" s="280" t="s">
        <v>97</v>
      </c>
      <c r="N21" s="267"/>
    </row>
    <row r="22">
      <c r="A22" s="267"/>
      <c r="B22" s="267"/>
      <c r="C22" s="267"/>
      <c r="D22" s="267"/>
      <c r="E22" s="277"/>
      <c r="F22" s="277"/>
      <c r="G22" s="277"/>
      <c r="H22" s="278"/>
      <c r="I22" s="277"/>
      <c r="J22" s="334" t="s">
        <v>111</v>
      </c>
      <c r="K22" s="277"/>
      <c r="L22" s="277"/>
      <c r="M22" s="280" t="s">
        <v>97</v>
      </c>
      <c r="N22" s="267"/>
    </row>
    <row r="23">
      <c r="A23" s="267"/>
      <c r="B23" s="273" t="s">
        <v>112</v>
      </c>
      <c r="C23" s="267"/>
      <c r="D23" s="270"/>
      <c r="E23" s="333" t="s">
        <v>1649</v>
      </c>
      <c r="F23" s="275"/>
      <c r="G23" s="276"/>
      <c r="H23" s="277"/>
      <c r="I23" s="277"/>
      <c r="J23" s="277"/>
      <c r="K23" s="277"/>
      <c r="L23" s="277"/>
      <c r="M23" s="277"/>
      <c r="N23" s="267"/>
    </row>
    <row r="24">
      <c r="A24" s="267"/>
      <c r="B24" s="267"/>
      <c r="C24" s="267"/>
      <c r="D24" s="267"/>
      <c r="E24" s="277"/>
      <c r="F24" s="277"/>
      <c r="G24" s="277"/>
      <c r="H24" s="277"/>
      <c r="I24" s="277"/>
      <c r="J24" s="277"/>
      <c r="K24" s="277"/>
      <c r="L24" s="277"/>
      <c r="M24" s="277"/>
      <c r="N24" s="267"/>
    </row>
    <row r="25">
      <c r="A25" s="267"/>
      <c r="B25" s="273" t="s">
        <v>113</v>
      </c>
      <c r="C25" s="267"/>
      <c r="D25" s="270"/>
      <c r="E25" s="333" t="s">
        <v>1650</v>
      </c>
      <c r="F25" s="275"/>
      <c r="G25" s="275"/>
      <c r="H25" s="275"/>
      <c r="I25" s="275"/>
      <c r="J25" s="275"/>
      <c r="K25" s="275"/>
      <c r="L25" s="276"/>
      <c r="M25" s="277"/>
      <c r="N25" s="267"/>
    </row>
    <row r="26">
      <c r="A26" s="267"/>
      <c r="B26" s="267"/>
      <c r="C26" s="267"/>
      <c r="D26" s="267"/>
      <c r="E26" s="288"/>
      <c r="F26" s="288"/>
      <c r="G26" s="288"/>
      <c r="H26" s="288"/>
      <c r="I26" s="288"/>
      <c r="J26" s="277"/>
      <c r="K26" s="277"/>
      <c r="L26" s="277"/>
      <c r="M26" s="277"/>
      <c r="N26" s="267"/>
    </row>
    <row r="27">
      <c r="A27" s="267"/>
      <c r="B27" s="273" t="s">
        <v>114</v>
      </c>
      <c r="C27" s="267"/>
      <c r="D27" s="270"/>
      <c r="E27" s="338" t="s">
        <v>163</v>
      </c>
      <c r="F27" s="339" t="s">
        <v>1474</v>
      </c>
      <c r="G27" s="339" t="s">
        <v>117</v>
      </c>
      <c r="H27" s="340" t="s">
        <v>118</v>
      </c>
      <c r="I27" s="292"/>
      <c r="J27" s="293"/>
      <c r="K27" s="293"/>
      <c r="L27" s="277"/>
      <c r="M27" s="277"/>
      <c r="N27" s="267"/>
    </row>
    <row r="28">
      <c r="A28" s="267"/>
      <c r="B28" s="294" t="s">
        <v>366</v>
      </c>
      <c r="D28" s="270"/>
      <c r="E28" s="341" t="s">
        <v>1624</v>
      </c>
      <c r="F28" s="342" t="s">
        <v>127</v>
      </c>
      <c r="G28" s="341" t="s">
        <v>121</v>
      </c>
      <c r="H28" s="297"/>
      <c r="I28" s="276"/>
      <c r="J28" s="298"/>
      <c r="K28" s="277"/>
      <c r="L28" s="343" t="s">
        <v>77</v>
      </c>
      <c r="M28" s="280" t="s">
        <v>97</v>
      </c>
      <c r="N28" s="267"/>
    </row>
    <row r="29">
      <c r="A29" s="267"/>
      <c r="D29" s="270"/>
      <c r="E29" s="341" t="s">
        <v>131</v>
      </c>
      <c r="F29" s="342" t="s">
        <v>120</v>
      </c>
      <c r="G29" s="341" t="s">
        <v>79</v>
      </c>
      <c r="H29" s="297"/>
      <c r="I29" s="276"/>
      <c r="J29" s="298"/>
      <c r="K29" s="277"/>
      <c r="L29" s="343" t="s">
        <v>79</v>
      </c>
      <c r="M29" s="277"/>
      <c r="N29" s="267"/>
    </row>
    <row r="30">
      <c r="A30" s="267"/>
      <c r="B30" s="267"/>
      <c r="C30" s="267"/>
      <c r="D30" s="270"/>
      <c r="E30" s="341" t="s">
        <v>1513</v>
      </c>
      <c r="F30" s="342" t="s">
        <v>1637</v>
      </c>
      <c r="G30" s="341" t="s">
        <v>121</v>
      </c>
      <c r="H30" s="297"/>
      <c r="I30" s="276"/>
      <c r="J30" s="298"/>
      <c r="K30" s="277"/>
      <c r="L30" s="343" t="s">
        <v>121</v>
      </c>
      <c r="M30" s="277"/>
      <c r="N30" s="267"/>
    </row>
    <row r="31">
      <c r="A31" s="267"/>
      <c r="B31" s="267"/>
      <c r="C31" s="267"/>
      <c r="D31" s="270"/>
      <c r="E31" s="341" t="s">
        <v>1638</v>
      </c>
      <c r="F31" s="342" t="s">
        <v>1639</v>
      </c>
      <c r="G31" s="341" t="s">
        <v>121</v>
      </c>
      <c r="H31" s="297"/>
      <c r="I31" s="276"/>
      <c r="J31" s="298"/>
      <c r="K31" s="277"/>
      <c r="L31" s="343" t="s">
        <v>81</v>
      </c>
      <c r="M31" s="277"/>
      <c r="N31" s="267"/>
    </row>
    <row r="32">
      <c r="A32" s="267"/>
      <c r="B32" s="267"/>
      <c r="C32" s="267"/>
      <c r="D32" s="270"/>
      <c r="E32" s="344"/>
      <c r="F32" s="345"/>
      <c r="G32" s="344"/>
      <c r="H32" s="297"/>
      <c r="I32" s="276"/>
      <c r="J32" s="278"/>
      <c r="K32" s="277"/>
      <c r="L32" s="343" t="s">
        <v>82</v>
      </c>
      <c r="M32" s="277"/>
      <c r="N32" s="267"/>
    </row>
    <row r="33">
      <c r="A33" s="267"/>
      <c r="B33" s="267"/>
      <c r="C33" s="267"/>
      <c r="D33" s="270"/>
      <c r="E33" s="344"/>
      <c r="F33" s="345"/>
      <c r="G33" s="344"/>
      <c r="H33" s="297"/>
      <c r="I33" s="276"/>
      <c r="J33" s="277"/>
      <c r="K33" s="277"/>
      <c r="L33" s="277"/>
      <c r="M33" s="277"/>
      <c r="N33" s="267"/>
    </row>
    <row r="34">
      <c r="A34" s="267"/>
      <c r="B34" s="273"/>
      <c r="C34" s="267"/>
      <c r="D34" s="267"/>
      <c r="E34" s="267"/>
      <c r="F34" s="267"/>
      <c r="G34" s="267"/>
      <c r="H34" s="267"/>
      <c r="I34" s="267"/>
      <c r="J34" s="267"/>
      <c r="K34" s="267"/>
      <c r="L34" s="267"/>
      <c r="M34" s="267"/>
      <c r="N34" s="267"/>
    </row>
    <row r="35">
      <c r="A35" s="267"/>
      <c r="B35" s="273" t="s">
        <v>147</v>
      </c>
      <c r="C35" s="267"/>
      <c r="D35" s="267"/>
      <c r="E35" s="267"/>
      <c r="F35" s="267"/>
      <c r="G35" s="267"/>
      <c r="H35" s="267"/>
      <c r="I35" s="267"/>
      <c r="J35" s="267"/>
      <c r="K35" s="267"/>
      <c r="L35" s="267"/>
      <c r="M35" s="267"/>
      <c r="N35" s="267"/>
    </row>
    <row r="36">
      <c r="A36" s="267"/>
      <c r="B36" s="271" t="s">
        <v>1478</v>
      </c>
      <c r="C36" s="267"/>
      <c r="D36" s="267"/>
      <c r="E36" s="267"/>
      <c r="F36" s="267"/>
      <c r="G36" s="267"/>
      <c r="H36" s="267"/>
      <c r="I36" s="267"/>
      <c r="J36" s="267"/>
      <c r="K36" s="267"/>
      <c r="L36" s="267"/>
      <c r="M36" s="267"/>
      <c r="N36" s="267"/>
    </row>
    <row r="37">
      <c r="A37" s="267"/>
      <c r="B37" s="267"/>
      <c r="C37" s="267"/>
      <c r="D37" s="267"/>
      <c r="E37" s="267"/>
      <c r="F37" s="267"/>
      <c r="G37" s="267"/>
      <c r="H37" s="267"/>
      <c r="I37" s="267"/>
      <c r="J37" s="267"/>
      <c r="K37" s="267"/>
      <c r="L37" s="267"/>
      <c r="M37" s="267"/>
      <c r="N37" s="267"/>
    </row>
    <row r="38">
      <c r="A38" s="267"/>
      <c r="B38" s="267"/>
      <c r="C38" s="267"/>
      <c r="D38" s="267"/>
      <c r="E38" s="267"/>
      <c r="F38" s="267"/>
      <c r="G38" s="267"/>
      <c r="H38" s="267"/>
      <c r="I38" s="267"/>
      <c r="J38" s="267"/>
      <c r="K38" s="267"/>
      <c r="L38" s="267"/>
      <c r="M38" s="267"/>
      <c r="N38" s="267"/>
    </row>
    <row r="39">
      <c r="A39" s="267"/>
      <c r="B39" s="267"/>
      <c r="C39" s="267"/>
      <c r="D39" s="267"/>
      <c r="E39" s="267"/>
      <c r="F39" s="267"/>
      <c r="G39" s="267"/>
      <c r="H39" s="267"/>
      <c r="I39" s="267"/>
      <c r="J39" s="267"/>
      <c r="K39" s="267"/>
      <c r="L39" s="267"/>
      <c r="M39" s="267"/>
      <c r="N39" s="267"/>
    </row>
    <row r="40">
      <c r="A40" s="267"/>
      <c r="B40" s="267"/>
      <c r="C40" s="267"/>
      <c r="D40" s="267"/>
      <c r="E40" s="267"/>
      <c r="F40" s="267"/>
      <c r="G40" s="267"/>
      <c r="H40" s="267"/>
      <c r="I40" s="267"/>
      <c r="J40" s="267"/>
      <c r="K40" s="267"/>
      <c r="L40" s="267"/>
      <c r="M40" s="267"/>
      <c r="N40" s="267"/>
    </row>
    <row r="41">
      <c r="A41" s="267"/>
      <c r="B41" s="267"/>
      <c r="C41" s="267"/>
      <c r="D41" s="267"/>
      <c r="E41" s="267"/>
      <c r="F41" s="267"/>
      <c r="G41" s="267"/>
      <c r="H41" s="267"/>
      <c r="I41" s="267"/>
      <c r="J41" s="267"/>
      <c r="K41" s="267"/>
      <c r="L41" s="267"/>
      <c r="M41" s="267"/>
      <c r="N41" s="267"/>
    </row>
    <row r="42">
      <c r="A42" s="267"/>
      <c r="B42" s="267"/>
      <c r="C42" s="267"/>
      <c r="D42" s="267"/>
      <c r="E42" s="267"/>
      <c r="F42" s="267"/>
      <c r="G42" s="267"/>
      <c r="H42" s="267"/>
      <c r="I42" s="267"/>
      <c r="J42" s="267"/>
      <c r="K42" s="267"/>
      <c r="L42" s="267"/>
      <c r="M42" s="267"/>
      <c r="N42" s="267"/>
    </row>
    <row r="43">
      <c r="A43" s="267"/>
      <c r="B43" s="267"/>
      <c r="C43" s="267"/>
      <c r="D43" s="267"/>
      <c r="E43" s="267"/>
      <c r="F43" s="267"/>
      <c r="G43" s="267"/>
      <c r="H43" s="267"/>
      <c r="I43" s="267"/>
      <c r="J43" s="267"/>
      <c r="K43" s="267"/>
      <c r="L43" s="267"/>
      <c r="M43" s="267"/>
      <c r="N43" s="267"/>
    </row>
    <row r="44">
      <c r="A44" s="267"/>
      <c r="B44" s="267"/>
      <c r="C44" s="267"/>
      <c r="D44" s="267"/>
      <c r="E44" s="267"/>
      <c r="F44" s="267"/>
      <c r="G44" s="267"/>
      <c r="H44" s="267"/>
      <c r="I44" s="267"/>
      <c r="J44" s="267"/>
      <c r="K44" s="267"/>
      <c r="L44" s="267"/>
      <c r="M44" s="267"/>
      <c r="N44" s="267"/>
    </row>
    <row r="45">
      <c r="A45" s="267"/>
      <c r="B45" s="267"/>
      <c r="C45" s="267"/>
      <c r="D45" s="267"/>
      <c r="E45" s="267"/>
      <c r="F45" s="267"/>
      <c r="G45" s="267"/>
      <c r="H45" s="267"/>
      <c r="I45" s="267"/>
      <c r="J45" s="267"/>
      <c r="K45" s="267"/>
      <c r="L45" s="267"/>
      <c r="M45" s="267"/>
      <c r="N45" s="267"/>
    </row>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B5:F6"/>
    <mergeCell ref="E11:G11"/>
    <mergeCell ref="E13:F13"/>
    <mergeCell ref="E15:G15"/>
    <mergeCell ref="E17:F17"/>
    <mergeCell ref="E19:G19"/>
    <mergeCell ref="J19:M19"/>
    <mergeCell ref="H30:I30"/>
    <mergeCell ref="H31:I31"/>
    <mergeCell ref="H32:I32"/>
    <mergeCell ref="H33:I33"/>
    <mergeCell ref="E21:F21"/>
    <mergeCell ref="E23:G23"/>
    <mergeCell ref="E25:L25"/>
    <mergeCell ref="H27:I27"/>
    <mergeCell ref="B28:C29"/>
    <mergeCell ref="H28:I28"/>
    <mergeCell ref="H29:I29"/>
  </mergeCells>
  <dataValidations>
    <dataValidation type="list" allowBlank="1" showInputMessage="1" showErrorMessage="1" prompt="Clique e insira um valor de intervalo Página1!I9:I11" sqref="E17">
      <formula1>$J$16:$J$18</formula1>
    </dataValidation>
    <dataValidation type="list" allowBlank="1" showInputMessage="1" showErrorMessage="1" prompt="Clique e insira um valor de intervalo Página1!I9:I11" sqref="E13">
      <formula1>$J$12:$J$14</formula1>
    </dataValidation>
    <dataValidation type="list" allowBlank="1" showInputMessage="1" showErrorMessage="1" prompt="Clique e insira um valor de intervalo Página1!I9:I11" sqref="E21">
      <formula1>$J$20:$J$22</formula1>
    </dataValidation>
    <dataValidation type="list" allowBlank="1" showInputMessage="1" prompt="Clique e insira um valor de intervalo" sqref="G28:G33">
      <formula1>$L$28:$L$32</formula1>
    </dataValidation>
  </dataValidations>
  <printOptions/>
  <pageMargins bottom="0.787401575" footer="0.0" header="0.0" left="0.511811024" right="0.511811024" top="0.787401575"/>
  <pageSetup orientation="landscape"/>
  <drawing r:id="rId1"/>
</worksheet>
</file>