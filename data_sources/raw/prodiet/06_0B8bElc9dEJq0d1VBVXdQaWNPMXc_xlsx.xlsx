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/>
  <mc:AlternateContent xmlns:mc="http://schemas.openxmlformats.org/markup-compatibility/2006">
    <mc:Choice Requires="x15">
      <x15ac:absPath xmlns:x15ac="http://schemas.microsoft.com/office/spreadsheetml/2010/11/ac" url="C:\Users\mjdde\Google Drive\∑ Projetos\PRODIET NUTRIÇÃO\INOVAÇÃO TECNOLÓGICA\2015\"/>
    </mc:Choice>
  </mc:AlternateContent>
  <bookViews>
    <workbookView xWindow="0" yWindow="465" windowWidth="25605" windowHeight="14325" tabRatio="710" activeTab="5"/>
  </bookViews>
  <sheets>
    <sheet name="Resumo" sheetId="2" r:id="rId1"/>
    <sheet name="Resumo dos Terceiros e MP" sheetId="4" r:id="rId2"/>
    <sheet name="Salário e Custo Hora" sheetId="3" r:id="rId3"/>
    <sheet name="Time Sheet" sheetId="13" r:id="rId4"/>
    <sheet name="Relatório PJ" sheetId="12" r:id="rId5"/>
    <sheet name="Investimentos " sheetId="11" r:id="rId6"/>
    <sheet name="Projetos" sheetId="8" r:id="rId7"/>
    <sheet name="Dias Úteis" sheetId="6" r:id="rId8"/>
    <sheet name="Quadro de pessoal" sheetId="10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5" hidden="1">'Investimentos '!$A$5:$T$72</definedName>
    <definedName name="_xlnm._FilterDatabase" localSheetId="4" hidden="1">'Relatório PJ'!$A$4:$I$43</definedName>
    <definedName name="_xlnm.Print_Area" localSheetId="6">Projetos!$A$1:$H$12</definedName>
    <definedName name="_xlnm.Print_Area" localSheetId="0">Resumo!$A$1:$T$53</definedName>
    <definedName name="_xlnm.Print_Area" localSheetId="1">'Resumo dos Terceiros e MP'!$B$1:$F$4</definedName>
    <definedName name="_xlnm.Print_Area" localSheetId="2">'Salário e Custo Hora'!$B$1:$Q$42</definedName>
  </definedNames>
  <calcPr calcId="171027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3" l="1"/>
  <c r="E7" i="3"/>
  <c r="F7" i="3"/>
  <c r="G7" i="3"/>
  <c r="F24" i="3"/>
  <c r="F21" i="3"/>
  <c r="F31" i="3"/>
  <c r="F40" i="3"/>
  <c r="G8" i="6"/>
  <c r="F41" i="3"/>
  <c r="F42" i="3"/>
  <c r="F34" i="3"/>
  <c r="E6" i="13"/>
  <c r="C22" i="3"/>
  <c r="C32" i="3"/>
  <c r="C23" i="3"/>
  <c r="C33" i="3"/>
  <c r="C24" i="3"/>
  <c r="C34" i="3"/>
  <c r="J6" i="13"/>
  <c r="K6" i="13"/>
  <c r="G24" i="3"/>
  <c r="G21" i="3"/>
  <c r="G31" i="3"/>
  <c r="G40" i="3"/>
  <c r="G9" i="6"/>
  <c r="G41" i="3"/>
  <c r="G42" i="3"/>
  <c r="G34" i="3"/>
  <c r="E7" i="13"/>
  <c r="J7" i="13"/>
  <c r="K7" i="13"/>
  <c r="I24" i="3"/>
  <c r="I21" i="3"/>
  <c r="I31" i="3"/>
  <c r="I40" i="3"/>
  <c r="G11" i="6"/>
  <c r="I41" i="3"/>
  <c r="I42" i="3"/>
  <c r="I34" i="3"/>
  <c r="E8" i="13"/>
  <c r="J8" i="13"/>
  <c r="K8" i="13"/>
  <c r="E9" i="13"/>
  <c r="J9" i="13"/>
  <c r="K9" i="13"/>
  <c r="J24" i="3"/>
  <c r="J21" i="3"/>
  <c r="J31" i="3"/>
  <c r="J40" i="3"/>
  <c r="G12" i="6"/>
  <c r="J41" i="3"/>
  <c r="J42" i="3"/>
  <c r="J34" i="3"/>
  <c r="E10" i="13"/>
  <c r="J10" i="13"/>
  <c r="K10" i="13"/>
  <c r="L24" i="3"/>
  <c r="L21" i="3"/>
  <c r="L31" i="3"/>
  <c r="L40" i="3"/>
  <c r="G14" i="6"/>
  <c r="L41" i="3"/>
  <c r="L42" i="3"/>
  <c r="L34" i="3"/>
  <c r="E11" i="13"/>
  <c r="J11" i="13"/>
  <c r="K11" i="13"/>
  <c r="M24" i="3"/>
  <c r="M21" i="3"/>
  <c r="M31" i="3"/>
  <c r="M40" i="3"/>
  <c r="G15" i="6"/>
  <c r="M41" i="3"/>
  <c r="M42" i="3"/>
  <c r="M34" i="3"/>
  <c r="E12" i="13"/>
  <c r="J12" i="13"/>
  <c r="K12" i="13"/>
  <c r="N24" i="3"/>
  <c r="N21" i="3"/>
  <c r="N31" i="3"/>
  <c r="N40" i="3"/>
  <c r="G16" i="6"/>
  <c r="N41" i="3"/>
  <c r="N42" i="3"/>
  <c r="N34" i="3"/>
  <c r="E13" i="13"/>
  <c r="J13" i="13"/>
  <c r="K13" i="13"/>
  <c r="E14" i="13"/>
  <c r="J14" i="13"/>
  <c r="K14" i="13"/>
  <c r="E15" i="13"/>
  <c r="J15" i="13"/>
  <c r="K15" i="13"/>
  <c r="E16" i="13"/>
  <c r="J16" i="13"/>
  <c r="K16" i="13"/>
  <c r="E17" i="13"/>
  <c r="J17" i="13"/>
  <c r="K17" i="13"/>
  <c r="E18" i="13"/>
  <c r="J18" i="13"/>
  <c r="K18" i="13"/>
  <c r="O24" i="3"/>
  <c r="O21" i="3"/>
  <c r="O31" i="3"/>
  <c r="O40" i="3"/>
  <c r="G17" i="6"/>
  <c r="O41" i="3"/>
  <c r="O42" i="3"/>
  <c r="O34" i="3"/>
  <c r="E19" i="13"/>
  <c r="J19" i="13"/>
  <c r="K19" i="13"/>
  <c r="P24" i="3"/>
  <c r="P21" i="3"/>
  <c r="P31" i="3"/>
  <c r="P40" i="3"/>
  <c r="G18" i="6"/>
  <c r="P41" i="3"/>
  <c r="P42" i="3"/>
  <c r="P34" i="3"/>
  <c r="E20" i="13"/>
  <c r="J20" i="13"/>
  <c r="K20" i="13"/>
  <c r="E21" i="13"/>
  <c r="J21" i="13"/>
  <c r="K21" i="13"/>
  <c r="I25" i="3"/>
  <c r="I35" i="3"/>
  <c r="E22" i="13"/>
  <c r="C25" i="3"/>
  <c r="C35" i="3"/>
  <c r="J22" i="13"/>
  <c r="K22" i="13"/>
  <c r="N25" i="3"/>
  <c r="N35" i="3"/>
  <c r="E23" i="13"/>
  <c r="J23" i="13"/>
  <c r="K23" i="13"/>
  <c r="E24" i="13"/>
  <c r="J24" i="13"/>
  <c r="K24" i="13"/>
  <c r="E26" i="3"/>
  <c r="E21" i="3"/>
  <c r="E31" i="3"/>
  <c r="E40" i="3"/>
  <c r="G7" i="6"/>
  <c r="E41" i="3"/>
  <c r="E42" i="3"/>
  <c r="E36" i="3"/>
  <c r="E25" i="13"/>
  <c r="C26" i="3"/>
  <c r="C36" i="3"/>
  <c r="J25" i="13"/>
  <c r="K25" i="13"/>
  <c r="I26" i="3"/>
  <c r="I36" i="3"/>
  <c r="E26" i="13"/>
  <c r="J26" i="13"/>
  <c r="K26" i="13"/>
  <c r="E27" i="3"/>
  <c r="E37" i="3"/>
  <c r="E27" i="13"/>
  <c r="C27" i="3"/>
  <c r="C37" i="3"/>
  <c r="J27" i="13"/>
  <c r="K27" i="13"/>
  <c r="I27" i="3"/>
  <c r="I37" i="3"/>
  <c r="E28" i="13"/>
  <c r="J28" i="13"/>
  <c r="K28" i="13"/>
  <c r="N27" i="3"/>
  <c r="N37" i="3"/>
  <c r="E29" i="13"/>
  <c r="J29" i="13"/>
  <c r="K29" i="13"/>
  <c r="E30" i="13"/>
  <c r="J30" i="13"/>
  <c r="K30" i="13"/>
  <c r="K4" i="13"/>
  <c r="D8" i="2"/>
  <c r="E22" i="3"/>
  <c r="F22" i="3"/>
  <c r="G22" i="3"/>
  <c r="H22" i="3"/>
  <c r="I22" i="3"/>
  <c r="J11" i="3"/>
  <c r="J22" i="3"/>
  <c r="K22" i="3"/>
  <c r="L22" i="3"/>
  <c r="M22" i="3"/>
  <c r="N22" i="3"/>
  <c r="O22" i="3"/>
  <c r="P22" i="3"/>
  <c r="Q22" i="3"/>
  <c r="E23" i="3"/>
  <c r="F23" i="3"/>
  <c r="G23" i="3"/>
  <c r="H23" i="3"/>
  <c r="I23" i="3"/>
  <c r="J23" i="3"/>
  <c r="K23" i="3"/>
  <c r="L23" i="3"/>
  <c r="M12" i="3"/>
  <c r="M23" i="3"/>
  <c r="N12" i="3"/>
  <c r="N23" i="3"/>
  <c r="O12" i="3"/>
  <c r="O23" i="3"/>
  <c r="P12" i="3"/>
  <c r="P23" i="3"/>
  <c r="Q23" i="3"/>
  <c r="E28" i="3"/>
  <c r="F28" i="3"/>
  <c r="G17" i="3"/>
  <c r="G28" i="3"/>
  <c r="H28" i="3"/>
  <c r="I28" i="3"/>
  <c r="J28" i="3"/>
  <c r="K28" i="3"/>
  <c r="L28" i="3"/>
  <c r="M28" i="3"/>
  <c r="N28" i="3"/>
  <c r="O28" i="3"/>
  <c r="P28" i="3"/>
  <c r="Q28" i="3"/>
  <c r="D22" i="3"/>
  <c r="D23" i="3"/>
  <c r="D24" i="3"/>
  <c r="D25" i="3"/>
  <c r="E24" i="3"/>
  <c r="H24" i="3"/>
  <c r="K24" i="3"/>
  <c r="Q24" i="3"/>
  <c r="E25" i="3"/>
  <c r="F25" i="3"/>
  <c r="G25" i="3"/>
  <c r="H25" i="3"/>
  <c r="J25" i="3"/>
  <c r="K25" i="3"/>
  <c r="L25" i="3"/>
  <c r="M25" i="3"/>
  <c r="O25" i="3"/>
  <c r="P25" i="3"/>
  <c r="Q25" i="3"/>
  <c r="F26" i="3"/>
  <c r="G26" i="3"/>
  <c r="H26" i="3"/>
  <c r="J26" i="3"/>
  <c r="K26" i="3"/>
  <c r="L26" i="3"/>
  <c r="M26" i="3"/>
  <c r="N26" i="3"/>
  <c r="O26" i="3"/>
  <c r="P26" i="3"/>
  <c r="Q26" i="3"/>
  <c r="F27" i="3"/>
  <c r="G27" i="3"/>
  <c r="H27" i="3"/>
  <c r="J27" i="3"/>
  <c r="K27" i="3"/>
  <c r="L27" i="3"/>
  <c r="M27" i="3"/>
  <c r="O27" i="3"/>
  <c r="P27" i="3"/>
  <c r="Q27" i="3"/>
  <c r="D26" i="3"/>
  <c r="D27" i="3"/>
  <c r="D28" i="3"/>
  <c r="D9" i="2"/>
  <c r="N8" i="11"/>
  <c r="V8" i="11"/>
  <c r="P10" i="11"/>
  <c r="N10" i="11"/>
  <c r="V10" i="11"/>
  <c r="P11" i="11"/>
  <c r="N11" i="11"/>
  <c r="V11" i="11"/>
  <c r="P12" i="11"/>
  <c r="M12" i="11"/>
  <c r="N12" i="11"/>
  <c r="V12" i="11"/>
  <c r="P6" i="11"/>
  <c r="N6" i="11"/>
  <c r="V6" i="11"/>
  <c r="N7" i="11"/>
  <c r="V7" i="11"/>
  <c r="N9" i="11"/>
  <c r="V9" i="11"/>
  <c r="P13" i="11"/>
  <c r="N13" i="11"/>
  <c r="V13" i="11"/>
  <c r="P14" i="11"/>
  <c r="N14" i="11"/>
  <c r="V14" i="11"/>
  <c r="P15" i="11"/>
  <c r="N15" i="11"/>
  <c r="V15" i="11"/>
  <c r="N16" i="11"/>
  <c r="V16" i="11"/>
  <c r="N17" i="11"/>
  <c r="V17" i="11"/>
  <c r="N18" i="11"/>
  <c r="V18" i="11"/>
  <c r="N19" i="11"/>
  <c r="V19" i="11"/>
  <c r="N20" i="11"/>
  <c r="V20" i="11"/>
  <c r="N21" i="11"/>
  <c r="V21" i="11"/>
  <c r="N22" i="11"/>
  <c r="V22" i="11"/>
  <c r="N23" i="11"/>
  <c r="V23" i="11"/>
  <c r="N24" i="11"/>
  <c r="V24" i="11"/>
  <c r="M25" i="11"/>
  <c r="N25" i="11"/>
  <c r="V25" i="11"/>
  <c r="N26" i="11"/>
  <c r="V26" i="11"/>
  <c r="N27" i="11"/>
  <c r="V27" i="11"/>
  <c r="N28" i="11"/>
  <c r="V28" i="11"/>
  <c r="N29" i="11"/>
  <c r="V29" i="11"/>
  <c r="N30" i="11"/>
  <c r="V30" i="11"/>
  <c r="P31" i="11"/>
  <c r="N31" i="11"/>
  <c r="V31" i="11"/>
  <c r="N32" i="11"/>
  <c r="V32" i="11"/>
  <c r="M33" i="11"/>
  <c r="N33" i="11"/>
  <c r="V33" i="11"/>
  <c r="N34" i="11"/>
  <c r="V34" i="11"/>
  <c r="M35" i="11"/>
  <c r="N35" i="11"/>
  <c r="V35" i="11"/>
  <c r="M36" i="11"/>
  <c r="N36" i="11"/>
  <c r="V36" i="11"/>
  <c r="H4" i="13"/>
  <c r="H21" i="3"/>
  <c r="H31" i="3"/>
  <c r="H40" i="3"/>
  <c r="G10" i="6"/>
  <c r="H41" i="3"/>
  <c r="H42" i="3"/>
  <c r="K21" i="3"/>
  <c r="K31" i="3"/>
  <c r="K40" i="3"/>
  <c r="G13" i="6"/>
  <c r="K41" i="3"/>
  <c r="K42" i="3"/>
  <c r="L37" i="11"/>
  <c r="N37" i="11"/>
  <c r="V37" i="11"/>
  <c r="N38" i="11"/>
  <c r="V38" i="11"/>
  <c r="N39" i="11"/>
  <c r="V39" i="11"/>
  <c r="N40" i="11"/>
  <c r="V40" i="11"/>
  <c r="N41" i="11"/>
  <c r="V41" i="11"/>
  <c r="L42" i="11"/>
  <c r="N42" i="11"/>
  <c r="V42" i="11"/>
  <c r="N43" i="11"/>
  <c r="V43" i="11"/>
  <c r="L44" i="11"/>
  <c r="N44" i="11"/>
  <c r="V44" i="11"/>
  <c r="N45" i="11"/>
  <c r="V45" i="11"/>
  <c r="N46" i="11"/>
  <c r="V46" i="11"/>
  <c r="N47" i="11"/>
  <c r="V47" i="11"/>
  <c r="L48" i="11"/>
  <c r="N48" i="11"/>
  <c r="V48" i="11"/>
  <c r="N49" i="11"/>
  <c r="V49" i="11"/>
  <c r="L50" i="11"/>
  <c r="N50" i="11"/>
  <c r="V50" i="11"/>
  <c r="N51" i="11"/>
  <c r="V51" i="11"/>
  <c r="N52" i="11"/>
  <c r="V52" i="11"/>
  <c r="N53" i="11"/>
  <c r="V53" i="11"/>
  <c r="L54" i="11"/>
  <c r="N54" i="11"/>
  <c r="V54" i="11"/>
  <c r="N55" i="11"/>
  <c r="V55" i="11"/>
  <c r="L56" i="11"/>
  <c r="N56" i="11"/>
  <c r="V56" i="11"/>
  <c r="N57" i="11"/>
  <c r="V57" i="11"/>
  <c r="L58" i="11"/>
  <c r="N58" i="11"/>
  <c r="V58" i="11"/>
  <c r="N59" i="11"/>
  <c r="V59" i="11"/>
  <c r="N60" i="11"/>
  <c r="V60" i="11"/>
  <c r="N61" i="11"/>
  <c r="V61" i="11"/>
  <c r="L62" i="11"/>
  <c r="N62" i="11"/>
  <c r="V62" i="11"/>
  <c r="N63" i="11"/>
  <c r="V63" i="11"/>
  <c r="L64" i="11"/>
  <c r="N64" i="11"/>
  <c r="V64" i="11"/>
  <c r="N65" i="11"/>
  <c r="V65" i="11"/>
  <c r="N66" i="11"/>
  <c r="V66" i="11"/>
  <c r="N67" i="11"/>
  <c r="V67" i="11"/>
  <c r="N68" i="11"/>
  <c r="V68" i="11"/>
  <c r="L69" i="11"/>
  <c r="N69" i="11"/>
  <c r="V69" i="11"/>
  <c r="N70" i="11"/>
  <c r="V70" i="11"/>
  <c r="L71" i="11"/>
  <c r="N71" i="11"/>
  <c r="V71" i="11"/>
  <c r="N72" i="11"/>
  <c r="V72" i="11"/>
  <c r="C22" i="4"/>
  <c r="W8" i="11"/>
  <c r="W10" i="11"/>
  <c r="W11" i="11"/>
  <c r="W12" i="11"/>
  <c r="W6" i="11"/>
  <c r="W7" i="11"/>
  <c r="W9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D22" i="4"/>
  <c r="X8" i="11"/>
  <c r="R10" i="11"/>
  <c r="X10" i="11"/>
  <c r="R11" i="11"/>
  <c r="X11" i="11"/>
  <c r="R12" i="11"/>
  <c r="X12" i="11"/>
  <c r="X6" i="11"/>
  <c r="X7" i="11"/>
  <c r="X9" i="11"/>
  <c r="R13" i="11"/>
  <c r="X13" i="11"/>
  <c r="R14" i="11"/>
  <c r="X14" i="11"/>
  <c r="R15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R31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E22" i="4"/>
  <c r="Y8" i="11"/>
  <c r="Y10" i="11"/>
  <c r="Y11" i="11"/>
  <c r="Y12" i="11"/>
  <c r="Y6" i="11"/>
  <c r="Y7" i="11"/>
  <c r="Y9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F22" i="4"/>
  <c r="Z8" i="11"/>
  <c r="Z10" i="11"/>
  <c r="Z11" i="11"/>
  <c r="Z12" i="11"/>
  <c r="T6" i="11"/>
  <c r="Z6" i="11"/>
  <c r="Z7" i="11"/>
  <c r="Z9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G22" i="4"/>
  <c r="D7" i="2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D10" i="2"/>
  <c r="D11" i="2"/>
  <c r="D13" i="2"/>
  <c r="H22" i="4"/>
  <c r="H20" i="4"/>
  <c r="E32" i="3"/>
  <c r="D38" i="3"/>
  <c r="C28" i="3"/>
  <c r="C38" i="3"/>
  <c r="B28" i="3"/>
  <c r="B38" i="3"/>
  <c r="D37" i="3"/>
  <c r="B27" i="3"/>
  <c r="B37" i="3"/>
  <c r="D36" i="3"/>
  <c r="B26" i="3"/>
  <c r="B36" i="3"/>
  <c r="D35" i="3"/>
  <c r="B25" i="3"/>
  <c r="B35" i="3"/>
  <c r="D34" i="3"/>
  <c r="B24" i="3"/>
  <c r="B34" i="3"/>
  <c r="D33" i="3"/>
  <c r="B23" i="3"/>
  <c r="B33" i="3"/>
  <c r="D32" i="3"/>
  <c r="B22" i="3"/>
  <c r="B32" i="3"/>
  <c r="Q16" i="3"/>
  <c r="D15" i="2"/>
  <c r="P37" i="3"/>
  <c r="O37" i="3"/>
  <c r="M37" i="3"/>
  <c r="L37" i="3"/>
  <c r="K37" i="3"/>
  <c r="J37" i="3"/>
  <c r="H37" i="3"/>
  <c r="G37" i="3"/>
  <c r="F37" i="3"/>
  <c r="C24" i="4"/>
  <c r="D24" i="4"/>
  <c r="E24" i="4"/>
  <c r="F24" i="4"/>
  <c r="G24" i="4"/>
  <c r="H24" i="4"/>
  <c r="V3" i="11"/>
  <c r="W3" i="11"/>
  <c r="X3" i="11"/>
  <c r="Y3" i="11"/>
  <c r="Z3" i="11"/>
  <c r="AA3" i="11"/>
  <c r="H3" i="4"/>
  <c r="H4" i="4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5" i="11"/>
  <c r="O36" i="11"/>
  <c r="K36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5" i="11"/>
  <c r="K34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P36" i="3"/>
  <c r="O36" i="3"/>
  <c r="N36" i="3"/>
  <c r="M36" i="3"/>
  <c r="L36" i="3"/>
  <c r="K36" i="3"/>
  <c r="J36" i="3"/>
  <c r="H36" i="3"/>
  <c r="G36" i="3"/>
  <c r="F36" i="3"/>
  <c r="D12" i="11"/>
  <c r="D25" i="11"/>
  <c r="K10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9" i="11"/>
  <c r="K8" i="11"/>
  <c r="K7" i="11"/>
  <c r="K6" i="11"/>
  <c r="N4" i="11"/>
  <c r="A2" i="11"/>
  <c r="A2" i="10"/>
  <c r="A2" i="8"/>
  <c r="B2" i="3"/>
  <c r="B2" i="4"/>
  <c r="Q12" i="3"/>
  <c r="Q17" i="3"/>
  <c r="Q13" i="3"/>
  <c r="H13" i="10"/>
  <c r="H12" i="10"/>
  <c r="H11" i="10"/>
  <c r="H10" i="10"/>
  <c r="H9" i="10"/>
  <c r="H8" i="10"/>
  <c r="G14" i="10"/>
  <c r="F14" i="10"/>
  <c r="E14" i="10"/>
  <c r="H14" i="10"/>
  <c r="H16" i="10"/>
  <c r="D14" i="10"/>
  <c r="Q14" i="3"/>
  <c r="E33" i="3"/>
  <c r="E35" i="3"/>
  <c r="G35" i="3"/>
  <c r="K33" i="3"/>
  <c r="K34" i="3"/>
  <c r="J33" i="3"/>
  <c r="F33" i="3"/>
  <c r="F35" i="3"/>
  <c r="N33" i="3"/>
  <c r="G33" i="3"/>
  <c r="H33" i="3"/>
  <c r="H35" i="3"/>
  <c r="H32" i="3"/>
  <c r="H34" i="3"/>
  <c r="L32" i="3"/>
  <c r="L35" i="3"/>
  <c r="L33" i="3"/>
  <c r="P33" i="3"/>
  <c r="P35" i="3"/>
  <c r="P32" i="3"/>
  <c r="E38" i="3"/>
  <c r="E34" i="3"/>
  <c r="I33" i="3"/>
  <c r="I32" i="3"/>
  <c r="M32" i="3"/>
  <c r="M35" i="3"/>
  <c r="M33" i="3"/>
  <c r="O33" i="3"/>
  <c r="O32" i="3"/>
  <c r="O35" i="3"/>
  <c r="F38" i="3"/>
  <c r="G32" i="3"/>
  <c r="F32" i="3"/>
  <c r="K32" i="3"/>
  <c r="N32" i="3"/>
  <c r="F11" i="8"/>
  <c r="Q11" i="3"/>
  <c r="G38" i="3"/>
  <c r="K35" i="3"/>
  <c r="J32" i="3"/>
  <c r="H38" i="3"/>
  <c r="J35" i="3"/>
  <c r="Q15" i="3"/>
  <c r="E8" i="8"/>
  <c r="H8" i="8"/>
  <c r="E10" i="8"/>
  <c r="E9" i="8"/>
  <c r="I38" i="3"/>
  <c r="E6" i="8"/>
  <c r="D11" i="8"/>
  <c r="J38" i="3"/>
  <c r="K38" i="3"/>
  <c r="L38" i="3"/>
  <c r="H10" i="8"/>
  <c r="M38" i="3"/>
  <c r="N38" i="3"/>
  <c r="O38" i="3"/>
  <c r="P38" i="3"/>
  <c r="C11" i="8"/>
  <c r="H9" i="8"/>
  <c r="E7" i="8"/>
  <c r="E11" i="8"/>
  <c r="H7" i="8"/>
  <c r="H6" i="8"/>
  <c r="G11" i="8"/>
  <c r="H11" i="8"/>
</calcChain>
</file>

<file path=xl/sharedStrings.xml><?xml version="1.0" encoding="utf-8"?>
<sst xmlns="http://schemas.openxmlformats.org/spreadsheetml/2006/main" count="947" uniqueCount="336">
  <si>
    <t>DATA</t>
  </si>
  <si>
    <t>Luciana Dutra</t>
  </si>
  <si>
    <t>ATIVIDADE</t>
  </si>
  <si>
    <t>NATUREZA</t>
  </si>
  <si>
    <t>UNITÁRIO</t>
  </si>
  <si>
    <t>TOTAL</t>
  </si>
  <si>
    <t>QTD</t>
  </si>
  <si>
    <t>RECURSO</t>
  </si>
  <si>
    <t>Melhoria de produto</t>
  </si>
  <si>
    <t>Material</t>
  </si>
  <si>
    <t>Terceiros</t>
  </si>
  <si>
    <t>Novos produtos</t>
  </si>
  <si>
    <t>Total</t>
  </si>
  <si>
    <t>Natureza</t>
  </si>
  <si>
    <t>PRODIET NUTRIÇÃO LTDA.</t>
  </si>
  <si>
    <t>INSS</t>
  </si>
  <si>
    <t>FGTS</t>
  </si>
  <si>
    <t>Férias</t>
  </si>
  <si>
    <t>13º</t>
  </si>
  <si>
    <t>PRODIET NUTRIÇÃO</t>
  </si>
  <si>
    <t>Mês</t>
  </si>
  <si>
    <t>Salário Bruto</t>
  </si>
  <si>
    <t>Dias Úteis</t>
  </si>
  <si>
    <t>Horas Úteis</t>
  </si>
  <si>
    <t>Encargos sobre folha</t>
  </si>
  <si>
    <t>Felipe Chavita</t>
  </si>
  <si>
    <t>Horas Úteis - CWB</t>
  </si>
  <si>
    <t>Dedicação</t>
  </si>
  <si>
    <t>Exclusiva</t>
  </si>
  <si>
    <t>Parcial</t>
  </si>
  <si>
    <t>Total 
Ano</t>
  </si>
  <si>
    <t>Salário bruto e Custo Hora</t>
  </si>
  <si>
    <t>Terceiros envolvidos em inovação</t>
  </si>
  <si>
    <t>Investimentos</t>
  </si>
  <si>
    <t>Resumo de investimentos</t>
  </si>
  <si>
    <t>CNPJ</t>
  </si>
  <si>
    <t>Data</t>
  </si>
  <si>
    <t>Feriado</t>
  </si>
  <si>
    <t>Corpus Christi</t>
  </si>
  <si>
    <t>Tiradentes</t>
  </si>
  <si>
    <t>Dia do Trabalho</t>
  </si>
  <si>
    <t>Finados</t>
  </si>
  <si>
    <t>Natal</t>
  </si>
  <si>
    <t>FERIADOS EM CURITIBA</t>
  </si>
  <si>
    <t>Dt. Inicial</t>
  </si>
  <si>
    <t>Dt. Final</t>
  </si>
  <si>
    <t>Dias úteis</t>
  </si>
  <si>
    <t>Total de Dias úteis por mês</t>
  </si>
  <si>
    <t>Documento</t>
  </si>
  <si>
    <t>VLL Moura Serviços de Apoio Administrativo</t>
  </si>
  <si>
    <t>18.390.865/0001-77</t>
  </si>
  <si>
    <t>03.150.501/0001-42</t>
  </si>
  <si>
    <t>(a)</t>
  </si>
  <si>
    <t>Nutrimento Gestão de Dados Empresariais Ltda.</t>
  </si>
  <si>
    <t>L Dutra Serviços ME</t>
  </si>
  <si>
    <t>18.337.175/0001-54</t>
  </si>
  <si>
    <t>Percentual Exclusão</t>
  </si>
  <si>
    <t>RH (Parcial inovação)</t>
  </si>
  <si>
    <t>RH (Exclusivo inovação)</t>
  </si>
  <si>
    <t>Confimado com Alexandre Velozo, via fone, que os funcionários trabalham 44 horas semanais.</t>
  </si>
  <si>
    <t>Felipe Camargo Chavita</t>
  </si>
  <si>
    <t>Nome</t>
  </si>
  <si>
    <t>Apelido</t>
  </si>
  <si>
    <t>Vera Lucia Leite Moura</t>
  </si>
  <si>
    <t>Salário Bruto com encargos</t>
  </si>
  <si>
    <t>Custo Hora com encargos</t>
  </si>
  <si>
    <t>S</t>
  </si>
  <si>
    <t>Detalhamento da Apuração sem exclusão de inovação</t>
  </si>
  <si>
    <t>Projeto</t>
  </si>
  <si>
    <t>Projetos</t>
  </si>
  <si>
    <t>RH (parcial inovação)</t>
  </si>
  <si>
    <t>RH (exclusivo)</t>
  </si>
  <si>
    <t>Total RH</t>
  </si>
  <si>
    <t>Soma de "Material" da coluna "Natureza" da planilha Investimentos</t>
  </si>
  <si>
    <t>Soma de "Terceiros" da coluna "Natureza" da planilha Investimentos + Soma dos valores da planilha de Terceiros</t>
  </si>
  <si>
    <t>Analisa os testes dos produtos e dá assistência na parametrização do produto e dos novos testes a serem feitos. Faz acompanhamento técnico de todos os projetos de pesquisa e desenvolvimento.</t>
  </si>
  <si>
    <t>02.021.076/0001-29</t>
  </si>
  <si>
    <t>Quadro de pessoal</t>
  </si>
  <si>
    <t>Recursos Humanos</t>
  </si>
  <si>
    <t>Total Valor Gasto</t>
  </si>
  <si>
    <t>Título</t>
  </si>
  <si>
    <t xml:space="preserve"> Valor Gasto</t>
  </si>
  <si>
    <t>Nº de Pessoas com Dedicação Exclusiva</t>
  </si>
  <si>
    <t xml:space="preserve">Nº de Pessoas com Dedicação Parcial </t>
  </si>
  <si>
    <t>Valor Gasto</t>
  </si>
  <si>
    <t>Doutores</t>
  </si>
  <si>
    <t>Mestres</t>
  </si>
  <si>
    <t>Graduados</t>
  </si>
  <si>
    <t>Técnico de nível médio</t>
  </si>
  <si>
    <t>Pós-Graduados</t>
  </si>
  <si>
    <t>Tecnólogo</t>
  </si>
  <si>
    <t>Valor despendido com funcionários de apoio técnico</t>
  </si>
  <si>
    <t>VALOR TOTAL DESPENDIDO EM RH</t>
  </si>
  <si>
    <t>Graduado</t>
  </si>
  <si>
    <t>Melhoria de processo</t>
  </si>
  <si>
    <t>Novo Copacker</t>
  </si>
  <si>
    <t>Coments</t>
  </si>
  <si>
    <t>Novas Mp</t>
  </si>
  <si>
    <t>Verificar natureza dos testes em labs</t>
  </si>
  <si>
    <t>Ana Paula Celes</t>
  </si>
  <si>
    <t>Alisson Montanini</t>
  </si>
  <si>
    <t>Associação Paranaense de Cultura - APC</t>
  </si>
  <si>
    <t>Soma de "RH (Parcial inovação)" da coluna "Natureza" da planilha Investimentos e Soma do Total da Érica multiplicado por uma proporção</t>
  </si>
  <si>
    <t>Economia Estimada</t>
  </si>
  <si>
    <t>INOVAÇÃO TECNOLÓGICA 2015</t>
  </si>
  <si>
    <t>Fundação de estudos e pesquisas aquaticas - FUNDESPA</t>
  </si>
  <si>
    <t>CPF / CNPJ</t>
  </si>
  <si>
    <t>61.379.657/0001-04</t>
  </si>
  <si>
    <t>Pesquisa de materiais - tamanho de partícula</t>
  </si>
  <si>
    <t>Serviço de terceiros</t>
  </si>
  <si>
    <t>NF</t>
  </si>
  <si>
    <t>Recibo</t>
  </si>
  <si>
    <t>76.659.820/0003-13</t>
  </si>
  <si>
    <t>Uso do laboratório (14h35 às 17h45)</t>
  </si>
  <si>
    <t>Cupom fiscal</t>
  </si>
  <si>
    <t>Sonda Supermercados</t>
  </si>
  <si>
    <t>01.937.635/0030-17</t>
  </si>
  <si>
    <t>Aquisição de material para análise (Sustagen e Nutren)</t>
  </si>
  <si>
    <t>Workshop Internacional sobre alimentos com alegações de propriedades funcionais - Neurociência, Cérebro e Nutrição.</t>
  </si>
  <si>
    <t>Ilsi Brasil - Internacional Life Sciences Institute do Brasil</t>
  </si>
  <si>
    <t>65.086.001/001-46</t>
  </si>
  <si>
    <t>Passagens Amir IDA e Volta São Paulo - Campinas - Teste ITAL</t>
  </si>
  <si>
    <t>Hospedagem Amir - Teste ITAL</t>
  </si>
  <si>
    <t>Alimentação Amir - Teste ITAL</t>
  </si>
  <si>
    <t>Taxi Amir - Teste ITAL</t>
  </si>
  <si>
    <t>Azul linhas aéreas</t>
  </si>
  <si>
    <t>Turrance White Campinas hotel</t>
  </si>
  <si>
    <t>Diversos</t>
  </si>
  <si>
    <t>Cupons fiscais</t>
  </si>
  <si>
    <t>Controle DOCS</t>
  </si>
  <si>
    <t>61.528.030/0001-60</t>
  </si>
  <si>
    <t>Teste Piloto UHT - Assessoria / consultoria</t>
  </si>
  <si>
    <t>Labor Tres Laboratorios e Consultoria Tecnica Ltda</t>
  </si>
  <si>
    <t>Avaliação fisico-química de alimentos</t>
  </si>
  <si>
    <t>TUV SUD SFDK Laboratório de análise de produtos Ltda.</t>
  </si>
  <si>
    <t>55.953.079/0001-67</t>
  </si>
  <si>
    <t>Serviços de análise laboratorial</t>
  </si>
  <si>
    <t>Radio Taxi Curitiba</t>
  </si>
  <si>
    <t>Voucher</t>
  </si>
  <si>
    <t>1430513 e 14</t>
  </si>
  <si>
    <t>Transporte até a PUC para testes laboratoriais</t>
  </si>
  <si>
    <t>Bioagri Analises de alimentos Ltda</t>
  </si>
  <si>
    <t>00.000.410/0001-32</t>
  </si>
  <si>
    <t>serviço de terceiros</t>
  </si>
  <si>
    <t>Uso do laboratório (8h50 às 12h00 - 14h00 às 18h40)</t>
  </si>
  <si>
    <t>1466 e 52819</t>
  </si>
  <si>
    <t>Confirmação de reserva</t>
  </si>
  <si>
    <t>Fundação de desenv. Da pesquisa do agronegócio - FUNDEPAG</t>
  </si>
  <si>
    <t>50.276.237/0001-78</t>
  </si>
  <si>
    <t>Inscrição curso de lecitinação</t>
  </si>
  <si>
    <t>577 0005698435</t>
  </si>
  <si>
    <t>Bilhete e-ticket</t>
  </si>
  <si>
    <t>Hospedagem Amir - Curso Lecitinação</t>
  </si>
  <si>
    <t>Alimentação Amir- Curso Lecitinação</t>
  </si>
  <si>
    <t>Passagem Amir - Curso Lecitinação</t>
  </si>
  <si>
    <t>Teste em planta de lecitinação e aglomeração com vapor</t>
  </si>
  <si>
    <t>M Cassab Comercio e Industria Ltda</t>
  </si>
  <si>
    <t>49.698.723/0001-03</t>
  </si>
  <si>
    <t>Análise de laboratório</t>
  </si>
  <si>
    <t>Anuidade de treinamento e workshops em pesquisa e desenvolvimento</t>
  </si>
  <si>
    <t>Ficha de adesão</t>
  </si>
  <si>
    <t>Valor por e-mail</t>
  </si>
  <si>
    <t>Lucas</t>
  </si>
  <si>
    <t>Total NF</t>
  </si>
  <si>
    <t>E-Master</t>
  </si>
  <si>
    <t>Suplemento</t>
  </si>
  <si>
    <t>ALZ</t>
  </si>
  <si>
    <t>Trophic infant líquido</t>
  </si>
  <si>
    <t>?</t>
  </si>
  <si>
    <t>Novos Produtos</t>
  </si>
  <si>
    <t>Novas matérias-primas</t>
  </si>
  <si>
    <t>Melhoria de Produto</t>
  </si>
  <si>
    <t>Melhoria de Processo</t>
  </si>
  <si>
    <t>Energyzip 1.0, Peptimax 400g, Diamax</t>
  </si>
  <si>
    <t>EP, Trophic infant</t>
  </si>
  <si>
    <t>PRODUTOS</t>
  </si>
  <si>
    <t>Maurício</t>
  </si>
  <si>
    <t>Amid</t>
  </si>
  <si>
    <t>Tetra Pack Ltda</t>
  </si>
  <si>
    <t>Descrição dos serviços</t>
  </si>
  <si>
    <t>Participação nos projetos</t>
  </si>
  <si>
    <t>Dispêndio (R$) por projeto</t>
  </si>
  <si>
    <t>Locação de espaço em laboratório para testes de bancada</t>
  </si>
  <si>
    <t>Workshop Internacional, cursos, palestras sobre tecnologia e novos produtos.</t>
  </si>
  <si>
    <t xml:space="preserve">Acompanhamento de resultados das análises realizadas nos produtos em teste. </t>
  </si>
  <si>
    <t>Acompanha e faz teste nos produtos para validação de lote piloto, teste de validade do produto, teste de caracterísca e teste de de administração do produto final.Visto que são produtos de alimentação hospitalar, oral e domiciliar pós-internação.</t>
  </si>
  <si>
    <t>LOTE/SUB/DOC/LINHA</t>
  </si>
  <si>
    <t>HISTORICO</t>
  </si>
  <si>
    <t>DEBITO</t>
  </si>
  <si>
    <t>CREDITO</t>
  </si>
  <si>
    <t>CONTA</t>
  </si>
  <si>
    <t>DESCRICAO</t>
  </si>
  <si>
    <t>3.4.2.1</t>
  </si>
  <si>
    <t xml:space="preserve"> - DESPESAS ADMINISTRATIVAS</t>
  </si>
  <si>
    <t>CONTA - 3.4.2.10.3                     - PRESTADORES DE SERVICOS</t>
  </si>
  <si>
    <t>008810001000009001</t>
  </si>
  <si>
    <t>N.F. DE ENTRADA N.20-VLL MOURA SERV APOI</t>
  </si>
  <si>
    <t>008810001000011001</t>
  </si>
  <si>
    <t>N.F. DE ENTRADA N.24-NUTRIMENTO CONS E T</t>
  </si>
  <si>
    <t/>
  </si>
  <si>
    <t>REIN EM NUTRICAO LTDA</t>
  </si>
  <si>
    <t>008810001000015001</t>
  </si>
  <si>
    <t>N.F. DE ENTRADA N.20-L DUTRA SERVICOS ME</t>
  </si>
  <si>
    <t>008810001000006001</t>
  </si>
  <si>
    <t>N.F. DE ENTRADA N.21-L DUTRA SERVICOS ME</t>
  </si>
  <si>
    <t>008810001000022001</t>
  </si>
  <si>
    <t>N.F. DE ENTRADA N.26-NUTRIMENTO CONS E T</t>
  </si>
  <si>
    <t>008810001000038001</t>
  </si>
  <si>
    <t>N.F. DE ENTRADA N.21-VLL MOURA SERV APOI</t>
  </si>
  <si>
    <t>008810001000013001</t>
  </si>
  <si>
    <t>N.F. DE ENTRADA N.22-L DUTRA SERVICOS ME</t>
  </si>
  <si>
    <t>008810001000007001</t>
  </si>
  <si>
    <t>N.F. DE ENTRADA N.22-VLL MOURA SERV APOI</t>
  </si>
  <si>
    <t>N.F. DE ENTRADA N.28-NUTRIMENTO CONS E T</t>
  </si>
  <si>
    <t>008810001000003001</t>
  </si>
  <si>
    <t>N.F. DE ENTRADA N.30-NUTRIMENTO CONS E T</t>
  </si>
  <si>
    <t>008810001000004001</t>
  </si>
  <si>
    <t>N.F. DE ENTRADA N.23-L DUTRA SERVICOS ME</t>
  </si>
  <si>
    <t>008810001000008001</t>
  </si>
  <si>
    <t>N.F. DE ENTRADA N.23-VLL MOURA SERV APOI</t>
  </si>
  <si>
    <t>008810001000039001</t>
  </si>
  <si>
    <t>N.F. DE ENTRADA N.24-L DUTRA SERVICOS ME</t>
  </si>
  <si>
    <t>008810001000012001</t>
  </si>
  <si>
    <t>N.F. DE ENTRADA N.24-VLL MOURA SERV APOI</t>
  </si>
  <si>
    <t>008810001000037001</t>
  </si>
  <si>
    <t>N.F. DE ENTRADA N.33-NUTRIMENTO GESTAO D</t>
  </si>
  <si>
    <t>N.F. DE ENTRADA N.25-L DUTRA SERVICOS ME</t>
  </si>
  <si>
    <t>008810001000001001</t>
  </si>
  <si>
    <t>N.F. DE ENTRADA N.35-NUTRIMENTO GESTAO D</t>
  </si>
  <si>
    <t>N.F. DE ENTRADA N.25-VLL MOURA SERV APOI</t>
  </si>
  <si>
    <t>008810001000029001</t>
  </si>
  <si>
    <t>N.F. DE ENTRADA N.26-L DUTRA SERVICOS ME</t>
  </si>
  <si>
    <t>008810001000041001</t>
  </si>
  <si>
    <t>N.F. DE ENTRADA N.26-VLL MOURA SERV APOI</t>
  </si>
  <si>
    <t>N.F. DE ENTRADA N.37-NUTRIMENTO GESTAO D</t>
  </si>
  <si>
    <t>008810001000010001</t>
  </si>
  <si>
    <t>N.F. DE ENTRADA N.27-VLL MOURA SERV APOI</t>
  </si>
  <si>
    <t>N.F. DE ENTRADA N.27-L DUTRA SERVICOS ME</t>
  </si>
  <si>
    <t>008810001000001007</t>
  </si>
  <si>
    <t>N.F. DE ENTRADA N.39-NUTRIMENTO GESTAO D</t>
  </si>
  <si>
    <t>008810001000014001</t>
  </si>
  <si>
    <t>N.F. DE ENTRADA N.28-L DUTRA SERVICOS ME</t>
  </si>
  <si>
    <t>008810001000016001</t>
  </si>
  <si>
    <t>N.F. DE ENTRADA N.28-VLL MOURA SERV APOI</t>
  </si>
  <si>
    <t>N.F. DE ENTRADA N.201500001-NUTRIMENTO G</t>
  </si>
  <si>
    <t>N.F. DE ENTRADA N.29-VLL MOURA SERV APOI</t>
  </si>
  <si>
    <t>N.F. DE ENTRADA N.29-L DUTRA SERVICOS ME</t>
  </si>
  <si>
    <t>N.F. DE ENTRADA N.5-NUTRIMENTO GESTAO DE</t>
  </si>
  <si>
    <t>N.F. DE ENTRADA N.7-NUTRIMENTO GESTAO DE</t>
  </si>
  <si>
    <t xml:space="preserve"> DADOS EMPRESARIAIS</t>
  </si>
  <si>
    <t>N.F. DE ENTRADA N.30-L DUTRA SERVICOS ME</t>
  </si>
  <si>
    <t>N.F. DE ENTRADA N.30-VLL MOURA SERV APOI</t>
  </si>
  <si>
    <t>N.F. DE ENTRADA N.31-L DUTRA SERVICOS ME</t>
  </si>
  <si>
    <t>N.F. DE ENTRADA N.31-VLL MOURA SERV APOI</t>
  </si>
  <si>
    <t>O ADMINISTRATIVO ME</t>
  </si>
  <si>
    <t>N.F. DE ENTRADA N.201510-NUTRIMENTO GEST</t>
  </si>
  <si>
    <t>N.F. DE ENTRADA</t>
  </si>
  <si>
    <t>N.</t>
  </si>
  <si>
    <t>-</t>
  </si>
  <si>
    <t>VLL MOURA SERV APOI</t>
  </si>
  <si>
    <t>NUTRIMENTO CONS E T</t>
  </si>
  <si>
    <t>REIN EM NUTRICA</t>
  </si>
  <si>
    <t>O L</t>
  </si>
  <si>
    <t>TD</t>
  </si>
  <si>
    <t>A</t>
  </si>
  <si>
    <t>L DUTRA SERVICOS ME</t>
  </si>
  <si>
    <t>NUTRIMENTO GESTAO D</t>
  </si>
  <si>
    <t>500001-NUTRIMENTO G</t>
  </si>
  <si>
    <t>N</t>
  </si>
  <si>
    <t>UTRIMENTO GESTAO DE</t>
  </si>
  <si>
    <t>DADOS EMPRESAR</t>
  </si>
  <si>
    <t>IAI</t>
  </si>
  <si>
    <t>O ADMINISTRATIV</t>
  </si>
  <si>
    <t>O M</t>
  </si>
  <si>
    <t>E</t>
  </si>
  <si>
    <t>510-NUTRIMENTO GEST</t>
  </si>
  <si>
    <t>NF (Relatório contábil)</t>
  </si>
  <si>
    <t>Horário Início</t>
  </si>
  <si>
    <t>Horário Fim</t>
  </si>
  <si>
    <t>Horas totais</t>
  </si>
  <si>
    <t>Funcionário</t>
  </si>
  <si>
    <t>Segurança alimentar</t>
  </si>
  <si>
    <t>Novo Copacker Produtos Líquidos</t>
  </si>
  <si>
    <t>Energyzip Master pó</t>
  </si>
  <si>
    <t>Controle em Shelf Life</t>
  </si>
  <si>
    <t>Trophic Infant liq</t>
  </si>
  <si>
    <t>Macronutrientes</t>
  </si>
  <si>
    <t>Micronutrientes</t>
  </si>
  <si>
    <t>Estabilidade de pH</t>
  </si>
  <si>
    <t>Diamax Pó</t>
  </si>
  <si>
    <t>Lucas Nascimento</t>
  </si>
  <si>
    <t>Maurício Soares</t>
  </si>
  <si>
    <t>Funcionários que auxiliam/executam tarefas nos projetos de P&amp;D.</t>
  </si>
  <si>
    <t>Custo por hora</t>
  </si>
  <si>
    <t>Ano Novo</t>
  </si>
  <si>
    <t>Páscoa</t>
  </si>
  <si>
    <t>Independência</t>
  </si>
  <si>
    <t>N.S.Aparecida</t>
  </si>
  <si>
    <t>Padroeira de Curitiba</t>
  </si>
  <si>
    <t>Ano novo</t>
  </si>
  <si>
    <t>247-2417281373</t>
  </si>
  <si>
    <t>Avianca</t>
  </si>
  <si>
    <t>Viagem para testes</t>
  </si>
  <si>
    <t>Relatório Agência de viagens</t>
  </si>
  <si>
    <t>APA Agência de viagens e turismo corporativo Ltda</t>
  </si>
  <si>
    <t>Viagem da Aline Fracasso para curso Ilsi</t>
  </si>
  <si>
    <t>Materiais</t>
  </si>
  <si>
    <t>TOTAL dos terceiros</t>
  </si>
  <si>
    <t>Aline</t>
  </si>
  <si>
    <t>Escolaridade</t>
  </si>
  <si>
    <t>CPF</t>
  </si>
  <si>
    <t>TNCGAN</t>
  </si>
  <si>
    <t>Pós-graduado</t>
  </si>
  <si>
    <t>Aline Francielle Fracasso</t>
  </si>
  <si>
    <t>Amid Tony Ibrahim</t>
  </si>
  <si>
    <t>Admitido em 27/08/2015</t>
  </si>
  <si>
    <t>Alisson Willian Arruda Montanini</t>
  </si>
  <si>
    <t>Lucas Leandro Matias do Nascimento</t>
  </si>
  <si>
    <t>Maurício de Sousa Soares</t>
  </si>
  <si>
    <t>Erica Ferreira Serra da Silva</t>
  </si>
  <si>
    <t>Demitida em 03/2015</t>
  </si>
  <si>
    <t>Admitida em 04/05/2015 e demitida em 07/2015</t>
  </si>
  <si>
    <t>Alisson</t>
  </si>
  <si>
    <t>Felipe</t>
  </si>
  <si>
    <t>Erica</t>
  </si>
  <si>
    <t>Custo total</t>
  </si>
  <si>
    <t>Time Sheet - equipe parcial</t>
  </si>
  <si>
    <t>(b)</t>
  </si>
  <si>
    <t xml:space="preserve">(c) </t>
  </si>
  <si>
    <t>Detalhes das faturas em "Investimentos"</t>
  </si>
  <si>
    <t>(c) Salário e Custo Hora - Total com encargos dos funcionários exclusivos</t>
  </si>
  <si>
    <t>(b) Time Sheet - funcionários com dedicação parcial</t>
  </si>
  <si>
    <t>(a) Resumo dos terceiros e MP - detalhes das faturas em "Investimentos"</t>
  </si>
  <si>
    <t>Exclusão da Base de cálculo do IRPJ e CSLL</t>
  </si>
  <si>
    <t>RAT</t>
  </si>
  <si>
    <t>Patronal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</si>
</sst>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(* #,##0.00_);_(* \(#,##0.00\);_(* &quot;-&quot;??_);_(@_)"/>
    <numFmt numFmtId="165" formatCode="#,##0.00_ ;\-#,##0.00\ "/>
    <numFmt numFmtId="166" formatCode="[$-416]mmm\-yy;@"/>
    <numFmt numFmtId="167" formatCode="d/m;@"/>
    <numFmt numFmtId="168" formatCode="0.0000"/>
  </numFmts>
  <fonts count="28" x14ac:knownFonts="1">
    <font>
      <sz val="12"/>
      <color theme="1"/>
      <name val="Garamond"/>
      <family val="2"/>
    </font>
    <font>
      <sz val="10"/>
      <color theme="1"/>
      <name val="Tahoma"/>
      <family val="2"/>
    </font>
    <font>
      <sz val="10"/>
      <color theme="1"/>
      <name val="Garamond"/>
      <family val="2"/>
    </font>
    <font>
      <sz val="12"/>
      <color theme="1"/>
      <name val="Garamond"/>
      <family val="2"/>
    </font>
    <font>
      <sz val="11"/>
      <color theme="1"/>
      <name val="Garamond"/>
      <family val="2"/>
    </font>
    <font>
      <sz val="10"/>
      <color theme="1"/>
      <name val="Garamond"/>
      <family val="2"/>
    </font>
    <font>
      <u/>
      <sz val="11"/>
      <color theme="10"/>
      <name val="Calibri"/>
      <family val="2"/>
    </font>
    <font>
      <b/>
      <sz val="11"/>
      <color theme="1"/>
      <name val="Garamond"/>
      <family val="1"/>
    </font>
    <font>
      <sz val="10"/>
      <color rgb="FFFF0000"/>
      <name val="Garamond"/>
      <family val="2"/>
    </font>
    <font>
      <b/>
      <sz val="10"/>
      <color theme="1"/>
      <name val="Garamond"/>
      <family val="1"/>
    </font>
    <font>
      <b/>
      <sz val="10"/>
      <color theme="1"/>
      <name val="Garamond"/>
      <family val="2"/>
    </font>
    <font>
      <i/>
      <sz val="8"/>
      <color theme="3"/>
      <name val="Garamond"/>
      <family val="2"/>
    </font>
    <font>
      <u/>
      <sz val="10"/>
      <color theme="10"/>
      <name val="Garamond"/>
      <family val="2"/>
    </font>
    <font>
      <sz val="10"/>
      <color rgb="FFC00000"/>
      <name val="Garamond"/>
      <family val="2"/>
    </font>
    <font>
      <sz val="14"/>
      <color theme="1"/>
      <name val="Garamond"/>
      <family val="2"/>
    </font>
    <font>
      <b/>
      <sz val="12"/>
      <color theme="1"/>
      <name val="Garamond"/>
      <family val="1"/>
    </font>
    <font>
      <b/>
      <sz val="14"/>
      <color theme="1"/>
      <name val="Garamond"/>
      <family val="1"/>
    </font>
    <font>
      <sz val="9"/>
      <color rgb="FFFF0000"/>
      <name val="Arial"/>
      <family val="2"/>
    </font>
    <font>
      <b/>
      <sz val="11"/>
      <color rgb="FFFF0000"/>
      <name val="Garamond"/>
      <family val="1"/>
    </font>
    <font>
      <sz val="12"/>
      <color rgb="FFFF0000"/>
      <name val="Garamond"/>
      <family val="2"/>
    </font>
    <font>
      <b/>
      <sz val="12"/>
      <color rgb="FFFF0000"/>
      <name val="Garamond"/>
      <family val="2"/>
    </font>
    <font>
      <u/>
      <sz val="12"/>
      <color theme="11"/>
      <name val="Garamond"/>
      <family val="2"/>
    </font>
    <font>
      <b/>
      <sz val="10"/>
      <color theme="1"/>
      <name val="Tahoma"/>
      <family val="2"/>
    </font>
    <font>
      <sz val="14"/>
      <color theme="1"/>
      <name val="Tahoma"/>
      <family val="2"/>
    </font>
    <font>
      <sz val="11"/>
      <color theme="1"/>
      <name val="Tahoma"/>
      <family val="2"/>
    </font>
    <font>
      <sz val="9"/>
      <color theme="1"/>
      <name val="Tahoma"/>
      <family val="2"/>
    </font>
    <font>
      <b/>
      <sz val="11"/>
      <color theme="1"/>
      <name val="Tahoma"/>
      <family val="2"/>
    </font>
    <font>
      <sz val="13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thick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</cellStyleXfs>
  <cellXfs count="204">
    <xf numFmtId="0" fontId="0" fillId="0" borderId="0" xfId="0"/>
    <xf numFmtId="43" fontId="5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5" fillId="0" borderId="1" xfId="1" applyFont="1" applyBorder="1"/>
    <xf numFmtId="43" fontId="5" fillId="0" borderId="0" xfId="0" applyNumberFormat="1" applyFont="1"/>
    <xf numFmtId="0" fontId="5" fillId="0" borderId="0" xfId="0" applyFont="1" applyBorder="1" applyAlignment="1">
      <alignment horizontal="center"/>
    </xf>
    <xf numFmtId="10" fontId="5" fillId="0" borderId="0" xfId="0" applyNumberFormat="1" applyFont="1"/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43" fontId="0" fillId="0" borderId="0" xfId="0" applyNumberFormat="1"/>
    <xf numFmtId="4" fontId="5" fillId="0" borderId="0" xfId="0" applyNumberFormat="1" applyFont="1" applyBorder="1"/>
    <xf numFmtId="0" fontId="5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5" fillId="0" borderId="0" xfId="0" applyFont="1" applyFill="1" applyAlignment="1">
      <alignment vertical="center"/>
    </xf>
    <xf numFmtId="0" fontId="5" fillId="0" borderId="0" xfId="0" applyFont="1" applyBorder="1"/>
    <xf numFmtId="0" fontId="5" fillId="0" borderId="1" xfId="0" applyFont="1" applyBorder="1"/>
    <xf numFmtId="43" fontId="5" fillId="0" borderId="0" xfId="0" applyNumberFormat="1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Border="1"/>
    <xf numFmtId="0" fontId="0" fillId="0" borderId="0" xfId="0" applyBorder="1"/>
    <xf numFmtId="4" fontId="5" fillId="0" borderId="1" xfId="0" applyNumberFormat="1" applyFont="1" applyBorder="1"/>
    <xf numFmtId="43" fontId="0" fillId="0" borderId="0" xfId="0" applyNumberForma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left" vertical="top" indent="1"/>
    </xf>
    <xf numFmtId="9" fontId="11" fillId="0" borderId="1" xfId="0" applyNumberFormat="1" applyFont="1" applyBorder="1" applyAlignment="1">
      <alignment horizontal="right" vertical="top"/>
    </xf>
    <xf numFmtId="0" fontId="5" fillId="3" borderId="0" xfId="0" applyFont="1" applyFill="1" applyBorder="1"/>
    <xf numFmtId="17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" fontId="10" fillId="0" borderId="1" xfId="0" applyNumberFormat="1" applyFont="1" applyBorder="1" applyAlignment="1">
      <alignment horizontal="center"/>
    </xf>
    <xf numFmtId="4" fontId="5" fillId="0" borderId="2" xfId="0" applyNumberFormat="1" applyFont="1" applyBorder="1"/>
    <xf numFmtId="0" fontId="13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9" fillId="3" borderId="0" xfId="0" applyFont="1" applyFill="1" applyBorder="1"/>
    <xf numFmtId="0" fontId="10" fillId="0" borderId="0" xfId="0" applyFont="1" applyAlignment="1">
      <alignment horizontal="center" vertical="center"/>
    </xf>
    <xf numFmtId="0" fontId="0" fillId="0" borderId="0" xfId="0" applyFill="1" applyBorder="1"/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4" fillId="0" borderId="0" xfId="0" applyFont="1"/>
    <xf numFmtId="0" fontId="15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10" fontId="5" fillId="0" borderId="4" xfId="0" applyNumberFormat="1" applyFont="1" applyBorder="1" applyAlignment="1">
      <alignment horizontal="center"/>
    </xf>
    <xf numFmtId="10" fontId="5" fillId="0" borderId="4" xfId="2" applyNumberFormat="1" applyFont="1" applyBorder="1" applyAlignment="1">
      <alignment horizontal="center"/>
    </xf>
    <xf numFmtId="0" fontId="7" fillId="3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165" fontId="2" fillId="0" borderId="0" xfId="0" applyNumberFormat="1" applyFont="1" applyFill="1" applyAlignment="1">
      <alignment horizontal="right" vertical="center"/>
    </xf>
    <xf numFmtId="0" fontId="2" fillId="0" borderId="0" xfId="0" applyFont="1" applyFill="1"/>
    <xf numFmtId="0" fontId="2" fillId="0" borderId="0" xfId="0" applyFont="1"/>
    <xf numFmtId="0" fontId="16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7" fillId="0" borderId="0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4" borderId="0" xfId="0" applyFill="1"/>
    <xf numFmtId="0" fontId="4" fillId="4" borderId="0" xfId="0" applyFont="1" applyFill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4" fontId="5" fillId="0" borderId="0" xfId="0" applyNumberFormat="1" applyFont="1" applyFill="1" applyBorder="1"/>
    <xf numFmtId="4" fontId="5" fillId="0" borderId="1" xfId="0" applyNumberFormat="1" applyFont="1" applyFill="1" applyBorder="1"/>
    <xf numFmtId="0" fontId="2" fillId="0" borderId="0" xfId="0" applyFont="1" applyAlignment="1">
      <alignment horizontal="left" vertical="center"/>
    </xf>
    <xf numFmtId="0" fontId="10" fillId="0" borderId="1" xfId="0" applyFont="1" applyFill="1" applyBorder="1"/>
    <xf numFmtId="0" fontId="10" fillId="0" borderId="1" xfId="0" applyFont="1" applyFill="1" applyBorder="1" applyAlignment="1">
      <alignment horizontal="center"/>
    </xf>
    <xf numFmtId="17" fontId="10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12" fillId="0" borderId="0" xfId="3" applyFont="1" applyFill="1" applyBorder="1" applyAlignment="1" applyProtection="1"/>
    <xf numFmtId="0" fontId="0" fillId="0" borderId="0" xfId="0" applyFill="1"/>
    <xf numFmtId="0" fontId="9" fillId="0" borderId="1" xfId="0" applyFont="1" applyBorder="1" applyAlignment="1">
      <alignment horizontal="left" vertical="center"/>
    </xf>
    <xf numFmtId="0" fontId="13" fillId="0" borderId="0" xfId="0" applyFont="1" applyBorder="1" applyAlignment="1">
      <alignment horizontal="right"/>
    </xf>
    <xf numFmtId="0" fontId="9" fillId="5" borderId="0" xfId="0" applyFont="1" applyFill="1" applyBorder="1"/>
    <xf numFmtId="43" fontId="5" fillId="5" borderId="0" xfId="0" applyNumberFormat="1" applyFont="1" applyFill="1" applyBorder="1"/>
    <xf numFmtId="10" fontId="9" fillId="0" borderId="0" xfId="0" applyNumberFormat="1" applyFont="1"/>
    <xf numFmtId="0" fontId="8" fillId="0" borderId="0" xfId="0" applyFont="1"/>
    <xf numFmtId="0" fontId="8" fillId="0" borderId="0" xfId="0" applyFont="1" applyFill="1"/>
    <xf numFmtId="4" fontId="17" fillId="0" borderId="0" xfId="0" applyNumberFormat="1" applyFont="1"/>
    <xf numFmtId="165" fontId="8" fillId="0" borderId="0" xfId="1" applyNumberFormat="1" applyFont="1" applyAlignment="1">
      <alignment horizontal="right" vertical="center"/>
    </xf>
    <xf numFmtId="165" fontId="8" fillId="0" borderId="0" xfId="1" applyNumberFormat="1" applyFont="1" applyFill="1" applyAlignment="1">
      <alignment horizontal="right" vertical="center"/>
    </xf>
    <xf numFmtId="165" fontId="8" fillId="0" borderId="1" xfId="1" applyNumberFormat="1" applyFont="1" applyBorder="1" applyAlignment="1">
      <alignment horizontal="right" vertical="center"/>
    </xf>
    <xf numFmtId="165" fontId="8" fillId="0" borderId="1" xfId="1" applyNumberFormat="1" applyFont="1" applyFill="1" applyBorder="1" applyAlignment="1">
      <alignment horizontal="right" vertical="center"/>
    </xf>
    <xf numFmtId="0" fontId="19" fillId="0" borderId="0" xfId="0" applyFont="1"/>
    <xf numFmtId="0" fontId="20" fillId="0" borderId="3" xfId="0" applyFont="1" applyBorder="1" applyAlignment="1">
      <alignment horizontal="centerContinuous"/>
    </xf>
    <xf numFmtId="0" fontId="19" fillId="0" borderId="3" xfId="0" applyFont="1" applyBorder="1" applyAlignment="1">
      <alignment horizontal="centerContinuous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43" fontId="19" fillId="0" borderId="0" xfId="1" applyFont="1"/>
    <xf numFmtId="0" fontId="20" fillId="0" borderId="0" xfId="0" applyFont="1" applyAlignment="1">
      <alignment horizontal="center"/>
    </xf>
    <xf numFmtId="0" fontId="20" fillId="0" borderId="0" xfId="0" applyFont="1"/>
    <xf numFmtId="43" fontId="20" fillId="0" borderId="0" xfId="1" applyFont="1"/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left"/>
    </xf>
    <xf numFmtId="43" fontId="20" fillId="0" borderId="0" xfId="0" applyNumberFormat="1" applyFont="1"/>
    <xf numFmtId="9" fontId="5" fillId="0" borderId="0" xfId="0" applyNumberFormat="1" applyFont="1"/>
    <xf numFmtId="0" fontId="2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3" fontId="1" fillId="0" borderId="0" xfId="1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0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3" fontId="22" fillId="0" borderId="0" xfId="1" applyFont="1" applyAlignment="1">
      <alignment vertical="center"/>
    </xf>
    <xf numFmtId="0" fontId="26" fillId="0" borderId="0" xfId="0" applyFont="1" applyAlignment="1">
      <alignment vertical="center"/>
    </xf>
    <xf numFmtId="0" fontId="22" fillId="0" borderId="1" xfId="0" applyFont="1" applyBorder="1" applyAlignment="1">
      <alignment horizontal="center" vertical="center"/>
    </xf>
    <xf numFmtId="43" fontId="22" fillId="0" borderId="1" xfId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14" fontId="25" fillId="0" borderId="0" xfId="0" applyNumberFormat="1" applyFont="1" applyFill="1" applyBorder="1" applyAlignment="1">
      <alignment horizontal="center" vertical="center"/>
    </xf>
    <xf numFmtId="43" fontId="25" fillId="0" borderId="0" xfId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43" fontId="1" fillId="0" borderId="0" xfId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3" fontId="1" fillId="0" borderId="0" xfId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9" fontId="1" fillId="0" borderId="0" xfId="2" applyFont="1" applyFill="1" applyBorder="1" applyAlignment="1">
      <alignment horizontal="right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Border="1"/>
    <xf numFmtId="49" fontId="22" fillId="0" borderId="1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9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43" fontId="2" fillId="0" borderId="0" xfId="1" applyFont="1"/>
    <xf numFmtId="0" fontId="0" fillId="0" borderId="3" xfId="0" applyBorder="1"/>
    <xf numFmtId="0" fontId="0" fillId="0" borderId="6" xfId="0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left" wrapText="1"/>
    </xf>
    <xf numFmtId="43" fontId="0" fillId="0" borderId="0" xfId="1" applyFont="1" applyAlignment="1">
      <alignment horizontal="left"/>
    </xf>
    <xf numFmtId="43" fontId="0" fillId="3" borderId="0" xfId="1" applyFont="1" applyFill="1" applyProtection="1">
      <protection locked="0"/>
    </xf>
    <xf numFmtId="167" fontId="0" fillId="3" borderId="0" xfId="1" applyNumberFormat="1" applyFont="1" applyFill="1" applyProtection="1">
      <protection locked="0"/>
    </xf>
    <xf numFmtId="21" fontId="0" fillId="3" borderId="0" xfId="1" applyNumberFormat="1" applyFont="1" applyFill="1" applyProtection="1">
      <protection locked="0"/>
    </xf>
    <xf numFmtId="21" fontId="0" fillId="3" borderId="0" xfId="1" applyNumberFormat="1" applyFont="1" applyFill="1" applyProtection="1"/>
    <xf numFmtId="0" fontId="15" fillId="0" borderId="0" xfId="0" applyFont="1"/>
    <xf numFmtId="0" fontId="15" fillId="0" borderId="1" xfId="0" applyFont="1" applyBorder="1"/>
    <xf numFmtId="166" fontId="15" fillId="0" borderId="1" xfId="1" applyNumberFormat="1" applyFont="1" applyBorder="1" applyAlignment="1">
      <alignment horizontal="center"/>
    </xf>
    <xf numFmtId="43" fontId="2" fillId="0" borderId="1" xfId="1" applyFont="1" applyBorder="1"/>
    <xf numFmtId="14" fontId="27" fillId="0" borderId="0" xfId="0" applyNumberFormat="1" applyFont="1"/>
    <xf numFmtId="0" fontId="27" fillId="0" borderId="0" xfId="0" applyFont="1"/>
    <xf numFmtId="14" fontId="4" fillId="0" borderId="0" xfId="0" applyNumberFormat="1" applyFont="1"/>
    <xf numFmtId="14" fontId="4" fillId="0" borderId="0" xfId="0" applyNumberFormat="1" applyFont="1" applyAlignment="1">
      <alignment horizontal="right"/>
    </xf>
    <xf numFmtId="0" fontId="4" fillId="2" borderId="0" xfId="0" applyFont="1" applyFill="1"/>
    <xf numFmtId="0" fontId="4" fillId="0" borderId="0" xfId="0" applyFont="1" applyFill="1"/>
    <xf numFmtId="0" fontId="4" fillId="2" borderId="0" xfId="0" applyFont="1" applyFill="1" applyBorder="1"/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left"/>
    </xf>
    <xf numFmtId="0" fontId="2" fillId="0" borderId="0" xfId="0" applyFont="1" applyAlignment="1">
      <alignment horizontal="center" vertical="center"/>
    </xf>
    <xf numFmtId="43" fontId="2" fillId="0" borderId="0" xfId="0" applyNumberFormat="1" applyFont="1"/>
    <xf numFmtId="43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43" fontId="2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/>
    <xf numFmtId="0" fontId="1" fillId="0" borderId="1" xfId="0" applyFont="1" applyBorder="1"/>
    <xf numFmtId="46" fontId="0" fillId="0" borderId="0" xfId="0" applyNumberFormat="1"/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164" fontId="0" fillId="4" borderId="0" xfId="0" applyNumberFormat="1" applyFill="1"/>
    <xf numFmtId="43" fontId="2" fillId="0" borderId="0" xfId="1" applyFont="1" applyBorder="1"/>
    <xf numFmtId="43" fontId="9" fillId="0" borderId="0" xfId="0" applyNumberFormat="1" applyFont="1"/>
    <xf numFmtId="43" fontId="9" fillId="0" borderId="0" xfId="1" applyFont="1"/>
    <xf numFmtId="43" fontId="9" fillId="4" borderId="0" xfId="0" applyNumberFormat="1" applyFont="1" applyFill="1"/>
    <xf numFmtId="0" fontId="15" fillId="4" borderId="0" xfId="0" applyFont="1" applyFill="1"/>
    <xf numFmtId="0" fontId="5" fillId="0" borderId="1" xfId="0" applyFont="1" applyFill="1" applyBorder="1"/>
    <xf numFmtId="0" fontId="9" fillId="0" borderId="1" xfId="0" applyFont="1" applyBorder="1" applyAlignment="1">
      <alignment horizontal="center" vertical="center" wrapText="1"/>
    </xf>
    <xf numFmtId="4" fontId="2" fillId="0" borderId="0" xfId="0" applyNumberFormat="1" applyFont="1"/>
    <xf numFmtId="4" fontId="2" fillId="0" borderId="0" xfId="0" applyNumberFormat="1" applyFont="1" applyFill="1" applyBorder="1"/>
    <xf numFmtId="0" fontId="10" fillId="0" borderId="0" xfId="0" applyFont="1" applyBorder="1" applyAlignment="1">
      <alignment horizontal="center" vertical="center" wrapText="1"/>
    </xf>
    <xf numFmtId="4" fontId="5" fillId="6" borderId="0" xfId="0" applyNumberFormat="1" applyFont="1" applyFill="1" applyBorder="1"/>
    <xf numFmtId="4" fontId="5" fillId="6" borderId="1" xfId="0" applyNumberFormat="1" applyFont="1" applyFill="1" applyBorder="1"/>
    <xf numFmtId="4" fontId="2" fillId="0" borderId="1" xfId="0" applyNumberFormat="1" applyFont="1" applyFill="1" applyBorder="1"/>
    <xf numFmtId="0" fontId="0" fillId="3" borderId="0" xfId="1" applyNumberFormat="1" applyFont="1" applyFill="1" applyProtection="1">
      <protection locked="0"/>
    </xf>
    <xf numFmtId="168" fontId="0" fillId="0" borderId="0" xfId="0" applyNumberFormat="1"/>
    <xf numFmtId="166" fontId="15" fillId="0" borderId="1" xfId="1" applyNumberFormat="1" applyFont="1" applyFill="1" applyBorder="1" applyAlignment="1">
      <alignment horizontal="center"/>
    </xf>
    <xf numFmtId="43" fontId="0" fillId="0" borderId="0" xfId="1" applyFont="1"/>
    <xf numFmtId="43" fontId="0" fillId="0" borderId="0" xfId="1" applyFont="1" applyFill="1" applyProtection="1"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</cellXfs>
  <cellStyles count="5">
    <cellStyle name="Hiperlink" xfId="3" builtinId="8"/>
    <cellStyle name="Hiperlink Visitado" xfId="4" builtinId="9" hidden="1"/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ineMcB\Google%20Drive\&#8721;%20Projetos\PRODIET%20NUTRIC&#807;A&#771;O\INOVAC&#807;A&#771;O%20TECNOLO&#769;GICA\2015\Lei%20do%20Bem\Time%20sheet\TS%20amontanin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ineMcB\Google%20Drive\&#8721;%20Projetos\PRODIET%20NUTRIC&#807;A&#771;O\INOVAC&#807;A&#771;O%20TECNOLO&#769;GICA\2015\Lei%20do%20Bem\Time%20sheet\TS%20fchavit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ineMcB\Google%20Drive\&#8721;%20Projetos\PRODIET%20NUTRIC&#807;A&#771;O\INOVAC&#807;A&#771;O%20TECNOLO&#769;GICA\2015\Lei%20do%20Bem\Time%20sheet\TS%20lnasciment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ineMcB\Google%20Drive\&#8721;%20Projetos\PRODIET%20NUTRIC&#807;A&#771;O\INOVAC&#807;A&#771;O%20TECNOLO&#769;GICA\2015\Lei%20do%20Bem\Time%20sheet\TS%20msoar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to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to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to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9"/>
  <sheetViews>
    <sheetView view="pageBreakPreview" zoomScaleSheetLayoutView="100" workbookViewId="0">
      <selection activeCell="D10" sqref="D10"/>
    </sheetView>
  </sheetViews>
  <sheetFormatPr defaultColWidth="8.875" defaultRowHeight="12.75" x14ac:dyDescent="0.2"/>
  <cols>
    <col min="1" max="1" width="2.625" style="12" customWidth="1"/>
    <col min="2" max="2" width="4.375" style="12" customWidth="1"/>
    <col min="3" max="3" width="33.125" style="12" bestFit="1" customWidth="1"/>
    <col min="4" max="4" width="23.875" style="12" customWidth="1"/>
    <col min="5" max="5" width="14.125" style="12" customWidth="1"/>
    <col min="6" max="16384" width="8.875" style="12"/>
  </cols>
  <sheetData>
    <row r="1" spans="2:19" customFormat="1" ht="18.75" x14ac:dyDescent="0.3">
      <c r="B1" s="46" t="s">
        <v>19</v>
      </c>
      <c r="C1" s="12"/>
    </row>
    <row r="2" spans="2:19" customFormat="1" ht="15.75" x14ac:dyDescent="0.25">
      <c r="B2" s="47" t="s">
        <v>104</v>
      </c>
      <c r="C2" s="12"/>
    </row>
    <row r="3" spans="2:19" customFormat="1" ht="15.75" x14ac:dyDescent="0.25">
      <c r="B3" s="47" t="s">
        <v>34</v>
      </c>
      <c r="C3" s="12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</row>
    <row r="4" spans="2:19" customFormat="1" ht="15.75" x14ac:dyDescent="0.25"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2:19" x14ac:dyDescent="0.2"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</row>
    <row r="6" spans="2:19" x14ac:dyDescent="0.2">
      <c r="C6" s="30" t="s">
        <v>13</v>
      </c>
      <c r="D6" s="31" t="s">
        <v>5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2:19" x14ac:dyDescent="0.2">
      <c r="C7" s="9" t="s">
        <v>9</v>
      </c>
      <c r="D7" s="1">
        <f>SUM('Resumo dos Terceiros e MP'!C22:G22)</f>
        <v>4139.1099999999997</v>
      </c>
      <c r="E7" s="63" t="s">
        <v>52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spans="2:19" x14ac:dyDescent="0.2">
      <c r="C8" s="75" t="s">
        <v>57</v>
      </c>
      <c r="D8" s="1">
        <f>'Time Sheet'!K4</f>
        <v>694.85408867815374</v>
      </c>
      <c r="E8" s="63" t="s">
        <v>327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spans="2:19" x14ac:dyDescent="0.2">
      <c r="C9" s="9" t="s">
        <v>58</v>
      </c>
      <c r="D9" s="1">
        <f>SUMIFS('Salário e Custo Hora'!$Q$21:$Q$28,'Salário e Custo Hora'!$D$21:$D$28,"Exclusiva")</f>
        <v>51793.854750000006</v>
      </c>
      <c r="E9" s="63" t="s">
        <v>328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spans="2:19" x14ac:dyDescent="0.2">
      <c r="C10" s="9" t="s">
        <v>10</v>
      </c>
      <c r="D10" s="4">
        <f>SUM('Resumo dos Terceiros e MP'!C20:G20)</f>
        <v>178458.74439249292</v>
      </c>
      <c r="E10" s="63" t="s">
        <v>52</v>
      </c>
    </row>
    <row r="11" spans="2:19" x14ac:dyDescent="0.2">
      <c r="C11" s="8" t="s">
        <v>12</v>
      </c>
      <c r="D11" s="5">
        <f>SUM(D7:D10)</f>
        <v>235086.56323117108</v>
      </c>
      <c r="E11" s="5"/>
    </row>
    <row r="12" spans="2:19" ht="17.25" customHeight="1" x14ac:dyDescent="0.2">
      <c r="C12" s="32" t="s">
        <v>56</v>
      </c>
      <c r="D12" s="33">
        <v>0.6</v>
      </c>
      <c r="F12" s="7"/>
    </row>
    <row r="13" spans="2:19" x14ac:dyDescent="0.2">
      <c r="C13" s="56" t="s">
        <v>333</v>
      </c>
      <c r="D13" s="5">
        <f>D11*D12</f>
        <v>141051.93793870264</v>
      </c>
      <c r="E13" s="5"/>
      <c r="F13" s="5"/>
      <c r="G13" s="5"/>
    </row>
    <row r="14" spans="2:19" x14ac:dyDescent="0.2">
      <c r="C14" s="11"/>
      <c r="D14" s="5"/>
    </row>
    <row r="15" spans="2:19" s="20" customFormat="1" x14ac:dyDescent="0.2">
      <c r="B15" s="83"/>
      <c r="C15" s="84" t="s">
        <v>103</v>
      </c>
      <c r="D15" s="85">
        <f>D13*34%</f>
        <v>47957.658899158901</v>
      </c>
      <c r="E15" s="22"/>
    </row>
    <row r="17" spans="3:3" x14ac:dyDescent="0.2">
      <c r="C17" s="63" t="s">
        <v>332</v>
      </c>
    </row>
    <row r="18" spans="3:3" x14ac:dyDescent="0.2">
      <c r="C18" s="63" t="s">
        <v>331</v>
      </c>
    </row>
    <row r="19" spans="3:3" x14ac:dyDescent="0.2">
      <c r="C19" s="63" t="s">
        <v>330</v>
      </c>
    </row>
  </sheetData>
  <sortState ref="C5:C90">
    <sortCondition ref="C5"/>
  </sortState>
  <pageMargins left="0.23622047244094491" right="0.23622047244094491" top="0.74803149606299213" bottom="0.74803149606299213" header="0.31496062992125984" footer="0.31496062992125984"/>
  <pageSetup paperSize="9" scale="99" orientation="portrait" r:id="rId1"/>
  <headerFooter>
    <oddFooter>&amp;C&amp;8____________________
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Views>
    <sheetView topLeftCell="B1" workbookViewId="0">
      <selection activeCell="C9" sqref="C9"/>
    </sheetView>
  </sheetViews>
  <sheetFormatPr defaultColWidth="8.875" defaultRowHeight="12.75" x14ac:dyDescent="0.2"/>
  <cols>
    <col min="1" max="1" width="13" style="12" customWidth="1"/>
    <col min="2" max="2" width="47.875" style="12" bestFit="1" customWidth="1"/>
    <col min="3" max="3" width="15.125" style="12" bestFit="1" customWidth="1"/>
    <col min="4" max="4" width="18.125" style="12" customWidth="1"/>
    <col min="5" max="5" width="19.125" style="2" customWidth="1"/>
    <col min="6" max="6" width="14.625" style="12" customWidth="1"/>
    <col min="7" max="7" width="21.125" style="12" customWidth="1"/>
    <col min="8" max="8" width="14.125" style="12" bestFit="1" customWidth="1"/>
    <col min="9" max="9" width="35.375" style="12" customWidth="1"/>
    <col min="10" max="16384" width="8.875" style="12"/>
  </cols>
  <sheetData>
    <row r="1" spans="1:9" customFormat="1" ht="18.75" x14ac:dyDescent="0.3">
      <c r="A1" s="12"/>
      <c r="B1" s="46" t="s">
        <v>19</v>
      </c>
      <c r="E1" s="3"/>
    </row>
    <row r="2" spans="1:9" customFormat="1" ht="15.75" x14ac:dyDescent="0.25">
      <c r="A2" s="12"/>
      <c r="B2" s="47" t="str">
        <f>Resumo!B2</f>
        <v>INOVAÇÃO TECNOLÓGICA 2015</v>
      </c>
      <c r="E2" s="3"/>
      <c r="G2" s="15"/>
    </row>
    <row r="3" spans="1:9" customFormat="1" ht="15.75" x14ac:dyDescent="0.25">
      <c r="A3" s="12"/>
      <c r="B3" s="47" t="s">
        <v>32</v>
      </c>
      <c r="E3" s="29"/>
      <c r="H3" s="180">
        <f>'Investimentos '!AA3</f>
        <v>182597.85439249291</v>
      </c>
    </row>
    <row r="4" spans="1:9" customFormat="1" ht="15.75" x14ac:dyDescent="0.25">
      <c r="D4" s="81"/>
      <c r="E4" s="3"/>
      <c r="F4" s="15"/>
      <c r="H4" s="181">
        <f>SUM(C20:G20)+SUM(C22:G22)</f>
        <v>182597.85439249291</v>
      </c>
    </row>
    <row r="5" spans="1:9" x14ac:dyDescent="0.2">
      <c r="B5" s="87"/>
      <c r="C5" s="88"/>
      <c r="D5" s="87"/>
      <c r="E5" s="59"/>
      <c r="F5" s="89"/>
      <c r="G5" s="87"/>
    </row>
    <row r="7" spans="1:9" x14ac:dyDescent="0.2">
      <c r="B7" s="23" t="s">
        <v>10</v>
      </c>
      <c r="C7" s="23" t="s">
        <v>11</v>
      </c>
      <c r="D7" s="23" t="s">
        <v>97</v>
      </c>
      <c r="E7" s="23" t="s">
        <v>94</v>
      </c>
      <c r="F7" s="23" t="s">
        <v>95</v>
      </c>
      <c r="G7" s="23" t="s">
        <v>8</v>
      </c>
      <c r="H7" s="82" t="s">
        <v>35</v>
      </c>
      <c r="I7" s="82" t="s">
        <v>179</v>
      </c>
    </row>
    <row r="8" spans="1:9" x14ac:dyDescent="0.2">
      <c r="B8" s="130" t="s">
        <v>101</v>
      </c>
      <c r="C8" s="139">
        <f>SUMIFS('Investimentos '!V$5:V$72,'Investimentos '!$F$5:$F$72,'Resumo dos Terceiros e MP'!$B8)</f>
        <v>217</v>
      </c>
      <c r="D8" s="139">
        <f>SUMIFS('Investimentos '!W$5:W$72,'Investimentos '!$F$5:$F$72,'Resumo dos Terceiros e MP'!$B8)</f>
        <v>0</v>
      </c>
      <c r="E8" s="139">
        <f>SUMIFS('Investimentos '!X$5:X$72,'Investimentos '!$F$5:$F$72,'Resumo dos Terceiros e MP'!$B8)</f>
        <v>560</v>
      </c>
      <c r="F8" s="139">
        <f>SUMIFS('Investimentos '!Y$5:Y$72,'Investimentos '!$F$5:$F$72,'Resumo dos Terceiros e MP'!$B8)</f>
        <v>0</v>
      </c>
      <c r="G8" s="139">
        <f>SUMIFS('Investimentos '!Z$5:Z$72,'Investimentos '!$F$5:$F$72,'Resumo dos Terceiros e MP'!$B8)</f>
        <v>0</v>
      </c>
      <c r="H8" s="63" t="s">
        <v>112</v>
      </c>
      <c r="I8" s="63" t="s">
        <v>182</v>
      </c>
    </row>
    <row r="9" spans="1:9" x14ac:dyDescent="0.2">
      <c r="B9" s="130" t="s">
        <v>141</v>
      </c>
      <c r="C9" s="182">
        <f>SUMIFS('Investimentos '!V$5:V$72,'Investimentos '!$F$5:$F$72,'Resumo dos Terceiros e MP'!$B9)</f>
        <v>488.67</v>
      </c>
      <c r="D9" s="182">
        <f>SUMIFS('Investimentos '!W$5:W$72,'Investimentos '!$F$5:$F$72,'Resumo dos Terceiros e MP'!$B9)</f>
        <v>0</v>
      </c>
      <c r="E9" s="182">
        <f>SUMIFS('Investimentos '!X$5:X$72,'Investimentos '!$F$5:$F$72,'Resumo dos Terceiros e MP'!$B9)</f>
        <v>562.45000000000005</v>
      </c>
      <c r="F9" s="182">
        <f>SUMIFS('Investimentos '!Y$5:Y$72,'Investimentos '!$F$5:$F$72,'Resumo dos Terceiros e MP'!$B9)</f>
        <v>0</v>
      </c>
      <c r="G9" s="182">
        <f>SUMIFS('Investimentos '!Z$5:Z$72,'Investimentos '!$F$5:$F$72,'Resumo dos Terceiros e MP'!$B9)</f>
        <v>0</v>
      </c>
      <c r="H9" s="63" t="s">
        <v>142</v>
      </c>
      <c r="I9" s="63" t="s">
        <v>136</v>
      </c>
    </row>
    <row r="10" spans="1:9" x14ac:dyDescent="0.2">
      <c r="B10" s="130" t="s">
        <v>147</v>
      </c>
      <c r="C10" s="182">
        <f>SUMIFS('Investimentos '!V$5:V$72,'Investimentos '!$F$5:$F$72,'Resumo dos Terceiros e MP'!$B10)</f>
        <v>0</v>
      </c>
      <c r="D10" s="182">
        <f>SUMIFS('Investimentos '!W$5:W$72,'Investimentos '!$F$5:$F$72,'Resumo dos Terceiros e MP'!$B10)</f>
        <v>0</v>
      </c>
      <c r="E10" s="182">
        <f>SUMIFS('Investimentos '!X$5:X$72,'Investimentos '!$F$5:$F$72,'Resumo dos Terceiros e MP'!$B10)</f>
        <v>4301.3899999999994</v>
      </c>
      <c r="F10" s="182">
        <f>SUMIFS('Investimentos '!Y$5:Y$72,'Investimentos '!$F$5:$F$72,'Resumo dos Terceiros e MP'!$B10)</f>
        <v>0</v>
      </c>
      <c r="G10" s="182">
        <f>SUMIFS('Investimentos '!Z$5:Z$72,'Investimentos '!$F$5:$F$72,'Resumo dos Terceiros e MP'!$B10)</f>
        <v>0</v>
      </c>
      <c r="H10" s="63" t="s">
        <v>148</v>
      </c>
      <c r="I10" s="63" t="s">
        <v>149</v>
      </c>
    </row>
    <row r="11" spans="1:9" x14ac:dyDescent="0.2">
      <c r="B11" s="130" t="s">
        <v>105</v>
      </c>
      <c r="C11" s="182">
        <f>SUMIFS('Investimentos '!V$5:V$72,'Investimentos '!$F$5:$F$72,'Resumo dos Terceiros e MP'!$B11)</f>
        <v>680</v>
      </c>
      <c r="D11" s="182">
        <f>SUMIFS('Investimentos '!W$5:W$72,'Investimentos '!$F$5:$F$72,'Resumo dos Terceiros e MP'!$B11)</f>
        <v>0</v>
      </c>
      <c r="E11" s="182">
        <f>SUMIFS('Investimentos '!X$5:X$72,'Investimentos '!$F$5:$F$72,'Resumo dos Terceiros e MP'!$B11)</f>
        <v>850</v>
      </c>
      <c r="F11" s="182">
        <f>SUMIFS('Investimentos '!Y$5:Y$72,'Investimentos '!$F$5:$F$72,'Resumo dos Terceiros e MP'!$B11)</f>
        <v>0</v>
      </c>
      <c r="G11" s="182">
        <f>SUMIFS('Investimentos '!Z$5:Z$72,'Investimentos '!$F$5:$F$72,'Resumo dos Terceiros e MP'!$B11)</f>
        <v>680</v>
      </c>
      <c r="H11" s="63" t="s">
        <v>107</v>
      </c>
      <c r="I11" s="63" t="s">
        <v>108</v>
      </c>
    </row>
    <row r="12" spans="1:9" x14ac:dyDescent="0.2">
      <c r="B12" s="130" t="s">
        <v>119</v>
      </c>
      <c r="C12" s="182">
        <f>SUMIFS('Investimentos '!V$5:V$72,'Investimentos '!$F$5:$F$72,'Resumo dos Terceiros e MP'!$B12)</f>
        <v>14975</v>
      </c>
      <c r="D12" s="182">
        <f>SUMIFS('Investimentos '!W$5:W$72,'Investimentos '!$F$5:$F$72,'Resumo dos Terceiros e MP'!$B12)</f>
        <v>0</v>
      </c>
      <c r="E12" s="182">
        <f>SUMIFS('Investimentos '!X$5:X$72,'Investimentos '!$F$5:$F$72,'Resumo dos Terceiros e MP'!$B12)</f>
        <v>0</v>
      </c>
      <c r="F12" s="182">
        <f>SUMIFS('Investimentos '!Y$5:Y$72,'Investimentos '!$F$5:$F$72,'Resumo dos Terceiros e MP'!$B12)</f>
        <v>0</v>
      </c>
      <c r="G12" s="182">
        <f>SUMIFS('Investimentos '!Z$5:Z$72,'Investimentos '!$F$5:$F$72,'Resumo dos Terceiros e MP'!$B12)</f>
        <v>0</v>
      </c>
      <c r="H12" s="63" t="s">
        <v>120</v>
      </c>
      <c r="I12" s="63" t="s">
        <v>183</v>
      </c>
    </row>
    <row r="13" spans="1:9" x14ac:dyDescent="0.2">
      <c r="A13" s="18"/>
      <c r="B13" s="125" t="s">
        <v>132</v>
      </c>
      <c r="C13" s="182">
        <f>SUMIFS('Investimentos '!V$5:V$72,'Investimentos '!$F$5:$F$72,'Resumo dos Terceiros e MP'!$B13)</f>
        <v>570</v>
      </c>
      <c r="D13" s="182">
        <f>SUMIFS('Investimentos '!W$5:W$72,'Investimentos '!$F$5:$F$72,'Resumo dos Terceiros e MP'!$B13)</f>
        <v>570</v>
      </c>
      <c r="E13" s="182">
        <f>SUMIFS('Investimentos '!X$5:X$72,'Investimentos '!$F$5:$F$72,'Resumo dos Terceiros e MP'!$B13)</f>
        <v>1995</v>
      </c>
      <c r="F13" s="182">
        <f>SUMIFS('Investimentos '!Y$5:Y$72,'Investimentos '!$F$5:$F$72,'Resumo dos Terceiros e MP'!$B13)</f>
        <v>0</v>
      </c>
      <c r="G13" s="182">
        <f>SUMIFS('Investimentos '!Z$5:Z$72,'Investimentos '!$F$5:$F$72,'Resumo dos Terceiros e MP'!$B13)</f>
        <v>0</v>
      </c>
      <c r="H13" s="63" t="s">
        <v>76</v>
      </c>
      <c r="I13" s="63" t="s">
        <v>133</v>
      </c>
    </row>
    <row r="14" spans="1:9" x14ac:dyDescent="0.2">
      <c r="A14" s="18"/>
      <c r="B14" s="130" t="s">
        <v>156</v>
      </c>
      <c r="C14" s="182">
        <f>SUMIFS('Investimentos '!V$5:V$72,'Investimentos '!$F$5:$F$72,'Resumo dos Terceiros e MP'!$B14)</f>
        <v>0</v>
      </c>
      <c r="D14" s="182">
        <f>SUMIFS('Investimentos '!W$5:W$72,'Investimentos '!$F$5:$F$72,'Resumo dos Terceiros e MP'!$B14)</f>
        <v>0</v>
      </c>
      <c r="E14" s="182">
        <f>SUMIFS('Investimentos '!X$5:X$72,'Investimentos '!$F$5:$F$72,'Resumo dos Terceiros e MP'!$B14)</f>
        <v>0</v>
      </c>
      <c r="F14" s="182">
        <f>SUMIFS('Investimentos '!Y$5:Y$72,'Investimentos '!$F$5:$F$72,'Resumo dos Terceiros e MP'!$B14)</f>
        <v>2496.1999999999998</v>
      </c>
      <c r="G14" s="182">
        <f>SUMIFS('Investimentos '!Z$5:Z$72,'Investimentos '!$F$5:$F$72,'Resumo dos Terceiros e MP'!$B14)</f>
        <v>0</v>
      </c>
      <c r="H14" s="63" t="s">
        <v>157</v>
      </c>
      <c r="I14" s="63" t="s">
        <v>158</v>
      </c>
    </row>
    <row r="15" spans="1:9" x14ac:dyDescent="0.2">
      <c r="A15" s="18"/>
      <c r="B15" s="125" t="s">
        <v>178</v>
      </c>
      <c r="C15" s="182">
        <f>SUMIFS('Investimentos '!V$5:V$72,'Investimentos '!$F$5:$F$72,'Resumo dos Terceiros e MP'!$B15)</f>
        <v>4489.7950000000001</v>
      </c>
      <c r="D15" s="182">
        <f>SUMIFS('Investimentos '!W$5:W$72,'Investimentos '!$F$5:$F$72,'Resumo dos Terceiros e MP'!$B15)</f>
        <v>0</v>
      </c>
      <c r="E15" s="182">
        <f>SUMIFS('Investimentos '!X$5:X$72,'Investimentos '!$F$5:$F$72,'Resumo dos Terceiros e MP'!$B15)</f>
        <v>4489.7950000000001</v>
      </c>
      <c r="F15" s="182">
        <f>SUMIFS('Investimentos '!Y$5:Y$72,'Investimentos '!$F$5:$F$72,'Resumo dos Terceiros e MP'!$B15)</f>
        <v>0</v>
      </c>
      <c r="G15" s="182">
        <f>SUMIFS('Investimentos '!Z$5:Z$72,'Investimentos '!$F$5:$F$72,'Resumo dos Terceiros e MP'!$B15)</f>
        <v>0</v>
      </c>
      <c r="H15" s="63" t="s">
        <v>130</v>
      </c>
      <c r="I15" s="63" t="s">
        <v>131</v>
      </c>
    </row>
    <row r="16" spans="1:9" x14ac:dyDescent="0.2">
      <c r="B16" s="125" t="s">
        <v>134</v>
      </c>
      <c r="C16" s="182">
        <f>SUMIFS('Investimentos '!V$5:V$72,'Investimentos '!$F$5:$F$72,'Resumo dos Terceiros e MP'!$B16)</f>
        <v>0</v>
      </c>
      <c r="D16" s="182">
        <f>SUMIFS('Investimentos '!W$5:W$72,'Investimentos '!$F$5:$F$72,'Resumo dos Terceiros e MP'!$B16)</f>
        <v>405.07</v>
      </c>
      <c r="E16" s="182">
        <f>SUMIFS('Investimentos '!X$5:X$72,'Investimentos '!$F$5:$F$72,'Resumo dos Terceiros e MP'!$B16)</f>
        <v>0</v>
      </c>
      <c r="F16" s="182">
        <f>SUMIFS('Investimentos '!Y$5:Y$72,'Investimentos '!$F$5:$F$72,'Resumo dos Terceiros e MP'!$B16)</f>
        <v>405.07</v>
      </c>
      <c r="G16" s="182">
        <f>SUMIFS('Investimentos '!Z$5:Z$72,'Investimentos '!$F$5:$F$72,'Resumo dos Terceiros e MP'!$B16)</f>
        <v>710.15</v>
      </c>
      <c r="H16" s="63" t="s">
        <v>135</v>
      </c>
      <c r="I16" s="63" t="s">
        <v>136</v>
      </c>
    </row>
    <row r="17" spans="2:11" x14ac:dyDescent="0.2">
      <c r="B17" s="175" t="s">
        <v>53</v>
      </c>
      <c r="C17" s="182">
        <f>SUMIFS('Investimentos '!V$5:V$72,'Investimentos '!$F$5:$F$72,'Resumo dos Terceiros e MP'!$B17)</f>
        <v>8125.84</v>
      </c>
      <c r="D17" s="182">
        <f>SUMIFS('Investimentos '!W$5:W$72,'Investimentos '!$F$5:$F$72,'Resumo dos Terceiros e MP'!$B17)</f>
        <v>8125.84</v>
      </c>
      <c r="E17" s="182">
        <f>SUMIFS('Investimentos '!X$5:X$72,'Investimentos '!$F$5:$F$72,'Resumo dos Terceiros e MP'!$B17)</f>
        <v>8125.84</v>
      </c>
      <c r="F17" s="182">
        <f>SUMIFS('Investimentos '!Y$5:Y$72,'Investimentos '!$F$5:$F$72,'Resumo dos Terceiros e MP'!$B17)</f>
        <v>8125.84</v>
      </c>
      <c r="G17" s="182">
        <f>SUMIFS('Investimentos '!Z$5:Z$72,'Investimentos '!$F$5:$F$72,'Resumo dos Terceiros e MP'!$B17)</f>
        <v>8125.84</v>
      </c>
      <c r="H17" s="167" t="s">
        <v>51</v>
      </c>
      <c r="I17" s="53" t="s">
        <v>75</v>
      </c>
      <c r="J17" s="168" t="s">
        <v>99</v>
      </c>
      <c r="K17" s="107"/>
    </row>
    <row r="18" spans="2:11" x14ac:dyDescent="0.2">
      <c r="B18" s="176" t="s">
        <v>49</v>
      </c>
      <c r="C18" s="182">
        <f>SUMIFS('Investimentos '!V$5:V$72,'Investimentos '!$F$5:$F$72,'Resumo dos Terceiros e MP'!$B18)</f>
        <v>21.910878498584285</v>
      </c>
      <c r="D18" s="182">
        <f>SUMIFS('Investimentos '!W$5:W$72,'Investimentos '!$F$5:$F$72,'Resumo dos Terceiros e MP'!$B18)</f>
        <v>21.910878498584285</v>
      </c>
      <c r="E18" s="182">
        <f>SUMIFS('Investimentos '!X$5:X$72,'Investimentos '!$F$5:$F$72,'Resumo dos Terceiros e MP'!$B18)</f>
        <v>21.910878498584285</v>
      </c>
      <c r="F18" s="182">
        <f>SUMIFS('Investimentos '!Y$5:Y$72,'Investimentos '!$F$5:$F$72,'Resumo dos Terceiros e MP'!$B18)</f>
        <v>21.910878498584285</v>
      </c>
      <c r="G18" s="182">
        <f>SUMIFS('Investimentos '!Z$5:Z$72,'Investimentos '!$F$5:$F$72,'Resumo dos Terceiros e MP'!$B18)</f>
        <v>21.910878498584285</v>
      </c>
      <c r="H18" s="169" t="s">
        <v>50</v>
      </c>
      <c r="I18" s="170" t="s">
        <v>184</v>
      </c>
      <c r="J18" s="171" t="s">
        <v>63</v>
      </c>
    </row>
    <row r="19" spans="2:11" x14ac:dyDescent="0.2">
      <c r="B19" s="177" t="s">
        <v>54</v>
      </c>
      <c r="C19" s="153">
        <f>SUMIFS('Investimentos '!V$5:V$72,'Investimentos '!$F$5:$F$72,'Resumo dos Terceiros e MP'!$B19)</f>
        <v>19654.88</v>
      </c>
      <c r="D19" s="153">
        <f>SUMIFS('Investimentos '!W$5:W$72,'Investimentos '!$F$5:$F$72,'Resumo dos Terceiros e MP'!$B19)</f>
        <v>19654.88</v>
      </c>
      <c r="E19" s="153">
        <f>SUMIFS('Investimentos '!X$5:X$72,'Investimentos '!$F$5:$F$72,'Resumo dos Terceiros e MP'!$B19)</f>
        <v>19654.88</v>
      </c>
      <c r="F19" s="153">
        <f>SUMIFS('Investimentos '!Y$5:Y$72,'Investimentos '!$F$5:$F$72,'Resumo dos Terceiros e MP'!$B19)</f>
        <v>19654.88</v>
      </c>
      <c r="G19" s="153">
        <f>SUMIFS('Investimentos '!Z$5:Z$72,'Investimentos '!$F$5:$F$72,'Resumo dos Terceiros e MP'!$B19)</f>
        <v>19654.88</v>
      </c>
      <c r="H19" s="172" t="s">
        <v>55</v>
      </c>
      <c r="I19" s="173" t="s">
        <v>185</v>
      </c>
      <c r="J19" s="174" t="s">
        <v>1</v>
      </c>
      <c r="K19" s="107"/>
    </row>
    <row r="20" spans="2:11" ht="15.75" x14ac:dyDescent="0.25">
      <c r="B20" s="150" t="s">
        <v>307</v>
      </c>
      <c r="C20" s="183">
        <f>SUM(C8:C19)</f>
        <v>49223.095878498585</v>
      </c>
      <c r="D20" s="183">
        <f t="shared" ref="D20:G20" si="0">SUM(D8:D19)</f>
        <v>28777.700878498585</v>
      </c>
      <c r="E20" s="183">
        <f t="shared" si="0"/>
        <v>40561.265878498583</v>
      </c>
      <c r="F20" s="183">
        <f t="shared" si="0"/>
        <v>30703.900878498585</v>
      </c>
      <c r="G20" s="183">
        <f t="shared" si="0"/>
        <v>29192.780878498583</v>
      </c>
      <c r="H20" s="5">
        <f>SUM(C20:G20)</f>
        <v>178458.74439249292</v>
      </c>
    </row>
    <row r="21" spans="2:11" ht="15.75" x14ac:dyDescent="0.25">
      <c r="B21"/>
    </row>
    <row r="22" spans="2:11" ht="15.75" x14ac:dyDescent="0.25">
      <c r="B22" s="150" t="s">
        <v>306</v>
      </c>
      <c r="C22" s="184">
        <f>SUMIFS('Investimentos '!V$5:V$72,'Investimentos '!$I$5:$I$72,"Material")</f>
        <v>1786.6566666666668</v>
      </c>
      <c r="D22" s="184">
        <f>SUMIFS('Investimentos '!W$5:W$72,'Investimentos '!$I$5:$I$72,"Material")</f>
        <v>41</v>
      </c>
      <c r="E22" s="184">
        <f>SUMIFS('Investimentos '!X$5:X$72,'Investimentos '!$I$5:$I$72,"Material")</f>
        <v>2311.4533333333329</v>
      </c>
      <c r="F22" s="184">
        <f>SUMIFS('Investimentos '!Y$5:Y$72,'Investimentos '!$I$5:$I$72,"Material")</f>
        <v>0</v>
      </c>
      <c r="G22" s="184">
        <f>SUMIFS('Investimentos '!Z$5:Z$72,'Investimentos '!$I$5:$I$72,"Material")</f>
        <v>0</v>
      </c>
      <c r="H22" s="5">
        <f>SUM(C22:G22)</f>
        <v>4139.1099999999997</v>
      </c>
    </row>
    <row r="23" spans="2:11" ht="15.75" x14ac:dyDescent="0.25">
      <c r="B23"/>
    </row>
    <row r="24" spans="2:11" ht="15.75" x14ac:dyDescent="0.25">
      <c r="B24" s="186" t="s">
        <v>12</v>
      </c>
      <c r="C24" s="185">
        <f>SUM(C20:C22)</f>
        <v>51009.752545165255</v>
      </c>
      <c r="D24" s="185">
        <f t="shared" ref="D24:G24" si="1">SUM(D20:D22)</f>
        <v>28818.700878498585</v>
      </c>
      <c r="E24" s="185">
        <f t="shared" si="1"/>
        <v>42872.719211831914</v>
      </c>
      <c r="F24" s="185">
        <f t="shared" si="1"/>
        <v>30703.900878498585</v>
      </c>
      <c r="G24" s="185">
        <f t="shared" si="1"/>
        <v>29192.780878498583</v>
      </c>
      <c r="H24" s="185">
        <f>SUM(C24:G24)</f>
        <v>182597.85439249291</v>
      </c>
    </row>
    <row r="25" spans="2:11" ht="15.75" x14ac:dyDescent="0.25">
      <c r="B25"/>
    </row>
    <row r="26" spans="2:11" x14ac:dyDescent="0.2">
      <c r="B26" s="63" t="s">
        <v>329</v>
      </c>
    </row>
  </sheetData>
  <sortState ref="B25:B42">
    <sortCondition ref="B25"/>
  </sortState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&amp;C&amp;8____________________
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7"/>
  <sheetViews>
    <sheetView workbookViewId="0">
      <selection activeCell="B7" sqref="B7"/>
    </sheetView>
  </sheetViews>
  <sheetFormatPr defaultColWidth="8.875" defaultRowHeight="12.75" x14ac:dyDescent="0.2"/>
  <cols>
    <col min="1" max="1" width="6.125" style="12" customWidth="1"/>
    <col min="2" max="2" width="19.5" style="12" customWidth="1"/>
    <col min="3" max="3" width="13.125" style="12" customWidth="1"/>
    <col min="4" max="4" width="10.125" style="12" bestFit="1" customWidth="1"/>
    <col min="5" max="6" width="8.875" style="12"/>
    <col min="7" max="7" width="9.5" style="12" customWidth="1"/>
    <col min="8" max="16" width="8.875" style="12"/>
    <col min="17" max="17" width="9" style="12" customWidth="1"/>
    <col min="18" max="18" width="13.125" style="12" customWidth="1"/>
    <col min="19" max="19" width="17.375" style="12" customWidth="1"/>
    <col min="20" max="16384" width="8.875" style="12"/>
  </cols>
  <sheetData>
    <row r="1" spans="1:20" customFormat="1" ht="18.75" x14ac:dyDescent="0.3">
      <c r="A1" s="12"/>
      <c r="B1" s="46" t="s">
        <v>14</v>
      </c>
      <c r="F1" s="12"/>
      <c r="G1" s="12"/>
      <c r="I1" s="19"/>
      <c r="J1" s="19"/>
      <c r="K1" s="19"/>
      <c r="L1" s="19"/>
      <c r="M1" s="19"/>
    </row>
    <row r="2" spans="1:20" customFormat="1" ht="15.75" x14ac:dyDescent="0.25">
      <c r="A2" s="12"/>
      <c r="B2" s="47" t="str">
        <f>Resumo!B2</f>
        <v>INOVAÇÃO TECNOLÓGICA 2015</v>
      </c>
      <c r="F2" s="62"/>
      <c r="G2" s="12"/>
      <c r="J2" s="12"/>
      <c r="K2" s="12"/>
    </row>
    <row r="3" spans="1:20" customFormat="1" ht="15.75" x14ac:dyDescent="0.25">
      <c r="A3" s="12"/>
      <c r="B3" s="47" t="s">
        <v>31</v>
      </c>
      <c r="E3" s="81"/>
      <c r="F3" s="62"/>
      <c r="G3" s="25"/>
      <c r="J3" s="12"/>
      <c r="K3" s="12"/>
    </row>
    <row r="4" spans="1:20" customFormat="1" ht="15.75" x14ac:dyDescent="0.25">
      <c r="F4" s="12"/>
      <c r="G4" s="12"/>
      <c r="J4" s="23" t="s">
        <v>15</v>
      </c>
      <c r="K4" s="12"/>
    </row>
    <row r="5" spans="1:20" customFormat="1" ht="15.75" x14ac:dyDescent="0.25">
      <c r="B5" s="52" t="s">
        <v>24</v>
      </c>
      <c r="C5" s="12"/>
      <c r="D5" s="52"/>
      <c r="E5" s="48"/>
      <c r="F5" s="48"/>
      <c r="G5" s="49"/>
      <c r="J5" s="86">
        <v>0.2</v>
      </c>
      <c r="K5" t="s">
        <v>335</v>
      </c>
    </row>
    <row r="6" spans="1:20" customFormat="1" ht="15.75" x14ac:dyDescent="0.25">
      <c r="B6" s="24" t="s">
        <v>15</v>
      </c>
      <c r="C6" s="12"/>
      <c r="D6" s="24" t="s">
        <v>16</v>
      </c>
      <c r="E6" s="24" t="s">
        <v>17</v>
      </c>
      <c r="F6" s="24" t="s">
        <v>18</v>
      </c>
      <c r="G6" s="24" t="s">
        <v>12</v>
      </c>
      <c r="J6" s="86">
        <v>5.8000000000000003E-2</v>
      </c>
      <c r="K6" t="s">
        <v>10</v>
      </c>
    </row>
    <row r="7" spans="1:20" customFormat="1" ht="15.75" x14ac:dyDescent="0.25">
      <c r="B7" s="50">
        <f>SUM(J5:J7)</f>
        <v>0.27300000000000002</v>
      </c>
      <c r="C7" s="12"/>
      <c r="D7" s="50">
        <v>0.08</v>
      </c>
      <c r="E7" s="51">
        <f>((1/12)+(1/12/3))*(1+$D$7+$B$7)</f>
        <v>0.15033333333333335</v>
      </c>
      <c r="F7" s="51">
        <f>(1/12)*(1+$D$7+$B$7)</f>
        <v>0.11275000000000002</v>
      </c>
      <c r="G7" s="51">
        <f>SUM(B7:F7)</f>
        <v>0.61608333333333343</v>
      </c>
      <c r="J7" s="86">
        <v>1.4999999999999999E-2</v>
      </c>
      <c r="K7" t="s">
        <v>334</v>
      </c>
    </row>
    <row r="8" spans="1:20" customFormat="1" ht="15.75" x14ac:dyDescent="0.25"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</row>
    <row r="9" spans="1:20" x14ac:dyDescent="0.2">
      <c r="B9" s="41" t="s">
        <v>21</v>
      </c>
      <c r="C9" s="41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spans="1:20" s="42" customFormat="1" ht="25.5" x14ac:dyDescent="0.25">
      <c r="B10" s="30" t="s">
        <v>61</v>
      </c>
      <c r="C10" s="188" t="s">
        <v>62</v>
      </c>
      <c r="D10" s="30" t="s">
        <v>27</v>
      </c>
      <c r="E10" s="35">
        <v>42005</v>
      </c>
      <c r="F10" s="35">
        <v>42036</v>
      </c>
      <c r="G10" s="35">
        <v>42064</v>
      </c>
      <c r="H10" s="35">
        <v>42095</v>
      </c>
      <c r="I10" s="35">
        <v>42125</v>
      </c>
      <c r="J10" s="35">
        <v>42156</v>
      </c>
      <c r="K10" s="35">
        <v>42186</v>
      </c>
      <c r="L10" s="35">
        <v>42217</v>
      </c>
      <c r="M10" s="35">
        <v>42248</v>
      </c>
      <c r="N10" s="35">
        <v>42278</v>
      </c>
      <c r="O10" s="35">
        <v>42309</v>
      </c>
      <c r="P10" s="35">
        <v>42339</v>
      </c>
      <c r="Q10" s="36" t="s">
        <v>30</v>
      </c>
      <c r="R10" s="188" t="s">
        <v>309</v>
      </c>
      <c r="S10" s="188" t="s">
        <v>310</v>
      </c>
    </row>
    <row r="11" spans="1:20" x14ac:dyDescent="0.2">
      <c r="A11" s="18"/>
      <c r="B11" s="63" t="s">
        <v>313</v>
      </c>
      <c r="C11" s="55" t="s">
        <v>308</v>
      </c>
      <c r="D11" s="14" t="s">
        <v>28</v>
      </c>
      <c r="E11" s="192"/>
      <c r="F11" s="192"/>
      <c r="G11" s="192"/>
      <c r="H11" s="192"/>
      <c r="I11" s="192">
        <v>3302</v>
      </c>
      <c r="J11" s="192">
        <f>I11</f>
        <v>3302</v>
      </c>
      <c r="K11" s="192">
        <v>3599</v>
      </c>
      <c r="L11" s="192"/>
      <c r="M11" s="192"/>
      <c r="N11" s="192"/>
      <c r="O11" s="192"/>
      <c r="P11" s="192"/>
      <c r="Q11" s="73">
        <f t="shared" ref="Q11:Q17" si="0">SUM(E11:P11)</f>
        <v>10203</v>
      </c>
      <c r="R11" s="73"/>
      <c r="T11" s="189" t="s">
        <v>321</v>
      </c>
    </row>
    <row r="12" spans="1:20" x14ac:dyDescent="0.2">
      <c r="A12" s="18"/>
      <c r="B12" s="62" t="s">
        <v>314</v>
      </c>
      <c r="C12" s="56" t="s">
        <v>177</v>
      </c>
      <c r="D12" s="56" t="s">
        <v>28</v>
      </c>
      <c r="E12" s="192"/>
      <c r="F12" s="192"/>
      <c r="G12" s="192"/>
      <c r="H12" s="192"/>
      <c r="I12" s="192"/>
      <c r="J12" s="192"/>
      <c r="K12" s="192"/>
      <c r="L12" s="192">
        <v>1992</v>
      </c>
      <c r="M12" s="192">
        <f>L12</f>
        <v>1992</v>
      </c>
      <c r="N12" s="192">
        <f>M12</f>
        <v>1992</v>
      </c>
      <c r="O12" s="192">
        <f>N12</f>
        <v>1992</v>
      </c>
      <c r="P12" s="192">
        <f>O12</f>
        <v>1992</v>
      </c>
      <c r="Q12" s="73">
        <f>SUM(E12:P12)</f>
        <v>9960</v>
      </c>
      <c r="R12" s="73"/>
      <c r="T12" s="189" t="s">
        <v>315</v>
      </c>
    </row>
    <row r="13" spans="1:20" x14ac:dyDescent="0.2">
      <c r="B13" s="63" t="s">
        <v>316</v>
      </c>
      <c r="C13" s="55" t="s">
        <v>322</v>
      </c>
      <c r="D13" s="14" t="s">
        <v>29</v>
      </c>
      <c r="E13" s="192">
        <v>1823</v>
      </c>
      <c r="F13" s="192">
        <v>1823</v>
      </c>
      <c r="G13" s="192">
        <v>1823</v>
      </c>
      <c r="H13" s="192">
        <v>1823</v>
      </c>
      <c r="I13" s="192">
        <v>1823</v>
      </c>
      <c r="J13" s="192">
        <v>1823</v>
      </c>
      <c r="K13" s="192">
        <v>1823</v>
      </c>
      <c r="L13" s="192">
        <v>1987</v>
      </c>
      <c r="M13" s="192">
        <v>1987</v>
      </c>
      <c r="N13" s="192">
        <v>1987</v>
      </c>
      <c r="O13" s="192">
        <v>1987</v>
      </c>
      <c r="P13" s="192">
        <v>1987</v>
      </c>
      <c r="Q13" s="73">
        <f t="shared" si="0"/>
        <v>22696</v>
      </c>
      <c r="R13" s="73"/>
    </row>
    <row r="14" spans="1:20" x14ac:dyDescent="0.2">
      <c r="B14" s="63" t="s">
        <v>60</v>
      </c>
      <c r="C14" s="55" t="s">
        <v>323</v>
      </c>
      <c r="D14" s="14" t="s">
        <v>29</v>
      </c>
      <c r="E14" s="192">
        <v>2025</v>
      </c>
      <c r="F14" s="192">
        <v>2025</v>
      </c>
      <c r="G14" s="192">
        <v>2025</v>
      </c>
      <c r="H14" s="192">
        <v>2329</v>
      </c>
      <c r="I14" s="192">
        <v>2329</v>
      </c>
      <c r="J14" s="192">
        <v>2654</v>
      </c>
      <c r="K14" s="192">
        <v>2654</v>
      </c>
      <c r="L14" s="192">
        <v>2893</v>
      </c>
      <c r="M14" s="192">
        <v>2893</v>
      </c>
      <c r="N14" s="192">
        <v>2893</v>
      </c>
      <c r="O14" s="192">
        <v>2893</v>
      </c>
      <c r="P14" s="192">
        <v>2893</v>
      </c>
      <c r="Q14" s="73">
        <f t="shared" si="0"/>
        <v>30506</v>
      </c>
      <c r="R14" s="190" t="s">
        <v>93</v>
      </c>
    </row>
    <row r="15" spans="1:20" x14ac:dyDescent="0.2">
      <c r="A15" s="18"/>
      <c r="B15" s="134" t="s">
        <v>317</v>
      </c>
      <c r="C15" s="55" t="s">
        <v>162</v>
      </c>
      <c r="D15" s="14" t="s">
        <v>29</v>
      </c>
      <c r="E15" s="192">
        <v>1355</v>
      </c>
      <c r="F15" s="192">
        <v>1355</v>
      </c>
      <c r="G15" s="192">
        <v>1355</v>
      </c>
      <c r="H15" s="192">
        <v>1355</v>
      </c>
      <c r="I15" s="192">
        <v>1355</v>
      </c>
      <c r="J15" s="192">
        <v>1355</v>
      </c>
      <c r="K15" s="192">
        <v>1355</v>
      </c>
      <c r="L15" s="192">
        <v>1477</v>
      </c>
      <c r="M15" s="192"/>
      <c r="N15" s="192"/>
      <c r="O15" s="192"/>
      <c r="P15" s="192"/>
      <c r="Q15" s="73">
        <f t="shared" si="0"/>
        <v>10962</v>
      </c>
      <c r="R15" s="73"/>
    </row>
    <row r="16" spans="1:20" x14ac:dyDescent="0.2">
      <c r="A16" s="18"/>
      <c r="B16" s="134" t="s">
        <v>318</v>
      </c>
      <c r="C16" s="55" t="s">
        <v>176</v>
      </c>
      <c r="D16" s="55" t="s">
        <v>29</v>
      </c>
      <c r="E16" s="192">
        <v>1298</v>
      </c>
      <c r="F16" s="192">
        <v>1298</v>
      </c>
      <c r="G16" s="192">
        <v>1298</v>
      </c>
      <c r="H16" s="192">
        <v>1298</v>
      </c>
      <c r="I16" s="192">
        <v>1298</v>
      </c>
      <c r="J16" s="192">
        <v>1298</v>
      </c>
      <c r="K16" s="192">
        <v>1298</v>
      </c>
      <c r="L16" s="192">
        <v>1415</v>
      </c>
      <c r="M16" s="192">
        <v>1415</v>
      </c>
      <c r="N16" s="192">
        <v>1415</v>
      </c>
      <c r="O16" s="192">
        <v>1415</v>
      </c>
      <c r="P16" s="192"/>
      <c r="Q16" s="73">
        <f t="shared" si="0"/>
        <v>14746</v>
      </c>
      <c r="R16" s="73"/>
    </row>
    <row r="17" spans="1:20" x14ac:dyDescent="0.2">
      <c r="B17" s="132" t="s">
        <v>319</v>
      </c>
      <c r="C17" s="132" t="s">
        <v>324</v>
      </c>
      <c r="D17" s="133" t="s">
        <v>28</v>
      </c>
      <c r="E17" s="193">
        <v>3962</v>
      </c>
      <c r="F17" s="193">
        <v>3962</v>
      </c>
      <c r="G17" s="193">
        <f>F17</f>
        <v>3962</v>
      </c>
      <c r="H17" s="193"/>
      <c r="I17" s="193"/>
      <c r="J17" s="193"/>
      <c r="K17" s="193"/>
      <c r="L17" s="193"/>
      <c r="M17" s="193"/>
      <c r="N17" s="193"/>
      <c r="O17" s="193"/>
      <c r="P17" s="193"/>
      <c r="Q17" s="74">
        <f t="shared" si="0"/>
        <v>11886</v>
      </c>
      <c r="R17" s="194" t="s">
        <v>312</v>
      </c>
      <c r="S17" s="21"/>
      <c r="T17" s="63" t="s">
        <v>320</v>
      </c>
    </row>
    <row r="18" spans="1:20" ht="19.5" customHeight="1" x14ac:dyDescent="0.2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20" x14ac:dyDescent="0.2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20" x14ac:dyDescent="0.2">
      <c r="A20" s="72"/>
      <c r="B20" s="41" t="s">
        <v>64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20" s="2" customFormat="1" ht="25.5" x14ac:dyDescent="0.2">
      <c r="A21" s="72"/>
      <c r="B21" s="30" t="s">
        <v>61</v>
      </c>
      <c r="C21" s="36" t="s">
        <v>62</v>
      </c>
      <c r="D21" s="30" t="s">
        <v>27</v>
      </c>
      <c r="E21" s="35">
        <f t="shared" ref="E21:P21" si="1">E10</f>
        <v>42005</v>
      </c>
      <c r="F21" s="35">
        <f t="shared" si="1"/>
        <v>42036</v>
      </c>
      <c r="G21" s="35">
        <f t="shared" si="1"/>
        <v>42064</v>
      </c>
      <c r="H21" s="35">
        <f t="shared" si="1"/>
        <v>42095</v>
      </c>
      <c r="I21" s="35">
        <f t="shared" si="1"/>
        <v>42125</v>
      </c>
      <c r="J21" s="35">
        <f t="shared" si="1"/>
        <v>42156</v>
      </c>
      <c r="K21" s="35">
        <f t="shared" si="1"/>
        <v>42186</v>
      </c>
      <c r="L21" s="35">
        <f t="shared" si="1"/>
        <v>42217</v>
      </c>
      <c r="M21" s="35">
        <f t="shared" si="1"/>
        <v>42248</v>
      </c>
      <c r="N21" s="35">
        <f t="shared" si="1"/>
        <v>42278</v>
      </c>
      <c r="O21" s="35">
        <f t="shared" si="1"/>
        <v>42309</v>
      </c>
      <c r="P21" s="35">
        <f t="shared" si="1"/>
        <v>42339</v>
      </c>
      <c r="Q21" s="36" t="s">
        <v>30</v>
      </c>
      <c r="R21" s="191"/>
    </row>
    <row r="22" spans="1:20" x14ac:dyDescent="0.2">
      <c r="A22" s="72"/>
      <c r="B22" s="12" t="str">
        <f>B11</f>
        <v>Aline Francielle Fracasso</v>
      </c>
      <c r="C22" s="12" t="str">
        <f>C11</f>
        <v>Aline</v>
      </c>
      <c r="D22" s="12" t="str">
        <f>D11</f>
        <v>Exclusiva</v>
      </c>
      <c r="E22" s="16">
        <f t="shared" ref="E22:P22" si="2">E11*(1+$G$7)</f>
        <v>0</v>
      </c>
      <c r="F22" s="16">
        <f t="shared" si="2"/>
        <v>0</v>
      </c>
      <c r="G22" s="16">
        <f t="shared" si="2"/>
        <v>0</v>
      </c>
      <c r="H22" s="16">
        <f t="shared" si="2"/>
        <v>0</v>
      </c>
      <c r="I22" s="16">
        <f t="shared" si="2"/>
        <v>5336.3071666666674</v>
      </c>
      <c r="J22" s="16">
        <f t="shared" si="2"/>
        <v>5336.3071666666674</v>
      </c>
      <c r="K22" s="16">
        <f t="shared" si="2"/>
        <v>5816.2839166666672</v>
      </c>
      <c r="L22" s="16">
        <f t="shared" si="2"/>
        <v>0</v>
      </c>
      <c r="M22" s="16">
        <f t="shared" si="2"/>
        <v>0</v>
      </c>
      <c r="N22" s="16">
        <f t="shared" si="2"/>
        <v>0</v>
      </c>
      <c r="O22" s="16">
        <f t="shared" si="2"/>
        <v>0</v>
      </c>
      <c r="P22" s="16">
        <f t="shared" si="2"/>
        <v>0</v>
      </c>
      <c r="Q22" s="16">
        <f t="shared" ref="Q22" si="3">SUM(E22:P22)</f>
        <v>16488.898250000002</v>
      </c>
      <c r="R22" s="16"/>
    </row>
    <row r="23" spans="1:20" x14ac:dyDescent="0.2">
      <c r="A23" s="72"/>
      <c r="B23" s="12" t="str">
        <f t="shared" ref="B23:D28" si="4">B12</f>
        <v>Amid Tony Ibrahim</v>
      </c>
      <c r="C23" s="12" t="str">
        <f t="shared" ref="C23" si="5">C12</f>
        <v>Amid</v>
      </c>
      <c r="D23" s="12" t="str">
        <f t="shared" si="4"/>
        <v>Exclusiva</v>
      </c>
      <c r="E23" s="16">
        <f t="shared" ref="E23:P23" si="6">E12*(1+$G$7)</f>
        <v>0</v>
      </c>
      <c r="F23" s="16">
        <f t="shared" si="6"/>
        <v>0</v>
      </c>
      <c r="G23" s="16">
        <f t="shared" si="6"/>
        <v>0</v>
      </c>
      <c r="H23" s="16">
        <f t="shared" si="6"/>
        <v>0</v>
      </c>
      <c r="I23" s="16">
        <f t="shared" si="6"/>
        <v>0</v>
      </c>
      <c r="J23" s="16">
        <f t="shared" si="6"/>
        <v>0</v>
      </c>
      <c r="K23" s="16">
        <f t="shared" si="6"/>
        <v>0</v>
      </c>
      <c r="L23" s="16">
        <f t="shared" si="6"/>
        <v>3219.2380000000003</v>
      </c>
      <c r="M23" s="16">
        <f t="shared" si="6"/>
        <v>3219.2380000000003</v>
      </c>
      <c r="N23" s="16">
        <f t="shared" si="6"/>
        <v>3219.2380000000003</v>
      </c>
      <c r="O23" s="16">
        <f t="shared" si="6"/>
        <v>3219.2380000000003</v>
      </c>
      <c r="P23" s="16">
        <f t="shared" si="6"/>
        <v>3219.2380000000003</v>
      </c>
      <c r="Q23" s="16">
        <f t="shared" ref="Q23:Q28" si="7">SUM(E23:P23)</f>
        <v>16096.190000000002</v>
      </c>
      <c r="R23" s="16"/>
    </row>
    <row r="24" spans="1:20" x14ac:dyDescent="0.2">
      <c r="A24" s="72"/>
      <c r="B24" s="12" t="str">
        <f t="shared" si="4"/>
        <v>Alisson Willian Arruda Montanini</v>
      </c>
      <c r="C24" s="12" t="str">
        <f t="shared" ref="C24" si="8">C13</f>
        <v>Alisson</v>
      </c>
      <c r="D24" s="12" t="str">
        <f t="shared" si="4"/>
        <v>Parcial</v>
      </c>
      <c r="E24" s="16">
        <f t="shared" ref="E24:P24" si="9">E13*(1+$G$7)</f>
        <v>2946.119916666667</v>
      </c>
      <c r="F24" s="16">
        <f t="shared" si="9"/>
        <v>2946.119916666667</v>
      </c>
      <c r="G24" s="16">
        <f t="shared" si="9"/>
        <v>2946.119916666667</v>
      </c>
      <c r="H24" s="16">
        <f t="shared" si="9"/>
        <v>2946.119916666667</v>
      </c>
      <c r="I24" s="16">
        <f t="shared" si="9"/>
        <v>2946.119916666667</v>
      </c>
      <c r="J24" s="16">
        <f t="shared" si="9"/>
        <v>2946.119916666667</v>
      </c>
      <c r="K24" s="16">
        <f t="shared" si="9"/>
        <v>2946.119916666667</v>
      </c>
      <c r="L24" s="16">
        <f t="shared" si="9"/>
        <v>3211.1575833333336</v>
      </c>
      <c r="M24" s="16">
        <f t="shared" si="9"/>
        <v>3211.1575833333336</v>
      </c>
      <c r="N24" s="16">
        <f t="shared" si="9"/>
        <v>3211.1575833333336</v>
      </c>
      <c r="O24" s="16">
        <f t="shared" si="9"/>
        <v>3211.1575833333336</v>
      </c>
      <c r="P24" s="16">
        <f t="shared" si="9"/>
        <v>3211.1575833333336</v>
      </c>
      <c r="Q24" s="16">
        <f t="shared" si="7"/>
        <v>36678.627333333337</v>
      </c>
      <c r="R24" s="16"/>
    </row>
    <row r="25" spans="1:20" x14ac:dyDescent="0.2">
      <c r="A25" s="72"/>
      <c r="B25" s="12" t="str">
        <f t="shared" si="4"/>
        <v>Felipe Camargo Chavita</v>
      </c>
      <c r="C25" s="12" t="str">
        <f t="shared" ref="C25" si="10">C14</f>
        <v>Felipe</v>
      </c>
      <c r="D25" s="12" t="str">
        <f t="shared" si="4"/>
        <v>Parcial</v>
      </c>
      <c r="E25" s="16">
        <f t="shared" ref="E25:P25" si="11">E14*(1+$G$7)</f>
        <v>3272.5687500000004</v>
      </c>
      <c r="F25" s="16">
        <f t="shared" si="11"/>
        <v>3272.5687500000004</v>
      </c>
      <c r="G25" s="16">
        <f t="shared" si="11"/>
        <v>3272.5687500000004</v>
      </c>
      <c r="H25" s="16">
        <f t="shared" si="11"/>
        <v>3763.858083333334</v>
      </c>
      <c r="I25" s="16">
        <f t="shared" si="11"/>
        <v>3763.858083333334</v>
      </c>
      <c r="J25" s="16">
        <f t="shared" si="11"/>
        <v>4289.0851666666676</v>
      </c>
      <c r="K25" s="16">
        <f t="shared" si="11"/>
        <v>4289.0851666666676</v>
      </c>
      <c r="L25" s="16">
        <f t="shared" si="11"/>
        <v>4675.329083333334</v>
      </c>
      <c r="M25" s="16">
        <f t="shared" si="11"/>
        <v>4675.329083333334</v>
      </c>
      <c r="N25" s="16">
        <f t="shared" si="11"/>
        <v>4675.329083333334</v>
      </c>
      <c r="O25" s="16">
        <f t="shared" si="11"/>
        <v>4675.329083333334</v>
      </c>
      <c r="P25" s="16">
        <f t="shared" si="11"/>
        <v>4675.329083333334</v>
      </c>
      <c r="Q25" s="16">
        <f t="shared" si="7"/>
        <v>49300.238166666662</v>
      </c>
      <c r="R25" s="16"/>
    </row>
    <row r="26" spans="1:20" x14ac:dyDescent="0.2">
      <c r="A26" s="72"/>
      <c r="B26" s="12" t="str">
        <f t="shared" si="4"/>
        <v>Lucas Leandro Matias do Nascimento</v>
      </c>
      <c r="C26" s="12" t="str">
        <f t="shared" ref="C26" si="12">C15</f>
        <v>Lucas</v>
      </c>
      <c r="D26" s="12" t="str">
        <f t="shared" si="4"/>
        <v>Parcial</v>
      </c>
      <c r="E26" s="16">
        <f t="shared" ref="E26:P27" si="13">E15*(1+$G$7)</f>
        <v>2189.7929166666668</v>
      </c>
      <c r="F26" s="16">
        <f t="shared" si="13"/>
        <v>2189.7929166666668</v>
      </c>
      <c r="G26" s="16">
        <f t="shared" si="13"/>
        <v>2189.7929166666668</v>
      </c>
      <c r="H26" s="16">
        <f t="shared" si="13"/>
        <v>2189.7929166666668</v>
      </c>
      <c r="I26" s="16">
        <f t="shared" si="13"/>
        <v>2189.7929166666668</v>
      </c>
      <c r="J26" s="16">
        <f t="shared" si="13"/>
        <v>2189.7929166666668</v>
      </c>
      <c r="K26" s="16">
        <f t="shared" si="13"/>
        <v>2189.7929166666668</v>
      </c>
      <c r="L26" s="16">
        <f t="shared" si="13"/>
        <v>2386.9550833333337</v>
      </c>
      <c r="M26" s="16">
        <f t="shared" si="13"/>
        <v>0</v>
      </c>
      <c r="N26" s="16">
        <f t="shared" si="13"/>
        <v>0</v>
      </c>
      <c r="O26" s="16">
        <f t="shared" si="13"/>
        <v>0</v>
      </c>
      <c r="P26" s="16">
        <f t="shared" si="13"/>
        <v>0</v>
      </c>
      <c r="Q26" s="16">
        <f t="shared" si="7"/>
        <v>17715.505500000003</v>
      </c>
      <c r="R26" s="16"/>
      <c r="S26" s="54"/>
    </row>
    <row r="27" spans="1:20" x14ac:dyDescent="0.2">
      <c r="A27" s="72"/>
      <c r="B27" s="12" t="str">
        <f t="shared" si="4"/>
        <v>Maurício de Sousa Soares</v>
      </c>
      <c r="C27" s="12" t="str">
        <f t="shared" ref="C27" si="14">C16</f>
        <v>Maurício</v>
      </c>
      <c r="D27" s="12" t="str">
        <f t="shared" si="4"/>
        <v>Parcial</v>
      </c>
      <c r="E27" s="16">
        <f t="shared" si="13"/>
        <v>2097.6761666666671</v>
      </c>
      <c r="F27" s="16">
        <f t="shared" si="13"/>
        <v>2097.6761666666671</v>
      </c>
      <c r="G27" s="16">
        <f t="shared" si="13"/>
        <v>2097.6761666666671</v>
      </c>
      <c r="H27" s="16">
        <f t="shared" si="13"/>
        <v>2097.6761666666671</v>
      </c>
      <c r="I27" s="16">
        <f t="shared" si="13"/>
        <v>2097.6761666666671</v>
      </c>
      <c r="J27" s="16">
        <f t="shared" si="13"/>
        <v>2097.6761666666671</v>
      </c>
      <c r="K27" s="16">
        <f t="shared" si="13"/>
        <v>2097.6761666666671</v>
      </c>
      <c r="L27" s="16">
        <f t="shared" si="13"/>
        <v>2286.7579166666669</v>
      </c>
      <c r="M27" s="16">
        <f t="shared" si="13"/>
        <v>2286.7579166666669</v>
      </c>
      <c r="N27" s="16">
        <f t="shared" si="13"/>
        <v>2286.7579166666669</v>
      </c>
      <c r="O27" s="16">
        <f t="shared" si="13"/>
        <v>2286.7579166666669</v>
      </c>
      <c r="P27" s="16">
        <f t="shared" si="13"/>
        <v>0</v>
      </c>
      <c r="Q27" s="16">
        <f t="shared" ref="Q27" si="15">SUM(E27:P27)</f>
        <v>23830.764833333335</v>
      </c>
      <c r="R27" s="16"/>
      <c r="S27" s="63"/>
    </row>
    <row r="28" spans="1:20" x14ac:dyDescent="0.2">
      <c r="A28" s="72"/>
      <c r="B28" s="21" t="str">
        <f t="shared" si="4"/>
        <v>Erica Ferreira Serra da Silva</v>
      </c>
      <c r="C28" s="21" t="str">
        <f t="shared" ref="C28" si="16">C17</f>
        <v>Erica</v>
      </c>
      <c r="D28" s="21" t="str">
        <f t="shared" si="4"/>
        <v>Exclusiva</v>
      </c>
      <c r="E28" s="28">
        <f t="shared" ref="E28:P28" si="17">E17*(1+$G$7)</f>
        <v>6402.9221666666672</v>
      </c>
      <c r="F28" s="28">
        <f t="shared" si="17"/>
        <v>6402.9221666666672</v>
      </c>
      <c r="G28" s="28">
        <f t="shared" si="17"/>
        <v>6402.9221666666672</v>
      </c>
      <c r="H28" s="28">
        <f t="shared" si="17"/>
        <v>0</v>
      </c>
      <c r="I28" s="28">
        <f t="shared" si="17"/>
        <v>0</v>
      </c>
      <c r="J28" s="28">
        <f t="shared" si="17"/>
        <v>0</v>
      </c>
      <c r="K28" s="28">
        <f t="shared" si="17"/>
        <v>0</v>
      </c>
      <c r="L28" s="28">
        <f t="shared" si="17"/>
        <v>0</v>
      </c>
      <c r="M28" s="28">
        <f t="shared" si="17"/>
        <v>0</v>
      </c>
      <c r="N28" s="28">
        <f t="shared" si="17"/>
        <v>0</v>
      </c>
      <c r="O28" s="28">
        <f t="shared" si="17"/>
        <v>0</v>
      </c>
      <c r="P28" s="28">
        <f t="shared" si="17"/>
        <v>0</v>
      </c>
      <c r="Q28" s="28">
        <f t="shared" si="7"/>
        <v>19208.766500000002</v>
      </c>
      <c r="R28" s="16"/>
    </row>
    <row r="29" spans="1:20" x14ac:dyDescent="0.2"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20" x14ac:dyDescent="0.2">
      <c r="B30" s="41" t="s">
        <v>65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1" spans="1:20" s="2" customFormat="1" x14ac:dyDescent="0.2">
      <c r="B31" s="30" t="s">
        <v>61</v>
      </c>
      <c r="C31" s="36" t="s">
        <v>62</v>
      </c>
      <c r="D31" s="31" t="s">
        <v>27</v>
      </c>
      <c r="E31" s="37">
        <f t="shared" ref="E31:P31" si="18">E21</f>
        <v>42005</v>
      </c>
      <c r="F31" s="37">
        <f t="shared" si="18"/>
        <v>42036</v>
      </c>
      <c r="G31" s="37">
        <f t="shared" si="18"/>
        <v>42064</v>
      </c>
      <c r="H31" s="37">
        <f t="shared" si="18"/>
        <v>42095</v>
      </c>
      <c r="I31" s="37">
        <f t="shared" si="18"/>
        <v>42125</v>
      </c>
      <c r="J31" s="37">
        <f t="shared" si="18"/>
        <v>42156</v>
      </c>
      <c r="K31" s="37">
        <f t="shared" si="18"/>
        <v>42186</v>
      </c>
      <c r="L31" s="37">
        <f t="shared" si="18"/>
        <v>42217</v>
      </c>
      <c r="M31" s="37">
        <f t="shared" si="18"/>
        <v>42248</v>
      </c>
      <c r="N31" s="37">
        <f t="shared" si="18"/>
        <v>42278</v>
      </c>
      <c r="O31" s="37">
        <f t="shared" si="18"/>
        <v>42309</v>
      </c>
      <c r="P31" s="37">
        <f t="shared" si="18"/>
        <v>42339</v>
      </c>
    </row>
    <row r="32" spans="1:20" x14ac:dyDescent="0.2">
      <c r="A32" s="107"/>
      <c r="B32" s="12" t="str">
        <f>B22</f>
        <v>Aline Francielle Fracasso</v>
      </c>
      <c r="C32" s="12" t="str">
        <f>C22</f>
        <v>Aline</v>
      </c>
      <c r="D32" s="12" t="str">
        <f>D22</f>
        <v>Exclusiva</v>
      </c>
      <c r="E32" s="38">
        <f>E22/E$42</f>
        <v>0</v>
      </c>
      <c r="F32" s="38">
        <f t="shared" ref="F32:P32" si="19">F22/F$42</f>
        <v>0</v>
      </c>
      <c r="G32" s="38">
        <f t="shared" si="19"/>
        <v>0</v>
      </c>
      <c r="H32" s="38">
        <f t="shared" si="19"/>
        <v>0</v>
      </c>
      <c r="I32" s="38">
        <f t="shared" si="19"/>
        <v>31.464075275157231</v>
      </c>
      <c r="J32" s="38">
        <f t="shared" si="19"/>
        <v>29.965785976340225</v>
      </c>
      <c r="K32" s="38">
        <f t="shared" si="19"/>
        <v>29.820979884468144</v>
      </c>
      <c r="L32" s="38">
        <f t="shared" si="19"/>
        <v>0</v>
      </c>
      <c r="M32" s="38">
        <f t="shared" si="19"/>
        <v>0</v>
      </c>
      <c r="N32" s="38">
        <f t="shared" si="19"/>
        <v>0</v>
      </c>
      <c r="O32" s="38">
        <f t="shared" si="19"/>
        <v>0</v>
      </c>
      <c r="P32" s="38">
        <f t="shared" si="19"/>
        <v>0</v>
      </c>
    </row>
    <row r="33" spans="1:16" x14ac:dyDescent="0.2">
      <c r="B33" s="12" t="str">
        <f t="shared" ref="B33:D33" si="20">B23</f>
        <v>Amid Tony Ibrahim</v>
      </c>
      <c r="C33" s="12" t="str">
        <f t="shared" si="20"/>
        <v>Amid</v>
      </c>
      <c r="D33" s="12" t="str">
        <f t="shared" si="20"/>
        <v>Exclusiva</v>
      </c>
      <c r="E33" s="16">
        <f t="shared" ref="E33:P33" si="21">E23/E$42</f>
        <v>0</v>
      </c>
      <c r="F33" s="16">
        <f t="shared" si="21"/>
        <v>0</v>
      </c>
      <c r="G33" s="16">
        <f t="shared" si="21"/>
        <v>0</v>
      </c>
      <c r="H33" s="16">
        <f t="shared" si="21"/>
        <v>0</v>
      </c>
      <c r="I33" s="16">
        <f t="shared" si="21"/>
        <v>0</v>
      </c>
      <c r="J33" s="16">
        <f t="shared" si="21"/>
        <v>0</v>
      </c>
      <c r="K33" s="16">
        <f t="shared" si="21"/>
        <v>0</v>
      </c>
      <c r="L33" s="16">
        <f t="shared" si="21"/>
        <v>18.077482030548069</v>
      </c>
      <c r="M33" s="16">
        <f t="shared" si="21"/>
        <v>18.981356132075472</v>
      </c>
      <c r="N33" s="16">
        <f t="shared" si="21"/>
        <v>18.077482030548069</v>
      </c>
      <c r="O33" s="16">
        <f t="shared" si="21"/>
        <v>18.981356132075472</v>
      </c>
      <c r="P33" s="16">
        <f t="shared" si="21"/>
        <v>18.981356132075472</v>
      </c>
    </row>
    <row r="34" spans="1:16" x14ac:dyDescent="0.2">
      <c r="B34" s="12" t="str">
        <f t="shared" ref="B34:D34" si="22">B24</f>
        <v>Alisson Willian Arruda Montanini</v>
      </c>
      <c r="C34" s="12" t="str">
        <f t="shared" si="22"/>
        <v>Alisson</v>
      </c>
      <c r="D34" s="12" t="str">
        <f t="shared" si="22"/>
        <v>Parcial</v>
      </c>
      <c r="E34" s="16">
        <f t="shared" ref="E34:P34" si="23">E24/E$42</f>
        <v>15.791809158805034</v>
      </c>
      <c r="F34" s="16">
        <f t="shared" si="23"/>
        <v>17.370990074685533</v>
      </c>
      <c r="G34" s="16">
        <f t="shared" si="23"/>
        <v>15.791809158805034</v>
      </c>
      <c r="H34" s="16">
        <f t="shared" si="23"/>
        <v>16.54380007112908</v>
      </c>
      <c r="I34" s="16">
        <f t="shared" si="23"/>
        <v>17.370990074685533</v>
      </c>
      <c r="J34" s="16">
        <f t="shared" si="23"/>
        <v>16.54380007112908</v>
      </c>
      <c r="K34" s="16">
        <f t="shared" si="23"/>
        <v>15.105208760596117</v>
      </c>
      <c r="L34" s="16">
        <f t="shared" si="23"/>
        <v>18.0321068246481</v>
      </c>
      <c r="M34" s="16">
        <f t="shared" si="23"/>
        <v>18.933712165880504</v>
      </c>
      <c r="N34" s="16">
        <f t="shared" si="23"/>
        <v>18.0321068246481</v>
      </c>
      <c r="O34" s="16">
        <f t="shared" si="23"/>
        <v>18.933712165880504</v>
      </c>
      <c r="P34" s="16">
        <f t="shared" si="23"/>
        <v>18.933712165880504</v>
      </c>
    </row>
    <row r="35" spans="1:16" s="20" customFormat="1" x14ac:dyDescent="0.2">
      <c r="B35" s="12" t="str">
        <f t="shared" ref="B35:D35" si="24">B25</f>
        <v>Felipe Camargo Chavita</v>
      </c>
      <c r="C35" s="12" t="str">
        <f t="shared" si="24"/>
        <v>Felipe</v>
      </c>
      <c r="D35" s="12" t="str">
        <f t="shared" si="24"/>
        <v>Parcial</v>
      </c>
      <c r="E35" s="16">
        <f t="shared" ref="E35:P35" si="25">E25/E$42</f>
        <v>17.541642099056606</v>
      </c>
      <c r="F35" s="16">
        <f t="shared" si="25"/>
        <v>19.295806308962263</v>
      </c>
      <c r="G35" s="16">
        <f t="shared" si="25"/>
        <v>17.541642099056606</v>
      </c>
      <c r="H35" s="16">
        <f t="shared" si="25"/>
        <v>21.135770908206052</v>
      </c>
      <c r="I35" s="16">
        <f t="shared" si="25"/>
        <v>22.192559453616354</v>
      </c>
      <c r="J35" s="16">
        <f t="shared" si="25"/>
        <v>24.085159291704105</v>
      </c>
      <c r="K35" s="16">
        <f t="shared" si="25"/>
        <v>21.99079761416462</v>
      </c>
      <c r="L35" s="16">
        <f t="shared" si="25"/>
        <v>26.254094133722674</v>
      </c>
      <c r="M35" s="16">
        <f t="shared" si="25"/>
        <v>27.566798840408804</v>
      </c>
      <c r="N35" s="16">
        <f t="shared" si="25"/>
        <v>26.254094133722674</v>
      </c>
      <c r="O35" s="16">
        <f t="shared" si="25"/>
        <v>27.566798840408804</v>
      </c>
      <c r="P35" s="16">
        <f t="shared" si="25"/>
        <v>27.566798840408804</v>
      </c>
    </row>
    <row r="36" spans="1:16" x14ac:dyDescent="0.2">
      <c r="B36" s="12" t="str">
        <f t="shared" ref="B36:D36" si="26">B26</f>
        <v>Lucas Leandro Matias do Nascimento</v>
      </c>
      <c r="C36" s="12" t="str">
        <f t="shared" si="26"/>
        <v>Lucas</v>
      </c>
      <c r="D36" s="12" t="str">
        <f t="shared" si="26"/>
        <v>Parcial</v>
      </c>
      <c r="E36" s="16">
        <f t="shared" ref="E36:P36" si="27">E26/E$42</f>
        <v>11.737740762578618</v>
      </c>
      <c r="F36" s="16">
        <f t="shared" si="27"/>
        <v>12.911514838836476</v>
      </c>
      <c r="G36" s="16">
        <f t="shared" si="27"/>
        <v>11.737740762578618</v>
      </c>
      <c r="H36" s="16">
        <f t="shared" si="27"/>
        <v>12.296680798891883</v>
      </c>
      <c r="I36" s="16">
        <f t="shared" si="27"/>
        <v>12.911514838836476</v>
      </c>
      <c r="J36" s="16">
        <f t="shared" si="27"/>
        <v>12.296680798891883</v>
      </c>
      <c r="K36" s="16">
        <f t="shared" si="27"/>
        <v>11.227404207683893</v>
      </c>
      <c r="L36" s="16">
        <f t="shared" si="27"/>
        <v>13.403835822851155</v>
      </c>
      <c r="M36" s="16">
        <f t="shared" si="27"/>
        <v>0</v>
      </c>
      <c r="N36" s="16">
        <f t="shared" si="27"/>
        <v>0</v>
      </c>
      <c r="O36" s="16">
        <f t="shared" si="27"/>
        <v>0</v>
      </c>
      <c r="P36" s="16">
        <f t="shared" si="27"/>
        <v>0</v>
      </c>
    </row>
    <row r="37" spans="1:16" x14ac:dyDescent="0.2">
      <c r="B37" s="12" t="str">
        <f t="shared" ref="B37:D37" si="28">B27</f>
        <v>Maurício de Sousa Soares</v>
      </c>
      <c r="C37" s="12" t="str">
        <f t="shared" si="28"/>
        <v>Maurício</v>
      </c>
      <c r="D37" s="12" t="str">
        <f t="shared" si="28"/>
        <v>Parcial</v>
      </c>
      <c r="E37" s="16">
        <f t="shared" ref="E37:P37" si="29">E27/E$42</f>
        <v>11.24397602201258</v>
      </c>
      <c r="F37" s="16">
        <f t="shared" si="29"/>
        <v>12.368373624213838</v>
      </c>
      <c r="G37" s="16">
        <f t="shared" si="29"/>
        <v>11.24397602201258</v>
      </c>
      <c r="H37" s="16">
        <f t="shared" si="29"/>
        <v>11.779403451632227</v>
      </c>
      <c r="I37" s="16">
        <f t="shared" si="29"/>
        <v>12.368373624213838</v>
      </c>
      <c r="J37" s="16">
        <f t="shared" si="29"/>
        <v>11.779403451632227</v>
      </c>
      <c r="K37" s="16">
        <f t="shared" si="29"/>
        <v>10.755107499316381</v>
      </c>
      <c r="L37" s="16">
        <f t="shared" si="29"/>
        <v>12.841183269691525</v>
      </c>
      <c r="M37" s="16">
        <f t="shared" si="29"/>
        <v>13.4832424331761</v>
      </c>
      <c r="N37" s="16">
        <f t="shared" si="29"/>
        <v>12.841183269691525</v>
      </c>
      <c r="O37" s="16">
        <f t="shared" si="29"/>
        <v>13.4832424331761</v>
      </c>
      <c r="P37" s="16">
        <f t="shared" si="29"/>
        <v>0</v>
      </c>
    </row>
    <row r="38" spans="1:16" x14ac:dyDescent="0.2">
      <c r="B38" s="21" t="str">
        <f t="shared" ref="B38:D38" si="30">B28</f>
        <v>Erica Ferreira Serra da Silva</v>
      </c>
      <c r="C38" s="21" t="str">
        <f t="shared" si="30"/>
        <v>Erica</v>
      </c>
      <c r="D38" s="21" t="str">
        <f t="shared" si="30"/>
        <v>Exclusiva</v>
      </c>
      <c r="E38" s="28">
        <f t="shared" ref="E38:P38" si="31">E28/E$42</f>
        <v>34.320980738993711</v>
      </c>
      <c r="F38" s="28">
        <f t="shared" si="31"/>
        <v>37.753078812893079</v>
      </c>
      <c r="G38" s="28">
        <f t="shared" si="31"/>
        <v>34.320980738993711</v>
      </c>
      <c r="H38" s="28">
        <f t="shared" si="31"/>
        <v>0</v>
      </c>
      <c r="I38" s="28">
        <f t="shared" si="31"/>
        <v>0</v>
      </c>
      <c r="J38" s="28">
        <f t="shared" si="31"/>
        <v>0</v>
      </c>
      <c r="K38" s="28">
        <f t="shared" si="31"/>
        <v>0</v>
      </c>
      <c r="L38" s="28">
        <f t="shared" si="31"/>
        <v>0</v>
      </c>
      <c r="M38" s="28">
        <f t="shared" si="31"/>
        <v>0</v>
      </c>
      <c r="N38" s="28">
        <f t="shared" si="31"/>
        <v>0</v>
      </c>
      <c r="O38" s="28">
        <f t="shared" si="31"/>
        <v>0</v>
      </c>
      <c r="P38" s="28">
        <f t="shared" si="31"/>
        <v>0</v>
      </c>
    </row>
    <row r="39" spans="1:16" x14ac:dyDescent="0.2">
      <c r="C39" s="20"/>
      <c r="D39" s="2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">
      <c r="B40" s="76" t="s">
        <v>26</v>
      </c>
      <c r="C40" s="187"/>
      <c r="D40" s="77"/>
      <c r="E40" s="78">
        <f>E31</f>
        <v>42005</v>
      </c>
      <c r="F40" s="78">
        <f t="shared" ref="F40:P40" si="32">F31</f>
        <v>42036</v>
      </c>
      <c r="G40" s="78">
        <f t="shared" si="32"/>
        <v>42064</v>
      </c>
      <c r="H40" s="78">
        <f t="shared" si="32"/>
        <v>42095</v>
      </c>
      <c r="I40" s="78">
        <f t="shared" si="32"/>
        <v>42125</v>
      </c>
      <c r="J40" s="78">
        <f t="shared" si="32"/>
        <v>42156</v>
      </c>
      <c r="K40" s="78">
        <f t="shared" si="32"/>
        <v>42186</v>
      </c>
      <c r="L40" s="78">
        <f t="shared" si="32"/>
        <v>42217</v>
      </c>
      <c r="M40" s="78">
        <f t="shared" si="32"/>
        <v>42248</v>
      </c>
      <c r="N40" s="78">
        <f t="shared" si="32"/>
        <v>42278</v>
      </c>
      <c r="O40" s="78">
        <f t="shared" si="32"/>
        <v>42309</v>
      </c>
      <c r="P40" s="78">
        <f t="shared" si="32"/>
        <v>42339</v>
      </c>
    </row>
    <row r="41" spans="1:16" x14ac:dyDescent="0.2">
      <c r="B41" s="11" t="s">
        <v>22</v>
      </c>
      <c r="C41" s="25"/>
      <c r="D41" s="71"/>
      <c r="E41" s="71">
        <f>VLOOKUP(E40,'Dias Úteis'!$E$7:$G$18,3,FALSE)</f>
        <v>22</v>
      </c>
      <c r="F41" s="71">
        <f>VLOOKUP(F40,'Dias Úteis'!$E$7:$G$18,3,FALSE)</f>
        <v>20</v>
      </c>
      <c r="G41" s="71">
        <f>VLOOKUP(G40,'Dias Úteis'!$E$7:$G$18,3,FALSE)</f>
        <v>22</v>
      </c>
      <c r="H41" s="71">
        <f>VLOOKUP(H40,'Dias Úteis'!$E$7:$G$18,3,FALSE)</f>
        <v>21</v>
      </c>
      <c r="I41" s="71">
        <f>VLOOKUP(I40,'Dias Úteis'!$E$7:$G$18,3,FALSE)</f>
        <v>20</v>
      </c>
      <c r="J41" s="71">
        <f>VLOOKUP(J40,'Dias Úteis'!$E$7:$G$18,3,FALSE)</f>
        <v>21</v>
      </c>
      <c r="K41" s="71">
        <f>VLOOKUP(K40,'Dias Úteis'!$E$7:$G$18,3,FALSE)</f>
        <v>23</v>
      </c>
      <c r="L41" s="71">
        <f>VLOOKUP(L40,'Dias Úteis'!$E$7:$G$18,3,FALSE)</f>
        <v>21</v>
      </c>
      <c r="M41" s="71">
        <f>VLOOKUP(M40,'Dias Úteis'!$E$7:$G$18,3,FALSE)</f>
        <v>20</v>
      </c>
      <c r="N41" s="71">
        <f>VLOOKUP(N40,'Dias Úteis'!$E$7:$G$18,3,FALSE)</f>
        <v>21</v>
      </c>
      <c r="O41" s="71">
        <f>VLOOKUP(O40,'Dias Úteis'!$E$7:$G$18,3,FALSE)</f>
        <v>20</v>
      </c>
      <c r="P41" s="71">
        <f>VLOOKUP(P40,'Dias Úteis'!$E$7:$G$18,3,FALSE)</f>
        <v>20</v>
      </c>
    </row>
    <row r="42" spans="1:16" x14ac:dyDescent="0.2">
      <c r="A42" s="39" t="s">
        <v>52</v>
      </c>
      <c r="B42" s="10" t="s">
        <v>23</v>
      </c>
      <c r="C42" s="187"/>
      <c r="D42" s="79"/>
      <c r="E42" s="79">
        <f>8.48*E41</f>
        <v>186.56</v>
      </c>
      <c r="F42" s="79">
        <f t="shared" ref="F42:P42" si="33">8.48*F41</f>
        <v>169.60000000000002</v>
      </c>
      <c r="G42" s="79">
        <f t="shared" si="33"/>
        <v>186.56</v>
      </c>
      <c r="H42" s="79">
        <f t="shared" si="33"/>
        <v>178.08</v>
      </c>
      <c r="I42" s="79">
        <f t="shared" si="33"/>
        <v>169.60000000000002</v>
      </c>
      <c r="J42" s="79">
        <f t="shared" si="33"/>
        <v>178.08</v>
      </c>
      <c r="K42" s="79">
        <f t="shared" si="33"/>
        <v>195.04000000000002</v>
      </c>
      <c r="L42" s="79">
        <f t="shared" si="33"/>
        <v>178.08</v>
      </c>
      <c r="M42" s="79">
        <f t="shared" si="33"/>
        <v>169.60000000000002</v>
      </c>
      <c r="N42" s="79">
        <f t="shared" si="33"/>
        <v>178.08</v>
      </c>
      <c r="O42" s="79">
        <f t="shared" si="33"/>
        <v>169.60000000000002</v>
      </c>
      <c r="P42" s="79">
        <f t="shared" si="33"/>
        <v>169.60000000000002</v>
      </c>
    </row>
    <row r="43" spans="1:16" x14ac:dyDescent="0.2">
      <c r="B43" s="25"/>
      <c r="C43" s="80"/>
      <c r="D43" s="71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1:16" x14ac:dyDescent="0.2">
      <c r="C44" s="20"/>
      <c r="D44" s="13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spans="1:16" x14ac:dyDescent="0.2">
      <c r="C45" s="20"/>
      <c r="D45" s="13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 x14ac:dyDescent="0.2">
      <c r="A46" s="39" t="s">
        <v>52</v>
      </c>
      <c r="B46" s="20" t="s">
        <v>59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spans="1:16" x14ac:dyDescent="0.2">
      <c r="A47" s="1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"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50" spans="1:3" x14ac:dyDescent="0.2">
      <c r="A50" s="17"/>
      <c r="B50" s="17"/>
    </row>
    <row r="51" spans="1:3" x14ac:dyDescent="0.2">
      <c r="A51" s="17"/>
      <c r="B51" s="17"/>
    </row>
    <row r="52" spans="1:3" x14ac:dyDescent="0.2">
      <c r="A52" s="17"/>
      <c r="B52" s="63"/>
      <c r="C52" s="63"/>
    </row>
    <row r="53" spans="1:3" x14ac:dyDescent="0.2">
      <c r="B53" s="63"/>
      <c r="C53" s="63"/>
    </row>
    <row r="54" spans="1:3" x14ac:dyDescent="0.2">
      <c r="B54" s="63"/>
      <c r="C54" s="63"/>
    </row>
    <row r="55" spans="1:3" x14ac:dyDescent="0.2">
      <c r="B55" s="63"/>
      <c r="C55" s="63"/>
    </row>
    <row r="56" spans="1:3" x14ac:dyDescent="0.2">
      <c r="B56" s="63"/>
      <c r="C56" s="63"/>
    </row>
    <row r="57" spans="1:3" x14ac:dyDescent="0.2">
      <c r="B57" s="63"/>
    </row>
  </sheetData>
  <sortState ref="C4:C8">
    <sortCondition ref="C4"/>
  </sortState>
  <pageMargins left="0.23622047244094491" right="0.23622047244094491" top="0.74803149606299213" bottom="0.74803149606299213" header="0.31496062992125984" footer="0.31496062992125984"/>
  <pageSetup paperSize="9" scale="86" fitToHeight="0" orientation="landscape" r:id="rId1"/>
  <headerFooter>
    <oddFooter>&amp;C&amp;8____________________
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3"/>
  <sheetViews>
    <sheetView workbookViewId="0">
      <selection activeCell="C28" sqref="C28"/>
    </sheetView>
  </sheetViews>
  <sheetFormatPr defaultColWidth="11" defaultRowHeight="15.75" x14ac:dyDescent="0.25"/>
  <cols>
    <col min="2" max="2" width="16.625" customWidth="1"/>
    <col min="3" max="3" width="29.625" bestFit="1" customWidth="1"/>
    <col min="4" max="4" width="5.875" bestFit="1" customWidth="1"/>
    <col min="5" max="5" width="5.875" customWidth="1"/>
    <col min="6" max="6" width="13.375" bestFit="1" customWidth="1"/>
    <col min="7" max="7" width="11.875" bestFit="1" customWidth="1"/>
    <col min="8" max="8" width="11.5" bestFit="1" customWidth="1"/>
    <col min="9" max="9" width="13.625" bestFit="1" customWidth="1"/>
    <col min="10" max="10" width="14.5" customWidth="1"/>
    <col min="11" max="11" width="21" customWidth="1"/>
  </cols>
  <sheetData>
    <row r="1" spans="2:11" x14ac:dyDescent="0.25">
      <c r="B1" t="s">
        <v>19</v>
      </c>
    </row>
    <row r="2" spans="2:11" x14ac:dyDescent="0.25">
      <c r="B2" t="s">
        <v>326</v>
      </c>
    </row>
    <row r="3" spans="2:11" x14ac:dyDescent="0.25">
      <c r="B3" t="s">
        <v>292</v>
      </c>
    </row>
    <row r="4" spans="2:11" x14ac:dyDescent="0.25">
      <c r="H4" s="178">
        <f>SUM(H6:H30)</f>
        <v>1.6597222222222228</v>
      </c>
      <c r="K4" s="15">
        <f>SUM(K6:K30)</f>
        <v>694.85408867815374</v>
      </c>
    </row>
    <row r="5" spans="2:11" x14ac:dyDescent="0.25">
      <c r="B5" s="151" t="s">
        <v>280</v>
      </c>
      <c r="C5" s="152" t="s">
        <v>68</v>
      </c>
      <c r="D5" s="152" t="s">
        <v>36</v>
      </c>
      <c r="E5" s="152" t="s">
        <v>20</v>
      </c>
      <c r="F5" s="152" t="s">
        <v>277</v>
      </c>
      <c r="G5" s="152" t="s">
        <v>278</v>
      </c>
      <c r="H5" s="152" t="s">
        <v>279</v>
      </c>
      <c r="I5" s="197" t="s">
        <v>62</v>
      </c>
      <c r="J5" s="197" t="s">
        <v>293</v>
      </c>
      <c r="K5" s="197" t="s">
        <v>325</v>
      </c>
    </row>
    <row r="6" spans="2:11" x14ac:dyDescent="0.25">
      <c r="B6" t="s">
        <v>100</v>
      </c>
      <c r="C6" s="146" t="s">
        <v>281</v>
      </c>
      <c r="D6" s="147">
        <v>42038</v>
      </c>
      <c r="E6" s="195">
        <f>MONTH(D6)</f>
        <v>2</v>
      </c>
      <c r="F6" s="148">
        <v>0.41666666666666669</v>
      </c>
      <c r="G6" s="148">
        <v>0.4375</v>
      </c>
      <c r="H6" s="149">
        <v>2.0833333333333315E-2</v>
      </c>
      <c r="I6" t="s">
        <v>322</v>
      </c>
      <c r="J6" s="196">
        <f>VLOOKUP(I6,'Salário e Custo Hora'!$C$31:$P$38,'Time Sheet'!E6+2,FALSE)</f>
        <v>17.370990074685533</v>
      </c>
      <c r="K6" s="198">
        <f>H6*24*J6</f>
        <v>8.6854950373427595</v>
      </c>
    </row>
    <row r="7" spans="2:11" x14ac:dyDescent="0.25">
      <c r="B7" t="s">
        <v>100</v>
      </c>
      <c r="C7" s="146" t="s">
        <v>282</v>
      </c>
      <c r="D7" s="147">
        <v>42089</v>
      </c>
      <c r="E7" s="195">
        <f t="shared" ref="E7:E30" si="0">MONTH(D7)</f>
        <v>3</v>
      </c>
      <c r="F7" s="148">
        <v>0.60416666666666663</v>
      </c>
      <c r="G7" s="148">
        <v>0.70833333333333337</v>
      </c>
      <c r="H7" s="149">
        <v>0.10416666666666674</v>
      </c>
      <c r="I7" t="s">
        <v>322</v>
      </c>
      <c r="J7" s="196">
        <f>VLOOKUP(I7,'Salário e Custo Hora'!$C$31:$P$38,'Time Sheet'!E7+2,FALSE)</f>
        <v>15.791809158805034</v>
      </c>
      <c r="K7" s="198">
        <f t="shared" ref="K7:K30" si="1">H7*24*J7</f>
        <v>39.479522897012615</v>
      </c>
    </row>
    <row r="8" spans="2:11" x14ac:dyDescent="0.25">
      <c r="B8" t="s">
        <v>100</v>
      </c>
      <c r="C8" s="146" t="s">
        <v>283</v>
      </c>
      <c r="D8" s="147">
        <v>42142</v>
      </c>
      <c r="E8" s="195">
        <f t="shared" si="0"/>
        <v>5</v>
      </c>
      <c r="F8" s="148">
        <v>0.58333333333333337</v>
      </c>
      <c r="G8" s="148">
        <v>0.70833333333333337</v>
      </c>
      <c r="H8" s="149">
        <v>0.125</v>
      </c>
      <c r="I8" t="s">
        <v>322</v>
      </c>
      <c r="J8" s="196">
        <f>VLOOKUP(I8,'Salário e Custo Hora'!$C$31:$P$38,'Time Sheet'!E8+2,FALSE)</f>
        <v>17.370990074685533</v>
      </c>
      <c r="K8" s="198">
        <f t="shared" si="1"/>
        <v>52.112970224056596</v>
      </c>
    </row>
    <row r="9" spans="2:11" x14ac:dyDescent="0.25">
      <c r="B9" t="s">
        <v>100</v>
      </c>
      <c r="C9" s="146" t="s">
        <v>284</v>
      </c>
      <c r="D9" s="147">
        <v>42145</v>
      </c>
      <c r="E9" s="195">
        <f t="shared" si="0"/>
        <v>5</v>
      </c>
      <c r="F9" s="148">
        <v>0.625</v>
      </c>
      <c r="G9" s="148">
        <v>0.70833333333333337</v>
      </c>
      <c r="H9" s="149">
        <v>8.333333333333337E-2</v>
      </c>
      <c r="I9" t="s">
        <v>322</v>
      </c>
      <c r="J9" s="196">
        <f>VLOOKUP(I9,'Salário e Custo Hora'!$C$31:$P$38,'Time Sheet'!E9+2,FALSE)</f>
        <v>17.370990074685533</v>
      </c>
      <c r="K9" s="198">
        <f t="shared" si="1"/>
        <v>34.741980149371081</v>
      </c>
    </row>
    <row r="10" spans="2:11" x14ac:dyDescent="0.25">
      <c r="B10" t="s">
        <v>100</v>
      </c>
      <c r="C10" s="146" t="s">
        <v>284</v>
      </c>
      <c r="D10" s="147">
        <v>42180</v>
      </c>
      <c r="E10" s="195">
        <f t="shared" si="0"/>
        <v>6</v>
      </c>
      <c r="F10" s="148">
        <v>0.58333333333333337</v>
      </c>
      <c r="G10" s="148">
        <v>0.64583333333333337</v>
      </c>
      <c r="H10" s="149">
        <v>6.25E-2</v>
      </c>
      <c r="I10" t="s">
        <v>322</v>
      </c>
      <c r="J10" s="196">
        <f>VLOOKUP(I10,'Salário e Custo Hora'!$C$31:$P$38,'Time Sheet'!E10+2,FALSE)</f>
        <v>16.54380007112908</v>
      </c>
      <c r="K10" s="198">
        <f t="shared" si="1"/>
        <v>24.815700106693619</v>
      </c>
    </row>
    <row r="11" spans="2:11" x14ac:dyDescent="0.25">
      <c r="B11" t="s">
        <v>100</v>
      </c>
      <c r="C11" s="146" t="s">
        <v>284</v>
      </c>
      <c r="D11" s="147">
        <v>42236</v>
      </c>
      <c r="E11" s="195">
        <f t="shared" si="0"/>
        <v>8</v>
      </c>
      <c r="F11" s="148">
        <v>0.41666666666666669</v>
      </c>
      <c r="G11" s="148">
        <v>0.45833333333333331</v>
      </c>
      <c r="H11" s="149">
        <v>4.166666666666663E-2</v>
      </c>
      <c r="I11" t="s">
        <v>322</v>
      </c>
      <c r="J11" s="196">
        <f>VLOOKUP(I11,'Salário e Custo Hora'!$C$31:$P$38,'Time Sheet'!E11+2,FALSE)</f>
        <v>18.0321068246481</v>
      </c>
      <c r="K11" s="198">
        <f t="shared" si="1"/>
        <v>18.032106824648082</v>
      </c>
    </row>
    <row r="12" spans="2:11" x14ac:dyDescent="0.25">
      <c r="B12" t="s">
        <v>100</v>
      </c>
      <c r="C12" s="146" t="s">
        <v>284</v>
      </c>
      <c r="D12" s="147">
        <v>42271</v>
      </c>
      <c r="E12" s="195">
        <f t="shared" si="0"/>
        <v>9</v>
      </c>
      <c r="F12" s="148">
        <v>0.625</v>
      </c>
      <c r="G12" s="148">
        <v>0.72916666666666663</v>
      </c>
      <c r="H12" s="149">
        <v>0.10416666666666663</v>
      </c>
      <c r="I12" t="s">
        <v>322</v>
      </c>
      <c r="J12" s="196">
        <f>VLOOKUP(I12,'Salário e Custo Hora'!$C$31:$P$38,'Time Sheet'!E12+2,FALSE)</f>
        <v>18.933712165880504</v>
      </c>
      <c r="K12" s="198">
        <f t="shared" si="1"/>
        <v>47.33428041470124</v>
      </c>
    </row>
    <row r="13" spans="2:11" x14ac:dyDescent="0.25">
      <c r="B13" t="s">
        <v>100</v>
      </c>
      <c r="C13" s="146" t="s">
        <v>285</v>
      </c>
      <c r="D13" s="147">
        <v>42282</v>
      </c>
      <c r="E13" s="195">
        <f t="shared" si="0"/>
        <v>10</v>
      </c>
      <c r="F13" s="148">
        <v>0.60416666666666663</v>
      </c>
      <c r="G13" s="148">
        <v>0.70833333333333337</v>
      </c>
      <c r="H13" s="149">
        <v>0.10416666666666674</v>
      </c>
      <c r="I13" t="s">
        <v>322</v>
      </c>
      <c r="J13" s="196">
        <f>VLOOKUP(I13,'Salário e Custo Hora'!$C$31:$P$38,'Time Sheet'!E13+2,FALSE)</f>
        <v>18.0321068246481</v>
      </c>
      <c r="K13" s="198">
        <f t="shared" si="1"/>
        <v>45.080267061620283</v>
      </c>
    </row>
    <row r="14" spans="2:11" x14ac:dyDescent="0.25">
      <c r="B14" t="s">
        <v>100</v>
      </c>
      <c r="C14" s="146" t="s">
        <v>286</v>
      </c>
      <c r="D14" s="147">
        <v>42282</v>
      </c>
      <c r="E14" s="195">
        <f t="shared" si="0"/>
        <v>10</v>
      </c>
      <c r="F14" s="148">
        <v>0.64583333333333337</v>
      </c>
      <c r="G14" s="148">
        <v>0.6875</v>
      </c>
      <c r="H14" s="149">
        <v>4.166666666666663E-2</v>
      </c>
      <c r="I14" t="s">
        <v>322</v>
      </c>
      <c r="J14" s="196">
        <f>VLOOKUP(I14,'Salário e Custo Hora'!$C$31:$P$38,'Time Sheet'!E14+2,FALSE)</f>
        <v>18.0321068246481</v>
      </c>
      <c r="K14" s="198">
        <f t="shared" si="1"/>
        <v>18.032106824648082</v>
      </c>
    </row>
    <row r="15" spans="2:11" x14ac:dyDescent="0.25">
      <c r="B15" t="s">
        <v>100</v>
      </c>
      <c r="C15" s="146" t="s">
        <v>285</v>
      </c>
      <c r="D15" s="147">
        <v>42655</v>
      </c>
      <c r="E15" s="195">
        <f t="shared" si="0"/>
        <v>10</v>
      </c>
      <c r="F15" s="148">
        <v>0.375</v>
      </c>
      <c r="G15" s="148">
        <v>0.47222222222222227</v>
      </c>
      <c r="H15" s="149">
        <v>9.7222222222222265E-2</v>
      </c>
      <c r="I15" t="s">
        <v>322</v>
      </c>
      <c r="J15" s="196">
        <f>VLOOKUP(I15,'Salário e Custo Hora'!$C$31:$P$38,'Time Sheet'!E15+2,FALSE)</f>
        <v>18.0321068246481</v>
      </c>
      <c r="K15" s="198">
        <f t="shared" si="1"/>
        <v>42.074915924178917</v>
      </c>
    </row>
    <row r="16" spans="2:11" x14ac:dyDescent="0.25">
      <c r="B16" t="s">
        <v>100</v>
      </c>
      <c r="C16" s="146" t="s">
        <v>287</v>
      </c>
      <c r="D16" s="147">
        <v>42664</v>
      </c>
      <c r="E16" s="195">
        <f t="shared" si="0"/>
        <v>10</v>
      </c>
      <c r="F16" s="148">
        <v>0.60416666666666663</v>
      </c>
      <c r="G16" s="148">
        <v>0.64583333333333337</v>
      </c>
      <c r="H16" s="149">
        <v>4.1666666666666741E-2</v>
      </c>
      <c r="I16" t="s">
        <v>322</v>
      </c>
      <c r="J16" s="196">
        <f>VLOOKUP(I16,'Salário e Custo Hora'!$C$31:$P$38,'Time Sheet'!E16+2,FALSE)</f>
        <v>18.0321068246481</v>
      </c>
      <c r="K16" s="198">
        <f t="shared" si="1"/>
        <v>18.032106824648132</v>
      </c>
    </row>
    <row r="17" spans="2:11" x14ac:dyDescent="0.25">
      <c r="B17" t="s">
        <v>100</v>
      </c>
      <c r="C17" s="146" t="s">
        <v>282</v>
      </c>
      <c r="D17" s="147">
        <v>42664</v>
      </c>
      <c r="E17" s="195">
        <f t="shared" si="0"/>
        <v>10</v>
      </c>
      <c r="F17" s="148">
        <v>0.64583333333333337</v>
      </c>
      <c r="G17" s="148">
        <v>0.66666666666666663</v>
      </c>
      <c r="H17" s="149">
        <v>2.0833333333333259E-2</v>
      </c>
      <c r="I17" t="s">
        <v>322</v>
      </c>
      <c r="J17" s="196">
        <f>VLOOKUP(I17,'Salário e Custo Hora'!$C$31:$P$38,'Time Sheet'!E17+2,FALSE)</f>
        <v>18.0321068246481</v>
      </c>
      <c r="K17" s="198">
        <f t="shared" si="1"/>
        <v>9.0160534123240179</v>
      </c>
    </row>
    <row r="18" spans="2:11" x14ac:dyDescent="0.25">
      <c r="B18" t="s">
        <v>100</v>
      </c>
      <c r="C18" s="146" t="s">
        <v>286</v>
      </c>
      <c r="D18" s="147">
        <v>42664</v>
      </c>
      <c r="E18" s="195">
        <f t="shared" si="0"/>
        <v>10</v>
      </c>
      <c r="F18" s="148">
        <v>0.41666666666666669</v>
      </c>
      <c r="G18" s="148">
        <v>0.47222222222222227</v>
      </c>
      <c r="H18" s="149">
        <v>5.555555555555558E-2</v>
      </c>
      <c r="I18" t="s">
        <v>322</v>
      </c>
      <c r="J18" s="196">
        <f>VLOOKUP(I18,'Salário e Custo Hora'!$C$31:$P$38,'Time Sheet'!E18+2,FALSE)</f>
        <v>18.0321068246481</v>
      </c>
      <c r="K18" s="198">
        <f t="shared" si="1"/>
        <v>24.04280909953081</v>
      </c>
    </row>
    <row r="19" spans="2:11" x14ac:dyDescent="0.25">
      <c r="B19" t="s">
        <v>100</v>
      </c>
      <c r="C19" s="146" t="s">
        <v>288</v>
      </c>
      <c r="D19" s="147">
        <v>42328</v>
      </c>
      <c r="E19" s="195">
        <f t="shared" si="0"/>
        <v>11</v>
      </c>
      <c r="F19" s="148">
        <v>0.60416666666666663</v>
      </c>
      <c r="G19" s="148">
        <v>0.64583333333333337</v>
      </c>
      <c r="H19" s="149">
        <v>4.1666666666666741E-2</v>
      </c>
      <c r="I19" t="s">
        <v>322</v>
      </c>
      <c r="J19" s="196">
        <f>VLOOKUP(I19,'Salário e Custo Hora'!$C$31:$P$38,'Time Sheet'!E19+2,FALSE)</f>
        <v>18.933712165880504</v>
      </c>
      <c r="K19" s="198">
        <f t="shared" si="1"/>
        <v>18.933712165880536</v>
      </c>
    </row>
    <row r="20" spans="2:11" x14ac:dyDescent="0.25">
      <c r="B20" t="s">
        <v>100</v>
      </c>
      <c r="C20" s="146" t="s">
        <v>287</v>
      </c>
      <c r="D20" s="147">
        <v>42348</v>
      </c>
      <c r="E20" s="195">
        <f t="shared" si="0"/>
        <v>12</v>
      </c>
      <c r="F20" s="148">
        <v>0.60416666666666663</v>
      </c>
      <c r="G20" s="148">
        <v>0.65625</v>
      </c>
      <c r="H20" s="149">
        <v>5.208333333333337E-2</v>
      </c>
      <c r="I20" t="s">
        <v>322</v>
      </c>
      <c r="J20" s="196">
        <f>VLOOKUP(I20,'Salário e Custo Hora'!$C$31:$P$38,'Time Sheet'!E20+2,FALSE)</f>
        <v>18.933712165880504</v>
      </c>
      <c r="K20" s="198">
        <f t="shared" si="1"/>
        <v>23.667140207350645</v>
      </c>
    </row>
    <row r="21" spans="2:11" x14ac:dyDescent="0.25">
      <c r="B21" t="s">
        <v>100</v>
      </c>
      <c r="C21" s="146" t="s">
        <v>284</v>
      </c>
      <c r="D21" s="147">
        <v>42714</v>
      </c>
      <c r="E21" s="195">
        <f t="shared" si="0"/>
        <v>12</v>
      </c>
      <c r="F21" s="148">
        <v>0.65625</v>
      </c>
      <c r="G21" s="148">
        <v>0.70833333333333337</v>
      </c>
      <c r="H21" s="149">
        <v>5.208333333333337E-2</v>
      </c>
      <c r="I21" t="s">
        <v>322</v>
      </c>
      <c r="J21" s="196">
        <f>VLOOKUP(I21,'Salário e Custo Hora'!$C$31:$P$38,'Time Sheet'!E21+2,FALSE)</f>
        <v>18.933712165880504</v>
      </c>
      <c r="K21" s="198">
        <f t="shared" si="1"/>
        <v>23.667140207350645</v>
      </c>
    </row>
    <row r="22" spans="2:11" x14ac:dyDescent="0.25">
      <c r="B22" t="s">
        <v>25</v>
      </c>
      <c r="C22" s="146" t="s">
        <v>283</v>
      </c>
      <c r="D22" s="147">
        <v>42142</v>
      </c>
      <c r="E22" s="195">
        <f t="shared" si="0"/>
        <v>5</v>
      </c>
      <c r="F22" s="148">
        <v>0.58333333333333337</v>
      </c>
      <c r="G22" s="148">
        <v>0.70833333333333337</v>
      </c>
      <c r="H22" s="149">
        <v>0.125</v>
      </c>
      <c r="I22" t="s">
        <v>323</v>
      </c>
      <c r="J22" s="196">
        <f>VLOOKUP(I22,'Salário e Custo Hora'!$C$31:$P$38,'Time Sheet'!E22+2,FALSE)</f>
        <v>22.192559453616354</v>
      </c>
      <c r="K22" s="198">
        <f t="shared" si="1"/>
        <v>66.577678360849063</v>
      </c>
    </row>
    <row r="23" spans="2:11" x14ac:dyDescent="0.25">
      <c r="B23" t="s">
        <v>25</v>
      </c>
      <c r="C23" s="146" t="s">
        <v>286</v>
      </c>
      <c r="D23" s="147">
        <v>42282</v>
      </c>
      <c r="E23" s="195">
        <f t="shared" si="0"/>
        <v>10</v>
      </c>
      <c r="F23" s="148">
        <v>0.64583333333333337</v>
      </c>
      <c r="G23" s="148">
        <v>0.6875</v>
      </c>
      <c r="H23" s="149">
        <v>4.166666666666663E-2</v>
      </c>
      <c r="I23" t="s">
        <v>323</v>
      </c>
      <c r="J23" s="196">
        <f>VLOOKUP(I23,'Salário e Custo Hora'!$C$31:$P$38,'Time Sheet'!E23+2,FALSE)</f>
        <v>26.254094133722674</v>
      </c>
      <c r="K23" s="198">
        <f t="shared" si="1"/>
        <v>26.254094133722649</v>
      </c>
    </row>
    <row r="24" spans="2:11" x14ac:dyDescent="0.25">
      <c r="B24" t="s">
        <v>25</v>
      </c>
      <c r="C24" s="146" t="s">
        <v>285</v>
      </c>
      <c r="D24" s="147">
        <v>42282</v>
      </c>
      <c r="E24" s="195">
        <f t="shared" si="0"/>
        <v>10</v>
      </c>
      <c r="F24" s="148">
        <v>0.6875</v>
      </c>
      <c r="G24" s="148">
        <v>0.75</v>
      </c>
      <c r="H24" s="149">
        <v>6.25E-2</v>
      </c>
      <c r="I24" t="s">
        <v>323</v>
      </c>
      <c r="J24" s="196">
        <f>VLOOKUP(I24,'Salário e Custo Hora'!$C$31:$P$38,'Time Sheet'!E24+2,FALSE)</f>
        <v>26.254094133722674</v>
      </c>
      <c r="K24" s="198">
        <f t="shared" si="1"/>
        <v>39.381141200584011</v>
      </c>
    </row>
    <row r="25" spans="2:11" x14ac:dyDescent="0.25">
      <c r="B25" t="s">
        <v>290</v>
      </c>
      <c r="C25" s="146" t="s">
        <v>289</v>
      </c>
      <c r="D25" s="147">
        <v>42011</v>
      </c>
      <c r="E25" s="195">
        <f t="shared" si="0"/>
        <v>1</v>
      </c>
      <c r="F25" s="148">
        <v>0.55208333333333337</v>
      </c>
      <c r="G25" s="148">
        <v>0.57638888888888895</v>
      </c>
      <c r="H25" s="149">
        <v>2.430555555555558E-2</v>
      </c>
      <c r="I25" t="s">
        <v>162</v>
      </c>
      <c r="J25" s="196">
        <f>VLOOKUP(I25,'Salário e Custo Hora'!$C$31:$P$38,'Time Sheet'!E25+2,FALSE)</f>
        <v>11.737740762578618</v>
      </c>
      <c r="K25" s="198">
        <f t="shared" si="1"/>
        <v>6.8470154448375338</v>
      </c>
    </row>
    <row r="26" spans="2:11" x14ac:dyDescent="0.25">
      <c r="B26" t="s">
        <v>290</v>
      </c>
      <c r="C26" s="146" t="s">
        <v>283</v>
      </c>
      <c r="D26" s="147">
        <v>42142</v>
      </c>
      <c r="E26" s="195">
        <f t="shared" si="0"/>
        <v>5</v>
      </c>
      <c r="F26" s="148">
        <v>0.60416666666666663</v>
      </c>
      <c r="G26" s="148">
        <v>0.70833333333333337</v>
      </c>
      <c r="H26" s="149">
        <v>0.10416666666666674</v>
      </c>
      <c r="I26" t="s">
        <v>162</v>
      </c>
      <c r="J26" s="196">
        <f>VLOOKUP(I26,'Salário e Custo Hora'!$C$31:$P$38,'Time Sheet'!E26+2,FALSE)</f>
        <v>12.911514838836476</v>
      </c>
      <c r="K26" s="198">
        <f t="shared" si="1"/>
        <v>32.278787097091211</v>
      </c>
    </row>
    <row r="27" spans="2:11" x14ac:dyDescent="0.25">
      <c r="B27" t="s">
        <v>291</v>
      </c>
      <c r="C27" s="146" t="s">
        <v>289</v>
      </c>
      <c r="D27" s="147">
        <v>42011</v>
      </c>
      <c r="E27" s="195">
        <f t="shared" si="0"/>
        <v>1</v>
      </c>
      <c r="F27" s="148">
        <v>0.55208333333333337</v>
      </c>
      <c r="G27" s="148">
        <v>0.57638888888888895</v>
      </c>
      <c r="H27" s="149">
        <v>2.430555555555558E-2</v>
      </c>
      <c r="I27" t="s">
        <v>176</v>
      </c>
      <c r="J27" s="196">
        <f>VLOOKUP(I27,'Salário e Custo Hora'!$C$31:$P$38,'Time Sheet'!E27+2,FALSE)</f>
        <v>11.24397602201258</v>
      </c>
      <c r="K27" s="198">
        <f t="shared" si="1"/>
        <v>6.5589860128406787</v>
      </c>
    </row>
    <row r="28" spans="2:11" x14ac:dyDescent="0.25">
      <c r="B28" t="s">
        <v>291</v>
      </c>
      <c r="C28" s="146" t="s">
        <v>283</v>
      </c>
      <c r="D28" s="147">
        <v>42142</v>
      </c>
      <c r="E28" s="195">
        <f t="shared" si="0"/>
        <v>5</v>
      </c>
      <c r="F28" s="148">
        <v>0.58333333333333337</v>
      </c>
      <c r="G28" s="148">
        <v>0.70833333333333337</v>
      </c>
      <c r="H28" s="149">
        <v>0.125</v>
      </c>
      <c r="I28" t="s">
        <v>176</v>
      </c>
      <c r="J28" s="196">
        <f>VLOOKUP(I28,'Salário e Custo Hora'!$C$31:$P$38,'Time Sheet'!E28+2,FALSE)</f>
        <v>12.368373624213838</v>
      </c>
      <c r="K28" s="198">
        <f t="shared" si="1"/>
        <v>37.105120872641514</v>
      </c>
    </row>
    <row r="29" spans="2:11" x14ac:dyDescent="0.25">
      <c r="B29" t="s">
        <v>291</v>
      </c>
      <c r="C29" s="146" t="s">
        <v>286</v>
      </c>
      <c r="D29" s="147">
        <v>42282</v>
      </c>
      <c r="E29" s="195">
        <f t="shared" si="0"/>
        <v>10</v>
      </c>
      <c r="F29" s="148">
        <v>0.64583333333333337</v>
      </c>
      <c r="G29" s="148">
        <v>0.6875</v>
      </c>
      <c r="H29" s="149">
        <v>4.166666666666663E-2</v>
      </c>
      <c r="I29" t="s">
        <v>176</v>
      </c>
      <c r="J29" s="196">
        <f>VLOOKUP(I29,'Salário e Custo Hora'!$C$31:$P$38,'Time Sheet'!E29+2,FALSE)</f>
        <v>12.841183269691525</v>
      </c>
      <c r="K29" s="198">
        <f t="shared" si="1"/>
        <v>12.841183269691514</v>
      </c>
    </row>
    <row r="30" spans="2:11" x14ac:dyDescent="0.25">
      <c r="B30" t="s">
        <v>291</v>
      </c>
      <c r="C30" s="146" t="s">
        <v>285</v>
      </c>
      <c r="D30" s="147">
        <v>42282</v>
      </c>
      <c r="E30" s="195">
        <f t="shared" si="0"/>
        <v>10</v>
      </c>
      <c r="F30" s="148">
        <v>0.6875</v>
      </c>
      <c r="G30" s="148">
        <v>0.75</v>
      </c>
      <c r="H30" s="149">
        <v>6.25E-2</v>
      </c>
      <c r="I30" t="s">
        <v>176</v>
      </c>
      <c r="J30" s="196">
        <f>VLOOKUP(I30,'Salário e Custo Hora'!$C$31:$P$38,'Time Sheet'!E30+2,FALSE)</f>
        <v>12.841183269691525</v>
      </c>
      <c r="K30" s="198">
        <f t="shared" si="1"/>
        <v>19.261774904537287</v>
      </c>
    </row>
    <row r="31" spans="2:11" x14ac:dyDescent="0.25">
      <c r="B31" s="81"/>
      <c r="C31" s="199"/>
      <c r="D31" s="81"/>
      <c r="K31" s="198"/>
    </row>
    <row r="32" spans="2:11" x14ac:dyDescent="0.25">
      <c r="B32" s="81"/>
      <c r="C32" s="199"/>
      <c r="D32" s="81"/>
      <c r="K32" s="198"/>
    </row>
    <row r="33" spans="2:11" x14ac:dyDescent="0.25">
      <c r="B33" s="81"/>
      <c r="C33" s="199"/>
      <c r="D33" s="81"/>
      <c r="K33" s="19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'C:\Users\AlineMcB\Google Drive\∑ Projetos\PRODIET NUTRIÇÃO\INOVAÇÃO TECNOLÓGICA\2015\Lei do Bem\Time sheet\[TS amontanini.xlsm]Projetos'!#REF!</xm:f>
          </x14:formula1>
          <xm:sqref>C6:C21</xm:sqref>
        </x14:dataValidation>
        <x14:dataValidation type="list" allowBlank="1" showInputMessage="1" showErrorMessage="1">
          <x14:formula1>
            <xm:f>'C:\Users\AlineMcB\Google Drive\∑ Projetos\PRODIET NUTRIÇÃO\INOVAÇÃO TECNOLÓGICA\2015\Lei do Bem\Time sheet\[TS fchavita.xlsm]Projetos'!#REF!</xm:f>
          </x14:formula1>
          <xm:sqref>C22:C24</xm:sqref>
        </x14:dataValidation>
        <x14:dataValidation type="list" allowBlank="1" showInputMessage="1" showErrorMessage="1">
          <x14:formula1>
            <xm:f>'C:\Users\AlineMcB\Google Drive\∑ Projetos\PRODIET NUTRIÇÃO\INOVAÇÃO TECNOLÓGICA\2015\Lei do Bem\Time sheet\[TS lnascimento.xlsm]Projetos'!#REF!</xm:f>
          </x14:formula1>
          <xm:sqref>C26</xm:sqref>
        </x14:dataValidation>
        <x14:dataValidation type="list" allowBlank="1" showInputMessage="1" showErrorMessage="1">
          <x14:formula1>
            <xm:f>'C:\Users\AlineMcB\Google Drive\∑ Projetos\PRODIET NUTRIÇÃO\INOVAÇÃO TECNOLÓGICA\2015\Lei do Bem\Time sheet\[TS msoares.xlsm]Projetos'!#REF!</xm:f>
          </x14:formula1>
          <xm:sqref>C28:C30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activeCell="B16" sqref="B16"/>
    </sheetView>
  </sheetViews>
  <sheetFormatPr defaultColWidth="11" defaultRowHeight="15.75" x14ac:dyDescent="0.25"/>
  <cols>
    <col min="1" max="1" width="20.625" customWidth="1"/>
    <col min="2" max="2" width="56.625" customWidth="1"/>
    <col min="3" max="3" width="9.875" bestFit="1" customWidth="1"/>
    <col min="7" max="7" width="10.125" bestFit="1" customWidth="1"/>
    <col min="8" max="8" width="2.625" bestFit="1" customWidth="1"/>
    <col min="9" max="9" width="25" bestFit="1" customWidth="1"/>
  </cols>
  <sheetData>
    <row r="1" spans="1:9" ht="16.5" thickBot="1" x14ac:dyDescent="0.3">
      <c r="A1" s="140" t="s">
        <v>186</v>
      </c>
      <c r="B1" s="140" t="s">
        <v>187</v>
      </c>
      <c r="C1" s="140" t="s">
        <v>188</v>
      </c>
      <c r="D1" s="140" t="s">
        <v>189</v>
      </c>
    </row>
    <row r="2" spans="1:9" ht="16.5" thickBot="1" x14ac:dyDescent="0.3">
      <c r="A2" s="141" t="s">
        <v>190</v>
      </c>
      <c r="B2" s="141" t="s">
        <v>191</v>
      </c>
    </row>
    <row r="3" spans="1:9" ht="16.5" thickTop="1" x14ac:dyDescent="0.25">
      <c r="A3" s="142" t="s">
        <v>192</v>
      </c>
      <c r="B3" s="142" t="s">
        <v>193</v>
      </c>
    </row>
    <row r="4" spans="1:9" x14ac:dyDescent="0.25">
      <c r="A4" s="142" t="s">
        <v>194</v>
      </c>
      <c r="B4" s="143"/>
    </row>
    <row r="5" spans="1:9" ht="31.5" x14ac:dyDescent="0.25">
      <c r="A5" s="142" t="s">
        <v>195</v>
      </c>
      <c r="B5" s="144" t="s">
        <v>196</v>
      </c>
      <c r="C5" s="145">
        <v>11708</v>
      </c>
      <c r="D5" s="145">
        <v>0</v>
      </c>
      <c r="E5" s="144" t="s">
        <v>256</v>
      </c>
      <c r="F5" t="s">
        <v>257</v>
      </c>
      <c r="G5">
        <v>20</v>
      </c>
      <c r="H5" t="s">
        <v>258</v>
      </c>
      <c r="I5" t="s">
        <v>259</v>
      </c>
    </row>
    <row r="6" spans="1:9" ht="31.5" x14ac:dyDescent="0.25">
      <c r="A6" s="142" t="s">
        <v>197</v>
      </c>
      <c r="B6" s="144" t="s">
        <v>198</v>
      </c>
      <c r="C6" s="145">
        <v>33875</v>
      </c>
      <c r="D6" s="145">
        <v>0</v>
      </c>
      <c r="E6" s="144" t="s">
        <v>256</v>
      </c>
      <c r="F6" t="s">
        <v>257</v>
      </c>
      <c r="G6">
        <v>24</v>
      </c>
      <c r="H6" t="s">
        <v>258</v>
      </c>
      <c r="I6" t="s">
        <v>260</v>
      </c>
    </row>
    <row r="7" spans="1:9" ht="31.5" x14ac:dyDescent="0.25">
      <c r="A7" s="142" t="s">
        <v>199</v>
      </c>
      <c r="B7" s="144" t="s">
        <v>200</v>
      </c>
      <c r="C7" s="145" t="s">
        <v>199</v>
      </c>
      <c r="D7" s="145" t="s">
        <v>199</v>
      </c>
      <c r="E7" s="144" t="s">
        <v>261</v>
      </c>
      <c r="F7" t="s">
        <v>262</v>
      </c>
      <c r="G7" t="s">
        <v>263</v>
      </c>
      <c r="H7" t="s">
        <v>264</v>
      </c>
    </row>
    <row r="8" spans="1:9" ht="31.5" x14ac:dyDescent="0.25">
      <c r="A8" s="142" t="s">
        <v>201</v>
      </c>
      <c r="B8" s="144" t="s">
        <v>202</v>
      </c>
      <c r="C8" s="145">
        <v>11708</v>
      </c>
      <c r="D8" s="145">
        <v>0</v>
      </c>
      <c r="E8" s="144" t="s">
        <v>256</v>
      </c>
      <c r="F8" t="s">
        <v>257</v>
      </c>
      <c r="G8">
        <v>20</v>
      </c>
      <c r="H8" t="s">
        <v>258</v>
      </c>
      <c r="I8" t="s">
        <v>265</v>
      </c>
    </row>
    <row r="9" spans="1:9" ht="31.5" x14ac:dyDescent="0.25">
      <c r="A9" s="142" t="s">
        <v>203</v>
      </c>
      <c r="B9" s="144" t="s">
        <v>204</v>
      </c>
      <c r="C9" s="145">
        <v>11708</v>
      </c>
      <c r="D9" s="145">
        <v>0</v>
      </c>
      <c r="E9" s="144" t="s">
        <v>256</v>
      </c>
      <c r="F9" t="s">
        <v>257</v>
      </c>
      <c r="G9">
        <v>21</v>
      </c>
      <c r="H9" t="s">
        <v>258</v>
      </c>
      <c r="I9" t="s">
        <v>265</v>
      </c>
    </row>
    <row r="10" spans="1:9" ht="31.5" x14ac:dyDescent="0.25">
      <c r="A10" s="142" t="s">
        <v>205</v>
      </c>
      <c r="B10" s="144" t="s">
        <v>206</v>
      </c>
      <c r="C10" s="145">
        <v>33875</v>
      </c>
      <c r="D10" s="145">
        <v>0</v>
      </c>
      <c r="E10" s="144" t="s">
        <v>256</v>
      </c>
      <c r="F10" t="s">
        <v>257</v>
      </c>
      <c r="G10">
        <v>26</v>
      </c>
      <c r="H10" t="s">
        <v>258</v>
      </c>
      <c r="I10" t="s">
        <v>260</v>
      </c>
    </row>
    <row r="11" spans="1:9" ht="31.5" x14ac:dyDescent="0.25">
      <c r="A11" s="142" t="s">
        <v>207</v>
      </c>
      <c r="B11" s="144" t="s">
        <v>208</v>
      </c>
      <c r="C11" s="145">
        <v>11708</v>
      </c>
      <c r="D11" s="145">
        <v>0</v>
      </c>
      <c r="E11" s="144" t="s">
        <v>256</v>
      </c>
      <c r="F11" t="s">
        <v>257</v>
      </c>
      <c r="G11">
        <v>21</v>
      </c>
      <c r="H11" t="s">
        <v>258</v>
      </c>
      <c r="I11" t="s">
        <v>259</v>
      </c>
    </row>
    <row r="12" spans="1:9" ht="31.5" x14ac:dyDescent="0.25">
      <c r="A12" s="142" t="s">
        <v>209</v>
      </c>
      <c r="B12" s="144" t="s">
        <v>210</v>
      </c>
      <c r="C12" s="145">
        <v>11708</v>
      </c>
      <c r="D12" s="145">
        <v>0</v>
      </c>
      <c r="E12" s="144" t="s">
        <v>256</v>
      </c>
      <c r="F12" t="s">
        <v>257</v>
      </c>
      <c r="G12">
        <v>22</v>
      </c>
      <c r="H12" t="s">
        <v>258</v>
      </c>
      <c r="I12" t="s">
        <v>265</v>
      </c>
    </row>
    <row r="13" spans="1:9" ht="31.5" x14ac:dyDescent="0.25">
      <c r="A13" s="142" t="s">
        <v>211</v>
      </c>
      <c r="B13" s="144" t="s">
        <v>212</v>
      </c>
      <c r="C13" s="145">
        <v>11708</v>
      </c>
      <c r="D13" s="145">
        <v>0</v>
      </c>
      <c r="E13" s="144" t="s">
        <v>256</v>
      </c>
      <c r="F13" t="s">
        <v>257</v>
      </c>
      <c r="G13">
        <v>22</v>
      </c>
      <c r="H13" t="s">
        <v>258</v>
      </c>
      <c r="I13" t="s">
        <v>259</v>
      </c>
    </row>
    <row r="14" spans="1:9" ht="31.5" x14ac:dyDescent="0.25">
      <c r="A14" s="142" t="s">
        <v>197</v>
      </c>
      <c r="B14" s="144" t="s">
        <v>213</v>
      </c>
      <c r="C14" s="145">
        <v>33875</v>
      </c>
      <c r="D14" s="145">
        <v>0</v>
      </c>
      <c r="E14" s="144" t="s">
        <v>256</v>
      </c>
      <c r="F14" t="s">
        <v>257</v>
      </c>
      <c r="G14">
        <v>28</v>
      </c>
      <c r="H14" t="s">
        <v>258</v>
      </c>
      <c r="I14" t="s">
        <v>260</v>
      </c>
    </row>
    <row r="15" spans="1:9" ht="31.5" x14ac:dyDescent="0.25">
      <c r="A15" s="142" t="s">
        <v>214</v>
      </c>
      <c r="B15" s="144" t="s">
        <v>215</v>
      </c>
      <c r="C15" s="145">
        <v>33875</v>
      </c>
      <c r="D15" s="145">
        <v>0</v>
      </c>
      <c r="E15" s="144" t="s">
        <v>256</v>
      </c>
      <c r="F15" t="s">
        <v>257</v>
      </c>
      <c r="G15">
        <v>30</v>
      </c>
      <c r="H15" t="s">
        <v>258</v>
      </c>
      <c r="I15" t="s">
        <v>260</v>
      </c>
    </row>
    <row r="16" spans="1:9" ht="31.5" x14ac:dyDescent="0.25">
      <c r="A16" s="142" t="s">
        <v>216</v>
      </c>
      <c r="B16" s="144" t="s">
        <v>217</v>
      </c>
      <c r="C16" s="145">
        <v>11708</v>
      </c>
      <c r="D16" s="145">
        <v>0</v>
      </c>
      <c r="E16" s="144" t="s">
        <v>256</v>
      </c>
      <c r="F16" t="s">
        <v>257</v>
      </c>
      <c r="G16">
        <v>23</v>
      </c>
      <c r="H16" t="s">
        <v>258</v>
      </c>
      <c r="I16" t="s">
        <v>265</v>
      </c>
    </row>
    <row r="17" spans="1:9" ht="31.5" x14ac:dyDescent="0.25">
      <c r="A17" s="142" t="s">
        <v>218</v>
      </c>
      <c r="B17" s="144" t="s">
        <v>219</v>
      </c>
      <c r="C17" s="145">
        <v>11708</v>
      </c>
      <c r="D17" s="145">
        <v>0</v>
      </c>
      <c r="E17" s="144" t="s">
        <v>256</v>
      </c>
      <c r="F17" t="s">
        <v>257</v>
      </c>
      <c r="G17">
        <v>23</v>
      </c>
      <c r="H17" t="s">
        <v>258</v>
      </c>
      <c r="I17" t="s">
        <v>259</v>
      </c>
    </row>
    <row r="18" spans="1:9" ht="31.5" x14ac:dyDescent="0.25">
      <c r="A18" s="142" t="s">
        <v>220</v>
      </c>
      <c r="B18" s="144" t="s">
        <v>221</v>
      </c>
      <c r="C18" s="145">
        <v>11708</v>
      </c>
      <c r="D18" s="145">
        <v>0</v>
      </c>
      <c r="E18" s="144" t="s">
        <v>256</v>
      </c>
      <c r="F18" t="s">
        <v>257</v>
      </c>
      <c r="G18">
        <v>24</v>
      </c>
      <c r="H18" t="s">
        <v>258</v>
      </c>
      <c r="I18" t="s">
        <v>265</v>
      </c>
    </row>
    <row r="19" spans="1:9" ht="31.5" x14ac:dyDescent="0.25">
      <c r="A19" s="142" t="s">
        <v>222</v>
      </c>
      <c r="B19" s="144" t="s">
        <v>223</v>
      </c>
      <c r="C19" s="145">
        <v>11708</v>
      </c>
      <c r="D19" s="145">
        <v>0</v>
      </c>
      <c r="E19" s="144" t="s">
        <v>256</v>
      </c>
      <c r="F19" t="s">
        <v>257</v>
      </c>
      <c r="G19">
        <v>24</v>
      </c>
      <c r="H19" t="s">
        <v>258</v>
      </c>
      <c r="I19" t="s">
        <v>259</v>
      </c>
    </row>
    <row r="20" spans="1:9" ht="31.5" x14ac:dyDescent="0.25">
      <c r="A20" s="142" t="s">
        <v>224</v>
      </c>
      <c r="B20" s="144" t="s">
        <v>225</v>
      </c>
      <c r="C20" s="145">
        <v>33875</v>
      </c>
      <c r="D20" s="145">
        <v>0</v>
      </c>
      <c r="E20" s="144" t="s">
        <v>256</v>
      </c>
      <c r="F20" t="s">
        <v>257</v>
      </c>
      <c r="G20">
        <v>33</v>
      </c>
      <c r="H20" t="s">
        <v>258</v>
      </c>
      <c r="I20" t="s">
        <v>266</v>
      </c>
    </row>
    <row r="21" spans="1:9" ht="31.5" x14ac:dyDescent="0.25">
      <c r="A21" s="142" t="s">
        <v>218</v>
      </c>
      <c r="B21" s="144" t="s">
        <v>226</v>
      </c>
      <c r="C21" s="145">
        <v>11708</v>
      </c>
      <c r="D21" s="145">
        <v>0</v>
      </c>
      <c r="E21" s="144" t="s">
        <v>256</v>
      </c>
      <c r="F21" t="s">
        <v>257</v>
      </c>
      <c r="G21">
        <v>25</v>
      </c>
      <c r="H21" t="s">
        <v>258</v>
      </c>
      <c r="I21" t="s">
        <v>265</v>
      </c>
    </row>
    <row r="22" spans="1:9" ht="31.5" x14ac:dyDescent="0.25">
      <c r="A22" s="142" t="s">
        <v>227</v>
      </c>
      <c r="B22" s="144" t="s">
        <v>228</v>
      </c>
      <c r="C22" s="145">
        <v>33875</v>
      </c>
      <c r="D22" s="145">
        <v>0</v>
      </c>
      <c r="E22" s="144" t="s">
        <v>256</v>
      </c>
      <c r="F22" t="s">
        <v>257</v>
      </c>
      <c r="G22">
        <v>35</v>
      </c>
      <c r="H22" t="s">
        <v>258</v>
      </c>
      <c r="I22" t="s">
        <v>266</v>
      </c>
    </row>
    <row r="23" spans="1:9" ht="31.5" x14ac:dyDescent="0.25">
      <c r="A23" s="142" t="s">
        <v>214</v>
      </c>
      <c r="B23" s="144" t="s">
        <v>229</v>
      </c>
      <c r="C23" s="145">
        <v>11708</v>
      </c>
      <c r="D23" s="145">
        <v>0</v>
      </c>
      <c r="E23" s="144" t="s">
        <v>256</v>
      </c>
      <c r="F23" t="s">
        <v>257</v>
      </c>
      <c r="G23">
        <v>25</v>
      </c>
      <c r="H23" t="s">
        <v>258</v>
      </c>
      <c r="I23" t="s">
        <v>259</v>
      </c>
    </row>
    <row r="24" spans="1:9" ht="31.5" x14ac:dyDescent="0.25">
      <c r="A24" s="142" t="s">
        <v>230</v>
      </c>
      <c r="B24" s="144" t="s">
        <v>231</v>
      </c>
      <c r="C24" s="145">
        <v>11708</v>
      </c>
      <c r="D24" s="145">
        <v>0</v>
      </c>
      <c r="E24" s="144" t="s">
        <v>256</v>
      </c>
      <c r="F24" t="s">
        <v>257</v>
      </c>
      <c r="G24">
        <v>26</v>
      </c>
      <c r="H24" t="s">
        <v>258</v>
      </c>
      <c r="I24" t="s">
        <v>265</v>
      </c>
    </row>
    <row r="25" spans="1:9" ht="31.5" x14ac:dyDescent="0.25">
      <c r="A25" s="142" t="s">
        <v>232</v>
      </c>
      <c r="B25" s="144" t="s">
        <v>233</v>
      </c>
      <c r="C25" s="145">
        <v>11708</v>
      </c>
      <c r="D25" s="145">
        <v>0</v>
      </c>
      <c r="E25" s="144" t="s">
        <v>256</v>
      </c>
      <c r="F25" t="s">
        <v>257</v>
      </c>
      <c r="G25">
        <v>26</v>
      </c>
      <c r="H25" t="s">
        <v>258</v>
      </c>
      <c r="I25" t="s">
        <v>259</v>
      </c>
    </row>
    <row r="26" spans="1:9" ht="31.5" x14ac:dyDescent="0.25">
      <c r="A26" s="142" t="s">
        <v>227</v>
      </c>
      <c r="B26" s="144" t="s">
        <v>234</v>
      </c>
      <c r="C26" s="145">
        <v>33875</v>
      </c>
      <c r="D26" s="145">
        <v>0</v>
      </c>
      <c r="E26" s="144" t="s">
        <v>256</v>
      </c>
      <c r="F26" t="s">
        <v>257</v>
      </c>
      <c r="G26">
        <v>37</v>
      </c>
      <c r="H26" t="s">
        <v>258</v>
      </c>
      <c r="I26" t="s">
        <v>266</v>
      </c>
    </row>
    <row r="27" spans="1:9" ht="31.5" x14ac:dyDescent="0.25">
      <c r="A27" s="142" t="s">
        <v>235</v>
      </c>
      <c r="B27" s="144" t="s">
        <v>236</v>
      </c>
      <c r="C27" s="145">
        <v>11708</v>
      </c>
      <c r="D27" s="145">
        <v>0</v>
      </c>
      <c r="E27" s="144" t="s">
        <v>256</v>
      </c>
      <c r="F27" t="s">
        <v>257</v>
      </c>
      <c r="G27">
        <v>27</v>
      </c>
      <c r="H27" t="s">
        <v>258</v>
      </c>
      <c r="I27" t="s">
        <v>259</v>
      </c>
    </row>
    <row r="28" spans="1:9" ht="31.5" x14ac:dyDescent="0.25">
      <c r="A28" s="142" t="s">
        <v>209</v>
      </c>
      <c r="B28" s="144" t="s">
        <v>237</v>
      </c>
      <c r="C28" s="145">
        <v>11708</v>
      </c>
      <c r="D28" s="145">
        <v>0</v>
      </c>
      <c r="E28" s="144" t="s">
        <v>256</v>
      </c>
      <c r="F28" t="s">
        <v>257</v>
      </c>
      <c r="G28">
        <v>27</v>
      </c>
      <c r="H28" t="s">
        <v>258</v>
      </c>
      <c r="I28" t="s">
        <v>265</v>
      </c>
    </row>
    <row r="29" spans="1:9" ht="31.5" x14ac:dyDescent="0.25">
      <c r="A29" s="142" t="s">
        <v>238</v>
      </c>
      <c r="B29" s="144" t="s">
        <v>239</v>
      </c>
      <c r="C29" s="145">
        <v>33875</v>
      </c>
      <c r="D29" s="145">
        <v>0</v>
      </c>
      <c r="E29" s="144" t="s">
        <v>256</v>
      </c>
      <c r="F29" t="s">
        <v>257</v>
      </c>
      <c r="G29">
        <v>39</v>
      </c>
      <c r="H29" t="s">
        <v>258</v>
      </c>
      <c r="I29" t="s">
        <v>266</v>
      </c>
    </row>
    <row r="30" spans="1:9" ht="31.5" x14ac:dyDescent="0.25">
      <c r="A30" s="142" t="s">
        <v>240</v>
      </c>
      <c r="B30" s="144" t="s">
        <v>241</v>
      </c>
      <c r="C30" s="145">
        <v>11708</v>
      </c>
      <c r="D30" s="145">
        <v>0</v>
      </c>
      <c r="E30" s="144" t="s">
        <v>256</v>
      </c>
      <c r="F30" t="s">
        <v>257</v>
      </c>
      <c r="G30">
        <v>28</v>
      </c>
      <c r="H30" t="s">
        <v>258</v>
      </c>
      <c r="I30" t="s">
        <v>265</v>
      </c>
    </row>
    <row r="31" spans="1:9" ht="31.5" x14ac:dyDescent="0.25">
      <c r="A31" s="142" t="s">
        <v>242</v>
      </c>
      <c r="B31" s="144" t="s">
        <v>243</v>
      </c>
      <c r="C31" s="145">
        <v>11708</v>
      </c>
      <c r="D31" s="145">
        <v>0</v>
      </c>
      <c r="E31" s="144" t="s">
        <v>256</v>
      </c>
      <c r="F31" t="s">
        <v>257</v>
      </c>
      <c r="G31">
        <v>28</v>
      </c>
      <c r="H31" t="s">
        <v>258</v>
      </c>
      <c r="I31" t="s">
        <v>259</v>
      </c>
    </row>
    <row r="32" spans="1:9" ht="31.5" x14ac:dyDescent="0.25">
      <c r="A32" s="142" t="s">
        <v>195</v>
      </c>
      <c r="B32" s="144" t="s">
        <v>244</v>
      </c>
      <c r="C32" s="145">
        <v>33771</v>
      </c>
      <c r="D32" s="145">
        <v>0</v>
      </c>
      <c r="E32" s="144" t="s">
        <v>256</v>
      </c>
      <c r="F32" t="s">
        <v>257</v>
      </c>
      <c r="G32">
        <v>201500001</v>
      </c>
      <c r="H32">
        <v>1</v>
      </c>
      <c r="I32" t="s">
        <v>267</v>
      </c>
    </row>
    <row r="33" spans="1:9" ht="31.5" x14ac:dyDescent="0.25">
      <c r="A33" s="142" t="s">
        <v>197</v>
      </c>
      <c r="B33" s="144" t="s">
        <v>245</v>
      </c>
      <c r="C33" s="145">
        <v>11708</v>
      </c>
      <c r="D33" s="145">
        <v>0</v>
      </c>
      <c r="E33" s="144" t="s">
        <v>256</v>
      </c>
      <c r="F33" t="s">
        <v>257</v>
      </c>
      <c r="G33">
        <v>29</v>
      </c>
      <c r="H33" t="s">
        <v>258</v>
      </c>
      <c r="I33" t="s">
        <v>259</v>
      </c>
    </row>
    <row r="34" spans="1:9" ht="31.5" x14ac:dyDescent="0.25">
      <c r="A34" s="142" t="s">
        <v>240</v>
      </c>
      <c r="B34" s="144" t="s">
        <v>246</v>
      </c>
      <c r="C34" s="145">
        <v>11604</v>
      </c>
      <c r="D34" s="145">
        <v>0</v>
      </c>
      <c r="E34" s="144" t="s">
        <v>256</v>
      </c>
      <c r="F34" t="s">
        <v>257</v>
      </c>
      <c r="G34">
        <v>29</v>
      </c>
      <c r="H34" t="s">
        <v>258</v>
      </c>
      <c r="I34" t="s">
        <v>265</v>
      </c>
    </row>
    <row r="35" spans="1:9" ht="31.5" x14ac:dyDescent="0.25">
      <c r="A35" s="142" t="s">
        <v>218</v>
      </c>
      <c r="B35" s="144" t="s">
        <v>247</v>
      </c>
      <c r="C35" s="145">
        <v>33771</v>
      </c>
      <c r="D35" s="145">
        <v>0</v>
      </c>
      <c r="E35" s="144" t="s">
        <v>256</v>
      </c>
      <c r="F35" t="s">
        <v>257</v>
      </c>
      <c r="G35">
        <v>-5</v>
      </c>
      <c r="H35" t="s">
        <v>268</v>
      </c>
      <c r="I35" t="s">
        <v>269</v>
      </c>
    </row>
    <row r="36" spans="1:9" ht="31.5" x14ac:dyDescent="0.25">
      <c r="A36" s="142" t="s">
        <v>203</v>
      </c>
      <c r="B36" s="144" t="s">
        <v>248</v>
      </c>
      <c r="C36" s="145">
        <v>33875</v>
      </c>
      <c r="D36" s="145">
        <v>0</v>
      </c>
      <c r="E36" s="144" t="s">
        <v>256</v>
      </c>
      <c r="F36" t="s">
        <v>257</v>
      </c>
      <c r="G36">
        <v>-7</v>
      </c>
      <c r="H36" t="s">
        <v>268</v>
      </c>
      <c r="I36" t="s">
        <v>269</v>
      </c>
    </row>
    <row r="37" spans="1:9" ht="47.25" x14ac:dyDescent="0.25">
      <c r="A37" s="142" t="s">
        <v>199</v>
      </c>
      <c r="B37" s="144" t="s">
        <v>249</v>
      </c>
      <c r="C37" s="145" t="s">
        <v>199</v>
      </c>
      <c r="D37" s="145" t="s">
        <v>199</v>
      </c>
      <c r="E37" s="144" t="s">
        <v>270</v>
      </c>
      <c r="F37" t="s">
        <v>271</v>
      </c>
      <c r="G37" t="s">
        <v>66</v>
      </c>
    </row>
    <row r="38" spans="1:9" ht="31.5" x14ac:dyDescent="0.25">
      <c r="A38" s="142" t="s">
        <v>218</v>
      </c>
      <c r="B38" s="144" t="s">
        <v>250</v>
      </c>
      <c r="C38" s="145">
        <v>11708</v>
      </c>
      <c r="D38" s="145">
        <v>0</v>
      </c>
      <c r="E38" s="144" t="s">
        <v>256</v>
      </c>
      <c r="F38" t="s">
        <v>257</v>
      </c>
      <c r="G38">
        <v>30</v>
      </c>
      <c r="H38" t="s">
        <v>258</v>
      </c>
      <c r="I38" t="s">
        <v>265</v>
      </c>
    </row>
    <row r="39" spans="1:9" ht="31.5" x14ac:dyDescent="0.25">
      <c r="A39" s="142" t="s">
        <v>235</v>
      </c>
      <c r="B39" s="144" t="s">
        <v>251</v>
      </c>
      <c r="C39" s="145">
        <v>11708</v>
      </c>
      <c r="D39" s="145">
        <v>0</v>
      </c>
      <c r="E39" s="144" t="s">
        <v>256</v>
      </c>
      <c r="F39" t="s">
        <v>257</v>
      </c>
      <c r="G39">
        <v>30</v>
      </c>
      <c r="H39" t="s">
        <v>258</v>
      </c>
      <c r="I39" t="s">
        <v>259</v>
      </c>
    </row>
    <row r="40" spans="1:9" ht="31.5" x14ac:dyDescent="0.25">
      <c r="A40" s="142" t="s">
        <v>195</v>
      </c>
      <c r="B40" s="144" t="s">
        <v>252</v>
      </c>
      <c r="C40" s="145">
        <v>11708</v>
      </c>
      <c r="D40" s="145">
        <v>0</v>
      </c>
      <c r="E40" s="144" t="s">
        <v>256</v>
      </c>
      <c r="F40" t="s">
        <v>257</v>
      </c>
      <c r="G40">
        <v>31</v>
      </c>
      <c r="H40" t="s">
        <v>258</v>
      </c>
      <c r="I40" t="s">
        <v>265</v>
      </c>
    </row>
    <row r="41" spans="1:9" ht="31.5" x14ac:dyDescent="0.25">
      <c r="A41" s="142" t="s">
        <v>235</v>
      </c>
      <c r="B41" s="144" t="s">
        <v>253</v>
      </c>
      <c r="C41" s="145">
        <v>11708</v>
      </c>
      <c r="D41" s="145">
        <v>0</v>
      </c>
      <c r="E41" s="144" t="s">
        <v>256</v>
      </c>
      <c r="F41" t="s">
        <v>257</v>
      </c>
      <c r="G41">
        <v>31</v>
      </c>
      <c r="H41" t="s">
        <v>258</v>
      </c>
      <c r="I41" t="s">
        <v>259</v>
      </c>
    </row>
    <row r="42" spans="1:9" ht="47.25" x14ac:dyDescent="0.25">
      <c r="A42" s="142" t="s">
        <v>199</v>
      </c>
      <c r="B42" s="144" t="s">
        <v>254</v>
      </c>
      <c r="C42" s="145" t="s">
        <v>199</v>
      </c>
      <c r="D42" s="145" t="s">
        <v>199</v>
      </c>
      <c r="E42" s="144" t="s">
        <v>272</v>
      </c>
      <c r="F42" t="s">
        <v>273</v>
      </c>
      <c r="G42" t="s">
        <v>274</v>
      </c>
    </row>
    <row r="43" spans="1:9" ht="31.5" x14ac:dyDescent="0.25">
      <c r="A43" s="142" t="s">
        <v>240</v>
      </c>
      <c r="B43" s="144" t="s">
        <v>255</v>
      </c>
      <c r="C43" s="145">
        <v>33875</v>
      </c>
      <c r="D43" s="145">
        <v>0</v>
      </c>
      <c r="E43" s="144" t="s">
        <v>256</v>
      </c>
      <c r="F43" t="s">
        <v>257</v>
      </c>
      <c r="G43">
        <v>201510</v>
      </c>
      <c r="H43">
        <v>1</v>
      </c>
      <c r="I43" t="s">
        <v>275</v>
      </c>
    </row>
  </sheetData>
  <autoFilter ref="A4:I4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2"/>
  <sheetViews>
    <sheetView tabSelected="1" workbookViewId="0">
      <selection activeCell="F11" sqref="F11"/>
    </sheetView>
  </sheetViews>
  <sheetFormatPr defaultColWidth="8.875" defaultRowHeight="12.75" x14ac:dyDescent="0.25"/>
  <cols>
    <col min="1" max="1" width="19.375" style="128" customWidth="1"/>
    <col min="2" max="2" width="14" style="127" bestFit="1" customWidth="1"/>
    <col min="3" max="3" width="16.5" style="127" bestFit="1" customWidth="1"/>
    <col min="4" max="4" width="12.625" style="126" bestFit="1" customWidth="1"/>
    <col min="5" max="5" width="27.625" style="121" bestFit="1" customWidth="1"/>
    <col min="6" max="6" width="45.125" style="127" bestFit="1" customWidth="1"/>
    <col min="7" max="7" width="15.375" style="127" bestFit="1" customWidth="1"/>
    <col min="8" max="8" width="50.625" style="127" customWidth="1"/>
    <col min="9" max="9" width="28" style="127" bestFit="1" customWidth="1"/>
    <col min="10" max="10" width="9.375" style="127" bestFit="1" customWidth="1"/>
    <col min="11" max="11" width="8.125" style="127" bestFit="1" customWidth="1"/>
    <col min="12" max="12" width="8" style="126" bestFit="1" customWidth="1"/>
    <col min="13" max="13" width="14" style="126" bestFit="1" customWidth="1"/>
    <col min="14" max="14" width="11.375" style="126" bestFit="1" customWidth="1"/>
    <col min="15" max="15" width="5" style="127" bestFit="1" customWidth="1"/>
    <col min="16" max="16" width="17.75" style="127" bestFit="1" customWidth="1"/>
    <col min="17" max="17" width="23.75" style="127" bestFit="1" customWidth="1"/>
    <col min="18" max="18" width="21.5" style="127" bestFit="1" customWidth="1"/>
    <col min="19" max="19" width="22.375" style="127" bestFit="1" customWidth="1"/>
    <col min="20" max="20" width="17" style="127" bestFit="1" customWidth="1"/>
    <col min="21" max="21" width="8.875" style="127"/>
    <col min="22" max="22" width="13.75" style="127" bestFit="1" customWidth="1"/>
    <col min="23" max="23" width="19.75" style="127" bestFit="1" customWidth="1"/>
    <col min="24" max="24" width="17.5" style="127" bestFit="1" customWidth="1"/>
    <col min="25" max="25" width="18.375" style="127" bestFit="1" customWidth="1"/>
    <col min="26" max="26" width="13" style="127" bestFit="1" customWidth="1"/>
    <col min="27" max="27" width="10.125" style="127" bestFit="1" customWidth="1"/>
    <col min="28" max="16384" width="8.875" style="127"/>
  </cols>
  <sheetData>
    <row r="1" spans="1:27" s="109" customFormat="1" ht="18" x14ac:dyDescent="0.25">
      <c r="A1" s="108" t="s">
        <v>19</v>
      </c>
      <c r="D1" s="110"/>
      <c r="E1" s="201"/>
      <c r="F1" s="202"/>
      <c r="G1" s="202"/>
      <c r="M1" s="110"/>
    </row>
    <row r="2" spans="1:27" s="109" customFormat="1" ht="14.25" x14ac:dyDescent="0.25">
      <c r="A2" s="111" t="str">
        <f>Resumo!B2</f>
        <v>INOVAÇÃO TECNOLÓGICA 2015</v>
      </c>
      <c r="D2" s="110"/>
      <c r="E2" s="201"/>
      <c r="F2" s="202"/>
      <c r="G2" s="202"/>
      <c r="H2" s="203"/>
      <c r="L2" s="110"/>
      <c r="M2" s="110"/>
    </row>
    <row r="3" spans="1:27" s="109" customFormat="1" ht="14.25" x14ac:dyDescent="0.25">
      <c r="A3" s="111" t="s">
        <v>33</v>
      </c>
      <c r="D3" s="110"/>
      <c r="E3" s="112"/>
      <c r="F3" s="202"/>
      <c r="G3" s="202"/>
      <c r="H3" s="202"/>
      <c r="L3" s="113"/>
      <c r="M3" s="110"/>
      <c r="N3" s="114"/>
      <c r="V3" s="179">
        <f>SUM(V6:V72)</f>
        <v>51009.752545165247</v>
      </c>
      <c r="W3" s="179">
        <f>SUM(W6:W72)</f>
        <v>28818.700878498581</v>
      </c>
      <c r="X3" s="179">
        <f>SUM(X6:X72)</f>
        <v>42872.719211831907</v>
      </c>
      <c r="Y3" s="179">
        <f>SUM(Y6:Y72)</f>
        <v>30703.900878498585</v>
      </c>
      <c r="Z3" s="179">
        <f>SUM(Z6:Z72)</f>
        <v>29192.780878498583</v>
      </c>
      <c r="AA3" s="179">
        <f>SUM(V3:Z3)</f>
        <v>182597.85439249291</v>
      </c>
    </row>
    <row r="4" spans="1:27" s="109" customFormat="1" ht="14.25" x14ac:dyDescent="0.25">
      <c r="A4" s="115"/>
      <c r="D4" s="110"/>
      <c r="E4" s="201"/>
      <c r="F4" s="202"/>
      <c r="G4" s="202"/>
      <c r="I4" s="109" t="s">
        <v>98</v>
      </c>
      <c r="M4" s="110"/>
      <c r="N4" s="116">
        <f>SUBTOTAL(9,N6:N1048576)</f>
        <v>182597.85439249291</v>
      </c>
      <c r="O4" s="117" t="s">
        <v>66</v>
      </c>
      <c r="P4" s="200" t="s">
        <v>180</v>
      </c>
      <c r="Q4" s="200"/>
      <c r="R4" s="200"/>
      <c r="S4" s="200"/>
      <c r="T4" s="200"/>
      <c r="V4" s="200" t="s">
        <v>181</v>
      </c>
      <c r="W4" s="200"/>
      <c r="X4" s="200"/>
      <c r="Y4" s="200"/>
      <c r="Z4" s="200"/>
    </row>
    <row r="5" spans="1:27" s="120" customFormat="1" x14ac:dyDescent="0.25">
      <c r="A5" s="135" t="s">
        <v>96</v>
      </c>
      <c r="B5" s="118" t="s">
        <v>48</v>
      </c>
      <c r="C5" s="118" t="s">
        <v>129</v>
      </c>
      <c r="D5" s="119" t="s">
        <v>163</v>
      </c>
      <c r="E5" s="118" t="s">
        <v>175</v>
      </c>
      <c r="F5" s="118" t="s">
        <v>7</v>
      </c>
      <c r="G5" s="118" t="s">
        <v>106</v>
      </c>
      <c r="H5" s="118" t="s">
        <v>2</v>
      </c>
      <c r="I5" s="118" t="s">
        <v>3</v>
      </c>
      <c r="J5" s="118" t="s">
        <v>0</v>
      </c>
      <c r="K5" s="118" t="s">
        <v>20</v>
      </c>
      <c r="L5" s="118" t="s">
        <v>6</v>
      </c>
      <c r="M5" s="119" t="s">
        <v>4</v>
      </c>
      <c r="N5" s="118" t="s">
        <v>5</v>
      </c>
      <c r="P5" s="118" t="s">
        <v>169</v>
      </c>
      <c r="Q5" s="118" t="s">
        <v>170</v>
      </c>
      <c r="R5" s="118" t="s">
        <v>171</v>
      </c>
      <c r="S5" s="118" t="s">
        <v>172</v>
      </c>
      <c r="T5" s="118" t="s">
        <v>95</v>
      </c>
      <c r="V5" s="118" t="s">
        <v>169</v>
      </c>
      <c r="W5" s="118" t="s">
        <v>170</v>
      </c>
      <c r="X5" s="118" t="s">
        <v>171</v>
      </c>
      <c r="Y5" s="118" t="s">
        <v>172</v>
      </c>
      <c r="Z5" s="118" t="s">
        <v>95</v>
      </c>
    </row>
    <row r="6" spans="1:27" s="121" customFormat="1" x14ac:dyDescent="0.25">
      <c r="A6" s="136" t="s">
        <v>110</v>
      </c>
      <c r="B6" s="121">
        <v>12822</v>
      </c>
      <c r="C6" s="121">
        <v>1</v>
      </c>
      <c r="D6" s="129">
        <v>510</v>
      </c>
      <c r="E6" s="112" t="s">
        <v>173</v>
      </c>
      <c r="F6" s="112" t="s">
        <v>105</v>
      </c>
      <c r="G6" s="112" t="s">
        <v>107</v>
      </c>
      <c r="H6" s="112" t="s">
        <v>108</v>
      </c>
      <c r="I6" s="122" t="s">
        <v>109</v>
      </c>
      <c r="J6" s="123">
        <v>42142</v>
      </c>
      <c r="K6" s="121">
        <f t="shared" ref="K6:K25" si="0">MONTH(J6)</f>
        <v>5</v>
      </c>
      <c r="L6" s="124">
        <v>1</v>
      </c>
      <c r="M6" s="124">
        <v>510</v>
      </c>
      <c r="N6" s="124">
        <f>M6*L6</f>
        <v>510</v>
      </c>
      <c r="O6" s="137">
        <f>SUM(P6:T6)</f>
        <v>1</v>
      </c>
      <c r="P6" s="131">
        <f>2/3</f>
        <v>0.66666666666666663</v>
      </c>
      <c r="Q6" s="131">
        <v>0</v>
      </c>
      <c r="R6" s="131">
        <v>0</v>
      </c>
      <c r="S6" s="131">
        <v>0</v>
      </c>
      <c r="T6" s="131">
        <f>1/3</f>
        <v>0.33333333333333331</v>
      </c>
      <c r="V6" s="138">
        <f>P6*$N6</f>
        <v>340</v>
      </c>
      <c r="W6" s="138">
        <f t="shared" ref="W6:Z6" si="1">Q6*$N6</f>
        <v>0</v>
      </c>
      <c r="X6" s="138">
        <f t="shared" si="1"/>
        <v>0</v>
      </c>
      <c r="Y6" s="138">
        <f t="shared" si="1"/>
        <v>0</v>
      </c>
      <c r="Z6" s="138">
        <f t="shared" si="1"/>
        <v>170</v>
      </c>
    </row>
    <row r="7" spans="1:27" s="121" customFormat="1" x14ac:dyDescent="0.25">
      <c r="A7" s="136" t="s">
        <v>111</v>
      </c>
      <c r="B7" s="121">
        <v>1946</v>
      </c>
      <c r="C7" s="121">
        <v>2</v>
      </c>
      <c r="D7" s="129">
        <v>217</v>
      </c>
      <c r="E7" s="112" t="s">
        <v>164</v>
      </c>
      <c r="F7" s="112" t="s">
        <v>101</v>
      </c>
      <c r="G7" s="112" t="s">
        <v>112</v>
      </c>
      <c r="H7" s="112" t="s">
        <v>113</v>
      </c>
      <c r="I7" s="122" t="s">
        <v>109</v>
      </c>
      <c r="J7" s="123">
        <v>42199</v>
      </c>
      <c r="K7" s="121">
        <f t="shared" si="0"/>
        <v>7</v>
      </c>
      <c r="L7" s="124">
        <v>1</v>
      </c>
      <c r="M7" s="124">
        <v>217</v>
      </c>
      <c r="N7" s="124">
        <f t="shared" ref="N7:N36" si="2">M7*L7</f>
        <v>217</v>
      </c>
      <c r="O7" s="137">
        <f t="shared" ref="O7:O35" si="3">SUM(P7:T7)</f>
        <v>1</v>
      </c>
      <c r="P7" s="131">
        <v>1</v>
      </c>
      <c r="Q7" s="131">
        <v>0</v>
      </c>
      <c r="R7" s="131">
        <v>0</v>
      </c>
      <c r="S7" s="131">
        <v>0</v>
      </c>
      <c r="T7" s="131">
        <v>0</v>
      </c>
      <c r="V7" s="138">
        <f t="shared" ref="V7:V34" si="4">P7*$N7</f>
        <v>217</v>
      </c>
      <c r="W7" s="138">
        <f t="shared" ref="W7:W34" si="5">Q7*$N7</f>
        <v>0</v>
      </c>
      <c r="X7" s="138">
        <f t="shared" ref="X7:X34" si="6">R7*$N7</f>
        <v>0</v>
      </c>
      <c r="Y7" s="138">
        <f t="shared" ref="Y7:Y34" si="7">S7*$N7</f>
        <v>0</v>
      </c>
      <c r="Z7" s="138">
        <f t="shared" ref="Z7:Z34" si="8">T7*$N7</f>
        <v>0</v>
      </c>
    </row>
    <row r="8" spans="1:27" s="121" customFormat="1" x14ac:dyDescent="0.25">
      <c r="A8" s="136" t="s">
        <v>114</v>
      </c>
      <c r="B8" s="121">
        <v>377135</v>
      </c>
      <c r="C8" s="121">
        <v>3</v>
      </c>
      <c r="D8" s="129">
        <v>68.39</v>
      </c>
      <c r="E8" s="112" t="s">
        <v>165</v>
      </c>
      <c r="F8" s="112" t="s">
        <v>115</v>
      </c>
      <c r="G8" s="112" t="s">
        <v>116</v>
      </c>
      <c r="H8" s="112" t="s">
        <v>117</v>
      </c>
      <c r="I8" s="122" t="s">
        <v>9</v>
      </c>
      <c r="J8" s="123">
        <v>42360</v>
      </c>
      <c r="K8" s="121">
        <f t="shared" si="0"/>
        <v>12</v>
      </c>
      <c r="L8" s="124">
        <v>1</v>
      </c>
      <c r="M8" s="124">
        <v>68.39</v>
      </c>
      <c r="N8" s="124">
        <f t="shared" si="2"/>
        <v>68.39</v>
      </c>
      <c r="O8" s="137">
        <f t="shared" si="3"/>
        <v>1</v>
      </c>
      <c r="P8" s="131">
        <v>1</v>
      </c>
      <c r="Q8" s="131">
        <v>0</v>
      </c>
      <c r="R8" s="131">
        <v>0</v>
      </c>
      <c r="S8" s="131">
        <v>0</v>
      </c>
      <c r="T8" s="131">
        <v>0</v>
      </c>
      <c r="V8" s="138">
        <f t="shared" si="4"/>
        <v>68.39</v>
      </c>
      <c r="W8" s="138">
        <f t="shared" si="5"/>
        <v>0</v>
      </c>
      <c r="X8" s="138">
        <f t="shared" si="6"/>
        <v>0</v>
      </c>
      <c r="Y8" s="138">
        <f t="shared" si="7"/>
        <v>0</v>
      </c>
      <c r="Z8" s="138">
        <f t="shared" si="8"/>
        <v>0</v>
      </c>
    </row>
    <row r="9" spans="1:27" s="121" customFormat="1" x14ac:dyDescent="0.25">
      <c r="A9" s="136" t="s">
        <v>111</v>
      </c>
      <c r="C9" s="121">
        <v>4</v>
      </c>
      <c r="D9" s="129">
        <v>275</v>
      </c>
      <c r="E9" s="112" t="s">
        <v>166</v>
      </c>
      <c r="F9" s="112" t="s">
        <v>119</v>
      </c>
      <c r="G9" s="112" t="s">
        <v>120</v>
      </c>
      <c r="H9" s="112" t="s">
        <v>118</v>
      </c>
      <c r="I9" s="122" t="s">
        <v>109</v>
      </c>
      <c r="J9" s="123">
        <v>42325</v>
      </c>
      <c r="K9" s="121">
        <f t="shared" si="0"/>
        <v>11</v>
      </c>
      <c r="L9" s="124">
        <v>1</v>
      </c>
      <c r="M9" s="124">
        <v>275</v>
      </c>
      <c r="N9" s="124">
        <f t="shared" si="2"/>
        <v>275</v>
      </c>
      <c r="O9" s="137">
        <f t="shared" si="3"/>
        <v>1</v>
      </c>
      <c r="P9" s="131">
        <v>1</v>
      </c>
      <c r="Q9" s="131">
        <v>0</v>
      </c>
      <c r="R9" s="131">
        <v>0</v>
      </c>
      <c r="S9" s="131">
        <v>0</v>
      </c>
      <c r="T9" s="131">
        <v>0</v>
      </c>
      <c r="V9" s="138">
        <f t="shared" si="4"/>
        <v>275</v>
      </c>
      <c r="W9" s="138">
        <f t="shared" si="5"/>
        <v>0</v>
      </c>
      <c r="X9" s="138">
        <f t="shared" si="6"/>
        <v>0</v>
      </c>
      <c r="Y9" s="138">
        <f t="shared" si="7"/>
        <v>0</v>
      </c>
      <c r="Z9" s="138">
        <f t="shared" si="8"/>
        <v>0</v>
      </c>
    </row>
    <row r="10" spans="1:27" s="121" customFormat="1" x14ac:dyDescent="0.25">
      <c r="A10" s="136" t="s">
        <v>161</v>
      </c>
      <c r="C10" s="121">
        <v>5</v>
      </c>
      <c r="D10" s="129">
        <v>704.29</v>
      </c>
      <c r="E10" s="112" t="s">
        <v>167</v>
      </c>
      <c r="F10" s="112" t="s">
        <v>125</v>
      </c>
      <c r="G10" s="112"/>
      <c r="H10" s="112" t="s">
        <v>121</v>
      </c>
      <c r="I10" s="122" t="s">
        <v>9</v>
      </c>
      <c r="J10" s="123">
        <v>42284</v>
      </c>
      <c r="K10" s="121">
        <f t="shared" ref="K10" si="9">MONTH(J10)</f>
        <v>10</v>
      </c>
      <c r="L10" s="124">
        <v>1</v>
      </c>
      <c r="M10" s="124">
        <v>704.29</v>
      </c>
      <c r="N10" s="124">
        <f t="shared" ref="N10" si="10">M10*L10</f>
        <v>704.29</v>
      </c>
      <c r="O10" s="137">
        <f t="shared" si="3"/>
        <v>1</v>
      </c>
      <c r="P10" s="131">
        <f>1/3</f>
        <v>0.33333333333333331</v>
      </c>
      <c r="Q10" s="131">
        <v>0</v>
      </c>
      <c r="R10" s="131">
        <f>2/3</f>
        <v>0.66666666666666663</v>
      </c>
      <c r="S10" s="131">
        <v>0</v>
      </c>
      <c r="T10" s="131">
        <v>0</v>
      </c>
      <c r="V10" s="138">
        <f t="shared" si="4"/>
        <v>234.76333333333332</v>
      </c>
      <c r="W10" s="138">
        <f t="shared" si="5"/>
        <v>0</v>
      </c>
      <c r="X10" s="138">
        <f t="shared" si="6"/>
        <v>469.52666666666664</v>
      </c>
      <c r="Y10" s="138">
        <f t="shared" si="7"/>
        <v>0</v>
      </c>
      <c r="Z10" s="138">
        <f t="shared" si="8"/>
        <v>0</v>
      </c>
    </row>
    <row r="11" spans="1:27" s="121" customFormat="1" x14ac:dyDescent="0.25">
      <c r="A11" s="136" t="s">
        <v>146</v>
      </c>
      <c r="C11" s="121">
        <v>6</v>
      </c>
      <c r="D11" s="129">
        <v>268</v>
      </c>
      <c r="E11" s="112" t="s">
        <v>167</v>
      </c>
      <c r="F11" s="112" t="s">
        <v>126</v>
      </c>
      <c r="G11" s="112"/>
      <c r="H11" s="112" t="s">
        <v>122</v>
      </c>
      <c r="I11" s="122" t="s">
        <v>9</v>
      </c>
      <c r="J11" s="123">
        <v>42284</v>
      </c>
      <c r="K11" s="121">
        <f t="shared" si="0"/>
        <v>10</v>
      </c>
      <c r="L11" s="124">
        <v>1</v>
      </c>
      <c r="M11" s="124">
        <v>268</v>
      </c>
      <c r="N11" s="124">
        <f t="shared" si="2"/>
        <v>268</v>
      </c>
      <c r="O11" s="137">
        <f t="shared" si="3"/>
        <v>1</v>
      </c>
      <c r="P11" s="131">
        <f>1/3</f>
        <v>0.33333333333333331</v>
      </c>
      <c r="Q11" s="131">
        <v>0</v>
      </c>
      <c r="R11" s="131">
        <f>2/3</f>
        <v>0.66666666666666663</v>
      </c>
      <c r="S11" s="131">
        <v>0</v>
      </c>
      <c r="T11" s="131">
        <v>0</v>
      </c>
      <c r="V11" s="138">
        <f t="shared" si="4"/>
        <v>89.333333333333329</v>
      </c>
      <c r="W11" s="138">
        <f t="shared" si="5"/>
        <v>0</v>
      </c>
      <c r="X11" s="138">
        <f t="shared" si="6"/>
        <v>178.66666666666666</v>
      </c>
      <c r="Y11" s="138">
        <f t="shared" si="7"/>
        <v>0</v>
      </c>
      <c r="Z11" s="138">
        <f t="shared" si="8"/>
        <v>0</v>
      </c>
    </row>
    <row r="12" spans="1:27" s="121" customFormat="1" x14ac:dyDescent="0.25">
      <c r="A12" s="136" t="s">
        <v>128</v>
      </c>
      <c r="C12" s="121">
        <v>7</v>
      </c>
      <c r="D12" s="129">
        <f>32.78+29</f>
        <v>61.78</v>
      </c>
      <c r="E12" s="112" t="s">
        <v>167</v>
      </c>
      <c r="F12" s="112" t="s">
        <v>127</v>
      </c>
      <c r="G12" s="112"/>
      <c r="H12" s="112" t="s">
        <v>123</v>
      </c>
      <c r="I12" s="122" t="s">
        <v>9</v>
      </c>
      <c r="J12" s="123">
        <v>42284</v>
      </c>
      <c r="K12" s="121">
        <f t="shared" si="0"/>
        <v>10</v>
      </c>
      <c r="L12" s="124">
        <v>1</v>
      </c>
      <c r="M12" s="124">
        <f>32.78+29</f>
        <v>61.78</v>
      </c>
      <c r="N12" s="124">
        <f t="shared" si="2"/>
        <v>61.78</v>
      </c>
      <c r="O12" s="137">
        <f t="shared" si="3"/>
        <v>1</v>
      </c>
      <c r="P12" s="131">
        <f>1/3</f>
        <v>0.33333333333333331</v>
      </c>
      <c r="Q12" s="131">
        <v>0</v>
      </c>
      <c r="R12" s="131">
        <f>2/3</f>
        <v>0.66666666666666663</v>
      </c>
      <c r="S12" s="131">
        <v>0</v>
      </c>
      <c r="T12" s="131">
        <v>0</v>
      </c>
      <c r="V12" s="138">
        <f t="shared" si="4"/>
        <v>20.593333333333334</v>
      </c>
      <c r="W12" s="138">
        <f t="shared" si="5"/>
        <v>0</v>
      </c>
      <c r="X12" s="138">
        <f t="shared" si="6"/>
        <v>41.186666666666667</v>
      </c>
      <c r="Y12" s="138">
        <f t="shared" si="7"/>
        <v>0</v>
      </c>
      <c r="Z12" s="138">
        <f t="shared" si="8"/>
        <v>0</v>
      </c>
    </row>
    <row r="13" spans="1:27" x14ac:dyDescent="0.25">
      <c r="A13" s="136" t="s">
        <v>111</v>
      </c>
      <c r="B13" s="121">
        <v>863</v>
      </c>
      <c r="C13" s="121">
        <v>8</v>
      </c>
      <c r="D13" s="129">
        <v>21.65</v>
      </c>
      <c r="E13" s="112" t="s">
        <v>167</v>
      </c>
      <c r="F13" s="112" t="s">
        <v>127</v>
      </c>
      <c r="G13" s="112"/>
      <c r="H13" s="112" t="s">
        <v>124</v>
      </c>
      <c r="I13" s="122" t="s">
        <v>9</v>
      </c>
      <c r="J13" s="123">
        <v>42284</v>
      </c>
      <c r="K13" s="121">
        <f t="shared" si="0"/>
        <v>10</v>
      </c>
      <c r="L13" s="124">
        <v>1</v>
      </c>
      <c r="M13" s="124">
        <v>21.65</v>
      </c>
      <c r="N13" s="124">
        <f t="shared" si="2"/>
        <v>21.65</v>
      </c>
      <c r="O13" s="137">
        <f t="shared" si="3"/>
        <v>1</v>
      </c>
      <c r="P13" s="131">
        <f>1/3</f>
        <v>0.33333333333333331</v>
      </c>
      <c r="Q13" s="131">
        <v>0</v>
      </c>
      <c r="R13" s="131">
        <f>2/3</f>
        <v>0.66666666666666663</v>
      </c>
      <c r="S13" s="131">
        <v>0</v>
      </c>
      <c r="T13" s="131">
        <v>0</v>
      </c>
      <c r="U13" s="121"/>
      <c r="V13" s="138">
        <f t="shared" si="4"/>
        <v>7.2166666666666659</v>
      </c>
      <c r="W13" s="138">
        <f t="shared" si="5"/>
        <v>0</v>
      </c>
      <c r="X13" s="138">
        <f t="shared" si="6"/>
        <v>14.433333333333332</v>
      </c>
      <c r="Y13" s="138">
        <f t="shared" si="7"/>
        <v>0</v>
      </c>
      <c r="Z13" s="138">
        <f t="shared" si="8"/>
        <v>0</v>
      </c>
    </row>
    <row r="14" spans="1:27" x14ac:dyDescent="0.25">
      <c r="A14" s="136" t="s">
        <v>110</v>
      </c>
      <c r="B14" s="121">
        <v>4924</v>
      </c>
      <c r="C14" s="121">
        <v>9</v>
      </c>
      <c r="D14" s="129">
        <v>8979.59</v>
      </c>
      <c r="E14" s="112" t="s">
        <v>168</v>
      </c>
      <c r="F14" s="112" t="s">
        <v>178</v>
      </c>
      <c r="G14" s="112" t="s">
        <v>130</v>
      </c>
      <c r="H14" s="112" t="s">
        <v>131</v>
      </c>
      <c r="I14" s="122" t="s">
        <v>109</v>
      </c>
      <c r="J14" s="123">
        <v>42318</v>
      </c>
      <c r="K14" s="121">
        <f t="shared" si="0"/>
        <v>11</v>
      </c>
      <c r="L14" s="124">
        <v>1</v>
      </c>
      <c r="M14" s="124">
        <v>8979.59</v>
      </c>
      <c r="N14" s="124">
        <f t="shared" si="2"/>
        <v>8979.59</v>
      </c>
      <c r="O14" s="137">
        <f t="shared" si="3"/>
        <v>1</v>
      </c>
      <c r="P14" s="131">
        <f>1/2</f>
        <v>0.5</v>
      </c>
      <c r="Q14" s="131">
        <v>0</v>
      </c>
      <c r="R14" s="131">
        <f>1/2</f>
        <v>0.5</v>
      </c>
      <c r="S14" s="131">
        <v>0</v>
      </c>
      <c r="T14" s="131">
        <v>0</v>
      </c>
      <c r="U14" s="121"/>
      <c r="V14" s="138">
        <f t="shared" si="4"/>
        <v>4489.7950000000001</v>
      </c>
      <c r="W14" s="138">
        <f t="shared" si="5"/>
        <v>0</v>
      </c>
      <c r="X14" s="138">
        <f t="shared" si="6"/>
        <v>4489.7950000000001</v>
      </c>
      <c r="Y14" s="138">
        <f t="shared" si="7"/>
        <v>0</v>
      </c>
      <c r="Z14" s="138">
        <f t="shared" si="8"/>
        <v>0</v>
      </c>
    </row>
    <row r="15" spans="1:27" x14ac:dyDescent="0.25">
      <c r="A15" s="136" t="s">
        <v>110</v>
      </c>
      <c r="B15" s="121">
        <v>24964</v>
      </c>
      <c r="C15" s="121">
        <v>10</v>
      </c>
      <c r="D15" s="129">
        <v>1995</v>
      </c>
      <c r="E15" s="112" t="s">
        <v>174</v>
      </c>
      <c r="F15" s="112" t="s">
        <v>132</v>
      </c>
      <c r="G15" s="112" t="s">
        <v>76</v>
      </c>
      <c r="H15" s="112" t="s">
        <v>133</v>
      </c>
      <c r="I15" s="122" t="s">
        <v>109</v>
      </c>
      <c r="J15" s="123">
        <v>42292</v>
      </c>
      <c r="K15" s="121">
        <f t="shared" si="0"/>
        <v>10</v>
      </c>
      <c r="L15" s="124">
        <v>1</v>
      </c>
      <c r="M15" s="124">
        <v>1995</v>
      </c>
      <c r="N15" s="124">
        <f t="shared" si="2"/>
        <v>1995</v>
      </c>
      <c r="O15" s="137">
        <f t="shared" si="3"/>
        <v>1</v>
      </c>
      <c r="P15" s="131">
        <f>2/7</f>
        <v>0.2857142857142857</v>
      </c>
      <c r="Q15" s="131">
        <v>0</v>
      </c>
      <c r="R15" s="131">
        <f>5/7</f>
        <v>0.7142857142857143</v>
      </c>
      <c r="S15" s="131">
        <v>0</v>
      </c>
      <c r="T15" s="131">
        <v>0</v>
      </c>
      <c r="U15" s="121"/>
      <c r="V15" s="138">
        <f t="shared" si="4"/>
        <v>570</v>
      </c>
      <c r="W15" s="138">
        <f t="shared" si="5"/>
        <v>0</v>
      </c>
      <c r="X15" s="138">
        <f t="shared" si="6"/>
        <v>1425</v>
      </c>
      <c r="Y15" s="138">
        <f t="shared" si="7"/>
        <v>0</v>
      </c>
      <c r="Z15" s="138">
        <f t="shared" si="8"/>
        <v>0</v>
      </c>
    </row>
    <row r="16" spans="1:27" x14ac:dyDescent="0.25">
      <c r="A16" s="136" t="s">
        <v>110</v>
      </c>
      <c r="B16" s="121">
        <v>23253</v>
      </c>
      <c r="C16" s="121">
        <v>11</v>
      </c>
      <c r="D16" s="129">
        <v>570</v>
      </c>
      <c r="E16" s="112" t="s">
        <v>168</v>
      </c>
      <c r="F16" s="112" t="s">
        <v>132</v>
      </c>
      <c r="G16" s="112" t="s">
        <v>76</v>
      </c>
      <c r="H16" s="112" t="s">
        <v>133</v>
      </c>
      <c r="I16" s="122" t="s">
        <v>109</v>
      </c>
      <c r="J16" s="123">
        <v>42088</v>
      </c>
      <c r="K16" s="121">
        <f t="shared" si="0"/>
        <v>3</v>
      </c>
      <c r="L16" s="124">
        <v>2</v>
      </c>
      <c r="M16" s="124">
        <v>285</v>
      </c>
      <c r="N16" s="124">
        <f t="shared" si="2"/>
        <v>570</v>
      </c>
      <c r="O16" s="137">
        <f t="shared" si="3"/>
        <v>1</v>
      </c>
      <c r="P16" s="131">
        <v>0</v>
      </c>
      <c r="Q16" s="131">
        <v>1</v>
      </c>
      <c r="R16" s="131">
        <v>0</v>
      </c>
      <c r="S16" s="131">
        <v>0</v>
      </c>
      <c r="T16" s="131">
        <v>0</v>
      </c>
      <c r="U16" s="121"/>
      <c r="V16" s="138">
        <f t="shared" si="4"/>
        <v>0</v>
      </c>
      <c r="W16" s="138">
        <f t="shared" si="5"/>
        <v>570</v>
      </c>
      <c r="X16" s="138">
        <f t="shared" si="6"/>
        <v>0</v>
      </c>
      <c r="Y16" s="138">
        <f t="shared" si="7"/>
        <v>0</v>
      </c>
      <c r="Z16" s="138">
        <f t="shared" si="8"/>
        <v>0</v>
      </c>
    </row>
    <row r="17" spans="1:26" x14ac:dyDescent="0.25">
      <c r="A17" s="136" t="s">
        <v>110</v>
      </c>
      <c r="B17" s="121">
        <v>64339</v>
      </c>
      <c r="C17" s="121">
        <v>12</v>
      </c>
      <c r="D17" s="129">
        <v>405.07</v>
      </c>
      <c r="E17" s="112" t="s">
        <v>168</v>
      </c>
      <c r="F17" s="112" t="s">
        <v>134</v>
      </c>
      <c r="G17" s="112" t="s">
        <v>135</v>
      </c>
      <c r="H17" s="112" t="s">
        <v>136</v>
      </c>
      <c r="I17" s="122" t="s">
        <v>109</v>
      </c>
      <c r="J17" s="123">
        <v>42219</v>
      </c>
      <c r="K17" s="121">
        <f t="shared" si="0"/>
        <v>8</v>
      </c>
      <c r="L17" s="124">
        <v>1</v>
      </c>
      <c r="M17" s="124">
        <v>405.07</v>
      </c>
      <c r="N17" s="124">
        <f t="shared" si="2"/>
        <v>405.07</v>
      </c>
      <c r="O17" s="137">
        <f t="shared" si="3"/>
        <v>1</v>
      </c>
      <c r="P17" s="131">
        <v>0</v>
      </c>
      <c r="Q17" s="131">
        <v>1</v>
      </c>
      <c r="R17" s="131">
        <v>0</v>
      </c>
      <c r="S17" s="131">
        <v>0</v>
      </c>
      <c r="T17" s="131">
        <v>0</v>
      </c>
      <c r="U17" s="121"/>
      <c r="V17" s="138">
        <f t="shared" si="4"/>
        <v>0</v>
      </c>
      <c r="W17" s="138">
        <f t="shared" si="5"/>
        <v>405.07</v>
      </c>
      <c r="X17" s="138">
        <f t="shared" si="6"/>
        <v>0</v>
      </c>
      <c r="Y17" s="138">
        <f t="shared" si="7"/>
        <v>0</v>
      </c>
      <c r="Z17" s="138">
        <f t="shared" si="8"/>
        <v>0</v>
      </c>
    </row>
    <row r="18" spans="1:26" x14ac:dyDescent="0.25">
      <c r="A18" s="136" t="s">
        <v>138</v>
      </c>
      <c r="B18" s="121" t="s">
        <v>139</v>
      </c>
      <c r="C18" s="121">
        <v>13</v>
      </c>
      <c r="D18" s="129">
        <v>41</v>
      </c>
      <c r="E18" s="112" t="s">
        <v>168</v>
      </c>
      <c r="F18" s="112" t="s">
        <v>137</v>
      </c>
      <c r="G18" s="112"/>
      <c r="H18" s="112" t="s">
        <v>140</v>
      </c>
      <c r="I18" s="122" t="s">
        <v>9</v>
      </c>
      <c r="J18" s="123">
        <v>42033</v>
      </c>
      <c r="K18" s="121">
        <f t="shared" si="0"/>
        <v>1</v>
      </c>
      <c r="L18" s="124">
        <v>1</v>
      </c>
      <c r="M18" s="124">
        <v>41</v>
      </c>
      <c r="N18" s="124">
        <f t="shared" si="2"/>
        <v>41</v>
      </c>
      <c r="O18" s="137">
        <f t="shared" si="3"/>
        <v>1</v>
      </c>
      <c r="P18" s="131">
        <v>0</v>
      </c>
      <c r="Q18" s="131">
        <v>1</v>
      </c>
      <c r="R18" s="131">
        <v>0</v>
      </c>
      <c r="S18" s="131">
        <v>0</v>
      </c>
      <c r="T18" s="131">
        <v>0</v>
      </c>
      <c r="U18" s="121"/>
      <c r="V18" s="138">
        <f t="shared" si="4"/>
        <v>0</v>
      </c>
      <c r="W18" s="138">
        <f t="shared" si="5"/>
        <v>41</v>
      </c>
      <c r="X18" s="138">
        <f t="shared" si="6"/>
        <v>0</v>
      </c>
      <c r="Y18" s="138">
        <f t="shared" si="7"/>
        <v>0</v>
      </c>
      <c r="Z18" s="138">
        <f t="shared" si="8"/>
        <v>0</v>
      </c>
    </row>
    <row r="19" spans="1:26" x14ac:dyDescent="0.25">
      <c r="A19" s="136" t="s">
        <v>110</v>
      </c>
      <c r="B19" s="121">
        <v>25280</v>
      </c>
      <c r="C19" s="121">
        <v>14</v>
      </c>
      <c r="D19" s="129">
        <v>570</v>
      </c>
      <c r="E19" s="112" t="s">
        <v>168</v>
      </c>
      <c r="F19" s="112" t="s">
        <v>132</v>
      </c>
      <c r="G19" s="112" t="s">
        <v>76</v>
      </c>
      <c r="H19" s="112" t="s">
        <v>133</v>
      </c>
      <c r="I19" s="122" t="s">
        <v>109</v>
      </c>
      <c r="J19" s="123">
        <v>42332</v>
      </c>
      <c r="K19" s="121">
        <f t="shared" si="0"/>
        <v>11</v>
      </c>
      <c r="L19" s="124">
        <v>1</v>
      </c>
      <c r="M19" s="124">
        <v>570</v>
      </c>
      <c r="N19" s="124">
        <f t="shared" si="2"/>
        <v>570</v>
      </c>
      <c r="O19" s="137">
        <f t="shared" si="3"/>
        <v>1</v>
      </c>
      <c r="P19" s="131">
        <v>0</v>
      </c>
      <c r="Q19" s="131">
        <v>0</v>
      </c>
      <c r="R19" s="131">
        <v>1</v>
      </c>
      <c r="S19" s="131">
        <v>0</v>
      </c>
      <c r="T19" s="131">
        <v>0</v>
      </c>
      <c r="U19" s="121"/>
      <c r="V19" s="138">
        <f t="shared" si="4"/>
        <v>0</v>
      </c>
      <c r="W19" s="138">
        <f t="shared" si="5"/>
        <v>0</v>
      </c>
      <c r="X19" s="138">
        <f t="shared" si="6"/>
        <v>570</v>
      </c>
      <c r="Y19" s="138">
        <f t="shared" si="7"/>
        <v>0</v>
      </c>
      <c r="Z19" s="138">
        <f t="shared" si="8"/>
        <v>0</v>
      </c>
    </row>
    <row r="20" spans="1:26" x14ac:dyDescent="0.25">
      <c r="A20" s="136" t="s">
        <v>110</v>
      </c>
      <c r="B20" s="121">
        <v>61954</v>
      </c>
      <c r="C20" s="121">
        <v>15</v>
      </c>
      <c r="D20" s="129">
        <v>710.15</v>
      </c>
      <c r="E20" s="112" t="s">
        <v>168</v>
      </c>
      <c r="F20" s="112" t="s">
        <v>134</v>
      </c>
      <c r="G20" s="112" t="s">
        <v>135</v>
      </c>
      <c r="H20" s="112" t="s">
        <v>136</v>
      </c>
      <c r="I20" s="122" t="s">
        <v>109</v>
      </c>
      <c r="J20" s="123">
        <v>42111</v>
      </c>
      <c r="K20" s="121">
        <f t="shared" si="0"/>
        <v>4</v>
      </c>
      <c r="L20" s="124">
        <v>1</v>
      </c>
      <c r="M20" s="124">
        <v>710.15</v>
      </c>
      <c r="N20" s="124">
        <f t="shared" si="2"/>
        <v>710.15</v>
      </c>
      <c r="O20" s="137">
        <f t="shared" si="3"/>
        <v>1</v>
      </c>
      <c r="P20" s="131">
        <v>0</v>
      </c>
      <c r="Q20" s="131">
        <v>0</v>
      </c>
      <c r="R20" s="131">
        <v>0</v>
      </c>
      <c r="S20" s="131">
        <v>0</v>
      </c>
      <c r="T20" s="131">
        <v>1</v>
      </c>
      <c r="U20" s="121"/>
      <c r="V20" s="138">
        <f t="shared" si="4"/>
        <v>0</v>
      </c>
      <c r="W20" s="138">
        <f t="shared" si="5"/>
        <v>0</v>
      </c>
      <c r="X20" s="138">
        <f t="shared" si="6"/>
        <v>0</v>
      </c>
      <c r="Y20" s="138">
        <f t="shared" si="7"/>
        <v>0</v>
      </c>
      <c r="Z20" s="138">
        <f t="shared" si="8"/>
        <v>710.15</v>
      </c>
    </row>
    <row r="21" spans="1:26" x14ac:dyDescent="0.25">
      <c r="A21" s="136" t="s">
        <v>110</v>
      </c>
      <c r="B21" s="121">
        <v>28874</v>
      </c>
      <c r="C21" s="121">
        <v>16</v>
      </c>
      <c r="D21" s="129">
        <v>488.67</v>
      </c>
      <c r="E21" s="112" t="s">
        <v>168</v>
      </c>
      <c r="F21" s="112" t="s">
        <v>141</v>
      </c>
      <c r="G21" s="112" t="s">
        <v>142</v>
      </c>
      <c r="H21" s="112" t="s">
        <v>136</v>
      </c>
      <c r="I21" s="122" t="s">
        <v>109</v>
      </c>
      <c r="J21" s="123">
        <v>42125</v>
      </c>
      <c r="K21" s="121">
        <f t="shared" si="0"/>
        <v>5</v>
      </c>
      <c r="L21" s="124">
        <v>1</v>
      </c>
      <c r="M21" s="124">
        <v>488.67</v>
      </c>
      <c r="N21" s="124">
        <f t="shared" si="2"/>
        <v>488.67</v>
      </c>
      <c r="O21" s="137">
        <f t="shared" si="3"/>
        <v>1</v>
      </c>
      <c r="P21" s="131">
        <v>1</v>
      </c>
      <c r="Q21" s="131">
        <v>0</v>
      </c>
      <c r="R21" s="131">
        <v>0</v>
      </c>
      <c r="S21" s="131">
        <v>0</v>
      </c>
      <c r="T21" s="131">
        <v>0</v>
      </c>
      <c r="U21" s="121"/>
      <c r="V21" s="138">
        <f t="shared" si="4"/>
        <v>488.67</v>
      </c>
      <c r="W21" s="138">
        <f t="shared" si="5"/>
        <v>0</v>
      </c>
      <c r="X21" s="138">
        <f t="shared" si="6"/>
        <v>0</v>
      </c>
      <c r="Y21" s="138">
        <f t="shared" si="7"/>
        <v>0</v>
      </c>
      <c r="Z21" s="138">
        <f t="shared" si="8"/>
        <v>0</v>
      </c>
    </row>
    <row r="22" spans="1:26" x14ac:dyDescent="0.25">
      <c r="A22" s="136" t="s">
        <v>110</v>
      </c>
      <c r="B22" s="121">
        <v>66894</v>
      </c>
      <c r="C22" s="121">
        <v>17</v>
      </c>
      <c r="D22" s="129">
        <v>405.07</v>
      </c>
      <c r="E22" s="112" t="s">
        <v>168</v>
      </c>
      <c r="F22" s="112" t="s">
        <v>134</v>
      </c>
      <c r="G22" s="112" t="s">
        <v>135</v>
      </c>
      <c r="H22" s="112" t="s">
        <v>136</v>
      </c>
      <c r="I22" s="122" t="s">
        <v>109</v>
      </c>
      <c r="J22" s="123">
        <v>42319</v>
      </c>
      <c r="K22" s="121">
        <f t="shared" si="0"/>
        <v>11</v>
      </c>
      <c r="L22" s="124">
        <v>1</v>
      </c>
      <c r="M22" s="124">
        <v>405.07</v>
      </c>
      <c r="N22" s="124">
        <f t="shared" si="2"/>
        <v>405.07</v>
      </c>
      <c r="O22" s="137">
        <f t="shared" si="3"/>
        <v>1</v>
      </c>
      <c r="P22" s="131">
        <v>0</v>
      </c>
      <c r="Q22" s="131">
        <v>0</v>
      </c>
      <c r="R22" s="131">
        <v>0</v>
      </c>
      <c r="S22" s="131">
        <v>1</v>
      </c>
      <c r="T22" s="131">
        <v>0</v>
      </c>
      <c r="U22" s="121"/>
      <c r="V22" s="138">
        <f t="shared" si="4"/>
        <v>0</v>
      </c>
      <c r="W22" s="138">
        <f t="shared" si="5"/>
        <v>0</v>
      </c>
      <c r="X22" s="138">
        <f t="shared" si="6"/>
        <v>0</v>
      </c>
      <c r="Y22" s="138">
        <f t="shared" si="7"/>
        <v>405.07</v>
      </c>
      <c r="Z22" s="138">
        <f t="shared" si="8"/>
        <v>0</v>
      </c>
    </row>
    <row r="23" spans="1:26" x14ac:dyDescent="0.25">
      <c r="A23" s="136" t="s">
        <v>110</v>
      </c>
      <c r="B23" s="121">
        <v>12529</v>
      </c>
      <c r="C23" s="121">
        <v>18</v>
      </c>
      <c r="D23" s="129">
        <v>340</v>
      </c>
      <c r="E23" s="112" t="s">
        <v>168</v>
      </c>
      <c r="F23" s="112" t="s">
        <v>105</v>
      </c>
      <c r="G23" s="112" t="s">
        <v>107</v>
      </c>
      <c r="H23" s="112" t="s">
        <v>108</v>
      </c>
      <c r="I23" s="122" t="s">
        <v>143</v>
      </c>
      <c r="J23" s="123">
        <v>42104</v>
      </c>
      <c r="K23" s="121">
        <f t="shared" si="0"/>
        <v>4</v>
      </c>
      <c r="L23" s="124">
        <v>1</v>
      </c>
      <c r="M23" s="124">
        <v>340</v>
      </c>
      <c r="N23" s="124">
        <f t="shared" si="2"/>
        <v>340</v>
      </c>
      <c r="O23" s="137">
        <f t="shared" si="3"/>
        <v>1</v>
      </c>
      <c r="P23" s="131">
        <v>0</v>
      </c>
      <c r="Q23" s="131">
        <v>0</v>
      </c>
      <c r="R23" s="131">
        <v>0</v>
      </c>
      <c r="S23" s="131">
        <v>0</v>
      </c>
      <c r="T23" s="131">
        <v>1</v>
      </c>
      <c r="U23" s="121"/>
      <c r="V23" s="138">
        <f t="shared" si="4"/>
        <v>0</v>
      </c>
      <c r="W23" s="138">
        <f t="shared" si="5"/>
        <v>0</v>
      </c>
      <c r="X23" s="138">
        <f t="shared" si="6"/>
        <v>0</v>
      </c>
      <c r="Y23" s="138">
        <f t="shared" si="7"/>
        <v>0</v>
      </c>
      <c r="Z23" s="138">
        <f t="shared" si="8"/>
        <v>340</v>
      </c>
    </row>
    <row r="24" spans="1:26" x14ac:dyDescent="0.25">
      <c r="A24" s="136" t="s">
        <v>111</v>
      </c>
      <c r="B24" s="121">
        <v>197</v>
      </c>
      <c r="C24" s="121">
        <v>19</v>
      </c>
      <c r="D24" s="129">
        <v>560</v>
      </c>
      <c r="E24" s="112" t="s">
        <v>168</v>
      </c>
      <c r="F24" s="112" t="s">
        <v>101</v>
      </c>
      <c r="G24" s="112" t="s">
        <v>112</v>
      </c>
      <c r="H24" s="112" t="s">
        <v>144</v>
      </c>
      <c r="I24" s="122" t="s">
        <v>109</v>
      </c>
      <c r="J24" s="123">
        <v>42199</v>
      </c>
      <c r="K24" s="121">
        <f t="shared" si="0"/>
        <v>7</v>
      </c>
      <c r="L24" s="124">
        <v>1</v>
      </c>
      <c r="M24" s="124">
        <v>560</v>
      </c>
      <c r="N24" s="124">
        <f t="shared" si="2"/>
        <v>560</v>
      </c>
      <c r="O24" s="137">
        <f t="shared" si="3"/>
        <v>1</v>
      </c>
      <c r="P24" s="131">
        <v>0</v>
      </c>
      <c r="Q24" s="131">
        <v>0</v>
      </c>
      <c r="R24" s="131">
        <v>1</v>
      </c>
      <c r="S24" s="131">
        <v>0</v>
      </c>
      <c r="T24" s="131">
        <v>0</v>
      </c>
      <c r="U24" s="121"/>
      <c r="V24" s="138">
        <f t="shared" si="4"/>
        <v>0</v>
      </c>
      <c r="W24" s="138">
        <f t="shared" si="5"/>
        <v>0</v>
      </c>
      <c r="X24" s="138">
        <f t="shared" si="6"/>
        <v>560</v>
      </c>
      <c r="Y24" s="138">
        <f t="shared" si="7"/>
        <v>0</v>
      </c>
      <c r="Z24" s="138">
        <f t="shared" si="8"/>
        <v>0</v>
      </c>
    </row>
    <row r="25" spans="1:26" x14ac:dyDescent="0.25">
      <c r="A25" s="136" t="s">
        <v>128</v>
      </c>
      <c r="B25" s="121" t="s">
        <v>145</v>
      </c>
      <c r="C25" s="121">
        <v>20</v>
      </c>
      <c r="D25" s="129">
        <f>37.4+39.95</f>
        <v>77.349999999999994</v>
      </c>
      <c r="E25" s="112" t="s">
        <v>168</v>
      </c>
      <c r="F25" s="112" t="s">
        <v>127</v>
      </c>
      <c r="G25" s="112"/>
      <c r="H25" s="112" t="s">
        <v>153</v>
      </c>
      <c r="I25" s="122" t="s">
        <v>9</v>
      </c>
      <c r="J25" s="123">
        <v>42302</v>
      </c>
      <c r="K25" s="121">
        <f t="shared" si="0"/>
        <v>10</v>
      </c>
      <c r="L25" s="124">
        <v>1</v>
      </c>
      <c r="M25" s="124">
        <f>37.4+39.95</f>
        <v>77.349999999999994</v>
      </c>
      <c r="N25" s="124">
        <f t="shared" si="2"/>
        <v>77.349999999999994</v>
      </c>
      <c r="O25" s="137">
        <f t="shared" si="3"/>
        <v>1</v>
      </c>
      <c r="P25" s="131">
        <v>0</v>
      </c>
      <c r="Q25" s="131">
        <v>0</v>
      </c>
      <c r="R25" s="131">
        <v>1</v>
      </c>
      <c r="S25" s="131">
        <v>0</v>
      </c>
      <c r="T25" s="131">
        <v>0</v>
      </c>
      <c r="U25" s="121"/>
      <c r="V25" s="138">
        <f t="shared" si="4"/>
        <v>0</v>
      </c>
      <c r="W25" s="138">
        <f t="shared" si="5"/>
        <v>0</v>
      </c>
      <c r="X25" s="138">
        <f t="shared" si="6"/>
        <v>77.349999999999994</v>
      </c>
      <c r="Y25" s="138">
        <f t="shared" si="7"/>
        <v>0</v>
      </c>
      <c r="Z25" s="138">
        <f t="shared" si="8"/>
        <v>0</v>
      </c>
    </row>
    <row r="26" spans="1:26" x14ac:dyDescent="0.25">
      <c r="A26" s="136" t="s">
        <v>146</v>
      </c>
      <c r="B26" s="121"/>
      <c r="C26" s="121">
        <v>21</v>
      </c>
      <c r="D26" s="129">
        <v>450</v>
      </c>
      <c r="E26" s="112" t="s">
        <v>168</v>
      </c>
      <c r="F26" s="112" t="s">
        <v>126</v>
      </c>
      <c r="G26" s="112"/>
      <c r="H26" s="112" t="s">
        <v>152</v>
      </c>
      <c r="I26" s="122" t="s">
        <v>9</v>
      </c>
      <c r="J26" s="123">
        <v>42302</v>
      </c>
      <c r="K26" s="121">
        <f>MONTH(J26)</f>
        <v>10</v>
      </c>
      <c r="L26" s="124">
        <v>3</v>
      </c>
      <c r="M26" s="124">
        <v>150</v>
      </c>
      <c r="N26" s="124">
        <f t="shared" si="2"/>
        <v>450</v>
      </c>
      <c r="O26" s="137">
        <f t="shared" si="3"/>
        <v>1</v>
      </c>
      <c r="P26" s="131">
        <v>0</v>
      </c>
      <c r="Q26" s="131">
        <v>0</v>
      </c>
      <c r="R26" s="131">
        <v>1</v>
      </c>
      <c r="S26" s="131">
        <v>0</v>
      </c>
      <c r="T26" s="131">
        <v>0</v>
      </c>
      <c r="U26" s="121"/>
      <c r="V26" s="138">
        <f t="shared" si="4"/>
        <v>0</v>
      </c>
      <c r="W26" s="138">
        <f t="shared" si="5"/>
        <v>0</v>
      </c>
      <c r="X26" s="138">
        <f t="shared" si="6"/>
        <v>450</v>
      </c>
      <c r="Y26" s="138">
        <f t="shared" si="7"/>
        <v>0</v>
      </c>
      <c r="Z26" s="138">
        <f t="shared" si="8"/>
        <v>0</v>
      </c>
    </row>
    <row r="27" spans="1:26" x14ac:dyDescent="0.25">
      <c r="A27" s="136" t="s">
        <v>110</v>
      </c>
      <c r="B27" s="121">
        <v>74361</v>
      </c>
      <c r="C27" s="121">
        <v>22</v>
      </c>
      <c r="D27" s="129">
        <v>1100</v>
      </c>
      <c r="E27" s="112" t="s">
        <v>168</v>
      </c>
      <c r="F27" s="112" t="s">
        <v>147</v>
      </c>
      <c r="G27" s="112" t="s">
        <v>148</v>
      </c>
      <c r="H27" s="112" t="s">
        <v>149</v>
      </c>
      <c r="I27" s="122" t="s">
        <v>109</v>
      </c>
      <c r="J27" s="123">
        <v>42297</v>
      </c>
      <c r="K27" s="121">
        <f t="shared" ref="K27:K72" si="11">MONTH(J27)</f>
        <v>10</v>
      </c>
      <c r="L27" s="124">
        <v>1</v>
      </c>
      <c r="M27" s="124">
        <v>1100</v>
      </c>
      <c r="N27" s="124">
        <f t="shared" si="2"/>
        <v>1100</v>
      </c>
      <c r="O27" s="137">
        <f t="shared" si="3"/>
        <v>1</v>
      </c>
      <c r="P27" s="131">
        <v>0</v>
      </c>
      <c r="Q27" s="131">
        <v>0</v>
      </c>
      <c r="R27" s="131">
        <v>1</v>
      </c>
      <c r="S27" s="131">
        <v>0</v>
      </c>
      <c r="T27" s="131">
        <v>0</v>
      </c>
      <c r="U27" s="121"/>
      <c r="V27" s="138">
        <f t="shared" si="4"/>
        <v>0</v>
      </c>
      <c r="W27" s="138">
        <f t="shared" si="5"/>
        <v>0</v>
      </c>
      <c r="X27" s="138">
        <f t="shared" si="6"/>
        <v>1100</v>
      </c>
      <c r="Y27" s="138">
        <f t="shared" si="7"/>
        <v>0</v>
      </c>
      <c r="Z27" s="138">
        <f t="shared" si="8"/>
        <v>0</v>
      </c>
    </row>
    <row r="28" spans="1:26" x14ac:dyDescent="0.25">
      <c r="A28" s="136" t="s">
        <v>151</v>
      </c>
      <c r="B28" s="121" t="s">
        <v>150</v>
      </c>
      <c r="C28" s="121">
        <v>23</v>
      </c>
      <c r="D28" s="129">
        <v>1080.29</v>
      </c>
      <c r="E28" s="112" t="s">
        <v>168</v>
      </c>
      <c r="F28" s="112" t="s">
        <v>125</v>
      </c>
      <c r="G28" s="112"/>
      <c r="H28" s="112" t="s">
        <v>154</v>
      </c>
      <c r="I28" s="122" t="s">
        <v>9</v>
      </c>
      <c r="J28" s="123">
        <v>42302</v>
      </c>
      <c r="K28" s="121">
        <f t="shared" si="11"/>
        <v>10</v>
      </c>
      <c r="L28" s="124">
        <v>1</v>
      </c>
      <c r="M28" s="124">
        <v>1080.29</v>
      </c>
      <c r="N28" s="124">
        <f t="shared" si="2"/>
        <v>1080.29</v>
      </c>
      <c r="O28" s="137">
        <f t="shared" si="3"/>
        <v>1</v>
      </c>
      <c r="P28" s="131">
        <v>0</v>
      </c>
      <c r="Q28" s="131">
        <v>0</v>
      </c>
      <c r="R28" s="131">
        <v>1</v>
      </c>
      <c r="S28" s="131">
        <v>0</v>
      </c>
      <c r="T28" s="131">
        <v>0</v>
      </c>
      <c r="U28" s="121"/>
      <c r="V28" s="138">
        <f t="shared" si="4"/>
        <v>0</v>
      </c>
      <c r="W28" s="138">
        <f t="shared" si="5"/>
        <v>0</v>
      </c>
      <c r="X28" s="138">
        <f t="shared" si="6"/>
        <v>1080.29</v>
      </c>
      <c r="Y28" s="138">
        <f t="shared" si="7"/>
        <v>0</v>
      </c>
      <c r="Z28" s="138">
        <f t="shared" si="8"/>
        <v>0</v>
      </c>
    </row>
    <row r="29" spans="1:26" x14ac:dyDescent="0.25">
      <c r="A29" s="136" t="s">
        <v>110</v>
      </c>
      <c r="B29" s="121">
        <v>31865</v>
      </c>
      <c r="C29" s="121">
        <v>24</v>
      </c>
      <c r="D29" s="129">
        <v>562.45000000000005</v>
      </c>
      <c r="E29" s="112" t="s">
        <v>168</v>
      </c>
      <c r="F29" s="112" t="s">
        <v>141</v>
      </c>
      <c r="G29" s="112" t="s">
        <v>142</v>
      </c>
      <c r="H29" s="112" t="s">
        <v>136</v>
      </c>
      <c r="I29" s="122" t="s">
        <v>109</v>
      </c>
      <c r="J29" s="123">
        <v>42317</v>
      </c>
      <c r="K29" s="121">
        <f t="shared" si="11"/>
        <v>11</v>
      </c>
      <c r="L29" s="124">
        <v>1</v>
      </c>
      <c r="M29" s="124">
        <v>562.45000000000005</v>
      </c>
      <c r="N29" s="124">
        <f t="shared" si="2"/>
        <v>562.45000000000005</v>
      </c>
      <c r="O29" s="137">
        <f t="shared" si="3"/>
        <v>1</v>
      </c>
      <c r="P29" s="131">
        <v>0</v>
      </c>
      <c r="Q29" s="131">
        <v>0</v>
      </c>
      <c r="R29" s="131">
        <v>1</v>
      </c>
      <c r="S29" s="131">
        <v>0</v>
      </c>
      <c r="T29" s="131">
        <v>0</v>
      </c>
      <c r="U29" s="121"/>
      <c r="V29" s="138">
        <f t="shared" si="4"/>
        <v>0</v>
      </c>
      <c r="W29" s="138">
        <f t="shared" si="5"/>
        <v>0</v>
      </c>
      <c r="X29" s="138">
        <f t="shared" si="6"/>
        <v>562.45000000000005</v>
      </c>
      <c r="Y29" s="138">
        <f t="shared" si="7"/>
        <v>0</v>
      </c>
      <c r="Z29" s="138">
        <f t="shared" si="8"/>
        <v>0</v>
      </c>
    </row>
    <row r="30" spans="1:26" x14ac:dyDescent="0.25">
      <c r="A30" s="136" t="s">
        <v>110</v>
      </c>
      <c r="B30" s="121">
        <v>74098</v>
      </c>
      <c r="C30" s="121">
        <v>25</v>
      </c>
      <c r="D30" s="129">
        <v>3201.39</v>
      </c>
      <c r="E30" s="112" t="s">
        <v>168</v>
      </c>
      <c r="F30" s="112" t="s">
        <v>147</v>
      </c>
      <c r="G30" s="112" t="s">
        <v>148</v>
      </c>
      <c r="H30" s="112" t="s">
        <v>155</v>
      </c>
      <c r="I30" s="122" t="s">
        <v>109</v>
      </c>
      <c r="J30" s="123">
        <v>42290</v>
      </c>
      <c r="K30" s="121">
        <f t="shared" si="11"/>
        <v>10</v>
      </c>
      <c r="L30" s="124">
        <v>1</v>
      </c>
      <c r="M30" s="124">
        <v>3201.39</v>
      </c>
      <c r="N30" s="124">
        <f t="shared" si="2"/>
        <v>3201.39</v>
      </c>
      <c r="O30" s="137">
        <f t="shared" si="3"/>
        <v>1</v>
      </c>
      <c r="P30" s="131">
        <v>0</v>
      </c>
      <c r="Q30" s="131">
        <v>0</v>
      </c>
      <c r="R30" s="131">
        <v>1</v>
      </c>
      <c r="S30" s="131">
        <v>0</v>
      </c>
      <c r="T30" s="131">
        <v>0</v>
      </c>
      <c r="U30" s="121"/>
      <c r="V30" s="138">
        <f t="shared" si="4"/>
        <v>0</v>
      </c>
      <c r="W30" s="138">
        <f t="shared" si="5"/>
        <v>0</v>
      </c>
      <c r="X30" s="138">
        <f t="shared" si="6"/>
        <v>3201.39</v>
      </c>
      <c r="Y30" s="138">
        <f t="shared" si="7"/>
        <v>0</v>
      </c>
      <c r="Z30" s="138">
        <f t="shared" si="8"/>
        <v>0</v>
      </c>
    </row>
    <row r="31" spans="1:26" x14ac:dyDescent="0.25">
      <c r="A31" s="136" t="s">
        <v>110</v>
      </c>
      <c r="B31" s="121">
        <v>14080</v>
      </c>
      <c r="C31" s="121">
        <v>26</v>
      </c>
      <c r="D31" s="129">
        <v>1190</v>
      </c>
      <c r="E31" s="112" t="s">
        <v>168</v>
      </c>
      <c r="F31" s="112" t="s">
        <v>105</v>
      </c>
      <c r="G31" s="112" t="s">
        <v>107</v>
      </c>
      <c r="H31" s="112" t="s">
        <v>108</v>
      </c>
      <c r="I31" s="122" t="s">
        <v>143</v>
      </c>
      <c r="J31" s="123">
        <v>42311</v>
      </c>
      <c r="K31" s="121">
        <f t="shared" si="11"/>
        <v>11</v>
      </c>
      <c r="L31" s="124">
        <v>1</v>
      </c>
      <c r="M31" s="124">
        <v>1190</v>
      </c>
      <c r="N31" s="124">
        <f t="shared" si="2"/>
        <v>1190</v>
      </c>
      <c r="O31" s="137">
        <f t="shared" si="3"/>
        <v>1</v>
      </c>
      <c r="P31" s="131">
        <f>2/7</f>
        <v>0.2857142857142857</v>
      </c>
      <c r="Q31" s="131">
        <v>0</v>
      </c>
      <c r="R31" s="131">
        <f>5/7</f>
        <v>0.7142857142857143</v>
      </c>
      <c r="S31" s="131">
        <v>0</v>
      </c>
      <c r="T31" s="131">
        <v>0</v>
      </c>
      <c r="U31" s="121"/>
      <c r="V31" s="138">
        <f t="shared" si="4"/>
        <v>340</v>
      </c>
      <c r="W31" s="138">
        <f t="shared" si="5"/>
        <v>0</v>
      </c>
      <c r="X31" s="138">
        <f t="shared" si="6"/>
        <v>850</v>
      </c>
      <c r="Y31" s="138">
        <f t="shared" si="7"/>
        <v>0</v>
      </c>
      <c r="Z31" s="138">
        <f t="shared" si="8"/>
        <v>0</v>
      </c>
    </row>
    <row r="32" spans="1:26" x14ac:dyDescent="0.25">
      <c r="A32" s="136" t="s">
        <v>110</v>
      </c>
      <c r="B32" s="121">
        <v>6791</v>
      </c>
      <c r="C32" s="121">
        <v>27</v>
      </c>
      <c r="D32" s="129">
        <v>2496.1999999999998</v>
      </c>
      <c r="E32" s="112" t="s">
        <v>168</v>
      </c>
      <c r="F32" s="112" t="s">
        <v>156</v>
      </c>
      <c r="G32" s="112" t="s">
        <v>157</v>
      </c>
      <c r="H32" s="112" t="s">
        <v>158</v>
      </c>
      <c r="I32" s="122" t="s">
        <v>109</v>
      </c>
      <c r="J32" s="123">
        <v>42062</v>
      </c>
      <c r="K32" s="121">
        <f t="shared" si="11"/>
        <v>2</v>
      </c>
      <c r="L32" s="124">
        <v>1</v>
      </c>
      <c r="M32" s="124">
        <v>2496.1999999999998</v>
      </c>
      <c r="N32" s="124">
        <f t="shared" si="2"/>
        <v>2496.1999999999998</v>
      </c>
      <c r="O32" s="137">
        <f t="shared" si="3"/>
        <v>1</v>
      </c>
      <c r="P32" s="131">
        <v>0</v>
      </c>
      <c r="Q32" s="131">
        <v>0</v>
      </c>
      <c r="R32" s="131">
        <v>0</v>
      </c>
      <c r="S32" s="131">
        <v>1</v>
      </c>
      <c r="T32" s="131">
        <v>0</v>
      </c>
      <c r="U32" s="121"/>
      <c r="V32" s="138">
        <f t="shared" si="4"/>
        <v>0</v>
      </c>
      <c r="W32" s="138">
        <f t="shared" si="5"/>
        <v>0</v>
      </c>
      <c r="X32" s="138">
        <f t="shared" si="6"/>
        <v>0</v>
      </c>
      <c r="Y32" s="138">
        <f t="shared" si="7"/>
        <v>2496.1999999999998</v>
      </c>
      <c r="Z32" s="138">
        <f t="shared" si="8"/>
        <v>0</v>
      </c>
    </row>
    <row r="33" spans="1:26" x14ac:dyDescent="0.25">
      <c r="A33" s="136" t="s">
        <v>160</v>
      </c>
      <c r="B33" s="121"/>
      <c r="C33" s="121">
        <v>28</v>
      </c>
      <c r="D33" s="129">
        <v>16800</v>
      </c>
      <c r="E33" s="112" t="s">
        <v>168</v>
      </c>
      <c r="F33" s="112" t="s">
        <v>119</v>
      </c>
      <c r="G33" s="112" t="s">
        <v>120</v>
      </c>
      <c r="H33" s="112" t="s">
        <v>159</v>
      </c>
      <c r="I33" s="122" t="s">
        <v>109</v>
      </c>
      <c r="J33" s="123">
        <v>42132</v>
      </c>
      <c r="K33" s="121">
        <f t="shared" si="11"/>
        <v>5</v>
      </c>
      <c r="L33" s="124">
        <v>7</v>
      </c>
      <c r="M33" s="124">
        <f>25200/12</f>
        <v>2100</v>
      </c>
      <c r="N33" s="124">
        <f t="shared" si="2"/>
        <v>14700</v>
      </c>
      <c r="O33" s="137">
        <f t="shared" si="3"/>
        <v>1</v>
      </c>
      <c r="P33" s="131">
        <v>1</v>
      </c>
      <c r="Q33" s="131">
        <v>0</v>
      </c>
      <c r="R33" s="131">
        <v>0</v>
      </c>
      <c r="S33" s="131">
        <v>0</v>
      </c>
      <c r="T33" s="131">
        <v>0</v>
      </c>
      <c r="U33" s="121"/>
      <c r="V33" s="138">
        <f t="shared" si="4"/>
        <v>14700</v>
      </c>
      <c r="W33" s="138">
        <f t="shared" si="5"/>
        <v>0</v>
      </c>
      <c r="X33" s="138">
        <f t="shared" si="6"/>
        <v>0</v>
      </c>
      <c r="Y33" s="138">
        <f t="shared" si="7"/>
        <v>0</v>
      </c>
      <c r="Z33" s="138">
        <f t="shared" si="8"/>
        <v>0</v>
      </c>
    </row>
    <row r="34" spans="1:26" x14ac:dyDescent="0.25">
      <c r="A34" s="136" t="s">
        <v>110</v>
      </c>
      <c r="B34" s="121">
        <v>12549</v>
      </c>
      <c r="C34" s="121">
        <v>29</v>
      </c>
      <c r="D34" s="129">
        <v>170</v>
      </c>
      <c r="E34" s="112" t="s">
        <v>168</v>
      </c>
      <c r="F34" s="112" t="s">
        <v>105</v>
      </c>
      <c r="G34" s="112" t="s">
        <v>107</v>
      </c>
      <c r="H34" s="112" t="s">
        <v>108</v>
      </c>
      <c r="I34" s="122" t="s">
        <v>109</v>
      </c>
      <c r="J34" s="123">
        <v>42104</v>
      </c>
      <c r="K34" s="121">
        <f t="shared" si="11"/>
        <v>4</v>
      </c>
      <c r="L34" s="124">
        <v>1</v>
      </c>
      <c r="M34" s="124">
        <v>170</v>
      </c>
      <c r="N34" s="124">
        <f t="shared" si="2"/>
        <v>170</v>
      </c>
      <c r="O34" s="137">
        <f t="shared" si="3"/>
        <v>1</v>
      </c>
      <c r="P34" s="131">
        <v>0</v>
      </c>
      <c r="Q34" s="131">
        <v>0</v>
      </c>
      <c r="R34" s="131">
        <v>0</v>
      </c>
      <c r="S34" s="131">
        <v>0</v>
      </c>
      <c r="T34" s="131">
        <v>1</v>
      </c>
      <c r="U34" s="121"/>
      <c r="V34" s="138">
        <f t="shared" si="4"/>
        <v>0</v>
      </c>
      <c r="W34" s="138">
        <f t="shared" si="5"/>
        <v>0</v>
      </c>
      <c r="X34" s="138">
        <f t="shared" si="6"/>
        <v>0</v>
      </c>
      <c r="Y34" s="138">
        <f t="shared" si="7"/>
        <v>0</v>
      </c>
      <c r="Z34" s="138">
        <f t="shared" si="8"/>
        <v>170</v>
      </c>
    </row>
    <row r="35" spans="1:26" x14ac:dyDescent="0.25">
      <c r="A35" s="136" t="s">
        <v>151</v>
      </c>
      <c r="B35" s="121" t="s">
        <v>300</v>
      </c>
      <c r="C35" s="121">
        <v>30</v>
      </c>
      <c r="D35" s="129">
        <v>821.28</v>
      </c>
      <c r="E35" s="112" t="s">
        <v>311</v>
      </c>
      <c r="F35" s="112" t="s">
        <v>301</v>
      </c>
      <c r="G35" s="112"/>
      <c r="H35" s="112" t="s">
        <v>302</v>
      </c>
      <c r="I35" s="122" t="s">
        <v>9</v>
      </c>
      <c r="J35" s="123">
        <v>42206</v>
      </c>
      <c r="K35" s="121">
        <f t="shared" si="11"/>
        <v>7</v>
      </c>
      <c r="L35" s="124">
        <v>1</v>
      </c>
      <c r="M35" s="124">
        <f>D35</f>
        <v>821.28</v>
      </c>
      <c r="N35" s="124">
        <f t="shared" si="2"/>
        <v>821.28</v>
      </c>
      <c r="O35" s="137">
        <f t="shared" si="3"/>
        <v>1</v>
      </c>
      <c r="P35" s="131">
        <v>1</v>
      </c>
      <c r="Q35" s="131">
        <v>0</v>
      </c>
      <c r="R35" s="131">
        <v>0</v>
      </c>
      <c r="S35" s="131">
        <v>0</v>
      </c>
      <c r="T35" s="131">
        <v>0</v>
      </c>
      <c r="U35" s="121"/>
      <c r="V35" s="138">
        <f t="shared" ref="V35:V36" si="12">P35*$N35</f>
        <v>821.28</v>
      </c>
      <c r="W35" s="138">
        <f t="shared" ref="W35:W36" si="13">Q35*$N35</f>
        <v>0</v>
      </c>
      <c r="X35" s="138">
        <f t="shared" ref="X35:X36" si="14">R35*$N35</f>
        <v>0</v>
      </c>
      <c r="Y35" s="138">
        <f t="shared" ref="Y35:Y36" si="15">S35*$N35</f>
        <v>0</v>
      </c>
      <c r="Z35" s="138">
        <f t="shared" ref="Z35:Z36" si="16">T35*$N35</f>
        <v>0</v>
      </c>
    </row>
    <row r="36" spans="1:26" x14ac:dyDescent="0.25">
      <c r="A36" s="136" t="s">
        <v>303</v>
      </c>
      <c r="B36" s="121">
        <v>2144</v>
      </c>
      <c r="C36" s="121">
        <v>31</v>
      </c>
      <c r="D36" s="129">
        <v>545.08000000000004</v>
      </c>
      <c r="E36" s="112"/>
      <c r="F36" s="112" t="s">
        <v>304</v>
      </c>
      <c r="G36" s="112"/>
      <c r="H36" s="112" t="s">
        <v>305</v>
      </c>
      <c r="I36" s="122" t="s">
        <v>9</v>
      </c>
      <c r="J36" s="123">
        <v>42130</v>
      </c>
      <c r="K36" s="121">
        <f t="shared" si="11"/>
        <v>5</v>
      </c>
      <c r="L36" s="124">
        <v>1</v>
      </c>
      <c r="M36" s="124">
        <f>D36</f>
        <v>545.08000000000004</v>
      </c>
      <c r="N36" s="124">
        <f t="shared" si="2"/>
        <v>545.08000000000004</v>
      </c>
      <c r="O36" s="137">
        <f t="shared" ref="O36:O72" si="17">SUM(P36:T36)</f>
        <v>1</v>
      </c>
      <c r="P36" s="131">
        <v>1</v>
      </c>
      <c r="Q36" s="131">
        <v>0</v>
      </c>
      <c r="R36" s="131">
        <v>0</v>
      </c>
      <c r="S36" s="131">
        <v>0</v>
      </c>
      <c r="T36" s="131">
        <v>0</v>
      </c>
      <c r="U36" s="121"/>
      <c r="V36" s="138">
        <f t="shared" si="12"/>
        <v>545.08000000000004</v>
      </c>
      <c r="W36" s="138">
        <f t="shared" si="13"/>
        <v>0</v>
      </c>
      <c r="X36" s="138">
        <f t="shared" si="14"/>
        <v>0</v>
      </c>
      <c r="Y36" s="138">
        <f t="shared" si="15"/>
        <v>0</v>
      </c>
      <c r="Z36" s="138">
        <f t="shared" si="16"/>
        <v>0</v>
      </c>
    </row>
    <row r="37" spans="1:26" x14ac:dyDescent="0.25">
      <c r="A37" s="136" t="s">
        <v>276</v>
      </c>
      <c r="B37" s="121">
        <v>20</v>
      </c>
      <c r="C37" s="121">
        <v>32</v>
      </c>
      <c r="D37" s="129">
        <v>11708</v>
      </c>
      <c r="E37" s="112" t="s">
        <v>63</v>
      </c>
      <c r="F37" s="112" t="s">
        <v>49</v>
      </c>
      <c r="G37" s="112" t="s">
        <v>50</v>
      </c>
      <c r="H37" s="112" t="s">
        <v>184</v>
      </c>
      <c r="I37" s="122" t="s">
        <v>109</v>
      </c>
      <c r="J37" s="123">
        <v>42029</v>
      </c>
      <c r="K37" s="121">
        <f t="shared" si="11"/>
        <v>1</v>
      </c>
      <c r="L37" s="124">
        <f>'Time Sheet'!H4/SUM('Salário e Custo Hora'!E42:P42)</f>
        <v>7.7976876560842629E-4</v>
      </c>
      <c r="M37" s="124">
        <v>11708</v>
      </c>
      <c r="N37" s="124">
        <f t="shared" ref="N37:N44" si="18">L37*M37</f>
        <v>9.1295327077434543</v>
      </c>
      <c r="O37" s="137">
        <f t="shared" si="17"/>
        <v>1</v>
      </c>
      <c r="P37" s="131">
        <v>0.2</v>
      </c>
      <c r="Q37" s="131">
        <v>0.2</v>
      </c>
      <c r="R37" s="131">
        <v>0.2</v>
      </c>
      <c r="S37" s="131">
        <v>0.2</v>
      </c>
      <c r="T37" s="131">
        <v>0.2</v>
      </c>
      <c r="U37" s="121"/>
      <c r="V37" s="138">
        <f t="shared" ref="V37:V72" si="19">P37*$N37</f>
        <v>1.825906541548691</v>
      </c>
      <c r="W37" s="138">
        <f t="shared" ref="W37:W72" si="20">Q37*$N37</f>
        <v>1.825906541548691</v>
      </c>
      <c r="X37" s="138">
        <f t="shared" ref="X37:X72" si="21">R37*$N37</f>
        <v>1.825906541548691</v>
      </c>
      <c r="Y37" s="138">
        <f t="shared" ref="Y37:Y72" si="22">S37*$N37</f>
        <v>1.825906541548691</v>
      </c>
      <c r="Z37" s="138">
        <f t="shared" ref="Z37:Z72" si="23">T37*$N37</f>
        <v>1.825906541548691</v>
      </c>
    </row>
    <row r="38" spans="1:26" x14ac:dyDescent="0.25">
      <c r="A38" s="136" t="s">
        <v>276</v>
      </c>
      <c r="B38" s="121">
        <v>24</v>
      </c>
      <c r="C38" s="121">
        <v>33</v>
      </c>
      <c r="D38" s="129">
        <v>33875</v>
      </c>
      <c r="E38" s="112" t="s">
        <v>99</v>
      </c>
      <c r="F38" s="112" t="s">
        <v>53</v>
      </c>
      <c r="G38" s="112" t="s">
        <v>51</v>
      </c>
      <c r="H38" s="112" t="s">
        <v>75</v>
      </c>
      <c r="I38" s="122" t="s">
        <v>109</v>
      </c>
      <c r="J38" s="123">
        <v>42029</v>
      </c>
      <c r="K38" s="121">
        <f t="shared" si="11"/>
        <v>1</v>
      </c>
      <c r="L38" s="124">
        <v>0.1</v>
      </c>
      <c r="M38" s="124">
        <v>33875</v>
      </c>
      <c r="N38" s="124">
        <f t="shared" si="18"/>
        <v>3387.5</v>
      </c>
      <c r="O38" s="137">
        <f t="shared" si="17"/>
        <v>1</v>
      </c>
      <c r="P38" s="131">
        <v>0.2</v>
      </c>
      <c r="Q38" s="131">
        <v>0.2</v>
      </c>
      <c r="R38" s="131">
        <v>0.2</v>
      </c>
      <c r="S38" s="131">
        <v>0.2</v>
      </c>
      <c r="T38" s="131">
        <v>0.2</v>
      </c>
      <c r="U38" s="121"/>
      <c r="V38" s="138">
        <f t="shared" si="19"/>
        <v>677.5</v>
      </c>
      <c r="W38" s="138">
        <f t="shared" si="20"/>
        <v>677.5</v>
      </c>
      <c r="X38" s="138">
        <f t="shared" si="21"/>
        <v>677.5</v>
      </c>
      <c r="Y38" s="138">
        <f t="shared" si="22"/>
        <v>677.5</v>
      </c>
      <c r="Z38" s="138">
        <f t="shared" si="23"/>
        <v>677.5</v>
      </c>
    </row>
    <row r="39" spans="1:26" x14ac:dyDescent="0.25">
      <c r="A39" s="136" t="s">
        <v>276</v>
      </c>
      <c r="B39" s="121">
        <v>20</v>
      </c>
      <c r="C39" s="121">
        <v>34</v>
      </c>
      <c r="D39" s="129">
        <v>11708</v>
      </c>
      <c r="E39" s="112" t="s">
        <v>1</v>
      </c>
      <c r="F39" s="112" t="s">
        <v>54</v>
      </c>
      <c r="G39" s="112" t="s">
        <v>55</v>
      </c>
      <c r="H39" s="112" t="s">
        <v>185</v>
      </c>
      <c r="I39" s="122" t="s">
        <v>109</v>
      </c>
      <c r="J39" s="123">
        <v>42029</v>
      </c>
      <c r="K39" s="121">
        <f t="shared" si="11"/>
        <v>1</v>
      </c>
      <c r="L39" s="124">
        <v>0.7</v>
      </c>
      <c r="M39" s="124">
        <v>11708</v>
      </c>
      <c r="N39" s="124">
        <f t="shared" si="18"/>
        <v>8195.6</v>
      </c>
      <c r="O39" s="137">
        <f t="shared" si="17"/>
        <v>1</v>
      </c>
      <c r="P39" s="131">
        <v>0.2</v>
      </c>
      <c r="Q39" s="131">
        <v>0.2</v>
      </c>
      <c r="R39" s="131">
        <v>0.2</v>
      </c>
      <c r="S39" s="131">
        <v>0.2</v>
      </c>
      <c r="T39" s="131">
        <v>0.2</v>
      </c>
      <c r="U39" s="121"/>
      <c r="V39" s="138">
        <f t="shared" si="19"/>
        <v>1639.1200000000001</v>
      </c>
      <c r="W39" s="138">
        <f t="shared" si="20"/>
        <v>1639.1200000000001</v>
      </c>
      <c r="X39" s="138">
        <f t="shared" si="21"/>
        <v>1639.1200000000001</v>
      </c>
      <c r="Y39" s="138">
        <f t="shared" si="22"/>
        <v>1639.1200000000001</v>
      </c>
      <c r="Z39" s="138">
        <f t="shared" si="23"/>
        <v>1639.1200000000001</v>
      </c>
    </row>
    <row r="40" spans="1:26" x14ac:dyDescent="0.25">
      <c r="A40" s="136" t="s">
        <v>276</v>
      </c>
      <c r="B40" s="121">
        <v>21</v>
      </c>
      <c r="C40" s="121">
        <v>35</v>
      </c>
      <c r="D40" s="129">
        <v>11708</v>
      </c>
      <c r="E40" s="112" t="s">
        <v>1</v>
      </c>
      <c r="F40" s="112" t="s">
        <v>54</v>
      </c>
      <c r="G40" s="112" t="s">
        <v>55</v>
      </c>
      <c r="H40" s="112" t="s">
        <v>185</v>
      </c>
      <c r="I40" s="122" t="s">
        <v>109</v>
      </c>
      <c r="J40" s="123">
        <v>42060</v>
      </c>
      <c r="K40" s="121">
        <f t="shared" si="11"/>
        <v>2</v>
      </c>
      <c r="L40" s="124">
        <v>0.7</v>
      </c>
      <c r="M40" s="124">
        <v>11708</v>
      </c>
      <c r="N40" s="124">
        <f t="shared" si="18"/>
        <v>8195.6</v>
      </c>
      <c r="O40" s="137">
        <f t="shared" si="17"/>
        <v>1</v>
      </c>
      <c r="P40" s="131">
        <v>0.2</v>
      </c>
      <c r="Q40" s="131">
        <v>0.2</v>
      </c>
      <c r="R40" s="131">
        <v>0.2</v>
      </c>
      <c r="S40" s="131">
        <v>0.2</v>
      </c>
      <c r="T40" s="131">
        <v>0.2</v>
      </c>
      <c r="U40" s="121"/>
      <c r="V40" s="138">
        <f t="shared" si="19"/>
        <v>1639.1200000000001</v>
      </c>
      <c r="W40" s="138">
        <f t="shared" si="20"/>
        <v>1639.1200000000001</v>
      </c>
      <c r="X40" s="138">
        <f t="shared" si="21"/>
        <v>1639.1200000000001</v>
      </c>
      <c r="Y40" s="138">
        <f t="shared" si="22"/>
        <v>1639.1200000000001</v>
      </c>
      <c r="Z40" s="138">
        <f t="shared" si="23"/>
        <v>1639.1200000000001</v>
      </c>
    </row>
    <row r="41" spans="1:26" x14ac:dyDescent="0.25">
      <c r="A41" s="136" t="s">
        <v>276</v>
      </c>
      <c r="B41" s="121">
        <v>26</v>
      </c>
      <c r="C41" s="121">
        <v>36</v>
      </c>
      <c r="D41" s="129">
        <v>33875</v>
      </c>
      <c r="E41" s="112" t="s">
        <v>99</v>
      </c>
      <c r="F41" s="112" t="s">
        <v>53</v>
      </c>
      <c r="G41" s="112" t="s">
        <v>51</v>
      </c>
      <c r="H41" s="112" t="s">
        <v>75</v>
      </c>
      <c r="I41" s="122" t="s">
        <v>109</v>
      </c>
      <c r="J41" s="123">
        <v>42060</v>
      </c>
      <c r="K41" s="121">
        <f t="shared" si="11"/>
        <v>2</v>
      </c>
      <c r="L41" s="124">
        <v>0.1</v>
      </c>
      <c r="M41" s="124">
        <v>33875</v>
      </c>
      <c r="N41" s="124">
        <f t="shared" si="18"/>
        <v>3387.5</v>
      </c>
      <c r="O41" s="137">
        <f t="shared" si="17"/>
        <v>1</v>
      </c>
      <c r="P41" s="131">
        <v>0.2</v>
      </c>
      <c r="Q41" s="131">
        <v>0.2</v>
      </c>
      <c r="R41" s="131">
        <v>0.2</v>
      </c>
      <c r="S41" s="131">
        <v>0.2</v>
      </c>
      <c r="T41" s="131">
        <v>0.2</v>
      </c>
      <c r="U41" s="121"/>
      <c r="V41" s="138">
        <f t="shared" si="19"/>
        <v>677.5</v>
      </c>
      <c r="W41" s="138">
        <f t="shared" si="20"/>
        <v>677.5</v>
      </c>
      <c r="X41" s="138">
        <f t="shared" si="21"/>
        <v>677.5</v>
      </c>
      <c r="Y41" s="138">
        <f t="shared" si="22"/>
        <v>677.5</v>
      </c>
      <c r="Z41" s="138">
        <f t="shared" si="23"/>
        <v>677.5</v>
      </c>
    </row>
    <row r="42" spans="1:26" x14ac:dyDescent="0.25">
      <c r="A42" s="136" t="s">
        <v>276</v>
      </c>
      <c r="B42" s="121">
        <v>21</v>
      </c>
      <c r="C42" s="121">
        <v>37</v>
      </c>
      <c r="D42" s="129">
        <v>11708</v>
      </c>
      <c r="E42" s="112" t="s">
        <v>63</v>
      </c>
      <c r="F42" s="112" t="s">
        <v>49</v>
      </c>
      <c r="G42" s="112" t="s">
        <v>50</v>
      </c>
      <c r="H42" s="112" t="s">
        <v>184</v>
      </c>
      <c r="I42" s="122" t="s">
        <v>109</v>
      </c>
      <c r="J42" s="123">
        <v>42060</v>
      </c>
      <c r="K42" s="121">
        <f t="shared" si="11"/>
        <v>2</v>
      </c>
      <c r="L42" s="124">
        <f>$L$37</f>
        <v>7.7976876560842629E-4</v>
      </c>
      <c r="M42" s="124">
        <v>11708</v>
      </c>
      <c r="N42" s="124">
        <f t="shared" si="18"/>
        <v>9.1295327077434543</v>
      </c>
      <c r="O42" s="137">
        <f t="shared" si="17"/>
        <v>1</v>
      </c>
      <c r="P42" s="131">
        <v>0.2</v>
      </c>
      <c r="Q42" s="131">
        <v>0.2</v>
      </c>
      <c r="R42" s="131">
        <v>0.2</v>
      </c>
      <c r="S42" s="131">
        <v>0.2</v>
      </c>
      <c r="T42" s="131">
        <v>0.2</v>
      </c>
      <c r="U42" s="121"/>
      <c r="V42" s="138">
        <f t="shared" si="19"/>
        <v>1.825906541548691</v>
      </c>
      <c r="W42" s="138">
        <f t="shared" si="20"/>
        <v>1.825906541548691</v>
      </c>
      <c r="X42" s="138">
        <f t="shared" si="21"/>
        <v>1.825906541548691</v>
      </c>
      <c r="Y42" s="138">
        <f t="shared" si="22"/>
        <v>1.825906541548691</v>
      </c>
      <c r="Z42" s="138">
        <f t="shared" si="23"/>
        <v>1.825906541548691</v>
      </c>
    </row>
    <row r="43" spans="1:26" x14ac:dyDescent="0.25">
      <c r="A43" s="136" t="s">
        <v>276</v>
      </c>
      <c r="B43" s="121">
        <v>22</v>
      </c>
      <c r="C43" s="121">
        <v>38</v>
      </c>
      <c r="D43" s="129">
        <v>11708</v>
      </c>
      <c r="E43" s="112" t="s">
        <v>1</v>
      </c>
      <c r="F43" s="112" t="s">
        <v>54</v>
      </c>
      <c r="G43" s="112" t="s">
        <v>55</v>
      </c>
      <c r="H43" s="112" t="s">
        <v>185</v>
      </c>
      <c r="I43" s="122" t="s">
        <v>109</v>
      </c>
      <c r="J43" s="123">
        <v>42088</v>
      </c>
      <c r="K43" s="121">
        <f t="shared" si="11"/>
        <v>3</v>
      </c>
      <c r="L43" s="124">
        <v>0.7</v>
      </c>
      <c r="M43" s="124">
        <v>11708</v>
      </c>
      <c r="N43" s="124">
        <f t="shared" si="18"/>
        <v>8195.6</v>
      </c>
      <c r="O43" s="137">
        <f t="shared" si="17"/>
        <v>1</v>
      </c>
      <c r="P43" s="131">
        <v>0.2</v>
      </c>
      <c r="Q43" s="131">
        <v>0.2</v>
      </c>
      <c r="R43" s="131">
        <v>0.2</v>
      </c>
      <c r="S43" s="131">
        <v>0.2</v>
      </c>
      <c r="T43" s="131">
        <v>0.2</v>
      </c>
      <c r="U43" s="121"/>
      <c r="V43" s="138">
        <f t="shared" si="19"/>
        <v>1639.1200000000001</v>
      </c>
      <c r="W43" s="138">
        <f t="shared" si="20"/>
        <v>1639.1200000000001</v>
      </c>
      <c r="X43" s="138">
        <f t="shared" si="21"/>
        <v>1639.1200000000001</v>
      </c>
      <c r="Y43" s="138">
        <f t="shared" si="22"/>
        <v>1639.1200000000001</v>
      </c>
      <c r="Z43" s="138">
        <f t="shared" si="23"/>
        <v>1639.1200000000001</v>
      </c>
    </row>
    <row r="44" spans="1:26" x14ac:dyDescent="0.25">
      <c r="A44" s="136" t="s">
        <v>276</v>
      </c>
      <c r="B44" s="121">
        <v>22</v>
      </c>
      <c r="C44" s="121">
        <v>39</v>
      </c>
      <c r="D44" s="129">
        <v>11708</v>
      </c>
      <c r="E44" s="112" t="s">
        <v>63</v>
      </c>
      <c r="F44" s="112" t="s">
        <v>49</v>
      </c>
      <c r="G44" s="112" t="s">
        <v>50</v>
      </c>
      <c r="H44" s="112" t="s">
        <v>184</v>
      </c>
      <c r="I44" s="122" t="s">
        <v>109</v>
      </c>
      <c r="J44" s="123">
        <v>42088</v>
      </c>
      <c r="K44" s="121">
        <f t="shared" si="11"/>
        <v>3</v>
      </c>
      <c r="L44" s="124">
        <f>$L$37</f>
        <v>7.7976876560842629E-4</v>
      </c>
      <c r="M44" s="124">
        <v>11708</v>
      </c>
      <c r="N44" s="124">
        <f t="shared" si="18"/>
        <v>9.1295327077434543</v>
      </c>
      <c r="O44" s="137">
        <f t="shared" si="17"/>
        <v>1</v>
      </c>
      <c r="P44" s="131">
        <v>0.2</v>
      </c>
      <c r="Q44" s="131">
        <v>0.2</v>
      </c>
      <c r="R44" s="131">
        <v>0.2</v>
      </c>
      <c r="S44" s="131">
        <v>0.2</v>
      </c>
      <c r="T44" s="131">
        <v>0.2</v>
      </c>
      <c r="U44" s="121"/>
      <c r="V44" s="138">
        <f t="shared" si="19"/>
        <v>1.825906541548691</v>
      </c>
      <c r="W44" s="138">
        <f t="shared" si="20"/>
        <v>1.825906541548691</v>
      </c>
      <c r="X44" s="138">
        <f t="shared" si="21"/>
        <v>1.825906541548691</v>
      </c>
      <c r="Y44" s="138">
        <f t="shared" si="22"/>
        <v>1.825906541548691</v>
      </c>
      <c r="Z44" s="138">
        <f t="shared" si="23"/>
        <v>1.825906541548691</v>
      </c>
    </row>
    <row r="45" spans="1:26" x14ac:dyDescent="0.25">
      <c r="A45" s="136" t="s">
        <v>276</v>
      </c>
      <c r="B45" s="121">
        <v>28</v>
      </c>
      <c r="C45" s="121">
        <v>40</v>
      </c>
      <c r="D45" s="129">
        <v>33875</v>
      </c>
      <c r="E45" s="112" t="s">
        <v>99</v>
      </c>
      <c r="F45" s="112" t="s">
        <v>53</v>
      </c>
      <c r="G45" s="112" t="s">
        <v>51</v>
      </c>
      <c r="H45" s="112" t="s">
        <v>75</v>
      </c>
      <c r="I45" s="122" t="s">
        <v>109</v>
      </c>
      <c r="J45" s="123">
        <v>42088</v>
      </c>
      <c r="K45" s="121">
        <f t="shared" si="11"/>
        <v>3</v>
      </c>
      <c r="L45" s="124">
        <v>0.1</v>
      </c>
      <c r="M45" s="124">
        <v>33875</v>
      </c>
      <c r="N45" s="124">
        <f t="shared" ref="N45:N46" si="24">L45*M45</f>
        <v>3387.5</v>
      </c>
      <c r="O45" s="137">
        <f t="shared" si="17"/>
        <v>1</v>
      </c>
      <c r="P45" s="131">
        <v>0.2</v>
      </c>
      <c r="Q45" s="131">
        <v>0.2</v>
      </c>
      <c r="R45" s="131">
        <v>0.2</v>
      </c>
      <c r="S45" s="131">
        <v>0.2</v>
      </c>
      <c r="T45" s="131">
        <v>0.2</v>
      </c>
      <c r="U45" s="121"/>
      <c r="V45" s="138">
        <f t="shared" si="19"/>
        <v>677.5</v>
      </c>
      <c r="W45" s="138">
        <f t="shared" si="20"/>
        <v>677.5</v>
      </c>
      <c r="X45" s="138">
        <f t="shared" si="21"/>
        <v>677.5</v>
      </c>
      <c r="Y45" s="138">
        <f t="shared" si="22"/>
        <v>677.5</v>
      </c>
      <c r="Z45" s="138">
        <f t="shared" si="23"/>
        <v>677.5</v>
      </c>
    </row>
    <row r="46" spans="1:26" x14ac:dyDescent="0.25">
      <c r="A46" s="136" t="s">
        <v>276</v>
      </c>
      <c r="B46" s="121">
        <v>30</v>
      </c>
      <c r="C46" s="121">
        <v>41</v>
      </c>
      <c r="D46" s="129">
        <v>33875</v>
      </c>
      <c r="E46" s="112" t="s">
        <v>99</v>
      </c>
      <c r="F46" s="112" t="s">
        <v>53</v>
      </c>
      <c r="G46" s="112" t="s">
        <v>51</v>
      </c>
      <c r="H46" s="112" t="s">
        <v>75</v>
      </c>
      <c r="I46" s="122" t="s">
        <v>109</v>
      </c>
      <c r="J46" s="123">
        <v>42119</v>
      </c>
      <c r="K46" s="121">
        <f t="shared" si="11"/>
        <v>4</v>
      </c>
      <c r="L46" s="124">
        <v>0.1</v>
      </c>
      <c r="M46" s="124">
        <v>33875</v>
      </c>
      <c r="N46" s="124">
        <f t="shared" si="24"/>
        <v>3387.5</v>
      </c>
      <c r="O46" s="137">
        <f t="shared" si="17"/>
        <v>1</v>
      </c>
      <c r="P46" s="131">
        <v>0.2</v>
      </c>
      <c r="Q46" s="131">
        <v>0.2</v>
      </c>
      <c r="R46" s="131">
        <v>0.2</v>
      </c>
      <c r="S46" s="131">
        <v>0.2</v>
      </c>
      <c r="T46" s="131">
        <v>0.2</v>
      </c>
      <c r="U46" s="121"/>
      <c r="V46" s="138">
        <f t="shared" si="19"/>
        <v>677.5</v>
      </c>
      <c r="W46" s="138">
        <f t="shared" si="20"/>
        <v>677.5</v>
      </c>
      <c r="X46" s="138">
        <f t="shared" si="21"/>
        <v>677.5</v>
      </c>
      <c r="Y46" s="138">
        <f t="shared" si="22"/>
        <v>677.5</v>
      </c>
      <c r="Z46" s="138">
        <f t="shared" si="23"/>
        <v>677.5</v>
      </c>
    </row>
    <row r="47" spans="1:26" x14ac:dyDescent="0.25">
      <c r="A47" s="136" t="s">
        <v>276</v>
      </c>
      <c r="B47" s="121">
        <v>23</v>
      </c>
      <c r="C47" s="121">
        <v>42</v>
      </c>
      <c r="D47" s="129">
        <v>11708</v>
      </c>
      <c r="E47" s="112" t="s">
        <v>1</v>
      </c>
      <c r="F47" s="112" t="s">
        <v>54</v>
      </c>
      <c r="G47" s="112" t="s">
        <v>55</v>
      </c>
      <c r="H47" s="112" t="s">
        <v>185</v>
      </c>
      <c r="I47" s="122" t="s">
        <v>109</v>
      </c>
      <c r="J47" s="123">
        <v>42119</v>
      </c>
      <c r="K47" s="121">
        <f t="shared" si="11"/>
        <v>4</v>
      </c>
      <c r="L47" s="124">
        <v>0.7</v>
      </c>
      <c r="M47" s="124">
        <v>11708</v>
      </c>
      <c r="N47" s="124">
        <f t="shared" ref="N47:N65" si="25">L47*M47</f>
        <v>8195.6</v>
      </c>
      <c r="O47" s="137">
        <f t="shared" si="17"/>
        <v>1</v>
      </c>
      <c r="P47" s="131">
        <v>0.2</v>
      </c>
      <c r="Q47" s="131">
        <v>0.2</v>
      </c>
      <c r="R47" s="131">
        <v>0.2</v>
      </c>
      <c r="S47" s="131">
        <v>0.2</v>
      </c>
      <c r="T47" s="131">
        <v>0.2</v>
      </c>
      <c r="U47" s="121"/>
      <c r="V47" s="138">
        <f t="shared" si="19"/>
        <v>1639.1200000000001</v>
      </c>
      <c r="W47" s="138">
        <f t="shared" si="20"/>
        <v>1639.1200000000001</v>
      </c>
      <c r="X47" s="138">
        <f t="shared" si="21"/>
        <v>1639.1200000000001</v>
      </c>
      <c r="Y47" s="138">
        <f t="shared" si="22"/>
        <v>1639.1200000000001</v>
      </c>
      <c r="Z47" s="138">
        <f t="shared" si="23"/>
        <v>1639.1200000000001</v>
      </c>
    </row>
    <row r="48" spans="1:26" x14ac:dyDescent="0.25">
      <c r="A48" s="136" t="s">
        <v>276</v>
      </c>
      <c r="B48" s="121">
        <v>23</v>
      </c>
      <c r="C48" s="121">
        <v>43</v>
      </c>
      <c r="D48" s="129">
        <v>11708</v>
      </c>
      <c r="E48" s="112" t="s">
        <v>63</v>
      </c>
      <c r="F48" s="112" t="s">
        <v>49</v>
      </c>
      <c r="G48" s="112" t="s">
        <v>50</v>
      </c>
      <c r="H48" s="112" t="s">
        <v>184</v>
      </c>
      <c r="I48" s="122" t="s">
        <v>109</v>
      </c>
      <c r="J48" s="123">
        <v>42119</v>
      </c>
      <c r="K48" s="121">
        <f t="shared" si="11"/>
        <v>4</v>
      </c>
      <c r="L48" s="124">
        <f>$L$37</f>
        <v>7.7976876560842629E-4</v>
      </c>
      <c r="M48" s="124">
        <v>11708</v>
      </c>
      <c r="N48" s="124">
        <f t="shared" si="25"/>
        <v>9.1295327077434543</v>
      </c>
      <c r="O48" s="137">
        <f t="shared" si="17"/>
        <v>1</v>
      </c>
      <c r="P48" s="131">
        <v>0.2</v>
      </c>
      <c r="Q48" s="131">
        <v>0.2</v>
      </c>
      <c r="R48" s="131">
        <v>0.2</v>
      </c>
      <c r="S48" s="131">
        <v>0.2</v>
      </c>
      <c r="T48" s="131">
        <v>0.2</v>
      </c>
      <c r="U48" s="121"/>
      <c r="V48" s="138">
        <f t="shared" si="19"/>
        <v>1.825906541548691</v>
      </c>
      <c r="W48" s="138">
        <f t="shared" si="20"/>
        <v>1.825906541548691</v>
      </c>
      <c r="X48" s="138">
        <f t="shared" si="21"/>
        <v>1.825906541548691</v>
      </c>
      <c r="Y48" s="138">
        <f t="shared" si="22"/>
        <v>1.825906541548691</v>
      </c>
      <c r="Z48" s="138">
        <f t="shared" si="23"/>
        <v>1.825906541548691</v>
      </c>
    </row>
    <row r="49" spans="1:26" x14ac:dyDescent="0.25">
      <c r="A49" s="136" t="s">
        <v>276</v>
      </c>
      <c r="B49" s="121">
        <v>24</v>
      </c>
      <c r="C49" s="121">
        <v>44</v>
      </c>
      <c r="D49" s="129">
        <v>11708</v>
      </c>
      <c r="E49" s="112" t="s">
        <v>1</v>
      </c>
      <c r="F49" s="112" t="s">
        <v>54</v>
      </c>
      <c r="G49" s="112" t="s">
        <v>55</v>
      </c>
      <c r="H49" s="112" t="s">
        <v>185</v>
      </c>
      <c r="I49" s="122" t="s">
        <v>109</v>
      </c>
      <c r="J49" s="123">
        <v>42149</v>
      </c>
      <c r="K49" s="121">
        <f t="shared" si="11"/>
        <v>5</v>
      </c>
      <c r="L49" s="124">
        <v>0.7</v>
      </c>
      <c r="M49" s="124">
        <v>11708</v>
      </c>
      <c r="N49" s="124">
        <f t="shared" si="25"/>
        <v>8195.6</v>
      </c>
      <c r="O49" s="137">
        <f t="shared" si="17"/>
        <v>1</v>
      </c>
      <c r="P49" s="131">
        <v>0.2</v>
      </c>
      <c r="Q49" s="131">
        <v>0.2</v>
      </c>
      <c r="R49" s="131">
        <v>0.2</v>
      </c>
      <c r="S49" s="131">
        <v>0.2</v>
      </c>
      <c r="T49" s="131">
        <v>0.2</v>
      </c>
      <c r="U49" s="121"/>
      <c r="V49" s="138">
        <f t="shared" si="19"/>
        <v>1639.1200000000001</v>
      </c>
      <c r="W49" s="138">
        <f t="shared" si="20"/>
        <v>1639.1200000000001</v>
      </c>
      <c r="X49" s="138">
        <f t="shared" si="21"/>
        <v>1639.1200000000001</v>
      </c>
      <c r="Y49" s="138">
        <f t="shared" si="22"/>
        <v>1639.1200000000001</v>
      </c>
      <c r="Z49" s="138">
        <f t="shared" si="23"/>
        <v>1639.1200000000001</v>
      </c>
    </row>
    <row r="50" spans="1:26" x14ac:dyDescent="0.25">
      <c r="A50" s="136" t="s">
        <v>276</v>
      </c>
      <c r="B50" s="121">
        <v>24</v>
      </c>
      <c r="C50" s="121">
        <v>45</v>
      </c>
      <c r="D50" s="129">
        <v>11708</v>
      </c>
      <c r="E50" s="112" t="s">
        <v>63</v>
      </c>
      <c r="F50" s="112" t="s">
        <v>49</v>
      </c>
      <c r="G50" s="112" t="s">
        <v>50</v>
      </c>
      <c r="H50" s="112" t="s">
        <v>184</v>
      </c>
      <c r="I50" s="122" t="s">
        <v>109</v>
      </c>
      <c r="J50" s="123">
        <v>42149</v>
      </c>
      <c r="K50" s="121">
        <f t="shared" si="11"/>
        <v>5</v>
      </c>
      <c r="L50" s="124">
        <f>$L$37</f>
        <v>7.7976876560842629E-4</v>
      </c>
      <c r="M50" s="124">
        <v>11708</v>
      </c>
      <c r="N50" s="124">
        <f t="shared" si="25"/>
        <v>9.1295327077434543</v>
      </c>
      <c r="O50" s="137">
        <f t="shared" si="17"/>
        <v>1</v>
      </c>
      <c r="P50" s="131">
        <v>0.2</v>
      </c>
      <c r="Q50" s="131">
        <v>0.2</v>
      </c>
      <c r="R50" s="131">
        <v>0.2</v>
      </c>
      <c r="S50" s="131">
        <v>0.2</v>
      </c>
      <c r="T50" s="131">
        <v>0.2</v>
      </c>
      <c r="U50" s="121"/>
      <c r="V50" s="138">
        <f t="shared" si="19"/>
        <v>1.825906541548691</v>
      </c>
      <c r="W50" s="138">
        <f t="shared" si="20"/>
        <v>1.825906541548691</v>
      </c>
      <c r="X50" s="138">
        <f t="shared" si="21"/>
        <v>1.825906541548691</v>
      </c>
      <c r="Y50" s="138">
        <f t="shared" si="22"/>
        <v>1.825906541548691</v>
      </c>
      <c r="Z50" s="138">
        <f t="shared" si="23"/>
        <v>1.825906541548691</v>
      </c>
    </row>
    <row r="51" spans="1:26" x14ac:dyDescent="0.25">
      <c r="A51" s="136" t="s">
        <v>276</v>
      </c>
      <c r="B51" s="121">
        <v>33</v>
      </c>
      <c r="C51" s="121">
        <v>46</v>
      </c>
      <c r="D51" s="129">
        <v>33875</v>
      </c>
      <c r="E51" s="112" t="s">
        <v>99</v>
      </c>
      <c r="F51" s="112" t="s">
        <v>53</v>
      </c>
      <c r="G51" s="112" t="s">
        <v>51</v>
      </c>
      <c r="H51" s="112" t="s">
        <v>75</v>
      </c>
      <c r="I51" s="122" t="s">
        <v>109</v>
      </c>
      <c r="J51" s="123">
        <v>42149</v>
      </c>
      <c r="K51" s="121">
        <f t="shared" si="11"/>
        <v>5</v>
      </c>
      <c r="L51" s="124">
        <v>0.1</v>
      </c>
      <c r="M51" s="124">
        <v>33875</v>
      </c>
      <c r="N51" s="124">
        <f t="shared" si="25"/>
        <v>3387.5</v>
      </c>
      <c r="O51" s="137">
        <f t="shared" si="17"/>
        <v>1</v>
      </c>
      <c r="P51" s="131">
        <v>0.2</v>
      </c>
      <c r="Q51" s="131">
        <v>0.2</v>
      </c>
      <c r="R51" s="131">
        <v>0.2</v>
      </c>
      <c r="S51" s="131">
        <v>0.2</v>
      </c>
      <c r="T51" s="131">
        <v>0.2</v>
      </c>
      <c r="U51" s="121"/>
      <c r="V51" s="138">
        <f t="shared" si="19"/>
        <v>677.5</v>
      </c>
      <c r="W51" s="138">
        <f t="shared" si="20"/>
        <v>677.5</v>
      </c>
      <c r="X51" s="138">
        <f t="shared" si="21"/>
        <v>677.5</v>
      </c>
      <c r="Y51" s="138">
        <f t="shared" si="22"/>
        <v>677.5</v>
      </c>
      <c r="Z51" s="138">
        <f t="shared" si="23"/>
        <v>677.5</v>
      </c>
    </row>
    <row r="52" spans="1:26" x14ac:dyDescent="0.25">
      <c r="A52" s="136" t="s">
        <v>276</v>
      </c>
      <c r="B52" s="121">
        <v>25</v>
      </c>
      <c r="C52" s="121">
        <v>47</v>
      </c>
      <c r="D52" s="129">
        <v>11708</v>
      </c>
      <c r="E52" s="112" t="s">
        <v>1</v>
      </c>
      <c r="F52" s="112" t="s">
        <v>54</v>
      </c>
      <c r="G52" s="112" t="s">
        <v>55</v>
      </c>
      <c r="H52" s="112" t="s">
        <v>185</v>
      </c>
      <c r="I52" s="122" t="s">
        <v>109</v>
      </c>
      <c r="J52" s="123">
        <v>42180</v>
      </c>
      <c r="K52" s="121">
        <f t="shared" si="11"/>
        <v>6</v>
      </c>
      <c r="L52" s="124">
        <v>0.7</v>
      </c>
      <c r="M52" s="124">
        <v>11708</v>
      </c>
      <c r="N52" s="124">
        <f t="shared" si="25"/>
        <v>8195.6</v>
      </c>
      <c r="O52" s="137">
        <f t="shared" si="17"/>
        <v>1</v>
      </c>
      <c r="P52" s="131">
        <v>0.2</v>
      </c>
      <c r="Q52" s="131">
        <v>0.2</v>
      </c>
      <c r="R52" s="131">
        <v>0.2</v>
      </c>
      <c r="S52" s="131">
        <v>0.2</v>
      </c>
      <c r="T52" s="131">
        <v>0.2</v>
      </c>
      <c r="U52" s="121"/>
      <c r="V52" s="138">
        <f t="shared" si="19"/>
        <v>1639.1200000000001</v>
      </c>
      <c r="W52" s="138">
        <f t="shared" si="20"/>
        <v>1639.1200000000001</v>
      </c>
      <c r="X52" s="138">
        <f t="shared" si="21"/>
        <v>1639.1200000000001</v>
      </c>
      <c r="Y52" s="138">
        <f t="shared" si="22"/>
        <v>1639.1200000000001</v>
      </c>
      <c r="Z52" s="138">
        <f t="shared" si="23"/>
        <v>1639.1200000000001</v>
      </c>
    </row>
    <row r="53" spans="1:26" x14ac:dyDescent="0.25">
      <c r="A53" s="136" t="s">
        <v>276</v>
      </c>
      <c r="B53" s="121">
        <v>35</v>
      </c>
      <c r="C53" s="121">
        <v>48</v>
      </c>
      <c r="D53" s="129">
        <v>33875</v>
      </c>
      <c r="E53" s="112" t="s">
        <v>99</v>
      </c>
      <c r="F53" s="112" t="s">
        <v>53</v>
      </c>
      <c r="G53" s="112" t="s">
        <v>51</v>
      </c>
      <c r="H53" s="112" t="s">
        <v>75</v>
      </c>
      <c r="I53" s="122" t="s">
        <v>109</v>
      </c>
      <c r="J53" s="123">
        <v>42180</v>
      </c>
      <c r="K53" s="121">
        <f t="shared" si="11"/>
        <v>6</v>
      </c>
      <c r="L53" s="124">
        <v>0.1</v>
      </c>
      <c r="M53" s="124">
        <v>33875</v>
      </c>
      <c r="N53" s="124">
        <f t="shared" si="25"/>
        <v>3387.5</v>
      </c>
      <c r="O53" s="137">
        <f t="shared" si="17"/>
        <v>1</v>
      </c>
      <c r="P53" s="131">
        <v>0.2</v>
      </c>
      <c r="Q53" s="131">
        <v>0.2</v>
      </c>
      <c r="R53" s="131">
        <v>0.2</v>
      </c>
      <c r="S53" s="131">
        <v>0.2</v>
      </c>
      <c r="T53" s="131">
        <v>0.2</v>
      </c>
      <c r="U53" s="121"/>
      <c r="V53" s="138">
        <f t="shared" si="19"/>
        <v>677.5</v>
      </c>
      <c r="W53" s="138">
        <f t="shared" si="20"/>
        <v>677.5</v>
      </c>
      <c r="X53" s="138">
        <f t="shared" si="21"/>
        <v>677.5</v>
      </c>
      <c r="Y53" s="138">
        <f t="shared" si="22"/>
        <v>677.5</v>
      </c>
      <c r="Z53" s="138">
        <f t="shared" si="23"/>
        <v>677.5</v>
      </c>
    </row>
    <row r="54" spans="1:26" x14ac:dyDescent="0.25">
      <c r="A54" s="136" t="s">
        <v>276</v>
      </c>
      <c r="B54" s="121">
        <v>25</v>
      </c>
      <c r="C54" s="121">
        <v>49</v>
      </c>
      <c r="D54" s="129">
        <v>11708</v>
      </c>
      <c r="E54" s="112" t="s">
        <v>63</v>
      </c>
      <c r="F54" s="112" t="s">
        <v>49</v>
      </c>
      <c r="G54" s="112" t="s">
        <v>50</v>
      </c>
      <c r="H54" s="112" t="s">
        <v>184</v>
      </c>
      <c r="I54" s="122" t="s">
        <v>109</v>
      </c>
      <c r="J54" s="123">
        <v>42180</v>
      </c>
      <c r="K54" s="121">
        <f t="shared" si="11"/>
        <v>6</v>
      </c>
      <c r="L54" s="124">
        <f>$L$37</f>
        <v>7.7976876560842629E-4</v>
      </c>
      <c r="M54" s="124">
        <v>11708</v>
      </c>
      <c r="N54" s="124">
        <f t="shared" si="25"/>
        <v>9.1295327077434543</v>
      </c>
      <c r="O54" s="137">
        <f t="shared" si="17"/>
        <v>1</v>
      </c>
      <c r="P54" s="131">
        <v>0.2</v>
      </c>
      <c r="Q54" s="131">
        <v>0.2</v>
      </c>
      <c r="R54" s="131">
        <v>0.2</v>
      </c>
      <c r="S54" s="131">
        <v>0.2</v>
      </c>
      <c r="T54" s="131">
        <v>0.2</v>
      </c>
      <c r="U54" s="121"/>
      <c r="V54" s="138">
        <f t="shared" si="19"/>
        <v>1.825906541548691</v>
      </c>
      <c r="W54" s="138">
        <f t="shared" si="20"/>
        <v>1.825906541548691</v>
      </c>
      <c r="X54" s="138">
        <f t="shared" si="21"/>
        <v>1.825906541548691</v>
      </c>
      <c r="Y54" s="138">
        <f t="shared" si="22"/>
        <v>1.825906541548691</v>
      </c>
      <c r="Z54" s="138">
        <f t="shared" si="23"/>
        <v>1.825906541548691</v>
      </c>
    </row>
    <row r="55" spans="1:26" x14ac:dyDescent="0.25">
      <c r="A55" s="136" t="s">
        <v>276</v>
      </c>
      <c r="B55" s="121">
        <v>26</v>
      </c>
      <c r="C55" s="121">
        <v>50</v>
      </c>
      <c r="D55" s="129">
        <v>11708</v>
      </c>
      <c r="E55" s="112" t="s">
        <v>1</v>
      </c>
      <c r="F55" s="112" t="s">
        <v>54</v>
      </c>
      <c r="G55" s="112" t="s">
        <v>55</v>
      </c>
      <c r="H55" s="112" t="s">
        <v>185</v>
      </c>
      <c r="I55" s="122" t="s">
        <v>109</v>
      </c>
      <c r="J55" s="123">
        <v>42210</v>
      </c>
      <c r="K55" s="121">
        <f t="shared" si="11"/>
        <v>7</v>
      </c>
      <c r="L55" s="124">
        <v>0.7</v>
      </c>
      <c r="M55" s="124">
        <v>11708</v>
      </c>
      <c r="N55" s="124">
        <f t="shared" si="25"/>
        <v>8195.6</v>
      </c>
      <c r="O55" s="137">
        <f t="shared" si="17"/>
        <v>1</v>
      </c>
      <c r="P55" s="131">
        <v>0.2</v>
      </c>
      <c r="Q55" s="131">
        <v>0.2</v>
      </c>
      <c r="R55" s="131">
        <v>0.2</v>
      </c>
      <c r="S55" s="131">
        <v>0.2</v>
      </c>
      <c r="T55" s="131">
        <v>0.2</v>
      </c>
      <c r="U55" s="121"/>
      <c r="V55" s="138">
        <f t="shared" si="19"/>
        <v>1639.1200000000001</v>
      </c>
      <c r="W55" s="138">
        <f t="shared" si="20"/>
        <v>1639.1200000000001</v>
      </c>
      <c r="X55" s="138">
        <f t="shared" si="21"/>
        <v>1639.1200000000001</v>
      </c>
      <c r="Y55" s="138">
        <f t="shared" si="22"/>
        <v>1639.1200000000001</v>
      </c>
      <c r="Z55" s="138">
        <f t="shared" si="23"/>
        <v>1639.1200000000001</v>
      </c>
    </row>
    <row r="56" spans="1:26" x14ac:dyDescent="0.25">
      <c r="A56" s="136" t="s">
        <v>276</v>
      </c>
      <c r="B56" s="121">
        <v>26</v>
      </c>
      <c r="C56" s="121">
        <v>51</v>
      </c>
      <c r="D56" s="129">
        <v>11708</v>
      </c>
      <c r="E56" s="112" t="s">
        <v>63</v>
      </c>
      <c r="F56" s="112" t="s">
        <v>49</v>
      </c>
      <c r="G56" s="112" t="s">
        <v>50</v>
      </c>
      <c r="H56" s="112" t="s">
        <v>184</v>
      </c>
      <c r="I56" s="122" t="s">
        <v>109</v>
      </c>
      <c r="J56" s="123">
        <v>42210</v>
      </c>
      <c r="K56" s="121">
        <f t="shared" si="11"/>
        <v>7</v>
      </c>
      <c r="L56" s="124">
        <f>$L$37</f>
        <v>7.7976876560842629E-4</v>
      </c>
      <c r="M56" s="124">
        <v>11708</v>
      </c>
      <c r="N56" s="124">
        <f t="shared" si="25"/>
        <v>9.1295327077434543</v>
      </c>
      <c r="O56" s="137">
        <f t="shared" si="17"/>
        <v>1</v>
      </c>
      <c r="P56" s="131">
        <v>0.2</v>
      </c>
      <c r="Q56" s="131">
        <v>0.2</v>
      </c>
      <c r="R56" s="131">
        <v>0.2</v>
      </c>
      <c r="S56" s="131">
        <v>0.2</v>
      </c>
      <c r="T56" s="131">
        <v>0.2</v>
      </c>
      <c r="U56" s="121"/>
      <c r="V56" s="138">
        <f t="shared" si="19"/>
        <v>1.825906541548691</v>
      </c>
      <c r="W56" s="138">
        <f t="shared" si="20"/>
        <v>1.825906541548691</v>
      </c>
      <c r="X56" s="138">
        <f t="shared" si="21"/>
        <v>1.825906541548691</v>
      </c>
      <c r="Y56" s="138">
        <f t="shared" si="22"/>
        <v>1.825906541548691</v>
      </c>
      <c r="Z56" s="138">
        <f t="shared" si="23"/>
        <v>1.825906541548691</v>
      </c>
    </row>
    <row r="57" spans="1:26" x14ac:dyDescent="0.25">
      <c r="A57" s="136" t="s">
        <v>276</v>
      </c>
      <c r="B57" s="121">
        <v>37</v>
      </c>
      <c r="C57" s="121">
        <v>52</v>
      </c>
      <c r="D57" s="129">
        <v>33875</v>
      </c>
      <c r="E57" s="112" t="s">
        <v>99</v>
      </c>
      <c r="F57" s="112" t="s">
        <v>53</v>
      </c>
      <c r="G57" s="112" t="s">
        <v>51</v>
      </c>
      <c r="H57" s="112" t="s">
        <v>75</v>
      </c>
      <c r="I57" s="122" t="s">
        <v>109</v>
      </c>
      <c r="J57" s="123">
        <v>42210</v>
      </c>
      <c r="K57" s="121">
        <f t="shared" si="11"/>
        <v>7</v>
      </c>
      <c r="L57" s="124">
        <v>0.1</v>
      </c>
      <c r="M57" s="124">
        <v>33875</v>
      </c>
      <c r="N57" s="124">
        <f t="shared" si="25"/>
        <v>3387.5</v>
      </c>
      <c r="O57" s="137">
        <f t="shared" si="17"/>
        <v>1</v>
      </c>
      <c r="P57" s="131">
        <v>0.2</v>
      </c>
      <c r="Q57" s="131">
        <v>0.2</v>
      </c>
      <c r="R57" s="131">
        <v>0.2</v>
      </c>
      <c r="S57" s="131">
        <v>0.2</v>
      </c>
      <c r="T57" s="131">
        <v>0.2</v>
      </c>
      <c r="U57" s="121"/>
      <c r="V57" s="138">
        <f t="shared" si="19"/>
        <v>677.5</v>
      </c>
      <c r="W57" s="138">
        <f t="shared" si="20"/>
        <v>677.5</v>
      </c>
      <c r="X57" s="138">
        <f t="shared" si="21"/>
        <v>677.5</v>
      </c>
      <c r="Y57" s="138">
        <f t="shared" si="22"/>
        <v>677.5</v>
      </c>
      <c r="Z57" s="138">
        <f t="shared" si="23"/>
        <v>677.5</v>
      </c>
    </row>
    <row r="58" spans="1:26" x14ac:dyDescent="0.25">
      <c r="A58" s="136" t="s">
        <v>276</v>
      </c>
      <c r="B58" s="121">
        <v>27</v>
      </c>
      <c r="C58" s="121">
        <v>53</v>
      </c>
      <c r="D58" s="129">
        <v>11708</v>
      </c>
      <c r="E58" s="112" t="s">
        <v>63</v>
      </c>
      <c r="F58" s="112" t="s">
        <v>49</v>
      </c>
      <c r="G58" s="112" t="s">
        <v>50</v>
      </c>
      <c r="H58" s="112" t="s">
        <v>184</v>
      </c>
      <c r="I58" s="122" t="s">
        <v>109</v>
      </c>
      <c r="J58" s="123">
        <v>42241</v>
      </c>
      <c r="K58" s="121">
        <f t="shared" si="11"/>
        <v>8</v>
      </c>
      <c r="L58" s="124">
        <f>$L$37</f>
        <v>7.7976876560842629E-4</v>
      </c>
      <c r="M58" s="124">
        <v>11708</v>
      </c>
      <c r="N58" s="124">
        <f t="shared" si="25"/>
        <v>9.1295327077434543</v>
      </c>
      <c r="O58" s="137">
        <f t="shared" si="17"/>
        <v>1</v>
      </c>
      <c r="P58" s="131">
        <v>0.2</v>
      </c>
      <c r="Q58" s="131">
        <v>0.2</v>
      </c>
      <c r="R58" s="131">
        <v>0.2</v>
      </c>
      <c r="S58" s="131">
        <v>0.2</v>
      </c>
      <c r="T58" s="131">
        <v>0.2</v>
      </c>
      <c r="U58" s="121"/>
      <c r="V58" s="138">
        <f t="shared" si="19"/>
        <v>1.825906541548691</v>
      </c>
      <c r="W58" s="138">
        <f t="shared" si="20"/>
        <v>1.825906541548691</v>
      </c>
      <c r="X58" s="138">
        <f t="shared" si="21"/>
        <v>1.825906541548691</v>
      </c>
      <c r="Y58" s="138">
        <f t="shared" si="22"/>
        <v>1.825906541548691</v>
      </c>
      <c r="Z58" s="138">
        <f t="shared" si="23"/>
        <v>1.825906541548691</v>
      </c>
    </row>
    <row r="59" spans="1:26" x14ac:dyDescent="0.25">
      <c r="A59" s="136" t="s">
        <v>276</v>
      </c>
      <c r="B59" s="121">
        <v>27</v>
      </c>
      <c r="C59" s="121">
        <v>54</v>
      </c>
      <c r="D59" s="129">
        <v>11708</v>
      </c>
      <c r="E59" s="112" t="s">
        <v>1</v>
      </c>
      <c r="F59" s="112" t="s">
        <v>54</v>
      </c>
      <c r="G59" s="112" t="s">
        <v>55</v>
      </c>
      <c r="H59" s="112" t="s">
        <v>185</v>
      </c>
      <c r="I59" s="122" t="s">
        <v>109</v>
      </c>
      <c r="J59" s="123">
        <v>42241</v>
      </c>
      <c r="K59" s="121">
        <f t="shared" si="11"/>
        <v>8</v>
      </c>
      <c r="L59" s="124">
        <v>0.7</v>
      </c>
      <c r="M59" s="124">
        <v>11708</v>
      </c>
      <c r="N59" s="124">
        <f t="shared" si="25"/>
        <v>8195.6</v>
      </c>
      <c r="O59" s="137">
        <f t="shared" si="17"/>
        <v>1</v>
      </c>
      <c r="P59" s="131">
        <v>0.2</v>
      </c>
      <c r="Q59" s="131">
        <v>0.2</v>
      </c>
      <c r="R59" s="131">
        <v>0.2</v>
      </c>
      <c r="S59" s="131">
        <v>0.2</v>
      </c>
      <c r="T59" s="131">
        <v>0.2</v>
      </c>
      <c r="U59" s="121"/>
      <c r="V59" s="138">
        <f t="shared" si="19"/>
        <v>1639.1200000000001</v>
      </c>
      <c r="W59" s="138">
        <f t="shared" si="20"/>
        <v>1639.1200000000001</v>
      </c>
      <c r="X59" s="138">
        <f t="shared" si="21"/>
        <v>1639.1200000000001</v>
      </c>
      <c r="Y59" s="138">
        <f t="shared" si="22"/>
        <v>1639.1200000000001</v>
      </c>
      <c r="Z59" s="138">
        <f t="shared" si="23"/>
        <v>1639.1200000000001</v>
      </c>
    </row>
    <row r="60" spans="1:26" x14ac:dyDescent="0.25">
      <c r="A60" s="136" t="s">
        <v>276</v>
      </c>
      <c r="B60" s="121">
        <v>39</v>
      </c>
      <c r="C60" s="121">
        <v>55</v>
      </c>
      <c r="D60" s="129">
        <v>33875</v>
      </c>
      <c r="E60" s="112" t="s">
        <v>99</v>
      </c>
      <c r="F60" s="112" t="s">
        <v>53</v>
      </c>
      <c r="G60" s="112" t="s">
        <v>51</v>
      </c>
      <c r="H60" s="112" t="s">
        <v>75</v>
      </c>
      <c r="I60" s="122" t="s">
        <v>109</v>
      </c>
      <c r="J60" s="123">
        <v>42241</v>
      </c>
      <c r="K60" s="121">
        <f t="shared" si="11"/>
        <v>8</v>
      </c>
      <c r="L60" s="124">
        <v>0.1</v>
      </c>
      <c r="M60" s="124">
        <v>33875</v>
      </c>
      <c r="N60" s="124">
        <f t="shared" si="25"/>
        <v>3387.5</v>
      </c>
      <c r="O60" s="137">
        <f t="shared" si="17"/>
        <v>1</v>
      </c>
      <c r="P60" s="131">
        <v>0.2</v>
      </c>
      <c r="Q60" s="131">
        <v>0.2</v>
      </c>
      <c r="R60" s="131">
        <v>0.2</v>
      </c>
      <c r="S60" s="131">
        <v>0.2</v>
      </c>
      <c r="T60" s="131">
        <v>0.2</v>
      </c>
      <c r="U60" s="121"/>
      <c r="V60" s="138">
        <f t="shared" si="19"/>
        <v>677.5</v>
      </c>
      <c r="W60" s="138">
        <f t="shared" si="20"/>
        <v>677.5</v>
      </c>
      <c r="X60" s="138">
        <f t="shared" si="21"/>
        <v>677.5</v>
      </c>
      <c r="Y60" s="138">
        <f t="shared" si="22"/>
        <v>677.5</v>
      </c>
      <c r="Z60" s="138">
        <f t="shared" si="23"/>
        <v>677.5</v>
      </c>
    </row>
    <row r="61" spans="1:26" x14ac:dyDescent="0.25">
      <c r="A61" s="136" t="s">
        <v>276</v>
      </c>
      <c r="B61" s="121">
        <v>28</v>
      </c>
      <c r="C61" s="121">
        <v>56</v>
      </c>
      <c r="D61" s="129">
        <v>11708</v>
      </c>
      <c r="E61" s="112" t="s">
        <v>1</v>
      </c>
      <c r="F61" s="112" t="s">
        <v>54</v>
      </c>
      <c r="G61" s="112" t="s">
        <v>55</v>
      </c>
      <c r="H61" s="112" t="s">
        <v>185</v>
      </c>
      <c r="I61" s="122" t="s">
        <v>109</v>
      </c>
      <c r="J61" s="123">
        <v>42272</v>
      </c>
      <c r="K61" s="121">
        <f t="shared" si="11"/>
        <v>9</v>
      </c>
      <c r="L61" s="124">
        <v>0.7</v>
      </c>
      <c r="M61" s="124">
        <v>11708</v>
      </c>
      <c r="N61" s="124">
        <f t="shared" si="25"/>
        <v>8195.6</v>
      </c>
      <c r="O61" s="137">
        <f t="shared" si="17"/>
        <v>1</v>
      </c>
      <c r="P61" s="131">
        <v>0.2</v>
      </c>
      <c r="Q61" s="131">
        <v>0.2</v>
      </c>
      <c r="R61" s="131">
        <v>0.2</v>
      </c>
      <c r="S61" s="131">
        <v>0.2</v>
      </c>
      <c r="T61" s="131">
        <v>0.2</v>
      </c>
      <c r="U61" s="121"/>
      <c r="V61" s="138">
        <f t="shared" si="19"/>
        <v>1639.1200000000001</v>
      </c>
      <c r="W61" s="138">
        <f t="shared" si="20"/>
        <v>1639.1200000000001</v>
      </c>
      <c r="X61" s="138">
        <f t="shared" si="21"/>
        <v>1639.1200000000001</v>
      </c>
      <c r="Y61" s="138">
        <f t="shared" si="22"/>
        <v>1639.1200000000001</v>
      </c>
      <c r="Z61" s="138">
        <f t="shared" si="23"/>
        <v>1639.1200000000001</v>
      </c>
    </row>
    <row r="62" spans="1:26" x14ac:dyDescent="0.25">
      <c r="A62" s="136" t="s">
        <v>276</v>
      </c>
      <c r="B62" s="121">
        <v>28</v>
      </c>
      <c r="C62" s="121">
        <v>57</v>
      </c>
      <c r="D62" s="129">
        <v>11708</v>
      </c>
      <c r="E62" s="112" t="s">
        <v>63</v>
      </c>
      <c r="F62" s="112" t="s">
        <v>49</v>
      </c>
      <c r="G62" s="112" t="s">
        <v>50</v>
      </c>
      <c r="H62" s="112" t="s">
        <v>184</v>
      </c>
      <c r="I62" s="122" t="s">
        <v>109</v>
      </c>
      <c r="J62" s="123">
        <v>42272</v>
      </c>
      <c r="K62" s="121">
        <f t="shared" si="11"/>
        <v>9</v>
      </c>
      <c r="L62" s="124">
        <f>$L$37</f>
        <v>7.7976876560842629E-4</v>
      </c>
      <c r="M62" s="124">
        <v>11708</v>
      </c>
      <c r="N62" s="124">
        <f t="shared" si="25"/>
        <v>9.1295327077434543</v>
      </c>
      <c r="O62" s="137">
        <f t="shared" si="17"/>
        <v>1</v>
      </c>
      <c r="P62" s="131">
        <v>0.2</v>
      </c>
      <c r="Q62" s="131">
        <v>0.2</v>
      </c>
      <c r="R62" s="131">
        <v>0.2</v>
      </c>
      <c r="S62" s="131">
        <v>0.2</v>
      </c>
      <c r="T62" s="131">
        <v>0.2</v>
      </c>
      <c r="U62" s="121"/>
      <c r="V62" s="138">
        <f t="shared" si="19"/>
        <v>1.825906541548691</v>
      </c>
      <c r="W62" s="138">
        <f t="shared" si="20"/>
        <v>1.825906541548691</v>
      </c>
      <c r="X62" s="138">
        <f t="shared" si="21"/>
        <v>1.825906541548691</v>
      </c>
      <c r="Y62" s="138">
        <f t="shared" si="22"/>
        <v>1.825906541548691</v>
      </c>
      <c r="Z62" s="138">
        <f t="shared" si="23"/>
        <v>1.825906541548691</v>
      </c>
    </row>
    <row r="63" spans="1:26" x14ac:dyDescent="0.25">
      <c r="A63" s="136" t="s">
        <v>276</v>
      </c>
      <c r="B63" s="121">
        <v>201500001</v>
      </c>
      <c r="C63" s="121">
        <v>58</v>
      </c>
      <c r="D63" s="129">
        <v>33771</v>
      </c>
      <c r="E63" s="112" t="s">
        <v>99</v>
      </c>
      <c r="F63" s="112" t="s">
        <v>53</v>
      </c>
      <c r="G63" s="112" t="s">
        <v>51</v>
      </c>
      <c r="H63" s="112" t="s">
        <v>75</v>
      </c>
      <c r="I63" s="122" t="s">
        <v>109</v>
      </c>
      <c r="J63" s="123">
        <v>42272</v>
      </c>
      <c r="K63" s="121">
        <f t="shared" si="11"/>
        <v>9</v>
      </c>
      <c r="L63" s="124">
        <v>0.1</v>
      </c>
      <c r="M63" s="124">
        <v>33771</v>
      </c>
      <c r="N63" s="124">
        <f t="shared" si="25"/>
        <v>3377.1000000000004</v>
      </c>
      <c r="O63" s="137">
        <f t="shared" si="17"/>
        <v>1</v>
      </c>
      <c r="P63" s="131">
        <v>0.2</v>
      </c>
      <c r="Q63" s="131">
        <v>0.2</v>
      </c>
      <c r="R63" s="131">
        <v>0.2</v>
      </c>
      <c r="S63" s="131">
        <v>0.2</v>
      </c>
      <c r="T63" s="131">
        <v>0.2</v>
      </c>
      <c r="U63" s="121"/>
      <c r="V63" s="138">
        <f t="shared" si="19"/>
        <v>675.42000000000007</v>
      </c>
      <c r="W63" s="138">
        <f t="shared" si="20"/>
        <v>675.42000000000007</v>
      </c>
      <c r="X63" s="138">
        <f t="shared" si="21"/>
        <v>675.42000000000007</v>
      </c>
      <c r="Y63" s="138">
        <f t="shared" si="22"/>
        <v>675.42000000000007</v>
      </c>
      <c r="Z63" s="138">
        <f t="shared" si="23"/>
        <v>675.42000000000007</v>
      </c>
    </row>
    <row r="64" spans="1:26" x14ac:dyDescent="0.25">
      <c r="A64" s="136" t="s">
        <v>276</v>
      </c>
      <c r="B64" s="121">
        <v>29</v>
      </c>
      <c r="C64" s="121">
        <v>59</v>
      </c>
      <c r="D64" s="129">
        <v>11708</v>
      </c>
      <c r="E64" s="112" t="s">
        <v>63</v>
      </c>
      <c r="F64" s="112" t="s">
        <v>49</v>
      </c>
      <c r="G64" s="112" t="s">
        <v>50</v>
      </c>
      <c r="H64" s="112" t="s">
        <v>184</v>
      </c>
      <c r="I64" s="122" t="s">
        <v>109</v>
      </c>
      <c r="J64" s="123">
        <v>42302</v>
      </c>
      <c r="K64" s="121">
        <f t="shared" si="11"/>
        <v>10</v>
      </c>
      <c r="L64" s="124">
        <f>$L$37</f>
        <v>7.7976876560842629E-4</v>
      </c>
      <c r="M64" s="124">
        <v>11708</v>
      </c>
      <c r="N64" s="124">
        <f t="shared" si="25"/>
        <v>9.1295327077434543</v>
      </c>
      <c r="O64" s="137">
        <f t="shared" si="17"/>
        <v>1</v>
      </c>
      <c r="P64" s="131">
        <v>0.2</v>
      </c>
      <c r="Q64" s="131">
        <v>0.2</v>
      </c>
      <c r="R64" s="131">
        <v>0.2</v>
      </c>
      <c r="S64" s="131">
        <v>0.2</v>
      </c>
      <c r="T64" s="131">
        <v>0.2</v>
      </c>
      <c r="U64" s="121"/>
      <c r="V64" s="138">
        <f t="shared" si="19"/>
        <v>1.825906541548691</v>
      </c>
      <c r="W64" s="138">
        <f t="shared" si="20"/>
        <v>1.825906541548691</v>
      </c>
      <c r="X64" s="138">
        <f t="shared" si="21"/>
        <v>1.825906541548691</v>
      </c>
      <c r="Y64" s="138">
        <f t="shared" si="22"/>
        <v>1.825906541548691</v>
      </c>
      <c r="Z64" s="138">
        <f t="shared" si="23"/>
        <v>1.825906541548691</v>
      </c>
    </row>
    <row r="65" spans="1:26" x14ac:dyDescent="0.25">
      <c r="A65" s="136" t="s">
        <v>276</v>
      </c>
      <c r="B65" s="121">
        <v>29</v>
      </c>
      <c r="C65" s="121">
        <v>60</v>
      </c>
      <c r="D65" s="129">
        <v>11604</v>
      </c>
      <c r="E65" s="112" t="s">
        <v>1</v>
      </c>
      <c r="F65" s="112" t="s">
        <v>54</v>
      </c>
      <c r="G65" s="112" t="s">
        <v>55</v>
      </c>
      <c r="H65" s="112" t="s">
        <v>185</v>
      </c>
      <c r="I65" s="122" t="s">
        <v>109</v>
      </c>
      <c r="J65" s="123">
        <v>42302</v>
      </c>
      <c r="K65" s="121">
        <f t="shared" si="11"/>
        <v>10</v>
      </c>
      <c r="L65" s="124">
        <v>0.7</v>
      </c>
      <c r="M65" s="124">
        <v>11604</v>
      </c>
      <c r="N65" s="124">
        <f t="shared" si="25"/>
        <v>8122.7999999999993</v>
      </c>
      <c r="O65" s="137">
        <f t="shared" si="17"/>
        <v>1</v>
      </c>
      <c r="P65" s="131">
        <v>0.2</v>
      </c>
      <c r="Q65" s="131">
        <v>0.2</v>
      </c>
      <c r="R65" s="131">
        <v>0.2</v>
      </c>
      <c r="S65" s="131">
        <v>0.2</v>
      </c>
      <c r="T65" s="131">
        <v>0.2</v>
      </c>
      <c r="U65" s="121"/>
      <c r="V65" s="138">
        <f t="shared" si="19"/>
        <v>1624.56</v>
      </c>
      <c r="W65" s="138">
        <f t="shared" si="20"/>
        <v>1624.56</v>
      </c>
      <c r="X65" s="138">
        <f t="shared" si="21"/>
        <v>1624.56</v>
      </c>
      <c r="Y65" s="138">
        <f t="shared" si="22"/>
        <v>1624.56</v>
      </c>
      <c r="Z65" s="138">
        <f t="shared" si="23"/>
        <v>1624.56</v>
      </c>
    </row>
    <row r="66" spans="1:26" x14ac:dyDescent="0.25">
      <c r="A66" s="136" t="s">
        <v>276</v>
      </c>
      <c r="B66" s="121">
        <v>5</v>
      </c>
      <c r="C66" s="121">
        <v>61</v>
      </c>
      <c r="D66" s="129">
        <v>33771</v>
      </c>
      <c r="E66" s="112" t="s">
        <v>99</v>
      </c>
      <c r="F66" s="112" t="s">
        <v>53</v>
      </c>
      <c r="G66" s="112" t="s">
        <v>51</v>
      </c>
      <c r="H66" s="112" t="s">
        <v>75</v>
      </c>
      <c r="I66" s="122" t="s">
        <v>109</v>
      </c>
      <c r="J66" s="123">
        <v>42302</v>
      </c>
      <c r="K66" s="121">
        <f t="shared" si="11"/>
        <v>10</v>
      </c>
      <c r="L66" s="124">
        <v>0.1</v>
      </c>
      <c r="M66" s="124">
        <v>33771</v>
      </c>
      <c r="N66" s="124">
        <f t="shared" ref="N66:N67" si="26">L66*M66</f>
        <v>3377.1000000000004</v>
      </c>
      <c r="O66" s="137">
        <f t="shared" si="17"/>
        <v>1</v>
      </c>
      <c r="P66" s="131">
        <v>0.2</v>
      </c>
      <c r="Q66" s="131">
        <v>0.2</v>
      </c>
      <c r="R66" s="131">
        <v>0.2</v>
      </c>
      <c r="S66" s="131">
        <v>0.2</v>
      </c>
      <c r="T66" s="131">
        <v>0.2</v>
      </c>
      <c r="U66" s="121"/>
      <c r="V66" s="138">
        <f t="shared" si="19"/>
        <v>675.42000000000007</v>
      </c>
      <c r="W66" s="138">
        <f t="shared" si="20"/>
        <v>675.42000000000007</v>
      </c>
      <c r="X66" s="138">
        <f t="shared" si="21"/>
        <v>675.42000000000007</v>
      </c>
      <c r="Y66" s="138">
        <f t="shared" si="22"/>
        <v>675.42000000000007</v>
      </c>
      <c r="Z66" s="138">
        <f t="shared" si="23"/>
        <v>675.42000000000007</v>
      </c>
    </row>
    <row r="67" spans="1:26" x14ac:dyDescent="0.25">
      <c r="A67" s="136" t="s">
        <v>276</v>
      </c>
      <c r="B67" s="121">
        <v>7</v>
      </c>
      <c r="C67" s="121">
        <v>62</v>
      </c>
      <c r="D67" s="129">
        <v>33875</v>
      </c>
      <c r="E67" s="112" t="s">
        <v>99</v>
      </c>
      <c r="F67" s="112" t="s">
        <v>53</v>
      </c>
      <c r="G67" s="112" t="s">
        <v>51</v>
      </c>
      <c r="H67" s="112" t="s">
        <v>75</v>
      </c>
      <c r="I67" s="122" t="s">
        <v>109</v>
      </c>
      <c r="J67" s="123">
        <v>42333</v>
      </c>
      <c r="K67" s="121">
        <f t="shared" si="11"/>
        <v>11</v>
      </c>
      <c r="L67" s="124">
        <v>0.1</v>
      </c>
      <c r="M67" s="124">
        <v>33875</v>
      </c>
      <c r="N67" s="124">
        <f t="shared" si="26"/>
        <v>3387.5</v>
      </c>
      <c r="O67" s="137">
        <f t="shared" si="17"/>
        <v>1</v>
      </c>
      <c r="P67" s="131">
        <v>0.2</v>
      </c>
      <c r="Q67" s="131">
        <v>0.2</v>
      </c>
      <c r="R67" s="131">
        <v>0.2</v>
      </c>
      <c r="S67" s="131">
        <v>0.2</v>
      </c>
      <c r="T67" s="131">
        <v>0.2</v>
      </c>
      <c r="U67" s="121"/>
      <c r="V67" s="138">
        <f t="shared" si="19"/>
        <v>677.5</v>
      </c>
      <c r="W67" s="138">
        <f t="shared" si="20"/>
        <v>677.5</v>
      </c>
      <c r="X67" s="138">
        <f t="shared" si="21"/>
        <v>677.5</v>
      </c>
      <c r="Y67" s="138">
        <f t="shared" si="22"/>
        <v>677.5</v>
      </c>
      <c r="Z67" s="138">
        <f t="shared" si="23"/>
        <v>677.5</v>
      </c>
    </row>
    <row r="68" spans="1:26" x14ac:dyDescent="0.25">
      <c r="A68" s="136" t="s">
        <v>276</v>
      </c>
      <c r="B68" s="121">
        <v>30</v>
      </c>
      <c r="C68" s="121">
        <v>63</v>
      </c>
      <c r="D68" s="129">
        <v>11708</v>
      </c>
      <c r="E68" s="112" t="s">
        <v>1</v>
      </c>
      <c r="F68" s="112" t="s">
        <v>54</v>
      </c>
      <c r="G68" s="112" t="s">
        <v>55</v>
      </c>
      <c r="H68" s="112" t="s">
        <v>185</v>
      </c>
      <c r="I68" s="122" t="s">
        <v>109</v>
      </c>
      <c r="J68" s="123">
        <v>42333</v>
      </c>
      <c r="K68" s="121">
        <f t="shared" si="11"/>
        <v>11</v>
      </c>
      <c r="L68" s="124">
        <v>0.7</v>
      </c>
      <c r="M68" s="124">
        <v>11708</v>
      </c>
      <c r="N68" s="124">
        <f>L68*M68</f>
        <v>8195.6</v>
      </c>
      <c r="O68" s="137">
        <f t="shared" si="17"/>
        <v>1</v>
      </c>
      <c r="P68" s="131">
        <v>0.2</v>
      </c>
      <c r="Q68" s="131">
        <v>0.2</v>
      </c>
      <c r="R68" s="131">
        <v>0.2</v>
      </c>
      <c r="S68" s="131">
        <v>0.2</v>
      </c>
      <c r="T68" s="131">
        <v>0.2</v>
      </c>
      <c r="U68" s="121"/>
      <c r="V68" s="138">
        <f t="shared" si="19"/>
        <v>1639.1200000000001</v>
      </c>
      <c r="W68" s="138">
        <f t="shared" si="20"/>
        <v>1639.1200000000001</v>
      </c>
      <c r="X68" s="138">
        <f t="shared" si="21"/>
        <v>1639.1200000000001</v>
      </c>
      <c r="Y68" s="138">
        <f t="shared" si="22"/>
        <v>1639.1200000000001</v>
      </c>
      <c r="Z68" s="138">
        <f t="shared" si="23"/>
        <v>1639.1200000000001</v>
      </c>
    </row>
    <row r="69" spans="1:26" x14ac:dyDescent="0.25">
      <c r="A69" s="136" t="s">
        <v>276</v>
      </c>
      <c r="B69" s="121">
        <v>30</v>
      </c>
      <c r="C69" s="121">
        <v>64</v>
      </c>
      <c r="D69" s="129">
        <v>11708</v>
      </c>
      <c r="E69" s="112" t="s">
        <v>63</v>
      </c>
      <c r="F69" s="112" t="s">
        <v>49</v>
      </c>
      <c r="G69" s="112" t="s">
        <v>50</v>
      </c>
      <c r="H69" s="112" t="s">
        <v>184</v>
      </c>
      <c r="I69" s="122" t="s">
        <v>109</v>
      </c>
      <c r="J69" s="123">
        <v>42333</v>
      </c>
      <c r="K69" s="121">
        <f t="shared" si="11"/>
        <v>11</v>
      </c>
      <c r="L69" s="124">
        <f>$L$37</f>
        <v>7.7976876560842629E-4</v>
      </c>
      <c r="M69" s="124">
        <v>11708</v>
      </c>
      <c r="N69" s="124">
        <f>L69*M69</f>
        <v>9.1295327077434543</v>
      </c>
      <c r="O69" s="137">
        <f t="shared" si="17"/>
        <v>1</v>
      </c>
      <c r="P69" s="131">
        <v>0.2</v>
      </c>
      <c r="Q69" s="131">
        <v>0.2</v>
      </c>
      <c r="R69" s="131">
        <v>0.2</v>
      </c>
      <c r="S69" s="131">
        <v>0.2</v>
      </c>
      <c r="T69" s="131">
        <v>0.2</v>
      </c>
      <c r="U69" s="121"/>
      <c r="V69" s="138">
        <f t="shared" si="19"/>
        <v>1.825906541548691</v>
      </c>
      <c r="W69" s="138">
        <f t="shared" si="20"/>
        <v>1.825906541548691</v>
      </c>
      <c r="X69" s="138">
        <f t="shared" si="21"/>
        <v>1.825906541548691</v>
      </c>
      <c r="Y69" s="138">
        <f t="shared" si="22"/>
        <v>1.825906541548691</v>
      </c>
      <c r="Z69" s="138">
        <f t="shared" si="23"/>
        <v>1.825906541548691</v>
      </c>
    </row>
    <row r="70" spans="1:26" x14ac:dyDescent="0.25">
      <c r="A70" s="136" t="s">
        <v>276</v>
      </c>
      <c r="B70" s="121">
        <v>31</v>
      </c>
      <c r="C70" s="121">
        <v>65</v>
      </c>
      <c r="D70" s="129">
        <v>11708</v>
      </c>
      <c r="E70" s="112" t="s">
        <v>1</v>
      </c>
      <c r="F70" s="112" t="s">
        <v>54</v>
      </c>
      <c r="G70" s="112" t="s">
        <v>55</v>
      </c>
      <c r="H70" s="112" t="s">
        <v>185</v>
      </c>
      <c r="I70" s="122" t="s">
        <v>109</v>
      </c>
      <c r="J70" s="123">
        <v>42363</v>
      </c>
      <c r="K70" s="121">
        <f t="shared" si="11"/>
        <v>12</v>
      </c>
      <c r="L70" s="124">
        <v>0.7</v>
      </c>
      <c r="M70" s="124">
        <v>11708</v>
      </c>
      <c r="N70" s="124">
        <f>L70*M70</f>
        <v>8195.6</v>
      </c>
      <c r="O70" s="137">
        <f t="shared" si="17"/>
        <v>1</v>
      </c>
      <c r="P70" s="131">
        <v>0.2</v>
      </c>
      <c r="Q70" s="131">
        <v>0.2</v>
      </c>
      <c r="R70" s="131">
        <v>0.2</v>
      </c>
      <c r="S70" s="131">
        <v>0.2</v>
      </c>
      <c r="T70" s="131">
        <v>0.2</v>
      </c>
      <c r="U70" s="121"/>
      <c r="V70" s="138">
        <f t="shared" si="19"/>
        <v>1639.1200000000001</v>
      </c>
      <c r="W70" s="138">
        <f t="shared" si="20"/>
        <v>1639.1200000000001</v>
      </c>
      <c r="X70" s="138">
        <f t="shared" si="21"/>
        <v>1639.1200000000001</v>
      </c>
      <c r="Y70" s="138">
        <f t="shared" si="22"/>
        <v>1639.1200000000001</v>
      </c>
      <c r="Z70" s="138">
        <f t="shared" si="23"/>
        <v>1639.1200000000001</v>
      </c>
    </row>
    <row r="71" spans="1:26" x14ac:dyDescent="0.25">
      <c r="A71" s="136" t="s">
        <v>276</v>
      </c>
      <c r="B71" s="121">
        <v>31</v>
      </c>
      <c r="C71" s="121">
        <v>66</v>
      </c>
      <c r="D71" s="129">
        <v>11708</v>
      </c>
      <c r="E71" s="112" t="s">
        <v>63</v>
      </c>
      <c r="F71" s="112" t="s">
        <v>49</v>
      </c>
      <c r="G71" s="112" t="s">
        <v>50</v>
      </c>
      <c r="H71" s="112" t="s">
        <v>184</v>
      </c>
      <c r="I71" s="122" t="s">
        <v>109</v>
      </c>
      <c r="J71" s="123">
        <v>42363</v>
      </c>
      <c r="K71" s="121">
        <f t="shared" si="11"/>
        <v>12</v>
      </c>
      <c r="L71" s="124">
        <f>$L$37</f>
        <v>7.7976876560842629E-4</v>
      </c>
      <c r="M71" s="124">
        <v>11708</v>
      </c>
      <c r="N71" s="124">
        <f>L71*M71</f>
        <v>9.1295327077434543</v>
      </c>
      <c r="O71" s="137">
        <f t="shared" si="17"/>
        <v>1</v>
      </c>
      <c r="P71" s="131">
        <v>0.2</v>
      </c>
      <c r="Q71" s="131">
        <v>0.2</v>
      </c>
      <c r="R71" s="131">
        <v>0.2</v>
      </c>
      <c r="S71" s="131">
        <v>0.2</v>
      </c>
      <c r="T71" s="131">
        <v>0.2</v>
      </c>
      <c r="U71" s="121"/>
      <c r="V71" s="138">
        <f t="shared" si="19"/>
        <v>1.825906541548691</v>
      </c>
      <c r="W71" s="138">
        <f t="shared" si="20"/>
        <v>1.825906541548691</v>
      </c>
      <c r="X71" s="138">
        <f t="shared" si="21"/>
        <v>1.825906541548691</v>
      </c>
      <c r="Y71" s="138">
        <f t="shared" si="22"/>
        <v>1.825906541548691</v>
      </c>
      <c r="Z71" s="138">
        <f t="shared" si="23"/>
        <v>1.825906541548691</v>
      </c>
    </row>
    <row r="72" spans="1:26" x14ac:dyDescent="0.25">
      <c r="A72" s="136" t="s">
        <v>276</v>
      </c>
      <c r="B72" s="121">
        <v>201510</v>
      </c>
      <c r="C72" s="121">
        <v>67</v>
      </c>
      <c r="D72" s="129">
        <v>33875</v>
      </c>
      <c r="E72" s="112" t="s">
        <v>99</v>
      </c>
      <c r="F72" s="112" t="s">
        <v>53</v>
      </c>
      <c r="G72" s="112" t="s">
        <v>51</v>
      </c>
      <c r="H72" s="112" t="s">
        <v>75</v>
      </c>
      <c r="I72" s="122" t="s">
        <v>109</v>
      </c>
      <c r="J72" s="123">
        <v>42363</v>
      </c>
      <c r="K72" s="121">
        <f t="shared" si="11"/>
        <v>12</v>
      </c>
      <c r="L72" s="124">
        <v>0.1</v>
      </c>
      <c r="M72" s="124">
        <v>33875</v>
      </c>
      <c r="N72" s="124">
        <f>L72*M72</f>
        <v>3387.5</v>
      </c>
      <c r="O72" s="137">
        <f t="shared" si="17"/>
        <v>1</v>
      </c>
      <c r="P72" s="131">
        <v>0.2</v>
      </c>
      <c r="Q72" s="131">
        <v>0.2</v>
      </c>
      <c r="R72" s="131">
        <v>0.2</v>
      </c>
      <c r="S72" s="131">
        <v>0.2</v>
      </c>
      <c r="T72" s="131">
        <v>0.2</v>
      </c>
      <c r="U72" s="121"/>
      <c r="V72" s="138">
        <f t="shared" si="19"/>
        <v>677.5</v>
      </c>
      <c r="W72" s="138">
        <f t="shared" si="20"/>
        <v>677.5</v>
      </c>
      <c r="X72" s="138">
        <f t="shared" si="21"/>
        <v>677.5</v>
      </c>
      <c r="Y72" s="138">
        <f t="shared" si="22"/>
        <v>677.5</v>
      </c>
      <c r="Z72" s="138">
        <f t="shared" si="23"/>
        <v>677.5</v>
      </c>
    </row>
  </sheetData>
  <autoFilter ref="A5:T72"/>
  <mergeCells count="2">
    <mergeCell ref="P4:T4"/>
    <mergeCell ref="V4:Z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selection activeCell="C6" sqref="C6"/>
    </sheetView>
  </sheetViews>
  <sheetFormatPr defaultColWidth="8.875" defaultRowHeight="15.75" x14ac:dyDescent="0.25"/>
  <cols>
    <col min="1" max="1" width="5" customWidth="1"/>
    <col min="2" max="2" width="15.625" bestFit="1" customWidth="1"/>
    <col min="3" max="3" width="13.875" customWidth="1"/>
    <col min="4" max="5" width="10.625" customWidth="1"/>
  </cols>
  <sheetData>
    <row r="1" spans="1:8" ht="18.75" x14ac:dyDescent="0.25">
      <c r="A1" s="44" t="s">
        <v>19</v>
      </c>
    </row>
    <row r="2" spans="1:8" x14ac:dyDescent="0.25">
      <c r="A2" s="45" t="str">
        <f>Resumo!B2</f>
        <v>INOVAÇÃO TECNOLÓGICA 2015</v>
      </c>
    </row>
    <row r="3" spans="1:8" x14ac:dyDescent="0.25">
      <c r="A3" s="45" t="s">
        <v>69</v>
      </c>
    </row>
    <row r="4" spans="1:8" s="54" customFormat="1" ht="12.75" x14ac:dyDescent="0.2">
      <c r="A4" s="53"/>
      <c r="C4" s="59" t="s">
        <v>52</v>
      </c>
      <c r="D4" s="60"/>
      <c r="E4" s="60"/>
      <c r="F4" s="59"/>
      <c r="G4" s="59"/>
    </row>
    <row r="5" spans="1:8" s="58" customFormat="1" ht="24.75" customHeight="1" x14ac:dyDescent="0.25">
      <c r="B5" s="23" t="s">
        <v>68</v>
      </c>
      <c r="C5" s="67" t="s">
        <v>70</v>
      </c>
      <c r="D5" s="67" t="s">
        <v>71</v>
      </c>
      <c r="E5" s="67" t="s">
        <v>72</v>
      </c>
      <c r="F5" s="67" t="s">
        <v>9</v>
      </c>
      <c r="G5" s="67" t="s">
        <v>10</v>
      </c>
      <c r="H5" s="23" t="s">
        <v>12</v>
      </c>
    </row>
    <row r="6" spans="1:8" s="58" customFormat="1" ht="27.75" customHeight="1" x14ac:dyDescent="0.25">
      <c r="B6" s="70" t="s">
        <v>11</v>
      </c>
      <c r="C6" s="90"/>
      <c r="D6" s="91"/>
      <c r="E6" s="90">
        <f>SUM(D6,C6)</f>
        <v>0</v>
      </c>
      <c r="F6" s="90"/>
      <c r="G6" s="90"/>
      <c r="H6" s="90">
        <f>SUM(E6:G6)</f>
        <v>0</v>
      </c>
    </row>
    <row r="7" spans="1:8" s="58" customFormat="1" ht="27.75" customHeight="1" x14ac:dyDescent="0.25">
      <c r="B7" s="70" t="s">
        <v>97</v>
      </c>
      <c r="C7" s="90"/>
      <c r="D7" s="91"/>
      <c r="E7" s="90">
        <f>SUM(D7,C7)</f>
        <v>0</v>
      </c>
      <c r="F7" s="90"/>
      <c r="G7" s="90"/>
      <c r="H7" s="90">
        <f>SUM(E7:G7)</f>
        <v>0</v>
      </c>
    </row>
    <row r="8" spans="1:8" s="58" customFormat="1" ht="27.75" customHeight="1" x14ac:dyDescent="0.25">
      <c r="B8" s="70" t="s">
        <v>94</v>
      </c>
      <c r="C8" s="90"/>
      <c r="D8" s="91"/>
      <c r="E8" s="90">
        <f>SUM(D8,C8)</f>
        <v>0</v>
      </c>
      <c r="F8" s="90"/>
      <c r="G8" s="90"/>
      <c r="H8" s="90">
        <f>SUM(E8:G8)</f>
        <v>0</v>
      </c>
    </row>
    <row r="9" spans="1:8" s="58" customFormat="1" ht="27.75" customHeight="1" x14ac:dyDescent="0.25">
      <c r="B9" s="70" t="s">
        <v>95</v>
      </c>
      <c r="C9" s="90"/>
      <c r="D9" s="91"/>
      <c r="E9" s="90">
        <f>SUM(D9,C9)</f>
        <v>0</v>
      </c>
      <c r="F9" s="90"/>
      <c r="G9" s="90"/>
      <c r="H9" s="90">
        <f>SUM(E9:G9)</f>
        <v>0</v>
      </c>
    </row>
    <row r="10" spans="1:8" s="58" customFormat="1" ht="27.75" customHeight="1" x14ac:dyDescent="0.25">
      <c r="B10" s="82" t="s">
        <v>8</v>
      </c>
      <c r="C10" s="92"/>
      <c r="D10" s="93"/>
      <c r="E10" s="92">
        <f>SUM(D10,C10)</f>
        <v>0</v>
      </c>
      <c r="F10" s="92"/>
      <c r="G10" s="92"/>
      <c r="H10" s="92">
        <f>SUM(E10:G10)</f>
        <v>0</v>
      </c>
    </row>
    <row r="11" spans="1:8" s="54" customFormat="1" ht="12.75" x14ac:dyDescent="0.2">
      <c r="A11" s="63"/>
      <c r="B11" s="55"/>
      <c r="C11" s="57">
        <f t="shared" ref="C11:H11" si="0">SUM(C6:C10)</f>
        <v>0</v>
      </c>
      <c r="D11" s="61">
        <f t="shared" si="0"/>
        <v>0</v>
      </c>
      <c r="E11" s="57">
        <f t="shared" si="0"/>
        <v>0</v>
      </c>
      <c r="F11" s="57">
        <f t="shared" si="0"/>
        <v>0</v>
      </c>
      <c r="G11" s="57">
        <f t="shared" si="0"/>
        <v>0</v>
      </c>
      <c r="H11" s="57">
        <f t="shared" si="0"/>
        <v>0</v>
      </c>
    </row>
    <row r="12" spans="1:8" s="62" customFormat="1" ht="12.75" x14ac:dyDescent="0.2">
      <c r="C12" s="61"/>
      <c r="D12" s="61"/>
      <c r="E12" s="61"/>
      <c r="F12" s="61"/>
      <c r="G12" s="61"/>
      <c r="H12" s="61"/>
    </row>
    <row r="13" spans="1:8" s="54" customFormat="1" ht="12.75" x14ac:dyDescent="0.2"/>
    <row r="14" spans="1:8" s="54" customFormat="1" ht="12.75" x14ac:dyDescent="0.2">
      <c r="B14" s="59"/>
      <c r="C14" s="54" t="s">
        <v>102</v>
      </c>
    </row>
    <row r="15" spans="1:8" s="54" customFormat="1" ht="12.75" x14ac:dyDescent="0.2">
      <c r="B15" s="59"/>
      <c r="C15" s="54" t="s">
        <v>73</v>
      </c>
    </row>
    <row r="16" spans="1:8" s="54" customFormat="1" ht="12.75" x14ac:dyDescent="0.2">
      <c r="B16" s="59"/>
      <c r="C16" s="54" t="s">
        <v>74</v>
      </c>
    </row>
    <row r="17" s="54" customFormat="1" ht="12.75" x14ac:dyDescent="0.2"/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37"/>
  <sheetViews>
    <sheetView workbookViewId="0">
      <selection activeCell="C24" sqref="C24"/>
    </sheetView>
  </sheetViews>
  <sheetFormatPr defaultColWidth="8.875" defaultRowHeight="15" x14ac:dyDescent="0.25"/>
  <cols>
    <col min="1" max="1" width="3.5" style="47" customWidth="1"/>
    <col min="2" max="2" width="11.625" style="47" customWidth="1"/>
    <col min="3" max="3" width="26.125" style="47" bestFit="1" customWidth="1"/>
    <col min="4" max="4" width="3.375" style="47" customWidth="1"/>
    <col min="5" max="5" width="14.5" style="47" customWidth="1"/>
    <col min="6" max="6" width="9.875" style="47" bestFit="1" customWidth="1"/>
    <col min="7" max="9" width="8.875" style="47"/>
    <col min="10" max="10" width="9.5" style="47" bestFit="1" customWidth="1"/>
    <col min="11" max="16384" width="8.875" style="47"/>
  </cols>
  <sheetData>
    <row r="5" spans="2:11" x14ac:dyDescent="0.25">
      <c r="B5" s="158" t="s">
        <v>43</v>
      </c>
      <c r="C5" s="158"/>
      <c r="D5" s="159"/>
      <c r="E5" s="160" t="s">
        <v>47</v>
      </c>
      <c r="F5" s="160"/>
      <c r="G5" s="160"/>
    </row>
    <row r="6" spans="2:11" s="161" customFormat="1" x14ac:dyDescent="0.25">
      <c r="B6" s="162" t="s">
        <v>36</v>
      </c>
      <c r="C6" s="162" t="s">
        <v>37</v>
      </c>
      <c r="D6" s="163"/>
      <c r="E6" s="162" t="s">
        <v>44</v>
      </c>
      <c r="F6" s="162" t="s">
        <v>45</v>
      </c>
      <c r="G6" s="162" t="s">
        <v>46</v>
      </c>
    </row>
    <row r="7" spans="2:11" ht="16.5" x14ac:dyDescent="0.25">
      <c r="B7" s="157">
        <v>42005</v>
      </c>
      <c r="C7" s="47" t="s">
        <v>294</v>
      </c>
      <c r="E7" s="164">
        <v>42005</v>
      </c>
      <c r="F7" s="164">
        <v>42035</v>
      </c>
      <c r="G7" s="161">
        <f t="shared" ref="G7:G18" si="0">NETWORKDAYS(E7,F7,$B$9:$B$18)</f>
        <v>22</v>
      </c>
      <c r="J7" s="154"/>
      <c r="K7" s="155"/>
    </row>
    <row r="8" spans="2:11" ht="16.5" x14ac:dyDescent="0.25">
      <c r="B8" s="157">
        <v>42097</v>
      </c>
      <c r="C8" s="47" t="s">
        <v>295</v>
      </c>
      <c r="E8" s="164">
        <v>42036</v>
      </c>
      <c r="F8" s="164">
        <v>42063</v>
      </c>
      <c r="G8" s="161">
        <f t="shared" si="0"/>
        <v>20</v>
      </c>
      <c r="J8" s="154"/>
      <c r="K8" s="155"/>
    </row>
    <row r="9" spans="2:11" ht="16.5" x14ac:dyDescent="0.25">
      <c r="B9" s="157">
        <v>42115</v>
      </c>
      <c r="C9" s="47" t="s">
        <v>39</v>
      </c>
      <c r="E9" s="164">
        <v>42064</v>
      </c>
      <c r="F9" s="164">
        <v>42094</v>
      </c>
      <c r="G9" s="161">
        <f t="shared" si="0"/>
        <v>22</v>
      </c>
      <c r="J9" s="154"/>
      <c r="K9" s="155"/>
    </row>
    <row r="10" spans="2:11" ht="16.5" x14ac:dyDescent="0.25">
      <c r="B10" s="157">
        <v>42125</v>
      </c>
      <c r="C10" s="47" t="s">
        <v>40</v>
      </c>
      <c r="E10" s="164">
        <v>42095</v>
      </c>
      <c r="F10" s="164">
        <v>42124</v>
      </c>
      <c r="G10" s="161">
        <f t="shared" si="0"/>
        <v>21</v>
      </c>
      <c r="J10" s="154"/>
      <c r="K10" s="155"/>
    </row>
    <row r="11" spans="2:11" ht="16.5" x14ac:dyDescent="0.25">
      <c r="B11" s="157">
        <v>42159</v>
      </c>
      <c r="C11" s="47" t="s">
        <v>38</v>
      </c>
      <c r="E11" s="164">
        <v>42125</v>
      </c>
      <c r="F11" s="164">
        <v>42155</v>
      </c>
      <c r="G11" s="161">
        <f t="shared" si="0"/>
        <v>20</v>
      </c>
      <c r="J11" s="154"/>
      <c r="K11" s="155"/>
    </row>
    <row r="12" spans="2:11" ht="16.5" x14ac:dyDescent="0.25">
      <c r="B12" s="157">
        <v>42254</v>
      </c>
      <c r="C12" s="47" t="s">
        <v>296</v>
      </c>
      <c r="E12" s="164">
        <v>42156</v>
      </c>
      <c r="F12" s="164">
        <v>42185</v>
      </c>
      <c r="G12" s="161">
        <f t="shared" si="0"/>
        <v>21</v>
      </c>
      <c r="J12" s="154"/>
      <c r="K12" s="155"/>
    </row>
    <row r="13" spans="2:11" ht="16.5" x14ac:dyDescent="0.25">
      <c r="B13" s="157">
        <v>42255</v>
      </c>
      <c r="C13" s="47" t="s">
        <v>298</v>
      </c>
      <c r="E13" s="164">
        <v>42186</v>
      </c>
      <c r="F13" s="164">
        <v>42216</v>
      </c>
      <c r="G13" s="161">
        <f t="shared" si="0"/>
        <v>23</v>
      </c>
      <c r="J13" s="154"/>
      <c r="K13" s="155"/>
    </row>
    <row r="14" spans="2:11" ht="16.5" x14ac:dyDescent="0.25">
      <c r="B14" s="157">
        <v>42289</v>
      </c>
      <c r="C14" s="47" t="s">
        <v>297</v>
      </c>
      <c r="E14" s="164">
        <v>42217</v>
      </c>
      <c r="F14" s="164">
        <v>42247</v>
      </c>
      <c r="G14" s="161">
        <f t="shared" si="0"/>
        <v>21</v>
      </c>
      <c r="J14" s="154"/>
      <c r="K14" s="155"/>
    </row>
    <row r="15" spans="2:11" ht="16.5" x14ac:dyDescent="0.25">
      <c r="B15" s="157">
        <v>42310</v>
      </c>
      <c r="C15" s="47" t="s">
        <v>41</v>
      </c>
      <c r="E15" s="164">
        <v>42248</v>
      </c>
      <c r="F15" s="164">
        <v>42277</v>
      </c>
      <c r="G15" s="161">
        <f t="shared" si="0"/>
        <v>20</v>
      </c>
      <c r="J15" s="154"/>
      <c r="K15" s="155"/>
    </row>
    <row r="16" spans="2:11" ht="16.5" x14ac:dyDescent="0.25">
      <c r="B16" s="157">
        <v>42362</v>
      </c>
      <c r="C16" s="47" t="s">
        <v>42</v>
      </c>
      <c r="E16" s="164">
        <v>42278</v>
      </c>
      <c r="F16" s="164">
        <v>42308</v>
      </c>
      <c r="G16" s="161">
        <f t="shared" si="0"/>
        <v>21</v>
      </c>
      <c r="J16" s="154"/>
      <c r="K16" s="155"/>
    </row>
    <row r="17" spans="2:11" ht="16.5" x14ac:dyDescent="0.25">
      <c r="B17" s="157">
        <v>42363</v>
      </c>
      <c r="C17" s="47" t="s">
        <v>42</v>
      </c>
      <c r="E17" s="164">
        <v>42309</v>
      </c>
      <c r="F17" s="164">
        <v>42338</v>
      </c>
      <c r="G17" s="161">
        <f t="shared" si="0"/>
        <v>20</v>
      </c>
      <c r="J17" s="154"/>
      <c r="K17" s="155"/>
    </row>
    <row r="18" spans="2:11" ht="16.5" x14ac:dyDescent="0.25">
      <c r="B18" s="157">
        <v>42369</v>
      </c>
      <c r="C18" s="47" t="s">
        <v>299</v>
      </c>
      <c r="E18" s="164">
        <v>42339</v>
      </c>
      <c r="F18" s="165">
        <v>42369</v>
      </c>
      <c r="G18" s="166">
        <f t="shared" si="0"/>
        <v>20</v>
      </c>
      <c r="J18" s="154"/>
      <c r="K18" s="155"/>
    </row>
    <row r="21" spans="2:11" x14ac:dyDescent="0.25">
      <c r="B21" s="156"/>
    </row>
    <row r="22" spans="2:11" x14ac:dyDescent="0.25">
      <c r="B22" s="156"/>
    </row>
    <row r="23" spans="2:11" x14ac:dyDescent="0.25">
      <c r="B23" s="156"/>
    </row>
    <row r="37" spans="2:2" x14ac:dyDescent="0.25">
      <c r="B37" s="47" t="s">
        <v>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D20" sqref="D20"/>
    </sheetView>
  </sheetViews>
  <sheetFormatPr defaultColWidth="8.875" defaultRowHeight="15.75" x14ac:dyDescent="0.25"/>
  <cols>
    <col min="1" max="1" width="2.125" customWidth="1"/>
    <col min="2" max="2" width="4.125" customWidth="1"/>
    <col min="3" max="3" width="26.625" customWidth="1"/>
    <col min="4" max="4" width="23.625" customWidth="1"/>
    <col min="5" max="5" width="16.5" customWidth="1"/>
    <col min="6" max="6" width="21.375" customWidth="1"/>
    <col min="7" max="7" width="13" customWidth="1"/>
    <col min="8" max="8" width="19.375" customWidth="1"/>
    <col min="9" max="9" width="27.875" bestFit="1" customWidth="1"/>
  </cols>
  <sheetData>
    <row r="1" spans="1:14" ht="18.75" x14ac:dyDescent="0.25">
      <c r="A1" s="64" t="s">
        <v>19</v>
      </c>
    </row>
    <row r="2" spans="1:14" x14ac:dyDescent="0.25">
      <c r="A2" s="69" t="str">
        <f>Resumo!B2</f>
        <v>INOVAÇÃO TECNOLÓGICA 2015</v>
      </c>
      <c r="B2" s="68"/>
      <c r="C2" s="68"/>
    </row>
    <row r="3" spans="1:14" x14ac:dyDescent="0.25">
      <c r="A3" s="40" t="s">
        <v>77</v>
      </c>
    </row>
    <row r="6" spans="1:14" ht="16.5" thickBot="1" x14ac:dyDescent="0.3">
      <c r="C6" s="94"/>
      <c r="D6" s="95" t="s">
        <v>78</v>
      </c>
      <c r="E6" s="96"/>
      <c r="F6" s="96"/>
      <c r="G6" s="96"/>
      <c r="H6" s="94"/>
    </row>
    <row r="7" spans="1:14" ht="40.5" customHeight="1" x14ac:dyDescent="0.25">
      <c r="C7" s="97" t="s">
        <v>80</v>
      </c>
      <c r="D7" s="98" t="s">
        <v>83</v>
      </c>
      <c r="E7" s="98" t="s">
        <v>81</v>
      </c>
      <c r="F7" s="98" t="s">
        <v>82</v>
      </c>
      <c r="G7" s="98" t="s">
        <v>84</v>
      </c>
      <c r="H7" s="97" t="s">
        <v>79</v>
      </c>
      <c r="I7" s="66"/>
      <c r="J7" s="65"/>
      <c r="K7" s="65"/>
      <c r="L7" s="65"/>
      <c r="M7" s="65"/>
      <c r="N7" s="65"/>
    </row>
    <row r="8" spans="1:14" x14ac:dyDescent="0.25">
      <c r="C8" s="99" t="s">
        <v>85</v>
      </c>
      <c r="D8" s="94"/>
      <c r="E8" s="94"/>
      <c r="F8" s="94"/>
      <c r="G8" s="94"/>
      <c r="H8" s="100">
        <f t="shared" ref="H8:H14" si="0">SUM(E8,G8)</f>
        <v>0</v>
      </c>
    </row>
    <row r="9" spans="1:14" x14ac:dyDescent="0.25">
      <c r="C9" s="99" t="s">
        <v>86</v>
      </c>
      <c r="D9" s="94"/>
      <c r="E9" s="94"/>
      <c r="F9" s="94"/>
      <c r="G9" s="94"/>
      <c r="H9" s="100">
        <f t="shared" si="0"/>
        <v>0</v>
      </c>
    </row>
    <row r="10" spans="1:14" x14ac:dyDescent="0.25">
      <c r="C10" s="99" t="s">
        <v>89</v>
      </c>
      <c r="D10" s="94">
        <v>1</v>
      </c>
      <c r="E10" s="100"/>
      <c r="F10" s="94">
        <v>1</v>
      </c>
      <c r="G10" s="100"/>
      <c r="H10" s="100">
        <f t="shared" si="0"/>
        <v>0</v>
      </c>
    </row>
    <row r="11" spans="1:14" x14ac:dyDescent="0.25">
      <c r="C11" s="99" t="s">
        <v>87</v>
      </c>
      <c r="D11" s="94">
        <v>2</v>
      </c>
      <c r="E11" s="100"/>
      <c r="F11" s="94"/>
      <c r="G11" s="94"/>
      <c r="H11" s="100">
        <f t="shared" si="0"/>
        <v>0</v>
      </c>
    </row>
    <row r="12" spans="1:14" x14ac:dyDescent="0.25">
      <c r="C12" s="99" t="s">
        <v>90</v>
      </c>
      <c r="D12" s="94"/>
      <c r="E12" s="94"/>
      <c r="F12" s="94"/>
      <c r="G12" s="94"/>
      <c r="H12" s="100">
        <f t="shared" si="0"/>
        <v>0</v>
      </c>
    </row>
    <row r="13" spans="1:14" x14ac:dyDescent="0.25">
      <c r="C13" s="99" t="s">
        <v>88</v>
      </c>
      <c r="D13" s="94"/>
      <c r="E13" s="94"/>
      <c r="F13" s="94"/>
      <c r="G13" s="94"/>
      <c r="H13" s="100">
        <f t="shared" si="0"/>
        <v>0</v>
      </c>
    </row>
    <row r="14" spans="1:14" x14ac:dyDescent="0.25">
      <c r="C14" s="101" t="s">
        <v>12</v>
      </c>
      <c r="D14" s="102">
        <f>SUM(D8:D13)</f>
        <v>3</v>
      </c>
      <c r="E14" s="103">
        <f>SUM(E8:E13)</f>
        <v>0</v>
      </c>
      <c r="F14" s="102">
        <f>SUM(F8:F13)</f>
        <v>1</v>
      </c>
      <c r="G14" s="103">
        <f>SUM(G8:G13)</f>
        <v>0</v>
      </c>
      <c r="H14" s="100">
        <f t="shared" si="0"/>
        <v>0</v>
      </c>
    </row>
    <row r="15" spans="1:14" ht="31.5" x14ac:dyDescent="0.25">
      <c r="C15" s="104" t="s">
        <v>91</v>
      </c>
      <c r="D15" s="94"/>
      <c r="E15" s="100"/>
      <c r="F15" s="94"/>
      <c r="G15" s="100"/>
      <c r="H15" s="100"/>
    </row>
    <row r="16" spans="1:14" x14ac:dyDescent="0.25">
      <c r="C16" s="105" t="s">
        <v>92</v>
      </c>
      <c r="D16" s="94"/>
      <c r="E16" s="94"/>
      <c r="F16" s="94"/>
      <c r="G16" s="94"/>
      <c r="H16" s="106">
        <f>SUM(H14:H15)</f>
        <v>0</v>
      </c>
    </row>
    <row r="17" spans="3:8" x14ac:dyDescent="0.25">
      <c r="C17" s="94"/>
      <c r="D17" s="94"/>
      <c r="E17" s="94"/>
      <c r="F17" s="94"/>
      <c r="G17" s="94"/>
      <c r="H17" s="94"/>
    </row>
    <row r="18" spans="3:8" x14ac:dyDescent="0.25">
      <c r="C18" s="94"/>
      <c r="D18" s="94"/>
      <c r="E18" s="94"/>
      <c r="F18" s="94"/>
      <c r="G18" s="94"/>
      <c r="H18" s="9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4</vt:i4>
      </vt:variant>
    </vt:vector>
  </HeadingPairs>
  <TitlesOfParts>
    <vt:vector size="13" baseType="lpstr">
      <vt:lpstr>Resumo</vt:lpstr>
      <vt:lpstr>Resumo dos Terceiros e MP</vt:lpstr>
      <vt:lpstr>Salário e Custo Hora</vt:lpstr>
      <vt:lpstr>Time Sheet</vt:lpstr>
      <vt:lpstr>Relatório PJ</vt:lpstr>
      <vt:lpstr>Investimentos </vt:lpstr>
      <vt:lpstr>Projetos</vt:lpstr>
      <vt:lpstr>Dias Úteis</vt:lpstr>
      <vt:lpstr>Quadro de pessoal</vt:lpstr>
      <vt:lpstr>Projetos!Area_de_impressao</vt:lpstr>
      <vt:lpstr>Resumo!Area_de_impressao</vt:lpstr>
      <vt:lpstr>'Resumo dos Terceiros e MP'!Area_de_impressao</vt:lpstr>
      <vt:lpstr>'Salário e Custo Hora'!Area_de_impressao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Augusto_McBenner</dc:creator>
  <cp:lastModifiedBy>Majed de Lacerda</cp:lastModifiedBy>
  <cp:lastPrinted>2015-01-26T15:43:50Z</cp:lastPrinted>
  <dcterms:created xsi:type="dcterms:W3CDTF">2014-01-23T15:31:16Z</dcterms:created>
  <dcterms:modified xsi:type="dcterms:W3CDTF">2016-07-25T19:05:15Z</dcterms:modified>
</cp:coreProperties>
</file>