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t;&gt;" sheetId="1" r:id="rId5"/>
    <sheet state="visible" name="RESUMO" sheetId="2" r:id="rId6"/>
    <sheet state="visible" name="Projetos" sheetId="3" r:id="rId7"/>
    <sheet state="visible" name="Trabalho" sheetId="4" r:id="rId8"/>
    <sheet state="visible" name="Pessoal" sheetId="5" r:id="rId9"/>
    <sheet state="visible" name="Investimentos" sheetId="6" r:id="rId10"/>
    <sheet state="visible" name="Dias úteis e Feriados" sheetId="7" r:id="rId11"/>
    <sheet state="visible" name="# Encargos folha" sheetId="8" r:id="rId12"/>
    <sheet state="hidden" name="teste1" sheetId="9" r:id="rId13"/>
    <sheet state="hidden" name="Análises" sheetId="10" r:id="rId14"/>
    <sheet state="hidden" name="Questionamentos" sheetId="11" r:id="rId15"/>
    <sheet state="hidden" name="IA" sheetId="12" r:id="rId16"/>
    <sheet state="hidden" name="Class. atividades" sheetId="13" r:id="rId17"/>
    <sheet state="hidden" name="Pessoal por Projeto" sheetId="14" r:id="rId18"/>
    <sheet state="visible" name="# Salários" sheetId="15" r:id="rId19"/>
    <sheet state="visible" name="#verificação RH" sheetId="16" r:id="rId20"/>
  </sheets>
  <definedNames>
    <definedName name="Complemento">#REF!</definedName>
    <definedName name="Dias_íteis">'Dias úteis e Feriados'!$E$1:$I$14</definedName>
    <definedName localSheetId="4" name="Pessoal">Pessoal!$D:$V</definedName>
    <definedName localSheetId="6" name="Feriados">'Dias úteis e Feriados'!$A:$B</definedName>
    <definedName localSheetId="6" name="Dias_úteis">'Dias úteis e Feriados'!$E:$I</definedName>
    <definedName hidden="1" localSheetId="2" name="_xlnm._FilterDatabase">Projetos!$A$1:$M$29</definedName>
    <definedName hidden="1" localSheetId="3" name="_xlnm._FilterDatabase">Trabalho!$A$1:$M$611</definedName>
    <definedName hidden="1" localSheetId="4" name="_xlnm._FilterDatabase">Pessoal!$A$1:$V$207</definedName>
    <definedName hidden="1" localSheetId="5" name="_xlnm._FilterDatabase">Investimentos!$A$3:$BB$87</definedName>
    <definedName hidden="1" localSheetId="8" name="_xlnm._FilterDatabase">teste1!$I$6:$K$417</definedName>
    <definedName hidden="1" localSheetId="10" name="_xlnm._FilterDatabase">Questionamentos!$A$5:$M$37</definedName>
    <definedName hidden="1" localSheetId="12" name="_xlnm._FilterDatabase">'Class. atividades'!$D$1:$G$1001</definedName>
    <definedName hidden="1" localSheetId="13" name="_xlnm._FilterDatabase">'Pessoal por Projeto'!$B$2:$H$64</definedName>
    <definedName hidden="1" localSheetId="12" name="Z_DD18001A_5681_4CFB_A399_255188CC54E6_.wvu.FilterData">'Class. atividades'!$A$1:$B$401</definedName>
    <definedName hidden="1" localSheetId="3" name="Z_B67A8095_2527_46FB_8EB3_F8DA15BF66BF_.wvu.FilterData">Trabalho!$A$1:$H$611</definedName>
    <definedName hidden="1" localSheetId="3" name="Z_7D799770_A0A0_44E6_9CBC_4F2CED0DD6A3_.wvu.FilterData">Trabalho!$A$1:$L$183</definedName>
  </definedNames>
  <calcPr/>
  <customWorkbookViews>
    <customWorkbookView activeSheetId="0" maximized="1" windowHeight="0" windowWidth="0" guid="{7D799770-A0A0-44E6-9CBC-4F2CED0DD6A3}" name="Filtro 4"/>
    <customWorkbookView activeSheetId="0" maximized="1" windowHeight="0" windowWidth="0" guid="{DD18001A-5681-4CFB-A399-255188CC54E6}" name="Filtro 1"/>
    <customWorkbookView activeSheetId="0" maximized="1" windowHeight="0" windowWidth="0" guid="{B67A8095-2527-46FB-8EB3-F8DA15BF66BF}" name="Filtro 3"/>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L19">
      <text>
        <t xml:space="preserve">Esse valor será dividido entre os projetos 208 e 209 de maneira igual. </t>
      </text>
    </comment>
  </commentList>
</comments>
</file>

<file path=xl/sharedStrings.xml><?xml version="1.0" encoding="utf-8"?>
<sst xmlns="http://schemas.openxmlformats.org/spreadsheetml/2006/main" count="8676" uniqueCount="2585">
  <si>
    <t xml:space="preserve">Nome da ABA </t>
  </si>
  <si>
    <t>Descrição</t>
  </si>
  <si>
    <t>Como interpretar</t>
  </si>
  <si>
    <t>RESUMO</t>
  </si>
  <si>
    <t>O que é: uma aba “relatório” (bem formatada no Excel) que consolida investimentos de PD&amp;I 2025 e calcula benefício fiscal.
Estrutura geral: vários blocos (não é uma tabela única “limpa”). Tem cabeçalhos, textos e subtabelas.
Blocos que aparecem dentro do CSV:
Cabeçalho institucional:
“Resumo dos investimentos”, “BENEFÍCIO FISCAL DE PD&amp;I 2025”, dados da empresa (PRODIET…), CNPJ, e uma data no rodapé (“27, janeiro de 2026”).
Quadro trimestral por natureza de dispêndio:
Linhas: Material, Terceiros, RH (Parcial inovação), RH (Exclusivo inovação), Total.
Colunas: Trimestres 1–4 e TOTAL.
Ex.: “Terceiros” soma 755.697,10 no total (incentivado), e RH parcial soma 44.537,05.
Cálculo do benefício fiscal:
“Percentual Exclusão”: 60% (por trimestre e total).
“Exclusão da Base de cálculo do IRPJ e CSLL”: total 480.140,49 (60% de 800.234,15).
“Economia Estimada [34%]”: total 163.247,77 (34% da exclusão).
“Comissão Taticca”: total 16.324,78 (aparenta ser 10% da economia estimada).
Observações (texto): lista de recomendações/condições, por exemplo:
dispêndios em conta contábil específica;
aproveitar benefício na ECF do ano;
envio do formulário MCTIC até agosto/2026;
anexar evidências;
benefícios não usados (depreciação acelerada; redução de IPI…).
Equipe de PD&amp;I (quadro de resumo):
separa Dedicação Parcial vs Dedicação Exclusiva (exclusiva está zerada).
Mostra Qtd, Valor gasto e Horas por escolaridade (Superior completo, Mestrado etc.).
Total dedicação parcial: R$ 44.537,05 e 792:25:00 (horas).
Valores por projeto de PD&amp;I (consolidação por INOVxxxxx):
Uma tabela com colunas:
Projetos (INOV00001, INOV00004, …),
TOTAL,
Vlr materiais,
Vlr terceiros,
Vlr RH parcial,
Vlr exclusivos.
Ex.: INOV00001 total 253.097,59 = terceiros 238.620,42 + RH parcial 14.477,17.
Tipos de dado:
Moeda em pt-BR (“755.697,10”), percentuais (“60%”, “34%”), horas em formato texto (“792:25:00”), e blocos textuais.</t>
  </si>
  <si>
    <t>Leia como relatório consolidado (não como tabela única). Ele junta blocos:
Investimentos por trimestre (Material / Terceiros / RH parcial / RH exclusivo).
Cálculo do benefício fiscal:
“Percentual Exclusão” (ex.: 60%) → aplica sobre o total incentivado.
“Exclusão da base IRPJ/CSLL” → 60% do total incentivado.
“Economia estimada [34%]” → 34% da exclusão.
“Comissão” → percentagem da economia (no seu caso aparenta 10%).
Resumo RH por escolaridade (horas e valores).
Resumo por projeto (INOVxxxxx) com valores de materiais/terceiros/RH.
Use esta aba para responder: “quanto foi investido (incentivado) e qual o benefício estimado”.
Checagem-chave: totais desta aba devem bater com a soma das abas Investimentos (Terceiros incentivado) + Pessoal (RH PD&amp;I) e com as horas vindas de Trabalho.</t>
  </si>
  <si>
    <t>Projetos</t>
  </si>
  <si>
    <t>O que é: cadastro “mestre” dos projetos de PD&amp;I (códigos INOV…), com descrição técnica e colunas de consolidação financeira.
Tamanho: precisa contar a quantidade de linhas sempre,  12 colunas.
Colunas principais (como aparecem no CSV):
Projeto (ex.: INOV00001, INOV00046, etc. Alguns vêm com título entre parênteses).
Natureza (ex.: “Pesquisa aplicada”, “Desenvolvimento experimental”; algumas linhas têm Natureza vazia).
Campos textuais longos (narrativa técnica):
Descrição
Elemento tecnologicamente novo ou inovador
Barreira ou desafio tecnológico a superar
Metodologia
Campos de controle:
Data início
Data de término (estimada)
Attach (parece ser o identificador/âncora do projeto)
Incentivado? (True/False)
Consolidação de valores:
Total investido (bate com Terceiros/Investimentos rateados por projeto)
Total Help Desk (bate com RH parcial do Pessoal)
Pontos bem claros lendo os dados:
O arquivo traz tanto projetos incentivados quanto não incentivados (contagem: 21 True / 7 False).
Vários projetos “mais novos” estão cadastrados com datas e/ou natureza vazias, mas com flag incentivado e totais (muitas vezes zerados).</t>
  </si>
  <si>
    <t>Cada linha representa um projeto de PD&amp;I.
Os campos textuais (descrição, novidade, barreira, metodologia) são a base para justificar tecnicamente o projeto.
Campos de data mostram período do projeto (início/fim estimado).
“Incentivado?” indica se o projeto é elegível para o benefício.
“Total investido” e “Total Help Desk” são consolidações que devem bater com:
Investimentos.csv (rateio por projeto) → “Total investido”
Pessoal (2).csv (custo RH PD&amp;I por projeto) → “Total Help Desk”
Use esta aba como “dicionário”: quando você vê INOV000xx em outra aba, é aqui que você encontra o contexto técnico.</t>
  </si>
  <si>
    <t>Trabalho</t>
  </si>
  <si>
    <t>O que é: a aba de diário de trabalho / timesheet de PD&amp;I. É a base “mais evidencial”: registra o que cada pessoa fez, em qual projeto, em qual dia, por quantas horas, com descrição textual da atividade.
Tamanho e estrutura: sempre contar a quantiade de linhas e colunas | 610 linhas × 13 colunas. Aqui sim é uma tabela contínua (1 linha = 1 apontamento).
Granularidade (o que é 1 linha)
1 colaborador em 1 projeto em 1 data, com descrição e horas trabalhadas.
Colunas (e o que significam na prática)
Projeto: código INOVxxxxx (ex.: INOV00001, INOV00016 etc.)
Funcionário
Mês: 1–12 (e bate 100% com o mês da coluna Data)
Etapa: está 100% vazio (coluna existe, mas sem preenchimento)
Atividade realizada: classificação macro (ex.: Desenvolvimento, Pesquisa, Gestão e outros, Treinamento)
Descrição da atividade: texto livre (bem importante para evidência técnica)
Data: DD/MM/AAAA
Horas: HH:MM:SS
Horas decimais: número em pt-BR (ex.: “1,83”)
Projeto incentivado?: True/False (se o projeto é elegível/incentivado)
Atividade incentivada?: True/False (se aquela atividade específica entra como elegível)
Alterações\nDescrição da atividade: está 100% vazio (campo “reserva” para ajustes)
Dedicação: no arquivo inteiro está como Parcial
O que tem “dentro” (conteúdo real)
Mistura de apontamentos de pesquisa, desenvolvimento, treinamento e gestão.
As descrições incluem coisas como análise de resultados, testes piloto, acompanhamento de testes produtivos, reuniões técnicas, protocolos de pesquisa, deslocamentos etc.
Regras implícitas (e conexão direta com as outras abas)
Essa aba é a fonte das horas de PD&amp;I que aparecem nas demais:
Se você somar as horas decimais apenas quando:
Projeto incentivado? = True E
Atividade incentivada? = True
O total dá 792,42 horas, que bate com:
# Salários → “PD&amp;I time” por funcionário (os totais por pessoa ficam idênticos)
Pessoal (2) → “Horas efetivas (PD&amp;I)” (total anual ~792,41 por arredondamento)
RESUMO → total de horas da equipe (792:25:00)
E um detalhe bem relevante: dentro do que é elegível (projeto+atividade True), praticamente só aparece Pesquisa/Desenvolvimento/Treinamento — “Gestão e outros” não entra como elegível (fica fora por flag).
Nota de qualidade de dado (importante pra prompt/auditoria)
Existem 3 lançamentos com Data em 2024 (o resto é 2025).
1 deles (4h) está marcado como projeto+atividade incentivados, então ele entra na soma de horas elegíveis. Isso pode ser só ano digitado errado e vale revisar.
Como essa aba “Trabalho” se encaixa no mapa geral
Trabalho = evidência e base das horas (o “por quê” e “o que foi feito”).
# Salários = agrega essas horas por funcionário (PD&amp;I time / %).
Pessoal (2) = usa essas horas como “Horas efetivas (PD&amp;I)” para transformar em custo (salário+encargos → custo-hora → Total PD&amp;I).
RESUMO = consolida custo e calcula benefício fiscal.</t>
  </si>
  <si>
    <t>Cada linha é um apontamento: Projeto + Funcionário + Data + Horas + Descrição.
Campos importantes:
“Projeto incentivado?” (se o projeto entra no incentivo)
“Atividade incentivada?” (se aquele tipo de atividade entra)
“Horas decimais” é a forma mais fácil de somar.
Interpretação correta:
Para horas elegíveis de incentivo, some apenas quando:
Projeto incentivado? = True e
Atividade incentivada? = True
Essa soma alimenta:
“PD&amp;I time” da aba # Salários
“Horas efetivas (PD&amp;I)” da aba Pessoal (2)
Alerta de qualidade: você tem poucos registros com data em 2024; isso pode indicar digitação/ano incorreto e merece revisão.</t>
  </si>
  <si>
    <t>Pessoal</t>
  </si>
  <si>
    <t>O que é: detalhamento do custo de RH alocado a PD&amp;I, por projeto + funcionário + mês (timesheet/custeio por hora).
Tamanho: precisa contar a quantidade de linhas sempre × 22 colunas.
Granularidade (o que é 1 linha):
1 funcionário trabalhando em 1 projeto, em 1 mês de 2025.
Colunas (estrutura):
Chaves:
Projeto (INOV…)
Funcionário
Mês (1–12)
Ano (2025)
Perfil do colaborador:
Cargo
Formação
Base mensal de custo:
(A) Salário (valor cheio do mês)
(B) Encargos (calculado a partir do % de encargos)
(C) = (A) + (B)
Quebra de encargos em %: INSS Patronal, INSS Terceiros, INSS RAT/FAP, FGTS, 13º, Férias, e % total de encargos
Capacidade/horas:
Dias úteis
Horas nominais (ex.: 193,6; 184,8 etc.)
Horas trabalhadas
Horas efetivas (PD&amp;I) (o que realmente vira custo de PD&amp;I)
Custeio:
Custo hora (PD&amp;I) (= (C)/(Horas nominais))
Total PD&amp;I (= Custo hora × Horas efetivas)
Checagens implícitas (regras do próprio dado):
(B) Encargos ≈ (A) Salário × % total de encargos
Total PD&amp;I ≈ Horas efetivas (PD&amp;I) × Custo hora (PD&amp;I)
O total anual de RH PD&amp;I soma ~44.537,05, que é exatamente o que aparece no RESUMO.
Tipos de dado:
Salários/encargos em pt-BR, percentuais em texto (“63,40%”), horas com decimal e vírgula.</t>
  </si>
  <si>
    <t>Cada linha é: Funcionário + Projeto + Mês (2025), com:
salário do mês, encargos, custo total,
horas nominais / trabalhadas / efetivas (PD&amp;I),
custo-hora e total de PD&amp;I daquele mês.
O valor importante para PD&amp;I é “Total PD&amp;I” (custo alocado a PD&amp;I).
“Horas efetivas (PD&amp;I)” é o elo com a aba Trabalho (timesheet).
Checagens principais:
Total PD&amp;I ≈ Horas efetivas × Custo hora
Encargos ≈ Salário × % encargos
Somatório anual de Total PD&amp;I deve bater com:
#verificação RH
RESUMO (RH parcial)
Interpretação correta: essa aba responde “quanto custou RH de PD&amp;I (e por qual projeto/mês)”.</t>
  </si>
  <si>
    <t>Investimentos</t>
  </si>
  <si>
    <t>O que é: lista de dispêndios de terceiros (serviços, fornecedores) com rateio por projeto e identificação do que é “inovação/incentivado”.
Tamanho bruto do CSV: precisa contar as linhas e colunas sempre, mas ele tem linhas de metadados (não é só tabela).
Como esse CSV está organizado (muito importante)
Ele tem 3 linhas “especiais” antes dos lançamentos:
Linha de flags TRUE/FALSE (aparece em colunas de projetos): indica status por projeto (parece ser “incentivado?” por código).
Linha de totais gerais e totais por projeto:
Valor total ≈ 920.786,07
Valor Incentivado total ≈ 755.697,10
Totais por projeto (ex.: INOV00001 = 238.620,42, INOV00014 = 79.988,12, etc.)
Linha que contém os nomes das colunas (“Fornecedor”, “CNPJ”, … “INOV00001”, “INOV00003”, etc.)
Depois disso, vêm os 84 lançamentos (cada linha = 1 nota/dispêndio).
Colunas relevantes dos lançamentos
Dados do fornecedor/documento:
Fornecedor
CNPJ
Descrição
NF/ND
Valor (total do lançamento)
Data (DD/MM/AAAA)
Natureza (no seu arquivo, praticamente tudo aparece como “Serviços”)
Objetivo do gasto
Classificação de incentivo:
Inovação? (TRUE/FALSE)
Valor Incentivado (quando Inovação?=FALSE, aqui zera; no seu arquivo, FALSE soma 7.920,83 e incentiva 0,00)
Rateio:
Projeto e eventual info de rateio (às vezes “INOV00001|INOV00014”)
Count (quantidade de projetos no rateio; ex.: 2)
Colunas uma por projeto (INOV00001, INOV00003, …): já trazem o valor rateado por projeto (em geral, rateio igualitário: valor/Count).
Conf. val. rateio (parece ser um boolean de conferência da soma do rateio)
Uso típico: é a base para o Terceiros no RESUMO e para Total investido no cadastro de Projetos.</t>
  </si>
  <si>
    <t>Aqui estão os gastos com fornecedores/serviços (notas/dispêndios), com:
fornecedor, CNPJ, NF, data, valor, descrição e objetivo do gasto.
Existem duas leituras:
Valor total do lançamento (sempre preenche “Valor”).
Valor incentivado (só quando “Inovação? = TRUE”).
A parte mais importante é o rateio por projeto:
há uma coluna por projeto (INOVxxxxx) com o valor rateado,
“Count” indica em quantos projetos aquele gasto foi dividido,
“Conf. val. rateio” serve para conferir se a soma do rateio bate com o valor esperado.
Checagens principais:
Se Inovação? = FALSE → Valor Incentivado deve ser 0,00.
Soma de todos os valores rateados (colunas INOV…) deve bater com o Valor Incentivado (quando elegível).
Interpretação correta: essa aba responde “quais gastos de terceiros entram no incentivo e como foram distribuídos por projeto”.</t>
  </si>
  <si>
    <t>Dias úteis e Feriados</t>
  </si>
  <si>
    <t>O que é: aba de apoio/calendário: lista de feriados + tentativa de trazer dias úteis por mês (usado para horas nominais).
Tamanho: precisa contar sempre a quantiadade de linhas × 10 colunas.
O que aparece:
Colunas:
Data (data do feriado)
Descrição (Ano Novo, Carnaval, Tiradentes, etc.)
Unnamed: 2 (tipo: “Nacional” / “Facultativo”)
Mês, Ano, Início, Fim, Dias úteis, Tempo utíl
Mistura de conteúdos:
Há uma lista de feriados (todas as linhas têm Data e Descrição)
E há um bloco com “jan–jun/2025” preenchido em Mês/Ano/Início/Fim/Dias úteis (só 6 linhas têm esse trecho preenchido no CSV).
Tempo utíl aparece preenchido só em 1 linha (ex.: “2182:24:00”), com cara de campo vindo de Excel e possivelmente não diretamente interpretável como horas reais sem regra do Excel.
Observação prática: este CSV parece ter sido exportado de uma aba com células mescladas/estrutura visual; então ele é mais “base auxiliar” do que tabela transacional.</t>
  </si>
  <si>
    <t>Essa aba mistura lista de feriados com um bloco parcial de dias úteis por mês (pelo jeito, a exportação do Excel trouxe os blocos meio “quebrados”).
Use como fonte de apoio, não como base transacional:
Feriados: Data + Descrição + tipo (nacional/facultativo).
Dias úteis: mês, início/fim do mês, dias úteis (só alguns meses preenchidos no CSV).
Interpretação típica: alimentar “Horas nominais” (capacidade do mês) na aba Pessoal (2).
Se você for automatizar, trate esta aba como:
tabela de feriados separada OU
tabela de dias úteis separada
(porque hoje estão misturadas).</t>
  </si>
  <si>
    <t># Encargos folha</t>
  </si>
  <si>
    <t>O que é: tabela de alíquotas/percentuais de encargos por mês (INSS patronal, terceiros, RAT/FAP, FGTS etc.) usada para calcular encargos do RH.
Tamanho: 12 linhas × 8 colunas (1 por mês de 2025).
Colunas:
Período (01/2025 … 12/2025)
Aderência ao CPRB (A) (no seu arquivo: 0,00% em todos)
Aderência ao INSS (B) (20,00% em todos)
INSS adicional (C) (0,00% com CPRB zerado)
INSS Patronal (D) (= B + C)
INSS Terceiros (5,80%)
INSS RAT/FAP (varia: 3,00% no começo, 1,50% em vários meses, 3,87% no fim)
FGTS (8,00%)
Conexão: esses percentuais aparecem refletidos em INSS…/FGTS/13º/Férias/% total de encargos na aba Pessoal.</t>
  </si>
  <si>
    <t>É uma tabela de parâmetros: para cada mês, define as alíquotas:
INSS Patronal/terceiros/RAT-FAP, FGTS etc.
Serve para calcular o % total de encargos aplicado na aba Pessoal (2).
Interpretação correta:
não é “dado de gasto”, é regra de cálculo.
Checagem: se o RAT/FAP muda no mês, o % total de encargos no Pessoal (2) deve refletir isso.</t>
  </si>
  <si>
    <t># Salários</t>
  </si>
  <si>
    <t>O que é: base de salários por colaborador e métricas agregadas de dedicação a PD&amp;I (tempo e %).
Tamanho: sempre analisar a quantidade de linhas e colunas |  22 linhas × 20 colunas, mas nesse caso só ~9 linhas têm dados (o resto está vazio por causa do layout do Excel ou pelo fato de não ter informação mesmo).
Colunas:
Identificação:
ID, CPF, Funcionário
Perfil:
Formação
Função / Cargo
Salário por mês (jan–dez):
janeiro ... dezembro (valores em pt-BR; alguns meses em branco ou “-” quando não há salário)
Métricas de PD&amp;I:
PD&amp;I time (ex.: “215:30:00” = horas totais no ano dedicadas a PD&amp;I)
PD&amp;I (%) (ex.: “9,87%”)
Dedicação (no arquivo, aparece como “Parcial”)
Conexão: alimenta o custo mensal e perfil que aparece na aba Pessoal.</t>
  </si>
  <si>
    <t>Para cada funcionário, você tem:
salários por mês (jan–dez),
“PD&amp;I time” (total anual de horas em PD&amp;I),
“PD&amp;I (%)” (proporção do tempo),
“Dedicação” (no seu caso: Parcial).
Essa aba funciona como ponte:
Horas PD&amp;I por pessoa vêm do Trabalho
Salário mensal alimenta o custo mensal do Pessoal (2)
Checagens:
soma de “PD&amp;I time” por funcionário deve bater com a soma das horas (Trabalho) filtradas para elegível.
salários devem bater com a base salarial usada no Pessoal (2).</t>
  </si>
  <si>
    <t>#verificação RH</t>
  </si>
  <si>
    <t>"O que é: uma aba de conferência (tipo pivot) para validar RH.
Tamanho: sempre analisar a quantiadede de linhas e colunas | 9 linhas × 6 colunas (e aqui também tem “linhas de cabeçalho” dentro do corpo).
Conteúdo:
Traz por funcionário:
valores de 1º trimestre, 2º trimestre, 3º trimestre, 4º trimestre e Total.
A primeira linha mostra o Total geral por trimestre e o total anual:
Q1 6.559,97, Q2 9.124,11, Q3 10.836,30, Q4 18.016,68, Total 44.537,05.
Bate com:
RESUMO → linha “RH (Parcial inovação)”
Pessoal → soma anual do “Total PD&amp;I” (com variação só de arredondamento)."</t>
  </si>
  <si>
    <t>É um quadro de validação: soma o RH PD&amp;I por pessoa e por trimestre.
A linha “Total” mostra o RH PD&amp;I trimestral e anual.
Serve para confirmar que:
Pessoal (2) está somando correto por trimestre,
RESUMO está refletindo os mesmos totais.
Interpretação correta: “se essa aba não bate, tem erro de horas/custeio/encargos lá atrás”.</t>
  </si>
  <si>
    <t>Resumo dos investimentos</t>
  </si>
  <si>
    <t>BENEFÍCIO FISCAL DE PD&amp;I 2025</t>
  </si>
  <si>
    <t>PRODIET NUTRIÇÃO CLINICA LTDA</t>
  </si>
  <si>
    <t>CNPJ 08.183.359/0001-53</t>
  </si>
  <si>
    <t>2019-088 PRODIET</t>
  </si>
  <si>
    <t>Rua General Potiguara, 1428, Lotes 20 e 21, Novo Mundo - PR - SUL - CURITIBA - CEP 81.050-500 - fone: (41) 3342-2825</t>
  </si>
  <si>
    <t>Natureza</t>
  </si>
  <si>
    <t>TOTAL</t>
  </si>
  <si>
    <t>Material</t>
  </si>
  <si>
    <t>Terceiros</t>
  </si>
  <si>
    <t>RH (Parcial inovação)</t>
  </si>
  <si>
    <t>RH (Exclusivo inovação)</t>
  </si>
  <si>
    <t>Total</t>
  </si>
  <si>
    <t>Percentual Exclusão</t>
  </si>
  <si>
    <t>Exclusão da Base de cálculo do IRPJ e CSLL</t>
  </si>
  <si>
    <t>Economia Estimada [34%]</t>
  </si>
  <si>
    <t>Comissão Taticca</t>
  </si>
  <si>
    <t>Observações:</t>
  </si>
  <si>
    <t>1. Os dispêndios devem ser registrados na contabilidade em conta específica</t>
  </si>
  <si>
    <t>2. O benefício deve ser aproveitado na ECF do respectivo ano/competência</t>
  </si>
  <si>
    <r>
      <rPr>
        <rFont val="Cairo"/>
        <color rgb="FF000000"/>
        <sz val="9.0"/>
      </rPr>
      <t>3. O formulário do MCTIC (governo) deve ser enviado até fim de</t>
    </r>
    <r>
      <rPr>
        <rFont val="Cairo"/>
        <b/>
        <color rgb="FF000000"/>
        <sz val="9.0"/>
      </rPr>
      <t xml:space="preserve"> AGOSTO/2026</t>
    </r>
  </si>
  <si>
    <t>4. Evidências de PD&amp;I devem ser anexadas no FORM MCTIC</t>
  </si>
  <si>
    <t>5. Alguns benefícios previstos na Lei do Bem não foram utilizados:</t>
  </si>
  <si>
    <t>--- 5.1. Depreciação acelerada</t>
  </si>
  <si>
    <t>--- 5.2. Redução de IPI na aquisição de equipamento para PD&amp;I</t>
  </si>
  <si>
    <t>Equipe de PD&amp;I</t>
  </si>
  <si>
    <t>Quadro de resumo</t>
  </si>
  <si>
    <t>Dedicação Parcial</t>
  </si>
  <si>
    <t>Dedicação Exclusiva</t>
  </si>
  <si>
    <t>Qtd</t>
  </si>
  <si>
    <t>Valor gasto</t>
  </si>
  <si>
    <t>Horas</t>
  </si>
  <si>
    <t>Técnico</t>
  </si>
  <si>
    <t>-</t>
  </si>
  <si>
    <t>Não determinado</t>
  </si>
  <si>
    <t>Superior Incompleto</t>
  </si>
  <si>
    <t>Superior Completo</t>
  </si>
  <si>
    <t>Pós graduado</t>
  </si>
  <si>
    <t>Mestrado</t>
  </si>
  <si>
    <t>Doutorado</t>
  </si>
  <si>
    <t>Valores por projeto de PD&amp;I</t>
  </si>
  <si>
    <t>Vlr materiais</t>
  </si>
  <si>
    <t>Vlr terceiros</t>
  </si>
  <si>
    <t>Vlr Rh parcial</t>
  </si>
  <si>
    <t>Vlr exclusivos</t>
  </si>
  <si>
    <t>Subtotais</t>
  </si>
  <si>
    <t>Projeto</t>
  </si>
  <si>
    <t>Elemento tecnologicamente novo ou inovador</t>
  </si>
  <si>
    <t>Barreira ou desafio tecnológico a superar</t>
  </si>
  <si>
    <t>Metodologia empregada</t>
  </si>
  <si>
    <t>Data início</t>
  </si>
  <si>
    <t>Data de término (estimada)</t>
  </si>
  <si>
    <t>Attach</t>
  </si>
  <si>
    <t>Incentivado?</t>
  </si>
  <si>
    <t>Total investido</t>
  </si>
  <si>
    <t>Total Help Desk</t>
  </si>
  <si>
    <t>INOV000001 (2018 - RETORT)</t>
  </si>
  <si>
    <t>Desenvolvimento experimental</t>
  </si>
  <si>
    <t xml:space="preserve">O objetivo é atuar num mercado que demanda 50% da Nutrição Enteral, mercado este que a Prodiet não atende com sua linha atual. </t>
  </si>
  <si>
    <t xml:space="preserve">Atualmente a Prodiet somente comercializa produtos em pó ou líquidos UHT, portanto, a tecnologia de processo de tratamento térmico em autoclave se mostra como um elemento inovador.		</t>
  </si>
  <si>
    <t>O principal desafio do projeto Retort é entender uma tecnologia diferenciada e implantar uma área fabril do zero, garantindo a estabilidade e esterilidade comercial do produto durante toda sua vida de prateleira, após aplicação de temperaturas mais brandas (em comparação ao processo UHT), conciliada com maiores tempos de permanência durante o tratamento térmico e correlacionando com a tecnologia de embalagens (também sendo inovação para a Prodiet). Concomitante a isso, buscar e desenvolver um possível copacker para otimizar o tempo de lançamento dos produtos.</t>
  </si>
  <si>
    <t>Por meio de consultorias e estudos, a Prodiet for e continua em busca do conhecimento para implantar uma nova estrutura para Sistema Fechado. O objetivo da consultoria para as formulações foi trazer as pesquisas sobre possibilidades de locais para realização dos teste em planta piloto, expôr seu conhecimento e prática a este processo e contatar fornecedores de embalagens/prestadores de serviços relacionados ao projeto. Simultaneamente, foram e estão sendo realizados estudos aprofundados sobre a nova tecnologia (tanto no quesito produto, quanto processo, equipamentos e embalagem), em conjunto com as diversas áreas da empresa, como Científico, Assuntos Regulatórios, Qualidade, Manutenção e Produção. Além disso, a partir de 2020 foi contratada uma consultoria para a parte de Engenharia, que está auxiliando com os estudos na implantação da nova fábrica (estrutural e de equipamentos/processos).</t>
  </si>
  <si>
    <t>INOV00001</t>
  </si>
  <si>
    <t>INOV000004 (2019 - CICATRIZAÇÃO)</t>
  </si>
  <si>
    <t>Produto voltado para cicatrização, desde pós-operatórios, como prevenção ou tratamento de lesões por pressão.</t>
  </si>
  <si>
    <t xml:space="preserve">A fórmula para cicatrização tem como objetivo oferecer uma combinação de nutrientes inovadora para cicatrização. Os produtos usualmente indicados no ambiente hospitalar são produtos líquidos, e nós desenvolvemos um produto na versão pó com o intuito de melhor o custo-benefício aos pacientes.		</t>
  </si>
  <si>
    <t xml:space="preserve">O desafio neste caso é desenvolver um produto que apresente sensorial agradável considerando a combinação de nutrientes com alto residual como aminoácidos isolados presentes no produto bem como o colágeno hidrolisado. Dentre os vários nutrientes avaliados a preocupação era encontrar um ingrediente que apresentasse estabilidade no processamento térmico, e que pudesse ser submetido ao processo UHT.		</t>
  </si>
  <si>
    <t xml:space="preserve">Por meio de pesquisa e de contatos com profissionais, a Prodiet tem buscado realizar o desenvolvimento de uma fórmula viável e que atenda aos requisitos nutricionais e sensoriais desejados. O contato com fornecedores a fim de compreender o comportamento das matérias primas selecionadas, o conhecimento de estudos já realizados com estas matérias primas.							</t>
  </si>
  <si>
    <t>INOV00004</t>
  </si>
  <si>
    <t xml:space="preserve">INOV000006 (2019 - ARTESANAL) </t>
  </si>
  <si>
    <t xml:space="preserve">Desenvolver um produto inovador no mercado brasileiro, visto que não há produto semelhante, com o objetivo de complementar a dieta enteral artesanal, com ótima relação custo/benefício. </t>
  </si>
  <si>
    <t>O desenvolvimento de uma fórmula com alimentos e que atendam uma demanda específica que ainda não é atendida no mercado brasileiro. O elemento inovador é uma proposta (formulação) totalmente inovadora.</t>
  </si>
  <si>
    <t xml:space="preserve">Os desafios são as novas matérias primas, que são alimentos liofilizados, até então não trabalhados previamente, que apresentam uma composição nutricional muito variável, dificultanto assim a seleção de MPs que correspondam ao desenho nutricional desejado. Além disso, o desenvolvimento de um produto que atenda a demanda nutricional do público em uso de nutrição enteral artesanal, com sensorial final neutro, com solubilidade adequada para nutrição enteral, também são barreiras para este desenvolvimento. </t>
  </si>
  <si>
    <t>Foi realizado estudo com os principais nutrientes deficientes na dieta artesanal ofertada aos indivíduos em uso de nutrição enteral artesanal. Além disso, foi realizada análise da composição de produtos com ingredientes in natura, bem como análise sensorial. O estudo de novas MP’s foi conduzidos por Científico e P&amp;D, mas os primeiros testes de bancada não foram satisfatórios com relação à presença de grânulos e à neutralidade de sabor, apresentando sabor residual desagradável. No momento, P&amp;D está realizando novos estudos de MP’s em parceria com os fornecedores.</t>
  </si>
  <si>
    <t>INOV00006</t>
  </si>
  <si>
    <t>INOV000010</t>
  </si>
  <si>
    <t>INOV00010</t>
  </si>
  <si>
    <t>INOV000013 (2021 - SACHÊ A VÁCUO)</t>
  </si>
  <si>
    <t>Aplicar o uso do vácuo no envase dos produtos em pó do portfólio atual Prodiet, com o intuito de estudar se a embalagem mantém o vácuo ao longo do shelf-life, bem como auxiliar a manter as suas características nutricionais e sensoriais, em comparação às embalagens atuais (potes e latas).</t>
  </si>
  <si>
    <t>Nos dias atuais, os produtos em pó são fabricados em embalagens plásticas rígidas (potes), latas de alumínio e embalagens plásticas flexíveis (sachês). A embalagem a vácuo não é utilizada para o envase de nutrição enteral no mercado nacional.</t>
  </si>
  <si>
    <t>O principal desafio é entender como o mercado nacional irá reagir ao novo tipo de embalagem para Nutrição Enteral. Além disso, atender à limitação fabril, considerando o investimento em novos equipamentos e em uma nova linha de processo, bem como atender ao preço de venda competitivo.</t>
  </si>
  <si>
    <t>Busca de fornecedores de embalagens que suportem o vácuo, e de fornecedores de equipamentos com a tecnologia adequada para o envase e selagem dos produtos a vácuo. Realização de um piloto industrial em fornecedor parceiro.</t>
  </si>
  <si>
    <t>INOV00013</t>
  </si>
  <si>
    <t>INOV000014 (2021 - ENERGYZIP 25%)</t>
  </si>
  <si>
    <t>O projeto visa permitir maior abertura para Prodiet no mercado público e privado. Desenvolver suplemento hipercalórico e hiperproteico líquido, uma vez que hoje não há este produto em portfolio e existe demanda cada vez maior por suplementos hiperproteicos no mercado.  Acompanhar o lançamento da linha de sistema fechado, tendo um produto que acompanha um mix de vendas para hospitais.  Produto que seja competitivo também para processos públicos, bem como para o mercado internacional</t>
  </si>
  <si>
    <t xml:space="preserve">A inovação desse produto é, justamente, o aumento no teor de proteína em relação ao produto de linha. A produção desse produto possibilitará um ganho de mercado, tanto em relação a competição com alguns suplementos, quanto para fórmulas enterais que necessitem de um aporte mais expressivo de proteínas.	</t>
  </si>
  <si>
    <t>O principal desafio no desenvolvimento dessa fórmula está na estabilização proteica/estrutural da fórmula. O aumento do teor de proteína acarreta um aumento expressivo da viscosidade. A viscosidade alta em fórmulas enterais é responsável por dificuldades de administração.</t>
  </si>
  <si>
    <t xml:space="preserve">Testar desenvolvimento de fórmula com maior teor de proteínas em teste piloto.			</t>
  </si>
  <si>
    <t>INOV00014</t>
  </si>
  <si>
    <t>INOV000016 (2018 - LINHA TROPHIC SOYA LÍQUIDO)</t>
  </si>
  <si>
    <t>Este projeto tem como objetivo aumentar o portfólio da linha 100% Soja, com produto de maior perfil proteico e fibras, atendendo a consumidores com alergias alimentares às protéinas do leite.</t>
  </si>
  <si>
    <t xml:space="preserve">Produto de alto teo proteico e adição de fibras sem proteínas de leite.		</t>
  </si>
  <si>
    <t xml:space="preserve">O desafio principal deste desenvolvimento é a estabilização da fórmula, devido ao aumento no teor de proteína para 1.5 kcal/mL e acréscimo de Fibras, o que acarretam em uma alta viscosidade do produto, responsável por dificuldades de administração do mesmo.		</t>
  </si>
  <si>
    <t xml:space="preserve">Realização de Testes Pilotos UHT e Avaliação de Estudos de Estabilidade da fórmula para que o produto atinja os parâmetros necessários para a comercialização.			</t>
  </si>
  <si>
    <t>INOV00016</t>
  </si>
  <si>
    <t>INOV000017 (2020 - LINHA TROPHIC SOYA PÓ)</t>
  </si>
  <si>
    <t xml:space="preserve">O objetivo é expandir a linha guarda-chuva Soya, desenvolvendo produtos em pó para nutrição enteral e oral para público adulto, com foco em editais de licitação. 		</t>
  </si>
  <si>
    <t>Até o momento, a linha Soya foi desenvolvida somente para produtos líquidos. Diferente dos demais produtos pó do portfólio Prodiet, a Linha Soya pó possuirá 80% das proteínas de origem vegetal (soja) e somente 20% proteína animal.</t>
  </si>
  <si>
    <t>Devido a composição dos produtos Linha Soya conterem 80% de proteína de soja, MP com sabor residual bastante presente, o maior desafio é desenvolver um produto de administração enteral mas também oral, com sabor agradável, palatável, aplicando aromas com função satisfatória de mascarar a proteína e economicamente viável. Por ser um produto para licitação, o maior desafio é o custo competitivo do produto, que por possui óleos em pó apresenta custo elevado.</t>
  </si>
  <si>
    <t xml:space="preserve">Atualmente as gorduras tem maior impacto no custo do produto, desta forma estão sendo buscadas alternativas para alteração de gorduras em pó, como óleo líquido que possui menor valor. Para melhor solubilidade, aspecto e sabor do produto, a possibilidade junto a fornecedor parceiro, é de realizar uma mistura de proteínas+carboidrato+óleo liquido obtidas por spray dryer. Também estão sendo realizados testes de bancada de adsorção do óleo líquido através da maltodextrina de tapioca, ainda a terceira opção é revisão da fórmula e substituição da proteína láctea por fonte mais barata. 							</t>
  </si>
  <si>
    <t>INOV00017</t>
  </si>
  <si>
    <t>INOV000022 (2021 - PESQUISA CLÍNICA - INSTANTH NEO)</t>
  </si>
  <si>
    <t>Pesquisa aplicada</t>
  </si>
  <si>
    <t>Determinar se o uso de Instanth Neo por 6 meses em pacientes acima dos 60 anos, com diagnóstico de CCL por DA é capaz de interferir no desempenho cognitivo, medido por testes neuropsicológicos.</t>
  </si>
  <si>
    <t xml:space="preserve">Suplemento alimentar com combinação patenteada de nutrientes: ácido cáprico, caprílico, fosfatidilserina, DHA e vitaminas e minerais. A patente foi concedida para esta combinação visando a suplementação na doença de Alzheimer, o qual é objetivo das pesquisas em andamento. </t>
  </si>
  <si>
    <t xml:space="preserve">- Com relação ao produto Instanth Neo: Instanth Neo por sua especificidade da composição (90% lipídios) necessita o envase com nitrogênio, a fim de evitar a oxidação da formulação. Desta forma, será envasado em um terceiro. Este é um dos desafios tecnológicos na produção do Instanth Neo (seja para pesquisa, seja para produção comercial). - Com relação as pesquisas: O principal desafio é o cenário atual, da pandemia, que está atrasando consideravelmente o andamento da pesquisa clínica, que estava prevista para iniciar em 2021. Ainda, o protocolo do estudo é robusto e requer parcerias dentro da universidade para que o desenho do estudo aconteça de forma satisfatória. </t>
  </si>
  <si>
    <t xml:space="preserve">Parceria UNIFESP: Eficácia do produto AZ2021 no desfecho cognitivo de pacientes com Comprometimento Cognitivo Leve por provável Doença de Alzheimer: estudo randomizado duplo cego controlado por placebo.							</t>
  </si>
  <si>
    <t>INOV00022</t>
  </si>
  <si>
    <t>INOV000023 (2021 - PESQUISA CLÍNICA - DIAMAX IG)</t>
  </si>
  <si>
    <t>Comprovar os benefícios e segurança de uso do produto DiamaxIG em amostra com Diabetes Mellitus tipo 2 e apresentar os resultados encontrados em forma de abstracts em congressos e artigos científicos.</t>
  </si>
  <si>
    <t>O uso de fórmula especializada para controle glicêmico pode reduzir a variabilidade glicêmica, principal objetivo das pesquisas atualmente pelo grande impacto na saúde de pessoas com diabetes.</t>
  </si>
  <si>
    <t>Risco da pesquisa não apresentar resultados satisfatórios no quesito redução da variabilidade glicêmica em indivíduos com diabetes mellitus tipo 2.</t>
  </si>
  <si>
    <t>Controlar possíveis vieses de pesquisa por meio de protocolo bem estabelecido.  A variabilidade glicemica será avaliada por meio de sensor de monitoramento continuo de glicose, o mais atual método de quantificação.</t>
  </si>
  <si>
    <t>INOV00023</t>
  </si>
  <si>
    <t>INOV000024 (2021 - ESTUDO DE CASO)</t>
  </si>
  <si>
    <t xml:space="preserve">Pesquisa básica	</t>
  </si>
  <si>
    <t xml:space="preserve">A realização de estudos de caso (EC) permite à empresa comprovar os benefícios e segurança de uso dos produtos, agregar maior participação na comunidade cientifica pela parceria com os profissionais, além apresentar os resultados encontrados em forma de abstracts em congressos e/ou artigos científicos.	</t>
  </si>
  <si>
    <t>Os estudos de caso permitem que tenhamos resultados clínicos divulgados de maneira cientifica (divulgação em congressos de peso na área de nutrição enteral) com um menor investimento financeiro e maior agilidade</t>
  </si>
  <si>
    <t xml:space="preserve">O principal risco dos estudos de caso prospectivos, quando o estudo ainda irá ocorrer, se dá pela possibilidade de não obter o resultado esperado na conduta clínica, por não haver tantos controles de vieses e o risco de não ser aceito para publicação e/ou apresentação pelo menor peso cientifico, sendo este também aplicável para os estudos retrospectivos.		</t>
  </si>
  <si>
    <t xml:space="preserve">A publicação de um relato de caso é a escrita de um caso clínico e evolução sobre o uso de determinado produto do portifolio conforme interesse manisfastado pelo profissional que o acompanha e a empresa. Os estudos de caso podem ser realizados de forma prospectiva, por meio da doação de produtos à profissionais ou de maneira retrospectiva, por levantamento de dados de um caso já finalizado. 							</t>
  </si>
  <si>
    <t>INOV00024</t>
  </si>
  <si>
    <t>INOV000025 (2022 - TETRA PAK SF)</t>
  </si>
  <si>
    <t>Comercializar a atual embalagem cartonada no uso de Sistema Fechado, sem haver a necessidade de transferência para o frasco de administração</t>
  </si>
  <si>
    <t>Tampa da embalagem cartonada deve ser adaptada para que o equipo possa ser conectado.</t>
  </si>
  <si>
    <t>Aceitação do mercado, tendo em vista que a embalagem cartonada não possui uma janela para controle da administração.</t>
  </si>
  <si>
    <t>Desenvolver junto ao marketing uma tampa específica para a embalagem cartonada que permita que o equipo seja fixado conforme no frasco.</t>
  </si>
  <si>
    <t>INOV00025</t>
  </si>
  <si>
    <t>INOV000026</t>
  </si>
  <si>
    <t>INOV00026</t>
  </si>
  <si>
    <t>INOV000027 (2022 - PROJETO PESQUISA BÁSICA)</t>
  </si>
  <si>
    <t>Pesquisa básica</t>
  </si>
  <si>
    <t>A realização de pesquisas clínicas permite à empresa comprovar os benefícios e segurança de uso dos produtos, agregar maior participação na comunidade cientifica pela parceria com as universidades, além apresentar os resultados encontrados em forma de abstracts em congressos e/ou artigos científicos.</t>
  </si>
  <si>
    <t>A participação em congressos com estudos científicos bem como o entendimento dos conteúdos e pesquisas recentes sobre possibilidades de intervenções nutricionais nos permitem a avaliação de possibilidades de desenvolvimento de novos produtos, embasando a inovação.</t>
  </si>
  <si>
    <t>Há congressos nacionais  internacionais com diversos temas, sendo uma das barreiras o entendimento e alinhamento dos conteúdos que possam embasar as inovações que desejamos. Além disso, a participação com pesquisas em congressos é um dos objeivos da Prodiet, contribuindo sempre para a inovação e possibilidades de melhoria de produtos.</t>
  </si>
  <si>
    <t>O planejamento e entendimento das palestras/estudos e conteúdos compartilhados é uma das estratégias para se obter o acesso às pesquisas com maior assertividade. Além disso, a programação prévia das nossas pesquisas para os congressos nacionais e internacionais, tendo em vista as datas limites para submissão à congresso são estratégias.</t>
  </si>
  <si>
    <t>INOV00027</t>
  </si>
  <si>
    <t>INOV000028 (2021 - PESQUISA APLICADA - RESULTADOS P&amp;D)</t>
  </si>
  <si>
    <t>Obter dados para construção de uma base de dados sólidas e possuir literatura reconhecida cientificamente, a ser utilizada como referência para análise estatística de dados analíticos obtidos, para alimentos para nutrição enteral e suplementos alimentares.</t>
  </si>
  <si>
    <t>Literatura científica que poderá ser utilizada como base para avaliação de dados analíticos em alimentos e suplementos alimentares, que atualmente não existe equivalente.</t>
  </si>
  <si>
    <t>Não aceitação do artigo por periódico científico</t>
  </si>
  <si>
    <t>Captação de dados: realização de testes pilotos para obtenção de valores de concentração de nutrientes nos produtos em tempo inicial e após armazenamento por tempo determinado para construção de banco de dados. Análise dos resultados armazenados no banco de dados. Elaboração do esboço do documento que será publicado, seguido de levantamento de referências bibliográficas. Após elaboração do esboço será elaborado um artigo. Após aprovação interna, o mesmo será submetido a publicação em periódico científico</t>
  </si>
  <si>
    <t>INOV00028</t>
  </si>
  <si>
    <t>INOV000029 (2021 - PESQUISA CLÍNICA - HDMAX)</t>
  </si>
  <si>
    <t>Agregar à comunidade científica conhecimento sobre os efeitos da suplementação especializada em pacientes dialíticos</t>
  </si>
  <si>
    <t xml:space="preserve">Esta pesquisa clínica tem como inovação a avaliação de parâmetros de composição corporal, funcionalidade e qualidade de vida entre pacientes idosos em hemodiálise suplementados durante a diálise. A inovação está nos parâmetros a serem avaliados e no público de avaliação.	</t>
  </si>
  <si>
    <t xml:space="preserve">A impossibilidade de conduzir uma pesquisa que envolvesse este público, considerando todos os processos requeridos para uma pesquisa.	</t>
  </si>
  <si>
    <t>O contato com profissionais que atuam na área de pesquisa com pacientes em hemodiálise é a principal metodologia para lidar com a barreira da pesquisa.</t>
  </si>
  <si>
    <t>INOV00029</t>
  </si>
  <si>
    <t>INOV00032</t>
  </si>
  <si>
    <t>INOV000035 (2023 - PESQUISA CLÍNICA - CICATRIZAÇÃO)</t>
  </si>
  <si>
    <t>Avaliar o impacto do uso do suplemento em pó para cicatrização no tempo de cicatrização e evolução da ferida.</t>
  </si>
  <si>
    <t>Combinação de peptidios de colageno, arginina, a micronutrientes chave para cicatrização, e isomaltulose para controle glicêmico.</t>
  </si>
  <si>
    <t>Possibilidade de não obter o resultado esperado na conduta clínica.</t>
  </si>
  <si>
    <t xml:space="preserve">Doação de produto investigacional, consultoria ténica, análise de biomarcadores e escalas clínicas.	</t>
  </si>
  <si>
    <t>INOV00035</t>
  </si>
  <si>
    <t>INOV000036 (2023 - PESQUISA APLICADA - ARTESANAL)</t>
  </si>
  <si>
    <t>Avaliar composição físico-químicas de dietas enterais artesanais com e sem uso de suplementação específica, por meio de análises laboratoriais</t>
  </si>
  <si>
    <t>Utilização de elementos presentes em dietas artesanais com oferta de micronutrietes e segurança</t>
  </si>
  <si>
    <t>Não observar diferenças significativas na composição físico-química de dietas enterais artesanais com e sem uso de suplementação específica.</t>
  </si>
  <si>
    <t>Análise química de calorias, proteínas, carboidratos, gorduras, fibras, ferro, cobre, cromo, ácido fólico, ácido pantotênico e colina</t>
  </si>
  <si>
    <t>INOV00036</t>
  </si>
  <si>
    <t>INOV000037 (2023 - PESQUISA CLÍNICA - IMMAX)</t>
  </si>
  <si>
    <t xml:space="preserve">Comprovar os benefícios e segurança de uso do produto Immax em amostra de indivíduos com câncer colorretal e apresentar os resultados encontrados em forma de abstracts em congressos e artigos científicos. </t>
  </si>
  <si>
    <t>O uso de fórmula especializada para pacientes oncológicos  pode reduzir a perda e/ou estimular o aumento de massa muscular , principal objetivo das pesquisas atualmente pelo grande impacto na saúde e qualidade de vida de pessoas com câncer.</t>
  </si>
  <si>
    <t>Risco da pesquisa não apresentar resultados satisfatórios no quesito redução da perda e/ou aumento de massa muscular em indivíduos com cancer colorretal.</t>
  </si>
  <si>
    <t xml:space="preserve">Controlar possíveis vieses de pesquisa por meio de protocolo bem estabelecido.  A massa muscular será avaliada por meio de densitometria óssea, um dos mlhores métodos de quantificação sem exposição à radiação.		</t>
  </si>
  <si>
    <t>INOV00037</t>
  </si>
  <si>
    <t>INOV00038</t>
  </si>
  <si>
    <t>INOV000039 (2023 - PESQUISA ÍNDICE GLICÊMICO - DIAMAX IN / SF UTI)</t>
  </si>
  <si>
    <t>Determinar o Indice glicemico de 2 fórmulas especializadas</t>
  </si>
  <si>
    <t>Fórmulas especializadas com baixo indice glicemico apresentam beneficios para pacientes com diabetes melittus e hiperglicemia por estresse. A comprovação do baixo indice glicemico destas formulas embasaria a prescrição para estes grupos populacionais.</t>
  </si>
  <si>
    <t>Risco das fórmulas não apresentarem resultados satisfatórios de baixo indice glicemico</t>
  </si>
  <si>
    <t>Controlar possíveis vieses de pesquisa por meio de protocolo bem estabelecido.  Adeterminação do indice glicemico será relizada no centro de referência no Brasil para este tipo de pesquisa e seguirá os protocolos recomendados na literatura.</t>
  </si>
  <si>
    <t>INOV00039</t>
  </si>
  <si>
    <t>INOV000041 (2023 - PROTEÍNA LÍQUIDA)</t>
  </si>
  <si>
    <t>Desenvolver módulo de proteína líquido para produção própria, em processo retort, que forneça o mínimo de aminoácidos segundo a RDC 21/2015, com menor volume, para uso em hospitais.</t>
  </si>
  <si>
    <t>Módulo líquido próprio, inovador para o mercado brasileiro, na categoria de Nutrição Enteral.</t>
  </si>
  <si>
    <t>Não atingimento da estabilidade da formulação, devido ao tratamento térmico agressivo em autoclave. Se atingida a estabilidade: desestabilização da formulação ao longo do shelf-life, devido à alta concentração proteica em baixo volume.</t>
  </si>
  <si>
    <t>Estudo da estabilidade de emulsões de proteínas, para fazer a combinação que atenda ao perfil de aminoácidos conforme o direcinal do Briefing do Científico. Aplicação das formulações com tratamento térmico em autoclave.</t>
  </si>
  <si>
    <t>INOV00041</t>
  </si>
  <si>
    <t>INOV00046 (2023 - PEPTIMAX IBD)</t>
  </si>
  <si>
    <t>Desenvolver um novo produto voltado para nutrição em estados de inflamação intestinal. Crescente demanda de mercado deste tipo de produto com fator bioativo TGF beta 2</t>
  </si>
  <si>
    <t>A inovação deste produto está na presença do fator TGF beta-2 na composição além da combinação de aminoácido livre e proteína hidrolisada, fatores que desafiam o desenvolvimento sensorial.</t>
  </si>
  <si>
    <t>Desenvolver um produto que apresente sensorial agradável considerando a combinação de nutrientes com alto residual, além de identificar por meio de análises laboratoriais a presença e teor de TGF beta 2 nas matérias primas do produto e selecionar processo industrial que permita a presença deste ativo.</t>
  </si>
  <si>
    <t>Por meio de pesquisas sobre o fator TGF beta 2 tem se buscado entender os métodos de análise laboratorias e de processos industriais para este desenvolvimento, além de possibilidades de contatar pesquisadores da área para possível consultoria em relação à este tema. Em relação ao desafio sensorial, a Prodiet busca continuamente parceria com empresas de aromas a fim de desenvolver alternativas que garatam melhor palatabilidade.</t>
  </si>
  <si>
    <t>INOV00046</t>
  </si>
  <si>
    <t>INOV00047 (2024 - PEPTÍDICA JUNIOR LÍQUIDA)</t>
  </si>
  <si>
    <t>Desenvolver uma fórmula oligomérica para pediatria (1 a 10 anos), líquida. Competitivo com mercado nacional e internacional.</t>
  </si>
  <si>
    <t>A inovação desse produto é construir uma linha para o mercado de 1-10 anos com diversidade de apresentação e fórmula.</t>
  </si>
  <si>
    <t>Desenvolver produto pediátrico com proteína hidrolisada com sensorial ideal para aceitação do publico e/ou que apresente boa resistência térmica, garantindo estabilização proteica e estrutura da fórmula</t>
  </si>
  <si>
    <t>Testar desenvolvimento de fórmula com estabilidade proteica.</t>
  </si>
  <si>
    <t>INOV00047</t>
  </si>
  <si>
    <t>INOV00049 (2024 - PESQUISA CLÍNICA PROTEIN PT WHEY)</t>
  </si>
  <si>
    <t>Avaliar a melhoria da massa muscular de mulheres obesas com câncer de mama em tratamento quimioterápico que receberam suplementação nutricional com whey protein isolado (WPI - ProteinPT Whey).</t>
  </si>
  <si>
    <t>Avaliar efeitos de suplementação e benefícios do protein pt whey em público vulnerável.</t>
  </si>
  <si>
    <t xml:space="preserve">Não atender aos objetivos esperados da pesquisa.	</t>
  </si>
  <si>
    <t>Trata-se de um estudo epidemiológico prospectivo experimental aberto que visa investigar se
existe diferença entre a utilização do suplemento nutricional WPI associado ao
aconselhamento nutricional quando comparado apenas ao aconselhamento nutricional no que
diz respeito à mudança da composição corporal e controle dos efeitos colaterais do tratamento
quimioterápico em mulheres obesas portadoras de câncer de mama.</t>
  </si>
  <si>
    <t>INOV00049</t>
  </si>
  <si>
    <t>INOV00050 (2024 - PESQUISA APLICAÇÃO MICROBIOLOGIA)</t>
  </si>
  <si>
    <t>Avaliar o comportamento microbiológico dos produtos da Prodiet Medical Nutrition, durante a administração em sistema aberto e sistema com adaptador de conexão direta ao equipo</t>
  </si>
  <si>
    <t>Avaliar segurança microbiológica em produto com sistema de admnistração inovador.</t>
  </si>
  <si>
    <t>Aceitação do mercado, tendo em vista que a embalagem cartonada não possui uma janela para controle da administração e não conformidade microbiológica.</t>
  </si>
  <si>
    <t>Estudo em laboratório de qualidade.</t>
  </si>
  <si>
    <t>INOV00050</t>
  </si>
  <si>
    <t>INOV00052 (2024 - DIAMAX 1.5)</t>
  </si>
  <si>
    <t>Desenvolver dieta enteral líquida para controle glicêmico hipercalórico e hiperproteico</t>
  </si>
  <si>
    <t>Desenvolver um produto específico para controle glicêmico para a venda no mercado hospitalar, com aumento do teor calórico e proteico, seguindo a linha Diamax já existente em portifólio.</t>
  </si>
  <si>
    <t>"O principal desafio no desenvolvimento dessa fórmula está na estabilização proteica/estrutural da fórmula. O aumento do teor de proteína acarreta um aumento expressivo da viscosidade. A viscosidade alta em fórmulas enterais é responsável por dificuldades de administração."</t>
  </si>
  <si>
    <t>Entendimento dos ultimos guidelines e evidencias de alimentação para publico com diabetes e hiperglicemia por estresse. Testar desenvolvimento de fórmula com maior teor de proteínas em teste piloto.</t>
  </si>
  <si>
    <t>INOV00051</t>
  </si>
  <si>
    <t>Funcionário</t>
  </si>
  <si>
    <t>Mês</t>
  </si>
  <si>
    <t>Etapa</t>
  </si>
  <si>
    <t>Atividade realizada</t>
  </si>
  <si>
    <t>Descrição da atividade</t>
  </si>
  <si>
    <t>Data</t>
  </si>
  <si>
    <t>Horas decimais</t>
  </si>
  <si>
    <t>Projeto incentivado?</t>
  </si>
  <si>
    <t>Atividade incentivada?</t>
  </si>
  <si>
    <r>
      <rPr>
        <rFont val="Cairo"/>
        <b/>
        <color rgb="FFFFFFFF"/>
        <sz val="10.0"/>
      </rPr>
      <t xml:space="preserve">Alterações
</t>
    </r>
    <r>
      <rPr>
        <rFont val="Cairo"/>
        <b/>
        <i/>
        <color rgb="FFFFFFFF"/>
        <sz val="8.0"/>
      </rPr>
      <t>Descrição da atividade</t>
    </r>
  </si>
  <si>
    <t>Dedicação</t>
  </si>
  <si>
    <t>Ana Paula Biz</t>
  </si>
  <si>
    <t>Pesquisa</t>
  </si>
  <si>
    <t>Análise do resultados de vitaminas e minerais.</t>
  </si>
  <si>
    <t>Análise de dados, pesquisa científica e escrita de artigo.</t>
  </si>
  <si>
    <t>Parcial</t>
  </si>
  <si>
    <t>Desenvolvimento</t>
  </si>
  <si>
    <t>Alinhamento do projeto Peptimax IBD com foco na quantificação do TGF-beta2</t>
  </si>
  <si>
    <t>INOV00040</t>
  </si>
  <si>
    <t>Análise dos resultados de macronutrientes,</t>
  </si>
  <si>
    <t>INOV00045</t>
  </si>
  <si>
    <t>Deslocamento Curitiba - SP para visita em fábrica de premix colina, e visita à fábrica de premix colina.</t>
  </si>
  <si>
    <t>Deslocamento SP - Curitiba, retorno da visita em fábrica de premix colina</t>
  </si>
  <si>
    <t>Elaboração do relatório de visita a uma empresa de mix colina.</t>
  </si>
  <si>
    <t>Alinhamento sobre o projeto mix colina - área produtiva.</t>
  </si>
  <si>
    <t>Estudo e preenchimento dos documentos referente ao Projeto Mix Colina</t>
  </si>
  <si>
    <t>Estudo e preenchimento dos documentos referente ao Projeto Mix Colina e alihamento do projeto.</t>
  </si>
  <si>
    <t>INOV00020</t>
  </si>
  <si>
    <t>Avaliação nutricional da fórmula.</t>
  </si>
  <si>
    <t>INOV00031</t>
  </si>
  <si>
    <t>Investigação e elaboração de resposta a exigência do processo de registro no Paraguai.</t>
  </si>
  <si>
    <t>Gestão e outros</t>
  </si>
  <si>
    <t>Organização das planilhas de EE e preparação do cronograma de análises de nutrientes.</t>
  </si>
  <si>
    <t>Levantamento de documentos (laudos) para registro junto a ANVISA.</t>
  </si>
  <si>
    <t>Avaliação nutricional da fórmula para elaboração da IN.</t>
  </si>
  <si>
    <t>Apresentação do projeto de Mix Colina.</t>
  </si>
  <si>
    <t>Elaboração do relatório de EE.</t>
  </si>
  <si>
    <t>Definição de IN e levantamento de dados para processo de registro.</t>
  </si>
  <si>
    <t>Alinhamento das análises com o lab que irá quantificar o TGF beta2</t>
  </si>
  <si>
    <t>Reunião de Kickoff do Projeto Artesanal (Trophic Cozy)</t>
  </si>
  <si>
    <t>Estudo e preenchimento dos documentos referente ao Projeto Mix Colina e organização do calendário de reuniões.</t>
  </si>
  <si>
    <t>Reunião de Kickoff do Projeto Mix Colina</t>
  </si>
  <si>
    <t>Reunião sobre o projeto Arts.</t>
  </si>
  <si>
    <t>Avaliação da especificação técnica do fabricante e criação da especificação técnica do citrato de colina.</t>
  </si>
  <si>
    <t>Levantamento de informações sobre os custos do projeto.</t>
  </si>
  <si>
    <t>Avaliação dos resultados de análise de minerais.</t>
  </si>
  <si>
    <t>Avaliação dos resultados de Estudo de Estabilidade para definição de IN e PA para similaridade.</t>
  </si>
  <si>
    <t>Avaliação dos resultados de análise das vitaminas e minerais.</t>
  </si>
  <si>
    <t>Deslocamento para o Rio de Janeiro para condução de teste piloto na EMBRAPA com o intuito de realizar ajuste na fórmula do Retort UTI e avaliar nova matéria-prima para os produtos retort.</t>
  </si>
  <si>
    <t>Avaliação dos dados de Estudo de Estabilidade para ajuste de IN atual.</t>
  </si>
  <si>
    <t>Camila Mendes Pereira</t>
  </si>
  <si>
    <t>Desenvolvimento primeira formulação teórica</t>
  </si>
  <si>
    <t>Revisão especificação NaCl</t>
  </si>
  <si>
    <t>INOV00019</t>
  </si>
  <si>
    <t>Atualização análie de custo</t>
  </si>
  <si>
    <t>Primeiro teste de bancada para identificar solubilidade, aspecto do pó, e sabores</t>
  </si>
  <si>
    <t>Ajustes na formulação</t>
  </si>
  <si>
    <t>Treinamento sensorial</t>
  </si>
  <si>
    <t>Teste piloto industrial</t>
  </si>
  <si>
    <t>Publicação da especificação de produto acabado</t>
  </si>
  <si>
    <t>Discussão sobre reformulação de mix de vitaminas e minerais e atendimento do target para informação nutricional</t>
  </si>
  <si>
    <t>Atualização análise de custo</t>
  </si>
  <si>
    <t>Cadastros sistema</t>
  </si>
  <si>
    <t>Análise sensorial em T12</t>
  </si>
  <si>
    <t>Cadastros e estrutura sistema</t>
  </si>
  <si>
    <t>Avaliação de amostra de estabilidade após 10 meses de fabricação: sensorial, administração, solubilidade</t>
  </si>
  <si>
    <t>Alinhamento sobre teste de conceito</t>
  </si>
  <si>
    <t>Ajustes na formulação teórica para atendimento regulatório do teor de sódio</t>
  </si>
  <si>
    <t>Testes de administração em receita</t>
  </si>
  <si>
    <t>Testes de avaliação de sabor fórmula 02</t>
  </si>
  <si>
    <t>Compra de insumos para teste de aplicação em receita</t>
  </si>
  <si>
    <t>Avaliação micronutrientes com mix padrão proteico pó</t>
  </si>
  <si>
    <t>teste administração</t>
  </si>
  <si>
    <t>Verificação de medidas necessparias para seguimento do projeto</t>
  </si>
  <si>
    <t>Juliana Lamas Roberto</t>
  </si>
  <si>
    <t>Aplicação de critérios de aceitação a resposta de exigência do produto</t>
  </si>
  <si>
    <t>Avaliação da informação nutricional proposta para o produto Trophic Soya Fiber pó</t>
  </si>
  <si>
    <t>Avaliação do atendimento do relatófio de estudo de estabilidade ao processo de registro do produto</t>
  </si>
  <si>
    <t>Avaliação da informação nutricional proposta para o produto Trophic Soya 1.5 Fiber</t>
  </si>
  <si>
    <t>Raissa Bellotti</t>
  </si>
  <si>
    <t>Prospecção de profissional para pesquisa clínica com linha retort</t>
  </si>
  <si>
    <t>Desenvolvimento de novo produto - análise nutricional</t>
  </si>
  <si>
    <t>INOV00053</t>
  </si>
  <si>
    <t>Elaboração de conteúdo científico</t>
  </si>
  <si>
    <t>Desenvolvimento de escrita dos resultados</t>
  </si>
  <si>
    <t>Aprofundamento científico e fichamento para escrita de artigo</t>
  </si>
  <si>
    <t>Aprofundamento científico para desenvolvimento e definição de pesquisa</t>
  </si>
  <si>
    <t>Desenvolvimento de novo produto - análise nutricional e aprofundamento de ajustes</t>
  </si>
  <si>
    <t>Atualização de briefing de novo produto</t>
  </si>
  <si>
    <t>Aprofundamento científico para ações de lançamento do projeto</t>
  </si>
  <si>
    <t>Aprofundamento científico sobre composição de novo produto</t>
  </si>
  <si>
    <t>Desenvolvimento de novo produto - análise nutricional  e ajustes de fórmula</t>
  </si>
  <si>
    <t>Desenvolvimento e revisão de escrita em ingles</t>
  </si>
  <si>
    <t>Escrita de resumo e submissão em congresso</t>
  </si>
  <si>
    <t>Revisão artigo para segunda submissão do artigo</t>
  </si>
  <si>
    <t>Revisão e escrita do artigo para segunda submissão a revista</t>
  </si>
  <si>
    <t>Aprofundamento e fichamento para escrita de artigo para relato de caso</t>
  </si>
  <si>
    <t>Revisão, escrita e submissão artigo</t>
  </si>
  <si>
    <t>Análise de dados e escrita de resumo de relato de caso</t>
  </si>
  <si>
    <t>Análise de dados e resumo escrito de relato de caso</t>
  </si>
  <si>
    <t>Desenvolvimento de briefing para conteúdo científico</t>
  </si>
  <si>
    <t>Prospecção de profissional para execução de relato de caso</t>
  </si>
  <si>
    <t>Escrita de artigo de relato de caso</t>
  </si>
  <si>
    <t>Desenvolvimento de conteúdo científico</t>
  </si>
  <si>
    <t>Desenvolvimento de escrita e imagens de material científico</t>
  </si>
  <si>
    <t>Aprofundamento científico para desenvolvimento de material comunicação de lançamento</t>
  </si>
  <si>
    <t>Prospecção de profissional para execução de pesquisa</t>
  </si>
  <si>
    <t>Aprofundamento científico e mercado para ajuste de produto</t>
  </si>
  <si>
    <t>Aprofundamento mercado de fórmulas "concorrentes"</t>
  </si>
  <si>
    <t>Desenvolvimento de base de dados</t>
  </si>
  <si>
    <t>Teste piloto para ajuste da fórmula do Retort UTI e para avaliação de nova matéria-prima para produtos retort na EMBRAPA RJ.</t>
  </si>
  <si>
    <t>Deslocamento para Curitiba após condução de teste piloto na EMBRAPA com o intuito de realizar ajuste na fórmula do Retort UTI e avaliar nova matéria-prima para os produtos retort.</t>
  </si>
  <si>
    <t>Avaliação dos dados e análise estatística dos resultados de Estudo de Estabilidade do Energyzip Suslac.</t>
  </si>
  <si>
    <t>Avaliação dos dados e análise estatística dos resultados de Estudo de Estabilidade do Energyzip Suslac, e construção do relatório de EE.</t>
  </si>
  <si>
    <t>Reunião sobre o projeto Mix Colina</t>
  </si>
  <si>
    <t>Reunião sobre a avaliação financeira do projeto Mix Colina.</t>
  </si>
  <si>
    <t>Reunião para avaliação e definição da IN do Trophic Soya RTH.</t>
  </si>
  <si>
    <t>Avaliação do parecer da ANVISA sobre o processo de registro do Trophic Soya Fiber Pó</t>
  </si>
  <si>
    <t>Pesquisa e análise dos dados para resposta ao parecer da ANVISA sobre o processo de registro do Trophic Soya Fiber Pó.</t>
  </si>
  <si>
    <t>Reunião sobre o projeto Arts</t>
  </si>
  <si>
    <t>Reunião sobre o projeto Retort UTI</t>
  </si>
  <si>
    <t>Análise de dados e construção do relatório de Estudo de Estabilidade do Trophic Soya RTH</t>
  </si>
  <si>
    <t>Análise de dados e construção da contestação contra o parecer de indeferimento do processo de registro do Trophic Soya Fiber Pó</t>
  </si>
  <si>
    <t>Reunião para avaliação e definição da IN do DiamaxIG Chocolate</t>
  </si>
  <si>
    <t>Discussão sobre análises para avaliar a composição dos grumos presentes na fórmula do retort UTI.</t>
  </si>
  <si>
    <t>Análise de dados e construção do relatório de Estudo de Estabilidade do DiamaxIG Chocolate</t>
  </si>
  <si>
    <t>Avaliação das etapas do cronograma do projeto do Mix Colina.</t>
  </si>
  <si>
    <t>Avalidação dos resultados de análise do Estudo de Estabilidade.</t>
  </si>
  <si>
    <t>Avaliação do cronograma, encaminhamentos de emails para a Equipe do Projeto.</t>
  </si>
  <si>
    <t>Finalização do relatório de EE do Diamax IG Chocolate.</t>
  </si>
  <si>
    <t>Avaliação dos certificados de análise das MP do Diamax IG Chocolate.</t>
  </si>
  <si>
    <t>Avaliação dos dados de estudos de estabilidade para construção do artigo.</t>
  </si>
  <si>
    <t>Avaliação dos dados e atualização do relatório de estudo de estabilidade.</t>
  </si>
  <si>
    <t>Análise dos resultados de Estudo de Estabilidade e construção de informação nutricional do produto Trophic Cozy.</t>
  </si>
  <si>
    <t>Análise de dados e ajuste do relatório de estudo de estabilidade do Diamax IG chocolate.</t>
  </si>
  <si>
    <t>Análise de dados e escrita do artigo.</t>
  </si>
  <si>
    <t>Avaliação dos resultados de T12 do produtos Trophic Soya RTH e NHcF, com preenchimento da planilha de EE.</t>
  </si>
  <si>
    <t>Pesquisa e levantando de dados para responder a exigência.</t>
  </si>
  <si>
    <t>Reunião Projeto Trophic Soya Fiber UHT.</t>
  </si>
  <si>
    <t>Reunião Projeto Retort UTI</t>
  </si>
  <si>
    <t>Reunião Projeto Trophic Cozy</t>
  </si>
  <si>
    <t>Análise de dados de EE do Trophic Soya RTH.</t>
  </si>
  <si>
    <t>Análise de dados e construção a resposta da exigência do Trophic Soya 1.5 Fiber</t>
  </si>
  <si>
    <t>Atualização do cronograma</t>
  </si>
  <si>
    <t>Apresentação DSM sobre novos produtos e tendências globais</t>
  </si>
  <si>
    <t>Apresentação MKT sobre pesquisa com consumidores</t>
  </si>
  <si>
    <t>Acompanhamento primeira produção e treinamento sensorial equipe Produção, Controle de Qualidade e GQ</t>
  </si>
  <si>
    <t>Contato fornecedores sobre alternativa mascarador de salgado</t>
  </si>
  <si>
    <t>Análises fisico-quimicas de amostras com validade de 12 meses</t>
  </si>
  <si>
    <t>Testes de bancada para investigação de instabilidade da fórmula após diluição - Trophic Soya Fiber</t>
  </si>
  <si>
    <t>Relatório teste de bancada investigação de instabilidade de fórmula - Trophic Soya</t>
  </si>
  <si>
    <t>Análise de sabor com exclusão de sacarose e substituição por xarope</t>
  </si>
  <si>
    <t>Análise resultados minerais</t>
  </si>
  <si>
    <t>Análise sensorial com aroma redutor residual indesejado Firmenich</t>
  </si>
  <si>
    <t>Avaliação estabilidade de amostra T12 armazenada em temperatura ambiente</t>
  </si>
  <si>
    <t>Acompanhamento etapa teste de conceito</t>
  </si>
  <si>
    <t>Contato fornecedor de WPH para esclarecimento dúvidas teor de lactose</t>
  </si>
  <si>
    <t>Atualuzação Business Case com custos formulações e cronograma</t>
  </si>
  <si>
    <t>Atualização relatório teste industrial</t>
  </si>
  <si>
    <t>Discussão sobre resultados TGF-beta2 e próximos passos</t>
  </si>
  <si>
    <t>Teste de bancada para avaliação isolada pré mix vitamina e minerais revisão 02 FS14885</t>
  </si>
  <si>
    <t>Preparação amostra para apresentação à coordenação na reunião semestral</t>
  </si>
  <si>
    <t>Reformulação em Centric para alteração de mix e dosagem</t>
  </si>
  <si>
    <t>Alinhamento área técnica sobre projetos desenvolvidos no primeiro semestres e próximos passos</t>
  </si>
  <si>
    <t>Alinhamento próximos passos 2º semestre 2025</t>
  </si>
  <si>
    <t>Degustação com equipe P&amp;D</t>
  </si>
  <si>
    <t>Elisa Loch Razzera</t>
  </si>
  <si>
    <t>Reunião de atualização conduzida pela líder Tahuany (tópicos: matéria prima, prazo de solicitação de documentos ANVISA) e revisão geral do cronograma</t>
  </si>
  <si>
    <t>Reunião para alinhamento do cronograma para iniciar o teste de conceito da proteína líquida</t>
  </si>
  <si>
    <t>Discussão sobre a carragena do produto para início da produção e posterior pesquisa clínica prevista para setembro</t>
  </si>
  <si>
    <t>Discussão de evidência sobre as pesquisas: microbiota da FIOCRUZ e hospitalar UFSC</t>
  </si>
  <si>
    <t>Construção do cronograma do teste de conceito da proteína líquida (ProtGold)</t>
  </si>
  <si>
    <t>Construção das etapas de P&amp;D no cronograma do teste de conceito da proteína líquida (ProtGold)</t>
  </si>
  <si>
    <t>Prospecção de estudo de caso com os produtos Retort em paciente crítico - Hospital Regina</t>
  </si>
  <si>
    <t>Construção das etapas de MKT, GQ e AR no cronograma do teste de conceito da proteína líquida (ProtGold)</t>
  </si>
  <si>
    <t>Apresentação da reunião de kick off do teste de conceito da proteína líquida para a Diretora Científico</t>
  </si>
  <si>
    <t>Reunião de atualização conduzida pela líder Tahuany (atualização liberação caixa de expedição, MP e análises)</t>
  </si>
  <si>
    <t>Apresentação da reunião de kick off com toda a equipe do projeto</t>
  </si>
  <si>
    <t>Discussão sobre dois estudos de casos com coordenadora: retort UTI (em prospecção) e Trophic Junior (em andamento)</t>
  </si>
  <si>
    <t>Construção das etapas de MKT (comunicação) no cronograma do teste de conceito da proteína líquida (ProtGold)</t>
  </si>
  <si>
    <t>Ajuste do cronograma do teste de conceito da proteína líquida (ProtGold)</t>
  </si>
  <si>
    <t>Discussão com nutricionista Cintia sobre relato de caso</t>
  </si>
  <si>
    <t>Discussão do científico sobre prospecção de pesquisa hospitalar</t>
  </si>
  <si>
    <t>Desenvolvimento de material para o projeto - briefing e material cientifico</t>
  </si>
  <si>
    <t>Reunião de atualização conduzida pela líder Tahuany e revisão geral do cronograma</t>
  </si>
  <si>
    <t>Discussão com nutricionista Lorena sobre estudo de caso</t>
  </si>
  <si>
    <t>Gabriela Faria de Oliveira</t>
  </si>
  <si>
    <t>Treinamento</t>
  </si>
  <si>
    <t>Treinamento sobre teste de conceito com novo produto Artesanal</t>
  </si>
  <si>
    <t>Elaboração de material científico  para comunicação com profissionais sobre cicatrização</t>
  </si>
  <si>
    <t>Elaboração de relatório de teste de aplicação de produto artesanal em receitas</t>
  </si>
  <si>
    <t>Desenvolvimento científico de novo produto - análise nutricional</t>
  </si>
  <si>
    <t>Elaboração de material científico  para comunicação com profissionais sobre nutrição artesanal</t>
  </si>
  <si>
    <t>Desenho de pesquisa clínica com suplemento nutricional para cicatrização</t>
  </si>
  <si>
    <t>Correção em manuscrito de pesquisa clínica com suplemento nutricional para desnutrição em diálise</t>
  </si>
  <si>
    <t>Gestão do projeto artesanal para realização de teste de conceito</t>
  </si>
  <si>
    <t>Definição de desenho de pesquisa artesanal em parceria com universidade</t>
  </si>
  <si>
    <t>Elaboração de apresentação sobre teste de conceito para apresentação do projeto aos distribuidores</t>
  </si>
  <si>
    <t>Gestão de projeto artesanal e de teste de conceito</t>
  </si>
  <si>
    <t>Desenvolvimento científico de novo produto - aprofundamento sobre concentrações de TGF beta2</t>
  </si>
  <si>
    <t>Desenho nutricional de produto para cicatrização e imunomodulação</t>
  </si>
  <si>
    <t>Aprofundamento em análise de patente de formula e de aplicação</t>
  </si>
  <si>
    <t>Avaliação dos resultados de análise para Estudo de Estabilidade em T24.</t>
  </si>
  <si>
    <t>Avaliação dos resultados de análise para Estudo de Estabilidade em T12 e solicitação de novas análises.</t>
  </si>
  <si>
    <t>Avaliação dos resultados de análise para Estudo de Estabilidade, construção de relatorio de EE.</t>
  </si>
  <si>
    <t>Análise dos resultados de análise para Estudo de Estabilidade, construção do relatório de EE.</t>
  </si>
  <si>
    <t>Avaliação de documentos para registros de produtos junto a ANVISA.</t>
  </si>
  <si>
    <t>Análise de dados de EE e construção de IN.</t>
  </si>
  <si>
    <t>Análise de dados de EE, reavalização do relatório de EE e outros documento de registro.</t>
  </si>
  <si>
    <t>Análise de resultados de premix, avaliação do impacto da alta concentração de sódio nos produtos.</t>
  </si>
  <si>
    <t>Reunião Projeto Mix Colina</t>
  </si>
  <si>
    <t>Reunião Projeto Trophic Soya Fiber</t>
  </si>
  <si>
    <t>Definição da IN do Trophic Soya com amoácido.</t>
  </si>
  <si>
    <t>Análise de dados e elaboração da ET provisória do produto.</t>
  </si>
  <si>
    <t>Alinhamento sobre as atividades do projeto mix colina.</t>
  </si>
  <si>
    <t>Alinhamento sobre as matérias-primas, incluindo o premix de vitaminas e minerais.</t>
  </si>
  <si>
    <t>Avaliação dos documentos necessários para registro na ANVISA.</t>
  </si>
  <si>
    <t>Apresentação do artigo de EE.</t>
  </si>
  <si>
    <t>Alinhamento do projeto Mix Colina.</t>
  </si>
  <si>
    <t>Apresentação e definição da IN do Trophic Soya Mix 1.5</t>
  </si>
  <si>
    <t>Teste de densidade do mix colina.</t>
  </si>
  <si>
    <t>Cálculo de MP, elaboração de IF  e ajustes para pré-teste do mix colina.</t>
  </si>
  <si>
    <t>Avaliação da fórmula com relação aos micronutrientes. Ajuste de dose de premix. Simulação de comportamento durante validade.</t>
  </si>
  <si>
    <t>Alinhamento sobre o premix do peptimax jr.</t>
  </si>
  <si>
    <t>Análise de dados de EE e construção de relatório.</t>
  </si>
  <si>
    <t>Acompanhamento da pesagem/fracionamento das matérias-primas para o pré-teste do mix colina.</t>
  </si>
  <si>
    <t>Revisão do relatório de EE do Trophic Soya Mix 1.5.</t>
  </si>
  <si>
    <t>Apresentação de definição do da IN do Trophic Soya 1.5 com aminoácido.</t>
  </si>
  <si>
    <t>Pré-teste do projeto Mix Colina.</t>
  </si>
  <si>
    <t>Avaliação dos dados dos pré-teste Mix Colina, escrita do relatório e análise de densidade do mix colina obtido no pré-teste.</t>
  </si>
  <si>
    <t>Avaliação do pré-teste Mix Colina - apresentação do relatório.</t>
  </si>
  <si>
    <t>Avaliação da exigência do Trophic Soya 1.5 Fiber.</t>
  </si>
  <si>
    <t>Análise do perfil nutricional das matérias-primas, e simulação da concentração de nutrientes durante validade.</t>
  </si>
  <si>
    <t>Definição da IN do Trophic Soya Fiber Pó.</t>
  </si>
  <si>
    <t>Discussão sobre a exigência do processo de regsitro do Diamax IG chocolate.</t>
  </si>
  <si>
    <t>Reunião de atualização do projeto Trophic Soya Fiber UHT</t>
  </si>
  <si>
    <t>Reunião de atualização do projeto Artesanal (Trophic Cozy).</t>
  </si>
  <si>
    <t>Reunião de alinhamento e atualização sobre o processo produtivo industrial da linha retort.</t>
  </si>
  <si>
    <t>Avaliação do resultado de análise de colina do projeto mix colina.</t>
  </si>
  <si>
    <t>Avaliação preliminar do resultado de análise de distribuição de tamanho de partícula da amostra preteste do mix colina.</t>
  </si>
  <si>
    <t>Avaliação do resultado de análise de distribuição de tamanho de partícula da amostra preteste do mix colina e complementação do relatório.</t>
  </si>
  <si>
    <t>Reunião de altualização do projeto Mix Colina</t>
  </si>
  <si>
    <t>Discussão sobre os resultados de T12 do DiamaxIG Chocolate.</t>
  </si>
  <si>
    <t>Acompanhamento teste com água na fábrica de líquidos - linha retort.</t>
  </si>
  <si>
    <t>Análise de documentos, elaboração de relatórios e preenchimento da matriz regulatória de registro do Trophic Soya Fiber Líquido.</t>
  </si>
  <si>
    <t>Análise de dados de EE e construção do relatório de EE e levantamento dos documentos referentes ao produto Trophic Soya Fiber.</t>
  </si>
  <si>
    <t>Alinhamento sobre os projetos mix colina e de minerais in house.</t>
  </si>
  <si>
    <t>Levantamento de informações e elaboração dos documentos referentes ao Projeto Mix de Minerais.</t>
  </si>
  <si>
    <t>Atualizações sobre o projeto Mix Colina.</t>
  </si>
  <si>
    <t>Alinhamento sobre as exigências do processo de registro do Trophic Soya Mix 1.5</t>
  </si>
  <si>
    <t>Avaliação da IN provisória do Trophic Soya Fiber.</t>
  </si>
  <si>
    <t>Acompanhamento teste produtivo da linha retort.</t>
  </si>
  <si>
    <t>Análise de dados de EE e construção de relatório para submissão de registro do Trophic Soya Fiber Pó.</t>
  </si>
  <si>
    <t>Alinhamento sobre as análises da pesquisa.</t>
  </si>
  <si>
    <t>Alinhamento sobre o projeto minerais in house.</t>
  </si>
  <si>
    <t>Preenchimento da documentação referente ao projeto mix de minerais e organização do cronograma.</t>
  </si>
  <si>
    <t>Ana Claudia Zanini</t>
  </si>
  <si>
    <t>Aprofundamento científico para elaboração de material</t>
  </si>
  <si>
    <t>Aprofundamento científico para desenvolvimento de novo produto</t>
  </si>
  <si>
    <t>Gestão de projeto de novo produto</t>
  </si>
  <si>
    <t>Aprofundamento científico para desenvolvimento de protocolo de pesquisa clinica</t>
  </si>
  <si>
    <t>Gestão de projeto de pesquisa clínica</t>
  </si>
  <si>
    <t>Gestão de projeto de teste de conceito</t>
  </si>
  <si>
    <t>Aprofundamento cientifico para escrita de resumos para congresso SBNPE</t>
  </si>
  <si>
    <t>Aprofundamento cientifico para escrita de resumos para congresso ASPEN</t>
  </si>
  <si>
    <t>Gestão de projeto de teste de conceito Trophic Cozy</t>
  </si>
  <si>
    <t>Pesquisa básica para elaboração de material cientifico</t>
  </si>
  <si>
    <t>Aprofundamento científico para desenvolvimento de produto</t>
  </si>
  <si>
    <t>Pesquisa básica para escrita de artigo científico de estudo de caso</t>
  </si>
  <si>
    <t>Pesquisa básica para escrita de artigo científico</t>
  </si>
  <si>
    <t>Pesquisa básica para desenvolvimento de protocolo de estudo de caso</t>
  </si>
  <si>
    <t>Apresentação portfolio MPs alternativas ADM</t>
  </si>
  <si>
    <t>Avaliação fornecedor alho e cebola Penina</t>
  </si>
  <si>
    <t>Teste de bancada para avaliação de consistência e método de preparo</t>
  </si>
  <si>
    <t>Compilação resultados teste de bancada para avaliação de consistência e método de preparo</t>
  </si>
  <si>
    <t>Apresentação e debate de resultados para Gerência P&amp;D e Científica</t>
  </si>
  <si>
    <t>Reavaliação FT alho e cebola Penina + ajustes especificação Prodiet</t>
  </si>
  <si>
    <t>Teste de administração e estabilidade mistura com liquidificador</t>
  </si>
  <si>
    <t>Avaliação fornecedor cebola Ecil</t>
  </si>
  <si>
    <t>Teste de bancada ajuste sensorial (aumento xarope de glicose e aromas)</t>
  </si>
  <si>
    <t>Apresentação de produtos e aplicações Friesland Campina</t>
  </si>
  <si>
    <t>Atualizações andamento do projeto</t>
  </si>
  <si>
    <t>Testes de bancada para avaliação do uso combinado com Instanth Clear</t>
  </si>
  <si>
    <t>Atualização informação nutricional WPH Hydro Power Pro no Centric</t>
  </si>
  <si>
    <t>Discussão sobre reformulação do prémix Potássio e Sódio</t>
  </si>
  <si>
    <t>Reavaliação FT alho e cebola Luzago</t>
  </si>
  <si>
    <t>TB sensorial refino com aroma Doce Aplinova</t>
  </si>
  <si>
    <t>Conversa com fornecedor Tate&amp;Lyle sobre opções de estabilizantes</t>
  </si>
  <si>
    <t>Conversa com fornecedor Nexira sobre opções de estabilizantes</t>
  </si>
  <si>
    <t>Atualização do relatório com os testes de bancada realizados em junho, julho e agosto.</t>
  </si>
  <si>
    <t>Atualização e liberação de cadastro novo fornecedor de alho para adequação da estrutura e compra da MP para produção</t>
  </si>
  <si>
    <t>Discussão com fornecedor sobre uso de aroma para categoria</t>
  </si>
  <si>
    <t>Alinhamento com fornecedor sobre amostras e desenvolvimento do mix, aromas e DHA</t>
  </si>
  <si>
    <t>Avaliação sensorial de amostra em estudo de estabilidade com 6 meses após produção</t>
  </si>
  <si>
    <t>Teste de bancada 30% xarope de glico + aroma aplinova e teste de estabilidade estabilizante</t>
  </si>
  <si>
    <t>Análise de aspecto do pó, sabor e odor de amostras com 18 meses de validade.</t>
  </si>
  <si>
    <t>Elaboração do Business Case</t>
  </si>
  <si>
    <t>Análise de osmolalidade</t>
  </si>
  <si>
    <t>Teste de bancada para melhoria de estabilidade Soya Fiber</t>
  </si>
  <si>
    <t>Elaboração relatório testes de bancada melhoria de estabilidade de fórmula Soya Fiber</t>
  </si>
  <si>
    <t>Continuidade teste de bancada para melhoria de estabilidade Soya Fiber</t>
  </si>
  <si>
    <t>Testesde administração para validação da dose de estabilizante</t>
  </si>
  <si>
    <t>Desenvolvimento de fórmula teórica após revisão do briefing</t>
  </si>
  <si>
    <t>Gestão do projeto da proteína líquida para realização de teste de conceito</t>
  </si>
  <si>
    <t>Pesquisa básica para desenvolvimento de material científico</t>
  </si>
  <si>
    <t>Gestão do projeto para desenvolvimento de novo produto</t>
  </si>
  <si>
    <t>Rodolfo Salazar</t>
  </si>
  <si>
    <t>Acompanhamento industrial no desempenho de MP novo fornecedor (leite integral). </t>
  </si>
  <si>
    <t>Relatorio de protenias no Energyzip Senior com MP Leite integral Piracanjuba.</t>
  </si>
  <si>
    <t>Avaliação do produto após teste produtivo da linha retort.</t>
  </si>
  <si>
    <t>Pesquisa, análise de dados e construção de resposta a exigência da ANVISA no processo de registro do Diamax Chocolate.</t>
  </si>
  <si>
    <t>Reunião de alinhamento do projeto mix de minerais.</t>
  </si>
  <si>
    <t>Preenchimento e preparação da documentação para a reunião de kickoff do projeto de minerais.</t>
  </si>
  <si>
    <t>Reunião de kick off do Projeto Mix de Minerais.</t>
  </si>
  <si>
    <t>Elaboração do Relatório de Estudo de Estabilidade do Trophic Soya Fiber.</t>
  </si>
  <si>
    <t>Apresentação da Informação Nutricional Proposta do Trophic Soya Fiber e do Trophic Soya.</t>
  </si>
  <si>
    <t>Reunião de alinhamento do processo produtivo da fábrica retort.</t>
  </si>
  <si>
    <t>Cálculo de valores de equivalência dos minerais.</t>
  </si>
  <si>
    <t>Alinhamento sobre o status da linha produtiva retort.</t>
  </si>
  <si>
    <t>Discussão dos resultados prévios de teste de validação térmica e distribuição de calor durante processo de autoclave.</t>
  </si>
  <si>
    <t>Alinhamento sobre a pesquisa da qualidade da embalagem após TT do retort com o CETEA.</t>
  </si>
  <si>
    <t>Revisão da resposta da exigência do Diamax Sabores.</t>
  </si>
  <si>
    <t>Discussão do resultados dos testes de distribuição de calor e penetração de calor do processo retort.</t>
  </si>
  <si>
    <t>Teste UHT do produto Trophic Soya 1.5 na fábrica de líquidos Prodiet.</t>
  </si>
  <si>
    <t>Pesquisa e elaboração do premix para o Peptimax IBD.</t>
  </si>
  <si>
    <t>Análise de dados e elaboração do relatório de estudo de estabilidade de longa duração do Trophic Soya 1.5 Fiber.</t>
  </si>
  <si>
    <t>Análise de dados e elaboração do relatório de estudo de estabilidade de longa duração do Trophic Soya RTH.</t>
  </si>
  <si>
    <t xml:space="preserve">Preparo e submissão do artigo sobre EE. </t>
  </si>
  <si>
    <t>Análise de osmolalidade, sensorial e administração em amostra com validade de 18 meses</t>
  </si>
  <si>
    <t>Análise de administração e sensorial em amostra com 18 meses de validade e embalagem lata</t>
  </si>
  <si>
    <t>Teste de bancada sensorial mova fórmula e aroma Firmenich</t>
  </si>
  <si>
    <t>Alinhamento teste em receita</t>
  </si>
  <si>
    <t>Simulação/desenvolvimento de fórmula com redução de proteína e valor energético total</t>
  </si>
  <si>
    <t>Teste de aplicação em receita para análise de administração e macro e micronutrientes</t>
  </si>
  <si>
    <t>Simulação/desenvolvimento de fórmula com alteração de fornecedor de WPH (Milkspecialties), com aumento do valor energético</t>
  </si>
  <si>
    <t>Elaboração cronograma</t>
  </si>
  <si>
    <t>Compilado resultados análise aplicação em receita</t>
  </si>
  <si>
    <t>Desenvolvimento relatório Innovation Week Friesland Campina</t>
  </si>
  <si>
    <t>Seminário técnico sobre proteínas Friesland Campina</t>
  </si>
  <si>
    <t>Desenvolvimento sensorial</t>
  </si>
  <si>
    <t>Discussão resultados análise de aplicação em receita com P&amp;D</t>
  </si>
  <si>
    <t>Elaboração especificação aroma natural de baunilha para homologação</t>
  </si>
  <si>
    <t>Discussão dos resultados da pesquisa com Científico</t>
  </si>
  <si>
    <t>Análise sensorial aromas duas rodas, firmenich e aplinova</t>
  </si>
  <si>
    <t>Preparação de amostras para degustação Gerência no dia 17/12</t>
  </si>
  <si>
    <t>Análise sensorial com Coordenação/Gerência e Diretoria P&amp;D para definição de aroma</t>
  </si>
  <si>
    <t>Desenvolvimento apresentação para degustação de aromas Gerência</t>
  </si>
  <si>
    <t>Análise de custo fórmula com diferentes aromas</t>
  </si>
  <si>
    <t>Alinhamento industrial sobre primeira produção</t>
  </si>
  <si>
    <t>Atualização custo da fórmula</t>
  </si>
  <si>
    <t>Alinhamento desenvolvimento de mix com fornecedor</t>
  </si>
  <si>
    <t>Atualização de custo PA e gastos no Business Case</t>
  </si>
  <si>
    <t>Desenvolvimento de protocolo de pesquisa com aplicação de TROPHIC COZY em uma receita artesanal - revisão de metodologia e organização logística</t>
  </si>
  <si>
    <t>Desenvolvimento nutricional de novas fórmulas para nutrição enteral especializada</t>
  </si>
  <si>
    <t>Revisão de desenho de fórmula para definição de fontes adequadas de macro e micronutrientes para uso em doenças inflamatórias intestinais.</t>
  </si>
  <si>
    <t>Desenvolvimento de manuscrito com base nos achados na pesquisa clínica para publicação de artigo em revista científica.</t>
  </si>
  <si>
    <t>Revisão nutricional de desenho de novo produto adequações de macro, micronutrientes e aminoácidos na fórmula.</t>
  </si>
  <si>
    <t>Desenvolvimento de resumo com base nos achados na prática clínica para publicação em anais de congressos.</t>
  </si>
  <si>
    <t>Desenvolvimento de novo produto para doenças inflamatórias intestinais - revisão de desenho nutricional.</t>
  </si>
  <si>
    <t>Desenvolvimento de pesquisa de aplicação com TROPHIC COZY em receita artesanal.</t>
  </si>
  <si>
    <t>Desenvolvimento de parceria com profissionais para a realização de pesquisas no modelo de relato de caso.</t>
  </si>
  <si>
    <t>Treinamento sobre nutrientes específicos presentes em proteínas do leite.</t>
  </si>
  <si>
    <t>Desenvolvimento de fórmula específica a base de proteína de soja para nutrição oral.</t>
  </si>
  <si>
    <t>Estruturação de relato de caso com Trophic Soya.</t>
  </si>
  <si>
    <t>Estruturação de apresentação de relato de caso com Trophic Ep, Enterfiber e Enterfiber Prebiotic.</t>
  </si>
  <si>
    <t>Avalaição de custo produção de DiamaxIN em saches de 27,5g</t>
  </si>
  <si>
    <t>Avalaição de custo produção de Energyzip Senior em saches de 27,5g</t>
  </si>
  <si>
    <t>Avaliação de MP para uso como MP alternativa</t>
  </si>
  <si>
    <t>INOV00042</t>
  </si>
  <si>
    <t>Atualização de especificação ténica</t>
  </si>
  <si>
    <t>Criação de estructura com VPC</t>
  </si>
  <si>
    <t>Teste de bancada para avaliação de aroma para homologação na receita do Diamax.</t>
  </si>
  <si>
    <t>Atividades de degustação para homologação de aroma de leite condensado para o DiamaxIN.</t>
  </si>
  <si>
    <t>Teste de bancada para avaliação de aroma de leite para homologação na receita do Diamax.</t>
  </si>
  <si>
    <t>Atividades de degustação para homologação de aroma de leite para o DiamaxIN.</t>
  </si>
  <si>
    <t>Ano</t>
  </si>
  <si>
    <t>Cargo</t>
  </si>
  <si>
    <t>Formação</t>
  </si>
  <si>
    <t>(A) Salário</t>
  </si>
  <si>
    <t>(B) Encargos</t>
  </si>
  <si>
    <t>(C) = (A) + (B)</t>
  </si>
  <si>
    <t>INSS Patronal</t>
  </si>
  <si>
    <t>INSS Terceiros</t>
  </si>
  <si>
    <t>INSS RAT/FAP</t>
  </si>
  <si>
    <t>FGTS</t>
  </si>
  <si>
    <t>13º</t>
  </si>
  <si>
    <t>Férias</t>
  </si>
  <si>
    <t>% total de encargos</t>
  </si>
  <si>
    <t>Dias úteis</t>
  </si>
  <si>
    <t>Horas nominais</t>
  </si>
  <si>
    <t>Horas trabalhadas</t>
  </si>
  <si>
    <t>Horas efetivas (PD&amp;I)</t>
  </si>
  <si>
    <t>Custo hora (PD&amp;I)</t>
  </si>
  <si>
    <t>Total PD&amp;I</t>
  </si>
  <si>
    <t>Analista Científico SR</t>
  </si>
  <si>
    <t>Analista de P&amp;D Pleno</t>
  </si>
  <si>
    <t>Coordenadora de P&amp;D</t>
  </si>
  <si>
    <t>Especialista Científico I</t>
  </si>
  <si>
    <t>Pós Graduado</t>
  </si>
  <si>
    <t>Analista Científico Pleno</t>
  </si>
  <si>
    <t>Analista de P&amp;D Sênior</t>
  </si>
  <si>
    <t>Assistente de P&amp;D</t>
  </si>
  <si>
    <t>Fornecedor</t>
  </si>
  <si>
    <t>CNPJ</t>
  </si>
  <si>
    <t>NF/ND</t>
  </si>
  <si>
    <t>Valor</t>
  </si>
  <si>
    <t xml:space="preserve">Objetivo do gasto </t>
  </si>
  <si>
    <t>Projeto e eventual info de rateio</t>
  </si>
  <si>
    <t>Inovação?</t>
  </si>
  <si>
    <t>Valor Incentivado</t>
  </si>
  <si>
    <t>Conf. val. rateio</t>
  </si>
  <si>
    <t>Count</t>
  </si>
  <si>
    <t>INOV00003</t>
  </si>
  <si>
    <t>INOV00012</t>
  </si>
  <si>
    <t>INOV00015</t>
  </si>
  <si>
    <t>INOV00018</t>
  </si>
  <si>
    <t>INOV00021</t>
  </si>
  <si>
    <t>INOV00030</t>
  </si>
  <si>
    <t>INOV00034</t>
  </si>
  <si>
    <t>INOV00048</t>
  </si>
  <si>
    <t>INOV00052</t>
  </si>
  <si>
    <t>Laboratório ALAC</t>
  </si>
  <si>
    <t>94.088.952/0001-52</t>
  </si>
  <si>
    <t>Análise de vitaminas marcadoras.</t>
  </si>
  <si>
    <t>Serviços</t>
  </si>
  <si>
    <t>Análise vitaminas e minerais</t>
  </si>
  <si>
    <t>Análise de macronutrientes</t>
  </si>
  <si>
    <t>INOV00001|INOV00014</t>
  </si>
  <si>
    <t>PRODIET NUTRICAO CLINICA LTDA</t>
  </si>
  <si>
    <t>08.183.359/0003-15</t>
  </si>
  <si>
    <t>Doação de Correctmax para execução de relato de caso</t>
  </si>
  <si>
    <t>Análises para macronutrientes, vitaminas e minerais</t>
  </si>
  <si>
    <t>INOV00010|INOV00040</t>
  </si>
  <si>
    <t>J&amp;J Serviços de Entregas Ltda - ME</t>
  </si>
  <si>
    <t>20.618.029/0001-49</t>
  </si>
  <si>
    <t>Envio para análise de PL no ITAL.</t>
  </si>
  <si>
    <t>Fundação de desenv. da pesquisa do agronegócio - FUNDEPAG</t>
  </si>
  <si>
    <t>50.276.237/0001-78</t>
  </si>
  <si>
    <t>Análise de PL no ITAL para T0.</t>
  </si>
  <si>
    <t>Análise de PL no ITAL para T12.</t>
  </si>
  <si>
    <t>Análise das vitaminas marcadoras em T9.</t>
  </si>
  <si>
    <t>Análise das vitaminas e minerais T12</t>
  </si>
  <si>
    <t>Análise de PL em T0 no ITAL e Análise de Vitaminas e Minerais em T0 no CQA.</t>
  </si>
  <si>
    <t>INOV00006|INOV00016</t>
  </si>
  <si>
    <t>Análise de cromo no Energyzip 25% e no DiamaxIG Chocolate, reanálise de proteína e lipídeos no Trophic Soya e Trophic Soya 1.5</t>
  </si>
  <si>
    <t>INOV00014|INOV00028|INOV00016</t>
  </si>
  <si>
    <t>Análise de vitaminas, minerais e macronutrientes no Trophic Soya e Trophic Soya 1.5 (T0), análise de vitaminas, minerais e macronutrientes no CorrectMax (T12), análise de vitaminas, minerais e macronutrientes no Trophic Cozy (T0), análise de vitaminas marcadoras Trophic Soya e Trophic Soya 1.5 (T0) e análise de vitaminas marcadoras no Trophic Soya 1.5 Fiber (T9).</t>
  </si>
  <si>
    <t>INOV00016|INOV00004|INOV00006|INOV00016</t>
  </si>
  <si>
    <t>Análise de perfil lipídico T0 (PA com cisteína)</t>
  </si>
  <si>
    <t>Análise de vitamina A e Vitamina B1 no Trophic Soya RTH e Trophic PTN Fiber RTH, para T9; Reanálise de vitamina B1 no Energyzip Suslac, em T18.</t>
  </si>
  <si>
    <t>INOV00001|INOV00040</t>
  </si>
  <si>
    <t>Análise de PL em T0.</t>
  </si>
  <si>
    <t>Envio para análise de TGF- beta 2</t>
  </si>
  <si>
    <t>CELL TARGET EVENTOS E CURSOS LTDA</t>
  </si>
  <si>
    <t>02.980.901/0001-12</t>
  </si>
  <si>
    <t>Inscrição em congresso - Contrapartida Relato de caso Immax</t>
  </si>
  <si>
    <t>Envio para análise.</t>
  </si>
  <si>
    <t>INOV00014|INOV00017</t>
  </si>
  <si>
    <t>Análise de macronutrientes, vitaminas e minerais para Estudo de Estabilidade</t>
  </si>
  <si>
    <t>INOV00017|INOV00028</t>
  </si>
  <si>
    <t>INOV00001|INOV00016</t>
  </si>
  <si>
    <t>NM MONTEIRO MENDES LTDA</t>
  </si>
  <si>
    <t>25.128.189/0001-23</t>
  </si>
  <si>
    <t>Pagamento profissional para execução de comitê ad hoc e pesquisa clínica Correctmax</t>
  </si>
  <si>
    <t>DRA. CAMILA MENDONCA - ENFERMAGEM AVANCADA LTDA</t>
  </si>
  <si>
    <t>46.950.999/0001-30</t>
  </si>
  <si>
    <t>LE FARME NUTRICAO E PRODUTOS PARA SAUDE</t>
  </si>
  <si>
    <t>15.545.523/0001-90</t>
  </si>
  <si>
    <t>Análise de produtos concorrentes para desenvolvimento de produto Prodiet</t>
  </si>
  <si>
    <t>Análise de PL em T12.</t>
  </si>
  <si>
    <t>Envio para análise de PL.</t>
  </si>
  <si>
    <t>INOV00001|INOV00019</t>
  </si>
  <si>
    <t>Análise de macronutrientes T24</t>
  </si>
  <si>
    <t>Análise de umidade (confirmação de resultado)</t>
  </si>
  <si>
    <t>Análise de minerais.</t>
  </si>
  <si>
    <t>Análise de vitaminas minerais e macronutrientes</t>
  </si>
  <si>
    <t>INOV00001|INOV00016|INOV00019</t>
  </si>
  <si>
    <t>Labor Três Laboratórios e Consultoria Técnica Ltda.</t>
  </si>
  <si>
    <t>02.021.076/0001-29</t>
  </si>
  <si>
    <t>Análise de microbiologia Energyzip Senior T24 pó e diluído para Enterotoxina Estafilocócica</t>
  </si>
  <si>
    <t>Análise de perfil lipídico.</t>
  </si>
  <si>
    <t>Análise de cromo e cinzas.</t>
  </si>
  <si>
    <t>Análise de macronutrientes em T24.</t>
  </si>
  <si>
    <t>Análise de macronutrientes, vitaminas e minerais de estudo de estabilidade.</t>
  </si>
  <si>
    <t>FOOD INTELLIGENCE LABORATÓRIO DE ANÁLISE DE ALIMENTOS LTDA</t>
  </si>
  <si>
    <t>03.627.116/0001-43</t>
  </si>
  <si>
    <t>Análise de Vitamina C T12.</t>
  </si>
  <si>
    <t>TETRA PAK LTDA</t>
  </si>
  <si>
    <t>61.528.030/0001-60</t>
  </si>
  <si>
    <t>Teste piloto - novo produto.</t>
  </si>
  <si>
    <t>INOV00016|INOV00010</t>
  </si>
  <si>
    <t>INOV00004|INOV00010|INOV00014|INOV00016</t>
  </si>
  <si>
    <t>M CASSAB COMERCIO E INDUSTRIA LTDA</t>
  </si>
  <si>
    <t>49.698.723/0031-10</t>
  </si>
  <si>
    <t>Análise de cromo</t>
  </si>
  <si>
    <t>Análise de macronutrientes.</t>
  </si>
  <si>
    <t>Análise de aminoácidos + proteína.</t>
  </si>
  <si>
    <t>Análise de lipídeos e proteína T12 na ALAC.</t>
  </si>
  <si>
    <t>Análise de carnitina T12.</t>
  </si>
  <si>
    <t>Análise de fósforoT12 na Eurofins Alac.</t>
  </si>
  <si>
    <t>Fundação de Apoio à Universidade de São Paulo</t>
  </si>
  <si>
    <t>68.314.830/0001-27</t>
  </si>
  <si>
    <t>Análise de distribuição de tamanho de partícula</t>
  </si>
  <si>
    <t>Reanálise de ferro T12.</t>
  </si>
  <si>
    <t>Análises de macronutrientes, vitaminas, minerais para EE</t>
  </si>
  <si>
    <t>INOV00017 / INOV00014</t>
  </si>
  <si>
    <t>Análise de PL em T18.</t>
  </si>
  <si>
    <t>Análise de Vit B1 e C.</t>
  </si>
  <si>
    <t>Análise de B. cereus T18.</t>
  </si>
  <si>
    <t>GOL Linhas Aéreas S.A</t>
  </si>
  <si>
    <t>07.575.651/0001-59</t>
  </si>
  <si>
    <t>Pagamento de passagem aérea como contrapartida para profissional para apresentação de relato de caso em congresso</t>
  </si>
  <si>
    <t>NA</t>
  </si>
  <si>
    <t>MPM Comunicação</t>
  </si>
  <si>
    <t>18.590.546/0001-05</t>
  </si>
  <si>
    <t>Pagamento de inscrição congresso FERIDAS 2026 para apresentação de estudo</t>
  </si>
  <si>
    <t>Compra de equipos</t>
  </si>
  <si>
    <t>CWB COMERCIO DE GELO SECO LTDA.</t>
  </si>
  <si>
    <t>51.380.958/0001-96</t>
  </si>
  <si>
    <t>Compra de gelo seco</t>
  </si>
  <si>
    <t>PRODIET NUTRICAO CLINICA SA</t>
  </si>
  <si>
    <t>Doação de Diamax IG e Energyzip para execução de relatos de casos</t>
  </si>
  <si>
    <t>Análise de macronutrientes no ProteinPT / Análise de macronutrientes, vitaminas e minerais no Trophic 1.5 RTH</t>
  </si>
  <si>
    <t>Doação de Energyzip Protein para execução de pesquisa clínica</t>
  </si>
  <si>
    <t>Avaliação de integridade das embalagens retort após processamento térmico.</t>
  </si>
  <si>
    <t>Doação de Energyzip para execução de relato de caso</t>
  </si>
  <si>
    <t>INOV00001 / INOV00016</t>
  </si>
  <si>
    <t>Início</t>
  </si>
  <si>
    <t>Fim</t>
  </si>
  <si>
    <t>Tempo utíl</t>
  </si>
  <si>
    <t>Ano Novo</t>
  </si>
  <si>
    <t>Nacional</t>
  </si>
  <si>
    <t>Aniversário Municipal Araucária</t>
  </si>
  <si>
    <t>Facultativo</t>
  </si>
  <si>
    <t>Carnaval</t>
  </si>
  <si>
    <t>4ª feira de Cinzas (trabalhamos somente a partir das 13h)</t>
  </si>
  <si>
    <t>Sexta-feira Santa</t>
  </si>
  <si>
    <t>Páscoa</t>
  </si>
  <si>
    <t>Tiradentes</t>
  </si>
  <si>
    <t>Dia do Trabalho</t>
  </si>
  <si>
    <t>Corpus Christi</t>
  </si>
  <si>
    <t>Independência Brasil</t>
  </si>
  <si>
    <t>Nossa Senhora Pinhais - Curitiba</t>
  </si>
  <si>
    <t>Nossa Senhora Aparecida</t>
  </si>
  <si>
    <t>Nossa Senhora dos Remédios - Araucária</t>
  </si>
  <si>
    <t>Finados</t>
  </si>
  <si>
    <t>Proclamação da República</t>
  </si>
  <si>
    <t>Consciência Negra</t>
  </si>
  <si>
    <t>Natal</t>
  </si>
  <si>
    <t>Período</t>
  </si>
  <si>
    <t>Aderência ao CPRB
(A)</t>
  </si>
  <si>
    <t>Aderência ao INSS
(B) = (1-(A))*20%</t>
  </si>
  <si>
    <t>INSS adicional
(C) = 5%*(A)</t>
  </si>
  <si>
    <t xml:space="preserve">INSS Patronal
(D) = (B)+(C) </t>
  </si>
  <si>
    <r>
      <rPr>
        <rFont val="Arial"/>
        <b/>
        <color theme="1"/>
      </rPr>
      <t xml:space="preserve">Teste01: </t>
    </r>
    <r>
      <rPr>
        <rFont val="Arial"/>
        <color theme="1"/>
      </rPr>
      <t>Horas excedentes por dia</t>
    </r>
  </si>
  <si>
    <t>Caique Plaster</t>
  </si>
  <si>
    <t>Douglas Michael Rumph</t>
  </si>
  <si>
    <t>Eduardo Nuss</t>
  </si>
  <si>
    <t>Fabiano Franz</t>
  </si>
  <si>
    <t>Eudes Borchardt</t>
  </si>
  <si>
    <t>Thiago Vicznevski</t>
  </si>
  <si>
    <t>João Alfredo Scheidemantel</t>
  </si>
  <si>
    <t>Barbara Bazeggio</t>
  </si>
  <si>
    <t>Ana Júlia da Rosa</t>
  </si>
  <si>
    <t>Gabriela Ribeiro da Silva</t>
  </si>
  <si>
    <t>Luis Felipe Ferreira</t>
  </si>
  <si>
    <t>Fernando Michael Riemer</t>
  </si>
  <si>
    <t>Klaus Heizinger</t>
  </si>
  <si>
    <t>Alex Daniel Nienow</t>
  </si>
  <si>
    <t>Ronaldo Ortiz Fugihara Filho</t>
  </si>
  <si>
    <t>VERSÃO PROVISORIA</t>
  </si>
  <si>
    <t>Totalizadores</t>
  </si>
  <si>
    <t>Comissão McBenner</t>
  </si>
  <si>
    <t>COMPARATIVO PROVISÓRIO VS DEFINITIVO</t>
  </si>
  <si>
    <t>provisório</t>
  </si>
  <si>
    <t>definitivo</t>
  </si>
  <si>
    <t>variação</t>
  </si>
  <si>
    <t>COMPARATIVO ORIGINAL VS FORM</t>
  </si>
  <si>
    <t>Quadro de resumo: pessoal</t>
  </si>
  <si>
    <t>Aproveitado para o FORMS</t>
  </si>
  <si>
    <t>Investido pela NETZSCH</t>
  </si>
  <si>
    <t>Diferença</t>
  </si>
  <si>
    <t>Valor (parcial)</t>
  </si>
  <si>
    <t>Horas (parcial)</t>
  </si>
  <si>
    <t>Valor (exclus.)</t>
  </si>
  <si>
    <t>Horas (exclus.)</t>
  </si>
  <si>
    <t>Pós graduada</t>
  </si>
  <si>
    <t>Diferença total</t>
  </si>
  <si>
    <t>Quadro de resumo: projetos</t>
  </si>
  <si>
    <t>Identificação</t>
  </si>
  <si>
    <t>Deixa de aproveitar</t>
  </si>
  <si>
    <t>novo produto</t>
  </si>
  <si>
    <t>melhoria de produto existente</t>
  </si>
  <si>
    <t>melhoria de processo produtivo</t>
  </si>
  <si>
    <t>Categoria do projeto</t>
  </si>
  <si>
    <t>Objetivos do projeto</t>
  </si>
  <si>
    <t>Elemento inovador</t>
  </si>
  <si>
    <t>Risco tecnológico</t>
  </si>
  <si>
    <t>Metodologias</t>
  </si>
  <si>
    <t>Lei do Bem?</t>
  </si>
  <si>
    <t>investido</t>
  </si>
  <si>
    <t>Help Desk</t>
  </si>
  <si>
    <t>NRD0000189 - Bombas de fusos higiênica</t>
  </si>
  <si>
    <t>DE, Conceito construtivo</t>
  </si>
  <si>
    <t>Desenvolvimento de novos produtos</t>
  </si>
  <si>
    <t>Estudo de normas 3A e EHEDG para elaboração de relatórios e documentação completa (desenhos, data-sheet, memorial de cálculo)
com intuito de submeter a versão FSIP a certificação higiênica internacional. Com base nos estudos das normas fazer uma alteração
dos funis e dos corpos de bomba para adequação. Elaboração de projeto de pés adequados a bomba conforme norma 3-A.
Prototipagem e realização de ensaios laboratoriais para comprovação dos estudos realizados</t>
  </si>
  <si>
    <t>A vazão das bombas higiênicas já desenvolvidas alcançará 129 m³/h com o maior passo da serie mancal 4, porém até o momento foram desenvolvidos somente fusos com passo que permitem uma vazão de até 104 m³/h. Atualmente estamos desenvolvendo a serie mancal 5 (o maior previsto) com o qual pretendemos alcançar 200 m³/h. Em relação aos concorrentes, até o momento temos o feedback do setor comercial, informando que estamos equiparados aos concorrentes internacionais.</t>
  </si>
  <si>
    <t>A norma 3A é uma normativa que tem como intuito guiar equipamentos que visam atender demandas da indústria higiênica, porém possuem demandas muito abrangentes para diversos equipamentos diferentes, e devido a características mecânicas dos equipamento bomba de fusos alguns requisitos demandam alguns desafios de adequação ou até mesmo de comprovação de que o não atendimento não afeta a característica higiênica do equipamento, comprovação essa que é realizada através de testes laboratoriais.
O acabamento exigido nas normativas não são acabamentos simples de se adequar, requer um processo de fabricação bem detalhado e preciso.
Para superar os desafios que a fabricação dos equipamentos higiênicos exige, é necessário um estudo de fabricação e busca por alternativas e novas tecnologias e mesmo materiais ou revestimentos que possam facilitar a fabricação do equipamento.
O matéria prima utilizada na fabricação dos equipamentos higiênicos é bem caro, que requer sempre melhorias e ou inovação no processo de fabricação para diminuir desperdícios.</t>
  </si>
  <si>
    <t>Estas atividades são realizadas de acordo com os resultados obtidos através das análises numéricas, elaborando novos modelos, e posterior comparação dos impactos das mudanças realizadas.
- Equipamento possui limitação de fabricação para geometria de corpos de descarga. É feito análise dos valores de perda de carga.
- Elaborado uma forma diferente para fabricação, visando melhorar a geometria dos corpos, melhorando também os valores para perda de carga.
- Corpo de bomba são fabricados de forma unitária, possuindo limitação para fabricação em série. É realizado um estudo de viabilidade de fabricação em série de corpos de bomba.
- Corpo de bombas padronizados, melhorando o lead time e possibilitando a fabricação em série conforme demanda do mercado.
- Fusos possuem dificuldades técnicas devido ao perfil desenvolvido. Analisar e elaborar perfis com capacidade de performance igual ou próxima ao perfil atual.
- Elaborar perfis com capacidades de fabricação maiores, que possuem maior qualidade e mantém a performance do equipamento.</t>
  </si>
  <si>
    <t>NRD0000193 - ESPCP com bomba metálica</t>
  </si>
  <si>
    <t>Desenvolver uma bomba submersível ESPCP com estator metálico de dupla entrada acionada por um motor direto para operação à uma rotação de 3000 rpm para vazões de até 120m³/dia a uma pressão de até 220bar para poços de petróleo profundos. A diferencia entre esta bombas ESPCP em relação das execuções existentes está no estator que é totalmente metálico em vez de material elastomérico. O restante do projeto segue o mesmo conceito já desenvolvido com a bomba ESPCP elastomérica de dupla entrada.</t>
  </si>
  <si>
    <t>No mundo de bombas de cavidade progressiva ainda não se conhece uma bomba que é capaz de operar constantemente numa rotação de 3000 rpm. Nesta bomba incluímos também o conceito construtivo de esforços axiais equilibradas eliminando a necessidade de mancais adicionais para absorver estes esforços, através de dois estatores com passo à contrário um do outro somente visto em bombas PCP elastoméricas da NETZSCH.</t>
  </si>
  <si>
    <t>Operar uma bomba de cavidades progressivas em alta rotação sempre causa uma força centrífuga relativamente alta pelo próprio desbalanceamento do rotor quando está em movimento excêntrico dentro do estator. O desafio no caso desta bomba ESPCP fica na escolha de uma excêntrico relativamente pequeno para manter as vibrações num nível aceitável e uma geometria baseada em diâmetros e passo para a bomba não entrar em cavitação.
Fabricar os componentes compridos como rotor e estator PCP totalmente em metal, mantendo folgas mínimas entre os componentes exige um processo de fabricação extremamente estável e capaz. Desvios dimensionais podem causar um travamento da bomba e folgas muito grandes causarão uma perda da capacidade de pressão. Foram escolhidos dois conceitos para fabricar o estator: montagem/junção de chapas estampadas empilhadas sobre uma ferramenta e a usinagem a partir de uma barra de metal.</t>
  </si>
  <si>
    <t>- Estudar métodos de como atingir altas precisões de usinagem em peças metálicas finas e compridas. à Aquisição de conhecimento através do estudo de processos em relação das tolerâncias pré-definidas para garantir o funcionamento da bomba: a fabricação a partir de usinagem de uma barra inteira, uma barra bipartida e chapas estampadas com montagem múltipla.
- Fabricar um protótipo estator curto feito de chapas estampadas. à Verificar/aprender na pratica se é possível de manter as dimensões dentro da tolerância ao longo do processo de fabricação.
- Fazer testes de performance com o protótipo para definir a folga ideal e capacidade de pressão por estágio. à Verificar/aprender se as tolerâncias pré-definidas permitem uma montagem do rotor dentro do estator sem travamento e se a quantidade de estágios da bomba é suficiente e capaz de gerar a pressão estipulado.
- Fabricar um protótipo estator em tamanho real feito de chapas estampadas. à Avaliar/descobrir o desgaste do matriz de corte ao longo do processo de fabricação das milhares de chapas estampadas.
- Elaborar um processo de montagem para este estator. à Verificar/aprender se o conceito de um estator curto pode ser replicado num estator muito mais longo que aumenta o risco de imperfeições geométricas e acumulo de tolerâncias e desvios.
- Fazer testes de performance e medição do nível de vibração com o estator montado de chapas. à Verificar/aprender se o nível de vibração em alta rotação tem influência negativa ao funcionamento e desgaste de peças metálicas estampadas.
- Fabricar um protótipo estator em tamanho real feito de barras usinadas. à Aprender que precisão de usinagem e estabilidade dimensional podemos atingir ao longo do comprimento da peça.
- Fazer testes de performance e medição do nível de vibração com o estator usinado. à Verificar/aprender se o nível de vibração em alta rotação tem influência negativa ao funcionamento e desgaste de peças metálicas usinados com tratamento térmico.
- Comparar os resultados de ambos os testes. à Verificar/aprender se um método de fabricação traz vantagens em cima do outro, seja na capacidade de gerar a pressão estipulado, bem como no custo de fabricação.
- Fazer teste em campo com os protótipos. à Essa fase serve para escolher o método com melhor resultado em relação da vida útil da bomba.</t>
  </si>
  <si>
    <t>NRD0000201 - Triturador de dois eixos N.MAC 350I</t>
  </si>
  <si>
    <t>O projeto consiste no desenvolvimento de um triturador de dois eixos N.MAC 350I baseado no projeto do triturador tipo canal N.Mac 250C que atua na proteção de bombas instaladas em processos de saneamento ou biogás; Foi desenvolvida uma carcaça com janelas de inspeção e pés, para acolher um triturador N.Mac 250C. O projeto visa a intercambiabilidade dos componentes e atua como uma solução de alteração de forma construtiva rápida e que carece de poucos componentes para a conversão.
O projeto encontra-se finalizado e disponível para comercialização. A documentação ATEX/CE está sendo finalizada.</t>
  </si>
  <si>
    <t>A partir do conhecimento adquirido durante os projetos NRD00000178, NRD000192  foram avaliadas as principais formas construtivas, aplicações, execuções e necessidades encontradas em campo. O projeto visa adaptar o modelo do triturador em canal N.Mac 250C em um corpo fundido estanque que possa ser montado em em tubulações e atue no direcionamento do fluxo bombeado através do bocal de sucção até a zona de corte e posteriormente, através de um bocal de descarga redirecione o fluxo para a tubulação.</t>
  </si>
  <si>
    <t>- Criar triturador capaz de triturar objetos maiores, dentro do fluido bombeado.
- Reaproveitamento de outro triturador tipo canal (N.Mac 250C).
- Na versão inline deve-se minimizar a perda de pressão interna através de uma geometria otimizada da carcaça.</t>
  </si>
  <si>
    <t>O projeto encontra-se finalizado e disponível para comercialização. A documentação ATEX/CE está sendo finalizada.</t>
  </si>
  <si>
    <t>NRD0000202 - Trituradores de dois eixos para bombas NEMO tipo BO e SF</t>
  </si>
  <si>
    <t>Desenvolver o triturador de dois eixos para montagem em bombas NEMO do tipo BO e SF, estanque, que possa trabalhar com potências e rotações maiores do que as aplicadas nos projetos de triturador N.Mac antecessores. O triturador deve possuir facas diversas que possuam o diâmetro de aproximadamente 220 mm (Ø121 mm N.Mac anteriores), que possua sistema mecânico de limpeza das facas. O equipamento deve possibilitar a manutenção e substituição das facas em loco. Deve possuir regiões para avaliações de eventuais vazamentos de fluido lubrificante da caixa de engrenagens ou oriundos do produto triturado que caracterize uma falha no método de selagem.</t>
  </si>
  <si>
    <t>Ao realizar o benchmarking de aplicações foi verificado que o segmento que carece de um modelo de triturador específico é o segmento industrial, que na maioria das aplicações necessita de um triturador que possa ser montado na alimentação da bomba, atuando na fragmentação do produto bombeado como parte integrante do processo ou para salvaguardar o funcionamento da bomba.</t>
  </si>
  <si>
    <r>
      <rPr>
        <rFont val="Cairo"/>
        <color theme="1"/>
        <sz val="10.0"/>
      </rPr>
      <t xml:space="preserve">Cria um triturador de </t>
    </r>
    <r>
      <rPr>
        <rFont val="Cairo"/>
        <b/>
        <color theme="1"/>
        <sz val="10.0"/>
      </rPr>
      <t xml:space="preserve">grande porte </t>
    </r>
    <r>
      <rPr>
        <rFont val="Cairo"/>
        <color theme="1"/>
        <sz val="10.0"/>
      </rPr>
      <t>para montagem no bocal de alimentação de bombas NEMO tipo BO e SF que garanta estanqueidade nas interfaces de ligação com um sistema de limpeza de facas integrado, recebendo a manutenção in loco e que permita uma grande variação de execuções que solicitem potências e rotações maiores, bem como variações diversas de tipos de facas.</t>
    </r>
  </si>
  <si>
    <t xml:space="preserve">"A partir do conhecimento adquirido durante os projetos NRD00000178, NRD000192 e NRD0000201 foram avaliadas as principais formas construtivas, aplicações, execuções e necessidades encontradas em campo. Ao realizar o benchmarking de aplicações foi verificado que o segmento que carece de um modelo de triturador específico é o segmento industrial, que na maioria das aplicações necessita de um triturador que possa ser montado na alimentação da bomba, atuando na fragmentação do produto bombeado como parte integrante do processo ou para salvaguardar o funcionamento da bomba. 
O projeto é uma amálgama dos projetos anteriores onde foram aproveitados os conceitos fundamentais destes e detalhes que visam uma forma construtiva de montagem simplificada, segura e que acate as necessidades da requisição de projeto. 
Durante a execução do projeto, se faz uso das seguintes metodologias:
ETAPA 1 - Pesquisa em literaturas e normas para definições de características do projeto (CONCLUÍDO)
Analise da requisição de projeto, patentes, analisar tipos de instalação, equipamentos que possam combinar operação, NR’s  aplicadas ao produto, legislações dos países onde será comercializado, diretivas para áreas classificadas ATEX/CE, diretivas ISO.
ETAPA 2 - Projetos conceituais de alternativas de trituradores para a aplicação (CONCLUÍDO)
Esboço de formas construtivas, elaboração de croquis, modelações 3D para validação de possíveis conceitos e simulações conceituais. Definição conceito mais viável.
ETAPA 3 - Projeto detalhado (CONCLUÍDO)
Desenhos 3D finais, desenhos 2D detalhados, dimensionamento de periféricos não fabricados.
Desenhos de montagem, listas de peças.
ETAPA 4 - Simulações numéricas (FASE ATUAL)
Analise aprofundado em fluidodinâmica computacional, análise de elementos finitos e memorial de cálculo para avaliação do escoamento e critérios de resistência dos componentes. 
ETAPA 5 - Fabricação de protótipo (FASE ATUAL)
Planejamento e programação da produção, emissão de ordens de fabricação, emissão de ordens de compra. Acompanhamento da produção analisando critérios de qualidade e prazos pré-definidos.
ETAPA 6 - Montagem e avaliação de possíveis melhorias na forma construtiva (NÃO INICIADA)
Relatório de montagem contendo dificuldades encontradas, erros de fabricação, sugestão de melhorias, correção de conceitos não funcionais.
ETAPA 7 - Testes de funcionamento, trituração e testes pertinentes para certificação ATEX (NÃO INICIADA)
Submeter o equipamento a todos os testes funcionais e operacionais nas suas especificações mais severas, testes para validação ATEX.
ETAPA 8 - Elaboração de documentação ISO, ATEX/CE, manuais e documentos técnicos para o setor comercial (NÃO INICIADA)
Portfólio técnico contendo relatórios, certificados, memoriais e toda a documentação exigida pelas normativas ISO e ATEX/CE. Elaboração de manual de instrução técnica. Elaboração de material técnico para vendas e aplicação.
</t>
  </si>
  <si>
    <t>Quais são os principais objetivos da certificação higiênica internacional para as bombas desenvolvidas pela empresa? Como essa certificação beneficia a empresa e seus clientes?</t>
  </si>
  <si>
    <t>2. Pode explicar como a série mancal 4 e a série mancal 5 diferem em termos de design e desempenho? Quais são os principais desafios técnicos enfrentados no desenvolvimento da série mancal 5 para alcançar uma vazão de 200 m³/h?</t>
  </si>
  <si>
    <t>3. Quais são os principais requisitos e desafios das normas 3A e EHEDG que afetam a fabricação das bombas de fusos higiênicas? Quais são os critérios específicos de acabamento e limpeza que precisam ser atendidos?</t>
  </si>
  <si>
    <t>Como a empresa está abordando a busca por alternativas e novas tecnologias, bem como materiais ou revestimentos que possam facilitar a fabricação das bombas higiênicas?
Poderia fornecer mais informações sobre o estudo de viabilidade de fabricação em série de corpos de bomba padronizados? Como isso pode afetar o lead time e a capacidade de atender à demanda do mercado?
No que diz respeito aos fusos das bombas, como as alterações no perfil estão sendo realizadas para melhorar o desempenho? Quais são os principais objetivos ao elaborar perfis alternativos?
Como as análises numéricas estão sendo utilizadas no desenvolvimento das bombas higiênicas? Quais são os principais resultados obtidos por meio dessas análises e como eles orientam o processo de projeto?
Existem planos para realizar testes laboratoriais específicos para comprovar o atendimento aos requisitos das normas 3A e EHEDG? Quais são os critérios para determinar o sucesso desses testes?</t>
  </si>
  <si>
    <t>NRD0000208 - Desenvolver bombas de fusos NOTOS 2NS</t>
  </si>
  <si>
    <t>Melhorar produtos existentes (funções, propriedades e/ou durabilidade)</t>
  </si>
  <si>
    <r>
      <rPr>
        <rFont val="Cairo"/>
        <color theme="1"/>
        <sz val="10.0"/>
      </rPr>
      <t xml:space="preserve">O presente projeto objetiva a melhoria da eficiência, durabilidade e confiabilidade do equipamento por meio da aplicação de novos materiais e revestimentos para bombeamento a seco e/ou com baixa viscosidade e lubricidade, assim como que otimizem o processo de fabricação, como materiais que não necessitem de nitretação para atingir as propriedades mecânicas mínimas para operação. Além desses  pontos, melhorias de projeto para adequá-lo para bombeamento de fluidos aerados e para redução dos impactos da implosão da fase gasosa, como vibração e ruído também serão analisados.
</t>
    </r>
    <r>
      <rPr>
        <rFont val="Cairo"/>
        <b/>
        <color theme="1"/>
        <sz val="10.0"/>
      </rPr>
      <t>Sub-projeto</t>
    </r>
    <r>
      <rPr>
        <rFont val="Cairo"/>
        <color theme="1"/>
        <sz val="10.0"/>
      </rPr>
      <t xml:space="preserve"> - Projetar uma bancada que atenda a todas as normas de segurança e ambiental para utilização de fluidos de alta periculosidade, como combustíveis inflamáveis e possibilitar os teste de refrigeração a prova de vazamentos e que direcione os gases em caso de explosão do fluido de teste.
</t>
    </r>
  </si>
  <si>
    <t>Tornar uma solução para o bombeamento de fluidos complexos de baixa viscosidade, lubrificidade ou aerados, além de atender condições severas de operação, como partida da bomba à seco (dry run) em aplicações onde a bomba não esteja escorvada no startup.</t>
  </si>
  <si>
    <t>Desenvolver novos materiais, revestimentos, tratamentos térmicos, acabamentos e formas construtivas que atendam tribologicamente, quimicamente e mecanicamente as condições de funcionamento, além de processos que substituam o tratamento de nitretação, com o objetivo de superar barreiras na operação em altas pressões e temperaturas, manejo de fluidos complexos, controle da implosão da fase gasosa, melhoria da eficiência energética, aumento da vida útil da bomba, redução de ruído e vibração, redução de custos entre outros.</t>
  </si>
  <si>
    <t>1. Analisar e reavaliar o projeto da linha 2NS por meio de cálculos empíricos, simulações e testes de performance e resistência utilizando softwares como Autodesk Inventor e Microsoft Excel. Estão sendo desenvolvidos simulações e testes de performance e resistência de componentes críticos em bancada, a fim de validar os dados calculados nos softwares citados. Os resultados já obtidos indicaram algumas inconsistências estruturais em projetos antigos que foram revisadas.
2. Aplicar a engenharia de materiais, submetendo novos materiais à análises químicas e mecânicas para simular as condições críticas de operação. Novas composições para aumento da vida útil e eficiência dos mancais de deslizamento estão sendo testadas, desde termoplásticos à revestimentos poliméricos e metálicos. Novos materiais para os fusos também estão na análise, com objetivo de reduzir o tempo de fabricação e custos, sem comprometer o desempenho.
3. Utilizar novas tecnologias de processos para manufatura dos materiais, como sinterização, manufatura aditiva, entre outras. Testes estão sendo desenvolvidos com novas tecnologias de manufatura para validar conceitos e agregar no desempenho mecânico de componentes críticos, como a sinterização nos mancais de deslizamento e a manufatura aditiva para uma análise ágil do novo design de componentes.
4. Realizar e acompanhar testes internos com objetivo de substituir o processo de nitretação por têmpera por indução. Em fase de simulações e dimensionamento dos parâmetros da têmpera para resultar nas propriedades mecânicas compatíveis ao processo tradicional.</t>
  </si>
  <si>
    <t>Quais são os principais objetivos deste projeto em termos de melhorias para o equipamento de bombeamento? Como essas melhorias afetarão sua eficiência, durabilidade e confiabilidade?</t>
  </si>
  <si>
    <t>Pode fornecer mais detalhes sobre como as melhorias propostas permitirão que o equipamento bombeie fluidos complexos de baixa viscosidade, lubrificidade ou aerados? Como isso se relaciona com a operação em condições severas, como partida a seco?</t>
  </si>
  <si>
    <t>Quais são os principais desafios no desenvolvimento de novos materiais, revestimentos e tratamentos térmicos para atender às condições de operação do equipamento? Como você planeja superar esses desafios?
Pode explicar em detalhes os processos que estão sendo explorados para substituir o tratamento de nitretação e como isso impactará o desempenho e a confiabilidade do equipamento?</t>
  </si>
  <si>
    <t>Quais materiais estão sendo submetidos a análises químicas e mecânicas para simular as condições críticas de operação? Que tipos de materiais estão sendo considerados para os mancais de deslizamento e fusos?
Como as novas tecnologias de processos, como a sinterização e a manufatura aditiva, estão sendo aplicadas para melhorar o desempenho mecânico dos componentes críticos? Quais resultados preliminares foram alcançados com essas abordagens?
Poderia fornecer mais informações sobre os testes internos que visam substituir o processo de nitretação por têmpera por indução? Como você está dimensionando os parâmetros da têmpera para atender às propriedades mecânicas desejadas?</t>
  </si>
  <si>
    <t>NRD0000209 - Desenvolver bombas de fusos NOTOS 3NS</t>
  </si>
  <si>
    <r>
      <rPr>
        <rFont val="Cairo"/>
        <color theme="1"/>
        <sz val="10.0"/>
      </rPr>
      <t xml:space="preserve">-Desenvolver dois tamanhos novos de bombas de três fusos para completar a linha 3NS utilizada em baixa pressão diferencial, os modelos são 3NS04/16H1E e 3NS10/16H2E (mancal 1 e 2). O projeto das bombas de mancal 3 ao mancal 8 já está concluído. As bombas de baixa pressão são utilizadas até a pressão diferencial de 16,0 bar, viscosidade de 1 a 1000cP, rotação de trabalho de 850 a 3600RPM.
-Desenvolver/aprimorar as bombas 3NS de alta pressão do modelo 3NS-/120H-E, as quais apresentaram bons resultados em campo mas necessitam de aprimoramento no projeto devido a presença de sólidos no fluído bombeado.
-Desenvolver/aprimorar uma variante do projeto 3NS de alta pressão do modelo 3NS-/120H-E que possa facilitar a manutenção em campo das bombas, ou seja, reduzir o tempo gasto na substituição de componentes desgastados.
</t>
    </r>
    <r>
      <rPr>
        <rFont val="Cairo"/>
        <b/>
        <color theme="1"/>
        <sz val="10.0"/>
      </rPr>
      <t>Sub-projeto</t>
    </r>
    <r>
      <rPr>
        <rFont val="Cairo"/>
        <color theme="1"/>
        <sz val="10.0"/>
      </rPr>
      <t xml:space="preserve"> - utilização da mesma bancada de teste do projeto NRD0000208</t>
    </r>
  </si>
  <si>
    <t>No desenvolvimento das bombas 3NS para baixa pressão, modelos 3NS-/16H-E, a carcaça completa com apenas dois componentes principais (corpo da bomba e tampa traseira) traz  dificuldades mais elevadas para o projeto, fundição e usinagem. Para o projeto e fundição, a dificuldade consiste na obtenção das peças sem falhas. O corpo da bomba é o componente que receberá todas as demais peças da bomba, possui câmaras de sucção, descarga e alojamento para válvula de alívio com geometrias complicadas e tamanhos reduzidos, além do design externo único necessário para a identificação da marca NETZSCH. Para a usinagem a barreia é usinar peças mais longas com precisão. O projeto necessita de desenvolvimento de revestimentos internos que permitam a utilização das bombas em fluídos de baixa viscosidade, afim de evitar o travamento nestas circunstâncias.</t>
  </si>
  <si>
    <t xml:space="preserve">No desenvolvimento das bombas 3NS para baixa pressão, modelos 3NS-/16H-E, a carcaça completa com apenas dois componentes principais (corpo da bomba e tampa traseira) traz  dificuldades mais elevadas para o projeto, fundição e usinagem. Para o projeto e fundição, a dificuldade consiste na obtenção das peças sem falhas. O corpo da bomba é o componente que receberá todas as demais peças da bomba, possui câmaras de sucção, descarga e alojamento para válvula de alívio com geometrias complicadas e tamanhos reduzidos, além do design externo único necessário para a identificação da marca NETZSCH. Para a usinagem a barreia é usinar peças mais longas com precisão. O projeto necessita de desenvolvimento de revestimentos internos que permitam a utilização das bombas em fluídos de baixa viscosidade, afim de evitar o travamento nestas circunstâncias.
-No desenvolvimento das bombas 3NS para alta pressão do modelo 3NS-/120H-E, o desafio está na usinagem de peças longas como o jogo de fusos e o corpo de desgaste. Estes comprimentos maiores são necessários para aumentar a quantidade de câmaras e assim garantir uma melhor distribuição da pressão no interior da bomba, e aumentar a área externa superficial dos fusos a qual irá aumentar a capacidade de carga radial hidrodinâmica dos fusos. Outro desafio é a identificação das folgas ideais que permitam a utilização das bombas em fluídos que contenham sólidos sem uma perda expressiva na eficiência volumétrica da bomba. A alteração da folga não deverá interferir significativamente no funcionamento dos mancais hidrodinâmicos formados entre o corpo de desgaste e a rotação dos fusos. Desenvolvimento de novos revestimentos também são necessários a fim de evitar o desgaste de peças rotativas internas por abrasão. O revestimento deverá ser compatível com a função de cada peça.
-No desenvolvimento da variante da bomba de alta pressão do modelo 3NS-/120H-E, o desafio consiste na reutilização do máximo de peças do projeto padrão, adaptando-o a uma nova fixação no lado da sucção do corpo da bomba. O desafio consiste em projetar/montar o cartucho da bomba na horizontal sendo que este possui massa elevada, inserindo-o dentro do corpo da bomba, sendo necessário equilibrar o cartucho pelo centro de massa evitando que suas vedações externas sejam danificadas durante a etapa de montagem. O que se revela um desafio de desenvolvimento em premissas totalmente novas para o equipamento. Desenvolvimento de dispositivo especial para a facilitar a montagem desta execução.
</t>
  </si>
  <si>
    <t xml:space="preserve">-A metodologia usada para desenvolver novos produtos consiste no conhecimento do produto, usando como base projetos já existentes. Desta forma, evitamos a ocorrência de erros básicos como por exemplo a correta analise de esforços internos da bomba, cargas radiais e axiais provenientes do ato de bombear, vazamentos internos necessários para o correto funcionamento do equipamento, furos de retorno de óleo para equilíbrio de pressão interna, etc.
-Para todos os estudos, iremos utilizar desenhos 2D, 3D, cálculos, simulações FEA Autodesk, montagens e testes de performance/funcionamento.
-Literaturas/fornecedores serão consultados referente a revestimentos que possam ser aplicados em componentes das bombas. Caso necessário, testes específicos podem ser necessários.
</t>
  </si>
  <si>
    <t>Quais são os principais objetivos deste projeto em relação ao desenvolvimento de novos tamanhos de bombas de três fusos? Como esses novos modelos completarão a linha existente?</t>
  </si>
  <si>
    <t xml:space="preserve"> Pode fornecer mais detalhes sobre as dificuldades relacionadas ao projeto, fundição e usinagem das bombas de baixa pressão, modelos 3NS-/16H-E? Como vocês planejam superar esses desafios, especialmente relacionados a fluídos de baixa viscosidade?</t>
  </si>
  <si>
    <t>Quais são os principais desafios no desenvolvimento das bombas de alta pressão do modelo 3NS-/120H-E, especialmente em relação à usinagem de peças longas e à identificação das folgas ideais para lidar com fluídos contendo sólidos?
No caso da variante da bomba de alta pressão do modelo 3NS-/120H-E, como vocês estão abordando o desafio de reutilizar o máximo de peças do projeto padrão e adaptá-lo a uma nova fixação no corpo da bomba?</t>
  </si>
  <si>
    <t>Qual é a abordagem geral para desenvolver novos produtos, baseada em projetos já existentes? Como vocês aplicam esse conhecimento para evitar erros e garantir o correto funcionamento das bombas?
Poderia fornecer mais detalhes sobre as ferramentas e métodos específicos que estão sendo usados para realizar cálculos, simulações FEA Autodesk, montagens e testes de performance/funcionamento?
Como vocês estão explorando revestimentos para componentes das bombas e quais critérios são considerados na seleção desses revestimentos? Quais testes específicos podem ser necessários?</t>
  </si>
  <si>
    <t>NRD0000210 - Desenvolver bombas de fusos NOTOS 4NS</t>
  </si>
  <si>
    <t>1 – Estudar a influência das proporções e o tamanho ideal do corpo bomba da série 4NS, com a finalidade de desenvolver mudanças construtivas para possibilitar o bombeio multifásico (necessário para o projeto NRD0000211), que também atenda as condições da bancada de teste da empresa.
2 – Promover mudanças nas bombas de toda série 4NS para possibilitar a montagem dos selos mecânicos tipo duplo cartucho do fabricante Burgmann da Alemanha. Fazer as mudanças em 3D e detalhar em 2D as peças que sofreram adaptações dimensionais.
3 – No projeto atual das bombas da série 4NS com selo mecânico simples cartucho, o retentor responsável pela vedação do óleo do mancal, está localizado dentro do cartucho do selo mecânico. Desenvolver o projeto retirando o retentor do cartucho do selo mecânico e locar o mesmo dentro do mancal. Fazer as mudanças em 3D e detalhar em 2D as peças que sofreram adaptações dimensionais.</t>
  </si>
  <si>
    <t>1 – Foram utilizados selos mecânicos tipo duplo cartucho específicos, na bomba, para o bombeio de fluídos com alta concentração de ar no fluído da bancada. Ar está usado para simular o gás num bombeio multifásico.
2 – Utilização de peças com redução de dimensões axiais que possibilitem a abertura de espaço para montagem dos selos mecânicos.
3 – Com o retentor localizado no mancal, fora do selo mecânico, a manutenção e troca do retentor pode ser feita sem a desmontagem do selo mecânico nem o envolvimento do fabricante do mesmo.</t>
  </si>
  <si>
    <t>1 – Em função da limitação de vazão da bancada de testes, a bomba escolhida foi o modelo 4NS142/40H1E, a menor da sério 4NS. A dificuldade está em encaixar dimensionalmente o selo mecânico na bomba.
2 – A dificuldade está em encaixar dimensionalmente  o selo mecânico, os canais de alimentação (entrada/saída) do fluído de barreira e os canais de dreno na bomba, sem alterar as dimensões externas da bomba.
3 – A dificuldade está em posicionar o retentor no mancal, possibilitando a sua fácil montagem/desmontagem preservando o tamanho do mancal e dimensões externas da bomba.</t>
  </si>
  <si>
    <t>1 – Estudar a influência das proporções e o tamanho ideal do corpo bomba da série 4NS, com a finalidade de desenvolver mudanças construtivas para possibilitar o bombeio multifásico (necessário para o projeto NRD0000211), que também atenda as condições da bancada de teste da empresa.
2 – Promover mudanças nas bombas de toda série 4NS para possibilitar a montagem dos selos mecânicos tipo duplo cartucho do fabricante Burgmann da Alemanha. Fazer as mudanças em 3D e detalhar em 2D as peças que sofreram adaptações dimensionais.
O trabalho é realizado em desenho em corte 2D, onde todas as peças a serem alteradas estão desenhadas montadas. Vai se ajustando uma em relação a outra simultaneamente, verificando também a sua funcionalidade. Após esta etapa é feita a modelagem em 3D das peças, simulações de resistência quando necessário, montagem em 3D da bomba completa e por último detalhamento das peças em 2D. Necessário para isto conhecimento do projetista, programas de desenhos 2D/3D e programa de simulação da AUTODESK.</t>
  </si>
  <si>
    <t>Pode explicar em detalhes como as mudanças construtivas no corpo da bomba da série 4NS irão possibilitar o bombeio multifásico? Como isso atenderá às condições da bancada de teste?
Quais são os principais objetivos ao promover mudanças nas bombas da série 4NS para possibilitar a montagem dos selos mecânicos tipo duplo cartucho? Quais benefícios isso trará?
Como a localização do retentor dentro do mancal, fora do selo mecânico, afetará a manutenção e a troca do retentor nas bombas da série 4NS?</t>
  </si>
  <si>
    <t>Pode detalhar como a utilização de selos mecânicos tipo duplo cartucho específicos na bomba permite o bombeio de fluidos com alta concentração de ar? Como isso é relevante para o projeto?
Como as peças com redução de dimensões axiais contribuem para abrir espaço para montagem dos selos mecânicos? Quais são as vantagens dessa abordagem?
Quais são os benefícios da localização do retentor no mancal, fora do selo mecânico, em termos de manutenção e troca do retentor?</t>
  </si>
  <si>
    <t>Quais são os principais desafios dimensionais ao encaixar o selo mecânico na bomba 4NS142/40H1E devido à limitação de vazão da bancada de testes?
Como vocês planejam abordar as dificuldades dimensionais ao encaixar o selo mecânico, os canais de alimentação e dreno na bomba sem alterar as dimensões externas?
Pode explicar como vocês pretendem posicionar o retentor no mancal para facilitar a montagem/desmontagem preservando o tamanho do mancal e dimensões externas da bomba?</t>
  </si>
  <si>
    <t>Pode descrever o processo de estudo das proporções e tamanho ideal do corpo bomba da série 4NS para possibilitar o bombeio multifásico e como isso é feito em relação às condições da bancada de teste?
Qual é o método utilizado para promover mudanças nas bombas da série 4NS para permitir a montagem dos selos mecânicos tipo duplo cartucho? Como é feito o detalhamento em 2D e 3D das peças alteradas?
Pode fornecer mais informações sobre o processo de trabalho em desenho em corte 2D, modelagem em 3D, simulações de resistência e montagem em 3D das bombas? Quais programas de desenho e simulação da AUTODESK são utilizados?</t>
  </si>
  <si>
    <t>NRD0000211 - Desenvolver bombas de fusos multifasicas NOTOS 4NSM</t>
  </si>
  <si>
    <t>Desenvolver bombas de fusos multifásicas baseado em conceitos matemáticos ainda não validados. Para isso há necessidade de realizar testes com protótipos. Foi trabalhado principalmente no desenvolvimento forma analítica de calcular o regime multifásico deste tipo de bomba.</t>
  </si>
  <si>
    <t>A nossa bomba de fusos multifásica NOTOS®  terá a capacidade de manusear líquido e gás e será utilizada principalmente no sistema de elevação artificial de petróleo com o intuito de acelerar a produção, diminuindo a pressão na cabeça do poço e/ou aumentando a pressão de descarga para compensar a perda de carga da tubulação. Não havendo a necessidade de sistemas de separação, além de eliminar a queima de gás.</t>
  </si>
  <si>
    <t>- Como criar um sistema otimizado que seja acoplado a bomba multifásica e que garanta uma vazão mínima de líquido no interior da bomba, afim de garantir a selagem hidrodinâmica das folgas existentes entre os elementos bombeadores e simultaneamente realize a dissipação do calor gerado pela compressão do gás no interior das câmaras, afim de garantir o rendimento volumétrico e a autonomia do sistema em altas frações de gás na linha do cliente;
- Como minimizar o percentual de líquido que precisa recircular na bomba, quando há uma alta fração de gás na linha do cliente (&gt;85%). Atualmente, a bomba está precisando de aproximadamente 15% de líquido recirculando para garantir o funcionamento;
- Adquirir conhecimento em sistemas de controle e especificação de instrumentações adequados para atmosferas explosivas (Certificação ATEX) à elaboração do P&amp;ID e do diagrama funcional do sistema, com análise de causa e efeito dos controles / sensores.
- Como minimizar o percentual de líquido que precisa recircular na bomba, quando há uma alta fração de gás na linha do cliente (&gt;85%). Atualmente, a bomba está precisando de aproximadamente 15% de líquido recirculando para garantir o funcionamento;
- Adquirir conhecimento em sistemas de controle e especificação de instrumentações adequados para atmosferas explosivas (Certificação ATEX) à elaboração do P&amp;ID e do diagrama funcional do sistema, com análise de causa e efeito dos controles / sensores.</t>
  </si>
  <si>
    <t>1. Estudar / pesquisar metodologias de cálculos analíticos para mensurar / predizer o slip da bomba multifásica, em função do percentual de gás, rotação, pressão diferencial, pressão de sucção, viscosidade, afim de prever / mapear a vazão da bomba;
2.  Estudar / calcular a geração de calor por compressão da fase gasosa (termodinâmica) e a dissipação de calor através da fase líquida, considerando um regime de escoamento adiabático;
3. Teste de performance da bomba multifásica e avaliação do resultados (comparativo teórico x real) com protótipos para verificar a eficiência do equipamento em várias faixas de operação e geometrias de fusos;
4. Projetar um skid com separador de fases líquido / gás com alta eficiência (Simulação CFD - Bifásico) e posterior produção e teste do skid completo (Bomba + separador de fases).</t>
  </si>
  <si>
    <t>Pode fornecer mais detalhes sobre como vocês pretendem desenvolver as bombas de fusos multifásicas com base em conceitos matemáticos ainda não validados? Quais são os principais objetivos dessas bombas?
Como a bomba multifásica NOTOS® vai lidar com líquido e gás? Pode explicar como isso pode acelerar a produção de petróleo e eliminar a necessidade de sistemas de separação e queima de gás?</t>
  </si>
  <si>
    <t>3. Pode explicar como a bomba multifásica NOTOS® conseguirá manusear líquido e gás? Como isso afetará a pressão na cabeça do poço e a pressão de descarga? Quais são as principais vantagens em termos de eficiência e impacto ambiental?</t>
  </si>
  <si>
    <t xml:space="preserve"> Como vocês planejam criar um sistema otimizado para a bomba multifásica que garanta uma vazão mínima de líquido e dissipe o calor gerado pela compressão do gás? Quais são os principais desafios técnicos nesse aspecto?
Pode explicar como pretendem minimizar o percentual de líquido que precisa recircular na bomba quando há uma alta fração de gás na linha do cliente? Quais estratégias estão sendo consideradas?
Como estão abordando o desafio de adquirir conhecimento em sistemas de controle e especificação de instrumentações adequados para atmosferas explosivas (Certificação ATEX) e como isso se relaciona com o projeto?</t>
  </si>
  <si>
    <t>Como estão calculando a geração de calor por compressão da fase gasosa e sua dissipação através da fase líquida? Quais são os resultados esperados desses cálculos para garantir o funcionamento eficiente da bomba?
Pode fornecer mais informações sobre os testes de performance da bomba multifásica com protótipos? Como esses testes contribuirão para verificar a eficiência do equipamento em diferentes situações?
Como está sendo projetado o skid com separador de fases líquido/gás de alta eficiência? Quais são as expectativas em relação aos resultados da simulação CFD e do teste do skid completo?</t>
  </si>
  <si>
    <t>NRD0000212 - Bancada de Testes - Óleo Diesel</t>
  </si>
  <si>
    <t>PA, Melhoria do processo de fabricação</t>
  </si>
  <si>
    <r>
      <rPr>
        <rFont val="Cairo"/>
        <strike/>
        <color theme="1"/>
        <sz val="10.0"/>
      </rPr>
      <t>Desenvolver fornecedores para os equipamentos necessários na bancada de teste, como também a automação necessária para o trabalho remoto.</t>
    </r>
    <r>
      <rPr>
        <rFont val="Cairo"/>
        <color theme="1"/>
        <sz val="10.0"/>
      </rPr>
      <t xml:space="preserve"> Desenvolver um sistema de refrigeração a prova de vazamentos do fluido de teste. Criar um conceito que permita o isolamento da bancada de teste e que direcione os gases em caso de explosão do fluido de teste.</t>
    </r>
  </si>
  <si>
    <t>Desenvolver uma bancada de testes de bombas com fluidos de alta periculosidade.</t>
  </si>
  <si>
    <t>Projetar uma bancada que atenda a todas as normas de segurança e ambiental para utilização de fluidos de alta periculosidade, como combustíveis inflamáveis.</t>
  </si>
  <si>
    <t>1. Analisar em conjunto com o departamento de SSMA todas as normas que se aplicam a este projeto. 
2. Verificar com fornecedores a disponibilidade de equipamentos que atendam as normativas. 
3. Desenvolver um conceito de sistema de refrigeração do fluido que impeça vazamentos do fluido de teste. 
4. Desenvolver a automação necessária para operar de forma segura a bancada remotamente .</t>
  </si>
  <si>
    <t>NRD0000215 - Composto de poliuretano NEMOLAST® 74</t>
  </si>
  <si>
    <t>DE, conceito construtivo</t>
  </si>
  <si>
    <t>Desenvolver um composto a base de poliuretano líquido de base poliéster + endurecedor (bi-componente) que possua dureza de 75 Shore A, resistência à abrasão inferior a 40 mm³, resistência química a fluidos de mineração e outros de referência. Esse composto será utilizado para fabricação de estatores para a bomba NEMO®, com potencial de fabricação de lóbulos para as bombas TORNADO®.</t>
  </si>
  <si>
    <t>O processo de fabricação do poliuretano líquido exige equipamentos e técnicas distintas. Necessita de um reator com uma bomba de vácuo e uma estufa de convecção. Esses equipamentos já estão sendo adquiridos, entretanto, os dois componentes da formulação do composto também precisam devem atender alguns requisitos não somente técnicos, mas também serem aceitos pela REACH, pelo medicina ocupacional da empresa para não causar nenhum dano para a saúde dos operadores. No quesito técnico, o tempo de vida desse composto deve ser alto a ponto de permitir a fabricação de estatores compridos sem que eles endureçam no processo de derramamento. Desta forma, o elemento inovador foi o desenvolvimento em conjunto com o fornecedor no desenvolvimento de dois componentes aptos ao nosso processo e regulamentações.</t>
  </si>
  <si>
    <t>Necessidade de desenvolver uma formulação nova para o mundo, que alcance os parâmetros desejados para as propriedades finais do composto, principalmente resistência à abrasão excelente, atendesse a especificação REACH, mas também as normas trabalhistas brasileiras que restringem a utilização do MOCA (diamina) e do 1,4 butanodiol como endurecedores (extensores de cadeia) no processo de cura do poliuretano e encontrar fornecedores desse poliuretano bi-componente. Outra barreira foi o processo de fabricação que necessitou de aquisições e adequações da fábrica para viabilizar todo o processo produtivo, principalmente com os cuidados no isolamento de absorção de umidade que é extremamente prejudicial à cura do poliuretano.</t>
  </si>
  <si>
    <t>As matérias primas se referem à Pré polímero a base de poliéster mais o curativo (extensor de cadeia). trazendo exigências técnicas à ter uma dureza de 75 Shore A, uma resistência à abrasão inferior a 40 mm³, uma resistência química a fluidos de mineração. Os equipamentos utilizados necessitam de um reator com uma bomba de vácuo e uma estufa de convecção. A metodologia utilizada para definir a busca destes materiais inicialmente foi relacionada à busca desses materiais, através de informações de fabricantes desses produtos químicos e através de varredura feita pela internet e produtores nacionais. O médico do trabalho juntamente com a área de engenharia de segurança também atuaram na avaliação/permissão da entrada dos produtos dentro da empresa para os testes.
1. Busca mundial através de informações de fabricantes de produtos químicos de polímero e através de varredura feita pela internet e produtores nacionais por um pré polímero à base de poliéster mais o curativo (extensor de cadeia) que atendam às exigências técnicas, por exemplo de ter uma dureza de 75 Shore A, uma resistência à abrasão inferior a 40 mm³, uma resistência química a fluidos de mineração e outros.
2. Busca equipamento como um reator com uma bomba de vácuo e uma estufa de convecção capaz de processar essas matérias primas. 
3. Pesquisa de literatura sobre os processos de produção de polímeros. 
4. Desenvolver uma formulação de PU líquido que se adeque primeiramente em nosso processo piloto de laboratório, com produtos químicos que atendam às legislações trabalhistas e REACH (Europa). 
5. A validação do processo de fabricação e das propriedades físicas e químicas do material, em que existem limites máximos e mínimos a serem atingidos para posterior liberação. 
6. Os seguintes ensaios devem ser realizados: Dureza, Rheometria, Viscosidade, Compatibilidade química com fluidos de referência, Dispersão de negro de fumo, Tração, Rasgo, adesão em metal, abrasão, resiliência, Deformação permanente a compressão, DSC, DMA, TGA.</t>
  </si>
  <si>
    <t>NRD0000219 - Reengenharia de um plano de selagem conforme API</t>
  </si>
  <si>
    <t>Projetar um plano de selagem tipo API 53B intercambiável entre os mais diversos equipamentos Netzsch nos moldes da norma API 682. O desenvolvimento deverá criar uma estrutura simplificada com materiais alternativos aos utilizados atualmente nas selagens NETZSCH</t>
  </si>
  <si>
    <t>Desenvolver um plano de selagem auxiliar intercambiável de lubrificação e refrigeração do tipo API 53B, com a possibilidade de ser aplicado em diversos modelos de bombas Netzsch e atender variadas aplicações.</t>
  </si>
  <si>
    <t>A concepção do projeto deve superar a falta de experiência da empresa com a funcionalidade e conceitos construtivos pretendidos, a severa limitação de equipamentos a serem estudados e de literatura disponível sobre projetos de planos de selagem.</t>
  </si>
  <si>
    <t>1. Analisar a norma API 682 para verificar as principais diretrizes envolvidas com o projeto de um plano de selagem. (CONCLUÍDO)
2. Aplicar o conceito de engenharia reversa para analisar um equipamento comprado com o intuito de compreender seu funcionamento, verificar características construtivas e definir materiais empregados em sua fabricação. (CONCLUÍDO)
3. Realizar projeto conceitual buscando simplificar a estrutura, instrumentação, tubulação e trocador de calor. (CONCLUÍDO)
4. Efetuar levantamento de orçamentos dos componentes e serviços envolvidos na fabricação. (CONCLUÍDO)
5. Comprar ou fabricar todos os componentes necessários. (FASE ATUAL)
6. Montar protótipo. (FASE ATUAL)
7. Realizar levantamento do custo de montagem. (FASE ATUAL)
8. Comparar custos finais de fabricação com os custos de aquisição de um equipamento pronto. (FASE ATUAL)
9. Testar a funcionalidade do equipamento e elaborar documentação e relatórios pertinentes. (FASE ATUAL)</t>
  </si>
  <si>
    <t>Pode fornecer mais detalhes sobre o plano de selagem tipo API 53B intercambiável que está sendo projetado para equipamentos Netzsch? Quais são os principais objetivos e vantagens desse plano de selagem?</t>
  </si>
  <si>
    <t>Como esse plano de selagem auxiliar intercambiável de lubrificação e refrigeração do tipo API 53B inova em relação aos sistemas de selagem convencionais? Quais são os benefícios de sua aplicação em diversos modelos de bombas Netzsch e aplicações variadas?</t>
  </si>
  <si>
    <t>Como estão abordando a falta de experiência da empresa com os conceitos construtivos pretendidos e a limitação de equipamentos a serem estudados? Quais estratégias estão sendo implementadas para mitigar esses riscos?</t>
  </si>
  <si>
    <t>Pode explicar em detalhes o processo de engenharia reversa que foi aplicado para analisar um equipamento comprado? Quais informações relevantes foram obtidas através desse processo?
Quais são as principais simplificações e melhorias que estão sendo consideradas no projeto conceitual do plano de selagem? Como essas mudanças afetarão a estrutura, instrumentação, tubulação e trocador de calor?
Qual é a abordagem para montar o protótipo do plano de selagem intercambiável? Quais componentes estão sendo comprados ou fabricados? Como será conduzido o teste de funcionalidade do equipamento?</t>
  </si>
  <si>
    <t>NRD0000221 - Melhorias na forma construtiva do freio tipo AP para cabeçotes</t>
  </si>
  <si>
    <t>Desenvolver uma forma construtiva de um freio tipo AP para cabeçotes a qual melhora a capacidade de frenagem ao alterar as geometrias, quantidade de aletas, perfil de aleta e tipo ou viscosidade de óleo utilizado.</t>
  </si>
  <si>
    <t>Desenvolver um perfil de aleta, possível de se fabricar e que melhore a eficiência de frenagem do equipamento. Desta forma podendo ampliar a gama de aplicação do produto em campo.</t>
  </si>
  <si>
    <t xml:space="preserve">Criar um modelo ideal via simulação que possa garantir sua fabricação, analisando e estudando os processos de fundição juntamente com o fornecedor, pois o processo de fundição traz diversas limitações devido à complexidade das peças.
Como não existe nada similar a este freio nas literaturas, o desenvolvimento de uma simulação para o freio é um grande desafio, fazendo com que seja necessário estudar várias literaturas complementares para conseguir atingir o objetivo final.
</t>
  </si>
  <si>
    <t xml:space="preserve">Avaliar os pontos de entrada e saída do óleo dentro do freio, assim como a quantidade de aletas e sua distribuição ao redor do diâmetro. Avaliar a alteração da capacidade de frenagem com alteração da viscosidade e temperatura do óleo utilizado durante a frenagem. Desta forma podendo aplicar o freio em equipamentos maiores, ondem tem a necessidade de uma maior capacidade de frenagem.
Atividades realizadas:
* Simulações para avaliação do comportamento do fluido e avaliação do torque hidráulico do freio (CFD).
* Estudo de parametrização, condições de contorno, turbulência, camada limite e análise de dados (CFD).
* Estudo de definições e aplicações de "Rotation Region" e "Motion".
* Brainstorming dos estudos e resultados obtidos nas simulações (CFD) e comparando com os resultados obtidos nos testes práticos anteriores.
*Desenvolvimento de modelos 3D e aprimoramento de modelos para simulações (CFD).
*Análise dos resultados simulados x teste prático da geometria atual para validação da simulação.
*Acompanhamento das simulações (CFD).
Todos os tópicos acima já foram finalizados, porém o software utilizado para rodar as simulações não convergiu para os resultados necessários. Assim foi constado que a malha de simulação estática aplicada no software não era suficiente para chegar nos resultados da simulação.
Assim sendo necessário iniciar do zero os estudos em outro software, onde seja possível aplicar uma malha dinâmica na simulação. Estudos estes ainda não iniciados para o freio. 
</t>
  </si>
  <si>
    <t>Qual é a principal motivação para desenvolver uma forma construtiva melhorada para o freio tipo AP? Quais benefícios você espera alcançar com essas melhorias nas geometrias, quantidade de aletas, perfil de aleta e tipo de óleo?</t>
  </si>
  <si>
    <t>Pode fornecer mais detalhes sobre o perfil de aleta que está sendo desenvolvido? O que o torna único e inovador em relação às soluções existentes? Como você espera que esse perfil de aleta melhore a eficiência de frenagem?</t>
  </si>
  <si>
    <t>Você poderia explicar mais sobre os desafios técnicos enfrentados ao criar um modelo ideal via simulação e estudar os processos de fundição? Quais são as principais limitações associadas ao processo de fundição para este freio?
Como está abordando o desafio de desenvolver uma simulação para o freio quando não há literatura similar disponível? Quais literaturas complementares estão sendo consideradas e como elas ajudarão na simulação?</t>
  </si>
  <si>
    <t>Pode explicar em detalhes como as simulações estão sendo usadas para avaliar o comportamento do fluido e o torque hidráulico do freio? Quais parâmetros específicos estão sendo estudados nas simulações?
Qual é o propósito de estudar "Rotation Region" e "Motion" nas simulações? Como esses estudos contribuem para o desenvolvimento do freio?
Você pode explicar como a malha de simulação estática usada anteriormente não convergiu para os resultados necessários e por que é necessário começar do zero com um software diferente que permite malha dinâmica?</t>
  </si>
  <si>
    <t>NRD0000222 - Estudo de processos, melhorias e materiais N.Mac</t>
  </si>
  <si>
    <t>Estudo de aperfeiçoamento constantes dos equipamentos N.Mac, visando aprimorar processos de fabricação e montagem, otimizar seu funcionamento e desenvolver novas configurações de geometrias e materiais, a fim de abranger novas aplicações.</t>
  </si>
  <si>
    <t>Projetar limpadores embutidos na laterais, que garantam maior resistência mecânica para aplicações severas, cortadores com maior número de dentes e novas geometrias que permitam ampliar a gama de aplicação.
Projetar tampas flange modulares que possibilitem acoplar acionamentos especiais.
Desenvolver carcaças e cortadores em aço inoxidável, bem como revestimentos superficiais que permitam aplicação em ambientes suscetíveis a maior corrosão.</t>
  </si>
  <si>
    <t>Com o aumento e expansão das aplicações dos trituradores de duplo eixo, surgiram condições consideradas severas e que impactam diretamente na vida útil do equipamento.
A NETZSCH ainda não havia desenvolvido processos de fabricação, tratamentos térmicos (têmpera por indução e a banho) e materiais/revestimentos especiais que permitissem elevar a resistência mecânica, resistência ao desgaste (abrasivo e adesivo) e resistência à corrosão das peças em contato com os fluidos.
A NETZSCH ainda não havia desenvolvido geometrias de blocos de facas que atendessem aplicações específicas de trituração: grandes tubérculos (perfil de facas sem helicoide e com ângulo de ataque elevado); produtos de higiene pessoal em linha de esgoto (blocos de facas com grande quantidade de dentes e perfil pequeno); materiais fibrosos que enroscam nas facas (blocos de facas com perfil de duplo corte, permitindo o rasgamento independente do sentido de giro).
Nosso projeto de limpadores na versão canal apresentou fragilidade em algumas aplicações específicas de grande volume de sólidos, surgindo a necessidade de desenvolver um novo projeto com maior resistência mecânica. Contudo, existe um aumento de perda de carga na linha, que deve ser considerado no dimensionamento da instalação do cliente.
Existem aplicações onde fica inviável a utilização de tubos prolongadores para distanciar o acionamento (área seca) do triturador (área molhada). Surgiu a necessidade de desenvolver um projeto sem precedentes na NETZSCH para acionamentos submersíveis.</t>
  </si>
  <si>
    <t>ETAPA 1 – Análise bibliográfica de patentes, normas, artigos científicos e literatura sobre prototipagem e métodos de fabricação. (CONCLUÍDO)
Analisar patentes, artigos científicos, métodos de fundição, métodos de prototipagem, métodos de manufatura aditiva, métodos de usinagem para avaliação de possíveis melhorias no processo de fabricação dos componentes. 
ETAPA 2 – Análise de materiais, processos de beneficiamento e viabilização da fabricação dos componentes. (FASE ATUAL)
Analisar materiais alternativos e processos de tratamento térmico, termoquímico, químico, etc., para viabilizar a fabricação de componentes com maior confiabilidade e que salvaguardem a segurança dos componentes dos trituradores. 
ETAPA 3 – Estudo de simulações FEA e Térmica. (NÃO INICIADA)
Desenvolver conhecimento técnico e métodos para simulações numéricas para estudos de casos mais robustos. 
ETAPA 4 – Documentações  e relatórios de testes das melhorias. (FASE ATUAL)
Desenvolver projetos, adaptações, testes e documentações que visam comprovar que os equipamentos atendam a critérios de normas de  segurança ou diretrizes vigentes para aplicações específicas.</t>
  </si>
  <si>
    <t>Pode fornecer exemplos de aplicações específicas em que os trituradores de duplo eixo da NETZSCH são utilizados? Como essas melhorias nos equipamentos N.Mac podem expandir essas aplicações?</t>
  </si>
  <si>
    <t>Como exatamente os limpadores embutidos nas laterais melhorarão a resistência mecânica dos equipamentos? Quais são os principais desafios ao projetar esses limpadores embutidos?
Pode explicar como as tampas flange modulares podem acomodar acionamentos especiais? Quais são os benefícios dessa abordagem modular?
Quais são os materiais e revestimentos superficiais específicos que estão sendo desenvolvidos para permitir a aplicação dos trituradores N.Mac em ambientes suscetíveis a maior corrosão? Como essas soluções contribuirão para a resistência à corrosão?</t>
  </si>
  <si>
    <t>Pode fornecer exemplos de condições severas em que os trituradores de duplo eixo são utilizados e que impactam sua vida útil? Como essas condições levaram à necessidade de desenvolver processos de fabricação, tratamentos térmicos, materiais e geometrias específicas?
Como o projeto de limpadores na versão canal apresentou fragilidade em algumas aplicações específicas, o que está sendo feito para desenvolver um novo projeto com maior resistência mecânica? Como você planeja abordar o aumento da perda de carga na linha?
Quais são os desafios específicos associados ao desenvolvimento de um projeto de acionamentos submersíveis que são inviáveis de utilizar tubos prolongadores? Como essa nova abordagem será implementada?</t>
  </si>
  <si>
    <t>Pode explicar como a análise bibliográfica de patentes, normas e literatura científica está sendo usada para orientar o aprimoramento dos equipamentos N.Mac? Quais são algumas das descobertas ou insights dessa análise até agora?
Quais materiais alternativos estão sendo considerados para a fabricação dos componentes dos trituradores e como eles podem melhorar a confiabilidade dos equipamentos? Como os processos de tratamento térmico estão sendo aplicados?
Quando você menciona simulações FEA e Térmicas na Etapa 3, quais aspectos específicos dos equipamentos N.Mac serão avaliados por meio dessas simulações? Como essas simulações contribuirão para o projeto?
Quais são os principais critérios de segurança ou diretrizes que você busca atender com os projetos, adaptações e testes realizados na Etapa 4? Como você planeja documentar e relatar os resultados desses testes?</t>
  </si>
  <si>
    <t>NRD0000223 - Lanterna para injeção de químicos em poços de petróleo</t>
  </si>
  <si>
    <t xml:space="preserve">Subprojeto 1 - Desenvolver uma lanterna para cabeçotes que permite a injeção de químicos em poços de petróleo.
Subprojeto 2 - Desenvolver uma lanterna para cabeçotes que permite a produção de petróleo pelo interior da haste oca, e a injeção de óleo lubrificante entre haste e tubing.
</t>
  </si>
  <si>
    <t xml:space="preserve">Subprojeto 1 -Desenvolver uma lanterna para injeção de químicos em poços de petróleo por meio de uma haste oca, sem parar a operação do cabeçote. Como hoje não existe nada para essa aplicação no mercado, não existe referências ou bases para o projeto. Sendo assim um desenvolvimento pioneiro no mundo do petróleo, de forma a fazer a empresa ampliar o portfólio de aplicações e soluções para os clientes.
Subprojeto 2 - Desenvolver uma lanterna para cabeçotes que permite a produção de petróleo pelo interior da haste oca, e a injeção de óleo lubrificante entre haste e tubing. Seguindo este projeto a partir do desenvolvimento para o subprojeto 1.
</t>
  </si>
  <si>
    <t xml:space="preserve">Subprojeto 1 - Lanterna para injeção de químicos em poços de petróleo com certificação para atmosfera explosiva (ATEX). Usada para a injeção de diluente tipo Xileno e água quente. O Xileno e a água quente devem ser injetados na lanterna do cabeçote dentro de uma haste oca. Este produto injetado será utilizado para diluir o produto a ser bombeado no fundo do poço. E o desafio é garantir que o Xileno não tenha contato com o meio externo, pois nenhum vazamento de Xileno para o ambiente é permitido. O material da vedação entre o xileno e ambiente externo deve ser quimicamente compatível, e de geometria simples para facilitar sua fabricação e montagem.
Garantir a resistência mecânica necessária de cargas axiais, torque e compatibilidade química da haste de injeção, pois terá um furo central e furos radiais para entrada do produto injetado. Como o projeto é algo pioneiro no mundo do petróleo, não existem referências para o desenvolvimento. Desta forma fazendo com que seja um desafio o desenvolvimento da solução.
Subprojeto 2 - Desenvolver a lanterna para que o petróleo seja produzido dentro da haste oca, e entre a haste e o tubing seja injetado óleo para lubrificar o sistema e reduzir o contato tubing x hastes. Para este projeto não é necessário todos os artefatos utilizados para vedar a lanterna de xileno (Subprojeto 1), pois aqui pode ser utilizado a lanterna de Cabeçotes padrão com conexões para coleta de vazamento das vedações. A barreira tecnológica é garantir que esta haste oca suporte as altas cargas axiais e torque envolvidos, pois há diversas limitações de materiais e principalmente de dimensões e também aprovar o funcionamento do sistema via testes em bancada e após validar em campo. Assim tento este subprojeto como um mais simples que o subprojeto 1, onde após a validação do subprojeto 2. Que consiste basicamente no funcionamento da ideia, podemos seguir com o projeto 1 e realizar as devidas validações ATEX e testes para garantir o não contado de xileno com o ambiente externo.
</t>
  </si>
  <si>
    <t>Elaborar desenho 3D, desenvolver estudos para aplicar as literaturas em simulações FEA e CFD, validando assim a resistência mecânica dos componentes e analisando a perda de carga do conjunto, assim garantindo que o protótipo irá operar. Desenvolver um cálculo analítico com base nas literaturas, a fim de garantir os dados simulados. Avaliar funcionamento do componente, avaliar instrumentações, elaborar memorial de cálculo, detalhamento de desenhos, estudo e definição de materiais e processo de fabricação das peças e fabricação de protótipo, teste de protótipo, avaliação de resultados e elaboração de material técnico para vendas.</t>
  </si>
  <si>
    <t>Subprojeto 1 - Lanterna para injeção de químicos em poços de petróleo:
Como garantir a injeção precisa de químicos em poços de petróleo por meio de uma haste oca, sem interromper a operação do cabeçote?
Quais materiais de vedação são quimicamente compatíveis com o Xileno e como projetar essa vedação de maneira eficaz?
Como garantir a resistência mecânica da haste de injeção, considerando os furos radiais e o furo central?
Quais são os desafios específicos de desenvolver uma solução pioneira no mundo do petróleo?
Subprojeto 2 - Lanterna para produção de petróleo no interior da haste oca:
Como viabilizar a produção de petróleo dentro da haste oca e a injeção de óleo lubrificante para reduzir o atrito entre a haste e o tubing?
Quais são as limitações de materiais e dimensões envolvidas na criação dessa solução?
Como garantir que a haste oca suportará as cargas axiais e torques elevados?
Quais os desafios associados ao desenvolvimento de uma solução sem precedentes nessa aplicação?</t>
  </si>
  <si>
    <t>Subprojeto 1 - Lanterna para injeção de químicos em poços de petróleo:
Qual é a proposta de inovação para essa lanterna em relação às soluções existentes no mercado?
Como essa lanterna pioneira atenderá às necessidades específicas da indústria de petróleo em relação à injeção de químicos?
Subprojeto 2 - Lanterna para produção de petróleo no interior da haste oca:
Como essa lanterna se diferencia das soluções existentes e o que a torna inovadora?
De que forma ela atenderá às necessidades específicas da produção de petróleo no interior da haste oca?</t>
  </si>
  <si>
    <t>Subprojeto 1 - Lanterna para injeção de químicos em poços de petróleo:
Quais são os principais riscos associados ao desenvolvimento dessa lanterna, considerando a necessidade de certificação para atmosfera explosiva (ATEX)?
Como lidar com o desafio de garantir que o Xileno não tenha contato com o ambiente externo durante a injeção?
Quais são os desafios técnicos específicos que podem surgir ao projetar uma solução sem precedentes no setor petrolífero?
Subprojeto 2 - Lanterna para produção de petróleo no interior da haste oca:
Quais são os principais riscos associados ao desenvolvimento dessa lanterna, considerando a produção de petróleo dentro da haste oca?
Como garantir que a haste oca suporte as cargas e torques elevados?
Quais são os desafios técnicos mais críticos relacionados a essa solução?</t>
  </si>
  <si>
    <t>Subprojeto 1 - Lanterna para injeção de químicos em poços de petróleo:
Como será realizado o processo de projeto e desenvolvimento dessa lanterna, considerando a necessidade de inovação?
Quais métodos de simulação, testes e prototipagem serão empregados para validar a resistência mecânica e a eficácia da vedação?
Como será o processo de certificação ATEX para garantir a segurança da operação?
Subprojeto 2 - Lanterna para produção de petróleo no interior da haste oca:
Como será conduzido o processo de projeto e desenvolvimento dessa lanterna, levando em conta a inovação proposta?
Quais métodos de simulação, testes e prototipagem serão utilizados para validar o funcionamento do sistema e a resistência da haste oca?
Como será a fase de testes em campo para garantir a eficácia da solução?</t>
  </si>
  <si>
    <t>NRD0000226 - Desenvolver um plano de selagem conforme API 54</t>
  </si>
  <si>
    <t>Desenvolver estatores com parede uniforme de elastômero para a linha de bombas NM com uma pressão por estágio mais alta do que nos estatores padrão. Os estatores devem ser intercambiáveis com os estatores padrão da linha NM. Os estatores serão feitos em um comprimento padrão de 5 estágios e cortados conforme necessidade.</t>
  </si>
  <si>
    <t>Projetar um novo conceito de interface de estatores ainda não conhecido no mundo de bombas helicoidais, sem extremidades pré-moldadas onde a vedação ocorra nas cortes transversais de estatores. Desse modo os estatores podem ser produzidos num comprimento único mais longo e posteriormente cortados nos comprimentos desejados. Os estatores também serão mantidos intercambiáveis com os estatores padrão da linha NM através de uso de adaptadores.</t>
  </si>
  <si>
    <t>Criar uma conexão entre estator e corpo da bomba que permite vedar a pressão interna independentemente do comprimento do estator e local dos cortes através de adaptadores que apertam a face lateral de elastômero na região do corte.</t>
  </si>
  <si>
    <t>1.      Estudar conceitos existentes para conectar estatores com peças adjacentes como corpo da bomba.
2.      Estudar as possibilidades de um novo conceito que permita o uso de estatores de qualquer comprimento que seja menor que o original e mantem intercabiabilidade com os estatores existentes e não exige extremidades pré-moldadas.
3.      Criar um protótipo de conceito.
4.      Realizar um teste hidrostatico com o protótipo para comprovar a estanquedade da peça e sua vedação.
5.      Projetar os diversos modelos de estatores com parede uniforme de elastômero.
6.      Calcular as dimensões de cada molde (ferramenta) baseado na contração dos elastômeros previstos.
7.      Projetar os adaptadores entre tubo conformado e interfaces existentes da bomba helicoidal.
8.      Fabricar os novos moldes (ferramentas), estatores e adaptadores.
9.      Fazer um teste de performance para verificar a eficácia da vedação e o bom funcionamento da bomba.</t>
  </si>
  <si>
    <t>Como o novo design de estatores com parede uniforme de elastômero se diferencia dos estatores padrão da linha NM em termos de pressão por estágio e intercambiabilidade?
Qual é o principal objetivo ao permitir que os estatores sejam cortados conforme a necessidade? Como isso beneficia a aplicação?
Qual é o comprimento padrão dos estatores de 5 estágios e como será o processo de corte de acordo com as necessidades?</t>
  </si>
  <si>
    <t>Como exatamente o novo conceito de interface de estatores proposto funcionará?
Quais são as vantagens significativas desse novo design em comparação com os designs convencionais de estatores em bombas helicoidais?
Como garantir que os estatores, mesmo após o corte, mantenham as propriedades necessárias de vedação e funcionamento?</t>
  </si>
  <si>
    <t>Quais são os principais desafios técnicos envolvidos na criação da conexão entre o estator e o corpo da bomba para vedar a pressão interna independentemente do comprimento do estator e da localização dos cortes?
Como será abordado o risco de garantir a vedação eficaz da face lateral de elastômero na região do corte usando adaptadores?
Quais são as considerações específicas para a seleção de materiais que garantam uma vedação confiável?</t>
  </si>
  <si>
    <t>Quais são as referências ou conceitos existentes que estão sendo estudados para criar a conexão entre estatores e peças adjacentes?
Como será o processo de criação de um protótipo para testar o novo conceito de interface de estatores?
Quais critérios e parâmetros serão avaliados durante o teste hidrostático do protótipo para garantir a estanqueidade e vedação?
Quais métodos ou abordagens serão usados para projetar os novos modelos de estatores com parede uniforme de elastômero?
Como será calculada a contração prevista dos elastômeros para determinar as dimensões dos moldes (ferramentas)?
Quais são as especificações e detalhes técnicos para projetar os adaptadores entre o tubo conformado e as interfaces existentes da bomba helicoidal?
Como será conduzida a fabricação dos novos moldes (ferramentas), estatores e adaptadores?
Quais testes de desempenho serão realizados para verificar a eficácia da vedação e o funcionamento adequado da bomba após a implementação das mudanças?</t>
  </si>
  <si>
    <t>NRD0000228 - Estudo tribológico metal versus borracha</t>
  </si>
  <si>
    <t>Pesquisa Básica Dirigida</t>
  </si>
  <si>
    <t>Caracterização de materiais através de suas propriedades e fenômenos</t>
  </si>
  <si>
    <t>Estudar a tribologia entre borracha e metal e sua influência para o coeficiente de atrito estático e dinâmico através de ensaios com diferentes combinações de materiais.</t>
  </si>
  <si>
    <t>Com o resultado dos testes obtidos no laboratório será possível de correlacionar de forma preditiva com os torques de partida e funcionamento dos redutores/motores de todas as bombas NETZSCH. Desta forma será possível para o time de vendas dimensionar de forma mais assertiva o tamanho dos acionamentos em função da combinação dos materiais aplicados, evitando o superdimensionamento dos equipamentos e também traz para o cliente final um redução de desperdício de energia, bem como para o meio ambiente uma emissão menor de CO2.</t>
  </si>
  <si>
    <t>Desenvolver o dispositivo ideal para a medição correta do coeficiente de atrito estático e dinâmico nos compostos elastoméricos. Num dispositivo com plano inclinado tentamos de observar o ângulo exato em que o metal inicia o movimento sobre o plano de borracha. Porém o comportamento visco-elástico dos elastômeros causam dificuldades nas tomadas de dados, gerando incertezas de medições. Desta forma estamos adaptando um equipamento de mercado já existente no laboratório para mitigar essa incerteza e posteriormente comparar com tomadas de dados em bombas operando através das medições dos torques aplicados durante o funcionamento e a partida dela</t>
  </si>
  <si>
    <t xml:space="preserve">- Iniciar os estudos com as buscas de literatura sobre testes de identificação do coeficiente de atrito por meio de plano inclinado;
- Preparação das amostras de elastômeros e metais os quais serem utilizadas nos testes;
- Tomada de dados nos testes através o dispositivo por meio de plano inclinado;
- Busca de um método de medição mais exato do que por meio de plano inclinado. Encontramos a possibilidade da aquisição de um dispositivo que adapte na máquina de ensaios universal e assim seja possível realizar o ensaio com a menor incerteza de medição possível.
- Tomada de dados nos testes através da máquina universal adaptado ;
</t>
  </si>
  <si>
    <t>Como o estudo da tribologia entre borracha e metal pode influenciar o coeficiente de atrito estático e dinâmico?
Quais são os principais materiais e combinações de materiais que serão testados durante os ensaios?
Como os resultados desses testes podem ser correlacionados com os torques de partida e funcionamento dos redutores/motores das bombas NETZSCH?
Como dimensionar acionamentos de forma mais assertiva com base nas combinações de materiais e evitar o superdimensionamento dos equipamentos?
Como essa abordagem contribuirá para a redução do desperdício de energia e das emissões de CO2?</t>
  </si>
  <si>
    <t>Como a correlação entre os resultados dos testes de tribologia e os torques de partida e funcionamento dos redutores/motores das bombas NETZSCH será estabelecida?
Quais são os desafios específicos envolvidos na medição do coeficiente de atrito estático e dinâmico nos compostos elastoméricos?
Como o dispositivo adaptado no laboratório contribuirá para mitigar as incertezas de medição em comparação com os dispositivos tradicionais?</t>
  </si>
  <si>
    <t>Qual é o dispositivo ideal em desenvolvimento para medição correta do coeficiente de atrito estático e dinâmico nos compostos elastoméricos?
Como o comportamento viscoelástico dos elastômeros afeta a tomada de dados nos testes e gera incertezas de medições?
Como o equipamento de mercado adaptado no laboratório pode minimizar as incertezas de medição e garantir resultados mais precisos?</t>
  </si>
  <si>
    <t>Quais são as fontes de literatura relevantes que estão sendo consultadas para orientar os testes de identificação do coeficiente de atrito por meio de plano inclinado?
Como será a preparação das amostras de elastômeros e metais para os testes?
Quais são os detalhes técnicos dos testes realizados por meio do dispositivo com plano inclinado?
Como será feita a busca e aquisição do dispositivo que se adapte à máquina de ensaios universais para realizar os ensaios com a menor incerteza de medição possível?
Quais são os parâmetros e critérios que serão considerados durante a tomada de dados nos testes com o dispositivo adaptado na máquina universal?</t>
  </si>
  <si>
    <t>NRD0000229 - Desenvolver bomba NEMO submersível</t>
  </si>
  <si>
    <t>Desenvolvimento Experimental</t>
  </si>
  <si>
    <t>Desenvolver uma bomba NEMO submersível para elevatórios de esgoto bruto com aprox. 4 m³/h em 4 bar, acionada através de uma motor submersível da WEG de 2,2 CV com grau de proteção IP68.</t>
  </si>
  <si>
    <t>Aplicação da bomba de cavidade progressiva totalmente submersível para elevatórios de esgoto bruto, incluindo o acionamento, podendo assim aproveitar da alta eficiência energética das bombas de deslocamento positivo em relação às bombas centrífugas submersíveis disponíveis no mercado</t>
  </si>
  <si>
    <t>Desenvolver uma construção compacta e estabilidade estática contra tombamento e com um estator oscilante em elastômero que absorva de forma adequada, quanto aos aspectos de resistência e durabilidade, os esforços provenientes do conjunto rotativo de articulação única. A bomba também deve ser de fácil manutenção.</t>
  </si>
  <si>
    <t xml:space="preserve">A metodologia usada para desenvolver o projeto consiste em informações disponível do conceito conhecido através de bombas centrífugas e no conhecimento do produto já existente, no caso a bomba NEMO® da NETZSCH, aplicando o conhecimento nos componentes de articulação, rotor e estator, vedação da carcaça e eixo.
Para o desenvolvimento dos novos componentes estão sendo utilizados desenhos 2D, desenhos 3D, cálculos, simulações FEA .
Após a concepção do projeto e fabricação dos componentes serão feitas montagens e testes de performance/funcionamento.
</t>
  </si>
  <si>
    <t>NRD0000233 - Mancal para bombas ESPCP</t>
  </si>
  <si>
    <t>Desenvolver uma mancal para bombas de ESPCP em duas configurações:
1) Capacidade de torque 955 Nm; Carga axial = 5 ton; OD = 97 mm; Temperatura máxima = 120 °C
2) Capacidade de torque 955 Nm; Carga axial = 10 ton; OD = 97 mm; Temperatura máxima = 120 °C</t>
  </si>
  <si>
    <t>Produto anteriormente fabricado na rússia seria tropicalizado para fabricação nacional</t>
  </si>
  <si>
    <t>Descobrir o tipo de metal útilzado no produto original. Encontrar materiais e componentes adequados no mercado nacional.</t>
  </si>
  <si>
    <t>Desmontar o mancal original para fazer uma análise técnica do conjunto "mancal bomba ESPCP";
Projetar um novo mancal conforme o conceito NETZSCH do Brasil (tropicalização);
Criar todos os desenhos de fabricação e a lista de peça;
Fabricar um protótipo para a cada configuração;
Testar o comportamento do mancal em bancada;
Avaliar os resultados do teste;
Enviar um protótipo para um cliete e realizar um teste em campo;</t>
  </si>
  <si>
    <t>Quais são os principais objetivos ao desenvolver o mancal para bombas de ESPCP em duas configurações?
Qual é a capacidade de torque almejada para ambas as configurações?
Quais são as especificações de carga axial, diâmetro externo (OD) e temperatura máxima para cada uma das configurações?</t>
  </si>
  <si>
    <t>Como o processo de tropicalização será aplicado ao produto original fabricado na Rússia?
Quais são as adaptações e modificações necessárias para que o mancal seja fabricado nacionalmente?</t>
  </si>
  <si>
    <t>Quais são os desafios específicos envolvidos em descobrir o tipo de metal utilizado no produto original?
Como será a busca por materiais e componentes adequados no mercado nacional para a fabricação do mancal?</t>
  </si>
  <si>
    <t>Quais são os passos envolvidos na desmontagem do mancal original e na análise técnica do conjunto?
Como o novo mancal será projetado de acordo com o conceito NETZSCH do Brasil?
Quais são os detalhes específicos do processo de criação dos desenhos de fabricação e da lista de peças?
Como será a fabricação do protótipo para cada configuração do mancal?
Quais testes serão realizados em bancada para avaliar o comportamento do mancal?
Quais são os critérios e parâmetros utilizados para avaliar os resultados dos testes?
Como será o processo de envio de um protótipo para um cliente e a realização de testes em campo?</t>
  </si>
  <si>
    <t>NRD0000234 - Desenvolver bombas de fusos NOTOS 3NS versão Light</t>
  </si>
  <si>
    <t>Desenvolvimento de uma linha de produtos que utilizem o conceito da bomba NOTOS 3NS versão LIGHT atual (3NS-/-L-E), com adaptações que permitam a utilização de acesórios de baixo custo como acoplamento elástico e lanternas padronizadas.</t>
  </si>
  <si>
    <r>
      <rPr>
        <rFont val="Cairo"/>
        <color theme="1"/>
        <sz val="10.0"/>
      </rPr>
      <t xml:space="preserve">Adaptar um conceito já existente a uma nova condição, visando a substituição de peças com custo mais elevado por </t>
    </r>
    <r>
      <rPr>
        <rFont val="Cairo"/>
        <strike/>
        <color theme="1"/>
        <sz val="10.0"/>
      </rPr>
      <t>peças de baixo custo</t>
    </r>
    <r>
      <rPr>
        <rFont val="Cairo"/>
        <color theme="1"/>
        <sz val="10.0"/>
      </rPr>
      <t xml:space="preserve"> sem redução da qualidade final do produto.</t>
    </r>
  </si>
  <si>
    <t>Encontrar componentes terceirizados que suportem as cargas provenientes do bombeio sem prejuízo ao equipamento. Criação de um novo sistema de mancalização mais curto, afim de reduzir o comprimento total da bomba e assim reduzir as cargas em balanço sobre a lanterna padronizada (a qual deverá ser do material Alumínio).</t>
  </si>
  <si>
    <r>
      <rPr>
        <rFont val="Cairo"/>
        <color theme="1"/>
        <sz val="10.0"/>
      </rPr>
      <t xml:space="preserve">Com base no conhecimento adquirido no desenvolvimento de toda a linha 3NS, com o auxílio de materiais disponíveis dos fornecedores de selos mecânicos e acessórios como lanternas e acoplamento elasticos, o conjunto </t>
    </r>
    <r>
      <rPr>
        <rFont val="Cairo"/>
        <strike/>
        <color theme="1"/>
        <sz val="10.0"/>
      </rPr>
      <t>será projetado dentro das boas práticas que sempre foram aplicadas</t>
    </r>
    <r>
      <rPr>
        <rFont val="Cairo"/>
        <color theme="1"/>
        <sz val="10.0"/>
      </rPr>
      <t xml:space="preserve"> neste tipo de equipamento.</t>
    </r>
  </si>
  <si>
    <t>NRD0000235 - Bombas de fusos NOTOS 3NS-/170H-E (mancal 11, 12 e 13)</t>
  </si>
  <si>
    <t>Desenvolvimento de uma linha de produtos apta ao bombeio de fluídos em alta pressão (pressão diferencial máxima de 140,0 bar).
Requisitos: Viscosidade de 30 a 800cP / Pressão de sucção de 0 a 30 bar / Pressão de descarga de 3 a 170 bar / Pressão diferencial máxima de 140 bar / Temperatura do fluído bombeado de -50 a +130°C / Temperatura ambiente de -50 a +60°C.
-Bomba de mancal 11, modelo 3NS-/170H11E (Protótipo inicial);
-Bomba de mancal 12, modelo 3NS-/170H12E e
-Bomba de mancal 13, modelo 3NS-/170H13E.</t>
  </si>
  <si>
    <t>Para que a pressão diferencial requisitada seja de fato alcançada, é necessário a construção de bombas com um número maior de câmaras de vedação afim de uma melhor distribuição da pressão diferencial ao longo dos fusos/corpo de desgaste.
A pressão de sucção elevada cria componente de carga axial elevada sobre a mancalização da bomba, o que resulta na utilização de estilo de mancalização diferente das demais linhas de bombas 3NS.</t>
  </si>
  <si>
    <t xml:space="preserve">Devido ao comprimento maior das peças, o corpo de desgaste deverá ser usinado em duas partes (segmentos), alinhados e aparafusados afim de evitar desalinhamentos durante a operação da bomba. Devido a segmentação do corpo de desgaste, os fusos movidos também serão segmentados, afim de garantir que cada segmento de fuso movido trabalhe no segmento correspondente de mesmo comprimento do corpo de desgaste, assim, deseja-se evitar problemas na mancalização hidrodinâmica entre fusos/corpo de desgaste.
Em relação a temperatura de trabalho, esta deverá ser levada em consideração na correta escolha dos materiais, pois temperaturas muito baixas de operação podem ultrapassar o limite da temperatura de transição de alguns tipos de aços normalmente utilizados. Esta escolha não deverá interferir/prejudicar o funcionamento do equipamento. </t>
  </si>
  <si>
    <t>-Para este desenvolvimento utilizaremos programas de desenhos 2D / 3D, simulações FEA / Autodesk;
-Será consultado o departamento de usinagem, para que em conjunto possamos definir os comprimentos máximos de usinagem do corpo de desgaste (furos com elevada precisão), e caso necessário, adquirir ferramentas que permitam a execução desejada;
-Cálculos serão realizados para auxiliar no correto dimensionamento do mancal de rolamento, para que estes tenham uma vida util satisfatória;
-Cálculos serão realizados na carcaça, para que esta resista a pressão de trabalho e de teste hidrostático (1,5x pressão de trabalho);
-Dimensionamento do fuso motor o qual deverá suportar o torque total absorvido pela bomba;
-Escolha de um selo mecânico adequado para a pressão de sucção especificada na descrição deste projeto;
-Pesquisa em literaturas e caso necessário a execução de testes de impacto em baixas temperaturas afim de definir os melhores materiais possíveis para a fabricação dos componentes críticos.</t>
  </si>
  <si>
    <t>Qual é a principal finalidade da linha de produtos que está sendo desenvolvida?
Quais são os principais requisitos de operação para as bombas desta linha, incluindo viscosidade, pressão de sucção, pressão de descarga, pressão diferencial e faixa de temperatura?
Quais são os modelos específicos de bombas que fazem parte desta linha?</t>
  </si>
  <si>
    <t>Como a construção das bombas permitirá alcançar a pressão diferencial desejada?
Quais são as características da mancalização das bombas desta linha que a tornam diferente das demais linhas de bombas 3NS?</t>
  </si>
  <si>
    <t>Como a segmentação do corpo de desgaste e dos fusos movidos contribuirá para evitar desalinhamentos durante a operação das bombas?
Quais são as considerações específicas em relação à temperatura de trabalho e como os materiais serão escolhidos para lidar com temperaturas extremamente baixas?
De que forma a escolha dos materiais não interferirá ou prejudicará o funcionamento das bombas?</t>
  </si>
  <si>
    <t>Quais ferramentas e programas de desenho 2D/3D serão utilizados no desenvolvimento das bombas?
Como será a colaboração com o departamento de usinagem para definir os comprimentos máximos de usinagem do corpo de desgaste e fusos movidos?
Quais cálculos serão realizados para dimensionar corretamente o mancal de rolamento das bombas?
Como serão realizados os cálculos na carcaça para garantir que ela resista à pressão de trabalho e ao teste hidrostático?
Como será dimensionado o fuso motor para suportar o torque total absorvido pelas bombas?
Como será escolhido o selo mecânico adequado para a pressão de sucção especificada?
Quais processos de pesquisa e testes serão realizados para definir os melhores materiais para a fabricação dos componentes críticos das bombas?</t>
  </si>
  <si>
    <t>Somos uma empresa de consultoria para a Lei do Bem - PD&amp;I e seus benefícios fiscais relacionados ao Imposto de Renda (IR) e à Contribuição Social (CS). Atendemos diversas empresas de diferentes segmentos de atuação. No entanto, reconhecemos a necessidade de aprimorar alguns processos em nosso fluxo de consultoria.
Inicialmente, conduzimos reuniões com as empresas e trocamos e-mails para coletar informações trimestrais essenciais. Os documentos necessários incluem: Os projetos com informaçõe para preenchimento no Formulário do MCTI (classificação do projeto, obejetivo do projeto, elemento inovador, risco tecnológico, metodologias), Time Sheet, Investimentos e Rateios e Informações de Recursos Humanos, como nomes dos colaboradores, salários, CPFs, titulações, bem como dados relacionados ao INSS e RAT/FAP.</t>
  </si>
  <si>
    <t>1º Solicitamos, por e-mail, os seguintes documentos ao cliente:
     - Planilha com a lista de atividades realizadas pelo pessoal de inovação, com a quantidade de horas trabalhadas;
     - Planilha com a lista de investimentos realizados em materiais ou serviços de terceiros;
     - Planilha com informações de RH (colaboradores, formação acadêmica, salários, dias úteis e feriados, informações de encargos sobre a folha); e
     - Planilha com as informações sobre os projetos (textos sobre descrição do projeto, elemento inovador, risco tecnológico e metodologia).</t>
  </si>
  <si>
    <t>2º Os clientes respondem, por e-mail, com os documentos solicitados.</t>
  </si>
  <si>
    <t>3º Analisamos o conteúdo dos documentos 
- Utilizando como base o Guia Prático e os Manuais da OCDE, fazemos classificação ou a reclassificação para determinar se as atividades são ou não incentivadas;</t>
  </si>
  <si>
    <t>4º Repassamos para nossa planilha de cálculo do benefício as informações que atendem o nosso critério e questionamos, por e-mail, as informações que não atenderam os critérios e precisam de maiores esclarecimentos.</t>
  </si>
  <si>
    <t>5º Para realizar os questionamentos do 4º passo, nós ficamos em dúvida sobre qual o melhor método para realizá-lo, pois são vários projetos, com várias informações, e que não ficam bem dispostas em uma planilha e que talvez possam ser feitas em um arquivo .DOC. Essas informações podem ser direcionadas tanto para 1 pessoa específica, quanto para vários gestores dos projetos.</t>
  </si>
  <si>
    <t>6º Encaminhamos os questionamentos por e-mail, às vezes como arquivo .DOC, às vezes no próprio corpo do e-mail, com a seguinte estrutura para cada projeto:
- Nome do projeto;
- Descrição ou elemento inovador ou risco tecnológico ou metodologia apresentados na resposta dada no 2º passo;
- Questionamento sobre as informações apresentadas para melhorar os textos das informações.</t>
  </si>
  <si>
    <t>7º O cliente responde os questionamentos.</t>
  </si>
  <si>
    <t>8º Conferimos as respostas e realizamos os ajustes na nossa planilha.</t>
  </si>
  <si>
    <t>Com essas informações, gostaria que você analisasse e sugerisse melhorias no processo.</t>
  </si>
  <si>
    <t>"Continuação do estudo do backflow Bifásico (líquido e gás) através da folga circunferencial entre os fusos e o corpo de degaste utilizando o modelo de Lockhart / Martinelli
Obs: Para aplicações cujo o GVF seja superior a 80%"</t>
  </si>
  <si>
    <t>1.1 Identificar os requisitos de produto da Requisição do Projeto.</t>
  </si>
  <si>
    <t>Definição dos esforços nos bocais para as Bombas Notos 2NS</t>
  </si>
  <si>
    <t>=filter('Class. atividades'!$F:$F;'Class. atividades'!$E:$E=$G25;'Class. atividades'!$D:$D=$F25)</t>
  </si>
  <si>
    <t>3NS18/16H3E: peças não apresentam desgaste visível Bomba foi montada e posta novamente em bancada;
3NS55/16H5E: peças não apresentam desgaste visível Bomba foi montada e posta novamente em bancada</t>
  </si>
  <si>
    <t>Especificação de produto - Rosca Transportadora.</t>
  </si>
  <si>
    <t>Acompanhamento da montagem da Bomba Notos 2NS394/16H7I com fusos UM-C1 e corpo oblongo</t>
  </si>
  <si>
    <t>Análise da especificação de projeto e normas relacionadas</t>
  </si>
  <si>
    <t>Verificar</t>
  </si>
  <si>
    <t>Acompanhamento da montagem e desmontagem da Bomba Notos 2NS187/16H5I com fusos UM-C1</t>
  </si>
  <si>
    <t>1.2 Identificar os requisitos relativos ao produto de caráter técnico.</t>
  </si>
  <si>
    <t>Estudo sobre viabilidade de alta rotação para bomba 2NSHxx/16L4E.</t>
  </si>
  <si>
    <t>Acompanhamento da montagem e desmontagem da Bomba Notos 2NS305/16H6I com fusos UM-C1</t>
  </si>
  <si>
    <t>Estudo sobre viabilidade de medição de engrenagens.</t>
  </si>
  <si>
    <t>Acompanhamento da montagem e desmontagem da Bomba Notos 2NS394/16H7I com fusos UM-C1</t>
  </si>
  <si>
    <t>Estudo sobre viabilidade de revestimento externo fusos.</t>
  </si>
  <si>
    <t>Acompanhamento da montagem e desmontagem da Bomba Notos 2NS394/16H7I com fusos UM-C1 e corpo oblongo</t>
  </si>
  <si>
    <t>Reunião Netzsch - desenvolvimento de fornecedor para painel elétrico para P&amp;D</t>
  </si>
  <si>
    <t>Acompanhamento de fabricação de 2 estatores em escala de produção tamanho NM045-02S com o primer e adesivos a base d´agua Infelizmente o visual após a aplicação por derramento não foi sastisfatório Apresentou muitas bolhas Foi injetado o elastômero SBE</t>
  </si>
  <si>
    <t>Reunião para desenvolvimento de fornecedor para painel elétrico itinerante</t>
  </si>
  <si>
    <t>Acompanhamento de testes com a visita do fornecedor UBE O tipo de grade indicado não atendeu, muito rápida a cura dele Impossibilitando o tempo de derramamento no molde</t>
  </si>
  <si>
    <t>Verificação com terceiros sobre fabricação de peças para equipamento 2NSH(1).</t>
  </si>
  <si>
    <t>Adaptação do caso da simulação fluidodinâmica computacional nº CAE000015 (orifício calibrado) para o CIRRUS e análise dos resultados</t>
  </si>
  <si>
    <t>Verificação com terceiros sobre medições para equipamento 2NSH(1).</t>
  </si>
  <si>
    <t>Adequação da bomba de circulação para bancada de testes de trituradores NMac</t>
  </si>
  <si>
    <t>Verificação com terceiros sobre projeto especial para equipamento 2NSH(4).</t>
  </si>
  <si>
    <t>Ajuste / cálculo da equação polinomial de 3ª ordem da massa específica e do GVF na folga periférica Método dos Mínimos Quadrados (MMQ)</t>
  </si>
  <si>
    <t>1.5 Definir as interfaces técnicas externas (Por Exemplo: Universidades, Institutos de Pesquisa, Empresas Co-Irmãs, Empresas de Consultoria, Fornecedores e/ou Similares) que contribuirão para a coleta dos dados de entrada do projeto.</t>
  </si>
  <si>
    <t>Cotação de acumuladores de pressão com principais fornecedores nacionais.</t>
  </si>
  <si>
    <t>Alteração da bancada de testes C46</t>
  </si>
  <si>
    <t>Estudo da teoria de funcionamento.
Cotação de acumuladores de pressão com principais fornecedores nacionais.</t>
  </si>
  <si>
    <t>Alteração do método de fabricação, utilização de dispositivo, para usinagem da tampa flange NMac</t>
  </si>
  <si>
    <t>Estudo para adequação das folgas dos rolamentos fornecidos para as Bombas Notos 2NS</t>
  </si>
  <si>
    <t>Alteração do perfil de usinagem dos fusos de modelo 3NS14/--3- (redução da folga nos flancos de vedação)</t>
  </si>
  <si>
    <t>Levantamento de fornecedores nacionais de acumuladores de pressão.</t>
  </si>
  <si>
    <t>Alteração do perfil de usinagem dos fusos de modelo 3NS14/--3- e 3NS18/--3- (redução da folga nos flancos de vedação) -Conferencia com a NPA sobre as bombas 3NS147/120H7E</t>
  </si>
  <si>
    <t>11.1 Elaborar memorial de cálculo das peças que são críticas para o funcionamento apropriado e seguro do produto.</t>
  </si>
  <si>
    <t>Elaboração de biblioteca digital técnica P&amp;D.</t>
  </si>
  <si>
    <t>Alteração do projeto da bomba 3NS147/120H7E</t>
  </si>
  <si>
    <t>Elaboração de biblioteca técnica digital técnica P&amp;D.</t>
  </si>
  <si>
    <t>Alteração do projeto da bomba 3NS147/120H7E (exemplo LP0000199)</t>
  </si>
  <si>
    <t>Elaboração de biblioteca técnica digital técnica P&amp;D. Fluxograma de upgrade de bancada de trituradores N.Mac em linha e lógicas de testes.</t>
  </si>
  <si>
    <t>Alteração do projeto da bomba 3NS395/120C10E (conforme novas necessidades da NPA)</t>
  </si>
  <si>
    <t>11.2 Elaborar e/ou atualizar manual de instruções.</t>
  </si>
  <si>
    <t>Reunião de análise e ajustes para desenvolvimento e aprimoramento nos manuais.</t>
  </si>
  <si>
    <t>Alteração do projeto da bomba 3NS395/120C10E (conforme novas necessidades da NPA) -Atualização projeto ISSO NDB21/04 e NDB22/01</t>
  </si>
  <si>
    <t>11.3 Elaborar toda documentação necessária para atender os requisitos de normas exigida na entrada do projeto.</t>
  </si>
  <si>
    <t>Documentação EHEDG.</t>
  </si>
  <si>
    <t>Alteração solicitada pela usinagem, verificação da possíbilidade de alteração de furos Ø3H7 para Ø3+/-0,01mm</t>
  </si>
  <si>
    <t>Documentação ISO certificados de material fundidos do BO</t>
  </si>
  <si>
    <t>Alterações no modelo do Case e Tampa para impressão 3D Atividades de desenvolvimento de hardware e software pela empresa terceirizada NEXTEN (Blumenau/SC) Número NF 165 - R$7080,00</t>
  </si>
  <si>
    <t>Elaboração da documentação técnica.</t>
  </si>
  <si>
    <t>Alterações procedimento de montagem de case com conectores MIKE e Alimentação via Plug P4 Jack</t>
  </si>
  <si>
    <t>Elaboração de documentação do projeto.</t>
  </si>
  <si>
    <t>Alterações video Marketing NEMO/Sist Monitoramento</t>
  </si>
  <si>
    <t>Elaboração de documentação técnica</t>
  </si>
  <si>
    <t>Alterado projeto do case e tampa, para corrigir pequenas falhas e facilitar montagem dos componentes</t>
  </si>
  <si>
    <t>Verificação de documentação e viabilidade para teste EHEDG.</t>
  </si>
  <si>
    <t>Analise aquecimento em mancal de bomba 3NS189/80H8E - CP LP0000186</t>
  </si>
  <si>
    <t>12.2 Elaborar material de apoio para o setor de Vendas.</t>
  </si>
  <si>
    <t>Auxilio para setor comercial e técnico.</t>
  </si>
  <si>
    <t>Não entra</t>
  </si>
  <si>
    <t>Analise CFD temperaturas de funcionamento de mancais de bombas 3NS189/80H8E - LP0000186</t>
  </si>
  <si>
    <t>Auxilio para setor comercial NDB</t>
  </si>
  <si>
    <t>Análise da especificação de produto</t>
  </si>
  <si>
    <t>Auxilio para setor comercial NDB.</t>
  </si>
  <si>
    <t>Auxilio para setor comercial.</t>
  </si>
  <si>
    <t>Analise dados obtidos via Slovnaf - Pesquisa: corpo de desgaste em segmentos usinados e montados afim de permitir a aplicação interna de DLC</t>
  </si>
  <si>
    <t>Auxilio para setor de Engenharia de fábrica</t>
  </si>
  <si>
    <t>Análise de alternativas de fabricação dos limpadores do NMac BO</t>
  </si>
  <si>
    <t>Auxilio para setor de Engenharia NOTOS.</t>
  </si>
  <si>
    <t>Análise de componentes fabricados e organização do material</t>
  </si>
  <si>
    <t>Auxilio setor comercial NDB.</t>
  </si>
  <si>
    <t>Analise de custos de bombas já fornecidas do projeto 3NS-/16H-E Verificar a necessidade de substituição de materiais para tornar o custo coerente ao projeto</t>
  </si>
  <si>
    <t>Auxilio setor comercial NPS.</t>
  </si>
  <si>
    <t>Analise de equipamento enviado pelo cliente na assistência tecnica Verificar ruido que surgiu na partida da bomba 3NS18/16H3E - desmonatem e remontagem - problema foi cavitação devido a partida em 3500 RPM com o fluído na temperatura ambiente</t>
  </si>
  <si>
    <t>Auxilio setor de Service.</t>
  </si>
  <si>
    <t>Análise de liberação de novo produto para trituração: Nanocelulose</t>
  </si>
  <si>
    <t>Elaboração de folha de dados para o sistema de selagem do N.Mac</t>
  </si>
  <si>
    <t>Análise de patentes referente ao separador de fases do sistema - R02822</t>
  </si>
  <si>
    <t>Elaboração de folha de dados para selo mecânico UNS-SEAL 011.</t>
  </si>
  <si>
    <t>Analise de peças após teste em campo da bomba 3NS147/120H7E Estudo de materiais alternatitivos para a construção do corpo de desgaste que esta sofrendo desgaste devido a presença de areia no fluído</t>
  </si>
  <si>
    <t>Projeto de montagem 3D do n.mac BO montado em bomba e vídeo de desmontagem.</t>
  </si>
  <si>
    <t>Análise de proposta para modelos de motoredutores - NMac BO</t>
  </si>
  <si>
    <t>2.1 Analisar requisitos do procedimento do ensaio.</t>
  </si>
  <si>
    <t>Análise dos resultados obtidos e buscas por novas soluções para melhora da qualidade dos gráficos obtido.</t>
  </si>
  <si>
    <t>Análise de requisitos de comunicação via rede de celular</t>
  </si>
  <si>
    <t>2.1 Analisar requisitos estatuários e regulamentares.</t>
  </si>
  <si>
    <t>- Análise de normas internas de projetos para atendimento da documentação ISO.</t>
  </si>
  <si>
    <t>Analise de vazão baixa em bomba de cliente – bancada de testes C31 – 3NS07/80L2E Verificação dos perfis dos fusos – OK Na terça faremos uma análise nas peças já que a desmontagem foi solicitada</t>
  </si>
  <si>
    <t>2.2 Analisar os dados de entrada de projeto a fim de constatar se os mesmos são suficientes e adequados.</t>
  </si>
  <si>
    <t>- Preparação de geometrias de facas para geração de malha no TwinMesh.
- Elaboração de biblioteca técnica digital técnica P&amp;D.
- Estudo de métodos de gerenciamento de projetos/atividades. Teste de software para cronograma do tipo Gantt MindManager</t>
  </si>
  <si>
    <t>Análise do projeto da Bomba 2NS-/16H1E e 2NS-16H6E para aplicação em 15 bar com peças em contato em aço inoxidável</t>
  </si>
  <si>
    <t>Analise de alteração de modelo de fundição para N.Mac 50I</t>
  </si>
  <si>
    <t>Analise do projeto do estator junto a fabrica de estatores</t>
  </si>
  <si>
    <t>Analise de falha do N.Mac 50I</t>
  </si>
  <si>
    <t>Análise dos dados de entrada do projeto das bombas 4NS Multifásicas</t>
  </si>
  <si>
    <t>Estudo da teoria de funcionamento.</t>
  </si>
  <si>
    <t>Análise dos resultados das alternativas M2108R33-48F e M2108R33-48G Elaboração da formulação das alternativas M2108R33-48H, M2108R33-48I, M2108R33-48J e M2108R33-48K</t>
  </si>
  <si>
    <t>Estudo de concorrentes.</t>
  </si>
  <si>
    <t>Análise dos resultados do caso da simulação fluidodinâmica computacional nº CAE000014</t>
  </si>
  <si>
    <t>Estudo de fornecedores.</t>
  </si>
  <si>
    <t>Analise numerica sobre temperatura de operação da bomba 3NS797/80H12E - CP LP0000200</t>
  </si>
  <si>
    <t>Estudo de métodos de gerenciamento de projetos/atividades. Teste de software para cronograma do tipo Gantt MindManager</t>
  </si>
  <si>
    <t>Análise projeto PCB "Mark2"</t>
  </si>
  <si>
    <t>Estudo do campo de aplicação do plano de selagem.</t>
  </si>
  <si>
    <t>Análise proposta patente Settima sobre perfis de fusos para bombas de 3 fusos Patente WO202217745A1 e WO202217746A1</t>
  </si>
  <si>
    <t>Reunião Follow-up dos projetos N.Mac</t>
  </si>
  <si>
    <t>Analise térmica das bombas 4NS1135/40H4E – CP LP0000185 Verificação das temperaturas dos mancais durante operação critica em campo</t>
  </si>
  <si>
    <t>2.3 Analisar os dados de entrada de projeto a fim de resolver as ambigüidades ou conflitos dos requisitos.</t>
  </si>
  <si>
    <t>Análise e diagnóstico de Bomba Notos 2NS com problemas de montagem dos posicionadores</t>
  </si>
  <si>
    <t>Apresentação sobre bombas 3NS-/16H-E, 3NS-/120H-E e 3NS-/160H--</t>
  </si>
  <si>
    <t>Análise e diagnóstico de Bomba Notos 2NS-/16H3I operando em 4762rpm com problemas técnicos em campo</t>
  </si>
  <si>
    <t>Aprimoramento da planilha de cálculo multifásica para cálculo da vazão da bomba em altos GVF's (Correlação incluindo a viscosidade das fases líquida e gasosa, GVFp nos gaps, rotação dos fusos, cálculo da viscosidade da fase gasosa/Equação Sutherland)</t>
  </si>
  <si>
    <t>3.1 Elaborar o planejamento de projeto, conforme Anexo E</t>
  </si>
  <si>
    <t>- Atualização de documentação ISO (controle de projetos e detalhamento).</t>
  </si>
  <si>
    <t>Aprimoramento da planilha de cálculo multifásica para cálculo da vazão da bomba em altos GVF's (Correlação incluindo a viscosidade das fases líquida e gasosa, GVFp nos gaps, rotação dos fusos)</t>
  </si>
  <si>
    <t>Atualização de Fact Sheet do projeto.</t>
  </si>
  <si>
    <t>Aprimoramento da planilha de cálculo multifásica para càlculo da vazão da bomba em altos GVF's (Correlação incluindo a viscosidade das fases líquida e gasosa, GVFp nos gaps, rotação dos fusos)</t>
  </si>
  <si>
    <t>Follow-up do projeto API 54.</t>
  </si>
  <si>
    <t>Aprimoramento da planilha de cálculo multifásica para cálculo da vazão da bomba em altos GVF's (Correlação incluindo a viscosidade das fases líquida e gasosa, GVFp nos gaps, rotação dos fusos); - Criação da curva do teste performance com GVF&gt; 85%</t>
  </si>
  <si>
    <t>Reunião para atualização da Fact Sheet do N.Mac BO</t>
  </si>
  <si>
    <t>Atendimento a engenharia NOTOS, dimensionar quantidade de vapor necessária para aquecer bomba de cliente Projeto 3NS612/160H11E LACT</t>
  </si>
  <si>
    <t>4.1 Projetar os dispositivos para o ensaio se for necessário.</t>
  </si>
  <si>
    <t>Lixar as amostras metálicas da NPS para a rugosidade dentro da tolerancia.</t>
  </si>
  <si>
    <t>Atendimento a Vendas (Nelson) - Curvas de perda de carga - Trituradores inline - Variação de CP</t>
  </si>
  <si>
    <t>Lixar as amostras metalicas para que fiquem dentro da faixa de rugosidade da ISO 21182.</t>
  </si>
  <si>
    <t>Atualização de desenhos de medidas gerais 2NSH</t>
  </si>
  <si>
    <t>Prensagem de placas de 6mm BU, CB, EH, HSB, 261, 332 E 366.</t>
  </si>
  <si>
    <t>Atualização de Fact Sheet do projeto</t>
  </si>
  <si>
    <t>Prensagem de placas de 6mm PCI, PU, SBBPF, SBE, SBL, 237, 286.</t>
  </si>
  <si>
    <t>Atualização do projeto do sistema "Unidade de gás anular"</t>
  </si>
  <si>
    <t>4.1 Verificação de projeto conforme Checklist (melhorar produtos existentes)</t>
  </si>
  <si>
    <t>- Simulação CAE33: GIB em rosca transportadora de bomba NEMO (Desenhos e preparação de geometria).</t>
  </si>
  <si>
    <t>Atualização do projeto interno NDB22/01 (3NS-/16H2E)</t>
  </si>
  <si>
    <t>Adequação de projeto de Bomba Notos 2NS-/16H3I operando em 4762rpm com problemas técnicos em campo</t>
  </si>
  <si>
    <t>Atualização planilha de cálculo 3NS, inclusão dos cálculos para determinação da espessura do filme lubrificante</t>
  </si>
  <si>
    <t>4.2 Analisar e definir os materiais que serão utilizados.</t>
  </si>
  <si>
    <t>- Levantamento de documentos e estruturação de biblioteca digital da P&amp;D.</t>
  </si>
  <si>
    <t>Atualizar escopo do projeto</t>
  </si>
  <si>
    <t>-Analise relatório técnico do fornecedor Superfinishing em relação a aplicação do revestimento Niquel-lub, o qual não esta suportando desgaste em condições severas. Verificação opção de peça sinterizada em Alumina 99,7% (Macéa).</t>
  </si>
  <si>
    <t>Auditoria interna</t>
  </si>
  <si>
    <t>-Estudo de novos materiais x revestimentos (estudo nitretação + niquel-lub / nitretação Arcor + niquel-lub).</t>
  </si>
  <si>
    <t>Auxílio a projetistas da engenharia Notos Análise e-mails após férias Reunião sobre o projeto LACT (bomba que apresentou falha por pressão diferencial muito baixa)</t>
  </si>
  <si>
    <t>-Estudo de revestimentos para endurecimento de superfícies de peças do protótipo 3NS612/170H11E (item 4729346).</t>
  </si>
  <si>
    <t>Auxilio ao setor de testes de bombas</t>
  </si>
  <si>
    <t>-Pesquisa sobe o revestimento CVD. Contato com o fornecedor Durferit mas o revestimento disponível é realizado em Portugal.</t>
  </si>
  <si>
    <t>Auxílio na elaboração da estratégia de comercialização da solução</t>
  </si>
  <si>
    <t>-Pesquisa sobe o revestimento CVD. Definição de um novo revestimento que pode eliminar o problema de desgaste das bombas em campo.</t>
  </si>
  <si>
    <t>Auxílio na montagem da bomba 4NS142/40H1E, para teste interno multifásico</t>
  </si>
  <si>
    <t>-Pesquisa sobre o revestimento CVD (Chemical Vapour Deposition), possível aplicação em corpos de desgaste. Aparentemente este processo combinado com a nitretação a plasma poderá trazer bons resultados. PED000348 e PED000349.</t>
  </si>
  <si>
    <t>Auxílio no projeto / cadastro de itens da tubulação do plano API 53B (P/ selos duplos) / ordens de compra, etc</t>
  </si>
  <si>
    <t>-Pesquisa sobre o revestimento CVD (Chemical Vapour Deposition), possível aplicação em corpos de desgaste. Aparentemente este processo combinado com a nitretação a plasma poderá trazer bons resultados. Teste de revestimento será providenciado.</t>
  </si>
  <si>
    <t>-Pesquisa sobre revestimentos que podem ser aplicados em fusos (niquel alto fosforo). Analise problemas ocorridos em campo, bombas 3NS147/120H7E.</t>
  </si>
  <si>
    <t>Auxilio para setor comercial NPA</t>
  </si>
  <si>
    <t>-Reunião com fornecedor 3M sobre possibilidade na aplicação de insertos em silício sinterizado. -Estudo processo boretação.</t>
  </si>
  <si>
    <t>Auxilio para setor comercial NPS</t>
  </si>
  <si>
    <t>-Verificação problemas de desgaste no revestimento niquel-lub.</t>
  </si>
  <si>
    <t>Auxilio setor de engenharia de fábrica</t>
  </si>
  <si>
    <t>Estudo de materiais/revestimentos para mancais com partida a seco</t>
  </si>
  <si>
    <t>Auxilio setor de engenharia de produto, com peças de reposição</t>
  </si>
  <si>
    <t>Estudo do software OpenModelica.</t>
  </si>
  <si>
    <t>Avaliação de bomba após testes em campo – CP 6800000066 (Licor de cacau)</t>
  </si>
  <si>
    <t>Levantamento de itens não utililzados para obsoletar.</t>
  </si>
  <si>
    <t>Bancada de testes de trituradores - Definições para upgrade de bancada - Sistema de recirculação terciário - Fluido quente</t>
  </si>
  <si>
    <t>Liberação de alteração do modelo de fundição N.Mac 50I</t>
  </si>
  <si>
    <t>Braingstorming - Conceitos de trituradores de alta vazão</t>
  </si>
  <si>
    <t>Pesquisa de opções para endurecimento interno dos corpos de desgaste</t>
  </si>
  <si>
    <t>Braingstorming, definições e organização de material para teste de trituração de lenços e papel higiênico</t>
  </si>
  <si>
    <t>Reunião para definição de variáveis para desenvolvimento de um configurador de produto para trituradores</t>
  </si>
  <si>
    <t>Brainstorming para atualização de desenhos 3D NMac BO</t>
  </si>
  <si>
    <t>Reunião para definição do cronograma de investimentos</t>
  </si>
  <si>
    <t>Brainstorming, definições e organização de material para teste de trituração de lenços e papel higiênico</t>
  </si>
  <si>
    <t>Treinamento de John Crane</t>
  </si>
  <si>
    <t>Brainstorming: execução de teste funcional da unidade protótipo</t>
  </si>
  <si>
    <t>Verificação de novos produtos, IKRAM HIgh Tech Keramik e endurecimento por laser</t>
  </si>
  <si>
    <t>Brainstorming: vedações do porta selo mecânico 2NSH mancal 3; produção de vedações dinâmicas em silicone e EPDM</t>
  </si>
  <si>
    <t>Workshop de estratégia 2027 de ideias de inovação (Manufatura aditiva, Sistema de otimização de energia em trituradores, Estudos CFD).</t>
  </si>
  <si>
    <t>Busca por um equipamento de melhor precisão na tomada de dados</t>
  </si>
  <si>
    <t>Workshop de estratégia 2027 de ideias de inovação (Manufatura aditiva, Sistema de otimização de energia em trituradores, Estudos CFD). Elaboração de biblioteca digital técnica P&amp;D.</t>
  </si>
  <si>
    <t>Cadastro da estrurura PED000290 - protótipo 3NS10/16H2E Atualização planilhas de itens padronizados dos KIT's KTR (lanterna e acoplamento para bombas 3NS-/16H-E)</t>
  </si>
  <si>
    <t>4.2 Executar ensaios e elaborar relatório de resultados.</t>
  </si>
  <si>
    <t>Correção e registro do relatório R01223 referente aos dados dos elastômeros da NDB e aço 420</t>
  </si>
  <si>
    <t>Cadastro de itens e atualização de lista de peças para montagem de um protótipo</t>
  </si>
  <si>
    <t>Correção e registro dos relatórios R01423 e R01523  referente aos dados dos elastômeros da NDB e aço 304 e 316, respectivamente.</t>
  </si>
  <si>
    <t>Cadastro de itens e máscaras para os novos componentes</t>
  </si>
  <si>
    <t>Definição da metodologia de testes com glicerina na amostra metálica.</t>
  </si>
  <si>
    <t>Cadastro de itens para montagem de um protótipo</t>
  </si>
  <si>
    <t>Elaboração de relatório com resultados de aço 304</t>
  </si>
  <si>
    <t>Cadastro dos desenhos e itens do Corpo da Bomba, dos Fusos Motor/Movido, do Flange de Vedação do Corpo e dos Mancais Dianteiro/Traseiro da Bomba 4NS142/40H1E</t>
  </si>
  <si>
    <t>Elaboração de relatório com resultados de aço inox 316</t>
  </si>
  <si>
    <t>Cadastros de itens PED para fabricação do protótipo</t>
  </si>
  <si>
    <t>Elaboração de relatório com resultados de aço inox 420</t>
  </si>
  <si>
    <t>CAE000012 - Configuração para criação de curvas de tempo de operação do skid 4NSM</t>
  </si>
  <si>
    <t>Elaboração de relatórios com os dados obtidos para metais de rugosidade controlada.</t>
  </si>
  <si>
    <t>CAE000012 - Simulação CFD do separador de fases - bifásico - avaliação dos resultados da geometria com o tanque</t>
  </si>
  <si>
    <t>Elaboração de relatórios com os dados obtidos para metal com glicerina</t>
  </si>
  <si>
    <t>CAE000012 - Simulação CFD do separador de fases - bifásico - comparação dos resultados com e sem tanque Setup dos casos com diversas condições de contorno e diversos parâmetros como taxa de compressão, fração de gás e velocidades de líquido e gás</t>
  </si>
  <si>
    <t>Levantamento de dados com amostras metalicas e de elastômeros da NPS.</t>
  </si>
  <si>
    <t>CAE000012 - Simulação CFD do separador de fases - bifásico - mapeamento de curvas de tempo de operação e eficiência do equipamento</t>
  </si>
  <si>
    <t>Levantamento de dados na EMIC com os elastômeros da NDB atualizados no segundo semestre de 2022 com AISI 316.</t>
  </si>
  <si>
    <t>CAE000012 - Simulação CFD do separador de fases - bifásico - mapeamento de curvas de tempo de operação e eficiência do equipamento (Avaliação dos resultados iniciais)</t>
  </si>
  <si>
    <t>Levantamento de dados na EMIC com os elastômeros da NDB com AISI 304 com rugosidade controlada.</t>
  </si>
  <si>
    <t>CAE000012 - Simulação CFD do separador de fases - bifásico - mapeamento de curvas de tempo de operação e eficiência do equipamento (Criação de planilhas de facilitação e controle dos resultados obtidos - Reports)</t>
  </si>
  <si>
    <t>Levantamento de dados na EMIC com os elastômeros da NDB com AISI 304.</t>
  </si>
  <si>
    <t>CAE000012 - Simulação CFD do separador de fases - bifásico - mapeamento de curvas de tempo de operação e eficiência do equipamento (Setup dos casos)</t>
  </si>
  <si>
    <t>Levantamento de dados na EMIC com os elastômeros da NDB com AISI 316 com rugosidade controlada.</t>
  </si>
  <si>
    <t>CAE000012 - Simulação CFD do separador de fases - bifásico - reconstrução da geometria incluindo o tanque de armazenamento</t>
  </si>
  <si>
    <t>Levantamento de dados na EMIC com os elastômeros da NDB com AISI 420 com rugosidade controlada.</t>
  </si>
  <si>
    <t>CAE000012 - Simulação CFD do separador de fases - bifásico - setup dos casos com diversas condições de contorno e diversos parâmetros como taxa de compressão, fração de gás e velocidades de líquido e gás</t>
  </si>
  <si>
    <t>Levantamento de dados na EMIC com os elastômeros da NDB com AISI 420.</t>
  </si>
  <si>
    <t>CAE000012 - Simulação CFD do separador de fases - bifásico - setup dos casos com diversas condições de contorno e diversos parâmetros como taxa de compressão, fração de gás e velocidades de líquido e gás - avaliação dos primeiros resultados das curvas</t>
  </si>
  <si>
    <t>Levantamento de dados na EMIC com os elastômeros da NDB com Duplex com rugosidade controlada.</t>
  </si>
  <si>
    <t>CAE000012 - Simulação CFD do separador de fases - bifásico - setup dos casos com diversas condições de contorno e diversos parâmetros como taxa de compressão, fração de gás e velocidades de líquido e gás - avalição de casos terminados</t>
  </si>
  <si>
    <t>Levantamento de dados na EMIC com os elastômeros da NDB com Hastelloy com rugosidade controlada.</t>
  </si>
  <si>
    <t>CAE000012 - Simulação CFD do separador de fases - bifásico - setup dos casos com diversas condições de contorno e diversos parâmetros como taxa de compressão, fração de gás e velocidades de líquido e gás - setup de novos casos</t>
  </si>
  <si>
    <t>4.3 Dimensionar/Projetar os componentes principais/críticos (ou referenciar projetos já existentes).</t>
  </si>
  <si>
    <t>- Elaboração do perfil dos fusos 2NSH191/16L3E (convexo) / Antes do revestimento com Níquel Lub.</t>
  </si>
  <si>
    <t>CAE000012 - Simulação CFD do separador de fases - bifásico - setup dos casos com diversas condições de contorno e diversos parâmetros como taxa de compressão, fração de gás e velocidades de líquido e gás - setup de novos parâmetros de simulação</t>
  </si>
  <si>
    <t>-Desenvolvimento de dispositivo para teste do revestimento interno (Niquel-lub). Teste visa verificar o comportamento do revestimento em pressões elevadas - PED000338.</t>
  </si>
  <si>
    <t>CAE000012 - Simulação CFD do separador de fases - bifásico - setup e solver da geometria com o tanque incluido</t>
  </si>
  <si>
    <t>-Desenvolvimento/projeto do corpo de sucção da bomba (4665176).</t>
  </si>
  <si>
    <t>CAE000012 - Simulação CFD do separador de fases - bifásico - teste de condições de contorno na região posterior ao equipamento</t>
  </si>
  <si>
    <t>-Desenvolvimento/projeto do corpo de sucção da bomba (4665176). Desenhos 4666573/74/75, 4665216 e 4665207.</t>
  </si>
  <si>
    <t>CAE000012 - Simulação CFD do separador de fases - bifásico - teste de condições de contorno na região posterior ao equipamento - avaliação dos resultados obtidos</t>
  </si>
  <si>
    <t>-Detalhamento do projeto 4664922 / 4664923 / 4665074 / 4665166.</t>
  </si>
  <si>
    <t>CAE000012 - Simulação multifásica do separador de fases para estimar o tempo de operação do sistema</t>
  </si>
  <si>
    <t>-Estudo solução para válvula de alívio para o projeto Wärtsillä.</t>
  </si>
  <si>
    <t>CAE000012 - Simulação multifásica do separador de fases para estimar o tempo de operação do sistema - avaliação de resultados</t>
  </si>
  <si>
    <t>-Perfil para geração da hélice dos fusos da bomba de mancal 14, modelo 3NS1625/25H14I (não ficou bom, necessita ser revisado).</t>
  </si>
  <si>
    <t>CAE000012 - Simulação multifásica do separador de fases para estimar o tempo de operação do sistema - nova geometria</t>
  </si>
  <si>
    <t>-Perfil para geração da hélice dos fusos da bomba de mancal 14, modelo 3NS1625/25H14I. Apresenta dificuldades adicionais para dressamento da ferramenta.</t>
  </si>
  <si>
    <t>CAE000012 - Simulação multifásica do separador de fases para estimar o tempo de operação do sistema - repetibilidade de simulação</t>
  </si>
  <si>
    <t>-Pesquisa sobre o revestimento CVD (Chemical Vapour Deposition), possível aplicação em corpos de desgaste. Pesquisa sobre revestimento de médio e alto fósforo (Suprfinishing).</t>
  </si>
  <si>
    <t>CAE000026 - Preparação dos casos a serem simulados - NMac 50I com variação de vazão e viscosidade</t>
  </si>
  <si>
    <t>-Pesquisa sobre o revestimento CVD (Chemical Vapour Deposition), possível aplicação em corpos de desgaste. Verificação projeto elaborado no passado para Wärtsillä (bombas para motores de navio).</t>
  </si>
  <si>
    <t>CAE000026 - Preparação dos casos a serem simulados - NMac 50I com variação de vazão e viscosidade Avaliação dos resultados e solver de 3 combinações adicionais (vazão + viscosidade)</t>
  </si>
  <si>
    <t>-Projeto conceitual para fabricação de um protótipo.
-Treinamento de selos mecânicos John Crane - Parte 1.</t>
  </si>
  <si>
    <t>CAE000026 - Preparação dos casos a serem simulados - NMac 50I com variação de vazão e viscosidade Avaliação dos resultados e solver de 3 combinações adicionais (vazão + viscosidade) - Avaliação dos resultados obtidos com NMac 50I com limpadores</t>
  </si>
  <si>
    <t>-Projeto conceitual para fabricação de um protótipo.
-Treinamento de selos mecânicos John Crane - Parte 2.</t>
  </si>
  <si>
    <t>CAE000026 - Preparação dos casos a serem simulados - NMac 50I com variação de vazão e viscosidade Avaliação dos resultados e solver de 3 combinações adicionais (vazão + viscosidade) - Criação de nova geometria para o NMac 50I sem limpadores, 14mm</t>
  </si>
  <si>
    <t>-Projeto jogo de fusos 3NS117/120H7E (para testes internos em bancada de emulsão) - 4636364</t>
  </si>
  <si>
    <t>CAE000026 - Preparação dos casos a serem simulados - NMac 50I com variação de vazão e viscosidade Avaliação dos resultados e solver de 3 combinações adicionais (vazão + viscosidade) - Geração da malha no NMac 50I sem limpadores</t>
  </si>
  <si>
    <t>-Projeto válvula pilotada especial para bomba 3NS1625/25H14I Wärtsillä (221m³/h).</t>
  </si>
  <si>
    <t>CAE000026 - Preparação dos casos a serem simulados - NMac 50I com variação de vazão e viscosidade Avaliação dos resultados e solver de 3 combinações adicionais (vazão + viscosidade) - Preparação da geometria NMac 50I sem limpadores</t>
  </si>
  <si>
    <t>-Projeto/detalhamento corpo da bomba 3NS-/170H11-</t>
  </si>
  <si>
    <t>CAE000026 - Preparação dos casos a serem simulados - NMac 50I com variação de vazão e viscosidade Setup de todas as configurações</t>
  </si>
  <si>
    <t>-Revisão do protótipo 3NS612/170H11E (item 4729346). Enviar em fabricação.</t>
  </si>
  <si>
    <t>CAE000029 - Cálculo de Slip Estático em bomba 2NSH27/16L1E - Com alta viscosidade</t>
  </si>
  <si>
    <t>-Revisão modelo de fundição 4661320 - solicitação do fornecedor, reduzri falhas de fundição.</t>
  </si>
  <si>
    <t>Cálculo da transferência de calor do mancal das bombas 4NS</t>
  </si>
  <si>
    <t>Acompanhamento da montagem da bomba 4NS142/40H1E.</t>
  </si>
  <si>
    <t>Cálculo de carga de impacto na bomba 3NS (300g)</t>
  </si>
  <si>
    <t>Acompanhamento da montagem da bomba 4NS142/40H1E. Desenho em 2d do arranjo geral da Tampa Traseira com Serpentina e Conexões da bomba 4NS-/-H5E.</t>
  </si>
  <si>
    <t>Cálculo e especificação de novas folgas que deverão ser aplicadas na transformação das bombas 3NS-/120H8E LACT (bombas já fabricadas, necessitam ser alteradas) Cálculo perfil 3NS04/80-1-</t>
  </si>
  <si>
    <t>Análise dos dados de performance das bombas 4NS alterando a profundidade das hélices. Testes de pressões nos Corpos de Desgastes das bombas 4NS-/30H5E e 4NS-/60H5E.</t>
  </si>
  <si>
    <t>Cálculo para determinar o coeficiente de trocade térmica (convecção interna forçada) no sistema de refrigeração dos mancais</t>
  </si>
  <si>
    <t>Atualização do P&amp;ID do skid multifásico (Inclusão da válvula de controle / medidor de vazão e trocador de calor).</t>
  </si>
  <si>
    <t>Cálculo perfil 3NS04/80-1-</t>
  </si>
  <si>
    <t>Cadastro de itens / gerar desenhos em pdf / cadastros PDM.</t>
  </si>
  <si>
    <t>Cálculos analíticos para memorial de cálculos do eixo motor / Diagrama de corpo livre / Análise de reações através do métodos de energia / Diagramas de força cortante e momento fletor</t>
  </si>
  <si>
    <t>Cadastros dos itens e desenhos dos Anéis Distanciadores e de Apoio das bombas 4NS-/-H1E a 4NS-/-H6E. Acompanhamento do teste da bomba 4NS142/40H1E Multifásica.</t>
  </si>
  <si>
    <t>Cálculos em relação ao aquecimento da bomba 4NS1135/40H4E</t>
  </si>
  <si>
    <t>Cadastros dos itens, desenhos e exames dos itens das Engrenagens das bombas 4NS-/-H1E a 4NS-/-H6E.</t>
  </si>
  <si>
    <t>Cálculos para a determinação da temperatura de operação da bomba 3NS189/80H8E - CP LP0000186 (fluído em alta temperatura)</t>
  </si>
  <si>
    <t>Cálculos e preenchimento das tabelas relativas aos passos e modelos das bombas 4NS.</t>
  </si>
  <si>
    <t>Cálculos para verificação da possibilidade de alteração da folga existente no sistema de vedação do fuso motor da bomba 3NS147/120H7E</t>
  </si>
  <si>
    <t>Continuação da verificação realizada no dia 26/04/23. Não encontramos cargas elevadas que justifiquem o desgaste prematuro do rolamento. Outras verificações serão necessárias. Eleboramos um modelo para simulação no CFX.</t>
  </si>
  <si>
    <t>Calculos para verificação da possibilidade de alteração da folga existente no sistema de vedação do fuso motor da bomba 3NS147/120H7E Projeto/estudo de opções para a vedação da bomba (metal duro ou bronze)</t>
  </si>
  <si>
    <t>Continuação do projeto da tubulação de retorno de líquido para o tanque (P/ instalação da válvula de controle DN 40 - 0 A 10 m³/h).</t>
  </si>
  <si>
    <t>Cálculos referentes a espessura de mancal hidrodinâmico da linha 3NS - levantar informações teóricas afim de automatizar o cálculo para a linha toda 3NS (16, 25, 80, 120 e 160 bar)</t>
  </si>
  <si>
    <t>Continuação do projeto da tubulação para instalar na parte superior do tanque de emulsão (4665547).</t>
  </si>
  <si>
    <t>Calibração do novo dispositivo para mensurar o coeficiente de atrito</t>
  </si>
  <si>
    <t>Continuação do Projeto de um filtro (Tipo demister) para instalar na tampa do tanque de emulsão da bancada multifásica.</t>
  </si>
  <si>
    <t>Camisa de aquecimento - Simulação fluidodinâmica computacional CFD nº CAE000016 - Análise de sensibilidade de malha e simuação CHT</t>
  </si>
  <si>
    <t>Continuação do projeto do liquid boot flangeado na região do separador de fases (4665649 / 4665650).</t>
  </si>
  <si>
    <t>Camisa de aquecimento - Simulação fluidodinâmica computacional CFD nº CAE000016 - Desenho de geometrias alternativas / Preparação de geometrias para simulação CFD</t>
  </si>
  <si>
    <t>Croquis de bocais para o triturador N.Mac BO.</t>
  </si>
  <si>
    <t>Camisa de aquecimento - Simulação fluidodinâmica computacional CFD nº CAE000016 - Desenhos de geometrias alternativas e preparação destas para análises CFD</t>
  </si>
  <si>
    <t>Croquis de bocais para o triturador N.Mac BO. Avaliação de motoredutor recebido e não conformidades.</t>
  </si>
  <si>
    <t>Camisa de aquecimento - Simulação fluidodinâmica computacional CFD nº CAE000016 - Geração de malhas</t>
  </si>
  <si>
    <t>Croquis de bocais para o triturador N.Mac BO. Croquis de corpos vedados para trituradores N.Mac.</t>
  </si>
  <si>
    <t>Coleta de dados e informações para elaboração do manual de uso do software da bancada de testes 4NSM</t>
  </si>
  <si>
    <t>Croquis de bocais para o triturador N.Mac BO. Preparação de geometria para simulação.</t>
  </si>
  <si>
    <t>Coleta de informações sobre planos de selagem da concorrência</t>
  </si>
  <si>
    <t>Desenho dimensional em 2d da bomba 4NS-/40H1E direita/topo c/ aquecimento.</t>
  </si>
  <si>
    <t>Comparação entre os resultados obtidos</t>
  </si>
  <si>
    <t>Desenho dimensional em 2d da bomba 4NS-/40H1E direita/topo s/ aquecimento. Desenho dimensional em 2d da bomba 4NS-/40H1E esquerda/topo c/ aquecimento.</t>
  </si>
  <si>
    <t>Compra de materiais para trituração: lenços umedecidos, papel higiênico e absorvente externo</t>
  </si>
  <si>
    <t>Desenho dimensional em 2d da bomba 4NS-/40H1E esquerda/topo c/ aquecimento. Desenho dimensional em 2d da bomba 4NS-/40H1E direita/topo c/ aquecimento.</t>
  </si>
  <si>
    <t>Compra de modelos de fundição em inox: corpo, carcaça superior, tampa flange e tampa inferior</t>
  </si>
  <si>
    <t>Desenho dimensional em 2d da bomba 4NS-/40H2E esquerda/topo c/ aquecimento. Desenho dimensional em 2d da bomba 4NS-/40H2E direita/topo c/ aquecimento.</t>
  </si>
  <si>
    <t>Compra de modelos de tampas laterais em inox</t>
  </si>
  <si>
    <t>Desenho dimensional em 2d da bomba 4NS-/40H2E esquerda/topo s/ aquecimento. Desenho dimensional em 2d da bomba 4NS-/40H2E direita/topo s/ aquecimento.</t>
  </si>
  <si>
    <t>Compra de sensores de pressão e de temperatura para bancada de testes de trituradores NMac</t>
  </si>
  <si>
    <t>Desenho dimensional em 2d da bomba 4NS-/40H3E esquerda/topo c/ aquecimento. Desenho dimensional em 2d da bomba 4NS-/40H3E direita/topo c/ aquecimento.</t>
  </si>
  <si>
    <t>Configuração das espessuras das linhas dos desenhos de fabricação 2D, das bombas 4NS-/-H1E a 4NS-/-H10E com selo mecânico duplo cartucho da Burgmann Desenho em 3d do Mancal Traseiro da bomba 4NS-/-H1E</t>
  </si>
  <si>
    <t>Desenho dimensional em 2d da bomba 4NS-/40H3E esquerda/topo s/ aquecimento. Desenho dimensional em 2d da bomba 4NS-/40H3E direita/topo s/ aquecimento.</t>
  </si>
  <si>
    <t>Configuração de simulação dinâmica utilizando GIB para o caso de 1[bar] de pressão diferencial para avaliar o slip na bomba 2NSH55/16L1E</t>
  </si>
  <si>
    <t>Desenho dimensional em 2d da bomba 4NS-/40H6E esquerda/topo c/ aquecimento. Desenho dimensional em 2d da bomba 4NS-/40H6E direita/topo c/ aquecimento.</t>
  </si>
  <si>
    <t>Configuração e testes iniciais de  simulações CFD com o Helyx</t>
  </si>
  <si>
    <t>Desenho dimensional em 2d da bomba 4NS-/40H6E esquerda/topo s/ aquecimento. Desenho dimensional em 2d da bomba 4NS-/40H6E direita/topo s/ aquecimento. Desenho dimensional em 2d da bomba 4NS-/40H6E esquerda/topo c/ aquecimento.</t>
  </si>
  <si>
    <t>Contato com fabricantes de equipamentos de Poliuretano Reator, bomba de vácuo e estufa Desenvolvimento em escala de produção</t>
  </si>
  <si>
    <t>Desenho dimensional em 2d da bomba 4NS-/40H7E direita/topo s/ aquecimento. Desenho dimensional em 2d da bomba 4NS-/40H7E esquerda/topo c/ aquecimento.</t>
  </si>
  <si>
    <t>Contato com fornecedor Dalton para definição de propriedades ideais para o primer e adesivo à base d´água</t>
  </si>
  <si>
    <t>Desenho dimensional em 2d da bomba 4NS-/40H7E esquerda/topo c/ aquecimento. Desenho dimensional em 2d da bomba 4NS-/40H7E direita/topo c/ aquecimento. Revisão do desenho dimensional em 2d da bomba 4NS-/40H4E direita/topo c/ aquecimento.</t>
  </si>
  <si>
    <t>Continuação - Estudo para a utilização de carbeto de tugstênio em corpos de desgaste</t>
  </si>
  <si>
    <t>Desenho dimensional em 2d da bomba 4NS-/40H7E esquerda/topo s/ aquecimento.</t>
  </si>
  <si>
    <t>Continuação da Inclusão da série de 80 bar na planilha de cálculos das bombas 4NSM</t>
  </si>
  <si>
    <t>Desenho do arranjo geral do conjunto mancais e selos mecânicos, para suportar 100 bar de pressão, da bomba 4NS4442/40H8E.</t>
  </si>
  <si>
    <t>Continuação do projeto do sistema "unidade de gás anular"</t>
  </si>
  <si>
    <t>Desenho em 2d da Caixa de Selagem com Selo Mecânico Simples Cartucho diâmetro 45, da bomba 4NS-/-H1E.</t>
  </si>
  <si>
    <t>Continuação do projeto do sistema multifásico com separador de fases</t>
  </si>
  <si>
    <t>Desenho em 2d do arranjo geral da Tampa Traseira com Serpentina e Conexões da bomba 4NS-/-H5E. Desenhos em 3d da Tampa da Serpentina e do Defletor da Bomba 4NS-/-H5E.</t>
  </si>
  <si>
    <t>Continuação do projeto dos fusos motor e movido modelo 4NS142/40H1E com perfil côncavo/convexo</t>
  </si>
  <si>
    <t>Desenho em 2d do Flange de Vedação do Corpo da Bomba 4NS-/-H10E. Desenho em 3d do Fuso Motor Pré-Usinado da bomba 4NS-/40H10E.</t>
  </si>
  <si>
    <t>Continuação do projeto dos fusos motor e movido modelo 4NS142/40H1E com perfil côncavo/convexo (Desenhos: 4665219 / 4665220)</t>
  </si>
  <si>
    <t>Desenho em 2d do Flange de Vedação do Corpo da Bomba 4NS-/-H9E. Desenhos em 3d dos Fusos Motor/Movido Pré-Usinados da Bomba 4NS12863/40H9E. Desenho em 2d do Fuso Motor da Bomba 4NS12863/40H9E.</t>
  </si>
  <si>
    <t>Conversa com Vendas sobre levantamento de panorama de aplicação dos equipamentos</t>
  </si>
  <si>
    <t>Desenho em 2d do Fuso Motor da Bomba 4NS16800/40H10E. Desenho em 2d do Fuso Movido da Bomba 4NS16800/40H10E.</t>
  </si>
  <si>
    <t>Cotação de modelos de fundição para peças em inox</t>
  </si>
  <si>
    <t>Desenho em 2d do Fuso Motor da bomba 4NS8269/40H8E para selo mecanico simples com plano 51. Desenho em 2d do Fuso Movido da bomba 4NS8269/40H8E para selo mecanico simples com plano 51.</t>
  </si>
  <si>
    <t>Cotação de modelos de fundição para peças em inox / Memorial de cálculo dos eixos</t>
  </si>
  <si>
    <t>Desenho em 2d do Fuso Movido da Bomba 4NS12863/40H9E. Desenhos em 2d da Chapa Pré-Usinada e do Anel Pré-Usinado do Mancal da bomba 4NS-/-H10E.</t>
  </si>
  <si>
    <t>Cotação de modelos de fundição para peças em inox / Simulação fluidodinâmica computacional CFD nº CAE000013</t>
  </si>
  <si>
    <t>Desenho em 2d do Fuso Movido da Bomba 4NS16800/40H10E.</t>
  </si>
  <si>
    <t>CP L80000736 - engenharia utilizou um canal de retorno externo, o problema foi que utilizaram um tubo muito pequeno (retorno interno padrão Ø24mm, tubo utilizado com Ø imterno de 8mm) Gera pressão e desequilibrio axial</t>
  </si>
  <si>
    <t>Desenho em 2d do Fuso Movido da bomba 4NS2795/40H6E para selo mecanico simples com plano 51. Desenhos em 3d dos Fusos Motor/Movido pré-usinados da bomba 4NS4543/40H7E para selo mecanico simples com plano 51.</t>
  </si>
  <si>
    <t>Cronograma de testes de trituração de lenços e papel higiênico</t>
  </si>
  <si>
    <t>Desenho em 2d do Mancal Dianteiro da bomba 4NS-/-H10E para selo mecanico simples com plano 51.</t>
  </si>
  <si>
    <t>Definição de novos pontos para teste da bomba 3NS18/16H3E (variação da temperatura do fluído x rotações x pressões diferenciais)</t>
  </si>
  <si>
    <t>Desenho em 2d do Mancal Dianteiro da Bomba 4NS-/-H10E.</t>
  </si>
  <si>
    <t>Definição do dimensional do perfil da hélice dos fusos da bomba 4NS142/40H1E - 06 rolamentos + programa de retificação</t>
  </si>
  <si>
    <t>Desenho em 2d do Mancal Dianteiro da bomba 4NS-/-H8E para selo mecanico simples com plano 51.</t>
  </si>
  <si>
    <t>Definição do invólucro de borracha</t>
  </si>
  <si>
    <t>Desenho em 2d do Mancal Dianteiro da bomba 4NS-/-H8E para selo mecanico simples com plano 51. Desenho em 2d do Mancal Traseiro da bomba 4NS-/-H8E para selo mecanico simples com plano 51.</t>
  </si>
  <si>
    <t>Definição do invólucro de borracha para NMac BO</t>
  </si>
  <si>
    <t>Desenho em 2d do Mancal Dianteiro da Bomba 4NS-/-H8E. Revisão em 3d do Mancal Traseiro da Bomba 4NS-/-H8E.</t>
  </si>
  <si>
    <t>Definições para teste de trituração de nanocelulose</t>
  </si>
  <si>
    <t>Desenho em 2d do Mancal Dianteiro da bomba 4NS-/-H9E para selo mecânico simples com plano 51.</t>
  </si>
  <si>
    <t>Desenho de fabricação em 3D do Corpo da Bomba 4NS-/40H1E</t>
  </si>
  <si>
    <t>Desenho em 2d do Mancal dianteiro da Bomba 4NS-/-H9E.</t>
  </si>
  <si>
    <t>Desenho do arranjo geral em 2D do conjunto selo mecânico simples cartucho com plano 51 e do detalhe da selagem da bomba 4NS-/-H1E Dimensionamento e desenho em 3d do Flange de Vedação do Corpo da Bomba 4NS-/-H1E</t>
  </si>
  <si>
    <t>Desenho em 2d do Mancal Dianteiro para selo mecânico simples componente com plano 51, da bomba 4NS-/-H6E.</t>
  </si>
  <si>
    <t>Desenho do arranjo geral em 2D do conjunto selo mecânico simples cartucho com plano 51 e do detalhe da selagem, da bomba 4NS-/-H3E</t>
  </si>
  <si>
    <t>Desenho em 2d do Mancal Traseiro da bomba 4NS-/-H10E para selo mecanico simples com plano 51. Desenho em 2d do Porta Selo Mecânico da bomba 4NS-/-H10E para selo mecanico simples com plano 51.</t>
  </si>
  <si>
    <t>Desenho em 2D da caixa de selagem e selo mecânico duplo cartucho da Burgmann da bomba 4NS-/-H9E</t>
  </si>
  <si>
    <t>Desenho em 2d do Mancal Traseiro da bomba 4NS-/-H9E para selo mecânico simples com plano 51.</t>
  </si>
  <si>
    <t>Desenho em 2D do arranjo geral do porta selo mecânico e do selo mecânico, da bomba 4NS-/-H10E com selo mecânico duplo cartucho da Burgmann</t>
  </si>
  <si>
    <t>Desenho em 2d do Mancal Traseiro para selo mecânico simples componente com plano 51, da bomba 4NS-/-H6E.</t>
  </si>
  <si>
    <t>Desenho em 2D do Corpo da Bomba 4NS-/40H1E</t>
  </si>
  <si>
    <t>Desenho em 2d do Mancal Traseiro para selo mecânico simples componente com plano 51, da bomba 4NS-/-H7E.</t>
  </si>
  <si>
    <t>Desenho em 2D do Flange de Vedação do Corpo da bomba 4NS-/-H1E p/ Selo Simples Cartucho</t>
  </si>
  <si>
    <t>Desenho em 2d do Porta Selo Mecânico da bomba 4NS-/-H10E para selo mecanico simples com plano 51. Estudos e cálculos para que a Bomba 4NS4442/40H8E possa operar com 100 Bar de pressão na sucção.</t>
  </si>
  <si>
    <t>Desenho em 2D do Flange de Vedação do Corpo da bomba 4NS-/-H1E p/ Selo Simples Cartucho Desenho em 2D do Mancal Dianteiro da bomba 4NS-/-H1E p/ Selo Simples Cartucho</t>
  </si>
  <si>
    <t>Desenho em 2d do Porta Selo Mecânico da bomba 4NS-/-H8E para selo mecanico simples com plano 51. Desenhos em 3d dos Fusos Motor/Movido pré-usinados da bomba 4NS-/40H8E para selo mecanico simples com plano 51.</t>
  </si>
  <si>
    <t>Desenho em 2D do Flange de Vedação do Corpo da Bomba 4NS-/-H2E</t>
  </si>
  <si>
    <t>Desenho em 2d do Porta Selo Mecânico e Selo Mecânico da bomba 4NS4442/40H8E para 100 Bar de pressão. Desenho em 2d do Porta Selo Mecânico da bomba 4NS-/-H9E para selo mecanico simples com plano 51..</t>
  </si>
  <si>
    <t>Desenho em 2D do Flange de Vedação do Corpo da Bomba 4NS-/-H2E p/ selo simples cartucho Desenho em 2D do Mancal Dianteiro da Bomba 4NS-/-H2E p/ selo simples cartucho</t>
  </si>
  <si>
    <t>Desenho em 2d do Porta Selo Mecânico para selo simples componente com plano 51, da bomba 4NS-/-H7E.</t>
  </si>
  <si>
    <t>Desenho em 2D do Flange de Vedação do Corpo da Bomba 4NS-/-H4E</t>
  </si>
  <si>
    <t>Desenho em 3d da Tampa Traseira Especial para Serpentina da bomba 4NS-/-H5E. Montagem em 3d da Bomba 4NS-/-H5E com Serpentina na Tampa Traseira.</t>
  </si>
  <si>
    <t>Desenho em 2D do Flange de Vedação do Corpo da bomba 4NS-/-H5E Desenho em 2D do Mancal Dianteiro da bomba 4NS-/-H5E</t>
  </si>
  <si>
    <t>Desenho em 3d do Fuso Motor pré-usinado da bomba 4NS-/40H10E para selo mecanico simples com plano 51. Desenho em 2d do Fuso Motor da bomba 4NS16800/40H10E para selo mecanico simples com plano 51.</t>
  </si>
  <si>
    <t>Desenho em 2D do Flange de Vedação do Corpo da Bomba 4NS-/-H6E</t>
  </si>
  <si>
    <t>Desenho em 3d do Fuso Movido pré-usinado da bomba 4NS-/40H10E para selo mecanico simples com plano 51. Desenho em 2d do Fuso Movido da bomba 4NS16800/40H10E para selo mecanico simples com plano 51.</t>
  </si>
  <si>
    <t>Desenho em 2D do Flange de Vedação do Corpo da Bomba 4NS-/-H6E Desenho em 2D do Mancal Dianteiro da Bomba 4NS-/-H6E</t>
  </si>
  <si>
    <t>Desenho em 3d do Fuso Movido Pré-Usinado da bomba 4NS-/40H10E. Desenho em 2d do Fuso Motor da Bomba 4NS16800/40H10E.</t>
  </si>
  <si>
    <t>Desenho em 2D do Flange de Vedação do Corpo da Bomba 4NS-/-H7E Desenho em 2D do Mancal Dianteiro da Bomba 4NS-/-H7E</t>
  </si>
  <si>
    <t>Desenho em 3d e testes de deflexões do Fuso Motor da Bomba 4NS4442/40H8E. Desenho em 3d do Flange de Vedação do Corpo, para suportar 100 bar de pressão, da bomba 4NS4442/40H8E.</t>
  </si>
  <si>
    <t>Desenho em 2D do Flange de Vedação do Corpo da Bomba 4NS-/-H8E</t>
  </si>
  <si>
    <t>Desenho em 3d e testes de deflexões, com várias pressões, do Fuso Motor 4NS diâmetro 240 com passo 100.</t>
  </si>
  <si>
    <t>Desenho em 2D do Flange de Vedação do Corpo da bomba 4NS-/-H8E</t>
  </si>
  <si>
    <t>Desenho em 3d e testes de deflexões, com várias pressões, do Fuso Motor 4NS diâmetro 300 com passo 75.</t>
  </si>
  <si>
    <t>Desenho em 2D do Flange de Vedação do Corpo da Bomba 4NS142/40H1E Desenho em 2D do Mancal Dianteiro da Bomba 4NS142/40H1E</t>
  </si>
  <si>
    <t>Desenhos dos arranjos gerais das novas fixações das engrenagens motoras das bombas 4NS-/-H1E a 4NS-/-H6E.</t>
  </si>
  <si>
    <t>Desenho em 2D do Fuso Motor da Bomba 4NS1042/40H5E</t>
  </si>
  <si>
    <t>Desenhos dos arranjos gerais das novas fixações das engrenagens motoras das bombas 4NS-/-H1E a 4NS-/-H6E. Desenho em 3d da Engrenagem Motora Direita da bomba 4NS-/-H1E.</t>
  </si>
  <si>
    <t>Desenho em 2D do Fuso Motor da bomba 4NS1135/40H4E</t>
  </si>
  <si>
    <t>Desenhos em 2d da Engrenagem Motora Direita, dos Anéis Distanciadores e do Anel de Apoio da bomba 4NS-/-H2E.</t>
  </si>
  <si>
    <t>Desenho em 2D do Fuso Motor da Bomba 4NS1135/40H4E</t>
  </si>
  <si>
    <t>Desenhos em 2d da Engrenagem Motora Direita, dos Anéis Distanciadores e do Anel de Apoio da bomba 4NS-/-H3E. Desenho em 2d da Engrenagem Motora Direita da bomba 4NS-/-H4E.</t>
  </si>
  <si>
    <t>Desenho em 2D do Fuso Motor da bomba 4NS1135/40H4E Desenho em 3d do Fuso Motor Pré-Usinado 4NS1135/40H4E</t>
  </si>
  <si>
    <t>Desenhos em 2d da Tampa do Aquecimento e da Junta Plana da bomba 4NS-/40H7E. Testes de pressôes nas Tampas dos Aquecimentos das Bombas 4NS-/40H1E a 4NS-/40H6E.</t>
  </si>
  <si>
    <t>Desenho em 2D do Fuso Motor da Bomba 4NS12863/40H9E</t>
  </si>
  <si>
    <t>Desenhos em 2d das Caixas de Selagens com Selos Mecânicos Simples Cartucho diâmetro 105 e 125, das bombas 4NS-/-H6E e 4NS-/-H7E. Desenhos em 2d das Caixas de Selagens com Selos Simples Cartucho plano 51 diâmetro 105 e 125, das bombas 4NS-/-H6E e 4NS-/-H7E</t>
  </si>
  <si>
    <t>Desenho em 2D do Fuso Motor da Bomba 4NS222/40H2E Desenhos em 2D das Arruelas de Encostos da Bomba 4NS-/-H2E</t>
  </si>
  <si>
    <t>Desenhos em 2d das Caixas de Selagens com Selos Mecânicos Simples Cartucho diâmetro 145 a 185, das bombas 4NS-/-H8E a 4NS-/-H10E. Desenhos em 2d das Caixas de Selagens com Selos Simples Cartucho plano 51 diâmetro 145 e 165,das bombas 4NS-/-H8E e 4NS-/-H9E</t>
  </si>
  <si>
    <t>Desenho em 2D do Fuso Motor da Bomba 4NS261/40H1E</t>
  </si>
  <si>
    <t>Desenhos em 2d das Caixas de Selagens com Selos Mecânicos Simples Cartucho diâmetro 55 e 65, das bombas 4NS-/-H2E e 4NS-/-H3E. Desenhos em 2d das Caixas de Selagens com Selos Simples Cartucho c/ plano 51 diâmetro 45 e 55, das bombas 4NS-/-H1E e 4NS-/-H2E.</t>
  </si>
  <si>
    <t>Desenho em 2D do Fuso Motor da Bomba 4NS261/40H1E Desenho em 2D do Fuso Movido da Bomba 4NS261/40H1E</t>
  </si>
  <si>
    <t>Desenhos em 2d das Caixas de Selagens com Selos Mecânicos Simples Cartucho diâmetro 75 e 90, das bombas 4NS-/-H4E e 4NS-/-H5E. Desenhos em 2d das Caixas de Selagens com Selos Simples Cartucho c/ plano 51 diâmetro 65 a 90, das bombas 4NS-/-H3E a 4NS-/-H5E.</t>
  </si>
  <si>
    <t>Desenho em 2D do Fuso Motor da Bomba 4NS261/40H1E p/ selo simples cartucho</t>
  </si>
  <si>
    <t>Desenhos em 2d das Tampas dos Aquecimentos e das Juntas Planas das bombas 4NS-/40H4E e 4NS-/40H5E.</t>
  </si>
  <si>
    <t>Desenho em 2D do Fuso Motor da bomba 4NS266/40H3E</t>
  </si>
  <si>
    <t>Desenhos em 2d do Anel Distanciador e do Anel de Apoio da bomba 4NS-/-H5E. Desenhos em 2d da Engrenagem Motora Direita e do Anel Distanciador da bomba 4NS-/-H6E.</t>
  </si>
  <si>
    <t>Desenho em 2D do Fuso Motor da bomba 4NS266/40H3E Desenho em 2D do Fuso Movido da bomba 4NS266/40H3E</t>
  </si>
  <si>
    <t>Desenhos em 2d do Mancal Traseiro e do Porta Selo Mecânico da Bomba 4NS-/-H8E.</t>
  </si>
  <si>
    <t>Desenho em 2D do Fuso Motor da Bomba 4NS286/40H2E</t>
  </si>
  <si>
    <t>Desenhos em 2d do Mancal Traseiro e do Porta Selo Mecânico da Bomba 4NS-/-H9E.</t>
  </si>
  <si>
    <t>Desenho em 2D do Fuso Motor da Bomba 4NS407/40H2E</t>
  </si>
  <si>
    <t>Desenhos em 2d do Porta Selo Mecânico e do Flange de Vedação do Corpo da Bomba 4NS-/-H10E.</t>
  </si>
  <si>
    <t>Desenho em 2D do Fuso Motor da Bomba 4NS4543/40H7E</t>
  </si>
  <si>
    <t>Desenhos em 2d dos Anéis Distanciadores e do Anel de Apoio da bomba 4NS-/-H4E. Desenho em 2d da Engrenagem Motora Direita da bomba 4NS-/-H5E. Acompanhamento do teste da bomba 4NS142/40H1E Multifásica.</t>
  </si>
  <si>
    <t>Desenho em 2D do Fuso Motor da Bomba 4NS8269/40H8E</t>
  </si>
  <si>
    <t>Desenhos em 2d dos Fusos Motor/Movido da bomba 4NS4543/40H7E para selo mecanico simples com plano 51.</t>
  </si>
  <si>
    <t>Desenho em 2D do Fuso Motor da Bomba 4NS8269/40H8E Desenhos em 3d dos Fusos Motor/Movido Pré-Usinados da Bomba 4NS8269/40H8E Desenho em 2D do Fuso Movido da Bomba 4NS8269/40H8E</t>
  </si>
  <si>
    <t>Desenhos em 2d dos Mancais Dianteiro/Traseiro da Bomba 4NS-/-H10E.</t>
  </si>
  <si>
    <t>Desenho em 2D do Fuso Motor, da Bomba 4NS142/40H1E</t>
  </si>
  <si>
    <t>Desenhos em 3d da Engrenagem Motora Direita e do Anel Distanciador da bomba 4NS-/-H6E. Desenhos em 2d da Engrenagem Motora Direita e Anéis Distanciadores da bomba 4NS-/-H1E.</t>
  </si>
  <si>
    <t>Desenho em 2D do Fuso Movido da Bomba 4NS1042/40H5E Desenho em 2D do Flange de Vedação do Corpo da bomba 4NS-/-H5E</t>
  </si>
  <si>
    <t>Desenhos em 3d da Tampa do Aquecimento e da Junta Plana da bomba 4NS-/40H7E. Testes de pressão na Tampa do Aquecimento da Bomba 4NS-/40H7E.</t>
  </si>
  <si>
    <t>Desenho em 2D do Fuso Movido da bomba 4NS1135/40H4E</t>
  </si>
  <si>
    <t>Desenhos em 3d das Engrenagens Motoras Direitas, Anéis Distanciadores e Anéis de Apoios das bombas 4NS-/-H1E a 4NS-/-H5E.</t>
  </si>
  <si>
    <t>Desenho em 2D do Fuso Movido da Bomba 4NS1135/40H4E</t>
  </si>
  <si>
    <t>Desenhos em 3d dos Fusos Motor/Movido pré-usinados da bomba 4NS-/40H9E para selo mecanico simples com plano 51. Desenhos em 2d dos Fusos Motor/Movido da bomba 4NS12863/40H9E para selo mecânico simples com plano 51.</t>
  </si>
  <si>
    <t>Desenho em 2D do Fuso Movido da bomba 4NS1135/40H4E Desenho do arranjo geral em 2D do selo mecânico simples cartucho com plano 51, da Bomba 4NS-/-H5E</t>
  </si>
  <si>
    <t>Desenhos em 3d dos Fusos Motor/Movido pré-usinados da bomba 4NS2795/40H6E para selo mecanico simples com plano 51. Desenho em 2d do Fuso Motor da bomba 4NS2795/40H6E para selo mecanico simples com plano 51.</t>
  </si>
  <si>
    <t>Desenho em 2D do Fuso Movido da Bomba 4NS12863/40H9E</t>
  </si>
  <si>
    <t>Desenhos em 3d dos Fusos Motor/Movido Pré-Usinados da Bomba 4NS8269/40H8E. Desenhos em 2d dos Fusos Motor/Movido da Bomba 4NS8269/40H8E.</t>
  </si>
  <si>
    <t>Desenho em 2D do Fuso Movido da Bomba 4NS222/40H2E</t>
  </si>
  <si>
    <t>Desenhos em 3d e testes de deflexões nos Fusos Motores 4NS148/16H1E e 4NS41/80H1E.</t>
  </si>
  <si>
    <t>Desenho em 2D do Fuso Movido da Bomba 4NS261/40H1E</t>
  </si>
  <si>
    <t>Desenvolvimento / modelagem da bomba.</t>
  </si>
  <si>
    <t>Desenho em 2D do Fuso Movido da Bomba 4NS261/40H1E p/ selo simples cartucho</t>
  </si>
  <si>
    <t>Desenvolvimento / projeto do sistema de ancoragem 3S para tubing 4.1/2".
Desenvolvido, detalhado e cadastrado corpo da ancora especial para o teste.</t>
  </si>
  <si>
    <t>Desenho em 2D do Fuso Movido da Bomba 4NS261/40H1E p/ selo simples cartucho Desenho em 2D do Flange de Vedação do Corpo da Bomba 4NS-/-H2E p/ selo simples cartucho</t>
  </si>
  <si>
    <t>Desenvolvimento / projeto do sistema de ancoragem 3S para tubing 4.1/2".
Fase de modelagem 3D do conjunto.</t>
  </si>
  <si>
    <t>Desenho em 2D do Fuso Movido da bomba 4NS266/40H3E</t>
  </si>
  <si>
    <t>Detalhamento da tampa dianteira 4663028.</t>
  </si>
  <si>
    <t>Desenho em 2D do Fuso Movido da Bomba 4NS2795/40H6E Desenho em 2D do Flange de Vedação do Corpo da Bomba 4NS-/-H7E</t>
  </si>
  <si>
    <t>Detalhamento de projeto (4664925). Atendimento a vendas - planilha completa situação/desenvolvimento da linha 3NS. Reunião NOTOS Conference. Alteração da bancada de testes de bombas de fusos.</t>
  </si>
  <si>
    <t>Desenho em 2D do Fuso Movido da Bomba 4NS286/40H2E</t>
  </si>
  <si>
    <t>Detalhamento de projeto 4664926.</t>
  </si>
  <si>
    <t>Desenho em 2D do Fuso Movido da Bomba 4NS286/40H2E Desenho em 2D do Mancal Traseiro da Bomba 4NS-/-H2E</t>
  </si>
  <si>
    <t>Detalhamento do projeto 4664917/18/19/20.</t>
  </si>
  <si>
    <t>Desenho em 2D do Fuso Movido da Bomba 4NS407/40H2E</t>
  </si>
  <si>
    <t>Detalhamento do projeto 4665595.</t>
  </si>
  <si>
    <t>Desenho em 2D do Fuso Movido da Bomba 4NS4543/40H7E</t>
  </si>
  <si>
    <t>Dimensionamento de bocal de sucção/descarga do triturador para simulação de perda de carga utilizando o CFD do HELYX.</t>
  </si>
  <si>
    <t>Desenho em 2D do Fuso Movido da Bomba 4NS8269/40H8E</t>
  </si>
  <si>
    <t>Dimensionamento de novas molas para as válvulas das Bombas Notos 2NS</t>
  </si>
  <si>
    <t>Desenho em 2D do Fuso Movido, da Bomba 4NS142/40H1E</t>
  </si>
  <si>
    <t>Dimensionamento de novos ajustes para montagem dos posicionadores em Bombas Notos 2NS</t>
  </si>
  <si>
    <t>Desenho em 2D do Fuso Movido, da Bomba 4NS142/40H1E Desenho em 2D do Flange de Vedação do Corpo da Bomba 4NS142/40H1E</t>
  </si>
  <si>
    <t>Dimensionamento e desenho em 3d da Serpentina para Bomba 4NS-/-H5E.</t>
  </si>
  <si>
    <t>Desenho em 2D do Mancal Dianteiro da Bomba 4NS-/-H2E</t>
  </si>
  <si>
    <t>Dimensionamento projeto 3NS-/80L4E.</t>
  </si>
  <si>
    <t>Desenho em 2D do Mancal Dianteiro da bomba 4NS-/-H5E Desenho em 2D do Mancal Traseiro da bomba 4NS-/-H5E</t>
  </si>
  <si>
    <t>Dimensionamento projeto 3NS-/80L5E.</t>
  </si>
  <si>
    <t>Desenho em 2D do Mancal Dianteiro da Bomba 4NS-/-H6E</t>
  </si>
  <si>
    <t>Dimensionamento projeto 3NS-/80L6E.</t>
  </si>
  <si>
    <t>Desenho em 2D do Mancal Dianteiro da Bomba 4NS-/-H9E</t>
  </si>
  <si>
    <t>Dimensionamento projeto 3NS-/80L7E.</t>
  </si>
  <si>
    <t>Desenho em 2D do Mancal Dianteiro da Bomba 4NS142/40H1E Desenho em 2D do Mancal Traseiro da Bomba 4NS142/40H1E</t>
  </si>
  <si>
    <t>Dimensionamentos e desenhos em 3d dos Pinos Roscados das Bombas 4NS-/-H6E e 4NS-/-H10E. Montagens em 3d das bombas 4NS-/40H1E esquerda/topo sem/com aquecimento.</t>
  </si>
  <si>
    <t>Desenho em 2D do Mancal Traseiro da bomba 4NS-/-H4E Desenhos em 3d dos Fusos Motor/Movido Pré-Usinados da bomba 4NS-/40H4E</t>
  </si>
  <si>
    <t>Elaboração de flanges de acionamento do triturador N.Mac BO.</t>
  </si>
  <si>
    <t>Desenho em 2D do Mancal Traseiro da Bomba 4NS-/-H7E Desenho em 2D do Porta Selo Mecânico da Bomba 4NS-/-H7E</t>
  </si>
  <si>
    <t>Elaboração de novos desenhos para fabricação</t>
  </si>
  <si>
    <t>Desenho em 2D do Mancal Traseiro da Bomba 4NS-/-H9E Desenho em 2D do Porta Selo Mecânico da Bomba 4NS-/-H9E</t>
  </si>
  <si>
    <t>Elaboração de novos desenhos para fabricação.</t>
  </si>
  <si>
    <t>Desenho em 2D do Porta Selo Mecânico da Bomba 4NS-/-H2E Desenhos em 3D dos Fusos Pré-Usinados Motor/Movido da Bomba 4NS-/40H2E</t>
  </si>
  <si>
    <t>Elaboração de novos desenhos.</t>
  </si>
  <si>
    <t>Desenho em 2D do Porta Selo Mecânico da Bomba 4NS-/-H5E Desenhos em 3d dos Fusos Motor/Movido Pré-Usinados da Bomba 4NS-/40H5E</t>
  </si>
  <si>
    <t>Elaboração do check list operacional do skid multifásico;</t>
  </si>
  <si>
    <t>Desenho em 2D do Porta Selo Mecânico da Bomba 4NS-/-H6E Dimensionamento da Ponta de Eixo Cônica do Fuso Motor da Bomba 4NS-/-H7E Desenho em 2D do Fuso Motor da Bomba 4NS2795/40H6E</t>
  </si>
  <si>
    <t>Elaboração do diagrama funcional do skid multifásico.</t>
  </si>
  <si>
    <t>Desenho em 2D do Porta Selo Mecânico da bomba 4NS-/-H7E</t>
  </si>
  <si>
    <t>Elaboração do programa do perfil dos fusos 4NS1895/80H7E (Com Níquel Lub);</t>
  </si>
  <si>
    <t>Desenho em 2D do Porta Selo Mecânico Direito da bomba 4NS-/-H3E Desenhos em 3D dos Fusos Motor/Movido Pré-Usinados da bomba 4NS266/40H3E</t>
  </si>
  <si>
    <t>Elaboração do projeto 3D do skid multifásico com a inclusão da válvula de controle / medidor de vazão e trocador de calor.</t>
  </si>
  <si>
    <t>Desenho em 2D do porta selo mecânico e do selo mecânico, da bomba 4NS-/-H10E com selo mecânico duplo cartucho da Burgmann Reunião sobre as características das bombas multifásicas</t>
  </si>
  <si>
    <t>Elaboração dos desenhos de construção dos adaptadores para montagem da válvula de controle / medidor de vazão e trocador de calor.</t>
  </si>
  <si>
    <t>Desenho em 2D do Porta Selo Mecânico Esquerdo da Bomba 4NS-/-H6E Desenho em 2D do Flange de Vedação do Corpo da Bomba 4NS-/-H7E</t>
  </si>
  <si>
    <t>Elaborado o desenho 3D e detalhamento do eixo flexível.</t>
  </si>
  <si>
    <t>Desenho em 2D do selo mecânico simples cartucho com seu respectivo alojamento, da bomba 4NS-/-H5E Desenho em 2D do selo mecânico simples cartucho plano 51 com seu respectivo alojamento, da bomba 4NS-/-H5E</t>
  </si>
  <si>
    <t>Estudo das mudanças necessárias para que a bomba 4NS-/40H8E possa operar com 100 bar de pressão na sucção. Desenho em 2d do Porta Selo Mecânico da bomba 4NS-/-H8E para selo mecanico simples com plano 51.</t>
  </si>
  <si>
    <t>Desenho em 2D do selo mecânico simples cartucho plano 51 com seu respectivo alojamento, da bomba 4NS-/-H2E Desenho em 2D do selo mecânico simples cartucho com seu respectivo alojamento, da bomba 4NS-/-H2E</t>
  </si>
  <si>
    <t>Estudo de sistema para anular a formação de espuma no reservatório de teste das bombas 4NS multifásicas. Desenho em 2d do Fuso Motor da Bomba 4NS16800/40H10E.</t>
  </si>
  <si>
    <t>Desenho em 2D do selo mecânico simples cartucho plano 51 com seu respectivo alojamento, da bomba 4NS-/-H3E Desenho em 2D do selo mecânico simples cartucho com seu respectivo alojamento, da bomba 4NS-/-H3E</t>
  </si>
  <si>
    <t>Estudo para adequação dos selos mecânicos aplicados das Bombas Notos 2NS com rolamento interno</t>
  </si>
  <si>
    <t>Desenho em 3D das peças soldadas e montagem das mesmas para formar o corpo da bomba 4NS-/40H1E Revisão do desenho do selo mecãnico duplo cartucho da Burgmann da bomba 4NS-/-H7E</t>
  </si>
  <si>
    <t>Estudo para elaboração de duas novas classes de pressão de descarga (30 e 60 bar), para a série de bombas 4NS. Desenho em 3d do Corpo de Desgaste da bomba 4NS-/30H5E.</t>
  </si>
  <si>
    <t>Desenho em 3d do Fuso Motor/Movido Pré-Usinado da Bomba 4NS1042/40H5E Desenho em 2D do Fuso Movido da Bomba 4NS1042/40H5E</t>
  </si>
  <si>
    <t>Estudo para elaboração de duas novas classes de pressão de descarga (30 e 60 bar), para a série de bombas 4NS. Desenho em 3d do Corpo de Desgaste da bomba 4NS-/60H5E.</t>
  </si>
  <si>
    <t>Desenho em 3d do Fuso Movido Pré-Usinado 4NS1135/40H4E Desenho em 2D do Fuso Movido da bomba 4NS1135/40H4E</t>
  </si>
  <si>
    <t>Estudo para padronização das medidas dos selos mecânicos das bombas da série 4NS.</t>
  </si>
  <si>
    <t>Desenho em 3d do Selo Mecânico da Bomba 4NS1042/40H5E Montagem em 3d e desenho em corte em 2D da bomba 4NS1042/40H5E</t>
  </si>
  <si>
    <t>Estudos e cálculos para que a Bomba 4NS4442/40H8E possa operar com 100 Bar de pressão na sucção.</t>
  </si>
  <si>
    <t>Desenho em 3d do Selo Mecânico Simples Cartucho Plano 51 sem Retentor para Mancal da Bomba 4NS407/40H2E Montagem em 3D da Bomba 4NS407/40H2E com Selo Simples Cartucho Plano 51 sem Retentor para Mancal</t>
  </si>
  <si>
    <t>Estudos para bipartir o corpo de desgaste, possibilitando desta forma o tratamento superficial com DLC (revestimento não disponível para furos) - projeto PED000341</t>
  </si>
  <si>
    <t>Desenho em 3d/2D e cadastro do desenho/item do Corpo de Desgaste da bomba 4NS142/40H1E</t>
  </si>
  <si>
    <t>Fluxograma (Testes de perda de carga) de upgrade de bancada de trituradores N.Mac em linha.</t>
  </si>
  <si>
    <t>Desenho em Corte 2D da Bomba 4NS261/40H1E com Selo Simples Cartucho Plano 51 sem Retentor para Mancal Desenhos em 3d dos Fusos Motor/Movido e Bucha distanciadora da Bomba 4NS407/40H2E</t>
  </si>
  <si>
    <t>Fluxograma (Testes de perda de carga) de upgrade de bancada de trituradores N.Mac em linha. Braingstorming - Manufatura aditiva (UTFPR).</t>
  </si>
  <si>
    <t>Desenho em Corte em 2D da Bomba 4NS-/40H1E com selo mecânico duplo cartucho e 6 rolamentos</t>
  </si>
  <si>
    <t>Fluxograma de upgrade de bancada de trituradores N.Mac em linha e lógicas de testes.</t>
  </si>
  <si>
    <t>Desenho em Corte em 2D da Bomba 4NS-/40H1E com selo mecânico duplo cartucho e 6 rolamentos Cálculo dos passos dos fusos de uma ou duas entradas, para as bombas 4NS</t>
  </si>
  <si>
    <t>Fluxograma de upgrade de bancada de trituradores N.Mac em linha e lógicas de testes. Braingstorming melhorias e atualizações do projeto.</t>
  </si>
  <si>
    <t>Desenhos 3D</t>
  </si>
  <si>
    <t>Fluxograma de upgrade de bancada de trituradores N.Mac em linha e lógicas de testes. Cotação de componentes de upgrade de sistema de recirculação fluido quente.</t>
  </si>
  <si>
    <t>Desenhos 3D e de detalhamento dos itens internos do triturador</t>
  </si>
  <si>
    <t>Follow-up do projeto API 54.
Projeto conceitual para fabricação de um protótipo e cotações de componentes.</t>
  </si>
  <si>
    <t>Desenhos de montagem a bomba nova 3NS33/80L4E com motores de carcaça 90, 100, 132 e 160</t>
  </si>
  <si>
    <t>Follow-up do projeto API 54.
Projeto conceitual para fabricação de um protótipo.</t>
  </si>
  <si>
    <t>Desenhos do arranjo geral em 2D do conjunto selo mecânico simples cartucho com e sem plano 51 mais detalhe da caixa de selagem, da bomba 4NS-/-H10E</t>
  </si>
  <si>
    <t>Inclusão das tolerâncias nos desenhos 3d dos Fusos, Mancais e Portas Selos Mecânicos das bombas da série 4NS com selo mecanico simples e plano 51.</t>
  </si>
  <si>
    <t>Desenhos do arranjo geral em 2D do conjunto selo mecânico simples cartucho com e sem plano 51 mais detalhe da caixa de selagem, da bomba 4NS-/-H4E</t>
  </si>
  <si>
    <t>Iniciado o projeto do liquid boot flangeado na região do separador de fases (4665649).</t>
  </si>
  <si>
    <t>Desenhos do arranjo geral em 2D do conjunto selo mecânico simples cartucho com e sem plano 51 mais detalhe da caixa de selagem, da bomba 4NS-/-H6E</t>
  </si>
  <si>
    <t>Montagens em 3d das bombas 4NS-/40H1E direita/topo sem/com aquecimento. Montagens em 3d das bombas 4NS-/40H2E esquerda/topo e direita/topo sem/com aquecimento.</t>
  </si>
  <si>
    <t>Desenhos do arranjo geral em 2D do conjunto selo mecânico simples cartucho com e sem plano 51 mais detalhe da caixa de selagem, da bomba 4NS-/-H7E</t>
  </si>
  <si>
    <t>Montagens em 3d das bombas 4NS-/40H3E esquerda/topo e direita/topo sem/com aquecimento. Montagens em 3d das bombas 4NS-/40H6E esquerda/topo sem/com aquecimento.</t>
  </si>
  <si>
    <t>Desenhos do arranjo geral em 2D do conjunto selo mecânico simples cartucho com e sem plano 51 mais detalhe da caixa de selagem, da bomba 4NS-/-H8E Dimensionamento e Desenho em 3d do Flange de Vedação do Corpo da bomba 4NS-/-H8E</t>
  </si>
  <si>
    <t>Montagens em 3d das bombas 4NS-/40H6E direita/topo sem/com aquecimento. Montagens em 3d das bombas 4NS-/40H7E esquerda/topo sem/com aquecimento.</t>
  </si>
  <si>
    <t>Desenhos do arranjo geral em 2D do conjunto selo mecânico simples cartucho com e sem plano 51 mais detalhe da caixa de selagem, da bomba 4NS-/-H9E Dimensionamento e Desenho em 3d do Flange de Vedação do Corpo da bomba 4NS-/-H9E</t>
  </si>
  <si>
    <t>Montagens em 3d das bombas 4NS-/40H7E direita/topo sem/com aquecimento. Desenho dimensional em 2d da bomba 4NS-/40H1E esquerda/topo s/ aquecimento.</t>
  </si>
  <si>
    <t>Desenhos em 2D do Flange de Vedação do Corpo e do Mancal Dianteiro da Bomba 4NS-/-H1E</t>
  </si>
  <si>
    <t>Projeto conceitual para fabricação de um protótipo para testes e cotações de componentes.</t>
  </si>
  <si>
    <t>Desenhos em 2D do Flange de Vedação do Corpo e do Mancal Dianteiro da bomba 4NS-/-H3E</t>
  </si>
  <si>
    <t>Projeto conceitual para fabricação de um protótipo para testes.</t>
  </si>
  <si>
    <t>Desenhos em 2D do Flange de Vedação do Corpo e do Mancal Dianteiro da Bomba 4NS-/-H5E</t>
  </si>
  <si>
    <t>Projeto conceitual para fabricação de um protótipo.</t>
  </si>
  <si>
    <t>Desenhos em 2D do Flange de Vedação do Corpo e do Mancal Dianteiro da Bomba 4NS-/-H9E</t>
  </si>
  <si>
    <t>Projeto da tubulação para instalação de um transmissor de pressão no liquid boot (P/ medição do nível de líquido).</t>
  </si>
  <si>
    <t>Desenhos em 2D do Mancal Dianteiro e seus respectivos desenhos de pré-usinagens da bomba 4NS-/-H7E</t>
  </si>
  <si>
    <t>Projeto de um filtro (Tipo demister) para instalar na tampa do tanque de emulsão da bancada multifásica.</t>
  </si>
  <si>
    <t>Desenhos em 2D do Mancal Traseiro e do Flange de Vedação do Corpo da Bomba 4NS-/-H2E</t>
  </si>
  <si>
    <t>Projeto de um misturador / difusor para a linha de sucção do skid multifásico.</t>
  </si>
  <si>
    <t>Desenhos em 2D do Mancal Traseiro e do Porta Selo Mecânico Direito da Bomba 4NS-/-H6E</t>
  </si>
  <si>
    <t>Projeto de um separador de fases para ser instalado na entrada do tanque de emulsão (Tubulação de líquido / 4665570).</t>
  </si>
  <si>
    <t>Desenhos em 2D do Mancal Traseiro e do Porta Selo Mecânico Esquerdo, da bomba 4NS-/-H3E</t>
  </si>
  <si>
    <t>Projeto de uma contra-flange para o recalque da bomba 4NS142/40H1E na bancada de teste. Auxílio na montagem do módulo de refrigeração.</t>
  </si>
  <si>
    <t>Desenhos em 2D do Porta Selo Mecânico e do Anel Distanciador da Bomba 4NS-/-H8E Desenho em 2D do Fuso Motor da Bomba 4NS12863/40H9E</t>
  </si>
  <si>
    <t>Projeto de uma tubulação para instalar na parte superior do tanque de emulsão. Obs: Para saída do gás.</t>
  </si>
  <si>
    <t>Desenhos em 2D dos Fusos Motor/Movido da Bomba 4NS1042/40H5E Desenho em 2D do Flange de Vedação do Corpo da Bomba 4NS-/-H6E</t>
  </si>
  <si>
    <t>Projeto de válvula de alívio especial para simular condições de operação da válvula Wartsilla.</t>
  </si>
  <si>
    <t>Desenhos em 2D dos Fusos Motor/Movido da Bomba 4NS2795/40H6E</t>
  </si>
  <si>
    <t>Projeto do fuso 4NS142/40H1E / Perfil côncavo e convexo com 01 entrada.</t>
  </si>
  <si>
    <t>Desenhos em 2D dos Fusos Motor/Movido da Bomba 4NS407/40H2E</t>
  </si>
  <si>
    <t>Projeto Wartsilla: analise da possibilidade de teste da válvula especial em outra bomba para verificação do conceito. Temos uma bomba 3NS974/80H13E no PED que será utilizada.</t>
  </si>
  <si>
    <t>Desenhos em 2D dos Mancais Dianteiro/Traseiro da bomba 4NS-/-H1E p/ Selo Simples Cartucho</t>
  </si>
  <si>
    <t>Projeto, dimensionamento e simulações dos componentes de projeto especial de Bomba Notos 2NS-/16H13I, Projeto Wartsila.</t>
  </si>
  <si>
    <t>Desenhos em 2D dos Mancais Dianteiro/Traseiro da Bomba 4NS-/-H2E p/ selo simples cartucho</t>
  </si>
  <si>
    <t>Reprojeto do sistema de recirculação do skid multifásico com inclusão de uma válvula de controle + rotâmetro + radiador</t>
  </si>
  <si>
    <t>Desenhos em 2D dos Mancais Dianteiro/Traseiro da Bomba 4NS-/-H4E</t>
  </si>
  <si>
    <t>Reprojeto do sistema de recirculação do skid multifásico com inclusão de uma válvula de controle + rotâmetro + radiador.</t>
  </si>
  <si>
    <t>Desenhos em 2D dos Mancais Dianteiro/Traseiro da bomba 4NS-/-H4E</t>
  </si>
  <si>
    <t>Reunião com pessoal da KMMC para definições elétricas sobre painéis dos N.Mac</t>
  </si>
  <si>
    <t>Desenhos em 2D dos Mancais Dianteiro/Traseiro da Bomba 4NS-/-H5E</t>
  </si>
  <si>
    <t>Revisão / atualização do P&amp;ID do skid multifásico (Protótipo). Obs: Adequação a norma ISA 5.1</t>
  </si>
  <si>
    <t>Desenhos em 2D dos Mancais Dianteiro/Traseiro da Bomba 4NS-/-H6E Desenho em 2D do Porta Selo Mecânico da Bomba 4NS-/-H6E</t>
  </si>
  <si>
    <t>Revisão de desenho.</t>
  </si>
  <si>
    <t>Desenhos em 2D dos Mancais Dianteiro/Traseiro da Bomba 4NS-/-H8E</t>
  </si>
  <si>
    <t>Revisão de desenhos</t>
  </si>
  <si>
    <t>Desenhos em 2D dos Portas Selos Mecânicos Esquerdo/Direito da bomba 4NS-/-H4E Desenho em 2D do Fuso Motor da Bomba 4NS1042/40H5E</t>
  </si>
  <si>
    <t>Revisão de desenhos - Bucha cromada.</t>
  </si>
  <si>
    <t>Desenhos em 2D dos Portas Selos Mecânicos Esquerdo/Direito da bomba 4NS-/-H5E Desenho do arranjo geral em 2D do conjunto selo mecânico simples cartucho com plano 51 e do detalhe da selagem, da bomba 4NS-/-H3E</t>
  </si>
  <si>
    <t>Revisão de desenhos,.</t>
  </si>
  <si>
    <t>Desenhos em 2D e cadastros dos itens do Anel Intermediário, do Tubo do Corpo e das Gargantas, do Corpo da Bomba 4NS-/40H1E</t>
  </si>
  <si>
    <t>Revisão de desenhos.</t>
  </si>
  <si>
    <t>Desenhos em 3D do Flange de Vedação do Corpo e dos Mancais Traseiros/Dianteiros da Bomba 4NS142/40H1E com 6 rolamentos Montagem em 3D da Bomba 4NS142/40H1E com 6 rolamentos</t>
  </si>
  <si>
    <t>Revisão do desenho dimensional em 2d da bomba 4NS-/40H4E esquerda/topo c/ aquecimento. Revisões dos desenhos dimensionais em 2d das bombas 4NS-/40H5E esquerda/topo e direita/topo c/ aquecimento.</t>
  </si>
  <si>
    <t>Desenhos em 3D do Fuso Motor/Movido Pré-Usinados e desenho em 2D do Fuso Motor, da Bomba 4NS142/40H1E</t>
  </si>
  <si>
    <t>Revisão do desenho do arranjo geral em 2d do conjunto mancais e selos mecânicos,para suportar 100 bar de pressão, da bomba 4NS4442/40H8E. Revisão do desenho em 3d do Flange de Vedação do Corpo, para suportar 100 bar de pressão, da bomba 4NS4442/40H8E.</t>
  </si>
  <si>
    <t>Desenhos em 3d do Mancal Traseiro, dos Fusos Motor/Movido, do Porta Selo Mecânico, da Bucha Distanciadora e do Selo Mecânico da Bomba 4NS12863/40H9E Montagem em 3d da Bomba 4NS12863/40H9E</t>
  </si>
  <si>
    <t>Revisão do desenho em 2d do Mancal Traseiro para selo mecânico simples componente com plano 51, da bomba 4NS-/-H6E. Desenho em 2d do Mancal Dianteiro para selo mecânico simples componente com plano 51, da bomba 4NS-/-H7E.</t>
  </si>
  <si>
    <t>Desenhos em 3d do Mancal Traseiro, dos Fusos Motor/Movido, do Porta Selo Mecânico, da Bucha Distanciadora e do Selo Mecânico da Bomba 4NS2795/40H6E Montagem em 3d da Bomba 4NS2795/40H6E</t>
  </si>
  <si>
    <t>Revisão do desenho em 2d do Porta Selo Mecânico e Selo Mecânico da bomba 4NS4442/40H8E para 100 Bar de pressão.</t>
  </si>
  <si>
    <t>Desenhos em 3d do Porta Selo Mecânico, do Selo Mecânico e da Bucha Distanciadora da Bomba 4NS-/40H8E Montagem em 3d e Desenho em Corte 2D da Bomba 4NS8269/40H8E</t>
  </si>
  <si>
    <t>Revisão do projeto da bancada para adequação da quantidade de Óleo Diesel.</t>
  </si>
  <si>
    <t>Desenhos em 3d do Porta Selo Mecânico, do Selo Mecânico e da Bucha Distanciadora da bomba 4NS1135/40H4E Montagem em 3D da Bomba 4NS1135/40H4E com Selo Simples Cartucho Plano 51 sem Retentor para Mancal</t>
  </si>
  <si>
    <t>Revisão dos desenhos em 2d do arranjo geral dos Selos Mecânicos Simples Catucho, de toda série 4NS.</t>
  </si>
  <si>
    <t>Desenhos em 3d do Porta Selo Mecânico, do Selo Mecânico e do Anel Distanciador da bomba 4NS-/40H2E Revisão da Montagem em 3d da Bomba 4NS222/40H2E</t>
  </si>
  <si>
    <t>Revisão em 3d do Mancal Dianteiro da Bomba 4NS-/-H8E. Desenhos em 2d da Chapa Pré-Usinada e do Anel Pré-Usinado da Bomba 4NS-/-H8E.</t>
  </si>
  <si>
    <t>Desenhos em 3d dos Fuso Motor/Movido pré-usinados da Bomba 4NS-/40H1E Desenho em 2D do Fuso Motor da Bomba 4NS261/40H1E</t>
  </si>
  <si>
    <t>Revisão no desenho em 3d e testes de resistência a deflexão do Fuso Motor da bomba 4NS4442/40H8E para 100 Bar de pressão.</t>
  </si>
  <si>
    <t>Desenhos em 3d dos Fusos Motor/Movido e do Mancal Traseiro da bomba 4NS1135/40H4E</t>
  </si>
  <si>
    <t>Revisão projeto tampa dianteira 4663144 / 4663027 e 4663046.</t>
  </si>
  <si>
    <t>Desenhos em 3D dos Fusos Motor/Movido Pré-Usinado da bomba 4NS-/40H1E Desenho em 2D do Fuso Motor da Bomba 4NS-/40H1E</t>
  </si>
  <si>
    <t>Revisar desenhos das tampas dianteiras fundidas conforme solicitação e necessidade da modelação (4664457 / 4664306 / 4664528 e 4664424).</t>
  </si>
  <si>
    <t>Desenhos em 3d dos Fusos Motor/Movido Pré-Usinados da Bomba 4NS-/40H2E Desenho em 2D do Fuso Motor da Bomba 4NS407/40H2E</t>
  </si>
  <si>
    <t>Revisões dos desenhos em 2d/3d dos Flanges de Vedações dos Corpos das Bombas 4NS-/-H1E até a 4NS-/-H6E, com selos mecânicos duplos Burgmann.</t>
  </si>
  <si>
    <t>Desenhos em 3d dos Fusos Motor/Movido Pré-Usinados da Bomba 4NS12863/40H9E Desenho em 2D do Fuso Movido da Bomba 4NS12863/40H9E</t>
  </si>
  <si>
    <t>Revisões dos desenhos em 2d/3d dos Flanges de Vedações dos Corpos das Bombas 4NS-/-H6E até a 4NS-/-H10E, com selos mecânicos simples cartuchos.</t>
  </si>
  <si>
    <t>Desenhos em 3D dos Fusos Motor/Movido Pré-Usinados da Bomba 4NS222/40H2E Desenho em 2D do Fuso Motor da Bomba 4NS222/40H2E Desenho em 2D do Fuso Movido da Bomba 4NS222/40H2E</t>
  </si>
  <si>
    <t>Revisões dos desenhos em 2d/3d dos Flanges de Vedações dos Corpos das Bombas 4NS-/-H7E até a 4NS-/-H9E. Revisões dos desenhos em 2d/3d dos Mancais Dianteiros/Traseiros das Bombas 4NS-/-H1E até a 4NS-/-H3E, com selos mecânicos duplos Burgmann.</t>
  </si>
  <si>
    <t>Desenhos em 3d dos Fusos Motor/Movido Pré-Usinados da Bomba 4NS2795/40H6E Desenho em 2D do Fuso Motor da Bomba 4NS2795/40H6E</t>
  </si>
  <si>
    <t>Revisões dos desenhos em 2d/3d dos Fusos Motor/Movido da Bomba 4NS-/40H10E, com selos mecânicos simples cartucho. Estudo para melhorar fixação/centragem das engrenagens das bombas da série 4NS.</t>
  </si>
  <si>
    <t>Desenhos em 3d dos Fusos Motor/Movido Pré-Usinados da Bomba 4NS4543/40H7E Desenho em 2D do Fuso Motor da Bomba 4NS4543/40H7E</t>
  </si>
  <si>
    <t>Revisões dos desenhos em 2d/3d dos Fusos Motor/Movido da Bomba 4NS-/40H2E, com selos mecânicos duplos cartucho Burgmann.</t>
  </si>
  <si>
    <t>Desenhos em 3d dos Fusos Motor/Movido, Bucha Distanciadora e Selo Mecânico Simples Cartucho, da Bomba 4NS261/40H1E</t>
  </si>
  <si>
    <t>Revisões dos desenhos em 2d/3d dos Fusos Motor/Movido da Bomba 4NS-/40H3E até a Bomba 4NS-/40H8E, com selos mecânicos duplos cartucho Burgmann.</t>
  </si>
  <si>
    <t>Desenhos em 3d dos Fusos Motor/Movido, Bucha Distanciadora, Porta Selo Mecânico e Selo Mecânico da bomba 4NS266/40H3E com Selo Simples Cartucho Plano 51 sem Retentor para Mancal</t>
  </si>
  <si>
    <t>Revisões dos desenhos em 2d/3d dos Fusos Motor/Movido da Bomba 4NS-/40H9E, com selos mecânicos duplos cartuchos Burgmann. Revisões dos desenhos em 2d/3d dos Flanges de Vedações dos Corpos das Bombas 4NS-/-H1E até a 4NS-/-H5E, com selos simples cartuchos.</t>
  </si>
  <si>
    <t>Desenhos em 3d dos Fusos Motor/Movido, da Bucha Distanciadora e do Selo Mecânico Cartucho da Bomba 4NS-/-H10E Montagem em 3d da Bomba 4NS16800/40H10E</t>
  </si>
  <si>
    <t>Revisões dos desenhos em 2d/3d dos Fusos Motores/Movidos das Bombas 4NS-/40H2E até a 4NS-/40H5E, com selos mecânicos simples cartucho.</t>
  </si>
  <si>
    <t>Desenhos em 3d dos Fusos Motor/Movido, Porta Selo Mecânico, Bucha Distanciadora e Selo Mecânico da Bomba 4NS-/40H7E Montagem em 3d da bomba 4NS4543/40H7E</t>
  </si>
  <si>
    <t>Revisões dos desenhos em 2d/3d dos Fusos Motores/Movidos das Bombas 4NS-/40H5E até a 4NS-/40H9E, com selos mecânicos simples cartucho.</t>
  </si>
  <si>
    <t>Desenvolvimento cálculos carga axial fusos movidos 3NS</t>
  </si>
  <si>
    <t>Revisões dos desenhos em 2d/3d dos Mancais Dianteiros/Traseiros das Bombas 4NS-/-H1E até a 4NS-/-H10E, com selos mecânicos simples cartuchos.</t>
  </si>
  <si>
    <t>Desenvolvimento de componentes - Alteração nos eixos dos trituradores Nmac</t>
  </si>
  <si>
    <t>Revisões dos desenhos em 2d/3d dos Mancais Dianteiros/Traseiros das Bombas 4NS-/-H4E até a 4NS-/-H7E, com selos mecânicos duplos Burgmann.</t>
  </si>
  <si>
    <t>Desenvolvimento de componentes - Bloco de facas do novo NMac BO</t>
  </si>
  <si>
    <t>Revisões dos desenhos em 2d/3d dos Mancais Dianteiros/Traseiros das Bombas 4NS-/-H7E até a 4NS-/-H9E, com selos mecânicos duplos Burgmann.</t>
  </si>
  <si>
    <t>Desenvolvimento de componentes - Corpo do triturador NMac 350I</t>
  </si>
  <si>
    <t>Revisões dos desenhos em 2d/3d dos Portas Selos Mecânicos das Bombas 4NS-/-H1E até a 4NS-/-H6E, com selos mecânicos duplos Burgmann.</t>
  </si>
  <si>
    <t>Desenvolvimento de componentes - Eixos / limpadores / tampas do NMac BO</t>
  </si>
  <si>
    <t>Revisões dos desenhos em 2d/3d dos Portas Selos Mecânicos das Bombas 4NS-/-H4E até a 4NS-/-H10E, com selos mecânicos simples cartuchos. Revisões dos desenhos em 2d/3d dos Fusos Motor/Movido da Bomba 4NS-/40H1E, com selos mecânicos simples cartucho.</t>
  </si>
  <si>
    <t>Desenvolvimento de componentes - Itens comprados do novo NMac BO</t>
  </si>
  <si>
    <t>Revisões dos desenhos em 2d/3d dos Portas Selos Mecânicos das Bombas 4NS-/-H7E até a 4NS-/-H9E, com selos mecânicos duplos Burgmann. Revisões dos desenhos em 2d/3d dos Fusos Motor/Movido da Bomba 4NS-/40H1E, com selos mecânicos duplos Burgmann.</t>
  </si>
  <si>
    <t>Desenvolvimento de componentes - Juntas/Anel/ACL/Flanges Adap/Chaveta do novo NMac BO</t>
  </si>
  <si>
    <t>Revisões em 3d dos Mancais Dianteiro/Traseiro da Bomba 4NS-/-H9E. Desenhos em 2d da Chapa Pré-Usinada e do Anel Pré-Usinado da Bomba 4NS-/-H9E.</t>
  </si>
  <si>
    <t>Desenvolvimento de componentes - Luva da engrenagem / Luva do ACL do novo NMac BO</t>
  </si>
  <si>
    <t>Revisões nos desenhos 3d/2d das Engrenagens Motoras Direitas das bombas 4NS-/-H1E a 4NS-/-H6E. Inclusão das tolerâncias nos desenhos 3d dos Anéis Distanciadores e dos Aneis de Apoio, das bombas 4NS-/-H1E a 4NS-/-H6E.</t>
  </si>
  <si>
    <t>Desenvolvimento de componentes - Prisioneiros M16 / Arruela de encosto do novo NMac BO</t>
  </si>
  <si>
    <t>Término do Projeto de um separador de fases para ser instalado na entrada do tanque de emulsão (Tubulação de líquido / 4665570).</t>
  </si>
  <si>
    <t>Desenvolvimento de componentes - Tubo de lubrificação/tampa/invólucro do selo do novo NMac BO</t>
  </si>
  <si>
    <t>Testes de deflexões do Fuso Motor da bomba 4NS142/40H1E execução 6 rolamentos. Desenho em 3d/2d e cadastros do Corpo de Desgaste da bomba 4NS-/40H1E.</t>
  </si>
  <si>
    <t>Desenvolvimento de componentes - Tubo prolongador para NMac</t>
  </si>
  <si>
    <t>Testes de resistência a pressão do Flange de Vedação do Corpo, da bomba 4NS4442/40H8E.</t>
  </si>
  <si>
    <t>Desmontagem bancada de óleo para reforma Projeto 3NS612/160H11E LACT</t>
  </si>
  <si>
    <t>Vários testes de resistência a pressão do Flange de Vedação do Corpo, da bomba 4NS4442/40H8E para suportar 100 bar de pressão.</t>
  </si>
  <si>
    <t>Desmontagem da bomba 3NS205/16H8E - peças sem desgaste aparente Projeto aprovado</t>
  </si>
  <si>
    <t>Verificação das Bombas da série 4NS fabricadas com o primeiro passo (mais curto), para comparar com os passos atuais. Desenho em 2d do Flange de Vedação do Corpo da bomba     4NS-/-H8E.</t>
  </si>
  <si>
    <t>Desmontagem das bombas 3NS18/16H3E (alta temperatura) e 3NS117/16H7E (óleo) para verificação dos componentes</t>
  </si>
  <si>
    <t>Verificação dos cálculos de carga axial sobre o fuso motor e movidos do projeto 3NS96/160H6I com acoplamento magnético. Equipamento apresentou problemas em campo após aproximadamente um ano de operação (rolamento).</t>
  </si>
  <si>
    <t>Desmontagem de bomba em teste Peças em bom estado</t>
  </si>
  <si>
    <t>4.4 Realizar simulações numéricas (FEA, CFD) e/ou referenciar memorial de cálculo de projetos já existentes e/ou ensaios de laboratorio.</t>
  </si>
  <si>
    <t>- Análise de artigos sobre reologia de lodo/esgoto industrial.
- Simulação CAE34: GIB em anel bombeador de selo mecânico Plano 53B (Desenhos e preparação de geometria).</t>
  </si>
  <si>
    <t>Desmontagem de selo mecânico e alteração de tipo de selo</t>
  </si>
  <si>
    <t>- Análise de padrão de numeração de desenhos em corte NEMO.
- Estruturação e padronização das posições de componentes dos desenhos em cortes de trituradores N.Mac.</t>
  </si>
  <si>
    <t>Desmontagem e avaliação dos componentes da bomba 2NS #10 testada com acoplamento de engrenages, alinhada e desalinhada</t>
  </si>
  <si>
    <t>- Croqui da proposta de ampliação do escritório da P&amp;D
- Simulação CAE35: Análise multifásica em tubulação de Andes Petroleum - NdB (desenhos e preparação de geometria).</t>
  </si>
  <si>
    <t>Detalhamento Case e Tampa para impressão 3D</t>
  </si>
  <si>
    <t>- Simualação CAE20 : Separador multifásico.
- Simualação CAE12 : Separador multifásico Netzsch.</t>
  </si>
  <si>
    <t>Detalhamento de desenhos de itens fabricados</t>
  </si>
  <si>
    <t>- Simualação CAE20: Separador multifásico.</t>
  </si>
  <si>
    <t>Detalhamento de desenhos e cadastros de itens fabricados</t>
  </si>
  <si>
    <t>- Simualação CAE20: Separador multifásico. Preparação de Malha e Simulação.
- Estudo sobre corretores imbutidos na simulação (OpenFOAM).</t>
  </si>
  <si>
    <t>Detalhamento de desenhos e revisão de itens fundidos</t>
  </si>
  <si>
    <t>- Simulação CAE33: GIB em rosca transportadora de bomba NEMO (Malhas e solver).
- Simulação CAE32: GIB em válvula 3NS Especial (Desenhos, preparação de geometria e malha).</t>
  </si>
  <si>
    <t>Detalhamento de propostas de caixas de selagens para solicitação de orçamento</t>
  </si>
  <si>
    <t>- Simulação CAE33: GIB em rosca transportadora de bomba NEMO (Solver, análise de resultados e vídeos).
- Análise de artigos sobre reologia de lodo/esgoto industrial</t>
  </si>
  <si>
    <t>Detalhamento do fuso motor 4664916 - projeto 3NS612/160H11E</t>
  </si>
  <si>
    <t>- Simulação CAE33: GIB em rosca transportadora de bomba NEMO (Solver, análise de resultados e vídeos).
- Análise de artigos sobre reologia de lodo/esgoto industrial.</t>
  </si>
  <si>
    <t>Detalhamento do projeto - desenho 2D da bucha de vedação 3NS33/80L4E 4663894 - desenho 2D do fuso motor 4663893</t>
  </si>
  <si>
    <t>- Simulação CAE33: GIB em rosca transportadora de bomba NEMO (Solver).</t>
  </si>
  <si>
    <t>Detalhamento do projeto - desenho 2D da tampa dianteira da bomba 3NS33/80L4E 4664019 - desenho 2D do flange intermediário 4664025</t>
  </si>
  <si>
    <t>- Simulação CAE35: Análise multifásica em tubulação de Andes Petroleum - NdB (desenhos e preparação de geometria).</t>
  </si>
  <si>
    <t>Detalhamento do projeto da bomba 3NS07/16H2E (desenhos de construção)</t>
  </si>
  <si>
    <t>-Cálculos/simulação válvula pilotada especial para bomba 3NS1625/25H14I Wärtsillä (221m³/h).</t>
  </si>
  <si>
    <t>Detalhamento do projeto da bomba 3NS07/16H2E (desenhos de construção) - cadastro de itens - desenho 4661689</t>
  </si>
  <si>
    <t>-Memorial de cálculo 3NS-/170H11-</t>
  </si>
  <si>
    <t>Detalhamento do projeto da bomba 3NS07/16H2E (desenhos de construção) 4661308/4661309/4661310/4661329/4661311/4661314</t>
  </si>
  <si>
    <t>Avaliação dos resultados da CAE000012 com uma vazão de 80 [m³/h] para estimar o tempo de operação em 100% de GVF na sucção do skid multifásico.</t>
  </si>
  <si>
    <t>Detalhamento do projeto da bomba 3NS07/16H2E (desenhos de construção) 4661314/4661315/4661316 (inicio cadastro de itens no TOTVS) Analise de dados de temperatura de trabalho enviado por cliente, bomba da CP LP0000185</t>
  </si>
  <si>
    <t>CAE000012 - Simulação CFD do separador de fases - bifásico - setup dos casos com diversas condições de contorno e diversos parâmetros como taxa de compressão, fração de gás e velocidades de líquido e gás - avaliação dos primeiros resultados das curvas.</t>
  </si>
  <si>
    <t>Detalhamento dos componentes da bomba</t>
  </si>
  <si>
    <t>CAE000012 - Simulação CFD do separador de fases - bifásico - setup dos casos com diversas condições de contorno e diversos parâmetros como taxa de compressão, fração de gás e velocidades de líquido e gás.</t>
  </si>
  <si>
    <t>Detalhamento dos desenhos de construção</t>
  </si>
  <si>
    <t>CAE000026 - Avaliação dos resultados obtidos para a geometria de discos de 7,5 [mm] com limpadores. Finalização dessa curva de perda de carga.</t>
  </si>
  <si>
    <t>Detalhamento dos desenhos de construção do separador de fases (liquid boot)</t>
  </si>
  <si>
    <t>CAE000026 - Avaliação dos resultados obtidos para a geometria de discos de 7,5 [mm] sem limpadores.</t>
  </si>
  <si>
    <t>Detalhamento dos dispositivos de medição e de captação do AFE</t>
  </si>
  <si>
    <t>CAE000026 - Preparação dos casos a serem simulados - N.Mac 50I com variação de vazão e viscosidade. Avaliação dos resultados e solver de 3 combinações adicionais (vazão + viscosidade)</t>
  </si>
  <si>
    <t>Detalhar desenho 4664914 e 4664915 (segmentos do liner da bomba 3NS-/160H11E) Estes serão enviados a usinagem para análise de fabricação</t>
  </si>
  <si>
    <t>CAE000026 - Preparação dos casos a serem simulados - N.Mac 50I com variação de vazão e viscosidade. Avaliação dos resultados e solver de 3 combinações adicionais (vazão + viscosidade) - Criação de nova geometria para o N.Mac 50I sem limpadores, 14mm.</t>
  </si>
  <si>
    <t>Detalhar desenhos de contrução do projeto 3NS-/16H1E (4661762/4661759)</t>
  </si>
  <si>
    <t>CAE000026 - Preparação dos casos a serem simulados - N.Mac 50I com variação de vazão e viscosidade. Avaliação dos resultados e solver de 3 combinações adicionais (vazão + viscosidade) - Geração da malha no N.Mac 50I sem limpadores.</t>
  </si>
  <si>
    <t>Detalhar desenhos de contrução do projeto 3NS-/16H1E (4661764/4661766/4661762)</t>
  </si>
  <si>
    <t>CAE000026 - Preparação dos casos a serem simulados - N.Mac 50I com variação de vazão e viscosidade. Avaliação dos resultados e solver de 3 combinações adicionais (vazão + viscosidade).</t>
  </si>
  <si>
    <t>Detalhar projeto da tampa dianteira 3NS/80L4E e enviar desenho de modelo para cotação do fundido Trabalhando no projeto da bomba 3NS236/160H8E - protótipo LACT Units Canadá</t>
  </si>
  <si>
    <t>Configuração de caso com velocidades maiores, taxa de compressão igual a 2, vazão de 80 m³/h e GVF de 100% na linha do cliente do caso CAE000012.</t>
  </si>
  <si>
    <t>Dimensionamento da tubulação do sistema multifásico com separador de fases</t>
  </si>
  <si>
    <t>Configuração de modelo CFD para realização de simulação dinâmica da bomba 2NS mancal 4 utilizando GIB.</t>
  </si>
  <si>
    <t>Dimensionamento de buchas de desgaste para Bomba 2NS-16H6E para aplicação em 10 bar com peças em contato em aço inoxidável</t>
  </si>
  <si>
    <t>Configuração de uma geometria com o tanque para reprodução da CAE000012 para confirmar os parâmetros das condições de contorno, juntamente com o pessoal da ENGYS para verificação de problemas da licença do HELYX.</t>
  </si>
  <si>
    <t>Dimensionamento e desenho em 2D da caixa de selagem e do selo mecânico simples efeito cartucho, da bomba 4NS142/40H1E</t>
  </si>
  <si>
    <t>Configuração de uma geometria com o tanque para reprodução da CAE000012 para confirmar os parâmetros das condições de contorno.</t>
  </si>
  <si>
    <t>Dimensionamento e desenho em 3D da hélice balanceada de uma entrada para os fusos 103/17,5; 103/21,9; 120/20,3; 95/22,6; 90/18,9 e 90/23,6</t>
  </si>
  <si>
    <t>Configuração do caso CFD dinâmico da bomba 2NSH55/16L1E com rotação de 1250 [RPM] no HELYX utilizando GIB e perda de carga de 1,0 [bar] para comparação com simulação no CFX (criação de curvas e mapeamento de capacidade de software).</t>
  </si>
  <si>
    <t>Dimensionamento e desenho em 3D da hélice balanceada de uma entrada para os fusos 110/20,9; 110/26,1 e 95/18,1</t>
  </si>
  <si>
    <t>Configuração do caso CFD dinâmico da bomba 2NSH55/16L1E com rotação de 1800 [RPM] e 2500 [RPM] no HELYX utilizando GIB e perda de carga de 1,0 [bar] para comparação com simulação no CFX (criação de curvas e mapeamento de capacidade de software).</t>
  </si>
  <si>
    <t>Dimensionamento e Desenho em 3d do Mancal Dianteiro da bomba 4NS-/-H8E Desenhos do arranjo geral em 2D do conjunto selo mecânico simples cartucho com e sem plano 51 mais detalhe da caixa de selagem, da bomba 4NS-/-H9E</t>
  </si>
  <si>
    <t>Configuração do caso CFD dinâmico da bomba 2NSH55/16L1E com rotação de 1800 [RPM] no HELYX utilizando GIB e perda de carga de 1,0 [bar] para comparação com simulação no CFX (criação de curvas e mapeamento de capacidade de software) utilizando 64 [cores].</t>
  </si>
  <si>
    <t>Dimensionamento e Desenho em 3d do Mancal Dianteiro da bomba 4NS-/-H9E Desenhos do arranjo geral em 2D do conjunto selo mecânico simples cartucho com e sem plano 51 mais detalhe da caixa de selagem, da bomba 4NS-/-H10E</t>
  </si>
  <si>
    <t>Configuração e start da simulação CFD da bomba 2NS mancal 4 com GIB.</t>
  </si>
  <si>
    <t>Dimensionamento e desenho em 3d do Mancal Dinteiro da Bomba 4NS-/-H1E Desenho em 2D do selo mecânico simples cartucho plano 51 com seu respectivo alojamento, da bomba 4NS-/-H1E</t>
  </si>
  <si>
    <t>Configurações da geometria para geração de malha no triturador com o bocal, vide CAE000031.</t>
  </si>
  <si>
    <t>Dimensionamento e desenho em 3D dos Fusos Motor/Movido da Bomba 4NS142/40H1E com 6 rolamentos</t>
  </si>
  <si>
    <t>Configurações da geometria para geração de malha no triturador com o bocal, vide CAE000031. Setup dos parâmetros de malha para a primeira geometria (bocal reto).</t>
  </si>
  <si>
    <t>Dimensionamento e desenhos em 3D das hélices balanceadas de uma entrada para os fusos 104/27,4; 104/21,9; 141/23,9; 130/24,7 e 123/25,9</t>
  </si>
  <si>
    <t>Conversa com o suporte técnico da ENGYS para realização da simulação CFD dinâmica utilizando GIB na bomba 2NS mancal 4.</t>
  </si>
  <si>
    <t>Dimensionamento e desenhos em 3D das hélices balanceadas de uma entrada para os fusos 123/21,5; 90/15,7; 104/18,2 e 147/25,7</t>
  </si>
  <si>
    <t>Croquis de bocais para o triturador N.Mac BO. Geração de Malhas.</t>
  </si>
  <si>
    <t>Dimensionamento e Desenhos em 3d do Flange de Vedação do Corpo e do Mancal Dianteiro da bomba 4NS-/-H10E</t>
  </si>
  <si>
    <t>Desenho de cabine acústica para análise CHT.  Análise de oferta e aplicação do cliente.</t>
  </si>
  <si>
    <t>Dimensionamento e Desenhos em 3d do Flange de Vedação do Corpo e do Mancal Dianteiro da bomba 4NS-/-H3E Desenho do arranjo geral em 2D do conjunto selo mecânico simples cartucho com plano 51 e do detalhe da selagem, da bomba 4NS-/-H4E</t>
  </si>
  <si>
    <t>Desenho e preparação de geometria de cabine acústica para análise CHT. Avaliação de alternativa de troca térmica através do fluido barreira de selagem.</t>
  </si>
  <si>
    <t>Dimensionamento e Desenhos em 3d do Flange de Vedação do Corpo e do Mancal Dianteiro da bomba 4NS-/-H4E Desenhos do arranjo geral em 2D do conjunto selo mecânico simples cartucho com e sem plano 51 mais detalhe da caixa de selagem, da bomba 4NS-/-H6E</t>
  </si>
  <si>
    <t>Desenho e preparação de geometria de cabine acústica para análise CHT. Suporte a análise FEA. Cabine acústica com convecção natural.</t>
  </si>
  <si>
    <t>Dimensionamento e Desenhos em 3d do Flange de Vedação do Corpo e do Mancal Dianteiro da bomba 4NS-/-H6E</t>
  </si>
  <si>
    <t>Desenho e preparação de geometria de fusos para geração de malha no TwinMesh.</t>
  </si>
  <si>
    <t>Dimensionamento e Desenhos em 3d do Flange de Vedação do Corpo e do Mancal Dianteiro da bomba 4NS-/-H7E</t>
  </si>
  <si>
    <t>Dimensionamento do alojamento dos fusos para melhor distribuição da deflexão causada pelas cargas atuantes nos fusos das Bombas Notos 2NS</t>
  </si>
  <si>
    <t>Dimensionamento e desenhos em 3d do Flange de Vedação do Corpo e do Mancal Dinteiro da Bomba 4NS-/-H2E Desenho em 2D do Flange de Vedação do Corpo da bomba 4NS-/-H4E</t>
  </si>
  <si>
    <t>Elaboração das curvas de backflow da bomba 4NSxx/40H1E (Viscosidade: 1 / 25 / 50 cSt.</t>
  </si>
  <si>
    <t>Dimensionamento e desenhos em 3D do Flange de Vedação do Corpo e Mancais Dianteiro/Traseiro da bomba 4NS-/-H9E, para selo mecânico duplo catucho da Burgmann Revisão da montagem em 3D da bomba 4NS-/-H8E para selo mecânico duplo cartucho da Burgmann</t>
  </si>
  <si>
    <t>Elaboração das curvas de backflow da bomba 4NSxx/40H3E (Viscosidade: 1 / 25 / 50 cSt.</t>
  </si>
  <si>
    <t>Dimensionamento e desenhos em 3D do Porta Selo Mecânico e dos Fusos Motor/Movido da bomba 4NS-/-H9E, para selo Mecânico duplo cartucho da Burgmann Montagem em 3D da bomba 4NS-/40H9E para selo mecânico duplo cartucho da Burgmann</t>
  </si>
  <si>
    <t>Estudo CHT de trocador de calor para sistema de bomba de fusos. Simulação CAE12: Separador multifásico Netzsch</t>
  </si>
  <si>
    <t>Dimensionamento e desenhos em 3D do porta selo mecânico e dos mancais dianteiro/traseiro, da bomba 4NS-/-H7E com selo mecânico duplo cartucho da Burgmann</t>
  </si>
  <si>
    <t>Estudo CHT de trocador de calor para sistema de bomba de fusos. Simulação CAE12: Separador multifásico Netzsch.</t>
  </si>
  <si>
    <t>Dimensionamento e desenhos em 3D dos Fusos Motor/Movido e do Porta Selo Mecânico, da bomba 4NS-/-H8E com selo mecânico duplo cartucho da Burgmann Montagem em 3D da bomba 4NS-/-H8E om selo mecânico duplo cartucho da Burgmann</t>
  </si>
  <si>
    <t>Estudo da ferramenta TwinMesh.</t>
  </si>
  <si>
    <t>Dimensionamento e projeto dos componentes críticos não existentes</t>
  </si>
  <si>
    <t>Estudo de viabilidade para substituição das juntas planas por aneis-o nas Bombas Notos 2NS</t>
  </si>
  <si>
    <t>Dimensionamento para teste EHEDG</t>
  </si>
  <si>
    <t>Estudo para incorporação de código utilizando ferramentas de simulação sem o uso de CFD.</t>
  </si>
  <si>
    <t>Dimensionamentos e Desenhos em 3d do Flange de Vedação do Corpo e do Mancal Dianteiro, da Bomba 4NS-/-H5E</t>
  </si>
  <si>
    <t>FEA - Base com pés e flange do triturador N.Mac BO.</t>
  </si>
  <si>
    <t>Dimensionar sensores que atendam os requisitos do projeto</t>
  </si>
  <si>
    <t>Levantamento de informações para geração de malha das facas pela ferramenta TwinMesh.</t>
  </si>
  <si>
    <t>Discussão com a usinagem e programação CNC sobre a viabilidade de usinar os fusos 4NS142/40H1E com perfil de hélice côncavo x convexo / Alteração do projeto dos fusos para possibilitar a usinagem</t>
  </si>
  <si>
    <t>Preparação de geometria para simulação numéria FEM da bomba mancal 11 (TH do corpo para a bomba de 160 [bar]).</t>
  </si>
  <si>
    <t>Discussão resultados e planejamento de novos testes</t>
  </si>
  <si>
    <t>Reunião com a ENGYS para configuração de caso CFD dinâmico utilizando GIB para comparação com resultado do CFX (NPS).</t>
  </si>
  <si>
    <t>Efetuado testes com a funcionalidade de obter a geolocalização através de uma função no HTML5</t>
  </si>
  <si>
    <t>Reunião externa (ENGYS): Simulação multifásica.</t>
  </si>
  <si>
    <t>Efetuado testes com a funcionalidade de obter a geolocalização através de uma função no HTML5, em webserver no protótipo</t>
  </si>
  <si>
    <t>Simualação CAE20: Separador multifásico.</t>
  </si>
  <si>
    <t>Efetuar testes com acelerômetro protótipo</t>
  </si>
  <si>
    <t>Simulação aquecimento da bomba 4NS mancal 5 caso seja aplicada em cabine acustica (redução de ruído). Problema: a cabine evita a troca de calor com o ambiente.</t>
  </si>
  <si>
    <t>Efetuar testes para verificar status da Montagem da PCI</t>
  </si>
  <si>
    <t>Simulação CAE12: Separador multifásico Netzsch.</t>
  </si>
  <si>
    <t>Elaboração da documentação ISO Capítulo 1 para o projeto das válvulas internas da bomba 3NS10_16H2E</t>
  </si>
  <si>
    <t>Simulação de TH no corpo da bomba mancal 11 (160[bar]) no software ANSYS para avaliação de tensões máximas.</t>
  </si>
  <si>
    <t>Elaboração da documentação ISO Captítulo 1 para o projeto das válvulas internas da bomba 3NS10_16H2E</t>
  </si>
  <si>
    <t>Simulação GIB monofásica de bomba 2NSH.</t>
  </si>
  <si>
    <t>Elaboração da formulação das alternativas M2108R33-48F e M2108R33-48G</t>
  </si>
  <si>
    <t>Simulação numérica e cálculos com objetivo de verificar a resistência da carcaça da Bomba Notos 2NS e demais componentes com a aplicação de 11 bar de pressão na sucção e 24,8 bar na descarga (CP 1P0000019).</t>
  </si>
  <si>
    <t>Elaboração da formulação de NBR blendada com BR (polibutadieno)</t>
  </si>
  <si>
    <t>Simulação numérica e cálculos com objetivo de verificar a resistência da carcaça da Bomba Notos 2NS-/16H14I, mancalização das buchas e demais características dos componentes críticos com a aplicação de 16 bar de pressão diferencial</t>
  </si>
  <si>
    <t>Elaboração da lista de imagens para a bancada de testes multifásica da C46 a partir da descritiva já existente</t>
  </si>
  <si>
    <t>Simulação numérica e cálculos com objetivo de verificar a resistência da carcaça da válvula da Bomba Notos 2NS-/16H6I, com a aplicação de 20,8 bar de pressão diferencial</t>
  </si>
  <si>
    <t>Elaboração da lista de peças da bomba 4NS142/40H1E com selo mecânico duplo cartucho e 6 rolamentos</t>
  </si>
  <si>
    <t>Treinamento simulação FEA.</t>
  </si>
  <si>
    <t>Elaboração da lista de peças do sistema "Unidade de gás anular";</t>
  </si>
  <si>
    <t>5.1 Analisar a possibilidade da fabricação (ferramentas, moldes e dispositivos).</t>
  </si>
  <si>
    <t>Avaliação do processo de fabricação dos componentes.</t>
  </si>
  <si>
    <t>Elaboração de correção de curvas de performance</t>
  </si>
  <si>
    <t>Cotações de componentes para o prótótipo.</t>
  </si>
  <si>
    <t>Elaboração de cronograma de trabalho e definição de estudos de casos de simulações</t>
  </si>
  <si>
    <t>Levantamento de prioridades P&amp;D.</t>
  </si>
  <si>
    <t>Elaboração de cronograma do projeto e organização das etapas do primeiro módulo da ISO 9001</t>
  </si>
  <si>
    <t>Projeto conceitual para fabricação de um protótipo e cotação de componentes.</t>
  </si>
  <si>
    <t>Elaboração de cronograma para o projeto</t>
  </si>
  <si>
    <t>Questionamentos à KMCC sobre lógica de programação dos painéis N.Mac.</t>
  </si>
  <si>
    <t>Elaboração de curvas características conforme teste de performance</t>
  </si>
  <si>
    <t>Reunião para definição de ordens de produção para reparo de peças do P&amp;D.</t>
  </si>
  <si>
    <t>Elaboração de desenho em corte</t>
  </si>
  <si>
    <t>Verificação com setor de produção elastoméricas sobre melhorias no processo de fabricação de vedações.</t>
  </si>
  <si>
    <t>Elaboração de desenhos de projeto 2D para definição dos comprimentos dos estatores Uniform Stator e suas bombas base, dos tamanhos NM063 a NM105 
Ainda em trabalho</t>
  </si>
  <si>
    <t>5.1 Analisar se os resultados são coerentes.</t>
  </si>
  <si>
    <t>Entendimento dos dados obtidos com glicerina e determinar trabalhos futuros.</t>
  </si>
  <si>
    <t>Elaboração de dispositivos para teste</t>
  </si>
  <si>
    <t>5.2 Analisar as restrições de montagem e desmontagem (içamento, ferramentas, espaço para chave e dispositivos).</t>
  </si>
  <si>
    <t>Análise e projeto  de adaptação de áreas de vedação na entrada e saída do N.Mac 120C</t>
  </si>
  <si>
    <t>Elaboração de documento para registro de versões de alternativas para o projeto NMac BO</t>
  </si>
  <si>
    <t>6.1 Elaborar desenho detalhado dos componentes ou ferramentais/moldes e cadastrar no sistema.</t>
  </si>
  <si>
    <t>Cadastro dos itens e estruturas.</t>
  </si>
  <si>
    <t>Elaboração de folha de medidas gerais - 3NS-/16H-E (execução flange) - numero 4641153</t>
  </si>
  <si>
    <t>Desenho de modelos de facas para impressão em 3D.</t>
  </si>
  <si>
    <t>Elaboração de folha de medidas gerais - 3NS-/16H-E (execução pedestal) - numero 4641154</t>
  </si>
  <si>
    <t>Desenvolvimento / projeto do sistema de ancoragem 3S para tubing 4.1/2".
Fase de cadastro dos componentes no TOTVS / PDM</t>
  </si>
  <si>
    <t>Elaboração de geometria do separador de fases / Definição de roteiro de simulação CFD / Geração de malha preliminar</t>
  </si>
  <si>
    <t>Desenvolvimento / projeto do sistema de ancoragem 3S para tubing 4.1/2".
Fase de detalhamento 2D dos componentes.</t>
  </si>
  <si>
    <t>Elaboração de geometria do separador de fases Definição de um roteiro para a simulação CFD transiente do caso Geração de malha preliminar no HELYX</t>
  </si>
  <si>
    <t>Desenvolvimento de molde para fabricação do invólucro do selo N.Mac BO</t>
  </si>
  <si>
    <t>Elaboração de geometrias alternativas de facas / Avaliação de agarramento teórico / Comparativo com facas dos trituradores existentes</t>
  </si>
  <si>
    <t>Detalhamento de componentes - 4664305 / 4664424.</t>
  </si>
  <si>
    <t>Elaboração de lista de peças e cadastro de itens no sistema</t>
  </si>
  <si>
    <t>Detalhamento de componentes - 4664425 / 4664426.</t>
  </si>
  <si>
    <t>Elaboração de manual de procedimento para e apresentação execução e resultados de simulações</t>
  </si>
  <si>
    <t>Detalhamento de componentes - 4664427 / 4664428 / 4635524 / 4635535.</t>
  </si>
  <si>
    <t>Detalhamento de componentes - 4664458 / 4664459. -Ajuste bancada de testes</t>
  </si>
  <si>
    <t>Elaboração de novos desenos</t>
  </si>
  <si>
    <t>Detalhamento de componentes - 4664460 / 4664461 / 4635559. -Ajuste bancada de testes.</t>
  </si>
  <si>
    <t>Elaboração de programas de retificação dos perfis de fusos</t>
  </si>
  <si>
    <t>Detalhamento de projeto - 4664311 / 4664312</t>
  </si>
  <si>
    <t>Elaboração de programas de retificação dos perfis de fusos (Fusos com Niquel Lub)</t>
  </si>
  <si>
    <t>Detalhamento dos componentes da bomba.</t>
  </si>
  <si>
    <t>Detalhamento dos desenhos dos componentes.</t>
  </si>
  <si>
    <t>Elaboração de relatórios de testes</t>
  </si>
  <si>
    <t>Elaboração do dispositivo para desmontagem do mancal.</t>
  </si>
  <si>
    <t>Elaboração de um gráfico/equação aproximada para determinar a vazão mínima necessária de líquido na sucção da bomba multifásica em função da pressão diferencial</t>
  </si>
  <si>
    <t>Posição da rastreabilidade no modelo para Flange adaptador para fixação do acionamento - Fundido</t>
  </si>
  <si>
    <t>Elaboração do checklist de testes da bancada de testes multifásica na C46</t>
  </si>
  <si>
    <t>6.2 Elaborar desenho de conjunto do equipamento ou instrução de mistura e cadastrar no sistema.</t>
  </si>
  <si>
    <t>Detalhamento de carretéis que compões by-pass da bomba de circulação de água quente para bancada de testes de trituradores N.Mac.</t>
  </si>
  <si>
    <t>Elaboração do P&amp;ID do skid multifásico</t>
  </si>
  <si>
    <t>6.3 Elaborar lista de peças ou composição do composto e cadastrar no sistema.</t>
  </si>
  <si>
    <t>Cadastro de listas de peças e reservas para fazer triturador.</t>
  </si>
  <si>
    <t>Elaboração do perfil de usinagem dos fusos 2NS 1885/16-13- (Ø185/170)</t>
  </si>
  <si>
    <t>6.4 Elaborar desenho em corte e cadastrar no sistema.</t>
  </si>
  <si>
    <t>- Análise de normas internas de projetos para atendimento da documentação ISO.
- Padronização de porfólio.</t>
  </si>
  <si>
    <t>Elaboração do perfil de usinagem dos fusos 3NS03/--1-; 3NS04/--1- e 3NS168/16-8-</t>
  </si>
  <si>
    <t>- Atualização de documentação ISO (desenhos).</t>
  </si>
  <si>
    <t>Elaboração do perfil para usinagem dos fusos de passo especial, 3NS255 (Ø75/162)</t>
  </si>
  <si>
    <t>- Croqui da proposta de ampliação do escritório da P&amp;D
- Desenho em corte de caixa de selagem N.Mac BO.
- Estruturação e padronização das posições de componentes dos desenhos em cortes de trituradores N.Mac.</t>
  </si>
  <si>
    <t>Elaboração do Project Report NMac BO/SO</t>
  </si>
  <si>
    <t>- Desenho em corte de caixa de selagem N.Mac BO.
- Estruturação e padronização das posições de componentes dos desenhos em cortes de trituradores N.Mac.</t>
  </si>
  <si>
    <t>Elaboração do setup da simulação CFD do separador de fases / Relatório para solicitação de suporte da equipe da ENGYS / Estudo de teorias sobre modelos VOF e euler-euler</t>
  </si>
  <si>
    <t>Reunião padronização de desenho em corte para N.Mac</t>
  </si>
  <si>
    <t>Elaboração dos PI&amp;D (Pipeline instrumentation diagram) - Com liquid boot / Separador de fases</t>
  </si>
  <si>
    <t>7.1 Efetuar ou solicitar a fabricação do protótipo (peça piloto).</t>
  </si>
  <si>
    <t>- Atualização de documentação ISO (fabricação de componentes).</t>
  </si>
  <si>
    <t>Elaboração dos PI&amp;D (Pipeline instrumentation diagram) - Com liquid boot / Separador de fases;  - Elaboração dos programas de retífica de fusos</t>
  </si>
  <si>
    <t>Cadastro e compra de válvulas de esferas para projeto de instalação da bomba de água quente para nossa bancada de testes in-line</t>
  </si>
  <si>
    <t>Elaboração dos programas de retificação (pré-usinagem) dos fusos 4NS142/40H1E com perfil côncavo</t>
  </si>
  <si>
    <t>Cadastro e compra de válvulas de retenção para projeto de instalação da bomba de água quente para nossa bancada de testes in-line</t>
  </si>
  <si>
    <t>Elaboração dos programas de retificação de fusos (KL0827/828/829/830/831/832/833/834)</t>
  </si>
  <si>
    <t>Compra de válvula de sangria.</t>
  </si>
  <si>
    <t>Elaboração dos programas de retificação para os fusos motor / movido 2NSH167/16L3E com perfil convexo / revestimento com Níquel Lub</t>
  </si>
  <si>
    <t>Desenvolvimento / projeto do sistema de ancoragem 3S para tubing 4.1/2".
Double check nos desenho e solicitado produção dos protótipos.</t>
  </si>
  <si>
    <t>Elaboração rotina de calculo para o dimensionamento de acessórios KTR para as bomba NDB (lanterna + acoplamentos) A rotina agiliza a seleção e evita problemas de montagem</t>
  </si>
  <si>
    <t>Feito o cadastros dos itens e ordens de compra conforme oferta  NDB-2-0123-10.
Item: 5195094 – OC: 937119.53 – 1 Unidade.
Item: 8096400 – OC: 937119.58 – 12 Unidades.</t>
  </si>
  <si>
    <t>Elaborado estrutura e processo de fabricação para case de fixação do chip MPU-6050 para testes Solicitado fabricação de dois componentes</t>
  </si>
  <si>
    <t>Projeto 3D para impressão dos perfis das facas do triturador</t>
  </si>
  <si>
    <t>Elaborado procedimento de montagem de case com conectores MIKE e Alimentação via Plug P4 Jack</t>
  </si>
  <si>
    <t>Verificação peças em fabricação.</t>
  </si>
  <si>
    <t>Elaborado projeto para validação de protótipo em clientes</t>
  </si>
  <si>
    <t>7.2 Analisar todas as fases do processo de fabricação e registrar possíveis melhorias</t>
  </si>
  <si>
    <t>Alinhamento de cronograma e atividades N.Mac.</t>
  </si>
  <si>
    <t>Elaborado requisitos finais para elaboração do Hardware com base no MPU-6050, com microcontrolador embutido e comunicação RS-485 Fornecedor DL Projetos</t>
  </si>
  <si>
    <t>Avaliação de viabilidade de aquisição de um novo chiller para a C46.</t>
  </si>
  <si>
    <t>Elaborado video sobre bomba NEMO e sistema de monitoramento</t>
  </si>
  <si>
    <t>Cotação de novo painel para trituradores.
Acompanhamento de controle de investimentos 22/23.</t>
  </si>
  <si>
    <t>Elaborar desenho do case de fixação do chip MPU-6050 para testes</t>
  </si>
  <si>
    <t>Definir sistemática para cadastro de OP para o P&amp;D</t>
  </si>
  <si>
    <t>Elaborar manual de montagem</t>
  </si>
  <si>
    <t>Elaboração de propostas para estratégia 27.</t>
  </si>
  <si>
    <t>Elaborar manual para start up do equipamento de monitoramento</t>
  </si>
  <si>
    <t>Projeto de escada para acessar tanque de alimentação bancada in-line.</t>
  </si>
  <si>
    <t>Elaborar material técnico para projeto de Data Logger com sistema de proteção;</t>
  </si>
  <si>
    <t>Reunião para definir sistemática para cadastro de OP para o P&amp;D</t>
  </si>
  <si>
    <t>Elaborar material técnico para projeto doi acelerômetro triaxial</t>
  </si>
  <si>
    <t>Reunião sobre tratamento térmico de facas em AISI 630; levantamento de posições previstas para Budget 23/24 N.Mac; cotação para novo painel de trituradores.</t>
  </si>
  <si>
    <t>Elabroração de procedimento de testes</t>
  </si>
  <si>
    <t>8.1 Analisar se a etapa “Fabricação do protótipo” foi realizada conforme especificado, e se as saídas atendem aos requisitos de entrada do projeto.</t>
  </si>
  <si>
    <t>Análise de não conformidade de motoredutor comprado para protótipo.</t>
  </si>
  <si>
    <t>Estudo de materiais para mancais com partida a seco</t>
  </si>
  <si>
    <t>Análise para adequação da bomba de circulação para bancada de testes de trituradores N.Mac.</t>
  </si>
  <si>
    <t>Levantamento de ordens de produção pendentes e definição de priorização de fabricação.</t>
  </si>
  <si>
    <t>Estudo de melhorias para selo mecânico</t>
  </si>
  <si>
    <t>Preparação de bancada para teste de trituração de bagaço de cana.</t>
  </si>
  <si>
    <t>Estudo de projetos anteriores de trituradores e relatórios de testes realizados nestes</t>
  </si>
  <si>
    <t>9.2 Definir o local em que será realizada a validação do produto (em bancada e/ou campo).</t>
  </si>
  <si>
    <t>Analise de duas bombas do modelo 3NS147/120H7E que apresentaram desgaste elevado em campo - verificação da solução aplicável para o caso.</t>
  </si>
  <si>
    <t>Estudo de resistência das Bombas Notos 2NS conforme ASME BPVC e AD2000</t>
  </si>
  <si>
    <t>Escolha das peças para montar o produto, organização de espaço para montagem e teste do protótipo.</t>
  </si>
  <si>
    <t>Estudo de solvers empregados no software HELYX / Avaliação de métodos de simulaçãoes aplicavéis para análise de perda de carga de trituradores</t>
  </si>
  <si>
    <t>Melhorias de iluminação e suportes da bancada de trituradores em linha (Melhoria pra registro e monitoramento dos testes).</t>
  </si>
  <si>
    <t>Estudo de um sistema de retorno e captação do líquido retido no AFE</t>
  </si>
  <si>
    <t>9.3 Efetuar ou acompanhar a montagem.</t>
  </si>
  <si>
    <t>Acompanhamento da montagem da bomba.</t>
  </si>
  <si>
    <t>Aquisição de iluminação para bancada de testes N.Mac</t>
  </si>
  <si>
    <t>Estudo do modelo de cálculo de perda de carga HEM (Modelo equilíbio homogêneo) para cálculo do backflow das bombas multifásicas</t>
  </si>
  <si>
    <t>Auxílio na montagem da válvula de controle e do separador tipo ciclone na bancada de testes.</t>
  </si>
  <si>
    <t>Estudo e dimensionamento do Corpo da Bomba 4NS142/40H1E multifásico</t>
  </si>
  <si>
    <t>Auxilio na montagem na bomba 2NSH(4) - EHEDG.</t>
  </si>
  <si>
    <t>Estudo e modelagem de um sistema paralelo para medição da eficiência do separador de fases</t>
  </si>
  <si>
    <t>Continuação da montagem do skid multifásico.</t>
  </si>
  <si>
    <t>Estudo para a inclusão de uma bucha de vedação em bronze na flange intermediária para a vedação do fuso motor (reduzir o risco de travamento de bombas durante a partida)</t>
  </si>
  <si>
    <t>Desmontagem das válvulas  de retenção. Motivo: Vazamento.</t>
  </si>
  <si>
    <t>Estudo para a utilização de carbeto de tugstênio em corpos de desgaste Material poderá oferecer a dureza necessária em aplicação com abrasivos Desenvolvimento junto com a empresa Durit</t>
  </si>
  <si>
    <t>Desmontagem de bomba de teste.</t>
  </si>
  <si>
    <t>Estudo para alteração da bancada de testes - deslocar os medidores de vazão da sucção para a descarga (reduzir a perda de carga na sucção das bombas)</t>
  </si>
  <si>
    <t>Iniciada a montagem da bomba de fusos 4NS142/40H1E</t>
  </si>
  <si>
    <t>Estudo para fabricação de fuso com passo reduzido (3NS-/25M2E) - solicitação NPS</t>
  </si>
  <si>
    <t>Iniciado a montagem do skid multifásico</t>
  </si>
  <si>
    <t>Estudo para fabricação de fuso com passo reduzido (3NS-/25M2E) - solicitação NPS Verificação de cotações para aquisição de modelos de fundição 3NS</t>
  </si>
  <si>
    <t>Montagem do circuito de recirculação do skid multifásico + bombas de flushing (Selo mecânico duplo-efeito).</t>
  </si>
  <si>
    <t>Estudo para redução dos diâmetros externos aplicados na bomba 3NS147/120H7E - bombas estão travando em campo devido a presença de areia no fluído</t>
  </si>
  <si>
    <t>Montagem do circuito de recirculação do skid multifásico + bombas de flushing (Selo mecânicos duplo-efeito).</t>
  </si>
  <si>
    <t>Estudo sobre a categoria de produto</t>
  </si>
  <si>
    <t>Montagem dos adaptadores no recalque do skid multifásico. Realizada a escorva do sistema para verificação de possíveis vazamentos.</t>
  </si>
  <si>
    <t>Estudo sobre a proporcionalidade de massa e momento de inércia do comprimento das helicóides dos fusos nas Bombas Notos 2NS</t>
  </si>
  <si>
    <t>Montagem protótipo e atualização sobre carregador de nitrogênio.</t>
  </si>
  <si>
    <t>Estudo sobre deflexão de eixos</t>
  </si>
  <si>
    <t>Montagem protótipo.</t>
  </si>
  <si>
    <t>Estudo sobre faces de selos</t>
  </si>
  <si>
    <t>Montagem protótipo.
Recebido carregador de nitrogênio (rosca não conforme).</t>
  </si>
  <si>
    <t>Estudo sobre novo caso em que é solicitado ensaio teórico de impacto, desta vez em bombas 3NS e aceleração de 120g</t>
  </si>
  <si>
    <t>Pré-testes do circuito de flushing dos selos mecânicos e do sistema de cooling / serpentina.</t>
  </si>
  <si>
    <t>Estudo sobre novos lubrificantes que poderiam ser aplicados na linha 3NS e 4NS</t>
  </si>
  <si>
    <t>Realizada a montagem do medidor do pressão do concorrente a fim de avaliar o método de montagem para o funcionamento adequado do produto.</t>
  </si>
  <si>
    <t>Estudo sobre perda e carga em engrenagens</t>
  </si>
  <si>
    <t>Realizada a montagem do protótipo.</t>
  </si>
  <si>
    <t>Estudo sobre rolamentos (vida útil, relurificação, esforços, etc) das Bombas Notos 2NS</t>
  </si>
  <si>
    <t>Realizada desmontagem para avaliar o produto após o primero teste.</t>
  </si>
  <si>
    <t>Estudo sobre separadores com Annular Film Extractor</t>
  </si>
  <si>
    <t>Subprojeto 2 - Montagem da estrutura de testes, conexão de mangueiras e medidores. Bem como conexão da bomba Nemo e do Maximator ao conjunto STL.</t>
  </si>
  <si>
    <t>Estudo sobre separadores de fases com AFE</t>
  </si>
  <si>
    <t>Subprojeto 2 - Montagem e avaliação do conjunto STL.</t>
  </si>
  <si>
    <t>Estudo sobre viabilidade de novo projeto</t>
  </si>
  <si>
    <t>9.4 Realizar ensaios e testes. Registrar dados e elaborar relatórios.</t>
  </si>
  <si>
    <t>- Ajustes no supervisório / CLP da bancada de teste multifásica juntamente com o fornecedor KMCC.</t>
  </si>
  <si>
    <t>Estudo sobre viabilidade de revestimento externo fusos</t>
  </si>
  <si>
    <t>- Fluxograma (Testes de perda de carga) de upgrade de bancada de trituradores N.Mac em linha.</t>
  </si>
  <si>
    <t>Estudo tecnológico – aplicação de rolamentos de esferas estabilizados em alta temperaturas em fluídos com temperatura elevada</t>
  </si>
  <si>
    <t>- Fluxograma (Testes de perda de carga) de upgrade de bancada de trituradores N.Mac em linha.
- Reunião com fornecedor de painéis elétricos (KMCC) - Definições de hardware para upgrade da bancada.</t>
  </si>
  <si>
    <t>Estudo/projeto para limitador axial em fusos movidos da bomba 3NS147/120H7E</t>
  </si>
  <si>
    <t>- R03323 - Teste de trituração de batata palito congelada - Relatório e edição de vídeos de testes.</t>
  </si>
  <si>
    <t>Fabricação de estator em PTFE para teste de dispositivo</t>
  </si>
  <si>
    <t>- Reunião de Reestruturação documental P&amp;D
- Croqui da proposta de ampliação do escritório da P&amp;D
- R03323 - Teste de trituração de batata palito congelada - Relatório e edição de vídeos de testes.</t>
  </si>
  <si>
    <t>Fabricação de estator em PTFE para teste dimensional</t>
  </si>
  <si>
    <t>Acompanhar teste da bomba 3NS-/13H13E que apresentava vazamento em selo e aquecimento em mancal de rolamento. Resolvemos por retirar o retentor superior do mancal e substituir por vedação tipo labirinto (bomba vertical).</t>
  </si>
  <si>
    <t>Fabricação de uma peça piloto NM011-02S com alterações no diâmetro externo das flanges para melhor envelopamento da membrana durante o processo de injeção do elastômero</t>
  </si>
  <si>
    <t>Analise e teste com acionamento IP-68 para N.Mac</t>
  </si>
  <si>
    <t>Fazer montagem do MPU-6050 com aplicação de resina acrílica</t>
  </si>
  <si>
    <t>Compra de materiais para teste de trituração.</t>
  </si>
  <si>
    <t>Fazer teste de chapinha de laboratório em todos os compostos, com exceção de FKM, VMQ, PU e VN</t>
  </si>
  <si>
    <t>Compra de matérias para teste de trituração visa da NPA</t>
  </si>
  <si>
    <t>FEA Caixa de selagem (NASTRAN e Inventor)</t>
  </si>
  <si>
    <t>Conclusão teste de trituração de bagaço de cana.</t>
  </si>
  <si>
    <t>Ferramenta para encaixe no tarugo no torno para a usinagem na ferramentaria</t>
  </si>
  <si>
    <t>Continuação dos pré-testes do skid multifásico. Verificação da vazão de recirculação entre o liquid boot e a sucção da bomba multifásica. (Set up da abertura da válvula solenóide sincronizada com o motoe elétrico).</t>
  </si>
  <si>
    <t>Foi reprojetada a tubulação de retorno entre o liquid boot e a sucção da bomba multifásica</t>
  </si>
  <si>
    <t>Continuação dos testes da bomba 3NS33/80L4E - aprovação das alterações realizadas na bancada de testes (tubulação).</t>
  </si>
  <si>
    <t>Follow-up do projeto</t>
  </si>
  <si>
    <t>Criação dos gráficos dos testes com o skid multifásico. Pressão diferencial: 5,0  e 8,0 bar / N=2000 RPM / GVF: 0 A 100%.</t>
  </si>
  <si>
    <t>Geração da malha no caso da simulação fluidodinâmica computacional nº CAE000014</t>
  </si>
  <si>
    <t>Fluxograma (Testes de perda de carga) de upgrade de bancada de trituradores N.Mac em linha. Teste TH N.Mac 150I com juntas de papelão hidráulico (15 bar).</t>
  </si>
  <si>
    <t>Geração de malha refinada baseada nas iterações iniciais para o caso da simulação fluidodinâmica computacional nº CAE000012 Envio de caso para o suporte da ENGYS</t>
  </si>
  <si>
    <t>Fluxograma de upgrade de bancada de trituradores N.Mac em linha e lógicas de testes. Croqui de escadas e plataformas adicionais para bancada de testes de trituração. Teste funcional de triturador M-Ovas em bancada de trituradores em linha.</t>
  </si>
  <si>
    <t>Identificação do ângulo crítico para os metais 420, 304 e 316 polido e 304 e 1045 com revestimento de TST em bases de elastômero BU, EH, EL, HSB e 320</t>
  </si>
  <si>
    <t>Fluxograma de upgrade de bancada de trituradores N.Mac em linha e lógicas de testes. R00123 - Teste de trituração de Fibra de Cana (N.Mac 50I + M.Ovas).</t>
  </si>
  <si>
    <t>Identificação do ângulo crítico para os metais 420, 304 e 316 polido e 304 e 1045 com revestimento de TST em bases de elastômero PCI, PCI-B, 332, 366, EP e EPBPF</t>
  </si>
  <si>
    <t>Fluxograma de upgrade de bancada de trituradores N.Mac em linha e lógicas de testes. R00123 - Teste de trituração de Fibra de Cana (N.Mac 50I).</t>
  </si>
  <si>
    <t>Identificação do ângulo crítico para os metais 420, 304 e 316 polidos e 304 e 1045 com revestimento de TST em bases de elastômeros 275 e 286</t>
  </si>
  <si>
    <t>Modelo de relatório de teste de trituração apara a área comercial. Fluxograma de upgrade de bancada de trituradores N.Mac em linha e lógicas de testes.</t>
  </si>
  <si>
    <t>Implementação de melhorias: vedações de selos 2NSH mancal 3 (bomba round)</t>
  </si>
  <si>
    <t>Modelo de relatório de teste de trituração apara a área comercial. R00622: Edição de vídeos e relatório de testes simplificado - Trituração de lenço umedecido e produtos de higiene.</t>
  </si>
  <si>
    <t>Implementação de protótipo para localização de equipamentos e visualização em mapa utilizando dados do ERP e geolocalização do datalogger desenvolvido</t>
  </si>
  <si>
    <t>Montagem das facas no 13 dentes no N.Mac 50I para teste de trituração de resíduo de cana</t>
  </si>
  <si>
    <t>Implementação/Testes da feature OTA (Over-the-Air Update) para atualização remota do datalogger desenvolvido</t>
  </si>
  <si>
    <t>Montagem de triturador para teste de trituração de resíduo de cana</t>
  </si>
  <si>
    <t>Implementação/Testes de melhorias no firmware do datalogger desenvolvido</t>
  </si>
  <si>
    <t>Montagem triturador para teste de trituração de resíduo de cana</t>
  </si>
  <si>
    <t>Implementações de melhorias na bancada de testes de trituradores NMac</t>
  </si>
  <si>
    <t>Novo teste de pressão com juntas de NBR para N.Mac 150I, 15 bar. Realização do relatório de testes.</t>
  </si>
  <si>
    <t>Inclusão da série de 80 bar na planilha de cálculos das bombas 4NSM</t>
  </si>
  <si>
    <t>Orientações para pré-teste de trituração de bagaço de cana na bancada de trituradores em linha.</t>
  </si>
  <si>
    <t>Inclusão das tolerâncias nos desenhos em 3D do Corpo da Bomba, dos Fusos Motor/Movido, do Flange de Vedação do Corpo e dos Mancais Dianteiro/Traseiro da Bomba 4NS142/40H1E Revisão da Montagem em 3D da Bomba 4NS142/40H1E</t>
  </si>
  <si>
    <t>Pré-teste de trituração de bagaço de cana.</t>
  </si>
  <si>
    <t>Iniciado o projeto 3NS-/16H1E (utiliza plataforma da bomba de mancal 2)</t>
  </si>
  <si>
    <t>Preparação de protótipo para teste.</t>
  </si>
  <si>
    <t>Iniciado o projeto dos fusos motor e movido modelo 4NS142/40H1E com perfil côncavo/convexo</t>
  </si>
  <si>
    <t>Preparação para de testes trituração - Batata Palito Congelada</t>
  </si>
  <si>
    <t>Inicio memorial de cálculo 3NS-/160H11E</t>
  </si>
  <si>
    <t>Preparação para de testes Trituração Batata Palito Congelada-N. Mac50I</t>
  </si>
  <si>
    <t>Inicio projeto 3NS612/160H11E LACT</t>
  </si>
  <si>
    <t>Preparativos para teste do protótipo.</t>
  </si>
  <si>
    <t>Inicio projeto da bomba 3NS-/80L5E com lanterna KTR Revisão de desenhos Reunião com vendas sobre o projeto 3NS147/120H7E (LACT)</t>
  </si>
  <si>
    <t>R00123 - Relatório e edição de vídeos - Teste de trituração de Fibra de Cana (N.Mac 50I + M.Ovas).</t>
  </si>
  <si>
    <t>Inicio projeto da bomba 3NS33/80L4E com adaptações para a utilização de lanternas padronizadas Adaptações consistem em utilização de novo fuso motor, tampa dianteira e flange intermediário Projeto da tampa dianteira fundida</t>
  </si>
  <si>
    <t>R00622 - Relatório e edição de vídeos - Teste de trituração de papel higiênico e lenços umedecidos.</t>
  </si>
  <si>
    <t>Junção dos dados e elaboração do manual de utilização do software da bancada de testes 4NSM da C46</t>
  </si>
  <si>
    <t>R03323 - Teste de trituração de batata palito congelada - Auxílio em relatório e edição de vídeos de testes.</t>
  </si>
  <si>
    <t>Leitura / análise sobre separador de fases com o sistema de AFE (Annular film extractor)</t>
  </si>
  <si>
    <t>Realizado os pré-testes do skid multifásico. Operacional e registro de dados dos novos instrumentos contemplados no sistema (Sensores de pressão, temperatura, chave de nível e válvula solenóide).</t>
  </si>
  <si>
    <t>Leitura da dissertação: Estudo comportamento termodinâmico de um sistema de bombeamento multifásico de duplo parafuso (2021) Autor: Antônio Ribeiro Patrício</t>
  </si>
  <si>
    <t>Realizado testes com o medidor de pressão.</t>
  </si>
  <si>
    <t>Leitura da tese de doutorado: Modelagem e Simulação de uma bomba multifásica de duplo parafuso com recirculação interna (José Luis Gerardo) Efeito a abertura gradual da última câmara e transferência de calor</t>
  </si>
  <si>
    <t>Recebido óleo ISO VG10 para teste do protótipo.</t>
  </si>
  <si>
    <t>Leitura de diretevias CE / Atualização de documentação ISO</t>
  </si>
  <si>
    <t>Relatório de testes Trituração Batata Palito Congelada-N. Mac50I</t>
  </si>
  <si>
    <t>Leitura e estudo da apostila sobre simbologia de solda Desenho em 2D do Corpo da Bomba 4NS-/40H1E</t>
  </si>
  <si>
    <t>Reunião com fornecedor de painéis elétricos (KMCC) - Definições de hardware para upgrade da bancada</t>
  </si>
  <si>
    <t>Leitura e interpretação da norma ISO 3744 / Elaboração de norma interna de ensaios de rúidos</t>
  </si>
  <si>
    <t>Reunião de Reestruturação documental P&amp;D
R03323 - Teste de trituração de batata palito congelada - Auxílio em relatório e edição de vídeos de testes.</t>
  </si>
  <si>
    <t>Levantamento de custos/tempos de simulação de curvas com variação de CP para trituradores</t>
  </si>
  <si>
    <t>Reunião para definições da prévia do relatório de testes de trituração de resíduo de cana</t>
  </si>
  <si>
    <t>Levantamento de dados, imagens, vídeos e fluxogramas para a Diretorita (apresentação GPMT) / Testes de simulações FEA do software</t>
  </si>
  <si>
    <t>Solicitada entrega de óleo ISO VG10 para teste do protótipo.</t>
  </si>
  <si>
    <t>Levantamento de estoque PED peças bomba 2NSH</t>
  </si>
  <si>
    <t>Solicitado empréstimo de um cilindro de nitrogênio para carregar o acumulador de pressão.</t>
  </si>
  <si>
    <t>Levantamento de itens para finalização do protótipo</t>
  </si>
  <si>
    <t>Subprojeto 2 -  Realização e acompanhamento do teste.</t>
  </si>
  <si>
    <t>Levantamento de normas aplicáveis ao triturador NMac BO / Análise de critérios para projeto e definições de formas construtivas</t>
  </si>
  <si>
    <t>Substituição das juntas de NBR para juntas em papelão para teste de pressão do N.Mac 150I, 15 bar.</t>
  </si>
  <si>
    <t>Levantamento de prioridades P&amp;D</t>
  </si>
  <si>
    <t>Suporte ao teste TH N.Mac 150I (15 bar). Levantamento de sensores adicionais para a bancada de trituradores em linha. Fluxograma (Testes de perda de carga) de upgrade de bancada de trituradores N.Mac em linha.</t>
  </si>
  <si>
    <t>Levantamento técnico de conectores e repassado ao fornecedor</t>
  </si>
  <si>
    <t>Teste da bomba 3NS33/80L4E (protótipo usinado). Bomba apresenta bons resultados de performance e de funcionamento.</t>
  </si>
  <si>
    <t>Luis Felipe, Sérgio Manske e Fernando Riemer</t>
  </si>
  <si>
    <t>Teste da bomba 3NS88/80H6E com revestimento no liner em HALAR (50,0 bar a 1750RPM).</t>
  </si>
  <si>
    <t>Médico e segurança autorizaram a entrada do produto</t>
  </si>
  <si>
    <t>Teste da bomba 4NS142/40H1E (N=2000 RPM / Pressão diferencial: 10,0 bar) / GVF: 0 A ~90%.</t>
  </si>
  <si>
    <t>Melhorias no sistema de travamento axial do selo mecânico 2NSH mancal 3</t>
  </si>
  <si>
    <t>Teste da bomba 4NS142/40H1E (N=2000 RPM / Pressão diferencial: 5,0 bar) / GVF: 0 A ~90%.</t>
  </si>
  <si>
    <t>Memorial de cálculo 3NS-/160H11E</t>
  </si>
  <si>
    <t>Teste da bomba 4NS142/40H1E (N=2000 RPM / Pressão diferencial: 8,0 bar) / GVF: 0 A ~90%.</t>
  </si>
  <si>
    <t>Memorial de cálculo da bomba 3NS-/16H2E</t>
  </si>
  <si>
    <t>Teste de novas vedações.</t>
  </si>
  <si>
    <t>Memorial de cálculo da bomba 3NS-/16H2E Alteração no projeto do pedestal fundido - suportar cargas em bocais (CA 21647)</t>
  </si>
  <si>
    <t>Teste de performance 2NSH(5)</t>
  </si>
  <si>
    <t>Memorial de cálculo dos eixos</t>
  </si>
  <si>
    <t>Teste de resistência a pressão do N.Mac 150I, 15 bar.</t>
  </si>
  <si>
    <t>Mistura das alternativas M2108R34-1,2 e 3 Foi alterada a estratégia de formulação optando por adicionar bastante carga de enchimento inorgânica</t>
  </si>
  <si>
    <t>Teste de torque</t>
  </si>
  <si>
    <t>Modelar um dispositivo de separação de fases anular segundo a literatura estudada anteriormente</t>
  </si>
  <si>
    <t>Teste de torque.</t>
  </si>
  <si>
    <t>Modelar um sistema de retorno e de captação do líquido retido no AFE</t>
  </si>
  <si>
    <t>Teste de trituração de bagaço de cana (N.Mac + M-Ovas).</t>
  </si>
  <si>
    <t>Montagem da bomba 3NS18/16H3E (teste em bancada de alta temperatura) Montagem da bomba 3NS55/16H5E (teste em bancada de óleo)</t>
  </si>
  <si>
    <t>Teste de trituração de demonstração - NPA.</t>
  </si>
  <si>
    <t>Montagem da PCI e conectores no case impresso</t>
  </si>
  <si>
    <t>Teste de trituração de resíduo de cana</t>
  </si>
  <si>
    <t>Montagem da unidade de pressurização na bancada multifásica</t>
  </si>
  <si>
    <t>Teste de trituração de resíduo de cana com N.Mac e M-Ovas em série.</t>
  </si>
  <si>
    <t>Montagem de bomba para anállise técnica</t>
  </si>
  <si>
    <t>Teste de trituração para clientes N.Mac 120C</t>
  </si>
  <si>
    <t>Montagem de Case para Feira FEIMEC</t>
  </si>
  <si>
    <t>Teste do protótipo 3NS33/80L4E - resultados de temperatura positivos.</t>
  </si>
  <si>
    <t>Montagem de gabinetes com conectores MIKE, placa PCI</t>
  </si>
  <si>
    <t>Teste do skid multifásico 4NS142/40H1E. Pressão diferencial: 2,0 bar / N=1400 RPM / GVF: 0 A 100% e elaboração de gráficos.</t>
  </si>
  <si>
    <t>Montagem de protótipo em Protoboard com dispositivos de GPS, GPRS, cartão SD Atividades de desenvolvimento de hardware e software pela empresa terceirizada NEXTEN (Blumenau/SC) Número NF 158 - R$3900,00</t>
  </si>
  <si>
    <t>Teste do skid multifásico 4NS142/40H1E. Pressão diferencial: 2,0 bar / N=1400 RPM / GVF: 0 A 100%.</t>
  </si>
  <si>
    <t>Montagem de sensores para Feira FEIMEC</t>
  </si>
  <si>
    <t>Teste do skid multifásico 4NS142/40H1E. Pressão diferencial: 2,0 bar / N=1800 RPM / GVF: 0 A 100% e elaboração de gráficos.</t>
  </si>
  <si>
    <t>Montagem do protótipo 3NS236/120C7E FSIP</t>
  </si>
  <si>
    <t>Teste do skid multifásico 4NS142/40H1E. Pressão diferencial: 2,0 bar / N=1800 RPM / GVF: 0 A 100%.</t>
  </si>
  <si>
    <t>Montagem e pré-teste da válvula eletropneumática na linha de gás da bancada multifásica (1/2")</t>
  </si>
  <si>
    <t>Teste do skid multifásico 4NS142/40H1E. Pressão diferencial: 2,0 bar / N=2000 RPM / GVF: 0 A 100%.</t>
  </si>
  <si>
    <t>Montagem em 3D da Bomba 4NS-/-H7E com selo mecânico duplo cartucho da Burgmann Dimensionamento e desenhos em 3D do Flange de Vedação do Corpo e dos Mancais Dianteiro/Traseiro da Bomba 4NS-/-H8E com selo mecânico duplo cartucho da Burgmann</t>
  </si>
  <si>
    <t>Teste do skid multifásico 4NS142/40H1E. Pressão diferencial: 2,0 bar / N=2000 RPM / GVF: 0 A 100%. Elaboração dos gráficos do ensaio.</t>
  </si>
  <si>
    <t>Montagem em 3D da bomba 4NS-/-H8E om selo mecânico duplo cartucho da Burgmann Verificação das dimensões do selo mecânico da bomba 4NS159/40H2E</t>
  </si>
  <si>
    <t>Teste do skid multifásico 4NS142/40H1E. Pressão diferencial: 5,0  e 8,0 bar / N=2000 RPM / GVF: 0 A 100%.</t>
  </si>
  <si>
    <t>Montagem em 3D da bomba 4NS-/40H9E para selo mecânico duplo cartucho da Burgmann Desenho em Corte da bomba 4NS-/40H9E para selo mecânico duplo cartucho da Burgmann</t>
  </si>
  <si>
    <t>Teste do skid multifásico 4NS142/40H1E. Pressão diferencial: 5,0 bar / N=2000 RPM / GVF: 0 A 100% / Com medição do torque.</t>
  </si>
  <si>
    <t>Montagem em 3D da bomba 4NS142/40H1E c/ 6 rolamentos e com selo mecânico duplo cartucho Verificação das medidas do selo mecânico duplo cartucho diâmetro 105 da Burgmann revisado, da bomba 4NS-/-H6E</t>
  </si>
  <si>
    <t>Teste do skid multifásico 4NS142/40H1E. Pressão diferencial: 5,0 bar / N=2000 RPM / GVF: 0 A 100% e elaboração.</t>
  </si>
  <si>
    <t>Montagem em 3D da Bomba 4NS142/40H1E com 6 rolamentos Dimensionamento e desenho em 3D de Serpentina para bomba 4NS-/-H5E</t>
  </si>
  <si>
    <t>Teste do skid multifásico 4NS142/40H1E. Pressão diferencial: 5,0 bar / N=2000 RPM / GVF: 0 A 100%.</t>
  </si>
  <si>
    <t>Montagem em 3D da Bomba 4NS261/40H1E com Selo Simples Cartucho Plano 51 sem Retentor para Mancal</t>
  </si>
  <si>
    <t>Teste do skid multifásico 4NS142/40H1E. Pressão diferencial: 5,0 bar / N=2000 RPM / GVF: 0 A 100%. Elaboração dos gráficos do ensaio.</t>
  </si>
  <si>
    <t>Montagem em 3D e de Desenho em Corte 2D da Bomba 4NS1135/40H4E com Selo Simples Cartucho Plano 51 sem Retentor para Mancal Desenhos em 3d do Mancal Traseiro, dos Fusos Motor/Movido, do Porta Selo Mecânico e da Bucha Distanciadora da Bomba 4NS1042/40H5E</t>
  </si>
  <si>
    <t>Teste hidrodinâmico do protótipo.</t>
  </si>
  <si>
    <t>Montagem em 3d e desenho em corte 2D da Bomba 4NS12863/40H9E Revisão da montagem em 3d e do desenho em corte 2D da bomba 4NS-/40H10E</t>
  </si>
  <si>
    <t>Teste hidrostático das válvulas de retenção do skid multifásico. Projeto de adaptadores para substituir as válvulas de retenção temporariamente.</t>
  </si>
  <si>
    <t>Montagem em 3D e desenho em corte 2D da Bomba 4NS266/40H3E com Selo Simples Cartucho Plano 51 sem Retentor para Mancal</t>
  </si>
  <si>
    <t>Teste hidrostático do protótipo.</t>
  </si>
  <si>
    <t>Montagem em 3d e desenho em corte 2D da Bomba 4NS2795/40H6E Desenho em 3d do Mancal Traseiro da Bomba 4NS-/40H7E</t>
  </si>
  <si>
    <t>Teste hidrostático N.Mac 150I com vedações em lona de borracha (vazamento em 12 bar).</t>
  </si>
  <si>
    <t>Montagem em 3D e desenho em corte 2D da Bomba 4NS407/40H2E com Selo Simples Cartucho Plano 51 sem Retentor para Mancal Desenho em 3d do Mancal Traseiro da bomba 4NS-/-H3E com Selo Simples Cartucho Plano 51 sem Retentor para Mancal</t>
  </si>
  <si>
    <t>Teste interno da bomba 3NS147/120H7E - bancada de óleo - desmontagem da bomba e verificação dos componentes - tudo OK.</t>
  </si>
  <si>
    <t>Montagem em 3d e desenho em corte 2D da bomba 4NS4543/40H7E Desenhos em 3d do Mancal Traseiro e dos Fusos Motor/Movido da Bomba 4NS-/40H8E</t>
  </si>
  <si>
    <t>Teste interno da bomba 3NS147/120H7E - bancada de óleo.</t>
  </si>
  <si>
    <t>Montagem em 3d e Desenho em Corte em 2D da Bomba 4NS16800/40H10E</t>
  </si>
  <si>
    <t>Teste Skid Multifásico.</t>
  </si>
  <si>
    <t>NMac BO - Análise de motoredutores alternativos - Atualização de dados NMac BO</t>
  </si>
  <si>
    <t>9.5 Desmontar equipamento e verificar a integridade das peças.</t>
  </si>
  <si>
    <t>Acompanhamento problemas de montagem em duas bombas 3NS55/80L5E.</t>
  </si>
  <si>
    <t>NMac BO - Atendimento a produção - Revisão de desenhos do prisioneiro e da luva da caixa de selagem - Revisões para facilitar o processo de fabricação</t>
  </si>
  <si>
    <t>Analise de falha: verificação falha em campo, bomba 3NS147/120H7E (falha de mancalização hidrodinâmica, desgaste axial dos encostos dos fusos movidos)</t>
  </si>
  <si>
    <t>NMac BO - Atualização de desenhos 3D, briefing para colegas de equipe e braingstorming</t>
  </si>
  <si>
    <t>Análise e solicitação de reforma de acionamentos para trituradores.</t>
  </si>
  <si>
    <t>NMAC BO - Auxílio em dsenho 3D e detalhamento - eixo motor</t>
  </si>
  <si>
    <t>Desmontagem da bomba 3NS88/80H6E com revestimento no liner em HALAR (50,0 bar a 1750RPM). Peças em boas condições após carga horária de testes.</t>
  </si>
  <si>
    <t>NMac BO - Avaliação de alternativas de fabricação dos limpadores e elementos girantes</t>
  </si>
  <si>
    <t>Desmontagem do cabeçote para reusinar corpo, a fim de testar a aplicação de um manometro na região do freio para ter um visual de que o freio está atuando.</t>
  </si>
  <si>
    <t>NMac BO - Definições e compra de motoredutor</t>
  </si>
  <si>
    <t>Desmontagem do tubo extensor e retirado o eixo flexível.</t>
  </si>
  <si>
    <t>NMAC Bo - Desenho 3D e detalhamento - Blocos de facas</t>
  </si>
  <si>
    <t>Efetuada a drenagem do óleo do mancal, iniciada a desmontagem da caixa de selagem. Elaboração de aprimoramentos no dispositivo de desmontagem para aplicar um torque maior.</t>
  </si>
  <si>
    <t>NMAC Bo - Desenho 3D e detalhamento - eixo motor</t>
  </si>
  <si>
    <t>NMAC Bo - Desenho 3D e detalhamento - luva de apoio (engrenagem)</t>
  </si>
  <si>
    <t>NMAC Bo - Desenho 3D e detalhamento - Tampas de limpadores</t>
  </si>
  <si>
    <t>NMac BO - Documentações ISO - Atualização de custos de fabricação dos componentes</t>
  </si>
  <si>
    <t>NMac BO - Memorial de cálculo - Análises inicias da Lanterna - Comparativos entre softwares de simulação FEA</t>
  </si>
  <si>
    <t>NMac BO - Memorial de cálculo - Levantamentos de motoredutores</t>
  </si>
  <si>
    <t>NMac BO - Memorial de cálculo - Preparação de imagens para o memorial e introdução</t>
  </si>
  <si>
    <t>NMac BO - Memorial de cálculo e documentações ISO</t>
  </si>
  <si>
    <t>O primer a base d´água (PBDA) e o adesivo a base d´água (ABDA) chegaram na NDB para os testes</t>
  </si>
  <si>
    <t>Orçamento e solicitação de peça piloto impressa em plástico PLA preto</t>
  </si>
  <si>
    <t>Ordem de compra da válvula de alívio / segurança;  - Ordem de compra da unidade de pressurização; Elaboração da lista de peças do sistema "Unidade de gás anular";</t>
  </si>
  <si>
    <t>Organização de materiais de testes anteriores e verificação de integridade</t>
  </si>
  <si>
    <t>Organização de teste de trituração de couro suíno em cliente</t>
  </si>
  <si>
    <t>Orifício calibrado - Simulação fluidodinâmica computacional CFD nº CAE000015 - Estudo da norma NBR-ISO 5167-2</t>
  </si>
  <si>
    <t>Orifício calibrado - Simulação fluidodinâmica computacional CFD nº CAE000015 - Estudo da norma NBR-ISO 5167-2 / Desenho de alternativas de geometrias para o estudo</t>
  </si>
  <si>
    <t>Orifício calibrado - Simulação fluidodinâmica computacional CFD nº CAE000015 - Geração de malhas e análise de sensibilidade de malhas (Autodesk CFD e HELYX)</t>
  </si>
  <si>
    <t>Orifício calibrado - Simulação fluidodinâmica computacional CFD nº CAE000015 - Simulações alterando velocidade de entrada / Elaboração de curvas de perda de carga e comparativos entre softwares (Autodesk CFD e HELYX)</t>
  </si>
  <si>
    <t>Os dados de entrada são suficientes</t>
  </si>
  <si>
    <t>Os produtos não podem conter nenhum tipo de solvente e a entrada na NDB deve ser avaliada e autorizada pela Segurança do trabalho bem como o médico Ambos foram aprovados</t>
  </si>
  <si>
    <t>Os testes de validação desses produtos devem atender as normas ASTM D429 B e NDB174/ 175</t>
  </si>
  <si>
    <t>Perfil de dureza amostra blocos temperados por indução</t>
  </si>
  <si>
    <t>Perfil de dureza amostra fusos temperados por indução</t>
  </si>
  <si>
    <t>Pesagem e Mistura das alternativas M2108R33-48F e M2108R33-48G</t>
  </si>
  <si>
    <t>Pesagem e Mistura das alternativas M2108R33-48H, M2108R33-48I, M2108R33-48J e M2108R33-48K</t>
  </si>
  <si>
    <t>Pesquisa com Clientes sobre a necessidade da funcionalidade de Geolocalização dos equipamentos</t>
  </si>
  <si>
    <t>Pesquisa de fornecedores de membrana termo retráteis no mundo Pesquisas feitas no mercado Chinês, Americano e Europeu</t>
  </si>
  <si>
    <t>Pesquisa e análise de conectores elétricos para utilização no protótipo</t>
  </si>
  <si>
    <t>Pesquisa sobre conectores elétricos para comunicação com vedação</t>
  </si>
  <si>
    <t>Pesquisa sobre conectorespara cartão SIM e SD;</t>
  </si>
  <si>
    <t>Pesquisa sobre softwares ou Apps para elaboração de P&amp;ID Teste com o software WonderShare EdrawMax</t>
  </si>
  <si>
    <t>Pesquisa/estudo das tecnologias IoT disponíveis na Microsoft Azure para avaliar a viabilidade e custos na utilização da plataforma</t>
  </si>
  <si>
    <t>Pesquisa/estudo de plataformas IoT para avaliar requisitos funcionais e não-funcionais alinhando com as necessidades da Netzsch Implementação de códigos no firmware para envio do dados via JSON</t>
  </si>
  <si>
    <t>Pesquisa/Projeto corpo de desgaste em segmentos 3NS-/120H7E</t>
  </si>
  <si>
    <t>Pré-balanceamento no inventor dos fusos 4NS da série 16 bar</t>
  </si>
  <si>
    <t>Pré-balanceamento no inventor dos fusos 4NS da série 80 bar</t>
  </si>
  <si>
    <t>Pré-balanceamento no inventor dos fusos 4NS da série 80 e 16 bar</t>
  </si>
  <si>
    <t>Pre-projeto da bomba Light 3NS-/80L9E (lanterna KTR e vedação especial - mais curta)</t>
  </si>
  <si>
    <t>Pré-testes / ajustes da bancada de teste multifásica; - Elaboração dos programas de retificação de fusos (KL0823/824/825/826)</t>
  </si>
  <si>
    <t>Preenchimento de listas de controle de fabricação de modelos para peças das bombas 4NS</t>
  </si>
  <si>
    <t>Preenchimento de listas de controle de fabricação de modelos para peças das Bombas Notos 2NS</t>
  </si>
  <si>
    <t>Prensagem de placas de 6 mm para base do plano inclinado em BU, EH, EL, EPBPF, HSB, 261 e 465</t>
  </si>
  <si>
    <t>Prensagem de placas de 6 mm para base do plano inclinado em PCI-B, PU, SBH, VI-B e 459</t>
  </si>
  <si>
    <t>Prensagem de placas de 6 mm para base do plano inclinao em  237, 286, 299, 320, 332 e 366</t>
  </si>
  <si>
    <t>Preparação da geometria do caso da simulação fluidodinâmica computacional nº CAE000012 já adaptado para o caso separador ciclone</t>
  </si>
  <si>
    <t>Preparação de geometria para a simulação fluidodinâmica computacional nº CAE000014</t>
  </si>
  <si>
    <t>Preparação de geometrias e zonas de interesse para simulação fluidodinâmica computacional CFD</t>
  </si>
  <si>
    <t>Preparação de nova geometria baseada no conceito de filtro/separador ciclone</t>
  </si>
  <si>
    <t>Preparação do teste de resíduos alimentícios: alinhamento com setores envolvidos e coleta de resíduos</t>
  </si>
  <si>
    <t>Preparação para testes</t>
  </si>
  <si>
    <t>Primeiros testes com a nova garra</t>
  </si>
  <si>
    <t>Procedimento de preparação e execução de simulação térmica para fusos 2NS Mancal 3</t>
  </si>
  <si>
    <t>Projetar sensor de aceleração com base no chip MPU-6050 Incluindo interfaces de fixação e energização/comunicação</t>
  </si>
  <si>
    <t>Projeto  de alteração de bancada para adição de sistema terciário de recirculação do tanque superior / Atualização de fluxograma / Cotação de itens</t>
  </si>
  <si>
    <t>Projeto  de alteração de bancada para adição de sistema terciário de recirculação do tanque superior / Atualização de fluxograma / Cotação de itens / Reunião com fornecedor sobre alterações do painelde controle da bancada NMac</t>
  </si>
  <si>
    <t>Projeto 2NS/16H13I - Wärtsilä (execução especial para montagem com flange em motor de navio)</t>
  </si>
  <si>
    <t>Projeto 3NS-/16H1E (utiliza plataforma da bomba de mancal 2) -Definição das novas folgas aplicáveis aos fusos da bomba de mancal 9 (LACT)</t>
  </si>
  <si>
    <t>Projeto 3NS-/16H2E execução flange</t>
  </si>
  <si>
    <t>Projeto 3NS-/16H2E execução pedestal</t>
  </si>
  <si>
    <t>Projeto 3NS-/80L5I oferta Renk, impacto 300*g</t>
  </si>
  <si>
    <t>Projeto 3NS612/160H11E - detalhamento desenhos de construção</t>
  </si>
  <si>
    <t>Projeto 3NS612/160H11E LACT</t>
  </si>
  <si>
    <t>Projeto 3NS612/160H11E LACT - inicio projeto da carcaça</t>
  </si>
  <si>
    <t>Projeto 3NS612/160H11E LACT - projeto da carcaça</t>
  </si>
  <si>
    <t>Projeto 3NS612/160H11E LACT (simulação liner em duas partes) Simulação apresenta grande deformação axial nos parafusos</t>
  </si>
  <si>
    <t>Projeto 3NS612/160H11E LACT (simulação liner em duas partes) Simulação FEA apresentava grande deformação axial nos parafusos Realizada nova simulação no ANSYS onde é possível aplicar prá-carga nos parafusos, o problema foi resolvido</t>
  </si>
  <si>
    <t>Projeto 3NS612/160H11E LACT Analise problemas em fundidos</t>
  </si>
  <si>
    <t>Projeto 3NS612/160H11E LACT Desenvolvimento cálculos carga axial fusos movidos</t>
  </si>
  <si>
    <t>Projeto 3NS612/160H11E LACT Desenvolvimento cálculos carga axial fusos movidos Solicitação para cotação de ferramentas mais longas para usinagem do Liner</t>
  </si>
  <si>
    <t>Projeto 3NS612/160H11E LACT Reunião com usinagem sobre fusos 3NS-/16H-E (alteração em desenhos para facilitar o processo de fabricação)</t>
  </si>
  <si>
    <t>Projeto alteração da bancada de testes - deslocar os medidores de vazão da sucção para a descarga (reduzir a perda de carga na sucção das bombas)</t>
  </si>
  <si>
    <t>Projeto alteração da bancada de testes - deslocar os medidores de vazão da sucção para a descarga (reduzir a perda de carga na sucção das bombas) Compra do modelos de fundição do corpoda bomba 3NS-/16H2E</t>
  </si>
  <si>
    <t>Projeto conceitual da bomba NEMO submersível</t>
  </si>
  <si>
    <t>Projeto da bomba 3NS-/16H2E – dimensionamento dos fundidos (análise FEA)</t>
  </si>
  <si>
    <t>Projeto da bomba 3NS-/16H2E – dimensionamento dos fundidos (análise FEA) Desenhos 4661320, 4661536 e 4661690</t>
  </si>
  <si>
    <t>Projeto da bomba 3NS-/80L5E com lanterna KTR</t>
  </si>
  <si>
    <t>Projeto da bomba 3NS-/80L6E com lanterna KTR</t>
  </si>
  <si>
    <t>Projeto da bomba 3NS-/80L7E com lanterna KTR</t>
  </si>
  <si>
    <t>Projeto da bomba 3NS33/80L4E com adaptações para a utilização de lanternas padronizadas Adaptações consistem em utilização de novo fuso motor, tampa dianteira e flange intermediário Projeto da tampa dianteira fundida</t>
  </si>
  <si>
    <t>projeto da bomba Light 3NS-/80L9E (lanterna KTR e vedação especial - mais curta)</t>
  </si>
  <si>
    <t>Projeto da tampa dianteira fundida para bomba com rolamento externo de modelo 3NS-/--11E, desenho 4663027 – dimensionamento do fundido (análise FEA) e solicitação de cotação</t>
  </si>
  <si>
    <t>Projeto da tampa dianteira fundida para bomba com rolamento externo de modelo 3NS-/--12E, desenho 4663046 – dimensionamento do fundido (análise FEA) e solicitação de cotação</t>
  </si>
  <si>
    <t>Projeto da tampa dianteira fundida para bomba com rolamento externo de modelo 3NS-/--13E, desenho 4663144</t>
  </si>
  <si>
    <t>Projeto da tampa dianteira fundida para bomba com rolamento externo de modelo 3NS-/--13E, desenho 4663144 – dimensionamento do fundido (análise FEA)</t>
  </si>
  <si>
    <t>Projeto da tampa dianteira fundida para bomba com rolamento externo de modelo 3NS-/--13E, desenho 4663144 – dimensionamento do fundido (análise FEA) e solicitação de cotação</t>
  </si>
  <si>
    <t>Projeto da tampa dianteira para bomba com rolamento interno de modelo 3NS-/--11I (fundido), desenho 4663222</t>
  </si>
  <si>
    <t>Projeto da tampa dianteira para bomba com rolamento interno de modelo 3NS-/--11I (fundido), desenho 4663222 Solicitação de cotação Detalhamento componentes do projeto 3NS10/16H2E</t>
  </si>
  <si>
    <t>Projeto da tubulação de retorno de líquido para o tanque (P/ instalação da válvula de controle DN 40 - 0 A 10 m³/h)</t>
  </si>
  <si>
    <t>Projeto da tubulação de retorno de líquido para o tanque (P/ instalação da válvula de controle DN 40 - 0 A 10 m³/h) Análise da especificação da válvula de controle DN40 - 0 a 10 m³/h</t>
  </si>
  <si>
    <t>Projeto da tubulação de retorno de líquido para o tanque (P/ instalação da válvula de controle DN 40 - 0 A 10 m³/h) Recalculando as Vazões de gás / líquido para a simulação do separador (Condições de contorno)</t>
  </si>
  <si>
    <t>Projeto de acessórios para teste da bomba 3NS205/16H8E em bancada com o transdutor de torque</t>
  </si>
  <si>
    <t>Projeto de adaptadores para teste com transdutor de torque (skid multifásico); Elaboração do programa de retificação dos fusos 4NS159/40H2E</t>
  </si>
  <si>
    <t>Projeto de suportes para aumentar a rigidez da tubulação de sucção da bancada multifásica</t>
  </si>
  <si>
    <t>Projeto de uma serpentina tubular / espiral para o liquid boot</t>
  </si>
  <si>
    <t>Projeto de uma tubulação / linha para recirculação de líquido para a bancada multifásica</t>
  </si>
  <si>
    <t>Projeto de uma tubulação para instalar um medidor de vazão na linha de retorno de líquido entre o liquid boot e a sucção da bomba 4NSM</t>
  </si>
  <si>
    <t>Projeto do Case de armazenamento do Circuito Impresso, com conectores MIKE</t>
  </si>
  <si>
    <t>Projeto do Case de armazenamento do Circuito Impresso, com conectores MIKE Atividades de desenvolvimento de hardware e software pela empresa terceirizada NEXTEN (Blumenau/SC) Número NF 162 - R$6300,00</t>
  </si>
  <si>
    <t>Projeto do estator NM063 "05S" desenvolvido com análise dos detalhes pertinentes
Fabricação ferramentas HD's 350246 (NBR) e 363477 (VI), posteriormente identificou-se possibilidade de utilizar uma ferramenta para diferentes compostos, material realocado</t>
  </si>
  <si>
    <t>Projeto do estator NM076 "05S" desenvolvido, analisando detalhes pertinentes
Comprimento pouco superior ao modelo 05S de fato, possibilitando posterior corte e reusinagem das demais partes
Fabricação da ferramenta através do HD 340573</t>
  </si>
  <si>
    <t>Projeto dos perfis dos fusos com passos pequenos (Série 16 bar) / 4NS156/16H1E e 4NS303/16H3E</t>
  </si>
  <si>
    <t>Projeto e análise dos anéis de redução 02S-24 para os tamanhos NM063 a NM125</t>
  </si>
  <si>
    <t>Projeto e análise dos flanges adaptadores para os tamanhos NM063 a NM125</t>
  </si>
  <si>
    <t>Projeto e detalhamento dos fusos 3NS168/16H8E (4634175 / 4664283 / 4664284)</t>
  </si>
  <si>
    <t>Projeto e elaboração de dispositivo protótipo para conformação de tubos helicoidais NM053-S, desenvolvimento juntamente com a empresa Golin</t>
  </si>
  <si>
    <t>Projeto e encaminhamento à fabricação dos dispositivos para teste das Bombas 2NS-/16H5I, 2NS-/16H6I e 2NS-/16H7I</t>
  </si>
  <si>
    <t>Projeto fuso especial - mancal 1 para bomba Mini - projeto para verificação de viabilidade de usinagem junto as retíficas Atualização planilha de cálculo 3NS, inclusão dos cálculos para determinação da espessura do filme lubrificante</t>
  </si>
  <si>
    <t>Projeto gabinete com 7 entradas de conectores</t>
  </si>
  <si>
    <t>Projeto perfil 3NS199/80-8- (Ø75/128) - KL0817 e KL0818 Estudo sobre novo caso em que é solicitado ensaio teórico de impacto, desta vez em bombas 3NS e aceleração de 120g</t>
  </si>
  <si>
    <t>Providências para teste da bomba 2NS #10 com acoplamento de engrenagens e com desalinhamento no eixo</t>
  </si>
  <si>
    <t>Providências para teste da Bomba Notos 2NS-/16H3-</t>
  </si>
  <si>
    <t>Providências para teste da Bomba Notos 2NS-/16H5-</t>
  </si>
  <si>
    <t>Providências para teste da Bomba Notos 2NS-/16H6-</t>
  </si>
  <si>
    <t>Providências para teste de performance e destrutivo da Bomba Notos 2NS394/16H7I com fusos UM-C1 e corpo com oblongo</t>
  </si>
  <si>
    <t>Providências para teste destrutivo da Bomba Notos 2NS187/16H5I com fusos UM-C1</t>
  </si>
  <si>
    <t>Providências para teste destrutivo da Bomba Notos 2NS305/16H6I com fusos UM-C1</t>
  </si>
  <si>
    <t>Providências para teste destrutivo da Bomba Notos 2NS375/16H7I com fusos UM-C1 (fuso movido 2 entradas)</t>
  </si>
  <si>
    <t>Providências para teste destrutivo da Bomba Notos 2NS394/16H7I com fusos UM-C1 e corpo com alojamento oblongo</t>
  </si>
  <si>
    <t>R00622-Teste de trituração - Wipes: Edição de vídeos</t>
  </si>
  <si>
    <t>R00622-Teste de trituração - Wipes: Preparação de arquivos para relatório</t>
  </si>
  <si>
    <t>R00622-Teste de trituração - Wipes: Relatório de testes</t>
  </si>
  <si>
    <t>R00622-Teste de trituração - Wipes: Testes em bancada</t>
  </si>
  <si>
    <t>Realização da mistura e caracterização da blenda NBR + BR</t>
  </si>
  <si>
    <t>Realização de inspeção dimensional nos tubos NM063 recebidos da China, elaboração de relatório e revisão dos desenhos relacionados</t>
  </si>
  <si>
    <t>Realização de inspeção dimensional nos tubos NM076 recebidos da China (com jateamento), elaboração de relatório e revisão dos desenhos relacionados</t>
  </si>
  <si>
    <t>Realização de inspeção dimensional nos tubos NM076 recebidos da China (sem jateamento)</t>
  </si>
  <si>
    <t>Realização de teste de performance na bomba NM076SY02S24K, 3 dias consecutivos de 5hrs de teste cada + elaboração de planilha comparativa dos testes</t>
  </si>
  <si>
    <t>Realizado ensaio de imersão conforme teste de aprovação na ANVISA  com a formuláção M2108R34-0 - produção com Álcool 95%</t>
  </si>
  <si>
    <t>Realizado ensaio de imersão conforme teste de aprovação na ANVISA  com a formuláção M2108R34-1  M2108R34-2 e M2108R34-3 - produção com Álcool 95%</t>
  </si>
  <si>
    <t>Realizado ensaio de imersão conforme teste de aprovação na ANVISA  com a formuláção M2110R34-0 e M2110R34-1 - produção com Álcool 95%</t>
  </si>
  <si>
    <t>Realizado ensaio de imersão conforme teste de aprovação na ANVISA  com a formuláção M3108R33-48D - produção com Álcool 95%</t>
  </si>
  <si>
    <t>Realizado ensaio de imersão conforme teste de aprovação na ANVISA  com a formuláção M3108R33-48D com simulante (Fluído A)</t>
  </si>
  <si>
    <t>Realizado ensaio de imersão conforme teste de aprovação na ANVISA  com a formuláção M3108R33-48F com simulante (Fluído A)</t>
  </si>
  <si>
    <t>Realizado ensaio de imersão conforme teste de aprovação na ANVISA  com a formuláção M3108R33-48G - produção com Álcool 95%</t>
  </si>
  <si>
    <t>Realizado ensaio de imersão conforme teste de aprovação na ANVISA  com a formuláção M3108R33-48G com simulante (Fluído A)</t>
  </si>
  <si>
    <t>Realizado ensaio de imersão conforme teste de aprovação na ANVISA  com a formuláção M3108R33-94 com simulante (Fluído A)</t>
  </si>
  <si>
    <t>Realizar testes com sensores de temperatura NTC</t>
  </si>
  <si>
    <t>Realizar testes e medições para verificar a montagem do protótipo</t>
  </si>
  <si>
    <t>Reavaliando o projeto da tubulação / interface do módulo de refrigeração</t>
  </si>
  <si>
    <t>Recebimento de visita da empresa ZEUS INC que fornece a membrana de PTFE já com tratamento a plasma</t>
  </si>
  <si>
    <t>Recepção do fornecedor ZEUS É fornecedor do tubo de PTFE termo retrátil Ficou acordado que eles enviarão amostras do tubo já com o tratamento de plasma, pronto para ser utilizado Será necessário validar se resistiá o processo de retração no forno</t>
  </si>
  <si>
    <t>Reestruturação das fases do projeto</t>
  </si>
  <si>
    <t>Relatório da bomba 2NS #10 testada com acoplamento de engrenages, alinhada e desalinhada</t>
  </si>
  <si>
    <t>Relatório de análise de patentes - Trituradores Alta Vazão</t>
  </si>
  <si>
    <t>Relatório de análise de patentes - Trituradores Alta Vazão Melhorias NMac - Braingstorming de futuras aplicações</t>
  </si>
  <si>
    <t>Relatório de simulação numérica referente a CP LP0000186</t>
  </si>
  <si>
    <t>Relatório de teste de torque</t>
  </si>
  <si>
    <t>Reunião - Têmpera por indução - CENOS - Braingstorming e leventamentos de testes</t>
  </si>
  <si>
    <t>Reunião a respeito da alteração do fuso movido para 2 entradas para bombas 2NS com pressões mais altas</t>
  </si>
  <si>
    <t>Reunião com a KMCC sobre melhorias na bancada de testes NMac</t>
  </si>
  <si>
    <t>Reunião com Compras: tubulação e instrumentação</t>
  </si>
  <si>
    <t>Reunião com fornecedor de equipamentos para mensurar coeficiente de atrito</t>
  </si>
  <si>
    <t>Reunião com IFM para melhorias na instrumentação da bancada de trituradores NMac</t>
  </si>
  <si>
    <t>Reunião com Plasmatreat e Pluritec sobre testes no plasma a vácuco</t>
  </si>
  <si>
    <t>Reunião com revendedor Pluritec para teste de tratamento em plasma na superficie da membrana de PTFE Envio de amostras para testes no fornecedor</t>
  </si>
  <si>
    <t>Reunião com SEW sobre definição de modelos de motoredutores</t>
  </si>
  <si>
    <t>Reunião de definições do processo de fabricação dos limpadores</t>
  </si>
  <si>
    <t>Reunião Eng Para avaliar processo de fabricação de componentes</t>
  </si>
  <si>
    <t>Reunião ENGYS - Overview de estudos realizados Validações e testes - Servidor de simulação - Código para monitoramento de jobs e processadores utilizados</t>
  </si>
  <si>
    <t>Reunião para acompanhamento do projeto</t>
  </si>
  <si>
    <t>Reunião para adequação da bomba de circulação para bancada de testes de trituradores NMac</t>
  </si>
  <si>
    <t>Reunião sobre definição de itens usinados do NMac BO</t>
  </si>
  <si>
    <t>Reunião sobre possibilidades de resfriamento do fluído que deverá ser devolvido a sucção da bomba</t>
  </si>
  <si>
    <t>Reunião Task Force 2NSH</t>
  </si>
  <si>
    <t>Reunião virtual com outro fornecedor de Poliuretano – Covestro Aguardando liberação do SSMA do grade indicado por eles</t>
  </si>
  <si>
    <t>Revisão da montagem em 3D da bomba 4NS-/40H7E com selo mecânico cartucho da Burgmann Desenho de fabricação em 3D do Corpo da Bomba 4NS-/40H1E</t>
  </si>
  <si>
    <t>Revisão de desenho de conjunto cliente Wartsila</t>
  </si>
  <si>
    <t>Revisão de desenho microfundido da caixa de selagem</t>
  </si>
  <si>
    <t>Revisão de desenho usinado do corpo do triturador</t>
  </si>
  <si>
    <t>Revisão de geometrias já existentes Elaboração de tabela de cálculos analíticos iniciais (simulação fluidodinâmica computacional nº CAE000001)</t>
  </si>
  <si>
    <t>Revisão de materiais de peças bombas 2NSH</t>
  </si>
  <si>
    <t>Revisão de projeto: alteração no fundido de item 4656609 Solicitação feita pela fundição para evitar problemas com porosidade e rechupe Analise patente Leistritz em relação ao nosso projeto 3NS-/160H11E</t>
  </si>
  <si>
    <t>Revisão de projeto: alteração no fundido de item 4661320 Solicitação feita pela fundição para evitar problemas com porosidade e rechupe Atualizaçãode todos os desenho de usinagem que utilizam o ipt 4656609 e 4661320</t>
  </si>
  <si>
    <t>Revisão do desenho 3D do Corpo da Bomba e componentes da Bomba 4NS-/40H1E</t>
  </si>
  <si>
    <t>Revisão do desenho em 2D/3d do porta selo mecânico e do selo mecânico, da bomba 4NS-/-H17E para selo mecânico duplo cartucho da Burgmann</t>
  </si>
  <si>
    <t>Revisão do desenho em 3d do Mancal Dianteiro da Bomba 4NS-/-H7E Desenho em 2D do Mancal Dianteiro da bomba 4NS-/-H7E</t>
  </si>
  <si>
    <t>Revisão do desenho em 3d do Mancal Traseiro da Bomba 4NS-/-H7E Desenho em 2D do Mancal Traseiro da bomba 4NS-/-H7E</t>
  </si>
  <si>
    <t>Revisão do projeto conceitual da bomba NEMO submersível</t>
  </si>
  <si>
    <t>Revisão do projeto da bancada para adequação da quantidade de Óleo Diesel</t>
  </si>
  <si>
    <t>Revisão dos desenhos em 2D dos Flanges de Vedação do Corpo e dos Mancais Dianteiros/Traseiros das bombas 4NS-/-H1E, 4NS-/-H2E e 4NS-/-H4E</t>
  </si>
  <si>
    <t>Revisão dos desenhos em 2D dos projetos gerais das bombas 4NS-/40H1E, 4NS-/40H3E, 4NS-40H4E e 4NS-/40H5E</t>
  </si>
  <si>
    <t>Será feito umas modificações no processo de fabricação para atender ao nosso processo de derramamento do adesivo</t>
  </si>
  <si>
    <t>Setup do caso da simulação fluidodinâmica computacional nº CAE000012 (separador de fases) no HELYX para análise transiente CFD Solicitação de suporte técnico da ENGYS/HELYX</t>
  </si>
  <si>
    <t>Simulação CFD nº CAE000012 - Separador de Fases - Casos com condições de contorno após a bomba Simulação CFD nº CAE000020 - Separador de Fases NETZSCH - G04: Setup e simulação de casos bifásicos</t>
  </si>
  <si>
    <t>Simulação CFD nº CAE000012 - Separador de Fases - Casos com condições de contorno após a bomba Simulação CFD nº CAE000020 - Separador de Fases NETZSCH - G05: Preparação de geometria, malha, setup e simulação de casos monofásicos</t>
  </si>
  <si>
    <t>Simulação CFD nº CAE000012 - Separador de Fases - Definições de condições de contorno e método de avaliação de resultados Simulação CFD nº CAE000020 - Separador de Fases NETZSCH - G05: Setup e simulação de casos multifásicos</t>
  </si>
  <si>
    <t>Simulação CFD nº CAE000012 - Separador de Fases - Malhas, setups e solvers - Euler-Euler Simulação CFD nº CAE000020 - Separador de Fases NETZSCH - Preparação de geometria G04, elaboração de tabelas para cálculos de y+ e malhas</t>
  </si>
  <si>
    <t>Simulação CFD nº CAE000012 - Separador de Fases - Preparação de geometria G05, malhas, setups e solvers - Euler-Euler Simulação CFD nº CAE000020 - Separador de Fases NETZSCH - Preparação de geometria G04, malhas</t>
  </si>
  <si>
    <t>Simulação CFD nº CAE000012 - Separador de Fases - Setups Simulação CFD nº CAE000020 - Separador de Fases NETZSCH - G05: Setup e simulação de casos multifásicos</t>
  </si>
  <si>
    <t>Simulação CFD nº CAE000012 - Separador de Fases - Tentativa de convergência de caso</t>
  </si>
  <si>
    <t>Simulação CFD nº CAE000020 - Separador de Fases NETZSCH - G05: Preparação de geometria, malha, setup e simulação de casos monofásicos</t>
  </si>
  <si>
    <t>Simulação CFD nº CAE000020 - Separador de Fases NETZSCH - G05: Setup e simulação de casos multifásicos</t>
  </si>
  <si>
    <t>Simulação CFD nº CAE000020 - Separador de Fases NETZSCH - Preparação de geometria G04, elaboração de tabelas para cálculos de y+ e malhas</t>
  </si>
  <si>
    <t>Simulação CFD nº CAE000020 - Separador de Fases NETZSCH - Setup e simulação de casos monofásicos</t>
  </si>
  <si>
    <t>Simulação do separador de fases / Avaliação de resultados</t>
  </si>
  <si>
    <t>Simulação esforço sobre o fuso motor 4664916</t>
  </si>
  <si>
    <t>Simulação FEA - Projeto da bomba 3NS-/80L7E com lanterna KTR</t>
  </si>
  <si>
    <t>Simulação FEA: Verificar necessidades para o atendimento de bombas Light para cargas de impacto de até 300 x aceleração da gravidade - bombas instaladas em navios (projeto NPS / RENK)</t>
  </si>
  <si>
    <t>Simulação FEA: Verificar necessidades para o atendimento de bombas Light para cargas de impacto de até 300 x aceleração da gravidade - bombas instaladas em navios (projeto NPS / RENK) Segunda opção, bomba com lanterna e motor elétrico</t>
  </si>
  <si>
    <t>Simulação fluidodinâmica computacional CFD na bucha mancal 2NS mancal 13</t>
  </si>
  <si>
    <t>Simulação fluidodinâmica computacional CFD nº CAE000001 - Análise CFD</t>
  </si>
  <si>
    <t>Simulação fluidodinâmica computacional CFD nº CAE000001 - Análise de resultados</t>
  </si>
  <si>
    <t>Simulação fluidodinâmica computacional CFD nº CAE000001 - Análise dos resultados finais</t>
  </si>
  <si>
    <t>Simulação fluidodinâmica computacional CFD nº CAE000001 - Análise dos resultados iniciais Refino de malha</t>
  </si>
  <si>
    <t>Simulação fluidodinâmica computacional CFD nº CAE000001 - Análise dos resultados pós refino de malha</t>
  </si>
  <si>
    <t>Simulação fluidodinâmica computacional CFD nº CAE000001 - Geração de goemetria</t>
  </si>
  <si>
    <t>Simulação fluidodinâmica computacional CFD nº CAE000001 - Preparação de goemetria</t>
  </si>
  <si>
    <t>Simulação fluidodinâmica computacional CFD nº CAE000001 - Preparação de malha e setup de caso</t>
  </si>
  <si>
    <t>Simulação fluidodinâmica computacional CFD nº CAE000012 - Geração de malha para envio ao suporte Engys</t>
  </si>
  <si>
    <t>Simulação fluidodinâmica computacional CFD nº CAE000012 - Preparação de geometria</t>
  </si>
  <si>
    <t>Simulação fluidodinâmica computacional CFD nº CAE000012 - Preparação do separador de fases para simulação em nuvem (CIRRUS)</t>
  </si>
  <si>
    <t>Simulação fluidodinâmica computacional CFD nº CAE000012 - Separador de Fases - Análise de malhas e avaliação de time-step baixo</t>
  </si>
  <si>
    <t>Simulação fluidodinâmica computacional CFD nº CAE000012 - Separador de Fases - Estudo sobre métodos de convergência / Tamanho de partículas em casos multifásicos</t>
  </si>
  <si>
    <t>Simulação fluidodinâmica computacional CFD nº CAE000012 - Separador de Fases - Estudo sobre métodos de convergência / Tamanho de partículas em casos multifásicos / Solver Euler-Euler</t>
  </si>
  <si>
    <t>Simulação fluidodinâmica computacional CFD nº CAE000012 - Separador de Fases - Estudo sobre Solver Euler-Euler</t>
  </si>
  <si>
    <t>Simulação fluidodinâmica computacional CFD nº CAE000012 - Separador de Fases - Geração de geometrias alternativas</t>
  </si>
  <si>
    <t>Simulação fluidodinâmica computacional CFD nº CAE000012 - Separador de Fases - Preparação de malhas, setups e solvers - Euler-Euler</t>
  </si>
  <si>
    <t>Simulação fluidodinâmica computacional CFD nº CAE000012 - Separador de Fases - Simulações monofásicas das geometrias alternativas para avaliação de perfil de escoamento</t>
  </si>
  <si>
    <t>Simulação fluidodinâmica computacional CFD nº CAE000012 - Simulações do separador de fases em nuvem (CIRRUS)</t>
  </si>
  <si>
    <t>Simulação fluidodinâmica computacional CFD nº CAE000013</t>
  </si>
  <si>
    <t>Simulação fluidodinâmica computacional CFD nº CAE000013 / Análise FEA da caixa de selagem / Croqui de caixa de selagem microfundida</t>
  </si>
  <si>
    <t>Simulação fluidodinâmica computacional CFD nº CAE000013 / Atualização da documentação ISO</t>
  </si>
  <si>
    <t>Simulação fluidodinâmica computacional CFD nº CAE000013 / Desenhos 3D e de detalhamento dos itens internos do triturador</t>
  </si>
  <si>
    <t>Simulação fluidodinâmica computacional CFD nº CAE000013 / Desenhos de carcaças fundidas</t>
  </si>
  <si>
    <t>Simulação fluidodinâmica computacional CFD nº CAE000013 / Elaboração de curvas de avaliação</t>
  </si>
  <si>
    <t>Simulação fluidodinâmica computacional CFD nº CAE000013 / Elaboração de curvas de avaliação / Suporte ao Luan (definições para desenhos de detalhamento dos componentes do triturador)</t>
  </si>
  <si>
    <t>Simulação fluidodinâmica computacional CFD nº CAE000013 / Reunião para definições de tolerâncias e direcionamento de atividades de detalhamento e desenhos de fundidos para o Sr Luan</t>
  </si>
  <si>
    <t>Simulação fluidodinâmica computacional CFD nº CAE000013 para 7 dentes, com limpadores / Elaboração de curvas de avaliação / Gerações e avaliações de malhas geradas no Cirrus através do Helyx</t>
  </si>
  <si>
    <t>Simulação fluidodinâmica computacional CFD nº CAE000013 para 7 dentes, sem limpadores / Elaboração de curvas de avaliação / Elaboração de geometria de 3D sem limpador para Helyx</t>
  </si>
  <si>
    <t>Simulação fluidodinâmica computacional CFD nº CAE000013 para 7 dentes, sem limpadores / Elaboração de curvas de avaliação / Suporte ao Luan (definições para desenhos de detalhamento dos componentes do triturador)</t>
  </si>
  <si>
    <t>Simulação fluidodinâmica computacional CFD nº CAE000014 - Geração de Malha</t>
  </si>
  <si>
    <t>Simulação fluidodinâmica computacional CFD nº CAE000014 - Preparação de goemetria</t>
  </si>
  <si>
    <t>Simulação fluidodinâmica computacional CFD nº CAE000015 - Orifífico calibradro - Análise de resultados</t>
  </si>
  <si>
    <t>Simulação fluidodinâmica computacional CFD nº CAE000015 - Orifífico calibradro - CFD</t>
  </si>
  <si>
    <t>Simulação fluidodinâmica computacional CFD nº CAE000015 - Orifífico calibradro - Geração de Malha</t>
  </si>
  <si>
    <t>Simulação fluidodinâmica computacional CFD nº CAE000015 - Orifífico calibradro - Geração de Malha e CFD</t>
  </si>
  <si>
    <t>Simulação fluidodinâmica computacional CFD nº CAE000015 - Orifífico calibradro - Preparação de geometria</t>
  </si>
  <si>
    <t>Simulação fluidodinâmica computacional CFD nº CAE000015 - Orifífico calibradro / Geração de malha e simulação no servidro CIRRUS (HELYX)</t>
  </si>
  <si>
    <t>Simulação fluidodinâmica computacional CFD nº CAE000015 - Orifífico calibradro / Leitura da Norma ABNT NBR ISSO 5167-2</t>
  </si>
  <si>
    <t>Simulação fluidodinâmica computacional CFD nº CAE000017 - Perda de carga NMac 50I - Geração de malhas</t>
  </si>
  <si>
    <t>Simulação fluidodinâmica computacional CFD nº CAE000017 - Perda de carga NMac 50I - Geração de malhas, setups e preparação das próximas simulações</t>
  </si>
  <si>
    <t>Simulação fluidodinâmica computacional CFD nº CAE000017 - Perda de carga NMac 50I - Relatório, análises e preparação de imagens</t>
  </si>
  <si>
    <t>Simulação fluidodinâmica computacional CFD nº CAE000017 - Triturador 50I - Análise de dados da simulação</t>
  </si>
  <si>
    <t>Simulação fluidodinâmica computacional CFD nº CAE000017 - Triturador NMAC 50I - Avaliação de furos da geometria e vazamento de malha / Crack detection</t>
  </si>
  <si>
    <t>Simulação fluidodinâmica computacional CFD nº CAE000017 - Triturador NMAC 50I - Definições de parâmetros e geração de malha</t>
  </si>
  <si>
    <t>Simulação fluidodinâmica computacional CFD nº CAE000017 - Triturador NMAC 50I - Geração de malha com refinos de camadas e análise de sensibilidade</t>
  </si>
  <si>
    <t>Simulação fluidodinâmica computacional CFD nº CAE000017 - Triturador NMAC 50I - Preparação de geometria</t>
  </si>
  <si>
    <t>Simulação fluidodinâmica computacional CFD nº CAE000018 - Bomba Tornado - Avaliação de furos da geometria e vazamento de malha / Crack detection / Geração de malha com refinos de camadas e análise de sensibilidade</t>
  </si>
  <si>
    <t>Simulação fluidodinâmica computacional CFD nº CAE000018 - Bomba Tornado - Definição de parâmetros / Simulação monofásica / Force report</t>
  </si>
  <si>
    <t>Simulação fluidodinâmica computacional CFD nº CAE000018 - Bomba Tornado - Definições de parâmetros e geração de malha</t>
  </si>
  <si>
    <t>Simulação fluidodinâmica computacional CFD nº CAE000018 - Bomba Tornado - Desenho e preparação de geometria</t>
  </si>
  <si>
    <t>Simulação fluidodinâmica computacional CFD nº CAE000018 - Bomba Tornado - Geração de malhas</t>
  </si>
  <si>
    <t>Simulação fluidodinâmica computacional CFD nº CAE000018 - Bomba Tornado - Geração de malhas, setups, soluções e análises</t>
  </si>
  <si>
    <t>Simulação fluidodinâmica computacional CFD nº CAE000018 - Bomba Tornado - Geração de malhas, setups, soluções, análises e relatório</t>
  </si>
  <si>
    <t>Simulação fluidodinâmica computacional CFD nº CAE000018 - Bomba Tornado - Relatório</t>
  </si>
  <si>
    <t>Simulação fluidodinâmica computacional CFD nº CAE000019 - Estudo monofásico do separador do tipo AFE</t>
  </si>
  <si>
    <t>Simulação fluidodinâmica computacional CFD nº CAE000020 - Separador de Fases NETZSCH - Preparação de geometria G03</t>
  </si>
  <si>
    <t>Simulação fluidodinâmica computacional CFD nº CAE000020 - Separador de Fases NETZSCH - Preparação de geometria G04</t>
  </si>
  <si>
    <t>Simulação fluidodinâmica computacional CFD nº CAE000020 - Separador de Fases NETZSCH - Preparação e geração de malhas G03</t>
  </si>
  <si>
    <t>Simulação fluidodinâmica computacional CFD nº CAE000020 - Separador tipo Vortex - G02 - Análise monofásica</t>
  </si>
  <si>
    <t>Simulação fluidodinâmica computacional CFD nº CAE000023 - Perda de Carga na Haste oca STL - Preparação da geometria G02, malha, setup e solver</t>
  </si>
  <si>
    <t>Simulação fluidodinâmica computacional CFD nº CAE000023 - Perda de Carga na Haste oca STL - Preparação de geometria</t>
  </si>
  <si>
    <t>Simulação fluidodinâmica computacional CFD nº CAE000023 - Perda de Carga na Haste oca STL - Preparação de geometria e malhas</t>
  </si>
  <si>
    <t>Simulação fluidodinâmica computacional CFD nº CAE000023 - Perda de Carga na Haste oca STL - Preparação de geometria, malhas e solver</t>
  </si>
  <si>
    <t>Simulação fluidodinâmica computacional CFD nº CAE000023 - Perda de Carga na Haste oca STL - Relatório</t>
  </si>
  <si>
    <t>Simulação fluidodinâmica computacional CFD nº CAE000023 - Perda de Carga na Haste oca STL - Solver</t>
  </si>
  <si>
    <t>Simulação fluidodinâmica computacional CFD nº CAE000024 - Tanque BT Diesel - Braingstorming</t>
  </si>
  <si>
    <t>Simulação fluidodinâmica computacional CFD nº CAE000025 - Slug Flow em Geometria Genérica - Apresentação de estudo e análises</t>
  </si>
  <si>
    <t>Simulação fluidodinâmica computacional CFD nº CAE000025 - Slug Flow em Geometria Genérica - Escrita de relatório sobre o caso</t>
  </si>
  <si>
    <t>Simulação fluidodinâmica computacional CFD nº CAE000025 - Slug Flow em Geometria Genérica - Geração de malha, setup de caso e solvers - Análise Euler Euler trifásica</t>
  </si>
  <si>
    <t>Simulação fluidodinâmica computacional CFD nº CAE000025 - Slug Flow em Geometria Genérica - Geração de malha, setups, solvers - Análise Euler-Euler</t>
  </si>
  <si>
    <t>Simulação fluidodinâmica computacional CFD nº CAE000025 - Slug Flow em Geometria Genérica - Geração de malha, setups, solvers - Análise VOF GVF variável</t>
  </si>
  <si>
    <t>Simulação fluidodinâmica computacional CFD nº CAE000025 - Slug Flow em Geometria Genérica - Preparação de geometria e geração de malha</t>
  </si>
  <si>
    <t>Simulação fluidodinâmica computacional CFD nº CAE000025 - Slug Flow em Geometria Genérica - Preparação de imagens e vídeos da análise - Análise Euler-Euler</t>
  </si>
  <si>
    <t>Simulação fluidodinâmica computacional CFD nº CAE000025 - Slug Flow em Geometria Genérica - Preparação de imagens e vídeos da análise - Análise VOF</t>
  </si>
  <si>
    <t>Simulação fluidodinâmica computacional CFD nº CAE000025 - Slug Flow em Geometria Genérica - Preparação de imagens e vídeos de análise dos resultados - Análise Euler Euler trifásica</t>
  </si>
  <si>
    <t>Simulação fluidodinâmica computacional CFD nº CAE000025 - Slug Flow em Geometria Genérica - Preparação de imagens e vídeos de análise dos resultados - Análise VOF GVF com Slug Flow</t>
  </si>
  <si>
    <t>Simulação fluidodinâmica computacional CFD nº CAE000025 - Slug Flow em Geometria Genérica - Relatório</t>
  </si>
  <si>
    <t>Simulação fluidodinâmica computacional CFD nº CAE000025 - Slug Flow em Geometria Genérica - Setup de caso e solvers - Análise Euler Euler trifásica</t>
  </si>
  <si>
    <t>Simulação fluidodinâmica computacional CFD nº CAE000025 - Slug Flow em Geometria Genérica - Setups, solvers - Análise Euler-Euler</t>
  </si>
  <si>
    <t>Simulação fluidodinâmica computacional CFD nº CAE000025 - Slug Flow em Geometria Genérica - Setups, solvers - Análise VOF</t>
  </si>
  <si>
    <t>Simulação fluidodinâmica computacional CFD nº CAE000025 - Slug Flow em Geometria Genérica - Setups, solvers - Análise VOF GVF golfadas</t>
  </si>
  <si>
    <t>Simulação fluidodinâmica computacional CFD nº CAE000026 - NMac 50I - Simulações com variação de viscosidade</t>
  </si>
  <si>
    <t>Simulação inicial do separador de fases Análise dos resultados iniciais</t>
  </si>
  <si>
    <t>Simulação mancal da bomba 3NS-/160H11E</t>
  </si>
  <si>
    <t>Simulação numérica CAE000012, separador de fases do skid multifásico</t>
  </si>
  <si>
    <t>Simulação numérica CAE000017, análise de perda de carga no triturador 50I para validação de software e criação de curvas</t>
  </si>
  <si>
    <t>Simulação numérica CAE000021, análise GIB na bomba de fusos 2NSH55/16L1E</t>
  </si>
  <si>
    <t>Simulação numérica CAE000022, análise  de perda de carga no corpo da bomba 3NS33-16H4E</t>
  </si>
  <si>
    <t>Simulação numérica CAE000022, análise GIB na bomba 3NS33-16H4E</t>
  </si>
  <si>
    <t>Simulação numérica CAE000023, análise de perda de carga na haste oca STL</t>
  </si>
  <si>
    <t>Simulação numérica CAE000024, análise CFD no tanque da bancada para analisar a vorticidade</t>
  </si>
  <si>
    <t>Simulação numérica CFD - Lact units 3NS189/120H8E (verificação das velocidades internas na sucção da bomba) Memorial de cálculo da bomba 3NS-/16H2E</t>
  </si>
  <si>
    <t>Simulação refinada do separador de fases Análise dos resultados refinados</t>
  </si>
  <si>
    <t>Simulação térmica de bomba 3NS189/80H8E – CP LP0000186 (bombas com fluído de trabalho em 250°C)</t>
  </si>
  <si>
    <t>Simulações térmicas para a bomba 3NS189/80L8E - Slovnaf</t>
  </si>
  <si>
    <t>Solicitação de OP para bomba de circulação para bancada de testes de trituradores NMac</t>
  </si>
  <si>
    <t>Solicitado fabricação mais um conjunto impresso</t>
  </si>
  <si>
    <t>Solicitar a alteração do protótipo, incluindo novas funcionalidades</t>
  </si>
  <si>
    <t>Subprojeto 2 - Alteração de desenho de conjunto e alteração de desenhos de componentes</t>
  </si>
  <si>
    <t>Subprojeto 2 - Análise dos resultados e elaboração do memorial de cálculo do projeto</t>
  </si>
  <si>
    <t>Subprojeto 2 - Conferência de desenhos e projeto</t>
  </si>
  <si>
    <t>Subprojeto 2 - Conferencia dos desenhos detalhados e do projeto em 3D</t>
  </si>
  <si>
    <t>Subprojeto 2 - Detalhamento, revisão de 3D, cadastro de itens, lista de peças, desenho de corte e dimensional</t>
  </si>
  <si>
    <t>Subprojeto 2 - Elaboração de data sheet para aprovação oficial do produto, desta forma encerrando o projeto NDB21-01 Assim liberando o equipamento para comercialização</t>
  </si>
  <si>
    <t>Subprojeto 2 - Elaboração de projeto de bancada e acessórios para realização do teste do conjunto</t>
  </si>
  <si>
    <t>Subprojeto 2 - Elaboração de projeto de bancada e acessórios para realização do teste do conjunto Peças enviadas em fabricação conforme OP 013828</t>
  </si>
  <si>
    <t>Subprojeto 2 - Preparação de modelos para simulação, realização de simulações FEA e CFD Cálculo analítico da tensão de von mises e perda de carga Análise dos resultados</t>
  </si>
  <si>
    <t>Subprojeto 2: *Atualização horas de teste da lanterna Lip Seal;</t>
  </si>
  <si>
    <t>Subprojeto 2: Atualização do projeto ISO NDB21-01</t>
  </si>
  <si>
    <t>Subprojeto 2: Atualização horas de teste da lanterna Lip Seal;</t>
  </si>
  <si>
    <t>Subprojeto 2: Desenho de dispositivo de teste;</t>
  </si>
  <si>
    <t>Sugestão para alteração do fuso motor da bomba 3NS147/120-7E, eliminar buchas montadas sobre o fuso e incluir este dimensional no próprio fuso Memorial de cálculo da bomba 3NS-/16H2E</t>
  </si>
  <si>
    <t>Suporte à negociação de triturador com a empresa Gelnex</t>
  </si>
  <si>
    <t>Suporte ao Compras: alteração da identificação no modelo de fundição do corpo do triturador NMac BO</t>
  </si>
  <si>
    <t>Suporte ao Vendas em teste de trituração de restos de alimentos (teste com facas de 13 dentes)</t>
  </si>
  <si>
    <t>Suporte ao Vendas: cotação de equipamento de trituração para empresa Gelnex</t>
  </si>
  <si>
    <t>Testar montagem do case impresso</t>
  </si>
  <si>
    <t>Teste com a membrana já tratada Temperaturas de termoretração em 350 e 250 °C EM 300 °C o tratamento a plasma foi removido da membrana e 250 °C não moldou corretamente O tratamento deverá ser feito após a termo retração</t>
  </si>
  <si>
    <t>Teste com peça do concorrente</t>
  </si>
  <si>
    <t>Teste da bomba 2NS #10 com acoplamento de engrenagens com a bomba alinhada</t>
  </si>
  <si>
    <t>Teste da bomba 2NS #10 com acoplamento de engrenagens com a bomba desalinhada</t>
  </si>
  <si>
    <t>Teste da bomba 2NSH mancal 3 com água na bancada da C-29</t>
  </si>
  <si>
    <t>Teste da bomba 3NS18/16H3E em bancada de alta temperatura (10 bar @ 160°C @ 1800RPM)</t>
  </si>
  <si>
    <t>Teste da bomba 3NS18/16H3E na bancada de alta temperatura</t>
  </si>
  <si>
    <t>Teste da bomba 3NS205/16H8E</t>
  </si>
  <si>
    <t>Teste da bomba 3NS205/16H8E Elaboração relatório</t>
  </si>
  <si>
    <t>Teste da bomba 4NS142/40H1E (N=2000 RPM / Pressão diferencial: 1,5 bar) / GVF: 0 A ~90%</t>
  </si>
  <si>
    <t>Teste da bomba 4NS142/40H1E (N=2000 RPM / Pressão diferencial: 3,0 bar) / GVF: 0 A ~90%</t>
  </si>
  <si>
    <t>Teste da unidade de pressurização na bancada multifásica</t>
  </si>
  <si>
    <t>Teste de aperto da porca KM, conforme torque calculado, da bomba 4NS-/-H3E</t>
  </si>
  <si>
    <t>Teste de bomba 3NS147/120H7E (protótipo interno do PED), fusos com diâmetro externo reduzidos afim de evitar o travamento da areia nas folgas internas da bomba</t>
  </si>
  <si>
    <t>Teste de deflexão no Fuso Motor diâmetro 141 passo 29,8 da Bomba 4NS-/16H3E 6 Rolamentos Dimensionamento e desenhos em 3d do Mancal Traseiro e do Porta Selo Mecânico da bomba 4NS-/-H10E</t>
  </si>
  <si>
    <t>Teste de dispositivo para encaixe do porta selo do selo 2NSH mancal 3</t>
  </si>
  <si>
    <t>Teste de perda de carga do triturador NMac 50I</t>
  </si>
  <si>
    <t>Teste de perda de carga do triturador NMac 50I - Complemento para a simulação fluidodinâmica computacional CFD nº CAE000017</t>
  </si>
  <si>
    <t>Teste de performance</t>
  </si>
  <si>
    <t>Teste de performance e destrutivo da Bomba Notos 2NS375/16H7I para verificar pressão máxima de operação</t>
  </si>
  <si>
    <t>Teste de performance e destrutivo da Bomba Notos 2NS394/16H7I com fusos UM-C1 e corpo com oblongo para verificar pressão máxima de operação</t>
  </si>
  <si>
    <t>Teste de trituração de couro suíno na planta de um cliente</t>
  </si>
  <si>
    <t>Teste de trituração de couro suíno realizado na planta industrial de um cliente para verificação de desempenho em caso de utilização real a qual o novo produto se destinará</t>
  </si>
  <si>
    <t>Teste de trituração de resíduos alimentícios</t>
  </si>
  <si>
    <t>Teste de trituração: wipes</t>
  </si>
  <si>
    <t>Teste destrutivo da Bomba Notos 2NS187/16H5I com fusos UM-C1 para verificar pressão máxima de operação</t>
  </si>
  <si>
    <t>Teste destrutivo da Bomba Notos 2NS305/16H6I com fusos UM-C1 para verificar pressão máxima de operação</t>
  </si>
  <si>
    <t>Teste hidrodinâmico em 0 bar selo 2NSH mancal 3 (vedação dinâmica forma o'ring)</t>
  </si>
  <si>
    <t>Teste hidrodinâmico em 1 bar selo 2NSH mancal 3 (vedação dinâmica forma o'ring)</t>
  </si>
  <si>
    <t>Teste hidrodinâmico em 2 bar selo 2NSH mancal 3 (vedação dinâmica forma o'ring)</t>
  </si>
  <si>
    <t>Teste hidrodinâmico em 3 bar selo 2NSH mancal 3 (vedação dinâmica forma o'ring)</t>
  </si>
  <si>
    <t>Teste hidrostático em do selo mecânico 2NSH duplo mancal 3 e início do teste hidrodinâmico (ambos em 6 bar)</t>
  </si>
  <si>
    <t>Teste hidrostático em do selo mecânico 2NSH duplo mancal 3 e início do teste hidrodinâmico (ambos em 8 bar)</t>
  </si>
  <si>
    <t>Teste hidrostático selo 2NSH mancal 3 (vedação dinâmica forma o'ring)</t>
  </si>
  <si>
    <t>Teste para determinar a relação vazão x GVF da bomba 4NS142/40H1E (Em alto GVF &gt; 80%)</t>
  </si>
  <si>
    <t>Testes com bomba para FEIMEC</t>
  </si>
  <si>
    <t>Testes com material da empresa TPU-CO CPU-MT-1080 junto com curativo Magma-Cure Foi fabricado estatores N20, amostras de laboratório</t>
  </si>
  <si>
    <t>Testes com plataforma IOT</t>
  </si>
  <si>
    <t>Testes com plataforma IOT Hub do Azure A utilização da mesma foi um dos requerimentos, em função da utilização da mesma para outros projetos</t>
  </si>
  <si>
    <t>Testes com várias pressões nas camaras de sucção/descarga do corpo da bomba 4NS-/40H1E</t>
  </si>
  <si>
    <t>Testes com várias pressões no corpo da bomba 4NS-/40H1E</t>
  </si>
  <si>
    <t>Testes de chapinha ASTM D429 pré aquecendo e sem pré aquecer Todos os resultados foram satisfatórios Com exceção dos compostos em EPDM Aplicação feita com pincel</t>
  </si>
  <si>
    <t>Testes de deflexão com várias pressões do Fuso Motor 103/21,9 da Bomba 4NS-/16H1E</t>
  </si>
  <si>
    <t>Testes de deflexão do Fuso Motor 95/30 da bomba 4NS142/40H1E</t>
  </si>
  <si>
    <t>Testes de performance do protótipo da UFSC com injeção de ar na entrada e recirculação de líquido por um sistema auxiliar</t>
  </si>
  <si>
    <t>Testes de resistência a pressão do Flange de Vedação do Corpo da bomba 4NS142/40H1E Desenho em 3D do Fuso Motor 95/30 com 6 rolamentos</t>
  </si>
  <si>
    <t>Testes de têmpera por indução bloco de facas</t>
  </si>
  <si>
    <t>Testes de têmpera por indução fusos mancal 3</t>
  </si>
  <si>
    <t>Testes na bancada multifásica com a bomba 4NS142/40H1E (Protótipo antigo / Testado na UFSC) Para validação da bancada</t>
  </si>
  <si>
    <t>Testes na bancada multifásica com a bomba 4NS142/40H1E Para validação da bancada</t>
  </si>
  <si>
    <t>Testes na bomba 3NS18/16H3E em alta temperatura (fluído a 160°C e pressão diferencial de 13,0 bar) - bomba OK</t>
  </si>
  <si>
    <t>Testes na plataforma thingsboard</t>
  </si>
  <si>
    <t>Tomada de dados das borrachas da NdB com aço inox 316</t>
  </si>
  <si>
    <t>Tomada de dados das borrachas da NPS com metal 14404 e 14410</t>
  </si>
  <si>
    <t>Tomada de dados das borrachas da NPS com metal 14410 e 14404</t>
  </si>
  <si>
    <t>Tomada de dados das borrachas da NPS com metal 4462 e 4610</t>
  </si>
  <si>
    <t>Tomada de dados das borrachas da NPS com metal 4539 e 2436</t>
  </si>
  <si>
    <t>Trabalhando em uma opção de liner em segmentos para possibilitar o endurecimento interno das superfícies - opção poderá ser aplicada em bombas de 120 bar e 160 bar</t>
  </si>
  <si>
    <t>Trabalhando no projeto da bomba 3NS236/160H8E - protótipo LACT Units Canadá</t>
  </si>
  <si>
    <t>Treinamento ao Compras - Selos Mecânicos</t>
  </si>
  <si>
    <t>Treinamento Helyx / Estudo de teoria de malha e solvers CFD /  Exemplos de simulações</t>
  </si>
  <si>
    <t>Treinamento Helyx / Estudo de teoria de malha e solvers CFD / Exemplos de simulações</t>
  </si>
  <si>
    <t>Treinamento HELYX Estudo de malhas e solvers para CFD Exemplo de simulações Aplicação de casos NdB para o HELYX</t>
  </si>
  <si>
    <t>Treinamento sobre selos mecânicos e planos de selagem</t>
  </si>
  <si>
    <t>Trituradores inline - Elaboração de curvas de perda de carga - Variação de CP</t>
  </si>
  <si>
    <t>Validações e testes - Servidor de simulação - Código para monitoramento de jobs e processadores utilizados</t>
  </si>
  <si>
    <t>Validações e testes - Servidor de simulação - Logins e vínculo de slurm por acesso pela GUI</t>
  </si>
  <si>
    <t>Validações e testes - Servidor de simulação - Tabela de logs</t>
  </si>
  <si>
    <t>Validações servidor de simulação CFD</t>
  </si>
  <si>
    <t>Verificação componentes da bomba 3NS18/16H3E após teste em óleo quente, 10,0 bar a 160°C - peças em boas condições de uso Verificação de dados sobre bombas 4NS com vazão muito alta</t>
  </si>
  <si>
    <t>Verificação da bomba 2NS #7 que temos na P&amp;D e inclusão de itens novos no PED000279 para utilização nos testes dos fusos com 2 entradas</t>
  </si>
  <si>
    <t>Verificação das Bombas da série 4NS fabricadas com o primeiro passo (mais curto), para comparar com os passos atuais Desenho em 2D do Flange de Vedação do Corpo da bomba     4NS-/-H8E</t>
  </si>
  <si>
    <t>Verificação das características dos principais componentes que compõem a bomba 4NS159/40H2E, para temperatura de bombeio de 258 °C</t>
  </si>
  <si>
    <t>Verificação das informações disponibilizadas pelo fabricante KTR (lanterna, acoplamento e pé) que deverão ser utilizadas nas bombas 3NS-/16H-E Tive que fazer alguns ajustes no material especificado para uma correta trasmissão de torque</t>
  </si>
  <si>
    <t>Verificação das medidas dos selos mecânicos das bombas 4NS-/-H7E, 4NS-/-H8E e 4NS-/-H9E todos duplo cartucho da Burgmann</t>
  </si>
  <si>
    <t>Verificação de atualização de norma</t>
  </si>
  <si>
    <t>Verificação de componentes desmontados pelo cliente (fotos) da bomba 3NS147/120H7E, problemas no equipamento devido a sólidos no fluído</t>
  </si>
  <si>
    <t>Verificação de componentes desmontados pelo cliente (live) da bomba 3NS147/120H7E, problemas no equipamento devido a sólidos no fluído</t>
  </si>
  <si>
    <t>Verificação de desenhos para NPS</t>
  </si>
  <si>
    <t>Verificação de documentação e viabilidade para teste EHEDG</t>
  </si>
  <si>
    <t>Verificação de elastômeros para vedações das bombas 2NSH</t>
  </si>
  <si>
    <t>Verificação de equipamento enviado pelo cliente Veracel a assistência (680000004) - fluído de trabalho: óleo 1A (aparentemente abrasivo) Constatado desgaste na flange intermediária e na vedação do fuso motor Necessita de reparos e troca de selo mecânic</t>
  </si>
  <si>
    <t>Verificação de esforços nos compoenentes projetados para a nova bomba 3NS33/80L4E</t>
  </si>
  <si>
    <t>Verificação do espaço necessário para montagem do selo Mecânico na bomba 4NS-/16H5E</t>
  </si>
  <si>
    <t>Verificação do material já disponível para a execução do projeto Light com lanternas KTR Reunião com Antonio e Welington referente ao projeto Lact Units</t>
  </si>
  <si>
    <t>Verificação do projeto da mancalização da bomba 2NS1656/12H12E devido a uma aplicação de baixa viscosidade</t>
  </si>
  <si>
    <t>Verificação dos componentes internos da bomba 3NS117/16H7E - teste realizado: pressão diferencial baixa de 2,0 bar (componentes em bom estado) Remontagem e continuação do teste</t>
  </si>
  <si>
    <t>Verificação dos testes em andamento desde o dia 23/03/22(3NS18/16H3E em alta temperatura e 3NS55/16H5E em óleo – tudo OK)</t>
  </si>
  <si>
    <t>Verifição de documentação e viabilidade para teste EHEDG</t>
  </si>
  <si>
    <t>Verificar as caracterísitcas dos sensores NTC e PT-100, afim de substituir o atual STP-3</t>
  </si>
  <si>
    <t>verificar normas da ANATEL sobre componentes para comunicação</t>
  </si>
  <si>
    <t>Verificar o conceito atual das bombas e tentar melhorar a distribuição da carga e calor geradas</t>
  </si>
  <si>
    <t>Verificar os dados de entrada do projeto</t>
  </si>
  <si>
    <t>Verificar requisitos do projeto Conectivity 2027, no quesito localização</t>
  </si>
  <si>
    <t>Video conferência com a NPA - travamento em vedação de bomba 3NS147/120H7E</t>
  </si>
  <si>
    <t>Vulcanização dos corpos de prova das alternativas M2108R33-48F e M2108R33-48G Realização dos ensaios físicos/químicos preliminares</t>
  </si>
  <si>
    <t>Vulcanização dos corpos de prova das alternativas M2108R33-48H, M2108R33-48I, M2108R33-48J e M2108R33-48K</t>
  </si>
  <si>
    <t>TOTAIS</t>
  </si>
  <si>
    <t>CPF</t>
  </si>
  <si>
    <t>PESSOA</t>
  </si>
  <si>
    <t>PROJETO</t>
  </si>
  <si>
    <t>HORA</t>
  </si>
  <si>
    <t>VALOR CUSTO</t>
  </si>
  <si>
    <t>DEDICAÇÃO</t>
  </si>
  <si>
    <t>CARGO / FUNÇÃO</t>
  </si>
  <si>
    <t>FORMAÇÃO</t>
  </si>
  <si>
    <t>HORAS</t>
  </si>
  <si>
    <t>VALORES</t>
  </si>
  <si>
    <t>John Lennon Padilha Peixoto</t>
  </si>
  <si>
    <t>NRD0000189</t>
  </si>
  <si>
    <t>Lucas William Stern</t>
  </si>
  <si>
    <t>NRD0000193</t>
  </si>
  <si>
    <t>Rafael Kerber Ciotti</t>
  </si>
  <si>
    <t>NRD0000202</t>
  </si>
  <si>
    <t>NRD0000206</t>
  </si>
  <si>
    <t>Lucas Doege</t>
  </si>
  <si>
    <t>NRD0000208</t>
  </si>
  <si>
    <t>Luan Gustavo Venera Prüss</t>
  </si>
  <si>
    <t>NRD0000209</t>
  </si>
  <si>
    <t>Luis Carlos Valle</t>
  </si>
  <si>
    <t>NRD0000210</t>
  </si>
  <si>
    <t>NRD0000211</t>
  </si>
  <si>
    <t>NRD0000212</t>
  </si>
  <si>
    <t>NRD0000213</t>
  </si>
  <si>
    <t>Sérgio Waldemar Manske</t>
  </si>
  <si>
    <t>NRD0000214</t>
  </si>
  <si>
    <t>Amabile Silveira</t>
  </si>
  <si>
    <t>NRD0000215</t>
  </si>
  <si>
    <t>Carolina Cardoso Silverio</t>
  </si>
  <si>
    <t>NRD0000219</t>
  </si>
  <si>
    <t>NRD0000220</t>
  </si>
  <si>
    <t>NRD0000222</t>
  </si>
  <si>
    <t>NRD0000223</t>
  </si>
  <si>
    <t>NRD0000224</t>
  </si>
  <si>
    <t>NRD0000225</t>
  </si>
  <si>
    <t>NRD0000226</t>
  </si>
  <si>
    <t>Aluisio Loth</t>
  </si>
  <si>
    <t>NRD0000227</t>
  </si>
  <si>
    <t>NRD0000228</t>
  </si>
  <si>
    <t>NRD0000229</t>
  </si>
  <si>
    <t>NRD0000230</t>
  </si>
  <si>
    <t>NRD0000231</t>
  </si>
  <si>
    <t>NRD0000232</t>
  </si>
  <si>
    <t>Bruno Spengler Machado</t>
  </si>
  <si>
    <t>Daniel Goede</t>
  </si>
  <si>
    <t>Matheus Bahr</t>
  </si>
  <si>
    <t>Arthur Zinke</t>
  </si>
  <si>
    <t>Leandro Starke</t>
  </si>
  <si>
    <t>Vitor Augusto Leite</t>
  </si>
  <si>
    <t>ID</t>
  </si>
  <si>
    <t>Função / Cargo</t>
  </si>
  <si>
    <t>janeiro</t>
  </si>
  <si>
    <t>fevereiro</t>
  </si>
  <si>
    <t>março</t>
  </si>
  <si>
    <t>abril</t>
  </si>
  <si>
    <t>maio</t>
  </si>
  <si>
    <t>junho</t>
  </si>
  <si>
    <t>julho</t>
  </si>
  <si>
    <t>agosto</t>
  </si>
  <si>
    <t>setembro</t>
  </si>
  <si>
    <t>outubro</t>
  </si>
  <si>
    <t>novembro</t>
  </si>
  <si>
    <t>dezembro</t>
  </si>
  <si>
    <t>PD&amp;I time</t>
  </si>
  <si>
    <t>PD&amp;I (%)</t>
  </si>
  <si>
    <t>071.847.899-11</t>
  </si>
  <si>
    <t>076.046.519-33</t>
  </si>
  <si>
    <t>083.832.289-10</t>
  </si>
  <si>
    <t>317.875.738-42</t>
  </si>
  <si>
    <t>430.604.838-17</t>
  </si>
  <si>
    <t>024.486.920-09</t>
  </si>
  <si>
    <t>Rafael Pereira Lorini</t>
  </si>
  <si>
    <t>708.643.372-13</t>
  </si>
  <si>
    <t>1º trimestre</t>
  </si>
  <si>
    <t>2º trimestre</t>
  </si>
  <si>
    <t>3º trimestre</t>
  </si>
  <si>
    <t>4º trimestre</t>
  </si>
</sst>
</file>

<file path=xl/styles.xml><?xml version="1.0" encoding="utf-8"?>
<styleSheet xmlns="http://schemas.openxmlformats.org/spreadsheetml/2006/main" xmlns:x14ac="http://schemas.microsoft.com/office/spreadsheetml/2009/9/ac" xmlns:mc="http://schemas.openxmlformats.org/markup-compatibility/2006">
  <numFmts count="10">
    <numFmt numFmtId="164" formatCode="dd&quot;, &quot;mmmm&quot; de &quot;yyyy"/>
    <numFmt numFmtId="165" formatCode="#,##0.00;(#,##0.00)"/>
    <numFmt numFmtId="166" formatCode="_-* #,##0.00_-;\-* #,##0.00_-;_-* &quot;-&quot;??_-;_-@"/>
    <numFmt numFmtId="167" formatCode="#,##0.00;(#,##0.00);-"/>
    <numFmt numFmtId="168" formatCode="dd/MM/yyyy"/>
    <numFmt numFmtId="169" formatCode="dd/mm/yyyy"/>
    <numFmt numFmtId="170" formatCode="d/m/yyyy"/>
    <numFmt numFmtId="171" formatCode="hh:mm:ss"/>
    <numFmt numFmtId="172" formatCode="mm/yyyy"/>
    <numFmt numFmtId="173" formatCode="mmmyyyy"/>
  </numFmts>
  <fonts count="51">
    <font>
      <sz val="10.0"/>
      <color rgb="FF000000"/>
      <name val="Arial"/>
      <scheme val="minor"/>
    </font>
    <font>
      <color theme="1"/>
      <name val="Arial"/>
      <scheme val="minor"/>
    </font>
    <font>
      <b/>
      <sz val="10.0"/>
      <color rgb="FF000000"/>
      <name val="Cairo"/>
    </font>
    <font>
      <sz val="10.0"/>
      <color rgb="FF000000"/>
      <name val="Cairo"/>
    </font>
    <font>
      <sz val="20.0"/>
      <color rgb="FF000000"/>
      <name val="Cairo"/>
    </font>
    <font>
      <sz val="11.0"/>
      <color rgb="FF000000"/>
      <name val="Cairo"/>
    </font>
    <font>
      <b/>
      <sz val="11.0"/>
      <color rgb="FF000000"/>
      <name val="Cairo"/>
    </font>
    <font>
      <sz val="11.0"/>
      <color rgb="FF4D5156"/>
      <name val="Arial"/>
    </font>
    <font>
      <color theme="1"/>
      <name val="Cairo"/>
    </font>
    <font>
      <color theme="1"/>
      <name val="Arial"/>
    </font>
    <font>
      <sz val="8.0"/>
      <color theme="1"/>
      <name val="Cairo"/>
    </font>
    <font>
      <i/>
      <color theme="1"/>
      <name val="Cairo"/>
    </font>
    <font>
      <b/>
      <color rgb="FFFFFFFF"/>
      <name val="&quot;Source Sans Pro&quot;"/>
    </font>
    <font>
      <b/>
      <color rgb="FF000000"/>
      <name val="&quot;Source Sans Pro&quot;"/>
    </font>
    <font>
      <color rgb="FF000000"/>
      <name val="&quot;Source Sans Pro&quot;"/>
    </font>
    <font>
      <i/>
      <color rgb="FF000000"/>
      <name val="&quot;Source Sans Pro&quot;"/>
    </font>
    <font>
      <sz val="8.0"/>
      <color rgb="FF000000"/>
      <name val="Cairo"/>
    </font>
    <font>
      <b/>
      <sz val="10.0"/>
      <color rgb="FFFFFFFF"/>
      <name val="Cairo"/>
    </font>
    <font>
      <sz val="9.0"/>
      <color rgb="FF000000"/>
      <name val="Cairo"/>
    </font>
    <font>
      <i/>
      <sz val="9.0"/>
      <color rgb="FF000000"/>
      <name val="Cairo"/>
    </font>
    <font>
      <b/>
      <sz val="12.0"/>
      <color rgb="FF000000"/>
      <name val="Cairo"/>
    </font>
    <font>
      <sz val="10.0"/>
      <color theme="1"/>
      <name val="Cairo"/>
    </font>
    <font>
      <b/>
      <sz val="8.0"/>
      <color theme="1"/>
      <name val="&quot;Fira Sans&quot;"/>
    </font>
    <font>
      <sz val="8.0"/>
      <color theme="1"/>
      <name val="&quot;Fira Sans&quot;"/>
    </font>
    <font>
      <sz val="8.0"/>
      <color theme="1"/>
      <name val="Arial"/>
    </font>
    <font>
      <sz val="8.0"/>
      <color theme="1"/>
      <name val="Fira Sans"/>
    </font>
    <font>
      <b/>
      <sz val="8.0"/>
      <color theme="1"/>
      <name val="Fira Sans"/>
    </font>
    <font>
      <sz val="8.0"/>
      <color rgb="FF666666"/>
      <name val="Cairo"/>
    </font>
    <font>
      <b/>
      <sz val="8.0"/>
      <color rgb="FF000000"/>
      <name val="Fira Sans"/>
    </font>
    <font>
      <sz val="8.0"/>
      <color rgb="FF000000"/>
      <name val="Fira Sans"/>
    </font>
    <font>
      <b/>
      <sz val="8.0"/>
      <color rgb="FFFFFFFF"/>
      <name val="&quot;Fira Sans&quot;"/>
    </font>
    <font>
      <b/>
      <sz val="10.0"/>
      <color theme="1"/>
      <name val="Cairo"/>
    </font>
    <font>
      <b/>
      <color theme="1"/>
      <name val="Arial"/>
      <scheme val="minor"/>
    </font>
    <font>
      <b/>
      <color rgb="FFFFFFFF"/>
      <name val="Cairo"/>
    </font>
    <font>
      <b/>
      <color rgb="FFFFFFFF"/>
      <name val="Docs-Cairo"/>
    </font>
    <font>
      <color rgb="FF000000"/>
      <name val="Docs-Cairo"/>
    </font>
    <font>
      <sz val="11.0"/>
      <color rgb="FF000000"/>
      <name val="Docs-Cairo"/>
    </font>
    <font>
      <i/>
      <color rgb="FF000000"/>
      <name val="Docs-Cairo"/>
    </font>
    <font>
      <sz val="8.0"/>
      <color rgb="FF000000"/>
      <name val="Docs-Cairo"/>
    </font>
    <font>
      <b/>
      <color theme="1"/>
      <name val="Cairo"/>
    </font>
    <font>
      <b/>
      <sz val="8.0"/>
      <color theme="1"/>
      <name val="Cairo"/>
    </font>
    <font>
      <b/>
      <sz val="10.0"/>
      <color theme="0"/>
      <name val="Cairo"/>
    </font>
    <font>
      <u/>
      <sz val="10.0"/>
      <color theme="1"/>
      <name val="Cairo"/>
    </font>
    <font>
      <u/>
      <sz val="10.0"/>
      <color theme="1"/>
      <name val="Cairo"/>
    </font>
    <font>
      <u/>
      <sz val="10.0"/>
      <color theme="1"/>
      <name val="Cairo"/>
    </font>
    <font>
      <strike/>
      <sz val="10.0"/>
      <color theme="1"/>
      <name val="Cairo"/>
    </font>
    <font>
      <u/>
      <sz val="10.0"/>
      <color theme="1"/>
      <name val="Cairo"/>
    </font>
    <font>
      <b/>
      <sz val="8.0"/>
      <color theme="0"/>
      <name val="Fira Sans"/>
    </font>
    <font>
      <color theme="1"/>
      <name val="Fira Sans"/>
    </font>
    <font>
      <b/>
      <color rgb="FF000000"/>
      <name val="Arial"/>
      <scheme val="minor"/>
    </font>
    <font>
      <b/>
      <color theme="1"/>
      <name val="Arial"/>
    </font>
  </fonts>
  <fills count="21">
    <fill>
      <patternFill patternType="none"/>
    </fill>
    <fill>
      <patternFill patternType="lightGray"/>
    </fill>
    <fill>
      <patternFill patternType="solid">
        <fgColor rgb="FF496C60"/>
        <bgColor rgb="FF496C60"/>
      </patternFill>
    </fill>
    <fill>
      <patternFill patternType="solid">
        <fgColor rgb="FFFFFFFF"/>
        <bgColor rgb="FFFFFFFF"/>
      </patternFill>
    </fill>
    <fill>
      <patternFill patternType="solid">
        <fgColor rgb="FF8B8D8E"/>
        <bgColor rgb="FF8B8D8E"/>
      </patternFill>
    </fill>
    <fill>
      <patternFill patternType="solid">
        <fgColor rgb="FFEFEFEF"/>
        <bgColor rgb="FFEFEFEF"/>
      </patternFill>
    </fill>
    <fill>
      <patternFill patternType="solid">
        <fgColor rgb="FFF3F3F3"/>
        <bgColor rgb="FFF3F3F3"/>
      </patternFill>
    </fill>
    <fill>
      <patternFill patternType="solid">
        <fgColor rgb="FFCCCCCC"/>
        <bgColor rgb="FFCCCCCC"/>
      </patternFill>
    </fill>
    <fill>
      <patternFill patternType="solid">
        <fgColor rgb="FFBDBDBD"/>
        <bgColor rgb="FFBDBDBD"/>
      </patternFill>
    </fill>
    <fill>
      <patternFill patternType="solid">
        <fgColor rgb="FFFFF2CC"/>
        <bgColor rgb="FFFFF2CC"/>
      </patternFill>
    </fill>
    <fill>
      <patternFill patternType="solid">
        <fgColor rgb="FFFCE5CD"/>
        <bgColor rgb="FFFCE5CD"/>
      </patternFill>
    </fill>
    <fill>
      <patternFill patternType="solid">
        <fgColor rgb="FFF4CCCC"/>
        <bgColor rgb="FFF4CCCC"/>
      </patternFill>
    </fill>
    <fill>
      <patternFill patternType="solid">
        <fgColor rgb="FFE6B8AF"/>
        <bgColor rgb="FFE6B8AF"/>
      </patternFill>
    </fill>
    <fill>
      <patternFill patternType="solid">
        <fgColor rgb="FFD9EAD3"/>
        <bgColor rgb="FFD9EAD3"/>
      </patternFill>
    </fill>
    <fill>
      <patternFill patternType="solid">
        <fgColor rgb="FFA9A9A9"/>
        <bgColor rgb="FFA9A9A9"/>
      </patternFill>
    </fill>
    <fill>
      <patternFill patternType="solid">
        <fgColor rgb="FF858585"/>
        <bgColor rgb="FF858585"/>
      </patternFill>
    </fill>
    <fill>
      <patternFill patternType="solid">
        <fgColor rgb="FFF6F6F6"/>
        <bgColor rgb="FFF6F6F6"/>
      </patternFill>
    </fill>
    <fill>
      <patternFill patternType="solid">
        <fgColor rgb="FF666666"/>
        <bgColor rgb="FF666666"/>
      </patternFill>
    </fill>
    <fill>
      <patternFill patternType="solid">
        <fgColor rgb="FFD9D9D9"/>
        <bgColor rgb="FFD9D9D9"/>
      </patternFill>
    </fill>
    <fill>
      <patternFill patternType="solid">
        <fgColor rgb="FFB7B7B7"/>
        <bgColor rgb="FFB7B7B7"/>
      </patternFill>
    </fill>
    <fill>
      <patternFill patternType="solid">
        <fgColor rgb="FF999999"/>
        <bgColor rgb="FF999999"/>
      </patternFill>
    </fill>
  </fills>
  <borders count="20">
    <border/>
    <border>
      <top style="dotted">
        <color rgb="FF8B8D8E"/>
      </top>
    </border>
    <border>
      <bottom style="dotted">
        <color rgb="FF8B8D8E"/>
      </bottom>
    </border>
    <border>
      <bottom style="thin">
        <color rgb="FF434343"/>
      </bottom>
    </border>
    <border>
      <left/>
      <right/>
      <top style="thin">
        <color rgb="FF000000"/>
      </top>
      <bottom style="thin">
        <color rgb="FF000000"/>
      </bottom>
    </border>
    <border>
      <left style="thin">
        <color rgb="FF000000"/>
      </left>
    </border>
    <border>
      <right style="thin">
        <color rgb="FF000000"/>
      </right>
    </border>
    <border>
      <right/>
    </border>
    <border>
      <left style="thin">
        <color rgb="FF000000"/>
      </left>
      <right/>
      <top/>
      <bottom style="thin">
        <color rgb="FF000000"/>
      </bottom>
    </border>
    <border>
      <left/>
      <right/>
      <top/>
      <bottom/>
    </border>
    <border>
      <left style="thin">
        <color rgb="FF000000"/>
      </left>
      <right/>
      <top/>
      <bottom/>
    </border>
    <border>
      <left style="thin">
        <color rgb="FF000000"/>
      </left>
      <right style="thin">
        <color rgb="FF000000"/>
      </right>
      <top style="thin">
        <color rgb="FF000000"/>
      </top>
      <bottom style="thin">
        <color rgb="FF000000"/>
      </bottom>
    </border>
    <border>
      <left style="medium">
        <color rgb="FF666666"/>
      </left>
    </border>
    <border>
      <left/>
      <top style="thin">
        <color rgb="FF000000"/>
      </top>
      <bottom style="thin">
        <color rgb="FF000000"/>
      </bottom>
    </border>
    <border>
      <left style="medium">
        <color rgb="FF666666"/>
      </left>
      <right/>
      <top style="thin">
        <color rgb="FF000000"/>
      </top>
      <bottom style="thin">
        <color rgb="FF000000"/>
      </bottom>
    </border>
    <border>
      <left style="hair">
        <color rgb="FF666666"/>
      </left>
    </border>
    <border>
      <right/>
      <top style="thin">
        <color rgb="FF000000"/>
      </top>
      <bottom style="thin">
        <color rgb="FF000000"/>
      </bottom>
    </border>
    <border>
      <top style="thin">
        <color rgb="FF000000"/>
      </top>
      <bottom style="thin">
        <color rgb="FF000000"/>
      </bottom>
    </border>
    <border>
      <left style="hair">
        <color rgb="FF666666"/>
      </left>
      <right/>
      <top style="thin">
        <color rgb="FF000000"/>
      </top>
      <bottom style="thin">
        <color rgb="FF000000"/>
      </bottom>
    </border>
    <border>
      <left style="hair">
        <color rgb="FF666666"/>
      </left>
      <right style="hair">
        <color rgb="FF666666"/>
      </right>
      <top style="hair">
        <color rgb="FF666666"/>
      </top>
      <bottom style="hair">
        <color rgb="FF666666"/>
      </bottom>
    </border>
  </borders>
  <cellStyleXfs count="1">
    <xf borderId="0" fillId="0" fontId="0" numFmtId="0" applyAlignment="1" applyFont="1"/>
  </cellStyleXfs>
  <cellXfs count="400">
    <xf borderId="0" fillId="0" fontId="0" numFmtId="0" xfId="0" applyAlignment="1" applyFont="1">
      <alignment readingOrder="0" shrinkToFit="0" vertical="bottom" wrapText="0"/>
    </xf>
    <xf borderId="0" fillId="0" fontId="1" numFmtId="0" xfId="0" applyAlignment="1" applyFont="1">
      <alignment readingOrder="0"/>
    </xf>
    <xf borderId="0" fillId="2" fontId="2" numFmtId="0" xfId="0" applyAlignment="1" applyFill="1" applyFont="1">
      <alignment vertical="center"/>
    </xf>
    <xf borderId="0" fillId="2" fontId="3" numFmtId="0" xfId="0" applyAlignment="1" applyFont="1">
      <alignment vertical="center"/>
    </xf>
    <xf borderId="0" fillId="0" fontId="4" numFmtId="0" xfId="0" applyAlignment="1" applyFont="1">
      <alignment readingOrder="0" vertical="center"/>
    </xf>
    <xf borderId="0" fillId="0" fontId="5" numFmtId="0" xfId="0" applyAlignment="1" applyFont="1">
      <alignment vertical="center"/>
    </xf>
    <xf borderId="0" fillId="0" fontId="5" numFmtId="4" xfId="0" applyAlignment="1" applyFont="1" applyNumberFormat="1">
      <alignment readingOrder="0" vertical="center"/>
    </xf>
    <xf borderId="0" fillId="0" fontId="6" numFmtId="0" xfId="0" applyAlignment="1" applyFont="1">
      <alignment readingOrder="0" vertical="center"/>
    </xf>
    <xf borderId="0" fillId="3" fontId="7" numFmtId="4" xfId="0" applyAlignment="1" applyFill="1" applyFont="1" applyNumberFormat="1">
      <alignment readingOrder="0" vertical="center"/>
    </xf>
    <xf borderId="0" fillId="0" fontId="3" numFmtId="0" xfId="0" applyAlignment="1" applyFont="1">
      <alignment vertical="center"/>
    </xf>
    <xf borderId="0" fillId="0" fontId="1" numFmtId="0" xfId="0" applyAlignment="1" applyFont="1">
      <alignment vertical="center"/>
    </xf>
    <xf borderId="1" fillId="0" fontId="8" numFmtId="0" xfId="0" applyAlignment="1" applyBorder="1" applyFont="1">
      <alignment vertical="bottom"/>
    </xf>
    <xf borderId="1" fillId="0" fontId="9" numFmtId="0" xfId="0" applyAlignment="1" applyBorder="1" applyFont="1">
      <alignment vertical="bottom"/>
    </xf>
    <xf borderId="1" fillId="0" fontId="9" numFmtId="0" xfId="0" applyAlignment="1" applyBorder="1" applyFont="1">
      <alignment vertical="bottom"/>
    </xf>
    <xf borderId="1" fillId="0" fontId="8" numFmtId="0" xfId="0" applyAlignment="1" applyBorder="1" applyFont="1">
      <alignment horizontal="left" vertical="bottom"/>
    </xf>
    <xf borderId="0" fillId="0" fontId="9" numFmtId="0" xfId="0" applyFont="1"/>
    <xf borderId="0" fillId="0" fontId="10" numFmtId="0" xfId="0" applyAlignment="1" applyFont="1">
      <alignment horizontal="right"/>
    </xf>
    <xf borderId="2" fillId="0" fontId="11" numFmtId="0" xfId="0" applyAlignment="1" applyBorder="1" applyFont="1">
      <alignment vertical="top"/>
    </xf>
    <xf borderId="2" fillId="0" fontId="9" numFmtId="0" xfId="0" applyAlignment="1" applyBorder="1" applyFont="1">
      <alignment vertical="top"/>
    </xf>
    <xf borderId="0" fillId="0" fontId="10" numFmtId="164" xfId="0" applyAlignment="1" applyFont="1" applyNumberFormat="1">
      <alignment horizontal="right" vertical="top"/>
    </xf>
    <xf borderId="0" fillId="0" fontId="3" numFmtId="165" xfId="0" applyAlignment="1" applyFont="1" applyNumberFormat="1">
      <alignment vertical="center"/>
    </xf>
    <xf borderId="0" fillId="0" fontId="3" numFmtId="0" xfId="0" applyAlignment="1" applyFont="1">
      <alignment readingOrder="0" vertical="center"/>
    </xf>
    <xf borderId="0" fillId="4" fontId="12" numFmtId="0" xfId="0" applyAlignment="1" applyFill="1" applyFont="1">
      <alignment vertical="center"/>
    </xf>
    <xf borderId="0" fillId="4" fontId="12" numFmtId="0" xfId="0" applyAlignment="1" applyFont="1">
      <alignment horizontal="right" vertical="center"/>
    </xf>
    <xf borderId="3" fillId="0" fontId="9" numFmtId="0" xfId="0" applyAlignment="1" applyBorder="1" applyFont="1">
      <alignment vertical="center"/>
    </xf>
    <xf borderId="3" fillId="5" fontId="13" numFmtId="0" xfId="0" applyAlignment="1" applyBorder="1" applyFill="1" applyFont="1">
      <alignment horizontal="right" vertical="center"/>
    </xf>
    <xf borderId="0" fillId="0" fontId="14" numFmtId="0" xfId="0" applyAlignment="1" applyFont="1">
      <alignment vertical="center"/>
    </xf>
    <xf borderId="0" fillId="0" fontId="14" numFmtId="165" xfId="0" applyAlignment="1" applyFont="1" applyNumberFormat="1">
      <alignment horizontal="right" vertical="center"/>
    </xf>
    <xf borderId="0" fillId="0" fontId="9" numFmtId="0" xfId="0" applyAlignment="1" applyFont="1">
      <alignment vertical="center"/>
    </xf>
    <xf borderId="0" fillId="5" fontId="14" numFmtId="165" xfId="0" applyAlignment="1" applyFont="1" applyNumberFormat="1">
      <alignment horizontal="right" vertical="center"/>
    </xf>
    <xf borderId="0" fillId="2" fontId="12" numFmtId="0" xfId="0" applyAlignment="1" applyFont="1">
      <alignment vertical="center"/>
    </xf>
    <xf borderId="0" fillId="2" fontId="12" numFmtId="165" xfId="0" applyAlignment="1" applyFont="1" applyNumberFormat="1">
      <alignment horizontal="right" vertical="center"/>
    </xf>
    <xf borderId="3" fillId="2" fontId="12" numFmtId="165" xfId="0" applyAlignment="1" applyBorder="1" applyFont="1" applyNumberFormat="1">
      <alignment horizontal="right" vertical="center"/>
    </xf>
    <xf borderId="3" fillId="0" fontId="9" numFmtId="0" xfId="0" applyAlignment="1" applyBorder="1" applyFont="1">
      <alignment vertical="center"/>
    </xf>
    <xf borderId="3" fillId="5" fontId="13" numFmtId="165" xfId="0" applyAlignment="1" applyBorder="1" applyFont="1" applyNumberFormat="1">
      <alignment horizontal="right" vertical="center"/>
    </xf>
    <xf borderId="0" fillId="6" fontId="15" numFmtId="0" xfId="0" applyAlignment="1" applyFill="1" applyFont="1">
      <alignment vertical="center"/>
    </xf>
    <xf borderId="0" fillId="6" fontId="15" numFmtId="9" xfId="0" applyAlignment="1" applyFont="1" applyNumberFormat="1">
      <alignment horizontal="right" vertical="center"/>
    </xf>
    <xf borderId="0" fillId="0" fontId="9" numFmtId="0" xfId="0" applyAlignment="1" applyFont="1">
      <alignment vertical="center"/>
    </xf>
    <xf borderId="0" fillId="5" fontId="15" numFmtId="9" xfId="0" applyAlignment="1" applyFont="1" applyNumberFormat="1">
      <alignment horizontal="right" vertical="center"/>
    </xf>
    <xf borderId="0" fillId="0" fontId="9" numFmtId="165" xfId="0" applyAlignment="1" applyFont="1" applyNumberFormat="1">
      <alignment vertical="center"/>
    </xf>
    <xf borderId="0" fillId="0" fontId="16" numFmtId="0" xfId="0" applyAlignment="1" applyFont="1">
      <alignment readingOrder="0" vertical="center"/>
    </xf>
    <xf borderId="0" fillId="0" fontId="16" numFmtId="165" xfId="0" applyAlignment="1" applyFont="1" applyNumberFormat="1">
      <alignment vertical="center"/>
    </xf>
    <xf borderId="0" fillId="0" fontId="8" numFmtId="0" xfId="0" applyAlignment="1" applyFont="1">
      <alignment readingOrder="0" vertical="center"/>
    </xf>
    <xf borderId="0" fillId="4" fontId="17" numFmtId="0" xfId="0" applyAlignment="1" applyFont="1">
      <alignment readingOrder="0" vertical="center"/>
    </xf>
    <xf borderId="2" fillId="0" fontId="3" numFmtId="0" xfId="0" applyAlignment="1" applyBorder="1" applyFont="1">
      <alignment vertical="center"/>
    </xf>
    <xf borderId="0" fillId="0" fontId="18" numFmtId="0" xfId="0" applyAlignment="1" applyFont="1">
      <alignment readingOrder="0" vertical="center"/>
    </xf>
    <xf quotePrefix="1" borderId="0" fillId="0" fontId="19" numFmtId="0" xfId="0" applyAlignment="1" applyFont="1">
      <alignment readingOrder="0" vertical="center"/>
    </xf>
    <xf borderId="0" fillId="0" fontId="19" numFmtId="0" xfId="0" applyAlignment="1" applyFont="1">
      <alignment readingOrder="0" vertical="center"/>
    </xf>
    <xf borderId="0" fillId="0" fontId="8" numFmtId="0" xfId="0" applyAlignment="1" applyFont="1">
      <alignment vertical="center"/>
    </xf>
    <xf borderId="0" fillId="0" fontId="20" numFmtId="0" xfId="0" applyAlignment="1" applyFont="1">
      <alignment readingOrder="0" vertical="center"/>
    </xf>
    <xf borderId="0" fillId="5" fontId="2" numFmtId="0" xfId="0" applyAlignment="1" applyFont="1">
      <alignment horizontal="center" readingOrder="0" vertical="center"/>
    </xf>
    <xf borderId="0" fillId="7" fontId="2" numFmtId="0" xfId="0" applyAlignment="1" applyFill="1" applyFont="1">
      <alignment horizontal="center" readingOrder="0" vertical="center"/>
    </xf>
    <xf borderId="0" fillId="4" fontId="17" numFmtId="0" xfId="0" applyAlignment="1" applyFont="1">
      <alignment horizontal="center" readingOrder="0" vertical="center"/>
    </xf>
    <xf borderId="0" fillId="4" fontId="17" numFmtId="0" xfId="0" applyAlignment="1" applyFont="1">
      <alignment horizontal="right" readingOrder="0" vertical="center"/>
    </xf>
    <xf borderId="0" fillId="0" fontId="3" numFmtId="0" xfId="0" applyAlignment="1" applyFont="1">
      <alignment horizontal="left" vertical="center"/>
    </xf>
    <xf borderId="0" fillId="0" fontId="3" numFmtId="0" xfId="0" applyAlignment="1" applyFont="1">
      <alignment horizontal="center" readingOrder="0" vertical="center"/>
    </xf>
    <xf borderId="0" fillId="0" fontId="3" numFmtId="165" xfId="0" applyAlignment="1" applyFont="1" applyNumberFormat="1">
      <alignment horizontal="right" vertical="center"/>
    </xf>
    <xf borderId="0" fillId="0" fontId="3" numFmtId="46" xfId="0" applyAlignment="1" applyFont="1" applyNumberFormat="1">
      <alignment horizontal="right" vertical="center"/>
    </xf>
    <xf borderId="0" fillId="6" fontId="3" numFmtId="0" xfId="0" applyAlignment="1" applyFont="1">
      <alignment horizontal="center" readingOrder="0" vertical="center"/>
    </xf>
    <xf borderId="0" fillId="6" fontId="3" numFmtId="165" xfId="0" applyAlignment="1" applyFont="1" applyNumberFormat="1">
      <alignment horizontal="right" readingOrder="0" vertical="center"/>
    </xf>
    <xf borderId="0" fillId="6" fontId="3" numFmtId="0" xfId="0" applyAlignment="1" applyFont="1">
      <alignment horizontal="right" readingOrder="0" vertical="center"/>
    </xf>
    <xf borderId="0" fillId="0" fontId="3" numFmtId="0" xfId="0" applyAlignment="1" applyFont="1">
      <alignment horizontal="left" readingOrder="0" vertical="center"/>
    </xf>
    <xf borderId="0" fillId="6" fontId="3" numFmtId="165" xfId="0" applyAlignment="1" applyFont="1" applyNumberFormat="1">
      <alignment horizontal="right" vertical="center"/>
    </xf>
    <xf borderId="0" fillId="6" fontId="3" numFmtId="46" xfId="0" applyAlignment="1" applyFont="1" applyNumberFormat="1">
      <alignment horizontal="right" vertical="center"/>
    </xf>
    <xf borderId="4" fillId="2" fontId="17" numFmtId="166" xfId="0" applyAlignment="1" applyBorder="1" applyFont="1" applyNumberFormat="1">
      <alignment readingOrder="0" vertical="center"/>
    </xf>
    <xf borderId="4" fillId="2" fontId="17" numFmtId="0" xfId="0" applyAlignment="1" applyBorder="1" applyFont="1">
      <alignment horizontal="center" vertical="center"/>
    </xf>
    <xf borderId="4" fillId="2" fontId="17" numFmtId="165" xfId="0" applyAlignment="1" applyBorder="1" applyFont="1" applyNumberFormat="1">
      <alignment horizontal="right" vertical="center"/>
    </xf>
    <xf borderId="4" fillId="2" fontId="17" numFmtId="46" xfId="0" applyAlignment="1" applyBorder="1" applyFont="1" applyNumberFormat="1">
      <alignment horizontal="right" vertical="center"/>
    </xf>
    <xf borderId="4" fillId="2" fontId="17" numFmtId="166" xfId="0" applyAlignment="1" applyBorder="1" applyFont="1" applyNumberFormat="1">
      <alignment horizontal="right" readingOrder="0" vertical="center"/>
    </xf>
    <xf borderId="0" fillId="0" fontId="8" numFmtId="0" xfId="0" applyAlignment="1" applyFont="1">
      <alignment readingOrder="0" vertical="center"/>
    </xf>
    <xf borderId="0" fillId="0" fontId="3" numFmtId="0" xfId="0" applyAlignment="1" applyFont="1">
      <alignment readingOrder="0" shrinkToFit="0" vertical="center" wrapText="1"/>
    </xf>
    <xf borderId="0" fillId="0" fontId="3" numFmtId="167" xfId="0" applyAlignment="1" applyFont="1" applyNumberFormat="1">
      <alignment horizontal="right" readingOrder="0" vertical="center"/>
    </xf>
    <xf borderId="0" fillId="0" fontId="3" numFmtId="167" xfId="0" applyAlignment="1" applyFont="1" applyNumberFormat="1">
      <alignment horizontal="right" vertical="center"/>
    </xf>
    <xf borderId="0" fillId="0" fontId="3" numFmtId="167" xfId="0" applyAlignment="1" applyFont="1" applyNumberFormat="1">
      <alignment readingOrder="0" vertical="center"/>
    </xf>
    <xf borderId="0" fillId="2" fontId="17" numFmtId="166" xfId="0" applyAlignment="1" applyFont="1" applyNumberFormat="1">
      <alignment vertical="center"/>
    </xf>
    <xf borderId="0" fillId="2" fontId="17" numFmtId="165" xfId="0" applyAlignment="1" applyFont="1" applyNumberFormat="1">
      <alignment horizontal="right" readingOrder="0" vertical="center"/>
    </xf>
    <xf borderId="0" fillId="2" fontId="17" numFmtId="167" xfId="0" applyAlignment="1" applyFont="1" applyNumberFormat="1">
      <alignment vertical="center"/>
    </xf>
    <xf borderId="0" fillId="2" fontId="17" numFmtId="167" xfId="0" applyAlignment="1" applyFont="1" applyNumberFormat="1">
      <alignment horizontal="right" vertical="center"/>
    </xf>
    <xf borderId="0" fillId="2" fontId="17" numFmtId="0" xfId="0" applyAlignment="1" applyFont="1">
      <alignment readingOrder="0" shrinkToFit="0" vertical="center" wrapText="1"/>
    </xf>
    <xf borderId="0" fillId="2" fontId="17" numFmtId="168" xfId="0" applyAlignment="1" applyFont="1" applyNumberFormat="1">
      <alignment readingOrder="0" shrinkToFit="0" vertical="center" wrapText="1"/>
    </xf>
    <xf borderId="0" fillId="2" fontId="17" numFmtId="168" xfId="0" applyAlignment="1" applyFont="1" applyNumberFormat="1">
      <alignment horizontal="left" readingOrder="0" shrinkToFit="0" vertical="center" wrapText="1"/>
    </xf>
    <xf borderId="0" fillId="2" fontId="17" numFmtId="0" xfId="0" applyAlignment="1" applyFont="1">
      <alignment horizontal="center" readingOrder="0" shrinkToFit="0" vertical="center" wrapText="1"/>
    </xf>
    <xf borderId="0" fillId="2" fontId="17" numFmtId="165" xfId="0" applyAlignment="1" applyFont="1" applyNumberFormat="1">
      <alignment readingOrder="0" shrinkToFit="0" vertical="center" wrapText="1"/>
    </xf>
    <xf borderId="0" fillId="0" fontId="21" numFmtId="0" xfId="0" applyAlignment="1" applyFont="1">
      <alignment readingOrder="0" shrinkToFit="0" vertical="center" wrapText="1"/>
    </xf>
    <xf borderId="0" fillId="0" fontId="21" numFmtId="169" xfId="0" applyAlignment="1" applyFont="1" applyNumberFormat="1">
      <alignment horizontal="right" readingOrder="0" shrinkToFit="0" vertical="center" wrapText="1"/>
    </xf>
    <xf borderId="0" fillId="0" fontId="21" numFmtId="170" xfId="0" applyAlignment="1" applyFont="1" applyNumberFormat="1">
      <alignment horizontal="right" readingOrder="0" shrinkToFit="0" vertical="center" wrapText="1"/>
    </xf>
    <xf borderId="0" fillId="0" fontId="21" numFmtId="0" xfId="0" applyAlignment="1" applyFont="1">
      <alignment horizontal="center" readingOrder="0" shrinkToFit="0" vertical="center" wrapText="1"/>
    </xf>
    <xf borderId="0" fillId="0" fontId="1" numFmtId="0" xfId="0" applyAlignment="1" applyFont="1">
      <alignment readingOrder="0" vertical="center"/>
    </xf>
    <xf borderId="0" fillId="0" fontId="21" numFmtId="165" xfId="0" applyAlignment="1" applyFont="1" applyNumberFormat="1">
      <alignment horizontal="right" readingOrder="0" vertical="center"/>
    </xf>
    <xf borderId="0" fillId="0" fontId="21" numFmtId="168" xfId="0" applyAlignment="1" applyFont="1" applyNumberFormat="1">
      <alignment horizontal="right" readingOrder="0" shrinkToFit="0" vertical="center" wrapText="1"/>
    </xf>
    <xf borderId="0" fillId="6" fontId="21" numFmtId="0" xfId="0" applyAlignment="1" applyFont="1">
      <alignment readingOrder="0" shrinkToFit="0" vertical="center" wrapText="1"/>
    </xf>
    <xf borderId="0" fillId="6" fontId="21" numFmtId="169" xfId="0" applyAlignment="1" applyFont="1" applyNumberFormat="1">
      <alignment horizontal="right" readingOrder="0" shrinkToFit="0" vertical="center" wrapText="1"/>
    </xf>
    <xf borderId="0" fillId="6" fontId="21" numFmtId="0" xfId="0" applyAlignment="1" applyFont="1">
      <alignment horizontal="center" readingOrder="0" shrinkToFit="0" vertical="center" wrapText="1"/>
    </xf>
    <xf borderId="0" fillId="6" fontId="1" numFmtId="0" xfId="0" applyAlignment="1" applyFont="1">
      <alignment readingOrder="0" vertical="center"/>
    </xf>
    <xf borderId="0" fillId="6" fontId="21" numFmtId="165" xfId="0" applyAlignment="1" applyFont="1" applyNumberFormat="1">
      <alignment horizontal="right" readingOrder="0" vertical="center"/>
    </xf>
    <xf borderId="0" fillId="0" fontId="21" numFmtId="0" xfId="0" applyAlignment="1" applyFont="1">
      <alignment readingOrder="0" shrinkToFit="0" vertical="center" wrapText="1"/>
    </xf>
    <xf borderId="0" fillId="0" fontId="21" numFmtId="0" xfId="0" applyAlignment="1" applyFont="1">
      <alignment horizontal="center" readingOrder="0" shrinkToFit="0" vertical="center" wrapText="1"/>
    </xf>
    <xf borderId="0" fillId="6" fontId="21" numFmtId="0" xfId="0" applyAlignment="1" applyFont="1">
      <alignment readingOrder="0" shrinkToFit="0" vertical="center" wrapText="1"/>
    </xf>
    <xf borderId="0" fillId="6" fontId="21" numFmtId="170" xfId="0" applyAlignment="1" applyFont="1" applyNumberFormat="1">
      <alignment horizontal="right" readingOrder="0" shrinkToFit="0" vertical="center" wrapText="1"/>
    </xf>
    <xf borderId="0" fillId="0" fontId="1" numFmtId="0" xfId="0" applyAlignment="1" applyFont="1">
      <alignment horizontal="center"/>
    </xf>
    <xf borderId="0" fillId="2" fontId="17" numFmtId="0" xfId="0" applyAlignment="1" applyFont="1">
      <alignment readingOrder="0" vertical="center"/>
    </xf>
    <xf borderId="0" fillId="2" fontId="17" numFmtId="0" xfId="0" applyAlignment="1" applyFont="1">
      <alignment horizontal="right" readingOrder="0" vertical="center"/>
    </xf>
    <xf borderId="0" fillId="2" fontId="17" numFmtId="168" xfId="0" applyAlignment="1" applyFont="1" applyNumberFormat="1">
      <alignment horizontal="center" readingOrder="0" vertical="center"/>
    </xf>
    <xf borderId="0" fillId="2" fontId="17" numFmtId="46" xfId="0" applyAlignment="1" applyFont="1" applyNumberFormat="1">
      <alignment horizontal="center" readingOrder="0" vertical="center"/>
    </xf>
    <xf borderId="0" fillId="2" fontId="17" numFmtId="4" xfId="0" applyAlignment="1" applyFont="1" applyNumberFormat="1">
      <alignment horizontal="center" readingOrder="0" vertical="center"/>
    </xf>
    <xf borderId="0" fillId="0" fontId="21" numFmtId="0" xfId="0" applyAlignment="1" applyFont="1">
      <alignment readingOrder="0" vertical="center"/>
    </xf>
    <xf borderId="0" fillId="0" fontId="21" numFmtId="0" xfId="0" applyAlignment="1" applyFont="1">
      <alignment horizontal="right" readingOrder="0" vertical="center"/>
    </xf>
    <xf borderId="0" fillId="0" fontId="8" numFmtId="168" xfId="0" applyAlignment="1" applyFont="1" applyNumberFormat="1">
      <alignment readingOrder="0" vertical="center"/>
    </xf>
    <xf borderId="0" fillId="0" fontId="21" numFmtId="171" xfId="0" applyAlignment="1" applyFont="1" applyNumberFormat="1">
      <alignment horizontal="center" readingOrder="0" shrinkToFit="0" vertical="center" wrapText="1"/>
    </xf>
    <xf borderId="0" fillId="0" fontId="21" numFmtId="2" xfId="0" applyAlignment="1" applyFont="1" applyNumberFormat="1">
      <alignment horizontal="center" readingOrder="0" shrinkToFit="0" vertical="center" wrapText="1"/>
    </xf>
    <xf borderId="0" fillId="0" fontId="8" numFmtId="0" xfId="0" applyAlignment="1" applyFont="1">
      <alignment horizontal="center"/>
    </xf>
    <xf borderId="0" fillId="0" fontId="21" numFmtId="0" xfId="0" applyAlignment="1" applyFont="1">
      <alignment horizontal="center" readingOrder="0" vertical="center"/>
    </xf>
    <xf borderId="0" fillId="6" fontId="21" numFmtId="46" xfId="0" applyAlignment="1" applyFont="1" applyNumberFormat="1">
      <alignment readingOrder="0" shrinkToFit="0" vertical="center" wrapText="1"/>
    </xf>
    <xf borderId="0" fillId="0" fontId="8" numFmtId="168" xfId="0" applyAlignment="1" applyFont="1" applyNumberFormat="1">
      <alignment horizontal="center" readingOrder="0" vertical="center"/>
    </xf>
    <xf borderId="0" fillId="0" fontId="8" numFmtId="171" xfId="0" applyAlignment="1" applyFont="1" applyNumberFormat="1">
      <alignment horizontal="center" readingOrder="0" shrinkToFit="0" wrapText="1"/>
    </xf>
    <xf borderId="0" fillId="0" fontId="21" numFmtId="165" xfId="0" applyAlignment="1" applyFont="1" applyNumberFormat="1">
      <alignment readingOrder="0" vertical="center"/>
    </xf>
    <xf borderId="0" fillId="6" fontId="21" numFmtId="165" xfId="0" applyAlignment="1" applyFont="1" applyNumberFormat="1">
      <alignment readingOrder="0" shrinkToFit="0" vertical="center" wrapText="1"/>
    </xf>
    <xf borderId="0" fillId="8" fontId="22" numFmtId="0" xfId="0" applyAlignment="1" applyFill="1" applyFont="1">
      <alignment horizontal="center" readingOrder="0" shrinkToFit="0" vertical="center" wrapText="1"/>
    </xf>
    <xf borderId="0" fillId="8" fontId="22" numFmtId="0" xfId="0" applyAlignment="1" applyFont="1">
      <alignment horizontal="center" shrinkToFit="0" vertical="center" wrapText="1"/>
    </xf>
    <xf borderId="0" fillId="8" fontId="22" numFmtId="49" xfId="0" applyAlignment="1" applyFont="1" applyNumberFormat="1">
      <alignment horizontal="center" shrinkToFit="0" vertical="center" wrapText="1"/>
    </xf>
    <xf borderId="5" fillId="9" fontId="22" numFmtId="165" xfId="0" applyAlignment="1" applyBorder="1" applyFill="1" applyFont="1" applyNumberFormat="1">
      <alignment horizontal="center" shrinkToFit="0" vertical="center" wrapText="1"/>
    </xf>
    <xf borderId="0" fillId="9" fontId="22" numFmtId="165" xfId="0" applyAlignment="1" applyFont="1" applyNumberFormat="1">
      <alignment horizontal="center" shrinkToFit="0" vertical="center" wrapText="1"/>
    </xf>
    <xf borderId="5" fillId="10" fontId="22" numFmtId="10" xfId="0" applyAlignment="1" applyBorder="1" applyFill="1" applyFont="1" applyNumberFormat="1">
      <alignment horizontal="center" shrinkToFit="0" vertical="center" wrapText="1"/>
    </xf>
    <xf borderId="0" fillId="10" fontId="22" numFmtId="10" xfId="0" applyAlignment="1" applyFont="1" applyNumberFormat="1">
      <alignment horizontal="center" shrinkToFit="0" vertical="center" wrapText="1"/>
    </xf>
    <xf borderId="0" fillId="10" fontId="22" numFmtId="0" xfId="0" applyAlignment="1" applyFont="1">
      <alignment horizontal="center" shrinkToFit="0" vertical="center" wrapText="1"/>
    </xf>
    <xf borderId="6" fillId="10" fontId="22" numFmtId="0" xfId="0" applyAlignment="1" applyBorder="1" applyFont="1">
      <alignment horizontal="center" shrinkToFit="0" vertical="center" wrapText="1"/>
    </xf>
    <xf borderId="5" fillId="11" fontId="22" numFmtId="3" xfId="0" applyAlignment="1" applyBorder="1" applyFill="1" applyFont="1" applyNumberFormat="1">
      <alignment horizontal="center" shrinkToFit="0" vertical="center" wrapText="1"/>
    </xf>
    <xf borderId="0" fillId="11" fontId="22" numFmtId="0" xfId="0" applyAlignment="1" applyFont="1">
      <alignment horizontal="center" shrinkToFit="0" vertical="center" wrapText="1"/>
    </xf>
    <xf borderId="0" fillId="11" fontId="22" numFmtId="4" xfId="0" applyAlignment="1" applyFont="1" applyNumberFormat="1">
      <alignment horizontal="center" shrinkToFit="0" vertical="center" wrapText="1"/>
    </xf>
    <xf borderId="6" fillId="11" fontId="22" numFmtId="4" xfId="0" applyAlignment="1" applyBorder="1" applyFont="1" applyNumberFormat="1">
      <alignment horizontal="center" shrinkToFit="0" vertical="center" wrapText="1"/>
    </xf>
    <xf borderId="5" fillId="12" fontId="22" numFmtId="165" xfId="0" applyAlignment="1" applyBorder="1" applyFill="1" applyFont="1" applyNumberFormat="1">
      <alignment horizontal="center" shrinkToFit="0" vertical="center" wrapText="1"/>
    </xf>
    <xf borderId="0" fillId="12" fontId="22" numFmtId="165" xfId="0" applyAlignment="1" applyFont="1" applyNumberFormat="1">
      <alignment horizontal="center" shrinkToFit="0" vertical="center" wrapText="1"/>
    </xf>
    <xf borderId="0" fillId="3" fontId="23" numFmtId="0" xfId="0" applyAlignment="1" applyFont="1">
      <alignment horizontal="left" vertical="center"/>
    </xf>
    <xf borderId="0" fillId="3" fontId="23" numFmtId="0" xfId="0" applyAlignment="1" applyFont="1">
      <alignment vertical="center"/>
    </xf>
    <xf borderId="0" fillId="3" fontId="23" numFmtId="49" xfId="0" applyAlignment="1" applyFont="1" applyNumberFormat="1">
      <alignment horizontal="center" vertical="center"/>
    </xf>
    <xf borderId="0" fillId="3" fontId="23" numFmtId="0" xfId="0" applyAlignment="1" applyFont="1">
      <alignment horizontal="center" readingOrder="0" vertical="center"/>
    </xf>
    <xf borderId="0" fillId="3" fontId="24" numFmtId="0" xfId="0" applyAlignment="1" applyFont="1">
      <alignment vertical="center"/>
    </xf>
    <xf borderId="5" fillId="3" fontId="23" numFmtId="165" xfId="0" applyAlignment="1" applyBorder="1" applyFont="1" applyNumberFormat="1">
      <alignment horizontal="right" vertical="center"/>
    </xf>
    <xf borderId="0" fillId="3" fontId="23" numFmtId="165" xfId="0" applyAlignment="1" applyFont="1" applyNumberFormat="1">
      <alignment horizontal="right" vertical="center"/>
    </xf>
    <xf borderId="0" fillId="3" fontId="22" numFmtId="165" xfId="0" applyAlignment="1" applyFont="1" applyNumberFormat="1">
      <alignment horizontal="right" vertical="center"/>
    </xf>
    <xf borderId="5" fillId="3" fontId="25" numFmtId="10" xfId="0" applyAlignment="1" applyBorder="1" applyFont="1" applyNumberFormat="1">
      <alignment horizontal="right" vertical="center"/>
    </xf>
    <xf borderId="0" fillId="3" fontId="25" numFmtId="10" xfId="0" applyAlignment="1" applyFont="1" applyNumberFormat="1">
      <alignment horizontal="right" readingOrder="0" vertical="center"/>
    </xf>
    <xf borderId="0" fillId="3" fontId="25" numFmtId="10" xfId="0" applyAlignment="1" applyFont="1" applyNumberFormat="1">
      <alignment horizontal="right" vertical="center"/>
    </xf>
    <xf borderId="0" fillId="3" fontId="23" numFmtId="10" xfId="0" applyAlignment="1" applyFont="1" applyNumberFormat="1">
      <alignment horizontal="right" vertical="center"/>
    </xf>
    <xf borderId="6" fillId="3" fontId="22" numFmtId="10" xfId="0" applyAlignment="1" applyBorder="1" applyFont="1" applyNumberFormat="1">
      <alignment horizontal="right" vertical="center"/>
    </xf>
    <xf borderId="5" fillId="3" fontId="23" numFmtId="3" xfId="0" applyAlignment="1" applyBorder="1" applyFont="1" applyNumberFormat="1">
      <alignment horizontal="center" vertical="center"/>
    </xf>
    <xf borderId="0" fillId="3" fontId="23" numFmtId="0" xfId="0" applyAlignment="1" applyFont="1">
      <alignment horizontal="center" vertical="center"/>
    </xf>
    <xf borderId="0" fillId="3" fontId="22" numFmtId="4" xfId="0" applyAlignment="1" applyFont="1" applyNumberFormat="1">
      <alignment horizontal="right" vertical="center"/>
    </xf>
    <xf borderId="0" fillId="6" fontId="25" numFmtId="0" xfId="0" applyAlignment="1" applyFont="1">
      <alignment horizontal="left" readingOrder="0" vertical="center"/>
    </xf>
    <xf borderId="0" fillId="6" fontId="25" numFmtId="0" xfId="0" applyAlignment="1" applyFont="1">
      <alignment readingOrder="0" vertical="center"/>
    </xf>
    <xf borderId="0" fillId="6" fontId="25" numFmtId="3" xfId="0" applyAlignment="1" applyFont="1" applyNumberFormat="1">
      <alignment horizontal="center" readingOrder="0" vertical="center"/>
    </xf>
    <xf borderId="0" fillId="6" fontId="23" numFmtId="0" xfId="0" applyAlignment="1" applyFont="1">
      <alignment horizontal="center" readingOrder="0" vertical="center"/>
    </xf>
    <xf borderId="5" fillId="6" fontId="23" numFmtId="165" xfId="0" applyAlignment="1" applyBorder="1" applyFont="1" applyNumberFormat="1">
      <alignment horizontal="right" vertical="center"/>
    </xf>
    <xf borderId="0" fillId="6" fontId="25" numFmtId="165" xfId="0" applyAlignment="1" applyFont="1" applyNumberFormat="1">
      <alignment horizontal="right" vertical="center"/>
    </xf>
    <xf borderId="0" fillId="6" fontId="26" numFmtId="165" xfId="0" applyAlignment="1" applyFont="1" applyNumberFormat="1">
      <alignment horizontal="right" vertical="center"/>
    </xf>
    <xf borderId="5" fillId="6" fontId="25" numFmtId="10" xfId="0" applyAlignment="1" applyBorder="1" applyFont="1" applyNumberFormat="1">
      <alignment horizontal="right" vertical="center"/>
    </xf>
    <xf borderId="0" fillId="6" fontId="25" numFmtId="10" xfId="0" applyAlignment="1" applyFont="1" applyNumberFormat="1">
      <alignment horizontal="right" readingOrder="0" vertical="center"/>
    </xf>
    <xf borderId="0" fillId="6" fontId="25" numFmtId="10" xfId="0" applyAlignment="1" applyFont="1" applyNumberFormat="1">
      <alignment horizontal="right" vertical="center"/>
    </xf>
    <xf borderId="6" fillId="6" fontId="26" numFmtId="10" xfId="0" applyAlignment="1" applyBorder="1" applyFont="1" applyNumberFormat="1">
      <alignment horizontal="right" vertical="center"/>
    </xf>
    <xf borderId="5" fillId="6" fontId="23" numFmtId="3" xfId="0" applyAlignment="1" applyBorder="1" applyFont="1" applyNumberFormat="1">
      <alignment horizontal="center" vertical="center"/>
    </xf>
    <xf borderId="0" fillId="6" fontId="25" numFmtId="0" xfId="0" applyAlignment="1" applyFont="1">
      <alignment horizontal="center" vertical="center"/>
    </xf>
    <xf borderId="0" fillId="6" fontId="22" numFmtId="4" xfId="0" applyAlignment="1" applyFont="1" applyNumberFormat="1">
      <alignment horizontal="right" vertical="center"/>
    </xf>
    <xf borderId="5" fillId="6" fontId="25" numFmtId="165" xfId="0" applyAlignment="1" applyBorder="1" applyFont="1" applyNumberFormat="1">
      <alignment horizontal="right" vertical="center"/>
    </xf>
    <xf borderId="0" fillId="3" fontId="25" numFmtId="0" xfId="0" applyAlignment="1" applyFont="1">
      <alignment horizontal="left" readingOrder="0" vertical="center"/>
    </xf>
    <xf borderId="0" fillId="3" fontId="25" numFmtId="0" xfId="0" applyAlignment="1" applyFont="1">
      <alignment readingOrder="0" vertical="center"/>
    </xf>
    <xf borderId="0" fillId="3" fontId="25" numFmtId="3" xfId="0" applyAlignment="1" applyFont="1" applyNumberFormat="1">
      <alignment horizontal="center" readingOrder="0" vertical="center"/>
    </xf>
    <xf borderId="0" fillId="3" fontId="25" numFmtId="165" xfId="0" applyAlignment="1" applyFont="1" applyNumberFormat="1">
      <alignment horizontal="right" vertical="center"/>
    </xf>
    <xf borderId="0" fillId="3" fontId="26" numFmtId="165" xfId="0" applyAlignment="1" applyFont="1" applyNumberFormat="1">
      <alignment horizontal="right" vertical="center"/>
    </xf>
    <xf borderId="6" fillId="3" fontId="26" numFmtId="10" xfId="0" applyAlignment="1" applyBorder="1" applyFont="1" applyNumberFormat="1">
      <alignment horizontal="right" vertical="center"/>
    </xf>
    <xf borderId="0" fillId="3" fontId="25" numFmtId="0" xfId="0" applyAlignment="1" applyFont="1">
      <alignment horizontal="center" vertical="center"/>
    </xf>
    <xf borderId="5" fillId="3" fontId="25" numFmtId="165" xfId="0" applyAlignment="1" applyBorder="1" applyFont="1" applyNumberFormat="1">
      <alignment horizontal="right" vertical="center"/>
    </xf>
    <xf borderId="0" fillId="3" fontId="25" numFmtId="165" xfId="0" applyAlignment="1" applyFont="1" applyNumberFormat="1">
      <alignment readingOrder="0" vertical="center"/>
    </xf>
    <xf borderId="0" fillId="6" fontId="25" numFmtId="165" xfId="0" applyAlignment="1" applyFont="1" applyNumberFormat="1">
      <alignment readingOrder="0" vertical="center"/>
    </xf>
    <xf borderId="0" fillId="0" fontId="17" numFmtId="0" xfId="0" applyAlignment="1" applyFont="1">
      <alignment readingOrder="0" vertical="center"/>
    </xf>
    <xf borderId="0" fillId="0" fontId="17" numFmtId="0" xfId="0" applyAlignment="1" applyFont="1">
      <alignment horizontal="center" readingOrder="0" vertical="center"/>
    </xf>
    <xf borderId="0" fillId="0" fontId="17" numFmtId="165" xfId="0" applyAlignment="1" applyFont="1" applyNumberFormat="1">
      <alignment horizontal="right" readingOrder="0" vertical="center"/>
    </xf>
    <xf borderId="0" fillId="0" fontId="17" numFmtId="168" xfId="0" applyAlignment="1" applyFont="1" applyNumberFormat="1">
      <alignment horizontal="right" readingOrder="0" vertical="center"/>
    </xf>
    <xf borderId="0" fillId="0" fontId="27" numFmtId="0" xfId="0" applyAlignment="1" applyFont="1">
      <alignment horizontal="right" vertical="center"/>
    </xf>
    <xf borderId="0" fillId="2" fontId="17" numFmtId="165" xfId="0" applyAlignment="1" applyFont="1" applyNumberFormat="1">
      <alignment readingOrder="0" vertical="center"/>
    </xf>
    <xf borderId="0" fillId="0" fontId="8" numFmtId="165" xfId="0" applyAlignment="1" applyFont="1" applyNumberFormat="1">
      <alignment vertical="center"/>
    </xf>
    <xf borderId="0" fillId="2" fontId="17" numFmtId="0" xfId="0" applyAlignment="1" applyFont="1">
      <alignment horizontal="center" readingOrder="0" vertical="center"/>
    </xf>
    <xf borderId="0" fillId="2" fontId="17" numFmtId="165" xfId="0" applyAlignment="1" applyFont="1" applyNumberFormat="1">
      <alignment horizontal="center" readingOrder="0" vertical="center"/>
    </xf>
    <xf borderId="7" fillId="0" fontId="8" numFmtId="0" xfId="0" applyAlignment="1" applyBorder="1" applyFont="1">
      <alignment readingOrder="0" shrinkToFit="0" vertical="center" wrapText="0"/>
    </xf>
    <xf borderId="0" fillId="0" fontId="21" numFmtId="4" xfId="0" applyAlignment="1" applyFont="1" applyNumberFormat="1">
      <alignment readingOrder="0" vertical="center"/>
    </xf>
    <xf borderId="7" fillId="0" fontId="8" numFmtId="3" xfId="0" applyAlignment="1" applyBorder="1" applyFont="1" applyNumberFormat="1">
      <alignment horizontal="center" readingOrder="0" shrinkToFit="0" vertical="center" wrapText="0"/>
    </xf>
    <xf borderId="0" fillId="0" fontId="21" numFmtId="4" xfId="0" applyAlignment="1" applyFont="1" applyNumberFormat="1">
      <alignment horizontal="right" readingOrder="0" vertical="center"/>
    </xf>
    <xf borderId="0" fillId="0" fontId="21" numFmtId="169" xfId="0" applyAlignment="1" applyFont="1" applyNumberFormat="1">
      <alignment horizontal="right" readingOrder="0" vertical="center"/>
    </xf>
    <xf borderId="0" fillId="0" fontId="21" numFmtId="0" xfId="0" applyAlignment="1" applyFont="1">
      <alignment horizontal="left" readingOrder="0" vertical="center"/>
    </xf>
    <xf borderId="0" fillId="6" fontId="8" numFmtId="0" xfId="0" applyAlignment="1" applyFont="1">
      <alignment vertical="center"/>
    </xf>
    <xf borderId="0" fillId="0" fontId="21" numFmtId="165" xfId="0" applyAlignment="1" applyFont="1" applyNumberFormat="1">
      <alignment vertical="center"/>
    </xf>
    <xf borderId="0" fillId="3" fontId="18" numFmtId="0" xfId="0" applyAlignment="1" applyFont="1">
      <alignment horizontal="center" vertical="center"/>
    </xf>
    <xf borderId="0" fillId="0" fontId="21" numFmtId="3" xfId="0" applyAlignment="1" applyFont="1" applyNumberFormat="1">
      <alignment horizontal="center" readingOrder="0" vertical="center"/>
    </xf>
    <xf borderId="0" fillId="0" fontId="8" numFmtId="3" xfId="0" applyAlignment="1" applyFont="1" applyNumberFormat="1">
      <alignment horizontal="center" readingOrder="0" vertical="center"/>
    </xf>
    <xf borderId="0" fillId="0" fontId="8" numFmtId="0" xfId="0" applyAlignment="1" applyFont="1">
      <alignment readingOrder="0" shrinkToFit="0" vertical="center" wrapText="0"/>
    </xf>
    <xf borderId="0" fillId="6" fontId="8" numFmtId="0" xfId="0" applyAlignment="1" applyFont="1">
      <alignment readingOrder="0" vertical="center"/>
    </xf>
    <xf borderId="0" fillId="3" fontId="18" numFmtId="0" xfId="0" applyAlignment="1" applyFont="1">
      <alignment horizontal="center" readingOrder="0" vertical="center"/>
    </xf>
    <xf borderId="0" fillId="0" fontId="28" numFmtId="0" xfId="0" applyAlignment="1" applyFont="1">
      <alignment horizontal="center" readingOrder="0" vertical="bottom"/>
    </xf>
    <xf borderId="0" fillId="0" fontId="28" numFmtId="0" xfId="0" applyAlignment="1" applyFont="1">
      <alignment vertical="bottom"/>
    </xf>
    <xf borderId="0" fillId="0" fontId="29" numFmtId="0" xfId="0" applyFont="1"/>
    <xf borderId="0" fillId="0" fontId="28" numFmtId="0" xfId="0" applyAlignment="1" applyFont="1">
      <alignment horizontal="center" readingOrder="0"/>
    </xf>
    <xf borderId="0" fillId="0" fontId="29" numFmtId="168" xfId="0" applyAlignment="1" applyFont="1" applyNumberFormat="1">
      <alignment horizontal="center" readingOrder="0" vertical="bottom"/>
    </xf>
    <xf borderId="0" fillId="0" fontId="29" numFmtId="0" xfId="0" applyAlignment="1" applyFont="1">
      <alignment readingOrder="0" vertical="bottom"/>
    </xf>
    <xf borderId="0" fillId="0" fontId="29" numFmtId="0" xfId="0" applyAlignment="1" applyFont="1">
      <alignment readingOrder="0"/>
    </xf>
    <xf borderId="0" fillId="0" fontId="29" numFmtId="0" xfId="0" applyAlignment="1" applyFont="1">
      <alignment horizontal="center" readingOrder="0"/>
    </xf>
    <xf borderId="0" fillId="0" fontId="29" numFmtId="169" xfId="0" applyAlignment="1" applyFont="1" applyNumberFormat="1">
      <alignment horizontal="center" readingOrder="0"/>
    </xf>
    <xf borderId="0" fillId="0" fontId="29" numFmtId="14" xfId="0" applyAlignment="1" applyFont="1" applyNumberFormat="1">
      <alignment horizontal="center"/>
    </xf>
    <xf borderId="0" fillId="0" fontId="29" numFmtId="0" xfId="0" applyAlignment="1" applyFont="1">
      <alignment horizontal="center"/>
    </xf>
    <xf borderId="0" fillId="0" fontId="28" numFmtId="46" xfId="0" applyAlignment="1" applyFont="1" applyNumberFormat="1">
      <alignment horizontal="right" vertical="bottom"/>
    </xf>
    <xf borderId="0" fillId="0" fontId="29" numFmtId="14" xfId="0" applyAlignment="1" applyFont="1" applyNumberFormat="1">
      <alignment horizontal="center" readingOrder="0"/>
    </xf>
    <xf borderId="0" fillId="0" fontId="22" numFmtId="0" xfId="0" applyAlignment="1" applyFont="1">
      <alignment horizontal="center" readingOrder="0" vertical="center"/>
    </xf>
    <xf borderId="0" fillId="0" fontId="30" numFmtId="0" xfId="0" applyAlignment="1" applyFont="1">
      <alignment horizontal="center" readingOrder="0" vertical="bottom"/>
    </xf>
    <xf borderId="6" fillId="0" fontId="30" numFmtId="0" xfId="0" applyAlignment="1" applyBorder="1" applyFont="1">
      <alignment horizontal="center" readingOrder="0" vertical="bottom"/>
    </xf>
    <xf borderId="0" fillId="0" fontId="22" numFmtId="0" xfId="0" applyAlignment="1" applyFont="1">
      <alignment horizontal="center" readingOrder="0" vertical="bottom"/>
    </xf>
    <xf borderId="0" fillId="0" fontId="22" numFmtId="10" xfId="0" applyAlignment="1" applyFont="1" applyNumberFormat="1">
      <alignment horizontal="center" vertical="center"/>
    </xf>
    <xf borderId="0" fillId="0" fontId="23" numFmtId="172" xfId="0" applyAlignment="1" applyFont="1" applyNumberFormat="1">
      <alignment horizontal="center" readingOrder="0" vertical="bottom"/>
    </xf>
    <xf borderId="0" fillId="0" fontId="23" numFmtId="10" xfId="0" applyAlignment="1" applyFont="1" applyNumberFormat="1">
      <alignment horizontal="center" readingOrder="0" vertical="bottom"/>
    </xf>
    <xf borderId="0" fillId="0" fontId="23" numFmtId="10" xfId="0" applyAlignment="1" applyFont="1" applyNumberFormat="1">
      <alignment horizontal="center" vertical="bottom"/>
    </xf>
    <xf borderId="6" fillId="0" fontId="23" numFmtId="10" xfId="0" applyAlignment="1" applyBorder="1" applyFont="1" applyNumberFormat="1">
      <alignment horizontal="center" vertical="bottom"/>
    </xf>
    <xf borderId="0" fillId="2" fontId="21" numFmtId="0" xfId="0" applyAlignment="1" applyFont="1">
      <alignment vertical="center"/>
    </xf>
    <xf borderId="0" fillId="0" fontId="21" numFmtId="168" xfId="0" applyAlignment="1" applyFont="1" applyNumberFormat="1">
      <alignment horizontal="center" vertical="center"/>
    </xf>
    <xf borderId="0" fillId="0" fontId="21" numFmtId="4" xfId="0" applyAlignment="1" applyFont="1" applyNumberFormat="1">
      <alignment horizontal="center" vertical="center"/>
    </xf>
    <xf borderId="0" fillId="0" fontId="21" numFmtId="0" xfId="0" applyAlignment="1" applyFont="1">
      <alignment vertical="center"/>
    </xf>
    <xf borderId="0" fillId="9" fontId="1" numFmtId="0" xfId="0" applyAlignment="1" applyFont="1">
      <alignment readingOrder="0"/>
    </xf>
    <xf borderId="0" fillId="0" fontId="31" numFmtId="0" xfId="0" applyAlignment="1" applyFont="1">
      <alignment horizontal="right" readingOrder="0" vertical="center"/>
    </xf>
    <xf borderId="0" fillId="0" fontId="31" numFmtId="4" xfId="0" applyAlignment="1" applyFont="1" applyNumberFormat="1">
      <alignment horizontal="center" vertical="center"/>
    </xf>
    <xf borderId="0" fillId="0" fontId="1" numFmtId="0" xfId="0" applyFont="1"/>
    <xf borderId="0" fillId="0" fontId="1" numFmtId="168" xfId="0" applyFont="1" applyNumberFormat="1"/>
    <xf borderId="0" fillId="0" fontId="21" numFmtId="4" xfId="0" applyAlignment="1" applyFont="1" applyNumberFormat="1">
      <alignment horizontal="center" readingOrder="0" shrinkToFit="0" vertical="center" wrapText="1"/>
    </xf>
    <xf borderId="0" fillId="0" fontId="1" numFmtId="4" xfId="0" applyFont="1" applyNumberFormat="1"/>
    <xf borderId="0" fillId="9" fontId="1" numFmtId="0" xfId="0" applyFont="1"/>
    <xf borderId="0" fillId="9" fontId="1" numFmtId="168" xfId="0" applyFont="1" applyNumberFormat="1"/>
    <xf borderId="0" fillId="9" fontId="1" numFmtId="4" xfId="0" applyFont="1" applyNumberFormat="1"/>
    <xf borderId="0" fillId="13" fontId="32" numFmtId="0" xfId="0" applyAlignment="1" applyFill="1" applyFont="1">
      <alignment readingOrder="0"/>
    </xf>
    <xf borderId="0" fillId="13" fontId="1" numFmtId="0" xfId="0" applyFont="1"/>
    <xf borderId="0" fillId="13" fontId="1" numFmtId="0" xfId="0" applyAlignment="1" applyFont="1">
      <alignment horizontal="right"/>
    </xf>
    <xf borderId="0" fillId="0" fontId="1" numFmtId="0" xfId="0" applyAlignment="1" applyFont="1">
      <alignment horizontal="right"/>
    </xf>
    <xf borderId="8" fillId="14" fontId="33" numFmtId="0" xfId="0" applyAlignment="1" applyBorder="1" applyFill="1" applyFont="1">
      <alignment horizontal="left" readingOrder="0" shrinkToFit="0" wrapText="0"/>
    </xf>
    <xf borderId="8" fillId="14" fontId="34" numFmtId="0" xfId="0" applyAlignment="1" applyBorder="1" applyFont="1">
      <alignment horizontal="center" readingOrder="0" shrinkToFit="0" wrapText="0"/>
    </xf>
    <xf borderId="9" fillId="3" fontId="35" numFmtId="0" xfId="0" applyAlignment="1" applyBorder="1" applyFont="1">
      <alignment horizontal="left" readingOrder="0" shrinkToFit="0" wrapText="0"/>
    </xf>
    <xf borderId="9" fillId="3" fontId="35" numFmtId="4" xfId="0" applyAlignment="1" applyBorder="1" applyFont="1" applyNumberFormat="1">
      <alignment horizontal="right" readingOrder="0" shrinkToFit="0" wrapText="0"/>
    </xf>
    <xf borderId="9" fillId="3" fontId="36" numFmtId="0" xfId="0" applyAlignment="1" applyBorder="1" applyFont="1">
      <alignment horizontal="left" shrinkToFit="0" wrapText="0"/>
    </xf>
    <xf borderId="9" fillId="3" fontId="35" numFmtId="0" xfId="0" applyAlignment="1" applyBorder="1" applyFont="1">
      <alignment horizontal="right" readingOrder="0" shrinkToFit="0" wrapText="0"/>
    </xf>
    <xf borderId="10" fillId="3" fontId="36" numFmtId="0" xfId="0" applyAlignment="1" applyBorder="1" applyFont="1">
      <alignment horizontal="left" shrinkToFit="0" wrapText="0"/>
    </xf>
    <xf borderId="11" fillId="3" fontId="35" numFmtId="0" xfId="0" applyAlignment="1" applyBorder="1" applyFont="1">
      <alignment horizontal="left" readingOrder="0" shrinkToFit="0" wrapText="0"/>
    </xf>
    <xf borderId="11" fillId="3" fontId="35" numFmtId="0" xfId="0" applyAlignment="1" applyBorder="1" applyFont="1">
      <alignment horizontal="right" readingOrder="0" shrinkToFit="0" wrapText="0"/>
    </xf>
    <xf borderId="11" fillId="15" fontId="34" numFmtId="0" xfId="0" applyAlignment="1" applyBorder="1" applyFill="1" applyFont="1">
      <alignment horizontal="left" readingOrder="0" shrinkToFit="0" wrapText="0"/>
    </xf>
    <xf borderId="11" fillId="15" fontId="34" numFmtId="4" xfId="0" applyAlignment="1" applyBorder="1" applyFont="1" applyNumberFormat="1">
      <alignment horizontal="right" readingOrder="0" shrinkToFit="0" wrapText="0"/>
    </xf>
    <xf borderId="9" fillId="16" fontId="37" numFmtId="0" xfId="0" applyAlignment="1" applyBorder="1" applyFill="1" applyFont="1">
      <alignment horizontal="left" readingOrder="0" shrinkToFit="0" wrapText="0"/>
    </xf>
    <xf borderId="9" fillId="16" fontId="37" numFmtId="9" xfId="0" applyAlignment="1" applyBorder="1" applyFont="1" applyNumberFormat="1">
      <alignment horizontal="right" readingOrder="0" shrinkToFit="0" wrapText="0"/>
    </xf>
    <xf borderId="11" fillId="3" fontId="35" numFmtId="0" xfId="0" applyAlignment="1" applyBorder="1" applyFont="1">
      <alignment horizontal="left" shrinkToFit="0" wrapText="0"/>
    </xf>
    <xf borderId="9" fillId="3" fontId="38" numFmtId="0" xfId="0" applyAlignment="1" applyBorder="1" applyFont="1">
      <alignment horizontal="left" readingOrder="0" shrinkToFit="0" wrapText="0"/>
    </xf>
    <xf borderId="9" fillId="3" fontId="38" numFmtId="4" xfId="0" applyAlignment="1" applyBorder="1" applyFont="1" applyNumberFormat="1">
      <alignment horizontal="right" readingOrder="0" shrinkToFit="0" wrapText="0"/>
    </xf>
    <xf borderId="0" fillId="13" fontId="16" numFmtId="173" xfId="0" applyAlignment="1" applyFont="1" applyNumberFormat="1">
      <alignment readingOrder="0" vertical="center"/>
    </xf>
    <xf borderId="0" fillId="0" fontId="16" numFmtId="173" xfId="0" applyAlignment="1" applyFont="1" applyNumberFormat="1">
      <alignment readingOrder="0" vertical="center"/>
    </xf>
    <xf borderId="12" fillId="0" fontId="1" numFmtId="0" xfId="0" applyBorder="1" applyFont="1"/>
    <xf borderId="0" fillId="14" fontId="33" numFmtId="0" xfId="0" applyAlignment="1" applyFont="1">
      <alignment horizontal="left" readingOrder="0" shrinkToFit="0" wrapText="0"/>
    </xf>
    <xf borderId="0" fillId="14" fontId="33" numFmtId="0" xfId="0" applyAlignment="1" applyFont="1">
      <alignment horizontal="right" readingOrder="0" shrinkToFit="0" wrapText="0"/>
    </xf>
    <xf borderId="12" fillId="14" fontId="33" numFmtId="0" xfId="0" applyAlignment="1" applyBorder="1" applyFont="1">
      <alignment horizontal="right" readingOrder="0" shrinkToFit="0" wrapText="0"/>
    </xf>
    <xf borderId="0" fillId="0" fontId="3" numFmtId="166" xfId="0" applyAlignment="1" applyFont="1" applyNumberFormat="1">
      <alignment vertical="center"/>
    </xf>
    <xf borderId="12" fillId="16" fontId="3" numFmtId="166" xfId="0" applyAlignment="1" applyBorder="1" applyFont="1" applyNumberFormat="1">
      <alignment vertical="center"/>
    </xf>
    <xf borderId="12" fillId="16" fontId="1" numFmtId="0" xfId="0" applyBorder="1" applyFont="1"/>
    <xf borderId="4" fillId="2" fontId="17" numFmtId="0" xfId="0" applyAlignment="1" applyBorder="1" applyFont="1">
      <alignment vertical="center"/>
    </xf>
    <xf borderId="4" fillId="2" fontId="17" numFmtId="166" xfId="0" applyAlignment="1" applyBorder="1" applyFont="1" applyNumberFormat="1">
      <alignment vertical="center"/>
    </xf>
    <xf borderId="13" fillId="2" fontId="17" numFmtId="166" xfId="0" applyAlignment="1" applyBorder="1" applyFont="1" applyNumberFormat="1">
      <alignment vertical="center"/>
    </xf>
    <xf borderId="14" fillId="2" fontId="17" numFmtId="166" xfId="0" applyAlignment="1" applyBorder="1" applyFont="1" applyNumberFormat="1">
      <alignment vertical="center"/>
    </xf>
    <xf borderId="12" fillId="16" fontId="16" numFmtId="165" xfId="0" applyAlignment="1" applyBorder="1" applyFont="1" applyNumberFormat="1">
      <alignment vertical="center"/>
    </xf>
    <xf borderId="0" fillId="5" fontId="39" numFmtId="0" xfId="0" applyAlignment="1" applyFont="1">
      <alignment horizontal="center" readingOrder="0"/>
    </xf>
    <xf borderId="15" fillId="7" fontId="39" numFmtId="0" xfId="0" applyAlignment="1" applyBorder="1" applyFont="1">
      <alignment horizontal="center" readingOrder="0"/>
    </xf>
    <xf borderId="15" fillId="6" fontId="31" numFmtId="0" xfId="0" applyAlignment="1" applyBorder="1" applyFont="1">
      <alignment horizontal="center" readingOrder="0" vertical="center"/>
    </xf>
    <xf borderId="0" fillId="4" fontId="33" numFmtId="0" xfId="0" applyAlignment="1" applyFont="1">
      <alignment horizontal="right" readingOrder="0"/>
    </xf>
    <xf borderId="0" fillId="4" fontId="33" numFmtId="0" xfId="0" applyAlignment="1" applyFont="1">
      <alignment horizontal="right"/>
    </xf>
    <xf borderId="15" fillId="4" fontId="33" numFmtId="0" xfId="0" applyAlignment="1" applyBorder="1" applyFont="1">
      <alignment horizontal="right" readingOrder="0"/>
    </xf>
    <xf borderId="15" fillId="6" fontId="31" numFmtId="0" xfId="0" applyAlignment="1" applyBorder="1" applyFont="1">
      <alignment horizontal="right" readingOrder="0" vertical="center"/>
    </xf>
    <xf borderId="0" fillId="6" fontId="31" numFmtId="0" xfId="0" applyAlignment="1" applyFont="1">
      <alignment horizontal="right" readingOrder="0" vertical="center"/>
    </xf>
    <xf borderId="0" fillId="6" fontId="31" numFmtId="0" xfId="0" applyAlignment="1" applyFont="1">
      <alignment horizontal="right" vertical="center"/>
    </xf>
    <xf borderId="0" fillId="0" fontId="8" numFmtId="165" xfId="0" applyAlignment="1" applyFont="1" applyNumberFormat="1">
      <alignment horizontal="right"/>
    </xf>
    <xf borderId="0" fillId="0" fontId="8" numFmtId="46" xfId="0" applyAlignment="1" applyFont="1" applyNumberFormat="1">
      <alignment horizontal="right"/>
    </xf>
    <xf borderId="15" fillId="0" fontId="8" numFmtId="165" xfId="0" applyAlignment="1" applyBorder="1" applyFont="1" applyNumberFormat="1">
      <alignment horizontal="right" vertical="bottom"/>
    </xf>
    <xf borderId="0" fillId="0" fontId="8" numFmtId="46" xfId="0" applyAlignment="1" applyFont="1" applyNumberFormat="1">
      <alignment horizontal="right" vertical="bottom"/>
    </xf>
    <xf borderId="0" fillId="0" fontId="8" numFmtId="165" xfId="0" applyAlignment="1" applyFont="1" applyNumberFormat="1">
      <alignment horizontal="right" vertical="bottom"/>
    </xf>
    <xf borderId="15" fillId="6" fontId="21" numFmtId="165" xfId="0" applyAlignment="1" applyBorder="1" applyFont="1" applyNumberFormat="1">
      <alignment vertical="center"/>
    </xf>
    <xf borderId="0" fillId="6" fontId="21" numFmtId="46" xfId="0" applyAlignment="1" applyFont="1" applyNumberFormat="1">
      <alignment vertical="center"/>
    </xf>
    <xf borderId="0" fillId="6" fontId="21" numFmtId="165" xfId="0" applyAlignment="1" applyFont="1" applyNumberFormat="1">
      <alignment vertical="center"/>
    </xf>
    <xf borderId="0" fillId="0" fontId="40" numFmtId="0" xfId="0" applyAlignment="1" applyFont="1">
      <alignment horizontal="right" readingOrder="0"/>
    </xf>
    <xf borderId="4" fillId="2" fontId="33" numFmtId="166" xfId="0" applyAlignment="1" applyBorder="1" applyFont="1" applyNumberFormat="1">
      <alignment horizontal="right"/>
    </xf>
    <xf borderId="16" fillId="2" fontId="33" numFmtId="46" xfId="0" applyAlignment="1" applyBorder="1" applyFont="1" applyNumberFormat="1">
      <alignment horizontal="right"/>
    </xf>
    <xf borderId="16" fillId="2" fontId="33" numFmtId="166" xfId="0" applyAlignment="1" applyBorder="1" applyFont="1" applyNumberFormat="1">
      <alignment horizontal="right"/>
    </xf>
    <xf borderId="17" fillId="2" fontId="33" numFmtId="46" xfId="0" applyAlignment="1" applyBorder="1" applyFont="1" applyNumberFormat="1">
      <alignment horizontal="right"/>
    </xf>
    <xf borderId="18" fillId="2" fontId="33" numFmtId="166" xfId="0" applyAlignment="1" applyBorder="1" applyFont="1" applyNumberFormat="1">
      <alignment horizontal="right" vertical="bottom"/>
    </xf>
    <xf borderId="17" fillId="2" fontId="33" numFmtId="46" xfId="0" applyAlignment="1" applyBorder="1" applyFont="1" applyNumberFormat="1">
      <alignment horizontal="right" vertical="bottom"/>
    </xf>
    <xf borderId="17" fillId="2" fontId="33" numFmtId="166" xfId="0" applyAlignment="1" applyBorder="1" applyFont="1" applyNumberFormat="1">
      <alignment horizontal="right" vertical="bottom"/>
    </xf>
    <xf borderId="18" fillId="6" fontId="31" numFmtId="166" xfId="0" applyAlignment="1" applyBorder="1" applyFont="1" applyNumberFormat="1">
      <alignment vertical="center"/>
    </xf>
    <xf borderId="4" fillId="6" fontId="31" numFmtId="46" xfId="0" applyAlignment="1" applyBorder="1" applyFont="1" applyNumberFormat="1">
      <alignment vertical="center"/>
    </xf>
    <xf borderId="19" fillId="17" fontId="41" numFmtId="0" xfId="0" applyBorder="1" applyFill="1" applyFont="1"/>
    <xf borderId="15" fillId="7" fontId="2" numFmtId="0" xfId="0" applyAlignment="1" applyBorder="1" applyFont="1">
      <alignment horizontal="center" readingOrder="0" vertical="center"/>
    </xf>
    <xf borderId="15" fillId="4" fontId="17" numFmtId="0" xfId="0" applyAlignment="1" applyBorder="1" applyFont="1">
      <alignment horizontal="right" readingOrder="0" vertical="center"/>
    </xf>
    <xf borderId="0" fillId="0" fontId="3" numFmtId="49" xfId="0" applyAlignment="1" applyFont="1" applyNumberFormat="1">
      <alignment readingOrder="0" vertical="center"/>
    </xf>
    <xf borderId="0" fillId="0" fontId="3" numFmtId="166" xfId="0" applyAlignment="1" applyFont="1" applyNumberFormat="1">
      <alignment readingOrder="0" vertical="center"/>
    </xf>
    <xf borderId="15" fillId="0" fontId="3" numFmtId="166" xfId="0" applyAlignment="1" applyBorder="1" applyFont="1" applyNumberFormat="1">
      <alignment horizontal="right" readingOrder="0" vertical="center"/>
    </xf>
    <xf borderId="15" fillId="6" fontId="21" numFmtId="166" xfId="0" applyAlignment="1" applyBorder="1" applyFont="1" applyNumberFormat="1">
      <alignment horizontal="right" readingOrder="0" vertical="center"/>
    </xf>
    <xf borderId="0" fillId="6" fontId="21" numFmtId="166" xfId="0" applyAlignment="1" applyFont="1" applyNumberFormat="1">
      <alignment horizontal="right" readingOrder="0" vertical="center"/>
    </xf>
    <xf borderId="0" fillId="0" fontId="3" numFmtId="166" xfId="0" applyAlignment="1" applyFont="1" applyNumberFormat="1">
      <alignment horizontal="right" readingOrder="0" vertical="center"/>
    </xf>
    <xf borderId="18" fillId="2" fontId="17" numFmtId="166" xfId="0" applyAlignment="1" applyBorder="1" applyFont="1" applyNumberFormat="1">
      <alignment horizontal="right" vertical="center"/>
    </xf>
    <xf borderId="4" fillId="2" fontId="17" numFmtId="166" xfId="0" applyAlignment="1" applyBorder="1" applyFont="1" applyNumberFormat="1">
      <alignment horizontal="right" vertical="center"/>
    </xf>
    <xf borderId="18" fillId="6" fontId="31" numFmtId="166" xfId="0" applyAlignment="1" applyBorder="1" applyFont="1" applyNumberFormat="1">
      <alignment horizontal="right" vertical="center"/>
    </xf>
    <xf borderId="4" fillId="6" fontId="31" numFmtId="166" xfId="0" applyAlignment="1" applyBorder="1" applyFont="1" applyNumberFormat="1">
      <alignment horizontal="right" vertical="center"/>
    </xf>
    <xf borderId="13" fillId="6" fontId="31" numFmtId="166" xfId="0" applyAlignment="1" applyBorder="1" applyFont="1" applyNumberFormat="1">
      <alignment horizontal="right" vertical="center"/>
    </xf>
    <xf borderId="0" fillId="0" fontId="8" numFmtId="0" xfId="0" applyAlignment="1" applyFont="1">
      <alignment readingOrder="0"/>
    </xf>
    <xf borderId="0" fillId="0" fontId="8" numFmtId="49" xfId="0" applyAlignment="1" applyFont="1" applyNumberFormat="1">
      <alignment readingOrder="0"/>
    </xf>
    <xf borderId="0" fillId="0" fontId="8" numFmtId="0" xfId="0" applyAlignment="1" applyFont="1">
      <alignment readingOrder="0"/>
    </xf>
    <xf borderId="0" fillId="0" fontId="8" numFmtId="166" xfId="0" applyAlignment="1" applyFont="1" applyNumberFormat="1">
      <alignment horizontal="right"/>
    </xf>
    <xf borderId="0" fillId="0" fontId="8" numFmtId="166" xfId="0" applyAlignment="1" applyFont="1" applyNumberFormat="1">
      <alignment horizontal="right" readingOrder="0"/>
    </xf>
    <xf borderId="0" fillId="2" fontId="21" numFmtId="0" xfId="0" applyAlignment="1" applyFont="1">
      <alignment shrinkToFit="0" vertical="center" wrapText="1"/>
    </xf>
    <xf borderId="0" fillId="2" fontId="21" numFmtId="168" xfId="0" applyAlignment="1" applyFont="1" applyNumberFormat="1">
      <alignment shrinkToFit="0" vertical="center" wrapText="1"/>
    </xf>
    <xf borderId="0" fillId="2" fontId="21" numFmtId="0" xfId="0" applyAlignment="1" applyFont="1">
      <alignment horizontal="center" shrinkToFit="0" vertical="center" wrapText="1"/>
    </xf>
    <xf borderId="0" fillId="2" fontId="21" numFmtId="165" xfId="0" applyAlignment="1" applyFont="1" applyNumberFormat="1">
      <alignment shrinkToFit="0" vertical="center" wrapText="1"/>
    </xf>
    <xf borderId="0" fillId="0" fontId="21" numFmtId="0" xfId="0" applyAlignment="1" applyFont="1">
      <alignment shrinkToFit="0" vertical="center" wrapText="1"/>
    </xf>
    <xf borderId="0" fillId="0" fontId="10" numFmtId="0" xfId="0" applyAlignment="1" applyFont="1">
      <alignment readingOrder="0" shrinkToFit="0" vertical="center" wrapText="1"/>
    </xf>
    <xf borderId="0" fillId="0" fontId="21" numFmtId="168" xfId="0" applyAlignment="1" applyFont="1" applyNumberFormat="1">
      <alignment shrinkToFit="0" vertical="center" wrapText="1"/>
    </xf>
    <xf borderId="0" fillId="0" fontId="21" numFmtId="0" xfId="0" applyAlignment="1" applyFont="1">
      <alignment horizontal="center" shrinkToFit="0" vertical="center" wrapText="1"/>
    </xf>
    <xf borderId="0" fillId="0" fontId="21" numFmtId="165" xfId="0" applyAlignment="1" applyFont="1" applyNumberFormat="1">
      <alignment shrinkToFit="0" vertical="center" wrapText="1"/>
    </xf>
    <xf borderId="0" fillId="0" fontId="6" numFmtId="0" xfId="0" applyAlignment="1" applyFont="1">
      <alignment readingOrder="0" shrinkToFit="0" vertical="center" wrapText="0"/>
    </xf>
    <xf borderId="0" fillId="0" fontId="31" numFmtId="0" xfId="0" applyAlignment="1" applyFont="1">
      <alignment readingOrder="0" shrinkToFit="0" vertical="center" wrapText="1"/>
    </xf>
    <xf borderId="0" fillId="0" fontId="42" numFmtId="0" xfId="0" applyAlignment="1" applyFont="1">
      <alignment readingOrder="0" shrinkToFit="0" vertical="center" wrapText="1"/>
    </xf>
    <xf borderId="0" fillId="0" fontId="21" numFmtId="168" xfId="0" applyAlignment="1" applyFont="1" applyNumberFormat="1">
      <alignment readingOrder="0" shrinkToFit="0" vertical="center" wrapText="1"/>
    </xf>
    <xf borderId="0" fillId="0" fontId="21" numFmtId="0" xfId="0" applyAlignment="1" applyFont="1">
      <alignment readingOrder="0" shrinkToFit="0" vertical="top" wrapText="1"/>
    </xf>
    <xf borderId="0" fillId="0" fontId="21" numFmtId="168" xfId="0" applyAlignment="1" applyFont="1" applyNumberFormat="1">
      <alignment readingOrder="0" shrinkToFit="0" vertical="top" wrapText="1"/>
    </xf>
    <xf borderId="0" fillId="0" fontId="21" numFmtId="0" xfId="0" applyAlignment="1" applyFont="1">
      <alignment horizontal="center" readingOrder="0" shrinkToFit="0" vertical="top" wrapText="1"/>
    </xf>
    <xf borderId="0" fillId="0" fontId="1" numFmtId="0" xfId="0" applyAlignment="1" applyFont="1">
      <alignment readingOrder="0" vertical="top"/>
    </xf>
    <xf borderId="0" fillId="0" fontId="21" numFmtId="165" xfId="0" applyAlignment="1" applyFont="1" applyNumberFormat="1">
      <alignment horizontal="right" readingOrder="0" vertical="top"/>
    </xf>
    <xf borderId="0" fillId="0" fontId="43" numFmtId="0" xfId="0" applyAlignment="1" applyFont="1">
      <alignment readingOrder="0" shrinkToFit="0" vertical="top" wrapText="1"/>
    </xf>
    <xf borderId="0" fillId="0" fontId="44" numFmtId="0" xfId="0" applyAlignment="1" applyFont="1">
      <alignment readingOrder="0" shrinkToFit="0" vertical="center" wrapText="1"/>
    </xf>
    <xf borderId="0" fillId="0" fontId="45" numFmtId="0" xfId="0" applyAlignment="1" applyFont="1">
      <alignment readingOrder="0" shrinkToFit="0" vertical="center" wrapText="1"/>
    </xf>
    <xf borderId="0" fillId="9" fontId="46" numFmtId="0" xfId="0" applyAlignment="1" applyFont="1">
      <alignment readingOrder="0" shrinkToFit="0" vertical="center" wrapText="1"/>
    </xf>
    <xf borderId="0" fillId="9" fontId="21" numFmtId="0" xfId="0" applyAlignment="1" applyFont="1">
      <alignment readingOrder="0" shrinkToFit="0" vertical="center" wrapText="1"/>
    </xf>
    <xf borderId="0" fillId="9" fontId="21" numFmtId="168" xfId="0" applyAlignment="1" applyFont="1" applyNumberFormat="1">
      <alignment readingOrder="0" shrinkToFit="0" vertical="center" wrapText="1"/>
    </xf>
    <xf borderId="0" fillId="9" fontId="21" numFmtId="0" xfId="0" applyAlignment="1" applyFont="1">
      <alignment horizontal="center" readingOrder="0" shrinkToFit="0" vertical="center" wrapText="1"/>
    </xf>
    <xf borderId="0" fillId="9" fontId="1" numFmtId="0" xfId="0" applyAlignment="1" applyFont="1">
      <alignment readingOrder="0" vertical="center"/>
    </xf>
    <xf borderId="0" fillId="9" fontId="21" numFmtId="165" xfId="0" applyAlignment="1" applyFont="1" applyNumberFormat="1">
      <alignment horizontal="right" readingOrder="0" vertical="center"/>
    </xf>
    <xf borderId="0" fillId="9" fontId="21" numFmtId="170" xfId="0" applyAlignment="1" applyFont="1" applyNumberFormat="1">
      <alignment readingOrder="0" shrinkToFit="0" vertical="center" wrapText="1"/>
    </xf>
    <xf borderId="0" fillId="0" fontId="21" numFmtId="170" xfId="0" applyAlignment="1" applyFont="1" applyNumberFormat="1">
      <alignment readingOrder="0" shrinkToFit="0" vertical="center" wrapText="1"/>
    </xf>
    <xf borderId="0" fillId="0" fontId="21" numFmtId="169" xfId="0" applyAlignment="1" applyFont="1" applyNumberFormat="1">
      <alignment readingOrder="0" shrinkToFit="0" vertical="center" wrapText="1"/>
    </xf>
    <xf borderId="0" fillId="9" fontId="21" numFmtId="169" xfId="0" applyAlignment="1" applyFont="1" applyNumberFormat="1">
      <alignment readingOrder="0" shrinkToFit="0" vertical="center" wrapText="1"/>
    </xf>
    <xf borderId="0" fillId="5" fontId="1" numFmtId="0" xfId="0" applyAlignment="1" applyFont="1">
      <alignment readingOrder="0" vertical="center"/>
    </xf>
    <xf borderId="0" fillId="0" fontId="1" numFmtId="0" xfId="0" applyAlignment="1" applyFont="1">
      <alignment shrinkToFit="0" wrapText="1"/>
    </xf>
    <xf borderId="0" fillId="0" fontId="1" numFmtId="0" xfId="0" applyAlignment="1" applyFont="1">
      <alignment readingOrder="0" shrinkToFit="0" wrapText="1"/>
    </xf>
    <xf quotePrefix="1" borderId="0" fillId="0" fontId="1" numFmtId="0" xfId="0" applyAlignment="1" applyFont="1">
      <alignment readingOrder="0"/>
    </xf>
    <xf borderId="0" fillId="9" fontId="1" numFmtId="0" xfId="0" applyAlignment="1" applyFont="1">
      <alignment vertical="center"/>
    </xf>
    <xf borderId="0" fillId="0" fontId="1" numFmtId="0" xfId="0" applyAlignment="1" applyFont="1">
      <alignment shrinkToFit="0" wrapText="1"/>
    </xf>
    <xf borderId="0" fillId="0" fontId="1" numFmtId="0" xfId="0" applyAlignment="1" applyFont="1">
      <alignment horizontal="left"/>
    </xf>
    <xf borderId="0" fillId="0" fontId="32" numFmtId="0" xfId="0" applyAlignment="1" applyFont="1">
      <alignment readingOrder="0"/>
    </xf>
    <xf borderId="0" fillId="0" fontId="32" numFmtId="0" xfId="0" applyFont="1"/>
    <xf borderId="0" fillId="0" fontId="32" numFmtId="0" xfId="0" applyAlignment="1" applyFont="1">
      <alignment horizontal="left" readingOrder="0"/>
    </xf>
    <xf borderId="0" fillId="0" fontId="32" numFmtId="0" xfId="0" applyAlignment="1" applyFont="1">
      <alignment horizontal="right" readingOrder="0"/>
    </xf>
    <xf borderId="0" fillId="6" fontId="1" numFmtId="0" xfId="0" applyFont="1"/>
    <xf borderId="0" fillId="6" fontId="1" numFmtId="0" xfId="0" applyAlignment="1" applyFont="1">
      <alignment horizontal="left"/>
    </xf>
    <xf borderId="0" fillId="6" fontId="1" numFmtId="165" xfId="0" applyAlignment="1" applyFont="1" applyNumberFormat="1">
      <alignment horizontal="right"/>
    </xf>
    <xf borderId="0" fillId="0" fontId="1" numFmtId="165" xfId="0" applyAlignment="1" applyFont="1" applyNumberFormat="1">
      <alignment horizontal="right"/>
    </xf>
    <xf borderId="0" fillId="5" fontId="1" numFmtId="0" xfId="0" applyFont="1"/>
    <xf borderId="0" fillId="5" fontId="1" numFmtId="0" xfId="0" applyAlignment="1" applyFont="1">
      <alignment horizontal="left"/>
    </xf>
    <xf borderId="0" fillId="5" fontId="1" numFmtId="165" xfId="0" applyAlignment="1" applyFont="1" applyNumberFormat="1">
      <alignment horizontal="right"/>
    </xf>
    <xf borderId="0" fillId="18" fontId="1" numFmtId="0" xfId="0" applyFill="1" applyFont="1"/>
    <xf borderId="0" fillId="18" fontId="1" numFmtId="0" xfId="0" applyAlignment="1" applyFont="1">
      <alignment horizontal="left"/>
    </xf>
    <xf borderId="0" fillId="18" fontId="1" numFmtId="165" xfId="0" applyAlignment="1" applyFont="1" applyNumberFormat="1">
      <alignment horizontal="right"/>
    </xf>
    <xf borderId="0" fillId="7" fontId="1" numFmtId="0" xfId="0" applyFont="1"/>
    <xf borderId="0" fillId="7" fontId="1" numFmtId="0" xfId="0" applyAlignment="1" applyFont="1">
      <alignment horizontal="left"/>
    </xf>
    <xf borderId="0" fillId="7" fontId="1" numFmtId="165" xfId="0" applyAlignment="1" applyFont="1" applyNumberFormat="1">
      <alignment horizontal="right"/>
    </xf>
    <xf borderId="0" fillId="19" fontId="1" numFmtId="0" xfId="0" applyFill="1" applyFont="1"/>
    <xf borderId="0" fillId="19" fontId="1" numFmtId="0" xfId="0" applyAlignment="1" applyFont="1">
      <alignment horizontal="left"/>
    </xf>
    <xf borderId="0" fillId="19" fontId="1" numFmtId="165" xfId="0" applyAlignment="1" applyFont="1" applyNumberFormat="1">
      <alignment horizontal="right"/>
    </xf>
    <xf borderId="0" fillId="20" fontId="1" numFmtId="0" xfId="0" applyFill="1" applyFont="1"/>
    <xf borderId="0" fillId="20" fontId="1" numFmtId="0" xfId="0" applyAlignment="1" applyFont="1">
      <alignment horizontal="left"/>
    </xf>
    <xf borderId="0" fillId="20" fontId="1" numFmtId="165" xfId="0" applyAlignment="1" applyFont="1" applyNumberFormat="1">
      <alignment horizontal="right"/>
    </xf>
    <xf borderId="0" fillId="0" fontId="26" numFmtId="0" xfId="0" applyAlignment="1" applyFont="1">
      <alignment readingOrder="0" vertical="bottom"/>
    </xf>
    <xf borderId="0" fillId="0" fontId="26" numFmtId="0" xfId="0" applyAlignment="1" applyFont="1">
      <alignment vertical="bottom"/>
    </xf>
    <xf borderId="0" fillId="0" fontId="26" numFmtId="49" xfId="0" applyAlignment="1" applyFont="1" applyNumberFormat="1">
      <alignment horizontal="right" vertical="bottom"/>
    </xf>
    <xf borderId="6" fillId="0" fontId="26" numFmtId="49" xfId="0" applyAlignment="1" applyBorder="1" applyFont="1" applyNumberFormat="1">
      <alignment horizontal="right" vertical="bottom"/>
    </xf>
    <xf borderId="5" fillId="0" fontId="47" numFmtId="49" xfId="0" applyAlignment="1" applyBorder="1" applyFont="1" applyNumberFormat="1">
      <alignment horizontal="right" vertical="bottom"/>
    </xf>
    <xf borderId="0" fillId="0" fontId="47" numFmtId="49" xfId="0" applyAlignment="1" applyFont="1" applyNumberFormat="1">
      <alignment horizontal="right" vertical="bottom"/>
    </xf>
    <xf borderId="0" fillId="0" fontId="25" numFmtId="165" xfId="0" applyAlignment="1" applyFont="1" applyNumberFormat="1">
      <alignment readingOrder="0" vertical="bottom"/>
    </xf>
    <xf borderId="0" fillId="0" fontId="25" numFmtId="0" xfId="0" applyAlignment="1" applyFont="1">
      <alignment readingOrder="0" vertical="bottom"/>
    </xf>
    <xf borderId="0" fillId="0" fontId="25" numFmtId="4" xfId="0" applyAlignment="1" applyFont="1" applyNumberFormat="1">
      <alignment horizontal="right" readingOrder="0" vertical="bottom"/>
    </xf>
    <xf borderId="0" fillId="0" fontId="25" numFmtId="165" xfId="0" applyAlignment="1" applyFont="1" applyNumberFormat="1">
      <alignment horizontal="right" readingOrder="0" vertical="bottom"/>
    </xf>
    <xf borderId="5" fillId="0" fontId="25" numFmtId="46" xfId="0" applyAlignment="1" applyBorder="1" applyFont="1" applyNumberFormat="1">
      <alignment vertical="center"/>
    </xf>
    <xf borderId="0" fillId="0" fontId="25" numFmtId="10" xfId="0" applyAlignment="1" applyFont="1" applyNumberFormat="1">
      <alignment horizontal="right"/>
    </xf>
    <xf borderId="0" fillId="0" fontId="25" numFmtId="0" xfId="0" applyAlignment="1" applyFont="1">
      <alignment horizontal="right" vertical="center"/>
    </xf>
    <xf borderId="0" fillId="0" fontId="25" numFmtId="0" xfId="0" applyAlignment="1" applyFont="1">
      <alignment vertical="bottom"/>
    </xf>
    <xf borderId="0" fillId="3" fontId="25" numFmtId="165" xfId="0" applyAlignment="1" applyFont="1" applyNumberFormat="1">
      <alignment horizontal="right" readingOrder="0" vertical="bottom"/>
    </xf>
    <xf borderId="0" fillId="6" fontId="25" numFmtId="165" xfId="0" applyAlignment="1" applyFont="1" applyNumberFormat="1">
      <alignment horizontal="right" readingOrder="0" vertical="bottom"/>
    </xf>
    <xf borderId="0" fillId="0" fontId="48" numFmtId="165" xfId="0" applyAlignment="1" applyFont="1" applyNumberFormat="1">
      <alignment vertical="bottom"/>
    </xf>
    <xf borderId="0" fillId="0" fontId="25" numFmtId="165" xfId="0" applyAlignment="1" applyFont="1" applyNumberFormat="1">
      <alignment horizontal="right" vertical="bottom"/>
    </xf>
    <xf borderId="0" fillId="0" fontId="32" numFmtId="165" xfId="0" applyAlignment="1" applyFont="1" applyNumberFormat="1">
      <alignment horizontal="right" readingOrder="0"/>
    </xf>
    <xf borderId="17" fillId="0" fontId="49" numFmtId="0" xfId="0" applyBorder="1" applyFont="1"/>
    <xf borderId="17" fillId="0" fontId="49" numFmtId="0" xfId="0" applyAlignment="1" applyBorder="1" applyFont="1">
      <alignment horizontal="right" readingOrder="0"/>
    </xf>
    <xf borderId="0" fillId="0" fontId="1" numFmtId="0" xfId="0" applyAlignment="1" applyFont="1">
      <alignment readingOrder="0"/>
    </xf>
    <xf borderId="0" fillId="0" fontId="1" numFmtId="165" xfId="0" applyAlignment="1" applyFont="1" applyNumberFormat="1">
      <alignment horizontal="right"/>
    </xf>
    <xf borderId="0" fillId="3" fontId="9" numFmtId="165" xfId="0" applyAlignment="1" applyFont="1" applyNumberFormat="1">
      <alignment horizontal="right" vertical="bottom"/>
    </xf>
    <xf borderId="0" fillId="0" fontId="32" numFmtId="165" xfId="0" applyAlignment="1" applyFont="1" applyNumberFormat="1">
      <alignment horizontal="right"/>
    </xf>
    <xf borderId="0" fillId="0" fontId="1" numFmtId="0" xfId="0" applyAlignment="1" applyFont="1">
      <alignment readingOrder="0"/>
    </xf>
    <xf borderId="0" fillId="6" fontId="50" numFmtId="165" xfId="0" applyAlignment="1" applyFont="1" applyNumberFormat="1">
      <alignment horizontal="right" vertical="bottom"/>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3">
    <tableStyle count="3" pivot="0" name="# Encargos folha-style">
      <tableStyleElement dxfId="1" type="headerRow"/>
      <tableStyleElement dxfId="2" type="firstRowStripe"/>
      <tableStyleElement dxfId="3" type="secondRowStripe"/>
    </tableStyle>
    <tableStyle count="3" pivot="0" name="# Salários-style">
      <tableStyleElement dxfId="1" type="headerRow"/>
      <tableStyleElement dxfId="2" type="firstRowStripe"/>
      <tableStyleElement dxfId="3" type="secondRowStripe"/>
    </tableStyle>
    <tableStyle count="3" pivot="0" name="#verificação RH-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doughnutChart>
        <c:varyColors val="1"/>
        <c:ser>
          <c:idx val="0"/>
          <c:order val="0"/>
          <c:tx>
            <c:strRef>
              <c:f>RESUMO!$G$8</c:f>
            </c:strRef>
          </c:tx>
          <c:dPt>
            <c:idx val="0"/>
            <c:explosion val="0"/>
            <c:spPr>
              <a:solidFill>
                <a:srgbClr val="94DCC3"/>
              </a:solidFill>
            </c:spPr>
          </c:dPt>
          <c:dPt>
            <c:idx val="1"/>
            <c:spPr>
              <a:solidFill>
                <a:srgbClr val="496C60"/>
              </a:solidFill>
            </c:spPr>
          </c:dPt>
          <c:dPt>
            <c:idx val="2"/>
            <c:spPr>
              <a:solidFill>
                <a:srgbClr val="999999"/>
              </a:solidFill>
            </c:spPr>
          </c:dPt>
          <c:dPt>
            <c:idx val="3"/>
            <c:spPr>
              <a:solidFill>
                <a:srgbClr val="D9D9D9"/>
              </a:solidFill>
            </c:spPr>
          </c:dPt>
          <c:dLbls>
            <c:showLegendKey val="0"/>
            <c:showVal val="0"/>
            <c:showCatName val="0"/>
            <c:showSerName val="0"/>
            <c:showPercent val="0"/>
            <c:showBubbleSize val="0"/>
            <c:showLeaderLines val="1"/>
          </c:dLbls>
          <c:cat>
            <c:strRef>
              <c:f>RESUMO!$A$9:$A$12</c:f>
            </c:strRef>
          </c:cat>
          <c:val>
            <c:numRef>
              <c:f>RESUMO!$G$9:$G$12</c:f>
              <c:numCache/>
            </c:numRef>
          </c:val>
        </c:ser>
        <c:dLbls>
          <c:showLegendKey val="0"/>
          <c:showVal val="0"/>
          <c:showCatName val="0"/>
          <c:showSerName val="0"/>
          <c:showPercent val="0"/>
          <c:showBubbleSize val="0"/>
        </c:dLbls>
        <c:holeSize val="50"/>
      </c:doughnutChart>
    </c:plotArea>
    <c:legend>
      <c:legendPos val="r"/>
      <c:overlay val="0"/>
      <c:txPr>
        <a:bodyPr/>
        <a:lstStyle/>
        <a:p>
          <a:pPr lvl="0">
            <a:defRPr b="1" i="1" sz="1200">
              <a:solidFill>
                <a:srgbClr val="1A1A1A"/>
              </a:solidFill>
              <a:latin typeface="Arial Narrow"/>
            </a:defRPr>
          </a:pPr>
        </a:p>
      </c:txPr>
    </c:legend>
    <c:plotVisOnly val="1"/>
  </c:chart>
  <c:spPr>
    <a:solidFill>
      <a:srgbClr val="FFFFFF">
        <a:alpha val="0"/>
      </a:srgbClr>
    </a:solidFill>
  </c:spPr>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809625</xdr:colOff>
      <xdr:row>19</xdr:row>
      <xdr:rowOff>142875</xdr:rowOff>
    </xdr:from>
    <xdr:ext cx="3810000" cy="2105025"/>
    <xdr:graphicFrame>
      <xdr:nvGraphicFramePr>
        <xdr:cNvPr id="1"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xdr:col>
      <xdr:colOff>752475</xdr:colOff>
      <xdr:row>0</xdr:row>
      <xdr:rowOff>152400</xdr:rowOff>
    </xdr:from>
    <xdr:ext cx="2038350" cy="619125"/>
    <xdr:pic>
      <xdr:nvPicPr>
        <xdr:cNvPr id="0" name="image1.png" title="Imagem"/>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H13" displayName="Table_1" name="Table_1" id="1">
  <tableColumns count="8">
    <tableColumn name="Período" id="1"/>
    <tableColumn name="Aderência ao CPRB_x000a_(A)" id="2"/>
    <tableColumn name="Aderência ao INSS_x000a_(B) = (1-(A))*20%" id="3"/>
    <tableColumn name="INSS adicional_x000a_(C) = 5%*(A)" id="4"/>
    <tableColumn name="INSS Patronal_x000a_(D) = (B)+(C) " id="5"/>
    <tableColumn name="INSS Terceiros" id="6"/>
    <tableColumn name="INSS RAT/FAP" id="7"/>
    <tableColumn name="FGTS" id="8"/>
  </tableColumns>
  <tableStyleInfo name="# Encargos folha-style" showColumnStripes="0" showFirstColumn="1" showLastColumn="1" showRowStripes="1"/>
</table>
</file>

<file path=xl/tables/table2.xml><?xml version="1.0" encoding="utf-8"?>
<table xmlns="http://schemas.openxmlformats.org/spreadsheetml/2006/main" ref="A1:T23" displayName="Table_2" name="Table_2" id="2">
  <tableColumns count="20">
    <tableColumn name="ID" id="1"/>
    <tableColumn name="CPF" id="2"/>
    <tableColumn name="Funcionário" id="3"/>
    <tableColumn name="Formação" id="4"/>
    <tableColumn name="Função / Cargo" id="5"/>
    <tableColumn name="janeiro" id="6"/>
    <tableColumn name="fevereiro" id="7"/>
    <tableColumn name="março" id="8"/>
    <tableColumn name="abril" id="9"/>
    <tableColumn name="maio" id="10"/>
    <tableColumn name="junho" id="11"/>
    <tableColumn name="julho" id="12"/>
    <tableColumn name="agosto" id="13"/>
    <tableColumn name="setembro" id="14"/>
    <tableColumn name="outubro" id="15"/>
    <tableColumn name="novembro" id="16"/>
    <tableColumn name="dezembro" id="17"/>
    <tableColumn name="PD&amp;I time" id="18"/>
    <tableColumn name="PD&amp;I (%)" id="19"/>
    <tableColumn name="Dedicação" id="20"/>
  </tableColumns>
  <tableStyleInfo name="# Salários-style" showColumnStripes="0" showFirstColumn="1" showLastColumn="1" showRowStripes="1"/>
</table>
</file>

<file path=xl/tables/table3.xml><?xml version="1.0" encoding="utf-8"?>
<table xmlns="http://schemas.openxmlformats.org/spreadsheetml/2006/main" headerRowCount="0" ref="A2:F10" displayName="Table_3" name="Table_3" id="3">
  <tableColumns count="6">
    <tableColumn name="Column1" id="1"/>
    <tableColumn name="Column2" id="2"/>
    <tableColumn name="Column3" id="3"/>
    <tableColumn name="Column4" id="4"/>
    <tableColumn name="Column5" id="5"/>
    <tableColumn name="Column6" id="6"/>
  </tableColumns>
  <tableStyleInfo name="#verificação RH-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1" Type="http://schemas.openxmlformats.org/officeDocument/2006/relationships/hyperlink" Target="https://docs.google.com/document/d/1eRdGnbe4W5EpMKpAxuYwVKEZUlMwAE_DzHfNqg-snsA/edit" TargetMode="External"/><Relationship Id="rId10" Type="http://schemas.openxmlformats.org/officeDocument/2006/relationships/hyperlink" Target="https://docs.google.com/document/d/1W023JOXR0ZZeAYgV_d0zxnBcg0M4EQ2-Z6s3CodAcx8/edit" TargetMode="External"/><Relationship Id="rId13" Type="http://schemas.openxmlformats.org/officeDocument/2006/relationships/hyperlink" Target="https://docs.google.com/document/d/1Jh4aulDi_ia8S0dB3u0BNF-5ipTYk03DP8cGg4vLOKg/edit" TargetMode="External"/><Relationship Id="rId12" Type="http://schemas.openxmlformats.org/officeDocument/2006/relationships/hyperlink" Target="https://docs.google.com/document/d/1Vq-pjSo7tzvP8v5q37Git084Rh389IgLRofdcwCKcV0/edit" TargetMode="External"/><Relationship Id="rId1" Type="http://schemas.openxmlformats.org/officeDocument/2006/relationships/comments" Target="../comments1.xml"/><Relationship Id="rId2" Type="http://schemas.openxmlformats.org/officeDocument/2006/relationships/hyperlink" Target="https://docs.google.com/document/d/1mMHRXPoDJUfMXXXTHdVso7JFg1xg_skG1xneqKKjz3A/edit" TargetMode="External"/><Relationship Id="rId3" Type="http://schemas.openxmlformats.org/officeDocument/2006/relationships/hyperlink" Target="https://docs.google.com/document/d/16w4_sDjg0ZY9cBf3ddu1lPp0-tB84KpwbRmd4xiINa8/edit" TargetMode="External"/><Relationship Id="rId4" Type="http://schemas.openxmlformats.org/officeDocument/2006/relationships/hyperlink" Target="https://docs.google.com/document/d/1nQyekVC8JU_oQjtmQKOZfLMb9XyDT923PKqJNTMXXSU/edit" TargetMode="External"/><Relationship Id="rId9" Type="http://schemas.openxmlformats.org/officeDocument/2006/relationships/hyperlink" Target="https://docs.google.com/document/d/1TOFfGj5MREdaQ6aq2Z9uk1hx3YcjQaXaAquLM00ymeY/edit" TargetMode="External"/><Relationship Id="rId15" Type="http://schemas.openxmlformats.org/officeDocument/2006/relationships/hyperlink" Target="https://docs.google.com/document/d/1ryDV1TbxW4uIjJZlUKvqnDQXdoJuEj-ZKSueOuY4xjQ/edit" TargetMode="External"/><Relationship Id="rId14" Type="http://schemas.openxmlformats.org/officeDocument/2006/relationships/hyperlink" Target="https://docs.google.com/document/d/1U0gc_cRQxu_r2LpM6nVO_CgeAzvt-aTNv0JfqMjro_Q/edit" TargetMode="External"/><Relationship Id="rId17" Type="http://schemas.openxmlformats.org/officeDocument/2006/relationships/vmlDrawing" Target="../drawings/vmlDrawing1.vml"/><Relationship Id="rId16" Type="http://schemas.openxmlformats.org/officeDocument/2006/relationships/drawing" Target="../drawings/drawing11.xml"/><Relationship Id="rId5" Type="http://schemas.openxmlformats.org/officeDocument/2006/relationships/hyperlink" Target="https://docs.google.com/document/d/1xQDZAYu4y6hNWtK4ksAAXqBirKS6yAi1DWej8HGjRXY/edit" TargetMode="External"/><Relationship Id="rId6" Type="http://schemas.openxmlformats.org/officeDocument/2006/relationships/hyperlink" Target="https://docs.google.com/document/d/1PNeVYgBBZyTt5pGXv7Wjcd2byhx1LqbApdQ7uy6awfQ/edit" TargetMode="External"/><Relationship Id="rId7" Type="http://schemas.openxmlformats.org/officeDocument/2006/relationships/hyperlink" Target="https://docs.google.com/document/d/1nGRoewyOtpj2dgj54mha1XcP-aIZ1li1_hlBO41AGe4/edit" TargetMode="External"/><Relationship Id="rId8" Type="http://schemas.openxmlformats.org/officeDocument/2006/relationships/hyperlink" Target="https://docs.google.com/document/d/13Kp1ezv3Gh8psr2DymkPB6u2nHt26I8kM8sbwDIyp_g/edit" TargetMode="Externa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3" Type="http://schemas.openxmlformats.org/officeDocument/2006/relationships/table" Target="../tables/table2.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 Id="rId3"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63"/>
    <col customWidth="1" min="2" max="2" width="116.0"/>
    <col customWidth="1" min="3" max="3" width="124.25"/>
  </cols>
  <sheetData>
    <row r="1">
      <c r="A1" s="1" t="s">
        <v>0</v>
      </c>
      <c r="B1" s="1" t="s">
        <v>1</v>
      </c>
      <c r="C1" s="1" t="s">
        <v>2</v>
      </c>
    </row>
    <row r="2">
      <c r="A2" s="1" t="s">
        <v>3</v>
      </c>
      <c r="B2" s="1" t="s">
        <v>4</v>
      </c>
      <c r="C2" s="1" t="s">
        <v>5</v>
      </c>
    </row>
    <row r="3">
      <c r="A3" s="1" t="s">
        <v>6</v>
      </c>
      <c r="B3" s="1" t="s">
        <v>7</v>
      </c>
      <c r="C3" s="1" t="s">
        <v>8</v>
      </c>
    </row>
    <row r="4">
      <c r="A4" s="1" t="s">
        <v>9</v>
      </c>
      <c r="B4" s="1" t="s">
        <v>10</v>
      </c>
      <c r="C4" s="1" t="s">
        <v>11</v>
      </c>
    </row>
    <row r="5">
      <c r="A5" s="1" t="s">
        <v>12</v>
      </c>
      <c r="B5" s="1" t="s">
        <v>13</v>
      </c>
      <c r="C5" s="1" t="s">
        <v>14</v>
      </c>
    </row>
    <row r="6">
      <c r="A6" s="1" t="s">
        <v>15</v>
      </c>
      <c r="B6" s="1" t="s">
        <v>16</v>
      </c>
      <c r="C6" s="1" t="s">
        <v>17</v>
      </c>
    </row>
    <row r="7">
      <c r="A7" s="1" t="s">
        <v>18</v>
      </c>
      <c r="B7" s="1" t="s">
        <v>19</v>
      </c>
      <c r="C7" s="1" t="s">
        <v>20</v>
      </c>
    </row>
    <row r="8">
      <c r="A8" s="1" t="s">
        <v>21</v>
      </c>
      <c r="B8" s="1" t="s">
        <v>22</v>
      </c>
      <c r="C8" s="1" t="s">
        <v>23</v>
      </c>
    </row>
    <row r="9">
      <c r="A9" s="1" t="s">
        <v>24</v>
      </c>
      <c r="B9" s="1" t="s">
        <v>25</v>
      </c>
      <c r="C9" s="1" t="s">
        <v>26</v>
      </c>
    </row>
    <row r="10">
      <c r="A10" s="1" t="s">
        <v>27</v>
      </c>
      <c r="B10" s="1" t="s">
        <v>28</v>
      </c>
      <c r="C10" s="1" t="s">
        <v>29</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pageSetUpPr fitToPage="1"/>
  </sheetPr>
  <sheetViews>
    <sheetView showGridLines="0" workbookViewId="0"/>
  </sheetViews>
  <sheetFormatPr customHeight="1" defaultColWidth="12.63" defaultRowHeight="15.75"/>
  <cols>
    <col customWidth="1" min="1" max="1" width="30.25"/>
    <col customWidth="1" min="2" max="2" width="13.63"/>
    <col customWidth="1" min="3" max="3" width="11.38"/>
    <col customWidth="1" min="4" max="5" width="12.63"/>
    <col customWidth="1" min="6" max="6" width="10.5"/>
    <col customWidth="1" min="7" max="7" width="13.75"/>
  </cols>
  <sheetData>
    <row r="1" ht="11.25" customHeight="1">
      <c r="A1" s="2"/>
      <c r="B1" s="3"/>
      <c r="C1" s="3"/>
      <c r="D1" s="3"/>
      <c r="E1" s="3"/>
      <c r="F1" s="3"/>
      <c r="G1" s="3"/>
    </row>
    <row r="2" ht="16.5" customHeight="1">
      <c r="A2" s="4" t="s">
        <v>30</v>
      </c>
      <c r="B2" s="5"/>
      <c r="C2" s="6"/>
      <c r="D2" s="6"/>
      <c r="E2" s="6"/>
      <c r="F2" s="6"/>
    </row>
    <row r="3" ht="18.75" customHeight="1">
      <c r="A3" s="7" t="s">
        <v>31</v>
      </c>
      <c r="B3" s="5"/>
      <c r="C3" s="8"/>
      <c r="D3" s="6"/>
      <c r="E3" s="6"/>
    </row>
    <row r="4" ht="11.25" customHeight="1">
      <c r="A4" s="9"/>
      <c r="B4" s="9"/>
      <c r="C4" s="9"/>
      <c r="D4" s="9"/>
      <c r="E4" s="9"/>
      <c r="F4" s="9"/>
      <c r="G4" s="10"/>
    </row>
    <row r="5" ht="18.75" customHeight="1">
      <c r="A5" s="11" t="s">
        <v>32</v>
      </c>
      <c r="B5" s="12"/>
      <c r="C5" s="13"/>
      <c r="D5" s="12"/>
      <c r="E5" s="14" t="s">
        <v>33</v>
      </c>
      <c r="F5" s="15"/>
      <c r="G5" s="16" t="s">
        <v>34</v>
      </c>
    </row>
    <row r="6" ht="18.75" customHeight="1">
      <c r="A6" s="17" t="s">
        <v>35</v>
      </c>
      <c r="B6" s="18"/>
      <c r="C6" s="18"/>
      <c r="D6" s="18"/>
      <c r="E6" s="18"/>
      <c r="F6" s="15"/>
      <c r="G6" s="19">
        <f>TODAY()</f>
        <v>46168</v>
      </c>
    </row>
    <row r="7">
      <c r="A7" s="9"/>
      <c r="B7" s="20"/>
      <c r="C7" s="20"/>
      <c r="D7" s="20"/>
      <c r="E7" s="20"/>
      <c r="F7" s="21"/>
      <c r="G7" s="20"/>
    </row>
    <row r="8" ht="18.75" customHeight="1">
      <c r="A8" s="22" t="s">
        <v>36</v>
      </c>
      <c r="B8" s="23">
        <v>1.0</v>
      </c>
      <c r="C8" s="23">
        <v>2.0</v>
      </c>
      <c r="D8" s="23">
        <v>3.0</v>
      </c>
      <c r="E8" s="23">
        <v>4.0</v>
      </c>
      <c r="F8" s="24"/>
      <c r="G8" s="25" t="s">
        <v>37</v>
      </c>
    </row>
    <row r="9" ht="18.75" customHeight="1">
      <c r="A9" s="26" t="s">
        <v>38</v>
      </c>
      <c r="B9" s="27">
        <f>IFERROR(__xludf.DUMMYFUNCTION("IFERROR(SUM(filter(Investimentos!$E:$E,#REF!=TRUE,Investimentos!$G:$G=""Material"",MONTH(Investimentos!$F:$F)&gt;=1,MONTH(Investimentos!$F:$F)&lt;=3)),0)"),0.0)</f>
        <v>0</v>
      </c>
      <c r="C9" s="27">
        <f>IFERROR(__xludf.DUMMYFUNCTION("IFERROR(SUM(filter(Investimentos!$E:$E,#REF!=TRUE,Investimentos!$G:$G=""Material"",MONTH(Investimentos!$F:$F)&gt;=4,MONTH(Investimentos!$F:$F)&lt;=6)),0)"),0.0)</f>
        <v>0</v>
      </c>
      <c r="D9" s="27">
        <f>IFERROR(__xludf.DUMMYFUNCTION("IFERROR(SUM(filter(Investimentos!$E:$E,#REF!=TRUE,Investimentos!$G:$G=""Material"",MONTH(Investimentos!$F:$F)&gt;=7,MONTH(Investimentos!$F:$F)&lt;=9)),0)"),0.0)</f>
        <v>0</v>
      </c>
      <c r="E9" s="27">
        <f>IFERROR(__xludf.DUMMYFUNCTION("IFERROR(SUM(filter(Investimentos!$E:$E,#REF!=TRUE,Investimentos!$G:$G=""Material"",MONTH(Investimentos!$F:$F)&gt;=10,MONTH(Investimentos!$F:$F)&lt;=12)),0)"),0.0)</f>
        <v>0</v>
      </c>
      <c r="F9" s="28"/>
      <c r="G9" s="29">
        <f t="shared" ref="G9:G12" si="1">SUM(B9:E9)</f>
        <v>0</v>
      </c>
    </row>
    <row r="10" ht="18.75" customHeight="1">
      <c r="A10" s="26" t="s">
        <v>39</v>
      </c>
      <c r="B10" s="27">
        <f>IFERROR(__xludf.DUMMYFUNCTION("IFERROR(SUM(filter(Investimentos!$K:$K,Investimentos!$G:$G=""Serviços"",MONTH(Investimentos!$F:$F)&gt;=1,MONTH(Investimentos!$F:$F)&lt;=3)),0)"),135485.53)</f>
        <v>135485.53</v>
      </c>
      <c r="C10" s="27">
        <f>IFERROR(__xludf.DUMMYFUNCTION("IFERROR(SUM(filter(Investimentos!$K:$K,Investimentos!$G:$G=""Serviços"",MONTH(Investimentos!$F:$F)&gt;=4,MONTH(Investimentos!$F:$F)&lt;=6)),0)"),242461.48166666663)</f>
        <v>242461.4817</v>
      </c>
      <c r="D10" s="27">
        <f>IFERROR(__xludf.DUMMYFUNCTION("IFERROR(SUM(filter(Investimentos!$K:$K,Investimentos!$G:$G=""Serviços"",MONTH(Investimentos!$F:$F)&gt;=7,MONTH(Investimentos!$F:$F)&lt;=9)),0)"),177276.80000000002)</f>
        <v>177276.8</v>
      </c>
      <c r="E10" s="27">
        <f>IFERROR(__xludf.DUMMYFUNCTION("IFERROR(SUM(filter(Investimentos!$K:$K,Investimentos!$G:$G=""Serviços"",MONTH(Investimentos!$F:$F)&gt;=10,MONTH(Investimentos!$F:$F)&lt;=12)),0)"),200473.29000000004)</f>
        <v>200473.29</v>
      </c>
      <c r="F10" s="28"/>
      <c r="G10" s="29">
        <f t="shared" si="1"/>
        <v>755697.1017</v>
      </c>
    </row>
    <row r="11" ht="18.75" customHeight="1">
      <c r="A11" s="26" t="s">
        <v>40</v>
      </c>
      <c r="B11" s="27">
        <f>IFERROR(__xludf.DUMMYFUNCTION("IFERROR(SUM(filter(Pessoal!$V:$V,(Pessoal!$C:$C)&gt;=1,(Pessoal!$C:$C)&lt;=3)),0)"),6559.965145979168)</f>
        <v>6559.965146</v>
      </c>
      <c r="C11" s="27">
        <f>IFERROR(__xludf.DUMMYFUNCTION("IFERROR(SUM(filter(Pessoal!$V:$V,(Pessoal!$C:$C)&gt;=4,(Pessoal!$C:$C)&lt;=6)),0)"),9124.10550873039)</f>
        <v>9124.105509</v>
      </c>
      <c r="D11" s="27">
        <f>IFERROR(__xludf.DUMMYFUNCTION("IFERROR(SUM(filter(Pessoal!$V:$V,(Pessoal!$C:$C)&gt;=7,(Pessoal!$C:$C)&lt;=9)),0)"),10836.297825499109)</f>
        <v>10836.29783</v>
      </c>
      <c r="E11" s="27">
        <f>IFERROR(__xludf.DUMMYFUNCTION("IFERROR(SUM(filter(Pessoal!$V:$V,(Pessoal!$C:$C)&gt;=10,(Pessoal!$C:$C)&lt;=12)),0)"),18016.677142233166)</f>
        <v>18016.67714</v>
      </c>
      <c r="F11" s="28"/>
      <c r="G11" s="29">
        <f t="shared" si="1"/>
        <v>44537.04562</v>
      </c>
    </row>
    <row r="12" ht="18.75" customHeight="1">
      <c r="A12" s="26" t="s">
        <v>41</v>
      </c>
      <c r="B12" s="27">
        <f>IFERROR(__xludf.DUMMYFUNCTION("IFERROR(SUM(filter(#REF!,Trabalho!$M:$M=""Exclusivo"",MONTH(Trabalho!$G:$G)&gt;=1,MONTH(Trabalho!$G:$G)&lt;=3)),0)"),0.0)</f>
        <v>0</v>
      </c>
      <c r="C12" s="27">
        <f>IFERROR(__xludf.DUMMYFUNCTION("IFERROR(SUM(filter(#REF!,Trabalho!$M:$M=""Exclusivo"",MONTH(Trabalho!$G:$G)&gt;=4,MONTH(Trabalho!$G:$G)&lt;=6)),0)"),0.0)</f>
        <v>0</v>
      </c>
      <c r="D12" s="27">
        <f>IFERROR(__xludf.DUMMYFUNCTION("IFERROR(SUM(filter(#REF!,Trabalho!$M:$M=""Exclusivo"",MONTH(Trabalho!$G:$G)&gt;=7,MONTH(Trabalho!$G:$G)&lt;=9)),0)"),0.0)</f>
        <v>0</v>
      </c>
      <c r="E12" s="27">
        <f>IFERROR(__xludf.DUMMYFUNCTION("IFERROR(SUM(filter(#REF!,Trabalho!$M:$M=""Exclusivo"",MONTH(Trabalho!$G:$G)&gt;=10,MONTH(Trabalho!$G:$G)&lt;=12)),0)"),0.0)</f>
        <v>0</v>
      </c>
      <c r="F12" s="28"/>
      <c r="G12" s="29">
        <f t="shared" si="1"/>
        <v>0</v>
      </c>
    </row>
    <row r="13" ht="18.75" customHeight="1">
      <c r="A13" s="30" t="s">
        <v>42</v>
      </c>
      <c r="B13" s="31">
        <f t="shared" ref="B13:E13" si="2">SUM(B9:B12)</f>
        <v>142045.4951</v>
      </c>
      <c r="C13" s="31">
        <f t="shared" si="2"/>
        <v>251585.5872</v>
      </c>
      <c r="D13" s="31">
        <f t="shared" si="2"/>
        <v>188113.0978</v>
      </c>
      <c r="E13" s="32">
        <f t="shared" si="2"/>
        <v>218489.9671</v>
      </c>
      <c r="F13" s="33"/>
      <c r="G13" s="34">
        <f>SUM(G9:G12)</f>
        <v>800234.1473</v>
      </c>
    </row>
    <row r="14" ht="18.75" customHeight="1">
      <c r="A14" s="35" t="s">
        <v>43</v>
      </c>
      <c r="B14" s="36">
        <v>0.6</v>
      </c>
      <c r="C14" s="36">
        <v>0.6</v>
      </c>
      <c r="D14" s="36">
        <v>0.6</v>
      </c>
      <c r="E14" s="36">
        <v>0.6</v>
      </c>
      <c r="F14" s="37"/>
      <c r="G14" s="38">
        <v>0.6</v>
      </c>
    </row>
    <row r="15" ht="18.75" customHeight="1">
      <c r="A15" s="26" t="s">
        <v>44</v>
      </c>
      <c r="B15" s="27">
        <f t="shared" ref="B15:E15" si="3">B13*B14</f>
        <v>85227.29709</v>
      </c>
      <c r="C15" s="27">
        <f t="shared" si="3"/>
        <v>150951.3523</v>
      </c>
      <c r="D15" s="27">
        <f t="shared" si="3"/>
        <v>112867.8587</v>
      </c>
      <c r="E15" s="27">
        <f t="shared" si="3"/>
        <v>131093.9803</v>
      </c>
      <c r="F15" s="37"/>
      <c r="G15" s="29">
        <f>G13*G14</f>
        <v>480140.4884</v>
      </c>
    </row>
    <row r="16">
      <c r="A16" s="28"/>
      <c r="B16" s="39"/>
      <c r="C16" s="39"/>
      <c r="D16" s="27"/>
      <c r="E16" s="27"/>
      <c r="F16" s="37"/>
      <c r="G16" s="29"/>
    </row>
    <row r="17" ht="18.75" customHeight="1">
      <c r="A17" s="30" t="s">
        <v>45</v>
      </c>
      <c r="B17" s="31">
        <f t="shared" ref="B17:E17" si="4">B15*34%</f>
        <v>28977.28101</v>
      </c>
      <c r="C17" s="31">
        <f t="shared" si="4"/>
        <v>51323.45978</v>
      </c>
      <c r="D17" s="31">
        <f t="shared" si="4"/>
        <v>38375.07196</v>
      </c>
      <c r="E17" s="31">
        <f t="shared" si="4"/>
        <v>44571.9533</v>
      </c>
      <c r="F17" s="33"/>
      <c r="G17" s="34">
        <f>G15*34%</f>
        <v>163247.766</v>
      </c>
    </row>
    <row r="18">
      <c r="A18" s="40" t="s">
        <v>46</v>
      </c>
      <c r="B18" s="41">
        <f t="shared" ref="B18:E18" si="5">B17*0.1</f>
        <v>2897.728101</v>
      </c>
      <c r="C18" s="41">
        <f t="shared" si="5"/>
        <v>5132.345978</v>
      </c>
      <c r="D18" s="41">
        <f t="shared" si="5"/>
        <v>3837.507196</v>
      </c>
      <c r="E18" s="41">
        <f t="shared" si="5"/>
        <v>4457.19533</v>
      </c>
      <c r="F18" s="9"/>
      <c r="G18" s="41">
        <f>G17*0.1</f>
        <v>16324.7766</v>
      </c>
    </row>
    <row r="19">
      <c r="A19" s="42"/>
      <c r="B19" s="20"/>
      <c r="C19" s="20"/>
      <c r="D19" s="20"/>
      <c r="E19" s="20"/>
      <c r="F19" s="9"/>
      <c r="G19" s="20"/>
    </row>
    <row r="20" ht="18.75" customHeight="1">
      <c r="A20" s="43" t="s">
        <v>47</v>
      </c>
      <c r="B20" s="44"/>
      <c r="C20" s="9"/>
      <c r="D20" s="9"/>
      <c r="E20" s="9"/>
      <c r="F20" s="9"/>
      <c r="G20" s="9"/>
    </row>
    <row r="21" ht="18.75" customHeight="1">
      <c r="A21" s="45" t="s">
        <v>48</v>
      </c>
      <c r="B21" s="9"/>
      <c r="C21" s="9"/>
      <c r="D21" s="9"/>
      <c r="E21" s="9"/>
      <c r="F21" s="9"/>
      <c r="G21" s="9"/>
    </row>
    <row r="22" ht="18.75" customHeight="1">
      <c r="A22" s="45" t="s">
        <v>49</v>
      </c>
      <c r="B22" s="9"/>
      <c r="C22" s="9"/>
      <c r="D22" s="9"/>
      <c r="E22" s="9"/>
      <c r="F22" s="9"/>
      <c r="G22" s="9"/>
    </row>
    <row r="23" ht="18.75" customHeight="1">
      <c r="A23" s="45" t="s">
        <v>50</v>
      </c>
      <c r="B23" s="9"/>
      <c r="C23" s="9"/>
      <c r="D23" s="9"/>
      <c r="E23" s="9"/>
      <c r="F23" s="9"/>
      <c r="G23" s="9"/>
    </row>
    <row r="24" ht="16.5" customHeight="1">
      <c r="A24" s="45" t="s">
        <v>51</v>
      </c>
      <c r="B24" s="9"/>
      <c r="C24" s="9"/>
      <c r="D24" s="9"/>
      <c r="E24" s="9"/>
      <c r="F24" s="9"/>
      <c r="G24" s="9"/>
    </row>
    <row r="25" ht="16.5" customHeight="1">
      <c r="A25" s="45" t="s">
        <v>52</v>
      </c>
      <c r="B25" s="9"/>
      <c r="C25" s="9"/>
      <c r="D25" s="9"/>
      <c r="E25" s="9"/>
      <c r="F25" s="9"/>
      <c r="G25" s="9"/>
    </row>
    <row r="26" ht="16.5" customHeight="1">
      <c r="A26" s="46" t="s">
        <v>53</v>
      </c>
      <c r="B26" s="5"/>
      <c r="C26" s="9"/>
      <c r="D26" s="9"/>
      <c r="E26" s="9"/>
      <c r="F26" s="9"/>
      <c r="G26" s="9"/>
    </row>
    <row r="27" ht="16.5" customHeight="1">
      <c r="A27" s="47" t="s">
        <v>54</v>
      </c>
      <c r="B27" s="5"/>
      <c r="C27" s="5"/>
      <c r="D27" s="5"/>
      <c r="E27" s="5"/>
      <c r="F27" s="5"/>
      <c r="G27" s="5"/>
    </row>
    <row r="28">
      <c r="A28" s="5"/>
      <c r="B28" s="5"/>
      <c r="C28" s="5"/>
      <c r="D28" s="5"/>
      <c r="E28" s="5"/>
      <c r="F28" s="5"/>
      <c r="G28" s="5"/>
    </row>
    <row r="29" ht="18.75" customHeight="1">
      <c r="A29" s="48"/>
      <c r="B29" s="48"/>
      <c r="C29" s="9"/>
      <c r="D29" s="9"/>
      <c r="E29" s="9"/>
      <c r="F29" s="9"/>
      <c r="G29" s="9"/>
    </row>
    <row r="30" ht="16.5" customHeight="1">
      <c r="A30" s="49" t="s">
        <v>55</v>
      </c>
      <c r="B30" s="9"/>
      <c r="C30" s="9"/>
      <c r="D30" s="9"/>
      <c r="E30" s="48"/>
      <c r="F30" s="9"/>
      <c r="G30" s="9"/>
    </row>
    <row r="31" ht="16.5" customHeight="1">
      <c r="A31" s="21" t="s">
        <v>56</v>
      </c>
      <c r="B31" s="50" t="s">
        <v>57</v>
      </c>
      <c r="E31" s="51" t="s">
        <v>58</v>
      </c>
    </row>
    <row r="32" ht="16.5" customHeight="1">
      <c r="A32" s="52"/>
      <c r="B32" s="52" t="s">
        <v>59</v>
      </c>
      <c r="C32" s="53" t="s">
        <v>60</v>
      </c>
      <c r="D32" s="53" t="s">
        <v>61</v>
      </c>
      <c r="E32" s="52" t="s">
        <v>59</v>
      </c>
      <c r="F32" s="53" t="s">
        <v>60</v>
      </c>
      <c r="G32" s="53" t="s">
        <v>61</v>
      </c>
    </row>
    <row r="33" ht="16.5" hidden="1" customHeight="1">
      <c r="A33" s="54" t="s">
        <v>62</v>
      </c>
      <c r="B33" s="55">
        <f>COUNTIFS('# Salários'!$D$2:$D65,A33,'# Salários'!$T$2:$T65,"Parcial")</f>
        <v>0</v>
      </c>
      <c r="C33" s="56">
        <f>IFERROR(__xludf.DUMMYFUNCTION("IFERROR(SUM(FILTER(Pessoal!$V:$V,Pessoal!$F:$F=A33)),0)"),0.0)</f>
        <v>0</v>
      </c>
      <c r="D33" s="57">
        <f>IFERROR(__xludf.DUMMYFUNCTION("IFERROR(SUM(FILTER('# Salários'!$R$2:$R$17,'# Salários'!$T$2:$T$17 = ""Parcial"",'# Salários'!$D$2:$D$17= $A33)),0)"),0.0)</f>
        <v>0</v>
      </c>
      <c r="E33" s="58">
        <f>COUNTIFS(Pessoal1!$F$7:$F$31,"Técnico",Pessoal1!$V$7:$V$31,"Exclusiva")</f>
        <v>0</v>
      </c>
      <c r="F33" s="59" t="s">
        <v>63</v>
      </c>
      <c r="G33" s="60" t="s">
        <v>63</v>
      </c>
    </row>
    <row r="34" ht="16.5" hidden="1" customHeight="1">
      <c r="A34" s="61" t="s">
        <v>64</v>
      </c>
      <c r="B34" s="55">
        <f>COUNTIFS('# Salários'!$D$2:$D$17,A34,'# Salários'!$T$2:$T$17,"Parcial")</f>
        <v>0</v>
      </c>
      <c r="C34" s="56">
        <f>IFERROR(__xludf.DUMMYFUNCTION("IFERROR(SUM(FILTER(Pessoal!$V:$V,Pessoal!$F:$F=A34)),0)"),0.0)</f>
        <v>0</v>
      </c>
      <c r="D34" s="57">
        <f>IFERROR(__xludf.DUMMYFUNCTION("IFERROR(SUM(FILTER(Pessoal1!$T$7:$T$31,Pessoal1!$V$7:$V$31 = ""Parcial"",Pessoal1!$F$7:$F$31 = $A34)),0)"),0.0)</f>
        <v>0</v>
      </c>
      <c r="E34" s="58">
        <f t="shared" ref="E34:E36" si="6">COUNTIFS(Pessoal1!$F$7:$F$31,"Graduado",Pessoal1!$V$7:$V$31,"Exclusiva")</f>
        <v>0</v>
      </c>
      <c r="F34" s="62" t="str">
        <f>SUMIF(Pessoal1!$O$90:$O$92,$A34,Pessoal1!$K$90:$K$92)</f>
        <v>#N/A</v>
      </c>
      <c r="G34" s="63">
        <f>IFERROR(__xludf.DUMMYFUNCTION("IFERROR(SUM(FILTER(Pessoal1!$T$7:$T$21,Pessoal1!$V$7:$V$21 = ""Exclusivo"",Pessoal1!$F$7:$F$26 = $A34)),0)"),0.0)</f>
        <v>0</v>
      </c>
    </row>
    <row r="35" ht="16.5" hidden="1" customHeight="1">
      <c r="A35" s="61" t="s">
        <v>65</v>
      </c>
      <c r="B35" s="55">
        <f>COUNTIFS('# Salários'!$D$2:$D65,A35)</f>
        <v>1</v>
      </c>
      <c r="C35" s="56">
        <f>IFERROR(__xludf.DUMMYFUNCTION("IFERROR(SUM(FILTER(Pessoal!$V:$V,Pessoal!$F:$F=A35)),0)"),418.435992827032)</f>
        <v>418.4359928</v>
      </c>
      <c r="D35" s="57">
        <f>IFERROR(__xludf.DUMMYFUNCTION("IFERROR(SUM(FILTER('# Salários'!$R$2:$R$17,'# Salários'!$D$2:$D$17= $A35)),0)"),0.4236111111111111)</f>
        <v>0.4236111111</v>
      </c>
      <c r="E35" s="58">
        <f t="shared" si="6"/>
        <v>0</v>
      </c>
      <c r="F35" s="59" t="s">
        <v>63</v>
      </c>
      <c r="G35" s="60" t="s">
        <v>63</v>
      </c>
    </row>
    <row r="36" ht="16.5" customHeight="1">
      <c r="A36" s="54" t="s">
        <v>66</v>
      </c>
      <c r="B36" s="55">
        <f>COUNTIFS('# Salários'!$D$2:$D65,A36)</f>
        <v>3</v>
      </c>
      <c r="C36" s="56">
        <f>IFERROR(__xludf.DUMMYFUNCTION("IFERROR(SUM(FILTER(Pessoal!$V:$V,Pessoal!$F:$F=A36)),0)"),9829.277184387589)</f>
        <v>9829.277184</v>
      </c>
      <c r="D36" s="57">
        <f>IFERROR(__xludf.DUMMYFUNCTION("IFERROR(SUM(FILTER('# Salários'!$R$2:$R$17,'# Salários'!$D$2:$D$17= $A36)),0)"),7.75)</f>
        <v>7.75</v>
      </c>
      <c r="E36" s="58">
        <f t="shared" si="6"/>
        <v>0</v>
      </c>
      <c r="F36" s="59" t="s">
        <v>63</v>
      </c>
      <c r="G36" s="60" t="s">
        <v>63</v>
      </c>
    </row>
    <row r="37" ht="16.5" customHeight="1">
      <c r="A37" s="61" t="s">
        <v>67</v>
      </c>
      <c r="B37" s="55">
        <f>COUNTIFS('# Salários'!$D$2:$D65,A37)</f>
        <v>2</v>
      </c>
      <c r="C37" s="56">
        <f>IFERROR(__xludf.DUMMYFUNCTION("IFERROR(SUM(FILTER(Pessoal!$V:$V,Pessoal!$F:$F=A37)),0)"),14192.518687423788)</f>
        <v>14192.51869</v>
      </c>
      <c r="D37" s="57">
        <f>IFERROR(__xludf.DUMMYFUNCTION("IFERROR(SUM(FILTER('# Salários'!$R$2:$R$17,'# Salários'!$D$2:$D$17= $A37)),0)"),9.208333333333332)</f>
        <v>9.208333333</v>
      </c>
      <c r="E37" s="58">
        <f>COUNTIFS(Pessoal1!$F$7:$F$31,"Pós graduado",Pessoal1!$V$7:$V$31,"Exclusiva")</f>
        <v>0</v>
      </c>
      <c r="F37" s="59" t="s">
        <v>63</v>
      </c>
      <c r="G37" s="60" t="s">
        <v>63</v>
      </c>
    </row>
    <row r="38" ht="16.5" customHeight="1">
      <c r="A38" s="21" t="s">
        <v>68</v>
      </c>
      <c r="B38" s="55">
        <f>COUNTIFS('# Salários'!$D$2:$D$17,A38,'# Salários'!$T$2:$T$17,"Parcial")</f>
        <v>3</v>
      </c>
      <c r="C38" s="56">
        <f>IFERROR(__xludf.DUMMYFUNCTION("IFERROR(SUM(FILTER(Pessoal!$V:$V,Pessoal!$F:$F=A38)),0)"),20096.813757803422)</f>
        <v>20096.81376</v>
      </c>
      <c r="D38" s="57">
        <f>IFERROR(__xludf.DUMMYFUNCTION("IFERROR(SUM(FILTER('# Salários'!$R$2:$R$17,'# Salários'!$D$2:$D$17= $A38)),0)"),15.63541666666667)</f>
        <v>15.63541667</v>
      </c>
      <c r="E38" s="58">
        <v>0.0</v>
      </c>
      <c r="F38" s="59" t="s">
        <v>63</v>
      </c>
      <c r="G38" s="60" t="s">
        <v>63</v>
      </c>
    </row>
    <row r="39" ht="16.5" hidden="1" customHeight="1">
      <c r="A39" s="21" t="s">
        <v>69</v>
      </c>
      <c r="B39" s="55">
        <f>COUNTIFS('# Salários'!$D$2:$D$17,A39,'# Salários'!$T$2:$T$17,"Parcial")</f>
        <v>0</v>
      </c>
      <c r="C39" s="56">
        <f>IFERROR(__xludf.DUMMYFUNCTION("IFERROR(SUM(FILTER(Pessoal!$V:$V,Pessoal!$F:$F=A39)),0)"),0.0)</f>
        <v>0</v>
      </c>
      <c r="D39" s="57">
        <f>IFERROR(__xludf.DUMMYFUNCTION("IFERROR(SUM(FILTER(Pessoal1!$T$7:$T$31,Pessoal1!$V$7:$V$31 = ""Parcial"",Pessoal1!$F$7:$F$31 = $A39)),0)"),0.0)</f>
        <v>0</v>
      </c>
      <c r="E39" s="55">
        <f>COUNTIFS(Pessoal1!$F$7:$F$31,"Doutorado",Pessoal1!$V$7:$V$31,"Exclusiva")</f>
        <v>0</v>
      </c>
      <c r="F39" s="56" t="str">
        <f>SUMIF(Pessoal1!$O$90:$O$92,$A39,Pessoal1!$K$90:$K$92)</f>
        <v>#N/A</v>
      </c>
      <c r="G39" s="57">
        <f>IFERROR(__xludf.DUMMYFUNCTION("IFERROR(SUM(FILTER(Pessoal1!$T$7:$T$21,Pessoal1!$V$7:$V$21 = ""Exclusivo"",Pessoal1!$F$7:$F$26 = $A39)),0)"),0.0)</f>
        <v>0</v>
      </c>
    </row>
    <row r="40" ht="16.5" customHeight="1">
      <c r="A40" s="64"/>
      <c r="B40" s="65">
        <f>SUBTOTAL(9,B36:B38)</f>
        <v>8</v>
      </c>
      <c r="C40" s="66">
        <f t="shared" ref="C40:E40" si="7">SUM(C33:C39)</f>
        <v>44537.04562</v>
      </c>
      <c r="D40" s="67">
        <f t="shared" si="7"/>
        <v>33.01736111</v>
      </c>
      <c r="E40" s="65">
        <f t="shared" si="7"/>
        <v>0</v>
      </c>
      <c r="F40" s="68" t="s">
        <v>63</v>
      </c>
      <c r="G40" s="67">
        <f>SUM(G33:G39)</f>
        <v>0</v>
      </c>
    </row>
    <row r="41" ht="18.75" customHeight="1">
      <c r="A41" s="49"/>
      <c r="B41" s="69"/>
      <c r="C41" s="9"/>
      <c r="D41" s="9"/>
      <c r="E41" s="9"/>
      <c r="F41" s="9"/>
      <c r="G41" s="9"/>
    </row>
    <row r="42" ht="18.75" customHeight="1">
      <c r="A42" s="49" t="s">
        <v>70</v>
      </c>
      <c r="B42" s="69"/>
      <c r="C42" s="9"/>
      <c r="D42" s="9"/>
      <c r="E42" s="9"/>
      <c r="F42" s="9"/>
      <c r="G42" s="9"/>
    </row>
    <row r="43" ht="18.75" customHeight="1">
      <c r="A43" s="43" t="s">
        <v>6</v>
      </c>
      <c r="B43" s="43"/>
      <c r="C43" s="53" t="s">
        <v>37</v>
      </c>
      <c r="D43" s="53" t="s">
        <v>71</v>
      </c>
      <c r="E43" s="53" t="s">
        <v>72</v>
      </c>
      <c r="F43" s="53" t="s">
        <v>73</v>
      </c>
      <c r="G43" s="53" t="s">
        <v>74</v>
      </c>
    </row>
    <row r="44">
      <c r="A44" s="70" t="str">
        <f>IFERROR(__xludf.DUMMYFUNCTION("filter(Projetos!J2:J65,Projetos!K2:K65=TRUE)"),"INOV00001")</f>
        <v>INOV00001</v>
      </c>
      <c r="C44" s="71">
        <f t="shared" ref="C44:C64" si="8">SUM(E44:F44)</f>
        <v>253097.5927</v>
      </c>
      <c r="D44" s="9"/>
      <c r="E44" s="72">
        <f t="array" ref="E44:E64">IFERROR(XLOOKUP(A44:A64,TRANSPOSE(Investimentos!$N$3:$BB$3),TRANSPOSE(Investimentos!$N$2:$BB$3),0,0),"")</f>
        <v>238620.4183</v>
      </c>
      <c r="F44" s="72">
        <f>IFERROR(__xludf.DUMMYFUNCTION("IFERROR(SUM(FILTER(Pessoal!$V$2:$V65,Pessoal!$A$2:$A65=A44)))"),14477.174411206699)</f>
        <v>14477.17441</v>
      </c>
      <c r="G44" s="73">
        <v>0.0</v>
      </c>
    </row>
    <row r="45">
      <c r="A45" s="70" t="str">
        <f>IFERROR(__xludf.DUMMYFUNCTION("""COMPUTED_VALUE"""),"INOV00004")</f>
        <v>INOV00004</v>
      </c>
      <c r="C45" s="71">
        <f t="shared" si="8"/>
        <v>31072.12978</v>
      </c>
      <c r="D45" s="9"/>
      <c r="E45" s="72">
        <v>30440.2875</v>
      </c>
      <c r="F45" s="72">
        <f>IFERROR(__xludf.DUMMYFUNCTION("IFERROR(SUM(FILTER(Pessoal!$V$2:$V65,Pessoal!$A$2:$A65=A45)))"),631.84228426613)</f>
        <v>631.8422843</v>
      </c>
      <c r="G45" s="73">
        <v>0.0</v>
      </c>
    </row>
    <row r="46">
      <c r="A46" s="70" t="str">
        <f>IFERROR(__xludf.DUMMYFUNCTION("""COMPUTED_VALUE"""),"INOV00006")</f>
        <v>INOV00006</v>
      </c>
      <c r="C46" s="71">
        <f t="shared" si="8"/>
        <v>25012.0299</v>
      </c>
      <c r="D46" s="9"/>
      <c r="E46" s="72">
        <v>20462.53</v>
      </c>
      <c r="F46" s="72">
        <f>IFERROR(__xludf.DUMMYFUNCTION("IFERROR(SUM(FILTER(Pessoal!$V$2:$V65,Pessoal!$A$2:$A65=A46)))"),4549.499901871496)</f>
        <v>4549.499902</v>
      </c>
      <c r="G46" s="73">
        <v>0.0</v>
      </c>
    </row>
    <row r="47" ht="18.75" customHeight="1">
      <c r="A47" s="21" t="str">
        <f>IFERROR(__xludf.DUMMYFUNCTION("""COMPUTED_VALUE"""),"INOV00010")</f>
        <v>INOV00010</v>
      </c>
      <c r="C47" s="71">
        <f t="shared" si="8"/>
        <v>36218.15608</v>
      </c>
      <c r="D47" s="9"/>
      <c r="E47" s="72">
        <v>35743.1775</v>
      </c>
      <c r="F47" s="72">
        <f>IFERROR(__xludf.DUMMYFUNCTION("IFERROR(SUM(FILTER(Pessoal!$V$2:$V65,Pessoal!$A$2:$A65=A47)))"),474.97858090602745)</f>
        <v>474.9785809</v>
      </c>
      <c r="G47" s="73">
        <v>0.0</v>
      </c>
    </row>
    <row r="48" ht="18.75" customHeight="1">
      <c r="A48" s="21" t="str">
        <f>IFERROR(__xludf.DUMMYFUNCTION("""COMPUTED_VALUE"""),"INOV00013")</f>
        <v>INOV00013</v>
      </c>
      <c r="C48" s="71">
        <f t="shared" si="8"/>
        <v>0</v>
      </c>
      <c r="D48" s="9"/>
      <c r="E48" s="72">
        <v>0.0</v>
      </c>
      <c r="F48" s="72" t="str">
        <f>IFERROR(__xludf.DUMMYFUNCTION("IFERROR(SUM(FILTER(Pessoal!$V$2:$V65,Pessoal!$A$2:$A65=A48)))"),"")</f>
        <v/>
      </c>
      <c r="G48" s="73">
        <v>0.0</v>
      </c>
    </row>
    <row r="49" ht="18.75" customHeight="1">
      <c r="A49" s="21" t="str">
        <f>IFERROR(__xludf.DUMMYFUNCTION("""COMPUTED_VALUE"""),"INOV00014")</f>
        <v>INOV00014</v>
      </c>
      <c r="B49" s="21"/>
      <c r="C49" s="71">
        <f t="shared" si="8"/>
        <v>80256.59023</v>
      </c>
      <c r="D49" s="21"/>
      <c r="E49" s="72">
        <v>79988.11750000001</v>
      </c>
      <c r="F49" s="72">
        <f>IFERROR(__xludf.DUMMYFUNCTION("IFERROR(SUM(FILTER(Pessoal!$V$2:$V65,Pessoal!$A$2:$A65=A49)))"),268.4727270135131)</f>
        <v>268.472727</v>
      </c>
      <c r="G49" s="73">
        <v>0.0</v>
      </c>
    </row>
    <row r="50" ht="18.75" customHeight="1">
      <c r="A50" s="21" t="str">
        <f>IFERROR(__xludf.DUMMYFUNCTION("""COMPUTED_VALUE"""),"INOV00016")</f>
        <v>INOV00016</v>
      </c>
      <c r="B50" s="21"/>
      <c r="C50" s="71">
        <f t="shared" si="8"/>
        <v>188210.5183</v>
      </c>
      <c r="D50" s="21"/>
      <c r="E50" s="72">
        <v>181490.80583333335</v>
      </c>
      <c r="F50" s="72">
        <f>IFERROR(__xludf.DUMMYFUNCTION("IFERROR(SUM(FILTER(Pessoal!$V$2:$V65,Pessoal!$A$2:$A65=A50)))"),6719.712508482549)</f>
        <v>6719.712508</v>
      </c>
      <c r="G50" s="73">
        <v>0.0</v>
      </c>
    </row>
    <row r="51" ht="18.75" customHeight="1">
      <c r="A51" s="21" t="str">
        <f>IFERROR(__xludf.DUMMYFUNCTION("""COMPUTED_VALUE"""),"INOV00017")</f>
        <v>INOV00017</v>
      </c>
      <c r="B51" s="21"/>
      <c r="C51" s="71">
        <f t="shared" si="8"/>
        <v>172823.9054</v>
      </c>
      <c r="D51" s="21"/>
      <c r="E51" s="72">
        <v>168637.04499999998</v>
      </c>
      <c r="F51" s="72">
        <f>IFERROR(__xludf.DUMMYFUNCTION("IFERROR(SUM(FILTER(Pessoal!$V$2:$V65,Pessoal!$A$2:$A65=A51)))"),4186.860401264897)</f>
        <v>4186.860401</v>
      </c>
      <c r="G51" s="73">
        <v>0.0</v>
      </c>
    </row>
    <row r="52" ht="18.75" customHeight="1">
      <c r="A52" s="21" t="str">
        <f>IFERROR(__xludf.DUMMYFUNCTION("""COMPUTED_VALUE"""),"INOV00022")</f>
        <v>INOV00022</v>
      </c>
      <c r="B52" s="21"/>
      <c r="C52" s="71">
        <f t="shared" si="8"/>
        <v>0</v>
      </c>
      <c r="D52" s="21"/>
      <c r="E52" s="72">
        <v>0.0</v>
      </c>
      <c r="F52" s="72" t="str">
        <f>IFERROR(__xludf.DUMMYFUNCTION("IFERROR(SUM(FILTER(Pessoal!$V$2:$V65,Pessoal!$A$2:$A65=A52)))"),"")</f>
        <v/>
      </c>
      <c r="G52" s="73">
        <v>0.0</v>
      </c>
    </row>
    <row r="53" ht="18.75" customHeight="1">
      <c r="A53" s="21" t="str">
        <f>IFERROR(__xludf.DUMMYFUNCTION("""COMPUTED_VALUE"""),"INOV00023")</f>
        <v>INOV00023</v>
      </c>
      <c r="B53" s="21"/>
      <c r="C53" s="71">
        <f t="shared" si="8"/>
        <v>0</v>
      </c>
      <c r="D53" s="21"/>
      <c r="E53" s="72">
        <v>0.0</v>
      </c>
      <c r="F53" s="72">
        <f>IFERROR(__xludf.DUMMYFUNCTION("IFERROR(SUM(FILTER(Pessoal!$V$2:$V65,Pessoal!$A$2:$A65=A53)))"),0.0)</f>
        <v>0</v>
      </c>
      <c r="G53" s="73">
        <v>0.0</v>
      </c>
    </row>
    <row r="54" ht="18.75" customHeight="1">
      <c r="A54" s="21" t="str">
        <f>IFERROR(__xludf.DUMMYFUNCTION("""COMPUTED_VALUE"""),"INOV00025")</f>
        <v>INOV00025</v>
      </c>
      <c r="B54" s="21"/>
      <c r="C54" s="71">
        <f t="shared" si="8"/>
        <v>0</v>
      </c>
      <c r="D54" s="21"/>
      <c r="E54" s="72">
        <v>0.0</v>
      </c>
      <c r="F54" s="72" t="str">
        <f>IFERROR(__xludf.DUMMYFUNCTION("IFERROR(SUM(FILTER(Pessoal!$V$2:$V65,Pessoal!$A$2:$A65=A54)))"),"")</f>
        <v/>
      </c>
      <c r="G54" s="73">
        <v>0.0</v>
      </c>
    </row>
    <row r="55" ht="18.75" customHeight="1">
      <c r="A55" s="21" t="str">
        <f>IFERROR(__xludf.DUMMYFUNCTION("""COMPUTED_VALUE"""),"INOV00029")</f>
        <v>INOV00029</v>
      </c>
      <c r="B55" s="21"/>
      <c r="C55" s="71">
        <f t="shared" si="8"/>
        <v>455.5327444</v>
      </c>
      <c r="D55" s="21"/>
      <c r="E55" s="72">
        <v>0.0</v>
      </c>
      <c r="F55" s="72">
        <f>IFERROR(__xludf.DUMMYFUNCTION("IFERROR(SUM(FILTER(Pessoal!$V$2:$V65,Pessoal!$A$2:$A65=A55)))"),455.532744406215)</f>
        <v>455.5327444</v>
      </c>
      <c r="G55" s="73">
        <v>0.0</v>
      </c>
    </row>
    <row r="56" ht="18.75" customHeight="1">
      <c r="A56" s="21" t="str">
        <f>IFERROR(__xludf.DUMMYFUNCTION("""COMPUTED_VALUE"""),"INOV00032")</f>
        <v>INOV00032</v>
      </c>
      <c r="B56" s="21"/>
      <c r="C56" s="71">
        <f t="shared" si="8"/>
        <v>0</v>
      </c>
      <c r="D56" s="21"/>
      <c r="E56" s="72">
        <v>0.0</v>
      </c>
      <c r="F56" s="72" t="str">
        <f>IFERROR(__xludf.DUMMYFUNCTION("IFERROR(SUM(FILTER(Pessoal!$V$2:$V65,Pessoal!$A$2:$A65=A56)))"),"")</f>
        <v/>
      </c>
      <c r="G56" s="73">
        <v>0.0</v>
      </c>
    </row>
    <row r="57" ht="18.75" customHeight="1">
      <c r="A57" s="21" t="str">
        <f>IFERROR(__xludf.DUMMYFUNCTION("""COMPUTED_VALUE"""),"INOV00035")</f>
        <v>INOV00035</v>
      </c>
      <c r="B57" s="21"/>
      <c r="C57" s="71">
        <f t="shared" si="8"/>
        <v>1437.572921</v>
      </c>
      <c r="D57" s="21"/>
      <c r="E57" s="72">
        <v>0.0</v>
      </c>
      <c r="F57" s="72">
        <f>IFERROR(__xludf.DUMMYFUNCTION("IFERROR(SUM(FILTER(Pessoal!$V$2:$V65,Pessoal!$A$2:$A65=A57)))"),1437.5729206201581)</f>
        <v>1437.572921</v>
      </c>
      <c r="G57" s="73">
        <v>0.0</v>
      </c>
    </row>
    <row r="58" ht="18.75" customHeight="1">
      <c r="A58" s="21" t="str">
        <f>IFERROR(__xludf.DUMMYFUNCTION("""COMPUTED_VALUE"""),"INOV00036")</f>
        <v>INOV00036</v>
      </c>
      <c r="B58" s="21"/>
      <c r="C58" s="71">
        <f t="shared" si="8"/>
        <v>4293.06409</v>
      </c>
      <c r="D58" s="21"/>
      <c r="E58" s="72">
        <v>172.5</v>
      </c>
      <c r="F58" s="72">
        <f>IFERROR(__xludf.DUMMYFUNCTION("IFERROR(SUM(FILTER(Pessoal!$V$2:$V65,Pessoal!$A$2:$A65=A58)))"),4120.56409012692)</f>
        <v>4120.56409</v>
      </c>
      <c r="G58" s="73">
        <v>0.0</v>
      </c>
    </row>
    <row r="59" ht="18.75" customHeight="1">
      <c r="A59" s="21" t="str">
        <f>IFERROR(__xludf.DUMMYFUNCTION("""COMPUTED_VALUE"""),"INOV00037")</f>
        <v>INOV00037</v>
      </c>
      <c r="B59" s="21"/>
      <c r="C59" s="71">
        <f t="shared" si="8"/>
        <v>0</v>
      </c>
      <c r="D59" s="21"/>
      <c r="E59" s="72">
        <v>0.0</v>
      </c>
      <c r="F59" s="72" t="str">
        <f>IFERROR(__xludf.DUMMYFUNCTION("IFERROR(SUM(FILTER(Pessoal!$V$2:$V65,Pessoal!$A$2:$A65=A59)))"),"")</f>
        <v/>
      </c>
      <c r="G59" s="73">
        <v>0.0</v>
      </c>
    </row>
    <row r="60" ht="18.75" customHeight="1">
      <c r="A60" s="21" t="str">
        <f>IFERROR(__xludf.DUMMYFUNCTION("""COMPUTED_VALUE"""),"INOV00038")</f>
        <v>INOV00038</v>
      </c>
      <c r="B60" s="21"/>
      <c r="C60" s="71">
        <f t="shared" si="8"/>
        <v>502.9760178</v>
      </c>
      <c r="D60" s="21"/>
      <c r="E60" s="72">
        <v>0.0</v>
      </c>
      <c r="F60" s="72">
        <f>IFERROR(__xludf.DUMMYFUNCTION("IFERROR(SUM(FILTER(Pessoal!$V$2:$V65,Pessoal!$A$2:$A65=A60)))"),502.9760177671686)</f>
        <v>502.9760178</v>
      </c>
      <c r="G60" s="73">
        <v>0.0</v>
      </c>
    </row>
    <row r="61" ht="18.75" customHeight="1">
      <c r="A61" s="21" t="str">
        <f>IFERROR(__xludf.DUMMYFUNCTION("""COMPUTED_VALUE"""),"INOV00039")</f>
        <v>INOV00039</v>
      </c>
      <c r="B61" s="21"/>
      <c r="C61" s="71">
        <f t="shared" si="8"/>
        <v>0</v>
      </c>
      <c r="D61" s="21"/>
      <c r="E61" s="72">
        <v>0.0</v>
      </c>
      <c r="F61" s="72">
        <f>IFERROR(__xludf.DUMMYFUNCTION("IFERROR(SUM(FILTER(Pessoal!$V$2:$V65,Pessoal!$A$2:$A65=A61)))"),0.0)</f>
        <v>0</v>
      </c>
      <c r="G61" s="73">
        <v>0.0</v>
      </c>
    </row>
    <row r="62" ht="18.75" customHeight="1">
      <c r="A62" s="21" t="str">
        <f>IFERROR(__xludf.DUMMYFUNCTION("""COMPUTED_VALUE"""),"INOV00041")</f>
        <v>INOV00041</v>
      </c>
      <c r="B62" s="21"/>
      <c r="C62" s="71">
        <f t="shared" si="8"/>
        <v>2540.310111</v>
      </c>
      <c r="D62" s="21"/>
      <c r="E62" s="72">
        <v>0.0</v>
      </c>
      <c r="F62" s="72">
        <f>IFERROR(__xludf.DUMMYFUNCTION("IFERROR(SUM(FILTER(Pessoal!$V$2:$V65,Pessoal!$A$2:$A65=A62)))"),2540.3101110029447)</f>
        <v>2540.310111</v>
      </c>
      <c r="G62" s="73">
        <v>0.0</v>
      </c>
    </row>
    <row r="63" ht="18.75" customHeight="1">
      <c r="A63" s="21" t="str">
        <f>IFERROR(__xludf.DUMMYFUNCTION("""COMPUTED_VALUE"""),"INOV00046")</f>
        <v>INOV00046</v>
      </c>
      <c r="B63" s="21"/>
      <c r="C63" s="71">
        <f t="shared" si="8"/>
        <v>4313.768924</v>
      </c>
      <c r="D63" s="21"/>
      <c r="E63" s="72">
        <v>142.22</v>
      </c>
      <c r="F63" s="72">
        <f>IFERROR(__xludf.DUMMYFUNCTION("IFERROR(SUM(FILTER(Pessoal!$V$2:$V65,Pessoal!$A$2:$A65=A63)))"),4171.548923507112)</f>
        <v>4171.548924</v>
      </c>
      <c r="G63" s="73">
        <v>0.0</v>
      </c>
    </row>
    <row r="64" ht="18.75" customHeight="1">
      <c r="A64" s="21" t="str">
        <f>IFERROR(__xludf.DUMMYFUNCTION("""COMPUTED_VALUE"""),"INOV00047")</f>
        <v>INOV00047</v>
      </c>
      <c r="B64" s="21"/>
      <c r="C64" s="71">
        <f t="shared" si="8"/>
        <v>0</v>
      </c>
      <c r="D64" s="21"/>
      <c r="E64" s="72">
        <v>0.0</v>
      </c>
      <c r="F64" s="72" t="str">
        <f>IFERROR(__xludf.DUMMYFUNCTION("IFERROR(SUM(FILTER(Pessoal!$V$2:$V65,Pessoal!$A$2:$A65=A64)))"),"")</f>
        <v/>
      </c>
      <c r="G64" s="73">
        <v>0.0</v>
      </c>
    </row>
    <row r="65" ht="18.75" customHeight="1">
      <c r="A65" s="64" t="s">
        <v>75</v>
      </c>
      <c r="B65" s="74"/>
      <c r="C65" s="75">
        <f>SUM(C44:C64)</f>
        <v>800234.1473</v>
      </c>
      <c r="D65" s="76">
        <f t="shared" ref="D65:G65" si="9">SUM(D43:D64)</f>
        <v>0</v>
      </c>
      <c r="E65" s="77">
        <f t="shared" si="9"/>
        <v>755697.1017</v>
      </c>
      <c r="F65" s="77">
        <f t="shared" si="9"/>
        <v>44537.04562</v>
      </c>
      <c r="G65" s="76">
        <f t="shared" si="9"/>
        <v>0</v>
      </c>
    </row>
  </sheetData>
  <mergeCells count="8">
    <mergeCell ref="F2:G3"/>
    <mergeCell ref="B31:D31"/>
    <mergeCell ref="E31:G31"/>
    <mergeCell ref="A44:B44"/>
    <mergeCell ref="A45:B45"/>
    <mergeCell ref="A46:B46"/>
    <mergeCell ref="A47:B47"/>
    <mergeCell ref="A48:B48"/>
  </mergeCells>
  <printOptions horizontalCentered="1" verticalCentered="1"/>
  <pageMargins bottom="0.09842519685039369" footer="0.0" header="0.0" left="0.0" right="0.0" top="0.09842519685039369"/>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showGridLines="0" workbookViewId="0">
      <pane xSplit="1.0" topLeftCell="B1" activePane="topRight" state="frozen"/>
      <selection activeCell="C2" sqref="C2" pane="topRight"/>
    </sheetView>
  </sheetViews>
  <sheetFormatPr customHeight="1" defaultColWidth="12.63" defaultRowHeight="15.75"/>
  <cols>
    <col customWidth="1" min="1" max="1" width="28.75"/>
    <col customWidth="1" min="2" max="2" width="16.0"/>
    <col customWidth="1" min="3" max="3" width="25.25"/>
    <col customWidth="1" min="4" max="6" width="62.63"/>
    <col customWidth="1" min="7" max="7" width="75.13"/>
    <col customWidth="1" min="8" max="8" width="11.13"/>
    <col customWidth="1" min="9" max="9" width="12.5"/>
    <col customWidth="1" min="10" max="10" width="10.5"/>
    <col customWidth="1" min="11" max="11" width="12.63"/>
    <col customWidth="1" min="12" max="12" width="10.13"/>
    <col customWidth="1" min="13" max="13" width="14.63"/>
  </cols>
  <sheetData>
    <row r="1">
      <c r="A1" s="78" t="s">
        <v>76</v>
      </c>
      <c r="B1" s="78"/>
      <c r="C1" s="78" t="s">
        <v>36</v>
      </c>
      <c r="D1" s="78" t="s">
        <v>1</v>
      </c>
      <c r="E1" s="78" t="s">
        <v>77</v>
      </c>
      <c r="F1" s="78" t="s">
        <v>78</v>
      </c>
      <c r="G1" s="78" t="s">
        <v>79</v>
      </c>
      <c r="H1" s="79" t="s">
        <v>80</v>
      </c>
      <c r="I1" s="80" t="s">
        <v>81</v>
      </c>
      <c r="J1" s="81" t="s">
        <v>82</v>
      </c>
      <c r="K1" s="78" t="s">
        <v>83</v>
      </c>
      <c r="L1" s="82" t="s">
        <v>84</v>
      </c>
      <c r="M1" s="82" t="s">
        <v>85</v>
      </c>
    </row>
    <row r="2">
      <c r="A2" s="83" t="s">
        <v>86</v>
      </c>
      <c r="B2" s="83"/>
      <c r="C2" s="83" t="s">
        <v>87</v>
      </c>
      <c r="D2" s="83" t="s">
        <v>88</v>
      </c>
      <c r="E2" s="83" t="s">
        <v>89</v>
      </c>
      <c r="F2" s="83" t="s">
        <v>90</v>
      </c>
      <c r="G2" s="83" t="s">
        <v>91</v>
      </c>
      <c r="H2" s="84">
        <v>43853.0</v>
      </c>
      <c r="I2" s="85">
        <v>44926.0</v>
      </c>
      <c r="J2" s="86" t="s">
        <v>92</v>
      </c>
      <c r="K2" s="87" t="b">
        <v>1</v>
      </c>
      <c r="L2" s="88">
        <f t="array" ref="L2">SUM(INDEX(Investimentos!$N$3:$BB30,,MATCH(J2,Investimentos!$N$3:$BB$3,0)))</f>
        <v>238620.4183</v>
      </c>
      <c r="M2" s="88">
        <f>IF(K2=TRUE,SUMIF(Pessoal!A:A,J2,Pessoal!$V:$V),0)</f>
        <v>14477.17441</v>
      </c>
    </row>
    <row r="3">
      <c r="A3" s="83" t="s">
        <v>93</v>
      </c>
      <c r="B3" s="83"/>
      <c r="C3" s="83" t="s">
        <v>87</v>
      </c>
      <c r="D3" s="83" t="s">
        <v>94</v>
      </c>
      <c r="E3" s="83" t="s">
        <v>95</v>
      </c>
      <c r="F3" s="83" t="s">
        <v>96</v>
      </c>
      <c r="G3" s="83" t="s">
        <v>97</v>
      </c>
      <c r="H3" s="89">
        <v>43500.0</v>
      </c>
      <c r="I3" s="85">
        <v>44561.0</v>
      </c>
      <c r="J3" s="86" t="s">
        <v>98</v>
      </c>
      <c r="K3" s="87" t="b">
        <v>1</v>
      </c>
      <c r="L3" s="88">
        <f t="array" ref="L3">SUM(INDEX(Investimentos!$N$3:$BB30,,MATCH(J3,Investimentos!$N$3:$BB$3,0)))</f>
        <v>30440.2875</v>
      </c>
      <c r="M3" s="88">
        <f>IF(K3=TRUE,SUMIF(Pessoal!A:A,J3,Pessoal!$V:$V),0)</f>
        <v>631.8422843</v>
      </c>
    </row>
    <row r="4">
      <c r="A4" s="83" t="s">
        <v>99</v>
      </c>
      <c r="B4" s="83"/>
      <c r="C4" s="83" t="s">
        <v>87</v>
      </c>
      <c r="D4" s="83" t="s">
        <v>100</v>
      </c>
      <c r="E4" s="83" t="s">
        <v>101</v>
      </c>
      <c r="F4" s="83" t="s">
        <v>102</v>
      </c>
      <c r="G4" s="83" t="s">
        <v>103</v>
      </c>
      <c r="H4" s="84">
        <v>43553.0</v>
      </c>
      <c r="I4" s="84">
        <v>44742.0</v>
      </c>
      <c r="J4" s="86" t="s">
        <v>104</v>
      </c>
      <c r="K4" s="87" t="b">
        <v>1</v>
      </c>
      <c r="L4" s="88">
        <f t="array" ref="L4">SUM(INDEX(Investimentos!$N$3:$BB30,,MATCH(J4,Investimentos!$N$3:$BB$3,0)))</f>
        <v>20462.53</v>
      </c>
      <c r="M4" s="88">
        <f>IF(K4=TRUE,SUMIF(Pessoal!A:A,J4,Pessoal!$V:$V),0)</f>
        <v>4549.499902</v>
      </c>
    </row>
    <row r="5">
      <c r="A5" s="90" t="s">
        <v>105</v>
      </c>
      <c r="B5" s="90"/>
      <c r="C5" s="90" t="s">
        <v>87</v>
      </c>
      <c r="D5" s="90"/>
      <c r="E5" s="90"/>
      <c r="F5" s="90"/>
      <c r="G5" s="90"/>
      <c r="H5" s="91"/>
      <c r="I5" s="91"/>
      <c r="J5" s="92" t="s">
        <v>106</v>
      </c>
      <c r="K5" s="93" t="b">
        <v>1</v>
      </c>
      <c r="L5" s="94">
        <f t="array" ref="L5">SUM(INDEX(Investimentos!$N$3:$BB30,,MATCH(J5,Investimentos!$N$3:$BB$3,0)))</f>
        <v>35743.1775</v>
      </c>
      <c r="M5" s="94">
        <f>IF(K5=TRUE,SUMIF(Pessoal!A:A,J5,Pessoal!$V:$V),0)</f>
        <v>474.9785809</v>
      </c>
    </row>
    <row r="6">
      <c r="A6" s="83" t="s">
        <v>107</v>
      </c>
      <c r="B6" s="83"/>
      <c r="C6" s="83" t="s">
        <v>87</v>
      </c>
      <c r="D6" s="83" t="s">
        <v>108</v>
      </c>
      <c r="E6" s="83" t="s">
        <v>109</v>
      </c>
      <c r="F6" s="83" t="s">
        <v>110</v>
      </c>
      <c r="G6" s="83" t="s">
        <v>111</v>
      </c>
      <c r="H6" s="84">
        <v>43853.0</v>
      </c>
      <c r="I6" s="85">
        <v>44926.0</v>
      </c>
      <c r="J6" s="86" t="s">
        <v>112</v>
      </c>
      <c r="K6" s="87" t="b">
        <v>1</v>
      </c>
      <c r="L6" s="88">
        <f t="array" ref="L6">SUM(INDEX(Investimentos!$N$3:$BB30,,MATCH(J6,Investimentos!$N$3:$BB$3,0)))</f>
        <v>0</v>
      </c>
      <c r="M6" s="88">
        <f>IF(K6=TRUE,SUMIF(Pessoal!A:A,J6,Pessoal!$V:$V),0)</f>
        <v>0</v>
      </c>
    </row>
    <row r="7">
      <c r="A7" s="95" t="s">
        <v>113</v>
      </c>
      <c r="B7" s="83"/>
      <c r="C7" s="83" t="s">
        <v>87</v>
      </c>
      <c r="D7" s="83" t="s">
        <v>114</v>
      </c>
      <c r="E7" s="83" t="s">
        <v>115</v>
      </c>
      <c r="F7" s="83" t="s">
        <v>116</v>
      </c>
      <c r="G7" s="83" t="s">
        <v>117</v>
      </c>
      <c r="H7" s="84">
        <v>43853.0</v>
      </c>
      <c r="I7" s="85">
        <v>44926.0</v>
      </c>
      <c r="J7" s="86" t="s">
        <v>118</v>
      </c>
      <c r="K7" s="87" t="b">
        <v>1</v>
      </c>
      <c r="L7" s="88">
        <f t="array" ref="L7">SUM(INDEX(Investimentos!$N$3:$BB30,,MATCH(J7,Investimentos!$N$3:$BB$3,0)))</f>
        <v>79988.1175</v>
      </c>
      <c r="M7" s="88">
        <f>IF(K7=TRUE,SUMIF(Pessoal!A:A,J7,Pessoal!$V:$V),0)</f>
        <v>268.472727</v>
      </c>
    </row>
    <row r="8">
      <c r="A8" s="95" t="s">
        <v>119</v>
      </c>
      <c r="B8" s="83"/>
      <c r="C8" s="83" t="s">
        <v>87</v>
      </c>
      <c r="D8" s="83" t="s">
        <v>120</v>
      </c>
      <c r="E8" s="83" t="s">
        <v>121</v>
      </c>
      <c r="F8" s="83" t="s">
        <v>122</v>
      </c>
      <c r="G8" s="83" t="s">
        <v>123</v>
      </c>
      <c r="H8" s="84"/>
      <c r="I8" s="85"/>
      <c r="J8" s="86" t="s">
        <v>124</v>
      </c>
      <c r="K8" s="87" t="b">
        <v>1</v>
      </c>
      <c r="L8" s="88">
        <f t="array" ref="L8">SUM(INDEX(Investimentos!$N$3:$BB30,,MATCH(J8,Investimentos!$N$3:$BB$3,0)))</f>
        <v>181490.8058</v>
      </c>
      <c r="M8" s="88">
        <f>IF(K8=TRUE,SUMIF(Pessoal!A:A,J8,Pessoal!$V:$V),0)</f>
        <v>6719.712508</v>
      </c>
    </row>
    <row r="9">
      <c r="A9" s="95" t="s">
        <v>125</v>
      </c>
      <c r="B9" s="83"/>
      <c r="C9" s="83" t="s">
        <v>87</v>
      </c>
      <c r="D9" s="83" t="s">
        <v>126</v>
      </c>
      <c r="E9" s="83" t="s">
        <v>127</v>
      </c>
      <c r="F9" s="83" t="s">
        <v>128</v>
      </c>
      <c r="G9" s="83" t="s">
        <v>129</v>
      </c>
      <c r="H9" s="84"/>
      <c r="I9" s="85"/>
      <c r="J9" s="86" t="s">
        <v>130</v>
      </c>
      <c r="K9" s="87" t="b">
        <v>1</v>
      </c>
      <c r="L9" s="88">
        <f t="array" ref="L9">SUM(INDEX(Investimentos!$N$3:$BB30,,MATCH(J9,Investimentos!$N$3:$BB$3,0)))</f>
        <v>168637.045</v>
      </c>
      <c r="M9" s="88">
        <f>IF(K9=TRUE,SUMIF(Pessoal!A:A,J9,Pessoal!$V:$V),0)</f>
        <v>4186.860401</v>
      </c>
    </row>
    <row r="10">
      <c r="A10" s="95" t="s">
        <v>131</v>
      </c>
      <c r="B10" s="83"/>
      <c r="C10" s="83" t="s">
        <v>132</v>
      </c>
      <c r="D10" s="83" t="s">
        <v>133</v>
      </c>
      <c r="E10" s="83" t="s">
        <v>134</v>
      </c>
      <c r="F10" s="83" t="s">
        <v>135</v>
      </c>
      <c r="G10" s="83" t="s">
        <v>136</v>
      </c>
      <c r="H10" s="84"/>
      <c r="I10" s="85"/>
      <c r="J10" s="86" t="s">
        <v>137</v>
      </c>
      <c r="K10" s="87" t="b">
        <v>1</v>
      </c>
      <c r="L10" s="88">
        <f t="array" ref="L10">SUM(INDEX(Investimentos!$N$3:$BB30,,MATCH(J10,Investimentos!$N$3:$BB$3,0)))</f>
        <v>0</v>
      </c>
      <c r="M10" s="88">
        <f>IF(K10=TRUE,SUMIF(Pessoal!A:A,J10,Pessoal!$V:$V),0)</f>
        <v>0</v>
      </c>
    </row>
    <row r="11">
      <c r="A11" s="95" t="s">
        <v>138</v>
      </c>
      <c r="B11" s="83"/>
      <c r="C11" s="83" t="s">
        <v>132</v>
      </c>
      <c r="D11" s="83" t="s">
        <v>139</v>
      </c>
      <c r="E11" s="83" t="s">
        <v>140</v>
      </c>
      <c r="F11" s="83" t="s">
        <v>141</v>
      </c>
      <c r="G11" s="83" t="s">
        <v>142</v>
      </c>
      <c r="H11" s="84"/>
      <c r="I11" s="85"/>
      <c r="J11" s="86" t="s">
        <v>143</v>
      </c>
      <c r="K11" s="87" t="b">
        <v>1</v>
      </c>
      <c r="L11" s="88">
        <f t="array" ref="L11">SUM(INDEX(Investimentos!$N$3:$BB30,,MATCH(J11,Investimentos!$N$3:$BB$3,0)))</f>
        <v>0</v>
      </c>
      <c r="M11" s="88">
        <f>IF(K11=TRUE,SUMIF(Pessoal!A:A,J11,Pessoal!$V:$V),0)</f>
        <v>0</v>
      </c>
    </row>
    <row r="12">
      <c r="A12" s="95" t="s">
        <v>144</v>
      </c>
      <c r="B12" s="83"/>
      <c r="C12" s="83" t="s">
        <v>145</v>
      </c>
      <c r="D12" s="83" t="s">
        <v>146</v>
      </c>
      <c r="E12" s="83" t="s">
        <v>147</v>
      </c>
      <c r="F12" s="83" t="s">
        <v>148</v>
      </c>
      <c r="G12" s="83" t="s">
        <v>149</v>
      </c>
      <c r="H12" s="84"/>
      <c r="I12" s="85"/>
      <c r="J12" s="86" t="s">
        <v>150</v>
      </c>
      <c r="K12" s="87" t="b">
        <v>0</v>
      </c>
      <c r="L12" s="88">
        <f t="array" ref="L12">SUM(INDEX(Investimentos!$N$3:$BB30,,MATCH(J12,Investimentos!$N$3:$BB$3,0)))</f>
        <v>0</v>
      </c>
      <c r="M12" s="88">
        <f>IF(K12=TRUE,SUMIF(Pessoal!A:A,J12,Pessoal!$V:$V),0)</f>
        <v>0</v>
      </c>
    </row>
    <row r="13">
      <c r="A13" s="95" t="s">
        <v>151</v>
      </c>
      <c r="B13" s="83"/>
      <c r="C13" s="83" t="s">
        <v>87</v>
      </c>
      <c r="D13" s="83" t="s">
        <v>152</v>
      </c>
      <c r="E13" s="83" t="s">
        <v>153</v>
      </c>
      <c r="F13" s="83" t="s">
        <v>154</v>
      </c>
      <c r="G13" s="83" t="s">
        <v>155</v>
      </c>
      <c r="H13" s="84"/>
      <c r="I13" s="85"/>
      <c r="J13" s="86" t="s">
        <v>156</v>
      </c>
      <c r="K13" s="87" t="b">
        <v>1</v>
      </c>
      <c r="L13" s="88">
        <f t="array" ref="L13">SUM(INDEX(Investimentos!$N$3:$BB30,,MATCH(J13,Investimentos!$N$3:$BB$3,0)))</f>
        <v>0</v>
      </c>
      <c r="M13" s="88">
        <f>IF(K13=TRUE,SUMIF(Pessoal!A:A,J13,Pessoal!$V:$V),0)</f>
        <v>0</v>
      </c>
    </row>
    <row r="14">
      <c r="A14" s="95" t="s">
        <v>157</v>
      </c>
      <c r="B14" s="83"/>
      <c r="C14" s="83"/>
      <c r="D14" s="83"/>
      <c r="E14" s="83"/>
      <c r="F14" s="83"/>
      <c r="G14" s="83"/>
      <c r="H14" s="84"/>
      <c r="I14" s="85"/>
      <c r="J14" s="96" t="s">
        <v>158</v>
      </c>
      <c r="K14" s="87" t="b">
        <v>0</v>
      </c>
      <c r="L14" s="88">
        <f t="array" ref="L14">SUM(INDEX(Investimentos!$N$3:$BB30,,MATCH(J14,Investimentos!$N$3:$BB$3,0)))</f>
        <v>0</v>
      </c>
      <c r="M14" s="88">
        <f>IF(K14=TRUE,SUMIF(Pessoal!A:A,J14,Pessoal!$V:$V),0)</f>
        <v>0</v>
      </c>
    </row>
    <row r="15">
      <c r="A15" s="95" t="s">
        <v>159</v>
      </c>
      <c r="B15" s="83"/>
      <c r="C15" s="83" t="s">
        <v>160</v>
      </c>
      <c r="D15" s="83" t="s">
        <v>161</v>
      </c>
      <c r="E15" s="83" t="s">
        <v>162</v>
      </c>
      <c r="F15" s="83" t="s">
        <v>163</v>
      </c>
      <c r="G15" s="83" t="s">
        <v>164</v>
      </c>
      <c r="H15" s="84"/>
      <c r="I15" s="85"/>
      <c r="J15" s="86" t="s">
        <v>165</v>
      </c>
      <c r="K15" s="87" t="b">
        <v>0</v>
      </c>
      <c r="L15" s="88">
        <f t="array" ref="L15">SUM(INDEX(Investimentos!$N$3:$BB30,,MATCH(J15,Investimentos!$N$3:$BB$3,0)))</f>
        <v>0</v>
      </c>
      <c r="M15" s="88">
        <f>IF(K15=TRUE,SUMIF(Pessoal!A:A,J15,Pessoal!$V:$V),0)</f>
        <v>0</v>
      </c>
    </row>
    <row r="16">
      <c r="A16" s="95" t="s">
        <v>166</v>
      </c>
      <c r="B16" s="83"/>
      <c r="C16" s="83" t="s">
        <v>87</v>
      </c>
      <c r="D16" s="83" t="s">
        <v>167</v>
      </c>
      <c r="E16" s="83" t="s">
        <v>168</v>
      </c>
      <c r="F16" s="83" t="s">
        <v>169</v>
      </c>
      <c r="G16" s="83" t="s">
        <v>170</v>
      </c>
      <c r="H16" s="84"/>
      <c r="I16" s="85"/>
      <c r="J16" s="86" t="s">
        <v>171</v>
      </c>
      <c r="K16" s="87" t="b">
        <v>0</v>
      </c>
      <c r="L16" s="88">
        <f t="array" ref="L16">SUM(INDEX(Investimentos!$N$3:$BB30,,MATCH(J16,Investimentos!$N$3:$BB$3,0)))</f>
        <v>0</v>
      </c>
      <c r="M16" s="88">
        <f>IF(K16=TRUE,SUMIF(Pessoal!A:A,J16,Pessoal!$V:$V),0)</f>
        <v>0</v>
      </c>
    </row>
    <row r="17">
      <c r="A17" s="95" t="s">
        <v>172</v>
      </c>
      <c r="B17" s="83"/>
      <c r="C17" s="83" t="s">
        <v>160</v>
      </c>
      <c r="D17" s="83" t="s">
        <v>173</v>
      </c>
      <c r="E17" s="83" t="s">
        <v>174</v>
      </c>
      <c r="F17" s="83" t="s">
        <v>175</v>
      </c>
      <c r="G17" s="83" t="s">
        <v>176</v>
      </c>
      <c r="H17" s="84"/>
      <c r="I17" s="85"/>
      <c r="J17" s="86" t="s">
        <v>177</v>
      </c>
      <c r="K17" s="87" t="b">
        <v>1</v>
      </c>
      <c r="L17" s="88">
        <f t="array" ref="L17">SUM(INDEX(Investimentos!$N$3:$BB30,,MATCH(J17,Investimentos!$N$3:$BB$3,0)))</f>
        <v>0</v>
      </c>
      <c r="M17" s="88">
        <f>IF(K17=TRUE,SUMIF(Pessoal!A:A,J17,Pessoal!$V:$V),0)</f>
        <v>455.5327444</v>
      </c>
    </row>
    <row r="18">
      <c r="A18" s="95" t="s">
        <v>178</v>
      </c>
      <c r="B18" s="83"/>
      <c r="C18" s="83"/>
      <c r="D18" s="83"/>
      <c r="E18" s="83"/>
      <c r="F18" s="83"/>
      <c r="G18" s="83"/>
      <c r="H18" s="84"/>
      <c r="I18" s="85"/>
      <c r="J18" s="86" t="s">
        <v>178</v>
      </c>
      <c r="K18" s="87" t="b">
        <v>1</v>
      </c>
      <c r="L18" s="88">
        <f t="array" ref="L18">SUM(INDEX(Investimentos!$N$3:$BB30,,MATCH(J18,Investimentos!$N$3:$BB$3,0)))</f>
        <v>0</v>
      </c>
      <c r="M18" s="88">
        <f>IF(K18=TRUE,SUMIF(Pessoal!A:A,J18,Pessoal!$V:$V),0)</f>
        <v>0</v>
      </c>
    </row>
    <row r="19">
      <c r="A19" s="95" t="s">
        <v>179</v>
      </c>
      <c r="B19" s="83"/>
      <c r="C19" s="83" t="s">
        <v>132</v>
      </c>
      <c r="D19" s="83" t="s">
        <v>180</v>
      </c>
      <c r="E19" s="83" t="s">
        <v>181</v>
      </c>
      <c r="F19" s="83" t="s">
        <v>182</v>
      </c>
      <c r="G19" s="83" t="s">
        <v>183</v>
      </c>
      <c r="H19" s="84"/>
      <c r="I19" s="85"/>
      <c r="J19" s="86" t="s">
        <v>184</v>
      </c>
      <c r="K19" s="87" t="b">
        <v>1</v>
      </c>
      <c r="L19" s="88">
        <f t="array" ref="L19">SUM(INDEX(Investimentos!$N$3:$BB30,,MATCH(J19,Investimentos!$N$3:$BB$3,0)))</f>
        <v>0</v>
      </c>
      <c r="M19" s="88">
        <f>IF(K19=TRUE,SUMIF(Pessoal!A:A,J19,Pessoal!$V:$V),0)</f>
        <v>1437.572921</v>
      </c>
    </row>
    <row r="20">
      <c r="A20" s="95" t="s">
        <v>185</v>
      </c>
      <c r="B20" s="83"/>
      <c r="C20" s="83" t="s">
        <v>132</v>
      </c>
      <c r="D20" s="83" t="s">
        <v>186</v>
      </c>
      <c r="E20" s="83" t="s">
        <v>187</v>
      </c>
      <c r="F20" s="83" t="s">
        <v>188</v>
      </c>
      <c r="G20" s="83" t="s">
        <v>189</v>
      </c>
      <c r="H20" s="84"/>
      <c r="I20" s="85"/>
      <c r="J20" s="86" t="s">
        <v>190</v>
      </c>
      <c r="K20" s="87" t="b">
        <v>1</v>
      </c>
      <c r="L20" s="88">
        <f t="array" ref="L20">SUM(INDEX(Investimentos!$N$3:$BB30,,MATCH(J20,Investimentos!$N$3:$BB$3,0)))</f>
        <v>172.5</v>
      </c>
      <c r="M20" s="88">
        <f>IF(K20=TRUE,SUMIF(Pessoal!A:A,J20,Pessoal!$V:$V),0)</f>
        <v>4120.56409</v>
      </c>
    </row>
    <row r="21">
      <c r="A21" s="95" t="s">
        <v>191</v>
      </c>
      <c r="B21" s="83"/>
      <c r="C21" s="83" t="s">
        <v>132</v>
      </c>
      <c r="D21" s="83" t="s">
        <v>192</v>
      </c>
      <c r="E21" s="83" t="s">
        <v>193</v>
      </c>
      <c r="F21" s="83" t="s">
        <v>194</v>
      </c>
      <c r="G21" s="83" t="s">
        <v>195</v>
      </c>
      <c r="H21" s="84"/>
      <c r="I21" s="85"/>
      <c r="J21" s="86" t="s">
        <v>196</v>
      </c>
      <c r="K21" s="87" t="b">
        <v>1</v>
      </c>
      <c r="L21" s="88">
        <f t="array" ref="L21">SUM(INDEX(Investimentos!$N$3:$BB30,,MATCH(J21,Investimentos!$N$3:$BB$3,0)))</f>
        <v>0</v>
      </c>
      <c r="M21" s="88">
        <f>IF(K21=TRUE,SUMIF(Pessoal!A:A,J21,Pessoal!$V:$V),0)</f>
        <v>0</v>
      </c>
    </row>
    <row r="22">
      <c r="A22" s="97" t="s">
        <v>197</v>
      </c>
      <c r="B22" s="90"/>
      <c r="C22" s="90"/>
      <c r="D22" s="90"/>
      <c r="E22" s="90"/>
      <c r="F22" s="90"/>
      <c r="G22" s="90"/>
      <c r="H22" s="91"/>
      <c r="I22" s="98"/>
      <c r="J22" s="92" t="s">
        <v>197</v>
      </c>
      <c r="K22" s="93" t="b">
        <v>1</v>
      </c>
      <c r="L22" s="94">
        <f t="array" ref="L22">SUM(INDEX(Investimentos!$N$3:$BB30,,MATCH(J22,Investimentos!$N$3:$BB$3,0)))</f>
        <v>0</v>
      </c>
      <c r="M22" s="94">
        <f>IF(K22=TRUE,SUMIF(Pessoal!A:A,J22,Pessoal!$V:$V),0)</f>
        <v>502.9760178</v>
      </c>
    </row>
    <row r="23">
      <c r="A23" s="95" t="s">
        <v>198</v>
      </c>
      <c r="B23" s="83"/>
      <c r="C23" s="83" t="s">
        <v>132</v>
      </c>
      <c r="D23" s="83" t="s">
        <v>199</v>
      </c>
      <c r="E23" s="83" t="s">
        <v>200</v>
      </c>
      <c r="F23" s="83" t="s">
        <v>201</v>
      </c>
      <c r="G23" s="83" t="s">
        <v>202</v>
      </c>
      <c r="H23" s="84"/>
      <c r="I23" s="85"/>
      <c r="J23" s="86" t="s">
        <v>203</v>
      </c>
      <c r="K23" s="87" t="b">
        <v>1</v>
      </c>
      <c r="L23" s="88">
        <f t="array" ref="L23">SUM(INDEX(Investimentos!$N$3:$BB30,,MATCH(J23,Investimentos!$N$3:$BB$3,0)))</f>
        <v>0</v>
      </c>
      <c r="M23" s="88">
        <f>IF(K23=TRUE,SUMIF(Pessoal!A:A,J23,Pessoal!$V:$V),0)</f>
        <v>0</v>
      </c>
    </row>
    <row r="24">
      <c r="A24" s="95" t="s">
        <v>204</v>
      </c>
      <c r="B24" s="83"/>
      <c r="C24" s="83" t="s">
        <v>87</v>
      </c>
      <c r="D24" s="83" t="s">
        <v>205</v>
      </c>
      <c r="E24" s="83" t="s">
        <v>206</v>
      </c>
      <c r="F24" s="83" t="s">
        <v>207</v>
      </c>
      <c r="G24" s="83" t="s">
        <v>208</v>
      </c>
      <c r="H24" s="84"/>
      <c r="I24" s="85"/>
      <c r="J24" s="86" t="s">
        <v>209</v>
      </c>
      <c r="K24" s="87" t="b">
        <v>1</v>
      </c>
      <c r="L24" s="88">
        <f t="array" ref="L24">SUM(INDEX(Investimentos!$N$3:$BB30,,MATCH(J24,Investimentos!$N$3:$BB$3,0)))</f>
        <v>0</v>
      </c>
      <c r="M24" s="88">
        <f>IF(K24=TRUE,SUMIF(Pessoal!A:A,J24,Pessoal!$V:$V),0)</f>
        <v>2540.310111</v>
      </c>
    </row>
    <row r="25">
      <c r="A25" s="95" t="s">
        <v>210</v>
      </c>
      <c r="B25" s="83"/>
      <c r="C25" s="83" t="s">
        <v>87</v>
      </c>
      <c r="D25" s="83" t="s">
        <v>211</v>
      </c>
      <c r="E25" s="83" t="s">
        <v>212</v>
      </c>
      <c r="F25" s="83" t="s">
        <v>213</v>
      </c>
      <c r="G25" s="83" t="s">
        <v>214</v>
      </c>
      <c r="H25" s="84"/>
      <c r="I25" s="85"/>
      <c r="J25" s="86" t="s">
        <v>215</v>
      </c>
      <c r="K25" s="87" t="b">
        <v>1</v>
      </c>
      <c r="L25" s="88">
        <f t="array" ref="L25">SUM(INDEX(Investimentos!$N$3:$BB30,,MATCH(J25,Investimentos!$N$3:$BB$3,0)))</f>
        <v>142.22</v>
      </c>
      <c r="M25" s="88">
        <f>IF(K25=TRUE,SUMIF(Pessoal!A:A,J25,Pessoal!$V:$V),0)</f>
        <v>4171.548924</v>
      </c>
    </row>
    <row r="26">
      <c r="A26" s="95" t="s">
        <v>216</v>
      </c>
      <c r="B26" s="83"/>
      <c r="C26" s="83" t="s">
        <v>87</v>
      </c>
      <c r="D26" s="83" t="s">
        <v>217</v>
      </c>
      <c r="E26" s="83" t="s">
        <v>218</v>
      </c>
      <c r="F26" s="83" t="s">
        <v>219</v>
      </c>
      <c r="G26" s="83" t="s">
        <v>220</v>
      </c>
      <c r="H26" s="84"/>
      <c r="I26" s="85"/>
      <c r="J26" s="86" t="s">
        <v>221</v>
      </c>
      <c r="K26" s="87" t="b">
        <v>1</v>
      </c>
      <c r="L26" s="88">
        <f t="array" ref="L26">SUM(INDEX(Investimentos!$N$3:$BB30,,MATCH(J26,Investimentos!$N$3:$BB$3,0)))</f>
        <v>0</v>
      </c>
      <c r="M26" s="88">
        <f>IF(K26=TRUE,SUMIF(Pessoal!A:A,J26,Pessoal!$V:$V),0)</f>
        <v>0</v>
      </c>
    </row>
    <row r="27">
      <c r="A27" s="95" t="s">
        <v>222</v>
      </c>
      <c r="B27" s="83"/>
      <c r="C27" s="83" t="s">
        <v>132</v>
      </c>
      <c r="D27" s="83" t="s">
        <v>223</v>
      </c>
      <c r="E27" s="83" t="s">
        <v>224</v>
      </c>
      <c r="F27" s="83" t="s">
        <v>225</v>
      </c>
      <c r="G27" s="83" t="s">
        <v>226</v>
      </c>
      <c r="H27" s="84"/>
      <c r="I27" s="85"/>
      <c r="J27" s="86" t="s">
        <v>227</v>
      </c>
      <c r="K27" s="87" t="b">
        <v>0</v>
      </c>
      <c r="L27" s="88">
        <f t="array" ref="L27">SUM(INDEX(Investimentos!$N$3:$BB30,,MATCH(J27,Investimentos!$N$3:$BB$3,0)))</f>
        <v>0</v>
      </c>
      <c r="M27" s="88">
        <f>IF(K27=TRUE,SUMIF(Pessoal!A:A,J27,Pessoal!$V:$V),0)</f>
        <v>0</v>
      </c>
    </row>
    <row r="28">
      <c r="A28" s="95" t="s">
        <v>228</v>
      </c>
      <c r="B28" s="83"/>
      <c r="C28" s="83" t="s">
        <v>132</v>
      </c>
      <c r="D28" s="83" t="s">
        <v>229</v>
      </c>
      <c r="E28" s="83" t="s">
        <v>230</v>
      </c>
      <c r="F28" s="83" t="s">
        <v>231</v>
      </c>
      <c r="G28" s="83" t="s">
        <v>232</v>
      </c>
      <c r="H28" s="84"/>
      <c r="I28" s="85"/>
      <c r="J28" s="86" t="s">
        <v>233</v>
      </c>
      <c r="K28" s="87" t="b">
        <v>0</v>
      </c>
      <c r="L28" s="88">
        <f t="array" ref="L28">SUM(INDEX(Investimentos!$N$3:$BB30,,MATCH(J28,Investimentos!$N$3:$BB$3,0)))</f>
        <v>0</v>
      </c>
      <c r="M28" s="88">
        <f>IF(K28=TRUE,SUMIF(Pessoal!A:A,J28,Pessoal!$V:$V),0)</f>
        <v>0</v>
      </c>
    </row>
    <row r="29">
      <c r="A29" s="95" t="s">
        <v>234</v>
      </c>
      <c r="B29" s="83"/>
      <c r="C29" s="83" t="s">
        <v>87</v>
      </c>
      <c r="D29" s="83" t="s">
        <v>235</v>
      </c>
      <c r="E29" s="83" t="s">
        <v>236</v>
      </c>
      <c r="F29" s="83" t="s">
        <v>237</v>
      </c>
      <c r="G29" s="83" t="s">
        <v>238</v>
      </c>
      <c r="H29" s="84"/>
      <c r="I29" s="85"/>
      <c r="J29" s="86" t="s">
        <v>239</v>
      </c>
      <c r="K29" s="87" t="b">
        <v>0</v>
      </c>
      <c r="L29" s="88">
        <f t="array" ref="L29">SUM(INDEX(Investimentos!$N$3:$BB30,,MATCH(J29,Investimentos!$N$3:$BB$3,0)))</f>
        <v>0</v>
      </c>
      <c r="M29" s="88">
        <f>IF(K29=TRUE,SUMIF(Pessoal!A:A,J29,Pessoal!$V:$V),0)</f>
        <v>0</v>
      </c>
    </row>
    <row r="30">
      <c r="A30" s="95"/>
      <c r="B30" s="83"/>
      <c r="C30" s="83"/>
      <c r="D30" s="83"/>
      <c r="E30" s="83"/>
      <c r="F30" s="83"/>
      <c r="G30" s="83"/>
      <c r="H30" s="84"/>
      <c r="I30" s="85"/>
      <c r="J30" s="99"/>
      <c r="K30" s="87"/>
      <c r="L30" s="88"/>
      <c r="M30" s="88"/>
    </row>
  </sheetData>
  <autoFilter ref="$A$1:$M$29"/>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6D7A8"/>
    <outlinePr summaryBelow="0" summaryRight="0"/>
    <pageSetUpPr fitToPage="1"/>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9.25"/>
    <col customWidth="1" min="2" max="2" width="18.38"/>
    <col customWidth="1" min="3" max="3" width="6.63"/>
    <col customWidth="1" min="4" max="4" width="7.63"/>
    <col customWidth="1" min="5" max="5" width="17.25"/>
    <col customWidth="1" min="6" max="6" width="78.38"/>
    <col customWidth="1" min="7" max="7" width="9.88"/>
    <col customWidth="1" min="8" max="8" width="7.75"/>
    <col customWidth="1" min="9" max="9" width="14.5"/>
    <col customWidth="1" min="10" max="11" width="12.63"/>
    <col customWidth="1" min="12" max="12" width="16.5"/>
    <col customWidth="1" min="13" max="13" width="10.88"/>
  </cols>
  <sheetData>
    <row r="1">
      <c r="A1" s="100" t="s">
        <v>76</v>
      </c>
      <c r="B1" s="100" t="s">
        <v>240</v>
      </c>
      <c r="C1" s="101" t="s">
        <v>241</v>
      </c>
      <c r="D1" s="100" t="s">
        <v>242</v>
      </c>
      <c r="E1" s="100" t="s">
        <v>243</v>
      </c>
      <c r="F1" s="100" t="s">
        <v>244</v>
      </c>
      <c r="G1" s="102" t="s">
        <v>245</v>
      </c>
      <c r="H1" s="103" t="s">
        <v>61</v>
      </c>
      <c r="I1" s="104" t="s">
        <v>246</v>
      </c>
      <c r="J1" s="81" t="s">
        <v>247</v>
      </c>
      <c r="K1" s="81" t="s">
        <v>248</v>
      </c>
      <c r="L1" s="100" t="s">
        <v>249</v>
      </c>
      <c r="M1" s="100" t="s">
        <v>250</v>
      </c>
    </row>
    <row r="2">
      <c r="A2" s="105" t="s">
        <v>92</v>
      </c>
      <c r="B2" s="105" t="s">
        <v>251</v>
      </c>
      <c r="C2" s="106">
        <f t="array" ref="C2:C611">MONTH(G2:G611)</f>
        <v>1</v>
      </c>
      <c r="D2" s="105"/>
      <c r="E2" s="105" t="s">
        <v>252</v>
      </c>
      <c r="F2" s="105" t="s">
        <v>253</v>
      </c>
      <c r="G2" s="107">
        <v>45666.0</v>
      </c>
      <c r="H2" s="108">
        <v>0.03125</v>
      </c>
      <c r="I2" s="109">
        <f t="shared" ref="I2:I611" si="1">H2*24</f>
        <v>0.75</v>
      </c>
      <c r="J2" s="110" t="b">
        <f t="array" ref="J2:J611">IFERROR(VLOOKUP(A2:A611,Projetos!J2:K611,2,false),FALSE)</f>
        <v>1</v>
      </c>
      <c r="K2" s="111" t="b">
        <f t="shared" ref="K2:K611" si="2">IF(OR(E2="Treinamento",E2="Pesquisa",E2="Desenvolvimento"),TRUE,FALSE)</f>
        <v>1</v>
      </c>
      <c r="L2" s="90"/>
      <c r="M2" s="110" t="str">
        <f t="array" ref="M2:M611">XLOOKUP($B$2:$B611,'# Salários'!$C$2:$C611,'# Salários'!$T$2:$T611,,0)</f>
        <v>Parcial</v>
      </c>
    </row>
    <row r="3" hidden="1">
      <c r="A3" s="105" t="s">
        <v>171</v>
      </c>
      <c r="B3" s="105" t="s">
        <v>251</v>
      </c>
      <c r="C3" s="106">
        <v>1.0</v>
      </c>
      <c r="D3" s="105"/>
      <c r="E3" s="105" t="s">
        <v>252</v>
      </c>
      <c r="F3" s="105" t="s">
        <v>254</v>
      </c>
      <c r="G3" s="107">
        <v>45670.0</v>
      </c>
      <c r="H3" s="108">
        <v>0.125</v>
      </c>
      <c r="I3" s="109">
        <f t="shared" si="1"/>
        <v>3</v>
      </c>
      <c r="J3" s="111" t="b">
        <v>0</v>
      </c>
      <c r="K3" s="111" t="b">
        <f t="shared" si="2"/>
        <v>1</v>
      </c>
      <c r="L3" s="90"/>
      <c r="M3" s="111" t="s">
        <v>255</v>
      </c>
    </row>
    <row r="4" hidden="1">
      <c r="A4" s="105" t="s">
        <v>171</v>
      </c>
      <c r="B4" s="105" t="s">
        <v>251</v>
      </c>
      <c r="C4" s="106">
        <v>1.0</v>
      </c>
      <c r="D4" s="105"/>
      <c r="E4" s="105" t="s">
        <v>252</v>
      </c>
      <c r="F4" s="105" t="s">
        <v>254</v>
      </c>
      <c r="G4" s="107">
        <v>45671.0</v>
      </c>
      <c r="H4" s="108">
        <v>0.0763888888888889</v>
      </c>
      <c r="I4" s="109">
        <f t="shared" si="1"/>
        <v>1.833333333</v>
      </c>
      <c r="J4" s="111" t="b">
        <v>0</v>
      </c>
      <c r="K4" s="111" t="b">
        <f t="shared" si="2"/>
        <v>1</v>
      </c>
      <c r="L4" s="90"/>
      <c r="M4" s="111" t="s">
        <v>255</v>
      </c>
    </row>
    <row r="5" hidden="1">
      <c r="A5" s="105" t="s">
        <v>171</v>
      </c>
      <c r="B5" s="105" t="s">
        <v>251</v>
      </c>
      <c r="C5" s="106">
        <v>1.0</v>
      </c>
      <c r="D5" s="105"/>
      <c r="E5" s="105" t="s">
        <v>252</v>
      </c>
      <c r="F5" s="105" t="s">
        <v>254</v>
      </c>
      <c r="G5" s="107">
        <v>45671.0</v>
      </c>
      <c r="H5" s="108">
        <v>0.04861111111111111</v>
      </c>
      <c r="I5" s="109">
        <f t="shared" si="1"/>
        <v>1.166666667</v>
      </c>
      <c r="J5" s="111" t="b">
        <v>0</v>
      </c>
      <c r="K5" s="111" t="b">
        <f t="shared" si="2"/>
        <v>1</v>
      </c>
      <c r="L5" s="90"/>
      <c r="M5" s="111" t="s">
        <v>255</v>
      </c>
    </row>
    <row r="6" hidden="1">
      <c r="A6" s="105" t="s">
        <v>215</v>
      </c>
      <c r="B6" s="105" t="s">
        <v>251</v>
      </c>
      <c r="C6" s="106">
        <v>1.0</v>
      </c>
      <c r="D6" s="105"/>
      <c r="E6" s="105" t="s">
        <v>256</v>
      </c>
      <c r="F6" s="105" t="s">
        <v>257</v>
      </c>
      <c r="G6" s="107">
        <v>45663.0</v>
      </c>
      <c r="H6" s="108">
        <v>0.027777777777777776</v>
      </c>
      <c r="I6" s="109">
        <f t="shared" si="1"/>
        <v>0.6666666667</v>
      </c>
      <c r="J6" s="111" t="b">
        <v>1</v>
      </c>
      <c r="K6" s="111" t="b">
        <f t="shared" si="2"/>
        <v>1</v>
      </c>
      <c r="L6" s="90"/>
      <c r="M6" s="111" t="s">
        <v>255</v>
      </c>
    </row>
    <row r="7" hidden="1">
      <c r="A7" s="105" t="s">
        <v>215</v>
      </c>
      <c r="B7" s="105" t="s">
        <v>251</v>
      </c>
      <c r="C7" s="106">
        <v>1.0</v>
      </c>
      <c r="D7" s="105"/>
      <c r="E7" s="105" t="s">
        <v>256</v>
      </c>
      <c r="F7" s="105" t="s">
        <v>257</v>
      </c>
      <c r="G7" s="107">
        <v>45667.0</v>
      </c>
      <c r="H7" s="108">
        <v>0.027777777777777776</v>
      </c>
      <c r="I7" s="109">
        <f t="shared" si="1"/>
        <v>0.6666666667</v>
      </c>
      <c r="J7" s="111" t="b">
        <v>1</v>
      </c>
      <c r="K7" s="111" t="b">
        <f t="shared" si="2"/>
        <v>1</v>
      </c>
      <c r="L7" s="90"/>
      <c r="M7" s="111" t="s">
        <v>255</v>
      </c>
    </row>
    <row r="8" hidden="1">
      <c r="A8" s="105" t="s">
        <v>118</v>
      </c>
      <c r="B8" s="105" t="s">
        <v>251</v>
      </c>
      <c r="C8" s="106">
        <v>1.0</v>
      </c>
      <c r="D8" s="105"/>
      <c r="E8" s="105" t="s">
        <v>252</v>
      </c>
      <c r="F8" s="105" t="s">
        <v>253</v>
      </c>
      <c r="G8" s="107">
        <v>45672.0</v>
      </c>
      <c r="H8" s="108">
        <v>0.041666666666666664</v>
      </c>
      <c r="I8" s="109">
        <f t="shared" si="1"/>
        <v>1</v>
      </c>
      <c r="J8" s="111" t="b">
        <v>1</v>
      </c>
      <c r="K8" s="111" t="b">
        <f t="shared" si="2"/>
        <v>1</v>
      </c>
      <c r="L8" s="90"/>
      <c r="M8" s="111" t="s">
        <v>255</v>
      </c>
    </row>
    <row r="9" hidden="1">
      <c r="A9" s="105" t="s">
        <v>258</v>
      </c>
      <c r="B9" s="105" t="s">
        <v>251</v>
      </c>
      <c r="C9" s="106">
        <v>1.0</v>
      </c>
      <c r="D9" s="105"/>
      <c r="E9" s="105" t="s">
        <v>252</v>
      </c>
      <c r="F9" s="105" t="s">
        <v>259</v>
      </c>
      <c r="G9" s="107">
        <v>45672.0</v>
      </c>
      <c r="H9" s="108">
        <v>0.010416666666666666</v>
      </c>
      <c r="I9" s="109">
        <f t="shared" si="1"/>
        <v>0.25</v>
      </c>
      <c r="J9" s="111" t="b">
        <v>0</v>
      </c>
      <c r="K9" s="111" t="b">
        <f t="shared" si="2"/>
        <v>1</v>
      </c>
      <c r="L9" s="90"/>
      <c r="M9" s="111" t="s">
        <v>255</v>
      </c>
    </row>
    <row r="10" hidden="1">
      <c r="A10" s="105" t="s">
        <v>260</v>
      </c>
      <c r="B10" s="105" t="s">
        <v>251</v>
      </c>
      <c r="C10" s="106">
        <v>1.0</v>
      </c>
      <c r="D10" s="105"/>
      <c r="E10" s="105" t="s">
        <v>256</v>
      </c>
      <c r="F10" s="105" t="s">
        <v>261</v>
      </c>
      <c r="G10" s="107">
        <v>45673.0</v>
      </c>
      <c r="H10" s="108">
        <v>0.4576388888888889</v>
      </c>
      <c r="I10" s="109">
        <f t="shared" si="1"/>
        <v>10.98333333</v>
      </c>
      <c r="J10" s="111" t="b">
        <v>0</v>
      </c>
      <c r="K10" s="111" t="b">
        <f t="shared" si="2"/>
        <v>1</v>
      </c>
      <c r="L10" s="90"/>
      <c r="M10" s="111" t="s">
        <v>255</v>
      </c>
    </row>
    <row r="11" hidden="1">
      <c r="A11" s="105" t="s">
        <v>260</v>
      </c>
      <c r="B11" s="105" t="s">
        <v>251</v>
      </c>
      <c r="C11" s="106">
        <v>1.0</v>
      </c>
      <c r="D11" s="105"/>
      <c r="E11" s="105" t="s">
        <v>256</v>
      </c>
      <c r="F11" s="105" t="s">
        <v>262</v>
      </c>
      <c r="G11" s="107">
        <v>45674.0</v>
      </c>
      <c r="H11" s="108">
        <v>0.41597222222222224</v>
      </c>
      <c r="I11" s="109">
        <f t="shared" si="1"/>
        <v>9.983333333</v>
      </c>
      <c r="J11" s="111" t="b">
        <v>0</v>
      </c>
      <c r="K11" s="111" t="b">
        <f t="shared" si="2"/>
        <v>1</v>
      </c>
      <c r="L11" s="90"/>
      <c r="M11" s="111" t="s">
        <v>255</v>
      </c>
    </row>
    <row r="12" hidden="1">
      <c r="A12" s="105" t="s">
        <v>118</v>
      </c>
      <c r="B12" s="105" t="s">
        <v>251</v>
      </c>
      <c r="C12" s="106">
        <v>1.0</v>
      </c>
      <c r="D12" s="105"/>
      <c r="E12" s="105" t="s">
        <v>252</v>
      </c>
      <c r="F12" s="105" t="s">
        <v>259</v>
      </c>
      <c r="G12" s="107">
        <v>45677.0</v>
      </c>
      <c r="H12" s="108">
        <v>0.010416666666666666</v>
      </c>
      <c r="I12" s="109">
        <f t="shared" si="1"/>
        <v>0.25</v>
      </c>
      <c r="J12" s="111" t="b">
        <v>1</v>
      </c>
      <c r="K12" s="111" t="b">
        <f t="shared" si="2"/>
        <v>1</v>
      </c>
      <c r="L12" s="90"/>
      <c r="M12" s="111" t="s">
        <v>255</v>
      </c>
    </row>
    <row r="13">
      <c r="A13" s="105" t="s">
        <v>92</v>
      </c>
      <c r="B13" s="105" t="s">
        <v>251</v>
      </c>
      <c r="C13" s="106">
        <v>1.0</v>
      </c>
      <c r="D13" s="105"/>
      <c r="E13" s="105" t="s">
        <v>252</v>
      </c>
      <c r="F13" s="105" t="s">
        <v>259</v>
      </c>
      <c r="G13" s="107">
        <v>45677.0</v>
      </c>
      <c r="H13" s="108">
        <v>0.010416666666666666</v>
      </c>
      <c r="I13" s="109">
        <f t="shared" si="1"/>
        <v>0.25</v>
      </c>
      <c r="J13" s="111" t="b">
        <v>1</v>
      </c>
      <c r="K13" s="111" t="b">
        <f t="shared" si="2"/>
        <v>1</v>
      </c>
      <c r="L13" s="90"/>
      <c r="M13" s="111" t="s">
        <v>255</v>
      </c>
    </row>
    <row r="14" hidden="1">
      <c r="A14" s="105" t="s">
        <v>215</v>
      </c>
      <c r="B14" s="105" t="s">
        <v>251</v>
      </c>
      <c r="C14" s="106">
        <v>1.0</v>
      </c>
      <c r="D14" s="105"/>
      <c r="E14" s="105" t="s">
        <v>252</v>
      </c>
      <c r="F14" s="105" t="s">
        <v>257</v>
      </c>
      <c r="G14" s="107">
        <v>45681.0</v>
      </c>
      <c r="H14" s="108">
        <v>0.013888888888888888</v>
      </c>
      <c r="I14" s="109">
        <f t="shared" si="1"/>
        <v>0.3333333333</v>
      </c>
      <c r="J14" s="111" t="b">
        <v>1</v>
      </c>
      <c r="K14" s="111" t="b">
        <f t="shared" si="2"/>
        <v>1</v>
      </c>
      <c r="L14" s="90"/>
      <c r="M14" s="111" t="s">
        <v>255</v>
      </c>
    </row>
    <row r="15" hidden="1">
      <c r="A15" s="105" t="s">
        <v>260</v>
      </c>
      <c r="B15" s="105" t="s">
        <v>251</v>
      </c>
      <c r="C15" s="106">
        <v>1.0</v>
      </c>
      <c r="D15" s="105"/>
      <c r="E15" s="105" t="s">
        <v>252</v>
      </c>
      <c r="F15" s="105" t="s">
        <v>263</v>
      </c>
      <c r="G15" s="107">
        <v>45681.0</v>
      </c>
      <c r="H15" s="108">
        <v>0.024305555555555556</v>
      </c>
      <c r="I15" s="109">
        <f t="shared" si="1"/>
        <v>0.5833333333</v>
      </c>
      <c r="J15" s="111" t="b">
        <v>0</v>
      </c>
      <c r="K15" s="111" t="b">
        <f t="shared" si="2"/>
        <v>1</v>
      </c>
      <c r="L15" s="90"/>
      <c r="M15" s="111" t="s">
        <v>255</v>
      </c>
    </row>
    <row r="16" hidden="1">
      <c r="A16" s="105" t="s">
        <v>260</v>
      </c>
      <c r="B16" s="105" t="s">
        <v>251</v>
      </c>
      <c r="C16" s="106">
        <v>1.0</v>
      </c>
      <c r="D16" s="105"/>
      <c r="E16" s="105" t="s">
        <v>252</v>
      </c>
      <c r="F16" s="105" t="s">
        <v>264</v>
      </c>
      <c r="G16" s="107">
        <v>45681.0</v>
      </c>
      <c r="H16" s="108">
        <v>0.013888888888888888</v>
      </c>
      <c r="I16" s="109">
        <f t="shared" si="1"/>
        <v>0.3333333333</v>
      </c>
      <c r="J16" s="111" t="b">
        <v>0</v>
      </c>
      <c r="K16" s="111" t="b">
        <f t="shared" si="2"/>
        <v>1</v>
      </c>
      <c r="L16" s="90"/>
      <c r="M16" s="111" t="s">
        <v>255</v>
      </c>
    </row>
    <row r="17" hidden="1">
      <c r="A17" s="105" t="s">
        <v>260</v>
      </c>
      <c r="B17" s="105" t="s">
        <v>251</v>
      </c>
      <c r="C17" s="106">
        <v>1.0</v>
      </c>
      <c r="D17" s="105"/>
      <c r="E17" s="105" t="s">
        <v>252</v>
      </c>
      <c r="F17" s="105" t="s">
        <v>265</v>
      </c>
      <c r="G17" s="107">
        <v>45686.0</v>
      </c>
      <c r="H17" s="108">
        <v>0.06597222222222222</v>
      </c>
      <c r="I17" s="109">
        <f t="shared" si="1"/>
        <v>1.583333333</v>
      </c>
      <c r="J17" s="111" t="b">
        <v>0</v>
      </c>
      <c r="K17" s="111" t="b">
        <f t="shared" si="2"/>
        <v>1</v>
      </c>
      <c r="L17" s="90"/>
      <c r="M17" s="111" t="s">
        <v>255</v>
      </c>
    </row>
    <row r="18" hidden="1">
      <c r="A18" s="105" t="s">
        <v>260</v>
      </c>
      <c r="B18" s="105" t="s">
        <v>251</v>
      </c>
      <c r="C18" s="106">
        <v>2.0</v>
      </c>
      <c r="D18" s="105"/>
      <c r="E18" s="105" t="s">
        <v>252</v>
      </c>
      <c r="F18" s="105" t="s">
        <v>265</v>
      </c>
      <c r="G18" s="107">
        <v>45692.0</v>
      </c>
      <c r="H18" s="108">
        <v>0.125</v>
      </c>
      <c r="I18" s="109">
        <f t="shared" si="1"/>
        <v>3</v>
      </c>
      <c r="J18" s="111" t="b">
        <v>0</v>
      </c>
      <c r="K18" s="111" t="b">
        <f t="shared" si="2"/>
        <v>1</v>
      </c>
      <c r="L18" s="90"/>
      <c r="M18" s="111" t="s">
        <v>255</v>
      </c>
    </row>
    <row r="19" hidden="1">
      <c r="A19" s="105" t="s">
        <v>260</v>
      </c>
      <c r="B19" s="105" t="s">
        <v>251</v>
      </c>
      <c r="C19" s="106">
        <v>2.0</v>
      </c>
      <c r="D19" s="105"/>
      <c r="E19" s="105" t="s">
        <v>252</v>
      </c>
      <c r="F19" s="105" t="s">
        <v>266</v>
      </c>
      <c r="G19" s="107">
        <v>45693.0</v>
      </c>
      <c r="H19" s="108">
        <v>0.14583333333333334</v>
      </c>
      <c r="I19" s="109">
        <f t="shared" si="1"/>
        <v>3.5</v>
      </c>
      <c r="J19" s="111" t="b">
        <v>0</v>
      </c>
      <c r="K19" s="111" t="b">
        <f t="shared" si="2"/>
        <v>1</v>
      </c>
      <c r="L19" s="90"/>
      <c r="M19" s="111" t="s">
        <v>255</v>
      </c>
    </row>
    <row r="20" hidden="1">
      <c r="A20" s="105" t="s">
        <v>267</v>
      </c>
      <c r="B20" s="105" t="s">
        <v>251</v>
      </c>
      <c r="C20" s="106">
        <v>2.0</v>
      </c>
      <c r="D20" s="105"/>
      <c r="E20" s="105" t="s">
        <v>252</v>
      </c>
      <c r="F20" s="105" t="s">
        <v>268</v>
      </c>
      <c r="G20" s="107">
        <v>45693.0</v>
      </c>
      <c r="H20" s="108">
        <v>0.03125</v>
      </c>
      <c r="I20" s="109">
        <f t="shared" si="1"/>
        <v>0.75</v>
      </c>
      <c r="J20" s="111" t="b">
        <v>0</v>
      </c>
      <c r="K20" s="111" t="b">
        <f t="shared" si="2"/>
        <v>1</v>
      </c>
      <c r="L20" s="90"/>
      <c r="M20" s="111" t="s">
        <v>255</v>
      </c>
    </row>
    <row r="21" hidden="1">
      <c r="A21" s="105" t="s">
        <v>269</v>
      </c>
      <c r="B21" s="105" t="s">
        <v>251</v>
      </c>
      <c r="C21" s="106">
        <v>2.0</v>
      </c>
      <c r="D21" s="105"/>
      <c r="E21" s="105" t="s">
        <v>252</v>
      </c>
      <c r="F21" s="105" t="s">
        <v>270</v>
      </c>
      <c r="G21" s="107">
        <v>45694.0</v>
      </c>
      <c r="H21" s="108">
        <v>0.10416666666666667</v>
      </c>
      <c r="I21" s="109">
        <f t="shared" si="1"/>
        <v>2.5</v>
      </c>
      <c r="J21" s="111" t="b">
        <v>0</v>
      </c>
      <c r="K21" s="111" t="b">
        <f t="shared" si="2"/>
        <v>1</v>
      </c>
      <c r="L21" s="90"/>
      <c r="M21" s="111" t="s">
        <v>255</v>
      </c>
    </row>
    <row r="22" hidden="1">
      <c r="A22" s="105" t="s">
        <v>269</v>
      </c>
      <c r="B22" s="105" t="s">
        <v>251</v>
      </c>
      <c r="C22" s="106">
        <v>2.0</v>
      </c>
      <c r="D22" s="105"/>
      <c r="E22" s="105" t="s">
        <v>252</v>
      </c>
      <c r="F22" s="105" t="s">
        <v>270</v>
      </c>
      <c r="G22" s="107">
        <v>45694.0</v>
      </c>
      <c r="H22" s="108">
        <v>0.08333333333333333</v>
      </c>
      <c r="I22" s="109">
        <f t="shared" si="1"/>
        <v>2</v>
      </c>
      <c r="J22" s="111" t="b">
        <v>0</v>
      </c>
      <c r="K22" s="111" t="b">
        <f t="shared" si="2"/>
        <v>1</v>
      </c>
      <c r="L22" s="90"/>
      <c r="M22" s="111" t="s">
        <v>255</v>
      </c>
    </row>
    <row r="23" hidden="1">
      <c r="A23" s="105" t="s">
        <v>124</v>
      </c>
      <c r="B23" s="105" t="s">
        <v>251</v>
      </c>
      <c r="C23" s="106">
        <v>2.0</v>
      </c>
      <c r="D23" s="105"/>
      <c r="E23" s="105" t="s">
        <v>271</v>
      </c>
      <c r="F23" s="105" t="s">
        <v>272</v>
      </c>
      <c r="G23" s="107">
        <v>45695.0</v>
      </c>
      <c r="H23" s="108">
        <v>0.03125</v>
      </c>
      <c r="I23" s="109">
        <f t="shared" si="1"/>
        <v>0.75</v>
      </c>
      <c r="J23" s="111" t="b">
        <v>1</v>
      </c>
      <c r="K23" s="111" t="b">
        <f t="shared" si="2"/>
        <v>0</v>
      </c>
      <c r="L23" s="90"/>
      <c r="M23" s="111" t="s">
        <v>255</v>
      </c>
    </row>
    <row r="24" hidden="1">
      <c r="A24" s="105" t="s">
        <v>98</v>
      </c>
      <c r="B24" s="105" t="s">
        <v>251</v>
      </c>
      <c r="C24" s="106">
        <v>2.0</v>
      </c>
      <c r="D24" s="105"/>
      <c r="E24" s="105" t="s">
        <v>271</v>
      </c>
      <c r="F24" s="105" t="s">
        <v>272</v>
      </c>
      <c r="G24" s="107">
        <v>45695.0</v>
      </c>
      <c r="H24" s="108">
        <v>0.03125</v>
      </c>
      <c r="I24" s="109">
        <f t="shared" si="1"/>
        <v>0.75</v>
      </c>
      <c r="J24" s="111" t="b">
        <v>1</v>
      </c>
      <c r="K24" s="111" t="b">
        <f t="shared" si="2"/>
        <v>0</v>
      </c>
      <c r="L24" s="90"/>
      <c r="M24" s="111" t="s">
        <v>255</v>
      </c>
    </row>
    <row r="25" hidden="1">
      <c r="A25" s="105" t="s">
        <v>92</v>
      </c>
      <c r="B25" s="105" t="s">
        <v>251</v>
      </c>
      <c r="C25" s="106">
        <v>2.0</v>
      </c>
      <c r="D25" s="105"/>
      <c r="E25" s="105" t="s">
        <v>271</v>
      </c>
      <c r="F25" s="105" t="s">
        <v>272</v>
      </c>
      <c r="G25" s="107">
        <v>45695.0</v>
      </c>
      <c r="H25" s="108">
        <v>0.020833333333333332</v>
      </c>
      <c r="I25" s="109">
        <f t="shared" si="1"/>
        <v>0.5</v>
      </c>
      <c r="J25" s="111" t="b">
        <v>1</v>
      </c>
      <c r="K25" s="111" t="b">
        <f t="shared" si="2"/>
        <v>0</v>
      </c>
      <c r="L25" s="90"/>
      <c r="M25" s="111" t="s">
        <v>255</v>
      </c>
    </row>
    <row r="26" hidden="1">
      <c r="A26" s="105" t="s">
        <v>104</v>
      </c>
      <c r="B26" s="105" t="s">
        <v>251</v>
      </c>
      <c r="C26" s="106">
        <v>2.0</v>
      </c>
      <c r="D26" s="105"/>
      <c r="E26" s="105" t="s">
        <v>271</v>
      </c>
      <c r="F26" s="105" t="s">
        <v>272</v>
      </c>
      <c r="G26" s="107">
        <v>45695.0</v>
      </c>
      <c r="H26" s="108">
        <v>0.041666666666666664</v>
      </c>
      <c r="I26" s="109">
        <f t="shared" si="1"/>
        <v>1</v>
      </c>
      <c r="J26" s="111" t="b">
        <v>1</v>
      </c>
      <c r="K26" s="111" t="b">
        <f t="shared" si="2"/>
        <v>0</v>
      </c>
      <c r="L26" s="90"/>
      <c r="M26" s="111" t="s">
        <v>255</v>
      </c>
    </row>
    <row r="27" hidden="1">
      <c r="A27" s="105" t="s">
        <v>124</v>
      </c>
      <c r="B27" s="105" t="s">
        <v>251</v>
      </c>
      <c r="C27" s="106">
        <v>2.0</v>
      </c>
      <c r="D27" s="105"/>
      <c r="E27" s="105" t="s">
        <v>271</v>
      </c>
      <c r="F27" s="105" t="s">
        <v>273</v>
      </c>
      <c r="G27" s="107">
        <v>45698.0</v>
      </c>
      <c r="H27" s="108">
        <v>0.03125</v>
      </c>
      <c r="I27" s="109">
        <f t="shared" si="1"/>
        <v>0.75</v>
      </c>
      <c r="J27" s="111" t="b">
        <v>1</v>
      </c>
      <c r="K27" s="111" t="b">
        <f t="shared" si="2"/>
        <v>0</v>
      </c>
      <c r="L27" s="90"/>
      <c r="M27" s="111" t="s">
        <v>255</v>
      </c>
    </row>
    <row r="28" hidden="1">
      <c r="A28" s="105" t="s">
        <v>130</v>
      </c>
      <c r="B28" s="105" t="s">
        <v>251</v>
      </c>
      <c r="C28" s="106">
        <v>2.0</v>
      </c>
      <c r="D28" s="105"/>
      <c r="E28" s="105" t="s">
        <v>271</v>
      </c>
      <c r="F28" s="105" t="s">
        <v>273</v>
      </c>
      <c r="G28" s="107">
        <v>45698.0</v>
      </c>
      <c r="H28" s="108">
        <v>0.03125</v>
      </c>
      <c r="I28" s="109">
        <f t="shared" si="1"/>
        <v>0.75</v>
      </c>
      <c r="J28" s="111" t="b">
        <v>1</v>
      </c>
      <c r="K28" s="111" t="b">
        <f t="shared" si="2"/>
        <v>0</v>
      </c>
      <c r="L28" s="90"/>
      <c r="M28" s="111" t="s">
        <v>255</v>
      </c>
    </row>
    <row r="29" hidden="1">
      <c r="A29" s="105" t="s">
        <v>92</v>
      </c>
      <c r="B29" s="105" t="s">
        <v>251</v>
      </c>
      <c r="C29" s="106">
        <v>2.0</v>
      </c>
      <c r="D29" s="105"/>
      <c r="E29" s="105" t="s">
        <v>271</v>
      </c>
      <c r="F29" s="105" t="s">
        <v>273</v>
      </c>
      <c r="G29" s="107">
        <v>45698.0</v>
      </c>
      <c r="H29" s="108">
        <v>0.03125</v>
      </c>
      <c r="I29" s="109">
        <f t="shared" si="1"/>
        <v>0.75</v>
      </c>
      <c r="J29" s="111" t="b">
        <v>1</v>
      </c>
      <c r="K29" s="111" t="b">
        <f t="shared" si="2"/>
        <v>0</v>
      </c>
      <c r="L29" s="90"/>
      <c r="M29" s="111" t="s">
        <v>255</v>
      </c>
    </row>
    <row r="30" hidden="1">
      <c r="A30" s="105" t="s">
        <v>130</v>
      </c>
      <c r="B30" s="105" t="s">
        <v>251</v>
      </c>
      <c r="C30" s="106">
        <v>2.0</v>
      </c>
      <c r="D30" s="105"/>
      <c r="E30" s="105" t="s">
        <v>252</v>
      </c>
      <c r="F30" s="105" t="s">
        <v>274</v>
      </c>
      <c r="G30" s="107">
        <v>45698.0</v>
      </c>
      <c r="H30" s="108">
        <v>0.0625</v>
      </c>
      <c r="I30" s="109">
        <f t="shared" si="1"/>
        <v>1.5</v>
      </c>
      <c r="J30" s="111" t="b">
        <v>1</v>
      </c>
      <c r="K30" s="111" t="b">
        <f t="shared" si="2"/>
        <v>1</v>
      </c>
      <c r="L30" s="90"/>
      <c r="M30" s="111" t="s">
        <v>255</v>
      </c>
    </row>
    <row r="31" hidden="1">
      <c r="A31" s="105" t="s">
        <v>124</v>
      </c>
      <c r="B31" s="105" t="s">
        <v>251</v>
      </c>
      <c r="C31" s="106">
        <v>2.0</v>
      </c>
      <c r="D31" s="105"/>
      <c r="E31" s="105" t="s">
        <v>252</v>
      </c>
      <c r="F31" s="105" t="s">
        <v>274</v>
      </c>
      <c r="G31" s="107">
        <v>45702.0</v>
      </c>
      <c r="H31" s="108">
        <v>0.18680555555555556</v>
      </c>
      <c r="I31" s="109">
        <f t="shared" si="1"/>
        <v>4.483333333</v>
      </c>
      <c r="J31" s="111" t="b">
        <v>1</v>
      </c>
      <c r="K31" s="111" t="b">
        <f t="shared" si="2"/>
        <v>1</v>
      </c>
      <c r="L31" s="90"/>
      <c r="M31" s="111" t="s">
        <v>255</v>
      </c>
    </row>
    <row r="32" hidden="1">
      <c r="A32" s="105" t="s">
        <v>130</v>
      </c>
      <c r="B32" s="105" t="s">
        <v>251</v>
      </c>
      <c r="C32" s="106">
        <v>2.0</v>
      </c>
      <c r="D32" s="105"/>
      <c r="E32" s="105" t="s">
        <v>252</v>
      </c>
      <c r="F32" s="105" t="s">
        <v>274</v>
      </c>
      <c r="G32" s="107">
        <v>45702.0</v>
      </c>
      <c r="H32" s="108">
        <v>0.15694444444444444</v>
      </c>
      <c r="I32" s="109">
        <f t="shared" si="1"/>
        <v>3.766666667</v>
      </c>
      <c r="J32" s="111" t="b">
        <v>1</v>
      </c>
      <c r="K32" s="111" t="b">
        <f t="shared" si="2"/>
        <v>1</v>
      </c>
      <c r="L32" s="90"/>
      <c r="M32" s="111" t="s">
        <v>255</v>
      </c>
    </row>
    <row r="33" hidden="1">
      <c r="A33" s="105" t="s">
        <v>260</v>
      </c>
      <c r="B33" s="105" t="s">
        <v>251</v>
      </c>
      <c r="C33" s="106">
        <v>2.0</v>
      </c>
      <c r="D33" s="105"/>
      <c r="E33" s="105" t="s">
        <v>271</v>
      </c>
      <c r="F33" s="105" t="s">
        <v>275</v>
      </c>
      <c r="G33" s="107">
        <v>45701.0</v>
      </c>
      <c r="H33" s="108">
        <v>0.020833333333333332</v>
      </c>
      <c r="I33" s="109">
        <f t="shared" si="1"/>
        <v>0.5</v>
      </c>
      <c r="J33" s="111" t="b">
        <v>0</v>
      </c>
      <c r="K33" s="111" t="b">
        <f t="shared" si="2"/>
        <v>0</v>
      </c>
      <c r="L33" s="90"/>
      <c r="M33" s="111" t="s">
        <v>255</v>
      </c>
    </row>
    <row r="34" hidden="1">
      <c r="A34" s="105" t="s">
        <v>124</v>
      </c>
      <c r="B34" s="105" t="s">
        <v>251</v>
      </c>
      <c r="C34" s="106">
        <v>2.0</v>
      </c>
      <c r="D34" s="105"/>
      <c r="E34" s="105" t="s">
        <v>252</v>
      </c>
      <c r="F34" s="105" t="s">
        <v>276</v>
      </c>
      <c r="G34" s="107">
        <v>45705.0</v>
      </c>
      <c r="H34" s="108">
        <v>0.14583333333333334</v>
      </c>
      <c r="I34" s="109">
        <f t="shared" si="1"/>
        <v>3.5</v>
      </c>
      <c r="J34" s="111" t="b">
        <v>1</v>
      </c>
      <c r="K34" s="111" t="b">
        <f t="shared" si="2"/>
        <v>1</v>
      </c>
      <c r="L34" s="90"/>
      <c r="M34" s="111" t="s">
        <v>255</v>
      </c>
    </row>
    <row r="35" hidden="1">
      <c r="A35" s="105" t="s">
        <v>130</v>
      </c>
      <c r="B35" s="105" t="s">
        <v>251</v>
      </c>
      <c r="C35" s="106">
        <v>2.0</v>
      </c>
      <c r="D35" s="105"/>
      <c r="E35" s="105" t="s">
        <v>252</v>
      </c>
      <c r="F35" s="105" t="s">
        <v>274</v>
      </c>
      <c r="G35" s="107">
        <v>45705.0</v>
      </c>
      <c r="H35" s="108">
        <v>0.03125</v>
      </c>
      <c r="I35" s="109">
        <f t="shared" si="1"/>
        <v>0.75</v>
      </c>
      <c r="J35" s="111" t="b">
        <v>1</v>
      </c>
      <c r="K35" s="111" t="b">
        <f t="shared" si="2"/>
        <v>1</v>
      </c>
      <c r="L35" s="90"/>
      <c r="M35" s="111" t="s">
        <v>255</v>
      </c>
    </row>
    <row r="36" hidden="1">
      <c r="A36" s="105" t="s">
        <v>130</v>
      </c>
      <c r="B36" s="105" t="s">
        <v>251</v>
      </c>
      <c r="C36" s="106">
        <v>2.0</v>
      </c>
      <c r="D36" s="105"/>
      <c r="E36" s="105" t="s">
        <v>252</v>
      </c>
      <c r="F36" s="105" t="s">
        <v>274</v>
      </c>
      <c r="G36" s="107">
        <v>45706.0</v>
      </c>
      <c r="H36" s="108">
        <v>0.13194444444444445</v>
      </c>
      <c r="I36" s="109">
        <f t="shared" si="1"/>
        <v>3.166666667</v>
      </c>
      <c r="J36" s="111" t="b">
        <v>1</v>
      </c>
      <c r="K36" s="111" t="b">
        <f t="shared" si="2"/>
        <v>1</v>
      </c>
      <c r="L36" s="90"/>
      <c r="M36" s="111" t="s">
        <v>255</v>
      </c>
    </row>
    <row r="37" hidden="1">
      <c r="A37" s="105" t="s">
        <v>130</v>
      </c>
      <c r="B37" s="105" t="s">
        <v>251</v>
      </c>
      <c r="C37" s="106">
        <v>2.0</v>
      </c>
      <c r="D37" s="105"/>
      <c r="E37" s="105" t="s">
        <v>252</v>
      </c>
      <c r="F37" s="105" t="s">
        <v>277</v>
      </c>
      <c r="G37" s="107">
        <v>45706.0</v>
      </c>
      <c r="H37" s="108">
        <v>0.08333333333333333</v>
      </c>
      <c r="I37" s="109">
        <f t="shared" si="1"/>
        <v>2</v>
      </c>
      <c r="J37" s="111" t="b">
        <v>1</v>
      </c>
      <c r="K37" s="111" t="b">
        <f t="shared" si="2"/>
        <v>1</v>
      </c>
      <c r="L37" s="90"/>
      <c r="M37" s="111" t="s">
        <v>255</v>
      </c>
    </row>
    <row r="38" hidden="1">
      <c r="A38" s="105" t="s">
        <v>124</v>
      </c>
      <c r="B38" s="105" t="s">
        <v>251</v>
      </c>
      <c r="C38" s="106">
        <v>2.0</v>
      </c>
      <c r="D38" s="105"/>
      <c r="E38" s="105" t="s">
        <v>252</v>
      </c>
      <c r="F38" s="105" t="s">
        <v>277</v>
      </c>
      <c r="G38" s="107">
        <v>45707.0</v>
      </c>
      <c r="H38" s="108">
        <v>0.14583333333333334</v>
      </c>
      <c r="I38" s="109">
        <f t="shared" si="1"/>
        <v>3.5</v>
      </c>
      <c r="J38" s="111" t="b">
        <v>1</v>
      </c>
      <c r="K38" s="111" t="b">
        <f t="shared" si="2"/>
        <v>1</v>
      </c>
      <c r="L38" s="90"/>
      <c r="M38" s="111" t="s">
        <v>255</v>
      </c>
    </row>
    <row r="39" hidden="1">
      <c r="A39" s="105" t="s">
        <v>215</v>
      </c>
      <c r="B39" s="105" t="s">
        <v>251</v>
      </c>
      <c r="C39" s="106">
        <v>2.0</v>
      </c>
      <c r="D39" s="105"/>
      <c r="E39" s="105" t="s">
        <v>271</v>
      </c>
      <c r="F39" s="105" t="s">
        <v>278</v>
      </c>
      <c r="G39" s="107">
        <v>45709.0</v>
      </c>
      <c r="H39" s="108">
        <v>0.041666666666666664</v>
      </c>
      <c r="I39" s="109">
        <f t="shared" si="1"/>
        <v>1</v>
      </c>
      <c r="J39" s="111" t="b">
        <v>1</v>
      </c>
      <c r="K39" s="111" t="b">
        <f t="shared" si="2"/>
        <v>0</v>
      </c>
      <c r="L39" s="90"/>
      <c r="M39" s="111" t="s">
        <v>255</v>
      </c>
    </row>
    <row r="40" hidden="1">
      <c r="A40" s="105" t="s">
        <v>104</v>
      </c>
      <c r="B40" s="105" t="s">
        <v>251</v>
      </c>
      <c r="C40" s="106">
        <v>2.0</v>
      </c>
      <c r="D40" s="105"/>
      <c r="E40" s="105" t="s">
        <v>271</v>
      </c>
      <c r="F40" s="105" t="s">
        <v>279</v>
      </c>
      <c r="G40" s="107">
        <v>45709.0</v>
      </c>
      <c r="H40" s="108">
        <v>0.041666666666666664</v>
      </c>
      <c r="I40" s="109">
        <f t="shared" si="1"/>
        <v>1</v>
      </c>
      <c r="J40" s="111" t="b">
        <v>1</v>
      </c>
      <c r="K40" s="111" t="b">
        <f t="shared" si="2"/>
        <v>0</v>
      </c>
      <c r="L40" s="90"/>
      <c r="M40" s="111" t="s">
        <v>255</v>
      </c>
    </row>
    <row r="41" hidden="1">
      <c r="A41" s="105" t="s">
        <v>260</v>
      </c>
      <c r="B41" s="105" t="s">
        <v>251</v>
      </c>
      <c r="C41" s="106">
        <v>2.0</v>
      </c>
      <c r="D41" s="105"/>
      <c r="E41" s="105" t="s">
        <v>271</v>
      </c>
      <c r="F41" s="105" t="s">
        <v>280</v>
      </c>
      <c r="G41" s="107">
        <v>45346.0</v>
      </c>
      <c r="H41" s="108">
        <v>0.10416666666666667</v>
      </c>
      <c r="I41" s="109">
        <f t="shared" si="1"/>
        <v>2.5</v>
      </c>
      <c r="J41" s="111" t="b">
        <v>0</v>
      </c>
      <c r="K41" s="111" t="b">
        <f t="shared" si="2"/>
        <v>0</v>
      </c>
      <c r="L41" s="90"/>
      <c r="M41" s="111" t="s">
        <v>255</v>
      </c>
    </row>
    <row r="42" hidden="1">
      <c r="A42" s="105" t="s">
        <v>260</v>
      </c>
      <c r="B42" s="105" t="s">
        <v>251</v>
      </c>
      <c r="C42" s="106">
        <v>2.0</v>
      </c>
      <c r="D42" s="105"/>
      <c r="E42" s="105" t="s">
        <v>271</v>
      </c>
      <c r="F42" s="105" t="s">
        <v>281</v>
      </c>
      <c r="G42" s="107">
        <v>45348.0</v>
      </c>
      <c r="H42" s="108">
        <v>0.041666666666666664</v>
      </c>
      <c r="I42" s="109">
        <f t="shared" si="1"/>
        <v>1</v>
      </c>
      <c r="J42" s="111" t="b">
        <v>0</v>
      </c>
      <c r="K42" s="111" t="b">
        <f t="shared" si="2"/>
        <v>0</v>
      </c>
      <c r="L42" s="90"/>
      <c r="M42" s="111" t="s">
        <v>255</v>
      </c>
    </row>
    <row r="43" hidden="1">
      <c r="A43" s="105" t="s">
        <v>104</v>
      </c>
      <c r="B43" s="105" t="s">
        <v>251</v>
      </c>
      <c r="C43" s="106">
        <v>3.0</v>
      </c>
      <c r="D43" s="105"/>
      <c r="E43" s="105" t="s">
        <v>271</v>
      </c>
      <c r="F43" s="105" t="s">
        <v>282</v>
      </c>
      <c r="G43" s="107">
        <v>45723.0</v>
      </c>
      <c r="H43" s="108">
        <v>0.020833333333333332</v>
      </c>
      <c r="I43" s="109">
        <f t="shared" si="1"/>
        <v>0.5</v>
      </c>
      <c r="J43" s="111" t="b">
        <v>1</v>
      </c>
      <c r="K43" s="111" t="b">
        <f t="shared" si="2"/>
        <v>0</v>
      </c>
      <c r="L43" s="90"/>
      <c r="M43" s="111" t="s">
        <v>255</v>
      </c>
    </row>
    <row r="44" hidden="1">
      <c r="A44" s="105" t="s">
        <v>260</v>
      </c>
      <c r="B44" s="105" t="s">
        <v>251</v>
      </c>
      <c r="C44" s="106">
        <v>3.0</v>
      </c>
      <c r="D44" s="105"/>
      <c r="E44" s="105" t="s">
        <v>252</v>
      </c>
      <c r="F44" s="105" t="s">
        <v>283</v>
      </c>
      <c r="G44" s="107">
        <v>45724.0</v>
      </c>
      <c r="H44" s="108">
        <v>0.041666666666666664</v>
      </c>
      <c r="I44" s="109">
        <f t="shared" si="1"/>
        <v>1</v>
      </c>
      <c r="J44" s="111" t="b">
        <v>0</v>
      </c>
      <c r="K44" s="111" t="b">
        <f t="shared" si="2"/>
        <v>1</v>
      </c>
      <c r="L44" s="90"/>
      <c r="M44" s="111" t="s">
        <v>255</v>
      </c>
    </row>
    <row r="45" hidden="1">
      <c r="A45" s="105" t="s">
        <v>104</v>
      </c>
      <c r="B45" s="105" t="s">
        <v>251</v>
      </c>
      <c r="C45" s="106">
        <v>3.0</v>
      </c>
      <c r="D45" s="105"/>
      <c r="E45" s="105" t="s">
        <v>271</v>
      </c>
      <c r="F45" s="105" t="s">
        <v>282</v>
      </c>
      <c r="G45" s="107">
        <v>45737.0</v>
      </c>
      <c r="H45" s="108">
        <v>0.020833333333333332</v>
      </c>
      <c r="I45" s="109">
        <f t="shared" si="1"/>
        <v>0.5</v>
      </c>
      <c r="J45" s="111" t="b">
        <v>1</v>
      </c>
      <c r="K45" s="111" t="b">
        <f t="shared" si="2"/>
        <v>0</v>
      </c>
      <c r="L45" s="90"/>
      <c r="M45" s="111" t="s">
        <v>255</v>
      </c>
    </row>
    <row r="46" hidden="1">
      <c r="A46" s="105" t="s">
        <v>260</v>
      </c>
      <c r="B46" s="105" t="s">
        <v>251</v>
      </c>
      <c r="C46" s="106">
        <v>3.0</v>
      </c>
      <c r="D46" s="105"/>
      <c r="E46" s="105" t="s">
        <v>271</v>
      </c>
      <c r="F46" s="105" t="s">
        <v>284</v>
      </c>
      <c r="G46" s="107">
        <v>45737.0</v>
      </c>
      <c r="H46" s="108">
        <v>0.041666666666666664</v>
      </c>
      <c r="I46" s="109">
        <f t="shared" si="1"/>
        <v>1</v>
      </c>
      <c r="J46" s="111" t="b">
        <v>0</v>
      </c>
      <c r="K46" s="111" t="b">
        <f t="shared" si="2"/>
        <v>0</v>
      </c>
      <c r="L46" s="90"/>
      <c r="M46" s="111" t="s">
        <v>255</v>
      </c>
    </row>
    <row r="47" hidden="1">
      <c r="A47" s="105" t="s">
        <v>267</v>
      </c>
      <c r="B47" s="105" t="s">
        <v>251</v>
      </c>
      <c r="C47" s="106">
        <v>3.0</v>
      </c>
      <c r="D47" s="105"/>
      <c r="E47" s="105" t="s">
        <v>252</v>
      </c>
      <c r="F47" s="105" t="s">
        <v>285</v>
      </c>
      <c r="G47" s="107">
        <v>45737.0</v>
      </c>
      <c r="H47" s="108">
        <v>0.020833333333333332</v>
      </c>
      <c r="I47" s="109">
        <f t="shared" si="1"/>
        <v>0.5</v>
      </c>
      <c r="J47" s="111" t="b">
        <v>0</v>
      </c>
      <c r="K47" s="111" t="b">
        <f t="shared" si="2"/>
        <v>1</v>
      </c>
      <c r="L47" s="90"/>
      <c r="M47" s="111" t="s">
        <v>255</v>
      </c>
    </row>
    <row r="48">
      <c r="A48" s="105" t="s">
        <v>92</v>
      </c>
      <c r="B48" s="105" t="s">
        <v>251</v>
      </c>
      <c r="C48" s="106">
        <v>3.0</v>
      </c>
      <c r="D48" s="105"/>
      <c r="E48" s="105" t="s">
        <v>256</v>
      </c>
      <c r="F48" s="105" t="s">
        <v>286</v>
      </c>
      <c r="G48" s="107">
        <v>45742.0</v>
      </c>
      <c r="H48" s="108">
        <v>0.020833333333333332</v>
      </c>
      <c r="I48" s="109">
        <f t="shared" si="1"/>
        <v>0.5</v>
      </c>
      <c r="J48" s="111" t="b">
        <v>1</v>
      </c>
      <c r="K48" s="111" t="b">
        <f t="shared" si="2"/>
        <v>1</v>
      </c>
      <c r="L48" s="90"/>
      <c r="M48" s="111" t="s">
        <v>255</v>
      </c>
    </row>
    <row r="49" hidden="1">
      <c r="A49" s="105" t="s">
        <v>104</v>
      </c>
      <c r="B49" s="105" t="s">
        <v>251</v>
      </c>
      <c r="C49" s="106">
        <v>3.0</v>
      </c>
      <c r="D49" s="105"/>
      <c r="E49" s="105" t="s">
        <v>271</v>
      </c>
      <c r="F49" s="105" t="s">
        <v>282</v>
      </c>
      <c r="G49" s="107">
        <v>45744.0</v>
      </c>
      <c r="H49" s="108">
        <v>0.020833333333333332</v>
      </c>
      <c r="I49" s="109">
        <f t="shared" si="1"/>
        <v>0.5</v>
      </c>
      <c r="J49" s="111" t="b">
        <v>1</v>
      </c>
      <c r="K49" s="111" t="b">
        <f t="shared" si="2"/>
        <v>0</v>
      </c>
      <c r="L49" s="90"/>
      <c r="M49" s="111" t="s">
        <v>255</v>
      </c>
    </row>
    <row r="50">
      <c r="A50" s="105" t="s">
        <v>92</v>
      </c>
      <c r="B50" s="105" t="s">
        <v>251</v>
      </c>
      <c r="C50" s="106">
        <v>3.0</v>
      </c>
      <c r="D50" s="105"/>
      <c r="E50" s="105" t="s">
        <v>256</v>
      </c>
      <c r="F50" s="105" t="s">
        <v>286</v>
      </c>
      <c r="G50" s="107">
        <v>45744.0</v>
      </c>
      <c r="H50" s="108">
        <v>0.010416666666666666</v>
      </c>
      <c r="I50" s="109">
        <f t="shared" si="1"/>
        <v>0.25</v>
      </c>
      <c r="J50" s="111" t="b">
        <v>1</v>
      </c>
      <c r="K50" s="111" t="b">
        <f t="shared" si="2"/>
        <v>1</v>
      </c>
      <c r="L50" s="90"/>
      <c r="M50" s="111" t="s">
        <v>255</v>
      </c>
    </row>
    <row r="51" hidden="1">
      <c r="A51" s="105" t="s">
        <v>104</v>
      </c>
      <c r="B51" s="105" t="s">
        <v>251</v>
      </c>
      <c r="C51" s="106">
        <v>3.0</v>
      </c>
      <c r="D51" s="105"/>
      <c r="E51" s="105" t="s">
        <v>256</v>
      </c>
      <c r="F51" s="105" t="s">
        <v>287</v>
      </c>
      <c r="G51" s="107">
        <v>45744.0</v>
      </c>
      <c r="H51" s="108">
        <v>0.03125</v>
      </c>
      <c r="I51" s="109">
        <f t="shared" si="1"/>
        <v>0.75</v>
      </c>
      <c r="J51" s="111" t="b">
        <v>1</v>
      </c>
      <c r="K51" s="111" t="b">
        <f t="shared" si="2"/>
        <v>1</v>
      </c>
      <c r="L51" s="90"/>
      <c r="M51" s="111" t="s">
        <v>255</v>
      </c>
    </row>
    <row r="52" hidden="1">
      <c r="A52" s="105" t="s">
        <v>92</v>
      </c>
      <c r="B52" s="105" t="s">
        <v>251</v>
      </c>
      <c r="C52" s="106">
        <v>3.0</v>
      </c>
      <c r="D52" s="105"/>
      <c r="E52" s="105" t="s">
        <v>271</v>
      </c>
      <c r="F52" s="105" t="s">
        <v>288</v>
      </c>
      <c r="G52" s="107">
        <v>45747.0</v>
      </c>
      <c r="H52" s="108">
        <v>0.25</v>
      </c>
      <c r="I52" s="109">
        <f t="shared" si="1"/>
        <v>6</v>
      </c>
      <c r="J52" s="111" t="b">
        <v>1</v>
      </c>
      <c r="K52" s="111" t="b">
        <f t="shared" si="2"/>
        <v>0</v>
      </c>
      <c r="L52" s="90"/>
      <c r="M52" s="111" t="s">
        <v>255</v>
      </c>
    </row>
    <row r="53" hidden="1">
      <c r="A53" s="105" t="s">
        <v>106</v>
      </c>
      <c r="B53" s="105" t="s">
        <v>251</v>
      </c>
      <c r="C53" s="106">
        <v>3.0</v>
      </c>
      <c r="D53" s="105"/>
      <c r="E53" s="105" t="s">
        <v>256</v>
      </c>
      <c r="F53" s="105" t="s">
        <v>289</v>
      </c>
      <c r="G53" s="107">
        <v>45728.0</v>
      </c>
      <c r="H53" s="108">
        <v>0.041666666666666664</v>
      </c>
      <c r="I53" s="109">
        <f t="shared" si="1"/>
        <v>1</v>
      </c>
      <c r="J53" s="111" t="b">
        <v>1</v>
      </c>
      <c r="K53" s="111" t="b">
        <f t="shared" si="2"/>
        <v>1</v>
      </c>
      <c r="L53" s="90"/>
      <c r="M53" s="111" t="s">
        <v>255</v>
      </c>
    </row>
    <row r="54" hidden="1">
      <c r="A54" s="105" t="s">
        <v>215</v>
      </c>
      <c r="B54" s="105" t="s">
        <v>290</v>
      </c>
      <c r="C54" s="106">
        <v>1.0</v>
      </c>
      <c r="D54" s="105"/>
      <c r="E54" s="105" t="s">
        <v>256</v>
      </c>
      <c r="F54" s="105" t="s">
        <v>291</v>
      </c>
      <c r="G54" s="107">
        <v>45306.0</v>
      </c>
      <c r="H54" s="108">
        <v>0.16666666666666666</v>
      </c>
      <c r="I54" s="109">
        <f t="shared" si="1"/>
        <v>4</v>
      </c>
      <c r="J54" s="111" t="b">
        <v>1</v>
      </c>
      <c r="K54" s="111" t="b">
        <f t="shared" si="2"/>
        <v>1</v>
      </c>
      <c r="L54" s="90"/>
      <c r="M54" s="111" t="s">
        <v>255</v>
      </c>
    </row>
    <row r="55" hidden="1">
      <c r="A55" s="105" t="s">
        <v>215</v>
      </c>
      <c r="B55" s="105" t="s">
        <v>290</v>
      </c>
      <c r="C55" s="106">
        <v>1.0</v>
      </c>
      <c r="D55" s="105"/>
      <c r="E55" s="105" t="s">
        <v>256</v>
      </c>
      <c r="F55" s="105" t="s">
        <v>291</v>
      </c>
      <c r="G55" s="107">
        <v>45673.0</v>
      </c>
      <c r="H55" s="108">
        <v>0.16666666666666666</v>
      </c>
      <c r="I55" s="109">
        <f t="shared" si="1"/>
        <v>4</v>
      </c>
      <c r="J55" s="111" t="b">
        <v>1</v>
      </c>
      <c r="K55" s="111" t="b">
        <f t="shared" si="2"/>
        <v>1</v>
      </c>
      <c r="L55" s="90"/>
      <c r="M55" s="111" t="s">
        <v>255</v>
      </c>
    </row>
    <row r="56" hidden="1">
      <c r="A56" s="105" t="s">
        <v>104</v>
      </c>
      <c r="B56" s="105" t="s">
        <v>290</v>
      </c>
      <c r="C56" s="106">
        <v>1.0</v>
      </c>
      <c r="D56" s="105"/>
      <c r="E56" s="105" t="s">
        <v>256</v>
      </c>
      <c r="F56" s="105" t="s">
        <v>292</v>
      </c>
      <c r="G56" s="107">
        <v>45674.0</v>
      </c>
      <c r="H56" s="108">
        <v>0.020833333333333332</v>
      </c>
      <c r="I56" s="109">
        <f t="shared" si="1"/>
        <v>0.5</v>
      </c>
      <c r="J56" s="111" t="b">
        <v>1</v>
      </c>
      <c r="K56" s="111" t="b">
        <f t="shared" si="2"/>
        <v>1</v>
      </c>
      <c r="L56" s="90"/>
      <c r="M56" s="111" t="s">
        <v>255</v>
      </c>
    </row>
    <row r="57" hidden="1">
      <c r="A57" s="105" t="s">
        <v>215</v>
      </c>
      <c r="B57" s="105" t="s">
        <v>290</v>
      </c>
      <c r="C57" s="106">
        <v>1.0</v>
      </c>
      <c r="D57" s="105"/>
      <c r="E57" s="105" t="s">
        <v>256</v>
      </c>
      <c r="F57" s="105" t="s">
        <v>291</v>
      </c>
      <c r="G57" s="107">
        <v>45677.0</v>
      </c>
      <c r="H57" s="108">
        <v>0.16666666666666666</v>
      </c>
      <c r="I57" s="109">
        <f t="shared" si="1"/>
        <v>4</v>
      </c>
      <c r="J57" s="111" t="b">
        <v>1</v>
      </c>
      <c r="K57" s="111" t="b">
        <f t="shared" si="2"/>
        <v>1</v>
      </c>
      <c r="L57" s="90"/>
      <c r="M57" s="111" t="s">
        <v>255</v>
      </c>
    </row>
    <row r="58" hidden="1">
      <c r="A58" s="105" t="s">
        <v>293</v>
      </c>
      <c r="B58" s="105" t="s">
        <v>290</v>
      </c>
      <c r="C58" s="106">
        <v>1.0</v>
      </c>
      <c r="D58" s="105"/>
      <c r="E58" s="105" t="s">
        <v>271</v>
      </c>
      <c r="F58" s="105" t="s">
        <v>294</v>
      </c>
      <c r="G58" s="107">
        <v>45677.0</v>
      </c>
      <c r="H58" s="108">
        <v>0.08333333333333333</v>
      </c>
      <c r="I58" s="109">
        <f t="shared" si="1"/>
        <v>2</v>
      </c>
      <c r="J58" s="111" t="b">
        <v>0</v>
      </c>
      <c r="K58" s="111" t="b">
        <f t="shared" si="2"/>
        <v>0</v>
      </c>
      <c r="L58" s="90"/>
      <c r="M58" s="111" t="s">
        <v>255</v>
      </c>
    </row>
    <row r="59" hidden="1">
      <c r="A59" s="105" t="s">
        <v>215</v>
      </c>
      <c r="B59" s="105" t="s">
        <v>290</v>
      </c>
      <c r="C59" s="106">
        <v>1.0</v>
      </c>
      <c r="D59" s="105"/>
      <c r="E59" s="105" t="s">
        <v>256</v>
      </c>
      <c r="F59" s="105" t="s">
        <v>295</v>
      </c>
      <c r="G59" s="107">
        <v>45679.0</v>
      </c>
      <c r="H59" s="108">
        <v>0.125</v>
      </c>
      <c r="I59" s="109">
        <f t="shared" si="1"/>
        <v>3</v>
      </c>
      <c r="J59" s="111" t="b">
        <v>1</v>
      </c>
      <c r="K59" s="111" t="b">
        <f t="shared" si="2"/>
        <v>1</v>
      </c>
      <c r="L59" s="90"/>
      <c r="M59" s="111" t="s">
        <v>255</v>
      </c>
    </row>
    <row r="60" hidden="1">
      <c r="A60" s="105" t="s">
        <v>215</v>
      </c>
      <c r="B60" s="105" t="s">
        <v>290</v>
      </c>
      <c r="C60" s="106">
        <v>1.0</v>
      </c>
      <c r="D60" s="105"/>
      <c r="E60" s="105" t="s">
        <v>256</v>
      </c>
      <c r="F60" s="105" t="s">
        <v>296</v>
      </c>
      <c r="G60" s="107">
        <v>45685.0</v>
      </c>
      <c r="H60" s="108">
        <v>0.22916666666666666</v>
      </c>
      <c r="I60" s="109">
        <f t="shared" si="1"/>
        <v>5.5</v>
      </c>
      <c r="J60" s="111" t="b">
        <v>1</v>
      </c>
      <c r="K60" s="111" t="b">
        <f t="shared" si="2"/>
        <v>1</v>
      </c>
      <c r="L60" s="90"/>
      <c r="M60" s="111" t="s">
        <v>255</v>
      </c>
    </row>
    <row r="61" hidden="1">
      <c r="A61" s="105" t="s">
        <v>267</v>
      </c>
      <c r="B61" s="105" t="s">
        <v>290</v>
      </c>
      <c r="C61" s="106">
        <v>1.0</v>
      </c>
      <c r="D61" s="105"/>
      <c r="E61" s="105" t="s">
        <v>256</v>
      </c>
      <c r="F61" s="105" t="s">
        <v>297</v>
      </c>
      <c r="G61" s="107">
        <v>45687.0</v>
      </c>
      <c r="H61" s="108">
        <v>0.3958333333333333</v>
      </c>
      <c r="I61" s="109">
        <f t="shared" si="1"/>
        <v>9.5</v>
      </c>
      <c r="J61" s="111" t="b">
        <v>0</v>
      </c>
      <c r="K61" s="111" t="b">
        <f t="shared" si="2"/>
        <v>1</v>
      </c>
      <c r="L61" s="90"/>
      <c r="M61" s="111" t="s">
        <v>255</v>
      </c>
    </row>
    <row r="62" hidden="1">
      <c r="A62" s="105" t="s">
        <v>190</v>
      </c>
      <c r="B62" s="105" t="s">
        <v>290</v>
      </c>
      <c r="C62" s="106">
        <v>2.0</v>
      </c>
      <c r="D62" s="105"/>
      <c r="E62" s="105" t="s">
        <v>256</v>
      </c>
      <c r="F62" s="105" t="s">
        <v>298</v>
      </c>
      <c r="G62" s="107">
        <v>45694.0</v>
      </c>
      <c r="H62" s="108">
        <v>0.3333333333333333</v>
      </c>
      <c r="I62" s="109">
        <f t="shared" si="1"/>
        <v>8</v>
      </c>
      <c r="J62" s="111" t="b">
        <v>1</v>
      </c>
      <c r="K62" s="111" t="b">
        <f t="shared" si="2"/>
        <v>1</v>
      </c>
      <c r="L62" s="90"/>
      <c r="M62" s="111" t="s">
        <v>255</v>
      </c>
    </row>
    <row r="63" hidden="1">
      <c r="A63" s="105" t="s">
        <v>190</v>
      </c>
      <c r="B63" s="105" t="s">
        <v>290</v>
      </c>
      <c r="C63" s="106">
        <v>2.0</v>
      </c>
      <c r="D63" s="105"/>
      <c r="E63" s="105" t="s">
        <v>256</v>
      </c>
      <c r="F63" s="105" t="s">
        <v>299</v>
      </c>
      <c r="G63" s="107">
        <v>45694.0</v>
      </c>
      <c r="H63" s="108">
        <v>0.020833333333333332</v>
      </c>
      <c r="I63" s="109">
        <f t="shared" si="1"/>
        <v>0.5</v>
      </c>
      <c r="J63" s="111" t="b">
        <v>1</v>
      </c>
      <c r="K63" s="111" t="b">
        <f t="shared" si="2"/>
        <v>1</v>
      </c>
      <c r="L63" s="90"/>
      <c r="M63" s="111" t="s">
        <v>255</v>
      </c>
    </row>
    <row r="64" hidden="1">
      <c r="A64" s="105" t="s">
        <v>267</v>
      </c>
      <c r="B64" s="105" t="s">
        <v>290</v>
      </c>
      <c r="C64" s="106">
        <v>2.0</v>
      </c>
      <c r="D64" s="105"/>
      <c r="E64" s="105" t="s">
        <v>256</v>
      </c>
      <c r="F64" s="105" t="s">
        <v>300</v>
      </c>
      <c r="G64" s="107">
        <v>45693.0</v>
      </c>
      <c r="H64" s="108">
        <v>0.041666666666666664</v>
      </c>
      <c r="I64" s="109">
        <f t="shared" si="1"/>
        <v>1</v>
      </c>
      <c r="J64" s="111" t="b">
        <v>0</v>
      </c>
      <c r="K64" s="111" t="b">
        <f t="shared" si="2"/>
        <v>1</v>
      </c>
      <c r="L64" s="90"/>
      <c r="M64" s="111" t="s">
        <v>255</v>
      </c>
    </row>
    <row r="65" hidden="1">
      <c r="A65" s="105" t="s">
        <v>130</v>
      </c>
      <c r="B65" s="105" t="s">
        <v>290</v>
      </c>
      <c r="C65" s="106">
        <v>2.0</v>
      </c>
      <c r="D65" s="105"/>
      <c r="E65" s="105" t="s">
        <v>271</v>
      </c>
      <c r="F65" s="105" t="s">
        <v>301</v>
      </c>
      <c r="G65" s="107">
        <v>45701.0</v>
      </c>
      <c r="H65" s="108">
        <v>0.125</v>
      </c>
      <c r="I65" s="109">
        <f t="shared" si="1"/>
        <v>3</v>
      </c>
      <c r="J65" s="111" t="b">
        <v>1</v>
      </c>
      <c r="K65" s="111" t="b">
        <f t="shared" si="2"/>
        <v>0</v>
      </c>
      <c r="L65" s="90"/>
      <c r="M65" s="111" t="s">
        <v>255</v>
      </c>
    </row>
    <row r="66" hidden="1">
      <c r="A66" s="105" t="s">
        <v>130</v>
      </c>
      <c r="B66" s="105" t="s">
        <v>290</v>
      </c>
      <c r="C66" s="106">
        <v>2.0</v>
      </c>
      <c r="D66" s="105"/>
      <c r="E66" s="105" t="s">
        <v>271</v>
      </c>
      <c r="F66" s="105" t="s">
        <v>302</v>
      </c>
      <c r="G66" s="107">
        <v>45701.0</v>
      </c>
      <c r="H66" s="108">
        <v>0.020833333333333332</v>
      </c>
      <c r="I66" s="109">
        <f t="shared" si="1"/>
        <v>0.5</v>
      </c>
      <c r="J66" s="111" t="b">
        <v>1</v>
      </c>
      <c r="K66" s="111" t="b">
        <f t="shared" si="2"/>
        <v>0</v>
      </c>
      <c r="L66" s="90"/>
      <c r="M66" s="111" t="s">
        <v>255</v>
      </c>
    </row>
    <row r="67" hidden="1">
      <c r="A67" s="105" t="s">
        <v>98</v>
      </c>
      <c r="B67" s="105" t="s">
        <v>290</v>
      </c>
      <c r="C67" s="106">
        <v>2.0</v>
      </c>
      <c r="D67" s="105"/>
      <c r="E67" s="105" t="s">
        <v>256</v>
      </c>
      <c r="F67" s="105" t="s">
        <v>303</v>
      </c>
      <c r="G67" s="107">
        <v>45700.0</v>
      </c>
      <c r="H67" s="108">
        <v>0.020833333333333332</v>
      </c>
      <c r="I67" s="109">
        <f t="shared" si="1"/>
        <v>0.5</v>
      </c>
      <c r="J67" s="111" t="b">
        <v>1</v>
      </c>
      <c r="K67" s="111" t="b">
        <f t="shared" si="2"/>
        <v>1</v>
      </c>
      <c r="L67" s="90"/>
      <c r="M67" s="111" t="s">
        <v>255</v>
      </c>
    </row>
    <row r="68" hidden="1">
      <c r="A68" s="105" t="s">
        <v>130</v>
      </c>
      <c r="B68" s="105" t="s">
        <v>290</v>
      </c>
      <c r="C68" s="106">
        <v>2.0</v>
      </c>
      <c r="D68" s="105"/>
      <c r="E68" s="105" t="s">
        <v>271</v>
      </c>
      <c r="F68" s="105" t="s">
        <v>301</v>
      </c>
      <c r="G68" s="107">
        <v>45705.0</v>
      </c>
      <c r="H68" s="108">
        <v>0.125</v>
      </c>
      <c r="I68" s="109">
        <f t="shared" si="1"/>
        <v>3</v>
      </c>
      <c r="J68" s="111" t="b">
        <v>1</v>
      </c>
      <c r="K68" s="111" t="b">
        <f t="shared" si="2"/>
        <v>0</v>
      </c>
      <c r="L68" s="90"/>
      <c r="M68" s="111" t="s">
        <v>255</v>
      </c>
    </row>
    <row r="69" hidden="1">
      <c r="A69" s="105" t="s">
        <v>130</v>
      </c>
      <c r="B69" s="105" t="s">
        <v>290</v>
      </c>
      <c r="C69" s="106">
        <v>2.0</v>
      </c>
      <c r="D69" s="105"/>
      <c r="E69" s="105" t="s">
        <v>271</v>
      </c>
      <c r="F69" s="105" t="s">
        <v>304</v>
      </c>
      <c r="G69" s="107">
        <v>45706.0</v>
      </c>
      <c r="H69" s="108">
        <v>0.10416666666666667</v>
      </c>
      <c r="I69" s="109">
        <f t="shared" si="1"/>
        <v>2.5</v>
      </c>
      <c r="J69" s="111" t="b">
        <v>1</v>
      </c>
      <c r="K69" s="111" t="b">
        <f t="shared" si="2"/>
        <v>0</v>
      </c>
      <c r="L69" s="90"/>
      <c r="M69" s="111" t="s">
        <v>255</v>
      </c>
    </row>
    <row r="70" hidden="1">
      <c r="A70" s="105" t="s">
        <v>130</v>
      </c>
      <c r="B70" s="105" t="s">
        <v>290</v>
      </c>
      <c r="C70" s="106">
        <v>2.0</v>
      </c>
      <c r="D70" s="105"/>
      <c r="E70" s="105" t="s">
        <v>256</v>
      </c>
      <c r="F70" s="105" t="s">
        <v>305</v>
      </c>
      <c r="G70" s="107">
        <v>45708.0</v>
      </c>
      <c r="H70" s="108">
        <v>0.125</v>
      </c>
      <c r="I70" s="109">
        <f t="shared" si="1"/>
        <v>3</v>
      </c>
      <c r="J70" s="111" t="b">
        <v>1</v>
      </c>
      <c r="K70" s="111" t="b">
        <f t="shared" si="2"/>
        <v>1</v>
      </c>
      <c r="L70" s="90"/>
      <c r="M70" s="111" t="s">
        <v>255</v>
      </c>
    </row>
    <row r="71" hidden="1">
      <c r="A71" s="105" t="s">
        <v>104</v>
      </c>
      <c r="B71" s="105" t="s">
        <v>290</v>
      </c>
      <c r="C71" s="106">
        <v>2.0</v>
      </c>
      <c r="D71" s="105"/>
      <c r="E71" s="105" t="s">
        <v>256</v>
      </c>
      <c r="F71" s="105" t="s">
        <v>306</v>
      </c>
      <c r="G71" s="107">
        <v>45709.0</v>
      </c>
      <c r="H71" s="108">
        <v>0.041666666666666664</v>
      </c>
      <c r="I71" s="109">
        <f t="shared" si="1"/>
        <v>1</v>
      </c>
      <c r="J71" s="111" t="b">
        <v>1</v>
      </c>
      <c r="K71" s="111" t="b">
        <f t="shared" si="2"/>
        <v>1</v>
      </c>
      <c r="L71" s="90"/>
      <c r="M71" s="111" t="s">
        <v>255</v>
      </c>
    </row>
    <row r="72" hidden="1">
      <c r="A72" s="105" t="s">
        <v>215</v>
      </c>
      <c r="B72" s="105" t="s">
        <v>290</v>
      </c>
      <c r="C72" s="106">
        <v>2.0</v>
      </c>
      <c r="D72" s="105"/>
      <c r="E72" s="105" t="s">
        <v>256</v>
      </c>
      <c r="F72" s="105" t="s">
        <v>307</v>
      </c>
      <c r="G72" s="107">
        <v>45709.0</v>
      </c>
      <c r="H72" s="108">
        <v>0.0625</v>
      </c>
      <c r="I72" s="109">
        <f t="shared" si="1"/>
        <v>1.5</v>
      </c>
      <c r="J72" s="111" t="b">
        <v>1</v>
      </c>
      <c r="K72" s="111" t="b">
        <f t="shared" si="2"/>
        <v>1</v>
      </c>
      <c r="L72" s="90"/>
      <c r="M72" s="111" t="s">
        <v>255</v>
      </c>
    </row>
    <row r="73" hidden="1">
      <c r="A73" s="105" t="s">
        <v>104</v>
      </c>
      <c r="B73" s="105" t="s">
        <v>290</v>
      </c>
      <c r="C73" s="106">
        <v>2.0</v>
      </c>
      <c r="D73" s="105"/>
      <c r="E73" s="105" t="s">
        <v>256</v>
      </c>
      <c r="F73" s="105" t="s">
        <v>308</v>
      </c>
      <c r="G73" s="107">
        <v>45715.0</v>
      </c>
      <c r="H73" s="108">
        <v>0.25</v>
      </c>
      <c r="I73" s="109">
        <f t="shared" si="1"/>
        <v>6</v>
      </c>
      <c r="J73" s="111" t="b">
        <v>1</v>
      </c>
      <c r="K73" s="111" t="b">
        <f t="shared" si="2"/>
        <v>1</v>
      </c>
      <c r="L73" s="90"/>
      <c r="M73" s="111" t="s">
        <v>255</v>
      </c>
    </row>
    <row r="74" hidden="1">
      <c r="A74" s="105" t="s">
        <v>215</v>
      </c>
      <c r="B74" s="105" t="s">
        <v>290</v>
      </c>
      <c r="C74" s="106">
        <v>2.0</v>
      </c>
      <c r="D74" s="105"/>
      <c r="E74" s="105" t="s">
        <v>256</v>
      </c>
      <c r="F74" s="105" t="s">
        <v>309</v>
      </c>
      <c r="G74" s="107">
        <v>45714.0</v>
      </c>
      <c r="H74" s="108">
        <v>0.07291666666666667</v>
      </c>
      <c r="I74" s="109">
        <f t="shared" si="1"/>
        <v>1.75</v>
      </c>
      <c r="J74" s="111" t="b">
        <v>1</v>
      </c>
      <c r="K74" s="111" t="b">
        <f t="shared" si="2"/>
        <v>1</v>
      </c>
      <c r="L74" s="90"/>
      <c r="M74" s="111" t="s">
        <v>255</v>
      </c>
    </row>
    <row r="75" hidden="1">
      <c r="A75" s="105" t="s">
        <v>104</v>
      </c>
      <c r="B75" s="105" t="s">
        <v>290</v>
      </c>
      <c r="C75" s="106">
        <v>2.0</v>
      </c>
      <c r="D75" s="105"/>
      <c r="E75" s="105" t="s">
        <v>271</v>
      </c>
      <c r="F75" s="105" t="s">
        <v>310</v>
      </c>
      <c r="G75" s="107">
        <v>45714.0</v>
      </c>
      <c r="H75" s="108">
        <v>0.03125</v>
      </c>
      <c r="I75" s="109">
        <f t="shared" si="1"/>
        <v>0.75</v>
      </c>
      <c r="J75" s="111" t="b">
        <v>1</v>
      </c>
      <c r="K75" s="111" t="b">
        <f t="shared" si="2"/>
        <v>0</v>
      </c>
      <c r="L75" s="90"/>
      <c r="M75" s="111" t="s">
        <v>255</v>
      </c>
    </row>
    <row r="76" hidden="1">
      <c r="A76" s="105" t="s">
        <v>215</v>
      </c>
      <c r="B76" s="105" t="s">
        <v>290</v>
      </c>
      <c r="C76" s="106">
        <v>3.0</v>
      </c>
      <c r="D76" s="105"/>
      <c r="E76" s="105" t="s">
        <v>256</v>
      </c>
      <c r="F76" s="105" t="s">
        <v>311</v>
      </c>
      <c r="G76" s="107">
        <v>45722.0</v>
      </c>
      <c r="H76" s="108">
        <v>0.0625</v>
      </c>
      <c r="I76" s="109">
        <f t="shared" si="1"/>
        <v>1.5</v>
      </c>
      <c r="J76" s="111" t="b">
        <v>1</v>
      </c>
      <c r="K76" s="111" t="b">
        <f t="shared" si="2"/>
        <v>1</v>
      </c>
      <c r="L76" s="90"/>
      <c r="M76" s="111" t="s">
        <v>255</v>
      </c>
    </row>
    <row r="77" hidden="1">
      <c r="A77" s="105" t="s">
        <v>104</v>
      </c>
      <c r="B77" s="105" t="s">
        <v>290</v>
      </c>
      <c r="C77" s="106">
        <v>3.0</v>
      </c>
      <c r="D77" s="105"/>
      <c r="E77" s="105" t="s">
        <v>256</v>
      </c>
      <c r="F77" s="105" t="s">
        <v>312</v>
      </c>
      <c r="G77" s="107">
        <v>45722.0</v>
      </c>
      <c r="H77" s="108">
        <v>0.08333333333333333</v>
      </c>
      <c r="I77" s="109">
        <f t="shared" si="1"/>
        <v>2</v>
      </c>
      <c r="J77" s="111" t="b">
        <v>1</v>
      </c>
      <c r="K77" s="111" t="b">
        <f t="shared" si="2"/>
        <v>1</v>
      </c>
      <c r="L77" s="90"/>
      <c r="M77" s="111" t="s">
        <v>255</v>
      </c>
    </row>
    <row r="78" hidden="1">
      <c r="A78" s="105" t="s">
        <v>215</v>
      </c>
      <c r="B78" s="105" t="s">
        <v>290</v>
      </c>
      <c r="C78" s="106">
        <v>3.0</v>
      </c>
      <c r="D78" s="105"/>
      <c r="E78" s="105" t="s">
        <v>256</v>
      </c>
      <c r="F78" s="105" t="s">
        <v>313</v>
      </c>
      <c r="G78" s="107">
        <v>45727.0</v>
      </c>
      <c r="H78" s="108">
        <v>0.10416666666666667</v>
      </c>
      <c r="I78" s="109">
        <f t="shared" si="1"/>
        <v>2.5</v>
      </c>
      <c r="J78" s="111" t="b">
        <v>1</v>
      </c>
      <c r="K78" s="111" t="b">
        <f t="shared" si="2"/>
        <v>1</v>
      </c>
      <c r="L78" s="90"/>
      <c r="M78" s="111" t="s">
        <v>255</v>
      </c>
    </row>
    <row r="79" hidden="1">
      <c r="A79" s="105" t="s">
        <v>269</v>
      </c>
      <c r="B79" s="105" t="s">
        <v>314</v>
      </c>
      <c r="C79" s="106">
        <v>2.0</v>
      </c>
      <c r="D79" s="105"/>
      <c r="E79" s="105" t="s">
        <v>256</v>
      </c>
      <c r="F79" s="105" t="s">
        <v>315</v>
      </c>
      <c r="G79" s="107">
        <v>45695.0</v>
      </c>
      <c r="H79" s="108">
        <v>0.041666666666666664</v>
      </c>
      <c r="I79" s="109">
        <f t="shared" si="1"/>
        <v>1</v>
      </c>
      <c r="J79" s="111" t="b">
        <v>0</v>
      </c>
      <c r="K79" s="111" t="b">
        <f t="shared" si="2"/>
        <v>1</v>
      </c>
      <c r="L79" s="90"/>
      <c r="M79" s="111" t="s">
        <v>255</v>
      </c>
    </row>
    <row r="80" hidden="1">
      <c r="A80" s="105" t="s">
        <v>130</v>
      </c>
      <c r="B80" s="105" t="s">
        <v>314</v>
      </c>
      <c r="C80" s="106">
        <v>2.0</v>
      </c>
      <c r="D80" s="105"/>
      <c r="E80" s="105" t="s">
        <v>256</v>
      </c>
      <c r="F80" s="105" t="s">
        <v>316</v>
      </c>
      <c r="G80" s="107">
        <v>45701.0</v>
      </c>
      <c r="H80" s="108">
        <v>0.020833333333333332</v>
      </c>
      <c r="I80" s="109">
        <f t="shared" si="1"/>
        <v>0.5</v>
      </c>
      <c r="J80" s="111" t="b">
        <v>1</v>
      </c>
      <c r="K80" s="111" t="b">
        <f t="shared" si="2"/>
        <v>1</v>
      </c>
      <c r="L80" s="90"/>
      <c r="M80" s="111" t="s">
        <v>255</v>
      </c>
    </row>
    <row r="81" hidden="1">
      <c r="A81" s="105" t="s">
        <v>130</v>
      </c>
      <c r="B81" s="105" t="s">
        <v>314</v>
      </c>
      <c r="C81" s="106">
        <v>2.0</v>
      </c>
      <c r="D81" s="105"/>
      <c r="E81" s="105" t="s">
        <v>256</v>
      </c>
      <c r="F81" s="105" t="s">
        <v>317</v>
      </c>
      <c r="G81" s="107">
        <v>45706.0</v>
      </c>
      <c r="H81" s="108">
        <v>0.10416666666666667</v>
      </c>
      <c r="I81" s="109">
        <f t="shared" si="1"/>
        <v>2.5</v>
      </c>
      <c r="J81" s="111" t="b">
        <v>1</v>
      </c>
      <c r="K81" s="111" t="b">
        <f t="shared" si="2"/>
        <v>1</v>
      </c>
      <c r="L81" s="90"/>
      <c r="M81" s="111" t="s">
        <v>255</v>
      </c>
    </row>
    <row r="82" hidden="1">
      <c r="A82" s="105" t="s">
        <v>124</v>
      </c>
      <c r="B82" s="105" t="s">
        <v>314</v>
      </c>
      <c r="C82" s="106">
        <v>2.0</v>
      </c>
      <c r="D82" s="105"/>
      <c r="E82" s="105" t="s">
        <v>256</v>
      </c>
      <c r="F82" s="105" t="s">
        <v>318</v>
      </c>
      <c r="G82" s="107">
        <v>45706.0</v>
      </c>
      <c r="H82" s="108">
        <v>0.020833333333333332</v>
      </c>
      <c r="I82" s="109">
        <f t="shared" si="1"/>
        <v>0.5</v>
      </c>
      <c r="J82" s="111" t="b">
        <v>1</v>
      </c>
      <c r="K82" s="111" t="b">
        <f t="shared" si="2"/>
        <v>1</v>
      </c>
      <c r="L82" s="90"/>
      <c r="M82" s="111" t="s">
        <v>255</v>
      </c>
    </row>
    <row r="83" hidden="1">
      <c r="A83" s="105" t="s">
        <v>124</v>
      </c>
      <c r="B83" s="105" t="s">
        <v>314</v>
      </c>
      <c r="C83" s="106">
        <v>2.0</v>
      </c>
      <c r="D83" s="105"/>
      <c r="E83" s="105" t="s">
        <v>256</v>
      </c>
      <c r="F83" s="105" t="s">
        <v>317</v>
      </c>
      <c r="G83" s="107">
        <v>45709.0</v>
      </c>
      <c r="H83" s="108">
        <v>0.052083333333333336</v>
      </c>
      <c r="I83" s="109">
        <f t="shared" si="1"/>
        <v>1.25</v>
      </c>
      <c r="J83" s="111" t="b">
        <v>1</v>
      </c>
      <c r="K83" s="111" t="b">
        <f t="shared" si="2"/>
        <v>1</v>
      </c>
      <c r="L83" s="90"/>
      <c r="M83" s="111" t="s">
        <v>255</v>
      </c>
    </row>
    <row r="84" hidden="1">
      <c r="A84" s="105" t="s">
        <v>92</v>
      </c>
      <c r="B84" s="105" t="s">
        <v>319</v>
      </c>
      <c r="C84" s="106">
        <v>1.0</v>
      </c>
      <c r="D84" s="105"/>
      <c r="E84" s="105" t="s">
        <v>252</v>
      </c>
      <c r="F84" s="105" t="s">
        <v>320</v>
      </c>
      <c r="G84" s="107">
        <v>45663.0</v>
      </c>
      <c r="H84" s="108">
        <v>0.08333333333333333</v>
      </c>
      <c r="I84" s="109">
        <f t="shared" si="1"/>
        <v>2</v>
      </c>
      <c r="J84" s="111" t="b">
        <v>1</v>
      </c>
      <c r="K84" s="111" t="b">
        <f t="shared" si="2"/>
        <v>1</v>
      </c>
      <c r="L84" s="90"/>
      <c r="M84" s="111" t="s">
        <v>255</v>
      </c>
    </row>
    <row r="85" hidden="1">
      <c r="A85" s="105" t="s">
        <v>92</v>
      </c>
      <c r="B85" s="105" t="s">
        <v>319</v>
      </c>
      <c r="C85" s="106">
        <v>1.0</v>
      </c>
      <c r="D85" s="105"/>
      <c r="E85" s="105" t="s">
        <v>252</v>
      </c>
      <c r="F85" s="105" t="s">
        <v>320</v>
      </c>
      <c r="G85" s="107">
        <v>45664.0</v>
      </c>
      <c r="H85" s="108">
        <v>0.08333333333333333</v>
      </c>
      <c r="I85" s="109">
        <f t="shared" si="1"/>
        <v>2</v>
      </c>
      <c r="J85" s="111" t="b">
        <v>1</v>
      </c>
      <c r="K85" s="111" t="b">
        <f t="shared" si="2"/>
        <v>1</v>
      </c>
      <c r="L85" s="90"/>
      <c r="M85" s="111" t="s">
        <v>255</v>
      </c>
    </row>
    <row r="86" hidden="1">
      <c r="A86" s="105" t="s">
        <v>267</v>
      </c>
      <c r="B86" s="105" t="s">
        <v>319</v>
      </c>
      <c r="C86" s="106">
        <v>1.0</v>
      </c>
      <c r="D86" s="105"/>
      <c r="E86" s="105" t="s">
        <v>256</v>
      </c>
      <c r="F86" s="105" t="s">
        <v>321</v>
      </c>
      <c r="G86" s="107">
        <v>45665.0</v>
      </c>
      <c r="H86" s="108">
        <v>0.125</v>
      </c>
      <c r="I86" s="109">
        <f t="shared" si="1"/>
        <v>3</v>
      </c>
      <c r="J86" s="111" t="b">
        <v>0</v>
      </c>
      <c r="K86" s="111" t="b">
        <f t="shared" si="2"/>
        <v>1</v>
      </c>
      <c r="L86" s="90"/>
      <c r="M86" s="111" t="s">
        <v>255</v>
      </c>
    </row>
    <row r="87" hidden="1">
      <c r="A87" s="105" t="s">
        <v>322</v>
      </c>
      <c r="B87" s="105" t="s">
        <v>319</v>
      </c>
      <c r="C87" s="106">
        <v>1.0</v>
      </c>
      <c r="D87" s="105"/>
      <c r="E87" s="105" t="s">
        <v>252</v>
      </c>
      <c r="F87" s="105" t="s">
        <v>323</v>
      </c>
      <c r="G87" s="107">
        <v>45665.0</v>
      </c>
      <c r="H87" s="108">
        <v>0.041666666666666664</v>
      </c>
      <c r="I87" s="109">
        <f t="shared" si="1"/>
        <v>1</v>
      </c>
      <c r="J87" s="111" t="b">
        <v>0</v>
      </c>
      <c r="K87" s="111" t="b">
        <f t="shared" si="2"/>
        <v>1</v>
      </c>
      <c r="L87" s="90"/>
      <c r="M87" s="111" t="s">
        <v>255</v>
      </c>
    </row>
    <row r="88" hidden="1">
      <c r="A88" s="105" t="s">
        <v>239</v>
      </c>
      <c r="B88" s="105" t="s">
        <v>319</v>
      </c>
      <c r="C88" s="106">
        <v>1.0</v>
      </c>
      <c r="D88" s="105"/>
      <c r="E88" s="105" t="s">
        <v>256</v>
      </c>
      <c r="F88" s="105" t="s">
        <v>324</v>
      </c>
      <c r="G88" s="107">
        <v>45665.0</v>
      </c>
      <c r="H88" s="108">
        <v>0.041666666666666664</v>
      </c>
      <c r="I88" s="109">
        <f t="shared" si="1"/>
        <v>1</v>
      </c>
      <c r="J88" s="111" t="b">
        <v>0</v>
      </c>
      <c r="K88" s="111" t="b">
        <f t="shared" si="2"/>
        <v>1</v>
      </c>
      <c r="L88" s="90"/>
      <c r="M88" s="111" t="s">
        <v>255</v>
      </c>
    </row>
    <row r="89" hidden="1">
      <c r="A89" s="105" t="s">
        <v>267</v>
      </c>
      <c r="B89" s="105" t="s">
        <v>319</v>
      </c>
      <c r="C89" s="106">
        <v>1.0</v>
      </c>
      <c r="D89" s="105"/>
      <c r="E89" s="105" t="s">
        <v>256</v>
      </c>
      <c r="F89" s="105" t="s">
        <v>321</v>
      </c>
      <c r="G89" s="107">
        <v>45671.0</v>
      </c>
      <c r="H89" s="108">
        <v>0.125</v>
      </c>
      <c r="I89" s="109">
        <f t="shared" si="1"/>
        <v>3</v>
      </c>
      <c r="J89" s="111" t="b">
        <v>0</v>
      </c>
      <c r="K89" s="111" t="b">
        <f t="shared" si="2"/>
        <v>1</v>
      </c>
      <c r="L89" s="90"/>
      <c r="M89" s="111" t="s">
        <v>255</v>
      </c>
    </row>
    <row r="90" hidden="1">
      <c r="A90" s="105" t="s">
        <v>150</v>
      </c>
      <c r="B90" s="105" t="s">
        <v>319</v>
      </c>
      <c r="C90" s="106">
        <v>1.0</v>
      </c>
      <c r="D90" s="105"/>
      <c r="E90" s="105" t="s">
        <v>252</v>
      </c>
      <c r="F90" s="105" t="s">
        <v>325</v>
      </c>
      <c r="G90" s="107">
        <v>45671.0</v>
      </c>
      <c r="H90" s="108">
        <v>0.20833333333333334</v>
      </c>
      <c r="I90" s="109">
        <f t="shared" si="1"/>
        <v>5</v>
      </c>
      <c r="J90" s="111" t="b">
        <v>0</v>
      </c>
      <c r="K90" s="111" t="b">
        <f t="shared" si="2"/>
        <v>1</v>
      </c>
      <c r="L90" s="90"/>
      <c r="M90" s="111" t="s">
        <v>255</v>
      </c>
    </row>
    <row r="91" hidden="1">
      <c r="A91" s="105" t="s">
        <v>165</v>
      </c>
      <c r="B91" s="105" t="s">
        <v>319</v>
      </c>
      <c r="C91" s="106">
        <v>1.0</v>
      </c>
      <c r="D91" s="105"/>
      <c r="E91" s="105" t="s">
        <v>252</v>
      </c>
      <c r="F91" s="105" t="s">
        <v>326</v>
      </c>
      <c r="G91" s="107">
        <v>45674.0</v>
      </c>
      <c r="H91" s="108">
        <v>0.2916666666666667</v>
      </c>
      <c r="I91" s="109">
        <f t="shared" si="1"/>
        <v>7</v>
      </c>
      <c r="J91" s="111" t="b">
        <v>0</v>
      </c>
      <c r="K91" s="111" t="b">
        <f t="shared" si="2"/>
        <v>1</v>
      </c>
      <c r="L91" s="90"/>
      <c r="M91" s="111" t="s">
        <v>255</v>
      </c>
    </row>
    <row r="92" hidden="1">
      <c r="A92" s="105" t="s">
        <v>267</v>
      </c>
      <c r="B92" s="105" t="s">
        <v>319</v>
      </c>
      <c r="C92" s="106">
        <v>1.0</v>
      </c>
      <c r="D92" s="105"/>
      <c r="E92" s="105" t="s">
        <v>256</v>
      </c>
      <c r="F92" s="105" t="s">
        <v>327</v>
      </c>
      <c r="G92" s="107">
        <v>45677.0</v>
      </c>
      <c r="H92" s="108">
        <v>0.2916666666666667</v>
      </c>
      <c r="I92" s="109">
        <f t="shared" si="1"/>
        <v>7</v>
      </c>
      <c r="J92" s="111" t="b">
        <v>0</v>
      </c>
      <c r="K92" s="111" t="b">
        <f t="shared" si="2"/>
        <v>1</v>
      </c>
      <c r="L92" s="90"/>
      <c r="M92" s="111" t="s">
        <v>255</v>
      </c>
    </row>
    <row r="93" hidden="1">
      <c r="A93" s="105" t="s">
        <v>209</v>
      </c>
      <c r="B93" s="105" t="s">
        <v>319</v>
      </c>
      <c r="C93" s="106">
        <v>1.0</v>
      </c>
      <c r="D93" s="105"/>
      <c r="E93" s="105" t="s">
        <v>256</v>
      </c>
      <c r="F93" s="105" t="s">
        <v>328</v>
      </c>
      <c r="G93" s="107">
        <v>45681.0</v>
      </c>
      <c r="H93" s="108">
        <v>0.08333333333333333</v>
      </c>
      <c r="I93" s="109">
        <f t="shared" si="1"/>
        <v>2</v>
      </c>
      <c r="J93" s="111" t="b">
        <v>1</v>
      </c>
      <c r="K93" s="111" t="b">
        <f t="shared" si="2"/>
        <v>1</v>
      </c>
      <c r="L93" s="90"/>
      <c r="M93" s="111" t="s">
        <v>255</v>
      </c>
    </row>
    <row r="94" hidden="1">
      <c r="A94" s="105" t="s">
        <v>92</v>
      </c>
      <c r="B94" s="105" t="s">
        <v>319</v>
      </c>
      <c r="C94" s="106">
        <v>1.0</v>
      </c>
      <c r="D94" s="105"/>
      <c r="E94" s="105" t="s">
        <v>252</v>
      </c>
      <c r="F94" s="105" t="s">
        <v>326</v>
      </c>
      <c r="G94" s="107">
        <v>45686.0</v>
      </c>
      <c r="H94" s="108">
        <v>0.125</v>
      </c>
      <c r="I94" s="109">
        <f t="shared" si="1"/>
        <v>3</v>
      </c>
      <c r="J94" s="111" t="b">
        <v>1</v>
      </c>
      <c r="K94" s="111" t="b">
        <f t="shared" si="2"/>
        <v>1</v>
      </c>
      <c r="L94" s="90"/>
      <c r="M94" s="111" t="s">
        <v>255</v>
      </c>
    </row>
    <row r="95" hidden="1">
      <c r="A95" s="105" t="s">
        <v>92</v>
      </c>
      <c r="B95" s="105" t="s">
        <v>319</v>
      </c>
      <c r="C95" s="106">
        <v>1.0</v>
      </c>
      <c r="D95" s="105"/>
      <c r="E95" s="105" t="s">
        <v>252</v>
      </c>
      <c r="F95" s="105" t="s">
        <v>329</v>
      </c>
      <c r="G95" s="107">
        <v>45688.0</v>
      </c>
      <c r="H95" s="108">
        <v>0.125</v>
      </c>
      <c r="I95" s="109">
        <f t="shared" si="1"/>
        <v>3</v>
      </c>
      <c r="J95" s="111" t="b">
        <v>1</v>
      </c>
      <c r="K95" s="111" t="b">
        <f t="shared" si="2"/>
        <v>1</v>
      </c>
      <c r="L95" s="90"/>
      <c r="M95" s="111" t="s">
        <v>255</v>
      </c>
    </row>
    <row r="96" hidden="1">
      <c r="A96" s="105" t="s">
        <v>209</v>
      </c>
      <c r="B96" s="105" t="s">
        <v>319</v>
      </c>
      <c r="C96" s="106">
        <v>2.0</v>
      </c>
      <c r="D96" s="105"/>
      <c r="E96" s="105" t="s">
        <v>252</v>
      </c>
      <c r="F96" s="105" t="s">
        <v>330</v>
      </c>
      <c r="G96" s="107">
        <v>45691.0</v>
      </c>
      <c r="H96" s="108">
        <v>0.125</v>
      </c>
      <c r="I96" s="109">
        <f t="shared" si="1"/>
        <v>3</v>
      </c>
      <c r="J96" s="111" t="b">
        <v>1</v>
      </c>
      <c r="K96" s="111" t="b">
        <f t="shared" si="2"/>
        <v>1</v>
      </c>
      <c r="L96" s="90"/>
      <c r="M96" s="111" t="s">
        <v>255</v>
      </c>
    </row>
    <row r="97" hidden="1">
      <c r="A97" s="105" t="s">
        <v>267</v>
      </c>
      <c r="B97" s="105" t="s">
        <v>319</v>
      </c>
      <c r="C97" s="106">
        <v>2.0</v>
      </c>
      <c r="D97" s="105"/>
      <c r="E97" s="105" t="s">
        <v>256</v>
      </c>
      <c r="F97" s="105" t="s">
        <v>331</v>
      </c>
      <c r="G97" s="107">
        <v>45693.0</v>
      </c>
      <c r="H97" s="108">
        <v>0.125</v>
      </c>
      <c r="I97" s="109">
        <f t="shared" si="1"/>
        <v>3</v>
      </c>
      <c r="J97" s="111" t="b">
        <v>0</v>
      </c>
      <c r="K97" s="111" t="b">
        <f t="shared" si="2"/>
        <v>1</v>
      </c>
      <c r="L97" s="90"/>
      <c r="M97" s="111" t="s">
        <v>255</v>
      </c>
    </row>
    <row r="98" hidden="1">
      <c r="A98" s="105" t="s">
        <v>165</v>
      </c>
      <c r="B98" s="105" t="s">
        <v>319</v>
      </c>
      <c r="C98" s="106">
        <v>2.0</v>
      </c>
      <c r="D98" s="105"/>
      <c r="E98" s="105" t="s">
        <v>252</v>
      </c>
      <c r="F98" s="105" t="s">
        <v>326</v>
      </c>
      <c r="G98" s="107">
        <v>45698.0</v>
      </c>
      <c r="H98" s="108">
        <v>0.16666666666666666</v>
      </c>
      <c r="I98" s="109">
        <f t="shared" si="1"/>
        <v>4</v>
      </c>
      <c r="J98" s="111" t="b">
        <v>0</v>
      </c>
      <c r="K98" s="111" t="b">
        <f t="shared" si="2"/>
        <v>1</v>
      </c>
      <c r="L98" s="90"/>
      <c r="M98" s="111" t="s">
        <v>255</v>
      </c>
    </row>
    <row r="99" hidden="1">
      <c r="A99" s="105" t="s">
        <v>165</v>
      </c>
      <c r="B99" s="105" t="s">
        <v>319</v>
      </c>
      <c r="C99" s="106">
        <v>2.0</v>
      </c>
      <c r="D99" s="105"/>
      <c r="E99" s="105" t="s">
        <v>252</v>
      </c>
      <c r="F99" s="105" t="s">
        <v>332</v>
      </c>
      <c r="G99" s="107">
        <v>45707.0</v>
      </c>
      <c r="H99" s="108">
        <v>0.25</v>
      </c>
      <c r="I99" s="109">
        <f t="shared" si="1"/>
        <v>6</v>
      </c>
      <c r="J99" s="111" t="b">
        <v>0</v>
      </c>
      <c r="K99" s="111" t="b">
        <f t="shared" si="2"/>
        <v>1</v>
      </c>
      <c r="L99" s="90"/>
      <c r="M99" s="111" t="s">
        <v>255</v>
      </c>
    </row>
    <row r="100" hidden="1">
      <c r="A100" s="105" t="s">
        <v>92</v>
      </c>
      <c r="B100" s="105" t="s">
        <v>319</v>
      </c>
      <c r="C100" s="106">
        <v>2.0</v>
      </c>
      <c r="D100" s="105"/>
      <c r="E100" s="105" t="s">
        <v>252</v>
      </c>
      <c r="F100" s="105" t="s">
        <v>326</v>
      </c>
      <c r="G100" s="107">
        <v>45708.0</v>
      </c>
      <c r="H100" s="108">
        <v>0.08333333333333333</v>
      </c>
      <c r="I100" s="109">
        <f t="shared" si="1"/>
        <v>2</v>
      </c>
      <c r="J100" s="111" t="b">
        <v>1</v>
      </c>
      <c r="K100" s="111" t="b">
        <f t="shared" si="2"/>
        <v>1</v>
      </c>
      <c r="L100" s="90"/>
      <c r="M100" s="111" t="s">
        <v>255</v>
      </c>
    </row>
    <row r="101" hidden="1">
      <c r="A101" s="105" t="s">
        <v>150</v>
      </c>
      <c r="B101" s="105" t="s">
        <v>319</v>
      </c>
      <c r="C101" s="106">
        <v>2.0</v>
      </c>
      <c r="D101" s="105"/>
      <c r="E101" s="105" t="s">
        <v>252</v>
      </c>
      <c r="F101" s="105" t="s">
        <v>333</v>
      </c>
      <c r="G101" s="107">
        <v>45709.0</v>
      </c>
      <c r="H101" s="108">
        <v>0.041666666666666664</v>
      </c>
      <c r="I101" s="109">
        <f t="shared" si="1"/>
        <v>1</v>
      </c>
      <c r="J101" s="111" t="b">
        <v>0</v>
      </c>
      <c r="K101" s="111" t="b">
        <f t="shared" si="2"/>
        <v>1</v>
      </c>
      <c r="L101" s="90"/>
      <c r="M101" s="111" t="s">
        <v>255</v>
      </c>
    </row>
    <row r="102" hidden="1">
      <c r="A102" s="105" t="s">
        <v>233</v>
      </c>
      <c r="B102" s="105" t="s">
        <v>319</v>
      </c>
      <c r="C102" s="106">
        <v>2.0</v>
      </c>
      <c r="D102" s="105"/>
      <c r="E102" s="105" t="s">
        <v>252</v>
      </c>
      <c r="F102" s="105" t="s">
        <v>334</v>
      </c>
      <c r="G102" s="107">
        <v>45712.0</v>
      </c>
      <c r="H102" s="108">
        <v>0.20833333333333334</v>
      </c>
      <c r="I102" s="109">
        <f t="shared" si="1"/>
        <v>5</v>
      </c>
      <c r="J102" s="111" t="b">
        <v>0</v>
      </c>
      <c r="K102" s="111" t="b">
        <f t="shared" si="2"/>
        <v>1</v>
      </c>
      <c r="L102" s="90"/>
      <c r="M102" s="111" t="s">
        <v>255</v>
      </c>
    </row>
    <row r="103" hidden="1">
      <c r="A103" s="105" t="s">
        <v>233</v>
      </c>
      <c r="B103" s="105" t="s">
        <v>319</v>
      </c>
      <c r="C103" s="106">
        <v>2.0</v>
      </c>
      <c r="D103" s="105"/>
      <c r="E103" s="105" t="s">
        <v>252</v>
      </c>
      <c r="F103" s="105" t="s">
        <v>334</v>
      </c>
      <c r="G103" s="107">
        <v>45713.0</v>
      </c>
      <c r="H103" s="108">
        <v>0.08333333333333333</v>
      </c>
      <c r="I103" s="109">
        <f t="shared" si="1"/>
        <v>2</v>
      </c>
      <c r="J103" s="111" t="b">
        <v>0</v>
      </c>
      <c r="K103" s="111" t="b">
        <f t="shared" si="2"/>
        <v>1</v>
      </c>
      <c r="L103" s="90"/>
      <c r="M103" s="111" t="s">
        <v>255</v>
      </c>
    </row>
    <row r="104" hidden="1">
      <c r="A104" s="105" t="s">
        <v>233</v>
      </c>
      <c r="B104" s="105" t="s">
        <v>319</v>
      </c>
      <c r="C104" s="106">
        <v>2.0</v>
      </c>
      <c r="D104" s="105"/>
      <c r="E104" s="105" t="s">
        <v>252</v>
      </c>
      <c r="F104" s="105" t="s">
        <v>335</v>
      </c>
      <c r="G104" s="107">
        <v>45714.0</v>
      </c>
      <c r="H104" s="108">
        <v>0.40625</v>
      </c>
      <c r="I104" s="109">
        <f t="shared" si="1"/>
        <v>9.75</v>
      </c>
      <c r="J104" s="111" t="b">
        <v>0</v>
      </c>
      <c r="K104" s="111" t="b">
        <f t="shared" si="2"/>
        <v>1</v>
      </c>
      <c r="L104" s="90"/>
      <c r="M104" s="111" t="s">
        <v>255</v>
      </c>
    </row>
    <row r="105" hidden="1">
      <c r="A105" s="105" t="s">
        <v>150</v>
      </c>
      <c r="B105" s="105" t="s">
        <v>319</v>
      </c>
      <c r="C105" s="106">
        <v>2.0</v>
      </c>
      <c r="D105" s="105"/>
      <c r="E105" s="105" t="s">
        <v>252</v>
      </c>
      <c r="F105" s="105" t="s">
        <v>336</v>
      </c>
      <c r="G105" s="107">
        <v>45715.0</v>
      </c>
      <c r="H105" s="108">
        <v>0.125</v>
      </c>
      <c r="I105" s="109">
        <f t="shared" si="1"/>
        <v>3</v>
      </c>
      <c r="J105" s="111" t="b">
        <v>0</v>
      </c>
      <c r="K105" s="111" t="b">
        <f t="shared" si="2"/>
        <v>1</v>
      </c>
      <c r="L105" s="90"/>
      <c r="M105" s="111" t="s">
        <v>255</v>
      </c>
    </row>
    <row r="106" hidden="1">
      <c r="A106" s="105" t="s">
        <v>233</v>
      </c>
      <c r="B106" s="105" t="s">
        <v>319</v>
      </c>
      <c r="C106" s="106">
        <v>2.0</v>
      </c>
      <c r="D106" s="105"/>
      <c r="E106" s="105" t="s">
        <v>252</v>
      </c>
      <c r="F106" s="105" t="s">
        <v>337</v>
      </c>
      <c r="G106" s="107">
        <v>45716.0</v>
      </c>
      <c r="H106" s="108">
        <v>0.08333333333333333</v>
      </c>
      <c r="I106" s="109">
        <f t="shared" si="1"/>
        <v>2</v>
      </c>
      <c r="J106" s="111" t="b">
        <v>0</v>
      </c>
      <c r="K106" s="111" t="b">
        <f t="shared" si="2"/>
        <v>1</v>
      </c>
      <c r="L106" s="90"/>
      <c r="M106" s="111" t="s">
        <v>255</v>
      </c>
    </row>
    <row r="107" hidden="1">
      <c r="A107" s="105" t="s">
        <v>150</v>
      </c>
      <c r="B107" s="105" t="s">
        <v>319</v>
      </c>
      <c r="C107" s="106">
        <v>3.0</v>
      </c>
      <c r="D107" s="105"/>
      <c r="E107" s="105" t="s">
        <v>252</v>
      </c>
      <c r="F107" s="105" t="s">
        <v>338</v>
      </c>
      <c r="G107" s="107">
        <v>45721.0</v>
      </c>
      <c r="H107" s="108">
        <v>0.08333333333333333</v>
      </c>
      <c r="I107" s="109">
        <f t="shared" si="1"/>
        <v>2</v>
      </c>
      <c r="J107" s="111" t="b">
        <v>0</v>
      </c>
      <c r="K107" s="111" t="b">
        <f t="shared" si="2"/>
        <v>1</v>
      </c>
      <c r="L107" s="90"/>
      <c r="M107" s="111" t="s">
        <v>255</v>
      </c>
    </row>
    <row r="108" hidden="1">
      <c r="A108" s="105" t="s">
        <v>92</v>
      </c>
      <c r="B108" s="105" t="s">
        <v>319</v>
      </c>
      <c r="C108" s="106">
        <v>3.0</v>
      </c>
      <c r="D108" s="105"/>
      <c r="E108" s="105" t="s">
        <v>252</v>
      </c>
      <c r="F108" s="105" t="s">
        <v>326</v>
      </c>
      <c r="G108" s="107">
        <v>45722.0</v>
      </c>
      <c r="H108" s="108">
        <v>0.2916666666666667</v>
      </c>
      <c r="I108" s="109">
        <f t="shared" si="1"/>
        <v>7</v>
      </c>
      <c r="J108" s="111" t="b">
        <v>1</v>
      </c>
      <c r="K108" s="111" t="b">
        <f t="shared" si="2"/>
        <v>1</v>
      </c>
      <c r="L108" s="90"/>
      <c r="M108" s="111" t="s">
        <v>255</v>
      </c>
    </row>
    <row r="109" hidden="1">
      <c r="A109" s="105" t="s">
        <v>150</v>
      </c>
      <c r="B109" s="105" t="s">
        <v>319</v>
      </c>
      <c r="C109" s="106">
        <v>3.0</v>
      </c>
      <c r="D109" s="105"/>
      <c r="E109" s="105" t="s">
        <v>252</v>
      </c>
      <c r="F109" s="105" t="s">
        <v>339</v>
      </c>
      <c r="G109" s="107">
        <v>45723.0</v>
      </c>
      <c r="H109" s="108">
        <v>0.0625</v>
      </c>
      <c r="I109" s="109">
        <f t="shared" si="1"/>
        <v>1.5</v>
      </c>
      <c r="J109" s="111" t="b">
        <v>0</v>
      </c>
      <c r="K109" s="111" t="b">
        <f t="shared" si="2"/>
        <v>1</v>
      </c>
      <c r="L109" s="90"/>
      <c r="M109" s="111" t="s">
        <v>255</v>
      </c>
    </row>
    <row r="110" hidden="1">
      <c r="A110" s="105" t="s">
        <v>322</v>
      </c>
      <c r="B110" s="105" t="s">
        <v>319</v>
      </c>
      <c r="C110" s="106">
        <v>3.0</v>
      </c>
      <c r="D110" s="105"/>
      <c r="E110" s="105" t="s">
        <v>252</v>
      </c>
      <c r="F110" s="105" t="s">
        <v>340</v>
      </c>
      <c r="G110" s="107">
        <v>45723.0</v>
      </c>
      <c r="H110" s="108">
        <v>0.08333333333333333</v>
      </c>
      <c r="I110" s="109">
        <f t="shared" si="1"/>
        <v>2</v>
      </c>
      <c r="J110" s="111" t="b">
        <v>0</v>
      </c>
      <c r="K110" s="111" t="b">
        <f t="shared" si="2"/>
        <v>1</v>
      </c>
      <c r="L110" s="90"/>
      <c r="M110" s="111" t="s">
        <v>255</v>
      </c>
    </row>
    <row r="111" hidden="1">
      <c r="A111" s="105" t="s">
        <v>165</v>
      </c>
      <c r="B111" s="105" t="s">
        <v>319</v>
      </c>
      <c r="C111" s="106">
        <v>3.0</v>
      </c>
      <c r="D111" s="105"/>
      <c r="E111" s="105" t="s">
        <v>252</v>
      </c>
      <c r="F111" s="105" t="s">
        <v>326</v>
      </c>
      <c r="G111" s="107">
        <v>45727.0</v>
      </c>
      <c r="H111" s="108">
        <v>0.08333333333333333</v>
      </c>
      <c r="I111" s="109">
        <f t="shared" si="1"/>
        <v>2</v>
      </c>
      <c r="J111" s="111" t="b">
        <v>0</v>
      </c>
      <c r="K111" s="111" t="b">
        <f t="shared" si="2"/>
        <v>1</v>
      </c>
      <c r="L111" s="90"/>
      <c r="M111" s="111" t="s">
        <v>255</v>
      </c>
    </row>
    <row r="112" hidden="1">
      <c r="A112" s="105" t="s">
        <v>150</v>
      </c>
      <c r="B112" s="105" t="s">
        <v>319</v>
      </c>
      <c r="C112" s="106">
        <v>3.0</v>
      </c>
      <c r="D112" s="105"/>
      <c r="E112" s="105" t="s">
        <v>252</v>
      </c>
      <c r="F112" s="105" t="s">
        <v>341</v>
      </c>
      <c r="G112" s="107">
        <v>45728.0</v>
      </c>
      <c r="H112" s="108">
        <v>0.041666666666666664</v>
      </c>
      <c r="I112" s="109">
        <f t="shared" si="1"/>
        <v>1</v>
      </c>
      <c r="J112" s="111" t="b">
        <v>0</v>
      </c>
      <c r="K112" s="111" t="b">
        <f t="shared" si="2"/>
        <v>1</v>
      </c>
      <c r="L112" s="90"/>
      <c r="M112" s="111" t="s">
        <v>255</v>
      </c>
    </row>
    <row r="113" hidden="1">
      <c r="A113" s="105" t="s">
        <v>150</v>
      </c>
      <c r="B113" s="105" t="s">
        <v>319</v>
      </c>
      <c r="C113" s="106">
        <v>3.0</v>
      </c>
      <c r="D113" s="105"/>
      <c r="E113" s="105" t="s">
        <v>252</v>
      </c>
      <c r="F113" s="105" t="s">
        <v>341</v>
      </c>
      <c r="G113" s="107">
        <v>45728.0</v>
      </c>
      <c r="H113" s="108">
        <v>0.041666666666666664</v>
      </c>
      <c r="I113" s="109">
        <f t="shared" si="1"/>
        <v>1</v>
      </c>
      <c r="J113" s="111" t="b">
        <v>0</v>
      </c>
      <c r="K113" s="111" t="b">
        <f t="shared" si="2"/>
        <v>1</v>
      </c>
      <c r="L113" s="90"/>
      <c r="M113" s="111" t="s">
        <v>255</v>
      </c>
    </row>
    <row r="114" hidden="1">
      <c r="A114" s="105" t="s">
        <v>150</v>
      </c>
      <c r="B114" s="105" t="s">
        <v>319</v>
      </c>
      <c r="C114" s="106">
        <v>3.0</v>
      </c>
      <c r="D114" s="105"/>
      <c r="E114" s="105" t="s">
        <v>252</v>
      </c>
      <c r="F114" s="105" t="s">
        <v>342</v>
      </c>
      <c r="G114" s="107">
        <v>45729.0</v>
      </c>
      <c r="H114" s="108">
        <v>0.08333333333333333</v>
      </c>
      <c r="I114" s="109">
        <f t="shared" si="1"/>
        <v>2</v>
      </c>
      <c r="J114" s="111" t="b">
        <v>0</v>
      </c>
      <c r="K114" s="111" t="b">
        <f t="shared" si="2"/>
        <v>1</v>
      </c>
      <c r="L114" s="90"/>
      <c r="M114" s="111" t="s">
        <v>255</v>
      </c>
    </row>
    <row r="115" hidden="1">
      <c r="A115" s="105" t="s">
        <v>322</v>
      </c>
      <c r="B115" s="105" t="s">
        <v>319</v>
      </c>
      <c r="C115" s="106">
        <v>3.0</v>
      </c>
      <c r="D115" s="105"/>
      <c r="E115" s="105" t="s">
        <v>252</v>
      </c>
      <c r="F115" s="105" t="s">
        <v>343</v>
      </c>
      <c r="G115" s="107">
        <v>45729.0</v>
      </c>
      <c r="H115" s="108">
        <v>0.16666666666666666</v>
      </c>
      <c r="I115" s="109">
        <f t="shared" si="1"/>
        <v>4</v>
      </c>
      <c r="J115" s="111" t="b">
        <v>0</v>
      </c>
      <c r="K115" s="111" t="b">
        <f t="shared" si="2"/>
        <v>1</v>
      </c>
      <c r="L115" s="90"/>
      <c r="M115" s="111" t="s">
        <v>255</v>
      </c>
    </row>
    <row r="116" hidden="1">
      <c r="A116" s="105" t="s">
        <v>92</v>
      </c>
      <c r="B116" s="105" t="s">
        <v>319</v>
      </c>
      <c r="C116" s="106">
        <v>3.0</v>
      </c>
      <c r="D116" s="105"/>
      <c r="E116" s="105" t="s">
        <v>252</v>
      </c>
      <c r="F116" s="105" t="s">
        <v>326</v>
      </c>
      <c r="G116" s="107">
        <v>45730.0</v>
      </c>
      <c r="H116" s="108">
        <v>0.041666666666666664</v>
      </c>
      <c r="I116" s="109">
        <f t="shared" si="1"/>
        <v>1</v>
      </c>
      <c r="J116" s="111" t="b">
        <v>1</v>
      </c>
      <c r="K116" s="111" t="b">
        <f t="shared" si="2"/>
        <v>1</v>
      </c>
      <c r="L116" s="90"/>
      <c r="M116" s="111" t="s">
        <v>255</v>
      </c>
    </row>
    <row r="117" hidden="1">
      <c r="A117" s="105" t="s">
        <v>322</v>
      </c>
      <c r="B117" s="105" t="s">
        <v>319</v>
      </c>
      <c r="C117" s="106">
        <v>3.0</v>
      </c>
      <c r="D117" s="105"/>
      <c r="E117" s="105" t="s">
        <v>252</v>
      </c>
      <c r="F117" s="105" t="s">
        <v>344</v>
      </c>
      <c r="G117" s="107">
        <v>45735.0</v>
      </c>
      <c r="H117" s="108">
        <v>0.08333333333333333</v>
      </c>
      <c r="I117" s="109">
        <f t="shared" si="1"/>
        <v>2</v>
      </c>
      <c r="J117" s="111" t="b">
        <v>0</v>
      </c>
      <c r="K117" s="111" t="b">
        <f t="shared" si="2"/>
        <v>1</v>
      </c>
      <c r="L117" s="90"/>
      <c r="M117" s="111" t="s">
        <v>255</v>
      </c>
    </row>
    <row r="118" hidden="1">
      <c r="A118" s="105" t="s">
        <v>92</v>
      </c>
      <c r="B118" s="105" t="s">
        <v>319</v>
      </c>
      <c r="C118" s="106">
        <v>3.0</v>
      </c>
      <c r="D118" s="105"/>
      <c r="E118" s="105" t="s">
        <v>252</v>
      </c>
      <c r="F118" s="105" t="s">
        <v>345</v>
      </c>
      <c r="G118" s="107">
        <v>45736.0</v>
      </c>
      <c r="H118" s="108">
        <v>0.20833333333333334</v>
      </c>
      <c r="I118" s="109">
        <f t="shared" si="1"/>
        <v>5</v>
      </c>
      <c r="J118" s="111" t="b">
        <v>1</v>
      </c>
      <c r="K118" s="111" t="b">
        <f t="shared" si="2"/>
        <v>1</v>
      </c>
      <c r="L118" s="90"/>
      <c r="M118" s="111" t="s">
        <v>255</v>
      </c>
    </row>
    <row r="119" hidden="1">
      <c r="A119" s="105" t="s">
        <v>165</v>
      </c>
      <c r="B119" s="105" t="s">
        <v>319</v>
      </c>
      <c r="C119" s="106">
        <v>3.0</v>
      </c>
      <c r="D119" s="105"/>
      <c r="E119" s="105" t="s">
        <v>252</v>
      </c>
      <c r="F119" s="105" t="s">
        <v>346</v>
      </c>
      <c r="G119" s="107">
        <v>45737.0</v>
      </c>
      <c r="H119" s="108">
        <v>0.041666666666666664</v>
      </c>
      <c r="I119" s="109">
        <f t="shared" si="1"/>
        <v>1</v>
      </c>
      <c r="J119" s="111" t="b">
        <v>0</v>
      </c>
      <c r="K119" s="111" t="b">
        <f t="shared" si="2"/>
        <v>1</v>
      </c>
      <c r="L119" s="90"/>
      <c r="M119" s="111" t="s">
        <v>255</v>
      </c>
    </row>
    <row r="120" hidden="1">
      <c r="A120" s="105" t="s">
        <v>267</v>
      </c>
      <c r="B120" s="105" t="s">
        <v>319</v>
      </c>
      <c r="C120" s="106">
        <v>3.0</v>
      </c>
      <c r="D120" s="105"/>
      <c r="E120" s="105" t="s">
        <v>252</v>
      </c>
      <c r="F120" s="105" t="s">
        <v>347</v>
      </c>
      <c r="G120" s="107">
        <v>45740.0</v>
      </c>
      <c r="H120" s="108">
        <v>0.375</v>
      </c>
      <c r="I120" s="109">
        <f t="shared" si="1"/>
        <v>9</v>
      </c>
      <c r="J120" s="111" t="b">
        <v>0</v>
      </c>
      <c r="K120" s="111" t="b">
        <f t="shared" si="2"/>
        <v>1</v>
      </c>
      <c r="L120" s="90"/>
      <c r="M120" s="111" t="s">
        <v>255</v>
      </c>
    </row>
    <row r="121" hidden="1">
      <c r="A121" s="105" t="s">
        <v>165</v>
      </c>
      <c r="B121" s="105" t="s">
        <v>319</v>
      </c>
      <c r="C121" s="106">
        <v>3.0</v>
      </c>
      <c r="D121" s="105"/>
      <c r="E121" s="105" t="s">
        <v>252</v>
      </c>
      <c r="F121" s="105" t="s">
        <v>346</v>
      </c>
      <c r="G121" s="107">
        <v>45741.0</v>
      </c>
      <c r="H121" s="108">
        <v>0.041666666666666664</v>
      </c>
      <c r="I121" s="109">
        <f t="shared" si="1"/>
        <v>1</v>
      </c>
      <c r="J121" s="111" t="b">
        <v>0</v>
      </c>
      <c r="K121" s="111" t="b">
        <f t="shared" si="2"/>
        <v>1</v>
      </c>
      <c r="L121" s="90"/>
      <c r="M121" s="111" t="s">
        <v>255</v>
      </c>
    </row>
    <row r="122" hidden="1">
      <c r="A122" s="105" t="s">
        <v>322</v>
      </c>
      <c r="B122" s="105" t="s">
        <v>319</v>
      </c>
      <c r="C122" s="106">
        <v>3.0</v>
      </c>
      <c r="D122" s="105"/>
      <c r="E122" s="105" t="s">
        <v>252</v>
      </c>
      <c r="F122" s="105" t="s">
        <v>348</v>
      </c>
      <c r="G122" s="107">
        <v>45741.0</v>
      </c>
      <c r="H122" s="108">
        <v>0.125</v>
      </c>
      <c r="I122" s="109">
        <f t="shared" si="1"/>
        <v>3</v>
      </c>
      <c r="J122" s="111" t="b">
        <v>0</v>
      </c>
      <c r="K122" s="111" t="b">
        <f t="shared" si="2"/>
        <v>1</v>
      </c>
      <c r="L122" s="90"/>
      <c r="M122" s="111" t="s">
        <v>255</v>
      </c>
    </row>
    <row r="123" hidden="1">
      <c r="A123" s="105" t="s">
        <v>267</v>
      </c>
      <c r="B123" s="105" t="s">
        <v>319</v>
      </c>
      <c r="C123" s="106">
        <v>3.0</v>
      </c>
      <c r="D123" s="105"/>
      <c r="E123" s="105" t="s">
        <v>252</v>
      </c>
      <c r="F123" s="105" t="s">
        <v>347</v>
      </c>
      <c r="G123" s="107">
        <v>45742.0</v>
      </c>
      <c r="H123" s="108">
        <v>0.375</v>
      </c>
      <c r="I123" s="109">
        <f t="shared" si="1"/>
        <v>9</v>
      </c>
      <c r="J123" s="111" t="b">
        <v>0</v>
      </c>
      <c r="K123" s="111" t="b">
        <f t="shared" si="2"/>
        <v>1</v>
      </c>
      <c r="L123" s="90"/>
      <c r="M123" s="111" t="s">
        <v>255</v>
      </c>
    </row>
    <row r="124" hidden="1">
      <c r="A124" s="105" t="s">
        <v>92</v>
      </c>
      <c r="B124" s="105" t="s">
        <v>319</v>
      </c>
      <c r="C124" s="106">
        <v>3.0</v>
      </c>
      <c r="D124" s="105"/>
      <c r="E124" s="105" t="s">
        <v>252</v>
      </c>
      <c r="F124" s="105" t="s">
        <v>326</v>
      </c>
      <c r="G124" s="107">
        <v>45743.0</v>
      </c>
      <c r="H124" s="108">
        <v>0.08333333333333333</v>
      </c>
      <c r="I124" s="109">
        <f t="shared" si="1"/>
        <v>2</v>
      </c>
      <c r="J124" s="111" t="b">
        <v>1</v>
      </c>
      <c r="K124" s="111" t="b">
        <f t="shared" si="2"/>
        <v>1</v>
      </c>
      <c r="L124" s="90"/>
      <c r="M124" s="111" t="s">
        <v>255</v>
      </c>
    </row>
    <row r="125" hidden="1">
      <c r="A125" s="105" t="s">
        <v>322</v>
      </c>
      <c r="B125" s="105" t="s">
        <v>319</v>
      </c>
      <c r="C125" s="106">
        <v>3.0</v>
      </c>
      <c r="D125" s="105"/>
      <c r="E125" s="105" t="s">
        <v>252</v>
      </c>
      <c r="F125" s="105" t="s">
        <v>349</v>
      </c>
      <c r="G125" s="107">
        <v>45744.0</v>
      </c>
      <c r="H125" s="108">
        <v>0.375</v>
      </c>
      <c r="I125" s="109">
        <f t="shared" si="1"/>
        <v>9</v>
      </c>
      <c r="J125" s="111" t="b">
        <v>0</v>
      </c>
      <c r="K125" s="111" t="b">
        <f t="shared" si="2"/>
        <v>1</v>
      </c>
      <c r="L125" s="90"/>
      <c r="M125" s="111" t="s">
        <v>255</v>
      </c>
    </row>
    <row r="126">
      <c r="A126" s="105" t="s">
        <v>92</v>
      </c>
      <c r="B126" s="105" t="s">
        <v>251</v>
      </c>
      <c r="C126" s="106">
        <v>4.0</v>
      </c>
      <c r="D126" s="105"/>
      <c r="E126" s="105" t="s">
        <v>256</v>
      </c>
      <c r="F126" s="105" t="s">
        <v>350</v>
      </c>
      <c r="G126" s="107">
        <v>45748.0</v>
      </c>
      <c r="H126" s="108">
        <v>0.4583333333333333</v>
      </c>
      <c r="I126" s="109">
        <f t="shared" si="1"/>
        <v>11</v>
      </c>
      <c r="J126" s="111" t="b">
        <v>1</v>
      </c>
      <c r="K126" s="111" t="b">
        <f t="shared" si="2"/>
        <v>1</v>
      </c>
      <c r="L126" s="90"/>
      <c r="M126" s="111" t="s">
        <v>255</v>
      </c>
    </row>
    <row r="127">
      <c r="A127" s="105" t="s">
        <v>92</v>
      </c>
      <c r="B127" s="105" t="s">
        <v>251</v>
      </c>
      <c r="C127" s="106">
        <v>4.0</v>
      </c>
      <c r="D127" s="105"/>
      <c r="E127" s="105" t="s">
        <v>256</v>
      </c>
      <c r="F127" s="105" t="s">
        <v>350</v>
      </c>
      <c r="G127" s="107">
        <v>45749.0</v>
      </c>
      <c r="H127" s="108">
        <v>0.4583333333333333</v>
      </c>
      <c r="I127" s="109">
        <f t="shared" si="1"/>
        <v>11</v>
      </c>
      <c r="J127" s="111" t="b">
        <v>1</v>
      </c>
      <c r="K127" s="111" t="b">
        <f t="shared" si="2"/>
        <v>1</v>
      </c>
      <c r="L127" s="90"/>
      <c r="M127" s="111" t="s">
        <v>255</v>
      </c>
    </row>
    <row r="128" hidden="1">
      <c r="A128" s="105" t="s">
        <v>92</v>
      </c>
      <c r="B128" s="105" t="s">
        <v>251</v>
      </c>
      <c r="C128" s="106">
        <v>4.0</v>
      </c>
      <c r="D128" s="105"/>
      <c r="E128" s="105" t="s">
        <v>271</v>
      </c>
      <c r="F128" s="105" t="s">
        <v>351</v>
      </c>
      <c r="G128" s="107">
        <v>45750.0</v>
      </c>
      <c r="H128" s="108">
        <v>0.28125</v>
      </c>
      <c r="I128" s="109">
        <f t="shared" si="1"/>
        <v>6.75</v>
      </c>
      <c r="J128" s="111" t="b">
        <v>1</v>
      </c>
      <c r="K128" s="111" t="b">
        <f t="shared" si="2"/>
        <v>0</v>
      </c>
      <c r="L128" s="90"/>
      <c r="M128" s="111" t="s">
        <v>255</v>
      </c>
    </row>
    <row r="129" hidden="1">
      <c r="A129" s="105" t="s">
        <v>258</v>
      </c>
      <c r="B129" s="105" t="s">
        <v>251</v>
      </c>
      <c r="C129" s="106">
        <v>4.0</v>
      </c>
      <c r="D129" s="105"/>
      <c r="E129" s="105" t="s">
        <v>256</v>
      </c>
      <c r="F129" s="105" t="s">
        <v>352</v>
      </c>
      <c r="G129" s="107">
        <v>45750.0</v>
      </c>
      <c r="H129" s="108">
        <v>0.041666666666666664</v>
      </c>
      <c r="I129" s="109">
        <f t="shared" si="1"/>
        <v>1</v>
      </c>
      <c r="J129" s="111" t="b">
        <v>0</v>
      </c>
      <c r="K129" s="111" t="b">
        <f t="shared" si="2"/>
        <v>1</v>
      </c>
      <c r="L129" s="90"/>
      <c r="M129" s="111" t="s">
        <v>255</v>
      </c>
    </row>
    <row r="130" hidden="1">
      <c r="A130" s="105" t="s">
        <v>258</v>
      </c>
      <c r="B130" s="105" t="s">
        <v>251</v>
      </c>
      <c r="C130" s="106">
        <v>4.0</v>
      </c>
      <c r="D130" s="105"/>
      <c r="E130" s="105" t="s">
        <v>256</v>
      </c>
      <c r="F130" s="105" t="s">
        <v>353</v>
      </c>
      <c r="G130" s="107">
        <v>45751.0</v>
      </c>
      <c r="H130" s="108">
        <v>0.052083333333333336</v>
      </c>
      <c r="I130" s="109">
        <f t="shared" si="1"/>
        <v>1.25</v>
      </c>
      <c r="J130" s="111" t="b">
        <v>0</v>
      </c>
      <c r="K130" s="111" t="b">
        <f t="shared" si="2"/>
        <v>1</v>
      </c>
      <c r="L130" s="90"/>
      <c r="M130" s="111" t="s">
        <v>255</v>
      </c>
    </row>
    <row r="131" hidden="1">
      <c r="A131" s="105" t="s">
        <v>260</v>
      </c>
      <c r="B131" s="105" t="s">
        <v>251</v>
      </c>
      <c r="C131" s="106">
        <v>4.0</v>
      </c>
      <c r="D131" s="105"/>
      <c r="E131" s="105" t="s">
        <v>271</v>
      </c>
      <c r="F131" s="105" t="s">
        <v>354</v>
      </c>
      <c r="G131" s="107">
        <v>45756.0</v>
      </c>
      <c r="H131" s="108">
        <v>0.013888888888888888</v>
      </c>
      <c r="I131" s="109">
        <f t="shared" si="1"/>
        <v>0.3333333333</v>
      </c>
      <c r="J131" s="111" t="b">
        <v>0</v>
      </c>
      <c r="K131" s="111" t="b">
        <f t="shared" si="2"/>
        <v>0</v>
      </c>
      <c r="L131" s="90"/>
      <c r="M131" s="111" t="s">
        <v>255</v>
      </c>
    </row>
    <row r="132" hidden="1">
      <c r="A132" s="105" t="s">
        <v>260</v>
      </c>
      <c r="B132" s="105" t="s">
        <v>251</v>
      </c>
      <c r="C132" s="106">
        <v>4.0</v>
      </c>
      <c r="D132" s="105"/>
      <c r="E132" s="105" t="s">
        <v>271</v>
      </c>
      <c r="F132" s="105" t="s">
        <v>355</v>
      </c>
      <c r="G132" s="107">
        <v>45757.0</v>
      </c>
      <c r="H132" s="108">
        <v>0.027777777777777776</v>
      </c>
      <c r="I132" s="109">
        <f t="shared" si="1"/>
        <v>0.6666666667</v>
      </c>
      <c r="J132" s="111" t="b">
        <v>0</v>
      </c>
      <c r="K132" s="111" t="b">
        <f t="shared" si="2"/>
        <v>0</v>
      </c>
      <c r="L132" s="90"/>
      <c r="M132" s="111" t="s">
        <v>255</v>
      </c>
    </row>
    <row r="133" hidden="1">
      <c r="A133" s="105" t="s">
        <v>92</v>
      </c>
      <c r="B133" s="105" t="s">
        <v>251</v>
      </c>
      <c r="C133" s="106">
        <v>4.0</v>
      </c>
      <c r="D133" s="105"/>
      <c r="E133" s="105" t="s">
        <v>271</v>
      </c>
      <c r="F133" s="105" t="s">
        <v>356</v>
      </c>
      <c r="G133" s="107">
        <v>45755.0</v>
      </c>
      <c r="H133" s="108">
        <v>0.013888888888888888</v>
      </c>
      <c r="I133" s="109">
        <f t="shared" si="1"/>
        <v>0.3333333333</v>
      </c>
      <c r="J133" s="111" t="b">
        <v>1</v>
      </c>
      <c r="K133" s="111" t="b">
        <f t="shared" si="2"/>
        <v>0</v>
      </c>
      <c r="L133" s="90"/>
      <c r="M133" s="111" t="s">
        <v>255</v>
      </c>
    </row>
    <row r="134" hidden="1">
      <c r="A134" s="105" t="s">
        <v>130</v>
      </c>
      <c r="B134" s="105" t="s">
        <v>251</v>
      </c>
      <c r="C134" s="106">
        <v>4.0</v>
      </c>
      <c r="D134" s="105"/>
      <c r="E134" s="105" t="s">
        <v>271</v>
      </c>
      <c r="F134" s="105" t="s">
        <v>357</v>
      </c>
      <c r="G134" s="107">
        <v>45757.0</v>
      </c>
      <c r="H134" s="108">
        <v>0.04861111111111111</v>
      </c>
      <c r="I134" s="109">
        <f t="shared" si="1"/>
        <v>1.166666667</v>
      </c>
      <c r="J134" s="111" t="b">
        <v>1</v>
      </c>
      <c r="K134" s="111" t="b">
        <f t="shared" si="2"/>
        <v>0</v>
      </c>
      <c r="L134" s="90"/>
      <c r="M134" s="111" t="s">
        <v>255</v>
      </c>
    </row>
    <row r="135" hidden="1">
      <c r="A135" s="105" t="s">
        <v>130</v>
      </c>
      <c r="B135" s="105" t="s">
        <v>251</v>
      </c>
      <c r="C135" s="106">
        <v>4.0</v>
      </c>
      <c r="D135" s="105"/>
      <c r="E135" s="105" t="s">
        <v>252</v>
      </c>
      <c r="F135" s="105" t="s">
        <v>358</v>
      </c>
      <c r="G135" s="107">
        <v>45757.0</v>
      </c>
      <c r="H135" s="108">
        <v>0.0625</v>
      </c>
      <c r="I135" s="109">
        <f t="shared" si="1"/>
        <v>1.5</v>
      </c>
      <c r="J135" s="111" t="b">
        <v>1</v>
      </c>
      <c r="K135" s="111" t="b">
        <f t="shared" si="2"/>
        <v>1</v>
      </c>
      <c r="L135" s="90"/>
      <c r="M135" s="111" t="s">
        <v>255</v>
      </c>
    </row>
    <row r="136" hidden="1">
      <c r="A136" s="105" t="s">
        <v>92</v>
      </c>
      <c r="B136" s="105" t="s">
        <v>251</v>
      </c>
      <c r="C136" s="106">
        <v>4.0</v>
      </c>
      <c r="D136" s="105"/>
      <c r="E136" s="105" t="s">
        <v>271</v>
      </c>
      <c r="F136" s="105" t="s">
        <v>356</v>
      </c>
      <c r="G136" s="107">
        <v>45758.0</v>
      </c>
      <c r="H136" s="108">
        <v>0.010416666666666666</v>
      </c>
      <c r="I136" s="109">
        <f t="shared" si="1"/>
        <v>0.25</v>
      </c>
      <c r="J136" s="111" t="b">
        <v>1</v>
      </c>
      <c r="K136" s="111" t="b">
        <f t="shared" si="2"/>
        <v>0</v>
      </c>
      <c r="L136" s="90"/>
      <c r="M136" s="111" t="s">
        <v>255</v>
      </c>
    </row>
    <row r="137" hidden="1">
      <c r="A137" s="105" t="s">
        <v>104</v>
      </c>
      <c r="B137" s="105" t="s">
        <v>251</v>
      </c>
      <c r="C137" s="106">
        <v>4.0</v>
      </c>
      <c r="D137" s="105"/>
      <c r="E137" s="105" t="s">
        <v>271</v>
      </c>
      <c r="F137" s="105" t="s">
        <v>359</v>
      </c>
      <c r="G137" s="107">
        <v>45751.0</v>
      </c>
      <c r="H137" s="108">
        <v>0.020833333333333332</v>
      </c>
      <c r="I137" s="109">
        <f t="shared" si="1"/>
        <v>0.5</v>
      </c>
      <c r="J137" s="111" t="b">
        <v>1</v>
      </c>
      <c r="K137" s="111" t="b">
        <f t="shared" si="2"/>
        <v>0</v>
      </c>
      <c r="L137" s="90"/>
      <c r="M137" s="111" t="s">
        <v>255</v>
      </c>
    </row>
    <row r="138" hidden="1">
      <c r="A138" s="105" t="s">
        <v>104</v>
      </c>
      <c r="B138" s="105" t="s">
        <v>251</v>
      </c>
      <c r="C138" s="106">
        <v>4.0</v>
      </c>
      <c r="D138" s="105"/>
      <c r="E138" s="105" t="s">
        <v>271</v>
      </c>
      <c r="F138" s="105" t="s">
        <v>359</v>
      </c>
      <c r="G138" s="107">
        <v>45758.0</v>
      </c>
      <c r="H138" s="108">
        <v>0.020833333333333332</v>
      </c>
      <c r="I138" s="109">
        <f t="shared" si="1"/>
        <v>0.5</v>
      </c>
      <c r="J138" s="111" t="b">
        <v>1</v>
      </c>
      <c r="K138" s="111" t="b">
        <f t="shared" si="2"/>
        <v>0</v>
      </c>
      <c r="L138" s="90"/>
      <c r="M138" s="111" t="s">
        <v>255</v>
      </c>
    </row>
    <row r="139" hidden="1">
      <c r="A139" s="105" t="s">
        <v>92</v>
      </c>
      <c r="B139" s="105" t="s">
        <v>251</v>
      </c>
      <c r="C139" s="106">
        <v>4.0</v>
      </c>
      <c r="D139" s="105"/>
      <c r="E139" s="105" t="s">
        <v>271</v>
      </c>
      <c r="F139" s="105" t="s">
        <v>360</v>
      </c>
      <c r="G139" s="107">
        <v>45761.0</v>
      </c>
      <c r="H139" s="108">
        <v>0.03125</v>
      </c>
      <c r="I139" s="109">
        <f t="shared" si="1"/>
        <v>0.75</v>
      </c>
      <c r="J139" s="111" t="b">
        <v>1</v>
      </c>
      <c r="K139" s="111" t="b">
        <f t="shared" si="2"/>
        <v>0</v>
      </c>
      <c r="L139" s="90"/>
      <c r="M139" s="111" t="s">
        <v>255</v>
      </c>
    </row>
    <row r="140">
      <c r="A140" s="105" t="s">
        <v>92</v>
      </c>
      <c r="B140" s="105" t="s">
        <v>251</v>
      </c>
      <c r="C140" s="106">
        <v>4.0</v>
      </c>
      <c r="D140" s="105"/>
      <c r="E140" s="105" t="s">
        <v>252</v>
      </c>
      <c r="F140" s="105" t="s">
        <v>361</v>
      </c>
      <c r="G140" s="107">
        <v>45762.0</v>
      </c>
      <c r="H140" s="108">
        <v>0.40625</v>
      </c>
      <c r="I140" s="109">
        <f t="shared" si="1"/>
        <v>9.75</v>
      </c>
      <c r="J140" s="111" t="b">
        <v>1</v>
      </c>
      <c r="K140" s="111" t="b">
        <f t="shared" si="2"/>
        <v>1</v>
      </c>
      <c r="L140" s="90"/>
      <c r="M140" s="111" t="s">
        <v>255</v>
      </c>
    </row>
    <row r="141" hidden="1">
      <c r="A141" s="105" t="s">
        <v>130</v>
      </c>
      <c r="B141" s="105" t="s">
        <v>251</v>
      </c>
      <c r="C141" s="106">
        <v>4.0</v>
      </c>
      <c r="D141" s="105"/>
      <c r="E141" s="105" t="s">
        <v>252</v>
      </c>
      <c r="F141" s="105" t="s">
        <v>362</v>
      </c>
      <c r="G141" s="107">
        <v>45761.0</v>
      </c>
      <c r="H141" s="108">
        <v>0.11458333333333333</v>
      </c>
      <c r="I141" s="109">
        <f t="shared" si="1"/>
        <v>2.75</v>
      </c>
      <c r="J141" s="111" t="b">
        <v>1</v>
      </c>
      <c r="K141" s="111" t="b">
        <f t="shared" si="2"/>
        <v>1</v>
      </c>
      <c r="L141" s="90"/>
      <c r="M141" s="111" t="s">
        <v>255</v>
      </c>
    </row>
    <row r="142" hidden="1">
      <c r="A142" s="105" t="s">
        <v>260</v>
      </c>
      <c r="B142" s="105" t="s">
        <v>251</v>
      </c>
      <c r="C142" s="106">
        <v>4.0</v>
      </c>
      <c r="D142" s="105"/>
      <c r="E142" s="105" t="s">
        <v>271</v>
      </c>
      <c r="F142" s="105" t="s">
        <v>354</v>
      </c>
      <c r="G142" s="107">
        <v>45763.0</v>
      </c>
      <c r="H142" s="108">
        <v>0.013888888888888888</v>
      </c>
      <c r="I142" s="109">
        <f t="shared" si="1"/>
        <v>0.3333333333</v>
      </c>
      <c r="J142" s="111" t="b">
        <v>0</v>
      </c>
      <c r="K142" s="111" t="b">
        <f t="shared" si="2"/>
        <v>0</v>
      </c>
      <c r="L142" s="90"/>
      <c r="M142" s="111" t="s">
        <v>255</v>
      </c>
    </row>
    <row r="143" hidden="1">
      <c r="A143" s="105" t="s">
        <v>171</v>
      </c>
      <c r="B143" s="105" t="s">
        <v>251</v>
      </c>
      <c r="C143" s="106">
        <v>4.0</v>
      </c>
      <c r="D143" s="105"/>
      <c r="E143" s="105" t="s">
        <v>271</v>
      </c>
      <c r="F143" s="105" t="s">
        <v>363</v>
      </c>
      <c r="G143" s="107">
        <v>45764.0</v>
      </c>
      <c r="H143" s="108">
        <v>0.010416666666666666</v>
      </c>
      <c r="I143" s="109">
        <f t="shared" si="1"/>
        <v>0.25</v>
      </c>
      <c r="J143" s="111" t="b">
        <v>0</v>
      </c>
      <c r="K143" s="111" t="b">
        <f t="shared" si="2"/>
        <v>0</v>
      </c>
      <c r="L143" s="90"/>
      <c r="M143" s="111" t="s">
        <v>255</v>
      </c>
    </row>
    <row r="144">
      <c r="A144" s="105" t="s">
        <v>92</v>
      </c>
      <c r="B144" s="105" t="s">
        <v>251</v>
      </c>
      <c r="C144" s="106">
        <v>4.0</v>
      </c>
      <c r="D144" s="105"/>
      <c r="E144" s="105" t="s">
        <v>256</v>
      </c>
      <c r="F144" s="105" t="s">
        <v>364</v>
      </c>
      <c r="G144" s="107">
        <v>45775.0</v>
      </c>
      <c r="H144" s="108">
        <v>0.010416666666666666</v>
      </c>
      <c r="I144" s="109">
        <f t="shared" si="1"/>
        <v>0.25</v>
      </c>
      <c r="J144" s="111" t="b">
        <v>1</v>
      </c>
      <c r="K144" s="111" t="b">
        <f t="shared" si="2"/>
        <v>1</v>
      </c>
      <c r="L144" s="90"/>
      <c r="M144" s="111" t="s">
        <v>255</v>
      </c>
    </row>
    <row r="145" hidden="1">
      <c r="A145" s="105" t="s">
        <v>171</v>
      </c>
      <c r="B145" s="105" t="s">
        <v>251</v>
      </c>
      <c r="C145" s="106">
        <v>4.0</v>
      </c>
      <c r="D145" s="105"/>
      <c r="E145" s="105" t="s">
        <v>252</v>
      </c>
      <c r="F145" s="105" t="s">
        <v>365</v>
      </c>
      <c r="G145" s="107">
        <v>45776.0</v>
      </c>
      <c r="H145" s="108">
        <v>0.11458333333333333</v>
      </c>
      <c r="I145" s="109">
        <f t="shared" si="1"/>
        <v>2.75</v>
      </c>
      <c r="J145" s="111" t="b">
        <v>0</v>
      </c>
      <c r="K145" s="111" t="b">
        <f t="shared" si="2"/>
        <v>1</v>
      </c>
      <c r="L145" s="90"/>
      <c r="M145" s="111" t="s">
        <v>255</v>
      </c>
    </row>
    <row r="146" hidden="1">
      <c r="A146" s="105" t="s">
        <v>260</v>
      </c>
      <c r="B146" s="105" t="s">
        <v>251</v>
      </c>
      <c r="C146" s="106">
        <v>4.0</v>
      </c>
      <c r="D146" s="105"/>
      <c r="E146" s="105" t="s">
        <v>271</v>
      </c>
      <c r="F146" s="105" t="s">
        <v>366</v>
      </c>
      <c r="G146" s="107">
        <v>45776.0</v>
      </c>
      <c r="H146" s="108">
        <v>0.034722222222222224</v>
      </c>
      <c r="I146" s="109">
        <f t="shared" si="1"/>
        <v>0.8333333333</v>
      </c>
      <c r="J146" s="111" t="b">
        <v>0</v>
      </c>
      <c r="K146" s="111" t="b">
        <f t="shared" si="2"/>
        <v>0</v>
      </c>
      <c r="L146" s="90"/>
      <c r="M146" s="111" t="s">
        <v>255</v>
      </c>
    </row>
    <row r="147" hidden="1">
      <c r="A147" s="105" t="s">
        <v>260</v>
      </c>
      <c r="B147" s="105" t="s">
        <v>251</v>
      </c>
      <c r="C147" s="106">
        <v>4.0</v>
      </c>
      <c r="D147" s="105"/>
      <c r="E147" s="105" t="s">
        <v>271</v>
      </c>
      <c r="F147" s="105" t="s">
        <v>354</v>
      </c>
      <c r="G147" s="107">
        <v>45777.0</v>
      </c>
      <c r="H147" s="108">
        <v>0.020833333333333332</v>
      </c>
      <c r="I147" s="109">
        <f t="shared" si="1"/>
        <v>0.5</v>
      </c>
      <c r="J147" s="111" t="b">
        <v>0</v>
      </c>
      <c r="K147" s="111" t="b">
        <f t="shared" si="2"/>
        <v>0</v>
      </c>
      <c r="L147" s="90"/>
      <c r="M147" s="111" t="s">
        <v>255</v>
      </c>
    </row>
    <row r="148" hidden="1">
      <c r="A148" s="105" t="s">
        <v>124</v>
      </c>
      <c r="B148" s="105" t="s">
        <v>251</v>
      </c>
      <c r="C148" s="106">
        <v>5.0</v>
      </c>
      <c r="D148" s="105"/>
      <c r="E148" s="105" t="s">
        <v>256</v>
      </c>
      <c r="F148" s="105" t="s">
        <v>367</v>
      </c>
      <c r="G148" s="107">
        <v>45779.0</v>
      </c>
      <c r="H148" s="108">
        <v>0.041666666666666664</v>
      </c>
      <c r="I148" s="109">
        <f t="shared" si="1"/>
        <v>1</v>
      </c>
      <c r="J148" s="111" t="b">
        <v>1</v>
      </c>
      <c r="K148" s="111" t="b">
        <f t="shared" si="2"/>
        <v>1</v>
      </c>
      <c r="L148" s="90"/>
      <c r="M148" s="111" t="s">
        <v>255</v>
      </c>
    </row>
    <row r="149" hidden="1">
      <c r="A149" s="105" t="s">
        <v>260</v>
      </c>
      <c r="B149" s="105" t="s">
        <v>251</v>
      </c>
      <c r="C149" s="106">
        <v>5.0</v>
      </c>
      <c r="D149" s="105"/>
      <c r="E149" s="105" t="s">
        <v>271</v>
      </c>
      <c r="F149" s="105" t="s">
        <v>368</v>
      </c>
      <c r="G149" s="107">
        <v>45783.0</v>
      </c>
      <c r="H149" s="108">
        <v>0.017361111111111112</v>
      </c>
      <c r="I149" s="109">
        <f t="shared" si="1"/>
        <v>0.4166666667</v>
      </c>
      <c r="J149" s="111" t="b">
        <v>0</v>
      </c>
      <c r="K149" s="111" t="b">
        <f t="shared" si="2"/>
        <v>0</v>
      </c>
      <c r="L149" s="90"/>
      <c r="M149" s="111" t="s">
        <v>255</v>
      </c>
    </row>
    <row r="150" hidden="1">
      <c r="A150" s="105" t="s">
        <v>171</v>
      </c>
      <c r="B150" s="105" t="s">
        <v>251</v>
      </c>
      <c r="C150" s="106">
        <v>5.0</v>
      </c>
      <c r="D150" s="105"/>
      <c r="E150" s="105" t="s">
        <v>252</v>
      </c>
      <c r="F150" s="105" t="s">
        <v>369</v>
      </c>
      <c r="G150" s="107">
        <v>45783.0</v>
      </c>
      <c r="H150" s="108">
        <v>0.041666666666666664</v>
      </c>
      <c r="I150" s="109">
        <f t="shared" si="1"/>
        <v>1</v>
      </c>
      <c r="J150" s="111" t="b">
        <v>0</v>
      </c>
      <c r="K150" s="111" t="b">
        <f t="shared" si="2"/>
        <v>1</v>
      </c>
      <c r="L150" s="90"/>
      <c r="M150" s="111" t="s">
        <v>255</v>
      </c>
    </row>
    <row r="151" hidden="1">
      <c r="A151" s="105" t="s">
        <v>171</v>
      </c>
      <c r="B151" s="105" t="s">
        <v>251</v>
      </c>
      <c r="C151" s="106">
        <v>5.0</v>
      </c>
      <c r="D151" s="105"/>
      <c r="E151" s="105" t="s">
        <v>252</v>
      </c>
      <c r="F151" s="105" t="s">
        <v>370</v>
      </c>
      <c r="G151" s="107">
        <v>45783.0</v>
      </c>
      <c r="H151" s="108">
        <v>0.10416666666666667</v>
      </c>
      <c r="I151" s="109">
        <f t="shared" si="1"/>
        <v>2.5</v>
      </c>
      <c r="J151" s="111" t="b">
        <v>0</v>
      </c>
      <c r="K151" s="111" t="b">
        <f t="shared" si="2"/>
        <v>1</v>
      </c>
      <c r="L151" s="90"/>
      <c r="M151" s="111" t="s">
        <v>255</v>
      </c>
    </row>
    <row r="152" hidden="1">
      <c r="A152" s="105" t="s">
        <v>171</v>
      </c>
      <c r="B152" s="105" t="s">
        <v>251</v>
      </c>
      <c r="C152" s="106">
        <v>5.0</v>
      </c>
      <c r="D152" s="105"/>
      <c r="E152" s="105" t="s">
        <v>252</v>
      </c>
      <c r="F152" s="105" t="s">
        <v>370</v>
      </c>
      <c r="G152" s="107">
        <v>45783.0</v>
      </c>
      <c r="H152" s="108">
        <v>0.041666666666666664</v>
      </c>
      <c r="I152" s="109">
        <f t="shared" si="1"/>
        <v>1</v>
      </c>
      <c r="J152" s="111" t="b">
        <v>0</v>
      </c>
      <c r="K152" s="111" t="b">
        <f t="shared" si="2"/>
        <v>1</v>
      </c>
      <c r="L152" s="90"/>
      <c r="M152" s="111" t="s">
        <v>255</v>
      </c>
    </row>
    <row r="153" hidden="1">
      <c r="A153" s="105" t="s">
        <v>171</v>
      </c>
      <c r="B153" s="105" t="s">
        <v>251</v>
      </c>
      <c r="C153" s="106">
        <v>5.0</v>
      </c>
      <c r="D153" s="105"/>
      <c r="E153" s="105" t="s">
        <v>252</v>
      </c>
      <c r="F153" s="105" t="s">
        <v>370</v>
      </c>
      <c r="G153" s="107">
        <v>45783.0</v>
      </c>
      <c r="H153" s="108">
        <v>0.0625</v>
      </c>
      <c r="I153" s="109">
        <f t="shared" si="1"/>
        <v>1.5</v>
      </c>
      <c r="J153" s="111" t="b">
        <v>0</v>
      </c>
      <c r="K153" s="111" t="b">
        <f t="shared" si="2"/>
        <v>1</v>
      </c>
      <c r="L153" s="90"/>
      <c r="M153" s="111" t="s">
        <v>255</v>
      </c>
    </row>
    <row r="154" hidden="1">
      <c r="A154" s="105" t="s">
        <v>171</v>
      </c>
      <c r="B154" s="105" t="s">
        <v>251</v>
      </c>
      <c r="C154" s="106">
        <v>5.0</v>
      </c>
      <c r="D154" s="105"/>
      <c r="E154" s="105" t="s">
        <v>252</v>
      </c>
      <c r="F154" s="105" t="s">
        <v>371</v>
      </c>
      <c r="G154" s="107">
        <v>45792.0</v>
      </c>
      <c r="H154" s="108">
        <v>0.125</v>
      </c>
      <c r="I154" s="109">
        <f t="shared" si="1"/>
        <v>3</v>
      </c>
      <c r="J154" s="111" t="b">
        <v>0</v>
      </c>
      <c r="K154" s="111" t="b">
        <f t="shared" si="2"/>
        <v>1</v>
      </c>
      <c r="L154" s="90"/>
      <c r="M154" s="111" t="s">
        <v>255</v>
      </c>
    </row>
    <row r="155" hidden="1">
      <c r="A155" s="105" t="s">
        <v>98</v>
      </c>
      <c r="B155" s="105" t="s">
        <v>251</v>
      </c>
      <c r="C155" s="106">
        <v>5.0</v>
      </c>
      <c r="D155" s="105"/>
      <c r="E155" s="105" t="s">
        <v>252</v>
      </c>
      <c r="F155" s="105" t="s">
        <v>372</v>
      </c>
      <c r="G155" s="107">
        <v>45791.0</v>
      </c>
      <c r="H155" s="108">
        <v>0.0625</v>
      </c>
      <c r="I155" s="109">
        <f t="shared" si="1"/>
        <v>1.5</v>
      </c>
      <c r="J155" s="111" t="b">
        <v>1</v>
      </c>
      <c r="K155" s="111" t="b">
        <f t="shared" si="2"/>
        <v>1</v>
      </c>
      <c r="L155" s="90"/>
      <c r="M155" s="111" t="s">
        <v>255</v>
      </c>
    </row>
    <row r="156" hidden="1">
      <c r="A156" s="105" t="s">
        <v>104</v>
      </c>
      <c r="B156" s="105" t="s">
        <v>251</v>
      </c>
      <c r="C156" s="106">
        <v>5.0</v>
      </c>
      <c r="D156" s="105"/>
      <c r="E156" s="105" t="s">
        <v>252</v>
      </c>
      <c r="F156" s="105" t="s">
        <v>373</v>
      </c>
      <c r="G156" s="107">
        <v>45791.0</v>
      </c>
      <c r="H156" s="108">
        <v>0.020833333333333332</v>
      </c>
      <c r="I156" s="109">
        <f t="shared" si="1"/>
        <v>0.5</v>
      </c>
      <c r="J156" s="111" t="b">
        <v>1</v>
      </c>
      <c r="K156" s="111" t="b">
        <f t="shared" si="2"/>
        <v>1</v>
      </c>
      <c r="L156" s="90"/>
      <c r="M156" s="111" t="s">
        <v>255</v>
      </c>
    </row>
    <row r="157" hidden="1">
      <c r="A157" s="105" t="s">
        <v>171</v>
      </c>
      <c r="B157" s="105" t="s">
        <v>251</v>
      </c>
      <c r="C157" s="106">
        <v>5.0</v>
      </c>
      <c r="D157" s="105"/>
      <c r="E157" s="105" t="s">
        <v>252</v>
      </c>
      <c r="F157" s="105" t="s">
        <v>374</v>
      </c>
      <c r="G157" s="107">
        <v>45796.0</v>
      </c>
      <c r="H157" s="108">
        <v>0.06319444444444444</v>
      </c>
      <c r="I157" s="109">
        <f t="shared" si="1"/>
        <v>1.516666667</v>
      </c>
      <c r="J157" s="111" t="b">
        <v>0</v>
      </c>
      <c r="K157" s="111" t="b">
        <f t="shared" si="2"/>
        <v>1</v>
      </c>
      <c r="L157" s="90"/>
      <c r="M157" s="111" t="s">
        <v>255</v>
      </c>
    </row>
    <row r="158" hidden="1">
      <c r="A158" s="105" t="s">
        <v>171</v>
      </c>
      <c r="B158" s="105" t="s">
        <v>251</v>
      </c>
      <c r="C158" s="106">
        <v>6.0</v>
      </c>
      <c r="D158" s="105"/>
      <c r="E158" s="105" t="s">
        <v>252</v>
      </c>
      <c r="F158" s="105" t="s">
        <v>375</v>
      </c>
      <c r="G158" s="107">
        <v>45828.0</v>
      </c>
      <c r="H158" s="108">
        <v>0.125</v>
      </c>
      <c r="I158" s="109">
        <f t="shared" si="1"/>
        <v>3</v>
      </c>
      <c r="J158" s="111" t="b">
        <v>0</v>
      </c>
      <c r="K158" s="111" t="b">
        <f t="shared" si="2"/>
        <v>1</v>
      </c>
      <c r="L158" s="90"/>
      <c r="M158" s="111" t="s">
        <v>255</v>
      </c>
    </row>
    <row r="159">
      <c r="A159" s="105" t="s">
        <v>92</v>
      </c>
      <c r="B159" s="105" t="s">
        <v>251</v>
      </c>
      <c r="C159" s="106">
        <v>6.0</v>
      </c>
      <c r="D159" s="105"/>
      <c r="E159" s="105" t="s">
        <v>252</v>
      </c>
      <c r="F159" s="105" t="s">
        <v>376</v>
      </c>
      <c r="G159" s="107">
        <v>45828.0</v>
      </c>
      <c r="H159" s="108">
        <v>0.020833333333333332</v>
      </c>
      <c r="I159" s="109">
        <f t="shared" si="1"/>
        <v>0.5</v>
      </c>
      <c r="J159" s="111" t="b">
        <v>1</v>
      </c>
      <c r="K159" s="111" t="b">
        <f t="shared" si="2"/>
        <v>1</v>
      </c>
      <c r="L159" s="90"/>
      <c r="M159" s="111" t="s">
        <v>255</v>
      </c>
    </row>
    <row r="160" hidden="1">
      <c r="A160" s="105" t="s">
        <v>124</v>
      </c>
      <c r="B160" s="105" t="s">
        <v>251</v>
      </c>
      <c r="C160" s="106">
        <v>6.0</v>
      </c>
      <c r="D160" s="105"/>
      <c r="E160" s="105" t="s">
        <v>252</v>
      </c>
      <c r="F160" s="105" t="s">
        <v>377</v>
      </c>
      <c r="G160" s="107">
        <v>45831.0</v>
      </c>
      <c r="H160" s="108">
        <v>0.0625</v>
      </c>
      <c r="I160" s="109">
        <f t="shared" si="1"/>
        <v>1.5</v>
      </c>
      <c r="J160" s="111" t="b">
        <v>1</v>
      </c>
      <c r="K160" s="111" t="b">
        <f t="shared" si="2"/>
        <v>1</v>
      </c>
      <c r="L160" s="90"/>
      <c r="M160" s="111" t="s">
        <v>255</v>
      </c>
    </row>
    <row r="161" hidden="1">
      <c r="A161" s="105" t="s">
        <v>124</v>
      </c>
      <c r="B161" s="105" t="s">
        <v>251</v>
      </c>
      <c r="C161" s="106">
        <v>6.0</v>
      </c>
      <c r="D161" s="105"/>
      <c r="E161" s="105" t="s">
        <v>252</v>
      </c>
      <c r="F161" s="105" t="s">
        <v>377</v>
      </c>
      <c r="G161" s="107">
        <v>45831.0</v>
      </c>
      <c r="H161" s="108">
        <v>0.08333333333333333</v>
      </c>
      <c r="I161" s="109">
        <f t="shared" si="1"/>
        <v>2</v>
      </c>
      <c r="J161" s="111" t="b">
        <v>1</v>
      </c>
      <c r="K161" s="111" t="b">
        <f t="shared" si="2"/>
        <v>1</v>
      </c>
      <c r="L161" s="90"/>
      <c r="M161" s="111" t="s">
        <v>255</v>
      </c>
    </row>
    <row r="162" hidden="1">
      <c r="A162" s="105" t="s">
        <v>260</v>
      </c>
      <c r="B162" s="105" t="s">
        <v>251</v>
      </c>
      <c r="C162" s="106">
        <v>6.0</v>
      </c>
      <c r="D162" s="105"/>
      <c r="E162" s="105" t="s">
        <v>271</v>
      </c>
      <c r="F162" s="105" t="s">
        <v>368</v>
      </c>
      <c r="G162" s="107">
        <v>45826.0</v>
      </c>
      <c r="H162" s="108">
        <v>0.010416666666666666</v>
      </c>
      <c r="I162" s="109">
        <f t="shared" si="1"/>
        <v>0.25</v>
      </c>
      <c r="J162" s="111" t="b">
        <v>0</v>
      </c>
      <c r="K162" s="111" t="b">
        <f t="shared" si="2"/>
        <v>0</v>
      </c>
      <c r="L162" s="90"/>
      <c r="M162" s="111" t="s">
        <v>255</v>
      </c>
    </row>
    <row r="163" hidden="1">
      <c r="A163" s="105" t="s">
        <v>124</v>
      </c>
      <c r="B163" s="105" t="s">
        <v>251</v>
      </c>
      <c r="C163" s="106">
        <v>6.0</v>
      </c>
      <c r="D163" s="105"/>
      <c r="E163" s="105" t="s">
        <v>271</v>
      </c>
      <c r="F163" s="105" t="s">
        <v>378</v>
      </c>
      <c r="G163" s="107">
        <v>45831.0</v>
      </c>
      <c r="H163" s="108">
        <v>0.020833333333333332</v>
      </c>
      <c r="I163" s="109">
        <f t="shared" si="1"/>
        <v>0.5</v>
      </c>
      <c r="J163" s="111" t="b">
        <v>1</v>
      </c>
      <c r="K163" s="111" t="b">
        <f t="shared" si="2"/>
        <v>0</v>
      </c>
      <c r="L163" s="90"/>
      <c r="M163" s="111" t="s">
        <v>255</v>
      </c>
    </row>
    <row r="164" hidden="1">
      <c r="A164" s="105" t="s">
        <v>92</v>
      </c>
      <c r="B164" s="105" t="s">
        <v>251</v>
      </c>
      <c r="C164" s="106">
        <v>6.0</v>
      </c>
      <c r="D164" s="105"/>
      <c r="E164" s="105" t="s">
        <v>271</v>
      </c>
      <c r="F164" s="105" t="s">
        <v>379</v>
      </c>
      <c r="G164" s="107">
        <v>45834.0</v>
      </c>
      <c r="H164" s="108">
        <v>0.020833333333333332</v>
      </c>
      <c r="I164" s="109">
        <f t="shared" si="1"/>
        <v>0.5</v>
      </c>
      <c r="J164" s="111" t="b">
        <v>1</v>
      </c>
      <c r="K164" s="111" t="b">
        <f t="shared" si="2"/>
        <v>0</v>
      </c>
      <c r="L164" s="90"/>
      <c r="M164" s="111" t="s">
        <v>255</v>
      </c>
    </row>
    <row r="165" hidden="1">
      <c r="A165" s="105" t="s">
        <v>104</v>
      </c>
      <c r="B165" s="105" t="s">
        <v>251</v>
      </c>
      <c r="C165" s="106">
        <v>6.0</v>
      </c>
      <c r="D165" s="105"/>
      <c r="E165" s="105" t="s">
        <v>271</v>
      </c>
      <c r="F165" s="105" t="s">
        <v>380</v>
      </c>
      <c r="G165" s="107">
        <v>45835.0</v>
      </c>
      <c r="H165" s="108">
        <v>0.010416666666666666</v>
      </c>
      <c r="I165" s="109">
        <f t="shared" si="1"/>
        <v>0.25</v>
      </c>
      <c r="J165" s="111" t="b">
        <v>1</v>
      </c>
      <c r="K165" s="111" t="b">
        <f t="shared" si="2"/>
        <v>0</v>
      </c>
      <c r="L165" s="90"/>
      <c r="M165" s="111" t="s">
        <v>255</v>
      </c>
    </row>
    <row r="166">
      <c r="A166" s="105" t="s">
        <v>92</v>
      </c>
      <c r="B166" s="105" t="s">
        <v>251</v>
      </c>
      <c r="C166" s="106">
        <v>6.0</v>
      </c>
      <c r="D166" s="105"/>
      <c r="E166" s="105" t="s">
        <v>252</v>
      </c>
      <c r="F166" s="105" t="s">
        <v>381</v>
      </c>
      <c r="G166" s="107">
        <v>45835.0</v>
      </c>
      <c r="H166" s="108">
        <v>0.08333333333333333</v>
      </c>
      <c r="I166" s="109">
        <f t="shared" si="1"/>
        <v>2</v>
      </c>
      <c r="J166" s="111" t="b">
        <v>1</v>
      </c>
      <c r="K166" s="111" t="b">
        <f t="shared" si="2"/>
        <v>1</v>
      </c>
      <c r="L166" s="90"/>
      <c r="M166" s="111" t="s">
        <v>255</v>
      </c>
    </row>
    <row r="167" hidden="1">
      <c r="A167" s="105" t="s">
        <v>171</v>
      </c>
      <c r="B167" s="105" t="s">
        <v>251</v>
      </c>
      <c r="C167" s="106">
        <v>6.0</v>
      </c>
      <c r="D167" s="105"/>
      <c r="E167" s="105" t="s">
        <v>252</v>
      </c>
      <c r="F167" s="105" t="s">
        <v>375</v>
      </c>
      <c r="G167" s="107">
        <v>45835.0</v>
      </c>
      <c r="H167" s="108">
        <v>0.0625</v>
      </c>
      <c r="I167" s="109">
        <f t="shared" si="1"/>
        <v>1.5</v>
      </c>
      <c r="J167" s="111" t="b">
        <v>0</v>
      </c>
      <c r="K167" s="111" t="b">
        <f t="shared" si="2"/>
        <v>1</v>
      </c>
      <c r="L167" s="90"/>
      <c r="M167" s="111" t="s">
        <v>255</v>
      </c>
    </row>
    <row r="168" hidden="1">
      <c r="A168" s="105" t="s">
        <v>124</v>
      </c>
      <c r="B168" s="105" t="s">
        <v>251</v>
      </c>
      <c r="C168" s="106">
        <v>6.0</v>
      </c>
      <c r="D168" s="105"/>
      <c r="E168" s="105" t="s">
        <v>252</v>
      </c>
      <c r="F168" s="105" t="s">
        <v>382</v>
      </c>
      <c r="G168" s="107">
        <v>45838.0</v>
      </c>
      <c r="H168" s="108">
        <v>0.08333333333333333</v>
      </c>
      <c r="I168" s="109">
        <f t="shared" si="1"/>
        <v>2</v>
      </c>
      <c r="J168" s="111" t="b">
        <v>1</v>
      </c>
      <c r="K168" s="111" t="b">
        <f t="shared" si="2"/>
        <v>1</v>
      </c>
      <c r="L168" s="90"/>
      <c r="M168" s="111" t="s">
        <v>255</v>
      </c>
    </row>
    <row r="169" hidden="1">
      <c r="A169" s="105" t="s">
        <v>171</v>
      </c>
      <c r="B169" s="105" t="s">
        <v>251</v>
      </c>
      <c r="C169" s="106">
        <v>6.0</v>
      </c>
      <c r="D169" s="105"/>
      <c r="E169" s="105" t="s">
        <v>252</v>
      </c>
      <c r="F169" s="105" t="s">
        <v>375</v>
      </c>
      <c r="G169" s="107">
        <v>45838.0</v>
      </c>
      <c r="H169" s="108">
        <v>0.125</v>
      </c>
      <c r="I169" s="109">
        <f t="shared" si="1"/>
        <v>3</v>
      </c>
      <c r="J169" s="111" t="b">
        <v>0</v>
      </c>
      <c r="K169" s="111" t="b">
        <f t="shared" si="2"/>
        <v>1</v>
      </c>
      <c r="L169" s="90"/>
      <c r="M169" s="111" t="s">
        <v>255</v>
      </c>
    </row>
    <row r="170" hidden="1">
      <c r="A170" s="105" t="s">
        <v>215</v>
      </c>
      <c r="B170" s="105" t="s">
        <v>290</v>
      </c>
      <c r="C170" s="106">
        <v>4.0</v>
      </c>
      <c r="D170" s="105"/>
      <c r="E170" s="105" t="s">
        <v>256</v>
      </c>
      <c r="F170" s="105" t="s">
        <v>383</v>
      </c>
      <c r="G170" s="107">
        <v>45769.0</v>
      </c>
      <c r="H170" s="108">
        <v>0.041666666666666664</v>
      </c>
      <c r="I170" s="109">
        <f t="shared" si="1"/>
        <v>1</v>
      </c>
      <c r="J170" s="111" t="b">
        <v>1</v>
      </c>
      <c r="K170" s="111" t="b">
        <f t="shared" si="2"/>
        <v>1</v>
      </c>
      <c r="L170" s="90"/>
      <c r="M170" s="111" t="s">
        <v>255</v>
      </c>
    </row>
    <row r="171" hidden="1">
      <c r="A171" s="105" t="s">
        <v>104</v>
      </c>
      <c r="B171" s="105" t="s">
        <v>290</v>
      </c>
      <c r="C171" s="106">
        <v>4.0</v>
      </c>
      <c r="D171" s="105"/>
      <c r="E171" s="105" t="s">
        <v>256</v>
      </c>
      <c r="F171" s="105" t="s">
        <v>384</v>
      </c>
      <c r="G171" s="107">
        <v>45770.0</v>
      </c>
      <c r="H171" s="108">
        <v>0.125</v>
      </c>
      <c r="I171" s="109">
        <f t="shared" si="1"/>
        <v>3</v>
      </c>
      <c r="J171" s="111" t="b">
        <v>1</v>
      </c>
      <c r="K171" s="111" t="b">
        <f t="shared" si="2"/>
        <v>1</v>
      </c>
      <c r="L171" s="90"/>
      <c r="M171" s="111" t="s">
        <v>255</v>
      </c>
    </row>
    <row r="172" hidden="1">
      <c r="A172" s="105" t="s">
        <v>293</v>
      </c>
      <c r="B172" s="105" t="s">
        <v>290</v>
      </c>
      <c r="C172" s="106">
        <v>4.0</v>
      </c>
      <c r="D172" s="105"/>
      <c r="E172" s="105" t="s">
        <v>252</v>
      </c>
      <c r="F172" s="105" t="s">
        <v>385</v>
      </c>
      <c r="G172" s="107">
        <v>45770.0</v>
      </c>
      <c r="H172" s="108">
        <v>0.125</v>
      </c>
      <c r="I172" s="109">
        <f t="shared" si="1"/>
        <v>3</v>
      </c>
      <c r="J172" s="111" t="b">
        <v>0</v>
      </c>
      <c r="K172" s="111" t="b">
        <f t="shared" si="2"/>
        <v>1</v>
      </c>
      <c r="L172" s="90"/>
      <c r="M172" s="111" t="s">
        <v>255</v>
      </c>
    </row>
    <row r="173" hidden="1">
      <c r="A173" s="105" t="s">
        <v>130</v>
      </c>
      <c r="B173" s="105" t="s">
        <v>290</v>
      </c>
      <c r="C173" s="106">
        <v>4.0</v>
      </c>
      <c r="D173" s="105"/>
      <c r="E173" s="105" t="s">
        <v>256</v>
      </c>
      <c r="F173" s="105" t="s">
        <v>383</v>
      </c>
      <c r="G173" s="107">
        <v>45771.0</v>
      </c>
      <c r="H173" s="108">
        <v>0.08333333333333333</v>
      </c>
      <c r="I173" s="109">
        <f t="shared" si="1"/>
        <v>2</v>
      </c>
      <c r="J173" s="111" t="b">
        <v>1</v>
      </c>
      <c r="K173" s="111" t="b">
        <f t="shared" si="2"/>
        <v>1</v>
      </c>
      <c r="L173" s="90"/>
      <c r="M173" s="111" t="s">
        <v>255</v>
      </c>
    </row>
    <row r="174" hidden="1">
      <c r="A174" s="105" t="s">
        <v>130</v>
      </c>
      <c r="B174" s="105" t="s">
        <v>290</v>
      </c>
      <c r="C174" s="106">
        <v>4.0</v>
      </c>
      <c r="D174" s="105"/>
      <c r="E174" s="105" t="s">
        <v>256</v>
      </c>
      <c r="F174" s="105" t="s">
        <v>386</v>
      </c>
      <c r="G174" s="107">
        <v>45772.0</v>
      </c>
      <c r="H174" s="108">
        <v>0.20833333333333334</v>
      </c>
      <c r="I174" s="109">
        <f t="shared" si="1"/>
        <v>5</v>
      </c>
      <c r="J174" s="111" t="b">
        <v>1</v>
      </c>
      <c r="K174" s="111" t="b">
        <f t="shared" si="2"/>
        <v>1</v>
      </c>
      <c r="L174" s="90"/>
      <c r="M174" s="111" t="s">
        <v>255</v>
      </c>
    </row>
    <row r="175" hidden="1">
      <c r="A175" s="105" t="s">
        <v>215</v>
      </c>
      <c r="B175" s="105" t="s">
        <v>290</v>
      </c>
      <c r="C175" s="106">
        <v>4.0</v>
      </c>
      <c r="D175" s="105"/>
      <c r="E175" s="105" t="s">
        <v>256</v>
      </c>
      <c r="F175" s="105" t="s">
        <v>387</v>
      </c>
      <c r="G175" s="107">
        <v>45775.0</v>
      </c>
      <c r="H175" s="108">
        <v>0.041666666666666664</v>
      </c>
      <c r="I175" s="109">
        <f t="shared" si="1"/>
        <v>1</v>
      </c>
      <c r="J175" s="111" t="b">
        <v>1</v>
      </c>
      <c r="K175" s="111" t="b">
        <f t="shared" si="2"/>
        <v>1</v>
      </c>
      <c r="L175" s="90"/>
      <c r="M175" s="111" t="s">
        <v>255</v>
      </c>
    </row>
    <row r="176" hidden="1">
      <c r="A176" s="105" t="s">
        <v>130</v>
      </c>
      <c r="B176" s="105" t="s">
        <v>290</v>
      </c>
      <c r="C176" s="106">
        <v>5.0</v>
      </c>
      <c r="D176" s="105"/>
      <c r="E176" s="105" t="s">
        <v>256</v>
      </c>
      <c r="F176" s="105" t="s">
        <v>388</v>
      </c>
      <c r="G176" s="107">
        <v>45782.0</v>
      </c>
      <c r="H176" s="108">
        <v>0.1875</v>
      </c>
      <c r="I176" s="109">
        <f t="shared" si="1"/>
        <v>4.5</v>
      </c>
      <c r="J176" s="111" t="b">
        <v>1</v>
      </c>
      <c r="K176" s="111" t="b">
        <f t="shared" si="2"/>
        <v>1</v>
      </c>
      <c r="L176" s="90"/>
      <c r="M176" s="111" t="s">
        <v>255</v>
      </c>
    </row>
    <row r="177" hidden="1">
      <c r="A177" s="105" t="s">
        <v>130</v>
      </c>
      <c r="B177" s="105" t="s">
        <v>290</v>
      </c>
      <c r="C177" s="106">
        <v>5.0</v>
      </c>
      <c r="D177" s="105"/>
      <c r="E177" s="105" t="s">
        <v>256</v>
      </c>
      <c r="F177" s="105" t="s">
        <v>389</v>
      </c>
      <c r="G177" s="107">
        <v>45783.0</v>
      </c>
      <c r="H177" s="108">
        <v>0.1875</v>
      </c>
      <c r="I177" s="109">
        <f t="shared" si="1"/>
        <v>4.5</v>
      </c>
      <c r="J177" s="111" t="b">
        <v>1</v>
      </c>
      <c r="K177" s="111" t="b">
        <f t="shared" si="2"/>
        <v>1</v>
      </c>
      <c r="L177" s="90"/>
      <c r="M177" s="111" t="s">
        <v>255</v>
      </c>
    </row>
    <row r="178" hidden="1">
      <c r="A178" s="105" t="s">
        <v>130</v>
      </c>
      <c r="B178" s="105" t="s">
        <v>290</v>
      </c>
      <c r="C178" s="106">
        <v>5.0</v>
      </c>
      <c r="D178" s="105"/>
      <c r="E178" s="105" t="s">
        <v>256</v>
      </c>
      <c r="F178" s="105" t="s">
        <v>390</v>
      </c>
      <c r="G178" s="107">
        <v>45783.0</v>
      </c>
      <c r="H178" s="108">
        <v>0.041666666666666664</v>
      </c>
      <c r="I178" s="109">
        <f t="shared" si="1"/>
        <v>1</v>
      </c>
      <c r="J178" s="111" t="b">
        <v>1</v>
      </c>
      <c r="K178" s="111" t="b">
        <f t="shared" si="2"/>
        <v>1</v>
      </c>
      <c r="L178" s="90"/>
      <c r="M178" s="111" t="s">
        <v>255</v>
      </c>
    </row>
    <row r="179" hidden="1">
      <c r="A179" s="105" t="s">
        <v>267</v>
      </c>
      <c r="B179" s="105" t="s">
        <v>290</v>
      </c>
      <c r="C179" s="106">
        <v>5.0</v>
      </c>
      <c r="D179" s="105"/>
      <c r="E179" s="105" t="s">
        <v>256</v>
      </c>
      <c r="F179" s="105" t="s">
        <v>391</v>
      </c>
      <c r="G179" s="107">
        <v>45783.0</v>
      </c>
      <c r="H179" s="108">
        <v>0.041666666666666664</v>
      </c>
      <c r="I179" s="109">
        <f t="shared" si="1"/>
        <v>1</v>
      </c>
      <c r="J179" s="111" t="b">
        <v>0</v>
      </c>
      <c r="K179" s="111" t="b">
        <f t="shared" si="2"/>
        <v>1</v>
      </c>
      <c r="L179" s="90"/>
      <c r="M179" s="111" t="s">
        <v>255</v>
      </c>
    </row>
    <row r="180" hidden="1">
      <c r="A180" s="105" t="s">
        <v>267</v>
      </c>
      <c r="B180" s="105" t="s">
        <v>290</v>
      </c>
      <c r="C180" s="106">
        <v>5.0</v>
      </c>
      <c r="D180" s="105"/>
      <c r="E180" s="105" t="s">
        <v>256</v>
      </c>
      <c r="F180" s="105" t="s">
        <v>392</v>
      </c>
      <c r="G180" s="107">
        <v>45785.0</v>
      </c>
      <c r="H180" s="108">
        <v>0.020833333333333332</v>
      </c>
      <c r="I180" s="109">
        <f t="shared" si="1"/>
        <v>0.5</v>
      </c>
      <c r="J180" s="111" t="b">
        <v>0</v>
      </c>
      <c r="K180" s="111" t="b">
        <f t="shared" si="2"/>
        <v>1</v>
      </c>
      <c r="L180" s="90"/>
      <c r="M180" s="111" t="s">
        <v>255</v>
      </c>
    </row>
    <row r="181" hidden="1">
      <c r="A181" s="105" t="s">
        <v>215</v>
      </c>
      <c r="B181" s="105" t="s">
        <v>290</v>
      </c>
      <c r="C181" s="106">
        <v>5.0</v>
      </c>
      <c r="D181" s="105"/>
      <c r="E181" s="105" t="s">
        <v>256</v>
      </c>
      <c r="F181" s="105" t="s">
        <v>393</v>
      </c>
      <c r="G181" s="107">
        <v>45792.0</v>
      </c>
      <c r="H181" s="108">
        <v>0.125</v>
      </c>
      <c r="I181" s="109">
        <f t="shared" si="1"/>
        <v>3</v>
      </c>
      <c r="J181" s="111" t="b">
        <v>1</v>
      </c>
      <c r="K181" s="111" t="b">
        <f t="shared" si="2"/>
        <v>1</v>
      </c>
      <c r="L181" s="90"/>
      <c r="M181" s="111" t="s">
        <v>255</v>
      </c>
    </row>
    <row r="182" hidden="1">
      <c r="A182" s="105" t="s">
        <v>130</v>
      </c>
      <c r="B182" s="105" t="s">
        <v>290</v>
      </c>
      <c r="C182" s="106">
        <v>5.0</v>
      </c>
      <c r="D182" s="105"/>
      <c r="E182" s="105" t="s">
        <v>256</v>
      </c>
      <c r="F182" s="105" t="s">
        <v>394</v>
      </c>
      <c r="G182" s="107">
        <v>45790.0</v>
      </c>
      <c r="H182" s="108">
        <v>0.0625</v>
      </c>
      <c r="I182" s="109">
        <f t="shared" si="1"/>
        <v>1.5</v>
      </c>
      <c r="J182" s="111" t="b">
        <v>1</v>
      </c>
      <c r="K182" s="111" t="b">
        <f t="shared" si="2"/>
        <v>1</v>
      </c>
      <c r="L182" s="90"/>
      <c r="M182" s="111" t="s">
        <v>255</v>
      </c>
    </row>
    <row r="183" hidden="1">
      <c r="A183" s="105" t="s">
        <v>104</v>
      </c>
      <c r="B183" s="105" t="s">
        <v>290</v>
      </c>
      <c r="C183" s="106">
        <v>5.0</v>
      </c>
      <c r="D183" s="105"/>
      <c r="E183" s="105" t="s">
        <v>256</v>
      </c>
      <c r="F183" s="105" t="s">
        <v>395</v>
      </c>
      <c r="G183" s="107">
        <v>45800.0</v>
      </c>
      <c r="H183" s="108">
        <v>0.020833333333333332</v>
      </c>
      <c r="I183" s="109">
        <f t="shared" si="1"/>
        <v>0.5</v>
      </c>
      <c r="J183" s="111" t="b">
        <v>1</v>
      </c>
      <c r="K183" s="111" t="b">
        <f t="shared" si="2"/>
        <v>1</v>
      </c>
      <c r="L183" s="90"/>
      <c r="M183" s="111" t="s">
        <v>255</v>
      </c>
    </row>
    <row r="184" hidden="1">
      <c r="A184" s="105" t="s">
        <v>267</v>
      </c>
      <c r="B184" s="105" t="s">
        <v>290</v>
      </c>
      <c r="C184" s="106">
        <v>5.0</v>
      </c>
      <c r="D184" s="105"/>
      <c r="E184" s="105" t="s">
        <v>256</v>
      </c>
      <c r="F184" s="105" t="s">
        <v>396</v>
      </c>
      <c r="G184" s="107">
        <v>45800.0</v>
      </c>
      <c r="H184" s="108">
        <v>0.020833333333333332</v>
      </c>
      <c r="I184" s="109">
        <f t="shared" si="1"/>
        <v>0.5</v>
      </c>
      <c r="J184" s="111" t="b">
        <v>0</v>
      </c>
      <c r="K184" s="111" t="b">
        <f t="shared" si="2"/>
        <v>1</v>
      </c>
      <c r="L184" s="90"/>
      <c r="M184" s="111" t="s">
        <v>255</v>
      </c>
    </row>
    <row r="185" hidden="1">
      <c r="A185" s="105" t="s">
        <v>293</v>
      </c>
      <c r="B185" s="105" t="s">
        <v>290</v>
      </c>
      <c r="C185" s="106">
        <v>5.0</v>
      </c>
      <c r="D185" s="105"/>
      <c r="E185" s="105" t="s">
        <v>256</v>
      </c>
      <c r="F185" s="105" t="s">
        <v>397</v>
      </c>
      <c r="G185" s="107">
        <v>45807.0</v>
      </c>
      <c r="H185" s="108">
        <v>0.10416666666666667</v>
      </c>
      <c r="I185" s="109">
        <f t="shared" si="1"/>
        <v>2.5</v>
      </c>
      <c r="J185" s="111" t="b">
        <v>0</v>
      </c>
      <c r="K185" s="111" t="b">
        <f t="shared" si="2"/>
        <v>1</v>
      </c>
      <c r="L185" s="90"/>
      <c r="M185" s="111" t="s">
        <v>255</v>
      </c>
    </row>
    <row r="186" hidden="1">
      <c r="A186" s="105" t="s">
        <v>104</v>
      </c>
      <c r="B186" s="105" t="s">
        <v>290</v>
      </c>
      <c r="C186" s="106">
        <v>5.0</v>
      </c>
      <c r="D186" s="105"/>
      <c r="E186" s="105" t="s">
        <v>256</v>
      </c>
      <c r="F186" s="105" t="s">
        <v>398</v>
      </c>
      <c r="G186" s="107">
        <v>45804.0</v>
      </c>
      <c r="H186" s="108">
        <v>0.08333333333333333</v>
      </c>
      <c r="I186" s="109">
        <f t="shared" si="1"/>
        <v>2</v>
      </c>
      <c r="J186" s="111" t="b">
        <v>1</v>
      </c>
      <c r="K186" s="111" t="b">
        <f t="shared" si="2"/>
        <v>1</v>
      </c>
      <c r="L186" s="90"/>
      <c r="M186" s="111" t="s">
        <v>255</v>
      </c>
    </row>
    <row r="187" hidden="1">
      <c r="A187" s="105" t="s">
        <v>215</v>
      </c>
      <c r="B187" s="105" t="s">
        <v>290</v>
      </c>
      <c r="C187" s="106">
        <v>6.0</v>
      </c>
      <c r="D187" s="105"/>
      <c r="E187" s="105" t="s">
        <v>256</v>
      </c>
      <c r="F187" s="105" t="s">
        <v>399</v>
      </c>
      <c r="G187" s="107">
        <v>45810.0</v>
      </c>
      <c r="H187" s="108">
        <v>0.041666666666666664</v>
      </c>
      <c r="I187" s="109">
        <f t="shared" si="1"/>
        <v>1</v>
      </c>
      <c r="J187" s="111" t="b">
        <v>1</v>
      </c>
      <c r="K187" s="111" t="b">
        <f t="shared" si="2"/>
        <v>1</v>
      </c>
      <c r="L187" s="90"/>
      <c r="M187" s="111" t="s">
        <v>255</v>
      </c>
    </row>
    <row r="188" hidden="1">
      <c r="A188" s="105" t="s">
        <v>267</v>
      </c>
      <c r="B188" s="105" t="s">
        <v>290</v>
      </c>
      <c r="C188" s="106">
        <v>6.0</v>
      </c>
      <c r="D188" s="105"/>
      <c r="E188" s="105" t="s">
        <v>256</v>
      </c>
      <c r="F188" s="105" t="s">
        <v>400</v>
      </c>
      <c r="G188" s="107">
        <v>45824.0</v>
      </c>
      <c r="H188" s="108">
        <v>0.041666666666666664</v>
      </c>
      <c r="I188" s="109">
        <f t="shared" si="1"/>
        <v>1</v>
      </c>
      <c r="J188" s="111" t="b">
        <v>0</v>
      </c>
      <c r="K188" s="111" t="b">
        <f t="shared" si="2"/>
        <v>1</v>
      </c>
      <c r="L188" s="90"/>
      <c r="M188" s="111" t="s">
        <v>255</v>
      </c>
    </row>
    <row r="189" hidden="1">
      <c r="A189" s="105" t="s">
        <v>215</v>
      </c>
      <c r="B189" s="105" t="s">
        <v>290</v>
      </c>
      <c r="C189" s="106">
        <v>6.0</v>
      </c>
      <c r="D189" s="105"/>
      <c r="E189" s="105" t="s">
        <v>256</v>
      </c>
      <c r="F189" s="105" t="s">
        <v>401</v>
      </c>
      <c r="G189" s="107">
        <v>45832.0</v>
      </c>
      <c r="H189" s="108">
        <v>0.0625</v>
      </c>
      <c r="I189" s="109">
        <f t="shared" si="1"/>
        <v>1.5</v>
      </c>
      <c r="J189" s="111" t="b">
        <v>1</v>
      </c>
      <c r="K189" s="111" t="b">
        <f t="shared" si="2"/>
        <v>1</v>
      </c>
      <c r="L189" s="90"/>
      <c r="M189" s="111" t="s">
        <v>255</v>
      </c>
    </row>
    <row r="190" hidden="1">
      <c r="A190" s="105" t="s">
        <v>267</v>
      </c>
      <c r="B190" s="105" t="s">
        <v>290</v>
      </c>
      <c r="C190" s="106">
        <v>6.0</v>
      </c>
      <c r="D190" s="105"/>
      <c r="E190" s="105" t="s">
        <v>256</v>
      </c>
      <c r="F190" s="105" t="s">
        <v>402</v>
      </c>
      <c r="G190" s="107">
        <v>45832.0</v>
      </c>
      <c r="H190" s="108">
        <v>0.041666666666666664</v>
      </c>
      <c r="I190" s="109">
        <f t="shared" si="1"/>
        <v>1</v>
      </c>
      <c r="J190" s="111" t="b">
        <v>0</v>
      </c>
      <c r="K190" s="111" t="b">
        <f t="shared" si="2"/>
        <v>1</v>
      </c>
      <c r="L190" s="90"/>
      <c r="M190" s="111" t="s">
        <v>255</v>
      </c>
    </row>
    <row r="191" hidden="1">
      <c r="A191" s="105" t="s">
        <v>267</v>
      </c>
      <c r="B191" s="105" t="s">
        <v>290</v>
      </c>
      <c r="C191" s="106">
        <v>6.0</v>
      </c>
      <c r="D191" s="105"/>
      <c r="E191" s="105" t="s">
        <v>256</v>
      </c>
      <c r="F191" s="105" t="s">
        <v>401</v>
      </c>
      <c r="G191" s="107">
        <v>45832.0</v>
      </c>
      <c r="H191" s="108">
        <v>0.0625</v>
      </c>
      <c r="I191" s="109">
        <f t="shared" si="1"/>
        <v>1.5</v>
      </c>
      <c r="J191" s="111" t="b">
        <v>0</v>
      </c>
      <c r="K191" s="111" t="b">
        <f t="shared" si="2"/>
        <v>1</v>
      </c>
      <c r="L191" s="90"/>
      <c r="M191" s="111" t="s">
        <v>255</v>
      </c>
    </row>
    <row r="192" hidden="1">
      <c r="A192" s="105" t="s">
        <v>267</v>
      </c>
      <c r="B192" s="105" t="s">
        <v>290</v>
      </c>
      <c r="C192" s="106">
        <v>6.0</v>
      </c>
      <c r="D192" s="105"/>
      <c r="E192" s="105" t="s">
        <v>256</v>
      </c>
      <c r="F192" s="105" t="s">
        <v>403</v>
      </c>
      <c r="G192" s="107">
        <v>45833.0</v>
      </c>
      <c r="H192" s="108">
        <v>0.14583333333333334</v>
      </c>
      <c r="I192" s="109">
        <f t="shared" si="1"/>
        <v>3.5</v>
      </c>
      <c r="J192" s="111" t="b">
        <v>0</v>
      </c>
      <c r="K192" s="111" t="b">
        <f t="shared" si="2"/>
        <v>1</v>
      </c>
      <c r="L192" s="90"/>
      <c r="M192" s="111" t="s">
        <v>255</v>
      </c>
    </row>
    <row r="193" hidden="1">
      <c r="A193" s="105" t="s">
        <v>104</v>
      </c>
      <c r="B193" s="105" t="s">
        <v>290</v>
      </c>
      <c r="C193" s="106">
        <v>6.0</v>
      </c>
      <c r="D193" s="105"/>
      <c r="E193" s="105" t="s">
        <v>256</v>
      </c>
      <c r="F193" s="105" t="s">
        <v>404</v>
      </c>
      <c r="G193" s="107">
        <v>45834.0</v>
      </c>
      <c r="H193" s="108">
        <v>0.08333333333333333</v>
      </c>
      <c r="I193" s="109">
        <f t="shared" si="1"/>
        <v>2</v>
      </c>
      <c r="J193" s="111" t="b">
        <v>1</v>
      </c>
      <c r="K193" s="111" t="b">
        <f t="shared" si="2"/>
        <v>1</v>
      </c>
      <c r="L193" s="112"/>
      <c r="M193" s="111" t="s">
        <v>255</v>
      </c>
    </row>
    <row r="194" hidden="1">
      <c r="A194" s="105" t="s">
        <v>215</v>
      </c>
      <c r="B194" s="105" t="s">
        <v>290</v>
      </c>
      <c r="C194" s="106">
        <v>6.0</v>
      </c>
      <c r="D194" s="105"/>
      <c r="E194" s="105" t="s">
        <v>256</v>
      </c>
      <c r="F194" s="105" t="s">
        <v>405</v>
      </c>
      <c r="G194" s="107">
        <v>45834.0</v>
      </c>
      <c r="H194" s="108">
        <v>0.020833333333333332</v>
      </c>
      <c r="I194" s="109">
        <f t="shared" si="1"/>
        <v>0.5</v>
      </c>
      <c r="J194" s="111" t="b">
        <v>1</v>
      </c>
      <c r="K194" s="111" t="b">
        <f t="shared" si="2"/>
        <v>1</v>
      </c>
      <c r="L194" s="112"/>
      <c r="M194" s="111" t="s">
        <v>255</v>
      </c>
    </row>
    <row r="195" hidden="1">
      <c r="A195" s="105" t="s">
        <v>267</v>
      </c>
      <c r="B195" s="105" t="s">
        <v>290</v>
      </c>
      <c r="C195" s="106">
        <v>6.0</v>
      </c>
      <c r="D195" s="105"/>
      <c r="E195" s="105" t="s">
        <v>256</v>
      </c>
      <c r="F195" s="105" t="s">
        <v>405</v>
      </c>
      <c r="G195" s="107">
        <v>45834.0</v>
      </c>
      <c r="H195" s="108">
        <v>0.020833333333333332</v>
      </c>
      <c r="I195" s="109">
        <f t="shared" si="1"/>
        <v>0.5</v>
      </c>
      <c r="J195" s="111" t="b">
        <v>0</v>
      </c>
      <c r="K195" s="111" t="b">
        <f t="shared" si="2"/>
        <v>1</v>
      </c>
      <c r="L195" s="112"/>
      <c r="M195" s="111" t="s">
        <v>255</v>
      </c>
    </row>
    <row r="196" hidden="1">
      <c r="A196" s="105" t="s">
        <v>92</v>
      </c>
      <c r="B196" s="105" t="s">
        <v>406</v>
      </c>
      <c r="C196" s="106">
        <v>6.0</v>
      </c>
      <c r="D196" s="105"/>
      <c r="E196" s="105" t="s">
        <v>256</v>
      </c>
      <c r="F196" s="105" t="s">
        <v>407</v>
      </c>
      <c r="G196" s="107">
        <v>45811.0</v>
      </c>
      <c r="H196" s="108">
        <v>0.020833333333333332</v>
      </c>
      <c r="I196" s="109">
        <f t="shared" si="1"/>
        <v>0.5</v>
      </c>
      <c r="J196" s="111" t="b">
        <v>1</v>
      </c>
      <c r="K196" s="111" t="b">
        <f t="shared" si="2"/>
        <v>1</v>
      </c>
      <c r="L196" s="112"/>
      <c r="M196" s="111" t="s">
        <v>255</v>
      </c>
    </row>
    <row r="197" hidden="1">
      <c r="A197" s="105" t="s">
        <v>209</v>
      </c>
      <c r="B197" s="105" t="s">
        <v>406</v>
      </c>
      <c r="C197" s="106">
        <v>6.0</v>
      </c>
      <c r="D197" s="105"/>
      <c r="E197" s="105" t="s">
        <v>256</v>
      </c>
      <c r="F197" s="105" t="s">
        <v>408</v>
      </c>
      <c r="G197" s="107">
        <v>45811.0</v>
      </c>
      <c r="H197" s="108">
        <v>0.041666666666666664</v>
      </c>
      <c r="I197" s="109">
        <f t="shared" si="1"/>
        <v>1</v>
      </c>
      <c r="J197" s="111" t="b">
        <v>1</v>
      </c>
      <c r="K197" s="111" t="b">
        <f t="shared" si="2"/>
        <v>1</v>
      </c>
      <c r="L197" s="112"/>
      <c r="M197" s="111" t="s">
        <v>255</v>
      </c>
    </row>
    <row r="198" hidden="1">
      <c r="A198" s="105" t="s">
        <v>118</v>
      </c>
      <c r="B198" s="105" t="s">
        <v>406</v>
      </c>
      <c r="C198" s="106">
        <v>6.0</v>
      </c>
      <c r="D198" s="105"/>
      <c r="E198" s="105" t="s">
        <v>252</v>
      </c>
      <c r="F198" s="105" t="s">
        <v>409</v>
      </c>
      <c r="G198" s="107">
        <v>45812.0</v>
      </c>
      <c r="H198" s="108">
        <v>0.041666666666666664</v>
      </c>
      <c r="I198" s="109">
        <f t="shared" si="1"/>
        <v>1</v>
      </c>
      <c r="J198" s="111" t="b">
        <v>1</v>
      </c>
      <c r="K198" s="111" t="b">
        <f t="shared" si="2"/>
        <v>1</v>
      </c>
      <c r="L198" s="112"/>
      <c r="M198" s="111" t="s">
        <v>255</v>
      </c>
    </row>
    <row r="199" hidden="1">
      <c r="A199" s="105" t="s">
        <v>150</v>
      </c>
      <c r="B199" s="105" t="s">
        <v>406</v>
      </c>
      <c r="C199" s="106">
        <v>6.0</v>
      </c>
      <c r="D199" s="105"/>
      <c r="E199" s="105" t="s">
        <v>252</v>
      </c>
      <c r="F199" s="105" t="s">
        <v>410</v>
      </c>
      <c r="G199" s="107">
        <v>45812.0</v>
      </c>
      <c r="H199" s="108">
        <v>0.08333333333333333</v>
      </c>
      <c r="I199" s="109">
        <f t="shared" si="1"/>
        <v>2</v>
      </c>
      <c r="J199" s="111" t="b">
        <v>0</v>
      </c>
      <c r="K199" s="111" t="b">
        <f t="shared" si="2"/>
        <v>1</v>
      </c>
      <c r="L199" s="112"/>
      <c r="M199" s="111" t="s">
        <v>255</v>
      </c>
    </row>
    <row r="200" hidden="1">
      <c r="A200" s="105" t="s">
        <v>209</v>
      </c>
      <c r="B200" s="105" t="s">
        <v>406</v>
      </c>
      <c r="C200" s="106">
        <v>6.0</v>
      </c>
      <c r="D200" s="105"/>
      <c r="E200" s="105" t="s">
        <v>256</v>
      </c>
      <c r="F200" s="105" t="s">
        <v>411</v>
      </c>
      <c r="G200" s="107">
        <v>45813.0</v>
      </c>
      <c r="H200" s="108">
        <v>0.041666666666666664</v>
      </c>
      <c r="I200" s="109">
        <f t="shared" si="1"/>
        <v>1</v>
      </c>
      <c r="J200" s="111" t="b">
        <v>1</v>
      </c>
      <c r="K200" s="111" t="b">
        <f t="shared" si="2"/>
        <v>1</v>
      </c>
      <c r="L200" s="112"/>
      <c r="M200" s="111" t="s">
        <v>255</v>
      </c>
    </row>
    <row r="201" hidden="1">
      <c r="A201" s="105" t="s">
        <v>209</v>
      </c>
      <c r="B201" s="105" t="s">
        <v>406</v>
      </c>
      <c r="C201" s="106">
        <v>6.0</v>
      </c>
      <c r="D201" s="105"/>
      <c r="E201" s="105" t="s">
        <v>256</v>
      </c>
      <c r="F201" s="105" t="s">
        <v>411</v>
      </c>
      <c r="G201" s="107">
        <v>45814.0</v>
      </c>
      <c r="H201" s="108">
        <v>0.041666666666666664</v>
      </c>
      <c r="I201" s="109">
        <f t="shared" si="1"/>
        <v>1</v>
      </c>
      <c r="J201" s="111" t="b">
        <v>1</v>
      </c>
      <c r="K201" s="111" t="b">
        <f t="shared" si="2"/>
        <v>1</v>
      </c>
      <c r="L201" s="112"/>
      <c r="M201" s="111" t="s">
        <v>255</v>
      </c>
    </row>
    <row r="202" hidden="1">
      <c r="A202" s="105" t="s">
        <v>209</v>
      </c>
      <c r="B202" s="105" t="s">
        <v>406</v>
      </c>
      <c r="C202" s="106">
        <v>6.0</v>
      </c>
      <c r="D202" s="105"/>
      <c r="E202" s="105" t="s">
        <v>256</v>
      </c>
      <c r="F202" s="105" t="s">
        <v>412</v>
      </c>
      <c r="G202" s="107">
        <v>45817.0</v>
      </c>
      <c r="H202" s="108">
        <v>0.020833333333333332</v>
      </c>
      <c r="I202" s="109">
        <f t="shared" si="1"/>
        <v>0.5</v>
      </c>
      <c r="J202" s="111" t="b">
        <v>1</v>
      </c>
      <c r="K202" s="111" t="b">
        <f t="shared" si="2"/>
        <v>1</v>
      </c>
      <c r="L202" s="112"/>
      <c r="M202" s="111" t="s">
        <v>255</v>
      </c>
    </row>
    <row r="203" hidden="1">
      <c r="A203" s="105" t="s">
        <v>150</v>
      </c>
      <c r="B203" s="105" t="s">
        <v>406</v>
      </c>
      <c r="C203" s="106">
        <v>6.0</v>
      </c>
      <c r="D203" s="105"/>
      <c r="E203" s="105" t="s">
        <v>252</v>
      </c>
      <c r="F203" s="105" t="s">
        <v>413</v>
      </c>
      <c r="G203" s="107">
        <v>45817.0</v>
      </c>
      <c r="H203" s="108">
        <v>0.020833333333333332</v>
      </c>
      <c r="I203" s="109">
        <f t="shared" si="1"/>
        <v>0.5</v>
      </c>
      <c r="J203" s="111" t="b">
        <v>0</v>
      </c>
      <c r="K203" s="111" t="b">
        <f t="shared" si="2"/>
        <v>1</v>
      </c>
      <c r="L203" s="112"/>
      <c r="M203" s="111" t="s">
        <v>255</v>
      </c>
    </row>
    <row r="204" hidden="1">
      <c r="A204" s="105" t="s">
        <v>209</v>
      </c>
      <c r="B204" s="105" t="s">
        <v>406</v>
      </c>
      <c r="C204" s="106">
        <v>6.0</v>
      </c>
      <c r="D204" s="105"/>
      <c r="E204" s="105" t="s">
        <v>256</v>
      </c>
      <c r="F204" s="105" t="s">
        <v>414</v>
      </c>
      <c r="G204" s="107">
        <v>45817.0</v>
      </c>
      <c r="H204" s="108">
        <v>0.10416666666666667</v>
      </c>
      <c r="I204" s="109">
        <f t="shared" si="1"/>
        <v>2.5</v>
      </c>
      <c r="J204" s="111" t="b">
        <v>1</v>
      </c>
      <c r="K204" s="111" t="b">
        <f t="shared" si="2"/>
        <v>1</v>
      </c>
      <c r="L204" s="112"/>
      <c r="M204" s="111" t="s">
        <v>255</v>
      </c>
    </row>
    <row r="205" hidden="1">
      <c r="A205" s="105" t="s">
        <v>209</v>
      </c>
      <c r="B205" s="105" t="s">
        <v>406</v>
      </c>
      <c r="C205" s="106">
        <v>6.0</v>
      </c>
      <c r="D205" s="105"/>
      <c r="E205" s="105" t="s">
        <v>271</v>
      </c>
      <c r="F205" s="105" t="s">
        <v>415</v>
      </c>
      <c r="G205" s="107">
        <v>45818.0</v>
      </c>
      <c r="H205" s="108">
        <v>0.041666666666666664</v>
      </c>
      <c r="I205" s="109">
        <f t="shared" si="1"/>
        <v>1</v>
      </c>
      <c r="J205" s="111" t="b">
        <v>1</v>
      </c>
      <c r="K205" s="111" t="b">
        <f t="shared" si="2"/>
        <v>0</v>
      </c>
      <c r="L205" s="112"/>
      <c r="M205" s="111" t="s">
        <v>255</v>
      </c>
    </row>
    <row r="206" hidden="1">
      <c r="A206" s="105" t="s">
        <v>92</v>
      </c>
      <c r="B206" s="105" t="s">
        <v>406</v>
      </c>
      <c r="C206" s="106">
        <v>6.0</v>
      </c>
      <c r="D206" s="105"/>
      <c r="E206" s="105" t="s">
        <v>256</v>
      </c>
      <c r="F206" s="105" t="s">
        <v>416</v>
      </c>
      <c r="G206" s="107">
        <v>45818.0</v>
      </c>
      <c r="H206" s="108">
        <v>0.020833333333333332</v>
      </c>
      <c r="I206" s="109">
        <f t="shared" si="1"/>
        <v>0.5</v>
      </c>
      <c r="J206" s="111" t="b">
        <v>1</v>
      </c>
      <c r="K206" s="111" t="b">
        <f t="shared" si="2"/>
        <v>1</v>
      </c>
      <c r="L206" s="112"/>
      <c r="M206" s="111" t="s">
        <v>255</v>
      </c>
    </row>
    <row r="207" hidden="1">
      <c r="A207" s="105" t="s">
        <v>209</v>
      </c>
      <c r="B207" s="105" t="s">
        <v>406</v>
      </c>
      <c r="C207" s="106">
        <v>6.0</v>
      </c>
      <c r="D207" s="105"/>
      <c r="E207" s="105" t="s">
        <v>271</v>
      </c>
      <c r="F207" s="105" t="s">
        <v>417</v>
      </c>
      <c r="G207" s="107">
        <v>45818.0</v>
      </c>
      <c r="H207" s="108">
        <v>0.041666666666666664</v>
      </c>
      <c r="I207" s="109">
        <f t="shared" si="1"/>
        <v>1</v>
      </c>
      <c r="J207" s="111" t="b">
        <v>1</v>
      </c>
      <c r="K207" s="111" t="b">
        <f t="shared" si="2"/>
        <v>0</v>
      </c>
      <c r="L207" s="112"/>
      <c r="M207" s="111" t="s">
        <v>255</v>
      </c>
    </row>
    <row r="208" hidden="1">
      <c r="A208" s="105" t="s">
        <v>150</v>
      </c>
      <c r="B208" s="105" t="s">
        <v>406</v>
      </c>
      <c r="C208" s="106">
        <v>6.0</v>
      </c>
      <c r="D208" s="105"/>
      <c r="E208" s="105" t="s">
        <v>252</v>
      </c>
      <c r="F208" s="105" t="s">
        <v>418</v>
      </c>
      <c r="G208" s="107">
        <v>45818.0</v>
      </c>
      <c r="H208" s="108">
        <v>0.020833333333333332</v>
      </c>
      <c r="I208" s="109">
        <f t="shared" si="1"/>
        <v>0.5</v>
      </c>
      <c r="J208" s="111" t="b">
        <v>0</v>
      </c>
      <c r="K208" s="111" t="b">
        <f t="shared" si="2"/>
        <v>1</v>
      </c>
      <c r="L208" s="112"/>
      <c r="M208" s="111" t="s">
        <v>255</v>
      </c>
    </row>
    <row r="209" hidden="1">
      <c r="A209" s="105" t="s">
        <v>209</v>
      </c>
      <c r="B209" s="105" t="s">
        <v>406</v>
      </c>
      <c r="C209" s="106">
        <v>6.0</v>
      </c>
      <c r="D209" s="105"/>
      <c r="E209" s="105" t="s">
        <v>256</v>
      </c>
      <c r="F209" s="105" t="s">
        <v>419</v>
      </c>
      <c r="G209" s="107">
        <v>45818.0</v>
      </c>
      <c r="H209" s="108">
        <v>0.020833333333333332</v>
      </c>
      <c r="I209" s="109">
        <f t="shared" si="1"/>
        <v>0.5</v>
      </c>
      <c r="J209" s="111" t="b">
        <v>1</v>
      </c>
      <c r="K209" s="111" t="b">
        <f t="shared" si="2"/>
        <v>1</v>
      </c>
      <c r="L209" s="112"/>
      <c r="M209" s="111" t="s">
        <v>255</v>
      </c>
    </row>
    <row r="210" hidden="1">
      <c r="A210" s="105" t="s">
        <v>209</v>
      </c>
      <c r="B210" s="105" t="s">
        <v>406</v>
      </c>
      <c r="C210" s="106">
        <v>6.0</v>
      </c>
      <c r="D210" s="105"/>
      <c r="E210" s="105" t="s">
        <v>256</v>
      </c>
      <c r="F210" s="105" t="s">
        <v>420</v>
      </c>
      <c r="G210" s="107">
        <v>45825.0</v>
      </c>
      <c r="H210" s="108">
        <v>0.08333333333333333</v>
      </c>
      <c r="I210" s="109">
        <f t="shared" si="1"/>
        <v>2</v>
      </c>
      <c r="J210" s="111" t="b">
        <v>1</v>
      </c>
      <c r="K210" s="111" t="b">
        <f t="shared" si="2"/>
        <v>1</v>
      </c>
      <c r="L210" s="112"/>
      <c r="M210" s="111" t="s">
        <v>255</v>
      </c>
    </row>
    <row r="211" hidden="1">
      <c r="A211" s="105" t="s">
        <v>150</v>
      </c>
      <c r="B211" s="105" t="s">
        <v>406</v>
      </c>
      <c r="C211" s="106">
        <v>6.0</v>
      </c>
      <c r="D211" s="105"/>
      <c r="E211" s="105" t="s">
        <v>252</v>
      </c>
      <c r="F211" s="105" t="s">
        <v>421</v>
      </c>
      <c r="G211" s="107">
        <v>45825.0</v>
      </c>
      <c r="H211" s="108">
        <v>0.020833333333333332</v>
      </c>
      <c r="I211" s="109">
        <f t="shared" si="1"/>
        <v>0.5</v>
      </c>
      <c r="J211" s="111" t="b">
        <v>0</v>
      </c>
      <c r="K211" s="111" t="b">
        <f t="shared" si="2"/>
        <v>1</v>
      </c>
      <c r="L211" s="112"/>
      <c r="M211" s="111" t="s">
        <v>255</v>
      </c>
    </row>
    <row r="212" hidden="1">
      <c r="A212" s="105" t="s">
        <v>92</v>
      </c>
      <c r="B212" s="105" t="s">
        <v>406</v>
      </c>
      <c r="C212" s="106">
        <v>6.0</v>
      </c>
      <c r="D212" s="105"/>
      <c r="E212" s="105" t="s">
        <v>252</v>
      </c>
      <c r="F212" s="105" t="s">
        <v>422</v>
      </c>
      <c r="G212" s="107">
        <v>45826.0</v>
      </c>
      <c r="H212" s="108">
        <v>0.0625</v>
      </c>
      <c r="I212" s="109">
        <f t="shared" si="1"/>
        <v>1.5</v>
      </c>
      <c r="J212" s="111" t="b">
        <v>1</v>
      </c>
      <c r="K212" s="111" t="b">
        <f t="shared" si="2"/>
        <v>1</v>
      </c>
      <c r="L212" s="112"/>
      <c r="M212" s="111" t="s">
        <v>255</v>
      </c>
    </row>
    <row r="213" hidden="1">
      <c r="A213" s="105" t="s">
        <v>209</v>
      </c>
      <c r="B213" s="105" t="s">
        <v>406</v>
      </c>
      <c r="C213" s="106">
        <v>6.0</v>
      </c>
      <c r="D213" s="105"/>
      <c r="E213" s="105" t="s">
        <v>256</v>
      </c>
      <c r="F213" s="105" t="s">
        <v>423</v>
      </c>
      <c r="G213" s="107">
        <v>45831.0</v>
      </c>
      <c r="H213" s="108">
        <v>0.08333333333333333</v>
      </c>
      <c r="I213" s="109">
        <f t="shared" si="1"/>
        <v>2</v>
      </c>
      <c r="J213" s="111" t="b">
        <v>1</v>
      </c>
      <c r="K213" s="111" t="b">
        <f t="shared" si="2"/>
        <v>1</v>
      </c>
      <c r="L213" s="112"/>
      <c r="M213" s="111" t="s">
        <v>255</v>
      </c>
    </row>
    <row r="214" hidden="1">
      <c r="A214" s="105" t="s">
        <v>92</v>
      </c>
      <c r="B214" s="105" t="s">
        <v>406</v>
      </c>
      <c r="C214" s="106">
        <v>6.0</v>
      </c>
      <c r="D214" s="105"/>
      <c r="E214" s="105" t="s">
        <v>256</v>
      </c>
      <c r="F214" s="105" t="s">
        <v>424</v>
      </c>
      <c r="G214" s="107">
        <v>45832.0</v>
      </c>
      <c r="H214" s="108">
        <v>0.020833333333333332</v>
      </c>
      <c r="I214" s="109">
        <f t="shared" si="1"/>
        <v>0.5</v>
      </c>
      <c r="J214" s="111" t="b">
        <v>1</v>
      </c>
      <c r="K214" s="111" t="b">
        <f t="shared" si="2"/>
        <v>1</v>
      </c>
      <c r="L214" s="112"/>
      <c r="M214" s="111" t="s">
        <v>255</v>
      </c>
    </row>
    <row r="215" hidden="1">
      <c r="A215" s="105" t="s">
        <v>150</v>
      </c>
      <c r="B215" s="105" t="s">
        <v>406</v>
      </c>
      <c r="C215" s="106">
        <v>6.0</v>
      </c>
      <c r="D215" s="105"/>
      <c r="E215" s="105" t="s">
        <v>252</v>
      </c>
      <c r="F215" s="105" t="s">
        <v>425</v>
      </c>
      <c r="G215" s="107">
        <v>45838.0</v>
      </c>
      <c r="H215" s="108">
        <v>0.020833333333333332</v>
      </c>
      <c r="I215" s="109">
        <f t="shared" si="1"/>
        <v>0.5</v>
      </c>
      <c r="J215" s="111" t="b">
        <v>0</v>
      </c>
      <c r="K215" s="111" t="b">
        <f t="shared" si="2"/>
        <v>1</v>
      </c>
      <c r="L215" s="112"/>
      <c r="M215" s="111" t="s">
        <v>255</v>
      </c>
    </row>
    <row r="216" hidden="1">
      <c r="A216" s="105" t="s">
        <v>104</v>
      </c>
      <c r="B216" s="105" t="s">
        <v>426</v>
      </c>
      <c r="C216" s="106">
        <v>4.0</v>
      </c>
      <c r="D216" s="105"/>
      <c r="E216" s="105" t="s">
        <v>427</v>
      </c>
      <c r="F216" s="105" t="s">
        <v>428</v>
      </c>
      <c r="G216" s="107">
        <v>45748.0</v>
      </c>
      <c r="H216" s="108">
        <v>0.08333333333333333</v>
      </c>
      <c r="I216" s="109">
        <f t="shared" si="1"/>
        <v>2</v>
      </c>
      <c r="J216" s="111" t="b">
        <v>1</v>
      </c>
      <c r="K216" s="111" t="b">
        <f t="shared" si="2"/>
        <v>1</v>
      </c>
      <c r="L216" s="112"/>
      <c r="M216" s="111" t="s">
        <v>255</v>
      </c>
    </row>
    <row r="217" hidden="1">
      <c r="A217" s="105" t="s">
        <v>98</v>
      </c>
      <c r="B217" s="105" t="s">
        <v>426</v>
      </c>
      <c r="C217" s="106">
        <v>4.0</v>
      </c>
      <c r="D217" s="105"/>
      <c r="E217" s="105" t="s">
        <v>256</v>
      </c>
      <c r="F217" s="105" t="s">
        <v>429</v>
      </c>
      <c r="G217" s="107">
        <v>45749.0</v>
      </c>
      <c r="H217" s="108">
        <v>0.08333333333333333</v>
      </c>
      <c r="I217" s="109">
        <f t="shared" si="1"/>
        <v>2</v>
      </c>
      <c r="J217" s="111" t="b">
        <v>1</v>
      </c>
      <c r="K217" s="111" t="b">
        <f t="shared" si="2"/>
        <v>1</v>
      </c>
      <c r="L217" s="112"/>
      <c r="M217" s="111" t="s">
        <v>255</v>
      </c>
    </row>
    <row r="218" hidden="1">
      <c r="A218" s="105" t="s">
        <v>104</v>
      </c>
      <c r="B218" s="105" t="s">
        <v>426</v>
      </c>
      <c r="C218" s="106">
        <v>4.0</v>
      </c>
      <c r="D218" s="105"/>
      <c r="E218" s="105" t="s">
        <v>256</v>
      </c>
      <c r="F218" s="105" t="s">
        <v>430</v>
      </c>
      <c r="G218" s="107">
        <v>45754.0</v>
      </c>
      <c r="H218" s="108">
        <v>0.125</v>
      </c>
      <c r="I218" s="109">
        <f t="shared" si="1"/>
        <v>3</v>
      </c>
      <c r="J218" s="111" t="b">
        <v>1</v>
      </c>
      <c r="K218" s="111" t="b">
        <f t="shared" si="2"/>
        <v>1</v>
      </c>
      <c r="L218" s="112"/>
      <c r="M218" s="111" t="s">
        <v>255</v>
      </c>
    </row>
    <row r="219" hidden="1">
      <c r="A219" s="105" t="s">
        <v>104</v>
      </c>
      <c r="B219" s="105" t="s">
        <v>426</v>
      </c>
      <c r="C219" s="106">
        <v>4.0</v>
      </c>
      <c r="D219" s="105"/>
      <c r="E219" s="105" t="s">
        <v>427</v>
      </c>
      <c r="F219" s="105" t="s">
        <v>428</v>
      </c>
      <c r="G219" s="107">
        <v>45754.0</v>
      </c>
      <c r="H219" s="108">
        <v>0.041666666666666664</v>
      </c>
      <c r="I219" s="109">
        <f t="shared" si="1"/>
        <v>1</v>
      </c>
      <c r="J219" s="111" t="b">
        <v>1</v>
      </c>
      <c r="K219" s="111" t="b">
        <f t="shared" si="2"/>
        <v>1</v>
      </c>
      <c r="L219" s="112"/>
      <c r="M219" s="111" t="s">
        <v>255</v>
      </c>
    </row>
    <row r="220" hidden="1">
      <c r="A220" s="105" t="s">
        <v>130</v>
      </c>
      <c r="B220" s="105" t="s">
        <v>426</v>
      </c>
      <c r="C220" s="106">
        <v>4.0</v>
      </c>
      <c r="D220" s="105"/>
      <c r="E220" s="105" t="s">
        <v>256</v>
      </c>
      <c r="F220" s="105" t="s">
        <v>431</v>
      </c>
      <c r="G220" s="107">
        <v>45757.0</v>
      </c>
      <c r="H220" s="108">
        <v>0.08333333333333333</v>
      </c>
      <c r="I220" s="109">
        <f t="shared" si="1"/>
        <v>2</v>
      </c>
      <c r="J220" s="111" t="b">
        <v>1</v>
      </c>
      <c r="K220" s="111" t="b">
        <f t="shared" si="2"/>
        <v>1</v>
      </c>
      <c r="L220" s="112"/>
      <c r="M220" s="111" t="s">
        <v>255</v>
      </c>
    </row>
    <row r="221" hidden="1">
      <c r="A221" s="105" t="s">
        <v>104</v>
      </c>
      <c r="B221" s="105" t="s">
        <v>426</v>
      </c>
      <c r="C221" s="106">
        <v>4.0</v>
      </c>
      <c r="D221" s="105"/>
      <c r="E221" s="105" t="s">
        <v>256</v>
      </c>
      <c r="F221" s="105" t="s">
        <v>432</v>
      </c>
      <c r="G221" s="107">
        <v>45757.0</v>
      </c>
      <c r="H221" s="108">
        <v>0.125</v>
      </c>
      <c r="I221" s="109">
        <f t="shared" si="1"/>
        <v>3</v>
      </c>
      <c r="J221" s="111" t="b">
        <v>1</v>
      </c>
      <c r="K221" s="111" t="b">
        <f t="shared" si="2"/>
        <v>1</v>
      </c>
      <c r="L221" s="112"/>
      <c r="M221" s="111" t="s">
        <v>255</v>
      </c>
    </row>
    <row r="222" hidden="1">
      <c r="A222" s="105" t="s">
        <v>104</v>
      </c>
      <c r="B222" s="105" t="s">
        <v>426</v>
      </c>
      <c r="C222" s="106">
        <v>4.0</v>
      </c>
      <c r="D222" s="105"/>
      <c r="E222" s="105" t="s">
        <v>256</v>
      </c>
      <c r="F222" s="105" t="s">
        <v>432</v>
      </c>
      <c r="G222" s="107">
        <v>45758.0</v>
      </c>
      <c r="H222" s="108">
        <v>0.125</v>
      </c>
      <c r="I222" s="109">
        <f t="shared" si="1"/>
        <v>3</v>
      </c>
      <c r="J222" s="111" t="b">
        <v>1</v>
      </c>
      <c r="K222" s="111" t="b">
        <f t="shared" si="2"/>
        <v>1</v>
      </c>
      <c r="L222" s="112"/>
      <c r="M222" s="111" t="s">
        <v>255</v>
      </c>
    </row>
    <row r="223" hidden="1">
      <c r="A223" s="105" t="s">
        <v>184</v>
      </c>
      <c r="B223" s="105" t="s">
        <v>426</v>
      </c>
      <c r="C223" s="106">
        <v>4.0</v>
      </c>
      <c r="D223" s="105"/>
      <c r="E223" s="105" t="s">
        <v>252</v>
      </c>
      <c r="F223" s="105" t="s">
        <v>433</v>
      </c>
      <c r="G223" s="107">
        <v>45762.0</v>
      </c>
      <c r="H223" s="108">
        <v>0.20833333333333334</v>
      </c>
      <c r="I223" s="109">
        <f t="shared" si="1"/>
        <v>5</v>
      </c>
      <c r="J223" s="111" t="b">
        <v>1</v>
      </c>
      <c r="K223" s="111" t="b">
        <f t="shared" si="2"/>
        <v>1</v>
      </c>
      <c r="L223" s="112"/>
      <c r="M223" s="111" t="s">
        <v>255</v>
      </c>
    </row>
    <row r="224" hidden="1">
      <c r="A224" s="105" t="s">
        <v>104</v>
      </c>
      <c r="B224" s="105" t="s">
        <v>426</v>
      </c>
      <c r="C224" s="106">
        <v>4.0</v>
      </c>
      <c r="D224" s="105"/>
      <c r="E224" s="105" t="s">
        <v>427</v>
      </c>
      <c r="F224" s="105" t="s">
        <v>428</v>
      </c>
      <c r="G224" s="107">
        <v>45763.0</v>
      </c>
      <c r="H224" s="108">
        <v>0.08333333333333333</v>
      </c>
      <c r="I224" s="109">
        <f t="shared" si="1"/>
        <v>2</v>
      </c>
      <c r="J224" s="111" t="b">
        <v>1</v>
      </c>
      <c r="K224" s="111" t="b">
        <f t="shared" si="2"/>
        <v>1</v>
      </c>
      <c r="L224" s="112"/>
      <c r="M224" s="111" t="s">
        <v>255</v>
      </c>
    </row>
    <row r="225" hidden="1">
      <c r="A225" s="105" t="s">
        <v>177</v>
      </c>
      <c r="B225" s="105" t="s">
        <v>426</v>
      </c>
      <c r="C225" s="106">
        <v>4.0</v>
      </c>
      <c r="D225" s="105"/>
      <c r="E225" s="105" t="s">
        <v>252</v>
      </c>
      <c r="F225" s="105" t="s">
        <v>434</v>
      </c>
      <c r="G225" s="107">
        <v>45769.0</v>
      </c>
      <c r="H225" s="108">
        <v>0.125</v>
      </c>
      <c r="I225" s="109">
        <f t="shared" si="1"/>
        <v>3</v>
      </c>
      <c r="J225" s="111" t="b">
        <v>1</v>
      </c>
      <c r="K225" s="111" t="b">
        <f t="shared" si="2"/>
        <v>1</v>
      </c>
      <c r="L225" s="112"/>
      <c r="M225" s="111" t="s">
        <v>255</v>
      </c>
    </row>
    <row r="226" hidden="1">
      <c r="A226" s="105" t="s">
        <v>104</v>
      </c>
      <c r="B226" s="105" t="s">
        <v>426</v>
      </c>
      <c r="C226" s="106">
        <v>4.0</v>
      </c>
      <c r="D226" s="105"/>
      <c r="E226" s="105" t="s">
        <v>256</v>
      </c>
      <c r="F226" s="105" t="s">
        <v>435</v>
      </c>
      <c r="G226" s="107">
        <v>45772.0</v>
      </c>
      <c r="H226" s="108">
        <v>0.041666666666666664</v>
      </c>
      <c r="I226" s="109">
        <f t="shared" si="1"/>
        <v>1</v>
      </c>
      <c r="J226" s="111" t="b">
        <v>1</v>
      </c>
      <c r="K226" s="111" t="b">
        <f t="shared" si="2"/>
        <v>1</v>
      </c>
      <c r="L226" s="112"/>
      <c r="M226" s="111" t="s">
        <v>255</v>
      </c>
    </row>
    <row r="227" hidden="1">
      <c r="A227" s="105" t="s">
        <v>177</v>
      </c>
      <c r="B227" s="105" t="s">
        <v>426</v>
      </c>
      <c r="C227" s="106">
        <v>4.0</v>
      </c>
      <c r="D227" s="105"/>
      <c r="E227" s="105" t="s">
        <v>252</v>
      </c>
      <c r="F227" s="105" t="s">
        <v>434</v>
      </c>
      <c r="G227" s="107">
        <v>45776.0</v>
      </c>
      <c r="H227" s="108">
        <v>0.041666666666666664</v>
      </c>
      <c r="I227" s="109">
        <f t="shared" si="1"/>
        <v>1</v>
      </c>
      <c r="J227" s="111" t="b">
        <v>1</v>
      </c>
      <c r="K227" s="111" t="b">
        <f t="shared" si="2"/>
        <v>1</v>
      </c>
      <c r="L227" s="112"/>
      <c r="M227" s="111" t="s">
        <v>255</v>
      </c>
    </row>
    <row r="228" hidden="1">
      <c r="A228" s="105" t="s">
        <v>130</v>
      </c>
      <c r="B228" s="105" t="s">
        <v>426</v>
      </c>
      <c r="C228" s="106">
        <v>4.0</v>
      </c>
      <c r="D228" s="105"/>
      <c r="E228" s="105" t="s">
        <v>256</v>
      </c>
      <c r="F228" s="105" t="s">
        <v>431</v>
      </c>
      <c r="G228" s="107">
        <v>45777.0</v>
      </c>
      <c r="H228" s="108">
        <v>0.125</v>
      </c>
      <c r="I228" s="109">
        <f t="shared" si="1"/>
        <v>3</v>
      </c>
      <c r="J228" s="111" t="b">
        <v>1</v>
      </c>
      <c r="K228" s="111" t="b">
        <f t="shared" si="2"/>
        <v>1</v>
      </c>
      <c r="L228" s="112"/>
      <c r="M228" s="111" t="s">
        <v>255</v>
      </c>
    </row>
    <row r="229" hidden="1">
      <c r="A229" s="105" t="s">
        <v>104</v>
      </c>
      <c r="B229" s="105" t="s">
        <v>426</v>
      </c>
      <c r="C229" s="106">
        <v>4.0</v>
      </c>
      <c r="D229" s="105"/>
      <c r="E229" s="105" t="s">
        <v>271</v>
      </c>
      <c r="F229" s="105" t="s">
        <v>435</v>
      </c>
      <c r="G229" s="107">
        <v>45777.0</v>
      </c>
      <c r="H229" s="108">
        <v>0.125</v>
      </c>
      <c r="I229" s="109">
        <f t="shared" si="1"/>
        <v>3</v>
      </c>
      <c r="J229" s="111" t="b">
        <v>1</v>
      </c>
      <c r="K229" s="111" t="b">
        <f t="shared" si="2"/>
        <v>0</v>
      </c>
      <c r="L229" s="112"/>
      <c r="M229" s="111" t="s">
        <v>255</v>
      </c>
    </row>
    <row r="230" hidden="1">
      <c r="A230" s="105" t="s">
        <v>190</v>
      </c>
      <c r="B230" s="105" t="s">
        <v>426</v>
      </c>
      <c r="C230" s="106">
        <v>5.0</v>
      </c>
      <c r="D230" s="105"/>
      <c r="E230" s="105" t="s">
        <v>252</v>
      </c>
      <c r="F230" s="105" t="s">
        <v>436</v>
      </c>
      <c r="G230" s="107">
        <v>45785.0</v>
      </c>
      <c r="H230" s="108">
        <v>0.125</v>
      </c>
      <c r="I230" s="109">
        <f t="shared" si="1"/>
        <v>3</v>
      </c>
      <c r="J230" s="111" t="b">
        <v>1</v>
      </c>
      <c r="K230" s="111" t="b">
        <f t="shared" si="2"/>
        <v>1</v>
      </c>
      <c r="L230" s="112"/>
      <c r="M230" s="111" t="s">
        <v>255</v>
      </c>
    </row>
    <row r="231" hidden="1">
      <c r="A231" s="105" t="s">
        <v>104</v>
      </c>
      <c r="B231" s="105" t="s">
        <v>426</v>
      </c>
      <c r="C231" s="106">
        <v>5.0</v>
      </c>
      <c r="D231" s="105"/>
      <c r="E231" s="105" t="s">
        <v>427</v>
      </c>
      <c r="F231" s="105" t="s">
        <v>437</v>
      </c>
      <c r="G231" s="113">
        <v>45785.0</v>
      </c>
      <c r="H231" s="108">
        <v>0.125</v>
      </c>
      <c r="I231" s="109">
        <f t="shared" si="1"/>
        <v>3</v>
      </c>
      <c r="J231" s="111" t="b">
        <v>1</v>
      </c>
      <c r="K231" s="111" t="b">
        <f t="shared" si="2"/>
        <v>1</v>
      </c>
      <c r="L231" s="112"/>
      <c r="M231" s="111" t="s">
        <v>255</v>
      </c>
    </row>
    <row r="232" hidden="1">
      <c r="A232" s="105" t="s">
        <v>104</v>
      </c>
      <c r="B232" s="105" t="s">
        <v>426</v>
      </c>
      <c r="C232" s="106">
        <v>5.0</v>
      </c>
      <c r="D232" s="105"/>
      <c r="E232" s="105" t="s">
        <v>256</v>
      </c>
      <c r="F232" s="105" t="s">
        <v>438</v>
      </c>
      <c r="G232" s="113">
        <v>45786.0</v>
      </c>
      <c r="H232" s="108">
        <v>0.08333333333333333</v>
      </c>
      <c r="I232" s="109">
        <f t="shared" si="1"/>
        <v>2</v>
      </c>
      <c r="J232" s="111" t="b">
        <v>1</v>
      </c>
      <c r="K232" s="111" t="b">
        <f t="shared" si="2"/>
        <v>1</v>
      </c>
      <c r="L232" s="112"/>
      <c r="M232" s="111" t="s">
        <v>255</v>
      </c>
    </row>
    <row r="233" hidden="1">
      <c r="A233" s="105" t="s">
        <v>104</v>
      </c>
      <c r="B233" s="105" t="s">
        <v>426</v>
      </c>
      <c r="C233" s="106">
        <v>5.0</v>
      </c>
      <c r="D233" s="105"/>
      <c r="E233" s="105" t="s">
        <v>252</v>
      </c>
      <c r="F233" s="105" t="s">
        <v>436</v>
      </c>
      <c r="G233" s="113">
        <v>45789.0</v>
      </c>
      <c r="H233" s="108">
        <v>0.125</v>
      </c>
      <c r="I233" s="109">
        <f t="shared" si="1"/>
        <v>3</v>
      </c>
      <c r="J233" s="111" t="b">
        <v>1</v>
      </c>
      <c r="K233" s="111" t="b">
        <f t="shared" si="2"/>
        <v>1</v>
      </c>
      <c r="L233" s="112"/>
      <c r="M233" s="111" t="s">
        <v>255</v>
      </c>
    </row>
    <row r="234" hidden="1">
      <c r="A234" s="105" t="s">
        <v>184</v>
      </c>
      <c r="B234" s="105" t="s">
        <v>426</v>
      </c>
      <c r="C234" s="106">
        <v>5.0</v>
      </c>
      <c r="D234" s="105"/>
      <c r="E234" s="105" t="s">
        <v>252</v>
      </c>
      <c r="F234" s="105" t="s">
        <v>433</v>
      </c>
      <c r="G234" s="113">
        <v>45790.0</v>
      </c>
      <c r="H234" s="108">
        <v>0.08333333333333333</v>
      </c>
      <c r="I234" s="109">
        <f t="shared" si="1"/>
        <v>2</v>
      </c>
      <c r="J234" s="111" t="b">
        <v>1</v>
      </c>
      <c r="K234" s="111" t="b">
        <f t="shared" si="2"/>
        <v>1</v>
      </c>
      <c r="L234" s="112"/>
      <c r="M234" s="111" t="s">
        <v>255</v>
      </c>
    </row>
    <row r="235" hidden="1">
      <c r="A235" s="105" t="s">
        <v>177</v>
      </c>
      <c r="B235" s="105" t="s">
        <v>426</v>
      </c>
      <c r="C235" s="106">
        <v>5.0</v>
      </c>
      <c r="D235" s="105"/>
      <c r="E235" s="105" t="s">
        <v>252</v>
      </c>
      <c r="F235" s="105" t="s">
        <v>434</v>
      </c>
      <c r="G235" s="113">
        <v>45790.0</v>
      </c>
      <c r="H235" s="108">
        <v>0.125</v>
      </c>
      <c r="I235" s="109">
        <f t="shared" si="1"/>
        <v>3</v>
      </c>
      <c r="J235" s="111" t="b">
        <v>1</v>
      </c>
      <c r="K235" s="111" t="b">
        <f t="shared" si="2"/>
        <v>1</v>
      </c>
      <c r="L235" s="112"/>
      <c r="M235" s="111" t="s">
        <v>255</v>
      </c>
    </row>
    <row r="236" hidden="1">
      <c r="A236" s="105" t="s">
        <v>215</v>
      </c>
      <c r="B236" s="105" t="s">
        <v>426</v>
      </c>
      <c r="C236" s="106">
        <v>5.0</v>
      </c>
      <c r="D236" s="105"/>
      <c r="E236" s="105" t="s">
        <v>256</v>
      </c>
      <c r="F236" s="105" t="s">
        <v>439</v>
      </c>
      <c r="G236" s="113">
        <v>45791.0</v>
      </c>
      <c r="H236" s="108">
        <v>0.16666666666666666</v>
      </c>
      <c r="I236" s="109">
        <f t="shared" si="1"/>
        <v>4</v>
      </c>
      <c r="J236" s="111" t="b">
        <v>1</v>
      </c>
      <c r="K236" s="111" t="b">
        <f t="shared" si="2"/>
        <v>1</v>
      </c>
      <c r="L236" s="112"/>
      <c r="M236" s="111" t="s">
        <v>255</v>
      </c>
    </row>
    <row r="237" hidden="1">
      <c r="A237" s="105" t="s">
        <v>184</v>
      </c>
      <c r="B237" s="105" t="s">
        <v>426</v>
      </c>
      <c r="C237" s="106">
        <v>5.0</v>
      </c>
      <c r="D237" s="105"/>
      <c r="E237" s="105" t="s">
        <v>252</v>
      </c>
      <c r="F237" s="105" t="s">
        <v>433</v>
      </c>
      <c r="G237" s="113">
        <v>45796.0</v>
      </c>
      <c r="H237" s="108">
        <v>0.125</v>
      </c>
      <c r="I237" s="109">
        <f t="shared" si="1"/>
        <v>3</v>
      </c>
      <c r="J237" s="111" t="b">
        <v>1</v>
      </c>
      <c r="K237" s="111" t="b">
        <f t="shared" si="2"/>
        <v>1</v>
      </c>
      <c r="L237" s="112"/>
      <c r="M237" s="111" t="s">
        <v>255</v>
      </c>
    </row>
    <row r="238" hidden="1">
      <c r="A238" s="105" t="s">
        <v>104</v>
      </c>
      <c r="B238" s="105" t="s">
        <v>426</v>
      </c>
      <c r="C238" s="106">
        <v>5.0</v>
      </c>
      <c r="D238" s="105"/>
      <c r="E238" s="105" t="s">
        <v>256</v>
      </c>
      <c r="F238" s="105" t="s">
        <v>432</v>
      </c>
      <c r="G238" s="107">
        <v>45796.0</v>
      </c>
      <c r="H238" s="108">
        <v>0.08333333333333333</v>
      </c>
      <c r="I238" s="109">
        <f t="shared" si="1"/>
        <v>2</v>
      </c>
      <c r="J238" s="111" t="b">
        <v>1</v>
      </c>
      <c r="K238" s="111" t="b">
        <f t="shared" si="2"/>
        <v>1</v>
      </c>
      <c r="L238" s="112"/>
      <c r="M238" s="111" t="s">
        <v>255</v>
      </c>
    </row>
    <row r="239" hidden="1">
      <c r="A239" s="105" t="s">
        <v>98</v>
      </c>
      <c r="B239" s="105" t="s">
        <v>426</v>
      </c>
      <c r="C239" s="106">
        <v>5.0</v>
      </c>
      <c r="D239" s="105"/>
      <c r="E239" s="105" t="s">
        <v>256</v>
      </c>
      <c r="F239" s="105" t="s">
        <v>440</v>
      </c>
      <c r="G239" s="113">
        <v>45797.0</v>
      </c>
      <c r="H239" s="108">
        <v>0.125</v>
      </c>
      <c r="I239" s="109">
        <f t="shared" si="1"/>
        <v>3</v>
      </c>
      <c r="J239" s="111" t="b">
        <v>1</v>
      </c>
      <c r="K239" s="111" t="b">
        <f t="shared" si="2"/>
        <v>1</v>
      </c>
      <c r="L239" s="112"/>
      <c r="M239" s="111" t="s">
        <v>255</v>
      </c>
    </row>
    <row r="240" hidden="1">
      <c r="A240" s="105" t="s">
        <v>104</v>
      </c>
      <c r="B240" s="105" t="s">
        <v>426</v>
      </c>
      <c r="C240" s="106">
        <v>5.0</v>
      </c>
      <c r="D240" s="105"/>
      <c r="E240" s="105" t="s">
        <v>256</v>
      </c>
      <c r="F240" s="105" t="s">
        <v>441</v>
      </c>
      <c r="G240" s="113">
        <v>45797.0</v>
      </c>
      <c r="H240" s="108">
        <v>0.125</v>
      </c>
      <c r="I240" s="109">
        <f t="shared" si="1"/>
        <v>3</v>
      </c>
      <c r="J240" s="111" t="b">
        <v>1</v>
      </c>
      <c r="K240" s="111" t="b">
        <f t="shared" si="2"/>
        <v>1</v>
      </c>
      <c r="L240" s="112"/>
      <c r="M240" s="111" t="s">
        <v>255</v>
      </c>
    </row>
    <row r="241" hidden="1">
      <c r="A241" s="105" t="s">
        <v>215</v>
      </c>
      <c r="B241" s="105" t="s">
        <v>426</v>
      </c>
      <c r="C241" s="106">
        <v>2.0</v>
      </c>
      <c r="D241" s="105"/>
      <c r="E241" s="105"/>
      <c r="F241" s="105" t="s">
        <v>439</v>
      </c>
      <c r="G241" s="113">
        <v>45714.0</v>
      </c>
      <c r="H241" s="108">
        <v>0.08333333333333333</v>
      </c>
      <c r="I241" s="109">
        <f t="shared" si="1"/>
        <v>2</v>
      </c>
      <c r="J241" s="111" t="b">
        <v>1</v>
      </c>
      <c r="K241" s="111" t="b">
        <f t="shared" si="2"/>
        <v>0</v>
      </c>
      <c r="L241" s="112"/>
      <c r="M241" s="111" t="s">
        <v>255</v>
      </c>
    </row>
    <row r="242" hidden="1">
      <c r="A242" s="105" t="s">
        <v>98</v>
      </c>
      <c r="B242" s="105" t="s">
        <v>426</v>
      </c>
      <c r="C242" s="106">
        <v>2.0</v>
      </c>
      <c r="D242" s="105"/>
      <c r="E242" s="105"/>
      <c r="F242" s="105" t="s">
        <v>440</v>
      </c>
      <c r="G242" s="113">
        <v>45715.0</v>
      </c>
      <c r="H242" s="108">
        <v>0.125</v>
      </c>
      <c r="I242" s="109">
        <f t="shared" si="1"/>
        <v>3</v>
      </c>
      <c r="J242" s="111" t="b">
        <v>1</v>
      </c>
      <c r="K242" s="111" t="b">
        <f t="shared" si="2"/>
        <v>0</v>
      </c>
      <c r="L242" s="112"/>
      <c r="M242" s="111" t="s">
        <v>255</v>
      </c>
    </row>
    <row r="243" hidden="1">
      <c r="A243" s="105" t="s">
        <v>190</v>
      </c>
      <c r="B243" s="105" t="s">
        <v>426</v>
      </c>
      <c r="C243" s="106">
        <v>2.0</v>
      </c>
      <c r="D243" s="105"/>
      <c r="E243" s="105"/>
      <c r="F243" s="105" t="s">
        <v>436</v>
      </c>
      <c r="G243" s="113">
        <v>45716.0</v>
      </c>
      <c r="H243" s="108">
        <v>0.125</v>
      </c>
      <c r="I243" s="109">
        <f t="shared" si="1"/>
        <v>3</v>
      </c>
      <c r="J243" s="111" t="b">
        <v>1</v>
      </c>
      <c r="K243" s="111" t="b">
        <f t="shared" si="2"/>
        <v>0</v>
      </c>
      <c r="L243" s="112"/>
      <c r="M243" s="111" t="s">
        <v>255</v>
      </c>
    </row>
    <row r="244" hidden="1">
      <c r="A244" s="105" t="s">
        <v>98</v>
      </c>
      <c r="B244" s="105" t="s">
        <v>426</v>
      </c>
      <c r="C244" s="106">
        <v>5.0</v>
      </c>
      <c r="D244" s="105"/>
      <c r="E244" s="105" t="s">
        <v>256</v>
      </c>
      <c r="F244" s="105" t="s">
        <v>440</v>
      </c>
      <c r="G244" s="113">
        <v>45806.0</v>
      </c>
      <c r="H244" s="108">
        <v>0.08333333333333333</v>
      </c>
      <c r="I244" s="109">
        <f t="shared" si="1"/>
        <v>2</v>
      </c>
      <c r="J244" s="111" t="b">
        <v>1</v>
      </c>
      <c r="K244" s="111" t="b">
        <f t="shared" si="2"/>
        <v>1</v>
      </c>
      <c r="L244" s="112"/>
      <c r="M244" s="111" t="s">
        <v>255</v>
      </c>
    </row>
    <row r="245" hidden="1">
      <c r="A245" s="105" t="s">
        <v>293</v>
      </c>
      <c r="B245" s="105" t="s">
        <v>251</v>
      </c>
      <c r="C245" s="106">
        <v>7.0</v>
      </c>
      <c r="D245" s="105"/>
      <c r="E245" s="105" t="s">
        <v>252</v>
      </c>
      <c r="F245" s="105" t="s">
        <v>442</v>
      </c>
      <c r="G245" s="113">
        <v>45839.0</v>
      </c>
      <c r="H245" s="108">
        <v>0.020833333333333332</v>
      </c>
      <c r="I245" s="109">
        <f t="shared" si="1"/>
        <v>0.5</v>
      </c>
      <c r="J245" s="111" t="b">
        <v>0</v>
      </c>
      <c r="K245" s="111" t="b">
        <f t="shared" si="2"/>
        <v>1</v>
      </c>
      <c r="L245" s="112"/>
      <c r="M245" s="111" t="s">
        <v>255</v>
      </c>
    </row>
    <row r="246" hidden="1">
      <c r="A246" s="105" t="s">
        <v>124</v>
      </c>
      <c r="B246" s="105" t="s">
        <v>251</v>
      </c>
      <c r="C246" s="106">
        <v>7.0</v>
      </c>
      <c r="D246" s="105"/>
      <c r="E246" s="105" t="s">
        <v>252</v>
      </c>
      <c r="F246" s="105" t="s">
        <v>443</v>
      </c>
      <c r="G246" s="113">
        <v>45839.0</v>
      </c>
      <c r="H246" s="108">
        <v>0.020833333333333332</v>
      </c>
      <c r="I246" s="109">
        <f t="shared" si="1"/>
        <v>0.5</v>
      </c>
      <c r="J246" s="111" t="b">
        <v>1</v>
      </c>
      <c r="K246" s="111" t="b">
        <f t="shared" si="2"/>
        <v>1</v>
      </c>
      <c r="L246" s="112"/>
      <c r="M246" s="111" t="s">
        <v>255</v>
      </c>
    </row>
    <row r="247" hidden="1">
      <c r="A247" s="105" t="s">
        <v>124</v>
      </c>
      <c r="B247" s="105" t="s">
        <v>251</v>
      </c>
      <c r="C247" s="106">
        <v>7.0</v>
      </c>
      <c r="D247" s="105"/>
      <c r="E247" s="105" t="s">
        <v>252</v>
      </c>
      <c r="F247" s="105" t="s">
        <v>444</v>
      </c>
      <c r="G247" s="113">
        <v>45841.0</v>
      </c>
      <c r="H247" s="108">
        <v>0.125</v>
      </c>
      <c r="I247" s="109">
        <f t="shared" si="1"/>
        <v>3</v>
      </c>
      <c r="J247" s="111" t="b">
        <v>1</v>
      </c>
      <c r="K247" s="111" t="b">
        <f t="shared" si="2"/>
        <v>1</v>
      </c>
      <c r="L247" s="112"/>
      <c r="M247" s="111" t="s">
        <v>255</v>
      </c>
    </row>
    <row r="248" hidden="1">
      <c r="A248" s="105" t="s">
        <v>124</v>
      </c>
      <c r="B248" s="105" t="s">
        <v>251</v>
      </c>
      <c r="C248" s="106">
        <v>7.0</v>
      </c>
      <c r="D248" s="105"/>
      <c r="E248" s="105" t="s">
        <v>252</v>
      </c>
      <c r="F248" s="105" t="s">
        <v>444</v>
      </c>
      <c r="G248" s="107">
        <v>45841.0</v>
      </c>
      <c r="H248" s="108">
        <v>0.08333333333333333</v>
      </c>
      <c r="I248" s="109">
        <f t="shared" si="1"/>
        <v>2</v>
      </c>
      <c r="J248" s="111" t="b">
        <v>1</v>
      </c>
      <c r="K248" s="111" t="b">
        <f t="shared" si="2"/>
        <v>1</v>
      </c>
      <c r="L248" s="112"/>
      <c r="M248" s="111" t="s">
        <v>255</v>
      </c>
    </row>
    <row r="249" hidden="1">
      <c r="A249" s="105" t="s">
        <v>124</v>
      </c>
      <c r="B249" s="105" t="s">
        <v>251</v>
      </c>
      <c r="C249" s="106">
        <v>7.0</v>
      </c>
      <c r="D249" s="105"/>
      <c r="E249" s="105" t="s">
        <v>252</v>
      </c>
      <c r="F249" s="105" t="s">
        <v>382</v>
      </c>
      <c r="G249" s="113">
        <v>45841.0</v>
      </c>
      <c r="H249" s="108">
        <v>0.013888888888888888</v>
      </c>
      <c r="I249" s="109">
        <f t="shared" si="1"/>
        <v>0.3333333333</v>
      </c>
      <c r="J249" s="111" t="b">
        <v>1</v>
      </c>
      <c r="K249" s="111" t="b">
        <f t="shared" si="2"/>
        <v>1</v>
      </c>
      <c r="L249" s="112"/>
      <c r="M249" s="111" t="s">
        <v>255</v>
      </c>
    </row>
    <row r="250" hidden="1">
      <c r="A250" s="105" t="s">
        <v>124</v>
      </c>
      <c r="B250" s="105" t="s">
        <v>251</v>
      </c>
      <c r="C250" s="106">
        <v>7.0</v>
      </c>
      <c r="D250" s="105"/>
      <c r="E250" s="105" t="s">
        <v>252</v>
      </c>
      <c r="F250" s="105" t="s">
        <v>445</v>
      </c>
      <c r="G250" s="107">
        <v>45842.0</v>
      </c>
      <c r="H250" s="108">
        <v>0.0625</v>
      </c>
      <c r="I250" s="109">
        <f t="shared" si="1"/>
        <v>1.5</v>
      </c>
      <c r="J250" s="111" t="b">
        <v>1</v>
      </c>
      <c r="K250" s="111" t="b">
        <f t="shared" si="2"/>
        <v>1</v>
      </c>
      <c r="L250" s="112"/>
      <c r="M250" s="111" t="s">
        <v>255</v>
      </c>
    </row>
    <row r="251" hidden="1">
      <c r="A251" s="105" t="s">
        <v>124</v>
      </c>
      <c r="B251" s="105" t="s">
        <v>251</v>
      </c>
      <c r="C251" s="106">
        <v>7.0</v>
      </c>
      <c r="D251" s="105"/>
      <c r="E251" s="105" t="s">
        <v>252</v>
      </c>
      <c r="F251" s="105" t="s">
        <v>445</v>
      </c>
      <c r="G251" s="113">
        <v>45842.0</v>
      </c>
      <c r="H251" s="108">
        <v>0.08333333333333333</v>
      </c>
      <c r="I251" s="109">
        <f t="shared" si="1"/>
        <v>2</v>
      </c>
      <c r="J251" s="111" t="b">
        <v>1</v>
      </c>
      <c r="K251" s="111" t="b">
        <f t="shared" si="2"/>
        <v>1</v>
      </c>
      <c r="L251" s="112"/>
      <c r="M251" s="111" t="s">
        <v>255</v>
      </c>
    </row>
    <row r="252" hidden="1">
      <c r="A252" s="105" t="s">
        <v>124</v>
      </c>
      <c r="B252" s="105" t="s">
        <v>251</v>
      </c>
      <c r="C252" s="106">
        <v>7.0</v>
      </c>
      <c r="D252" s="105"/>
      <c r="E252" s="105" t="s">
        <v>252</v>
      </c>
      <c r="F252" s="105" t="s">
        <v>446</v>
      </c>
      <c r="G252" s="113">
        <v>45842.0</v>
      </c>
      <c r="H252" s="108">
        <v>0.125</v>
      </c>
      <c r="I252" s="109">
        <f t="shared" si="1"/>
        <v>3</v>
      </c>
      <c r="J252" s="111" t="b">
        <v>1</v>
      </c>
      <c r="K252" s="111" t="b">
        <f t="shared" si="2"/>
        <v>1</v>
      </c>
      <c r="L252" s="112"/>
      <c r="M252" s="111" t="s">
        <v>255</v>
      </c>
    </row>
    <row r="253" hidden="1">
      <c r="A253" s="105" t="s">
        <v>124</v>
      </c>
      <c r="B253" s="105" t="s">
        <v>251</v>
      </c>
      <c r="C253" s="106">
        <v>7.0</v>
      </c>
      <c r="D253" s="105"/>
      <c r="E253" s="105" t="s">
        <v>252</v>
      </c>
      <c r="F253" s="105" t="s">
        <v>447</v>
      </c>
      <c r="G253" s="113">
        <v>45848.0</v>
      </c>
      <c r="H253" s="108">
        <v>0.125</v>
      </c>
      <c r="I253" s="109">
        <f t="shared" si="1"/>
        <v>3</v>
      </c>
      <c r="J253" s="111" t="b">
        <v>1</v>
      </c>
      <c r="K253" s="111" t="b">
        <f t="shared" si="2"/>
        <v>1</v>
      </c>
      <c r="L253" s="90"/>
      <c r="M253" s="111" t="s">
        <v>255</v>
      </c>
    </row>
    <row r="254" hidden="1">
      <c r="A254" s="105" t="s">
        <v>171</v>
      </c>
      <c r="B254" s="105" t="s">
        <v>251</v>
      </c>
      <c r="C254" s="106">
        <v>7.0</v>
      </c>
      <c r="D254" s="105"/>
      <c r="E254" s="105" t="s">
        <v>252</v>
      </c>
      <c r="F254" s="105" t="s">
        <v>375</v>
      </c>
      <c r="G254" s="113">
        <v>45848.0</v>
      </c>
      <c r="H254" s="108">
        <v>0.08333333333333333</v>
      </c>
      <c r="I254" s="109">
        <f t="shared" si="1"/>
        <v>2</v>
      </c>
      <c r="J254" s="111" t="b">
        <v>0</v>
      </c>
      <c r="K254" s="111" t="b">
        <f t="shared" si="2"/>
        <v>1</v>
      </c>
      <c r="L254" s="90"/>
      <c r="M254" s="111" t="s">
        <v>255</v>
      </c>
    </row>
    <row r="255" hidden="1">
      <c r="A255" s="105" t="s">
        <v>124</v>
      </c>
      <c r="B255" s="105" t="s">
        <v>251</v>
      </c>
      <c r="C255" s="106">
        <v>7.0</v>
      </c>
      <c r="D255" s="105"/>
      <c r="E255" s="105" t="s">
        <v>252</v>
      </c>
      <c r="F255" s="105" t="s">
        <v>447</v>
      </c>
      <c r="G255" s="113">
        <v>45852.0</v>
      </c>
      <c r="H255" s="108">
        <v>0.08333333333333333</v>
      </c>
      <c r="I255" s="109">
        <f t="shared" si="1"/>
        <v>2</v>
      </c>
      <c r="J255" s="111" t="b">
        <v>1</v>
      </c>
      <c r="K255" s="111" t="b">
        <f t="shared" si="2"/>
        <v>1</v>
      </c>
      <c r="L255" s="90"/>
      <c r="M255" s="111" t="s">
        <v>255</v>
      </c>
    </row>
    <row r="256" hidden="1">
      <c r="A256" s="105" t="s">
        <v>118</v>
      </c>
      <c r="B256" s="105" t="s">
        <v>251</v>
      </c>
      <c r="C256" s="106">
        <v>7.0</v>
      </c>
      <c r="D256" s="105"/>
      <c r="E256" s="105" t="s">
        <v>252</v>
      </c>
      <c r="F256" s="105" t="s">
        <v>447</v>
      </c>
      <c r="G256" s="113">
        <v>45856.0</v>
      </c>
      <c r="H256" s="108">
        <v>0.041666666666666664</v>
      </c>
      <c r="I256" s="109">
        <f t="shared" si="1"/>
        <v>1</v>
      </c>
      <c r="J256" s="111" t="b">
        <v>1</v>
      </c>
      <c r="K256" s="111" t="b">
        <f t="shared" si="2"/>
        <v>1</v>
      </c>
      <c r="L256" s="90"/>
      <c r="M256" s="111" t="s">
        <v>255</v>
      </c>
    </row>
    <row r="257" hidden="1">
      <c r="A257" s="105" t="s">
        <v>130</v>
      </c>
      <c r="B257" s="105" t="s">
        <v>251</v>
      </c>
      <c r="C257" s="106">
        <v>7.0</v>
      </c>
      <c r="D257" s="105"/>
      <c r="E257" s="105" t="s">
        <v>252</v>
      </c>
      <c r="F257" s="105" t="s">
        <v>448</v>
      </c>
      <c r="G257" s="113">
        <v>45863.0</v>
      </c>
      <c r="H257" s="108">
        <v>0.125</v>
      </c>
      <c r="I257" s="109">
        <f t="shared" si="1"/>
        <v>3</v>
      </c>
      <c r="J257" s="111" t="b">
        <v>1</v>
      </c>
      <c r="K257" s="111" t="b">
        <f t="shared" si="2"/>
        <v>1</v>
      </c>
      <c r="L257" s="90"/>
      <c r="M257" s="111" t="s">
        <v>255</v>
      </c>
    </row>
    <row r="258" hidden="1">
      <c r="A258" s="105" t="s">
        <v>124</v>
      </c>
      <c r="B258" s="105" t="s">
        <v>251</v>
      </c>
      <c r="C258" s="106">
        <v>7.0</v>
      </c>
      <c r="D258" s="105"/>
      <c r="E258" s="105" t="s">
        <v>252</v>
      </c>
      <c r="F258" s="105" t="s">
        <v>449</v>
      </c>
      <c r="G258" s="113">
        <v>45863.0</v>
      </c>
      <c r="H258" s="108">
        <v>0.0625</v>
      </c>
      <c r="I258" s="109">
        <f t="shared" si="1"/>
        <v>1.5</v>
      </c>
      <c r="J258" s="111" t="b">
        <v>1</v>
      </c>
      <c r="K258" s="111" t="b">
        <f t="shared" si="2"/>
        <v>1</v>
      </c>
      <c r="L258" s="90"/>
      <c r="M258" s="111" t="s">
        <v>255</v>
      </c>
    </row>
    <row r="259" hidden="1">
      <c r="A259" s="105" t="s">
        <v>124</v>
      </c>
      <c r="B259" s="105" t="s">
        <v>251</v>
      </c>
      <c r="C259" s="106">
        <v>7.0</v>
      </c>
      <c r="D259" s="105"/>
      <c r="E259" s="105" t="s">
        <v>252</v>
      </c>
      <c r="F259" s="105" t="s">
        <v>447</v>
      </c>
      <c r="G259" s="113">
        <v>45869.0</v>
      </c>
      <c r="H259" s="108">
        <v>0.08333333333333333</v>
      </c>
      <c r="I259" s="109">
        <f t="shared" si="1"/>
        <v>2</v>
      </c>
      <c r="J259" s="111" t="b">
        <v>1</v>
      </c>
      <c r="K259" s="111" t="b">
        <f t="shared" si="2"/>
        <v>1</v>
      </c>
      <c r="L259" s="90"/>
      <c r="M259" s="111" t="s">
        <v>255</v>
      </c>
    </row>
    <row r="260" hidden="1">
      <c r="A260" s="105" t="s">
        <v>171</v>
      </c>
      <c r="B260" s="105" t="s">
        <v>251</v>
      </c>
      <c r="C260" s="106">
        <v>7.0</v>
      </c>
      <c r="D260" s="105"/>
      <c r="E260" s="105" t="s">
        <v>252</v>
      </c>
      <c r="F260" s="105" t="s">
        <v>375</v>
      </c>
      <c r="G260" s="113">
        <v>45869.0</v>
      </c>
      <c r="H260" s="108">
        <v>0.10416666666666667</v>
      </c>
      <c r="I260" s="109">
        <f t="shared" si="1"/>
        <v>2.5</v>
      </c>
      <c r="J260" s="111" t="b">
        <v>0</v>
      </c>
      <c r="K260" s="111" t="b">
        <f t="shared" si="2"/>
        <v>1</v>
      </c>
      <c r="L260" s="90"/>
      <c r="M260" s="111" t="s">
        <v>255</v>
      </c>
    </row>
    <row r="261" hidden="1">
      <c r="A261" s="105" t="s">
        <v>260</v>
      </c>
      <c r="B261" s="105" t="s">
        <v>251</v>
      </c>
      <c r="C261" s="106">
        <v>7.0</v>
      </c>
      <c r="D261" s="105"/>
      <c r="E261" s="105"/>
      <c r="F261" s="105" t="s">
        <v>450</v>
      </c>
      <c r="G261" s="113">
        <v>45868.0</v>
      </c>
      <c r="H261" s="108">
        <v>0.010416666666666666</v>
      </c>
      <c r="I261" s="109">
        <f t="shared" si="1"/>
        <v>0.25</v>
      </c>
      <c r="J261" s="111" t="b">
        <v>0</v>
      </c>
      <c r="K261" s="111" t="b">
        <f t="shared" si="2"/>
        <v>0</v>
      </c>
      <c r="L261" s="90"/>
      <c r="M261" s="111" t="s">
        <v>255</v>
      </c>
    </row>
    <row r="262" hidden="1">
      <c r="A262" s="105" t="s">
        <v>124</v>
      </c>
      <c r="B262" s="105" t="s">
        <v>251</v>
      </c>
      <c r="C262" s="106">
        <v>7.0</v>
      </c>
      <c r="D262" s="105"/>
      <c r="E262" s="105" t="s">
        <v>271</v>
      </c>
      <c r="F262" s="105" t="s">
        <v>451</v>
      </c>
      <c r="G262" s="113">
        <v>45855.0</v>
      </c>
      <c r="H262" s="108">
        <v>0.010416666666666666</v>
      </c>
      <c r="I262" s="109">
        <f t="shared" si="1"/>
        <v>0.25</v>
      </c>
      <c r="J262" s="111" t="b">
        <v>1</v>
      </c>
      <c r="K262" s="111" t="b">
        <f t="shared" si="2"/>
        <v>0</v>
      </c>
      <c r="L262" s="90"/>
      <c r="M262" s="111" t="s">
        <v>255</v>
      </c>
    </row>
    <row r="263" hidden="1">
      <c r="A263" s="105" t="s">
        <v>124</v>
      </c>
      <c r="B263" s="105" t="s">
        <v>251</v>
      </c>
      <c r="C263" s="106">
        <v>7.0</v>
      </c>
      <c r="D263" s="105"/>
      <c r="E263" s="105" t="s">
        <v>252</v>
      </c>
      <c r="F263" s="105" t="s">
        <v>452</v>
      </c>
      <c r="G263" s="113">
        <v>45868.0</v>
      </c>
      <c r="H263" s="108">
        <v>0.010416666666666666</v>
      </c>
      <c r="I263" s="109">
        <f t="shared" si="1"/>
        <v>0.25</v>
      </c>
      <c r="J263" s="111" t="b">
        <v>1</v>
      </c>
      <c r="K263" s="111" t="b">
        <f t="shared" si="2"/>
        <v>1</v>
      </c>
      <c r="L263" s="90"/>
      <c r="M263" s="111" t="s">
        <v>255</v>
      </c>
    </row>
    <row r="264" hidden="1">
      <c r="A264" s="105" t="s">
        <v>118</v>
      </c>
      <c r="B264" s="105" t="s">
        <v>251</v>
      </c>
      <c r="C264" s="106">
        <v>7.0</v>
      </c>
      <c r="D264" s="105"/>
      <c r="E264" s="105" t="s">
        <v>256</v>
      </c>
      <c r="F264" s="105" t="s">
        <v>453</v>
      </c>
      <c r="G264" s="113">
        <v>45868.0</v>
      </c>
      <c r="H264" s="108">
        <v>0.0625</v>
      </c>
      <c r="I264" s="109">
        <f t="shared" si="1"/>
        <v>1.5</v>
      </c>
      <c r="J264" s="111" t="b">
        <v>1</v>
      </c>
      <c r="K264" s="111" t="b">
        <f t="shared" si="2"/>
        <v>1</v>
      </c>
      <c r="L264" s="90"/>
      <c r="M264" s="111" t="s">
        <v>255</v>
      </c>
    </row>
    <row r="265" hidden="1">
      <c r="A265" s="105" t="s">
        <v>171</v>
      </c>
      <c r="B265" s="105" t="s">
        <v>251</v>
      </c>
      <c r="C265" s="106">
        <v>8.0</v>
      </c>
      <c r="D265" s="105"/>
      <c r="E265" s="105" t="s">
        <v>252</v>
      </c>
      <c r="F265" s="105" t="s">
        <v>375</v>
      </c>
      <c r="G265" s="113">
        <v>45870.0</v>
      </c>
      <c r="H265" s="108">
        <v>0.09722222222222222</v>
      </c>
      <c r="I265" s="109">
        <f t="shared" si="1"/>
        <v>2.333333333</v>
      </c>
      <c r="J265" s="111" t="b">
        <v>0</v>
      </c>
      <c r="K265" s="111" t="b">
        <f t="shared" si="2"/>
        <v>1</v>
      </c>
      <c r="L265" s="90"/>
      <c r="M265" s="111" t="s">
        <v>255</v>
      </c>
    </row>
    <row r="266" hidden="1">
      <c r="A266" s="105" t="s">
        <v>124</v>
      </c>
      <c r="B266" s="105" t="s">
        <v>251</v>
      </c>
      <c r="C266" s="106">
        <v>8.0</v>
      </c>
      <c r="D266" s="105"/>
      <c r="E266" s="105" t="s">
        <v>252</v>
      </c>
      <c r="F266" s="105" t="s">
        <v>447</v>
      </c>
      <c r="G266" s="113">
        <v>45870.0</v>
      </c>
      <c r="H266" s="108">
        <v>0.041666666666666664</v>
      </c>
      <c r="I266" s="109">
        <f t="shared" si="1"/>
        <v>1</v>
      </c>
      <c r="J266" s="111" t="b">
        <v>1</v>
      </c>
      <c r="K266" s="111" t="b">
        <f t="shared" si="2"/>
        <v>1</v>
      </c>
      <c r="L266" s="90"/>
      <c r="M266" s="111" t="s">
        <v>255</v>
      </c>
    </row>
    <row r="267" hidden="1">
      <c r="A267" s="105" t="s">
        <v>260</v>
      </c>
      <c r="B267" s="105" t="s">
        <v>251</v>
      </c>
      <c r="C267" s="106">
        <v>8.0</v>
      </c>
      <c r="D267" s="105"/>
      <c r="E267" s="105" t="s">
        <v>252</v>
      </c>
      <c r="F267" s="105" t="s">
        <v>454</v>
      </c>
      <c r="G267" s="113">
        <v>45870.0</v>
      </c>
      <c r="H267" s="108">
        <v>0.010416666666666666</v>
      </c>
      <c r="I267" s="109">
        <f t="shared" si="1"/>
        <v>0.25</v>
      </c>
      <c r="J267" s="111" t="b">
        <v>0</v>
      </c>
      <c r="K267" s="111" t="b">
        <f t="shared" si="2"/>
        <v>1</v>
      </c>
      <c r="L267" s="90"/>
      <c r="M267" s="111" t="s">
        <v>255</v>
      </c>
    </row>
    <row r="268" hidden="1">
      <c r="A268" s="105" t="s">
        <v>267</v>
      </c>
      <c r="B268" s="105" t="s">
        <v>251</v>
      </c>
      <c r="C268" s="106">
        <v>8.0</v>
      </c>
      <c r="D268" s="105"/>
      <c r="E268" s="105" t="s">
        <v>252</v>
      </c>
      <c r="F268" s="105" t="s">
        <v>455</v>
      </c>
      <c r="G268" s="113">
        <v>45870.0</v>
      </c>
      <c r="H268" s="108">
        <v>0.020833333333333332</v>
      </c>
      <c r="I268" s="109">
        <f t="shared" si="1"/>
        <v>0.5</v>
      </c>
      <c r="J268" s="111" t="b">
        <v>0</v>
      </c>
      <c r="K268" s="111" t="b">
        <f t="shared" si="2"/>
        <v>1</v>
      </c>
      <c r="L268" s="90"/>
      <c r="M268" s="111" t="s">
        <v>255</v>
      </c>
    </row>
    <row r="269" hidden="1">
      <c r="A269" s="105" t="s">
        <v>124</v>
      </c>
      <c r="B269" s="105" t="s">
        <v>251</v>
      </c>
      <c r="C269" s="106">
        <v>8.0</v>
      </c>
      <c r="D269" s="105"/>
      <c r="E269" s="105" t="s">
        <v>252</v>
      </c>
      <c r="F269" s="105" t="s">
        <v>456</v>
      </c>
      <c r="G269" s="113">
        <v>45874.0</v>
      </c>
      <c r="H269" s="108">
        <v>0.0625</v>
      </c>
      <c r="I269" s="109">
        <f t="shared" si="1"/>
        <v>1.5</v>
      </c>
      <c r="J269" s="111" t="b">
        <v>1</v>
      </c>
      <c r="K269" s="111" t="b">
        <f t="shared" si="2"/>
        <v>1</v>
      </c>
      <c r="L269" s="90"/>
      <c r="M269" s="111" t="s">
        <v>255</v>
      </c>
    </row>
    <row r="270" hidden="1">
      <c r="A270" s="105" t="s">
        <v>124</v>
      </c>
      <c r="B270" s="105" t="s">
        <v>251</v>
      </c>
      <c r="C270" s="106">
        <v>8.0</v>
      </c>
      <c r="D270" s="105"/>
      <c r="E270" s="105" t="s">
        <v>252</v>
      </c>
      <c r="F270" s="105" t="s">
        <v>447</v>
      </c>
      <c r="G270" s="113">
        <v>45874.0</v>
      </c>
      <c r="H270" s="108">
        <v>0.08333333333333333</v>
      </c>
      <c r="I270" s="109">
        <f t="shared" si="1"/>
        <v>2</v>
      </c>
      <c r="J270" s="111" t="b">
        <v>1</v>
      </c>
      <c r="K270" s="111" t="b">
        <f t="shared" si="2"/>
        <v>1</v>
      </c>
      <c r="L270" s="90"/>
      <c r="M270" s="111" t="s">
        <v>255</v>
      </c>
    </row>
    <row r="271" hidden="1">
      <c r="A271" s="105" t="s">
        <v>171</v>
      </c>
      <c r="B271" s="105" t="s">
        <v>251</v>
      </c>
      <c r="C271" s="106">
        <v>8.0</v>
      </c>
      <c r="D271" s="105"/>
      <c r="E271" s="105" t="s">
        <v>252</v>
      </c>
      <c r="F271" s="105" t="s">
        <v>447</v>
      </c>
      <c r="G271" s="113">
        <v>45874.0</v>
      </c>
      <c r="H271" s="108">
        <v>0.03125</v>
      </c>
      <c r="I271" s="109">
        <f t="shared" si="1"/>
        <v>0.75</v>
      </c>
      <c r="J271" s="111" t="b">
        <v>0</v>
      </c>
      <c r="K271" s="111" t="b">
        <f t="shared" si="2"/>
        <v>1</v>
      </c>
      <c r="L271" s="90"/>
      <c r="M271" s="111" t="s">
        <v>255</v>
      </c>
    </row>
    <row r="272" hidden="1">
      <c r="A272" s="105" t="s">
        <v>124</v>
      </c>
      <c r="B272" s="105" t="s">
        <v>251</v>
      </c>
      <c r="C272" s="106">
        <v>8.0</v>
      </c>
      <c r="D272" s="105"/>
      <c r="E272" s="105" t="s">
        <v>252</v>
      </c>
      <c r="F272" s="105" t="s">
        <v>447</v>
      </c>
      <c r="G272" s="113">
        <v>45874.0</v>
      </c>
      <c r="H272" s="108">
        <v>0.04861111111111111</v>
      </c>
      <c r="I272" s="109">
        <f t="shared" si="1"/>
        <v>1.166666667</v>
      </c>
      <c r="J272" s="111" t="b">
        <v>1</v>
      </c>
      <c r="K272" s="111" t="b">
        <f t="shared" si="2"/>
        <v>1</v>
      </c>
      <c r="L272" s="90"/>
      <c r="M272" s="111" t="s">
        <v>255</v>
      </c>
    </row>
    <row r="273" hidden="1">
      <c r="A273" s="105" t="s">
        <v>171</v>
      </c>
      <c r="B273" s="105" t="s">
        <v>251</v>
      </c>
      <c r="C273" s="106">
        <v>8.0</v>
      </c>
      <c r="D273" s="105"/>
      <c r="E273" s="105"/>
      <c r="F273" s="105" t="s">
        <v>457</v>
      </c>
      <c r="G273" s="113">
        <v>45874.0</v>
      </c>
      <c r="H273" s="108">
        <v>0.010416666666666666</v>
      </c>
      <c r="I273" s="109">
        <f t="shared" si="1"/>
        <v>0.25</v>
      </c>
      <c r="J273" s="111" t="b">
        <v>0</v>
      </c>
      <c r="K273" s="111" t="b">
        <f t="shared" si="2"/>
        <v>0</v>
      </c>
      <c r="L273" s="90"/>
      <c r="M273" s="111" t="s">
        <v>255</v>
      </c>
    </row>
    <row r="274" hidden="1">
      <c r="A274" s="105" t="s">
        <v>260</v>
      </c>
      <c r="B274" s="105" t="s">
        <v>251</v>
      </c>
      <c r="C274" s="106">
        <v>8.0</v>
      </c>
      <c r="D274" s="105"/>
      <c r="E274" s="105" t="s">
        <v>252</v>
      </c>
      <c r="F274" s="105" t="s">
        <v>458</v>
      </c>
      <c r="G274" s="113">
        <v>45875.0</v>
      </c>
      <c r="H274" s="108">
        <v>0.013888888888888888</v>
      </c>
      <c r="I274" s="109">
        <f t="shared" si="1"/>
        <v>0.3333333333</v>
      </c>
      <c r="J274" s="111" t="b">
        <v>0</v>
      </c>
      <c r="K274" s="111" t="b">
        <f t="shared" si="2"/>
        <v>1</v>
      </c>
      <c r="L274" s="90"/>
      <c r="M274" s="111" t="s">
        <v>255</v>
      </c>
    </row>
    <row r="275" hidden="1">
      <c r="A275" s="105" t="s">
        <v>124</v>
      </c>
      <c r="B275" s="105" t="s">
        <v>251</v>
      </c>
      <c r="C275" s="106">
        <v>8.0</v>
      </c>
      <c r="D275" s="105"/>
      <c r="E275" s="105" t="s">
        <v>256</v>
      </c>
      <c r="F275" s="105" t="s">
        <v>459</v>
      </c>
      <c r="G275" s="113">
        <v>45875.0</v>
      </c>
      <c r="H275" s="108">
        <v>0.013888888888888888</v>
      </c>
      <c r="I275" s="109">
        <f t="shared" si="1"/>
        <v>0.3333333333</v>
      </c>
      <c r="J275" s="111" t="b">
        <v>1</v>
      </c>
      <c r="K275" s="111" t="b">
        <f t="shared" si="2"/>
        <v>1</v>
      </c>
      <c r="L275" s="90"/>
      <c r="M275" s="111" t="s">
        <v>255</v>
      </c>
    </row>
    <row r="276" hidden="1">
      <c r="A276" s="105" t="s">
        <v>260</v>
      </c>
      <c r="B276" s="105" t="s">
        <v>251</v>
      </c>
      <c r="C276" s="106">
        <v>8.0</v>
      </c>
      <c r="D276" s="105"/>
      <c r="E276" s="105" t="s">
        <v>256</v>
      </c>
      <c r="F276" s="105" t="s">
        <v>460</v>
      </c>
      <c r="G276" s="113">
        <v>45876.0</v>
      </c>
      <c r="H276" s="108">
        <v>0.041666666666666664</v>
      </c>
      <c r="I276" s="109">
        <f t="shared" si="1"/>
        <v>1</v>
      </c>
      <c r="J276" s="111" t="b">
        <v>0</v>
      </c>
      <c r="K276" s="111" t="b">
        <f t="shared" si="2"/>
        <v>1</v>
      </c>
      <c r="L276" s="90"/>
      <c r="M276" s="111" t="s">
        <v>255</v>
      </c>
    </row>
    <row r="277" hidden="1">
      <c r="A277" s="105" t="s">
        <v>260</v>
      </c>
      <c r="B277" s="105" t="s">
        <v>251</v>
      </c>
      <c r="C277" s="106">
        <v>8.0</v>
      </c>
      <c r="D277" s="105"/>
      <c r="E277" s="105" t="s">
        <v>256</v>
      </c>
      <c r="F277" s="105" t="s">
        <v>461</v>
      </c>
      <c r="G277" s="113">
        <v>45877.0</v>
      </c>
      <c r="H277" s="108">
        <v>0.14583333333333334</v>
      </c>
      <c r="I277" s="109">
        <f t="shared" si="1"/>
        <v>3.5</v>
      </c>
      <c r="J277" s="111" t="b">
        <v>0</v>
      </c>
      <c r="K277" s="111" t="b">
        <f t="shared" si="2"/>
        <v>1</v>
      </c>
      <c r="L277" s="90"/>
      <c r="M277" s="111" t="s">
        <v>255</v>
      </c>
    </row>
    <row r="278" hidden="1">
      <c r="A278" s="105" t="s">
        <v>267</v>
      </c>
      <c r="B278" s="105" t="s">
        <v>251</v>
      </c>
      <c r="C278" s="106">
        <v>8.0</v>
      </c>
      <c r="D278" s="105"/>
      <c r="E278" s="105" t="s">
        <v>256</v>
      </c>
      <c r="F278" s="105" t="s">
        <v>462</v>
      </c>
      <c r="G278" s="113">
        <v>45877.0</v>
      </c>
      <c r="H278" s="108">
        <v>0.05555555555555555</v>
      </c>
      <c r="I278" s="109">
        <f t="shared" si="1"/>
        <v>1.333333333</v>
      </c>
      <c r="J278" s="111" t="b">
        <v>0</v>
      </c>
      <c r="K278" s="111" t="b">
        <f t="shared" si="2"/>
        <v>1</v>
      </c>
      <c r="L278" s="90"/>
      <c r="M278" s="111" t="s">
        <v>255</v>
      </c>
    </row>
    <row r="279" hidden="1">
      <c r="A279" s="105" t="s">
        <v>124</v>
      </c>
      <c r="B279" s="105" t="s">
        <v>251</v>
      </c>
      <c r="C279" s="106">
        <v>8.0</v>
      </c>
      <c r="D279" s="105"/>
      <c r="E279" s="105" t="s">
        <v>256</v>
      </c>
      <c r="F279" s="105" t="s">
        <v>459</v>
      </c>
      <c r="G279" s="113">
        <v>45880.0</v>
      </c>
      <c r="H279" s="108">
        <v>0.006944444444444444</v>
      </c>
      <c r="I279" s="109">
        <f t="shared" si="1"/>
        <v>0.1666666667</v>
      </c>
      <c r="J279" s="111" t="b">
        <v>1</v>
      </c>
      <c r="K279" s="111" t="b">
        <f t="shared" si="2"/>
        <v>1</v>
      </c>
      <c r="L279" s="90"/>
      <c r="M279" s="111" t="s">
        <v>255</v>
      </c>
    </row>
    <row r="280" hidden="1">
      <c r="A280" s="105" t="s">
        <v>267</v>
      </c>
      <c r="B280" s="105" t="s">
        <v>251</v>
      </c>
      <c r="C280" s="106">
        <v>8.0</v>
      </c>
      <c r="D280" s="105"/>
      <c r="E280" s="105" t="s">
        <v>252</v>
      </c>
      <c r="F280" s="105" t="s">
        <v>463</v>
      </c>
      <c r="G280" s="113">
        <v>45880.0</v>
      </c>
      <c r="H280" s="108">
        <v>0.010416666666666666</v>
      </c>
      <c r="I280" s="109">
        <f t="shared" si="1"/>
        <v>0.25</v>
      </c>
      <c r="J280" s="111" t="b">
        <v>0</v>
      </c>
      <c r="K280" s="111" t="b">
        <f t="shared" si="2"/>
        <v>1</v>
      </c>
      <c r="L280" s="90"/>
      <c r="M280" s="111" t="s">
        <v>255</v>
      </c>
    </row>
    <row r="281" hidden="1">
      <c r="A281" s="105" t="s">
        <v>124</v>
      </c>
      <c r="B281" s="105" t="s">
        <v>251</v>
      </c>
      <c r="C281" s="106">
        <v>8.0</v>
      </c>
      <c r="D281" s="105"/>
      <c r="E281" s="105" t="s">
        <v>252</v>
      </c>
      <c r="F281" s="105" t="s">
        <v>464</v>
      </c>
      <c r="G281" s="113">
        <v>45880.0</v>
      </c>
      <c r="H281" s="108">
        <v>0.010416666666666666</v>
      </c>
      <c r="I281" s="109">
        <f t="shared" si="1"/>
        <v>0.25</v>
      </c>
      <c r="J281" s="111" t="b">
        <v>1</v>
      </c>
      <c r="K281" s="111" t="b">
        <f t="shared" si="2"/>
        <v>1</v>
      </c>
      <c r="L281" s="90"/>
      <c r="M281" s="111" t="s">
        <v>255</v>
      </c>
    </row>
    <row r="282" hidden="1">
      <c r="A282" s="105" t="s">
        <v>124</v>
      </c>
      <c r="B282" s="105" t="s">
        <v>251</v>
      </c>
      <c r="C282" s="106">
        <v>8.0</v>
      </c>
      <c r="D282" s="105"/>
      <c r="E282" s="105" t="s">
        <v>252</v>
      </c>
      <c r="F282" s="105" t="s">
        <v>464</v>
      </c>
      <c r="G282" s="113">
        <v>45880.0</v>
      </c>
      <c r="H282" s="108">
        <v>0.14583333333333334</v>
      </c>
      <c r="I282" s="109">
        <f t="shared" si="1"/>
        <v>3.5</v>
      </c>
      <c r="J282" s="111" t="b">
        <v>1</v>
      </c>
      <c r="K282" s="111" t="b">
        <f t="shared" si="2"/>
        <v>1</v>
      </c>
      <c r="L282" s="90"/>
      <c r="M282" s="111" t="s">
        <v>255</v>
      </c>
    </row>
    <row r="283" hidden="1">
      <c r="A283" s="105" t="s">
        <v>260</v>
      </c>
      <c r="B283" s="105" t="s">
        <v>251</v>
      </c>
      <c r="C283" s="106">
        <v>8.0</v>
      </c>
      <c r="D283" s="105"/>
      <c r="E283" s="105" t="s">
        <v>256</v>
      </c>
      <c r="F283" s="105" t="s">
        <v>465</v>
      </c>
      <c r="G283" s="113">
        <v>45881.0</v>
      </c>
      <c r="H283" s="108">
        <v>0.017361111111111112</v>
      </c>
      <c r="I283" s="109">
        <f t="shared" si="1"/>
        <v>0.4166666667</v>
      </c>
      <c r="J283" s="111" t="b">
        <v>0</v>
      </c>
      <c r="K283" s="111" t="b">
        <f t="shared" si="2"/>
        <v>1</v>
      </c>
      <c r="L283" s="90"/>
      <c r="M283" s="111" t="s">
        <v>255</v>
      </c>
    </row>
    <row r="284" hidden="1">
      <c r="A284" s="105" t="s">
        <v>124</v>
      </c>
      <c r="B284" s="105" t="s">
        <v>251</v>
      </c>
      <c r="C284" s="106">
        <v>8.0</v>
      </c>
      <c r="D284" s="105"/>
      <c r="E284" s="105" t="s">
        <v>252</v>
      </c>
      <c r="F284" s="105" t="s">
        <v>466</v>
      </c>
      <c r="G284" s="113">
        <v>45881.0</v>
      </c>
      <c r="H284" s="108">
        <v>0.03125</v>
      </c>
      <c r="I284" s="109">
        <f t="shared" si="1"/>
        <v>0.75</v>
      </c>
      <c r="J284" s="111" t="b">
        <v>1</v>
      </c>
      <c r="K284" s="111" t="b">
        <f t="shared" si="2"/>
        <v>1</v>
      </c>
      <c r="L284" s="90"/>
      <c r="M284" s="111" t="s">
        <v>255</v>
      </c>
    </row>
    <row r="285" hidden="1">
      <c r="A285" s="105" t="s">
        <v>124</v>
      </c>
      <c r="B285" s="105" t="s">
        <v>251</v>
      </c>
      <c r="C285" s="106">
        <v>8.0</v>
      </c>
      <c r="D285" s="105"/>
      <c r="E285" s="105" t="s">
        <v>252</v>
      </c>
      <c r="F285" s="105" t="s">
        <v>467</v>
      </c>
      <c r="G285" s="113">
        <v>45881.0</v>
      </c>
      <c r="H285" s="108">
        <v>0.013888888888888888</v>
      </c>
      <c r="I285" s="109">
        <f t="shared" si="1"/>
        <v>0.3333333333</v>
      </c>
      <c r="J285" s="111" t="b">
        <v>1</v>
      </c>
      <c r="K285" s="111" t="b">
        <f t="shared" si="2"/>
        <v>1</v>
      </c>
      <c r="L285" s="90"/>
      <c r="M285" s="111" t="s">
        <v>255</v>
      </c>
    </row>
    <row r="286" hidden="1">
      <c r="A286" s="105" t="s">
        <v>260</v>
      </c>
      <c r="B286" s="105" t="s">
        <v>251</v>
      </c>
      <c r="C286" s="106">
        <v>8.0</v>
      </c>
      <c r="D286" s="105"/>
      <c r="E286" s="105" t="s">
        <v>256</v>
      </c>
      <c r="F286" s="105" t="s">
        <v>468</v>
      </c>
      <c r="G286" s="113">
        <v>45882.0</v>
      </c>
      <c r="H286" s="108">
        <v>0.08333333333333333</v>
      </c>
      <c r="I286" s="109">
        <f t="shared" si="1"/>
        <v>2</v>
      </c>
      <c r="J286" s="111" t="b">
        <v>0</v>
      </c>
      <c r="K286" s="111" t="b">
        <f t="shared" si="2"/>
        <v>1</v>
      </c>
      <c r="L286" s="90"/>
      <c r="M286" s="111" t="s">
        <v>255</v>
      </c>
    </row>
    <row r="287" hidden="1">
      <c r="A287" s="105" t="s">
        <v>260</v>
      </c>
      <c r="B287" s="105" t="s">
        <v>251</v>
      </c>
      <c r="C287" s="106">
        <v>8.0</v>
      </c>
      <c r="D287" s="105"/>
      <c r="E287" s="105" t="s">
        <v>256</v>
      </c>
      <c r="F287" s="105" t="s">
        <v>469</v>
      </c>
      <c r="G287" s="113">
        <v>45882.0</v>
      </c>
      <c r="H287" s="108">
        <v>0.1284722222222222</v>
      </c>
      <c r="I287" s="109">
        <f t="shared" si="1"/>
        <v>3.083333333</v>
      </c>
      <c r="J287" s="111" t="b">
        <v>0</v>
      </c>
      <c r="K287" s="111" t="b">
        <f t="shared" si="2"/>
        <v>1</v>
      </c>
      <c r="L287" s="90"/>
      <c r="M287" s="111" t="s">
        <v>255</v>
      </c>
    </row>
    <row r="288" hidden="1">
      <c r="A288" s="105" t="s">
        <v>260</v>
      </c>
      <c r="B288" s="105" t="s">
        <v>251</v>
      </c>
      <c r="C288" s="106">
        <v>8.0</v>
      </c>
      <c r="D288" s="105"/>
      <c r="E288" s="105" t="s">
        <v>252</v>
      </c>
      <c r="F288" s="105" t="s">
        <v>470</v>
      </c>
      <c r="G288" s="113">
        <v>45882.0</v>
      </c>
      <c r="H288" s="108">
        <v>0.017361111111111112</v>
      </c>
      <c r="I288" s="109">
        <f t="shared" si="1"/>
        <v>0.4166666667</v>
      </c>
      <c r="J288" s="111" t="b">
        <v>0</v>
      </c>
      <c r="K288" s="111" t="b">
        <f t="shared" si="2"/>
        <v>1</v>
      </c>
      <c r="L288" s="90"/>
      <c r="M288" s="111" t="s">
        <v>255</v>
      </c>
    </row>
    <row r="289" hidden="1">
      <c r="A289" s="105" t="s">
        <v>124</v>
      </c>
      <c r="B289" s="105" t="s">
        <v>251</v>
      </c>
      <c r="C289" s="106">
        <v>8.0</v>
      </c>
      <c r="D289" s="105"/>
      <c r="E289" s="105" t="s">
        <v>252</v>
      </c>
      <c r="F289" s="105" t="s">
        <v>471</v>
      </c>
      <c r="G289" s="113">
        <v>45883.0</v>
      </c>
      <c r="H289" s="108">
        <v>0.020833333333333332</v>
      </c>
      <c r="I289" s="109">
        <f t="shared" si="1"/>
        <v>0.5</v>
      </c>
      <c r="J289" s="111" t="b">
        <v>1</v>
      </c>
      <c r="K289" s="111" t="b">
        <f t="shared" si="2"/>
        <v>1</v>
      </c>
      <c r="L289" s="90"/>
      <c r="M289" s="111" t="s">
        <v>255</v>
      </c>
    </row>
    <row r="290" hidden="1">
      <c r="A290" s="105" t="s">
        <v>267</v>
      </c>
      <c r="B290" s="105" t="s">
        <v>251</v>
      </c>
      <c r="C290" s="106">
        <v>8.0</v>
      </c>
      <c r="D290" s="105"/>
      <c r="E290" s="105" t="s">
        <v>252</v>
      </c>
      <c r="F290" s="105" t="s">
        <v>472</v>
      </c>
      <c r="G290" s="113">
        <v>45883.0</v>
      </c>
      <c r="H290" s="108">
        <v>0.0625</v>
      </c>
      <c r="I290" s="109">
        <f t="shared" si="1"/>
        <v>1.5</v>
      </c>
      <c r="J290" s="111" t="b">
        <v>0</v>
      </c>
      <c r="K290" s="111" t="b">
        <f t="shared" si="2"/>
        <v>1</v>
      </c>
      <c r="L290" s="90"/>
      <c r="M290" s="111" t="s">
        <v>255</v>
      </c>
    </row>
    <row r="291" hidden="1">
      <c r="A291" s="105" t="s">
        <v>267</v>
      </c>
      <c r="B291" s="105" t="s">
        <v>251</v>
      </c>
      <c r="C291" s="106">
        <v>8.0</v>
      </c>
      <c r="D291" s="105"/>
      <c r="E291" s="105" t="s">
        <v>252</v>
      </c>
      <c r="F291" s="105" t="s">
        <v>472</v>
      </c>
      <c r="G291" s="113">
        <v>45884.0</v>
      </c>
      <c r="H291" s="108">
        <v>0.10416666666666667</v>
      </c>
      <c r="I291" s="109">
        <f t="shared" si="1"/>
        <v>2.5</v>
      </c>
      <c r="J291" s="111" t="b">
        <v>0</v>
      </c>
      <c r="K291" s="111" t="b">
        <f t="shared" si="2"/>
        <v>1</v>
      </c>
      <c r="L291" s="90"/>
      <c r="M291" s="111" t="s">
        <v>255</v>
      </c>
    </row>
    <row r="292" hidden="1">
      <c r="A292" s="105" t="s">
        <v>130</v>
      </c>
      <c r="B292" s="105" t="s">
        <v>251</v>
      </c>
      <c r="C292" s="106">
        <v>8.0</v>
      </c>
      <c r="D292" s="105"/>
      <c r="E292" s="105" t="s">
        <v>256</v>
      </c>
      <c r="F292" s="105" t="s">
        <v>473</v>
      </c>
      <c r="G292" s="113">
        <v>45887.0</v>
      </c>
      <c r="H292" s="108">
        <v>0.020833333333333332</v>
      </c>
      <c r="I292" s="109">
        <f t="shared" si="1"/>
        <v>0.5</v>
      </c>
      <c r="J292" s="111" t="b">
        <v>1</v>
      </c>
      <c r="K292" s="111" t="b">
        <f t="shared" si="2"/>
        <v>1</v>
      </c>
      <c r="L292" s="90"/>
      <c r="M292" s="111" t="s">
        <v>255</v>
      </c>
    </row>
    <row r="293" hidden="1">
      <c r="A293" s="105" t="s">
        <v>171</v>
      </c>
      <c r="B293" s="105" t="s">
        <v>251</v>
      </c>
      <c r="C293" s="106">
        <v>8.0</v>
      </c>
      <c r="D293" s="105"/>
      <c r="E293" s="105"/>
      <c r="F293" s="105" t="s">
        <v>474</v>
      </c>
      <c r="G293" s="113">
        <v>45888.0</v>
      </c>
      <c r="H293" s="108">
        <v>0.041666666666666664</v>
      </c>
      <c r="I293" s="109">
        <f t="shared" si="1"/>
        <v>1</v>
      </c>
      <c r="J293" s="111" t="b">
        <v>0</v>
      </c>
      <c r="K293" s="111" t="b">
        <f t="shared" si="2"/>
        <v>0</v>
      </c>
      <c r="L293" s="90"/>
      <c r="M293" s="111" t="s">
        <v>255</v>
      </c>
    </row>
    <row r="294" hidden="1">
      <c r="A294" s="105" t="s">
        <v>124</v>
      </c>
      <c r="B294" s="105" t="s">
        <v>251</v>
      </c>
      <c r="C294" s="106">
        <v>8.0</v>
      </c>
      <c r="D294" s="105"/>
      <c r="E294" s="105" t="s">
        <v>271</v>
      </c>
      <c r="F294" s="105" t="s">
        <v>475</v>
      </c>
      <c r="G294" s="113">
        <v>45890.0</v>
      </c>
      <c r="H294" s="108">
        <v>0.010416666666666666</v>
      </c>
      <c r="I294" s="109">
        <f t="shared" si="1"/>
        <v>0.25</v>
      </c>
      <c r="J294" s="111" t="b">
        <v>1</v>
      </c>
      <c r="K294" s="111" t="b">
        <f t="shared" si="2"/>
        <v>0</v>
      </c>
      <c r="L294" s="90"/>
      <c r="M294" s="111" t="s">
        <v>255</v>
      </c>
    </row>
    <row r="295" hidden="1">
      <c r="A295" s="105" t="s">
        <v>104</v>
      </c>
      <c r="B295" s="105" t="s">
        <v>251</v>
      </c>
      <c r="C295" s="106">
        <v>8.0</v>
      </c>
      <c r="D295" s="105"/>
      <c r="E295" s="105" t="s">
        <v>271</v>
      </c>
      <c r="F295" s="105" t="s">
        <v>476</v>
      </c>
      <c r="G295" s="113">
        <v>45891.0</v>
      </c>
      <c r="H295" s="108">
        <v>0.020833333333333332</v>
      </c>
      <c r="I295" s="109">
        <f t="shared" si="1"/>
        <v>0.5</v>
      </c>
      <c r="J295" s="111" t="b">
        <v>1</v>
      </c>
      <c r="K295" s="111" t="b">
        <f t="shared" si="2"/>
        <v>0</v>
      </c>
      <c r="L295" s="90"/>
      <c r="M295" s="111" t="s">
        <v>255</v>
      </c>
    </row>
    <row r="296" hidden="1">
      <c r="A296" s="105" t="s">
        <v>92</v>
      </c>
      <c r="B296" s="105" t="s">
        <v>251</v>
      </c>
      <c r="C296" s="106">
        <v>9.0</v>
      </c>
      <c r="D296" s="105"/>
      <c r="E296" s="105" t="s">
        <v>271</v>
      </c>
      <c r="F296" s="105" t="s">
        <v>477</v>
      </c>
      <c r="G296" s="113">
        <v>45905.0</v>
      </c>
      <c r="H296" s="108">
        <v>0.041666666666666664</v>
      </c>
      <c r="I296" s="109">
        <f t="shared" si="1"/>
        <v>1</v>
      </c>
      <c r="J296" s="111" t="b">
        <v>1</v>
      </c>
      <c r="K296" s="111" t="b">
        <f t="shared" si="2"/>
        <v>0</v>
      </c>
      <c r="L296" s="90"/>
      <c r="M296" s="111" t="s">
        <v>255</v>
      </c>
    </row>
    <row r="297" hidden="1">
      <c r="A297" s="105" t="s">
        <v>260</v>
      </c>
      <c r="B297" s="105" t="s">
        <v>251</v>
      </c>
      <c r="C297" s="106">
        <v>9.0</v>
      </c>
      <c r="D297" s="105"/>
      <c r="E297" s="105" t="s">
        <v>252</v>
      </c>
      <c r="F297" s="105" t="s">
        <v>478</v>
      </c>
      <c r="G297" s="113">
        <v>45903.0</v>
      </c>
      <c r="H297" s="108">
        <v>0.020833333333333332</v>
      </c>
      <c r="I297" s="109">
        <f t="shared" si="1"/>
        <v>0.5</v>
      </c>
      <c r="J297" s="111" t="b">
        <v>0</v>
      </c>
      <c r="K297" s="111" t="b">
        <f t="shared" si="2"/>
        <v>1</v>
      </c>
      <c r="L297" s="90"/>
      <c r="M297" s="111" t="s">
        <v>255</v>
      </c>
    </row>
    <row r="298" hidden="1">
      <c r="A298" s="105" t="s">
        <v>260</v>
      </c>
      <c r="B298" s="105" t="s">
        <v>251</v>
      </c>
      <c r="C298" s="106">
        <v>9.0</v>
      </c>
      <c r="D298" s="105"/>
      <c r="E298" s="105" t="s">
        <v>252</v>
      </c>
      <c r="F298" s="105" t="s">
        <v>479</v>
      </c>
      <c r="G298" s="113">
        <v>45904.0</v>
      </c>
      <c r="H298" s="108">
        <v>0.020833333333333332</v>
      </c>
      <c r="I298" s="109">
        <f t="shared" si="1"/>
        <v>0.5</v>
      </c>
      <c r="J298" s="111" t="b">
        <v>0</v>
      </c>
      <c r="K298" s="111" t="b">
        <f t="shared" si="2"/>
        <v>1</v>
      </c>
      <c r="L298" s="90"/>
      <c r="M298" s="111" t="s">
        <v>255</v>
      </c>
    </row>
    <row r="299" hidden="1">
      <c r="A299" s="105" t="s">
        <v>260</v>
      </c>
      <c r="B299" s="105" t="s">
        <v>251</v>
      </c>
      <c r="C299" s="106">
        <v>9.0</v>
      </c>
      <c r="D299" s="105"/>
      <c r="E299" s="105" t="s">
        <v>252</v>
      </c>
      <c r="F299" s="105" t="s">
        <v>480</v>
      </c>
      <c r="G299" s="113">
        <v>45909.0</v>
      </c>
      <c r="H299" s="108">
        <v>0.10416666666666667</v>
      </c>
      <c r="I299" s="109">
        <f t="shared" si="1"/>
        <v>2.5</v>
      </c>
      <c r="J299" s="111" t="b">
        <v>0</v>
      </c>
      <c r="K299" s="111" t="b">
        <f t="shared" si="2"/>
        <v>1</v>
      </c>
      <c r="L299" s="90"/>
      <c r="M299" s="111" t="s">
        <v>255</v>
      </c>
    </row>
    <row r="300" hidden="1">
      <c r="A300" s="105" t="s">
        <v>260</v>
      </c>
      <c r="B300" s="105" t="s">
        <v>251</v>
      </c>
      <c r="C300" s="106">
        <v>9.0</v>
      </c>
      <c r="D300" s="105"/>
      <c r="E300" s="105"/>
      <c r="F300" s="105" t="s">
        <v>481</v>
      </c>
      <c r="G300" s="113">
        <v>45910.0</v>
      </c>
      <c r="H300" s="108">
        <v>0.013888888888888888</v>
      </c>
      <c r="I300" s="109">
        <f t="shared" si="1"/>
        <v>0.3333333333</v>
      </c>
      <c r="J300" s="111" t="b">
        <v>0</v>
      </c>
      <c r="K300" s="111" t="b">
        <f t="shared" si="2"/>
        <v>0</v>
      </c>
      <c r="L300" s="90"/>
      <c r="M300" s="111" t="s">
        <v>255</v>
      </c>
    </row>
    <row r="301" hidden="1">
      <c r="A301" s="105" t="s">
        <v>171</v>
      </c>
      <c r="B301" s="105" t="s">
        <v>251</v>
      </c>
      <c r="C301" s="106">
        <v>9.0</v>
      </c>
      <c r="D301" s="105"/>
      <c r="E301" s="105" t="s">
        <v>256</v>
      </c>
      <c r="F301" s="105" t="s">
        <v>482</v>
      </c>
      <c r="G301" s="113">
        <v>45910.0</v>
      </c>
      <c r="H301" s="108">
        <v>0.020833333333333332</v>
      </c>
      <c r="I301" s="109">
        <f t="shared" si="1"/>
        <v>0.5</v>
      </c>
      <c r="J301" s="111" t="b">
        <v>0</v>
      </c>
      <c r="K301" s="111" t="b">
        <f t="shared" si="2"/>
        <v>1</v>
      </c>
      <c r="L301" s="90"/>
      <c r="M301" s="111" t="s">
        <v>255</v>
      </c>
    </row>
    <row r="302">
      <c r="A302" s="105" t="s">
        <v>92</v>
      </c>
      <c r="B302" s="105" t="s">
        <v>251</v>
      </c>
      <c r="C302" s="106">
        <v>9.0</v>
      </c>
      <c r="D302" s="105"/>
      <c r="E302" s="105" t="s">
        <v>256</v>
      </c>
      <c r="F302" s="105" t="s">
        <v>483</v>
      </c>
      <c r="G302" s="113">
        <v>45911.0</v>
      </c>
      <c r="H302" s="108">
        <v>0.10416666666666667</v>
      </c>
      <c r="I302" s="109">
        <f t="shared" si="1"/>
        <v>2.5</v>
      </c>
      <c r="J302" s="111" t="b">
        <v>1</v>
      </c>
      <c r="K302" s="111" t="b">
        <f t="shared" si="2"/>
        <v>1</v>
      </c>
      <c r="L302" s="90"/>
      <c r="M302" s="111" t="s">
        <v>255</v>
      </c>
    </row>
    <row r="303" hidden="1">
      <c r="A303" s="105" t="s">
        <v>124</v>
      </c>
      <c r="B303" s="105" t="s">
        <v>251</v>
      </c>
      <c r="C303" s="106">
        <v>9.0</v>
      </c>
      <c r="D303" s="105"/>
      <c r="E303" s="105" t="s">
        <v>256</v>
      </c>
      <c r="F303" s="105" t="s">
        <v>484</v>
      </c>
      <c r="G303" s="113">
        <v>45912.0</v>
      </c>
      <c r="H303" s="108">
        <v>0.16666666666666666</v>
      </c>
      <c r="I303" s="109">
        <f t="shared" si="1"/>
        <v>4</v>
      </c>
      <c r="J303" s="111" t="b">
        <v>1</v>
      </c>
      <c r="K303" s="111" t="b">
        <f t="shared" si="2"/>
        <v>1</v>
      </c>
      <c r="L303" s="90"/>
      <c r="M303" s="111" t="s">
        <v>255</v>
      </c>
    </row>
    <row r="304" hidden="1">
      <c r="A304" s="105" t="s">
        <v>124</v>
      </c>
      <c r="B304" s="105" t="s">
        <v>251</v>
      </c>
      <c r="C304" s="106">
        <v>9.0</v>
      </c>
      <c r="D304" s="105"/>
      <c r="E304" s="105" t="s">
        <v>256</v>
      </c>
      <c r="F304" s="105" t="s">
        <v>447</v>
      </c>
      <c r="G304" s="113">
        <v>45918.0</v>
      </c>
      <c r="H304" s="108">
        <v>0.03125</v>
      </c>
      <c r="I304" s="109">
        <f t="shared" si="1"/>
        <v>0.75</v>
      </c>
      <c r="J304" s="111" t="b">
        <v>1</v>
      </c>
      <c r="K304" s="111" t="b">
        <f t="shared" si="2"/>
        <v>1</v>
      </c>
      <c r="L304" s="90"/>
      <c r="M304" s="111" t="s">
        <v>255</v>
      </c>
    </row>
    <row r="305" hidden="1">
      <c r="A305" s="105" t="s">
        <v>124</v>
      </c>
      <c r="B305" s="105" t="s">
        <v>251</v>
      </c>
      <c r="C305" s="106">
        <v>9.0</v>
      </c>
      <c r="D305" s="105"/>
      <c r="E305" s="105" t="s">
        <v>256</v>
      </c>
      <c r="F305" s="105" t="s">
        <v>485</v>
      </c>
      <c r="G305" s="113">
        <v>45919.0</v>
      </c>
      <c r="H305" s="108">
        <v>0.14583333333333334</v>
      </c>
      <c r="I305" s="109">
        <f t="shared" si="1"/>
        <v>3.5</v>
      </c>
      <c r="J305" s="111" t="b">
        <v>1</v>
      </c>
      <c r="K305" s="111" t="b">
        <f t="shared" si="2"/>
        <v>1</v>
      </c>
      <c r="L305" s="90"/>
      <c r="M305" s="111" t="s">
        <v>255</v>
      </c>
    </row>
    <row r="306" hidden="1">
      <c r="A306" s="105" t="s">
        <v>260</v>
      </c>
      <c r="B306" s="105" t="s">
        <v>251</v>
      </c>
      <c r="C306" s="106">
        <v>9.0</v>
      </c>
      <c r="D306" s="105"/>
      <c r="E306" s="105" t="s">
        <v>252</v>
      </c>
      <c r="F306" s="105" t="s">
        <v>486</v>
      </c>
      <c r="G306" s="113">
        <v>45918.0</v>
      </c>
      <c r="H306" s="108">
        <v>0.010416666666666666</v>
      </c>
      <c r="I306" s="109">
        <f t="shared" si="1"/>
        <v>0.25</v>
      </c>
      <c r="J306" s="111" t="b">
        <v>0</v>
      </c>
      <c r="K306" s="111" t="b">
        <f t="shared" si="2"/>
        <v>1</v>
      </c>
      <c r="L306" s="90"/>
      <c r="M306" s="111" t="s">
        <v>255</v>
      </c>
    </row>
    <row r="307" hidden="1">
      <c r="A307" s="105" t="s">
        <v>124</v>
      </c>
      <c r="B307" s="105" t="s">
        <v>251</v>
      </c>
      <c r="C307" s="106">
        <v>9.0</v>
      </c>
      <c r="D307" s="105"/>
      <c r="E307" s="105" t="s">
        <v>271</v>
      </c>
      <c r="F307" s="105" t="s">
        <v>451</v>
      </c>
      <c r="G307" s="113">
        <v>45918.0</v>
      </c>
      <c r="H307" s="108">
        <v>0.013888888888888888</v>
      </c>
      <c r="I307" s="109">
        <f t="shared" si="1"/>
        <v>0.3333333333</v>
      </c>
      <c r="J307" s="111" t="b">
        <v>1</v>
      </c>
      <c r="K307" s="111" t="b">
        <f t="shared" si="2"/>
        <v>0</v>
      </c>
      <c r="L307" s="90"/>
      <c r="M307" s="111" t="s">
        <v>255</v>
      </c>
    </row>
    <row r="308" hidden="1">
      <c r="A308" s="105" t="s">
        <v>260</v>
      </c>
      <c r="B308" s="105" t="s">
        <v>251</v>
      </c>
      <c r="C308" s="106">
        <v>9.0</v>
      </c>
      <c r="D308" s="105"/>
      <c r="E308" s="105" t="s">
        <v>252</v>
      </c>
      <c r="F308" s="105" t="s">
        <v>486</v>
      </c>
      <c r="G308" s="113">
        <v>45919.0</v>
      </c>
      <c r="H308" s="108">
        <v>0.013888888888888888</v>
      </c>
      <c r="I308" s="109">
        <f t="shared" si="1"/>
        <v>0.3333333333</v>
      </c>
      <c r="J308" s="111" t="b">
        <v>0</v>
      </c>
      <c r="K308" s="111" t="b">
        <f t="shared" si="2"/>
        <v>1</v>
      </c>
      <c r="L308" s="90"/>
      <c r="M308" s="111" t="s">
        <v>255</v>
      </c>
    </row>
    <row r="309" hidden="1">
      <c r="A309" s="105" t="s">
        <v>260</v>
      </c>
      <c r="B309" s="105" t="s">
        <v>251</v>
      </c>
      <c r="C309" s="106">
        <v>9.0</v>
      </c>
      <c r="D309" s="105"/>
      <c r="E309" s="105" t="s">
        <v>256</v>
      </c>
      <c r="F309" s="105" t="s">
        <v>487</v>
      </c>
      <c r="G309" s="113">
        <v>45919.0</v>
      </c>
      <c r="H309" s="108">
        <v>0.04861111111111111</v>
      </c>
      <c r="I309" s="109">
        <f t="shared" si="1"/>
        <v>1.166666667</v>
      </c>
      <c r="J309" s="111" t="b">
        <v>0</v>
      </c>
      <c r="K309" s="111" t="b">
        <f t="shared" si="2"/>
        <v>1</v>
      </c>
      <c r="L309" s="90"/>
      <c r="M309" s="111" t="s">
        <v>255</v>
      </c>
    </row>
    <row r="310" hidden="1">
      <c r="A310" s="105" t="s">
        <v>260</v>
      </c>
      <c r="B310" s="105" t="s">
        <v>251</v>
      </c>
      <c r="C310" s="106">
        <v>9.0</v>
      </c>
      <c r="D310" s="105"/>
      <c r="E310" s="105"/>
      <c r="F310" s="105" t="s">
        <v>488</v>
      </c>
      <c r="G310" s="113">
        <v>45922.0</v>
      </c>
      <c r="H310" s="108">
        <v>0.010416666666666666</v>
      </c>
      <c r="I310" s="109">
        <f t="shared" si="1"/>
        <v>0.25</v>
      </c>
      <c r="J310" s="111" t="b">
        <v>0</v>
      </c>
      <c r="K310" s="111" t="b">
        <f t="shared" si="2"/>
        <v>0</v>
      </c>
      <c r="L310" s="90"/>
      <c r="M310" s="111" t="s">
        <v>255</v>
      </c>
    </row>
    <row r="311" hidden="1">
      <c r="A311" s="105" t="s">
        <v>260</v>
      </c>
      <c r="B311" s="105" t="s">
        <v>251</v>
      </c>
      <c r="C311" s="106">
        <v>9.0</v>
      </c>
      <c r="D311" s="105"/>
      <c r="E311" s="105" t="s">
        <v>256</v>
      </c>
      <c r="F311" s="105" t="s">
        <v>487</v>
      </c>
      <c r="G311" s="113">
        <v>45922.0</v>
      </c>
      <c r="H311" s="108">
        <v>0.07291666666666667</v>
      </c>
      <c r="I311" s="109">
        <f t="shared" si="1"/>
        <v>1.75</v>
      </c>
      <c r="J311" s="111" t="b">
        <v>0</v>
      </c>
      <c r="K311" s="111" t="b">
        <f t="shared" si="2"/>
        <v>1</v>
      </c>
      <c r="L311" s="90"/>
      <c r="M311" s="111" t="s">
        <v>255</v>
      </c>
    </row>
    <row r="312" hidden="1">
      <c r="A312" s="105" t="s">
        <v>260</v>
      </c>
      <c r="B312" s="105" t="s">
        <v>251</v>
      </c>
      <c r="C312" s="106">
        <v>9.0</v>
      </c>
      <c r="D312" s="105"/>
      <c r="E312" s="105" t="s">
        <v>256</v>
      </c>
      <c r="F312" s="105" t="s">
        <v>487</v>
      </c>
      <c r="G312" s="113">
        <v>45922.0</v>
      </c>
      <c r="H312" s="108">
        <v>0.05555555555555555</v>
      </c>
      <c r="I312" s="109">
        <f t="shared" si="1"/>
        <v>1.333333333</v>
      </c>
      <c r="J312" s="111" t="b">
        <v>0</v>
      </c>
      <c r="K312" s="111" t="b">
        <f t="shared" si="2"/>
        <v>1</v>
      </c>
      <c r="L312" s="90"/>
      <c r="M312" s="111" t="s">
        <v>255</v>
      </c>
    </row>
    <row r="313" hidden="1">
      <c r="A313" s="105" t="s">
        <v>124</v>
      </c>
      <c r="B313" s="105" t="s">
        <v>251</v>
      </c>
      <c r="C313" s="106">
        <v>9.0</v>
      </c>
      <c r="D313" s="105"/>
      <c r="E313" s="105" t="s">
        <v>256</v>
      </c>
      <c r="F313" s="105" t="s">
        <v>489</v>
      </c>
      <c r="G313" s="113">
        <v>45923.0</v>
      </c>
      <c r="H313" s="108">
        <v>0.041666666666666664</v>
      </c>
      <c r="I313" s="109">
        <f t="shared" si="1"/>
        <v>1</v>
      </c>
      <c r="J313" s="111" t="b">
        <v>1</v>
      </c>
      <c r="K313" s="111" t="b">
        <f t="shared" si="2"/>
        <v>1</v>
      </c>
      <c r="L313" s="90"/>
      <c r="M313" s="111" t="s">
        <v>255</v>
      </c>
    </row>
    <row r="314" hidden="1">
      <c r="A314" s="105" t="s">
        <v>124</v>
      </c>
      <c r="B314" s="105" t="s">
        <v>251</v>
      </c>
      <c r="C314" s="106">
        <v>9.0</v>
      </c>
      <c r="D314" s="105"/>
      <c r="E314" s="105" t="s">
        <v>252</v>
      </c>
      <c r="F314" s="105" t="s">
        <v>490</v>
      </c>
      <c r="G314" s="113">
        <v>45923.0</v>
      </c>
      <c r="H314" s="108">
        <v>0.010416666666666666</v>
      </c>
      <c r="I314" s="109">
        <f t="shared" si="1"/>
        <v>0.25</v>
      </c>
      <c r="J314" s="111" t="b">
        <v>1</v>
      </c>
      <c r="K314" s="111" t="b">
        <f t="shared" si="2"/>
        <v>1</v>
      </c>
      <c r="L314" s="90"/>
      <c r="M314" s="111" t="s">
        <v>255</v>
      </c>
    </row>
    <row r="315">
      <c r="A315" s="105" t="s">
        <v>92</v>
      </c>
      <c r="B315" s="105" t="s">
        <v>251</v>
      </c>
      <c r="C315" s="106">
        <v>9.0</v>
      </c>
      <c r="D315" s="105"/>
      <c r="E315" s="105" t="s">
        <v>256</v>
      </c>
      <c r="F315" s="105" t="s">
        <v>491</v>
      </c>
      <c r="G315" s="113">
        <v>45925.0</v>
      </c>
      <c r="H315" s="108">
        <v>0.5833333333333334</v>
      </c>
      <c r="I315" s="109">
        <f t="shared" si="1"/>
        <v>14</v>
      </c>
      <c r="J315" s="111" t="b">
        <v>1</v>
      </c>
      <c r="K315" s="111" t="b">
        <f t="shared" si="2"/>
        <v>1</v>
      </c>
      <c r="L315" s="90"/>
      <c r="M315" s="111" t="s">
        <v>255</v>
      </c>
    </row>
    <row r="316" hidden="1">
      <c r="A316" s="105" t="s">
        <v>130</v>
      </c>
      <c r="B316" s="105" t="s">
        <v>251</v>
      </c>
      <c r="C316" s="106">
        <v>9.0</v>
      </c>
      <c r="D316" s="105"/>
      <c r="E316" s="105" t="s">
        <v>256</v>
      </c>
      <c r="F316" s="105" t="s">
        <v>492</v>
      </c>
      <c r="G316" s="113">
        <v>45926.0</v>
      </c>
      <c r="H316" s="108">
        <v>0.09375</v>
      </c>
      <c r="I316" s="109">
        <f t="shared" si="1"/>
        <v>2.25</v>
      </c>
      <c r="J316" s="111" t="b">
        <v>1</v>
      </c>
      <c r="K316" s="111" t="b">
        <f t="shared" si="2"/>
        <v>1</v>
      </c>
      <c r="L316" s="90"/>
      <c r="M316" s="111" t="s">
        <v>255</v>
      </c>
    </row>
    <row r="317" hidden="1">
      <c r="A317" s="105" t="s">
        <v>190</v>
      </c>
      <c r="B317" s="105" t="s">
        <v>251</v>
      </c>
      <c r="C317" s="106">
        <v>9.0</v>
      </c>
      <c r="D317" s="105"/>
      <c r="E317" s="105" t="s">
        <v>252</v>
      </c>
      <c r="F317" s="105" t="s">
        <v>493</v>
      </c>
      <c r="G317" s="113">
        <v>45929.0</v>
      </c>
      <c r="H317" s="108">
        <v>0.010416666666666666</v>
      </c>
      <c r="I317" s="109">
        <f t="shared" si="1"/>
        <v>0.25</v>
      </c>
      <c r="J317" s="111" t="b">
        <v>1</v>
      </c>
      <c r="K317" s="111" t="b">
        <f t="shared" si="2"/>
        <v>1</v>
      </c>
      <c r="L317" s="90"/>
      <c r="M317" s="111" t="s">
        <v>255</v>
      </c>
    </row>
    <row r="318" hidden="1">
      <c r="A318" s="105" t="s">
        <v>260</v>
      </c>
      <c r="B318" s="105" t="s">
        <v>251</v>
      </c>
      <c r="C318" s="106">
        <v>9.0</v>
      </c>
      <c r="D318" s="105"/>
      <c r="E318" s="105" t="s">
        <v>256</v>
      </c>
      <c r="F318" s="105" t="s">
        <v>494</v>
      </c>
      <c r="G318" s="107">
        <v>45929.0</v>
      </c>
      <c r="H318" s="108">
        <v>0.022916666666666665</v>
      </c>
      <c r="I318" s="109">
        <f t="shared" si="1"/>
        <v>0.55</v>
      </c>
      <c r="J318" s="111" t="b">
        <v>0</v>
      </c>
      <c r="K318" s="111" t="b">
        <f t="shared" si="2"/>
        <v>1</v>
      </c>
      <c r="L318" s="90"/>
      <c r="M318" s="111" t="s">
        <v>255</v>
      </c>
    </row>
    <row r="319" hidden="1">
      <c r="A319" s="105" t="s">
        <v>260</v>
      </c>
      <c r="B319" s="105" t="s">
        <v>251</v>
      </c>
      <c r="C319" s="106">
        <v>9.0</v>
      </c>
      <c r="D319" s="105"/>
      <c r="E319" s="105" t="s">
        <v>256</v>
      </c>
      <c r="F319" s="105" t="s">
        <v>495</v>
      </c>
      <c r="G319" s="107">
        <v>45930.0</v>
      </c>
      <c r="H319" s="108">
        <v>0.10416666666666667</v>
      </c>
      <c r="I319" s="109">
        <f t="shared" si="1"/>
        <v>2.5</v>
      </c>
      <c r="J319" s="111" t="b">
        <v>0</v>
      </c>
      <c r="K319" s="111" t="b">
        <f t="shared" si="2"/>
        <v>1</v>
      </c>
      <c r="L319" s="90"/>
      <c r="M319" s="111" t="s">
        <v>255</v>
      </c>
    </row>
    <row r="320" hidden="1">
      <c r="A320" s="105" t="s">
        <v>92</v>
      </c>
      <c r="B320" s="105" t="s">
        <v>496</v>
      </c>
      <c r="C320" s="106">
        <v>8.0</v>
      </c>
      <c r="D320" s="105"/>
      <c r="E320" s="105" t="s">
        <v>252</v>
      </c>
      <c r="F320" s="105" t="s">
        <v>497</v>
      </c>
      <c r="G320" s="107">
        <v>45870.0</v>
      </c>
      <c r="H320" s="108">
        <v>0.041666666666666664</v>
      </c>
      <c r="I320" s="109">
        <f t="shared" si="1"/>
        <v>1</v>
      </c>
      <c r="J320" s="111" t="b">
        <v>1</v>
      </c>
      <c r="K320" s="111" t="b">
        <f t="shared" si="2"/>
        <v>1</v>
      </c>
      <c r="L320" s="90"/>
      <c r="M320" s="111" t="s">
        <v>255</v>
      </c>
    </row>
    <row r="321" hidden="1">
      <c r="A321" s="105" t="s">
        <v>215</v>
      </c>
      <c r="B321" s="105" t="s">
        <v>496</v>
      </c>
      <c r="C321" s="106">
        <v>8.0</v>
      </c>
      <c r="D321" s="105"/>
      <c r="E321" s="105" t="s">
        <v>256</v>
      </c>
      <c r="F321" s="105" t="s">
        <v>498</v>
      </c>
      <c r="G321" s="113">
        <v>45870.0</v>
      </c>
      <c r="H321" s="108">
        <v>0.041666666666666664</v>
      </c>
      <c r="I321" s="109">
        <f t="shared" si="1"/>
        <v>1</v>
      </c>
      <c r="J321" s="111" t="b">
        <v>1</v>
      </c>
      <c r="K321" s="111" t="b">
        <f t="shared" si="2"/>
        <v>1</v>
      </c>
      <c r="L321" s="90"/>
      <c r="M321" s="111" t="s">
        <v>255</v>
      </c>
    </row>
    <row r="322" hidden="1">
      <c r="A322" s="105" t="s">
        <v>92</v>
      </c>
      <c r="B322" s="105" t="s">
        <v>496</v>
      </c>
      <c r="C322" s="106">
        <v>8.0</v>
      </c>
      <c r="D322" s="105"/>
      <c r="E322" s="105" t="s">
        <v>252</v>
      </c>
      <c r="F322" s="105" t="s">
        <v>497</v>
      </c>
      <c r="G322" s="113">
        <v>45873.0</v>
      </c>
      <c r="H322" s="108">
        <v>0.041666666666666664</v>
      </c>
      <c r="I322" s="109">
        <f t="shared" si="1"/>
        <v>1</v>
      </c>
      <c r="J322" s="111" t="b">
        <v>1</v>
      </c>
      <c r="K322" s="111" t="b">
        <f t="shared" si="2"/>
        <v>1</v>
      </c>
      <c r="L322" s="90"/>
      <c r="M322" s="111" t="s">
        <v>255</v>
      </c>
    </row>
    <row r="323" hidden="1">
      <c r="A323" s="105" t="s">
        <v>215</v>
      </c>
      <c r="B323" s="105" t="s">
        <v>496</v>
      </c>
      <c r="C323" s="106">
        <v>8.0</v>
      </c>
      <c r="D323" s="105"/>
      <c r="E323" s="105" t="s">
        <v>271</v>
      </c>
      <c r="F323" s="105" t="s">
        <v>499</v>
      </c>
      <c r="G323" s="107">
        <v>45873.0</v>
      </c>
      <c r="H323" s="108">
        <v>0.041666666666666664</v>
      </c>
      <c r="I323" s="109">
        <f t="shared" si="1"/>
        <v>1</v>
      </c>
      <c r="J323" s="111" t="b">
        <v>1</v>
      </c>
      <c r="K323" s="111" t="b">
        <f t="shared" si="2"/>
        <v>0</v>
      </c>
      <c r="L323" s="90"/>
      <c r="M323" s="111" t="s">
        <v>255</v>
      </c>
    </row>
    <row r="324" hidden="1">
      <c r="A324" s="105" t="s">
        <v>92</v>
      </c>
      <c r="B324" s="105" t="s">
        <v>496</v>
      </c>
      <c r="C324" s="106">
        <v>8.0</v>
      </c>
      <c r="D324" s="105"/>
      <c r="E324" s="105" t="s">
        <v>252</v>
      </c>
      <c r="F324" s="105" t="s">
        <v>500</v>
      </c>
      <c r="G324" s="113">
        <v>45874.0</v>
      </c>
      <c r="H324" s="108">
        <v>0.041666666666666664</v>
      </c>
      <c r="I324" s="109">
        <f t="shared" si="1"/>
        <v>1</v>
      </c>
      <c r="J324" s="111" t="b">
        <v>1</v>
      </c>
      <c r="K324" s="111" t="b">
        <f t="shared" si="2"/>
        <v>1</v>
      </c>
      <c r="L324" s="90"/>
      <c r="M324" s="111" t="s">
        <v>255</v>
      </c>
    </row>
    <row r="325" hidden="1">
      <c r="A325" s="105" t="s">
        <v>92</v>
      </c>
      <c r="B325" s="105" t="s">
        <v>496</v>
      </c>
      <c r="C325" s="106">
        <v>8.0</v>
      </c>
      <c r="D325" s="105"/>
      <c r="E325" s="105" t="s">
        <v>252</v>
      </c>
      <c r="F325" s="105" t="s">
        <v>497</v>
      </c>
      <c r="G325" s="113">
        <v>45875.0</v>
      </c>
      <c r="H325" s="108">
        <v>0.08333333333333333</v>
      </c>
      <c r="I325" s="109">
        <f t="shared" si="1"/>
        <v>2</v>
      </c>
      <c r="J325" s="111" t="b">
        <v>1</v>
      </c>
      <c r="K325" s="111" t="b">
        <f t="shared" si="2"/>
        <v>1</v>
      </c>
      <c r="L325" s="90"/>
      <c r="M325" s="111" t="s">
        <v>255</v>
      </c>
    </row>
    <row r="326" hidden="1">
      <c r="A326" s="105" t="s">
        <v>92</v>
      </c>
      <c r="B326" s="105" t="s">
        <v>496</v>
      </c>
      <c r="C326" s="106">
        <v>8.0</v>
      </c>
      <c r="D326" s="105"/>
      <c r="E326" s="105" t="s">
        <v>252</v>
      </c>
      <c r="F326" s="105" t="s">
        <v>497</v>
      </c>
      <c r="G326" s="113">
        <v>45877.0</v>
      </c>
      <c r="H326" s="108">
        <v>0.041666666666666664</v>
      </c>
      <c r="I326" s="109">
        <f t="shared" si="1"/>
        <v>1</v>
      </c>
      <c r="J326" s="111" t="b">
        <v>1</v>
      </c>
      <c r="K326" s="111" t="b">
        <f t="shared" si="2"/>
        <v>1</v>
      </c>
      <c r="L326" s="90"/>
      <c r="M326" s="111" t="s">
        <v>255</v>
      </c>
    </row>
    <row r="327" hidden="1">
      <c r="A327" s="105" t="s">
        <v>118</v>
      </c>
      <c r="B327" s="105" t="s">
        <v>496</v>
      </c>
      <c r="C327" s="106">
        <v>8.0</v>
      </c>
      <c r="D327" s="105"/>
      <c r="E327" s="105" t="s">
        <v>271</v>
      </c>
      <c r="F327" s="105" t="s">
        <v>501</v>
      </c>
      <c r="G327" s="113">
        <v>45877.0</v>
      </c>
      <c r="H327" s="108">
        <v>0.041666666666666664</v>
      </c>
      <c r="I327" s="109">
        <f t="shared" si="1"/>
        <v>1</v>
      </c>
      <c r="J327" s="111" t="b">
        <v>1</v>
      </c>
      <c r="K327" s="111" t="b">
        <f t="shared" si="2"/>
        <v>0</v>
      </c>
      <c r="L327" s="90"/>
      <c r="M327" s="111" t="s">
        <v>255</v>
      </c>
    </row>
    <row r="328" hidden="1">
      <c r="A328" s="105" t="s">
        <v>92</v>
      </c>
      <c r="B328" s="105" t="s">
        <v>496</v>
      </c>
      <c r="C328" s="106">
        <v>8.0</v>
      </c>
      <c r="D328" s="105"/>
      <c r="E328" s="105" t="s">
        <v>252</v>
      </c>
      <c r="F328" s="105" t="s">
        <v>500</v>
      </c>
      <c r="G328" s="113">
        <v>45880.0</v>
      </c>
      <c r="H328" s="108">
        <v>0.041666666666666664</v>
      </c>
      <c r="I328" s="109">
        <f t="shared" si="1"/>
        <v>1</v>
      </c>
      <c r="J328" s="111" t="b">
        <v>1</v>
      </c>
      <c r="K328" s="111" t="b">
        <f t="shared" si="2"/>
        <v>1</v>
      </c>
      <c r="L328" s="90"/>
      <c r="M328" s="111" t="s">
        <v>255</v>
      </c>
    </row>
    <row r="329" hidden="1">
      <c r="A329" s="105" t="s">
        <v>322</v>
      </c>
      <c r="B329" s="105" t="s">
        <v>496</v>
      </c>
      <c r="C329" s="106">
        <v>8.0</v>
      </c>
      <c r="D329" s="105"/>
      <c r="E329" s="105"/>
      <c r="F329" s="105" t="s">
        <v>502</v>
      </c>
      <c r="G329" s="113">
        <v>45882.0</v>
      </c>
      <c r="H329" s="108">
        <v>0.041666666666666664</v>
      </c>
      <c r="I329" s="109">
        <f t="shared" si="1"/>
        <v>1</v>
      </c>
      <c r="J329" s="111" t="b">
        <v>0</v>
      </c>
      <c r="K329" s="111" t="b">
        <f t="shared" si="2"/>
        <v>0</v>
      </c>
      <c r="L329" s="90"/>
      <c r="M329" s="111" t="s">
        <v>255</v>
      </c>
    </row>
    <row r="330" hidden="1">
      <c r="A330" s="105" t="s">
        <v>267</v>
      </c>
      <c r="B330" s="105" t="s">
        <v>496</v>
      </c>
      <c r="C330" s="106">
        <v>8.0</v>
      </c>
      <c r="D330" s="105"/>
      <c r="E330" s="105" t="s">
        <v>256</v>
      </c>
      <c r="F330" s="105" t="s">
        <v>498</v>
      </c>
      <c r="G330" s="113">
        <v>45881.0</v>
      </c>
      <c r="H330" s="108">
        <v>0.041666666666666664</v>
      </c>
      <c r="I330" s="109">
        <f t="shared" si="1"/>
        <v>1</v>
      </c>
      <c r="J330" s="111" t="b">
        <v>0</v>
      </c>
      <c r="K330" s="111" t="b">
        <f t="shared" si="2"/>
        <v>1</v>
      </c>
      <c r="L330" s="90"/>
      <c r="M330" s="111" t="s">
        <v>255</v>
      </c>
    </row>
    <row r="331" hidden="1">
      <c r="A331" s="105" t="s">
        <v>150</v>
      </c>
      <c r="B331" s="105" t="s">
        <v>496</v>
      </c>
      <c r="C331" s="106">
        <v>8.0</v>
      </c>
      <c r="D331" s="105"/>
      <c r="E331" s="105" t="s">
        <v>252</v>
      </c>
      <c r="F331" s="105" t="s">
        <v>503</v>
      </c>
      <c r="G331" s="113">
        <v>45877.0</v>
      </c>
      <c r="H331" s="108">
        <v>0.16666666666666666</v>
      </c>
      <c r="I331" s="109">
        <f t="shared" si="1"/>
        <v>4</v>
      </c>
      <c r="J331" s="111" t="b">
        <v>0</v>
      </c>
      <c r="K331" s="111" t="b">
        <f t="shared" si="2"/>
        <v>1</v>
      </c>
      <c r="L331" s="90"/>
      <c r="M331" s="111" t="s">
        <v>255</v>
      </c>
    </row>
    <row r="332" hidden="1">
      <c r="A332" s="105" t="s">
        <v>184</v>
      </c>
      <c r="B332" s="105" t="s">
        <v>496</v>
      </c>
      <c r="C332" s="106">
        <v>8.0</v>
      </c>
      <c r="D332" s="105"/>
      <c r="E332" s="105" t="s">
        <v>252</v>
      </c>
      <c r="F332" s="105" t="s">
        <v>504</v>
      </c>
      <c r="G332" s="113">
        <v>45884.0</v>
      </c>
      <c r="H332" s="108">
        <v>0.16666666666666666</v>
      </c>
      <c r="I332" s="109">
        <f t="shared" si="1"/>
        <v>4</v>
      </c>
      <c r="J332" s="111" t="b">
        <v>1</v>
      </c>
      <c r="K332" s="111" t="b">
        <f t="shared" si="2"/>
        <v>1</v>
      </c>
      <c r="L332" s="90"/>
      <c r="M332" s="111" t="s">
        <v>255</v>
      </c>
    </row>
    <row r="333" hidden="1">
      <c r="A333" s="105" t="s">
        <v>322</v>
      </c>
      <c r="B333" s="105" t="s">
        <v>496</v>
      </c>
      <c r="C333" s="106">
        <v>8.0</v>
      </c>
      <c r="D333" s="105"/>
      <c r="E333" s="105"/>
      <c r="F333" s="105" t="s">
        <v>505</v>
      </c>
      <c r="G333" s="107">
        <v>45889.0</v>
      </c>
      <c r="H333" s="108">
        <v>0.041666666666666664</v>
      </c>
      <c r="I333" s="109">
        <f t="shared" si="1"/>
        <v>1</v>
      </c>
      <c r="J333" s="111" t="b">
        <v>0</v>
      </c>
      <c r="K333" s="111" t="b">
        <f t="shared" si="2"/>
        <v>0</v>
      </c>
      <c r="L333" s="90"/>
      <c r="M333" s="111" t="s">
        <v>255</v>
      </c>
    </row>
    <row r="334" hidden="1">
      <c r="A334" s="105" t="s">
        <v>92</v>
      </c>
      <c r="B334" s="105" t="s">
        <v>496</v>
      </c>
      <c r="C334" s="106">
        <v>8.0</v>
      </c>
      <c r="D334" s="105"/>
      <c r="E334" s="105" t="s">
        <v>252</v>
      </c>
      <c r="F334" s="105" t="s">
        <v>497</v>
      </c>
      <c r="G334" s="113">
        <v>45891.0</v>
      </c>
      <c r="H334" s="108">
        <v>0.08333333333333333</v>
      </c>
      <c r="I334" s="109">
        <f t="shared" si="1"/>
        <v>2</v>
      </c>
      <c r="J334" s="111" t="b">
        <v>1</v>
      </c>
      <c r="K334" s="111" t="b">
        <f t="shared" si="2"/>
        <v>1</v>
      </c>
      <c r="L334" s="90"/>
      <c r="M334" s="111" t="s">
        <v>255</v>
      </c>
    </row>
    <row r="335" hidden="1">
      <c r="A335" s="105" t="s">
        <v>197</v>
      </c>
      <c r="B335" s="105" t="s">
        <v>496</v>
      </c>
      <c r="C335" s="106">
        <v>8.0</v>
      </c>
      <c r="D335" s="105"/>
      <c r="E335" s="105" t="s">
        <v>252</v>
      </c>
      <c r="F335" s="105" t="s">
        <v>500</v>
      </c>
      <c r="G335" s="113">
        <v>45894.0</v>
      </c>
      <c r="H335" s="108">
        <v>0.041666666666666664</v>
      </c>
      <c r="I335" s="109">
        <f t="shared" si="1"/>
        <v>1</v>
      </c>
      <c r="J335" s="111" t="b">
        <v>1</v>
      </c>
      <c r="K335" s="111" t="b">
        <f t="shared" si="2"/>
        <v>1</v>
      </c>
      <c r="L335" s="90"/>
      <c r="M335" s="111" t="s">
        <v>255</v>
      </c>
    </row>
    <row r="336" hidden="1">
      <c r="A336" s="105" t="s">
        <v>92</v>
      </c>
      <c r="B336" s="105" t="s">
        <v>496</v>
      </c>
      <c r="C336" s="106">
        <v>8.0</v>
      </c>
      <c r="D336" s="105"/>
      <c r="E336" s="105" t="s">
        <v>252</v>
      </c>
      <c r="F336" s="105" t="s">
        <v>497</v>
      </c>
      <c r="G336" s="113">
        <v>45894.0</v>
      </c>
      <c r="H336" s="108">
        <v>0.041666666666666664</v>
      </c>
      <c r="I336" s="109">
        <f t="shared" si="1"/>
        <v>1</v>
      </c>
      <c r="J336" s="111" t="b">
        <v>1</v>
      </c>
      <c r="K336" s="111" t="b">
        <f t="shared" si="2"/>
        <v>1</v>
      </c>
      <c r="L336" s="90"/>
      <c r="M336" s="111" t="s">
        <v>255</v>
      </c>
    </row>
    <row r="337" hidden="1">
      <c r="A337" s="105" t="s">
        <v>197</v>
      </c>
      <c r="B337" s="105" t="s">
        <v>496</v>
      </c>
      <c r="C337" s="106">
        <v>8.0</v>
      </c>
      <c r="D337" s="105"/>
      <c r="E337" s="105" t="s">
        <v>252</v>
      </c>
      <c r="F337" s="105" t="s">
        <v>500</v>
      </c>
      <c r="G337" s="113">
        <v>45895.0</v>
      </c>
      <c r="H337" s="108">
        <v>0.041666666666666664</v>
      </c>
      <c r="I337" s="109">
        <f t="shared" si="1"/>
        <v>1</v>
      </c>
      <c r="J337" s="111" t="b">
        <v>1</v>
      </c>
      <c r="K337" s="111" t="b">
        <f t="shared" si="2"/>
        <v>1</v>
      </c>
      <c r="L337" s="90"/>
      <c r="M337" s="111" t="s">
        <v>255</v>
      </c>
    </row>
    <row r="338" hidden="1">
      <c r="A338" s="105" t="s">
        <v>92</v>
      </c>
      <c r="B338" s="105" t="s">
        <v>496</v>
      </c>
      <c r="C338" s="106">
        <v>8.0</v>
      </c>
      <c r="D338" s="105"/>
      <c r="E338" s="105" t="s">
        <v>252</v>
      </c>
      <c r="F338" s="105" t="s">
        <v>506</v>
      </c>
      <c r="G338" s="113">
        <v>45896.0</v>
      </c>
      <c r="H338" s="108">
        <v>0.041666666666666664</v>
      </c>
      <c r="I338" s="109">
        <f t="shared" si="1"/>
        <v>1</v>
      </c>
      <c r="J338" s="111" t="b">
        <v>1</v>
      </c>
      <c r="K338" s="111" t="b">
        <f t="shared" si="2"/>
        <v>1</v>
      </c>
      <c r="L338" s="90"/>
      <c r="M338" s="111" t="s">
        <v>255</v>
      </c>
    </row>
    <row r="339" hidden="1">
      <c r="A339" s="105" t="s">
        <v>267</v>
      </c>
      <c r="B339" s="105" t="s">
        <v>496</v>
      </c>
      <c r="C339" s="106">
        <v>9.0</v>
      </c>
      <c r="D339" s="105"/>
      <c r="E339" s="105" t="s">
        <v>256</v>
      </c>
      <c r="F339" s="105" t="s">
        <v>507</v>
      </c>
      <c r="G339" s="113">
        <v>45902.0</v>
      </c>
      <c r="H339" s="108">
        <v>0.041666666666666664</v>
      </c>
      <c r="I339" s="109">
        <f t="shared" si="1"/>
        <v>1</v>
      </c>
      <c r="J339" s="111" t="b">
        <v>0</v>
      </c>
      <c r="K339" s="111" t="b">
        <f t="shared" si="2"/>
        <v>1</v>
      </c>
      <c r="L339" s="90"/>
      <c r="M339" s="111" t="s">
        <v>255</v>
      </c>
    </row>
    <row r="340" hidden="1">
      <c r="A340" s="105" t="s">
        <v>92</v>
      </c>
      <c r="B340" s="105" t="s">
        <v>496</v>
      </c>
      <c r="C340" s="106">
        <v>9.0</v>
      </c>
      <c r="D340" s="105"/>
      <c r="E340" s="105" t="s">
        <v>256</v>
      </c>
      <c r="F340" s="105" t="s">
        <v>497</v>
      </c>
      <c r="G340" s="113">
        <v>45902.0</v>
      </c>
      <c r="H340" s="108">
        <v>0.08333333333333333</v>
      </c>
      <c r="I340" s="109">
        <f t="shared" si="1"/>
        <v>2</v>
      </c>
      <c r="J340" s="111" t="b">
        <v>1</v>
      </c>
      <c r="K340" s="111" t="b">
        <f t="shared" si="2"/>
        <v>1</v>
      </c>
      <c r="L340" s="90"/>
      <c r="M340" s="111" t="s">
        <v>255</v>
      </c>
    </row>
    <row r="341" hidden="1">
      <c r="A341" s="105" t="s">
        <v>322</v>
      </c>
      <c r="B341" s="105" t="s">
        <v>496</v>
      </c>
      <c r="C341" s="106">
        <v>9.0</v>
      </c>
      <c r="D341" s="105"/>
      <c r="E341" s="105" t="s">
        <v>252</v>
      </c>
      <c r="F341" s="105" t="s">
        <v>497</v>
      </c>
      <c r="G341" s="113">
        <v>45902.0</v>
      </c>
      <c r="H341" s="108">
        <v>0.041666666666666664</v>
      </c>
      <c r="I341" s="109">
        <f t="shared" si="1"/>
        <v>1</v>
      </c>
      <c r="J341" s="111" t="b">
        <v>0</v>
      </c>
      <c r="K341" s="111" t="b">
        <f t="shared" si="2"/>
        <v>1</v>
      </c>
      <c r="L341" s="90"/>
      <c r="M341" s="111" t="s">
        <v>255</v>
      </c>
    </row>
    <row r="342" hidden="1">
      <c r="A342" s="105" t="s">
        <v>150</v>
      </c>
      <c r="B342" s="105" t="s">
        <v>496</v>
      </c>
      <c r="C342" s="106">
        <v>9.0</v>
      </c>
      <c r="D342" s="105"/>
      <c r="E342" s="105" t="s">
        <v>252</v>
      </c>
      <c r="F342" s="105" t="s">
        <v>508</v>
      </c>
      <c r="G342" s="113">
        <v>45903.0</v>
      </c>
      <c r="H342" s="108">
        <v>0.16666666666666666</v>
      </c>
      <c r="I342" s="109">
        <f t="shared" si="1"/>
        <v>4</v>
      </c>
      <c r="J342" s="111" t="b">
        <v>0</v>
      </c>
      <c r="K342" s="111" t="b">
        <f t="shared" si="2"/>
        <v>1</v>
      </c>
      <c r="L342" s="90"/>
      <c r="M342" s="111" t="s">
        <v>255</v>
      </c>
    </row>
    <row r="343" hidden="1">
      <c r="A343" s="105" t="s">
        <v>118</v>
      </c>
      <c r="B343" s="105" t="s">
        <v>496</v>
      </c>
      <c r="C343" s="106">
        <v>9.0</v>
      </c>
      <c r="D343" s="105"/>
      <c r="E343" s="105" t="s">
        <v>252</v>
      </c>
      <c r="F343" s="105" t="s">
        <v>500</v>
      </c>
      <c r="G343" s="113">
        <v>45905.0</v>
      </c>
      <c r="H343" s="108">
        <v>0.041666666666666664</v>
      </c>
      <c r="I343" s="109">
        <f t="shared" si="1"/>
        <v>1</v>
      </c>
      <c r="J343" s="111" t="b">
        <v>1</v>
      </c>
      <c r="K343" s="111" t="b">
        <f t="shared" si="2"/>
        <v>1</v>
      </c>
      <c r="L343" s="90"/>
      <c r="M343" s="111" t="s">
        <v>255</v>
      </c>
    </row>
    <row r="344" hidden="1">
      <c r="A344" s="105" t="s">
        <v>322</v>
      </c>
      <c r="B344" s="105" t="s">
        <v>496</v>
      </c>
      <c r="C344" s="106">
        <v>9.0</v>
      </c>
      <c r="D344" s="105"/>
      <c r="E344" s="105" t="s">
        <v>252</v>
      </c>
      <c r="F344" s="105" t="s">
        <v>497</v>
      </c>
      <c r="G344" s="113">
        <v>45911.0</v>
      </c>
      <c r="H344" s="108">
        <v>0.08333333333333333</v>
      </c>
      <c r="I344" s="109">
        <f t="shared" si="1"/>
        <v>2</v>
      </c>
      <c r="J344" s="111" t="b">
        <v>0</v>
      </c>
      <c r="K344" s="111" t="b">
        <f t="shared" si="2"/>
        <v>1</v>
      </c>
      <c r="L344" s="90"/>
      <c r="M344" s="111" t="s">
        <v>255</v>
      </c>
    </row>
    <row r="345" hidden="1">
      <c r="A345" s="105" t="s">
        <v>184</v>
      </c>
      <c r="B345" s="105" t="s">
        <v>496</v>
      </c>
      <c r="C345" s="106">
        <v>9.0</v>
      </c>
      <c r="D345" s="105"/>
      <c r="E345" s="105" t="s">
        <v>252</v>
      </c>
      <c r="F345" s="105" t="s">
        <v>509</v>
      </c>
      <c r="G345" s="113">
        <v>45911.0</v>
      </c>
      <c r="H345" s="108">
        <v>0.125</v>
      </c>
      <c r="I345" s="109">
        <f t="shared" si="1"/>
        <v>3</v>
      </c>
      <c r="J345" s="111" t="b">
        <v>1</v>
      </c>
      <c r="K345" s="111" t="b">
        <f t="shared" si="2"/>
        <v>1</v>
      </c>
      <c r="L345" s="90"/>
      <c r="M345" s="111" t="s">
        <v>255</v>
      </c>
    </row>
    <row r="346" hidden="1">
      <c r="A346" s="105" t="s">
        <v>150</v>
      </c>
      <c r="B346" s="105" t="s">
        <v>496</v>
      </c>
      <c r="C346" s="106">
        <v>9.0</v>
      </c>
      <c r="D346" s="105"/>
      <c r="E346" s="105" t="s">
        <v>252</v>
      </c>
      <c r="F346" s="105" t="s">
        <v>508</v>
      </c>
      <c r="G346" s="113">
        <v>45912.0</v>
      </c>
      <c r="H346" s="108">
        <v>0.08333333333333333</v>
      </c>
      <c r="I346" s="109">
        <f t="shared" si="1"/>
        <v>2</v>
      </c>
      <c r="J346" s="111" t="b">
        <v>0</v>
      </c>
      <c r="K346" s="111" t="b">
        <f t="shared" si="2"/>
        <v>1</v>
      </c>
      <c r="L346" s="90"/>
      <c r="M346" s="111" t="s">
        <v>255</v>
      </c>
    </row>
    <row r="347" hidden="1">
      <c r="A347" s="105" t="s">
        <v>143</v>
      </c>
      <c r="B347" s="105" t="s">
        <v>496</v>
      </c>
      <c r="C347" s="106">
        <v>9.0</v>
      </c>
      <c r="D347" s="105"/>
      <c r="E347" s="105" t="s">
        <v>252</v>
      </c>
      <c r="F347" s="105" t="s">
        <v>509</v>
      </c>
      <c r="G347" s="113">
        <v>45912.0</v>
      </c>
      <c r="H347" s="108">
        <v>0.08333333333333333</v>
      </c>
      <c r="I347" s="109">
        <f t="shared" si="1"/>
        <v>2</v>
      </c>
      <c r="J347" s="111" t="b">
        <v>1</v>
      </c>
      <c r="K347" s="111" t="b">
        <f t="shared" si="2"/>
        <v>1</v>
      </c>
      <c r="L347" s="90"/>
      <c r="M347" s="111" t="s">
        <v>255</v>
      </c>
    </row>
    <row r="348" hidden="1">
      <c r="A348" s="105" t="s">
        <v>203</v>
      </c>
      <c r="B348" s="105" t="s">
        <v>496</v>
      </c>
      <c r="C348" s="106">
        <v>9.0</v>
      </c>
      <c r="D348" s="105"/>
      <c r="E348" s="105" t="s">
        <v>252</v>
      </c>
      <c r="F348" s="105" t="s">
        <v>509</v>
      </c>
      <c r="G348" s="113">
        <v>45912.0</v>
      </c>
      <c r="H348" s="108">
        <v>0.08333333333333333</v>
      </c>
      <c r="I348" s="109">
        <f t="shared" si="1"/>
        <v>2</v>
      </c>
      <c r="J348" s="111" t="b">
        <v>1</v>
      </c>
      <c r="K348" s="111" t="b">
        <f t="shared" si="2"/>
        <v>1</v>
      </c>
      <c r="L348" s="90"/>
      <c r="M348" s="111" t="s">
        <v>255</v>
      </c>
    </row>
    <row r="349" hidden="1">
      <c r="A349" s="105" t="s">
        <v>150</v>
      </c>
      <c r="B349" s="105" t="s">
        <v>496</v>
      </c>
      <c r="C349" s="106">
        <v>9.0</v>
      </c>
      <c r="D349" s="105"/>
      <c r="E349" s="105" t="s">
        <v>252</v>
      </c>
      <c r="F349" s="105" t="s">
        <v>510</v>
      </c>
      <c r="G349" s="113">
        <v>45916.0</v>
      </c>
      <c r="H349" s="108">
        <v>0.041666666666666664</v>
      </c>
      <c r="I349" s="109">
        <f t="shared" si="1"/>
        <v>1</v>
      </c>
      <c r="J349" s="111" t="b">
        <v>0</v>
      </c>
      <c r="K349" s="111" t="b">
        <f t="shared" si="2"/>
        <v>1</v>
      </c>
      <c r="L349" s="90"/>
      <c r="M349" s="111" t="s">
        <v>255</v>
      </c>
    </row>
    <row r="350" hidden="1">
      <c r="A350" s="105" t="s">
        <v>322</v>
      </c>
      <c r="B350" s="105" t="s">
        <v>496</v>
      </c>
      <c r="C350" s="106">
        <v>9.0</v>
      </c>
      <c r="D350" s="105"/>
      <c r="E350" s="105" t="s">
        <v>256</v>
      </c>
      <c r="F350" s="105" t="s">
        <v>497</v>
      </c>
      <c r="G350" s="113">
        <v>45922.0</v>
      </c>
      <c r="H350" s="108">
        <v>0.041666666666666664</v>
      </c>
      <c r="I350" s="109">
        <f t="shared" si="1"/>
        <v>1</v>
      </c>
      <c r="J350" s="111" t="b">
        <v>0</v>
      </c>
      <c r="K350" s="111" t="b">
        <f t="shared" si="2"/>
        <v>1</v>
      </c>
      <c r="L350" s="90"/>
      <c r="M350" s="111" t="s">
        <v>255</v>
      </c>
    </row>
    <row r="351" hidden="1">
      <c r="A351" s="105" t="s">
        <v>322</v>
      </c>
      <c r="B351" s="105" t="s">
        <v>496</v>
      </c>
      <c r="C351" s="106">
        <v>9.0</v>
      </c>
      <c r="D351" s="105"/>
      <c r="E351" s="105" t="s">
        <v>256</v>
      </c>
      <c r="F351" s="105" t="s">
        <v>497</v>
      </c>
      <c r="G351" s="113">
        <v>45925.0</v>
      </c>
      <c r="H351" s="108">
        <v>0.041666666666666664</v>
      </c>
      <c r="I351" s="109">
        <f t="shared" si="1"/>
        <v>1</v>
      </c>
      <c r="J351" s="111" t="b">
        <v>0</v>
      </c>
      <c r="K351" s="111" t="b">
        <f t="shared" si="2"/>
        <v>1</v>
      </c>
      <c r="L351" s="90"/>
      <c r="M351" s="111" t="s">
        <v>255</v>
      </c>
    </row>
    <row r="352" hidden="1">
      <c r="A352" s="105" t="s">
        <v>190</v>
      </c>
      <c r="B352" s="105" t="s">
        <v>496</v>
      </c>
      <c r="C352" s="106">
        <v>9.0</v>
      </c>
      <c r="D352" s="105"/>
      <c r="E352" s="105" t="s">
        <v>252</v>
      </c>
      <c r="F352" s="105" t="s">
        <v>500</v>
      </c>
      <c r="G352" s="113">
        <v>45929.0</v>
      </c>
      <c r="H352" s="108">
        <v>0.08333333333333333</v>
      </c>
      <c r="I352" s="109">
        <f t="shared" si="1"/>
        <v>2</v>
      </c>
      <c r="J352" s="111" t="b">
        <v>1</v>
      </c>
      <c r="K352" s="111" t="b">
        <f t="shared" si="2"/>
        <v>1</v>
      </c>
      <c r="L352" s="90"/>
      <c r="M352" s="111" t="s">
        <v>255</v>
      </c>
    </row>
    <row r="353" hidden="1">
      <c r="A353" s="105" t="s">
        <v>92</v>
      </c>
      <c r="B353" s="105" t="s">
        <v>496</v>
      </c>
      <c r="C353" s="106">
        <v>9.0</v>
      </c>
      <c r="D353" s="105"/>
      <c r="E353" s="105" t="s">
        <v>252</v>
      </c>
      <c r="F353" s="105" t="s">
        <v>497</v>
      </c>
      <c r="G353" s="107">
        <v>45930.0</v>
      </c>
      <c r="H353" s="108">
        <v>0.125</v>
      </c>
      <c r="I353" s="109">
        <f t="shared" si="1"/>
        <v>3</v>
      </c>
      <c r="J353" s="111" t="b">
        <v>1</v>
      </c>
      <c r="K353" s="111" t="b">
        <f t="shared" si="2"/>
        <v>1</v>
      </c>
      <c r="L353" s="90"/>
      <c r="M353" s="111" t="s">
        <v>255</v>
      </c>
    </row>
    <row r="354" hidden="1">
      <c r="A354" s="105" t="s">
        <v>104</v>
      </c>
      <c r="B354" s="105" t="s">
        <v>290</v>
      </c>
      <c r="C354" s="106">
        <v>7.0</v>
      </c>
      <c r="D354" s="105"/>
      <c r="E354" s="105" t="s">
        <v>256</v>
      </c>
      <c r="F354" s="105" t="s">
        <v>511</v>
      </c>
      <c r="G354" s="113">
        <v>45840.0</v>
      </c>
      <c r="H354" s="108">
        <v>0.0625</v>
      </c>
      <c r="I354" s="109">
        <f t="shared" si="1"/>
        <v>1.5</v>
      </c>
      <c r="J354" s="111" t="b">
        <v>1</v>
      </c>
      <c r="K354" s="111" t="b">
        <f t="shared" si="2"/>
        <v>1</v>
      </c>
      <c r="L354" s="90"/>
      <c r="M354" s="111" t="s">
        <v>255</v>
      </c>
    </row>
    <row r="355" hidden="1">
      <c r="A355" s="105" t="s">
        <v>104</v>
      </c>
      <c r="B355" s="105" t="s">
        <v>290</v>
      </c>
      <c r="C355" s="106">
        <v>7.0</v>
      </c>
      <c r="D355" s="105"/>
      <c r="E355" s="105" t="s">
        <v>256</v>
      </c>
      <c r="F355" s="105" t="s">
        <v>512</v>
      </c>
      <c r="G355" s="113">
        <v>45841.0</v>
      </c>
      <c r="H355" s="108">
        <v>0.08333333333333333</v>
      </c>
      <c r="I355" s="109">
        <f t="shared" si="1"/>
        <v>2</v>
      </c>
      <c r="J355" s="111" t="b">
        <v>1</v>
      </c>
      <c r="K355" s="111" t="b">
        <f t="shared" si="2"/>
        <v>1</v>
      </c>
      <c r="L355" s="90"/>
      <c r="M355" s="111" t="s">
        <v>255</v>
      </c>
    </row>
    <row r="356" hidden="1">
      <c r="A356" s="105" t="s">
        <v>104</v>
      </c>
      <c r="B356" s="105" t="s">
        <v>290</v>
      </c>
      <c r="C356" s="106">
        <v>7.0</v>
      </c>
      <c r="D356" s="105"/>
      <c r="E356" s="105" t="s">
        <v>256</v>
      </c>
      <c r="F356" s="105" t="s">
        <v>513</v>
      </c>
      <c r="G356" s="113">
        <v>45841.0</v>
      </c>
      <c r="H356" s="108">
        <v>0.14583333333333334</v>
      </c>
      <c r="I356" s="109">
        <f t="shared" si="1"/>
        <v>3.5</v>
      </c>
      <c r="J356" s="111" t="b">
        <v>1</v>
      </c>
      <c r="K356" s="111" t="b">
        <f t="shared" si="2"/>
        <v>1</v>
      </c>
      <c r="L356" s="90"/>
      <c r="M356" s="111" t="s">
        <v>255</v>
      </c>
    </row>
    <row r="357" hidden="1">
      <c r="A357" s="105" t="s">
        <v>104</v>
      </c>
      <c r="B357" s="105" t="s">
        <v>290</v>
      </c>
      <c r="C357" s="106">
        <v>7.0</v>
      </c>
      <c r="D357" s="105"/>
      <c r="E357" s="105" t="s">
        <v>256</v>
      </c>
      <c r="F357" s="105" t="s">
        <v>514</v>
      </c>
      <c r="G357" s="113">
        <v>45842.0</v>
      </c>
      <c r="H357" s="108">
        <v>0.0625</v>
      </c>
      <c r="I357" s="109">
        <f t="shared" si="1"/>
        <v>1.5</v>
      </c>
      <c r="J357" s="111" t="b">
        <v>1</v>
      </c>
      <c r="K357" s="111" t="b">
        <f t="shared" si="2"/>
        <v>1</v>
      </c>
      <c r="L357" s="90"/>
      <c r="M357" s="111" t="s">
        <v>255</v>
      </c>
    </row>
    <row r="358" hidden="1">
      <c r="A358" s="105" t="s">
        <v>104</v>
      </c>
      <c r="B358" s="105" t="s">
        <v>290</v>
      </c>
      <c r="C358" s="106">
        <v>7.0</v>
      </c>
      <c r="D358" s="105"/>
      <c r="E358" s="105" t="s">
        <v>256</v>
      </c>
      <c r="F358" s="105" t="s">
        <v>515</v>
      </c>
      <c r="G358" s="113">
        <v>45842.0</v>
      </c>
      <c r="H358" s="108">
        <v>0.041666666666666664</v>
      </c>
      <c r="I358" s="109">
        <f t="shared" si="1"/>
        <v>1</v>
      </c>
      <c r="J358" s="111" t="b">
        <v>1</v>
      </c>
      <c r="K358" s="111" t="b">
        <f t="shared" si="2"/>
        <v>1</v>
      </c>
      <c r="L358" s="90"/>
      <c r="M358" s="111" t="s">
        <v>255</v>
      </c>
    </row>
    <row r="359" hidden="1">
      <c r="A359" s="105" t="s">
        <v>104</v>
      </c>
      <c r="B359" s="105" t="s">
        <v>290</v>
      </c>
      <c r="C359" s="106">
        <v>7.0</v>
      </c>
      <c r="D359" s="105"/>
      <c r="E359" s="105" t="s">
        <v>256</v>
      </c>
      <c r="F359" s="105" t="s">
        <v>516</v>
      </c>
      <c r="G359" s="113">
        <v>45845.0</v>
      </c>
      <c r="H359" s="108">
        <v>0.020833333333333332</v>
      </c>
      <c r="I359" s="109">
        <f t="shared" si="1"/>
        <v>0.5</v>
      </c>
      <c r="J359" s="111" t="b">
        <v>1</v>
      </c>
      <c r="K359" s="111" t="b">
        <f t="shared" si="2"/>
        <v>1</v>
      </c>
      <c r="L359" s="90"/>
      <c r="M359" s="111" t="s">
        <v>255</v>
      </c>
    </row>
    <row r="360" hidden="1">
      <c r="A360" s="105" t="s">
        <v>104</v>
      </c>
      <c r="B360" s="105" t="s">
        <v>290</v>
      </c>
      <c r="C360" s="106">
        <v>7.0</v>
      </c>
      <c r="D360" s="105"/>
      <c r="E360" s="105" t="s">
        <v>256</v>
      </c>
      <c r="F360" s="105" t="s">
        <v>517</v>
      </c>
      <c r="G360" s="113">
        <v>45846.0</v>
      </c>
      <c r="H360" s="108">
        <v>0.125</v>
      </c>
      <c r="I360" s="109">
        <f t="shared" si="1"/>
        <v>3</v>
      </c>
      <c r="J360" s="111" t="b">
        <v>1</v>
      </c>
      <c r="K360" s="111" t="b">
        <f t="shared" si="2"/>
        <v>1</v>
      </c>
      <c r="L360" s="90"/>
      <c r="M360" s="111" t="s">
        <v>255</v>
      </c>
    </row>
    <row r="361" hidden="1">
      <c r="A361" s="105" t="s">
        <v>104</v>
      </c>
      <c r="B361" s="105" t="s">
        <v>290</v>
      </c>
      <c r="C361" s="106">
        <v>7.0</v>
      </c>
      <c r="D361" s="105"/>
      <c r="E361" s="105" t="s">
        <v>256</v>
      </c>
      <c r="F361" s="105" t="s">
        <v>518</v>
      </c>
      <c r="G361" s="113">
        <v>45852.0</v>
      </c>
      <c r="H361" s="108">
        <v>0.10416666666666667</v>
      </c>
      <c r="I361" s="109">
        <f t="shared" si="1"/>
        <v>2.5</v>
      </c>
      <c r="J361" s="111" t="b">
        <v>1</v>
      </c>
      <c r="K361" s="111" t="b">
        <f t="shared" si="2"/>
        <v>1</v>
      </c>
      <c r="L361" s="90"/>
      <c r="M361" s="111" t="s">
        <v>255</v>
      </c>
    </row>
    <row r="362" hidden="1">
      <c r="A362" s="105" t="s">
        <v>267</v>
      </c>
      <c r="B362" s="105" t="s">
        <v>290</v>
      </c>
      <c r="C362" s="106">
        <v>7.0</v>
      </c>
      <c r="D362" s="105"/>
      <c r="E362" s="105" t="s">
        <v>256</v>
      </c>
      <c r="F362" s="105" t="s">
        <v>519</v>
      </c>
      <c r="G362" s="113">
        <v>45860.0</v>
      </c>
      <c r="H362" s="108">
        <v>0.10416666666666667</v>
      </c>
      <c r="I362" s="109">
        <f t="shared" si="1"/>
        <v>2.5</v>
      </c>
      <c r="J362" s="111" t="b">
        <v>0</v>
      </c>
      <c r="K362" s="111" t="b">
        <f t="shared" si="2"/>
        <v>1</v>
      </c>
      <c r="L362" s="90"/>
      <c r="M362" s="111" t="s">
        <v>255</v>
      </c>
    </row>
    <row r="363" hidden="1">
      <c r="A363" s="105" t="s">
        <v>267</v>
      </c>
      <c r="B363" s="105" t="s">
        <v>290</v>
      </c>
      <c r="C363" s="106">
        <v>7.0</v>
      </c>
      <c r="D363" s="105"/>
      <c r="E363" s="105" t="s">
        <v>256</v>
      </c>
      <c r="F363" s="105" t="s">
        <v>520</v>
      </c>
      <c r="G363" s="113">
        <v>45861.0</v>
      </c>
      <c r="H363" s="108">
        <v>0.08333333333333333</v>
      </c>
      <c r="I363" s="109">
        <f t="shared" si="1"/>
        <v>2</v>
      </c>
      <c r="J363" s="111" t="b">
        <v>0</v>
      </c>
      <c r="K363" s="111" t="b">
        <f t="shared" si="2"/>
        <v>1</v>
      </c>
      <c r="L363" s="90"/>
      <c r="M363" s="111" t="s">
        <v>255</v>
      </c>
    </row>
    <row r="364" hidden="1">
      <c r="A364" s="105" t="s">
        <v>104</v>
      </c>
      <c r="B364" s="105" t="s">
        <v>290</v>
      </c>
      <c r="C364" s="106">
        <v>7.0</v>
      </c>
      <c r="D364" s="105"/>
      <c r="E364" s="105" t="s">
        <v>256</v>
      </c>
      <c r="F364" s="105" t="s">
        <v>521</v>
      </c>
      <c r="G364" s="113">
        <v>45863.0</v>
      </c>
      <c r="H364" s="108">
        <v>0.020833333333333332</v>
      </c>
      <c r="I364" s="109">
        <f t="shared" si="1"/>
        <v>0.5</v>
      </c>
      <c r="J364" s="111" t="b">
        <v>1</v>
      </c>
      <c r="K364" s="111" t="b">
        <f t="shared" si="2"/>
        <v>1</v>
      </c>
      <c r="L364" s="90"/>
      <c r="M364" s="111" t="s">
        <v>255</v>
      </c>
    </row>
    <row r="365" hidden="1">
      <c r="A365" s="105" t="s">
        <v>98</v>
      </c>
      <c r="B365" s="105" t="s">
        <v>290</v>
      </c>
      <c r="C365" s="106">
        <v>7.0</v>
      </c>
      <c r="D365" s="105"/>
      <c r="E365" s="105" t="s">
        <v>256</v>
      </c>
      <c r="F365" s="105" t="s">
        <v>522</v>
      </c>
      <c r="G365" s="113">
        <v>45866.0</v>
      </c>
      <c r="H365" s="108">
        <v>0.041666666666666664</v>
      </c>
      <c r="I365" s="109">
        <f t="shared" si="1"/>
        <v>1</v>
      </c>
      <c r="J365" s="111" t="b">
        <v>1</v>
      </c>
      <c r="K365" s="111" t="b">
        <f t="shared" si="2"/>
        <v>1</v>
      </c>
      <c r="L365" s="90"/>
      <c r="M365" s="111" t="s">
        <v>255</v>
      </c>
    </row>
    <row r="366" hidden="1">
      <c r="A366" s="105" t="s">
        <v>267</v>
      </c>
      <c r="B366" s="105" t="s">
        <v>290</v>
      </c>
      <c r="C366" s="106">
        <v>7.0</v>
      </c>
      <c r="D366" s="105"/>
      <c r="E366" s="105" t="s">
        <v>256</v>
      </c>
      <c r="F366" s="105" t="s">
        <v>523</v>
      </c>
      <c r="G366" s="113">
        <v>45869.0</v>
      </c>
      <c r="H366" s="108">
        <v>0.041666666666666664</v>
      </c>
      <c r="I366" s="109">
        <f t="shared" si="1"/>
        <v>1</v>
      </c>
      <c r="J366" s="111" t="b">
        <v>0</v>
      </c>
      <c r="K366" s="111" t="b">
        <f t="shared" si="2"/>
        <v>1</v>
      </c>
      <c r="L366" s="90"/>
      <c r="M366" s="111" t="s">
        <v>255</v>
      </c>
    </row>
    <row r="367" hidden="1">
      <c r="A367" s="105" t="s">
        <v>267</v>
      </c>
      <c r="B367" s="105" t="s">
        <v>290</v>
      </c>
      <c r="C367" s="106">
        <v>8.0</v>
      </c>
      <c r="D367" s="105"/>
      <c r="E367" s="105" t="s">
        <v>256</v>
      </c>
      <c r="F367" s="105" t="s">
        <v>524</v>
      </c>
      <c r="G367" s="113">
        <v>45870.0</v>
      </c>
      <c r="H367" s="108">
        <v>0.041666666666666664</v>
      </c>
      <c r="I367" s="109">
        <f t="shared" si="1"/>
        <v>1</v>
      </c>
      <c r="J367" s="111" t="b">
        <v>0</v>
      </c>
      <c r="K367" s="111" t="b">
        <f t="shared" si="2"/>
        <v>1</v>
      </c>
      <c r="L367" s="90"/>
      <c r="M367" s="111" t="s">
        <v>255</v>
      </c>
    </row>
    <row r="368" hidden="1">
      <c r="A368" s="105" t="s">
        <v>104</v>
      </c>
      <c r="B368" s="105" t="s">
        <v>290</v>
      </c>
      <c r="C368" s="106">
        <v>8.0</v>
      </c>
      <c r="D368" s="105"/>
      <c r="E368" s="105" t="s">
        <v>256</v>
      </c>
      <c r="F368" s="105" t="s">
        <v>525</v>
      </c>
      <c r="G368" s="113">
        <v>45877.0</v>
      </c>
      <c r="H368" s="108">
        <v>0.020833333333333332</v>
      </c>
      <c r="I368" s="109">
        <f t="shared" si="1"/>
        <v>0.5</v>
      </c>
      <c r="J368" s="111" t="b">
        <v>1</v>
      </c>
      <c r="K368" s="111" t="b">
        <f t="shared" si="2"/>
        <v>1</v>
      </c>
      <c r="L368" s="90"/>
      <c r="M368" s="111" t="s">
        <v>255</v>
      </c>
    </row>
    <row r="369" hidden="1">
      <c r="A369" s="105" t="s">
        <v>267</v>
      </c>
      <c r="B369" s="105" t="s">
        <v>290</v>
      </c>
      <c r="C369" s="106">
        <v>8.0</v>
      </c>
      <c r="D369" s="105"/>
      <c r="E369" s="105" t="s">
        <v>256</v>
      </c>
      <c r="F369" s="105" t="s">
        <v>526</v>
      </c>
      <c r="G369" s="113">
        <v>45876.0</v>
      </c>
      <c r="H369" s="108">
        <v>0.10416666666666667</v>
      </c>
      <c r="I369" s="109">
        <f t="shared" si="1"/>
        <v>2.5</v>
      </c>
      <c r="J369" s="111" t="b">
        <v>0</v>
      </c>
      <c r="K369" s="111" t="b">
        <f t="shared" si="2"/>
        <v>1</v>
      </c>
      <c r="L369" s="90"/>
      <c r="M369" s="111" t="s">
        <v>255</v>
      </c>
    </row>
    <row r="370" hidden="1">
      <c r="A370" s="105" t="s">
        <v>267</v>
      </c>
      <c r="B370" s="105" t="s">
        <v>290</v>
      </c>
      <c r="C370" s="106">
        <v>8.0</v>
      </c>
      <c r="D370" s="105"/>
      <c r="E370" s="105" t="s">
        <v>256</v>
      </c>
      <c r="F370" s="105" t="s">
        <v>527</v>
      </c>
      <c r="G370" s="113">
        <v>45877.0</v>
      </c>
      <c r="H370" s="108">
        <v>0.020833333333333332</v>
      </c>
      <c r="I370" s="109">
        <f t="shared" si="1"/>
        <v>0.5</v>
      </c>
      <c r="J370" s="111" t="b">
        <v>0</v>
      </c>
      <c r="K370" s="111" t="b">
        <f t="shared" si="2"/>
        <v>1</v>
      </c>
      <c r="L370" s="90"/>
      <c r="M370" s="111" t="s">
        <v>255</v>
      </c>
    </row>
    <row r="371" hidden="1">
      <c r="A371" s="105" t="s">
        <v>267</v>
      </c>
      <c r="B371" s="105" t="s">
        <v>290</v>
      </c>
      <c r="C371" s="106">
        <v>8.0</v>
      </c>
      <c r="D371" s="105"/>
      <c r="E371" s="105" t="s">
        <v>256</v>
      </c>
      <c r="F371" s="105" t="s">
        <v>528</v>
      </c>
      <c r="G371" s="113">
        <v>45875.0</v>
      </c>
      <c r="H371" s="108">
        <v>0.0625</v>
      </c>
      <c r="I371" s="109">
        <f t="shared" si="1"/>
        <v>1.5</v>
      </c>
      <c r="J371" s="111" t="b">
        <v>0</v>
      </c>
      <c r="K371" s="111" t="b">
        <f t="shared" si="2"/>
        <v>1</v>
      </c>
      <c r="L371" s="90"/>
      <c r="M371" s="111" t="s">
        <v>255</v>
      </c>
    </row>
    <row r="372" hidden="1">
      <c r="A372" s="105" t="s">
        <v>267</v>
      </c>
      <c r="B372" s="105" t="s">
        <v>290</v>
      </c>
      <c r="C372" s="106">
        <v>8.0</v>
      </c>
      <c r="D372" s="105"/>
      <c r="E372" s="105" t="s">
        <v>256</v>
      </c>
      <c r="F372" s="105" t="s">
        <v>529</v>
      </c>
      <c r="G372" s="113">
        <v>45883.0</v>
      </c>
      <c r="H372" s="108">
        <v>0.08333333333333333</v>
      </c>
      <c r="I372" s="109">
        <f t="shared" si="1"/>
        <v>2</v>
      </c>
      <c r="J372" s="111" t="b">
        <v>0</v>
      </c>
      <c r="K372" s="111" t="b">
        <f t="shared" si="2"/>
        <v>1</v>
      </c>
      <c r="L372" s="90"/>
      <c r="M372" s="111" t="s">
        <v>255</v>
      </c>
    </row>
    <row r="373" hidden="1">
      <c r="A373" s="105" t="s">
        <v>104</v>
      </c>
      <c r="B373" s="105" t="s">
        <v>290</v>
      </c>
      <c r="C373" s="106">
        <v>8.0</v>
      </c>
      <c r="D373" s="105"/>
      <c r="E373" s="105" t="s">
        <v>256</v>
      </c>
      <c r="F373" s="105" t="s">
        <v>530</v>
      </c>
      <c r="G373" s="113">
        <v>45887.0</v>
      </c>
      <c r="H373" s="108">
        <v>0.03125</v>
      </c>
      <c r="I373" s="109">
        <f t="shared" si="1"/>
        <v>0.75</v>
      </c>
      <c r="J373" s="111" t="b">
        <v>1</v>
      </c>
      <c r="K373" s="111" t="b">
        <f t="shared" si="2"/>
        <v>1</v>
      </c>
      <c r="L373" s="90"/>
      <c r="M373" s="111" t="s">
        <v>255</v>
      </c>
    </row>
    <row r="374" hidden="1">
      <c r="A374" s="105" t="s">
        <v>267</v>
      </c>
      <c r="B374" s="105" t="s">
        <v>290</v>
      </c>
      <c r="C374" s="106">
        <v>8.0</v>
      </c>
      <c r="D374" s="105"/>
      <c r="E374" s="105" t="s">
        <v>256</v>
      </c>
      <c r="F374" s="105" t="s">
        <v>531</v>
      </c>
      <c r="G374" s="113">
        <v>45890.0</v>
      </c>
      <c r="H374" s="108">
        <v>0.020833333333333332</v>
      </c>
      <c r="I374" s="109">
        <f t="shared" si="1"/>
        <v>0.5</v>
      </c>
      <c r="J374" s="111" t="b">
        <v>0</v>
      </c>
      <c r="K374" s="111" t="b">
        <f t="shared" si="2"/>
        <v>1</v>
      </c>
      <c r="L374" s="90"/>
      <c r="M374" s="111" t="s">
        <v>255</v>
      </c>
    </row>
    <row r="375" hidden="1">
      <c r="A375" s="105" t="s">
        <v>267</v>
      </c>
      <c r="B375" s="105" t="s">
        <v>290</v>
      </c>
      <c r="C375" s="106">
        <v>8.0</v>
      </c>
      <c r="D375" s="105"/>
      <c r="E375" s="105" t="s">
        <v>256</v>
      </c>
      <c r="F375" s="105" t="s">
        <v>532</v>
      </c>
      <c r="G375" s="113">
        <v>45889.0</v>
      </c>
      <c r="H375" s="108">
        <v>0.041666666666666664</v>
      </c>
      <c r="I375" s="109">
        <f t="shared" si="1"/>
        <v>1</v>
      </c>
      <c r="J375" s="111" t="b">
        <v>0</v>
      </c>
      <c r="K375" s="111" t="b">
        <f t="shared" si="2"/>
        <v>1</v>
      </c>
      <c r="L375" s="90"/>
      <c r="M375" s="111" t="s">
        <v>255</v>
      </c>
    </row>
    <row r="376" hidden="1">
      <c r="A376" s="105" t="s">
        <v>104</v>
      </c>
      <c r="B376" s="105" t="s">
        <v>290</v>
      </c>
      <c r="C376" s="106">
        <v>8.0</v>
      </c>
      <c r="D376" s="105"/>
      <c r="E376" s="105" t="s">
        <v>256</v>
      </c>
      <c r="F376" s="105" t="s">
        <v>533</v>
      </c>
      <c r="G376" s="113">
        <v>45888.0</v>
      </c>
      <c r="H376" s="108">
        <v>0.020833333333333332</v>
      </c>
      <c r="I376" s="109">
        <f t="shared" si="1"/>
        <v>0.5</v>
      </c>
      <c r="J376" s="111" t="b">
        <v>1</v>
      </c>
      <c r="K376" s="111" t="b">
        <f t="shared" si="2"/>
        <v>1</v>
      </c>
      <c r="L376" s="90"/>
      <c r="M376" s="111" t="s">
        <v>255</v>
      </c>
    </row>
    <row r="377" hidden="1">
      <c r="A377" s="105" t="s">
        <v>267</v>
      </c>
      <c r="B377" s="105" t="s">
        <v>290</v>
      </c>
      <c r="C377" s="106">
        <v>8.0</v>
      </c>
      <c r="D377" s="105"/>
      <c r="E377" s="105" t="s">
        <v>256</v>
      </c>
      <c r="F377" s="105" t="s">
        <v>534</v>
      </c>
      <c r="G377" s="113">
        <v>45894.0</v>
      </c>
      <c r="H377" s="108">
        <v>0.125</v>
      </c>
      <c r="I377" s="109">
        <f t="shared" si="1"/>
        <v>3</v>
      </c>
      <c r="J377" s="111" t="b">
        <v>0</v>
      </c>
      <c r="K377" s="111" t="b">
        <f t="shared" si="2"/>
        <v>1</v>
      </c>
      <c r="L377" s="90"/>
      <c r="M377" s="111" t="s">
        <v>255</v>
      </c>
    </row>
    <row r="378" hidden="1">
      <c r="A378" s="105" t="s">
        <v>98</v>
      </c>
      <c r="B378" s="105" t="s">
        <v>290</v>
      </c>
      <c r="C378" s="106">
        <v>8.0</v>
      </c>
      <c r="D378" s="105"/>
      <c r="E378" s="105" t="s">
        <v>256</v>
      </c>
      <c r="F378" s="105" t="s">
        <v>535</v>
      </c>
      <c r="G378" s="113">
        <v>45881.0</v>
      </c>
      <c r="H378" s="108">
        <v>0.020833333333333332</v>
      </c>
      <c r="I378" s="109">
        <f t="shared" si="1"/>
        <v>0.5</v>
      </c>
      <c r="J378" s="111" t="b">
        <v>1</v>
      </c>
      <c r="K378" s="111" t="b">
        <f t="shared" si="2"/>
        <v>1</v>
      </c>
      <c r="L378" s="90"/>
      <c r="M378" s="111" t="s">
        <v>255</v>
      </c>
    </row>
    <row r="379" hidden="1">
      <c r="A379" s="105" t="s">
        <v>267</v>
      </c>
      <c r="B379" s="105" t="s">
        <v>290</v>
      </c>
      <c r="C379" s="106">
        <v>9.0</v>
      </c>
      <c r="D379" s="105"/>
      <c r="E379" s="105" t="s">
        <v>256</v>
      </c>
      <c r="F379" s="105" t="s">
        <v>536</v>
      </c>
      <c r="G379" s="113">
        <v>45902.0</v>
      </c>
      <c r="H379" s="108">
        <v>0.041666666666666664</v>
      </c>
      <c r="I379" s="109">
        <f t="shared" si="1"/>
        <v>1</v>
      </c>
      <c r="J379" s="111" t="b">
        <v>0</v>
      </c>
      <c r="K379" s="111" t="b">
        <f t="shared" si="2"/>
        <v>1</v>
      </c>
      <c r="L379" s="90"/>
      <c r="M379" s="111" t="s">
        <v>255</v>
      </c>
    </row>
    <row r="380" hidden="1">
      <c r="A380" s="105" t="s">
        <v>130</v>
      </c>
      <c r="B380" s="105" t="s">
        <v>290</v>
      </c>
      <c r="C380" s="106">
        <v>9.0</v>
      </c>
      <c r="D380" s="105"/>
      <c r="E380" s="105" t="s">
        <v>256</v>
      </c>
      <c r="F380" s="105" t="s">
        <v>537</v>
      </c>
      <c r="G380" s="113">
        <v>45909.0</v>
      </c>
      <c r="H380" s="108">
        <v>0.08333333333333333</v>
      </c>
      <c r="I380" s="109">
        <f t="shared" si="1"/>
        <v>2</v>
      </c>
      <c r="J380" s="111" t="b">
        <v>1</v>
      </c>
      <c r="K380" s="111" t="b">
        <f t="shared" si="2"/>
        <v>1</v>
      </c>
      <c r="L380" s="90"/>
      <c r="M380" s="111" t="s">
        <v>255</v>
      </c>
    </row>
    <row r="381" hidden="1">
      <c r="A381" s="105" t="s">
        <v>130</v>
      </c>
      <c r="B381" s="105" t="s">
        <v>290</v>
      </c>
      <c r="C381" s="106">
        <v>9.0</v>
      </c>
      <c r="D381" s="105"/>
      <c r="E381" s="105" t="s">
        <v>256</v>
      </c>
      <c r="F381" s="105" t="s">
        <v>538</v>
      </c>
      <c r="G381" s="113">
        <v>45909.0</v>
      </c>
      <c r="H381" s="108">
        <v>0.16666666666666666</v>
      </c>
      <c r="I381" s="109">
        <f t="shared" si="1"/>
        <v>4</v>
      </c>
      <c r="J381" s="111" t="b">
        <v>1</v>
      </c>
      <c r="K381" s="111" t="b">
        <f t="shared" si="2"/>
        <v>1</v>
      </c>
      <c r="L381" s="90"/>
      <c r="M381" s="111" t="s">
        <v>255</v>
      </c>
    </row>
    <row r="382" hidden="1">
      <c r="A382" s="105" t="s">
        <v>130</v>
      </c>
      <c r="B382" s="105" t="s">
        <v>290</v>
      </c>
      <c r="C382" s="106">
        <v>9.0</v>
      </c>
      <c r="D382" s="105"/>
      <c r="E382" s="105" t="s">
        <v>256</v>
      </c>
      <c r="F382" s="105" t="s">
        <v>539</v>
      </c>
      <c r="G382" s="113">
        <v>45910.0</v>
      </c>
      <c r="H382" s="108">
        <v>0.08333333333333333</v>
      </c>
      <c r="I382" s="109">
        <f t="shared" si="1"/>
        <v>2</v>
      </c>
      <c r="J382" s="111" t="b">
        <v>1</v>
      </c>
      <c r="K382" s="111" t="b">
        <f t="shared" si="2"/>
        <v>1</v>
      </c>
      <c r="L382" s="90"/>
      <c r="M382" s="111" t="s">
        <v>255</v>
      </c>
    </row>
    <row r="383" hidden="1">
      <c r="A383" s="105" t="s">
        <v>130</v>
      </c>
      <c r="B383" s="105" t="s">
        <v>290</v>
      </c>
      <c r="C383" s="106">
        <v>9.0</v>
      </c>
      <c r="D383" s="105"/>
      <c r="E383" s="105" t="s">
        <v>256</v>
      </c>
      <c r="F383" s="105" t="s">
        <v>540</v>
      </c>
      <c r="G383" s="113">
        <v>45911.0</v>
      </c>
      <c r="H383" s="108">
        <v>0.10416666666666667</v>
      </c>
      <c r="I383" s="109">
        <f t="shared" si="1"/>
        <v>2.5</v>
      </c>
      <c r="J383" s="111" t="b">
        <v>1</v>
      </c>
      <c r="K383" s="111" t="b">
        <f t="shared" si="2"/>
        <v>1</v>
      </c>
      <c r="L383" s="90"/>
      <c r="M383" s="111" t="s">
        <v>255</v>
      </c>
    </row>
    <row r="384" hidden="1">
      <c r="A384" s="105" t="s">
        <v>130</v>
      </c>
      <c r="B384" s="105" t="s">
        <v>290</v>
      </c>
      <c r="C384" s="106">
        <v>9.0</v>
      </c>
      <c r="D384" s="105"/>
      <c r="E384" s="105" t="s">
        <v>256</v>
      </c>
      <c r="F384" s="105" t="s">
        <v>539</v>
      </c>
      <c r="G384" s="113">
        <v>45911.0</v>
      </c>
      <c r="H384" s="108">
        <v>0.041666666666666664</v>
      </c>
      <c r="I384" s="109">
        <f t="shared" si="1"/>
        <v>1</v>
      </c>
      <c r="J384" s="111" t="b">
        <v>1</v>
      </c>
      <c r="K384" s="111" t="b">
        <f t="shared" si="2"/>
        <v>1</v>
      </c>
      <c r="L384" s="90"/>
      <c r="M384" s="111" t="s">
        <v>255</v>
      </c>
    </row>
    <row r="385" hidden="1">
      <c r="A385" s="105" t="s">
        <v>130</v>
      </c>
      <c r="B385" s="105" t="s">
        <v>290</v>
      </c>
      <c r="C385" s="106">
        <v>9.0</v>
      </c>
      <c r="D385" s="105"/>
      <c r="E385" s="105" t="s">
        <v>256</v>
      </c>
      <c r="F385" s="105" t="s">
        <v>541</v>
      </c>
      <c r="G385" s="113">
        <v>45918.0</v>
      </c>
      <c r="H385" s="108">
        <v>0.16666666666666666</v>
      </c>
      <c r="I385" s="109">
        <f t="shared" si="1"/>
        <v>4</v>
      </c>
      <c r="J385" s="111" t="b">
        <v>1</v>
      </c>
      <c r="K385" s="111" t="b">
        <f t="shared" si="2"/>
        <v>1</v>
      </c>
      <c r="L385" s="90"/>
      <c r="M385" s="111" t="s">
        <v>255</v>
      </c>
    </row>
    <row r="386" hidden="1">
      <c r="A386" s="105" t="s">
        <v>215</v>
      </c>
      <c r="B386" s="105" t="s">
        <v>290</v>
      </c>
      <c r="C386" s="106">
        <v>9.0</v>
      </c>
      <c r="D386" s="105"/>
      <c r="E386" s="105" t="s">
        <v>256</v>
      </c>
      <c r="F386" s="105" t="s">
        <v>542</v>
      </c>
      <c r="G386" s="113">
        <v>45922.0</v>
      </c>
      <c r="H386" s="108">
        <v>0.10416666666666667</v>
      </c>
      <c r="I386" s="109">
        <f t="shared" si="1"/>
        <v>2.5</v>
      </c>
      <c r="J386" s="111" t="b">
        <v>1</v>
      </c>
      <c r="K386" s="111" t="b">
        <f t="shared" si="2"/>
        <v>1</v>
      </c>
      <c r="L386" s="90"/>
      <c r="M386" s="111" t="s">
        <v>255</v>
      </c>
    </row>
    <row r="387" hidden="1">
      <c r="A387" s="105" t="s">
        <v>150</v>
      </c>
      <c r="B387" s="105" t="s">
        <v>406</v>
      </c>
      <c r="C387" s="106">
        <v>7.0</v>
      </c>
      <c r="D387" s="105"/>
      <c r="E387" s="105" t="s">
        <v>252</v>
      </c>
      <c r="F387" s="105" t="s">
        <v>510</v>
      </c>
      <c r="G387" s="113">
        <v>45839.0</v>
      </c>
      <c r="H387" s="108">
        <v>0.041666666666666664</v>
      </c>
      <c r="I387" s="109">
        <f t="shared" si="1"/>
        <v>1</v>
      </c>
      <c r="J387" s="111" t="b">
        <v>0</v>
      </c>
      <c r="K387" s="111" t="b">
        <f t="shared" si="2"/>
        <v>1</v>
      </c>
      <c r="L387" s="90"/>
      <c r="M387" s="111" t="s">
        <v>255</v>
      </c>
    </row>
    <row r="388" hidden="1">
      <c r="A388" s="105" t="s">
        <v>92</v>
      </c>
      <c r="B388" s="105" t="s">
        <v>406</v>
      </c>
      <c r="C388" s="106">
        <v>7.0</v>
      </c>
      <c r="D388" s="105"/>
      <c r="E388" s="105" t="s">
        <v>252</v>
      </c>
      <c r="F388" s="105" t="s">
        <v>500</v>
      </c>
      <c r="G388" s="113">
        <v>45840.0</v>
      </c>
      <c r="H388" s="108">
        <v>0.08333333333333333</v>
      </c>
      <c r="I388" s="109">
        <f t="shared" si="1"/>
        <v>2</v>
      </c>
      <c r="J388" s="111" t="b">
        <v>1</v>
      </c>
      <c r="K388" s="111" t="b">
        <f t="shared" si="2"/>
        <v>1</v>
      </c>
      <c r="L388" s="90"/>
      <c r="M388" s="111" t="s">
        <v>255</v>
      </c>
    </row>
    <row r="389" hidden="1">
      <c r="A389" s="105" t="s">
        <v>209</v>
      </c>
      <c r="B389" s="105" t="s">
        <v>406</v>
      </c>
      <c r="C389" s="106">
        <v>7.0</v>
      </c>
      <c r="D389" s="105"/>
      <c r="E389" s="105" t="s">
        <v>256</v>
      </c>
      <c r="F389" s="105" t="s">
        <v>543</v>
      </c>
      <c r="G389" s="113">
        <v>45841.0</v>
      </c>
      <c r="H389" s="108">
        <v>0.041666666666666664</v>
      </c>
      <c r="I389" s="109">
        <f t="shared" si="1"/>
        <v>1</v>
      </c>
      <c r="J389" s="111" t="b">
        <v>1</v>
      </c>
      <c r="K389" s="111" t="b">
        <f t="shared" si="2"/>
        <v>1</v>
      </c>
      <c r="L389" s="90"/>
      <c r="M389" s="111" t="s">
        <v>255</v>
      </c>
    </row>
    <row r="390" hidden="1">
      <c r="A390" s="105" t="s">
        <v>150</v>
      </c>
      <c r="B390" s="105" t="s">
        <v>406</v>
      </c>
      <c r="C390" s="106">
        <v>7.0</v>
      </c>
      <c r="D390" s="105"/>
      <c r="E390" s="105" t="s">
        <v>252</v>
      </c>
      <c r="F390" s="105" t="s">
        <v>510</v>
      </c>
      <c r="G390" s="107">
        <v>45842.0</v>
      </c>
      <c r="H390" s="108">
        <v>0.041666666666666664</v>
      </c>
      <c r="I390" s="109">
        <f t="shared" si="1"/>
        <v>1</v>
      </c>
      <c r="J390" s="111" t="b">
        <v>0</v>
      </c>
      <c r="K390" s="111" t="b">
        <f t="shared" si="2"/>
        <v>1</v>
      </c>
      <c r="L390" s="90"/>
      <c r="M390" s="111" t="s">
        <v>255</v>
      </c>
    </row>
    <row r="391" hidden="1">
      <c r="A391" s="105" t="s">
        <v>322</v>
      </c>
      <c r="B391" s="105" t="s">
        <v>406</v>
      </c>
      <c r="C391" s="106">
        <v>7.0</v>
      </c>
      <c r="D391" s="105"/>
      <c r="E391" s="105" t="s">
        <v>256</v>
      </c>
      <c r="F391" s="105" t="s">
        <v>544</v>
      </c>
      <c r="G391" s="113">
        <v>45845.0</v>
      </c>
      <c r="H391" s="108">
        <v>0.041666666666666664</v>
      </c>
      <c r="I391" s="109">
        <f t="shared" si="1"/>
        <v>1</v>
      </c>
      <c r="J391" s="111" t="b">
        <v>0</v>
      </c>
      <c r="K391" s="111" t="b">
        <f t="shared" si="2"/>
        <v>1</v>
      </c>
      <c r="L391" s="90"/>
      <c r="M391" s="111" t="s">
        <v>255</v>
      </c>
    </row>
    <row r="392" hidden="1">
      <c r="A392" s="105" t="s">
        <v>150</v>
      </c>
      <c r="B392" s="105" t="s">
        <v>406</v>
      </c>
      <c r="C392" s="106">
        <v>7.0</v>
      </c>
      <c r="D392" s="105"/>
      <c r="E392" s="105" t="s">
        <v>252</v>
      </c>
      <c r="F392" s="105" t="s">
        <v>510</v>
      </c>
      <c r="G392" s="113">
        <v>45846.0</v>
      </c>
      <c r="H392" s="108">
        <v>0.041666666666666664</v>
      </c>
      <c r="I392" s="109">
        <f t="shared" si="1"/>
        <v>1</v>
      </c>
      <c r="J392" s="111" t="b">
        <v>0</v>
      </c>
      <c r="K392" s="111" t="b">
        <f t="shared" si="2"/>
        <v>1</v>
      </c>
      <c r="L392" s="90"/>
      <c r="M392" s="111" t="s">
        <v>255</v>
      </c>
    </row>
    <row r="393" hidden="1">
      <c r="A393" s="105" t="s">
        <v>92</v>
      </c>
      <c r="B393" s="105" t="s">
        <v>406</v>
      </c>
      <c r="C393" s="106">
        <v>7.0</v>
      </c>
      <c r="D393" s="105"/>
      <c r="E393" s="105" t="s">
        <v>256</v>
      </c>
      <c r="F393" s="105" t="s">
        <v>497</v>
      </c>
      <c r="G393" s="113">
        <v>45847.0</v>
      </c>
      <c r="H393" s="108">
        <v>0.125</v>
      </c>
      <c r="I393" s="109">
        <f t="shared" si="1"/>
        <v>3</v>
      </c>
      <c r="J393" s="111" t="b">
        <v>1</v>
      </c>
      <c r="K393" s="111" t="b">
        <f t="shared" si="2"/>
        <v>1</v>
      </c>
      <c r="L393" s="90"/>
      <c r="M393" s="111" t="s">
        <v>255</v>
      </c>
    </row>
    <row r="394" hidden="1">
      <c r="A394" s="105" t="s">
        <v>150</v>
      </c>
      <c r="B394" s="105" t="s">
        <v>406</v>
      </c>
      <c r="C394" s="106">
        <v>7.0</v>
      </c>
      <c r="D394" s="105"/>
      <c r="E394" s="105" t="s">
        <v>252</v>
      </c>
      <c r="F394" s="105" t="s">
        <v>510</v>
      </c>
      <c r="G394" s="113">
        <v>45848.0</v>
      </c>
      <c r="H394" s="108">
        <v>0.041666666666666664</v>
      </c>
      <c r="I394" s="109">
        <f t="shared" si="1"/>
        <v>1</v>
      </c>
      <c r="J394" s="111" t="b">
        <v>0</v>
      </c>
      <c r="K394" s="111" t="b">
        <f t="shared" si="2"/>
        <v>1</v>
      </c>
      <c r="L394" s="90"/>
      <c r="M394" s="111" t="s">
        <v>255</v>
      </c>
    </row>
    <row r="395" hidden="1">
      <c r="A395" s="105" t="s">
        <v>92</v>
      </c>
      <c r="B395" s="105" t="s">
        <v>406</v>
      </c>
      <c r="C395" s="106">
        <v>7.0</v>
      </c>
      <c r="D395" s="105"/>
      <c r="E395" s="105" t="s">
        <v>256</v>
      </c>
      <c r="F395" s="105" t="s">
        <v>497</v>
      </c>
      <c r="G395" s="113">
        <v>45848.0</v>
      </c>
      <c r="H395" s="108">
        <v>0.125</v>
      </c>
      <c r="I395" s="109">
        <f t="shared" si="1"/>
        <v>3</v>
      </c>
      <c r="J395" s="111" t="b">
        <v>1</v>
      </c>
      <c r="K395" s="111" t="b">
        <f t="shared" si="2"/>
        <v>1</v>
      </c>
      <c r="L395" s="90"/>
      <c r="M395" s="111" t="s">
        <v>255</v>
      </c>
    </row>
    <row r="396" hidden="1">
      <c r="A396" s="105" t="s">
        <v>92</v>
      </c>
      <c r="B396" s="105" t="s">
        <v>406</v>
      </c>
      <c r="C396" s="106">
        <v>7.0</v>
      </c>
      <c r="D396" s="105"/>
      <c r="E396" s="105" t="s">
        <v>256</v>
      </c>
      <c r="F396" s="105" t="s">
        <v>497</v>
      </c>
      <c r="G396" s="113">
        <v>45849.0</v>
      </c>
      <c r="H396" s="108">
        <v>0.125</v>
      </c>
      <c r="I396" s="109">
        <f t="shared" si="1"/>
        <v>3</v>
      </c>
      <c r="J396" s="111" t="b">
        <v>1</v>
      </c>
      <c r="K396" s="111" t="b">
        <f t="shared" si="2"/>
        <v>1</v>
      </c>
      <c r="L396" s="90"/>
      <c r="M396" s="111" t="s">
        <v>255</v>
      </c>
    </row>
    <row r="397" hidden="1">
      <c r="A397" s="105" t="s">
        <v>92</v>
      </c>
      <c r="B397" s="105" t="s">
        <v>406</v>
      </c>
      <c r="C397" s="106">
        <v>7.0</v>
      </c>
      <c r="D397" s="105"/>
      <c r="E397" s="105" t="s">
        <v>256</v>
      </c>
      <c r="F397" s="105" t="s">
        <v>497</v>
      </c>
      <c r="G397" s="113">
        <v>45852.0</v>
      </c>
      <c r="H397" s="108">
        <v>0.125</v>
      </c>
      <c r="I397" s="109">
        <f t="shared" si="1"/>
        <v>3</v>
      </c>
      <c r="J397" s="111" t="b">
        <v>1</v>
      </c>
      <c r="K397" s="111" t="b">
        <f t="shared" si="2"/>
        <v>1</v>
      </c>
      <c r="L397" s="90"/>
      <c r="M397" s="111" t="s">
        <v>255</v>
      </c>
    </row>
    <row r="398" hidden="1">
      <c r="A398" s="105" t="s">
        <v>267</v>
      </c>
      <c r="B398" s="105" t="s">
        <v>406</v>
      </c>
      <c r="C398" s="106">
        <v>7.0</v>
      </c>
      <c r="D398" s="105"/>
      <c r="E398" s="105" t="s">
        <v>256</v>
      </c>
      <c r="F398" s="105" t="s">
        <v>507</v>
      </c>
      <c r="G398" s="113">
        <v>45853.0</v>
      </c>
      <c r="H398" s="108">
        <v>0.125</v>
      </c>
      <c r="I398" s="109">
        <f t="shared" si="1"/>
        <v>3</v>
      </c>
      <c r="J398" s="111" t="b">
        <v>0</v>
      </c>
      <c r="K398" s="111" t="b">
        <f t="shared" si="2"/>
        <v>1</v>
      </c>
      <c r="L398" s="90"/>
      <c r="M398" s="111" t="s">
        <v>255</v>
      </c>
    </row>
    <row r="399" hidden="1">
      <c r="A399" s="105" t="s">
        <v>267</v>
      </c>
      <c r="B399" s="105" t="s">
        <v>406</v>
      </c>
      <c r="C399" s="106">
        <v>7.0</v>
      </c>
      <c r="D399" s="105"/>
      <c r="E399" s="105" t="s">
        <v>256</v>
      </c>
      <c r="F399" s="105" t="s">
        <v>507</v>
      </c>
      <c r="G399" s="113">
        <v>45854.0</v>
      </c>
      <c r="H399" s="108">
        <v>0.125</v>
      </c>
      <c r="I399" s="109">
        <f t="shared" si="1"/>
        <v>3</v>
      </c>
      <c r="J399" s="111" t="b">
        <v>0</v>
      </c>
      <c r="K399" s="111" t="b">
        <f t="shared" si="2"/>
        <v>1</v>
      </c>
      <c r="L399" s="90"/>
      <c r="M399" s="111" t="s">
        <v>255</v>
      </c>
    </row>
    <row r="400" hidden="1">
      <c r="A400" s="105" t="s">
        <v>267</v>
      </c>
      <c r="B400" s="105" t="s">
        <v>406</v>
      </c>
      <c r="C400" s="106">
        <v>7.0</v>
      </c>
      <c r="D400" s="105"/>
      <c r="E400" s="105" t="s">
        <v>256</v>
      </c>
      <c r="F400" s="105" t="s">
        <v>507</v>
      </c>
      <c r="G400" s="113">
        <v>45855.0</v>
      </c>
      <c r="H400" s="108">
        <v>0.041666666666666664</v>
      </c>
      <c r="I400" s="109">
        <f t="shared" si="1"/>
        <v>1</v>
      </c>
      <c r="J400" s="111" t="b">
        <v>0</v>
      </c>
      <c r="K400" s="111" t="b">
        <f t="shared" si="2"/>
        <v>1</v>
      </c>
      <c r="L400" s="90"/>
      <c r="M400" s="111" t="s">
        <v>255</v>
      </c>
    </row>
    <row r="401" hidden="1">
      <c r="A401" s="105" t="s">
        <v>267</v>
      </c>
      <c r="B401" s="105" t="s">
        <v>406</v>
      </c>
      <c r="C401" s="106">
        <v>7.0</v>
      </c>
      <c r="D401" s="105"/>
      <c r="E401" s="105" t="s">
        <v>256</v>
      </c>
      <c r="F401" s="105" t="s">
        <v>507</v>
      </c>
      <c r="G401" s="113">
        <v>45856.0</v>
      </c>
      <c r="H401" s="108">
        <v>0.08333333333333333</v>
      </c>
      <c r="I401" s="109">
        <f t="shared" si="1"/>
        <v>2</v>
      </c>
      <c r="J401" s="111" t="b">
        <v>0</v>
      </c>
      <c r="K401" s="111" t="b">
        <f t="shared" si="2"/>
        <v>1</v>
      </c>
      <c r="L401" s="90"/>
      <c r="M401" s="111" t="s">
        <v>255</v>
      </c>
    </row>
    <row r="402" hidden="1">
      <c r="A402" s="105" t="s">
        <v>267</v>
      </c>
      <c r="B402" s="105" t="s">
        <v>406</v>
      </c>
      <c r="C402" s="106">
        <v>7.0</v>
      </c>
      <c r="D402" s="105"/>
      <c r="E402" s="105" t="s">
        <v>256</v>
      </c>
      <c r="F402" s="105" t="s">
        <v>507</v>
      </c>
      <c r="G402" s="113">
        <v>45859.0</v>
      </c>
      <c r="H402" s="108">
        <v>0.08333333333333333</v>
      </c>
      <c r="I402" s="109">
        <f t="shared" si="1"/>
        <v>2</v>
      </c>
      <c r="J402" s="111" t="b">
        <v>0</v>
      </c>
      <c r="K402" s="111" t="b">
        <f t="shared" si="2"/>
        <v>1</v>
      </c>
      <c r="L402" s="90"/>
      <c r="M402" s="111" t="s">
        <v>255</v>
      </c>
    </row>
    <row r="403" hidden="1">
      <c r="A403" s="105" t="s">
        <v>92</v>
      </c>
      <c r="B403" s="105" t="s">
        <v>406</v>
      </c>
      <c r="C403" s="106">
        <v>7.0</v>
      </c>
      <c r="D403" s="105"/>
      <c r="E403" s="105" t="s">
        <v>252</v>
      </c>
      <c r="F403" s="105" t="s">
        <v>500</v>
      </c>
      <c r="G403" s="113">
        <v>45861.0</v>
      </c>
      <c r="H403" s="108">
        <v>0.08333333333333333</v>
      </c>
      <c r="I403" s="109">
        <f t="shared" si="1"/>
        <v>2</v>
      </c>
      <c r="J403" s="111" t="b">
        <v>1</v>
      </c>
      <c r="K403" s="111" t="b">
        <f t="shared" si="2"/>
        <v>1</v>
      </c>
      <c r="L403" s="90"/>
      <c r="M403" s="111" t="s">
        <v>255</v>
      </c>
    </row>
    <row r="404" hidden="1">
      <c r="A404" s="105" t="s">
        <v>267</v>
      </c>
      <c r="B404" s="105" t="s">
        <v>406</v>
      </c>
      <c r="C404" s="106">
        <v>7.0</v>
      </c>
      <c r="D404" s="105"/>
      <c r="E404" s="105" t="s">
        <v>256</v>
      </c>
      <c r="F404" s="105" t="s">
        <v>507</v>
      </c>
      <c r="G404" s="113">
        <v>45866.0</v>
      </c>
      <c r="H404" s="108">
        <v>0.041666666666666664</v>
      </c>
      <c r="I404" s="109">
        <f t="shared" si="1"/>
        <v>1</v>
      </c>
      <c r="J404" s="111" t="b">
        <v>0</v>
      </c>
      <c r="K404" s="111" t="b">
        <f t="shared" si="2"/>
        <v>1</v>
      </c>
      <c r="L404" s="90"/>
      <c r="M404" s="111" t="s">
        <v>255</v>
      </c>
    </row>
    <row r="405" hidden="1">
      <c r="A405" s="105" t="s">
        <v>209</v>
      </c>
      <c r="B405" s="105" t="s">
        <v>406</v>
      </c>
      <c r="C405" s="106">
        <v>7.0</v>
      </c>
      <c r="D405" s="105"/>
      <c r="E405" s="105" t="s">
        <v>256</v>
      </c>
      <c r="F405" s="105" t="s">
        <v>543</v>
      </c>
      <c r="G405" s="113">
        <v>45866.0</v>
      </c>
      <c r="H405" s="108">
        <v>0.041666666666666664</v>
      </c>
      <c r="I405" s="109">
        <f t="shared" si="1"/>
        <v>1</v>
      </c>
      <c r="J405" s="111" t="b">
        <v>1</v>
      </c>
      <c r="K405" s="111" t="b">
        <f t="shared" si="2"/>
        <v>1</v>
      </c>
      <c r="L405" s="90"/>
      <c r="M405" s="111" t="s">
        <v>255</v>
      </c>
    </row>
    <row r="406" hidden="1">
      <c r="A406" s="105" t="s">
        <v>92</v>
      </c>
      <c r="B406" s="105" t="s">
        <v>406</v>
      </c>
      <c r="C406" s="106">
        <v>7.0</v>
      </c>
      <c r="D406" s="105"/>
      <c r="E406" s="105" t="s">
        <v>252</v>
      </c>
      <c r="F406" s="105" t="s">
        <v>500</v>
      </c>
      <c r="G406" s="113">
        <v>45867.0</v>
      </c>
      <c r="H406" s="108">
        <v>0.041666666666666664</v>
      </c>
      <c r="I406" s="109">
        <f t="shared" si="1"/>
        <v>1</v>
      </c>
      <c r="J406" s="111" t="b">
        <v>1</v>
      </c>
      <c r="K406" s="111" t="b">
        <f t="shared" si="2"/>
        <v>1</v>
      </c>
      <c r="L406" s="90"/>
      <c r="M406" s="111" t="s">
        <v>255</v>
      </c>
    </row>
    <row r="407" hidden="1">
      <c r="A407" s="105" t="s">
        <v>267</v>
      </c>
      <c r="B407" s="105" t="s">
        <v>406</v>
      </c>
      <c r="C407" s="106">
        <v>7.0</v>
      </c>
      <c r="D407" s="105"/>
      <c r="E407" s="105"/>
      <c r="F407" s="105" t="s">
        <v>545</v>
      </c>
      <c r="G407" s="113">
        <v>45868.0</v>
      </c>
      <c r="H407" s="108">
        <v>0.125</v>
      </c>
      <c r="I407" s="109">
        <f t="shared" si="1"/>
        <v>3</v>
      </c>
      <c r="J407" s="111" t="b">
        <v>0</v>
      </c>
      <c r="K407" s="111" t="b">
        <f t="shared" si="2"/>
        <v>0</v>
      </c>
      <c r="L407" s="90"/>
      <c r="M407" s="111" t="s">
        <v>255</v>
      </c>
    </row>
    <row r="408" hidden="1">
      <c r="A408" s="105" t="s">
        <v>150</v>
      </c>
      <c r="B408" s="105" t="s">
        <v>406</v>
      </c>
      <c r="C408" s="106">
        <v>7.0</v>
      </c>
      <c r="D408" s="105"/>
      <c r="E408" s="105" t="s">
        <v>252</v>
      </c>
      <c r="F408" s="105" t="s">
        <v>510</v>
      </c>
      <c r="G408" s="113">
        <v>45869.0</v>
      </c>
      <c r="H408" s="108">
        <v>0.041666666666666664</v>
      </c>
      <c r="I408" s="109">
        <f t="shared" si="1"/>
        <v>1</v>
      </c>
      <c r="J408" s="111" t="b">
        <v>0</v>
      </c>
      <c r="K408" s="111" t="b">
        <f t="shared" si="2"/>
        <v>1</v>
      </c>
      <c r="L408" s="90"/>
      <c r="M408" s="111" t="s">
        <v>255</v>
      </c>
    </row>
    <row r="409" hidden="1">
      <c r="A409" s="105" t="s">
        <v>92</v>
      </c>
      <c r="B409" s="105" t="s">
        <v>406</v>
      </c>
      <c r="C409" s="106">
        <v>8.0</v>
      </c>
      <c r="D409" s="105"/>
      <c r="E409" s="105" t="s">
        <v>252</v>
      </c>
      <c r="F409" s="105" t="s">
        <v>500</v>
      </c>
      <c r="G409" s="113">
        <v>45870.0</v>
      </c>
      <c r="H409" s="108">
        <v>0.125</v>
      </c>
      <c r="I409" s="109">
        <f t="shared" si="1"/>
        <v>3</v>
      </c>
      <c r="J409" s="111" t="b">
        <v>1</v>
      </c>
      <c r="K409" s="111" t="b">
        <f t="shared" si="2"/>
        <v>1</v>
      </c>
      <c r="L409" s="90"/>
      <c r="M409" s="111" t="s">
        <v>255</v>
      </c>
    </row>
    <row r="410" hidden="1">
      <c r="A410" s="105" t="s">
        <v>209</v>
      </c>
      <c r="B410" s="105" t="s">
        <v>406</v>
      </c>
      <c r="C410" s="106">
        <v>8.0</v>
      </c>
      <c r="D410" s="105"/>
      <c r="E410" s="105" t="s">
        <v>256</v>
      </c>
      <c r="F410" s="105" t="s">
        <v>543</v>
      </c>
      <c r="G410" s="113">
        <v>45870.0</v>
      </c>
      <c r="H410" s="108">
        <v>0.041666666666666664</v>
      </c>
      <c r="I410" s="109">
        <f t="shared" si="1"/>
        <v>1</v>
      </c>
      <c r="J410" s="111" t="b">
        <v>1</v>
      </c>
      <c r="K410" s="111" t="b">
        <f t="shared" si="2"/>
        <v>1</v>
      </c>
      <c r="L410" s="90"/>
      <c r="M410" s="111" t="s">
        <v>255</v>
      </c>
    </row>
    <row r="411" hidden="1">
      <c r="A411" s="105" t="s">
        <v>209</v>
      </c>
      <c r="B411" s="105" t="s">
        <v>406</v>
      </c>
      <c r="C411" s="106">
        <v>8.0</v>
      </c>
      <c r="D411" s="105"/>
      <c r="E411" s="105" t="s">
        <v>256</v>
      </c>
      <c r="F411" s="105" t="s">
        <v>543</v>
      </c>
      <c r="G411" s="113">
        <v>45873.0</v>
      </c>
      <c r="H411" s="108">
        <v>0.041666666666666664</v>
      </c>
      <c r="I411" s="109">
        <f t="shared" si="1"/>
        <v>1</v>
      </c>
      <c r="J411" s="111" t="b">
        <v>1</v>
      </c>
      <c r="K411" s="111" t="b">
        <f t="shared" si="2"/>
        <v>1</v>
      </c>
      <c r="L411" s="90"/>
      <c r="M411" s="111" t="s">
        <v>255</v>
      </c>
    </row>
    <row r="412" hidden="1">
      <c r="A412" s="105" t="s">
        <v>92</v>
      </c>
      <c r="B412" s="105" t="s">
        <v>406</v>
      </c>
      <c r="C412" s="106">
        <v>8.0</v>
      </c>
      <c r="D412" s="105"/>
      <c r="E412" s="105" t="s">
        <v>256</v>
      </c>
      <c r="F412" s="105" t="s">
        <v>497</v>
      </c>
      <c r="G412" s="113">
        <v>45873.0</v>
      </c>
      <c r="H412" s="108">
        <v>0.08333333333333333</v>
      </c>
      <c r="I412" s="109">
        <f t="shared" si="1"/>
        <v>2</v>
      </c>
      <c r="J412" s="111" t="b">
        <v>1</v>
      </c>
      <c r="K412" s="111" t="b">
        <f t="shared" si="2"/>
        <v>1</v>
      </c>
      <c r="L412" s="90"/>
      <c r="M412" s="111" t="s">
        <v>255</v>
      </c>
    </row>
    <row r="413" hidden="1">
      <c r="A413" s="105" t="s">
        <v>92</v>
      </c>
      <c r="B413" s="105" t="s">
        <v>406</v>
      </c>
      <c r="C413" s="106">
        <v>8.0</v>
      </c>
      <c r="D413" s="105"/>
      <c r="E413" s="105" t="s">
        <v>256</v>
      </c>
      <c r="F413" s="105" t="s">
        <v>497</v>
      </c>
      <c r="G413" s="113">
        <v>45874.0</v>
      </c>
      <c r="H413" s="108">
        <v>0.08333333333333333</v>
      </c>
      <c r="I413" s="109">
        <f t="shared" si="1"/>
        <v>2</v>
      </c>
      <c r="J413" s="111" t="b">
        <v>1</v>
      </c>
      <c r="K413" s="111" t="b">
        <f t="shared" si="2"/>
        <v>1</v>
      </c>
      <c r="L413" s="90"/>
      <c r="M413" s="111" t="s">
        <v>255</v>
      </c>
    </row>
    <row r="414" hidden="1">
      <c r="A414" s="105" t="s">
        <v>267</v>
      </c>
      <c r="B414" s="105" t="s">
        <v>406</v>
      </c>
      <c r="C414" s="106">
        <v>8.0</v>
      </c>
      <c r="D414" s="105"/>
      <c r="E414" s="105" t="s">
        <v>256</v>
      </c>
      <c r="F414" s="105" t="s">
        <v>507</v>
      </c>
      <c r="G414" s="113">
        <v>45875.0</v>
      </c>
      <c r="H414" s="108">
        <v>0.041666666666666664</v>
      </c>
      <c r="I414" s="109">
        <f t="shared" si="1"/>
        <v>1</v>
      </c>
      <c r="J414" s="111" t="b">
        <v>0</v>
      </c>
      <c r="K414" s="111" t="b">
        <f t="shared" si="2"/>
        <v>1</v>
      </c>
      <c r="L414" s="90"/>
      <c r="M414" s="111" t="s">
        <v>255</v>
      </c>
    </row>
    <row r="415" hidden="1">
      <c r="A415" s="105" t="s">
        <v>209</v>
      </c>
      <c r="B415" s="105" t="s">
        <v>406</v>
      </c>
      <c r="C415" s="106">
        <v>8.0</v>
      </c>
      <c r="D415" s="105"/>
      <c r="E415" s="105" t="s">
        <v>256</v>
      </c>
      <c r="F415" s="105" t="s">
        <v>543</v>
      </c>
      <c r="G415" s="113">
        <v>45875.0</v>
      </c>
      <c r="H415" s="108">
        <v>0.041666666666666664</v>
      </c>
      <c r="I415" s="109">
        <f t="shared" si="1"/>
        <v>1</v>
      </c>
      <c r="J415" s="111" t="b">
        <v>1</v>
      </c>
      <c r="K415" s="111" t="b">
        <f t="shared" si="2"/>
        <v>1</v>
      </c>
      <c r="L415" s="90"/>
      <c r="M415" s="111" t="s">
        <v>255</v>
      </c>
    </row>
    <row r="416" hidden="1">
      <c r="A416" s="105" t="s">
        <v>92</v>
      </c>
      <c r="B416" s="105" t="s">
        <v>406</v>
      </c>
      <c r="C416" s="106">
        <v>8.0</v>
      </c>
      <c r="D416" s="105"/>
      <c r="E416" s="105" t="s">
        <v>256</v>
      </c>
      <c r="F416" s="105" t="s">
        <v>497</v>
      </c>
      <c r="G416" s="113">
        <v>45875.0</v>
      </c>
      <c r="H416" s="108">
        <v>0.041666666666666664</v>
      </c>
      <c r="I416" s="109">
        <f t="shared" si="1"/>
        <v>1</v>
      </c>
      <c r="J416" s="111" t="b">
        <v>1</v>
      </c>
      <c r="K416" s="111" t="b">
        <f t="shared" si="2"/>
        <v>1</v>
      </c>
      <c r="L416" s="90"/>
      <c r="M416" s="111" t="s">
        <v>255</v>
      </c>
    </row>
    <row r="417" hidden="1">
      <c r="A417" s="105" t="s">
        <v>197</v>
      </c>
      <c r="B417" s="105" t="s">
        <v>406</v>
      </c>
      <c r="C417" s="106">
        <v>8.0</v>
      </c>
      <c r="D417" s="105"/>
      <c r="E417" s="105" t="s">
        <v>252</v>
      </c>
      <c r="F417" s="105" t="s">
        <v>500</v>
      </c>
      <c r="G417" s="113">
        <v>45876.0</v>
      </c>
      <c r="H417" s="108">
        <v>0.08333333333333333</v>
      </c>
      <c r="I417" s="109">
        <f t="shared" si="1"/>
        <v>2</v>
      </c>
      <c r="J417" s="111" t="b">
        <v>1</v>
      </c>
      <c r="K417" s="111" t="b">
        <f t="shared" si="2"/>
        <v>1</v>
      </c>
      <c r="L417" s="90"/>
      <c r="M417" s="111" t="s">
        <v>255</v>
      </c>
    </row>
    <row r="418" hidden="1">
      <c r="A418" s="105" t="s">
        <v>92</v>
      </c>
      <c r="B418" s="105" t="s">
        <v>406</v>
      </c>
      <c r="C418" s="106">
        <v>8.0</v>
      </c>
      <c r="D418" s="105"/>
      <c r="E418" s="105" t="s">
        <v>256</v>
      </c>
      <c r="F418" s="105" t="s">
        <v>497</v>
      </c>
      <c r="G418" s="113">
        <v>45877.0</v>
      </c>
      <c r="H418" s="108">
        <v>0.08333333333333333</v>
      </c>
      <c r="I418" s="109">
        <f t="shared" si="1"/>
        <v>2</v>
      </c>
      <c r="J418" s="111" t="b">
        <v>1</v>
      </c>
      <c r="K418" s="111" t="b">
        <f t="shared" si="2"/>
        <v>1</v>
      </c>
      <c r="L418" s="90"/>
      <c r="M418" s="111" t="s">
        <v>255</v>
      </c>
    </row>
    <row r="419" hidden="1">
      <c r="A419" s="105" t="s">
        <v>267</v>
      </c>
      <c r="B419" s="105" t="s">
        <v>406</v>
      </c>
      <c r="C419" s="106">
        <v>8.0</v>
      </c>
      <c r="D419" s="105"/>
      <c r="E419" s="105" t="s">
        <v>256</v>
      </c>
      <c r="F419" s="105" t="s">
        <v>507</v>
      </c>
      <c r="G419" s="113">
        <v>45877.0</v>
      </c>
      <c r="H419" s="108">
        <v>0.08333333333333333</v>
      </c>
      <c r="I419" s="109">
        <f t="shared" si="1"/>
        <v>2</v>
      </c>
      <c r="J419" s="111" t="b">
        <v>0</v>
      </c>
      <c r="K419" s="111" t="b">
        <f t="shared" si="2"/>
        <v>1</v>
      </c>
      <c r="L419" s="90"/>
      <c r="M419" s="111" t="s">
        <v>255</v>
      </c>
    </row>
    <row r="420" hidden="1">
      <c r="A420" s="105" t="s">
        <v>92</v>
      </c>
      <c r="B420" s="105" t="s">
        <v>406</v>
      </c>
      <c r="C420" s="106">
        <v>8.0</v>
      </c>
      <c r="D420" s="105"/>
      <c r="E420" s="105" t="s">
        <v>252</v>
      </c>
      <c r="F420" s="105" t="s">
        <v>500</v>
      </c>
      <c r="G420" s="113">
        <v>45880.0</v>
      </c>
      <c r="H420" s="108">
        <v>0.08333333333333333</v>
      </c>
      <c r="I420" s="109">
        <f t="shared" si="1"/>
        <v>2</v>
      </c>
      <c r="J420" s="111" t="b">
        <v>1</v>
      </c>
      <c r="K420" s="111" t="b">
        <f t="shared" si="2"/>
        <v>1</v>
      </c>
      <c r="L420" s="90"/>
      <c r="M420" s="111" t="s">
        <v>255</v>
      </c>
    </row>
    <row r="421" hidden="1">
      <c r="A421" s="105" t="s">
        <v>209</v>
      </c>
      <c r="B421" s="105" t="s">
        <v>406</v>
      </c>
      <c r="C421" s="106">
        <v>8.0</v>
      </c>
      <c r="D421" s="105"/>
      <c r="E421" s="105" t="s">
        <v>256</v>
      </c>
      <c r="F421" s="105" t="s">
        <v>497</v>
      </c>
      <c r="G421" s="113">
        <v>45881.0</v>
      </c>
      <c r="H421" s="108">
        <v>0.125</v>
      </c>
      <c r="I421" s="109">
        <f t="shared" si="1"/>
        <v>3</v>
      </c>
      <c r="J421" s="111" t="b">
        <v>1</v>
      </c>
      <c r="K421" s="111" t="b">
        <f t="shared" si="2"/>
        <v>1</v>
      </c>
      <c r="L421" s="90"/>
      <c r="M421" s="111" t="s">
        <v>255</v>
      </c>
    </row>
    <row r="422" hidden="1">
      <c r="A422" s="105" t="s">
        <v>150</v>
      </c>
      <c r="B422" s="105" t="s">
        <v>406</v>
      </c>
      <c r="C422" s="106">
        <v>8.0</v>
      </c>
      <c r="D422" s="105"/>
      <c r="E422" s="105" t="s">
        <v>256</v>
      </c>
      <c r="F422" s="105" t="s">
        <v>497</v>
      </c>
      <c r="G422" s="113">
        <v>45882.0</v>
      </c>
      <c r="H422" s="108">
        <v>0.125</v>
      </c>
      <c r="I422" s="109">
        <f t="shared" si="1"/>
        <v>3</v>
      </c>
      <c r="J422" s="111" t="b">
        <v>0</v>
      </c>
      <c r="K422" s="111" t="b">
        <f t="shared" si="2"/>
        <v>1</v>
      </c>
      <c r="L422" s="90"/>
      <c r="M422" s="111" t="s">
        <v>255</v>
      </c>
    </row>
    <row r="423" hidden="1">
      <c r="A423" s="105" t="s">
        <v>209</v>
      </c>
      <c r="B423" s="105" t="s">
        <v>406</v>
      </c>
      <c r="C423" s="106">
        <v>8.0</v>
      </c>
      <c r="D423" s="105"/>
      <c r="E423" s="105" t="s">
        <v>256</v>
      </c>
      <c r="F423" s="105" t="s">
        <v>497</v>
      </c>
      <c r="G423" s="113">
        <v>45883.0</v>
      </c>
      <c r="H423" s="108">
        <v>0.125</v>
      </c>
      <c r="I423" s="109">
        <f t="shared" si="1"/>
        <v>3</v>
      </c>
      <c r="J423" s="111" t="b">
        <v>1</v>
      </c>
      <c r="K423" s="111" t="b">
        <f t="shared" si="2"/>
        <v>1</v>
      </c>
      <c r="L423" s="90"/>
      <c r="M423" s="111" t="s">
        <v>255</v>
      </c>
    </row>
    <row r="424" hidden="1">
      <c r="A424" s="105" t="s">
        <v>197</v>
      </c>
      <c r="B424" s="105" t="s">
        <v>406</v>
      </c>
      <c r="C424" s="106">
        <v>8.0</v>
      </c>
      <c r="D424" s="105"/>
      <c r="E424" s="105" t="s">
        <v>256</v>
      </c>
      <c r="F424" s="105" t="s">
        <v>500</v>
      </c>
      <c r="G424" s="113">
        <v>45884.0</v>
      </c>
      <c r="H424" s="108">
        <v>0.08333333333333333</v>
      </c>
      <c r="I424" s="109">
        <f t="shared" si="1"/>
        <v>2</v>
      </c>
      <c r="J424" s="111" t="b">
        <v>1</v>
      </c>
      <c r="K424" s="111" t="b">
        <f t="shared" si="2"/>
        <v>1</v>
      </c>
      <c r="L424" s="90"/>
      <c r="M424" s="111" t="s">
        <v>255</v>
      </c>
    </row>
    <row r="425" hidden="1">
      <c r="A425" s="105" t="s">
        <v>209</v>
      </c>
      <c r="B425" s="105" t="s">
        <v>406</v>
      </c>
      <c r="C425" s="106">
        <v>8.0</v>
      </c>
      <c r="D425" s="105"/>
      <c r="E425" s="105" t="s">
        <v>256</v>
      </c>
      <c r="F425" s="105" t="s">
        <v>497</v>
      </c>
      <c r="G425" s="113">
        <v>45884.0</v>
      </c>
      <c r="H425" s="108">
        <v>0.125</v>
      </c>
      <c r="I425" s="109">
        <f t="shared" si="1"/>
        <v>3</v>
      </c>
      <c r="J425" s="111" t="b">
        <v>1</v>
      </c>
      <c r="K425" s="111" t="b">
        <f t="shared" si="2"/>
        <v>1</v>
      </c>
      <c r="L425" s="90"/>
      <c r="M425" s="111" t="s">
        <v>255</v>
      </c>
    </row>
    <row r="426" hidden="1">
      <c r="A426" s="105" t="s">
        <v>209</v>
      </c>
      <c r="B426" s="105" t="s">
        <v>406</v>
      </c>
      <c r="C426" s="106">
        <v>8.0</v>
      </c>
      <c r="D426" s="105"/>
      <c r="E426" s="105" t="s">
        <v>256</v>
      </c>
      <c r="F426" s="105" t="s">
        <v>497</v>
      </c>
      <c r="G426" s="113">
        <v>45887.0</v>
      </c>
      <c r="H426" s="108">
        <v>0.125</v>
      </c>
      <c r="I426" s="109">
        <f t="shared" si="1"/>
        <v>3</v>
      </c>
      <c r="J426" s="111" t="b">
        <v>1</v>
      </c>
      <c r="K426" s="111" t="b">
        <f t="shared" si="2"/>
        <v>1</v>
      </c>
      <c r="L426" s="90"/>
      <c r="M426" s="111" t="s">
        <v>255</v>
      </c>
    </row>
    <row r="427" hidden="1">
      <c r="A427" s="105" t="s">
        <v>209</v>
      </c>
      <c r="B427" s="105" t="s">
        <v>406</v>
      </c>
      <c r="C427" s="106">
        <v>8.0</v>
      </c>
      <c r="D427" s="105"/>
      <c r="E427" s="105" t="s">
        <v>256</v>
      </c>
      <c r="F427" s="105" t="s">
        <v>497</v>
      </c>
      <c r="G427" s="113">
        <v>45888.0</v>
      </c>
      <c r="H427" s="108">
        <v>0.125</v>
      </c>
      <c r="I427" s="109">
        <f t="shared" si="1"/>
        <v>3</v>
      </c>
      <c r="J427" s="111" t="b">
        <v>1</v>
      </c>
      <c r="K427" s="111" t="b">
        <f t="shared" si="2"/>
        <v>1</v>
      </c>
      <c r="L427" s="90"/>
      <c r="M427" s="111" t="s">
        <v>255</v>
      </c>
    </row>
    <row r="428" hidden="1">
      <c r="A428" s="105" t="s">
        <v>150</v>
      </c>
      <c r="B428" s="105" t="s">
        <v>406</v>
      </c>
      <c r="C428" s="106">
        <v>8.0</v>
      </c>
      <c r="D428" s="105"/>
      <c r="E428" s="105" t="s">
        <v>252</v>
      </c>
      <c r="F428" s="105" t="s">
        <v>510</v>
      </c>
      <c r="G428" s="113">
        <v>45888.0</v>
      </c>
      <c r="H428" s="108">
        <v>0.041666666666666664</v>
      </c>
      <c r="I428" s="109">
        <f t="shared" si="1"/>
        <v>1</v>
      </c>
      <c r="J428" s="111" t="b">
        <v>0</v>
      </c>
      <c r="K428" s="111" t="b">
        <f t="shared" si="2"/>
        <v>1</v>
      </c>
      <c r="L428" s="90"/>
      <c r="M428" s="111" t="s">
        <v>255</v>
      </c>
    </row>
    <row r="429" hidden="1">
      <c r="A429" s="105" t="s">
        <v>197</v>
      </c>
      <c r="B429" s="105" t="s">
        <v>406</v>
      </c>
      <c r="C429" s="106">
        <v>8.0</v>
      </c>
      <c r="D429" s="105"/>
      <c r="E429" s="105" t="s">
        <v>252</v>
      </c>
      <c r="F429" s="105" t="s">
        <v>500</v>
      </c>
      <c r="G429" s="113">
        <v>45889.0</v>
      </c>
      <c r="H429" s="108">
        <v>0.08333333333333333</v>
      </c>
      <c r="I429" s="109">
        <f t="shared" si="1"/>
        <v>2</v>
      </c>
      <c r="J429" s="111" t="b">
        <v>1</v>
      </c>
      <c r="K429" s="111" t="b">
        <f t="shared" si="2"/>
        <v>1</v>
      </c>
      <c r="L429" s="90"/>
      <c r="M429" s="111" t="s">
        <v>255</v>
      </c>
    </row>
    <row r="430" hidden="1">
      <c r="A430" s="105" t="s">
        <v>209</v>
      </c>
      <c r="B430" s="105" t="s">
        <v>406</v>
      </c>
      <c r="C430" s="106">
        <v>8.0</v>
      </c>
      <c r="D430" s="105"/>
      <c r="E430" s="105" t="s">
        <v>256</v>
      </c>
      <c r="F430" s="105" t="s">
        <v>497</v>
      </c>
      <c r="G430" s="113">
        <v>45889.0</v>
      </c>
      <c r="H430" s="114">
        <v>0.125</v>
      </c>
      <c r="I430" s="109">
        <f t="shared" si="1"/>
        <v>3</v>
      </c>
      <c r="J430" s="111" t="b">
        <v>1</v>
      </c>
      <c r="K430" s="111" t="b">
        <f t="shared" si="2"/>
        <v>1</v>
      </c>
      <c r="L430" s="90"/>
      <c r="M430" s="111" t="s">
        <v>255</v>
      </c>
    </row>
    <row r="431" hidden="1">
      <c r="A431" s="105" t="s">
        <v>209</v>
      </c>
      <c r="B431" s="115" t="s">
        <v>406</v>
      </c>
      <c r="C431" s="106">
        <v>8.0</v>
      </c>
      <c r="D431" s="105"/>
      <c r="E431" s="105" t="s">
        <v>256</v>
      </c>
      <c r="F431" s="105" t="s">
        <v>497</v>
      </c>
      <c r="G431" s="113">
        <v>45890.0</v>
      </c>
      <c r="H431" s="114">
        <v>0.125</v>
      </c>
      <c r="I431" s="109">
        <f t="shared" si="1"/>
        <v>3</v>
      </c>
      <c r="J431" s="111" t="b">
        <v>1</v>
      </c>
      <c r="K431" s="111" t="b">
        <f t="shared" si="2"/>
        <v>1</v>
      </c>
      <c r="L431" s="90"/>
      <c r="M431" s="111" t="s">
        <v>255</v>
      </c>
    </row>
    <row r="432" hidden="1">
      <c r="A432" s="105" t="s">
        <v>209</v>
      </c>
      <c r="B432" s="115" t="s">
        <v>406</v>
      </c>
      <c r="C432" s="106">
        <v>8.0</v>
      </c>
      <c r="D432" s="105"/>
      <c r="E432" s="105" t="s">
        <v>256</v>
      </c>
      <c r="F432" s="105" t="s">
        <v>497</v>
      </c>
      <c r="G432" s="113">
        <v>45891.0</v>
      </c>
      <c r="H432" s="114">
        <v>0.125</v>
      </c>
      <c r="I432" s="109">
        <f t="shared" si="1"/>
        <v>3</v>
      </c>
      <c r="J432" s="111" t="b">
        <v>1</v>
      </c>
      <c r="K432" s="111" t="b">
        <f t="shared" si="2"/>
        <v>1</v>
      </c>
      <c r="L432" s="90"/>
      <c r="M432" s="111" t="s">
        <v>255</v>
      </c>
    </row>
    <row r="433" hidden="1">
      <c r="A433" s="105" t="s">
        <v>92</v>
      </c>
      <c r="B433" s="105" t="s">
        <v>406</v>
      </c>
      <c r="C433" s="106">
        <v>8.0</v>
      </c>
      <c r="D433" s="105"/>
      <c r="E433" s="105" t="s">
        <v>256</v>
      </c>
      <c r="F433" s="105" t="s">
        <v>497</v>
      </c>
      <c r="G433" s="113">
        <v>45891.0</v>
      </c>
      <c r="H433" s="114">
        <v>0.08333333333333333</v>
      </c>
      <c r="I433" s="109">
        <f t="shared" si="1"/>
        <v>2</v>
      </c>
      <c r="J433" s="111" t="b">
        <v>1</v>
      </c>
      <c r="K433" s="111" t="b">
        <f t="shared" si="2"/>
        <v>1</v>
      </c>
      <c r="L433" s="90"/>
      <c r="M433" s="111" t="s">
        <v>255</v>
      </c>
    </row>
    <row r="434" hidden="1">
      <c r="A434" s="105" t="s">
        <v>92</v>
      </c>
      <c r="B434" s="105" t="s">
        <v>406</v>
      </c>
      <c r="C434" s="106">
        <v>8.0</v>
      </c>
      <c r="D434" s="105"/>
      <c r="E434" s="105" t="s">
        <v>252</v>
      </c>
      <c r="F434" s="105" t="s">
        <v>500</v>
      </c>
      <c r="G434" s="113">
        <v>45894.0</v>
      </c>
      <c r="H434" s="114">
        <v>0.041666666666666664</v>
      </c>
      <c r="I434" s="109">
        <f t="shared" si="1"/>
        <v>1</v>
      </c>
      <c r="J434" s="111" t="b">
        <v>1</v>
      </c>
      <c r="K434" s="111" t="b">
        <f t="shared" si="2"/>
        <v>1</v>
      </c>
      <c r="L434" s="90"/>
      <c r="M434" s="111" t="s">
        <v>255</v>
      </c>
    </row>
    <row r="435" hidden="1">
      <c r="A435" s="105" t="s">
        <v>197</v>
      </c>
      <c r="B435" s="105" t="s">
        <v>406</v>
      </c>
      <c r="C435" s="106">
        <v>8.0</v>
      </c>
      <c r="D435" s="105"/>
      <c r="E435" s="105" t="s">
        <v>252</v>
      </c>
      <c r="F435" s="105" t="s">
        <v>500</v>
      </c>
      <c r="G435" s="113">
        <v>45894.0</v>
      </c>
      <c r="H435" s="114">
        <v>0.041666666666666664</v>
      </c>
      <c r="I435" s="109">
        <f t="shared" si="1"/>
        <v>1</v>
      </c>
      <c r="J435" s="111" t="b">
        <v>1</v>
      </c>
      <c r="K435" s="111" t="b">
        <f t="shared" si="2"/>
        <v>1</v>
      </c>
      <c r="L435" s="90"/>
      <c r="M435" s="111" t="s">
        <v>255</v>
      </c>
    </row>
    <row r="436" hidden="1">
      <c r="A436" s="105" t="s">
        <v>197</v>
      </c>
      <c r="B436" s="115" t="s">
        <v>406</v>
      </c>
      <c r="C436" s="106">
        <v>8.0</v>
      </c>
      <c r="D436" s="105"/>
      <c r="E436" s="105" t="s">
        <v>252</v>
      </c>
      <c r="F436" s="105" t="s">
        <v>500</v>
      </c>
      <c r="G436" s="107">
        <v>45895.0</v>
      </c>
      <c r="H436" s="114">
        <v>0.041666666666666664</v>
      </c>
      <c r="I436" s="109">
        <f t="shared" si="1"/>
        <v>1</v>
      </c>
      <c r="J436" s="111" t="b">
        <v>1</v>
      </c>
      <c r="K436" s="111" t="b">
        <f t="shared" si="2"/>
        <v>1</v>
      </c>
      <c r="L436" s="90"/>
      <c r="M436" s="111" t="s">
        <v>255</v>
      </c>
    </row>
    <row r="437" hidden="1">
      <c r="A437" s="105" t="s">
        <v>92</v>
      </c>
      <c r="B437" s="105" t="s">
        <v>406</v>
      </c>
      <c r="C437" s="106">
        <v>8.0</v>
      </c>
      <c r="D437" s="105"/>
      <c r="E437" s="105" t="s">
        <v>256</v>
      </c>
      <c r="F437" s="105" t="s">
        <v>497</v>
      </c>
      <c r="G437" s="113">
        <v>45896.0</v>
      </c>
      <c r="H437" s="114">
        <v>0.08333333333333333</v>
      </c>
      <c r="I437" s="109">
        <f t="shared" si="1"/>
        <v>2</v>
      </c>
      <c r="J437" s="111" t="b">
        <v>1</v>
      </c>
      <c r="K437" s="111" t="b">
        <f t="shared" si="2"/>
        <v>1</v>
      </c>
      <c r="L437" s="90"/>
      <c r="M437" s="111" t="s">
        <v>255</v>
      </c>
    </row>
    <row r="438" hidden="1">
      <c r="A438" s="105" t="s">
        <v>150</v>
      </c>
      <c r="B438" s="105" t="s">
        <v>406</v>
      </c>
      <c r="C438" s="106">
        <v>8.0</v>
      </c>
      <c r="D438" s="105"/>
      <c r="E438" s="105" t="s">
        <v>252</v>
      </c>
      <c r="F438" s="105" t="s">
        <v>510</v>
      </c>
      <c r="G438" s="113">
        <v>45897.0</v>
      </c>
      <c r="H438" s="114">
        <v>0.041666666666666664</v>
      </c>
      <c r="I438" s="109">
        <f t="shared" si="1"/>
        <v>1</v>
      </c>
      <c r="J438" s="111" t="b">
        <v>0</v>
      </c>
      <c r="K438" s="111" t="b">
        <f t="shared" si="2"/>
        <v>1</v>
      </c>
      <c r="L438" s="90"/>
      <c r="M438" s="111" t="s">
        <v>255</v>
      </c>
    </row>
    <row r="439" hidden="1">
      <c r="A439" s="105" t="s">
        <v>267</v>
      </c>
      <c r="B439" s="115" t="s">
        <v>406</v>
      </c>
      <c r="C439" s="106">
        <v>9.0</v>
      </c>
      <c r="D439" s="105"/>
      <c r="E439" s="105" t="s">
        <v>256</v>
      </c>
      <c r="F439" s="105" t="s">
        <v>507</v>
      </c>
      <c r="G439" s="113">
        <v>45901.0</v>
      </c>
      <c r="H439" s="114">
        <v>0.041666666666666664</v>
      </c>
      <c r="I439" s="109">
        <f t="shared" si="1"/>
        <v>1</v>
      </c>
      <c r="J439" s="111" t="b">
        <v>0</v>
      </c>
      <c r="K439" s="111" t="b">
        <f t="shared" si="2"/>
        <v>1</v>
      </c>
      <c r="L439" s="90"/>
      <c r="M439" s="111" t="s">
        <v>255</v>
      </c>
    </row>
    <row r="440" hidden="1">
      <c r="A440" s="105" t="s">
        <v>92</v>
      </c>
      <c r="B440" s="105" t="s">
        <v>406</v>
      </c>
      <c r="C440" s="106">
        <v>9.0</v>
      </c>
      <c r="D440" s="105"/>
      <c r="E440" s="105" t="s">
        <v>256</v>
      </c>
      <c r="F440" s="105" t="s">
        <v>497</v>
      </c>
      <c r="G440" s="113">
        <v>45902.0</v>
      </c>
      <c r="H440" s="114">
        <v>0.041666666666666664</v>
      </c>
      <c r="I440" s="109">
        <f t="shared" si="1"/>
        <v>1</v>
      </c>
      <c r="J440" s="111" t="b">
        <v>1</v>
      </c>
      <c r="K440" s="111" t="b">
        <f t="shared" si="2"/>
        <v>1</v>
      </c>
      <c r="L440" s="90"/>
      <c r="M440" s="111" t="s">
        <v>255</v>
      </c>
    </row>
    <row r="441" hidden="1">
      <c r="A441" s="105" t="s">
        <v>322</v>
      </c>
      <c r="B441" s="115" t="s">
        <v>406</v>
      </c>
      <c r="C441" s="106">
        <v>9.0</v>
      </c>
      <c r="D441" s="105"/>
      <c r="E441" s="105" t="s">
        <v>256</v>
      </c>
      <c r="F441" s="105" t="s">
        <v>497</v>
      </c>
      <c r="G441" s="113">
        <v>45902.0</v>
      </c>
      <c r="H441" s="114">
        <v>0.041666666666666664</v>
      </c>
      <c r="I441" s="109">
        <f t="shared" si="1"/>
        <v>1</v>
      </c>
      <c r="J441" s="111" t="b">
        <v>0</v>
      </c>
      <c r="K441" s="111" t="b">
        <f t="shared" si="2"/>
        <v>1</v>
      </c>
      <c r="L441" s="90"/>
      <c r="M441" s="111" t="s">
        <v>255</v>
      </c>
    </row>
    <row r="442" hidden="1">
      <c r="A442" s="105" t="s">
        <v>92</v>
      </c>
      <c r="B442" s="105" t="s">
        <v>406</v>
      </c>
      <c r="C442" s="106">
        <v>9.0</v>
      </c>
      <c r="D442" s="105"/>
      <c r="E442" s="105" t="s">
        <v>256</v>
      </c>
      <c r="F442" s="105" t="s">
        <v>497</v>
      </c>
      <c r="G442" s="113">
        <v>45903.0</v>
      </c>
      <c r="H442" s="114">
        <v>0.041666666666666664</v>
      </c>
      <c r="I442" s="109">
        <f t="shared" si="1"/>
        <v>1</v>
      </c>
      <c r="J442" s="111" t="b">
        <v>1</v>
      </c>
      <c r="K442" s="111" t="b">
        <f t="shared" si="2"/>
        <v>1</v>
      </c>
      <c r="L442" s="90"/>
      <c r="M442" s="111" t="s">
        <v>255</v>
      </c>
    </row>
    <row r="443" hidden="1">
      <c r="A443" s="105" t="s">
        <v>92</v>
      </c>
      <c r="B443" s="105" t="s">
        <v>406</v>
      </c>
      <c r="C443" s="106">
        <v>9.0</v>
      </c>
      <c r="D443" s="105"/>
      <c r="E443" s="105" t="s">
        <v>256</v>
      </c>
      <c r="F443" s="105" t="s">
        <v>497</v>
      </c>
      <c r="G443" s="113">
        <v>45904.0</v>
      </c>
      <c r="H443" s="114">
        <v>0.041666666666666664</v>
      </c>
      <c r="I443" s="109">
        <f t="shared" si="1"/>
        <v>1</v>
      </c>
      <c r="J443" s="111" t="b">
        <v>1</v>
      </c>
      <c r="K443" s="111" t="b">
        <f t="shared" si="2"/>
        <v>1</v>
      </c>
      <c r="L443" s="90"/>
      <c r="M443" s="111" t="s">
        <v>255</v>
      </c>
    </row>
    <row r="444" hidden="1">
      <c r="A444" s="105" t="s">
        <v>118</v>
      </c>
      <c r="B444" s="105" t="s">
        <v>406</v>
      </c>
      <c r="C444" s="106">
        <v>9.0</v>
      </c>
      <c r="D444" s="105"/>
      <c r="E444" s="105" t="s">
        <v>252</v>
      </c>
      <c r="F444" s="105" t="s">
        <v>500</v>
      </c>
      <c r="G444" s="113">
        <v>45905.0</v>
      </c>
      <c r="H444" s="114">
        <v>0.041666666666666664</v>
      </c>
      <c r="I444" s="109">
        <f t="shared" si="1"/>
        <v>1</v>
      </c>
      <c r="J444" s="111" t="b">
        <v>1</v>
      </c>
      <c r="K444" s="111" t="b">
        <f t="shared" si="2"/>
        <v>1</v>
      </c>
      <c r="L444" s="90"/>
      <c r="M444" s="111" t="s">
        <v>255</v>
      </c>
    </row>
    <row r="445" hidden="1">
      <c r="A445" s="105" t="s">
        <v>92</v>
      </c>
      <c r="B445" s="105" t="s">
        <v>406</v>
      </c>
      <c r="C445" s="106">
        <v>9.0</v>
      </c>
      <c r="D445" s="105"/>
      <c r="E445" s="105" t="s">
        <v>256</v>
      </c>
      <c r="F445" s="105" t="s">
        <v>497</v>
      </c>
      <c r="G445" s="113">
        <v>45905.0</v>
      </c>
      <c r="H445" s="114">
        <v>0.08333333333333333</v>
      </c>
      <c r="I445" s="109">
        <f t="shared" si="1"/>
        <v>2</v>
      </c>
      <c r="J445" s="111" t="b">
        <v>1</v>
      </c>
      <c r="K445" s="111" t="b">
        <f t="shared" si="2"/>
        <v>1</v>
      </c>
      <c r="L445" s="90"/>
      <c r="M445" s="111" t="s">
        <v>255</v>
      </c>
    </row>
    <row r="446" hidden="1">
      <c r="A446" s="105" t="s">
        <v>150</v>
      </c>
      <c r="B446" s="105" t="s">
        <v>406</v>
      </c>
      <c r="C446" s="106">
        <v>9.0</v>
      </c>
      <c r="D446" s="105"/>
      <c r="E446" s="105" t="s">
        <v>252</v>
      </c>
      <c r="F446" s="105" t="s">
        <v>510</v>
      </c>
      <c r="G446" s="113">
        <v>45908.0</v>
      </c>
      <c r="H446" s="114">
        <v>0.041666666666666664</v>
      </c>
      <c r="I446" s="109">
        <f t="shared" si="1"/>
        <v>1</v>
      </c>
      <c r="J446" s="111" t="b">
        <v>0</v>
      </c>
      <c r="K446" s="111" t="b">
        <f t="shared" si="2"/>
        <v>1</v>
      </c>
      <c r="L446" s="90"/>
      <c r="M446" s="111" t="s">
        <v>255</v>
      </c>
    </row>
    <row r="447" hidden="1">
      <c r="A447" s="105" t="s">
        <v>150</v>
      </c>
      <c r="B447" s="105" t="s">
        <v>406</v>
      </c>
      <c r="C447" s="106">
        <v>9.0</v>
      </c>
      <c r="D447" s="105"/>
      <c r="E447" s="105" t="s">
        <v>252</v>
      </c>
      <c r="F447" s="105" t="s">
        <v>510</v>
      </c>
      <c r="G447" s="113">
        <v>45911.0</v>
      </c>
      <c r="H447" s="114">
        <v>0.041666666666666664</v>
      </c>
      <c r="I447" s="109">
        <f t="shared" si="1"/>
        <v>1</v>
      </c>
      <c r="J447" s="111" t="b">
        <v>0</v>
      </c>
      <c r="K447" s="111" t="b">
        <f t="shared" si="2"/>
        <v>1</v>
      </c>
      <c r="L447" s="90"/>
      <c r="M447" s="111" t="s">
        <v>255</v>
      </c>
    </row>
    <row r="448" hidden="1">
      <c r="A448" s="105" t="s">
        <v>322</v>
      </c>
      <c r="B448" s="105" t="s">
        <v>406</v>
      </c>
      <c r="C448" s="106">
        <v>9.0</v>
      </c>
      <c r="D448" s="105"/>
      <c r="E448" s="105" t="s">
        <v>256</v>
      </c>
      <c r="F448" s="105" t="s">
        <v>497</v>
      </c>
      <c r="G448" s="113">
        <v>45911.0</v>
      </c>
      <c r="H448" s="114">
        <v>0.125</v>
      </c>
      <c r="I448" s="109">
        <f t="shared" si="1"/>
        <v>3</v>
      </c>
      <c r="J448" s="111" t="b">
        <v>0</v>
      </c>
      <c r="K448" s="111" t="b">
        <f t="shared" si="2"/>
        <v>1</v>
      </c>
      <c r="L448" s="90"/>
      <c r="M448" s="111" t="s">
        <v>255</v>
      </c>
    </row>
    <row r="449" hidden="1">
      <c r="A449" s="105" t="s">
        <v>92</v>
      </c>
      <c r="B449" s="105" t="s">
        <v>406</v>
      </c>
      <c r="C449" s="106">
        <v>9.0</v>
      </c>
      <c r="D449" s="105"/>
      <c r="E449" s="105" t="s">
        <v>256</v>
      </c>
      <c r="F449" s="105" t="s">
        <v>500</v>
      </c>
      <c r="G449" s="113">
        <v>45915.0</v>
      </c>
      <c r="H449" s="114">
        <v>0.125</v>
      </c>
      <c r="I449" s="109">
        <f t="shared" si="1"/>
        <v>3</v>
      </c>
      <c r="J449" s="111" t="b">
        <v>1</v>
      </c>
      <c r="K449" s="111" t="b">
        <f t="shared" si="2"/>
        <v>1</v>
      </c>
      <c r="L449" s="90"/>
      <c r="M449" s="111" t="s">
        <v>255</v>
      </c>
    </row>
    <row r="450" hidden="1">
      <c r="A450" s="105" t="s">
        <v>150</v>
      </c>
      <c r="B450" s="105" t="s">
        <v>406</v>
      </c>
      <c r="C450" s="106">
        <v>9.0</v>
      </c>
      <c r="D450" s="105"/>
      <c r="E450" s="105" t="s">
        <v>252</v>
      </c>
      <c r="F450" s="105" t="s">
        <v>510</v>
      </c>
      <c r="G450" s="113">
        <v>45916.0</v>
      </c>
      <c r="H450" s="114">
        <v>0.041666666666666664</v>
      </c>
      <c r="I450" s="109">
        <f t="shared" si="1"/>
        <v>1</v>
      </c>
      <c r="J450" s="111" t="b">
        <v>0</v>
      </c>
      <c r="K450" s="111" t="b">
        <f t="shared" si="2"/>
        <v>1</v>
      </c>
      <c r="L450" s="90"/>
      <c r="M450" s="111" t="s">
        <v>255</v>
      </c>
    </row>
    <row r="451" hidden="1">
      <c r="A451" s="105" t="s">
        <v>322</v>
      </c>
      <c r="B451" s="105" t="s">
        <v>406</v>
      </c>
      <c r="C451" s="106">
        <v>9.0</v>
      </c>
      <c r="D451" s="105"/>
      <c r="E451" s="105" t="s">
        <v>256</v>
      </c>
      <c r="F451" s="105" t="s">
        <v>497</v>
      </c>
      <c r="G451" s="113">
        <v>45918.0</v>
      </c>
      <c r="H451" s="114">
        <v>0.08333333333333333</v>
      </c>
      <c r="I451" s="109">
        <f t="shared" si="1"/>
        <v>2</v>
      </c>
      <c r="J451" s="111" t="b">
        <v>0</v>
      </c>
      <c r="K451" s="111" t="b">
        <f t="shared" si="2"/>
        <v>1</v>
      </c>
      <c r="L451" s="90"/>
      <c r="M451" s="111" t="s">
        <v>255</v>
      </c>
    </row>
    <row r="452" hidden="1">
      <c r="A452" s="105" t="s">
        <v>322</v>
      </c>
      <c r="B452" s="105" t="s">
        <v>406</v>
      </c>
      <c r="C452" s="106">
        <v>9.0</v>
      </c>
      <c r="D452" s="105"/>
      <c r="E452" s="105" t="s">
        <v>256</v>
      </c>
      <c r="F452" s="105" t="s">
        <v>497</v>
      </c>
      <c r="G452" s="113">
        <v>45922.0</v>
      </c>
      <c r="H452" s="114">
        <v>0.041666666666666664</v>
      </c>
      <c r="I452" s="109">
        <f t="shared" si="1"/>
        <v>1</v>
      </c>
      <c r="J452" s="111" t="b">
        <v>0</v>
      </c>
      <c r="K452" s="111" t="b">
        <f t="shared" si="2"/>
        <v>1</v>
      </c>
      <c r="L452" s="90"/>
      <c r="M452" s="111" t="s">
        <v>255</v>
      </c>
    </row>
    <row r="453" hidden="1">
      <c r="A453" s="105" t="s">
        <v>92</v>
      </c>
      <c r="B453" s="105" t="s">
        <v>406</v>
      </c>
      <c r="C453" s="106">
        <v>9.0</v>
      </c>
      <c r="D453" s="105"/>
      <c r="E453" s="105" t="s">
        <v>256</v>
      </c>
      <c r="F453" s="105" t="s">
        <v>500</v>
      </c>
      <c r="G453" s="113">
        <v>45922.0</v>
      </c>
      <c r="H453" s="114">
        <v>0.041666666666666664</v>
      </c>
      <c r="I453" s="109">
        <f t="shared" si="1"/>
        <v>1</v>
      </c>
      <c r="J453" s="111" t="b">
        <v>1</v>
      </c>
      <c r="K453" s="111" t="b">
        <f t="shared" si="2"/>
        <v>1</v>
      </c>
      <c r="L453" s="90"/>
      <c r="M453" s="111" t="s">
        <v>255</v>
      </c>
    </row>
    <row r="454" hidden="1">
      <c r="A454" s="105" t="s">
        <v>322</v>
      </c>
      <c r="B454" s="105" t="s">
        <v>406</v>
      </c>
      <c r="C454" s="106">
        <v>9.0</v>
      </c>
      <c r="D454" s="105"/>
      <c r="E454" s="105" t="s">
        <v>256</v>
      </c>
      <c r="F454" s="105" t="s">
        <v>497</v>
      </c>
      <c r="G454" s="113">
        <v>45923.0</v>
      </c>
      <c r="H454" s="114">
        <v>0.08333333333333333</v>
      </c>
      <c r="I454" s="109">
        <f t="shared" si="1"/>
        <v>2</v>
      </c>
      <c r="J454" s="111" t="b">
        <v>0</v>
      </c>
      <c r="K454" s="111" t="b">
        <f t="shared" si="2"/>
        <v>1</v>
      </c>
      <c r="L454" s="90"/>
      <c r="M454" s="111" t="s">
        <v>255</v>
      </c>
    </row>
    <row r="455" hidden="1">
      <c r="A455" s="105" t="s">
        <v>322</v>
      </c>
      <c r="B455" s="105" t="s">
        <v>406</v>
      </c>
      <c r="C455" s="106">
        <v>9.0</v>
      </c>
      <c r="D455" s="105"/>
      <c r="E455" s="105" t="s">
        <v>256</v>
      </c>
      <c r="F455" s="105" t="s">
        <v>497</v>
      </c>
      <c r="G455" s="113">
        <v>45925.0</v>
      </c>
      <c r="H455" s="114">
        <v>0.041666666666666664</v>
      </c>
      <c r="I455" s="109">
        <f t="shared" si="1"/>
        <v>1</v>
      </c>
      <c r="J455" s="111" t="b">
        <v>0</v>
      </c>
      <c r="K455" s="111" t="b">
        <f t="shared" si="2"/>
        <v>1</v>
      </c>
      <c r="L455" s="90"/>
      <c r="M455" s="111" t="s">
        <v>255</v>
      </c>
    </row>
    <row r="456" hidden="1">
      <c r="A456" s="105" t="s">
        <v>150</v>
      </c>
      <c r="B456" s="105" t="s">
        <v>406</v>
      </c>
      <c r="C456" s="106">
        <v>9.0</v>
      </c>
      <c r="D456" s="105"/>
      <c r="E456" s="105" t="s">
        <v>252</v>
      </c>
      <c r="F456" s="105" t="s">
        <v>510</v>
      </c>
      <c r="G456" s="113">
        <v>45926.0</v>
      </c>
      <c r="H456" s="114">
        <v>0.041666666666666664</v>
      </c>
      <c r="I456" s="109">
        <f t="shared" si="1"/>
        <v>1</v>
      </c>
      <c r="J456" s="111" t="b">
        <v>0</v>
      </c>
      <c r="K456" s="111" t="b">
        <f t="shared" si="2"/>
        <v>1</v>
      </c>
      <c r="L456" s="90"/>
      <c r="M456" s="111" t="s">
        <v>255</v>
      </c>
    </row>
    <row r="457" hidden="1">
      <c r="A457" s="105" t="s">
        <v>322</v>
      </c>
      <c r="B457" s="105" t="s">
        <v>406</v>
      </c>
      <c r="C457" s="106">
        <v>9.0</v>
      </c>
      <c r="D457" s="105"/>
      <c r="E457" s="105" t="s">
        <v>256</v>
      </c>
      <c r="F457" s="105" t="s">
        <v>497</v>
      </c>
      <c r="G457" s="113">
        <v>45929.0</v>
      </c>
      <c r="H457" s="114">
        <v>0.08333333333333333</v>
      </c>
      <c r="I457" s="109">
        <f t="shared" si="1"/>
        <v>2</v>
      </c>
      <c r="J457" s="111" t="b">
        <v>0</v>
      </c>
      <c r="K457" s="111" t="b">
        <f t="shared" si="2"/>
        <v>1</v>
      </c>
      <c r="L457" s="90"/>
      <c r="M457" s="111" t="s">
        <v>255</v>
      </c>
    </row>
    <row r="458" hidden="1">
      <c r="A458" s="105" t="s">
        <v>92</v>
      </c>
      <c r="B458" s="105" t="s">
        <v>406</v>
      </c>
      <c r="C458" s="106">
        <v>9.0</v>
      </c>
      <c r="D458" s="105"/>
      <c r="E458" s="105" t="s">
        <v>256</v>
      </c>
      <c r="F458" s="105" t="s">
        <v>497</v>
      </c>
      <c r="G458" s="113">
        <v>45930.0</v>
      </c>
      <c r="H458" s="114">
        <v>0.125</v>
      </c>
      <c r="I458" s="109">
        <f t="shared" si="1"/>
        <v>3</v>
      </c>
      <c r="J458" s="111" t="b">
        <v>1</v>
      </c>
      <c r="K458" s="111" t="b">
        <f t="shared" si="2"/>
        <v>1</v>
      </c>
      <c r="L458" s="90"/>
      <c r="M458" s="111" t="s">
        <v>255</v>
      </c>
    </row>
    <row r="459" hidden="1">
      <c r="A459" s="105" t="s">
        <v>269</v>
      </c>
      <c r="B459" s="105" t="s">
        <v>546</v>
      </c>
      <c r="C459" s="106">
        <v>9.0</v>
      </c>
      <c r="D459" s="105"/>
      <c r="E459" s="105"/>
      <c r="F459" s="105" t="s">
        <v>547</v>
      </c>
      <c r="G459" s="113">
        <v>45912.0</v>
      </c>
      <c r="H459" s="114">
        <v>0.034722222222222224</v>
      </c>
      <c r="I459" s="109">
        <f t="shared" si="1"/>
        <v>0.8333333333</v>
      </c>
      <c r="J459" s="111" t="b">
        <v>0</v>
      </c>
      <c r="K459" s="111" t="b">
        <f t="shared" si="2"/>
        <v>0</v>
      </c>
      <c r="L459" s="90"/>
      <c r="M459" s="111" t="s">
        <v>255</v>
      </c>
    </row>
    <row r="460" hidden="1">
      <c r="A460" s="105" t="s">
        <v>269</v>
      </c>
      <c r="B460" s="105" t="s">
        <v>546</v>
      </c>
      <c r="C460" s="106">
        <v>9.0</v>
      </c>
      <c r="D460" s="105"/>
      <c r="E460" s="105" t="s">
        <v>252</v>
      </c>
      <c r="F460" s="105" t="s">
        <v>548</v>
      </c>
      <c r="G460" s="113">
        <v>45924.0</v>
      </c>
      <c r="H460" s="114">
        <v>0.04513888888888889</v>
      </c>
      <c r="I460" s="109">
        <f t="shared" si="1"/>
        <v>1.083333333</v>
      </c>
      <c r="J460" s="111" t="b">
        <v>0</v>
      </c>
      <c r="K460" s="111" t="b">
        <f t="shared" si="2"/>
        <v>1</v>
      </c>
      <c r="L460" s="90"/>
      <c r="M460" s="111" t="s">
        <v>255</v>
      </c>
    </row>
    <row r="461">
      <c r="A461" s="105" t="s">
        <v>92</v>
      </c>
      <c r="B461" s="105" t="s">
        <v>251</v>
      </c>
      <c r="C461" s="106">
        <v>10.0</v>
      </c>
      <c r="D461" s="105"/>
      <c r="E461" s="105" t="s">
        <v>256</v>
      </c>
      <c r="F461" s="105" t="s">
        <v>491</v>
      </c>
      <c r="G461" s="113">
        <v>45931.0</v>
      </c>
      <c r="H461" s="114">
        <v>0.3541666666666667</v>
      </c>
      <c r="I461" s="109">
        <f t="shared" si="1"/>
        <v>8.5</v>
      </c>
      <c r="J461" s="111" t="b">
        <v>1</v>
      </c>
      <c r="K461" s="111" t="b">
        <f t="shared" si="2"/>
        <v>1</v>
      </c>
      <c r="L461" s="90"/>
      <c r="M461" s="111" t="s">
        <v>255</v>
      </c>
    </row>
    <row r="462">
      <c r="A462" s="105" t="s">
        <v>92</v>
      </c>
      <c r="B462" s="105" t="s">
        <v>251</v>
      </c>
      <c r="C462" s="106">
        <v>10.0</v>
      </c>
      <c r="D462" s="105"/>
      <c r="E462" s="105" t="s">
        <v>256</v>
      </c>
      <c r="F462" s="105" t="s">
        <v>491</v>
      </c>
      <c r="G462" s="113">
        <v>45932.0</v>
      </c>
      <c r="H462" s="114">
        <v>0.46875</v>
      </c>
      <c r="I462" s="109">
        <f t="shared" si="1"/>
        <v>11.25</v>
      </c>
      <c r="J462" s="111" t="b">
        <v>1</v>
      </c>
      <c r="K462" s="111" t="b">
        <f t="shared" si="2"/>
        <v>1</v>
      </c>
      <c r="L462" s="90"/>
      <c r="M462" s="111" t="s">
        <v>255</v>
      </c>
    </row>
    <row r="463">
      <c r="A463" s="105" t="s">
        <v>92</v>
      </c>
      <c r="B463" s="105" t="s">
        <v>251</v>
      </c>
      <c r="C463" s="106">
        <v>10.0</v>
      </c>
      <c r="D463" s="105"/>
      <c r="E463" s="105" t="s">
        <v>256</v>
      </c>
      <c r="F463" s="105" t="s">
        <v>549</v>
      </c>
      <c r="G463" s="113">
        <v>45933.0</v>
      </c>
      <c r="H463" s="114">
        <v>0.14583333333333334</v>
      </c>
      <c r="I463" s="109">
        <f t="shared" si="1"/>
        <v>3.5</v>
      </c>
      <c r="J463" s="111" t="b">
        <v>1</v>
      </c>
      <c r="K463" s="111" t="b">
        <f t="shared" si="2"/>
        <v>1</v>
      </c>
      <c r="L463" s="90"/>
      <c r="M463" s="111" t="s">
        <v>255</v>
      </c>
    </row>
    <row r="464" hidden="1">
      <c r="A464" s="105" t="s">
        <v>171</v>
      </c>
      <c r="B464" s="105" t="s">
        <v>251</v>
      </c>
      <c r="C464" s="106">
        <v>10.0</v>
      </c>
      <c r="D464" s="105"/>
      <c r="E464" s="105" t="s">
        <v>252</v>
      </c>
      <c r="F464" s="105" t="s">
        <v>550</v>
      </c>
      <c r="G464" s="113">
        <v>45937.0</v>
      </c>
      <c r="H464" s="114">
        <v>0.10416666666666667</v>
      </c>
      <c r="I464" s="109">
        <f t="shared" si="1"/>
        <v>2.5</v>
      </c>
      <c r="J464" s="111" t="b">
        <v>0</v>
      </c>
      <c r="K464" s="111" t="b">
        <f t="shared" si="2"/>
        <v>1</v>
      </c>
      <c r="L464" s="90"/>
      <c r="M464" s="111" t="s">
        <v>255</v>
      </c>
    </row>
    <row r="465" hidden="1">
      <c r="A465" s="105" t="s">
        <v>260</v>
      </c>
      <c r="B465" s="105" t="s">
        <v>251</v>
      </c>
      <c r="C465" s="106">
        <v>10.0</v>
      </c>
      <c r="D465" s="105"/>
      <c r="E465" s="105" t="s">
        <v>271</v>
      </c>
      <c r="F465" s="105" t="s">
        <v>481</v>
      </c>
      <c r="G465" s="113">
        <v>45938.0</v>
      </c>
      <c r="H465" s="114">
        <v>0.010416666666666666</v>
      </c>
      <c r="I465" s="109">
        <f t="shared" si="1"/>
        <v>0.25</v>
      </c>
      <c r="J465" s="111" t="b">
        <v>0</v>
      </c>
      <c r="K465" s="111" t="b">
        <f t="shared" si="2"/>
        <v>0</v>
      </c>
      <c r="L465" s="90"/>
      <c r="M465" s="111" t="s">
        <v>255</v>
      </c>
    </row>
    <row r="466" hidden="1">
      <c r="A466" s="105" t="s">
        <v>260</v>
      </c>
      <c r="B466" s="105" t="s">
        <v>251</v>
      </c>
      <c r="C466" s="106">
        <v>10.0</v>
      </c>
      <c r="D466" s="105"/>
      <c r="E466" s="105" t="s">
        <v>271</v>
      </c>
      <c r="F466" s="105" t="s">
        <v>551</v>
      </c>
      <c r="G466" s="113">
        <v>45938.0</v>
      </c>
      <c r="H466" s="114">
        <v>0.010416666666666666</v>
      </c>
      <c r="I466" s="109">
        <f t="shared" si="1"/>
        <v>0.25</v>
      </c>
      <c r="J466" s="111" t="b">
        <v>0</v>
      </c>
      <c r="K466" s="111" t="b">
        <f t="shared" si="2"/>
        <v>0</v>
      </c>
      <c r="L466" s="90"/>
      <c r="M466" s="111" t="s">
        <v>255</v>
      </c>
    </row>
    <row r="467" hidden="1">
      <c r="A467" s="105" t="s">
        <v>260</v>
      </c>
      <c r="B467" s="105" t="s">
        <v>251</v>
      </c>
      <c r="C467" s="106">
        <v>10.0</v>
      </c>
      <c r="D467" s="105"/>
      <c r="E467" s="105" t="s">
        <v>271</v>
      </c>
      <c r="F467" s="105" t="s">
        <v>481</v>
      </c>
      <c r="G467" s="113">
        <v>45943.0</v>
      </c>
      <c r="H467" s="114">
        <v>0.010416666666666666</v>
      </c>
      <c r="I467" s="109">
        <f t="shared" si="1"/>
        <v>0.25</v>
      </c>
      <c r="J467" s="111" t="b">
        <v>0</v>
      </c>
      <c r="K467" s="111" t="b">
        <f t="shared" si="2"/>
        <v>0</v>
      </c>
      <c r="L467" s="90"/>
      <c r="M467" s="111" t="s">
        <v>255</v>
      </c>
    </row>
    <row r="468">
      <c r="A468" s="105" t="s">
        <v>92</v>
      </c>
      <c r="B468" s="105" t="s">
        <v>251</v>
      </c>
      <c r="C468" s="106">
        <v>10.0</v>
      </c>
      <c r="D468" s="105"/>
      <c r="E468" s="105" t="s">
        <v>256</v>
      </c>
      <c r="F468" s="105" t="s">
        <v>491</v>
      </c>
      <c r="G468" s="113">
        <v>45945.0</v>
      </c>
      <c r="H468" s="114">
        <v>0.6493055555555556</v>
      </c>
      <c r="I468" s="109">
        <f t="shared" si="1"/>
        <v>15.58333333</v>
      </c>
      <c r="J468" s="111" t="b">
        <v>1</v>
      </c>
      <c r="K468" s="111" t="b">
        <f t="shared" si="2"/>
        <v>1</v>
      </c>
      <c r="L468" s="90"/>
      <c r="M468" s="111" t="s">
        <v>255</v>
      </c>
    </row>
    <row r="469" hidden="1">
      <c r="A469" s="105" t="s">
        <v>260</v>
      </c>
      <c r="B469" s="105" t="s">
        <v>251</v>
      </c>
      <c r="C469" s="106">
        <v>10.0</v>
      </c>
      <c r="D469" s="105"/>
      <c r="E469" s="105" t="s">
        <v>271</v>
      </c>
      <c r="F469" s="105" t="s">
        <v>552</v>
      </c>
      <c r="G469" s="113">
        <v>45947.0</v>
      </c>
      <c r="H469" s="114">
        <v>0.034722222222222224</v>
      </c>
      <c r="I469" s="109">
        <f t="shared" si="1"/>
        <v>0.8333333333</v>
      </c>
      <c r="J469" s="111" t="b">
        <v>0</v>
      </c>
      <c r="K469" s="111" t="b">
        <f t="shared" si="2"/>
        <v>0</v>
      </c>
      <c r="L469" s="90"/>
      <c r="M469" s="111" t="s">
        <v>255</v>
      </c>
    </row>
    <row r="470" hidden="1">
      <c r="A470" s="105" t="s">
        <v>260</v>
      </c>
      <c r="B470" s="105" t="s">
        <v>251</v>
      </c>
      <c r="C470" s="106">
        <v>10.0</v>
      </c>
      <c r="D470" s="105"/>
      <c r="E470" s="105" t="s">
        <v>271</v>
      </c>
      <c r="F470" s="105" t="s">
        <v>553</v>
      </c>
      <c r="G470" s="113">
        <v>45947.0</v>
      </c>
      <c r="H470" s="114">
        <v>0.020833333333333332</v>
      </c>
      <c r="I470" s="109">
        <f t="shared" si="1"/>
        <v>0.5</v>
      </c>
      <c r="J470" s="111" t="b">
        <v>0</v>
      </c>
      <c r="K470" s="111" t="b">
        <f t="shared" si="2"/>
        <v>0</v>
      </c>
      <c r="L470" s="90"/>
      <c r="M470" s="111" t="s">
        <v>255</v>
      </c>
    </row>
    <row r="471" hidden="1">
      <c r="A471" s="105" t="s">
        <v>124</v>
      </c>
      <c r="B471" s="105" t="s">
        <v>251</v>
      </c>
      <c r="C471" s="106">
        <v>10.0</v>
      </c>
      <c r="D471" s="105"/>
      <c r="E471" s="105" t="s">
        <v>252</v>
      </c>
      <c r="F471" s="105" t="s">
        <v>554</v>
      </c>
      <c r="G471" s="113">
        <v>45950.0</v>
      </c>
      <c r="H471" s="114">
        <v>0.10416666666666667</v>
      </c>
      <c r="I471" s="109">
        <f t="shared" si="1"/>
        <v>2.5</v>
      </c>
      <c r="J471" s="111" t="b">
        <v>1</v>
      </c>
      <c r="K471" s="111" t="b">
        <f t="shared" si="2"/>
        <v>1</v>
      </c>
      <c r="L471" s="90"/>
      <c r="M471" s="111" t="s">
        <v>255</v>
      </c>
    </row>
    <row r="472" hidden="1">
      <c r="A472" s="105" t="s">
        <v>124</v>
      </c>
      <c r="B472" s="105" t="s">
        <v>251</v>
      </c>
      <c r="C472" s="106">
        <v>10.0</v>
      </c>
      <c r="D472" s="105"/>
      <c r="E472" s="105" t="s">
        <v>252</v>
      </c>
      <c r="F472" s="105" t="s">
        <v>555</v>
      </c>
      <c r="G472" s="113">
        <v>45951.0</v>
      </c>
      <c r="H472" s="114">
        <v>0.020833333333333332</v>
      </c>
      <c r="I472" s="109">
        <f t="shared" si="1"/>
        <v>0.5</v>
      </c>
      <c r="J472" s="111" t="b">
        <v>1</v>
      </c>
      <c r="K472" s="111" t="b">
        <f t="shared" si="2"/>
        <v>1</v>
      </c>
      <c r="L472" s="90"/>
      <c r="M472" s="111" t="s">
        <v>255</v>
      </c>
    </row>
    <row r="473" hidden="1">
      <c r="A473" s="105" t="s">
        <v>260</v>
      </c>
      <c r="B473" s="105" t="s">
        <v>251</v>
      </c>
      <c r="C473" s="106">
        <v>10.0</v>
      </c>
      <c r="D473" s="105"/>
      <c r="E473" s="105" t="s">
        <v>271</v>
      </c>
      <c r="F473" s="105" t="s">
        <v>551</v>
      </c>
      <c r="G473" s="113">
        <v>45952.0</v>
      </c>
      <c r="H473" s="114">
        <v>0.010416666666666666</v>
      </c>
      <c r="I473" s="109">
        <f t="shared" si="1"/>
        <v>0.25</v>
      </c>
      <c r="J473" s="111" t="b">
        <v>0</v>
      </c>
      <c r="K473" s="111" t="b">
        <f t="shared" si="2"/>
        <v>0</v>
      </c>
      <c r="L473" s="90"/>
      <c r="M473" s="111" t="s">
        <v>255</v>
      </c>
    </row>
    <row r="474" hidden="1">
      <c r="A474" s="105" t="s">
        <v>260</v>
      </c>
      <c r="B474" s="105" t="s">
        <v>251</v>
      </c>
      <c r="C474" s="106">
        <v>10.0</v>
      </c>
      <c r="D474" s="105"/>
      <c r="E474" s="105" t="s">
        <v>271</v>
      </c>
      <c r="F474" s="105" t="s">
        <v>551</v>
      </c>
      <c r="G474" s="113">
        <v>45952.0</v>
      </c>
      <c r="H474" s="114">
        <v>0.006944444444444444</v>
      </c>
      <c r="I474" s="109">
        <f t="shared" si="1"/>
        <v>0.1666666667</v>
      </c>
      <c r="J474" s="111" t="b">
        <v>0</v>
      </c>
      <c r="K474" s="111" t="b">
        <f t="shared" si="2"/>
        <v>0</v>
      </c>
      <c r="L474" s="90"/>
      <c r="M474" s="111" t="s">
        <v>255</v>
      </c>
    </row>
    <row r="475" hidden="1">
      <c r="A475" s="105" t="s">
        <v>92</v>
      </c>
      <c r="B475" s="105" t="s">
        <v>251</v>
      </c>
      <c r="C475" s="106">
        <v>10.0</v>
      </c>
      <c r="D475" s="105"/>
      <c r="E475" s="105" t="s">
        <v>271</v>
      </c>
      <c r="F475" s="105" t="s">
        <v>556</v>
      </c>
      <c r="G475" s="113">
        <v>45952.0</v>
      </c>
      <c r="H475" s="114">
        <v>0.024305555555555556</v>
      </c>
      <c r="I475" s="109">
        <f t="shared" si="1"/>
        <v>0.5833333333</v>
      </c>
      <c r="J475" s="111" t="b">
        <v>1</v>
      </c>
      <c r="K475" s="111" t="b">
        <f t="shared" si="2"/>
        <v>0</v>
      </c>
      <c r="L475" s="90"/>
      <c r="M475" s="111" t="s">
        <v>255</v>
      </c>
    </row>
    <row r="476" hidden="1">
      <c r="A476" s="105" t="s">
        <v>260</v>
      </c>
      <c r="B476" s="105" t="s">
        <v>251</v>
      </c>
      <c r="C476" s="106">
        <v>10.0</v>
      </c>
      <c r="D476" s="105"/>
      <c r="E476" s="105" t="s">
        <v>252</v>
      </c>
      <c r="F476" s="105" t="s">
        <v>557</v>
      </c>
      <c r="G476" s="113">
        <v>45961.0</v>
      </c>
      <c r="H476" s="114">
        <v>0.08333333333333333</v>
      </c>
      <c r="I476" s="109">
        <f t="shared" si="1"/>
        <v>2</v>
      </c>
      <c r="J476" s="111" t="b">
        <v>0</v>
      </c>
      <c r="K476" s="111" t="b">
        <f t="shared" si="2"/>
        <v>1</v>
      </c>
      <c r="L476" s="90"/>
      <c r="M476" s="111" t="s">
        <v>255</v>
      </c>
    </row>
    <row r="477" hidden="1">
      <c r="A477" s="105" t="s">
        <v>171</v>
      </c>
      <c r="B477" s="105" t="s">
        <v>251</v>
      </c>
      <c r="C477" s="106">
        <v>10.0</v>
      </c>
      <c r="D477" s="105"/>
      <c r="E477" s="105" t="s">
        <v>252</v>
      </c>
      <c r="F477" s="105" t="s">
        <v>550</v>
      </c>
      <c r="G477" s="113">
        <v>45961.0</v>
      </c>
      <c r="H477" s="114">
        <v>0.125</v>
      </c>
      <c r="I477" s="109">
        <f t="shared" si="1"/>
        <v>3</v>
      </c>
      <c r="J477" s="111" t="b">
        <v>0</v>
      </c>
      <c r="K477" s="111" t="b">
        <f t="shared" si="2"/>
        <v>1</v>
      </c>
      <c r="L477" s="90"/>
      <c r="M477" s="111" t="s">
        <v>255</v>
      </c>
    </row>
    <row r="478" hidden="1">
      <c r="A478" s="105" t="s">
        <v>92</v>
      </c>
      <c r="B478" s="105" t="s">
        <v>251</v>
      </c>
      <c r="C478" s="106">
        <v>10.0</v>
      </c>
      <c r="D478" s="105"/>
      <c r="E478" s="105" t="s">
        <v>271</v>
      </c>
      <c r="F478" s="105" t="s">
        <v>558</v>
      </c>
      <c r="G478" s="113">
        <v>45959.0</v>
      </c>
      <c r="H478" s="114">
        <v>0.052083333333333336</v>
      </c>
      <c r="I478" s="109">
        <f t="shared" si="1"/>
        <v>1.25</v>
      </c>
      <c r="J478" s="111" t="b">
        <v>1</v>
      </c>
      <c r="K478" s="111" t="b">
        <f t="shared" si="2"/>
        <v>0</v>
      </c>
      <c r="L478" s="90"/>
      <c r="M478" s="111" t="s">
        <v>255</v>
      </c>
    </row>
    <row r="479">
      <c r="A479" s="105" t="s">
        <v>92</v>
      </c>
      <c r="B479" s="105" t="s">
        <v>251</v>
      </c>
      <c r="C479" s="106">
        <v>10.0</v>
      </c>
      <c r="D479" s="105"/>
      <c r="E479" s="105" t="s">
        <v>256</v>
      </c>
      <c r="F479" s="105" t="s">
        <v>559</v>
      </c>
      <c r="G479" s="113">
        <v>45954.0</v>
      </c>
      <c r="H479" s="114">
        <v>0.08333333333333333</v>
      </c>
      <c r="I479" s="109">
        <f t="shared" si="1"/>
        <v>2</v>
      </c>
      <c r="J479" s="111" t="b">
        <v>1</v>
      </c>
      <c r="K479" s="111" t="b">
        <f t="shared" si="2"/>
        <v>1</v>
      </c>
      <c r="L479" s="90"/>
      <c r="M479" s="111" t="s">
        <v>255</v>
      </c>
    </row>
    <row r="480">
      <c r="A480" s="105" t="s">
        <v>92</v>
      </c>
      <c r="B480" s="105" t="s">
        <v>251</v>
      </c>
      <c r="C480" s="106">
        <v>11.0</v>
      </c>
      <c r="D480" s="105"/>
      <c r="E480" s="105" t="s">
        <v>256</v>
      </c>
      <c r="F480" s="105" t="s">
        <v>560</v>
      </c>
      <c r="G480" s="113">
        <v>45971.0</v>
      </c>
      <c r="H480" s="114">
        <v>0.020833333333333332</v>
      </c>
      <c r="I480" s="109">
        <f t="shared" si="1"/>
        <v>0.5</v>
      </c>
      <c r="J480" s="111" t="b">
        <v>1</v>
      </c>
      <c r="K480" s="111" t="b">
        <f t="shared" si="2"/>
        <v>1</v>
      </c>
      <c r="L480" s="90"/>
      <c r="M480" s="111" t="s">
        <v>255</v>
      </c>
    </row>
    <row r="481" hidden="1">
      <c r="A481" s="105" t="s">
        <v>171</v>
      </c>
      <c r="B481" s="105" t="s">
        <v>251</v>
      </c>
      <c r="C481" s="106">
        <v>11.0</v>
      </c>
      <c r="D481" s="105"/>
      <c r="E481" s="105" t="s">
        <v>256</v>
      </c>
      <c r="F481" s="105" t="s">
        <v>561</v>
      </c>
      <c r="G481" s="113">
        <v>45973.0</v>
      </c>
      <c r="H481" s="114">
        <v>0.020833333333333332</v>
      </c>
      <c r="I481" s="109">
        <f t="shared" si="1"/>
        <v>0.5</v>
      </c>
      <c r="J481" s="111" t="b">
        <v>0</v>
      </c>
      <c r="K481" s="111" t="b">
        <f t="shared" si="2"/>
        <v>1</v>
      </c>
      <c r="L481" s="90"/>
      <c r="M481" s="111" t="s">
        <v>255</v>
      </c>
    </row>
    <row r="482">
      <c r="A482" s="105" t="s">
        <v>92</v>
      </c>
      <c r="B482" s="105" t="s">
        <v>251</v>
      </c>
      <c r="C482" s="106">
        <v>11.0</v>
      </c>
      <c r="D482" s="105"/>
      <c r="E482" s="105" t="s">
        <v>256</v>
      </c>
      <c r="F482" s="105" t="s">
        <v>562</v>
      </c>
      <c r="G482" s="113">
        <v>45973.0</v>
      </c>
      <c r="H482" s="114">
        <v>0.0625</v>
      </c>
      <c r="I482" s="109">
        <f t="shared" si="1"/>
        <v>1.5</v>
      </c>
      <c r="J482" s="111" t="b">
        <v>1</v>
      </c>
      <c r="K482" s="111" t="b">
        <f t="shared" si="2"/>
        <v>1</v>
      </c>
      <c r="L482" s="90"/>
      <c r="M482" s="111" t="s">
        <v>255</v>
      </c>
    </row>
    <row r="483" hidden="1">
      <c r="A483" s="105" t="s">
        <v>124</v>
      </c>
      <c r="B483" s="105" t="s">
        <v>251</v>
      </c>
      <c r="C483" s="106">
        <v>11.0</v>
      </c>
      <c r="D483" s="105"/>
      <c r="E483" s="105" t="s">
        <v>256</v>
      </c>
      <c r="F483" s="105" t="s">
        <v>563</v>
      </c>
      <c r="G483" s="113">
        <v>45974.0</v>
      </c>
      <c r="H483" s="114">
        <v>0.40625</v>
      </c>
      <c r="I483" s="109">
        <f t="shared" si="1"/>
        <v>9.75</v>
      </c>
      <c r="J483" s="111" t="b">
        <v>1</v>
      </c>
      <c r="K483" s="111" t="b">
        <f t="shared" si="2"/>
        <v>1</v>
      </c>
      <c r="L483" s="90"/>
      <c r="M483" s="111" t="s">
        <v>255</v>
      </c>
    </row>
    <row r="484" hidden="1">
      <c r="A484" s="105" t="s">
        <v>124</v>
      </c>
      <c r="B484" s="105" t="s">
        <v>251</v>
      </c>
      <c r="C484" s="106">
        <v>11.0</v>
      </c>
      <c r="D484" s="105"/>
      <c r="E484" s="105" t="s">
        <v>256</v>
      </c>
      <c r="F484" s="105" t="s">
        <v>563</v>
      </c>
      <c r="G484" s="113">
        <v>45975.0</v>
      </c>
      <c r="H484" s="114">
        <v>0.34375</v>
      </c>
      <c r="I484" s="109">
        <f t="shared" si="1"/>
        <v>8.25</v>
      </c>
      <c r="J484" s="111" t="b">
        <v>1</v>
      </c>
      <c r="K484" s="111" t="b">
        <f t="shared" si="2"/>
        <v>1</v>
      </c>
      <c r="L484" s="90"/>
      <c r="M484" s="111" t="s">
        <v>255</v>
      </c>
    </row>
    <row r="485" hidden="1">
      <c r="A485" s="105" t="s">
        <v>215</v>
      </c>
      <c r="B485" s="105" t="s">
        <v>251</v>
      </c>
      <c r="C485" s="106">
        <v>11.0</v>
      </c>
      <c r="D485" s="105"/>
      <c r="E485" s="105" t="s">
        <v>252</v>
      </c>
      <c r="F485" s="105" t="s">
        <v>564</v>
      </c>
      <c r="G485" s="113">
        <v>45982.0</v>
      </c>
      <c r="H485" s="114">
        <v>0.07291666666666667</v>
      </c>
      <c r="I485" s="109">
        <f t="shared" si="1"/>
        <v>1.75</v>
      </c>
      <c r="J485" s="111" t="b">
        <v>1</v>
      </c>
      <c r="K485" s="111" t="b">
        <f t="shared" si="2"/>
        <v>1</v>
      </c>
      <c r="L485" s="90"/>
      <c r="M485" s="111" t="s">
        <v>255</v>
      </c>
    </row>
    <row r="486" hidden="1">
      <c r="A486" s="105" t="s">
        <v>124</v>
      </c>
      <c r="B486" s="105" t="s">
        <v>251</v>
      </c>
      <c r="C486" s="106">
        <v>11.0</v>
      </c>
      <c r="D486" s="105"/>
      <c r="E486" s="105" t="s">
        <v>256</v>
      </c>
      <c r="F486" s="105" t="s">
        <v>565</v>
      </c>
      <c r="G486" s="113">
        <v>45989.0</v>
      </c>
      <c r="H486" s="114">
        <v>0.125</v>
      </c>
      <c r="I486" s="109">
        <f t="shared" si="1"/>
        <v>3</v>
      </c>
      <c r="J486" s="111" t="b">
        <v>1</v>
      </c>
      <c r="K486" s="111" t="b">
        <f t="shared" si="2"/>
        <v>1</v>
      </c>
      <c r="L486" s="90"/>
      <c r="M486" s="111" t="s">
        <v>255</v>
      </c>
    </row>
    <row r="487">
      <c r="A487" s="105" t="s">
        <v>92</v>
      </c>
      <c r="B487" s="105" t="s">
        <v>251</v>
      </c>
      <c r="C487" s="106">
        <v>11.0</v>
      </c>
      <c r="D487" s="105"/>
      <c r="E487" s="105" t="s">
        <v>256</v>
      </c>
      <c r="F487" s="105" t="s">
        <v>566</v>
      </c>
      <c r="G487" s="113">
        <v>45989.0</v>
      </c>
      <c r="H487" s="114">
        <v>0.14583333333333334</v>
      </c>
      <c r="I487" s="109">
        <f t="shared" si="1"/>
        <v>3.5</v>
      </c>
      <c r="J487" s="111" t="b">
        <v>1</v>
      </c>
      <c r="K487" s="111" t="b">
        <f t="shared" si="2"/>
        <v>1</v>
      </c>
      <c r="L487" s="90"/>
      <c r="M487" s="111" t="s">
        <v>255</v>
      </c>
    </row>
    <row r="488" hidden="1">
      <c r="A488" s="105" t="s">
        <v>171</v>
      </c>
      <c r="B488" s="105" t="s">
        <v>251</v>
      </c>
      <c r="C488" s="106">
        <v>12.0</v>
      </c>
      <c r="D488" s="105"/>
      <c r="E488" s="105" t="s">
        <v>252</v>
      </c>
      <c r="F488" s="105" t="s">
        <v>567</v>
      </c>
      <c r="G488" s="113">
        <v>45999.0</v>
      </c>
      <c r="H488" s="114">
        <v>0.1527777777777778</v>
      </c>
      <c r="I488" s="109">
        <f t="shared" si="1"/>
        <v>3.666666667</v>
      </c>
      <c r="J488" s="111" t="b">
        <v>0</v>
      </c>
      <c r="K488" s="111" t="b">
        <f t="shared" si="2"/>
        <v>1</v>
      </c>
      <c r="L488" s="90"/>
      <c r="M488" s="111" t="s">
        <v>255</v>
      </c>
    </row>
    <row r="489" hidden="1">
      <c r="A489" s="105" t="s">
        <v>267</v>
      </c>
      <c r="B489" s="105" t="s">
        <v>496</v>
      </c>
      <c r="C489" s="106">
        <v>10.0</v>
      </c>
      <c r="D489" s="105"/>
      <c r="E489" s="105" t="s">
        <v>256</v>
      </c>
      <c r="F489" s="105" t="s">
        <v>507</v>
      </c>
      <c r="G489" s="113">
        <v>45931.0</v>
      </c>
      <c r="H489" s="114">
        <v>0.041666666666666664</v>
      </c>
      <c r="I489" s="109">
        <f t="shared" si="1"/>
        <v>1</v>
      </c>
      <c r="J489" s="111" t="b">
        <v>0</v>
      </c>
      <c r="K489" s="111" t="b">
        <f t="shared" si="2"/>
        <v>1</v>
      </c>
      <c r="L489" s="90"/>
      <c r="M489" s="111" t="s">
        <v>255</v>
      </c>
    </row>
    <row r="490" hidden="1">
      <c r="A490" s="105" t="s">
        <v>130</v>
      </c>
      <c r="B490" s="105" t="s">
        <v>290</v>
      </c>
      <c r="C490" s="106">
        <v>10.0</v>
      </c>
      <c r="D490" s="105"/>
      <c r="E490" s="105" t="s">
        <v>256</v>
      </c>
      <c r="F490" s="105" t="s">
        <v>568</v>
      </c>
      <c r="G490" s="113">
        <v>45951.0</v>
      </c>
      <c r="H490" s="114">
        <v>0.14583333333333334</v>
      </c>
      <c r="I490" s="109">
        <f t="shared" si="1"/>
        <v>3.5</v>
      </c>
      <c r="J490" s="111" t="b">
        <v>1</v>
      </c>
      <c r="K490" s="111" t="b">
        <f t="shared" si="2"/>
        <v>1</v>
      </c>
      <c r="L490" s="90"/>
      <c r="M490" s="111" t="s">
        <v>255</v>
      </c>
    </row>
    <row r="491" hidden="1">
      <c r="A491" s="105" t="s">
        <v>130</v>
      </c>
      <c r="B491" s="105" t="s">
        <v>290</v>
      </c>
      <c r="C491" s="106">
        <v>10.0</v>
      </c>
      <c r="D491" s="105"/>
      <c r="E491" s="105" t="s">
        <v>256</v>
      </c>
      <c r="F491" s="105" t="s">
        <v>569</v>
      </c>
      <c r="G491" s="113">
        <v>45953.0</v>
      </c>
      <c r="H491" s="114">
        <v>0.08333333333333333</v>
      </c>
      <c r="I491" s="109">
        <f t="shared" si="1"/>
        <v>2</v>
      </c>
      <c r="J491" s="111" t="b">
        <v>1</v>
      </c>
      <c r="K491" s="111" t="b">
        <f t="shared" si="2"/>
        <v>1</v>
      </c>
      <c r="L491" s="90"/>
      <c r="M491" s="111" t="s">
        <v>255</v>
      </c>
    </row>
    <row r="492" hidden="1">
      <c r="A492" s="105" t="s">
        <v>215</v>
      </c>
      <c r="B492" s="105" t="s">
        <v>290</v>
      </c>
      <c r="C492" s="106">
        <v>10.0</v>
      </c>
      <c r="D492" s="105"/>
      <c r="E492" s="105" t="s">
        <v>256</v>
      </c>
      <c r="F492" s="105" t="s">
        <v>570</v>
      </c>
      <c r="G492" s="113">
        <v>45953.0</v>
      </c>
      <c r="H492" s="114">
        <v>0.1875</v>
      </c>
      <c r="I492" s="109">
        <f t="shared" si="1"/>
        <v>4.5</v>
      </c>
      <c r="J492" s="111" t="b">
        <v>1</v>
      </c>
      <c r="K492" s="111" t="b">
        <f t="shared" si="2"/>
        <v>1</v>
      </c>
      <c r="L492" s="90"/>
      <c r="M492" s="111" t="s">
        <v>255</v>
      </c>
    </row>
    <row r="493" hidden="1">
      <c r="A493" s="105" t="s">
        <v>104</v>
      </c>
      <c r="B493" s="105" t="s">
        <v>290</v>
      </c>
      <c r="C493" s="106">
        <v>10.0</v>
      </c>
      <c r="D493" s="105"/>
      <c r="E493" s="105" t="s">
        <v>256</v>
      </c>
      <c r="F493" s="105" t="s">
        <v>571</v>
      </c>
      <c r="G493" s="113">
        <v>45953.0</v>
      </c>
      <c r="H493" s="114">
        <v>0.020833333333333332</v>
      </c>
      <c r="I493" s="109">
        <f t="shared" si="1"/>
        <v>0.5</v>
      </c>
      <c r="J493" s="111" t="b">
        <v>1</v>
      </c>
      <c r="K493" s="111" t="b">
        <f t="shared" si="2"/>
        <v>1</v>
      </c>
      <c r="L493" s="90"/>
      <c r="M493" s="111" t="s">
        <v>255</v>
      </c>
    </row>
    <row r="494" hidden="1">
      <c r="A494" s="105" t="s">
        <v>104</v>
      </c>
      <c r="B494" s="105" t="s">
        <v>290</v>
      </c>
      <c r="C494" s="106">
        <v>10.0</v>
      </c>
      <c r="D494" s="105"/>
      <c r="E494" s="105" t="s">
        <v>256</v>
      </c>
      <c r="F494" s="105" t="s">
        <v>571</v>
      </c>
      <c r="G494" s="113">
        <v>45946.0</v>
      </c>
      <c r="H494" s="114">
        <v>0.041666666666666664</v>
      </c>
      <c r="I494" s="109">
        <f t="shared" si="1"/>
        <v>1</v>
      </c>
      <c r="J494" s="111" t="b">
        <v>1</v>
      </c>
      <c r="K494" s="111" t="b">
        <f t="shared" si="2"/>
        <v>1</v>
      </c>
      <c r="L494" s="90"/>
      <c r="M494" s="111" t="s">
        <v>255</v>
      </c>
    </row>
    <row r="495" hidden="1">
      <c r="A495" s="105" t="s">
        <v>267</v>
      </c>
      <c r="B495" s="105" t="s">
        <v>290</v>
      </c>
      <c r="C495" s="106">
        <v>10.0</v>
      </c>
      <c r="D495" s="105"/>
      <c r="E495" s="105" t="s">
        <v>256</v>
      </c>
      <c r="F495" s="105" t="s">
        <v>572</v>
      </c>
      <c r="G495" s="113">
        <v>45957.0</v>
      </c>
      <c r="H495" s="114">
        <v>0.125</v>
      </c>
      <c r="I495" s="109">
        <f t="shared" si="1"/>
        <v>3</v>
      </c>
      <c r="J495" s="111" t="b">
        <v>0</v>
      </c>
      <c r="K495" s="111" t="b">
        <f t="shared" si="2"/>
        <v>1</v>
      </c>
      <c r="L495" s="90"/>
      <c r="M495" s="111" t="s">
        <v>255</v>
      </c>
    </row>
    <row r="496" hidden="1">
      <c r="A496" s="105" t="s">
        <v>104</v>
      </c>
      <c r="B496" s="105" t="s">
        <v>290</v>
      </c>
      <c r="C496" s="106">
        <v>10.0</v>
      </c>
      <c r="D496" s="105"/>
      <c r="E496" s="105" t="s">
        <v>256</v>
      </c>
      <c r="F496" s="105" t="s">
        <v>573</v>
      </c>
      <c r="G496" s="113">
        <v>45958.0</v>
      </c>
      <c r="H496" s="114">
        <v>0.22916666666666666</v>
      </c>
      <c r="I496" s="109">
        <f t="shared" si="1"/>
        <v>5.5</v>
      </c>
      <c r="J496" s="111" t="b">
        <v>1</v>
      </c>
      <c r="K496" s="111" t="b">
        <f t="shared" si="2"/>
        <v>1</v>
      </c>
      <c r="L496" s="90"/>
      <c r="M496" s="111" t="s">
        <v>255</v>
      </c>
    </row>
    <row r="497" hidden="1">
      <c r="A497" s="105" t="s">
        <v>104</v>
      </c>
      <c r="B497" s="105" t="s">
        <v>290</v>
      </c>
      <c r="C497" s="106">
        <v>10.0</v>
      </c>
      <c r="D497" s="105"/>
      <c r="E497" s="105" t="s">
        <v>256</v>
      </c>
      <c r="F497" s="105" t="s">
        <v>573</v>
      </c>
      <c r="G497" s="113">
        <v>45959.0</v>
      </c>
      <c r="H497" s="114">
        <v>0.125</v>
      </c>
      <c r="I497" s="109">
        <f t="shared" si="1"/>
        <v>3</v>
      </c>
      <c r="J497" s="111" t="b">
        <v>1</v>
      </c>
      <c r="K497" s="111" t="b">
        <f t="shared" si="2"/>
        <v>1</v>
      </c>
      <c r="L497" s="90"/>
      <c r="M497" s="111" t="s">
        <v>255</v>
      </c>
    </row>
    <row r="498" hidden="1">
      <c r="A498" s="105" t="s">
        <v>267</v>
      </c>
      <c r="B498" s="105" t="s">
        <v>290</v>
      </c>
      <c r="C498" s="106">
        <v>11.0</v>
      </c>
      <c r="D498" s="105"/>
      <c r="E498" s="105" t="s">
        <v>256</v>
      </c>
      <c r="F498" s="105" t="s">
        <v>574</v>
      </c>
      <c r="G498" s="113">
        <v>45965.0</v>
      </c>
      <c r="H498" s="114">
        <v>0.08333333333333333</v>
      </c>
      <c r="I498" s="109">
        <f t="shared" si="1"/>
        <v>2</v>
      </c>
      <c r="J498" s="111" t="b">
        <v>0</v>
      </c>
      <c r="K498" s="111" t="b">
        <f t="shared" si="2"/>
        <v>1</v>
      </c>
      <c r="L498" s="90"/>
      <c r="M498" s="111" t="s">
        <v>255</v>
      </c>
    </row>
    <row r="499" hidden="1">
      <c r="A499" s="105" t="s">
        <v>215</v>
      </c>
      <c r="B499" s="105" t="s">
        <v>290</v>
      </c>
      <c r="C499" s="106">
        <v>11.0</v>
      </c>
      <c r="D499" s="105"/>
      <c r="E499" s="105" t="s">
        <v>256</v>
      </c>
      <c r="F499" s="105" t="s">
        <v>575</v>
      </c>
      <c r="G499" s="113">
        <v>45978.0</v>
      </c>
      <c r="H499" s="114">
        <v>0.08333333333333333</v>
      </c>
      <c r="I499" s="109">
        <f t="shared" si="1"/>
        <v>2</v>
      </c>
      <c r="J499" s="111" t="b">
        <v>1</v>
      </c>
      <c r="K499" s="111" t="b">
        <f t="shared" si="2"/>
        <v>1</v>
      </c>
      <c r="L499" s="90"/>
      <c r="M499" s="111" t="s">
        <v>255</v>
      </c>
    </row>
    <row r="500" hidden="1">
      <c r="A500" s="105" t="s">
        <v>104</v>
      </c>
      <c r="B500" s="105" t="s">
        <v>290</v>
      </c>
      <c r="C500" s="106">
        <v>11.0</v>
      </c>
      <c r="D500" s="105"/>
      <c r="E500" s="105" t="s">
        <v>256</v>
      </c>
      <c r="F500" s="105" t="s">
        <v>576</v>
      </c>
      <c r="G500" s="113">
        <v>45985.0</v>
      </c>
      <c r="H500" s="114">
        <v>0.041666666666666664</v>
      </c>
      <c r="I500" s="109">
        <f t="shared" si="1"/>
        <v>1</v>
      </c>
      <c r="J500" s="111" t="b">
        <v>1</v>
      </c>
      <c r="K500" s="111" t="b">
        <f t="shared" si="2"/>
        <v>1</v>
      </c>
      <c r="L500" s="90"/>
      <c r="M500" s="111" t="s">
        <v>255</v>
      </c>
    </row>
    <row r="501" hidden="1">
      <c r="A501" s="105" t="s">
        <v>209</v>
      </c>
      <c r="B501" s="105" t="s">
        <v>290</v>
      </c>
      <c r="C501" s="106">
        <v>11.0</v>
      </c>
      <c r="D501" s="105"/>
      <c r="E501" s="105" t="s">
        <v>256</v>
      </c>
      <c r="F501" s="105" t="s">
        <v>577</v>
      </c>
      <c r="G501" s="113">
        <v>45982.0</v>
      </c>
      <c r="H501" s="114">
        <v>0.16666666666666666</v>
      </c>
      <c r="I501" s="109">
        <f t="shared" si="1"/>
        <v>4</v>
      </c>
      <c r="J501" s="111" t="b">
        <v>1</v>
      </c>
      <c r="K501" s="111" t="b">
        <f t="shared" si="2"/>
        <v>1</v>
      </c>
      <c r="L501" s="90"/>
      <c r="M501" s="111" t="s">
        <v>255</v>
      </c>
    </row>
    <row r="502" hidden="1">
      <c r="A502" s="105" t="s">
        <v>209</v>
      </c>
      <c r="B502" s="105" t="s">
        <v>290</v>
      </c>
      <c r="C502" s="106">
        <v>11.0</v>
      </c>
      <c r="D502" s="105"/>
      <c r="E502" s="105" t="s">
        <v>256</v>
      </c>
      <c r="F502" s="105" t="s">
        <v>578</v>
      </c>
      <c r="G502" s="113">
        <v>45967.0</v>
      </c>
      <c r="H502" s="114">
        <v>0.125</v>
      </c>
      <c r="I502" s="109">
        <f t="shared" si="1"/>
        <v>3</v>
      </c>
      <c r="J502" s="111" t="b">
        <v>1</v>
      </c>
      <c r="K502" s="111" t="b">
        <f t="shared" si="2"/>
        <v>1</v>
      </c>
      <c r="L502" s="90"/>
      <c r="M502" s="111" t="s">
        <v>255</v>
      </c>
    </row>
    <row r="503" hidden="1">
      <c r="A503" s="105" t="s">
        <v>267</v>
      </c>
      <c r="B503" s="105" t="s">
        <v>290</v>
      </c>
      <c r="C503" s="106">
        <v>11.0</v>
      </c>
      <c r="D503" s="105"/>
      <c r="E503" s="105" t="s">
        <v>256</v>
      </c>
      <c r="F503" s="105" t="s">
        <v>579</v>
      </c>
      <c r="G503" s="107">
        <v>45987.0</v>
      </c>
      <c r="H503" s="114">
        <v>0.20833333333333334</v>
      </c>
      <c r="I503" s="109">
        <f t="shared" si="1"/>
        <v>5</v>
      </c>
      <c r="J503" s="111" t="b">
        <v>0</v>
      </c>
      <c r="K503" s="111" t="b">
        <f t="shared" si="2"/>
        <v>1</v>
      </c>
      <c r="L503" s="116"/>
      <c r="M503" s="111" t="s">
        <v>255</v>
      </c>
    </row>
    <row r="504" hidden="1">
      <c r="A504" s="105" t="s">
        <v>104</v>
      </c>
      <c r="B504" s="105" t="s">
        <v>290</v>
      </c>
      <c r="C504" s="106">
        <v>11.0</v>
      </c>
      <c r="D504" s="105"/>
      <c r="E504" s="105" t="s">
        <v>256</v>
      </c>
      <c r="F504" s="105" t="s">
        <v>580</v>
      </c>
      <c r="G504" s="107">
        <v>45988.0</v>
      </c>
      <c r="H504" s="114">
        <v>0.020833333333333332</v>
      </c>
      <c r="I504" s="109">
        <f t="shared" si="1"/>
        <v>0.5</v>
      </c>
      <c r="J504" s="111" t="b">
        <v>1</v>
      </c>
      <c r="K504" s="111" t="b">
        <f t="shared" si="2"/>
        <v>1</v>
      </c>
      <c r="L504" s="116"/>
      <c r="M504" s="111" t="s">
        <v>255</v>
      </c>
    </row>
    <row r="505" hidden="1">
      <c r="A505" s="105" t="s">
        <v>267</v>
      </c>
      <c r="B505" s="105" t="s">
        <v>290</v>
      </c>
      <c r="C505" s="106">
        <v>11.0</v>
      </c>
      <c r="D505" s="105"/>
      <c r="E505" s="105" t="s">
        <v>256</v>
      </c>
      <c r="F505" s="105" t="s">
        <v>581</v>
      </c>
      <c r="G505" s="107">
        <v>45987.0</v>
      </c>
      <c r="H505" s="114">
        <v>0.041666666666666664</v>
      </c>
      <c r="I505" s="109">
        <f t="shared" si="1"/>
        <v>1</v>
      </c>
      <c r="J505" s="111" t="b">
        <v>0</v>
      </c>
      <c r="K505" s="111" t="b">
        <f t="shared" si="2"/>
        <v>1</v>
      </c>
      <c r="L505" s="116"/>
      <c r="M505" s="111" t="s">
        <v>255</v>
      </c>
    </row>
    <row r="506" hidden="1">
      <c r="A506" s="105" t="s">
        <v>104</v>
      </c>
      <c r="B506" s="105" t="s">
        <v>290</v>
      </c>
      <c r="C506" s="106">
        <v>12.0</v>
      </c>
      <c r="D506" s="105"/>
      <c r="E506" s="105" t="s">
        <v>256</v>
      </c>
      <c r="F506" s="105" t="s">
        <v>582</v>
      </c>
      <c r="G506" s="107">
        <v>45995.0</v>
      </c>
      <c r="H506" s="114">
        <v>0.020833333333333332</v>
      </c>
      <c r="I506" s="109">
        <f t="shared" si="1"/>
        <v>0.5</v>
      </c>
      <c r="J506" s="111" t="b">
        <v>1</v>
      </c>
      <c r="K506" s="111" t="b">
        <f t="shared" si="2"/>
        <v>1</v>
      </c>
      <c r="L506" s="116"/>
      <c r="M506" s="111" t="s">
        <v>255</v>
      </c>
    </row>
    <row r="507" hidden="1">
      <c r="A507" s="105" t="s">
        <v>267</v>
      </c>
      <c r="B507" s="105" t="s">
        <v>290</v>
      </c>
      <c r="C507" s="106">
        <v>12.0</v>
      </c>
      <c r="D507" s="105"/>
      <c r="E507" s="105" t="s">
        <v>256</v>
      </c>
      <c r="F507" s="105" t="s">
        <v>583</v>
      </c>
      <c r="G507" s="107">
        <v>46001.0</v>
      </c>
      <c r="H507" s="114">
        <v>0.125</v>
      </c>
      <c r="I507" s="109">
        <f t="shared" si="1"/>
        <v>3</v>
      </c>
      <c r="J507" s="111" t="b">
        <v>0</v>
      </c>
      <c r="K507" s="111" t="b">
        <f t="shared" si="2"/>
        <v>1</v>
      </c>
      <c r="L507" s="116"/>
      <c r="M507" s="111" t="s">
        <v>255</v>
      </c>
    </row>
    <row r="508" hidden="1">
      <c r="A508" s="105" t="s">
        <v>267</v>
      </c>
      <c r="B508" s="105" t="s">
        <v>290</v>
      </c>
      <c r="C508" s="106">
        <v>12.0</v>
      </c>
      <c r="D508" s="105"/>
      <c r="E508" s="105" t="s">
        <v>256</v>
      </c>
      <c r="F508" s="105" t="s">
        <v>584</v>
      </c>
      <c r="G508" s="107">
        <v>46001.0</v>
      </c>
      <c r="H508" s="114">
        <v>0.041666666666666664</v>
      </c>
      <c r="I508" s="109">
        <f t="shared" si="1"/>
        <v>1</v>
      </c>
      <c r="J508" s="111" t="b">
        <v>0</v>
      </c>
      <c r="K508" s="111" t="b">
        <f t="shared" si="2"/>
        <v>1</v>
      </c>
      <c r="L508" s="116"/>
      <c r="M508" s="111" t="s">
        <v>255</v>
      </c>
    </row>
    <row r="509" hidden="1">
      <c r="A509" s="105" t="s">
        <v>267</v>
      </c>
      <c r="B509" s="105" t="s">
        <v>290</v>
      </c>
      <c r="C509" s="106">
        <v>12.0</v>
      </c>
      <c r="D509" s="105"/>
      <c r="E509" s="105" t="s">
        <v>256</v>
      </c>
      <c r="F509" s="105" t="s">
        <v>585</v>
      </c>
      <c r="G509" s="107">
        <v>46008.0</v>
      </c>
      <c r="H509" s="114">
        <v>0.041666666666666664</v>
      </c>
      <c r="I509" s="109">
        <f t="shared" si="1"/>
        <v>1</v>
      </c>
      <c r="J509" s="111" t="b">
        <v>0</v>
      </c>
      <c r="K509" s="111" t="b">
        <f t="shared" si="2"/>
        <v>1</v>
      </c>
      <c r="L509" s="116"/>
      <c r="M509" s="111" t="s">
        <v>255</v>
      </c>
    </row>
    <row r="510" hidden="1">
      <c r="A510" s="105" t="s">
        <v>267</v>
      </c>
      <c r="B510" s="105" t="s">
        <v>290</v>
      </c>
      <c r="C510" s="106">
        <v>12.0</v>
      </c>
      <c r="D510" s="105"/>
      <c r="E510" s="105" t="s">
        <v>256</v>
      </c>
      <c r="F510" s="105" t="s">
        <v>586</v>
      </c>
      <c r="G510" s="107">
        <v>46007.0</v>
      </c>
      <c r="H510" s="114">
        <v>0.041666666666666664</v>
      </c>
      <c r="I510" s="109">
        <f t="shared" si="1"/>
        <v>1</v>
      </c>
      <c r="J510" s="111" t="b">
        <v>0</v>
      </c>
      <c r="K510" s="111" t="b">
        <f t="shared" si="2"/>
        <v>1</v>
      </c>
      <c r="L510" s="116"/>
      <c r="M510" s="111" t="s">
        <v>255</v>
      </c>
    </row>
    <row r="511" hidden="1">
      <c r="A511" s="105" t="s">
        <v>267</v>
      </c>
      <c r="B511" s="105" t="s">
        <v>290</v>
      </c>
      <c r="C511" s="106">
        <v>12.0</v>
      </c>
      <c r="D511" s="105"/>
      <c r="E511" s="105" t="s">
        <v>256</v>
      </c>
      <c r="F511" s="105" t="s">
        <v>587</v>
      </c>
      <c r="G511" s="107">
        <v>46008.0</v>
      </c>
      <c r="H511" s="114">
        <v>0.020833333333333332</v>
      </c>
      <c r="I511" s="109">
        <f t="shared" si="1"/>
        <v>0.5</v>
      </c>
      <c r="J511" s="111" t="b">
        <v>0</v>
      </c>
      <c r="K511" s="111" t="b">
        <f t="shared" si="2"/>
        <v>1</v>
      </c>
      <c r="L511" s="116"/>
      <c r="M511" s="111" t="s">
        <v>255</v>
      </c>
    </row>
    <row r="512" hidden="1">
      <c r="A512" s="105" t="s">
        <v>104</v>
      </c>
      <c r="B512" s="105" t="s">
        <v>290</v>
      </c>
      <c r="C512" s="106">
        <v>12.0</v>
      </c>
      <c r="D512" s="105"/>
      <c r="E512" s="105" t="s">
        <v>256</v>
      </c>
      <c r="F512" s="105" t="s">
        <v>588</v>
      </c>
      <c r="G512" s="107">
        <v>46013.0</v>
      </c>
      <c r="H512" s="114">
        <v>0.041666666666666664</v>
      </c>
      <c r="I512" s="109">
        <f t="shared" si="1"/>
        <v>1</v>
      </c>
      <c r="J512" s="111" t="b">
        <v>1</v>
      </c>
      <c r="K512" s="111" t="b">
        <f t="shared" si="2"/>
        <v>1</v>
      </c>
      <c r="L512" s="116"/>
      <c r="M512" s="111" t="s">
        <v>255</v>
      </c>
    </row>
    <row r="513" hidden="1">
      <c r="A513" s="105" t="s">
        <v>267</v>
      </c>
      <c r="B513" s="105" t="s">
        <v>290</v>
      </c>
      <c r="C513" s="106">
        <v>12.0</v>
      </c>
      <c r="D513" s="105"/>
      <c r="E513" s="105" t="s">
        <v>256</v>
      </c>
      <c r="F513" s="105" t="s">
        <v>589</v>
      </c>
      <c r="G513" s="107">
        <v>46014.0</v>
      </c>
      <c r="H513" s="114">
        <v>0.041666666666666664</v>
      </c>
      <c r="I513" s="109">
        <f t="shared" si="1"/>
        <v>1</v>
      </c>
      <c r="J513" s="111" t="b">
        <v>0</v>
      </c>
      <c r="K513" s="111" t="b">
        <f t="shared" si="2"/>
        <v>1</v>
      </c>
      <c r="L513" s="116"/>
      <c r="M513" s="111" t="s">
        <v>255</v>
      </c>
    </row>
    <row r="514" hidden="1">
      <c r="A514" s="105" t="s">
        <v>215</v>
      </c>
      <c r="B514" s="105" t="s">
        <v>290</v>
      </c>
      <c r="C514" s="106">
        <v>12.0</v>
      </c>
      <c r="D514" s="105"/>
      <c r="E514" s="105" t="s">
        <v>256</v>
      </c>
      <c r="F514" s="105" t="s">
        <v>590</v>
      </c>
      <c r="G514" s="107">
        <v>46009.0</v>
      </c>
      <c r="H514" s="114">
        <v>0.020833333333333332</v>
      </c>
      <c r="I514" s="109">
        <f t="shared" si="1"/>
        <v>0.5</v>
      </c>
      <c r="J514" s="111" t="b">
        <v>1</v>
      </c>
      <c r="K514" s="111" t="b">
        <f t="shared" si="2"/>
        <v>1</v>
      </c>
      <c r="L514" s="116"/>
      <c r="M514" s="111" t="s">
        <v>255</v>
      </c>
    </row>
    <row r="515" hidden="1">
      <c r="A515" s="105" t="s">
        <v>267</v>
      </c>
      <c r="B515" s="105" t="s">
        <v>290</v>
      </c>
      <c r="C515" s="106">
        <v>12.0</v>
      </c>
      <c r="D515" s="105"/>
      <c r="E515" s="105" t="s">
        <v>256</v>
      </c>
      <c r="F515" s="105" t="s">
        <v>591</v>
      </c>
      <c r="G515" s="107">
        <v>46021.0</v>
      </c>
      <c r="H515" s="114">
        <v>0.020833333333333332</v>
      </c>
      <c r="I515" s="109">
        <f t="shared" si="1"/>
        <v>0.5</v>
      </c>
      <c r="J515" s="111" t="b">
        <v>0</v>
      </c>
      <c r="K515" s="111" t="b">
        <f t="shared" si="2"/>
        <v>1</v>
      </c>
      <c r="L515" s="116"/>
      <c r="M515" s="111" t="s">
        <v>255</v>
      </c>
    </row>
    <row r="516" hidden="1">
      <c r="A516" s="105" t="s">
        <v>267</v>
      </c>
      <c r="B516" s="105" t="s">
        <v>406</v>
      </c>
      <c r="C516" s="106">
        <v>10.0</v>
      </c>
      <c r="D516" s="105"/>
      <c r="E516" s="105" t="s">
        <v>256</v>
      </c>
      <c r="F516" s="105" t="s">
        <v>507</v>
      </c>
      <c r="G516" s="107">
        <v>45931.0</v>
      </c>
      <c r="H516" s="114">
        <v>0.041666666666666664</v>
      </c>
      <c r="I516" s="109">
        <f t="shared" si="1"/>
        <v>1</v>
      </c>
      <c r="J516" s="111" t="b">
        <v>0</v>
      </c>
      <c r="K516" s="111" t="b">
        <f t="shared" si="2"/>
        <v>1</v>
      </c>
      <c r="L516" s="116"/>
      <c r="M516" s="111" t="s">
        <v>255</v>
      </c>
    </row>
    <row r="517" hidden="1">
      <c r="A517" s="105" t="s">
        <v>267</v>
      </c>
      <c r="B517" s="105" t="s">
        <v>406</v>
      </c>
      <c r="C517" s="106">
        <v>10.0</v>
      </c>
      <c r="D517" s="105"/>
      <c r="E517" s="105" t="s">
        <v>256</v>
      </c>
      <c r="F517" s="105" t="s">
        <v>507</v>
      </c>
      <c r="G517" s="107">
        <v>45932.0</v>
      </c>
      <c r="H517" s="114">
        <v>0.041666666666666664</v>
      </c>
      <c r="I517" s="109">
        <f t="shared" si="1"/>
        <v>1</v>
      </c>
      <c r="J517" s="111" t="b">
        <v>0</v>
      </c>
      <c r="K517" s="111" t="b">
        <f t="shared" si="2"/>
        <v>1</v>
      </c>
      <c r="L517" s="116"/>
      <c r="M517" s="111" t="s">
        <v>255</v>
      </c>
    </row>
    <row r="518" hidden="1">
      <c r="A518" s="105" t="s">
        <v>92</v>
      </c>
      <c r="B518" s="105" t="s">
        <v>406</v>
      </c>
      <c r="C518" s="106">
        <v>10.0</v>
      </c>
      <c r="D518" s="105"/>
      <c r="E518" s="105" t="s">
        <v>256</v>
      </c>
      <c r="F518" s="105" t="s">
        <v>497</v>
      </c>
      <c r="G518" s="107">
        <v>45933.0</v>
      </c>
      <c r="H518" s="114">
        <v>0.125</v>
      </c>
      <c r="I518" s="109">
        <f t="shared" si="1"/>
        <v>3</v>
      </c>
      <c r="J518" s="111" t="b">
        <v>1</v>
      </c>
      <c r="K518" s="111" t="b">
        <f t="shared" si="2"/>
        <v>1</v>
      </c>
      <c r="L518" s="116"/>
      <c r="M518" s="111" t="s">
        <v>255</v>
      </c>
    </row>
    <row r="519" hidden="1">
      <c r="A519" s="105" t="s">
        <v>92</v>
      </c>
      <c r="B519" s="105" t="s">
        <v>406</v>
      </c>
      <c r="C519" s="106">
        <v>10.0</v>
      </c>
      <c r="D519" s="105"/>
      <c r="E519" s="105" t="s">
        <v>256</v>
      </c>
      <c r="F519" s="105" t="s">
        <v>497</v>
      </c>
      <c r="G519" s="107">
        <v>45936.0</v>
      </c>
      <c r="H519" s="114">
        <v>0.125</v>
      </c>
      <c r="I519" s="109">
        <f t="shared" si="1"/>
        <v>3</v>
      </c>
      <c r="J519" s="111" t="b">
        <v>1</v>
      </c>
      <c r="K519" s="111" t="b">
        <f t="shared" si="2"/>
        <v>1</v>
      </c>
      <c r="L519" s="116"/>
      <c r="M519" s="111" t="s">
        <v>255</v>
      </c>
    </row>
    <row r="520" hidden="1">
      <c r="A520" s="105" t="s">
        <v>92</v>
      </c>
      <c r="B520" s="105" t="s">
        <v>406</v>
      </c>
      <c r="C520" s="106">
        <v>10.0</v>
      </c>
      <c r="D520" s="105"/>
      <c r="E520" s="105" t="s">
        <v>256</v>
      </c>
      <c r="F520" s="105" t="s">
        <v>497</v>
      </c>
      <c r="G520" s="107">
        <v>45937.0</v>
      </c>
      <c r="H520" s="114">
        <v>0.08333333333333333</v>
      </c>
      <c r="I520" s="109">
        <f t="shared" si="1"/>
        <v>2</v>
      </c>
      <c r="J520" s="111" t="b">
        <v>1</v>
      </c>
      <c r="K520" s="111" t="b">
        <f t="shared" si="2"/>
        <v>1</v>
      </c>
      <c r="L520" s="116"/>
      <c r="M520" s="111" t="s">
        <v>255</v>
      </c>
    </row>
    <row r="521" hidden="1">
      <c r="A521" s="105" t="s">
        <v>322</v>
      </c>
      <c r="B521" s="105" t="s">
        <v>406</v>
      </c>
      <c r="C521" s="106">
        <v>10.0</v>
      </c>
      <c r="D521" s="105"/>
      <c r="E521" s="105" t="s">
        <v>256</v>
      </c>
      <c r="F521" s="105" t="s">
        <v>497</v>
      </c>
      <c r="G521" s="107">
        <v>45938.0</v>
      </c>
      <c r="H521" s="114">
        <v>0.08333333333333333</v>
      </c>
      <c r="I521" s="109">
        <f t="shared" si="1"/>
        <v>2</v>
      </c>
      <c r="J521" s="111" t="b">
        <v>0</v>
      </c>
      <c r="K521" s="111" t="b">
        <f t="shared" si="2"/>
        <v>1</v>
      </c>
      <c r="L521" s="116"/>
      <c r="M521" s="111" t="s">
        <v>255</v>
      </c>
    </row>
    <row r="522" hidden="1">
      <c r="A522" s="105" t="s">
        <v>322</v>
      </c>
      <c r="B522" s="105" t="s">
        <v>406</v>
      </c>
      <c r="C522" s="106">
        <v>10.0</v>
      </c>
      <c r="D522" s="105"/>
      <c r="E522" s="105" t="s">
        <v>256</v>
      </c>
      <c r="F522" s="105" t="s">
        <v>497</v>
      </c>
      <c r="G522" s="107">
        <v>45939.0</v>
      </c>
      <c r="H522" s="114">
        <v>0.08333333333333333</v>
      </c>
      <c r="I522" s="109">
        <f t="shared" si="1"/>
        <v>2</v>
      </c>
      <c r="J522" s="111" t="b">
        <v>0</v>
      </c>
      <c r="K522" s="111" t="b">
        <f t="shared" si="2"/>
        <v>1</v>
      </c>
      <c r="L522" s="116"/>
      <c r="M522" s="111" t="s">
        <v>255</v>
      </c>
    </row>
    <row r="523" hidden="1">
      <c r="A523" s="105" t="s">
        <v>92</v>
      </c>
      <c r="B523" s="105" t="s">
        <v>406</v>
      </c>
      <c r="C523" s="106">
        <v>10.0</v>
      </c>
      <c r="D523" s="105"/>
      <c r="E523" s="105" t="s">
        <v>256</v>
      </c>
      <c r="F523" s="105" t="s">
        <v>497</v>
      </c>
      <c r="G523" s="107">
        <v>45940.0</v>
      </c>
      <c r="H523" s="114">
        <v>0.16666666666666666</v>
      </c>
      <c r="I523" s="109">
        <f t="shared" si="1"/>
        <v>4</v>
      </c>
      <c r="J523" s="111" t="b">
        <v>1</v>
      </c>
      <c r="K523" s="111" t="b">
        <f t="shared" si="2"/>
        <v>1</v>
      </c>
      <c r="L523" s="116"/>
      <c r="M523" s="111" t="s">
        <v>255</v>
      </c>
    </row>
    <row r="524" hidden="1">
      <c r="A524" s="105" t="s">
        <v>92</v>
      </c>
      <c r="B524" s="105" t="s">
        <v>406</v>
      </c>
      <c r="C524" s="106">
        <v>10.0</v>
      </c>
      <c r="D524" s="105"/>
      <c r="E524" s="105" t="s">
        <v>256</v>
      </c>
      <c r="F524" s="105" t="s">
        <v>497</v>
      </c>
      <c r="G524" s="107">
        <v>45943.0</v>
      </c>
      <c r="H524" s="114">
        <v>0.16666666666666666</v>
      </c>
      <c r="I524" s="109">
        <f t="shared" si="1"/>
        <v>4</v>
      </c>
      <c r="J524" s="111" t="b">
        <v>1</v>
      </c>
      <c r="K524" s="111" t="b">
        <f t="shared" si="2"/>
        <v>1</v>
      </c>
      <c r="L524" s="116"/>
      <c r="M524" s="111" t="s">
        <v>255</v>
      </c>
    </row>
    <row r="525" hidden="1">
      <c r="A525" s="105" t="s">
        <v>92</v>
      </c>
      <c r="B525" s="105" t="s">
        <v>406</v>
      </c>
      <c r="C525" s="106">
        <v>10.0</v>
      </c>
      <c r="D525" s="105"/>
      <c r="E525" s="105" t="s">
        <v>256</v>
      </c>
      <c r="F525" s="105" t="s">
        <v>497</v>
      </c>
      <c r="G525" s="107">
        <v>45944.0</v>
      </c>
      <c r="H525" s="114">
        <v>0.16666666666666666</v>
      </c>
      <c r="I525" s="109">
        <f t="shared" si="1"/>
        <v>4</v>
      </c>
      <c r="J525" s="111" t="b">
        <v>1</v>
      </c>
      <c r="K525" s="111" t="b">
        <f t="shared" si="2"/>
        <v>1</v>
      </c>
      <c r="L525" s="116"/>
      <c r="M525" s="111" t="s">
        <v>255</v>
      </c>
    </row>
    <row r="526" hidden="1">
      <c r="A526" s="105" t="s">
        <v>92</v>
      </c>
      <c r="B526" s="105" t="s">
        <v>406</v>
      </c>
      <c r="C526" s="106">
        <v>10.0</v>
      </c>
      <c r="D526" s="105"/>
      <c r="E526" s="105" t="s">
        <v>256</v>
      </c>
      <c r="F526" s="105" t="s">
        <v>497</v>
      </c>
      <c r="G526" s="107">
        <v>45945.0</v>
      </c>
      <c r="H526" s="114">
        <v>0.16666666666666666</v>
      </c>
      <c r="I526" s="109">
        <f t="shared" si="1"/>
        <v>4</v>
      </c>
      <c r="J526" s="111" t="b">
        <v>1</v>
      </c>
      <c r="K526" s="111" t="b">
        <f t="shared" si="2"/>
        <v>1</v>
      </c>
      <c r="L526" s="116"/>
      <c r="M526" s="111" t="s">
        <v>255</v>
      </c>
    </row>
    <row r="527" hidden="1">
      <c r="A527" s="105" t="s">
        <v>92</v>
      </c>
      <c r="B527" s="105" t="s">
        <v>406</v>
      </c>
      <c r="C527" s="106">
        <v>10.0</v>
      </c>
      <c r="D527" s="105"/>
      <c r="E527" s="105" t="s">
        <v>256</v>
      </c>
      <c r="F527" s="105" t="s">
        <v>497</v>
      </c>
      <c r="G527" s="107">
        <v>45946.0</v>
      </c>
      <c r="H527" s="114">
        <v>0.16666666666666666</v>
      </c>
      <c r="I527" s="109">
        <f t="shared" si="1"/>
        <v>4</v>
      </c>
      <c r="J527" s="111" t="b">
        <v>1</v>
      </c>
      <c r="K527" s="111" t="b">
        <f t="shared" si="2"/>
        <v>1</v>
      </c>
      <c r="L527" s="116"/>
      <c r="M527" s="111" t="s">
        <v>255</v>
      </c>
    </row>
    <row r="528" hidden="1">
      <c r="A528" s="105" t="s">
        <v>92</v>
      </c>
      <c r="B528" s="105" t="s">
        <v>406</v>
      </c>
      <c r="C528" s="106">
        <v>10.0</v>
      </c>
      <c r="D528" s="105"/>
      <c r="E528" s="105" t="s">
        <v>256</v>
      </c>
      <c r="F528" s="105" t="s">
        <v>497</v>
      </c>
      <c r="G528" s="107">
        <v>45947.0</v>
      </c>
      <c r="H528" s="114">
        <v>0.08333333333333333</v>
      </c>
      <c r="I528" s="109">
        <f t="shared" si="1"/>
        <v>2</v>
      </c>
      <c r="J528" s="111" t="b">
        <v>1</v>
      </c>
      <c r="K528" s="111" t="b">
        <f t="shared" si="2"/>
        <v>1</v>
      </c>
      <c r="L528" s="116"/>
      <c r="M528" s="111" t="s">
        <v>255</v>
      </c>
    </row>
    <row r="529" hidden="1">
      <c r="A529" s="105" t="s">
        <v>92</v>
      </c>
      <c r="B529" s="105" t="s">
        <v>406</v>
      </c>
      <c r="C529" s="106">
        <v>10.0</v>
      </c>
      <c r="D529" s="105"/>
      <c r="E529" s="105" t="s">
        <v>256</v>
      </c>
      <c r="F529" s="105" t="s">
        <v>497</v>
      </c>
      <c r="G529" s="107">
        <v>45950.0</v>
      </c>
      <c r="H529" s="114">
        <v>0.16666666666666666</v>
      </c>
      <c r="I529" s="109">
        <f t="shared" si="1"/>
        <v>4</v>
      </c>
      <c r="J529" s="111" t="b">
        <v>1</v>
      </c>
      <c r="K529" s="111" t="b">
        <f t="shared" si="2"/>
        <v>1</v>
      </c>
      <c r="L529" s="116"/>
      <c r="M529" s="111" t="s">
        <v>255</v>
      </c>
    </row>
    <row r="530" hidden="1">
      <c r="A530" s="105" t="s">
        <v>150</v>
      </c>
      <c r="B530" s="105" t="s">
        <v>406</v>
      </c>
      <c r="C530" s="106">
        <v>10.0</v>
      </c>
      <c r="D530" s="105"/>
      <c r="E530" s="105" t="s">
        <v>252</v>
      </c>
      <c r="F530" s="105" t="s">
        <v>510</v>
      </c>
      <c r="G530" s="107">
        <v>45952.0</v>
      </c>
      <c r="H530" s="114">
        <v>0.041666666666666664</v>
      </c>
      <c r="I530" s="109">
        <f t="shared" si="1"/>
        <v>1</v>
      </c>
      <c r="J530" s="111" t="b">
        <v>0</v>
      </c>
      <c r="K530" s="111" t="b">
        <f t="shared" si="2"/>
        <v>1</v>
      </c>
      <c r="L530" s="116"/>
      <c r="M530" s="111" t="s">
        <v>255</v>
      </c>
    </row>
    <row r="531" hidden="1">
      <c r="A531" s="105" t="s">
        <v>150</v>
      </c>
      <c r="B531" s="105" t="s">
        <v>406</v>
      </c>
      <c r="C531" s="106">
        <v>10.0</v>
      </c>
      <c r="D531" s="105"/>
      <c r="E531" s="105" t="s">
        <v>252</v>
      </c>
      <c r="F531" s="105" t="s">
        <v>510</v>
      </c>
      <c r="G531" s="107">
        <v>45958.0</v>
      </c>
      <c r="H531" s="114">
        <v>0.041666666666666664</v>
      </c>
      <c r="I531" s="109">
        <f t="shared" si="1"/>
        <v>1</v>
      </c>
      <c r="J531" s="111" t="b">
        <v>0</v>
      </c>
      <c r="K531" s="111" t="b">
        <f t="shared" si="2"/>
        <v>1</v>
      </c>
      <c r="L531" s="116"/>
      <c r="M531" s="111" t="s">
        <v>255</v>
      </c>
    </row>
    <row r="532" hidden="1">
      <c r="A532" s="105" t="s">
        <v>150</v>
      </c>
      <c r="B532" s="105" t="s">
        <v>406</v>
      </c>
      <c r="C532" s="106">
        <v>11.0</v>
      </c>
      <c r="D532" s="105"/>
      <c r="E532" s="105" t="s">
        <v>252</v>
      </c>
      <c r="F532" s="105" t="s">
        <v>510</v>
      </c>
      <c r="G532" s="107">
        <v>45964.0</v>
      </c>
      <c r="H532" s="114">
        <v>0.041666666666666664</v>
      </c>
      <c r="I532" s="109">
        <f t="shared" si="1"/>
        <v>1</v>
      </c>
      <c r="J532" s="111" t="b">
        <v>0</v>
      </c>
      <c r="K532" s="111" t="b">
        <f t="shared" si="2"/>
        <v>1</v>
      </c>
      <c r="L532" s="116"/>
      <c r="M532" s="111" t="s">
        <v>255</v>
      </c>
    </row>
    <row r="533" hidden="1">
      <c r="A533" s="105" t="s">
        <v>150</v>
      </c>
      <c r="B533" s="105" t="s">
        <v>406</v>
      </c>
      <c r="C533" s="106">
        <v>11.0</v>
      </c>
      <c r="D533" s="105"/>
      <c r="E533" s="105" t="s">
        <v>252</v>
      </c>
      <c r="F533" s="105" t="s">
        <v>510</v>
      </c>
      <c r="G533" s="107">
        <v>45965.0</v>
      </c>
      <c r="H533" s="114">
        <v>0.041666666666666664</v>
      </c>
      <c r="I533" s="109">
        <f t="shared" si="1"/>
        <v>1</v>
      </c>
      <c r="J533" s="111" t="b">
        <v>0</v>
      </c>
      <c r="K533" s="111" t="b">
        <f t="shared" si="2"/>
        <v>1</v>
      </c>
      <c r="L533" s="116"/>
      <c r="M533" s="111" t="s">
        <v>255</v>
      </c>
    </row>
    <row r="534" hidden="1">
      <c r="A534" s="105" t="s">
        <v>150</v>
      </c>
      <c r="B534" s="105" t="s">
        <v>406</v>
      </c>
      <c r="C534" s="106">
        <v>11.0</v>
      </c>
      <c r="D534" s="105"/>
      <c r="E534" s="105" t="s">
        <v>252</v>
      </c>
      <c r="F534" s="105" t="s">
        <v>510</v>
      </c>
      <c r="G534" s="107">
        <v>45971.0</v>
      </c>
      <c r="H534" s="114">
        <v>0.041666666666666664</v>
      </c>
      <c r="I534" s="109">
        <f t="shared" si="1"/>
        <v>1</v>
      </c>
      <c r="J534" s="111" t="b">
        <v>0</v>
      </c>
      <c r="K534" s="111" t="b">
        <f t="shared" si="2"/>
        <v>1</v>
      </c>
      <c r="L534" s="116"/>
      <c r="M534" s="111" t="s">
        <v>255</v>
      </c>
    </row>
    <row r="535" hidden="1">
      <c r="A535" s="105" t="s">
        <v>92</v>
      </c>
      <c r="B535" s="105" t="s">
        <v>406</v>
      </c>
      <c r="C535" s="106">
        <v>11.0</v>
      </c>
      <c r="D535" s="105"/>
      <c r="E535" s="105" t="s">
        <v>256</v>
      </c>
      <c r="F535" s="105" t="s">
        <v>497</v>
      </c>
      <c r="G535" s="107">
        <v>45971.0</v>
      </c>
      <c r="H535" s="114">
        <v>0.0625</v>
      </c>
      <c r="I535" s="109">
        <f t="shared" si="1"/>
        <v>1.5</v>
      </c>
      <c r="J535" s="111" t="b">
        <v>1</v>
      </c>
      <c r="K535" s="111" t="b">
        <f t="shared" si="2"/>
        <v>1</v>
      </c>
      <c r="L535" s="116"/>
      <c r="M535" s="111" t="s">
        <v>255</v>
      </c>
    </row>
    <row r="536" hidden="1">
      <c r="A536" s="105" t="s">
        <v>92</v>
      </c>
      <c r="B536" s="105" t="s">
        <v>406</v>
      </c>
      <c r="C536" s="106">
        <v>11.0</v>
      </c>
      <c r="D536" s="105"/>
      <c r="E536" s="105" t="s">
        <v>252</v>
      </c>
      <c r="F536" s="105" t="s">
        <v>510</v>
      </c>
      <c r="G536" s="107">
        <v>45972.0</v>
      </c>
      <c r="H536" s="114">
        <v>0.041666666666666664</v>
      </c>
      <c r="I536" s="109">
        <f t="shared" si="1"/>
        <v>1</v>
      </c>
      <c r="J536" s="111" t="b">
        <v>1</v>
      </c>
      <c r="K536" s="111" t="b">
        <f t="shared" si="2"/>
        <v>1</v>
      </c>
      <c r="L536" s="116"/>
      <c r="M536" s="111" t="s">
        <v>255</v>
      </c>
    </row>
    <row r="537" hidden="1">
      <c r="A537" s="105" t="s">
        <v>92</v>
      </c>
      <c r="B537" s="105" t="s">
        <v>406</v>
      </c>
      <c r="C537" s="106">
        <v>11.0</v>
      </c>
      <c r="D537" s="105"/>
      <c r="E537" s="105" t="s">
        <v>256</v>
      </c>
      <c r="F537" s="105" t="s">
        <v>497</v>
      </c>
      <c r="G537" s="107">
        <v>45973.0</v>
      </c>
      <c r="H537" s="114">
        <v>0.0</v>
      </c>
      <c r="I537" s="109">
        <f t="shared" si="1"/>
        <v>0</v>
      </c>
      <c r="J537" s="111" t="b">
        <v>1</v>
      </c>
      <c r="K537" s="111" t="b">
        <f t="shared" si="2"/>
        <v>1</v>
      </c>
      <c r="L537" s="116"/>
      <c r="M537" s="111" t="s">
        <v>255</v>
      </c>
    </row>
    <row r="538" hidden="1">
      <c r="A538" s="105" t="s">
        <v>150</v>
      </c>
      <c r="B538" s="105" t="s">
        <v>406</v>
      </c>
      <c r="C538" s="106">
        <v>11.0</v>
      </c>
      <c r="D538" s="105"/>
      <c r="E538" s="105" t="s">
        <v>252</v>
      </c>
      <c r="F538" s="105" t="s">
        <v>510</v>
      </c>
      <c r="G538" s="107">
        <v>45973.0</v>
      </c>
      <c r="H538" s="114">
        <v>0.16666666666666666</v>
      </c>
      <c r="I538" s="109">
        <f t="shared" si="1"/>
        <v>4</v>
      </c>
      <c r="J538" s="111" t="b">
        <v>0</v>
      </c>
      <c r="K538" s="111" t="b">
        <f t="shared" si="2"/>
        <v>1</v>
      </c>
      <c r="L538" s="116"/>
      <c r="M538" s="111" t="s">
        <v>255</v>
      </c>
    </row>
    <row r="539" hidden="1">
      <c r="A539" s="105" t="s">
        <v>92</v>
      </c>
      <c r="B539" s="105" t="s">
        <v>406</v>
      </c>
      <c r="C539" s="106">
        <v>11.0</v>
      </c>
      <c r="D539" s="105"/>
      <c r="E539" s="105" t="s">
        <v>256</v>
      </c>
      <c r="F539" s="105" t="s">
        <v>497</v>
      </c>
      <c r="G539" s="107">
        <v>45974.0</v>
      </c>
      <c r="H539" s="114">
        <v>0.041666666666666664</v>
      </c>
      <c r="I539" s="109">
        <f t="shared" si="1"/>
        <v>1</v>
      </c>
      <c r="J539" s="111" t="b">
        <v>1</v>
      </c>
      <c r="K539" s="111" t="b">
        <f t="shared" si="2"/>
        <v>1</v>
      </c>
      <c r="L539" s="116"/>
      <c r="M539" s="111" t="s">
        <v>255</v>
      </c>
    </row>
    <row r="540" hidden="1">
      <c r="A540" s="105" t="s">
        <v>92</v>
      </c>
      <c r="B540" s="105" t="s">
        <v>406</v>
      </c>
      <c r="C540" s="106">
        <v>11.0</v>
      </c>
      <c r="D540" s="105"/>
      <c r="E540" s="105" t="s">
        <v>256</v>
      </c>
      <c r="F540" s="105" t="s">
        <v>497</v>
      </c>
      <c r="G540" s="107">
        <v>45978.0</v>
      </c>
      <c r="H540" s="114">
        <v>0.16666666666666666</v>
      </c>
      <c r="I540" s="109">
        <f t="shared" si="1"/>
        <v>4</v>
      </c>
      <c r="J540" s="111" t="b">
        <v>1</v>
      </c>
      <c r="K540" s="111" t="b">
        <f t="shared" si="2"/>
        <v>1</v>
      </c>
      <c r="L540" s="116"/>
      <c r="M540" s="111" t="s">
        <v>255</v>
      </c>
    </row>
    <row r="541" hidden="1">
      <c r="A541" s="105" t="s">
        <v>150</v>
      </c>
      <c r="B541" s="105" t="s">
        <v>406</v>
      </c>
      <c r="C541" s="106">
        <v>11.0</v>
      </c>
      <c r="D541" s="105"/>
      <c r="E541" s="105" t="s">
        <v>252</v>
      </c>
      <c r="F541" s="105" t="s">
        <v>510</v>
      </c>
      <c r="G541" s="107">
        <v>45980.0</v>
      </c>
      <c r="H541" s="114">
        <v>0.041666666666666664</v>
      </c>
      <c r="I541" s="109">
        <f t="shared" si="1"/>
        <v>1</v>
      </c>
      <c r="J541" s="111" t="b">
        <v>0</v>
      </c>
      <c r="K541" s="111" t="b">
        <f t="shared" si="2"/>
        <v>1</v>
      </c>
      <c r="L541" s="116"/>
      <c r="M541" s="111" t="s">
        <v>255</v>
      </c>
    </row>
    <row r="542" hidden="1">
      <c r="A542" s="105" t="s">
        <v>92</v>
      </c>
      <c r="B542" s="105" t="s">
        <v>406</v>
      </c>
      <c r="C542" s="106">
        <v>11.0</v>
      </c>
      <c r="D542" s="105"/>
      <c r="E542" s="105" t="s">
        <v>256</v>
      </c>
      <c r="F542" s="105" t="s">
        <v>497</v>
      </c>
      <c r="G542" s="107">
        <v>45985.0</v>
      </c>
      <c r="H542" s="114">
        <v>0.125</v>
      </c>
      <c r="I542" s="109">
        <f t="shared" si="1"/>
        <v>3</v>
      </c>
      <c r="J542" s="111" t="b">
        <v>1</v>
      </c>
      <c r="K542" s="111" t="b">
        <f t="shared" si="2"/>
        <v>1</v>
      </c>
      <c r="L542" s="116"/>
      <c r="M542" s="111" t="s">
        <v>255</v>
      </c>
    </row>
    <row r="543" hidden="1">
      <c r="A543" s="105" t="s">
        <v>92</v>
      </c>
      <c r="B543" s="105" t="s">
        <v>406</v>
      </c>
      <c r="C543" s="106">
        <v>11.0</v>
      </c>
      <c r="D543" s="105"/>
      <c r="E543" s="105" t="s">
        <v>256</v>
      </c>
      <c r="F543" s="105" t="s">
        <v>497</v>
      </c>
      <c r="G543" s="107">
        <v>45986.0</v>
      </c>
      <c r="H543" s="114">
        <v>0.08333333333333333</v>
      </c>
      <c r="I543" s="109">
        <f t="shared" si="1"/>
        <v>2</v>
      </c>
      <c r="J543" s="111" t="b">
        <v>1</v>
      </c>
      <c r="K543" s="111" t="b">
        <f t="shared" si="2"/>
        <v>1</v>
      </c>
      <c r="L543" s="116"/>
      <c r="M543" s="111" t="s">
        <v>255</v>
      </c>
    </row>
    <row r="544" hidden="1">
      <c r="A544" s="105" t="s">
        <v>92</v>
      </c>
      <c r="B544" s="105" t="s">
        <v>406</v>
      </c>
      <c r="C544" s="106">
        <v>11.0</v>
      </c>
      <c r="D544" s="105"/>
      <c r="E544" s="105" t="s">
        <v>256</v>
      </c>
      <c r="F544" s="105" t="s">
        <v>497</v>
      </c>
      <c r="G544" s="107">
        <v>45987.0</v>
      </c>
      <c r="H544" s="114">
        <v>0.08333333333333333</v>
      </c>
      <c r="I544" s="109">
        <f t="shared" si="1"/>
        <v>2</v>
      </c>
      <c r="J544" s="111" t="b">
        <v>1</v>
      </c>
      <c r="K544" s="111" t="b">
        <f t="shared" si="2"/>
        <v>1</v>
      </c>
      <c r="L544" s="116"/>
      <c r="M544" s="111" t="s">
        <v>255</v>
      </c>
    </row>
    <row r="545" hidden="1">
      <c r="A545" s="105" t="s">
        <v>92</v>
      </c>
      <c r="B545" s="105" t="s">
        <v>406</v>
      </c>
      <c r="C545" s="106">
        <v>11.0</v>
      </c>
      <c r="D545" s="105"/>
      <c r="E545" s="105" t="s">
        <v>256</v>
      </c>
      <c r="F545" s="105" t="s">
        <v>497</v>
      </c>
      <c r="G545" s="107">
        <v>45988.0</v>
      </c>
      <c r="H545" s="114">
        <v>0.041666666666666664</v>
      </c>
      <c r="I545" s="109">
        <f t="shared" si="1"/>
        <v>1</v>
      </c>
      <c r="J545" s="111" t="b">
        <v>1</v>
      </c>
      <c r="K545" s="111" t="b">
        <f t="shared" si="2"/>
        <v>1</v>
      </c>
      <c r="L545" s="116"/>
      <c r="M545" s="111" t="s">
        <v>255</v>
      </c>
    </row>
    <row r="546" hidden="1">
      <c r="A546" s="105" t="s">
        <v>150</v>
      </c>
      <c r="B546" s="105" t="s">
        <v>406</v>
      </c>
      <c r="C546" s="106">
        <v>11.0</v>
      </c>
      <c r="D546" s="105"/>
      <c r="E546" s="105" t="s">
        <v>252</v>
      </c>
      <c r="F546" s="105" t="s">
        <v>510</v>
      </c>
      <c r="G546" s="107">
        <v>45989.0</v>
      </c>
      <c r="H546" s="114">
        <v>0.041666666666666664</v>
      </c>
      <c r="I546" s="109">
        <f t="shared" si="1"/>
        <v>1</v>
      </c>
      <c r="J546" s="111" t="b">
        <v>0</v>
      </c>
      <c r="K546" s="111" t="b">
        <f t="shared" si="2"/>
        <v>1</v>
      </c>
      <c r="L546" s="116"/>
      <c r="M546" s="111" t="s">
        <v>255</v>
      </c>
    </row>
    <row r="547" hidden="1">
      <c r="A547" s="105" t="s">
        <v>322</v>
      </c>
      <c r="B547" s="105" t="s">
        <v>406</v>
      </c>
      <c r="C547" s="106">
        <v>12.0</v>
      </c>
      <c r="D547" s="105"/>
      <c r="E547" s="105" t="s">
        <v>256</v>
      </c>
      <c r="F547" s="105" t="s">
        <v>507</v>
      </c>
      <c r="G547" s="107">
        <v>45993.0</v>
      </c>
      <c r="H547" s="114">
        <v>0.041666666666666664</v>
      </c>
      <c r="I547" s="109">
        <f t="shared" si="1"/>
        <v>1</v>
      </c>
      <c r="J547" s="111" t="b">
        <v>0</v>
      </c>
      <c r="K547" s="111" t="b">
        <f t="shared" si="2"/>
        <v>1</v>
      </c>
      <c r="L547" s="116"/>
      <c r="M547" s="111" t="s">
        <v>255</v>
      </c>
    </row>
    <row r="548" hidden="1">
      <c r="A548" s="105" t="s">
        <v>150</v>
      </c>
      <c r="B548" s="105" t="s">
        <v>406</v>
      </c>
      <c r="C548" s="106">
        <v>12.0</v>
      </c>
      <c r="D548" s="105"/>
      <c r="E548" s="105" t="s">
        <v>252</v>
      </c>
      <c r="F548" s="105" t="s">
        <v>510</v>
      </c>
      <c r="G548" s="107">
        <v>45993.0</v>
      </c>
      <c r="H548" s="114">
        <v>0.041666666666666664</v>
      </c>
      <c r="I548" s="109">
        <f t="shared" si="1"/>
        <v>1</v>
      </c>
      <c r="J548" s="111" t="b">
        <v>0</v>
      </c>
      <c r="K548" s="111" t="b">
        <f t="shared" si="2"/>
        <v>1</v>
      </c>
      <c r="L548" s="116"/>
      <c r="M548" s="111" t="s">
        <v>255</v>
      </c>
    </row>
    <row r="549" hidden="1">
      <c r="A549" s="105" t="s">
        <v>322</v>
      </c>
      <c r="B549" s="105" t="s">
        <v>406</v>
      </c>
      <c r="C549" s="106">
        <v>12.0</v>
      </c>
      <c r="D549" s="105"/>
      <c r="E549" s="105" t="s">
        <v>256</v>
      </c>
      <c r="F549" s="105" t="s">
        <v>507</v>
      </c>
      <c r="G549" s="107">
        <v>45995.0</v>
      </c>
      <c r="H549" s="114">
        <v>0.041666666666666664</v>
      </c>
      <c r="I549" s="109">
        <f t="shared" si="1"/>
        <v>1</v>
      </c>
      <c r="J549" s="111" t="b">
        <v>0</v>
      </c>
      <c r="K549" s="111" t="b">
        <f t="shared" si="2"/>
        <v>1</v>
      </c>
      <c r="L549" s="116"/>
      <c r="M549" s="111" t="s">
        <v>255</v>
      </c>
    </row>
    <row r="550" hidden="1">
      <c r="A550" s="105" t="s">
        <v>92</v>
      </c>
      <c r="B550" s="105" t="s">
        <v>406</v>
      </c>
      <c r="C550" s="106">
        <v>12.0</v>
      </c>
      <c r="D550" s="105"/>
      <c r="E550" s="105" t="s">
        <v>252</v>
      </c>
      <c r="F550" s="105" t="s">
        <v>500</v>
      </c>
      <c r="G550" s="107">
        <v>45996.0</v>
      </c>
      <c r="H550" s="114">
        <v>0.16666666666666666</v>
      </c>
      <c r="I550" s="109">
        <f t="shared" si="1"/>
        <v>4</v>
      </c>
      <c r="J550" s="111" t="b">
        <v>1</v>
      </c>
      <c r="K550" s="111" t="b">
        <f t="shared" si="2"/>
        <v>1</v>
      </c>
      <c r="L550" s="116"/>
      <c r="M550" s="111" t="s">
        <v>255</v>
      </c>
    </row>
    <row r="551" hidden="1">
      <c r="A551" s="105" t="s">
        <v>322</v>
      </c>
      <c r="B551" s="105" t="s">
        <v>406</v>
      </c>
      <c r="C551" s="106">
        <v>12.0</v>
      </c>
      <c r="D551" s="105"/>
      <c r="E551" s="105" t="s">
        <v>256</v>
      </c>
      <c r="F551" s="105" t="s">
        <v>497</v>
      </c>
      <c r="G551" s="107">
        <v>45996.0</v>
      </c>
      <c r="H551" s="114">
        <v>0.041666666666666664</v>
      </c>
      <c r="I551" s="109">
        <f t="shared" si="1"/>
        <v>1</v>
      </c>
      <c r="J551" s="111" t="b">
        <v>0</v>
      </c>
      <c r="K551" s="111" t="b">
        <f t="shared" si="2"/>
        <v>1</v>
      </c>
      <c r="L551" s="116"/>
      <c r="M551" s="111" t="s">
        <v>255</v>
      </c>
    </row>
    <row r="552" hidden="1">
      <c r="A552" s="105" t="s">
        <v>322</v>
      </c>
      <c r="B552" s="105" t="s">
        <v>406</v>
      </c>
      <c r="C552" s="106">
        <v>12.0</v>
      </c>
      <c r="D552" s="105"/>
      <c r="E552" s="105" t="s">
        <v>256</v>
      </c>
      <c r="F552" s="105" t="s">
        <v>497</v>
      </c>
      <c r="G552" s="107">
        <v>45999.0</v>
      </c>
      <c r="H552" s="114">
        <v>0.041666666666666664</v>
      </c>
      <c r="I552" s="109">
        <f t="shared" si="1"/>
        <v>1</v>
      </c>
      <c r="J552" s="111" t="b">
        <v>0</v>
      </c>
      <c r="K552" s="111" t="b">
        <f t="shared" si="2"/>
        <v>1</v>
      </c>
      <c r="L552" s="116"/>
      <c r="M552" s="111" t="s">
        <v>255</v>
      </c>
    </row>
    <row r="553" hidden="1">
      <c r="A553" s="105" t="s">
        <v>150</v>
      </c>
      <c r="B553" s="105" t="s">
        <v>406</v>
      </c>
      <c r="C553" s="106">
        <v>12.0</v>
      </c>
      <c r="D553" s="105"/>
      <c r="E553" s="105" t="s">
        <v>252</v>
      </c>
      <c r="F553" s="105" t="s">
        <v>510</v>
      </c>
      <c r="G553" s="107">
        <v>46000.0</v>
      </c>
      <c r="H553" s="114">
        <v>0.041666666666666664</v>
      </c>
      <c r="I553" s="109">
        <f t="shared" si="1"/>
        <v>1</v>
      </c>
      <c r="J553" s="111" t="b">
        <v>0</v>
      </c>
      <c r="K553" s="111" t="b">
        <f t="shared" si="2"/>
        <v>1</v>
      </c>
      <c r="L553" s="116"/>
      <c r="M553" s="111" t="s">
        <v>255</v>
      </c>
    </row>
    <row r="554" hidden="1">
      <c r="A554" s="105" t="s">
        <v>322</v>
      </c>
      <c r="B554" s="105" t="s">
        <v>406</v>
      </c>
      <c r="C554" s="106">
        <v>12.0</v>
      </c>
      <c r="D554" s="105"/>
      <c r="E554" s="105" t="s">
        <v>256</v>
      </c>
      <c r="F554" s="105" t="s">
        <v>507</v>
      </c>
      <c r="G554" s="107">
        <v>46001.0</v>
      </c>
      <c r="H554" s="114">
        <v>0.1875</v>
      </c>
      <c r="I554" s="109">
        <f t="shared" si="1"/>
        <v>4.5</v>
      </c>
      <c r="J554" s="111" t="b">
        <v>0</v>
      </c>
      <c r="K554" s="111" t="b">
        <f t="shared" si="2"/>
        <v>1</v>
      </c>
      <c r="L554" s="116"/>
      <c r="M554" s="111" t="s">
        <v>255</v>
      </c>
    </row>
    <row r="555" hidden="1">
      <c r="A555" s="105" t="s">
        <v>150</v>
      </c>
      <c r="B555" s="105" t="s">
        <v>406</v>
      </c>
      <c r="C555" s="106">
        <v>12.0</v>
      </c>
      <c r="D555" s="105"/>
      <c r="E555" s="105" t="s">
        <v>252</v>
      </c>
      <c r="F555" s="105" t="s">
        <v>510</v>
      </c>
      <c r="G555" s="107">
        <v>46002.0</v>
      </c>
      <c r="H555" s="114">
        <v>0.041666666666666664</v>
      </c>
      <c r="I555" s="109">
        <f t="shared" si="1"/>
        <v>1</v>
      </c>
      <c r="J555" s="111" t="b">
        <v>0</v>
      </c>
      <c r="K555" s="111" t="b">
        <f t="shared" si="2"/>
        <v>1</v>
      </c>
      <c r="L555" s="116"/>
      <c r="M555" s="111" t="s">
        <v>255</v>
      </c>
    </row>
    <row r="556" hidden="1">
      <c r="A556" s="105" t="s">
        <v>150</v>
      </c>
      <c r="B556" s="105" t="s">
        <v>406</v>
      </c>
      <c r="C556" s="106">
        <v>12.0</v>
      </c>
      <c r="D556" s="105"/>
      <c r="E556" s="105" t="s">
        <v>252</v>
      </c>
      <c r="F556" s="105" t="s">
        <v>510</v>
      </c>
      <c r="G556" s="107">
        <v>46007.0</v>
      </c>
      <c r="H556" s="114">
        <v>0.041666666666666664</v>
      </c>
      <c r="I556" s="109">
        <f t="shared" si="1"/>
        <v>1</v>
      </c>
      <c r="J556" s="111" t="b">
        <v>0</v>
      </c>
      <c r="K556" s="111" t="b">
        <f t="shared" si="2"/>
        <v>1</v>
      </c>
      <c r="L556" s="116"/>
      <c r="M556" s="111" t="s">
        <v>255</v>
      </c>
    </row>
    <row r="557" hidden="1">
      <c r="A557" s="105" t="s">
        <v>322</v>
      </c>
      <c r="B557" s="105" t="s">
        <v>406</v>
      </c>
      <c r="C557" s="106">
        <v>12.0</v>
      </c>
      <c r="D557" s="105"/>
      <c r="E557" s="105" t="s">
        <v>256</v>
      </c>
      <c r="F557" s="105" t="s">
        <v>507</v>
      </c>
      <c r="G557" s="107">
        <v>46008.0</v>
      </c>
      <c r="H557" s="114">
        <v>0.08333333333333333</v>
      </c>
      <c r="I557" s="109">
        <f t="shared" si="1"/>
        <v>2</v>
      </c>
      <c r="J557" s="111" t="b">
        <v>0</v>
      </c>
      <c r="K557" s="111" t="b">
        <f t="shared" si="2"/>
        <v>1</v>
      </c>
      <c r="L557" s="116"/>
      <c r="M557" s="111" t="s">
        <v>255</v>
      </c>
    </row>
    <row r="558" hidden="1">
      <c r="A558" s="105" t="s">
        <v>150</v>
      </c>
      <c r="B558" s="105" t="s">
        <v>406</v>
      </c>
      <c r="C558" s="106">
        <v>12.0</v>
      </c>
      <c r="D558" s="105"/>
      <c r="E558" s="105" t="s">
        <v>252</v>
      </c>
      <c r="F558" s="105" t="s">
        <v>510</v>
      </c>
      <c r="G558" s="107">
        <v>46010.0</v>
      </c>
      <c r="H558" s="114">
        <v>0.041666666666666664</v>
      </c>
      <c r="I558" s="109">
        <f t="shared" si="1"/>
        <v>1</v>
      </c>
      <c r="J558" s="111" t="b">
        <v>0</v>
      </c>
      <c r="K558" s="111" t="b">
        <f t="shared" si="2"/>
        <v>1</v>
      </c>
      <c r="L558" s="116"/>
      <c r="M558" s="111" t="s">
        <v>255</v>
      </c>
    </row>
    <row r="559" hidden="1">
      <c r="A559" s="105" t="s">
        <v>150</v>
      </c>
      <c r="B559" s="105" t="s">
        <v>406</v>
      </c>
      <c r="C559" s="106">
        <v>12.0</v>
      </c>
      <c r="D559" s="105"/>
      <c r="E559" s="105" t="s">
        <v>252</v>
      </c>
      <c r="F559" s="105" t="s">
        <v>510</v>
      </c>
      <c r="G559" s="107">
        <v>46013.0</v>
      </c>
      <c r="H559" s="114">
        <v>0.041666666666666664</v>
      </c>
      <c r="I559" s="109">
        <f t="shared" si="1"/>
        <v>1</v>
      </c>
      <c r="J559" s="111" t="b">
        <v>0</v>
      </c>
      <c r="K559" s="111" t="b">
        <f t="shared" si="2"/>
        <v>1</v>
      </c>
      <c r="L559" s="116"/>
      <c r="M559" s="111" t="s">
        <v>255</v>
      </c>
    </row>
    <row r="560" hidden="1">
      <c r="A560" s="105" t="s">
        <v>92</v>
      </c>
      <c r="B560" s="105" t="s">
        <v>406</v>
      </c>
      <c r="C560" s="106">
        <v>12.0</v>
      </c>
      <c r="D560" s="105"/>
      <c r="E560" s="105" t="s">
        <v>252</v>
      </c>
      <c r="F560" s="105" t="s">
        <v>510</v>
      </c>
      <c r="G560" s="107">
        <v>46014.0</v>
      </c>
      <c r="H560" s="114">
        <v>0.125</v>
      </c>
      <c r="I560" s="109">
        <f t="shared" si="1"/>
        <v>3</v>
      </c>
      <c r="J560" s="111" t="b">
        <v>1</v>
      </c>
      <c r="K560" s="111" t="b">
        <f t="shared" si="2"/>
        <v>1</v>
      </c>
      <c r="L560" s="116"/>
      <c r="M560" s="111" t="s">
        <v>255</v>
      </c>
    </row>
    <row r="561" hidden="1">
      <c r="A561" s="105" t="s">
        <v>322</v>
      </c>
      <c r="B561" s="105" t="s">
        <v>406</v>
      </c>
      <c r="C561" s="106">
        <v>12.0</v>
      </c>
      <c r="D561" s="105"/>
      <c r="E561" s="105" t="s">
        <v>256</v>
      </c>
      <c r="F561" s="105" t="s">
        <v>507</v>
      </c>
      <c r="G561" s="107">
        <v>46020.0</v>
      </c>
      <c r="H561" s="114">
        <v>0.041666666666666664</v>
      </c>
      <c r="I561" s="109">
        <f t="shared" si="1"/>
        <v>1</v>
      </c>
      <c r="J561" s="111" t="b">
        <v>0</v>
      </c>
      <c r="K561" s="111" t="b">
        <f t="shared" si="2"/>
        <v>1</v>
      </c>
      <c r="L561" s="116"/>
      <c r="M561" s="111" t="s">
        <v>255</v>
      </c>
    </row>
    <row r="562" hidden="1">
      <c r="A562" s="105" t="s">
        <v>190</v>
      </c>
      <c r="B562" s="105" t="s">
        <v>426</v>
      </c>
      <c r="C562" s="106">
        <v>10.0</v>
      </c>
      <c r="D562" s="105"/>
      <c r="E562" s="105" t="s">
        <v>252</v>
      </c>
      <c r="F562" s="105" t="s">
        <v>592</v>
      </c>
      <c r="G562" s="107">
        <v>45931.0</v>
      </c>
      <c r="H562" s="114">
        <v>0.20833333333333334</v>
      </c>
      <c r="I562" s="109">
        <f t="shared" si="1"/>
        <v>5</v>
      </c>
      <c r="J562" s="111" t="b">
        <v>1</v>
      </c>
      <c r="K562" s="111" t="b">
        <f t="shared" si="2"/>
        <v>1</v>
      </c>
      <c r="L562" s="116"/>
      <c r="M562" s="111" t="s">
        <v>255</v>
      </c>
    </row>
    <row r="563" hidden="1">
      <c r="A563" s="105" t="s">
        <v>92</v>
      </c>
      <c r="B563" s="105" t="s">
        <v>426</v>
      </c>
      <c r="C563" s="106">
        <v>10.0</v>
      </c>
      <c r="D563" s="105"/>
      <c r="E563" s="105" t="s">
        <v>256</v>
      </c>
      <c r="F563" s="105" t="s">
        <v>593</v>
      </c>
      <c r="G563" s="107">
        <v>45932.0</v>
      </c>
      <c r="H563" s="114">
        <v>0.20833333333333334</v>
      </c>
      <c r="I563" s="109">
        <f t="shared" si="1"/>
        <v>5</v>
      </c>
      <c r="J563" s="111" t="b">
        <v>1</v>
      </c>
      <c r="K563" s="111" t="b">
        <f t="shared" si="2"/>
        <v>1</v>
      </c>
      <c r="L563" s="116"/>
      <c r="M563" s="111" t="s">
        <v>255</v>
      </c>
    </row>
    <row r="564" hidden="1">
      <c r="A564" s="105" t="s">
        <v>92</v>
      </c>
      <c r="B564" s="105" t="s">
        <v>426</v>
      </c>
      <c r="C564" s="106">
        <v>10.0</v>
      </c>
      <c r="D564" s="105"/>
      <c r="E564" s="105" t="s">
        <v>256</v>
      </c>
      <c r="F564" s="105" t="s">
        <v>593</v>
      </c>
      <c r="G564" s="107">
        <v>45933.0</v>
      </c>
      <c r="H564" s="114">
        <v>0.125</v>
      </c>
      <c r="I564" s="109">
        <f t="shared" si="1"/>
        <v>3</v>
      </c>
      <c r="J564" s="111" t="b">
        <v>1</v>
      </c>
      <c r="K564" s="111" t="b">
        <f t="shared" si="2"/>
        <v>1</v>
      </c>
      <c r="L564" s="116"/>
      <c r="M564" s="111" t="s">
        <v>255</v>
      </c>
    </row>
    <row r="565" hidden="1">
      <c r="A565" s="105" t="s">
        <v>92</v>
      </c>
      <c r="B565" s="105" t="s">
        <v>426</v>
      </c>
      <c r="C565" s="106">
        <v>10.0</v>
      </c>
      <c r="D565" s="105"/>
      <c r="E565" s="105" t="s">
        <v>256</v>
      </c>
      <c r="F565" s="105" t="s">
        <v>593</v>
      </c>
      <c r="G565" s="107">
        <v>45936.0</v>
      </c>
      <c r="H565" s="114">
        <v>0.125</v>
      </c>
      <c r="I565" s="109">
        <f t="shared" si="1"/>
        <v>3</v>
      </c>
      <c r="J565" s="111" t="b">
        <v>1</v>
      </c>
      <c r="K565" s="111" t="b">
        <f t="shared" si="2"/>
        <v>1</v>
      </c>
      <c r="L565" s="116"/>
      <c r="M565" s="111" t="s">
        <v>255</v>
      </c>
    </row>
    <row r="566" hidden="1">
      <c r="A566" s="105" t="s">
        <v>215</v>
      </c>
      <c r="B566" s="105" t="s">
        <v>426</v>
      </c>
      <c r="C566" s="106">
        <v>10.0</v>
      </c>
      <c r="D566" s="105"/>
      <c r="E566" s="105" t="s">
        <v>256</v>
      </c>
      <c r="F566" s="105" t="s">
        <v>594</v>
      </c>
      <c r="G566" s="107">
        <v>45937.0</v>
      </c>
      <c r="H566" s="114">
        <v>0.16666666666666666</v>
      </c>
      <c r="I566" s="109">
        <f t="shared" si="1"/>
        <v>4</v>
      </c>
      <c r="J566" s="111" t="b">
        <v>1</v>
      </c>
      <c r="K566" s="111" t="b">
        <f t="shared" si="2"/>
        <v>1</v>
      </c>
      <c r="L566" s="116"/>
      <c r="M566" s="111" t="s">
        <v>255</v>
      </c>
    </row>
    <row r="567" hidden="1">
      <c r="A567" s="105" t="s">
        <v>184</v>
      </c>
      <c r="B567" s="105" t="s">
        <v>426</v>
      </c>
      <c r="C567" s="106">
        <v>10.0</v>
      </c>
      <c r="D567" s="105"/>
      <c r="E567" s="105" t="s">
        <v>252</v>
      </c>
      <c r="F567" s="105" t="s">
        <v>595</v>
      </c>
      <c r="G567" s="107">
        <v>45938.0</v>
      </c>
      <c r="H567" s="114">
        <v>0.20833333333333334</v>
      </c>
      <c r="I567" s="109">
        <f t="shared" si="1"/>
        <v>5</v>
      </c>
      <c r="J567" s="111" t="b">
        <v>1</v>
      </c>
      <c r="K567" s="111" t="b">
        <f t="shared" si="2"/>
        <v>1</v>
      </c>
      <c r="L567" s="116"/>
      <c r="M567" s="111" t="s">
        <v>255</v>
      </c>
    </row>
    <row r="568" hidden="1">
      <c r="A568" s="105" t="s">
        <v>184</v>
      </c>
      <c r="B568" s="105" t="s">
        <v>426</v>
      </c>
      <c r="C568" s="106">
        <v>10.0</v>
      </c>
      <c r="D568" s="105"/>
      <c r="E568" s="105" t="s">
        <v>252</v>
      </c>
      <c r="F568" s="105" t="s">
        <v>595</v>
      </c>
      <c r="G568" s="107">
        <v>45939.0</v>
      </c>
      <c r="H568" s="114">
        <v>0.125</v>
      </c>
      <c r="I568" s="109">
        <f t="shared" si="1"/>
        <v>3</v>
      </c>
      <c r="J568" s="111" t="b">
        <v>1</v>
      </c>
      <c r="K568" s="111" t="b">
        <f t="shared" si="2"/>
        <v>1</v>
      </c>
      <c r="L568" s="116"/>
      <c r="M568" s="111" t="s">
        <v>255</v>
      </c>
    </row>
    <row r="569" hidden="1">
      <c r="A569" s="105" t="s">
        <v>92</v>
      </c>
      <c r="B569" s="105" t="s">
        <v>426</v>
      </c>
      <c r="C569" s="106">
        <v>10.0</v>
      </c>
      <c r="D569" s="105"/>
      <c r="E569" s="105" t="s">
        <v>256</v>
      </c>
      <c r="F569" s="105" t="s">
        <v>593</v>
      </c>
      <c r="G569" s="107">
        <v>45939.0</v>
      </c>
      <c r="H569" s="114">
        <v>0.16666666666666666</v>
      </c>
      <c r="I569" s="109">
        <f t="shared" si="1"/>
        <v>4</v>
      </c>
      <c r="J569" s="111" t="b">
        <v>1</v>
      </c>
      <c r="K569" s="111" t="b">
        <f t="shared" si="2"/>
        <v>1</v>
      </c>
      <c r="L569" s="116"/>
      <c r="M569" s="111" t="s">
        <v>255</v>
      </c>
    </row>
    <row r="570" hidden="1">
      <c r="A570" s="105" t="s">
        <v>124</v>
      </c>
      <c r="B570" s="105" t="s">
        <v>426</v>
      </c>
      <c r="C570" s="106">
        <v>10.0</v>
      </c>
      <c r="D570" s="105"/>
      <c r="E570" s="105" t="s">
        <v>256</v>
      </c>
      <c r="F570" s="105" t="s">
        <v>596</v>
      </c>
      <c r="G570" s="107">
        <v>45940.0</v>
      </c>
      <c r="H570" s="114">
        <v>0.08333333333333333</v>
      </c>
      <c r="I570" s="109">
        <f t="shared" si="1"/>
        <v>2</v>
      </c>
      <c r="J570" s="111" t="b">
        <v>1</v>
      </c>
      <c r="K570" s="111" t="b">
        <f t="shared" si="2"/>
        <v>1</v>
      </c>
      <c r="L570" s="116"/>
      <c r="M570" s="111" t="s">
        <v>255</v>
      </c>
    </row>
    <row r="571" hidden="1">
      <c r="A571" s="105" t="s">
        <v>92</v>
      </c>
      <c r="B571" s="105" t="s">
        <v>426</v>
      </c>
      <c r="C571" s="106">
        <v>10.0</v>
      </c>
      <c r="D571" s="105"/>
      <c r="E571" s="105" t="s">
        <v>256</v>
      </c>
      <c r="F571" s="105" t="s">
        <v>593</v>
      </c>
      <c r="G571" s="107">
        <v>45940.0</v>
      </c>
      <c r="H571" s="114">
        <v>0.125</v>
      </c>
      <c r="I571" s="109">
        <f t="shared" si="1"/>
        <v>3</v>
      </c>
      <c r="J571" s="111" t="b">
        <v>1</v>
      </c>
      <c r="K571" s="111" t="b">
        <f t="shared" si="2"/>
        <v>1</v>
      </c>
      <c r="L571" s="116"/>
      <c r="M571" s="111" t="s">
        <v>255</v>
      </c>
    </row>
    <row r="572" hidden="1">
      <c r="A572" s="105" t="s">
        <v>92</v>
      </c>
      <c r="B572" s="105" t="s">
        <v>426</v>
      </c>
      <c r="C572" s="106">
        <v>10.0</v>
      </c>
      <c r="D572" s="105"/>
      <c r="E572" s="105" t="s">
        <v>256</v>
      </c>
      <c r="F572" s="105" t="s">
        <v>593</v>
      </c>
      <c r="G572" s="107">
        <v>45943.0</v>
      </c>
      <c r="H572" s="114">
        <v>0.08333333333333333</v>
      </c>
      <c r="I572" s="109">
        <f t="shared" si="1"/>
        <v>2</v>
      </c>
      <c r="J572" s="111" t="b">
        <v>1</v>
      </c>
      <c r="K572" s="111" t="b">
        <f t="shared" si="2"/>
        <v>1</v>
      </c>
      <c r="L572" s="116"/>
      <c r="M572" s="111" t="s">
        <v>255</v>
      </c>
    </row>
    <row r="573" hidden="1">
      <c r="A573" s="105" t="s">
        <v>190</v>
      </c>
      <c r="B573" s="105" t="s">
        <v>426</v>
      </c>
      <c r="C573" s="106">
        <v>10.0</v>
      </c>
      <c r="D573" s="105"/>
      <c r="E573" s="105" t="s">
        <v>252</v>
      </c>
      <c r="F573" s="105" t="s">
        <v>592</v>
      </c>
      <c r="G573" s="107">
        <v>45943.0</v>
      </c>
      <c r="H573" s="114">
        <v>0.08333333333333333</v>
      </c>
      <c r="I573" s="109">
        <f t="shared" si="1"/>
        <v>2</v>
      </c>
      <c r="J573" s="111" t="b">
        <v>1</v>
      </c>
      <c r="K573" s="111" t="b">
        <f t="shared" si="2"/>
        <v>1</v>
      </c>
      <c r="L573" s="116"/>
      <c r="M573" s="111" t="s">
        <v>255</v>
      </c>
    </row>
    <row r="574" hidden="1">
      <c r="A574" s="105" t="s">
        <v>215</v>
      </c>
      <c r="B574" s="105" t="s">
        <v>426</v>
      </c>
      <c r="C574" s="106">
        <v>10.0</v>
      </c>
      <c r="D574" s="105"/>
      <c r="E574" s="105" t="s">
        <v>256</v>
      </c>
      <c r="F574" s="105" t="s">
        <v>594</v>
      </c>
      <c r="G574" s="107">
        <v>45943.0</v>
      </c>
      <c r="H574" s="114">
        <v>0.08333333333333333</v>
      </c>
      <c r="I574" s="109">
        <f t="shared" si="1"/>
        <v>2</v>
      </c>
      <c r="J574" s="111" t="b">
        <v>1</v>
      </c>
      <c r="K574" s="111" t="b">
        <f t="shared" si="2"/>
        <v>1</v>
      </c>
      <c r="L574" s="116"/>
      <c r="M574" s="111" t="s">
        <v>255</v>
      </c>
    </row>
    <row r="575" hidden="1">
      <c r="A575" s="105" t="s">
        <v>190</v>
      </c>
      <c r="B575" s="105" t="s">
        <v>426</v>
      </c>
      <c r="C575" s="106">
        <v>10.0</v>
      </c>
      <c r="D575" s="105"/>
      <c r="E575" s="105" t="s">
        <v>252</v>
      </c>
      <c r="F575" s="105" t="s">
        <v>592</v>
      </c>
      <c r="G575" s="107">
        <v>45944.0</v>
      </c>
      <c r="H575" s="114">
        <v>0.16666666666666666</v>
      </c>
      <c r="I575" s="109">
        <f t="shared" si="1"/>
        <v>4</v>
      </c>
      <c r="J575" s="111" t="b">
        <v>1</v>
      </c>
      <c r="K575" s="111" t="b">
        <f t="shared" si="2"/>
        <v>1</v>
      </c>
      <c r="L575" s="116"/>
      <c r="M575" s="111" t="s">
        <v>255</v>
      </c>
    </row>
    <row r="576" hidden="1">
      <c r="A576" s="105" t="s">
        <v>150</v>
      </c>
      <c r="B576" s="105" t="s">
        <v>426</v>
      </c>
      <c r="C576" s="106">
        <v>10.0</v>
      </c>
      <c r="D576" s="105"/>
      <c r="E576" s="105" t="s">
        <v>252</v>
      </c>
      <c r="F576" s="105" t="s">
        <v>597</v>
      </c>
      <c r="G576" s="107">
        <v>45945.0</v>
      </c>
      <c r="H576" s="114">
        <v>0.125</v>
      </c>
      <c r="I576" s="109">
        <f t="shared" si="1"/>
        <v>3</v>
      </c>
      <c r="J576" s="111" t="b">
        <v>0</v>
      </c>
      <c r="K576" s="111" t="b">
        <f t="shared" si="2"/>
        <v>1</v>
      </c>
      <c r="L576" s="116"/>
      <c r="M576" s="111" t="s">
        <v>255</v>
      </c>
    </row>
    <row r="577" hidden="1">
      <c r="A577" s="105" t="s">
        <v>150</v>
      </c>
      <c r="B577" s="105" t="s">
        <v>426</v>
      </c>
      <c r="C577" s="106">
        <v>10.0</v>
      </c>
      <c r="D577" s="105"/>
      <c r="E577" s="105" t="s">
        <v>252</v>
      </c>
      <c r="F577" s="105" t="s">
        <v>597</v>
      </c>
      <c r="G577" s="107">
        <v>45946.0</v>
      </c>
      <c r="H577" s="114">
        <v>0.125</v>
      </c>
      <c r="I577" s="109">
        <f t="shared" si="1"/>
        <v>3</v>
      </c>
      <c r="J577" s="111" t="b">
        <v>0</v>
      </c>
      <c r="K577" s="111" t="b">
        <f t="shared" si="2"/>
        <v>1</v>
      </c>
      <c r="L577" s="116"/>
      <c r="M577" s="111" t="s">
        <v>255</v>
      </c>
    </row>
    <row r="578" hidden="1">
      <c r="A578" s="105" t="s">
        <v>190</v>
      </c>
      <c r="B578" s="105" t="s">
        <v>426</v>
      </c>
      <c r="C578" s="106">
        <v>10.0</v>
      </c>
      <c r="D578" s="105"/>
      <c r="E578" s="105" t="s">
        <v>252</v>
      </c>
      <c r="F578" s="105" t="s">
        <v>592</v>
      </c>
      <c r="G578" s="107">
        <v>45946.0</v>
      </c>
      <c r="H578" s="114">
        <v>0.125</v>
      </c>
      <c r="I578" s="109">
        <f t="shared" si="1"/>
        <v>3</v>
      </c>
      <c r="J578" s="111" t="b">
        <v>1</v>
      </c>
      <c r="K578" s="111" t="b">
        <f t="shared" si="2"/>
        <v>1</v>
      </c>
      <c r="L578" s="116"/>
      <c r="M578" s="111" t="s">
        <v>255</v>
      </c>
    </row>
    <row r="579" hidden="1">
      <c r="A579" s="105" t="s">
        <v>150</v>
      </c>
      <c r="B579" s="105" t="s">
        <v>426</v>
      </c>
      <c r="C579" s="106">
        <v>10.0</v>
      </c>
      <c r="D579" s="105"/>
      <c r="E579" s="105" t="s">
        <v>252</v>
      </c>
      <c r="F579" s="105" t="s">
        <v>597</v>
      </c>
      <c r="G579" s="107">
        <v>45947.0</v>
      </c>
      <c r="H579" s="114">
        <v>0.08333333333333333</v>
      </c>
      <c r="I579" s="109">
        <f t="shared" si="1"/>
        <v>2</v>
      </c>
      <c r="J579" s="111" t="b">
        <v>0</v>
      </c>
      <c r="K579" s="111" t="b">
        <f t="shared" si="2"/>
        <v>1</v>
      </c>
      <c r="L579" s="116"/>
      <c r="M579" s="111" t="s">
        <v>255</v>
      </c>
    </row>
    <row r="580" hidden="1">
      <c r="A580" s="105" t="s">
        <v>124</v>
      </c>
      <c r="B580" s="105" t="s">
        <v>426</v>
      </c>
      <c r="C580" s="106">
        <v>10.0</v>
      </c>
      <c r="D580" s="105"/>
      <c r="E580" s="105" t="s">
        <v>256</v>
      </c>
      <c r="F580" s="105" t="s">
        <v>596</v>
      </c>
      <c r="G580" s="107">
        <v>45951.0</v>
      </c>
      <c r="H580" s="114">
        <v>0.08333333333333333</v>
      </c>
      <c r="I580" s="109">
        <f t="shared" si="1"/>
        <v>2</v>
      </c>
      <c r="J580" s="111" t="b">
        <v>1</v>
      </c>
      <c r="K580" s="111" t="b">
        <f t="shared" si="2"/>
        <v>1</v>
      </c>
      <c r="L580" s="116"/>
      <c r="M580" s="111" t="s">
        <v>255</v>
      </c>
    </row>
    <row r="581" hidden="1">
      <c r="A581" s="105" t="s">
        <v>190</v>
      </c>
      <c r="B581" s="105" t="s">
        <v>426</v>
      </c>
      <c r="C581" s="106">
        <v>10.0</v>
      </c>
      <c r="D581" s="105"/>
      <c r="E581" s="105" t="s">
        <v>252</v>
      </c>
      <c r="F581" s="105" t="s">
        <v>592</v>
      </c>
      <c r="G581" s="107">
        <v>45951.0</v>
      </c>
      <c r="H581" s="114">
        <v>0.08333333333333333</v>
      </c>
      <c r="I581" s="109">
        <f t="shared" si="1"/>
        <v>2</v>
      </c>
      <c r="J581" s="111" t="b">
        <v>1</v>
      </c>
      <c r="K581" s="111" t="b">
        <f t="shared" si="2"/>
        <v>1</v>
      </c>
      <c r="L581" s="116"/>
      <c r="M581" s="111" t="s">
        <v>255</v>
      </c>
    </row>
    <row r="582" hidden="1">
      <c r="A582" s="105" t="s">
        <v>215</v>
      </c>
      <c r="B582" s="105" t="s">
        <v>426</v>
      </c>
      <c r="C582" s="106">
        <v>10.0</v>
      </c>
      <c r="D582" s="105"/>
      <c r="E582" s="105" t="s">
        <v>256</v>
      </c>
      <c r="F582" s="105" t="s">
        <v>594</v>
      </c>
      <c r="G582" s="107">
        <v>45951.0</v>
      </c>
      <c r="H582" s="114">
        <v>0.041666666666666664</v>
      </c>
      <c r="I582" s="109">
        <f t="shared" si="1"/>
        <v>1</v>
      </c>
      <c r="J582" s="111" t="b">
        <v>1</v>
      </c>
      <c r="K582" s="111" t="b">
        <f t="shared" si="2"/>
        <v>1</v>
      </c>
      <c r="L582" s="116"/>
      <c r="M582" s="111" t="s">
        <v>255</v>
      </c>
    </row>
    <row r="583" hidden="1">
      <c r="A583" s="105" t="s">
        <v>190</v>
      </c>
      <c r="B583" s="105" t="s">
        <v>426</v>
      </c>
      <c r="C583" s="106">
        <v>10.0</v>
      </c>
      <c r="D583" s="105"/>
      <c r="E583" s="105" t="s">
        <v>252</v>
      </c>
      <c r="F583" s="105" t="s">
        <v>592</v>
      </c>
      <c r="G583" s="107">
        <v>45952.0</v>
      </c>
      <c r="H583" s="114">
        <v>0.125</v>
      </c>
      <c r="I583" s="109">
        <f t="shared" si="1"/>
        <v>3</v>
      </c>
      <c r="J583" s="111" t="b">
        <v>1</v>
      </c>
      <c r="K583" s="111" t="b">
        <f t="shared" si="2"/>
        <v>1</v>
      </c>
      <c r="L583" s="116"/>
      <c r="M583" s="111" t="s">
        <v>255</v>
      </c>
    </row>
    <row r="584" hidden="1">
      <c r="A584" s="105" t="s">
        <v>124</v>
      </c>
      <c r="B584" s="105" t="s">
        <v>426</v>
      </c>
      <c r="C584" s="106">
        <v>10.0</v>
      </c>
      <c r="D584" s="105"/>
      <c r="E584" s="105" t="s">
        <v>256</v>
      </c>
      <c r="F584" s="105" t="s">
        <v>596</v>
      </c>
      <c r="G584" s="107">
        <v>45953.0</v>
      </c>
      <c r="H584" s="114">
        <v>0.75</v>
      </c>
      <c r="I584" s="109">
        <f t="shared" si="1"/>
        <v>18</v>
      </c>
      <c r="J584" s="111" t="b">
        <v>1</v>
      </c>
      <c r="K584" s="111" t="b">
        <f t="shared" si="2"/>
        <v>1</v>
      </c>
      <c r="L584" s="116"/>
      <c r="M584" s="111" t="s">
        <v>255</v>
      </c>
    </row>
    <row r="585" hidden="1">
      <c r="A585" s="105" t="s">
        <v>190</v>
      </c>
      <c r="B585" s="105" t="s">
        <v>426</v>
      </c>
      <c r="C585" s="106">
        <v>10.0</v>
      </c>
      <c r="D585" s="105"/>
      <c r="E585" s="105" t="s">
        <v>252</v>
      </c>
      <c r="F585" s="105" t="s">
        <v>592</v>
      </c>
      <c r="G585" s="107">
        <v>45953.0</v>
      </c>
      <c r="H585" s="114">
        <v>0.16666666666666666</v>
      </c>
      <c r="I585" s="109">
        <f t="shared" si="1"/>
        <v>4</v>
      </c>
      <c r="J585" s="111" t="b">
        <v>1</v>
      </c>
      <c r="K585" s="111" t="b">
        <f t="shared" si="2"/>
        <v>1</v>
      </c>
      <c r="L585" s="116"/>
      <c r="M585" s="111" t="s">
        <v>255</v>
      </c>
    </row>
    <row r="586" hidden="1">
      <c r="A586" s="105" t="s">
        <v>190</v>
      </c>
      <c r="B586" s="105" t="s">
        <v>426</v>
      </c>
      <c r="C586" s="106">
        <v>10.0</v>
      </c>
      <c r="D586" s="105"/>
      <c r="E586" s="105" t="s">
        <v>252</v>
      </c>
      <c r="F586" s="105" t="s">
        <v>592</v>
      </c>
      <c r="G586" s="107">
        <v>45954.0</v>
      </c>
      <c r="H586" s="114">
        <v>0.16666666666666666</v>
      </c>
      <c r="I586" s="109">
        <f t="shared" si="1"/>
        <v>4</v>
      </c>
      <c r="J586" s="111" t="b">
        <v>1</v>
      </c>
      <c r="K586" s="111" t="b">
        <f t="shared" si="2"/>
        <v>1</v>
      </c>
      <c r="L586" s="116"/>
      <c r="M586" s="111" t="s">
        <v>255</v>
      </c>
    </row>
    <row r="587" hidden="1">
      <c r="A587" s="105" t="s">
        <v>190</v>
      </c>
      <c r="B587" s="105" t="s">
        <v>426</v>
      </c>
      <c r="C587" s="106">
        <v>10.0</v>
      </c>
      <c r="D587" s="105"/>
      <c r="E587" s="105" t="s">
        <v>252</v>
      </c>
      <c r="F587" s="105" t="s">
        <v>592</v>
      </c>
      <c r="G587" s="107">
        <v>45957.0</v>
      </c>
      <c r="H587" s="114">
        <v>0.08333333333333333</v>
      </c>
      <c r="I587" s="109">
        <f t="shared" si="1"/>
        <v>2</v>
      </c>
      <c r="J587" s="111" t="b">
        <v>1</v>
      </c>
      <c r="K587" s="111" t="b">
        <f t="shared" si="2"/>
        <v>1</v>
      </c>
      <c r="L587" s="116"/>
      <c r="M587" s="111" t="s">
        <v>255</v>
      </c>
    </row>
    <row r="588" hidden="1">
      <c r="A588" s="105" t="s">
        <v>190</v>
      </c>
      <c r="B588" s="105" t="s">
        <v>426</v>
      </c>
      <c r="C588" s="106">
        <v>10.0</v>
      </c>
      <c r="D588" s="105"/>
      <c r="E588" s="105" t="s">
        <v>252</v>
      </c>
      <c r="F588" s="105" t="s">
        <v>592</v>
      </c>
      <c r="G588" s="107">
        <v>45958.0</v>
      </c>
      <c r="H588" s="114">
        <v>0.4166666666666667</v>
      </c>
      <c r="I588" s="109">
        <f t="shared" si="1"/>
        <v>10</v>
      </c>
      <c r="J588" s="111" t="b">
        <v>1</v>
      </c>
      <c r="K588" s="111" t="b">
        <f t="shared" si="2"/>
        <v>1</v>
      </c>
      <c r="L588" s="116"/>
      <c r="M588" s="111" t="s">
        <v>255</v>
      </c>
    </row>
    <row r="589" hidden="1">
      <c r="A589" s="105" t="s">
        <v>190</v>
      </c>
      <c r="B589" s="105" t="s">
        <v>426</v>
      </c>
      <c r="C589" s="106">
        <v>10.0</v>
      </c>
      <c r="D589" s="105"/>
      <c r="E589" s="105" t="s">
        <v>252</v>
      </c>
      <c r="F589" s="105" t="s">
        <v>592</v>
      </c>
      <c r="G589" s="107">
        <v>45959.0</v>
      </c>
      <c r="H589" s="114">
        <v>0.20833333333333334</v>
      </c>
      <c r="I589" s="109">
        <f t="shared" si="1"/>
        <v>5</v>
      </c>
      <c r="J589" s="111" t="b">
        <v>1</v>
      </c>
      <c r="K589" s="111" t="b">
        <f t="shared" si="2"/>
        <v>1</v>
      </c>
      <c r="L589" s="116"/>
      <c r="M589" s="111" t="s">
        <v>255</v>
      </c>
    </row>
    <row r="590" hidden="1">
      <c r="A590" s="105" t="s">
        <v>92</v>
      </c>
      <c r="B590" s="105" t="s">
        <v>426</v>
      </c>
      <c r="C590" s="106">
        <v>10.0</v>
      </c>
      <c r="D590" s="105"/>
      <c r="E590" s="105" t="s">
        <v>256</v>
      </c>
      <c r="F590" s="105" t="s">
        <v>593</v>
      </c>
      <c r="G590" s="107">
        <v>45959.0</v>
      </c>
      <c r="H590" s="114">
        <v>0.08333333333333333</v>
      </c>
      <c r="I590" s="109">
        <f t="shared" si="1"/>
        <v>2</v>
      </c>
      <c r="J590" s="111" t="b">
        <v>1</v>
      </c>
      <c r="K590" s="111" t="b">
        <f t="shared" si="2"/>
        <v>1</v>
      </c>
      <c r="L590" s="116"/>
      <c r="M590" s="111" t="s">
        <v>255</v>
      </c>
    </row>
    <row r="591" hidden="1">
      <c r="A591" s="105" t="s">
        <v>92</v>
      </c>
      <c r="B591" s="105" t="s">
        <v>426</v>
      </c>
      <c r="C591" s="106">
        <v>10.0</v>
      </c>
      <c r="D591" s="105"/>
      <c r="E591" s="105" t="s">
        <v>256</v>
      </c>
      <c r="F591" s="105" t="s">
        <v>593</v>
      </c>
      <c r="G591" s="107">
        <v>45961.0</v>
      </c>
      <c r="H591" s="114">
        <v>0.08333333333333333</v>
      </c>
      <c r="I591" s="109">
        <f t="shared" si="1"/>
        <v>2</v>
      </c>
      <c r="J591" s="111" t="b">
        <v>1</v>
      </c>
      <c r="K591" s="111" t="b">
        <f t="shared" si="2"/>
        <v>1</v>
      </c>
      <c r="L591" s="116"/>
      <c r="M591" s="111" t="s">
        <v>255</v>
      </c>
    </row>
    <row r="592" hidden="1">
      <c r="A592" s="105" t="s">
        <v>215</v>
      </c>
      <c r="B592" s="105" t="s">
        <v>426</v>
      </c>
      <c r="C592" s="106">
        <v>11.0</v>
      </c>
      <c r="D592" s="105"/>
      <c r="E592" s="105" t="s">
        <v>256</v>
      </c>
      <c r="F592" s="105" t="s">
        <v>598</v>
      </c>
      <c r="G592" s="107">
        <v>45964.0</v>
      </c>
      <c r="H592" s="114">
        <v>0.125</v>
      </c>
      <c r="I592" s="109">
        <f t="shared" si="1"/>
        <v>3</v>
      </c>
      <c r="J592" s="111" t="b">
        <v>1</v>
      </c>
      <c r="K592" s="111" t="b">
        <f t="shared" si="2"/>
        <v>1</v>
      </c>
      <c r="L592" s="116"/>
      <c r="M592" s="111" t="s">
        <v>255</v>
      </c>
    </row>
    <row r="593" hidden="1">
      <c r="A593" s="105" t="s">
        <v>190</v>
      </c>
      <c r="B593" s="105" t="s">
        <v>426</v>
      </c>
      <c r="C593" s="106">
        <v>11.0</v>
      </c>
      <c r="D593" s="105"/>
      <c r="E593" s="105" t="s">
        <v>252</v>
      </c>
      <c r="F593" s="105" t="s">
        <v>599</v>
      </c>
      <c r="G593" s="107">
        <v>45964.0</v>
      </c>
      <c r="H593" s="114">
        <v>0.08333333333333333</v>
      </c>
      <c r="I593" s="109">
        <f t="shared" si="1"/>
        <v>2</v>
      </c>
      <c r="J593" s="111" t="b">
        <v>1</v>
      </c>
      <c r="K593" s="111" t="b">
        <f t="shared" si="2"/>
        <v>1</v>
      </c>
      <c r="L593" s="116"/>
      <c r="M593" s="111" t="s">
        <v>255</v>
      </c>
    </row>
    <row r="594" hidden="1">
      <c r="A594" s="105" t="s">
        <v>150</v>
      </c>
      <c r="B594" s="105" t="s">
        <v>426</v>
      </c>
      <c r="C594" s="106">
        <v>11.0</v>
      </c>
      <c r="D594" s="105"/>
      <c r="E594" s="105" t="s">
        <v>252</v>
      </c>
      <c r="F594" s="105" t="s">
        <v>600</v>
      </c>
      <c r="G594" s="107">
        <v>45966.0</v>
      </c>
      <c r="H594" s="114">
        <v>0.125</v>
      </c>
      <c r="I594" s="109">
        <f t="shared" si="1"/>
        <v>3</v>
      </c>
      <c r="J594" s="111" t="b">
        <v>0</v>
      </c>
      <c r="K594" s="111" t="b">
        <f t="shared" si="2"/>
        <v>1</v>
      </c>
      <c r="L594" s="116"/>
      <c r="M594" s="111" t="s">
        <v>255</v>
      </c>
    </row>
    <row r="595" hidden="1">
      <c r="A595" s="105" t="s">
        <v>215</v>
      </c>
      <c r="B595" s="105" t="s">
        <v>426</v>
      </c>
      <c r="C595" s="106">
        <v>11.0</v>
      </c>
      <c r="D595" s="105"/>
      <c r="E595" s="105" t="s">
        <v>427</v>
      </c>
      <c r="F595" s="105" t="s">
        <v>601</v>
      </c>
      <c r="G595" s="107">
        <v>45967.0</v>
      </c>
      <c r="H595" s="114">
        <v>0.16666666666666666</v>
      </c>
      <c r="I595" s="109">
        <f t="shared" si="1"/>
        <v>4</v>
      </c>
      <c r="J595" s="111" t="b">
        <v>1</v>
      </c>
      <c r="K595" s="111" t="b">
        <f t="shared" si="2"/>
        <v>1</v>
      </c>
      <c r="L595" s="116"/>
      <c r="M595" s="111" t="s">
        <v>255</v>
      </c>
    </row>
    <row r="596" hidden="1">
      <c r="A596" s="105" t="s">
        <v>124</v>
      </c>
      <c r="B596" s="105" t="s">
        <v>426</v>
      </c>
      <c r="C596" s="106">
        <v>11.0</v>
      </c>
      <c r="D596" s="105"/>
      <c r="E596" s="105" t="s">
        <v>256</v>
      </c>
      <c r="F596" s="105" t="s">
        <v>602</v>
      </c>
      <c r="G596" s="107">
        <v>45968.0</v>
      </c>
      <c r="H596" s="114">
        <v>0.08333333333333333</v>
      </c>
      <c r="I596" s="109">
        <f t="shared" si="1"/>
        <v>2</v>
      </c>
      <c r="J596" s="111" t="b">
        <v>1</v>
      </c>
      <c r="K596" s="111" t="b">
        <f t="shared" si="2"/>
        <v>1</v>
      </c>
      <c r="L596" s="116"/>
      <c r="M596" s="111" t="s">
        <v>255</v>
      </c>
    </row>
    <row r="597" hidden="1">
      <c r="A597" s="105" t="s">
        <v>190</v>
      </c>
      <c r="B597" s="105" t="s">
        <v>426</v>
      </c>
      <c r="C597" s="106">
        <v>11.0</v>
      </c>
      <c r="D597" s="105"/>
      <c r="E597" s="105" t="s">
        <v>252</v>
      </c>
      <c r="F597" s="105" t="s">
        <v>599</v>
      </c>
      <c r="G597" s="107">
        <v>45971.0</v>
      </c>
      <c r="H597" s="114">
        <v>0.08333333333333333</v>
      </c>
      <c r="I597" s="109">
        <f t="shared" si="1"/>
        <v>2</v>
      </c>
      <c r="J597" s="111" t="b">
        <v>1</v>
      </c>
      <c r="K597" s="111" t="b">
        <f t="shared" si="2"/>
        <v>1</v>
      </c>
      <c r="L597" s="116"/>
      <c r="M597" s="111" t="s">
        <v>255</v>
      </c>
    </row>
    <row r="598" hidden="1">
      <c r="A598" s="105" t="s">
        <v>215</v>
      </c>
      <c r="B598" s="105" t="s">
        <v>426</v>
      </c>
      <c r="C598" s="106">
        <v>11.0</v>
      </c>
      <c r="D598" s="105"/>
      <c r="E598" s="105" t="s">
        <v>256</v>
      </c>
      <c r="F598" s="105" t="s">
        <v>598</v>
      </c>
      <c r="G598" s="107">
        <v>45982.0</v>
      </c>
      <c r="H598" s="108">
        <v>0.08333333333333333</v>
      </c>
      <c r="I598" s="109">
        <f t="shared" si="1"/>
        <v>2</v>
      </c>
      <c r="J598" s="111" t="b">
        <v>1</v>
      </c>
      <c r="K598" s="111" t="b">
        <f t="shared" si="2"/>
        <v>1</v>
      </c>
      <c r="L598" s="116"/>
      <c r="M598" s="111" t="s">
        <v>255</v>
      </c>
    </row>
    <row r="599" hidden="1">
      <c r="A599" s="105" t="s">
        <v>190</v>
      </c>
      <c r="B599" s="105" t="s">
        <v>426</v>
      </c>
      <c r="C599" s="106">
        <v>11.0</v>
      </c>
      <c r="D599" s="105"/>
      <c r="E599" s="105" t="s">
        <v>252</v>
      </c>
      <c r="F599" s="105" t="s">
        <v>599</v>
      </c>
      <c r="G599" s="107">
        <v>45985.0</v>
      </c>
      <c r="H599" s="108">
        <v>0.125</v>
      </c>
      <c r="I599" s="109">
        <f t="shared" si="1"/>
        <v>3</v>
      </c>
      <c r="J599" s="111" t="b">
        <v>1</v>
      </c>
      <c r="K599" s="111" t="b">
        <f t="shared" si="2"/>
        <v>1</v>
      </c>
      <c r="L599" s="116"/>
      <c r="M599" s="111" t="s">
        <v>255</v>
      </c>
    </row>
    <row r="600" hidden="1">
      <c r="A600" s="105" t="s">
        <v>150</v>
      </c>
      <c r="B600" s="105" t="s">
        <v>426</v>
      </c>
      <c r="C600" s="106">
        <v>11.0</v>
      </c>
      <c r="D600" s="105"/>
      <c r="E600" s="105" t="s">
        <v>252</v>
      </c>
      <c r="F600" s="105" t="s">
        <v>603</v>
      </c>
      <c r="G600" s="107">
        <v>45986.0</v>
      </c>
      <c r="H600" s="108">
        <v>0.16666666666666666</v>
      </c>
      <c r="I600" s="109">
        <f t="shared" si="1"/>
        <v>4</v>
      </c>
      <c r="J600" s="111" t="b">
        <v>0</v>
      </c>
      <c r="K600" s="111" t="b">
        <f t="shared" si="2"/>
        <v>1</v>
      </c>
      <c r="L600" s="116"/>
      <c r="M600" s="111" t="s">
        <v>255</v>
      </c>
    </row>
    <row r="601" hidden="1">
      <c r="A601" s="105" t="s">
        <v>92</v>
      </c>
      <c r="B601" s="105" t="s">
        <v>426</v>
      </c>
      <c r="C601" s="106">
        <v>11.0</v>
      </c>
      <c r="D601" s="105"/>
      <c r="E601" s="105" t="s">
        <v>256</v>
      </c>
      <c r="F601" s="105" t="s">
        <v>593</v>
      </c>
      <c r="G601" s="107">
        <v>45987.0</v>
      </c>
      <c r="H601" s="108">
        <v>0.08333333333333333</v>
      </c>
      <c r="I601" s="109">
        <f t="shared" si="1"/>
        <v>2</v>
      </c>
      <c r="J601" s="111" t="b">
        <v>1</v>
      </c>
      <c r="K601" s="111" t="b">
        <f t="shared" si="2"/>
        <v>1</v>
      </c>
      <c r="L601" s="116"/>
      <c r="M601" s="111" t="s">
        <v>255</v>
      </c>
    </row>
    <row r="602" hidden="1">
      <c r="A602" s="105" t="s">
        <v>150</v>
      </c>
      <c r="B602" s="105" t="s">
        <v>426</v>
      </c>
      <c r="C602" s="106">
        <v>11.0</v>
      </c>
      <c r="D602" s="105"/>
      <c r="E602" s="105" t="s">
        <v>252</v>
      </c>
      <c r="F602" s="105" t="s">
        <v>604</v>
      </c>
      <c r="G602" s="107">
        <v>45989.0</v>
      </c>
      <c r="H602" s="108">
        <v>0.041666666666666664</v>
      </c>
      <c r="I602" s="109">
        <f t="shared" si="1"/>
        <v>1</v>
      </c>
      <c r="J602" s="111" t="b">
        <v>0</v>
      </c>
      <c r="K602" s="111" t="b">
        <f t="shared" si="2"/>
        <v>1</v>
      </c>
      <c r="L602" s="116"/>
      <c r="M602" s="111" t="s">
        <v>255</v>
      </c>
    </row>
    <row r="603" hidden="1">
      <c r="A603" s="105" t="s">
        <v>106</v>
      </c>
      <c r="B603" s="105" t="s">
        <v>546</v>
      </c>
      <c r="C603" s="106">
        <v>10.0</v>
      </c>
      <c r="D603" s="105"/>
      <c r="E603" s="105" t="s">
        <v>256</v>
      </c>
      <c r="F603" s="105" t="s">
        <v>605</v>
      </c>
      <c r="G603" s="107">
        <v>45959.0</v>
      </c>
      <c r="H603" s="108">
        <v>0.03125</v>
      </c>
      <c r="I603" s="109">
        <f t="shared" si="1"/>
        <v>0.75</v>
      </c>
      <c r="J603" s="111" t="b">
        <v>1</v>
      </c>
      <c r="K603" s="111" t="b">
        <f t="shared" si="2"/>
        <v>1</v>
      </c>
      <c r="L603" s="116"/>
      <c r="M603" s="111" t="s">
        <v>255</v>
      </c>
    </row>
    <row r="604" hidden="1">
      <c r="A604" s="105" t="s">
        <v>269</v>
      </c>
      <c r="B604" s="105" t="s">
        <v>546</v>
      </c>
      <c r="C604" s="106">
        <v>10.0</v>
      </c>
      <c r="D604" s="105"/>
      <c r="E604" s="105" t="s">
        <v>256</v>
      </c>
      <c r="F604" s="105" t="s">
        <v>606</v>
      </c>
      <c r="G604" s="107">
        <v>45959.0</v>
      </c>
      <c r="H604" s="108">
        <v>0.027777777777777776</v>
      </c>
      <c r="I604" s="109">
        <f t="shared" si="1"/>
        <v>0.6666666667</v>
      </c>
      <c r="J604" s="111" t="b">
        <v>0</v>
      </c>
      <c r="K604" s="111" t="b">
        <f t="shared" si="2"/>
        <v>1</v>
      </c>
      <c r="L604" s="116"/>
      <c r="M604" s="111" t="s">
        <v>255</v>
      </c>
    </row>
    <row r="605" hidden="1">
      <c r="A605" s="105" t="s">
        <v>106</v>
      </c>
      <c r="B605" s="105" t="s">
        <v>546</v>
      </c>
      <c r="C605" s="106">
        <v>11.0</v>
      </c>
      <c r="D605" s="105"/>
      <c r="E605" s="105" t="s">
        <v>252</v>
      </c>
      <c r="F605" s="105" t="s">
        <v>607</v>
      </c>
      <c r="G605" s="107">
        <v>45966.0</v>
      </c>
      <c r="H605" s="108">
        <v>0.12152777777777778</v>
      </c>
      <c r="I605" s="109">
        <f t="shared" si="1"/>
        <v>2.916666667</v>
      </c>
      <c r="J605" s="111" t="b">
        <v>1</v>
      </c>
      <c r="K605" s="111" t="b">
        <f t="shared" si="2"/>
        <v>1</v>
      </c>
      <c r="L605" s="116"/>
      <c r="M605" s="111" t="s">
        <v>255</v>
      </c>
    </row>
    <row r="606" hidden="1">
      <c r="A606" s="105" t="s">
        <v>608</v>
      </c>
      <c r="B606" s="105" t="s">
        <v>546</v>
      </c>
      <c r="C606" s="106">
        <v>11.0</v>
      </c>
      <c r="D606" s="105"/>
      <c r="E606" s="105" t="s">
        <v>271</v>
      </c>
      <c r="F606" s="105" t="s">
        <v>609</v>
      </c>
      <c r="G606" s="107">
        <v>45971.0</v>
      </c>
      <c r="H606" s="108">
        <v>0.034722222222222224</v>
      </c>
      <c r="I606" s="109">
        <f t="shared" si="1"/>
        <v>0.8333333333</v>
      </c>
      <c r="J606" s="111" t="b">
        <v>0</v>
      </c>
      <c r="K606" s="111" t="b">
        <f t="shared" si="2"/>
        <v>0</v>
      </c>
      <c r="L606" s="116"/>
      <c r="M606" s="111" t="s">
        <v>255</v>
      </c>
    </row>
    <row r="607" hidden="1">
      <c r="A607" s="105" t="s">
        <v>258</v>
      </c>
      <c r="B607" s="105" t="s">
        <v>546</v>
      </c>
      <c r="C607" s="106">
        <v>11.0</v>
      </c>
      <c r="D607" s="105"/>
      <c r="E607" s="105" t="s">
        <v>271</v>
      </c>
      <c r="F607" s="105" t="s">
        <v>610</v>
      </c>
      <c r="G607" s="107">
        <v>45972.0</v>
      </c>
      <c r="H607" s="108">
        <v>0.03125</v>
      </c>
      <c r="I607" s="109">
        <f t="shared" si="1"/>
        <v>0.75</v>
      </c>
      <c r="J607" s="111" t="b">
        <v>0</v>
      </c>
      <c r="K607" s="111" t="b">
        <f t="shared" si="2"/>
        <v>0</v>
      </c>
      <c r="L607" s="116"/>
      <c r="M607" s="111" t="s">
        <v>255</v>
      </c>
    </row>
    <row r="608" hidden="1">
      <c r="A608" s="105" t="s">
        <v>106</v>
      </c>
      <c r="B608" s="105" t="s">
        <v>546</v>
      </c>
      <c r="C608" s="106">
        <v>11.0</v>
      </c>
      <c r="D608" s="105"/>
      <c r="E608" s="105" t="s">
        <v>252</v>
      </c>
      <c r="F608" s="105" t="s">
        <v>611</v>
      </c>
      <c r="G608" s="107">
        <v>45986.0</v>
      </c>
      <c r="H608" s="108">
        <v>0.125</v>
      </c>
      <c r="I608" s="109">
        <f t="shared" si="1"/>
        <v>3</v>
      </c>
      <c r="J608" s="111" t="b">
        <v>1</v>
      </c>
      <c r="K608" s="111" t="b">
        <f t="shared" si="2"/>
        <v>1</v>
      </c>
      <c r="L608" s="116"/>
      <c r="M608" s="111" t="s">
        <v>255</v>
      </c>
    </row>
    <row r="609" hidden="1">
      <c r="A609" s="105" t="s">
        <v>106</v>
      </c>
      <c r="B609" s="105" t="s">
        <v>546</v>
      </c>
      <c r="C609" s="106">
        <v>11.0</v>
      </c>
      <c r="D609" s="105"/>
      <c r="E609" s="105" t="s">
        <v>252</v>
      </c>
      <c r="F609" s="105" t="s">
        <v>612</v>
      </c>
      <c r="G609" s="107">
        <v>45988.0</v>
      </c>
      <c r="H609" s="108">
        <v>0.03125</v>
      </c>
      <c r="I609" s="109">
        <f t="shared" si="1"/>
        <v>0.75</v>
      </c>
      <c r="J609" s="111" t="b">
        <v>1</v>
      </c>
      <c r="K609" s="111" t="b">
        <f t="shared" si="2"/>
        <v>1</v>
      </c>
      <c r="L609" s="116"/>
      <c r="M609" s="111" t="s">
        <v>255</v>
      </c>
    </row>
    <row r="610" hidden="1">
      <c r="A610" s="105" t="s">
        <v>106</v>
      </c>
      <c r="B610" s="105" t="s">
        <v>546</v>
      </c>
      <c r="C610" s="106">
        <v>12.0</v>
      </c>
      <c r="D610" s="105"/>
      <c r="E610" s="105" t="s">
        <v>252</v>
      </c>
      <c r="F610" s="105" t="s">
        <v>613</v>
      </c>
      <c r="G610" s="107">
        <v>45992.0</v>
      </c>
      <c r="H610" s="108">
        <v>0.08333333333333333</v>
      </c>
      <c r="I610" s="109">
        <f t="shared" si="1"/>
        <v>2</v>
      </c>
      <c r="J610" s="111" t="b">
        <v>1</v>
      </c>
      <c r="K610" s="111" t="b">
        <f t="shared" si="2"/>
        <v>1</v>
      </c>
      <c r="L610" s="116"/>
      <c r="M610" s="111" t="s">
        <v>255</v>
      </c>
    </row>
    <row r="611" hidden="1">
      <c r="A611" s="105" t="s">
        <v>106</v>
      </c>
      <c r="B611" s="105" t="s">
        <v>546</v>
      </c>
      <c r="C611" s="106">
        <v>12.0</v>
      </c>
      <c r="D611" s="105"/>
      <c r="E611" s="105" t="s">
        <v>252</v>
      </c>
      <c r="F611" s="105" t="s">
        <v>614</v>
      </c>
      <c r="G611" s="107">
        <v>45992.0</v>
      </c>
      <c r="H611" s="108">
        <v>0.03125</v>
      </c>
      <c r="I611" s="109">
        <f t="shared" si="1"/>
        <v>0.75</v>
      </c>
      <c r="J611" s="111" t="b">
        <v>1</v>
      </c>
      <c r="K611" s="111" t="b">
        <f t="shared" si="2"/>
        <v>1</v>
      </c>
      <c r="L611" s="116"/>
      <c r="M611" s="111" t="s">
        <v>255</v>
      </c>
    </row>
  </sheetData>
  <autoFilter ref="$A$1:$M$611">
    <filterColumn colId="0">
      <filters>
        <filter val="INOV00001"/>
      </filters>
    </filterColumn>
    <filterColumn colId="1">
      <filters>
        <filter val="Camila Mendes Pereira"/>
        <filter val="Juliana Lamas Roberto"/>
        <filter val="Rodolfo Salazar"/>
        <filter val="Ana Paula Biz"/>
      </filters>
    </filterColumn>
    <filterColumn colId="10">
      <filters>
        <filter val="TRUE"/>
      </filters>
    </filterColumn>
  </autoFilter>
  <customSheetViews>
    <customSheetView guid="{B67A8095-2527-46FB-8EB3-F8DA15BF66BF}" filter="1" showAutoFilter="1">
      <autoFilter ref="$A$1:$H$611"/>
    </customSheetView>
    <customSheetView guid="{7D799770-A0A0-44E6-9CBC-4F2CED0DD6A3}" filter="1" showAutoFilter="1">
      <autoFilter ref="$A$1:$L$183"/>
    </customSheetView>
  </customSheetViews>
  <printOptions gridLines="1" horizontalCentered="1"/>
  <pageMargins bottom="0.75" footer="0.0" header="0.0" left="0.7" right="0.7" top="0.75"/>
  <pageSetup fitToHeight="0" paperSize="9" cellComments="atEnd" orientation="portrait"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showGridLines="0"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8.63"/>
    <col customWidth="1" min="2" max="2" width="18.0"/>
    <col customWidth="1" min="3" max="4" width="5.88"/>
    <col customWidth="1" min="5" max="5" width="15.63"/>
    <col customWidth="1" min="6" max="6" width="13.38"/>
    <col customWidth="1" min="7" max="7" width="9.75"/>
    <col customWidth="1" min="8" max="8" width="11.0"/>
    <col customWidth="1" min="9" max="9" width="11.13"/>
    <col customWidth="1" min="10" max="10" width="8.63"/>
    <col customWidth="1" min="11" max="11" width="9.0"/>
    <col customWidth="1" min="12" max="12" width="8.5"/>
    <col customWidth="1" min="13" max="13" width="6.38"/>
    <col customWidth="1" min="14" max="14" width="5.5"/>
    <col customWidth="1" min="15" max="15" width="7.13"/>
    <col customWidth="1" min="16" max="16" width="9.75"/>
    <col customWidth="1" min="17" max="17" width="9.38"/>
    <col customWidth="1" min="18" max="18" width="9.13"/>
    <col customWidth="1" min="19" max="19" width="10.75"/>
    <col customWidth="1" min="20" max="20" width="8.38"/>
    <col customWidth="1" min="21" max="21" width="10.0"/>
    <col customWidth="1" min="22" max="22" width="9.88"/>
  </cols>
  <sheetData>
    <row r="1">
      <c r="A1" s="117" t="s">
        <v>76</v>
      </c>
      <c r="B1" s="118" t="s">
        <v>240</v>
      </c>
      <c r="C1" s="119" t="s">
        <v>241</v>
      </c>
      <c r="D1" s="118" t="s">
        <v>615</v>
      </c>
      <c r="E1" s="118" t="s">
        <v>616</v>
      </c>
      <c r="F1" s="118" t="s">
        <v>617</v>
      </c>
      <c r="G1" s="120" t="s">
        <v>618</v>
      </c>
      <c r="H1" s="121" t="s">
        <v>619</v>
      </c>
      <c r="I1" s="121" t="s">
        <v>620</v>
      </c>
      <c r="J1" s="122" t="s">
        <v>621</v>
      </c>
      <c r="K1" s="123" t="s">
        <v>622</v>
      </c>
      <c r="L1" s="123" t="s">
        <v>623</v>
      </c>
      <c r="M1" s="123" t="s">
        <v>624</v>
      </c>
      <c r="N1" s="124" t="s">
        <v>625</v>
      </c>
      <c r="O1" s="124" t="s">
        <v>626</v>
      </c>
      <c r="P1" s="125" t="s">
        <v>627</v>
      </c>
      <c r="Q1" s="126" t="s">
        <v>628</v>
      </c>
      <c r="R1" s="127" t="s">
        <v>629</v>
      </c>
      <c r="S1" s="128" t="s">
        <v>630</v>
      </c>
      <c r="T1" s="129" t="s">
        <v>631</v>
      </c>
      <c r="U1" s="130" t="s">
        <v>632</v>
      </c>
      <c r="V1" s="131" t="s">
        <v>633</v>
      </c>
    </row>
    <row r="2">
      <c r="A2" s="132" t="str">
        <f t="array" ref="A2:C207">SORT(UNIQUE(Trabalho!A2:C207))</f>
        <v>INOV00001</v>
      </c>
      <c r="B2" s="133" t="s">
        <v>496</v>
      </c>
      <c r="C2" s="134">
        <v>8.0</v>
      </c>
      <c r="D2" s="135">
        <v>2025.0</v>
      </c>
      <c r="E2" s="133" t="str">
        <f t="array" ref="E2:E207">IFERROR(VLOOKUP(B2:B207,'# Salários'!C:E,3,FALSE),"")</f>
        <v>Analista Científico SR</v>
      </c>
      <c r="F2" s="136" t="str">
        <f t="array" ref="F2:F207">IFERROR(VLOOKUP(B2:B207,'# Salários'!C:D,2,FALSE),"")</f>
        <v>Superior Completo</v>
      </c>
      <c r="G2" s="137">
        <f>IFERROR(__xludf.DUMMYFUNCTION("IFERROR(filter(choosecols('# Salários'!$F:$Q,C2),'# Salários'!$C:$C=B2))"),7613.79)</f>
        <v>7613.79</v>
      </c>
      <c r="H2" s="138">
        <f t="array" ref="H2:H207">G2:G207*P2:P207</f>
        <v>4690.728836</v>
      </c>
      <c r="I2" s="139">
        <f t="array" ref="I2:I207">G2:G207+H2:H207</f>
        <v>12304.51884</v>
      </c>
      <c r="J2" s="140">
        <f>IFERROR(__xludf.DUMMYFUNCTION("filter('# Encargos folha'!E:E,MONTH('# Encargos folha'!$A:$A)=$C2)"),0.2)</f>
        <v>0.2</v>
      </c>
      <c r="K2" s="141">
        <f>IFERROR(__xludf.DUMMYFUNCTION("filter('# Encargos folha'!F:F,MONTH('# Encargos folha'!$A:$A)=$C2)"),0.058)</f>
        <v>0.058</v>
      </c>
      <c r="L2" s="142">
        <f>IFERROR(__xludf.DUMMYFUNCTION("filter('# Encargos folha'!G:G,MONTH('# Encargos folha'!$A:$A)=$C2)"),0.015)</f>
        <v>0.015</v>
      </c>
      <c r="M2" s="142">
        <f>IFERROR(__xludf.DUMMYFUNCTION("filter('# Encargos folha'!H:H,MONTH('# Encargos folha'!$A:$A)=$C2)"),0.08)</f>
        <v>0.08</v>
      </c>
      <c r="N2" s="143">
        <f>(1/12)*(1+SUM(J2:M2))</f>
        <v>0.11275</v>
      </c>
      <c r="O2" s="143">
        <f>(1/12*1.333333)*(1+SUM(J2:M2))</f>
        <v>0.1503332958</v>
      </c>
      <c r="P2" s="144">
        <f t="shared" ref="P2:P207" si="1">SUM(J2:O2)</f>
        <v>0.6160832958</v>
      </c>
      <c r="Q2" s="145">
        <f t="array" ref="Q2">IFERROR(DGET(Dias_íteis,$Q$1,{$C$1;C2}),"")</f>
        <v>21</v>
      </c>
      <c r="R2" s="146">
        <f t="array" ref="R2:R207">Q2:Q207*8.8</f>
        <v>184.8</v>
      </c>
      <c r="S2" s="147">
        <f>IFERROR(__xludf.DUMMYFUNCTION("SUM(FILTER(Trabalho!$I$2:$I207,MONTH(Trabalho!$G$2:$G207)=C2,Trabalho!$B$2:$B207=B2,Trabalho!$A$2:$A207=A2))"),11.0)</f>
        <v>11</v>
      </c>
      <c r="T2" s="147">
        <f>IFERROR(__xludf.DUMMYFUNCTION("IFERROR(SUM(FILTER(Trabalho!$I$2:$I207,MONTH(Trabalho!$G$2:$G207)=C2,Trabalho!$B$2:$B207=B2,Trabalho!$J$2:$J207=TRUE,Trabalho!$K$2:$K207=TRUE, Trabalho!$A$2:$A207=A2)),0)"),11.0)</f>
        <v>11</v>
      </c>
      <c r="U2" s="137">
        <f t="array" ref="U2:U207">IFERROR(IFERROR($I$2:$I207,"")/($R$2:$R207),"")</f>
        <v>66.58289414</v>
      </c>
      <c r="V2" s="139">
        <f t="array" ref="V2:V207">T2:T207*U2:U207</f>
        <v>732.4118355</v>
      </c>
    </row>
    <row r="3">
      <c r="A3" s="148" t="s">
        <v>92</v>
      </c>
      <c r="B3" s="149" t="s">
        <v>496</v>
      </c>
      <c r="C3" s="150">
        <v>9.0</v>
      </c>
      <c r="D3" s="151">
        <v>2025.0</v>
      </c>
      <c r="E3" s="149" t="s">
        <v>634</v>
      </c>
      <c r="F3" s="149" t="s">
        <v>66</v>
      </c>
      <c r="G3" s="152" t="str">
        <f>IFERROR(__xludf.DUMMYFUNCTION("IFERROR(filter(choosecols('# Salários'!$F:$Q,C3),'# Salários'!$C:$C=B3))"),"")</f>
        <v/>
      </c>
      <c r="H3" s="153">
        <v>0.0</v>
      </c>
      <c r="I3" s="154">
        <v>0.0</v>
      </c>
      <c r="J3" s="155">
        <f>IFERROR(__xludf.DUMMYFUNCTION("filter('# Encargos folha'!E:E,MONTH('# Encargos folha'!$A:$A)=$C3)"),0.2)</f>
        <v>0.2</v>
      </c>
      <c r="K3" s="156">
        <f>IFERROR(__xludf.DUMMYFUNCTION("filter('# Encargos folha'!F:F,MONTH('# Encargos folha'!$A:$A)=$C3)"),0.058)</f>
        <v>0.058</v>
      </c>
      <c r="L3" s="157">
        <f>IFERROR(__xludf.DUMMYFUNCTION("filter('# Encargos folha'!G:G,MONTH('# Encargos folha'!$A:$A)=$C3)"),0.015)</f>
        <v>0.015</v>
      </c>
      <c r="M3" s="157">
        <f>IFERROR(__xludf.DUMMYFUNCTION("filter('# Encargos folha'!H:H,MONTH('# Encargos folha'!$A:$A)=$C3)"),0.08)</f>
        <v>0.08</v>
      </c>
      <c r="N3" s="157">
        <f t="shared" ref="N3:N207" si="2">(1/12)*(1+sum(J3:M3))</f>
        <v>0.11275</v>
      </c>
      <c r="O3" s="157">
        <f t="shared" ref="O3:O207" si="3">(1/12*1.333333)*(1+sum(J3:M3))</f>
        <v>0.1503332958</v>
      </c>
      <c r="P3" s="158">
        <f t="shared" si="1"/>
        <v>0.6160832958</v>
      </c>
      <c r="Q3" s="159">
        <f t="array" ref="Q3">IFERROR(DGET(Dias_íteis,$Q$1,{$C$1;C3}),"")</f>
        <v>21</v>
      </c>
      <c r="R3" s="160">
        <v>184.8</v>
      </c>
      <c r="S3" s="161">
        <f>IFERROR(__xludf.DUMMYFUNCTION("SUM(FILTER(Trabalho!$I$2:$I207,MONTH(Trabalho!$G$2:$G207)=C3,Trabalho!$B$2:$B207=B3,Trabalho!$A$2:$A207=A3))"),5.0)</f>
        <v>5</v>
      </c>
      <c r="T3" s="161">
        <f>IFERROR(__xludf.DUMMYFUNCTION("IFERROR(SUM(FILTER(Trabalho!$I$2:$I207,MONTH(Trabalho!$G$2:$G207)=C3,Trabalho!$B$2:$B207=B3,Trabalho!$J$2:$J207=TRUE,Trabalho!$K$2:$K207=TRUE, Trabalho!$A$2:$A207=A3)),0)"),5.0)</f>
        <v>5</v>
      </c>
      <c r="U3" s="162">
        <v>0.0</v>
      </c>
      <c r="V3" s="154">
        <v>0.0</v>
      </c>
    </row>
    <row r="4">
      <c r="A4" s="163" t="s">
        <v>92</v>
      </c>
      <c r="B4" s="164" t="s">
        <v>251</v>
      </c>
      <c r="C4" s="165">
        <v>1.0</v>
      </c>
      <c r="D4" s="135">
        <v>2025.0</v>
      </c>
      <c r="E4" s="164" t="s">
        <v>635</v>
      </c>
      <c r="F4" s="164" t="s">
        <v>68</v>
      </c>
      <c r="G4" s="137">
        <f>IFERROR(__xludf.DUMMYFUNCTION("IFERROR(filter(choosecols('# Salários'!$F:$Q,C4),'# Salários'!$C:$C=B4))"),5481.24)</f>
        <v>5481.24</v>
      </c>
      <c r="H4" s="166">
        <v>3475.10595171288</v>
      </c>
      <c r="I4" s="167">
        <v>8956.34595171288</v>
      </c>
      <c r="J4" s="140">
        <f>IFERROR(__xludf.DUMMYFUNCTION("filter('# Encargos folha'!E:E,MONTH('# Encargos folha'!$A:$A)=$C4)"),0.2)</f>
        <v>0.2</v>
      </c>
      <c r="K4" s="141">
        <f>IFERROR(__xludf.DUMMYFUNCTION("filter('# Encargos folha'!F:F,MONTH('# Encargos folha'!$A:$A)=$C4)"),0.058)</f>
        <v>0.058</v>
      </c>
      <c r="L4" s="142">
        <f>IFERROR(__xludf.DUMMYFUNCTION("filter('# Encargos folha'!G:G,MONTH('# Encargos folha'!$A:$A)=$C4)"),0.03)</f>
        <v>0.03</v>
      </c>
      <c r="M4" s="142">
        <f>IFERROR(__xludf.DUMMYFUNCTION("filter('# Encargos folha'!H:H,MONTH('# Encargos folha'!$A:$A)=$C4)"),0.08)</f>
        <v>0.08</v>
      </c>
      <c r="N4" s="142">
        <f t="shared" si="2"/>
        <v>0.114</v>
      </c>
      <c r="O4" s="142">
        <f t="shared" si="3"/>
        <v>0.151999962</v>
      </c>
      <c r="P4" s="168">
        <f t="shared" si="1"/>
        <v>0.633999962</v>
      </c>
      <c r="Q4" s="145">
        <f t="array" ref="Q4">IFERROR(DGET(Dias_íteis,$Q$1,{$C$1;C4}),"")</f>
        <v>22</v>
      </c>
      <c r="R4" s="169">
        <v>193.60000000000002</v>
      </c>
      <c r="S4" s="147">
        <f>IFERROR(__xludf.DUMMYFUNCTION("SUM(FILTER(Trabalho!$I$2:$I207,MONTH(Trabalho!$G$2:$G207)=C4,Trabalho!$B$2:$B207=B4,Trabalho!$A$2:$A207=A4))"),1.0)</f>
        <v>1</v>
      </c>
      <c r="T4" s="147">
        <f>IFERROR(__xludf.DUMMYFUNCTION("IFERROR(SUM(FILTER(Trabalho!$I$2:$I207,MONTH(Trabalho!$G$2:$G207)=C4,Trabalho!$B$2:$B207=B4,Trabalho!$J$2:$J207=TRUE,Trabalho!$K$2:$K207=TRUE, Trabalho!$A$2:$A207=A4)),0)"),1.0)</f>
        <v>1</v>
      </c>
      <c r="U4" s="170">
        <v>46.26211751917809</v>
      </c>
      <c r="V4" s="167">
        <v>46.26211751917809</v>
      </c>
    </row>
    <row r="5">
      <c r="A5" s="148" t="s">
        <v>92</v>
      </c>
      <c r="B5" s="149" t="s">
        <v>251</v>
      </c>
      <c r="C5" s="150">
        <v>2.0</v>
      </c>
      <c r="D5" s="151">
        <v>2025.0</v>
      </c>
      <c r="E5" s="149" t="s">
        <v>635</v>
      </c>
      <c r="F5" s="149" t="s">
        <v>68</v>
      </c>
      <c r="G5" s="152">
        <f>IFERROR(__xludf.DUMMYFUNCTION("IFERROR(filter(choosecols('# Salários'!$F:$Q,C5),'# Salários'!$C:$C=B5))"),5481.24)</f>
        <v>5481.24</v>
      </c>
      <c r="H5" s="153">
        <v>3475.10595171288</v>
      </c>
      <c r="I5" s="154">
        <v>8956.34595171288</v>
      </c>
      <c r="J5" s="155">
        <f>IFERROR(__xludf.DUMMYFUNCTION("filter('# Encargos folha'!E:E,MONTH('# Encargos folha'!$A:$A)=$C5)"),0.2)</f>
        <v>0.2</v>
      </c>
      <c r="K5" s="156">
        <f>IFERROR(__xludf.DUMMYFUNCTION("filter('# Encargos folha'!F:F,MONTH('# Encargos folha'!$A:$A)=$C5)"),0.058)</f>
        <v>0.058</v>
      </c>
      <c r="L5" s="157">
        <f>IFERROR(__xludf.DUMMYFUNCTION("filter('# Encargos folha'!G:G,MONTH('# Encargos folha'!$A:$A)=$C5)"),0.03)</f>
        <v>0.03</v>
      </c>
      <c r="M5" s="157">
        <f>IFERROR(__xludf.DUMMYFUNCTION("filter('# Encargos folha'!H:H,MONTH('# Encargos folha'!$A:$A)=$C5)"),0.08)</f>
        <v>0.08</v>
      </c>
      <c r="N5" s="157">
        <f t="shared" si="2"/>
        <v>0.114</v>
      </c>
      <c r="O5" s="157">
        <f t="shared" si="3"/>
        <v>0.151999962</v>
      </c>
      <c r="P5" s="158">
        <f t="shared" si="1"/>
        <v>0.633999962</v>
      </c>
      <c r="Q5" s="159">
        <f t="array" ref="Q5">IFERROR(DGET(Dias_íteis,$Q$1,{$C$1;C5}),"")</f>
        <v>19</v>
      </c>
      <c r="R5" s="160">
        <v>167.20000000000002</v>
      </c>
      <c r="S5" s="161">
        <f>IFERROR(__xludf.DUMMYFUNCTION("SUM(FILTER(Trabalho!$I$2:$I207,MONTH(Trabalho!$G$2:$G207)=C5,Trabalho!$B$2:$B207=B5,Trabalho!$A$2:$A207=A5))"),1.25)</f>
        <v>1.25</v>
      </c>
      <c r="T5" s="161">
        <f>IFERROR(__xludf.DUMMYFUNCTION("IFERROR(SUM(FILTER(Trabalho!$I$2:$I207,MONTH(Trabalho!$G$2:$G207)=C5,Trabalho!$B$2:$B207=B5,Trabalho!$J$2:$J207=TRUE,Trabalho!$K$2:$K207=TRUE, Trabalho!$A$2:$A207=A5)),0)"),0.0)</f>
        <v>0</v>
      </c>
      <c r="U5" s="162">
        <v>53.566662390627265</v>
      </c>
      <c r="V5" s="154">
        <v>0.0</v>
      </c>
    </row>
    <row r="6">
      <c r="A6" s="163" t="s">
        <v>92</v>
      </c>
      <c r="B6" s="164" t="s">
        <v>251</v>
      </c>
      <c r="C6" s="165">
        <v>3.0</v>
      </c>
      <c r="D6" s="135">
        <v>2025.0</v>
      </c>
      <c r="E6" s="164" t="s">
        <v>635</v>
      </c>
      <c r="F6" s="164" t="s">
        <v>68</v>
      </c>
      <c r="G6" s="137">
        <f>IFERROR(__xludf.DUMMYFUNCTION("IFERROR(filter(choosecols('# Salários'!$F:$Q,C6),'# Salários'!$C:$C=B6))"),5481.24)</f>
        <v>5481.24</v>
      </c>
      <c r="H6" s="166">
        <v>3475.10595171288</v>
      </c>
      <c r="I6" s="167">
        <v>8956.34595171288</v>
      </c>
      <c r="J6" s="140">
        <f>IFERROR(__xludf.DUMMYFUNCTION("filter('# Encargos folha'!E:E,MONTH('# Encargos folha'!$A:$A)=$C6)"),0.2)</f>
        <v>0.2</v>
      </c>
      <c r="K6" s="141">
        <f>IFERROR(__xludf.DUMMYFUNCTION("filter('# Encargos folha'!F:F,MONTH('# Encargos folha'!$A:$A)=$C6)"),0.058)</f>
        <v>0.058</v>
      </c>
      <c r="L6" s="142">
        <f>IFERROR(__xludf.DUMMYFUNCTION("filter('# Encargos folha'!G:G,MONTH('# Encargos folha'!$A:$A)=$C6)"),0.03)</f>
        <v>0.03</v>
      </c>
      <c r="M6" s="142">
        <f>IFERROR(__xludf.DUMMYFUNCTION("filter('# Encargos folha'!H:H,MONTH('# Encargos folha'!$A:$A)=$C6)"),0.08)</f>
        <v>0.08</v>
      </c>
      <c r="N6" s="142">
        <f t="shared" si="2"/>
        <v>0.114</v>
      </c>
      <c r="O6" s="142">
        <f t="shared" si="3"/>
        <v>0.151999962</v>
      </c>
      <c r="P6" s="168">
        <f t="shared" si="1"/>
        <v>0.633999962</v>
      </c>
      <c r="Q6" s="145">
        <f t="array" ref="Q6">IFERROR(DGET(Dias_íteis,$Q$1,{$C$1;C6}),"")</f>
        <v>18</v>
      </c>
      <c r="R6" s="169">
        <v>158.4</v>
      </c>
      <c r="S6" s="147">
        <f>IFERROR(__xludf.DUMMYFUNCTION("SUM(FILTER(Trabalho!$I$2:$I207,MONTH(Trabalho!$G$2:$G207)=C6,Trabalho!$B$2:$B207=B6,Trabalho!$A$2:$A207=A6))"),6.75)</f>
        <v>6.75</v>
      </c>
      <c r="T6" s="147">
        <f>IFERROR(__xludf.DUMMYFUNCTION("IFERROR(SUM(FILTER(Trabalho!$I$2:$I207,MONTH(Trabalho!$G$2:$G207)=C6,Trabalho!$B$2:$B207=B6,Trabalho!$J$2:$J207=TRUE,Trabalho!$K$2:$K207=TRUE, Trabalho!$A$2:$A207=A6)),0)"),0.75)</f>
        <v>0.75</v>
      </c>
      <c r="U6" s="170">
        <v>56.54258807899545</v>
      </c>
      <c r="V6" s="167">
        <v>42.40694105924659</v>
      </c>
    </row>
    <row r="7">
      <c r="A7" s="148" t="s">
        <v>92</v>
      </c>
      <c r="B7" s="149" t="s">
        <v>251</v>
      </c>
      <c r="C7" s="150">
        <v>4.0</v>
      </c>
      <c r="D7" s="151">
        <v>2025.0</v>
      </c>
      <c r="E7" s="149" t="s">
        <v>635</v>
      </c>
      <c r="F7" s="149" t="s">
        <v>68</v>
      </c>
      <c r="G7" s="152">
        <f>IFERROR(__xludf.DUMMYFUNCTION("IFERROR(filter(choosecols('# Salários'!$F:$Q,C7),'# Salários'!$C:$C=B7))"),5481.24)</f>
        <v>5481.24</v>
      </c>
      <c r="H7" s="153">
        <v>3376.90040399673</v>
      </c>
      <c r="I7" s="154">
        <v>8858.14040399673</v>
      </c>
      <c r="J7" s="155">
        <f>IFERROR(__xludf.DUMMYFUNCTION("filter('# Encargos folha'!E:E,MONTH('# Encargos folha'!$A:$A)=$C7)"),0.2)</f>
        <v>0.2</v>
      </c>
      <c r="K7" s="156">
        <f>IFERROR(__xludf.DUMMYFUNCTION("filter('# Encargos folha'!F:F,MONTH('# Encargos folha'!$A:$A)=$C7)"),0.058)</f>
        <v>0.058</v>
      </c>
      <c r="L7" s="157">
        <f>IFERROR(__xludf.DUMMYFUNCTION("filter('# Encargos folha'!G:G,MONTH('# Encargos folha'!$A:$A)=$C7)"),0.015)</f>
        <v>0.015</v>
      </c>
      <c r="M7" s="157">
        <f>IFERROR(__xludf.DUMMYFUNCTION("filter('# Encargos folha'!H:H,MONTH('# Encargos folha'!$A:$A)=$C7)"),0.08)</f>
        <v>0.08</v>
      </c>
      <c r="N7" s="157">
        <f t="shared" si="2"/>
        <v>0.11275</v>
      </c>
      <c r="O7" s="157">
        <f t="shared" si="3"/>
        <v>0.1503332958</v>
      </c>
      <c r="P7" s="158">
        <f t="shared" si="1"/>
        <v>0.6160832958</v>
      </c>
      <c r="Q7" s="159">
        <f t="array" ref="Q7">IFERROR(DGET(Dias_íteis,$Q$1,{$C$1;C7}),"")</f>
        <v>20</v>
      </c>
      <c r="R7" s="160">
        <v>176.0</v>
      </c>
      <c r="S7" s="161">
        <f>IFERROR(__xludf.DUMMYFUNCTION("SUM(FILTER(Trabalho!$I$2:$I207,MONTH(Trabalho!$G$2:$G207)=C7,Trabalho!$B$2:$B207=B7,Trabalho!$A$2:$A207=A7))"),40.08333333333333)</f>
        <v>40.08333333</v>
      </c>
      <c r="T7" s="161">
        <f>IFERROR(__xludf.DUMMYFUNCTION("IFERROR(SUM(FILTER(Trabalho!$I$2:$I207,MONTH(Trabalho!$G$2:$G207)=C7,Trabalho!$B$2:$B207=B7,Trabalho!$J$2:$J207=TRUE,Trabalho!$K$2:$K207=TRUE, Trabalho!$A$2:$A207=A7)),0)"),32.0)</f>
        <v>32</v>
      </c>
      <c r="U7" s="162">
        <v>50.33034320452687</v>
      </c>
      <c r="V7" s="154">
        <v>1610.5709825448598</v>
      </c>
    </row>
    <row r="8">
      <c r="A8" s="163" t="s">
        <v>92</v>
      </c>
      <c r="B8" s="164" t="s">
        <v>251</v>
      </c>
      <c r="C8" s="165">
        <v>6.0</v>
      </c>
      <c r="D8" s="135">
        <v>2025.0</v>
      </c>
      <c r="E8" s="164" t="s">
        <v>635</v>
      </c>
      <c r="F8" s="164" t="s">
        <v>68</v>
      </c>
      <c r="G8" s="137">
        <f>IFERROR(__xludf.DUMMYFUNCTION("IFERROR(filter(choosecols('# Salários'!$F:$Q,C8),'# Salários'!$C:$C=B8))"),5772.84)</f>
        <v>5772.84</v>
      </c>
      <c r="H8" s="166">
        <v>3556.55029303743</v>
      </c>
      <c r="I8" s="167">
        <v>9329.39029303743</v>
      </c>
      <c r="J8" s="140">
        <f>IFERROR(__xludf.DUMMYFUNCTION("filter('# Encargos folha'!E:E,MONTH('# Encargos folha'!$A:$A)=$C8)"),0.2)</f>
        <v>0.2</v>
      </c>
      <c r="K8" s="141">
        <f>IFERROR(__xludf.DUMMYFUNCTION("filter('# Encargos folha'!F:F,MONTH('# Encargos folha'!$A:$A)=$C8)"),0.058)</f>
        <v>0.058</v>
      </c>
      <c r="L8" s="142">
        <f>IFERROR(__xludf.DUMMYFUNCTION("filter('# Encargos folha'!G:G,MONTH('# Encargos folha'!$A:$A)=$C8)"),0.015)</f>
        <v>0.015</v>
      </c>
      <c r="M8" s="142">
        <f>IFERROR(__xludf.DUMMYFUNCTION("filter('# Encargos folha'!H:H,MONTH('# Encargos folha'!$A:$A)=$C8)"),0.08)</f>
        <v>0.08</v>
      </c>
      <c r="N8" s="142">
        <f t="shared" si="2"/>
        <v>0.11275</v>
      </c>
      <c r="O8" s="142">
        <f t="shared" si="3"/>
        <v>0.1503332958</v>
      </c>
      <c r="P8" s="168">
        <f t="shared" si="1"/>
        <v>0.6160832958</v>
      </c>
      <c r="Q8" s="145">
        <f t="array" ref="Q8">IFERROR(DGET(Dias_íteis,$Q$1,{$C$1;C8}),"")</f>
        <v>20</v>
      </c>
      <c r="R8" s="169">
        <v>176.0</v>
      </c>
      <c r="S8" s="147">
        <f>IFERROR(__xludf.DUMMYFUNCTION("SUM(FILTER(Trabalho!$I$2:$I207,MONTH(Trabalho!$G$2:$G207)=C8,Trabalho!$B$2:$B207=B8,Trabalho!$A$2:$A207=A8))"),3.0)</f>
        <v>3</v>
      </c>
      <c r="T8" s="147">
        <f>IFERROR(__xludf.DUMMYFUNCTION("IFERROR(SUM(FILTER(Trabalho!$I$2:$I207,MONTH(Trabalho!$G$2:$G207)=C8,Trabalho!$B$2:$B207=B8,Trabalho!$J$2:$J207=TRUE,Trabalho!$K$2:$K207=TRUE, Trabalho!$A$2:$A207=A8)),0)"),2.5)</f>
        <v>2.5</v>
      </c>
      <c r="U8" s="170">
        <v>53.007899392258125</v>
      </c>
      <c r="V8" s="167">
        <v>132.51974848064532</v>
      </c>
    </row>
    <row r="9">
      <c r="A9" s="148" t="s">
        <v>92</v>
      </c>
      <c r="B9" s="149" t="s">
        <v>251</v>
      </c>
      <c r="C9" s="150">
        <v>9.0</v>
      </c>
      <c r="D9" s="151">
        <v>2025.0</v>
      </c>
      <c r="E9" s="149" t="s">
        <v>635</v>
      </c>
      <c r="F9" s="149" t="s">
        <v>68</v>
      </c>
      <c r="G9" s="152">
        <f>IFERROR(__xludf.DUMMYFUNCTION("IFERROR(filter(choosecols('# Salários'!$F:$Q,C9),'# Salários'!$C:$C=B9))"),7202.0)</f>
        <v>7202</v>
      </c>
      <c r="H9" s="153">
        <v>4437.0318959915</v>
      </c>
      <c r="I9" s="154">
        <v>11639.0318959915</v>
      </c>
      <c r="J9" s="155">
        <f>IFERROR(__xludf.DUMMYFUNCTION("filter('# Encargos folha'!E:E,MONTH('# Encargos folha'!$A:$A)=$C9)"),0.2)</f>
        <v>0.2</v>
      </c>
      <c r="K9" s="156">
        <f>IFERROR(__xludf.DUMMYFUNCTION("filter('# Encargos folha'!F:F,MONTH('# Encargos folha'!$A:$A)=$C9)"),0.058)</f>
        <v>0.058</v>
      </c>
      <c r="L9" s="157">
        <f>IFERROR(__xludf.DUMMYFUNCTION("filter('# Encargos folha'!G:G,MONTH('# Encargos folha'!$A:$A)=$C9)"),0.015)</f>
        <v>0.015</v>
      </c>
      <c r="M9" s="157">
        <f>IFERROR(__xludf.DUMMYFUNCTION("filter('# Encargos folha'!H:H,MONTH('# Encargos folha'!$A:$A)=$C9)"),0.08)</f>
        <v>0.08</v>
      </c>
      <c r="N9" s="157">
        <f t="shared" si="2"/>
        <v>0.11275</v>
      </c>
      <c r="O9" s="157">
        <f t="shared" si="3"/>
        <v>0.1503332958</v>
      </c>
      <c r="P9" s="158">
        <f t="shared" si="1"/>
        <v>0.6160832958</v>
      </c>
      <c r="Q9" s="159">
        <f t="array" ref="Q9">IFERROR(DGET(Dias_íteis,$Q$1,{$C$1;C9}),"")</f>
        <v>21</v>
      </c>
      <c r="R9" s="160">
        <v>184.8</v>
      </c>
      <c r="S9" s="161">
        <f>IFERROR(__xludf.DUMMYFUNCTION("SUM(FILTER(Trabalho!$I$2:$I207,MONTH(Trabalho!$G$2:$G207)=C9,Trabalho!$B$2:$B207=B9,Trabalho!$A$2:$A207=A9))"),17.5)</f>
        <v>17.5</v>
      </c>
      <c r="T9" s="161">
        <f>IFERROR(__xludf.DUMMYFUNCTION("IFERROR(SUM(FILTER(Trabalho!$I$2:$I207,MONTH(Trabalho!$G$2:$G207)=C9,Trabalho!$B$2:$B207=B9,Trabalho!$J$2:$J207=TRUE,Trabalho!$K$2:$K207=TRUE, Trabalho!$A$2:$A207=A9)),0)"),16.5)</f>
        <v>16.5</v>
      </c>
      <c r="U9" s="162">
        <v>62.98177432895833</v>
      </c>
      <c r="V9" s="154">
        <v>1039.1992764278125</v>
      </c>
    </row>
    <row r="10">
      <c r="A10" s="163" t="s">
        <v>92</v>
      </c>
      <c r="B10" s="164" t="s">
        <v>251</v>
      </c>
      <c r="C10" s="165">
        <v>10.0</v>
      </c>
      <c r="D10" s="135">
        <v>2025.0</v>
      </c>
      <c r="E10" s="164" t="s">
        <v>635</v>
      </c>
      <c r="F10" s="164" t="s">
        <v>68</v>
      </c>
      <c r="G10" s="137">
        <f>IFERROR(__xludf.DUMMYFUNCTION("IFERROR(filter(choosecols('# Salários'!$F:$Q,C10),'# Salários'!$C:$C=B10))"),7202.0)</f>
        <v>7202</v>
      </c>
      <c r="H10" s="166">
        <v>4640.90850791685</v>
      </c>
      <c r="I10" s="167">
        <v>11842.90850791685</v>
      </c>
      <c r="J10" s="140">
        <f>IFERROR(__xludf.DUMMYFUNCTION("filter('# Encargos folha'!E:E,MONTH('# Encargos folha'!$A:$A)=$C10)"),0.2)</f>
        <v>0.2</v>
      </c>
      <c r="K10" s="141">
        <f>IFERROR(__xludf.DUMMYFUNCTION("filter('# Encargos folha'!F:F,MONTH('# Encargos folha'!$A:$A)=$C10)"),0.058)</f>
        <v>0.058</v>
      </c>
      <c r="L10" s="142">
        <f>IFERROR(__xludf.DUMMYFUNCTION("filter('# Encargos folha'!G:G,MONTH('# Encargos folha'!$A:$A)=$C10)"),0.0387)</f>
        <v>0.0387</v>
      </c>
      <c r="M10" s="142">
        <f>IFERROR(__xludf.DUMMYFUNCTION("filter('# Encargos folha'!H:H,MONTH('# Encargos folha'!$A:$A)=$C10)"),0.08)</f>
        <v>0.08</v>
      </c>
      <c r="N10" s="142">
        <f t="shared" si="2"/>
        <v>0.114725</v>
      </c>
      <c r="O10" s="142">
        <f t="shared" si="3"/>
        <v>0.1529666284</v>
      </c>
      <c r="P10" s="168">
        <f t="shared" si="1"/>
        <v>0.6443916284</v>
      </c>
      <c r="Q10" s="145">
        <f t="array" ref="Q10">IFERROR(DGET(Dias_íteis,$Q$1,{$C$1;C10}),"")</f>
        <v>22</v>
      </c>
      <c r="R10" s="169">
        <v>193.60000000000002</v>
      </c>
      <c r="S10" s="147">
        <f>IFERROR(__xludf.DUMMYFUNCTION("SUM(FILTER(Trabalho!$I$2:$I207,MONTH(Trabalho!$G$2:$G207)=C10,Trabalho!$B$2:$B207=B10,Trabalho!$A$2:$A207=A10))"),42.66666666666667)</f>
        <v>42.66666667</v>
      </c>
      <c r="T10" s="147">
        <f>IFERROR(__xludf.DUMMYFUNCTION("IFERROR(SUM(FILTER(Trabalho!$I$2:$I207,MONTH(Trabalho!$G$2:$G207)=C10,Trabalho!$B$2:$B207=B10,Trabalho!$J$2:$J207=TRUE,Trabalho!$K$2:$K207=TRUE, Trabalho!$A$2:$A207=A10)),0)"),40.833333333333336)</f>
        <v>40.83333333</v>
      </c>
      <c r="U10" s="170">
        <v>61.1720480780829</v>
      </c>
      <c r="V10" s="167">
        <v>2497.858629855052</v>
      </c>
    </row>
    <row r="11">
      <c r="A11" s="148" t="s">
        <v>92</v>
      </c>
      <c r="B11" s="149" t="s">
        <v>251</v>
      </c>
      <c r="C11" s="150">
        <v>11.0</v>
      </c>
      <c r="D11" s="151">
        <v>2025.0</v>
      </c>
      <c r="E11" s="149" t="s">
        <v>635</v>
      </c>
      <c r="F11" s="149" t="s">
        <v>68</v>
      </c>
      <c r="G11" s="152">
        <f>IFERROR(__xludf.DUMMYFUNCTION("IFERROR(filter(choosecols('# Salários'!$F:$Q,C11),'# Salários'!$C:$C=B11))"),7202.0)</f>
        <v>7202</v>
      </c>
      <c r="H11" s="153">
        <v>4640.90850791685</v>
      </c>
      <c r="I11" s="154">
        <v>11842.90850791685</v>
      </c>
      <c r="J11" s="155">
        <f>IFERROR(__xludf.DUMMYFUNCTION("filter('# Encargos folha'!E:E,MONTH('# Encargos folha'!$A:$A)=$C11)"),0.2)</f>
        <v>0.2</v>
      </c>
      <c r="K11" s="156">
        <f>IFERROR(__xludf.DUMMYFUNCTION("filter('# Encargos folha'!F:F,MONTH('# Encargos folha'!$A:$A)=$C11)"),0.058)</f>
        <v>0.058</v>
      </c>
      <c r="L11" s="157">
        <f>IFERROR(__xludf.DUMMYFUNCTION("filter('# Encargos folha'!G:G,MONTH('# Encargos folha'!$A:$A)=$C11)"),0.0387)</f>
        <v>0.0387</v>
      </c>
      <c r="M11" s="157">
        <f>IFERROR(__xludf.DUMMYFUNCTION("filter('# Encargos folha'!H:H,MONTH('# Encargos folha'!$A:$A)=$C11)"),0.08)</f>
        <v>0.08</v>
      </c>
      <c r="N11" s="157">
        <f t="shared" si="2"/>
        <v>0.114725</v>
      </c>
      <c r="O11" s="157">
        <f t="shared" si="3"/>
        <v>0.1529666284</v>
      </c>
      <c r="P11" s="158">
        <f t="shared" si="1"/>
        <v>0.6443916284</v>
      </c>
      <c r="Q11" s="159">
        <f t="array" ref="Q11">IFERROR(DGET(Dias_íteis,$Q$1,{$C$1;C11}),"")</f>
        <v>19</v>
      </c>
      <c r="R11" s="160">
        <v>167.20000000000002</v>
      </c>
      <c r="S11" s="161">
        <f>IFERROR(__xludf.DUMMYFUNCTION("SUM(FILTER(Trabalho!$I$2:$I207,MONTH(Trabalho!$G$2:$G207)=C11,Trabalho!$B$2:$B207=B11,Trabalho!$A$2:$A207=A11))"),5.5)</f>
        <v>5.5</v>
      </c>
      <c r="T11" s="161">
        <f>IFERROR(__xludf.DUMMYFUNCTION("IFERROR(SUM(FILTER(Trabalho!$I$2:$I207,MONTH(Trabalho!$G$2:$G207)=C11,Trabalho!$B$2:$B207=B11,Trabalho!$J$2:$J207=TRUE,Trabalho!$K$2:$K207=TRUE, Trabalho!$A$2:$A207=A11)),0)"),5.5)</f>
        <v>5.5</v>
      </c>
      <c r="U11" s="162">
        <v>70.83079251146441</v>
      </c>
      <c r="V11" s="154">
        <v>389.56935881305424</v>
      </c>
    </row>
    <row r="12">
      <c r="A12" s="163" t="s">
        <v>92</v>
      </c>
      <c r="B12" s="164" t="s">
        <v>406</v>
      </c>
      <c r="C12" s="165">
        <v>6.0</v>
      </c>
      <c r="D12" s="135">
        <v>2025.0</v>
      </c>
      <c r="E12" s="164" t="s">
        <v>636</v>
      </c>
      <c r="F12" s="164" t="s">
        <v>68</v>
      </c>
      <c r="G12" s="137">
        <f>IFERROR(__xludf.DUMMYFUNCTION("IFERROR(filter(choosecols('# Salários'!$F:$Q,C12),'# Salários'!$C:$C=B12))"),5236.51)</f>
        <v>5236.51</v>
      </c>
      <c r="H12" s="166">
        <v>3226.1263390278327</v>
      </c>
      <c r="I12" s="167">
        <v>8462.636339027833</v>
      </c>
      <c r="J12" s="140">
        <f>IFERROR(__xludf.DUMMYFUNCTION("filter('# Encargos folha'!E:E,MONTH('# Encargos folha'!$A:$A)=$C12)"),0.2)</f>
        <v>0.2</v>
      </c>
      <c r="K12" s="141">
        <f>IFERROR(__xludf.DUMMYFUNCTION("filter('# Encargos folha'!F:F,MONTH('# Encargos folha'!$A:$A)=$C12)"),0.058)</f>
        <v>0.058</v>
      </c>
      <c r="L12" s="142">
        <f>IFERROR(__xludf.DUMMYFUNCTION("filter('# Encargos folha'!G:G,MONTH('# Encargos folha'!$A:$A)=$C12)"),0.015)</f>
        <v>0.015</v>
      </c>
      <c r="M12" s="142">
        <f>IFERROR(__xludf.DUMMYFUNCTION("filter('# Encargos folha'!H:H,MONTH('# Encargos folha'!$A:$A)=$C12)"),0.08)</f>
        <v>0.08</v>
      </c>
      <c r="N12" s="142">
        <f t="shared" si="2"/>
        <v>0.11275</v>
      </c>
      <c r="O12" s="142">
        <f t="shared" si="3"/>
        <v>0.1503332958</v>
      </c>
      <c r="P12" s="168">
        <f t="shared" si="1"/>
        <v>0.6160832958</v>
      </c>
      <c r="Q12" s="145">
        <f t="array" ref="Q12">IFERROR(DGET(Dias_íteis,$Q$1,{$C$1;C12}),"")</f>
        <v>20</v>
      </c>
      <c r="R12" s="169">
        <v>176.0</v>
      </c>
      <c r="S12" s="147">
        <f>IFERROR(__xludf.DUMMYFUNCTION("SUM(FILTER(Trabalho!$I$2:$I207,MONTH(Trabalho!$G$2:$G207)=C12,Trabalho!$B$2:$B207=B12,Trabalho!$A$2:$A207=A12))"),3.0)</f>
        <v>3</v>
      </c>
      <c r="T12" s="147">
        <f>IFERROR(__xludf.DUMMYFUNCTION("IFERROR(SUM(FILTER(Trabalho!$I$2:$I207,MONTH(Trabalho!$G$2:$G207)=C12,Trabalho!$B$2:$B207=B12,Trabalho!$J$2:$J207=TRUE,Trabalho!$K$2:$K207=TRUE, Trabalho!$A$2:$A207=A12)),0)"),3.0)</f>
        <v>3</v>
      </c>
      <c r="U12" s="170">
        <v>48.083161017203594</v>
      </c>
      <c r="V12" s="167">
        <v>144.24948305161078</v>
      </c>
    </row>
    <row r="13">
      <c r="A13" s="148" t="s">
        <v>92</v>
      </c>
      <c r="B13" s="149" t="s">
        <v>406</v>
      </c>
      <c r="C13" s="150">
        <v>7.0</v>
      </c>
      <c r="D13" s="151">
        <v>2025.0</v>
      </c>
      <c r="E13" s="149" t="s">
        <v>636</v>
      </c>
      <c r="F13" s="149" t="s">
        <v>68</v>
      </c>
      <c r="G13" s="152">
        <f>IFERROR(__xludf.DUMMYFUNCTION("IFERROR(filter(choosecols('# Salários'!$F:$Q,C13),'# Salários'!$C:$C=B13))"),5286.0)</f>
        <v>5286</v>
      </c>
      <c r="H13" s="153">
        <v>3256.6163013345</v>
      </c>
      <c r="I13" s="154">
        <v>8542.6163013345</v>
      </c>
      <c r="J13" s="155">
        <f>IFERROR(__xludf.DUMMYFUNCTION("filter('# Encargos folha'!E:E,MONTH('# Encargos folha'!$A:$A)=$C13)"),0.2)</f>
        <v>0.2</v>
      </c>
      <c r="K13" s="156">
        <f>IFERROR(__xludf.DUMMYFUNCTION("filter('# Encargos folha'!F:F,MONTH('# Encargos folha'!$A:$A)=$C13)"),0.058)</f>
        <v>0.058</v>
      </c>
      <c r="L13" s="157">
        <f>IFERROR(__xludf.DUMMYFUNCTION("filter('# Encargos folha'!G:G,MONTH('# Encargos folha'!$A:$A)=$C13)"),0.015)</f>
        <v>0.015</v>
      </c>
      <c r="M13" s="157">
        <f>IFERROR(__xludf.DUMMYFUNCTION("filter('# Encargos folha'!H:H,MONTH('# Encargos folha'!$A:$A)=$C13)"),0.08)</f>
        <v>0.08</v>
      </c>
      <c r="N13" s="157">
        <f t="shared" si="2"/>
        <v>0.11275</v>
      </c>
      <c r="O13" s="157">
        <f t="shared" si="3"/>
        <v>0.1503332958</v>
      </c>
      <c r="P13" s="158">
        <f t="shared" si="1"/>
        <v>0.6160832958</v>
      </c>
      <c r="Q13" s="159">
        <f t="array" ref="Q13">IFERROR(DGET(Dias_íteis,$Q$1,{$C$1;C13}),"")</f>
        <v>23</v>
      </c>
      <c r="R13" s="160">
        <v>202.4</v>
      </c>
      <c r="S13" s="161">
        <f>IFERROR(__xludf.DUMMYFUNCTION("SUM(FILTER(Trabalho!$I$2:$I207,MONTH(Trabalho!$G$2:$G207)=C13,Trabalho!$B$2:$B207=B13,Trabalho!$A$2:$A207=A13))"),17.0)</f>
        <v>17</v>
      </c>
      <c r="T13" s="161">
        <f>IFERROR(__xludf.DUMMYFUNCTION("IFERROR(SUM(FILTER(Trabalho!$I$2:$I207,MONTH(Trabalho!$G$2:$G207)=C13,Trabalho!$B$2:$B207=B13,Trabalho!$J$2:$J207=TRUE,Trabalho!$K$2:$K207=TRUE, Trabalho!$A$2:$A207=A13)),0)"),17.0)</f>
        <v>17</v>
      </c>
      <c r="U13" s="162">
        <v>42.20660227932065</v>
      </c>
      <c r="V13" s="154">
        <v>717.5122387484511</v>
      </c>
    </row>
    <row r="14">
      <c r="A14" s="163" t="s">
        <v>92</v>
      </c>
      <c r="B14" s="164" t="s">
        <v>406</v>
      </c>
      <c r="C14" s="165">
        <v>8.0</v>
      </c>
      <c r="D14" s="135">
        <v>2025.0</v>
      </c>
      <c r="E14" s="164" t="s">
        <v>636</v>
      </c>
      <c r="F14" s="164" t="s">
        <v>68</v>
      </c>
      <c r="G14" s="137">
        <f>IFERROR(__xludf.DUMMYFUNCTION("IFERROR(filter(choosecols('# Salários'!$F:$Q,C14),'# Salários'!$C:$C=B14))"),5286.0)</f>
        <v>5286</v>
      </c>
      <c r="H14" s="166">
        <v>3256.6163013345</v>
      </c>
      <c r="I14" s="167">
        <v>8542.6163013345</v>
      </c>
      <c r="J14" s="140">
        <f>IFERROR(__xludf.DUMMYFUNCTION("filter('# Encargos folha'!E:E,MONTH('# Encargos folha'!$A:$A)=$C14)"),0.2)</f>
        <v>0.2</v>
      </c>
      <c r="K14" s="141">
        <f>IFERROR(__xludf.DUMMYFUNCTION("filter('# Encargos folha'!F:F,MONTH('# Encargos folha'!$A:$A)=$C14)"),0.058)</f>
        <v>0.058</v>
      </c>
      <c r="L14" s="142">
        <f>IFERROR(__xludf.DUMMYFUNCTION("filter('# Encargos folha'!G:G,MONTH('# Encargos folha'!$A:$A)=$C14)"),0.015)</f>
        <v>0.015</v>
      </c>
      <c r="M14" s="142">
        <f>IFERROR(__xludf.DUMMYFUNCTION("filter('# Encargos folha'!H:H,MONTH('# Encargos folha'!$A:$A)=$C14)"),0.08)</f>
        <v>0.08</v>
      </c>
      <c r="N14" s="142">
        <f t="shared" si="2"/>
        <v>0.11275</v>
      </c>
      <c r="O14" s="142">
        <f t="shared" si="3"/>
        <v>0.1503332958</v>
      </c>
      <c r="P14" s="168">
        <f t="shared" si="1"/>
        <v>0.6160832958</v>
      </c>
      <c r="Q14" s="145">
        <f t="array" ref="Q14">IFERROR(DGET(Dias_íteis,$Q$1,{$C$1;C14}),"")</f>
        <v>21</v>
      </c>
      <c r="R14" s="169">
        <v>184.8</v>
      </c>
      <c r="S14" s="147">
        <f>IFERROR(__xludf.DUMMYFUNCTION("SUM(FILTER(Trabalho!$I$2:$I207,MONTH(Trabalho!$G$2:$G207)=C14,Trabalho!$B$2:$B207=B14,Trabalho!$A$2:$A207=A14))"),17.0)</f>
        <v>17</v>
      </c>
      <c r="T14" s="147">
        <f>IFERROR(__xludf.DUMMYFUNCTION("IFERROR(SUM(FILTER(Trabalho!$I$2:$I207,MONTH(Trabalho!$G$2:$G207)=C14,Trabalho!$B$2:$B207=B14,Trabalho!$J$2:$J207=TRUE,Trabalho!$K$2:$K207=TRUE, Trabalho!$A$2:$A207=A14)),0)"),17.0)</f>
        <v>17</v>
      </c>
      <c r="U14" s="170">
        <v>46.22627868687499</v>
      </c>
      <c r="V14" s="167">
        <v>785.8467376768749</v>
      </c>
    </row>
    <row r="15">
      <c r="A15" s="148" t="s">
        <v>92</v>
      </c>
      <c r="B15" s="149" t="s">
        <v>406</v>
      </c>
      <c r="C15" s="150">
        <v>9.0</v>
      </c>
      <c r="D15" s="151">
        <v>2025.0</v>
      </c>
      <c r="E15" s="149" t="s">
        <v>636</v>
      </c>
      <c r="F15" s="149" t="s">
        <v>68</v>
      </c>
      <c r="G15" s="152">
        <f>IFERROR(__xludf.DUMMYFUNCTION("IFERROR(filter(choosecols('# Salários'!$F:$Q,C15),'# Salários'!$C:$C=B15))"),5286.0)</f>
        <v>5286</v>
      </c>
      <c r="H15" s="153">
        <v>3256.6163013345</v>
      </c>
      <c r="I15" s="154">
        <v>8542.6163013345</v>
      </c>
      <c r="J15" s="155">
        <f>IFERROR(__xludf.DUMMYFUNCTION("filter('# Encargos folha'!E:E,MONTH('# Encargos folha'!$A:$A)=$C15)"),0.2)</f>
        <v>0.2</v>
      </c>
      <c r="K15" s="156">
        <f>IFERROR(__xludf.DUMMYFUNCTION("filter('# Encargos folha'!F:F,MONTH('# Encargos folha'!$A:$A)=$C15)"),0.058)</f>
        <v>0.058</v>
      </c>
      <c r="L15" s="157">
        <f>IFERROR(__xludf.DUMMYFUNCTION("filter('# Encargos folha'!G:G,MONTH('# Encargos folha'!$A:$A)=$C15)"),0.015)</f>
        <v>0.015</v>
      </c>
      <c r="M15" s="157">
        <f>IFERROR(__xludf.DUMMYFUNCTION("filter('# Encargos folha'!H:H,MONTH('# Encargos folha'!$A:$A)=$C15)"),0.08)</f>
        <v>0.08</v>
      </c>
      <c r="N15" s="157">
        <f t="shared" si="2"/>
        <v>0.11275</v>
      </c>
      <c r="O15" s="157">
        <f t="shared" si="3"/>
        <v>0.1503332958</v>
      </c>
      <c r="P15" s="158">
        <f t="shared" si="1"/>
        <v>0.6160832958</v>
      </c>
      <c r="Q15" s="159">
        <f t="array" ref="Q15">IFERROR(DGET(Dias_íteis,$Q$1,{$C$1;C15}),"")</f>
        <v>21</v>
      </c>
      <c r="R15" s="160">
        <v>184.8</v>
      </c>
      <c r="S15" s="161">
        <f>IFERROR(__xludf.DUMMYFUNCTION("SUM(FILTER(Trabalho!$I$2:$I207,MONTH(Trabalho!$G$2:$G207)=C15,Trabalho!$B$2:$B207=B15,Trabalho!$A$2:$A207=A15))"),12.0)</f>
        <v>12</v>
      </c>
      <c r="T15" s="161">
        <f>IFERROR(__xludf.DUMMYFUNCTION("IFERROR(SUM(FILTER(Trabalho!$I$2:$I207,MONTH(Trabalho!$G$2:$G207)=C15,Trabalho!$B$2:$B207=B15,Trabalho!$J$2:$J207=TRUE,Trabalho!$K$2:$K207=TRUE, Trabalho!$A$2:$A207=A15)),0)"),12.0)</f>
        <v>12</v>
      </c>
      <c r="U15" s="162">
        <v>46.22627868687499</v>
      </c>
      <c r="V15" s="154">
        <v>554.7153442424999</v>
      </c>
    </row>
    <row r="16">
      <c r="A16" s="163" t="s">
        <v>92</v>
      </c>
      <c r="B16" s="164" t="s">
        <v>406</v>
      </c>
      <c r="C16" s="165">
        <v>10.0</v>
      </c>
      <c r="D16" s="135">
        <v>2025.0</v>
      </c>
      <c r="E16" s="164" t="s">
        <v>636</v>
      </c>
      <c r="F16" s="164" t="s">
        <v>68</v>
      </c>
      <c r="G16" s="137">
        <f>IFERROR(__xludf.DUMMYFUNCTION("IFERROR(filter(choosecols('# Salários'!$F:$Q,C16),'# Salários'!$C:$C=B16))"),5286.0)</f>
        <v>5286</v>
      </c>
      <c r="H16" s="166">
        <v>3406.25414785455</v>
      </c>
      <c r="I16" s="167">
        <v>8692.25414785455</v>
      </c>
      <c r="J16" s="140">
        <f>IFERROR(__xludf.DUMMYFUNCTION("filter('# Encargos folha'!E:E,MONTH('# Encargos folha'!$A:$A)=$C16)"),0.2)</f>
        <v>0.2</v>
      </c>
      <c r="K16" s="141">
        <f>IFERROR(__xludf.DUMMYFUNCTION("filter('# Encargos folha'!F:F,MONTH('# Encargos folha'!$A:$A)=$C16)"),0.058)</f>
        <v>0.058</v>
      </c>
      <c r="L16" s="142">
        <f>IFERROR(__xludf.DUMMYFUNCTION("filter('# Encargos folha'!G:G,MONTH('# Encargos folha'!$A:$A)=$C16)"),0.0387)</f>
        <v>0.0387</v>
      </c>
      <c r="M16" s="142">
        <f>IFERROR(__xludf.DUMMYFUNCTION("filter('# Encargos folha'!H:H,MONTH('# Encargos folha'!$A:$A)=$C16)"),0.08)</f>
        <v>0.08</v>
      </c>
      <c r="N16" s="142">
        <f t="shared" si="2"/>
        <v>0.114725</v>
      </c>
      <c r="O16" s="142">
        <f t="shared" si="3"/>
        <v>0.1529666284</v>
      </c>
      <c r="P16" s="168">
        <f t="shared" si="1"/>
        <v>0.6443916284</v>
      </c>
      <c r="Q16" s="145">
        <f t="array" ref="Q16">IFERROR(DGET(Dias_íteis,$Q$1,{$C$1;C16}),"")</f>
        <v>22</v>
      </c>
      <c r="R16" s="169">
        <v>193.60000000000002</v>
      </c>
      <c r="S16" s="147">
        <f>IFERROR(__xludf.DUMMYFUNCTION("SUM(FILTER(Trabalho!$I$2:$I207,MONTH(Trabalho!$G$2:$G207)=C16,Trabalho!$B$2:$B207=B16,Trabalho!$A$2:$A207=A16))"),34.0)</f>
        <v>34</v>
      </c>
      <c r="T16" s="147">
        <f>IFERROR(__xludf.DUMMYFUNCTION("IFERROR(SUM(FILTER(Trabalho!$I$2:$I207,MONTH(Trabalho!$G$2:$G207)=C16,Trabalho!$B$2:$B207=B16,Trabalho!$J$2:$J207=TRUE,Trabalho!$K$2:$K207=TRUE, Trabalho!$A$2:$A207=A16)),0)"),34.0)</f>
        <v>34</v>
      </c>
      <c r="U16" s="170">
        <v>44.89800696205862</v>
      </c>
      <c r="V16" s="167">
        <v>1526.5322367099932</v>
      </c>
    </row>
    <row r="17">
      <c r="A17" s="148" t="s">
        <v>92</v>
      </c>
      <c r="B17" s="149" t="s">
        <v>406</v>
      </c>
      <c r="C17" s="150">
        <v>11.0</v>
      </c>
      <c r="D17" s="151">
        <v>2025.0</v>
      </c>
      <c r="E17" s="149" t="s">
        <v>636</v>
      </c>
      <c r="F17" s="149" t="s">
        <v>68</v>
      </c>
      <c r="G17" s="152">
        <f>IFERROR(__xludf.DUMMYFUNCTION("IFERROR(filter(choosecols('# Salários'!$F:$Q,C17),'# Salários'!$C:$C=B17))"),5286.0)</f>
        <v>5286</v>
      </c>
      <c r="H17" s="153">
        <v>3406.25414785455</v>
      </c>
      <c r="I17" s="154">
        <v>8692.25414785455</v>
      </c>
      <c r="J17" s="155">
        <f>IFERROR(__xludf.DUMMYFUNCTION("filter('# Encargos folha'!E:E,MONTH('# Encargos folha'!$A:$A)=$C17)"),0.2)</f>
        <v>0.2</v>
      </c>
      <c r="K17" s="156">
        <f>IFERROR(__xludf.DUMMYFUNCTION("filter('# Encargos folha'!F:F,MONTH('# Encargos folha'!$A:$A)=$C17)"),0.058)</f>
        <v>0.058</v>
      </c>
      <c r="L17" s="157">
        <f>IFERROR(__xludf.DUMMYFUNCTION("filter('# Encargos folha'!G:G,MONTH('# Encargos folha'!$A:$A)=$C17)"),0.0387)</f>
        <v>0.0387</v>
      </c>
      <c r="M17" s="157">
        <f>IFERROR(__xludf.DUMMYFUNCTION("filter('# Encargos folha'!H:H,MONTH('# Encargos folha'!$A:$A)=$C17)"),0.08)</f>
        <v>0.08</v>
      </c>
      <c r="N17" s="157">
        <f t="shared" si="2"/>
        <v>0.114725</v>
      </c>
      <c r="O17" s="157">
        <f t="shared" si="3"/>
        <v>0.1529666284</v>
      </c>
      <c r="P17" s="158">
        <f t="shared" si="1"/>
        <v>0.6443916284</v>
      </c>
      <c r="Q17" s="159">
        <f t="array" ref="Q17">IFERROR(DGET(Dias_íteis,$Q$1,{$C$1;C17}),"")</f>
        <v>19</v>
      </c>
      <c r="R17" s="160">
        <v>167.20000000000002</v>
      </c>
      <c r="S17" s="161">
        <f>IFERROR(__xludf.DUMMYFUNCTION("SUM(FILTER(Trabalho!$I$2:$I207,MONTH(Trabalho!$G$2:$G207)=C17,Trabalho!$B$2:$B207=B17,Trabalho!$A$2:$A207=A17))"),15.5)</f>
        <v>15.5</v>
      </c>
      <c r="T17" s="161">
        <f>IFERROR(__xludf.DUMMYFUNCTION("IFERROR(SUM(FILTER(Trabalho!$I$2:$I207,MONTH(Trabalho!$G$2:$G207)=C17,Trabalho!$B$2:$B207=B17,Trabalho!$J$2:$J207=TRUE,Trabalho!$K$2:$K207=TRUE, Trabalho!$A$2:$A207=A17)),0)"),15.5)</f>
        <v>15.5</v>
      </c>
      <c r="U17" s="162">
        <v>51.98716595606788</v>
      </c>
      <c r="V17" s="154">
        <v>805.8010723190521</v>
      </c>
    </row>
    <row r="18">
      <c r="A18" s="163" t="s">
        <v>92</v>
      </c>
      <c r="B18" s="164" t="s">
        <v>406</v>
      </c>
      <c r="C18" s="165">
        <v>12.0</v>
      </c>
      <c r="D18" s="135">
        <v>2025.0</v>
      </c>
      <c r="E18" s="164" t="s">
        <v>636</v>
      </c>
      <c r="F18" s="164" t="s">
        <v>68</v>
      </c>
      <c r="G18" s="137">
        <f>IFERROR(__xludf.DUMMYFUNCTION("IFERROR(filter(choosecols('# Salários'!$F:$Q,C18),'# Salários'!$C:$C=B18))"),5286.0)</f>
        <v>5286</v>
      </c>
      <c r="H18" s="166">
        <v>3406.25414785455</v>
      </c>
      <c r="I18" s="167">
        <v>8692.25414785455</v>
      </c>
      <c r="J18" s="140">
        <f>IFERROR(__xludf.DUMMYFUNCTION("filter('# Encargos folha'!E:E,MONTH('# Encargos folha'!$A:$A)=$C18)"),0.2)</f>
        <v>0.2</v>
      </c>
      <c r="K18" s="141">
        <f>IFERROR(__xludf.DUMMYFUNCTION("filter('# Encargos folha'!F:F,MONTH('# Encargos folha'!$A:$A)=$C18)"),0.058)</f>
        <v>0.058</v>
      </c>
      <c r="L18" s="142">
        <f>IFERROR(__xludf.DUMMYFUNCTION("filter('# Encargos folha'!G:G,MONTH('# Encargos folha'!$A:$A)=$C18)"),0.0387)</f>
        <v>0.0387</v>
      </c>
      <c r="M18" s="142">
        <f>IFERROR(__xludf.DUMMYFUNCTION("filter('# Encargos folha'!H:H,MONTH('# Encargos folha'!$A:$A)=$C18)"),0.08)</f>
        <v>0.08</v>
      </c>
      <c r="N18" s="142">
        <f t="shared" si="2"/>
        <v>0.114725</v>
      </c>
      <c r="O18" s="142">
        <f t="shared" si="3"/>
        <v>0.1529666284</v>
      </c>
      <c r="P18" s="168">
        <f t="shared" si="1"/>
        <v>0.6443916284</v>
      </c>
      <c r="Q18" s="145">
        <f t="array" ref="Q18">IFERROR(DGET(Dias_íteis,$Q$1,{$C$1;C18}),"")</f>
        <v>22</v>
      </c>
      <c r="R18" s="169">
        <v>193.60000000000002</v>
      </c>
      <c r="S18" s="147">
        <f>IFERROR(__xludf.DUMMYFUNCTION("SUM(FILTER(Trabalho!$I$2:$I207,MONTH(Trabalho!$G$2:$G207)=C18,Trabalho!$B$2:$B207=B18,Trabalho!$A$2:$A207=A18))"),7.0)</f>
        <v>7</v>
      </c>
      <c r="T18" s="147">
        <f>IFERROR(__xludf.DUMMYFUNCTION("IFERROR(SUM(FILTER(Trabalho!$I$2:$I207,MONTH(Trabalho!$G$2:$G207)=C18,Trabalho!$B$2:$B207=B18,Trabalho!$J$2:$J207=TRUE,Trabalho!$K$2:$K207=TRUE, Trabalho!$A$2:$A207=A18)),0)"),7.0)</f>
        <v>7</v>
      </c>
      <c r="U18" s="170">
        <v>44.89800696205862</v>
      </c>
      <c r="V18" s="167">
        <v>314.2860487344104</v>
      </c>
    </row>
    <row r="19">
      <c r="A19" s="148" t="s">
        <v>92</v>
      </c>
      <c r="B19" s="149" t="s">
        <v>426</v>
      </c>
      <c r="C19" s="150">
        <v>10.0</v>
      </c>
      <c r="D19" s="151">
        <v>2025.0</v>
      </c>
      <c r="E19" s="149" t="s">
        <v>637</v>
      </c>
      <c r="F19" s="149" t="s">
        <v>638</v>
      </c>
      <c r="G19" s="152">
        <f>IFERROR(__xludf.DUMMYFUNCTION("IFERROR(filter(choosecols('# Salários'!$F:$Q,C19),'# Salários'!$C:$C=B19))"),7693.0)</f>
        <v>7693</v>
      </c>
      <c r="H19" s="153">
        <v>4957.304797473525</v>
      </c>
      <c r="I19" s="154">
        <v>12650.304797473524</v>
      </c>
      <c r="J19" s="155">
        <f>IFERROR(__xludf.DUMMYFUNCTION("filter('# Encargos folha'!E:E,MONTH('# Encargos folha'!$A:$A)=$C19)"),0.2)</f>
        <v>0.2</v>
      </c>
      <c r="K19" s="156">
        <f>IFERROR(__xludf.DUMMYFUNCTION("filter('# Encargos folha'!F:F,MONTH('# Encargos folha'!$A:$A)=$C19)"),0.058)</f>
        <v>0.058</v>
      </c>
      <c r="L19" s="157">
        <f>IFERROR(__xludf.DUMMYFUNCTION("filter('# Encargos folha'!G:G,MONTH('# Encargos folha'!$A:$A)=$C19)"),0.0387)</f>
        <v>0.0387</v>
      </c>
      <c r="M19" s="157">
        <f>IFERROR(__xludf.DUMMYFUNCTION("filter('# Encargos folha'!H:H,MONTH('# Encargos folha'!$A:$A)=$C19)"),0.08)</f>
        <v>0.08</v>
      </c>
      <c r="N19" s="157">
        <f t="shared" si="2"/>
        <v>0.114725</v>
      </c>
      <c r="O19" s="157">
        <f t="shared" si="3"/>
        <v>0.1529666284</v>
      </c>
      <c r="P19" s="158">
        <f t="shared" si="1"/>
        <v>0.6443916284</v>
      </c>
      <c r="Q19" s="159">
        <f t="array" ref="Q19">IFERROR(DGET(Dias_íteis,$Q$1,{$C$1;C19}),"")</f>
        <v>22</v>
      </c>
      <c r="R19" s="160">
        <v>193.60000000000002</v>
      </c>
      <c r="S19" s="161">
        <f>IFERROR(__xludf.DUMMYFUNCTION("SUM(FILTER(Trabalho!$I$2:$I207,MONTH(Trabalho!$G$2:$G207)=C19,Trabalho!$B$2:$B207=B19,Trabalho!$A$2:$A207=A19))"),24.0)</f>
        <v>24</v>
      </c>
      <c r="T19" s="161">
        <f>IFERROR(__xludf.DUMMYFUNCTION("IFERROR(SUM(FILTER(Trabalho!$I$2:$I207,MONTH(Trabalho!$G$2:$G207)=C19,Trabalho!$B$2:$B207=B19,Trabalho!$J$2:$J207=TRUE,Trabalho!$K$2:$K207=TRUE, Trabalho!$A$2:$A207=A19)),0)"),24.0)</f>
        <v>24</v>
      </c>
      <c r="U19" s="162">
        <v>65.34248345802439</v>
      </c>
      <c r="V19" s="154">
        <v>1568.2196029925854</v>
      </c>
    </row>
    <row r="20">
      <c r="A20" s="163" t="s">
        <v>92</v>
      </c>
      <c r="B20" s="164" t="s">
        <v>426</v>
      </c>
      <c r="C20" s="165">
        <v>11.0</v>
      </c>
      <c r="D20" s="135">
        <v>2025.0</v>
      </c>
      <c r="E20" s="164" t="s">
        <v>637</v>
      </c>
      <c r="F20" s="164" t="s">
        <v>638</v>
      </c>
      <c r="G20" s="137">
        <f>IFERROR(__xludf.DUMMYFUNCTION("IFERROR(filter(choosecols('# Salários'!$F:$Q,C20),'# Salários'!$C:$C=B20))"),7693.0)</f>
        <v>7693</v>
      </c>
      <c r="H20" s="166">
        <v>4957.304797473525</v>
      </c>
      <c r="I20" s="167">
        <v>12650.304797473524</v>
      </c>
      <c r="J20" s="140">
        <f>IFERROR(__xludf.DUMMYFUNCTION("filter('# Encargos folha'!E:E,MONTH('# Encargos folha'!$A:$A)=$C20)"),0.2)</f>
        <v>0.2</v>
      </c>
      <c r="K20" s="141">
        <f>IFERROR(__xludf.DUMMYFUNCTION("filter('# Encargos folha'!F:F,MONTH('# Encargos folha'!$A:$A)=$C20)"),0.058)</f>
        <v>0.058</v>
      </c>
      <c r="L20" s="142">
        <f>IFERROR(__xludf.DUMMYFUNCTION("filter('# Encargos folha'!G:G,MONTH('# Encargos folha'!$A:$A)=$C20)"),0.0387)</f>
        <v>0.0387</v>
      </c>
      <c r="M20" s="142">
        <f>IFERROR(__xludf.DUMMYFUNCTION("filter('# Encargos folha'!H:H,MONTH('# Encargos folha'!$A:$A)=$C20)"),0.08)</f>
        <v>0.08</v>
      </c>
      <c r="N20" s="142">
        <f t="shared" si="2"/>
        <v>0.114725</v>
      </c>
      <c r="O20" s="142">
        <f t="shared" si="3"/>
        <v>0.1529666284</v>
      </c>
      <c r="P20" s="168">
        <f t="shared" si="1"/>
        <v>0.6443916284</v>
      </c>
      <c r="Q20" s="145">
        <f t="array" ref="Q20">IFERROR(DGET(Dias_íteis,$Q$1,{$C$1;C20}),"")</f>
        <v>19</v>
      </c>
      <c r="R20" s="169">
        <v>167.20000000000002</v>
      </c>
      <c r="S20" s="147">
        <f>IFERROR(__xludf.DUMMYFUNCTION("SUM(FILTER(Trabalho!$I$2:$I207,MONTH(Trabalho!$G$2:$G207)=C20,Trabalho!$B$2:$B207=B20,Trabalho!$A$2:$A207=A20))"),2.0)</f>
        <v>2</v>
      </c>
      <c r="T20" s="147">
        <f>IFERROR(__xludf.DUMMYFUNCTION("IFERROR(SUM(FILTER(Trabalho!$I$2:$I207,MONTH(Trabalho!$G$2:$G207)=C20,Trabalho!$B$2:$B207=B20,Trabalho!$J$2:$J207=TRUE,Trabalho!$K$2:$K207=TRUE, Trabalho!$A$2:$A207=A20)),0)"),2.0)</f>
        <v>2</v>
      </c>
      <c r="U20" s="170">
        <v>75.65971768823877</v>
      </c>
      <c r="V20" s="167">
        <v>151.31943537647754</v>
      </c>
    </row>
    <row r="21">
      <c r="A21" s="148" t="s">
        <v>92</v>
      </c>
      <c r="B21" s="149" t="s">
        <v>319</v>
      </c>
      <c r="C21" s="150">
        <v>1.0</v>
      </c>
      <c r="D21" s="151">
        <v>2025.0</v>
      </c>
      <c r="E21" s="149" t="s">
        <v>639</v>
      </c>
      <c r="F21" s="149" t="s">
        <v>638</v>
      </c>
      <c r="G21" s="152">
        <f>IFERROR(__xludf.DUMMYFUNCTION("IFERROR(filter(choosecols('# Salários'!$F:$Q,C21),'# Salários'!$C:$C=B21))"),5481.24)</f>
        <v>5481.24</v>
      </c>
      <c r="H21" s="153">
        <v>3475.10595171288</v>
      </c>
      <c r="I21" s="154">
        <v>8956.34595171288</v>
      </c>
      <c r="J21" s="155">
        <f>IFERROR(__xludf.DUMMYFUNCTION("filter('# Encargos folha'!E:E,MONTH('# Encargos folha'!$A:$A)=$C21)"),0.2)</f>
        <v>0.2</v>
      </c>
      <c r="K21" s="156">
        <f>IFERROR(__xludf.DUMMYFUNCTION("filter('# Encargos folha'!F:F,MONTH('# Encargos folha'!$A:$A)=$C21)"),0.058)</f>
        <v>0.058</v>
      </c>
      <c r="L21" s="157">
        <f>IFERROR(__xludf.DUMMYFUNCTION("filter('# Encargos folha'!G:G,MONTH('# Encargos folha'!$A:$A)=$C21)"),0.03)</f>
        <v>0.03</v>
      </c>
      <c r="M21" s="157">
        <f>IFERROR(__xludf.DUMMYFUNCTION("filter('# Encargos folha'!H:H,MONTH('# Encargos folha'!$A:$A)=$C21)"),0.08)</f>
        <v>0.08</v>
      </c>
      <c r="N21" s="157">
        <f t="shared" si="2"/>
        <v>0.114</v>
      </c>
      <c r="O21" s="157">
        <f t="shared" si="3"/>
        <v>0.151999962</v>
      </c>
      <c r="P21" s="158">
        <f t="shared" si="1"/>
        <v>0.633999962</v>
      </c>
      <c r="Q21" s="159">
        <f t="array" ref="Q21">IFERROR(DGET(Dias_íteis,$Q$1,{$C$1;C21}),"")</f>
        <v>22</v>
      </c>
      <c r="R21" s="160">
        <v>193.60000000000002</v>
      </c>
      <c r="S21" s="161">
        <f>IFERROR(__xludf.DUMMYFUNCTION("SUM(FILTER(Trabalho!$I$2:$I207,MONTH(Trabalho!$G$2:$G207)=C21,Trabalho!$B$2:$B207=B21,Trabalho!$A$2:$A207=A21))"),10.0)</f>
        <v>10</v>
      </c>
      <c r="T21" s="161">
        <f>IFERROR(__xludf.DUMMYFUNCTION("IFERROR(SUM(FILTER(Trabalho!$I$2:$I207,MONTH(Trabalho!$G$2:$G207)=C21,Trabalho!$B$2:$B207=B21,Trabalho!$J$2:$J207=TRUE,Trabalho!$K$2:$K207=TRUE, Trabalho!$A$2:$A207=A21)),0)"),10.0)</f>
        <v>10</v>
      </c>
      <c r="U21" s="162">
        <v>46.26211751917809</v>
      </c>
      <c r="V21" s="154">
        <v>462.62117519178094</v>
      </c>
    </row>
    <row r="22">
      <c r="A22" s="163" t="s">
        <v>92</v>
      </c>
      <c r="B22" s="164" t="s">
        <v>319</v>
      </c>
      <c r="C22" s="165">
        <v>2.0</v>
      </c>
      <c r="D22" s="135">
        <v>2025.0</v>
      </c>
      <c r="E22" s="164" t="s">
        <v>639</v>
      </c>
      <c r="F22" s="164" t="s">
        <v>638</v>
      </c>
      <c r="G22" s="137">
        <f>IFERROR(__xludf.DUMMYFUNCTION("IFERROR(filter(choosecols('# Salários'!$F:$Q,C22),'# Salários'!$C:$C=B22))"),5481.24)</f>
        <v>5481.24</v>
      </c>
      <c r="H22" s="166">
        <v>3475.10595171288</v>
      </c>
      <c r="I22" s="167">
        <v>8956.34595171288</v>
      </c>
      <c r="J22" s="140">
        <f>IFERROR(__xludf.DUMMYFUNCTION("filter('# Encargos folha'!E:E,MONTH('# Encargos folha'!$A:$A)=$C22)"),0.2)</f>
        <v>0.2</v>
      </c>
      <c r="K22" s="141">
        <f>IFERROR(__xludf.DUMMYFUNCTION("filter('# Encargos folha'!F:F,MONTH('# Encargos folha'!$A:$A)=$C22)"),0.058)</f>
        <v>0.058</v>
      </c>
      <c r="L22" s="142">
        <f>IFERROR(__xludf.DUMMYFUNCTION("filter('# Encargos folha'!G:G,MONTH('# Encargos folha'!$A:$A)=$C22)"),0.03)</f>
        <v>0.03</v>
      </c>
      <c r="M22" s="142">
        <f>IFERROR(__xludf.DUMMYFUNCTION("filter('# Encargos folha'!H:H,MONTH('# Encargos folha'!$A:$A)=$C22)"),0.08)</f>
        <v>0.08</v>
      </c>
      <c r="N22" s="142">
        <f t="shared" si="2"/>
        <v>0.114</v>
      </c>
      <c r="O22" s="142">
        <f t="shared" si="3"/>
        <v>0.151999962</v>
      </c>
      <c r="P22" s="168">
        <f t="shared" si="1"/>
        <v>0.633999962</v>
      </c>
      <c r="Q22" s="145">
        <f t="array" ref="Q22">IFERROR(DGET(Dias_íteis,$Q$1,{$C$1;C22}),"")</f>
        <v>19</v>
      </c>
      <c r="R22" s="169">
        <v>167.20000000000002</v>
      </c>
      <c r="S22" s="147">
        <f>IFERROR(__xludf.DUMMYFUNCTION("SUM(FILTER(Trabalho!$I$2:$I207,MONTH(Trabalho!$G$2:$G207)=C22,Trabalho!$B$2:$B207=B22,Trabalho!$A$2:$A207=A22))"),2.0)</f>
        <v>2</v>
      </c>
      <c r="T22" s="147">
        <f>IFERROR(__xludf.DUMMYFUNCTION("IFERROR(SUM(FILTER(Trabalho!$I$2:$I207,MONTH(Trabalho!$G$2:$G207)=C22,Trabalho!$B$2:$B207=B22,Trabalho!$J$2:$J207=TRUE,Trabalho!$K$2:$K207=TRUE, Trabalho!$A$2:$A207=A22)),0)"),2.0)</f>
        <v>2</v>
      </c>
      <c r="U22" s="170">
        <v>53.566662390627265</v>
      </c>
      <c r="V22" s="167">
        <v>107.13332478125453</v>
      </c>
    </row>
    <row r="23">
      <c r="A23" s="148" t="s">
        <v>92</v>
      </c>
      <c r="B23" s="149" t="s">
        <v>319</v>
      </c>
      <c r="C23" s="150">
        <v>3.0</v>
      </c>
      <c r="D23" s="151">
        <v>2025.0</v>
      </c>
      <c r="E23" s="149" t="s">
        <v>639</v>
      </c>
      <c r="F23" s="149" t="s">
        <v>638</v>
      </c>
      <c r="G23" s="152">
        <f>IFERROR(__xludf.DUMMYFUNCTION("IFERROR(filter(choosecols('# Salários'!$F:$Q,C23),'# Salários'!$C:$C=B23))"),5481.24)</f>
        <v>5481.24</v>
      </c>
      <c r="H23" s="153">
        <v>3475.10595171288</v>
      </c>
      <c r="I23" s="154">
        <v>8956.34595171288</v>
      </c>
      <c r="J23" s="155">
        <f>IFERROR(__xludf.DUMMYFUNCTION("filter('# Encargos folha'!E:E,MONTH('# Encargos folha'!$A:$A)=$C23)"),0.2)</f>
        <v>0.2</v>
      </c>
      <c r="K23" s="156">
        <f>IFERROR(__xludf.DUMMYFUNCTION("filter('# Encargos folha'!F:F,MONTH('# Encargos folha'!$A:$A)=$C23)"),0.058)</f>
        <v>0.058</v>
      </c>
      <c r="L23" s="157">
        <f>IFERROR(__xludf.DUMMYFUNCTION("filter('# Encargos folha'!G:G,MONTH('# Encargos folha'!$A:$A)=$C23)"),0.03)</f>
        <v>0.03</v>
      </c>
      <c r="M23" s="157">
        <f>IFERROR(__xludf.DUMMYFUNCTION("filter('# Encargos folha'!H:H,MONTH('# Encargos folha'!$A:$A)=$C23)"),0.08)</f>
        <v>0.08</v>
      </c>
      <c r="N23" s="157">
        <f t="shared" si="2"/>
        <v>0.114</v>
      </c>
      <c r="O23" s="157">
        <f t="shared" si="3"/>
        <v>0.151999962</v>
      </c>
      <c r="P23" s="158">
        <f t="shared" si="1"/>
        <v>0.633999962</v>
      </c>
      <c r="Q23" s="159">
        <f t="array" ref="Q23">IFERROR(DGET(Dias_íteis,$Q$1,{$C$1;C23}),"")</f>
        <v>18</v>
      </c>
      <c r="R23" s="160">
        <v>158.4</v>
      </c>
      <c r="S23" s="161">
        <f>IFERROR(__xludf.DUMMYFUNCTION("SUM(FILTER(Trabalho!$I$2:$I207,MONTH(Trabalho!$G$2:$G207)=C23,Trabalho!$B$2:$B207=B23,Trabalho!$A$2:$A207=A23))"),15.0)</f>
        <v>15</v>
      </c>
      <c r="T23" s="161">
        <f>IFERROR(__xludf.DUMMYFUNCTION("IFERROR(SUM(FILTER(Trabalho!$I$2:$I207,MONTH(Trabalho!$G$2:$G207)=C23,Trabalho!$B$2:$B207=B23,Trabalho!$J$2:$J207=TRUE,Trabalho!$K$2:$K207=TRUE, Trabalho!$A$2:$A207=A23)),0)"),15.0)</f>
        <v>15</v>
      </c>
      <c r="U23" s="162">
        <v>56.54258807899545</v>
      </c>
      <c r="V23" s="154">
        <v>848.1388211849318</v>
      </c>
    </row>
    <row r="24">
      <c r="A24" s="163" t="s">
        <v>98</v>
      </c>
      <c r="B24" s="164" t="s">
        <v>251</v>
      </c>
      <c r="C24" s="165">
        <v>2.0</v>
      </c>
      <c r="D24" s="135">
        <v>2025.0</v>
      </c>
      <c r="E24" s="164" t="s">
        <v>635</v>
      </c>
      <c r="F24" s="164" t="s">
        <v>68</v>
      </c>
      <c r="G24" s="137">
        <f>IFERROR(__xludf.DUMMYFUNCTION("IFERROR(filter(choosecols('# Salários'!$F:$Q,C24),'# Salários'!$C:$C=B24))"),5481.24)</f>
        <v>5481.24</v>
      </c>
      <c r="H24" s="166">
        <v>3475.10595171288</v>
      </c>
      <c r="I24" s="167">
        <v>8956.34595171288</v>
      </c>
      <c r="J24" s="140">
        <f>IFERROR(__xludf.DUMMYFUNCTION("filter('# Encargos folha'!E:E,MONTH('# Encargos folha'!$A:$A)=$C24)"),0.2)</f>
        <v>0.2</v>
      </c>
      <c r="K24" s="141">
        <f>IFERROR(__xludf.DUMMYFUNCTION("filter('# Encargos folha'!F:F,MONTH('# Encargos folha'!$A:$A)=$C24)"),0.058)</f>
        <v>0.058</v>
      </c>
      <c r="L24" s="142">
        <f>IFERROR(__xludf.DUMMYFUNCTION("filter('# Encargos folha'!G:G,MONTH('# Encargos folha'!$A:$A)=$C24)"),0.03)</f>
        <v>0.03</v>
      </c>
      <c r="M24" s="142">
        <f>IFERROR(__xludf.DUMMYFUNCTION("filter('# Encargos folha'!H:H,MONTH('# Encargos folha'!$A:$A)=$C24)"),0.08)</f>
        <v>0.08</v>
      </c>
      <c r="N24" s="142">
        <f t="shared" si="2"/>
        <v>0.114</v>
      </c>
      <c r="O24" s="142">
        <f t="shared" si="3"/>
        <v>0.151999962</v>
      </c>
      <c r="P24" s="168">
        <f t="shared" si="1"/>
        <v>0.633999962</v>
      </c>
      <c r="Q24" s="145">
        <f t="array" ref="Q24">IFERROR(DGET(Dias_íteis,$Q$1,{$C$1;C24}),"")</f>
        <v>19</v>
      </c>
      <c r="R24" s="169">
        <v>167.20000000000002</v>
      </c>
      <c r="S24" s="147">
        <f>IFERROR(__xludf.DUMMYFUNCTION("SUM(FILTER(Trabalho!$I$2:$I207,MONTH(Trabalho!$G$2:$G207)=C24,Trabalho!$B$2:$B207=B24,Trabalho!$A$2:$A207=A24))"),0.75)</f>
        <v>0.75</v>
      </c>
      <c r="T24" s="147">
        <f>IFERROR(__xludf.DUMMYFUNCTION("IFERROR(SUM(FILTER(Trabalho!$I$2:$I207,MONTH(Trabalho!$G$2:$G207)=C24,Trabalho!$B$2:$B207=B24,Trabalho!$J$2:$J207=TRUE,Trabalho!$K$2:$K207=TRUE, Trabalho!$A$2:$A207=A24)),0)"),0.0)</f>
        <v>0</v>
      </c>
      <c r="U24" s="170">
        <v>53.566662390627265</v>
      </c>
      <c r="V24" s="167">
        <v>0.0</v>
      </c>
    </row>
    <row r="25">
      <c r="A25" s="148" t="s">
        <v>98</v>
      </c>
      <c r="B25" s="149" t="s">
        <v>251</v>
      </c>
      <c r="C25" s="150">
        <v>5.0</v>
      </c>
      <c r="D25" s="151">
        <v>2025.0</v>
      </c>
      <c r="E25" s="149" t="s">
        <v>635</v>
      </c>
      <c r="F25" s="149" t="s">
        <v>68</v>
      </c>
      <c r="G25" s="152">
        <f>IFERROR(__xludf.DUMMYFUNCTION("IFERROR(filter(choosecols('# Salários'!$F:$Q,C25),'# Salários'!$C:$C=B25))"),5481.24)</f>
        <v>5481.24</v>
      </c>
      <c r="H25" s="153">
        <v>3376.90040399673</v>
      </c>
      <c r="I25" s="154">
        <v>8858.14040399673</v>
      </c>
      <c r="J25" s="155">
        <f>IFERROR(__xludf.DUMMYFUNCTION("filter('# Encargos folha'!E:E,MONTH('# Encargos folha'!$A:$A)=$C25)"),0.2)</f>
        <v>0.2</v>
      </c>
      <c r="K25" s="156">
        <f>IFERROR(__xludf.DUMMYFUNCTION("filter('# Encargos folha'!F:F,MONTH('# Encargos folha'!$A:$A)=$C25)"),0.058)</f>
        <v>0.058</v>
      </c>
      <c r="L25" s="157">
        <f>IFERROR(__xludf.DUMMYFUNCTION("filter('# Encargos folha'!G:G,MONTH('# Encargos folha'!$A:$A)=$C25)"),0.015)</f>
        <v>0.015</v>
      </c>
      <c r="M25" s="157">
        <f>IFERROR(__xludf.DUMMYFUNCTION("filter('# Encargos folha'!H:H,MONTH('# Encargos folha'!$A:$A)=$C25)"),0.08)</f>
        <v>0.08</v>
      </c>
      <c r="N25" s="157">
        <f t="shared" si="2"/>
        <v>0.11275</v>
      </c>
      <c r="O25" s="157">
        <f t="shared" si="3"/>
        <v>0.1503332958</v>
      </c>
      <c r="P25" s="158">
        <f t="shared" si="1"/>
        <v>0.6160832958</v>
      </c>
      <c r="Q25" s="159">
        <f t="array" ref="Q25">IFERROR(DGET(Dias_íteis,$Q$1,{$C$1;C25}),"")</f>
        <v>21</v>
      </c>
      <c r="R25" s="160">
        <v>184.8</v>
      </c>
      <c r="S25" s="161">
        <f>IFERROR(__xludf.DUMMYFUNCTION("SUM(FILTER(Trabalho!$I$2:$I207,MONTH(Trabalho!$G$2:$G207)=C25,Trabalho!$B$2:$B207=B25,Trabalho!$A$2:$A207=A25))"),1.5)</f>
        <v>1.5</v>
      </c>
      <c r="T25" s="161">
        <f>IFERROR(__xludf.DUMMYFUNCTION("IFERROR(SUM(FILTER(Trabalho!$I$2:$I207,MONTH(Trabalho!$G$2:$G207)=C25,Trabalho!$B$2:$B207=B25,Trabalho!$J$2:$J207=TRUE,Trabalho!$K$2:$K207=TRUE, Trabalho!$A$2:$A207=A25)),0)"),1.5)</f>
        <v>1.5</v>
      </c>
      <c r="U25" s="162">
        <v>47.93366019478749</v>
      </c>
      <c r="V25" s="154">
        <v>71.90049029218125</v>
      </c>
    </row>
    <row r="26">
      <c r="A26" s="163" t="s">
        <v>98</v>
      </c>
      <c r="B26" s="164" t="s">
        <v>290</v>
      </c>
      <c r="C26" s="165">
        <v>2.0</v>
      </c>
      <c r="D26" s="135">
        <v>2025.0</v>
      </c>
      <c r="E26" s="164" t="s">
        <v>640</v>
      </c>
      <c r="F26" s="164" t="s">
        <v>66</v>
      </c>
      <c r="G26" s="137">
        <f>IFERROR(__xludf.DUMMYFUNCTION("IFERROR(filter(choosecols('# Salários'!$F:$Q,C26),'# Salários'!$C:$C=B26))"),6143.46)</f>
        <v>6143.46</v>
      </c>
      <c r="H26" s="166">
        <v>3894.9534065485204</v>
      </c>
      <c r="I26" s="167">
        <v>10038.41340654852</v>
      </c>
      <c r="J26" s="140">
        <f>IFERROR(__xludf.DUMMYFUNCTION("filter('# Encargos folha'!E:E,MONTH('# Encargos folha'!$A:$A)=$C26)"),0.2)</f>
        <v>0.2</v>
      </c>
      <c r="K26" s="141">
        <f>IFERROR(__xludf.DUMMYFUNCTION("filter('# Encargos folha'!F:F,MONTH('# Encargos folha'!$A:$A)=$C26)"),0.058)</f>
        <v>0.058</v>
      </c>
      <c r="L26" s="142">
        <f>IFERROR(__xludf.DUMMYFUNCTION("filter('# Encargos folha'!G:G,MONTH('# Encargos folha'!$A:$A)=$C26)"),0.03)</f>
        <v>0.03</v>
      </c>
      <c r="M26" s="142">
        <f>IFERROR(__xludf.DUMMYFUNCTION("filter('# Encargos folha'!H:H,MONTH('# Encargos folha'!$A:$A)=$C26)"),0.08)</f>
        <v>0.08</v>
      </c>
      <c r="N26" s="142">
        <f t="shared" si="2"/>
        <v>0.114</v>
      </c>
      <c r="O26" s="142">
        <f t="shared" si="3"/>
        <v>0.151999962</v>
      </c>
      <c r="P26" s="168">
        <f t="shared" si="1"/>
        <v>0.633999962</v>
      </c>
      <c r="Q26" s="145">
        <f t="array" ref="Q26">IFERROR(DGET(Dias_íteis,$Q$1,{$C$1;C26}),"")</f>
        <v>19</v>
      </c>
      <c r="R26" s="169">
        <v>167.20000000000002</v>
      </c>
      <c r="S26" s="147">
        <f>IFERROR(__xludf.DUMMYFUNCTION("SUM(FILTER(Trabalho!$I$2:$I207,MONTH(Trabalho!$G$2:$G207)=C26,Trabalho!$B$2:$B207=B26,Trabalho!$A$2:$A207=A26))"),0.5)</f>
        <v>0.5</v>
      </c>
      <c r="T26" s="147">
        <f>IFERROR(__xludf.DUMMYFUNCTION("IFERROR(SUM(FILTER(Trabalho!$I$2:$I207,MONTH(Trabalho!$G$2:$G207)=C26,Trabalho!$B$2:$B207=B26,Trabalho!$J$2:$J207=TRUE,Trabalho!$K$2:$K207=TRUE, Trabalho!$A$2:$A207=A26)),0)"),0.5)</f>
        <v>0.5</v>
      </c>
      <c r="U26" s="170">
        <v>60.03835769466817</v>
      </c>
      <c r="V26" s="167">
        <v>30.019178847334086</v>
      </c>
    </row>
    <row r="27">
      <c r="A27" s="148" t="s">
        <v>98</v>
      </c>
      <c r="B27" s="149" t="s">
        <v>290</v>
      </c>
      <c r="C27" s="150">
        <v>7.0</v>
      </c>
      <c r="D27" s="151">
        <v>2025.0</v>
      </c>
      <c r="E27" s="149" t="s">
        <v>640</v>
      </c>
      <c r="F27" s="149" t="s">
        <v>66</v>
      </c>
      <c r="G27" s="152">
        <f>IFERROR(__xludf.DUMMYFUNCTION("IFERROR(filter(choosecols('# Salários'!$F:$Q,C27),'# Salários'!$C:$C=B27))"),6532.0)</f>
        <v>6532</v>
      </c>
      <c r="H27" s="153">
        <v>4024.256087839</v>
      </c>
      <c r="I27" s="154">
        <v>10556.256087839</v>
      </c>
      <c r="J27" s="155">
        <f>IFERROR(__xludf.DUMMYFUNCTION("filter('# Encargos folha'!E:E,MONTH('# Encargos folha'!$A:$A)=$C27)"),0.2)</f>
        <v>0.2</v>
      </c>
      <c r="K27" s="156">
        <f>IFERROR(__xludf.DUMMYFUNCTION("filter('# Encargos folha'!F:F,MONTH('# Encargos folha'!$A:$A)=$C27)"),0.058)</f>
        <v>0.058</v>
      </c>
      <c r="L27" s="157">
        <f>IFERROR(__xludf.DUMMYFUNCTION("filter('# Encargos folha'!G:G,MONTH('# Encargos folha'!$A:$A)=$C27)"),0.015)</f>
        <v>0.015</v>
      </c>
      <c r="M27" s="157">
        <f>IFERROR(__xludf.DUMMYFUNCTION("filter('# Encargos folha'!H:H,MONTH('# Encargos folha'!$A:$A)=$C27)"),0.08)</f>
        <v>0.08</v>
      </c>
      <c r="N27" s="157">
        <f t="shared" si="2"/>
        <v>0.11275</v>
      </c>
      <c r="O27" s="157">
        <f t="shared" si="3"/>
        <v>0.1503332958</v>
      </c>
      <c r="P27" s="158">
        <f t="shared" si="1"/>
        <v>0.6160832958</v>
      </c>
      <c r="Q27" s="159">
        <f t="array" ref="Q27">IFERROR(DGET(Dias_íteis,$Q$1,{$C$1;C27}),"")</f>
        <v>23</v>
      </c>
      <c r="R27" s="160">
        <v>202.4</v>
      </c>
      <c r="S27" s="161">
        <f>IFERROR(__xludf.DUMMYFUNCTION("SUM(FILTER(Trabalho!$I$2:$I207,MONTH(Trabalho!$G$2:$G207)=C27,Trabalho!$B$2:$B207=B27,Trabalho!$A$2:$A207=A27))"),1.0)</f>
        <v>1</v>
      </c>
      <c r="T27" s="161">
        <f>IFERROR(__xludf.DUMMYFUNCTION("IFERROR(SUM(FILTER(Trabalho!$I$2:$I207,MONTH(Trabalho!$G$2:$G207)=C27,Trabalho!$B$2:$B207=B27,Trabalho!$J$2:$J207=TRUE,Trabalho!$K$2:$K207=TRUE, Trabalho!$A$2:$A207=A27)),0)"),1.0)</f>
        <v>1</v>
      </c>
      <c r="U27" s="162">
        <v>52.155415453749995</v>
      </c>
      <c r="V27" s="154">
        <v>52.155415453749995</v>
      </c>
    </row>
    <row r="28">
      <c r="A28" s="163" t="s">
        <v>98</v>
      </c>
      <c r="B28" s="164" t="s">
        <v>290</v>
      </c>
      <c r="C28" s="165">
        <v>8.0</v>
      </c>
      <c r="D28" s="135">
        <v>2025.0</v>
      </c>
      <c r="E28" s="164" t="s">
        <v>640</v>
      </c>
      <c r="F28" s="164" t="s">
        <v>66</v>
      </c>
      <c r="G28" s="137">
        <f>IFERROR(__xludf.DUMMYFUNCTION("IFERROR(filter(choosecols('# Salários'!$F:$Q,C28),'# Salários'!$C:$C=B28))"),6532.0)</f>
        <v>6532</v>
      </c>
      <c r="H28" s="166">
        <v>4024.256087839</v>
      </c>
      <c r="I28" s="167">
        <v>10556.256087839</v>
      </c>
      <c r="J28" s="140">
        <f>IFERROR(__xludf.DUMMYFUNCTION("filter('# Encargos folha'!E:E,MONTH('# Encargos folha'!$A:$A)=$C28)"),0.2)</f>
        <v>0.2</v>
      </c>
      <c r="K28" s="141">
        <f>IFERROR(__xludf.DUMMYFUNCTION("filter('# Encargos folha'!F:F,MONTH('# Encargos folha'!$A:$A)=$C28)"),0.058)</f>
        <v>0.058</v>
      </c>
      <c r="L28" s="142">
        <f>IFERROR(__xludf.DUMMYFUNCTION("filter('# Encargos folha'!G:G,MONTH('# Encargos folha'!$A:$A)=$C28)"),0.015)</f>
        <v>0.015</v>
      </c>
      <c r="M28" s="142">
        <f>IFERROR(__xludf.DUMMYFUNCTION("filter('# Encargos folha'!H:H,MONTH('# Encargos folha'!$A:$A)=$C28)"),0.08)</f>
        <v>0.08</v>
      </c>
      <c r="N28" s="142">
        <f t="shared" si="2"/>
        <v>0.11275</v>
      </c>
      <c r="O28" s="142">
        <f t="shared" si="3"/>
        <v>0.1503332958</v>
      </c>
      <c r="P28" s="168">
        <f t="shared" si="1"/>
        <v>0.6160832958</v>
      </c>
      <c r="Q28" s="145">
        <f t="array" ref="Q28">IFERROR(DGET(Dias_íteis,$Q$1,{$C$1;C28}),"")</f>
        <v>21</v>
      </c>
      <c r="R28" s="169">
        <v>184.8</v>
      </c>
      <c r="S28" s="147">
        <f>IFERROR(__xludf.DUMMYFUNCTION("SUM(FILTER(Trabalho!$I$2:$I207,MONTH(Trabalho!$G$2:$G207)=C28,Trabalho!$B$2:$B207=B28,Trabalho!$A$2:$A207=A28))"),0.5)</f>
        <v>0.5</v>
      </c>
      <c r="T28" s="147">
        <f>IFERROR(__xludf.DUMMYFUNCTION("IFERROR(SUM(FILTER(Trabalho!$I$2:$I207,MONTH(Trabalho!$G$2:$G207)=C28,Trabalho!$B$2:$B207=B28,Trabalho!$J$2:$J207=TRUE,Trabalho!$K$2:$K207=TRUE, Trabalho!$A$2:$A207=A28)),0)"),0.5)</f>
        <v>0.5</v>
      </c>
      <c r="U28" s="170">
        <v>57.12259787791666</v>
      </c>
      <c r="V28" s="167">
        <v>28.56129893895833</v>
      </c>
    </row>
    <row r="29">
      <c r="A29" s="148" t="s">
        <v>98</v>
      </c>
      <c r="B29" s="149" t="s">
        <v>426</v>
      </c>
      <c r="C29" s="150">
        <v>2.0</v>
      </c>
      <c r="D29" s="151">
        <v>2025.0</v>
      </c>
      <c r="E29" s="149" t="s">
        <v>637</v>
      </c>
      <c r="F29" s="149" t="s">
        <v>638</v>
      </c>
      <c r="G29" s="152">
        <f>IFERROR(__xludf.DUMMYFUNCTION("IFERROR(filter(choosecols('# Salários'!$F:$Q,C29),'# Salários'!$C:$C=B29))"),7234.78)</f>
        <v>7234.78</v>
      </c>
      <c r="H29" s="153">
        <v>4586.850245078361</v>
      </c>
      <c r="I29" s="154">
        <v>11821.63024507836</v>
      </c>
      <c r="J29" s="155">
        <f>IFERROR(__xludf.DUMMYFUNCTION("filter('# Encargos folha'!E:E,MONTH('# Encargos folha'!$A:$A)=$C29)"),0.2)</f>
        <v>0.2</v>
      </c>
      <c r="K29" s="156">
        <f>IFERROR(__xludf.DUMMYFUNCTION("filter('# Encargos folha'!F:F,MONTH('# Encargos folha'!$A:$A)=$C29)"),0.058)</f>
        <v>0.058</v>
      </c>
      <c r="L29" s="157">
        <f>IFERROR(__xludf.DUMMYFUNCTION("filter('# Encargos folha'!G:G,MONTH('# Encargos folha'!$A:$A)=$C29)"),0.03)</f>
        <v>0.03</v>
      </c>
      <c r="M29" s="157">
        <f>IFERROR(__xludf.DUMMYFUNCTION("filter('# Encargos folha'!H:H,MONTH('# Encargos folha'!$A:$A)=$C29)"),0.08)</f>
        <v>0.08</v>
      </c>
      <c r="N29" s="157">
        <f t="shared" si="2"/>
        <v>0.114</v>
      </c>
      <c r="O29" s="157">
        <f t="shared" si="3"/>
        <v>0.151999962</v>
      </c>
      <c r="P29" s="158">
        <f t="shared" si="1"/>
        <v>0.633999962</v>
      </c>
      <c r="Q29" s="159">
        <f t="array" ref="Q29">IFERROR(DGET(Dias_íteis,$Q$1,{$C$1;C29}),"")</f>
        <v>19</v>
      </c>
      <c r="R29" s="160">
        <v>167.20000000000002</v>
      </c>
      <c r="S29" s="161">
        <f>IFERROR(__xludf.DUMMYFUNCTION("SUM(FILTER(Trabalho!$I$2:$I207,MONTH(Trabalho!$G$2:$G207)=C29,Trabalho!$B$2:$B207=B29,Trabalho!$A$2:$A207=A29))"),3.0)</f>
        <v>3</v>
      </c>
      <c r="T29" s="161">
        <f>IFERROR(__xludf.DUMMYFUNCTION("IFERROR(SUM(FILTER(Trabalho!$I$2:$I207,MONTH(Trabalho!$G$2:$G207)=C29,Trabalho!$B$2:$B207=B29,Trabalho!$J$2:$J207=TRUE,Trabalho!$K$2:$K207=TRUE, Trabalho!$A$2:$A207=A29)),0)"),0.0)</f>
        <v>0</v>
      </c>
      <c r="U29" s="162">
        <v>70.70353017391363</v>
      </c>
      <c r="V29" s="154">
        <v>0.0</v>
      </c>
    </row>
    <row r="30">
      <c r="A30" s="163" t="s">
        <v>98</v>
      </c>
      <c r="B30" s="164" t="s">
        <v>426</v>
      </c>
      <c r="C30" s="165">
        <v>4.0</v>
      </c>
      <c r="D30" s="135">
        <v>2025.0</v>
      </c>
      <c r="E30" s="164" t="s">
        <v>637</v>
      </c>
      <c r="F30" s="164" t="s">
        <v>638</v>
      </c>
      <c r="G30" s="137">
        <f>IFERROR(__xludf.DUMMYFUNCTION("IFERROR(filter(choosecols('# Salários'!$F:$Q,C30),'# Salários'!$C:$C=B30))"),7234.78)</f>
        <v>7234.78</v>
      </c>
      <c r="H30" s="166">
        <v>4457.227106426185</v>
      </c>
      <c r="I30" s="167">
        <v>11692.007106426185</v>
      </c>
      <c r="J30" s="140">
        <f>IFERROR(__xludf.DUMMYFUNCTION("filter('# Encargos folha'!E:E,MONTH('# Encargos folha'!$A:$A)=$C30)"),0.2)</f>
        <v>0.2</v>
      </c>
      <c r="K30" s="141">
        <f>IFERROR(__xludf.DUMMYFUNCTION("filter('# Encargos folha'!F:F,MONTH('# Encargos folha'!$A:$A)=$C30)"),0.058)</f>
        <v>0.058</v>
      </c>
      <c r="L30" s="142">
        <f>IFERROR(__xludf.DUMMYFUNCTION("filter('# Encargos folha'!G:G,MONTH('# Encargos folha'!$A:$A)=$C30)"),0.015)</f>
        <v>0.015</v>
      </c>
      <c r="M30" s="142">
        <f>IFERROR(__xludf.DUMMYFUNCTION("filter('# Encargos folha'!H:H,MONTH('# Encargos folha'!$A:$A)=$C30)"),0.08)</f>
        <v>0.08</v>
      </c>
      <c r="N30" s="142">
        <f t="shared" si="2"/>
        <v>0.11275</v>
      </c>
      <c r="O30" s="142">
        <f t="shared" si="3"/>
        <v>0.1503332958</v>
      </c>
      <c r="P30" s="168">
        <f t="shared" si="1"/>
        <v>0.6160832958</v>
      </c>
      <c r="Q30" s="145">
        <f t="array" ref="Q30">IFERROR(DGET(Dias_íteis,$Q$1,{$C$1;C30}),"")</f>
        <v>20</v>
      </c>
      <c r="R30" s="169">
        <v>176.0</v>
      </c>
      <c r="S30" s="147">
        <f>IFERROR(__xludf.DUMMYFUNCTION("SUM(FILTER(Trabalho!$I$2:$I207,MONTH(Trabalho!$G$2:$G207)=C30,Trabalho!$B$2:$B207=B30,Trabalho!$A$2:$A207=A30))"),2.0)</f>
        <v>2</v>
      </c>
      <c r="T30" s="147">
        <f>IFERROR(__xludf.DUMMYFUNCTION("IFERROR(SUM(FILTER(Trabalho!$I$2:$I207,MONTH(Trabalho!$G$2:$G207)=C30,Trabalho!$B$2:$B207=B30,Trabalho!$J$2:$J207=TRUE,Trabalho!$K$2:$K207=TRUE, Trabalho!$A$2:$A207=A30)),0)"),2.0)</f>
        <v>2</v>
      </c>
      <c r="U30" s="170">
        <v>66.43185855923969</v>
      </c>
      <c r="V30" s="167">
        <v>132.86371711847937</v>
      </c>
    </row>
    <row r="31">
      <c r="A31" s="148" t="s">
        <v>98</v>
      </c>
      <c r="B31" s="149" t="s">
        <v>426</v>
      </c>
      <c r="C31" s="150">
        <v>5.0</v>
      </c>
      <c r="D31" s="151">
        <v>2025.0</v>
      </c>
      <c r="E31" s="149" t="s">
        <v>637</v>
      </c>
      <c r="F31" s="149" t="s">
        <v>638</v>
      </c>
      <c r="G31" s="152">
        <f>IFERROR(__xludf.DUMMYFUNCTION("IFERROR(filter(choosecols('# Salários'!$F:$Q,C31),'# Salários'!$C:$C=B31))"),7234.78)</f>
        <v>7234.78</v>
      </c>
      <c r="H31" s="153">
        <v>4457.227106426185</v>
      </c>
      <c r="I31" s="154">
        <v>11692.007106426185</v>
      </c>
      <c r="J31" s="155">
        <f>IFERROR(__xludf.DUMMYFUNCTION("filter('# Encargos folha'!E:E,MONTH('# Encargos folha'!$A:$A)=$C31)"),0.2)</f>
        <v>0.2</v>
      </c>
      <c r="K31" s="156">
        <f>IFERROR(__xludf.DUMMYFUNCTION("filter('# Encargos folha'!F:F,MONTH('# Encargos folha'!$A:$A)=$C31)"),0.058)</f>
        <v>0.058</v>
      </c>
      <c r="L31" s="157">
        <f>IFERROR(__xludf.DUMMYFUNCTION("filter('# Encargos folha'!G:G,MONTH('# Encargos folha'!$A:$A)=$C31)"),0.015)</f>
        <v>0.015</v>
      </c>
      <c r="M31" s="157">
        <f>IFERROR(__xludf.DUMMYFUNCTION("filter('# Encargos folha'!H:H,MONTH('# Encargos folha'!$A:$A)=$C31)"),0.08)</f>
        <v>0.08</v>
      </c>
      <c r="N31" s="157">
        <f t="shared" si="2"/>
        <v>0.11275</v>
      </c>
      <c r="O31" s="157">
        <f t="shared" si="3"/>
        <v>0.1503332958</v>
      </c>
      <c r="P31" s="158">
        <f t="shared" si="1"/>
        <v>0.6160832958</v>
      </c>
      <c r="Q31" s="159">
        <f t="array" ref="Q31">IFERROR(DGET(Dias_íteis,$Q$1,{$C$1;C31}),"")</f>
        <v>21</v>
      </c>
      <c r="R31" s="160">
        <v>184.8</v>
      </c>
      <c r="S31" s="161">
        <f>IFERROR(__xludf.DUMMYFUNCTION("SUM(FILTER(Trabalho!$I$2:$I207,MONTH(Trabalho!$G$2:$G207)=C31,Trabalho!$B$2:$B207=B31,Trabalho!$A$2:$A207=A31))"),5.0)</f>
        <v>5</v>
      </c>
      <c r="T31" s="161">
        <f>IFERROR(__xludf.DUMMYFUNCTION("IFERROR(SUM(FILTER(Trabalho!$I$2:$I207,MONTH(Trabalho!$G$2:$G207)=C31,Trabalho!$B$2:$B207=B31,Trabalho!$J$2:$J207=TRUE,Trabalho!$K$2:$K207=TRUE, Trabalho!$A$2:$A207=A31)),0)"),5.0)</f>
        <v>5</v>
      </c>
      <c r="U31" s="162">
        <v>63.26843672308541</v>
      </c>
      <c r="V31" s="154">
        <v>316.342183615427</v>
      </c>
    </row>
    <row r="32">
      <c r="A32" s="163" t="s">
        <v>104</v>
      </c>
      <c r="B32" s="164" t="s">
        <v>251</v>
      </c>
      <c r="C32" s="165">
        <v>2.0</v>
      </c>
      <c r="D32" s="135">
        <v>2025.0</v>
      </c>
      <c r="E32" s="164" t="s">
        <v>635</v>
      </c>
      <c r="F32" s="164" t="s">
        <v>68</v>
      </c>
      <c r="G32" s="137">
        <f>IFERROR(__xludf.DUMMYFUNCTION("IFERROR(filter(choosecols('# Salários'!$F:$Q,C32),'# Salários'!$C:$C=B32))"),5481.24)</f>
        <v>5481.24</v>
      </c>
      <c r="H32" s="166">
        <v>3475.10595171288</v>
      </c>
      <c r="I32" s="167">
        <v>8956.34595171288</v>
      </c>
      <c r="J32" s="140">
        <f>IFERROR(__xludf.DUMMYFUNCTION("filter('# Encargos folha'!E:E,MONTH('# Encargos folha'!$A:$A)=$C32)"),0.2)</f>
        <v>0.2</v>
      </c>
      <c r="K32" s="141">
        <f>IFERROR(__xludf.DUMMYFUNCTION("filter('# Encargos folha'!F:F,MONTH('# Encargos folha'!$A:$A)=$C32)"),0.058)</f>
        <v>0.058</v>
      </c>
      <c r="L32" s="142">
        <f>IFERROR(__xludf.DUMMYFUNCTION("filter('# Encargos folha'!G:G,MONTH('# Encargos folha'!$A:$A)=$C32)"),0.03)</f>
        <v>0.03</v>
      </c>
      <c r="M32" s="142">
        <f>IFERROR(__xludf.DUMMYFUNCTION("filter('# Encargos folha'!H:H,MONTH('# Encargos folha'!$A:$A)=$C32)"),0.08)</f>
        <v>0.08</v>
      </c>
      <c r="N32" s="142">
        <f t="shared" si="2"/>
        <v>0.114</v>
      </c>
      <c r="O32" s="142">
        <f t="shared" si="3"/>
        <v>0.151999962</v>
      </c>
      <c r="P32" s="168">
        <f t="shared" si="1"/>
        <v>0.633999962</v>
      </c>
      <c r="Q32" s="145">
        <f t="array" ref="Q32">IFERROR(DGET(Dias_íteis,$Q$1,{$C$1;C32}),"")</f>
        <v>19</v>
      </c>
      <c r="R32" s="169">
        <v>167.20000000000002</v>
      </c>
      <c r="S32" s="147">
        <f>IFERROR(__xludf.DUMMYFUNCTION("SUM(FILTER(Trabalho!$I$2:$I207,MONTH(Trabalho!$G$2:$G207)=C32,Trabalho!$B$2:$B207=B32,Trabalho!$A$2:$A207=A32))"),2.0)</f>
        <v>2</v>
      </c>
      <c r="T32" s="147">
        <f>IFERROR(__xludf.DUMMYFUNCTION("IFERROR(SUM(FILTER(Trabalho!$I$2:$I207,MONTH(Trabalho!$G$2:$G207)=C32,Trabalho!$B$2:$B207=B32,Trabalho!$J$2:$J207=TRUE,Trabalho!$K$2:$K207=TRUE, Trabalho!$A$2:$A207=A32)),0)"),0.0)</f>
        <v>0</v>
      </c>
      <c r="U32" s="170">
        <v>53.566662390627265</v>
      </c>
      <c r="V32" s="167">
        <v>0.0</v>
      </c>
    </row>
    <row r="33">
      <c r="A33" s="148" t="s">
        <v>104</v>
      </c>
      <c r="B33" s="149" t="s">
        <v>251</v>
      </c>
      <c r="C33" s="150">
        <v>3.0</v>
      </c>
      <c r="D33" s="151">
        <v>2025.0</v>
      </c>
      <c r="E33" s="149" t="s">
        <v>635</v>
      </c>
      <c r="F33" s="149" t="s">
        <v>68</v>
      </c>
      <c r="G33" s="152">
        <f>IFERROR(__xludf.DUMMYFUNCTION("IFERROR(filter(choosecols('# Salários'!$F:$Q,C33),'# Salários'!$C:$C=B33))"),5481.24)</f>
        <v>5481.24</v>
      </c>
      <c r="H33" s="153">
        <v>3475.10595171288</v>
      </c>
      <c r="I33" s="154">
        <v>8956.34595171288</v>
      </c>
      <c r="J33" s="155">
        <f>IFERROR(__xludf.DUMMYFUNCTION("filter('# Encargos folha'!E:E,MONTH('# Encargos folha'!$A:$A)=$C33)"),0.2)</f>
        <v>0.2</v>
      </c>
      <c r="K33" s="156">
        <f>IFERROR(__xludf.DUMMYFUNCTION("filter('# Encargos folha'!F:F,MONTH('# Encargos folha'!$A:$A)=$C33)"),0.058)</f>
        <v>0.058</v>
      </c>
      <c r="L33" s="157">
        <f>IFERROR(__xludf.DUMMYFUNCTION("filter('# Encargos folha'!G:G,MONTH('# Encargos folha'!$A:$A)=$C33)"),0.03)</f>
        <v>0.03</v>
      </c>
      <c r="M33" s="157">
        <f>IFERROR(__xludf.DUMMYFUNCTION("filter('# Encargos folha'!H:H,MONTH('# Encargos folha'!$A:$A)=$C33)"),0.08)</f>
        <v>0.08</v>
      </c>
      <c r="N33" s="157">
        <f t="shared" si="2"/>
        <v>0.114</v>
      </c>
      <c r="O33" s="157">
        <f t="shared" si="3"/>
        <v>0.151999962</v>
      </c>
      <c r="P33" s="158">
        <f t="shared" si="1"/>
        <v>0.633999962</v>
      </c>
      <c r="Q33" s="159">
        <f t="array" ref="Q33">IFERROR(DGET(Dias_íteis,$Q$1,{$C$1;C33}),"")</f>
        <v>18</v>
      </c>
      <c r="R33" s="160">
        <v>158.4</v>
      </c>
      <c r="S33" s="161">
        <f>IFERROR(__xludf.DUMMYFUNCTION("SUM(FILTER(Trabalho!$I$2:$I207,MONTH(Trabalho!$G$2:$G207)=C33,Trabalho!$B$2:$B207=B33,Trabalho!$A$2:$A207=A33))"),2.25)</f>
        <v>2.25</v>
      </c>
      <c r="T33" s="161">
        <f>IFERROR(__xludf.DUMMYFUNCTION("IFERROR(SUM(FILTER(Trabalho!$I$2:$I207,MONTH(Trabalho!$G$2:$G207)=C33,Trabalho!$B$2:$B207=B33,Trabalho!$J$2:$J207=TRUE,Trabalho!$K$2:$K207=TRUE, Trabalho!$A$2:$A207=A33)),0)"),0.75)</f>
        <v>0.75</v>
      </c>
      <c r="U33" s="162">
        <v>56.54258807899545</v>
      </c>
      <c r="V33" s="154">
        <v>42.40694105924659</v>
      </c>
    </row>
    <row r="34">
      <c r="A34" s="163" t="s">
        <v>104</v>
      </c>
      <c r="B34" s="164" t="s">
        <v>251</v>
      </c>
      <c r="C34" s="165">
        <v>4.0</v>
      </c>
      <c r="D34" s="135">
        <v>2025.0</v>
      </c>
      <c r="E34" s="164" t="s">
        <v>635</v>
      </c>
      <c r="F34" s="164" t="s">
        <v>68</v>
      </c>
      <c r="G34" s="137">
        <f>IFERROR(__xludf.DUMMYFUNCTION("IFERROR(filter(choosecols('# Salários'!$F:$Q,C34),'# Salários'!$C:$C=B34))"),5481.24)</f>
        <v>5481.24</v>
      </c>
      <c r="H34" s="166">
        <v>3376.90040399673</v>
      </c>
      <c r="I34" s="167">
        <v>8858.14040399673</v>
      </c>
      <c r="J34" s="140">
        <f>IFERROR(__xludf.DUMMYFUNCTION("filter('# Encargos folha'!E:E,MONTH('# Encargos folha'!$A:$A)=$C34)"),0.2)</f>
        <v>0.2</v>
      </c>
      <c r="K34" s="141">
        <f>IFERROR(__xludf.DUMMYFUNCTION("filter('# Encargos folha'!F:F,MONTH('# Encargos folha'!$A:$A)=$C34)"),0.058)</f>
        <v>0.058</v>
      </c>
      <c r="L34" s="142">
        <f>IFERROR(__xludf.DUMMYFUNCTION("filter('# Encargos folha'!G:G,MONTH('# Encargos folha'!$A:$A)=$C34)"),0.015)</f>
        <v>0.015</v>
      </c>
      <c r="M34" s="142">
        <f>IFERROR(__xludf.DUMMYFUNCTION("filter('# Encargos folha'!H:H,MONTH('# Encargos folha'!$A:$A)=$C34)"),0.08)</f>
        <v>0.08</v>
      </c>
      <c r="N34" s="142">
        <f t="shared" si="2"/>
        <v>0.11275</v>
      </c>
      <c r="O34" s="142">
        <f t="shared" si="3"/>
        <v>0.1503332958</v>
      </c>
      <c r="P34" s="168">
        <f t="shared" si="1"/>
        <v>0.6160832958</v>
      </c>
      <c r="Q34" s="145">
        <f t="array" ref="Q34">IFERROR(DGET(Dias_íteis,$Q$1,{$C$1;C34}),"")</f>
        <v>20</v>
      </c>
      <c r="R34" s="169">
        <v>176.0</v>
      </c>
      <c r="S34" s="147">
        <f>IFERROR(__xludf.DUMMYFUNCTION("SUM(FILTER(Trabalho!$I$2:$I207,MONTH(Trabalho!$G$2:$G207)=C34,Trabalho!$B$2:$B207=B34,Trabalho!$A$2:$A207=A34))"),1.0)</f>
        <v>1</v>
      </c>
      <c r="T34" s="147">
        <f>IFERROR(__xludf.DUMMYFUNCTION("IFERROR(SUM(FILTER(Trabalho!$I$2:$I207,MONTH(Trabalho!$G$2:$G207)=C34,Trabalho!$B$2:$B207=B34,Trabalho!$J$2:$J207=TRUE,Trabalho!$K$2:$K207=TRUE, Trabalho!$A$2:$A207=A34)),0)"),0.0)</f>
        <v>0</v>
      </c>
      <c r="U34" s="170">
        <v>50.33034320452687</v>
      </c>
      <c r="V34" s="167">
        <v>0.0</v>
      </c>
    </row>
    <row r="35">
      <c r="A35" s="148" t="s">
        <v>104</v>
      </c>
      <c r="B35" s="149" t="s">
        <v>251</v>
      </c>
      <c r="C35" s="150">
        <v>5.0</v>
      </c>
      <c r="D35" s="151">
        <v>2025.0</v>
      </c>
      <c r="E35" s="149" t="s">
        <v>635</v>
      </c>
      <c r="F35" s="149" t="s">
        <v>68</v>
      </c>
      <c r="G35" s="152">
        <f>IFERROR(__xludf.DUMMYFUNCTION("IFERROR(filter(choosecols('# Salários'!$F:$Q,C35),'# Salários'!$C:$C=B35))"),5481.24)</f>
        <v>5481.24</v>
      </c>
      <c r="H35" s="153">
        <v>3376.90040399673</v>
      </c>
      <c r="I35" s="154">
        <v>8858.14040399673</v>
      </c>
      <c r="J35" s="155">
        <f>IFERROR(__xludf.DUMMYFUNCTION("filter('# Encargos folha'!E:E,MONTH('# Encargos folha'!$A:$A)=$C35)"),0.2)</f>
        <v>0.2</v>
      </c>
      <c r="K35" s="156">
        <f>IFERROR(__xludf.DUMMYFUNCTION("filter('# Encargos folha'!F:F,MONTH('# Encargos folha'!$A:$A)=$C35)"),0.058)</f>
        <v>0.058</v>
      </c>
      <c r="L35" s="157">
        <f>IFERROR(__xludf.DUMMYFUNCTION("filter('# Encargos folha'!G:G,MONTH('# Encargos folha'!$A:$A)=$C35)"),0.015)</f>
        <v>0.015</v>
      </c>
      <c r="M35" s="157">
        <f>IFERROR(__xludf.DUMMYFUNCTION("filter('# Encargos folha'!H:H,MONTH('# Encargos folha'!$A:$A)=$C35)"),0.08)</f>
        <v>0.08</v>
      </c>
      <c r="N35" s="157">
        <f t="shared" si="2"/>
        <v>0.11275</v>
      </c>
      <c r="O35" s="157">
        <f t="shared" si="3"/>
        <v>0.1503332958</v>
      </c>
      <c r="P35" s="158">
        <f t="shared" si="1"/>
        <v>0.6160832958</v>
      </c>
      <c r="Q35" s="159">
        <f t="array" ref="Q35">IFERROR(DGET(Dias_íteis,$Q$1,{$C$1;C35}),"")</f>
        <v>21</v>
      </c>
      <c r="R35" s="160">
        <v>184.8</v>
      </c>
      <c r="S35" s="161">
        <f>IFERROR(__xludf.DUMMYFUNCTION("SUM(FILTER(Trabalho!$I$2:$I207,MONTH(Trabalho!$G$2:$G207)=C35,Trabalho!$B$2:$B207=B35,Trabalho!$A$2:$A207=A35))"),0.5)</f>
        <v>0.5</v>
      </c>
      <c r="T35" s="161">
        <f>IFERROR(__xludf.DUMMYFUNCTION("IFERROR(SUM(FILTER(Trabalho!$I$2:$I207,MONTH(Trabalho!$G$2:$G207)=C35,Trabalho!$B$2:$B207=B35,Trabalho!$J$2:$J207=TRUE,Trabalho!$K$2:$K207=TRUE, Trabalho!$A$2:$A207=A35)),0)"),0.5)</f>
        <v>0.5</v>
      </c>
      <c r="U35" s="162">
        <v>47.93366019478749</v>
      </c>
      <c r="V35" s="154">
        <v>23.966830097393746</v>
      </c>
    </row>
    <row r="36">
      <c r="A36" s="163" t="s">
        <v>104</v>
      </c>
      <c r="B36" s="164" t="s">
        <v>251</v>
      </c>
      <c r="C36" s="165">
        <v>6.0</v>
      </c>
      <c r="D36" s="135">
        <v>2025.0</v>
      </c>
      <c r="E36" s="164" t="s">
        <v>635</v>
      </c>
      <c r="F36" s="164" t="s">
        <v>68</v>
      </c>
      <c r="G36" s="137">
        <f>IFERROR(__xludf.DUMMYFUNCTION("IFERROR(filter(choosecols('# Salários'!$F:$Q,C36),'# Salários'!$C:$C=B36))"),5772.84)</f>
        <v>5772.84</v>
      </c>
      <c r="H36" s="166">
        <v>3556.55029303743</v>
      </c>
      <c r="I36" s="167">
        <v>9329.39029303743</v>
      </c>
      <c r="J36" s="140">
        <f>IFERROR(__xludf.DUMMYFUNCTION("filter('# Encargos folha'!E:E,MONTH('# Encargos folha'!$A:$A)=$C36)"),0.2)</f>
        <v>0.2</v>
      </c>
      <c r="K36" s="141">
        <f>IFERROR(__xludf.DUMMYFUNCTION("filter('# Encargos folha'!F:F,MONTH('# Encargos folha'!$A:$A)=$C36)"),0.058)</f>
        <v>0.058</v>
      </c>
      <c r="L36" s="142">
        <f>IFERROR(__xludf.DUMMYFUNCTION("filter('# Encargos folha'!G:G,MONTH('# Encargos folha'!$A:$A)=$C36)"),0.015)</f>
        <v>0.015</v>
      </c>
      <c r="M36" s="142">
        <f>IFERROR(__xludf.DUMMYFUNCTION("filter('# Encargos folha'!H:H,MONTH('# Encargos folha'!$A:$A)=$C36)"),0.08)</f>
        <v>0.08</v>
      </c>
      <c r="N36" s="142">
        <f t="shared" si="2"/>
        <v>0.11275</v>
      </c>
      <c r="O36" s="142">
        <f t="shared" si="3"/>
        <v>0.1503332958</v>
      </c>
      <c r="P36" s="168">
        <f t="shared" si="1"/>
        <v>0.6160832958</v>
      </c>
      <c r="Q36" s="145">
        <f t="array" ref="Q36">IFERROR(DGET(Dias_íteis,$Q$1,{$C$1;C36}),"")</f>
        <v>20</v>
      </c>
      <c r="R36" s="169">
        <v>176.0</v>
      </c>
      <c r="S36" s="147">
        <f>IFERROR(__xludf.DUMMYFUNCTION("SUM(FILTER(Trabalho!$I$2:$I207,MONTH(Trabalho!$G$2:$G207)=C36,Trabalho!$B$2:$B207=B36,Trabalho!$A$2:$A207=A36))"),0.25)</f>
        <v>0.25</v>
      </c>
      <c r="T36" s="147">
        <f>IFERROR(__xludf.DUMMYFUNCTION("IFERROR(SUM(FILTER(Trabalho!$I$2:$I207,MONTH(Trabalho!$G$2:$G207)=C36,Trabalho!$B$2:$B207=B36,Trabalho!$J$2:$J207=TRUE,Trabalho!$K$2:$K207=TRUE, Trabalho!$A$2:$A207=A36)),0)"),0.0)</f>
        <v>0</v>
      </c>
      <c r="U36" s="170">
        <v>53.007899392258125</v>
      </c>
      <c r="V36" s="167">
        <v>0.0</v>
      </c>
    </row>
    <row r="37">
      <c r="A37" s="149" t="s">
        <v>104</v>
      </c>
      <c r="B37" s="149" t="s">
        <v>251</v>
      </c>
      <c r="C37" s="150">
        <v>8.0</v>
      </c>
      <c r="D37" s="151">
        <v>2025.0</v>
      </c>
      <c r="E37" s="149" t="s">
        <v>635</v>
      </c>
      <c r="F37" s="149" t="s">
        <v>68</v>
      </c>
      <c r="G37" s="152">
        <f>IFERROR(__xludf.DUMMYFUNCTION("IFERROR(filter(choosecols('# Salários'!$F:$Q,C37),'# Salários'!$C:$C=B37))"),7202.0)</f>
        <v>7202</v>
      </c>
      <c r="H37" s="153">
        <v>4437.0318959915</v>
      </c>
      <c r="I37" s="154">
        <v>11639.0318959915</v>
      </c>
      <c r="J37" s="155">
        <f>IFERROR(__xludf.DUMMYFUNCTION("filter('# Encargos folha'!E:E,MONTH('# Encargos folha'!$A:$A)=$C37)"),0.2)</f>
        <v>0.2</v>
      </c>
      <c r="K37" s="156">
        <f>IFERROR(__xludf.DUMMYFUNCTION("filter('# Encargos folha'!F:F,MONTH('# Encargos folha'!$A:$A)=$C37)"),0.058)</f>
        <v>0.058</v>
      </c>
      <c r="L37" s="157">
        <f>IFERROR(__xludf.DUMMYFUNCTION("filter('# Encargos folha'!G:G,MONTH('# Encargos folha'!$A:$A)=$C37)"),0.015)</f>
        <v>0.015</v>
      </c>
      <c r="M37" s="157">
        <f>IFERROR(__xludf.DUMMYFUNCTION("filter('# Encargos folha'!H:H,MONTH('# Encargos folha'!$A:$A)=$C37)"),0.08)</f>
        <v>0.08</v>
      </c>
      <c r="N37" s="157">
        <f t="shared" si="2"/>
        <v>0.11275</v>
      </c>
      <c r="O37" s="157">
        <f t="shared" si="3"/>
        <v>0.1503332958</v>
      </c>
      <c r="P37" s="158">
        <f t="shared" si="1"/>
        <v>0.6160832958</v>
      </c>
      <c r="Q37" s="159">
        <f t="array" ref="Q37">IFERROR(DGET(Dias_íteis,$Q$1,{$C$1;C37}),"")</f>
        <v>21</v>
      </c>
      <c r="R37" s="160">
        <v>184.8</v>
      </c>
      <c r="S37" s="161">
        <f>IFERROR(__xludf.DUMMYFUNCTION("SUM(FILTER(Trabalho!$I$2:$I207,MONTH(Trabalho!$G$2:$G207)=C37,Trabalho!$B$2:$B207=B37,Trabalho!$A$2:$A207=A37))"),0.5)</f>
        <v>0.5</v>
      </c>
      <c r="T37" s="161">
        <f>IFERROR(__xludf.DUMMYFUNCTION("IFERROR(SUM(FILTER(Trabalho!$I$2:$I207,MONTH(Trabalho!$G$2:$G207)=C37,Trabalho!$B$2:$B207=B37,Trabalho!$J$2:$J207=TRUE,Trabalho!$K$2:$K207=TRUE, Trabalho!$A$2:$A207=A37)),0)"),0.0)</f>
        <v>0</v>
      </c>
      <c r="U37" s="162">
        <v>62.98177432895833</v>
      </c>
      <c r="V37" s="154">
        <v>0.0</v>
      </c>
    </row>
    <row r="38">
      <c r="A38" s="164" t="s">
        <v>104</v>
      </c>
      <c r="B38" s="164" t="s">
        <v>290</v>
      </c>
      <c r="C38" s="165">
        <v>1.0</v>
      </c>
      <c r="D38" s="135">
        <v>2025.0</v>
      </c>
      <c r="E38" s="164" t="s">
        <v>640</v>
      </c>
      <c r="F38" s="164" t="s">
        <v>66</v>
      </c>
      <c r="G38" s="137">
        <f>IFERROR(__xludf.DUMMYFUNCTION("IFERROR(filter(choosecols('# Salários'!$F:$Q,C38),'# Salários'!$C:$C=B38))"),6143.46)</f>
        <v>6143.46</v>
      </c>
      <c r="H38" s="166">
        <v>3894.9534065485204</v>
      </c>
      <c r="I38" s="167">
        <v>10038.41340654852</v>
      </c>
      <c r="J38" s="140">
        <f>IFERROR(__xludf.DUMMYFUNCTION("filter('# Encargos folha'!E:E,MONTH('# Encargos folha'!$A:$A)=$C38)"),0.2)</f>
        <v>0.2</v>
      </c>
      <c r="K38" s="141">
        <f>IFERROR(__xludf.DUMMYFUNCTION("filter('# Encargos folha'!F:F,MONTH('# Encargos folha'!$A:$A)=$C38)"),0.058)</f>
        <v>0.058</v>
      </c>
      <c r="L38" s="142">
        <f>IFERROR(__xludf.DUMMYFUNCTION("filter('# Encargos folha'!G:G,MONTH('# Encargos folha'!$A:$A)=$C38)"),0.03)</f>
        <v>0.03</v>
      </c>
      <c r="M38" s="142">
        <f>IFERROR(__xludf.DUMMYFUNCTION("filter('# Encargos folha'!H:H,MONTH('# Encargos folha'!$A:$A)=$C38)"),0.08)</f>
        <v>0.08</v>
      </c>
      <c r="N38" s="142">
        <f t="shared" si="2"/>
        <v>0.114</v>
      </c>
      <c r="O38" s="142">
        <f t="shared" si="3"/>
        <v>0.151999962</v>
      </c>
      <c r="P38" s="168">
        <f t="shared" si="1"/>
        <v>0.633999962</v>
      </c>
      <c r="Q38" s="145">
        <f t="array" ref="Q38">IFERROR(DGET(Dias_íteis,$Q$1,{$C$1;C38}),"")</f>
        <v>22</v>
      </c>
      <c r="R38" s="169">
        <v>193.60000000000002</v>
      </c>
      <c r="S38" s="147">
        <f>IFERROR(__xludf.DUMMYFUNCTION("SUM(FILTER(Trabalho!$I$2:$I207,MONTH(Trabalho!$G$2:$G207)=C38,Trabalho!$B$2:$B207=B38,Trabalho!$A$2:$A207=A38))"),0.5)</f>
        <v>0.5</v>
      </c>
      <c r="T38" s="147">
        <f>IFERROR(__xludf.DUMMYFUNCTION("IFERROR(SUM(FILTER(Trabalho!$I$2:$I207,MONTH(Trabalho!$G$2:$G207)=C38,Trabalho!$B$2:$B207=B38,Trabalho!$J$2:$J207=TRUE,Trabalho!$K$2:$K207=TRUE, Trabalho!$A$2:$A207=A38)),0)"),0.5)</f>
        <v>0.5</v>
      </c>
      <c r="U38" s="170">
        <v>51.85130891812251</v>
      </c>
      <c r="V38" s="167">
        <v>25.925654459061256</v>
      </c>
    </row>
    <row r="39">
      <c r="A39" s="149" t="s">
        <v>104</v>
      </c>
      <c r="B39" s="149" t="s">
        <v>290</v>
      </c>
      <c r="C39" s="150">
        <v>2.0</v>
      </c>
      <c r="D39" s="151">
        <v>2025.0</v>
      </c>
      <c r="E39" s="149" t="s">
        <v>640</v>
      </c>
      <c r="F39" s="149" t="s">
        <v>66</v>
      </c>
      <c r="G39" s="152">
        <f>IFERROR(__xludf.DUMMYFUNCTION("IFERROR(filter(choosecols('# Salários'!$F:$Q,C39),'# Salários'!$C:$C=B39))"),6143.46)</f>
        <v>6143.46</v>
      </c>
      <c r="H39" s="153">
        <v>3894.9534065485204</v>
      </c>
      <c r="I39" s="154">
        <v>10038.41340654852</v>
      </c>
      <c r="J39" s="155">
        <f>IFERROR(__xludf.DUMMYFUNCTION("filter('# Encargos folha'!E:E,MONTH('# Encargos folha'!$A:$A)=$C39)"),0.2)</f>
        <v>0.2</v>
      </c>
      <c r="K39" s="156">
        <f>IFERROR(__xludf.DUMMYFUNCTION("filter('# Encargos folha'!F:F,MONTH('# Encargos folha'!$A:$A)=$C39)"),0.058)</f>
        <v>0.058</v>
      </c>
      <c r="L39" s="157">
        <f>IFERROR(__xludf.DUMMYFUNCTION("filter('# Encargos folha'!G:G,MONTH('# Encargos folha'!$A:$A)=$C39)"),0.03)</f>
        <v>0.03</v>
      </c>
      <c r="M39" s="157">
        <f>IFERROR(__xludf.DUMMYFUNCTION("filter('# Encargos folha'!H:H,MONTH('# Encargos folha'!$A:$A)=$C39)"),0.08)</f>
        <v>0.08</v>
      </c>
      <c r="N39" s="157">
        <f t="shared" si="2"/>
        <v>0.114</v>
      </c>
      <c r="O39" s="157">
        <f t="shared" si="3"/>
        <v>0.151999962</v>
      </c>
      <c r="P39" s="158">
        <f t="shared" si="1"/>
        <v>0.633999962</v>
      </c>
      <c r="Q39" s="159">
        <f t="array" ref="Q39">IFERROR(DGET(Dias_íteis,$Q$1,{$C$1;C39}),"")</f>
        <v>19</v>
      </c>
      <c r="R39" s="160">
        <v>167.20000000000002</v>
      </c>
      <c r="S39" s="161">
        <f>IFERROR(__xludf.DUMMYFUNCTION("SUM(FILTER(Trabalho!$I$2:$I207,MONTH(Trabalho!$G$2:$G207)=C39,Trabalho!$B$2:$B207=B39,Trabalho!$A$2:$A207=A39))"),7.75)</f>
        <v>7.75</v>
      </c>
      <c r="T39" s="161">
        <f>IFERROR(__xludf.DUMMYFUNCTION("IFERROR(SUM(FILTER(Trabalho!$I$2:$I207,MONTH(Trabalho!$G$2:$G207)=C39,Trabalho!$B$2:$B207=B39,Trabalho!$J$2:$J207=TRUE,Trabalho!$K$2:$K207=TRUE, Trabalho!$A$2:$A207=A39)),0)"),7.0)</f>
        <v>7</v>
      </c>
      <c r="U39" s="162">
        <v>60.03835769466817</v>
      </c>
      <c r="V39" s="154">
        <v>420.2685038626772</v>
      </c>
    </row>
    <row r="40">
      <c r="A40" s="164" t="s">
        <v>104</v>
      </c>
      <c r="B40" s="164" t="s">
        <v>290</v>
      </c>
      <c r="C40" s="165">
        <v>3.0</v>
      </c>
      <c r="D40" s="135">
        <v>2025.0</v>
      </c>
      <c r="E40" s="164" t="s">
        <v>640</v>
      </c>
      <c r="F40" s="164" t="s">
        <v>66</v>
      </c>
      <c r="G40" s="137">
        <f>IFERROR(__xludf.DUMMYFUNCTION("IFERROR(filter(choosecols('# Salários'!$F:$Q,C40),'# Salários'!$C:$C=B40))"),6143.46)</f>
        <v>6143.46</v>
      </c>
      <c r="H40" s="166">
        <v>3894.9534065485204</v>
      </c>
      <c r="I40" s="167">
        <v>10038.41340654852</v>
      </c>
      <c r="J40" s="140">
        <f>IFERROR(__xludf.DUMMYFUNCTION("filter('# Encargos folha'!E:E,MONTH('# Encargos folha'!$A:$A)=$C40)"),0.2)</f>
        <v>0.2</v>
      </c>
      <c r="K40" s="141">
        <f>IFERROR(__xludf.DUMMYFUNCTION("filter('# Encargos folha'!F:F,MONTH('# Encargos folha'!$A:$A)=$C40)"),0.058)</f>
        <v>0.058</v>
      </c>
      <c r="L40" s="142">
        <f>IFERROR(__xludf.DUMMYFUNCTION("filter('# Encargos folha'!G:G,MONTH('# Encargos folha'!$A:$A)=$C40)"),0.03)</f>
        <v>0.03</v>
      </c>
      <c r="M40" s="142">
        <f>IFERROR(__xludf.DUMMYFUNCTION("filter('# Encargos folha'!H:H,MONTH('# Encargos folha'!$A:$A)=$C40)"),0.08)</f>
        <v>0.08</v>
      </c>
      <c r="N40" s="142">
        <f t="shared" si="2"/>
        <v>0.114</v>
      </c>
      <c r="O40" s="142">
        <f t="shared" si="3"/>
        <v>0.151999962</v>
      </c>
      <c r="P40" s="168">
        <f t="shared" si="1"/>
        <v>0.633999962</v>
      </c>
      <c r="Q40" s="145">
        <f t="array" ref="Q40">IFERROR(DGET(Dias_íteis,$Q$1,{$C$1;C40}),"")</f>
        <v>18</v>
      </c>
      <c r="R40" s="169">
        <v>158.4</v>
      </c>
      <c r="S40" s="147">
        <f>IFERROR(__xludf.DUMMYFUNCTION("SUM(FILTER(Trabalho!$I$2:$I207,MONTH(Trabalho!$G$2:$G207)=C40,Trabalho!$B$2:$B207=B40,Trabalho!$A$2:$A207=A40))"),2.0)</f>
        <v>2</v>
      </c>
      <c r="T40" s="147">
        <f>IFERROR(__xludf.DUMMYFUNCTION("IFERROR(SUM(FILTER(Trabalho!$I$2:$I207,MONTH(Trabalho!$G$2:$G207)=C40,Trabalho!$B$2:$B207=B40,Trabalho!$J$2:$J207=TRUE,Trabalho!$K$2:$K207=TRUE, Trabalho!$A$2:$A207=A40)),0)"),2.0)</f>
        <v>2</v>
      </c>
      <c r="U40" s="170">
        <v>63.373822011038634</v>
      </c>
      <c r="V40" s="167">
        <v>126.74764402207727</v>
      </c>
    </row>
    <row r="41">
      <c r="A41" s="149" t="s">
        <v>104</v>
      </c>
      <c r="B41" s="149" t="s">
        <v>290</v>
      </c>
      <c r="C41" s="150">
        <v>4.0</v>
      </c>
      <c r="D41" s="151">
        <v>2025.0</v>
      </c>
      <c r="E41" s="149" t="s">
        <v>640</v>
      </c>
      <c r="F41" s="149" t="s">
        <v>66</v>
      </c>
      <c r="G41" s="152">
        <f>IFERROR(__xludf.DUMMYFUNCTION("IFERROR(filter(choosecols('# Salários'!$F:$Q,C41),'# Salários'!$C:$C=B41))"),6143.46)</f>
        <v>6143.46</v>
      </c>
      <c r="H41" s="153">
        <v>3784.883084108295</v>
      </c>
      <c r="I41" s="154">
        <v>9928.343084108295</v>
      </c>
      <c r="J41" s="155">
        <f>IFERROR(__xludf.DUMMYFUNCTION("filter('# Encargos folha'!E:E,MONTH('# Encargos folha'!$A:$A)=$C41)"),0.2)</f>
        <v>0.2</v>
      </c>
      <c r="K41" s="156">
        <f>IFERROR(__xludf.DUMMYFUNCTION("filter('# Encargos folha'!F:F,MONTH('# Encargos folha'!$A:$A)=$C41)"),0.058)</f>
        <v>0.058</v>
      </c>
      <c r="L41" s="157">
        <f>IFERROR(__xludf.DUMMYFUNCTION("filter('# Encargos folha'!G:G,MONTH('# Encargos folha'!$A:$A)=$C41)"),0.015)</f>
        <v>0.015</v>
      </c>
      <c r="M41" s="157">
        <f>IFERROR(__xludf.DUMMYFUNCTION("filter('# Encargos folha'!H:H,MONTH('# Encargos folha'!$A:$A)=$C41)"),0.08)</f>
        <v>0.08</v>
      </c>
      <c r="N41" s="157">
        <f t="shared" si="2"/>
        <v>0.11275</v>
      </c>
      <c r="O41" s="157">
        <f t="shared" si="3"/>
        <v>0.1503332958</v>
      </c>
      <c r="P41" s="158">
        <f t="shared" si="1"/>
        <v>0.6160832958</v>
      </c>
      <c r="Q41" s="159">
        <f t="array" ref="Q41">IFERROR(DGET(Dias_íteis,$Q$1,{$C$1;C41}),"")</f>
        <v>20</v>
      </c>
      <c r="R41" s="160">
        <v>176.0</v>
      </c>
      <c r="S41" s="161">
        <f>IFERROR(__xludf.DUMMYFUNCTION("SUM(FILTER(Trabalho!$I$2:$I207,MONTH(Trabalho!$G$2:$G207)=C41,Trabalho!$B$2:$B207=B41,Trabalho!$A$2:$A207=A41))"),3.0)</f>
        <v>3</v>
      </c>
      <c r="T41" s="161">
        <f>IFERROR(__xludf.DUMMYFUNCTION("IFERROR(SUM(FILTER(Trabalho!$I$2:$I207,MONTH(Trabalho!$G$2:$G207)=C41,Trabalho!$B$2:$B207=B41,Trabalho!$J$2:$J207=TRUE,Trabalho!$K$2:$K207=TRUE, Trabalho!$A$2:$A207=A41)),0)"),3.0)</f>
        <v>3</v>
      </c>
      <c r="U41" s="162">
        <v>56.411040250615315</v>
      </c>
      <c r="V41" s="154">
        <v>169.23312075184595</v>
      </c>
    </row>
    <row r="42">
      <c r="A42" s="164" t="s">
        <v>104</v>
      </c>
      <c r="B42" s="164" t="s">
        <v>290</v>
      </c>
      <c r="C42" s="165">
        <v>5.0</v>
      </c>
      <c r="D42" s="135">
        <v>2025.0</v>
      </c>
      <c r="E42" s="164" t="s">
        <v>640</v>
      </c>
      <c r="F42" s="164" t="s">
        <v>66</v>
      </c>
      <c r="G42" s="137">
        <f>IFERROR(__xludf.DUMMYFUNCTION("IFERROR(filter(choosecols('# Salários'!$F:$Q,C42),'# Salários'!$C:$C=B42))"),6143.46)</f>
        <v>6143.46</v>
      </c>
      <c r="H42" s="166">
        <v>3784.883084108295</v>
      </c>
      <c r="I42" s="167">
        <v>9928.343084108295</v>
      </c>
      <c r="J42" s="140">
        <f>IFERROR(__xludf.DUMMYFUNCTION("filter('# Encargos folha'!E:E,MONTH('# Encargos folha'!$A:$A)=$C42)"),0.2)</f>
        <v>0.2</v>
      </c>
      <c r="K42" s="141">
        <f>IFERROR(__xludf.DUMMYFUNCTION("filter('# Encargos folha'!F:F,MONTH('# Encargos folha'!$A:$A)=$C42)"),0.058)</f>
        <v>0.058</v>
      </c>
      <c r="L42" s="142">
        <f>IFERROR(__xludf.DUMMYFUNCTION("filter('# Encargos folha'!G:G,MONTH('# Encargos folha'!$A:$A)=$C42)"),0.015)</f>
        <v>0.015</v>
      </c>
      <c r="M42" s="142">
        <f>IFERROR(__xludf.DUMMYFUNCTION("filter('# Encargos folha'!H:H,MONTH('# Encargos folha'!$A:$A)=$C42)"),0.08)</f>
        <v>0.08</v>
      </c>
      <c r="N42" s="142">
        <f t="shared" si="2"/>
        <v>0.11275</v>
      </c>
      <c r="O42" s="142">
        <f t="shared" si="3"/>
        <v>0.1503332958</v>
      </c>
      <c r="P42" s="168">
        <f t="shared" si="1"/>
        <v>0.6160832958</v>
      </c>
      <c r="Q42" s="145">
        <f t="array" ref="Q42">IFERROR(DGET(Dias_íteis,$Q$1,{$C$1;C42}),"")</f>
        <v>21</v>
      </c>
      <c r="R42" s="169">
        <v>184.8</v>
      </c>
      <c r="S42" s="147">
        <f>IFERROR(__xludf.DUMMYFUNCTION("SUM(FILTER(Trabalho!$I$2:$I207,MONTH(Trabalho!$G$2:$G207)=C42,Trabalho!$B$2:$B207=B42,Trabalho!$A$2:$A207=A42))"),2.5)</f>
        <v>2.5</v>
      </c>
      <c r="T42" s="147">
        <f>IFERROR(__xludf.DUMMYFUNCTION("IFERROR(SUM(FILTER(Trabalho!$I$2:$I207,MONTH(Trabalho!$G$2:$G207)=C42,Trabalho!$B$2:$B207=B42,Trabalho!$J$2:$J207=TRUE,Trabalho!$K$2:$K207=TRUE, Trabalho!$A$2:$A207=A42)),0)"),2.5)</f>
        <v>2.5</v>
      </c>
      <c r="U42" s="170">
        <v>53.72480023868125</v>
      </c>
      <c r="V42" s="167">
        <v>134.31200059670311</v>
      </c>
    </row>
    <row r="43">
      <c r="A43" s="149" t="s">
        <v>104</v>
      </c>
      <c r="B43" s="149" t="s">
        <v>290</v>
      </c>
      <c r="C43" s="150">
        <v>6.0</v>
      </c>
      <c r="D43" s="151">
        <v>2025.0</v>
      </c>
      <c r="E43" s="149" t="s">
        <v>640</v>
      </c>
      <c r="F43" s="149" t="s">
        <v>66</v>
      </c>
      <c r="G43" s="152">
        <f>IFERROR(__xludf.DUMMYFUNCTION("IFERROR(filter(choosecols('# Salários'!$F:$Q,C43),'# Salários'!$C:$C=B43))"),6470.29)</f>
        <v>6470.29</v>
      </c>
      <c r="H43" s="153">
        <v>3986.2375876582673</v>
      </c>
      <c r="I43" s="154">
        <v>10456.527587658267</v>
      </c>
      <c r="J43" s="155">
        <f>IFERROR(__xludf.DUMMYFUNCTION("filter('# Encargos folha'!E:E,MONTH('# Encargos folha'!$A:$A)=$C43)"),0.2)</f>
        <v>0.2</v>
      </c>
      <c r="K43" s="156">
        <f>IFERROR(__xludf.DUMMYFUNCTION("filter('# Encargos folha'!F:F,MONTH('# Encargos folha'!$A:$A)=$C43)"),0.058)</f>
        <v>0.058</v>
      </c>
      <c r="L43" s="157">
        <f>IFERROR(__xludf.DUMMYFUNCTION("filter('# Encargos folha'!G:G,MONTH('# Encargos folha'!$A:$A)=$C43)"),0.015)</f>
        <v>0.015</v>
      </c>
      <c r="M43" s="157">
        <f>IFERROR(__xludf.DUMMYFUNCTION("filter('# Encargos folha'!H:H,MONTH('# Encargos folha'!$A:$A)=$C43)"),0.08)</f>
        <v>0.08</v>
      </c>
      <c r="N43" s="157">
        <f t="shared" si="2"/>
        <v>0.11275</v>
      </c>
      <c r="O43" s="157">
        <f t="shared" si="3"/>
        <v>0.1503332958</v>
      </c>
      <c r="P43" s="158">
        <f t="shared" si="1"/>
        <v>0.6160832958</v>
      </c>
      <c r="Q43" s="159">
        <f t="array" ref="Q43">IFERROR(DGET(Dias_íteis,$Q$1,{$C$1;C43}),"")</f>
        <v>20</v>
      </c>
      <c r="R43" s="160">
        <v>176.0</v>
      </c>
      <c r="S43" s="161">
        <f>IFERROR(__xludf.DUMMYFUNCTION("SUM(FILTER(Trabalho!$I$2:$I207,MONTH(Trabalho!$G$2:$G207)=C43,Trabalho!$B$2:$B207=B43,Trabalho!$A$2:$A207=A43))"),2.0)</f>
        <v>2</v>
      </c>
      <c r="T43" s="161">
        <f>IFERROR(__xludf.DUMMYFUNCTION("IFERROR(SUM(FILTER(Trabalho!$I$2:$I207,MONTH(Trabalho!$G$2:$G207)=C43,Trabalho!$B$2:$B207=B43,Trabalho!$J$2:$J207=TRUE,Trabalho!$K$2:$K207=TRUE, Trabalho!$A$2:$A207=A43)),0)"),2.0)</f>
        <v>2</v>
      </c>
      <c r="U43" s="162">
        <v>59.41208856624016</v>
      </c>
      <c r="V43" s="154">
        <v>118.82417713248032</v>
      </c>
    </row>
    <row r="44">
      <c r="A44" s="164" t="s">
        <v>104</v>
      </c>
      <c r="B44" s="164" t="s">
        <v>290</v>
      </c>
      <c r="C44" s="165">
        <v>7.0</v>
      </c>
      <c r="D44" s="135">
        <v>2025.0</v>
      </c>
      <c r="E44" s="164" t="s">
        <v>640</v>
      </c>
      <c r="F44" s="164" t="s">
        <v>66</v>
      </c>
      <c r="G44" s="137">
        <f>IFERROR(__xludf.DUMMYFUNCTION("IFERROR(filter(choosecols('# Salários'!$F:$Q,C44),'# Salários'!$C:$C=B44))"),6532.0)</f>
        <v>6532</v>
      </c>
      <c r="H44" s="166">
        <v>4024.256087839</v>
      </c>
      <c r="I44" s="167">
        <v>10556.256087839</v>
      </c>
      <c r="J44" s="140">
        <f>IFERROR(__xludf.DUMMYFUNCTION("filter('# Encargos folha'!E:E,MONTH('# Encargos folha'!$A:$A)=$C44)"),0.2)</f>
        <v>0.2</v>
      </c>
      <c r="K44" s="141">
        <f>IFERROR(__xludf.DUMMYFUNCTION("filter('# Encargos folha'!F:F,MONTH('# Encargos folha'!$A:$A)=$C44)"),0.058)</f>
        <v>0.058</v>
      </c>
      <c r="L44" s="142">
        <f>IFERROR(__xludf.DUMMYFUNCTION("filter('# Encargos folha'!G:G,MONTH('# Encargos folha'!$A:$A)=$C44)"),0.015)</f>
        <v>0.015</v>
      </c>
      <c r="M44" s="142">
        <f>IFERROR(__xludf.DUMMYFUNCTION("filter('# Encargos folha'!H:H,MONTH('# Encargos folha'!$A:$A)=$C44)"),0.08)</f>
        <v>0.08</v>
      </c>
      <c r="N44" s="142">
        <f t="shared" si="2"/>
        <v>0.11275</v>
      </c>
      <c r="O44" s="142">
        <f t="shared" si="3"/>
        <v>0.1503332958</v>
      </c>
      <c r="P44" s="168">
        <f t="shared" si="1"/>
        <v>0.6160832958</v>
      </c>
      <c r="Q44" s="145">
        <f t="array" ref="Q44">IFERROR(DGET(Dias_íteis,$Q$1,{$C$1;C44}),"")</f>
        <v>23</v>
      </c>
      <c r="R44" s="169">
        <v>202.4</v>
      </c>
      <c r="S44" s="147">
        <f>IFERROR(__xludf.DUMMYFUNCTION("SUM(FILTER(Trabalho!$I$2:$I207,MONTH(Trabalho!$G$2:$G207)=C44,Trabalho!$B$2:$B207=B44,Trabalho!$A$2:$A207=A44))"),16.0)</f>
        <v>16</v>
      </c>
      <c r="T44" s="147">
        <f>IFERROR(__xludf.DUMMYFUNCTION("IFERROR(SUM(FILTER(Trabalho!$I$2:$I207,MONTH(Trabalho!$G$2:$G207)=C44,Trabalho!$B$2:$B207=B44,Trabalho!$J$2:$J207=TRUE,Trabalho!$K$2:$K207=TRUE, Trabalho!$A$2:$A207=A44)),0)"),16.0)</f>
        <v>16</v>
      </c>
      <c r="U44" s="170">
        <v>52.155415453749995</v>
      </c>
      <c r="V44" s="167">
        <v>834.4866472599999</v>
      </c>
    </row>
    <row r="45">
      <c r="A45" s="149" t="s">
        <v>104</v>
      </c>
      <c r="B45" s="149" t="s">
        <v>290</v>
      </c>
      <c r="C45" s="150">
        <v>8.0</v>
      </c>
      <c r="D45" s="151">
        <v>2025.0</v>
      </c>
      <c r="E45" s="149" t="s">
        <v>640</v>
      </c>
      <c r="F45" s="149" t="s">
        <v>66</v>
      </c>
      <c r="G45" s="152">
        <f>IFERROR(__xludf.DUMMYFUNCTION("IFERROR(filter(choosecols('# Salários'!$F:$Q,C45),'# Salários'!$C:$C=B45))"),6532.0)</f>
        <v>6532</v>
      </c>
      <c r="H45" s="153">
        <v>4024.256087839</v>
      </c>
      <c r="I45" s="154">
        <v>10556.256087839</v>
      </c>
      <c r="J45" s="155">
        <f>IFERROR(__xludf.DUMMYFUNCTION("filter('# Encargos folha'!E:E,MONTH('# Encargos folha'!$A:$A)=$C45)"),0.2)</f>
        <v>0.2</v>
      </c>
      <c r="K45" s="156">
        <f>IFERROR(__xludf.DUMMYFUNCTION("filter('# Encargos folha'!F:F,MONTH('# Encargos folha'!$A:$A)=$C45)"),0.058)</f>
        <v>0.058</v>
      </c>
      <c r="L45" s="157">
        <f>IFERROR(__xludf.DUMMYFUNCTION("filter('# Encargos folha'!G:G,MONTH('# Encargos folha'!$A:$A)=$C45)"),0.015)</f>
        <v>0.015</v>
      </c>
      <c r="M45" s="157">
        <f>IFERROR(__xludf.DUMMYFUNCTION("filter('# Encargos folha'!H:H,MONTH('# Encargos folha'!$A:$A)=$C45)"),0.08)</f>
        <v>0.08</v>
      </c>
      <c r="N45" s="157">
        <f t="shared" si="2"/>
        <v>0.11275</v>
      </c>
      <c r="O45" s="157">
        <f t="shared" si="3"/>
        <v>0.1503332958</v>
      </c>
      <c r="P45" s="158">
        <f t="shared" si="1"/>
        <v>0.6160832958</v>
      </c>
      <c r="Q45" s="159">
        <f t="array" ref="Q45">IFERROR(DGET(Dias_íteis,$Q$1,{$C$1;C45}),"")</f>
        <v>21</v>
      </c>
      <c r="R45" s="160">
        <v>184.8</v>
      </c>
      <c r="S45" s="161">
        <f>IFERROR(__xludf.DUMMYFUNCTION("SUM(FILTER(Trabalho!$I$2:$I207,MONTH(Trabalho!$G$2:$G207)=C45,Trabalho!$B$2:$B207=B45,Trabalho!$A$2:$A207=A45))"),1.75)</f>
        <v>1.75</v>
      </c>
      <c r="T45" s="161">
        <f>IFERROR(__xludf.DUMMYFUNCTION("IFERROR(SUM(FILTER(Trabalho!$I$2:$I207,MONTH(Trabalho!$G$2:$G207)=C45,Trabalho!$B$2:$B207=B45,Trabalho!$J$2:$J207=TRUE,Trabalho!$K$2:$K207=TRUE, Trabalho!$A$2:$A207=A45)),0)"),1.75)</f>
        <v>1.75</v>
      </c>
      <c r="U45" s="162">
        <v>57.12259787791666</v>
      </c>
      <c r="V45" s="154">
        <v>99.96454628635416</v>
      </c>
    </row>
    <row r="46">
      <c r="A46" s="164" t="s">
        <v>104</v>
      </c>
      <c r="B46" s="164" t="s">
        <v>290</v>
      </c>
      <c r="C46" s="165">
        <v>10.0</v>
      </c>
      <c r="D46" s="135">
        <v>2025.0</v>
      </c>
      <c r="E46" s="164" t="s">
        <v>640</v>
      </c>
      <c r="F46" s="164" t="s">
        <v>66</v>
      </c>
      <c r="G46" s="137">
        <f>IFERROR(__xludf.DUMMYFUNCTION("IFERROR(filter(choosecols('# Salários'!$F:$Q,C46),'# Salários'!$C:$C=B46))"),6532.0)</f>
        <v>6532</v>
      </c>
      <c r="H46" s="166">
        <v>4209.1661168721</v>
      </c>
      <c r="I46" s="167">
        <v>10741.1661168721</v>
      </c>
      <c r="J46" s="140">
        <f>IFERROR(__xludf.DUMMYFUNCTION("filter('# Encargos folha'!E:E,MONTH('# Encargos folha'!$A:$A)=$C46)"),0.2)</f>
        <v>0.2</v>
      </c>
      <c r="K46" s="141">
        <f>IFERROR(__xludf.DUMMYFUNCTION("filter('# Encargos folha'!F:F,MONTH('# Encargos folha'!$A:$A)=$C46)"),0.058)</f>
        <v>0.058</v>
      </c>
      <c r="L46" s="142">
        <f>IFERROR(__xludf.DUMMYFUNCTION("filter('# Encargos folha'!G:G,MONTH('# Encargos folha'!$A:$A)=$C46)"),0.0387)</f>
        <v>0.0387</v>
      </c>
      <c r="M46" s="142">
        <f>IFERROR(__xludf.DUMMYFUNCTION("filter('# Encargos folha'!H:H,MONTH('# Encargos folha'!$A:$A)=$C46)"),0.08)</f>
        <v>0.08</v>
      </c>
      <c r="N46" s="142">
        <f t="shared" si="2"/>
        <v>0.114725</v>
      </c>
      <c r="O46" s="142">
        <f t="shared" si="3"/>
        <v>0.1529666284</v>
      </c>
      <c r="P46" s="168">
        <f t="shared" si="1"/>
        <v>0.6443916284</v>
      </c>
      <c r="Q46" s="145">
        <f t="array" ref="Q46">IFERROR(DGET(Dias_íteis,$Q$1,{$C$1;C46}),"")</f>
        <v>22</v>
      </c>
      <c r="R46" s="169">
        <v>193.60000000000002</v>
      </c>
      <c r="S46" s="147">
        <f>IFERROR(__xludf.DUMMYFUNCTION("SUM(FILTER(Trabalho!$I$2:$I207,MONTH(Trabalho!$G$2:$G207)=C46,Trabalho!$B$2:$B207=B46,Trabalho!$A$2:$A207=A46))"),10.0)</f>
        <v>10</v>
      </c>
      <c r="T46" s="147">
        <f>IFERROR(__xludf.DUMMYFUNCTION("IFERROR(SUM(FILTER(Trabalho!$I$2:$I207,MONTH(Trabalho!$G$2:$G207)=C46,Trabalho!$B$2:$B207=B46,Trabalho!$J$2:$J207=TRUE,Trabalho!$K$2:$K207=TRUE, Trabalho!$A$2:$A207=A46)),0)"),10.0)</f>
        <v>10</v>
      </c>
      <c r="U46" s="170">
        <v>55.481229942521175</v>
      </c>
      <c r="V46" s="167">
        <v>554.8122994252118</v>
      </c>
    </row>
    <row r="47">
      <c r="A47" s="149" t="s">
        <v>104</v>
      </c>
      <c r="B47" s="149" t="s">
        <v>290</v>
      </c>
      <c r="C47" s="150">
        <v>11.0</v>
      </c>
      <c r="D47" s="151">
        <v>2025.0</v>
      </c>
      <c r="E47" s="149" t="s">
        <v>640</v>
      </c>
      <c r="F47" s="149" t="s">
        <v>66</v>
      </c>
      <c r="G47" s="152">
        <f>IFERROR(__xludf.DUMMYFUNCTION("IFERROR(filter(choosecols('# Salários'!$F:$Q,C47),'# Salários'!$C:$C=B47))"),6532.0)</f>
        <v>6532</v>
      </c>
      <c r="H47" s="153">
        <v>4209.1661168721</v>
      </c>
      <c r="I47" s="154">
        <v>10741.1661168721</v>
      </c>
      <c r="J47" s="155">
        <f>IFERROR(__xludf.DUMMYFUNCTION("filter('# Encargos folha'!E:E,MONTH('# Encargos folha'!$A:$A)=$C47)"),0.2)</f>
        <v>0.2</v>
      </c>
      <c r="K47" s="156">
        <f>IFERROR(__xludf.DUMMYFUNCTION("filter('# Encargos folha'!F:F,MONTH('# Encargos folha'!$A:$A)=$C47)"),0.058)</f>
        <v>0.058</v>
      </c>
      <c r="L47" s="157">
        <f>IFERROR(__xludf.DUMMYFUNCTION("filter('# Encargos folha'!G:G,MONTH('# Encargos folha'!$A:$A)=$C47)"),0.0387)</f>
        <v>0.0387</v>
      </c>
      <c r="M47" s="157">
        <f>IFERROR(__xludf.DUMMYFUNCTION("filter('# Encargos folha'!H:H,MONTH('# Encargos folha'!$A:$A)=$C47)"),0.08)</f>
        <v>0.08</v>
      </c>
      <c r="N47" s="157">
        <f t="shared" si="2"/>
        <v>0.114725</v>
      </c>
      <c r="O47" s="157">
        <f t="shared" si="3"/>
        <v>0.1529666284</v>
      </c>
      <c r="P47" s="158">
        <f t="shared" si="1"/>
        <v>0.6443916284</v>
      </c>
      <c r="Q47" s="159">
        <f t="array" ref="Q47">IFERROR(DGET(Dias_íteis,$Q$1,{$C$1;C47}),"")</f>
        <v>19</v>
      </c>
      <c r="R47" s="160">
        <v>167.20000000000002</v>
      </c>
      <c r="S47" s="161">
        <f>IFERROR(__xludf.DUMMYFUNCTION("SUM(FILTER(Trabalho!$I$2:$I207,MONTH(Trabalho!$G$2:$G207)=C47,Trabalho!$B$2:$B207=B47,Trabalho!$A$2:$A207=A47))"),1.5)</f>
        <v>1.5</v>
      </c>
      <c r="T47" s="161">
        <f>IFERROR(__xludf.DUMMYFUNCTION("IFERROR(SUM(FILTER(Trabalho!$I$2:$I207,MONTH(Trabalho!$G$2:$G207)=C47,Trabalho!$B$2:$B207=B47,Trabalho!$J$2:$J207=TRUE,Trabalho!$K$2:$K207=TRUE, Trabalho!$A$2:$A207=A47)),0)"),1.5)</f>
        <v>1.5</v>
      </c>
      <c r="U47" s="162">
        <v>64.24142414397188</v>
      </c>
      <c r="V47" s="154">
        <v>96.36213621595783</v>
      </c>
    </row>
    <row r="48">
      <c r="A48" s="164" t="s">
        <v>104</v>
      </c>
      <c r="B48" s="164" t="s">
        <v>290</v>
      </c>
      <c r="C48" s="165">
        <v>12.0</v>
      </c>
      <c r="D48" s="135">
        <v>2025.0</v>
      </c>
      <c r="E48" s="164" t="s">
        <v>640</v>
      </c>
      <c r="F48" s="164" t="s">
        <v>66</v>
      </c>
      <c r="G48" s="137">
        <f>IFERROR(__xludf.DUMMYFUNCTION("IFERROR(filter(choosecols('# Salários'!$F:$Q,C48),'# Salários'!$C:$C=B48))"),6532.0)</f>
        <v>6532</v>
      </c>
      <c r="H48" s="166">
        <v>4209.1661168721</v>
      </c>
      <c r="I48" s="167">
        <v>10741.1661168721</v>
      </c>
      <c r="J48" s="140">
        <f>IFERROR(__xludf.DUMMYFUNCTION("filter('# Encargos folha'!E:E,MONTH('# Encargos folha'!$A:$A)=$C48)"),0.2)</f>
        <v>0.2</v>
      </c>
      <c r="K48" s="141">
        <f>IFERROR(__xludf.DUMMYFUNCTION("filter('# Encargos folha'!F:F,MONTH('# Encargos folha'!$A:$A)=$C48)"),0.058)</f>
        <v>0.058</v>
      </c>
      <c r="L48" s="142">
        <f>IFERROR(__xludf.DUMMYFUNCTION("filter('# Encargos folha'!G:G,MONTH('# Encargos folha'!$A:$A)=$C48)"),0.0387)</f>
        <v>0.0387</v>
      </c>
      <c r="M48" s="142">
        <f>IFERROR(__xludf.DUMMYFUNCTION("filter('# Encargos folha'!H:H,MONTH('# Encargos folha'!$A:$A)=$C48)"),0.08)</f>
        <v>0.08</v>
      </c>
      <c r="N48" s="142">
        <f t="shared" si="2"/>
        <v>0.114725</v>
      </c>
      <c r="O48" s="142">
        <f t="shared" si="3"/>
        <v>0.1529666284</v>
      </c>
      <c r="P48" s="168">
        <f t="shared" si="1"/>
        <v>0.6443916284</v>
      </c>
      <c r="Q48" s="145">
        <f t="array" ref="Q48">IFERROR(DGET(Dias_íteis,$Q$1,{$C$1;C48}),"")</f>
        <v>22</v>
      </c>
      <c r="R48" s="169">
        <v>193.60000000000002</v>
      </c>
      <c r="S48" s="147">
        <f>IFERROR(__xludf.DUMMYFUNCTION("SUM(FILTER(Trabalho!$I$2:$I207,MONTH(Trabalho!$G$2:$G207)=C48,Trabalho!$B$2:$B207=B48,Trabalho!$A$2:$A207=A48))"),1.5)</f>
        <v>1.5</v>
      </c>
      <c r="T48" s="147">
        <f>IFERROR(__xludf.DUMMYFUNCTION("IFERROR(SUM(FILTER(Trabalho!$I$2:$I207,MONTH(Trabalho!$G$2:$G207)=C48,Trabalho!$B$2:$B207=B48,Trabalho!$J$2:$J207=TRUE,Trabalho!$K$2:$K207=TRUE, Trabalho!$A$2:$A207=A48)),0)"),1.5)</f>
        <v>1.5</v>
      </c>
      <c r="U48" s="170">
        <v>55.481229942521175</v>
      </c>
      <c r="V48" s="167">
        <v>83.22184491378177</v>
      </c>
    </row>
    <row r="49">
      <c r="A49" s="149" t="s">
        <v>104</v>
      </c>
      <c r="B49" s="149" t="s">
        <v>426</v>
      </c>
      <c r="C49" s="150">
        <v>4.0</v>
      </c>
      <c r="D49" s="151">
        <v>2025.0</v>
      </c>
      <c r="E49" s="149" t="s">
        <v>637</v>
      </c>
      <c r="F49" s="149" t="s">
        <v>638</v>
      </c>
      <c r="G49" s="152">
        <f>IFERROR(__xludf.DUMMYFUNCTION("IFERROR(filter(choosecols('# Salários'!$F:$Q,C49),'# Salários'!$C:$C=B49))"),7234.78)</f>
        <v>7234.78</v>
      </c>
      <c r="H49" s="153">
        <v>4457.227106426185</v>
      </c>
      <c r="I49" s="154">
        <v>11692.007106426185</v>
      </c>
      <c r="J49" s="155">
        <f>IFERROR(__xludf.DUMMYFUNCTION("filter('# Encargos folha'!E:E,MONTH('# Encargos folha'!$A:$A)=$C49)"),0.2)</f>
        <v>0.2</v>
      </c>
      <c r="K49" s="156">
        <f>IFERROR(__xludf.DUMMYFUNCTION("filter('# Encargos folha'!F:F,MONTH('# Encargos folha'!$A:$A)=$C49)"),0.058)</f>
        <v>0.058</v>
      </c>
      <c r="L49" s="157">
        <f>IFERROR(__xludf.DUMMYFUNCTION("filter('# Encargos folha'!G:G,MONTH('# Encargos folha'!$A:$A)=$C49)"),0.015)</f>
        <v>0.015</v>
      </c>
      <c r="M49" s="157">
        <f>IFERROR(__xludf.DUMMYFUNCTION("filter('# Encargos folha'!H:H,MONTH('# Encargos folha'!$A:$A)=$C49)"),0.08)</f>
        <v>0.08</v>
      </c>
      <c r="N49" s="157">
        <f t="shared" si="2"/>
        <v>0.11275</v>
      </c>
      <c r="O49" s="157">
        <f t="shared" si="3"/>
        <v>0.1503332958</v>
      </c>
      <c r="P49" s="158">
        <f t="shared" si="1"/>
        <v>0.6160832958</v>
      </c>
      <c r="Q49" s="159">
        <f t="array" ref="Q49">IFERROR(DGET(Dias_íteis,$Q$1,{$C$1;C49}),"")</f>
        <v>20</v>
      </c>
      <c r="R49" s="160">
        <v>176.0</v>
      </c>
      <c r="S49" s="161">
        <f>IFERROR(__xludf.DUMMYFUNCTION("SUM(FILTER(Trabalho!$I$2:$I207,MONTH(Trabalho!$G$2:$G207)=C49,Trabalho!$B$2:$B207=B49,Trabalho!$A$2:$A207=A49))"),18.0)</f>
        <v>18</v>
      </c>
      <c r="T49" s="161">
        <f>IFERROR(__xludf.DUMMYFUNCTION("IFERROR(SUM(FILTER(Trabalho!$I$2:$I207,MONTH(Trabalho!$G$2:$G207)=C49,Trabalho!$B$2:$B207=B49,Trabalho!$J$2:$J207=TRUE,Trabalho!$K$2:$K207=TRUE, Trabalho!$A$2:$A207=A49)),0)"),15.0)</f>
        <v>15</v>
      </c>
      <c r="U49" s="162">
        <v>66.43185855923969</v>
      </c>
      <c r="V49" s="154">
        <v>996.4778783885953</v>
      </c>
    </row>
    <row r="50">
      <c r="A50" s="164" t="s">
        <v>104</v>
      </c>
      <c r="B50" s="164" t="s">
        <v>426</v>
      </c>
      <c r="C50" s="165">
        <v>5.0</v>
      </c>
      <c r="D50" s="135">
        <v>2025.0</v>
      </c>
      <c r="E50" s="164" t="s">
        <v>637</v>
      </c>
      <c r="F50" s="164" t="s">
        <v>638</v>
      </c>
      <c r="G50" s="137">
        <f>IFERROR(__xludf.DUMMYFUNCTION("IFERROR(filter(choosecols('# Salários'!$F:$Q,C50),'# Salários'!$C:$C=B50))"),7234.78)</f>
        <v>7234.78</v>
      </c>
      <c r="H50" s="166">
        <v>4457.227106426185</v>
      </c>
      <c r="I50" s="167">
        <v>11692.007106426185</v>
      </c>
      <c r="J50" s="140">
        <f>IFERROR(__xludf.DUMMYFUNCTION("filter('# Encargos folha'!E:E,MONTH('# Encargos folha'!$A:$A)=$C50)"),0.2)</f>
        <v>0.2</v>
      </c>
      <c r="K50" s="141">
        <f>IFERROR(__xludf.DUMMYFUNCTION("filter('# Encargos folha'!F:F,MONTH('# Encargos folha'!$A:$A)=$C50)"),0.058)</f>
        <v>0.058</v>
      </c>
      <c r="L50" s="142">
        <f>IFERROR(__xludf.DUMMYFUNCTION("filter('# Encargos folha'!G:G,MONTH('# Encargos folha'!$A:$A)=$C50)"),0.015)</f>
        <v>0.015</v>
      </c>
      <c r="M50" s="142">
        <f>IFERROR(__xludf.DUMMYFUNCTION("filter('# Encargos folha'!H:H,MONTH('# Encargos folha'!$A:$A)=$C50)"),0.08)</f>
        <v>0.08</v>
      </c>
      <c r="N50" s="142">
        <f t="shared" si="2"/>
        <v>0.11275</v>
      </c>
      <c r="O50" s="142">
        <f t="shared" si="3"/>
        <v>0.1503332958</v>
      </c>
      <c r="P50" s="168">
        <f t="shared" si="1"/>
        <v>0.6160832958</v>
      </c>
      <c r="Q50" s="145">
        <f t="array" ref="Q50">IFERROR(DGET(Dias_íteis,$Q$1,{$C$1;C50}),"")</f>
        <v>21</v>
      </c>
      <c r="R50" s="169">
        <v>184.8</v>
      </c>
      <c r="S50" s="147">
        <f>IFERROR(__xludf.DUMMYFUNCTION("SUM(FILTER(Trabalho!$I$2:$I207,MONTH(Trabalho!$G$2:$G207)=C50,Trabalho!$B$2:$B207=B50,Trabalho!$A$2:$A207=A50))"),13.0)</f>
        <v>13</v>
      </c>
      <c r="T50" s="147">
        <f>IFERROR(__xludf.DUMMYFUNCTION("IFERROR(SUM(FILTER(Trabalho!$I$2:$I207,MONTH(Trabalho!$G$2:$G207)=C50,Trabalho!$B$2:$B207=B50,Trabalho!$J$2:$J207=TRUE,Trabalho!$K$2:$K207=TRUE, Trabalho!$A$2:$A207=A50)),0)"),13.0)</f>
        <v>13</v>
      </c>
      <c r="U50" s="170">
        <v>63.26843672308541</v>
      </c>
      <c r="V50" s="167">
        <v>822.4896774001103</v>
      </c>
    </row>
    <row r="51">
      <c r="A51" s="149" t="s">
        <v>106</v>
      </c>
      <c r="B51" s="149" t="s">
        <v>251</v>
      </c>
      <c r="C51" s="150">
        <v>3.0</v>
      </c>
      <c r="D51" s="151">
        <v>2025.0</v>
      </c>
      <c r="E51" s="149" t="s">
        <v>635</v>
      </c>
      <c r="F51" s="149" t="s">
        <v>68</v>
      </c>
      <c r="G51" s="152">
        <f>IFERROR(__xludf.DUMMYFUNCTION("IFERROR(filter(choosecols('# Salários'!$F:$Q,C51),'# Salários'!$C:$C=B51))"),5481.24)</f>
        <v>5481.24</v>
      </c>
      <c r="H51" s="153">
        <v>3475.10595171288</v>
      </c>
      <c r="I51" s="154">
        <v>8956.34595171288</v>
      </c>
      <c r="J51" s="155">
        <f>IFERROR(__xludf.DUMMYFUNCTION("filter('# Encargos folha'!E:E,MONTH('# Encargos folha'!$A:$A)=$C51)"),0.2)</f>
        <v>0.2</v>
      </c>
      <c r="K51" s="156">
        <f>IFERROR(__xludf.DUMMYFUNCTION("filter('# Encargos folha'!F:F,MONTH('# Encargos folha'!$A:$A)=$C51)"),0.058)</f>
        <v>0.058</v>
      </c>
      <c r="L51" s="157">
        <f>IFERROR(__xludf.DUMMYFUNCTION("filter('# Encargos folha'!G:G,MONTH('# Encargos folha'!$A:$A)=$C51)"),0.03)</f>
        <v>0.03</v>
      </c>
      <c r="M51" s="157">
        <f>IFERROR(__xludf.DUMMYFUNCTION("filter('# Encargos folha'!H:H,MONTH('# Encargos folha'!$A:$A)=$C51)"),0.08)</f>
        <v>0.08</v>
      </c>
      <c r="N51" s="157">
        <f t="shared" si="2"/>
        <v>0.114</v>
      </c>
      <c r="O51" s="157">
        <f t="shared" si="3"/>
        <v>0.151999962</v>
      </c>
      <c r="P51" s="158">
        <f t="shared" si="1"/>
        <v>0.633999962</v>
      </c>
      <c r="Q51" s="159">
        <f t="array" ref="Q51">IFERROR(DGET(Dias_íteis,$Q$1,{$C$1;C51}),"")</f>
        <v>18</v>
      </c>
      <c r="R51" s="160">
        <v>158.4</v>
      </c>
      <c r="S51" s="161">
        <f>IFERROR(__xludf.DUMMYFUNCTION("SUM(FILTER(Trabalho!$I$2:$I207,MONTH(Trabalho!$G$2:$G207)=C51,Trabalho!$B$2:$B207=B51,Trabalho!$A$2:$A207=A51))"),1.0)</f>
        <v>1</v>
      </c>
      <c r="T51" s="161">
        <f>IFERROR(__xludf.DUMMYFUNCTION("IFERROR(SUM(FILTER(Trabalho!$I$2:$I207,MONTH(Trabalho!$G$2:$G207)=C51,Trabalho!$B$2:$B207=B51,Trabalho!$J$2:$J207=TRUE,Trabalho!$K$2:$K207=TRUE, Trabalho!$A$2:$A207=A51)),0)"),1.0)</f>
        <v>1</v>
      </c>
      <c r="U51" s="162">
        <v>56.54258807899545</v>
      </c>
      <c r="V51" s="154">
        <v>56.54258807899545</v>
      </c>
    </row>
    <row r="52">
      <c r="A52" s="164" t="s">
        <v>106</v>
      </c>
      <c r="B52" s="164" t="s">
        <v>546</v>
      </c>
      <c r="C52" s="165">
        <v>10.0</v>
      </c>
      <c r="D52" s="135">
        <v>2025.0</v>
      </c>
      <c r="E52" s="164" t="s">
        <v>641</v>
      </c>
      <c r="F52" s="164" t="s">
        <v>65</v>
      </c>
      <c r="G52" s="137">
        <f>IFERROR(__xludf.DUMMYFUNCTION("IFERROR(filter(choosecols('# Salários'!$F:$Q,C52),'# Salários'!$C:$C=B52))"),4391.0)</f>
        <v>4391</v>
      </c>
      <c r="H52" s="166">
        <v>2829.5236404141747</v>
      </c>
      <c r="I52" s="167">
        <v>7220.523640414174</v>
      </c>
      <c r="J52" s="140">
        <f>IFERROR(__xludf.DUMMYFUNCTION("filter('# Encargos folha'!E:E,MONTH('# Encargos folha'!$A:$A)=$C52)"),0.2)</f>
        <v>0.2</v>
      </c>
      <c r="K52" s="141">
        <f>IFERROR(__xludf.DUMMYFUNCTION("filter('# Encargos folha'!F:F,MONTH('# Encargos folha'!$A:$A)=$C52)"),0.058)</f>
        <v>0.058</v>
      </c>
      <c r="L52" s="142">
        <f>IFERROR(__xludf.DUMMYFUNCTION("filter('# Encargos folha'!G:G,MONTH('# Encargos folha'!$A:$A)=$C52)"),0.0387)</f>
        <v>0.0387</v>
      </c>
      <c r="M52" s="142">
        <f>IFERROR(__xludf.DUMMYFUNCTION("filter('# Encargos folha'!H:H,MONTH('# Encargos folha'!$A:$A)=$C52)"),0.08)</f>
        <v>0.08</v>
      </c>
      <c r="N52" s="142">
        <f t="shared" si="2"/>
        <v>0.114725</v>
      </c>
      <c r="O52" s="142">
        <f t="shared" si="3"/>
        <v>0.1529666284</v>
      </c>
      <c r="P52" s="168">
        <f t="shared" si="1"/>
        <v>0.6443916284</v>
      </c>
      <c r="Q52" s="145">
        <f t="array" ref="Q52">IFERROR(DGET(Dias_íteis,$Q$1,{$C$1;C52}),"")</f>
        <v>22</v>
      </c>
      <c r="R52" s="169">
        <v>193.60000000000002</v>
      </c>
      <c r="S52" s="147">
        <f>IFERROR(__xludf.DUMMYFUNCTION("SUM(FILTER(Trabalho!$I$2:$I207,MONTH(Trabalho!$G$2:$G207)=C52,Trabalho!$B$2:$B207=B52,Trabalho!$A$2:$A207=A52))"),0.75)</f>
        <v>0.75</v>
      </c>
      <c r="T52" s="147">
        <f>IFERROR(__xludf.DUMMYFUNCTION("IFERROR(SUM(FILTER(Trabalho!$I$2:$I207,MONTH(Trabalho!$G$2:$G207)=C52,Trabalho!$B$2:$B207=B52,Trabalho!$J$2:$J207=TRUE,Trabalho!$K$2:$K207=TRUE, Trabalho!$A$2:$A207=A52)),0)"),0.75)</f>
        <v>0.75</v>
      </c>
      <c r="U52" s="170">
        <v>37.29609318395751</v>
      </c>
      <c r="V52" s="167">
        <v>27.972069887968132</v>
      </c>
    </row>
    <row r="53">
      <c r="A53" s="149" t="s">
        <v>106</v>
      </c>
      <c r="B53" s="149" t="s">
        <v>546</v>
      </c>
      <c r="C53" s="150">
        <v>11.0</v>
      </c>
      <c r="D53" s="151">
        <v>2025.0</v>
      </c>
      <c r="E53" s="149" t="s">
        <v>641</v>
      </c>
      <c r="F53" s="149" t="s">
        <v>65</v>
      </c>
      <c r="G53" s="152">
        <f>IFERROR(__xludf.DUMMYFUNCTION("IFERROR(filter(choosecols('# Salários'!$F:$Q,C53),'# Salários'!$C:$C=B53))"),4391.0)</f>
        <v>4391</v>
      </c>
      <c r="H53" s="153">
        <v>2829.5236404141747</v>
      </c>
      <c r="I53" s="154">
        <v>7220.523640414174</v>
      </c>
      <c r="J53" s="155">
        <f>IFERROR(__xludf.DUMMYFUNCTION("filter('# Encargos folha'!E:E,MONTH('# Encargos folha'!$A:$A)=$C53)"),0.2)</f>
        <v>0.2</v>
      </c>
      <c r="K53" s="156">
        <f>IFERROR(__xludf.DUMMYFUNCTION("filter('# Encargos folha'!F:F,MONTH('# Encargos folha'!$A:$A)=$C53)"),0.058)</f>
        <v>0.058</v>
      </c>
      <c r="L53" s="157">
        <f>IFERROR(__xludf.DUMMYFUNCTION("filter('# Encargos folha'!G:G,MONTH('# Encargos folha'!$A:$A)=$C53)"),0.0387)</f>
        <v>0.0387</v>
      </c>
      <c r="M53" s="157">
        <f>IFERROR(__xludf.DUMMYFUNCTION("filter('# Encargos folha'!H:H,MONTH('# Encargos folha'!$A:$A)=$C53)"),0.08)</f>
        <v>0.08</v>
      </c>
      <c r="N53" s="157">
        <f t="shared" si="2"/>
        <v>0.114725</v>
      </c>
      <c r="O53" s="157">
        <f t="shared" si="3"/>
        <v>0.1529666284</v>
      </c>
      <c r="P53" s="158">
        <f t="shared" si="1"/>
        <v>0.6443916284</v>
      </c>
      <c r="Q53" s="159">
        <f t="array" ref="Q53">IFERROR(DGET(Dias_íteis,$Q$1,{$C$1;C53}),"")</f>
        <v>19</v>
      </c>
      <c r="R53" s="160">
        <v>167.20000000000002</v>
      </c>
      <c r="S53" s="161">
        <f>IFERROR(__xludf.DUMMYFUNCTION("SUM(FILTER(Trabalho!$I$2:$I207,MONTH(Trabalho!$G$2:$G207)=C53,Trabalho!$B$2:$B207=B53,Trabalho!$A$2:$A207=A53))"),6.666666666666666)</f>
        <v>6.666666667</v>
      </c>
      <c r="T53" s="161">
        <f>IFERROR(__xludf.DUMMYFUNCTION("IFERROR(SUM(FILTER(Trabalho!$I$2:$I207,MONTH(Trabalho!$G$2:$G207)=C53,Trabalho!$B$2:$B207=B53,Trabalho!$J$2:$J207=TRUE,Trabalho!$K$2:$K207=TRUE, Trabalho!$A$2:$A207=A53)),0)"),6.666666666666666)</f>
        <v>6.666666667</v>
      </c>
      <c r="U53" s="162">
        <v>43.184950002477116</v>
      </c>
      <c r="V53" s="154">
        <v>287.8996666831807</v>
      </c>
    </row>
    <row r="54">
      <c r="A54" s="164" t="s">
        <v>106</v>
      </c>
      <c r="B54" s="164" t="s">
        <v>546</v>
      </c>
      <c r="C54" s="165">
        <v>12.0</v>
      </c>
      <c r="D54" s="135">
        <v>2025.0</v>
      </c>
      <c r="E54" s="164" t="s">
        <v>641</v>
      </c>
      <c r="F54" s="164" t="s">
        <v>65</v>
      </c>
      <c r="G54" s="137">
        <f>IFERROR(__xludf.DUMMYFUNCTION("IFERROR(filter(choosecols('# Salários'!$F:$Q,C54),'# Salários'!$C:$C=B54))"),4391.0)</f>
        <v>4391</v>
      </c>
      <c r="H54" s="166">
        <v>2829.5236404141747</v>
      </c>
      <c r="I54" s="167">
        <v>7220.523640414174</v>
      </c>
      <c r="J54" s="140">
        <f>IFERROR(__xludf.DUMMYFUNCTION("filter('# Encargos folha'!E:E,MONTH('# Encargos folha'!$A:$A)=$C54)"),0.2)</f>
        <v>0.2</v>
      </c>
      <c r="K54" s="141">
        <f>IFERROR(__xludf.DUMMYFUNCTION("filter('# Encargos folha'!F:F,MONTH('# Encargos folha'!$A:$A)=$C54)"),0.058)</f>
        <v>0.058</v>
      </c>
      <c r="L54" s="142">
        <f>IFERROR(__xludf.DUMMYFUNCTION("filter('# Encargos folha'!G:G,MONTH('# Encargos folha'!$A:$A)=$C54)"),0.0387)</f>
        <v>0.0387</v>
      </c>
      <c r="M54" s="142">
        <f>IFERROR(__xludf.DUMMYFUNCTION("filter('# Encargos folha'!H:H,MONTH('# Encargos folha'!$A:$A)=$C54)"),0.08)</f>
        <v>0.08</v>
      </c>
      <c r="N54" s="142">
        <f t="shared" si="2"/>
        <v>0.114725</v>
      </c>
      <c r="O54" s="142">
        <f t="shared" si="3"/>
        <v>0.1529666284</v>
      </c>
      <c r="P54" s="168">
        <f t="shared" si="1"/>
        <v>0.6443916284</v>
      </c>
      <c r="Q54" s="145">
        <f t="array" ref="Q54">IFERROR(DGET(Dias_íteis,$Q$1,{$C$1;C54}),"")</f>
        <v>22</v>
      </c>
      <c r="R54" s="169">
        <v>193.60000000000002</v>
      </c>
      <c r="S54" s="147">
        <f>IFERROR(__xludf.DUMMYFUNCTION("SUM(FILTER(Trabalho!$I$2:$I207,MONTH(Trabalho!$G$2:$G207)=C54,Trabalho!$B$2:$B207=B54,Trabalho!$A$2:$A207=A54))"),2.75)</f>
        <v>2.75</v>
      </c>
      <c r="T54" s="147">
        <f>IFERROR(__xludf.DUMMYFUNCTION("IFERROR(SUM(FILTER(Trabalho!$I$2:$I207,MONTH(Trabalho!$G$2:$G207)=C54,Trabalho!$B$2:$B207=B54,Trabalho!$J$2:$J207=TRUE,Trabalho!$K$2:$K207=TRUE, Trabalho!$A$2:$A207=A54)),0)"),2.75)</f>
        <v>2.75</v>
      </c>
      <c r="U54" s="170">
        <v>37.29609318395751</v>
      </c>
      <c r="V54" s="167">
        <v>102.56425625588315</v>
      </c>
    </row>
    <row r="55">
      <c r="A55" s="149" t="s">
        <v>118</v>
      </c>
      <c r="B55" s="149" t="s">
        <v>496</v>
      </c>
      <c r="C55" s="150">
        <v>8.0</v>
      </c>
      <c r="D55" s="151">
        <v>2025.0</v>
      </c>
      <c r="E55" s="149" t="s">
        <v>634</v>
      </c>
      <c r="F55" s="149" t="s">
        <v>66</v>
      </c>
      <c r="G55" s="152">
        <f>IFERROR(__xludf.DUMMYFUNCTION("IFERROR(filter(choosecols('# Salários'!$F:$Q,C55),'# Salários'!$C:$C=B55))"),7613.79)</f>
        <v>7613.79</v>
      </c>
      <c r="H55" s="153">
        <v>4690.728836348392</v>
      </c>
      <c r="I55" s="154">
        <v>12304.518836348392</v>
      </c>
      <c r="J55" s="155">
        <f>IFERROR(__xludf.DUMMYFUNCTION("filter('# Encargos folha'!E:E,MONTH('# Encargos folha'!$A:$A)=$C55)"),0.2)</f>
        <v>0.2</v>
      </c>
      <c r="K55" s="156">
        <f>IFERROR(__xludf.DUMMYFUNCTION("filter('# Encargos folha'!F:F,MONTH('# Encargos folha'!$A:$A)=$C55)"),0.058)</f>
        <v>0.058</v>
      </c>
      <c r="L55" s="157">
        <f>IFERROR(__xludf.DUMMYFUNCTION("filter('# Encargos folha'!G:G,MONTH('# Encargos folha'!$A:$A)=$C55)"),0.015)</f>
        <v>0.015</v>
      </c>
      <c r="M55" s="157">
        <f>IFERROR(__xludf.DUMMYFUNCTION("filter('# Encargos folha'!H:H,MONTH('# Encargos folha'!$A:$A)=$C55)"),0.08)</f>
        <v>0.08</v>
      </c>
      <c r="N55" s="157">
        <f t="shared" si="2"/>
        <v>0.11275</v>
      </c>
      <c r="O55" s="157">
        <f t="shared" si="3"/>
        <v>0.1503332958</v>
      </c>
      <c r="P55" s="158">
        <f t="shared" si="1"/>
        <v>0.6160832958</v>
      </c>
      <c r="Q55" s="159">
        <f t="array" ref="Q55">IFERROR(DGET(Dias_íteis,$Q$1,{$C$1;C55}),"")</f>
        <v>21</v>
      </c>
      <c r="R55" s="160">
        <v>184.8</v>
      </c>
      <c r="S55" s="161">
        <f>IFERROR(__xludf.DUMMYFUNCTION("SUM(FILTER(Trabalho!$I$2:$I207,MONTH(Trabalho!$G$2:$G207)=C55,Trabalho!$B$2:$B207=B55,Trabalho!$A$2:$A207=A55))"),1.0)</f>
        <v>1</v>
      </c>
      <c r="T55" s="161">
        <f>IFERROR(__xludf.DUMMYFUNCTION("IFERROR(SUM(FILTER(Trabalho!$I$2:$I207,MONTH(Trabalho!$G$2:$G207)=C55,Trabalho!$B$2:$B207=B55,Trabalho!$J$2:$J207=TRUE,Trabalho!$K$2:$K207=TRUE, Trabalho!$A$2:$A207=A55)),0)"),0.0)</f>
        <v>0</v>
      </c>
      <c r="U55" s="162">
        <v>66.58289413608436</v>
      </c>
      <c r="V55" s="154">
        <v>0.0</v>
      </c>
    </row>
    <row r="56">
      <c r="A56" s="164" t="s">
        <v>118</v>
      </c>
      <c r="B56" s="164" t="s">
        <v>496</v>
      </c>
      <c r="C56" s="165">
        <v>9.0</v>
      </c>
      <c r="D56" s="135">
        <v>2025.0</v>
      </c>
      <c r="E56" s="164" t="s">
        <v>634</v>
      </c>
      <c r="F56" s="164" t="s">
        <v>66</v>
      </c>
      <c r="G56" s="137" t="str">
        <f>IFERROR(__xludf.DUMMYFUNCTION("IFERROR(filter(choosecols('# Salários'!$F:$Q,C56),'# Salários'!$C:$C=B56))"),"")</f>
        <v/>
      </c>
      <c r="H56" s="166">
        <v>0.0</v>
      </c>
      <c r="I56" s="167">
        <v>0.0</v>
      </c>
      <c r="J56" s="140">
        <f>IFERROR(__xludf.DUMMYFUNCTION("filter('# Encargos folha'!E:E,MONTH('# Encargos folha'!$A:$A)=$C56)"),0.2)</f>
        <v>0.2</v>
      </c>
      <c r="K56" s="141">
        <f>IFERROR(__xludf.DUMMYFUNCTION("filter('# Encargos folha'!F:F,MONTH('# Encargos folha'!$A:$A)=$C56)"),0.058)</f>
        <v>0.058</v>
      </c>
      <c r="L56" s="142">
        <f>IFERROR(__xludf.DUMMYFUNCTION("filter('# Encargos folha'!G:G,MONTH('# Encargos folha'!$A:$A)=$C56)"),0.015)</f>
        <v>0.015</v>
      </c>
      <c r="M56" s="142">
        <f>IFERROR(__xludf.DUMMYFUNCTION("filter('# Encargos folha'!H:H,MONTH('# Encargos folha'!$A:$A)=$C56)"),0.08)</f>
        <v>0.08</v>
      </c>
      <c r="N56" s="142">
        <f t="shared" si="2"/>
        <v>0.11275</v>
      </c>
      <c r="O56" s="142">
        <f t="shared" si="3"/>
        <v>0.1503332958</v>
      </c>
      <c r="P56" s="168">
        <f t="shared" si="1"/>
        <v>0.6160832958</v>
      </c>
      <c r="Q56" s="145">
        <f t="array" ref="Q56">IFERROR(DGET(Dias_íteis,$Q$1,{$C$1;C56}),"")</f>
        <v>21</v>
      </c>
      <c r="R56" s="169">
        <v>184.8</v>
      </c>
      <c r="S56" s="147">
        <f>IFERROR(__xludf.DUMMYFUNCTION("SUM(FILTER(Trabalho!$I$2:$I207,MONTH(Trabalho!$G$2:$G207)=C56,Trabalho!$B$2:$B207=B56,Trabalho!$A$2:$A207=A56))"),1.0)</f>
        <v>1</v>
      </c>
      <c r="T56" s="147">
        <f>IFERROR(__xludf.DUMMYFUNCTION("IFERROR(SUM(FILTER(Trabalho!$I$2:$I207,MONTH(Trabalho!$G$2:$G207)=C56,Trabalho!$B$2:$B207=B56,Trabalho!$J$2:$J207=TRUE,Trabalho!$K$2:$K207=TRUE, Trabalho!$A$2:$A207=A56)),0)"),1.0)</f>
        <v>1</v>
      </c>
      <c r="U56" s="170">
        <v>0.0</v>
      </c>
      <c r="V56" s="167">
        <v>0.0</v>
      </c>
    </row>
    <row r="57">
      <c r="A57" s="149" t="s">
        <v>118</v>
      </c>
      <c r="B57" s="149" t="s">
        <v>251</v>
      </c>
      <c r="C57" s="150">
        <v>1.0</v>
      </c>
      <c r="D57" s="151">
        <v>2025.0</v>
      </c>
      <c r="E57" s="149" t="s">
        <v>635</v>
      </c>
      <c r="F57" s="149" t="s">
        <v>68</v>
      </c>
      <c r="G57" s="152">
        <f>IFERROR(__xludf.DUMMYFUNCTION("IFERROR(filter(choosecols('# Salários'!$F:$Q,C57),'# Salários'!$C:$C=B57))"),5481.24)</f>
        <v>5481.24</v>
      </c>
      <c r="H57" s="153">
        <v>3475.10595171288</v>
      </c>
      <c r="I57" s="154">
        <v>8956.34595171288</v>
      </c>
      <c r="J57" s="155">
        <f>IFERROR(__xludf.DUMMYFUNCTION("filter('# Encargos folha'!E:E,MONTH('# Encargos folha'!$A:$A)=$C57)"),0.2)</f>
        <v>0.2</v>
      </c>
      <c r="K57" s="156">
        <f>IFERROR(__xludf.DUMMYFUNCTION("filter('# Encargos folha'!F:F,MONTH('# Encargos folha'!$A:$A)=$C57)"),0.058)</f>
        <v>0.058</v>
      </c>
      <c r="L57" s="157">
        <f>IFERROR(__xludf.DUMMYFUNCTION("filter('# Encargos folha'!G:G,MONTH('# Encargos folha'!$A:$A)=$C57)"),0.03)</f>
        <v>0.03</v>
      </c>
      <c r="M57" s="157">
        <f>IFERROR(__xludf.DUMMYFUNCTION("filter('# Encargos folha'!H:H,MONTH('# Encargos folha'!$A:$A)=$C57)"),0.08)</f>
        <v>0.08</v>
      </c>
      <c r="N57" s="157">
        <f t="shared" si="2"/>
        <v>0.114</v>
      </c>
      <c r="O57" s="157">
        <f t="shared" si="3"/>
        <v>0.151999962</v>
      </c>
      <c r="P57" s="158">
        <f t="shared" si="1"/>
        <v>0.633999962</v>
      </c>
      <c r="Q57" s="159">
        <f t="array" ref="Q57">IFERROR(DGET(Dias_íteis,$Q$1,{$C$1;C57}),"")</f>
        <v>22</v>
      </c>
      <c r="R57" s="160">
        <v>193.60000000000002</v>
      </c>
      <c r="S57" s="161">
        <f>IFERROR(__xludf.DUMMYFUNCTION("SUM(FILTER(Trabalho!$I$2:$I207,MONTH(Trabalho!$G$2:$G207)=C57,Trabalho!$B$2:$B207=B57,Trabalho!$A$2:$A207=A57))"),1.25)</f>
        <v>1.25</v>
      </c>
      <c r="T57" s="161">
        <f>IFERROR(__xludf.DUMMYFUNCTION("IFERROR(SUM(FILTER(Trabalho!$I$2:$I207,MONTH(Trabalho!$G$2:$G207)=C57,Trabalho!$B$2:$B207=B57,Trabalho!$J$2:$J207=TRUE,Trabalho!$K$2:$K207=TRUE, Trabalho!$A$2:$A207=A57)),0)"),1.25)</f>
        <v>1.25</v>
      </c>
      <c r="U57" s="162">
        <v>46.26211751917809</v>
      </c>
      <c r="V57" s="154">
        <v>57.82764689897262</v>
      </c>
    </row>
    <row r="58">
      <c r="A58" s="164" t="s">
        <v>118</v>
      </c>
      <c r="B58" s="164" t="s">
        <v>251</v>
      </c>
      <c r="C58" s="165">
        <v>7.0</v>
      </c>
      <c r="D58" s="135">
        <v>2025.0</v>
      </c>
      <c r="E58" s="164" t="s">
        <v>635</v>
      </c>
      <c r="F58" s="164" t="s">
        <v>68</v>
      </c>
      <c r="G58" s="137">
        <f>IFERROR(__xludf.DUMMYFUNCTION("IFERROR(filter(choosecols('# Salários'!$F:$Q,C58),'# Salários'!$C:$C=B58))"),5828.0)</f>
        <v>5828</v>
      </c>
      <c r="H58" s="166">
        <v>3590.533447631</v>
      </c>
      <c r="I58" s="167">
        <v>9418.533447631</v>
      </c>
      <c r="J58" s="140">
        <f>IFERROR(__xludf.DUMMYFUNCTION("filter('# Encargos folha'!E:E,MONTH('# Encargos folha'!$A:$A)=$C58)"),0.2)</f>
        <v>0.2</v>
      </c>
      <c r="K58" s="141">
        <f>IFERROR(__xludf.DUMMYFUNCTION("filter('# Encargos folha'!F:F,MONTH('# Encargos folha'!$A:$A)=$C58)"),0.058)</f>
        <v>0.058</v>
      </c>
      <c r="L58" s="142">
        <f>IFERROR(__xludf.DUMMYFUNCTION("filter('# Encargos folha'!G:G,MONTH('# Encargos folha'!$A:$A)=$C58)"),0.015)</f>
        <v>0.015</v>
      </c>
      <c r="M58" s="142">
        <f>IFERROR(__xludf.DUMMYFUNCTION("filter('# Encargos folha'!H:H,MONTH('# Encargos folha'!$A:$A)=$C58)"),0.08)</f>
        <v>0.08</v>
      </c>
      <c r="N58" s="142">
        <f t="shared" si="2"/>
        <v>0.11275</v>
      </c>
      <c r="O58" s="142">
        <f t="shared" si="3"/>
        <v>0.1503332958</v>
      </c>
      <c r="P58" s="168">
        <f t="shared" si="1"/>
        <v>0.6160832958</v>
      </c>
      <c r="Q58" s="145">
        <f t="array" ref="Q58">IFERROR(DGET(Dias_íteis,$Q$1,{$C$1;C58}),"")</f>
        <v>23</v>
      </c>
      <c r="R58" s="169">
        <v>202.4</v>
      </c>
      <c r="S58" s="147">
        <f>IFERROR(__xludf.DUMMYFUNCTION("SUM(FILTER(Trabalho!$I$2:$I207,MONTH(Trabalho!$G$2:$G207)=C58,Trabalho!$B$2:$B207=B58,Trabalho!$A$2:$A207=A58))"),2.5)</f>
        <v>2.5</v>
      </c>
      <c r="T58" s="147">
        <f>IFERROR(__xludf.DUMMYFUNCTION("IFERROR(SUM(FILTER(Trabalho!$I$2:$I207,MONTH(Trabalho!$G$2:$G207)=C58,Trabalho!$B$2:$B207=B58,Trabalho!$J$2:$J207=TRUE,Trabalho!$K$2:$K207=TRUE, Trabalho!$A$2:$A207=A58)),0)"),2.5)</f>
        <v>2.5</v>
      </c>
      <c r="U58" s="170">
        <v>46.53425616418478</v>
      </c>
      <c r="V58" s="167">
        <v>116.33564041046196</v>
      </c>
    </row>
    <row r="59">
      <c r="A59" s="149" t="s">
        <v>118</v>
      </c>
      <c r="B59" s="149" t="s">
        <v>406</v>
      </c>
      <c r="C59" s="150">
        <v>6.0</v>
      </c>
      <c r="D59" s="151">
        <v>2025.0</v>
      </c>
      <c r="E59" s="149" t="s">
        <v>636</v>
      </c>
      <c r="F59" s="149" t="s">
        <v>68</v>
      </c>
      <c r="G59" s="152">
        <f>IFERROR(__xludf.DUMMYFUNCTION("IFERROR(filter(choosecols('# Salários'!$F:$Q,C59),'# Salários'!$C:$C=B59))"),5236.51)</f>
        <v>5236.51</v>
      </c>
      <c r="H59" s="153">
        <v>3226.1263390278327</v>
      </c>
      <c r="I59" s="154">
        <v>8462.636339027833</v>
      </c>
      <c r="J59" s="155">
        <f>IFERROR(__xludf.DUMMYFUNCTION("filter('# Encargos folha'!E:E,MONTH('# Encargos folha'!$A:$A)=$C59)"),0.2)</f>
        <v>0.2</v>
      </c>
      <c r="K59" s="156">
        <f>IFERROR(__xludf.DUMMYFUNCTION("filter('# Encargos folha'!F:F,MONTH('# Encargos folha'!$A:$A)=$C59)"),0.058)</f>
        <v>0.058</v>
      </c>
      <c r="L59" s="157">
        <f>IFERROR(__xludf.DUMMYFUNCTION("filter('# Encargos folha'!G:G,MONTH('# Encargos folha'!$A:$A)=$C59)"),0.015)</f>
        <v>0.015</v>
      </c>
      <c r="M59" s="157">
        <f>IFERROR(__xludf.DUMMYFUNCTION("filter('# Encargos folha'!H:H,MONTH('# Encargos folha'!$A:$A)=$C59)"),0.08)</f>
        <v>0.08</v>
      </c>
      <c r="N59" s="157">
        <f t="shared" si="2"/>
        <v>0.11275</v>
      </c>
      <c r="O59" s="157">
        <f t="shared" si="3"/>
        <v>0.1503332958</v>
      </c>
      <c r="P59" s="158">
        <f t="shared" si="1"/>
        <v>0.6160832958</v>
      </c>
      <c r="Q59" s="159">
        <f t="array" ref="Q59">IFERROR(DGET(Dias_íteis,$Q$1,{$C$1;C59}),"")</f>
        <v>20</v>
      </c>
      <c r="R59" s="160">
        <v>176.0</v>
      </c>
      <c r="S59" s="161">
        <f>IFERROR(__xludf.DUMMYFUNCTION("SUM(FILTER(Trabalho!$I$2:$I207,MONTH(Trabalho!$G$2:$G207)=C59,Trabalho!$B$2:$B207=B59,Trabalho!$A$2:$A207=A59))"),1.0)</f>
        <v>1</v>
      </c>
      <c r="T59" s="161">
        <f>IFERROR(__xludf.DUMMYFUNCTION("IFERROR(SUM(FILTER(Trabalho!$I$2:$I207,MONTH(Trabalho!$G$2:$G207)=C59,Trabalho!$B$2:$B207=B59,Trabalho!$J$2:$J207=TRUE,Trabalho!$K$2:$K207=TRUE, Trabalho!$A$2:$A207=A59)),0)"),1.0)</f>
        <v>1</v>
      </c>
      <c r="U59" s="162">
        <v>48.083161017203594</v>
      </c>
      <c r="V59" s="154">
        <v>48.083161017203594</v>
      </c>
    </row>
    <row r="60">
      <c r="A60" s="164" t="s">
        <v>118</v>
      </c>
      <c r="B60" s="164" t="s">
        <v>406</v>
      </c>
      <c r="C60" s="165">
        <v>9.0</v>
      </c>
      <c r="D60" s="135">
        <v>2025.0</v>
      </c>
      <c r="E60" s="164" t="s">
        <v>636</v>
      </c>
      <c r="F60" s="164" t="s">
        <v>68</v>
      </c>
      <c r="G60" s="137">
        <f>IFERROR(__xludf.DUMMYFUNCTION("IFERROR(filter(choosecols('# Salários'!$F:$Q,C60),'# Salários'!$C:$C=B60))"),5286.0)</f>
        <v>5286</v>
      </c>
      <c r="H60" s="166">
        <v>3256.6163013345</v>
      </c>
      <c r="I60" s="167">
        <v>8542.6163013345</v>
      </c>
      <c r="J60" s="140">
        <f>IFERROR(__xludf.DUMMYFUNCTION("filter('# Encargos folha'!E:E,MONTH('# Encargos folha'!$A:$A)=$C60)"),0.2)</f>
        <v>0.2</v>
      </c>
      <c r="K60" s="141">
        <f>IFERROR(__xludf.DUMMYFUNCTION("filter('# Encargos folha'!F:F,MONTH('# Encargos folha'!$A:$A)=$C60)"),0.058)</f>
        <v>0.058</v>
      </c>
      <c r="L60" s="142">
        <f>IFERROR(__xludf.DUMMYFUNCTION("filter('# Encargos folha'!G:G,MONTH('# Encargos folha'!$A:$A)=$C60)"),0.015)</f>
        <v>0.015</v>
      </c>
      <c r="M60" s="142">
        <f>IFERROR(__xludf.DUMMYFUNCTION("filter('# Encargos folha'!H:H,MONTH('# Encargos folha'!$A:$A)=$C60)"),0.08)</f>
        <v>0.08</v>
      </c>
      <c r="N60" s="142">
        <f t="shared" si="2"/>
        <v>0.11275</v>
      </c>
      <c r="O60" s="142">
        <f t="shared" si="3"/>
        <v>0.1503332958</v>
      </c>
      <c r="P60" s="168">
        <f t="shared" si="1"/>
        <v>0.6160832958</v>
      </c>
      <c r="Q60" s="145">
        <f t="array" ref="Q60">IFERROR(DGET(Dias_íteis,$Q$1,{$C$1;C60}),"")</f>
        <v>21</v>
      </c>
      <c r="R60" s="169">
        <v>184.8</v>
      </c>
      <c r="S60" s="147">
        <f>IFERROR(__xludf.DUMMYFUNCTION("SUM(FILTER(Trabalho!$I$2:$I207,MONTH(Trabalho!$G$2:$G207)=C60,Trabalho!$B$2:$B207=B60,Trabalho!$A$2:$A207=A60))"),1.0)</f>
        <v>1</v>
      </c>
      <c r="T60" s="147">
        <f>IFERROR(__xludf.DUMMYFUNCTION("IFERROR(SUM(FILTER(Trabalho!$I$2:$I207,MONTH(Trabalho!$G$2:$G207)=C60,Trabalho!$B$2:$B207=B60,Trabalho!$J$2:$J207=TRUE,Trabalho!$K$2:$K207=TRUE, Trabalho!$A$2:$A207=A60)),0)"),1.0)</f>
        <v>1</v>
      </c>
      <c r="U60" s="170">
        <v>46.22627868687499</v>
      </c>
      <c r="V60" s="167">
        <v>46.22627868687499</v>
      </c>
    </row>
    <row r="61">
      <c r="A61" s="149" t="s">
        <v>124</v>
      </c>
      <c r="B61" s="149" t="s">
        <v>251</v>
      </c>
      <c r="C61" s="150">
        <v>2.0</v>
      </c>
      <c r="D61" s="151">
        <v>2025.0</v>
      </c>
      <c r="E61" s="149" t="s">
        <v>635</v>
      </c>
      <c r="F61" s="149" t="s">
        <v>68</v>
      </c>
      <c r="G61" s="152">
        <f>IFERROR(__xludf.DUMMYFUNCTION("IFERROR(filter(choosecols('# Salários'!$F:$Q,C61),'# Salários'!$C:$C=B61))"),5481.24)</f>
        <v>5481.24</v>
      </c>
      <c r="H61" s="153">
        <v>3475.10595171288</v>
      </c>
      <c r="I61" s="154">
        <v>8956.34595171288</v>
      </c>
      <c r="J61" s="155">
        <f>IFERROR(__xludf.DUMMYFUNCTION("filter('# Encargos folha'!E:E,MONTH('# Encargos folha'!$A:$A)=$C61)"),0.2)</f>
        <v>0.2</v>
      </c>
      <c r="K61" s="156">
        <f>IFERROR(__xludf.DUMMYFUNCTION("filter('# Encargos folha'!F:F,MONTH('# Encargos folha'!$A:$A)=$C61)"),0.058)</f>
        <v>0.058</v>
      </c>
      <c r="L61" s="157">
        <f>IFERROR(__xludf.DUMMYFUNCTION("filter('# Encargos folha'!G:G,MONTH('# Encargos folha'!$A:$A)=$C61)"),0.03)</f>
        <v>0.03</v>
      </c>
      <c r="M61" s="157">
        <f>IFERROR(__xludf.DUMMYFUNCTION("filter('# Encargos folha'!H:H,MONTH('# Encargos folha'!$A:$A)=$C61)"),0.08)</f>
        <v>0.08</v>
      </c>
      <c r="N61" s="157">
        <f t="shared" si="2"/>
        <v>0.114</v>
      </c>
      <c r="O61" s="157">
        <f t="shared" si="3"/>
        <v>0.151999962</v>
      </c>
      <c r="P61" s="158">
        <f t="shared" si="1"/>
        <v>0.633999962</v>
      </c>
      <c r="Q61" s="159">
        <f t="array" ref="Q61">IFERROR(DGET(Dias_íteis,$Q$1,{$C$1;C61}),"")</f>
        <v>19</v>
      </c>
      <c r="R61" s="160">
        <v>167.20000000000002</v>
      </c>
      <c r="S61" s="161">
        <f>IFERROR(__xludf.DUMMYFUNCTION("SUM(FILTER(Trabalho!$I$2:$I207,MONTH(Trabalho!$G$2:$G207)=C61,Trabalho!$B$2:$B207=B61,Trabalho!$A$2:$A207=A61))"),12.983333333333334)</f>
        <v>12.98333333</v>
      </c>
      <c r="T61" s="161">
        <f>IFERROR(__xludf.DUMMYFUNCTION("IFERROR(SUM(FILTER(Trabalho!$I$2:$I207,MONTH(Trabalho!$G$2:$G207)=C61,Trabalho!$B$2:$B207=B61,Trabalho!$J$2:$J207=TRUE,Trabalho!$K$2:$K207=TRUE, Trabalho!$A$2:$A207=A61)),0)"),11.483333333333334)</f>
        <v>11.48333333</v>
      </c>
      <c r="U61" s="162">
        <v>53.566662390627265</v>
      </c>
      <c r="V61" s="154">
        <v>615.1238397857031</v>
      </c>
    </row>
    <row r="62">
      <c r="A62" s="164" t="s">
        <v>124</v>
      </c>
      <c r="B62" s="164" t="s">
        <v>251</v>
      </c>
      <c r="C62" s="165">
        <v>5.0</v>
      </c>
      <c r="D62" s="135">
        <v>2025.0</v>
      </c>
      <c r="E62" s="164" t="s">
        <v>635</v>
      </c>
      <c r="F62" s="164" t="s">
        <v>68</v>
      </c>
      <c r="G62" s="137">
        <f>IFERROR(__xludf.DUMMYFUNCTION("IFERROR(filter(choosecols('# Salários'!$F:$Q,C62),'# Salários'!$C:$C=B62))"),5481.24)</f>
        <v>5481.24</v>
      </c>
      <c r="H62" s="166">
        <v>3376.90040399673</v>
      </c>
      <c r="I62" s="167">
        <v>8858.14040399673</v>
      </c>
      <c r="J62" s="140">
        <f>IFERROR(__xludf.DUMMYFUNCTION("filter('# Encargos folha'!E:E,MONTH('# Encargos folha'!$A:$A)=$C62)"),0.2)</f>
        <v>0.2</v>
      </c>
      <c r="K62" s="141">
        <f>IFERROR(__xludf.DUMMYFUNCTION("filter('# Encargos folha'!F:F,MONTH('# Encargos folha'!$A:$A)=$C62)"),0.058)</f>
        <v>0.058</v>
      </c>
      <c r="L62" s="142">
        <f>IFERROR(__xludf.DUMMYFUNCTION("filter('# Encargos folha'!G:G,MONTH('# Encargos folha'!$A:$A)=$C62)"),0.015)</f>
        <v>0.015</v>
      </c>
      <c r="M62" s="142">
        <f>IFERROR(__xludf.DUMMYFUNCTION("filter('# Encargos folha'!H:H,MONTH('# Encargos folha'!$A:$A)=$C62)"),0.08)</f>
        <v>0.08</v>
      </c>
      <c r="N62" s="142">
        <f t="shared" si="2"/>
        <v>0.11275</v>
      </c>
      <c r="O62" s="142">
        <f t="shared" si="3"/>
        <v>0.1503332958</v>
      </c>
      <c r="P62" s="168">
        <f t="shared" si="1"/>
        <v>0.6160832958</v>
      </c>
      <c r="Q62" s="145">
        <f t="array" ref="Q62">IFERROR(DGET(Dias_íteis,$Q$1,{$C$1;C62}),"")</f>
        <v>21</v>
      </c>
      <c r="R62" s="169">
        <v>184.8</v>
      </c>
      <c r="S62" s="147">
        <f>IFERROR(__xludf.DUMMYFUNCTION("SUM(FILTER(Trabalho!$I$2:$I207,MONTH(Trabalho!$G$2:$G207)=C62,Trabalho!$B$2:$B207=B62,Trabalho!$A$2:$A207=A62))"),1.0)</f>
        <v>1</v>
      </c>
      <c r="T62" s="147">
        <f>IFERROR(__xludf.DUMMYFUNCTION("IFERROR(SUM(FILTER(Trabalho!$I$2:$I207,MONTH(Trabalho!$G$2:$G207)=C62,Trabalho!$B$2:$B207=B62,Trabalho!$J$2:$J207=TRUE,Trabalho!$K$2:$K207=TRUE, Trabalho!$A$2:$A207=A62)),0)"),1.0)</f>
        <v>1</v>
      </c>
      <c r="U62" s="170">
        <v>47.93366019478749</v>
      </c>
      <c r="V62" s="167">
        <v>47.93366019478749</v>
      </c>
    </row>
    <row r="63">
      <c r="A63" s="149" t="s">
        <v>124</v>
      </c>
      <c r="B63" s="149" t="s">
        <v>251</v>
      </c>
      <c r="C63" s="150">
        <v>6.0</v>
      </c>
      <c r="D63" s="151">
        <v>2025.0</v>
      </c>
      <c r="E63" s="149" t="s">
        <v>635</v>
      </c>
      <c r="F63" s="149" t="s">
        <v>68</v>
      </c>
      <c r="G63" s="152">
        <f>IFERROR(__xludf.DUMMYFUNCTION("IFERROR(filter(choosecols('# Salários'!$F:$Q,C63),'# Salários'!$C:$C=B63))"),5772.84)</f>
        <v>5772.84</v>
      </c>
      <c r="H63" s="153">
        <v>3556.55029303743</v>
      </c>
      <c r="I63" s="154">
        <v>9329.39029303743</v>
      </c>
      <c r="J63" s="155">
        <f>IFERROR(__xludf.DUMMYFUNCTION("filter('# Encargos folha'!E:E,MONTH('# Encargos folha'!$A:$A)=$C63)"),0.2)</f>
        <v>0.2</v>
      </c>
      <c r="K63" s="156">
        <f>IFERROR(__xludf.DUMMYFUNCTION("filter('# Encargos folha'!F:F,MONTH('# Encargos folha'!$A:$A)=$C63)"),0.058)</f>
        <v>0.058</v>
      </c>
      <c r="L63" s="157">
        <f>IFERROR(__xludf.DUMMYFUNCTION("filter('# Encargos folha'!G:G,MONTH('# Encargos folha'!$A:$A)=$C63)"),0.015)</f>
        <v>0.015</v>
      </c>
      <c r="M63" s="157">
        <f>IFERROR(__xludf.DUMMYFUNCTION("filter('# Encargos folha'!H:H,MONTH('# Encargos folha'!$A:$A)=$C63)"),0.08)</f>
        <v>0.08</v>
      </c>
      <c r="N63" s="157">
        <f t="shared" si="2"/>
        <v>0.11275</v>
      </c>
      <c r="O63" s="157">
        <f t="shared" si="3"/>
        <v>0.1503332958</v>
      </c>
      <c r="P63" s="158">
        <f t="shared" si="1"/>
        <v>0.6160832958</v>
      </c>
      <c r="Q63" s="159">
        <f t="array" ref="Q63">IFERROR(DGET(Dias_íteis,$Q$1,{$C$1;C63}),"")</f>
        <v>20</v>
      </c>
      <c r="R63" s="160">
        <v>176.0</v>
      </c>
      <c r="S63" s="161">
        <f>IFERROR(__xludf.DUMMYFUNCTION("SUM(FILTER(Trabalho!$I$2:$I207,MONTH(Trabalho!$G$2:$G207)=C63,Trabalho!$B$2:$B207=B63,Trabalho!$A$2:$A207=A63))"),6.0)</f>
        <v>6</v>
      </c>
      <c r="T63" s="161">
        <f>IFERROR(__xludf.DUMMYFUNCTION("IFERROR(SUM(FILTER(Trabalho!$I$2:$I207,MONTH(Trabalho!$G$2:$G207)=C63,Trabalho!$B$2:$B207=B63,Trabalho!$J$2:$J207=TRUE,Trabalho!$K$2:$K207=TRUE, Trabalho!$A$2:$A207=A63)),0)"),5.5)</f>
        <v>5.5</v>
      </c>
      <c r="U63" s="162">
        <v>53.007899392258125</v>
      </c>
      <c r="V63" s="154">
        <v>291.5434466574197</v>
      </c>
    </row>
    <row r="64">
      <c r="A64" s="164" t="s">
        <v>124</v>
      </c>
      <c r="B64" s="164" t="s">
        <v>251</v>
      </c>
      <c r="C64" s="165">
        <v>7.0</v>
      </c>
      <c r="D64" s="135">
        <v>2025.0</v>
      </c>
      <c r="E64" s="164" t="s">
        <v>635</v>
      </c>
      <c r="F64" s="164" t="s">
        <v>68</v>
      </c>
      <c r="G64" s="137">
        <f>IFERROR(__xludf.DUMMYFUNCTION("IFERROR(filter(choosecols('# Salários'!$F:$Q,C64),'# Salários'!$C:$C=B64))"),5828.0)</f>
        <v>5828</v>
      </c>
      <c r="H64" s="166">
        <v>3590.533447631</v>
      </c>
      <c r="I64" s="167">
        <v>9418.533447631</v>
      </c>
      <c r="J64" s="140">
        <f>IFERROR(__xludf.DUMMYFUNCTION("filter('# Encargos folha'!E:E,MONTH('# Encargos folha'!$A:$A)=$C64)"),0.2)</f>
        <v>0.2</v>
      </c>
      <c r="K64" s="141">
        <f>IFERROR(__xludf.DUMMYFUNCTION("filter('# Encargos folha'!F:F,MONTH('# Encargos folha'!$A:$A)=$C64)"),0.058)</f>
        <v>0.058</v>
      </c>
      <c r="L64" s="142">
        <f>IFERROR(__xludf.DUMMYFUNCTION("filter('# Encargos folha'!G:G,MONTH('# Encargos folha'!$A:$A)=$C64)"),0.015)</f>
        <v>0.015</v>
      </c>
      <c r="M64" s="142">
        <f>IFERROR(__xludf.DUMMYFUNCTION("filter('# Encargos folha'!H:H,MONTH('# Encargos folha'!$A:$A)=$C64)"),0.08)</f>
        <v>0.08</v>
      </c>
      <c r="N64" s="142">
        <f t="shared" si="2"/>
        <v>0.11275</v>
      </c>
      <c r="O64" s="142">
        <f t="shared" si="3"/>
        <v>0.1503332958</v>
      </c>
      <c r="P64" s="168">
        <f t="shared" si="1"/>
        <v>0.6160832958</v>
      </c>
      <c r="Q64" s="145">
        <f t="array" ref="Q64">IFERROR(DGET(Dias_íteis,$Q$1,{$C$1;C64}),"")</f>
        <v>23</v>
      </c>
      <c r="R64" s="169">
        <v>202.4</v>
      </c>
      <c r="S64" s="147">
        <f>IFERROR(__xludf.DUMMYFUNCTION("SUM(FILTER(Trabalho!$I$2:$I207,MONTH(Trabalho!$G$2:$G207)=C64,Trabalho!$B$2:$B207=B64,Trabalho!$A$2:$A207=A64))"),21.333333333333332)</f>
        <v>21.33333333</v>
      </c>
      <c r="T64" s="147">
        <f>IFERROR(__xludf.DUMMYFUNCTION("IFERROR(SUM(FILTER(Trabalho!$I$2:$I207,MONTH(Trabalho!$G$2:$G207)=C64,Trabalho!$B$2:$B207=B64,Trabalho!$J$2:$J207=TRUE,Trabalho!$K$2:$K207=TRUE, Trabalho!$A$2:$A207=A64)),0)"),21.083333333333332)</f>
        <v>21.08333333</v>
      </c>
      <c r="U64" s="170">
        <v>46.53425616418478</v>
      </c>
      <c r="V64" s="167">
        <v>981.0972341282292</v>
      </c>
    </row>
    <row r="65">
      <c r="A65" s="149" t="s">
        <v>124</v>
      </c>
      <c r="B65" s="149" t="s">
        <v>251</v>
      </c>
      <c r="C65" s="150">
        <v>8.0</v>
      </c>
      <c r="D65" s="151">
        <v>2025.0</v>
      </c>
      <c r="E65" s="149" t="s">
        <v>635</v>
      </c>
      <c r="F65" s="149" t="s">
        <v>68</v>
      </c>
      <c r="G65" s="152">
        <f>IFERROR(__xludf.DUMMYFUNCTION("IFERROR(filter(choosecols('# Salários'!$F:$Q,C65),'# Salários'!$C:$C=B65))"),7202.0)</f>
        <v>7202</v>
      </c>
      <c r="H65" s="153">
        <v>4437.0318959915</v>
      </c>
      <c r="I65" s="154">
        <v>11639.0318959915</v>
      </c>
      <c r="J65" s="155">
        <f>IFERROR(__xludf.DUMMYFUNCTION("filter('# Encargos folha'!E:E,MONTH('# Encargos folha'!$A:$A)=$C65)"),0.2)</f>
        <v>0.2</v>
      </c>
      <c r="K65" s="156">
        <f>IFERROR(__xludf.DUMMYFUNCTION("filter('# Encargos folha'!F:F,MONTH('# Encargos folha'!$A:$A)=$C65)"),0.058)</f>
        <v>0.058</v>
      </c>
      <c r="L65" s="157">
        <f>IFERROR(__xludf.DUMMYFUNCTION("filter('# Encargos folha'!G:G,MONTH('# Encargos folha'!$A:$A)=$C65)"),0.015)</f>
        <v>0.015</v>
      </c>
      <c r="M65" s="157">
        <f>IFERROR(__xludf.DUMMYFUNCTION("filter('# Encargos folha'!H:H,MONTH('# Encargos folha'!$A:$A)=$C65)"),0.08)</f>
        <v>0.08</v>
      </c>
      <c r="N65" s="157">
        <f t="shared" si="2"/>
        <v>0.11275</v>
      </c>
      <c r="O65" s="157">
        <f t="shared" si="3"/>
        <v>0.1503332958</v>
      </c>
      <c r="P65" s="158">
        <f t="shared" si="1"/>
        <v>0.6160832958</v>
      </c>
      <c r="Q65" s="159">
        <f t="array" ref="Q65">IFERROR(DGET(Dias_íteis,$Q$1,{$C$1;C65}),"")</f>
        <v>21</v>
      </c>
      <c r="R65" s="160">
        <v>184.8</v>
      </c>
      <c r="S65" s="161">
        <f>IFERROR(__xludf.DUMMYFUNCTION("SUM(FILTER(Trabalho!$I$2:$I207,MONTH(Trabalho!$G$2:$G207)=C65,Trabalho!$B$2:$B207=B65,Trabalho!$A$2:$A207=A65))"),11.750000000000002)</f>
        <v>11.75</v>
      </c>
      <c r="T65" s="161">
        <f>IFERROR(__xludf.DUMMYFUNCTION("IFERROR(SUM(FILTER(Trabalho!$I$2:$I207,MONTH(Trabalho!$G$2:$G207)=C65,Trabalho!$B$2:$B207=B65,Trabalho!$J$2:$J207=TRUE,Trabalho!$K$2:$K207=TRUE, Trabalho!$A$2:$A207=A65)),0)"),11.500000000000002)</f>
        <v>11.5</v>
      </c>
      <c r="U65" s="162">
        <v>62.98177432895833</v>
      </c>
      <c r="V65" s="154">
        <v>724.2904047830209</v>
      </c>
    </row>
    <row r="66">
      <c r="A66" s="164" t="s">
        <v>124</v>
      </c>
      <c r="B66" s="164" t="s">
        <v>251</v>
      </c>
      <c r="C66" s="165">
        <v>9.0</v>
      </c>
      <c r="D66" s="135">
        <v>2025.0</v>
      </c>
      <c r="E66" s="164" t="s">
        <v>635</v>
      </c>
      <c r="F66" s="164" t="s">
        <v>68</v>
      </c>
      <c r="G66" s="137">
        <f>IFERROR(__xludf.DUMMYFUNCTION("IFERROR(filter(choosecols('# Salários'!$F:$Q,C66),'# Salários'!$C:$C=B66))"),7202.0)</f>
        <v>7202</v>
      </c>
      <c r="H66" s="166">
        <v>4437.0318959915</v>
      </c>
      <c r="I66" s="167">
        <v>11639.0318959915</v>
      </c>
      <c r="J66" s="140">
        <f>IFERROR(__xludf.DUMMYFUNCTION("filter('# Encargos folha'!E:E,MONTH('# Encargos folha'!$A:$A)=$C66)"),0.2)</f>
        <v>0.2</v>
      </c>
      <c r="K66" s="141">
        <f>IFERROR(__xludf.DUMMYFUNCTION("filter('# Encargos folha'!F:F,MONTH('# Encargos folha'!$A:$A)=$C66)"),0.058)</f>
        <v>0.058</v>
      </c>
      <c r="L66" s="142">
        <f>IFERROR(__xludf.DUMMYFUNCTION("filter('# Encargos folha'!G:G,MONTH('# Encargos folha'!$A:$A)=$C66)"),0.015)</f>
        <v>0.015</v>
      </c>
      <c r="M66" s="142">
        <f>IFERROR(__xludf.DUMMYFUNCTION("filter('# Encargos folha'!H:H,MONTH('# Encargos folha'!$A:$A)=$C66)"),0.08)</f>
        <v>0.08</v>
      </c>
      <c r="N66" s="142">
        <f t="shared" si="2"/>
        <v>0.11275</v>
      </c>
      <c r="O66" s="142">
        <f t="shared" si="3"/>
        <v>0.1503332958</v>
      </c>
      <c r="P66" s="168">
        <f t="shared" si="1"/>
        <v>0.6160832958</v>
      </c>
      <c r="Q66" s="145">
        <f t="array" ref="Q66">IFERROR(DGET(Dias_íteis,$Q$1,{$C$1;C66}),"")</f>
        <v>21</v>
      </c>
      <c r="R66" s="169">
        <v>184.8</v>
      </c>
      <c r="S66" s="147">
        <f>IFERROR(__xludf.DUMMYFUNCTION("SUM(FILTER(Trabalho!$I$2:$I207,MONTH(Trabalho!$G$2:$G207)=C66,Trabalho!$B$2:$B207=B66,Trabalho!$A$2:$A207=A66))"),9.833333333333334)</f>
        <v>9.833333333</v>
      </c>
      <c r="T66" s="147">
        <f>IFERROR(__xludf.DUMMYFUNCTION("IFERROR(SUM(FILTER(Trabalho!$I$2:$I207,MONTH(Trabalho!$G$2:$G207)=C66,Trabalho!$B$2:$B207=B66,Trabalho!$J$2:$J207=TRUE,Trabalho!$K$2:$K207=TRUE, Trabalho!$A$2:$A207=A66)),0)"),9.5)</f>
        <v>9.5</v>
      </c>
      <c r="U66" s="170">
        <v>62.98177432895833</v>
      </c>
      <c r="V66" s="167">
        <v>598.3268561251041</v>
      </c>
    </row>
    <row r="67">
      <c r="A67" s="149" t="s">
        <v>124</v>
      </c>
      <c r="B67" s="149" t="s">
        <v>251</v>
      </c>
      <c r="C67" s="150">
        <v>10.0</v>
      </c>
      <c r="D67" s="151">
        <v>2025.0</v>
      </c>
      <c r="E67" s="149" t="s">
        <v>635</v>
      </c>
      <c r="F67" s="149" t="s">
        <v>68</v>
      </c>
      <c r="G67" s="152">
        <f>IFERROR(__xludf.DUMMYFUNCTION("IFERROR(filter(choosecols('# Salários'!$F:$Q,C67),'# Salários'!$C:$C=B67))"),7202.0)</f>
        <v>7202</v>
      </c>
      <c r="H67" s="153">
        <v>4640.90850791685</v>
      </c>
      <c r="I67" s="154">
        <v>11842.90850791685</v>
      </c>
      <c r="J67" s="155">
        <f>IFERROR(__xludf.DUMMYFUNCTION("filter('# Encargos folha'!E:E,MONTH('# Encargos folha'!$A:$A)=$C67)"),0.2)</f>
        <v>0.2</v>
      </c>
      <c r="K67" s="156">
        <f>IFERROR(__xludf.DUMMYFUNCTION("filter('# Encargos folha'!F:F,MONTH('# Encargos folha'!$A:$A)=$C67)"),0.058)</f>
        <v>0.058</v>
      </c>
      <c r="L67" s="157">
        <f>IFERROR(__xludf.DUMMYFUNCTION("filter('# Encargos folha'!G:G,MONTH('# Encargos folha'!$A:$A)=$C67)"),0.0387)</f>
        <v>0.0387</v>
      </c>
      <c r="M67" s="157">
        <f>IFERROR(__xludf.DUMMYFUNCTION("filter('# Encargos folha'!H:H,MONTH('# Encargos folha'!$A:$A)=$C67)"),0.08)</f>
        <v>0.08</v>
      </c>
      <c r="N67" s="157">
        <f t="shared" si="2"/>
        <v>0.114725</v>
      </c>
      <c r="O67" s="157">
        <f t="shared" si="3"/>
        <v>0.1529666284</v>
      </c>
      <c r="P67" s="158">
        <f t="shared" si="1"/>
        <v>0.6443916284</v>
      </c>
      <c r="Q67" s="159">
        <f t="array" ref="Q67">IFERROR(DGET(Dias_íteis,$Q$1,{$C$1;C67}),"")</f>
        <v>22</v>
      </c>
      <c r="R67" s="160">
        <v>193.60000000000002</v>
      </c>
      <c r="S67" s="161">
        <f>IFERROR(__xludf.DUMMYFUNCTION("SUM(FILTER(Trabalho!$I$2:$I207,MONTH(Trabalho!$G$2:$G207)=C67,Trabalho!$B$2:$B207=B67,Trabalho!$A$2:$A207=A67))"),3.0)</f>
        <v>3</v>
      </c>
      <c r="T67" s="161">
        <f>IFERROR(__xludf.DUMMYFUNCTION("IFERROR(SUM(FILTER(Trabalho!$I$2:$I207,MONTH(Trabalho!$G$2:$G207)=C67,Trabalho!$B$2:$B207=B67,Trabalho!$J$2:$J207=TRUE,Trabalho!$K$2:$K207=TRUE, Trabalho!$A$2:$A207=A67)),0)"),3.0)</f>
        <v>3</v>
      </c>
      <c r="U67" s="162">
        <v>61.1720480780829</v>
      </c>
      <c r="V67" s="154">
        <v>183.5161442342487</v>
      </c>
    </row>
    <row r="68">
      <c r="A68" s="164" t="s">
        <v>124</v>
      </c>
      <c r="B68" s="164" t="s">
        <v>251</v>
      </c>
      <c r="C68" s="165">
        <v>11.0</v>
      </c>
      <c r="D68" s="135">
        <v>2025.0</v>
      </c>
      <c r="E68" s="164" t="s">
        <v>635</v>
      </c>
      <c r="F68" s="164" t="s">
        <v>68</v>
      </c>
      <c r="G68" s="137">
        <f>IFERROR(__xludf.DUMMYFUNCTION("IFERROR(filter(choosecols('# Salários'!$F:$Q,C68),'# Salários'!$C:$C=B68))"),7202.0)</f>
        <v>7202</v>
      </c>
      <c r="H68" s="166">
        <v>4640.90850791685</v>
      </c>
      <c r="I68" s="167">
        <v>11842.90850791685</v>
      </c>
      <c r="J68" s="140">
        <f>IFERROR(__xludf.DUMMYFUNCTION("filter('# Encargos folha'!E:E,MONTH('# Encargos folha'!$A:$A)=$C68)"),0.2)</f>
        <v>0.2</v>
      </c>
      <c r="K68" s="141">
        <f>IFERROR(__xludf.DUMMYFUNCTION("filter('# Encargos folha'!F:F,MONTH('# Encargos folha'!$A:$A)=$C68)"),0.058)</f>
        <v>0.058</v>
      </c>
      <c r="L68" s="142">
        <f>IFERROR(__xludf.DUMMYFUNCTION("filter('# Encargos folha'!G:G,MONTH('# Encargos folha'!$A:$A)=$C68)"),0.0387)</f>
        <v>0.0387</v>
      </c>
      <c r="M68" s="142">
        <f>IFERROR(__xludf.DUMMYFUNCTION("filter('# Encargos folha'!H:H,MONTH('# Encargos folha'!$A:$A)=$C68)"),0.08)</f>
        <v>0.08</v>
      </c>
      <c r="N68" s="142">
        <f t="shared" si="2"/>
        <v>0.114725</v>
      </c>
      <c r="O68" s="142">
        <f t="shared" si="3"/>
        <v>0.1529666284</v>
      </c>
      <c r="P68" s="168">
        <f t="shared" si="1"/>
        <v>0.6443916284</v>
      </c>
      <c r="Q68" s="145">
        <f t="array" ref="Q68">IFERROR(DGET(Dias_íteis,$Q$1,{$C$1;C68}),"")</f>
        <v>19</v>
      </c>
      <c r="R68" s="169">
        <v>167.20000000000002</v>
      </c>
      <c r="S68" s="147">
        <f>IFERROR(__xludf.DUMMYFUNCTION("SUM(FILTER(Trabalho!$I$2:$I207,MONTH(Trabalho!$G$2:$G207)=C68,Trabalho!$B$2:$B207=B68,Trabalho!$A$2:$A207=A68))"),21.0)</f>
        <v>21</v>
      </c>
      <c r="T68" s="147">
        <f>IFERROR(__xludf.DUMMYFUNCTION("IFERROR(SUM(FILTER(Trabalho!$I$2:$I207,MONTH(Trabalho!$G$2:$G207)=C68,Trabalho!$B$2:$B207=B68,Trabalho!$J$2:$J207=TRUE,Trabalho!$K$2:$K207=TRUE, Trabalho!$A$2:$A207=A68)),0)"),21.0)</f>
        <v>21</v>
      </c>
      <c r="U68" s="170">
        <v>70.83079251146441</v>
      </c>
      <c r="V68" s="167">
        <v>1487.4466427407526</v>
      </c>
    </row>
    <row r="69">
      <c r="A69" s="149" t="s">
        <v>124</v>
      </c>
      <c r="B69" s="149" t="s">
        <v>426</v>
      </c>
      <c r="C69" s="150">
        <v>10.0</v>
      </c>
      <c r="D69" s="151">
        <v>2025.0</v>
      </c>
      <c r="E69" s="149" t="s">
        <v>637</v>
      </c>
      <c r="F69" s="149" t="s">
        <v>638</v>
      </c>
      <c r="G69" s="152">
        <f>IFERROR(__xludf.DUMMYFUNCTION("IFERROR(filter(choosecols('# Salários'!$F:$Q,C69),'# Salários'!$C:$C=B69))"),7693.0)</f>
        <v>7693</v>
      </c>
      <c r="H69" s="153">
        <v>4957.304797473525</v>
      </c>
      <c r="I69" s="154">
        <v>12650.304797473524</v>
      </c>
      <c r="J69" s="155">
        <f>IFERROR(__xludf.DUMMYFUNCTION("filter('# Encargos folha'!E:E,MONTH('# Encargos folha'!$A:$A)=$C69)"),0.2)</f>
        <v>0.2</v>
      </c>
      <c r="K69" s="156">
        <f>IFERROR(__xludf.DUMMYFUNCTION("filter('# Encargos folha'!F:F,MONTH('# Encargos folha'!$A:$A)=$C69)"),0.058)</f>
        <v>0.058</v>
      </c>
      <c r="L69" s="157">
        <f>IFERROR(__xludf.DUMMYFUNCTION("filter('# Encargos folha'!G:G,MONTH('# Encargos folha'!$A:$A)=$C69)"),0.0387)</f>
        <v>0.0387</v>
      </c>
      <c r="M69" s="157">
        <f>IFERROR(__xludf.DUMMYFUNCTION("filter('# Encargos folha'!H:H,MONTH('# Encargos folha'!$A:$A)=$C69)"),0.08)</f>
        <v>0.08</v>
      </c>
      <c r="N69" s="157">
        <f t="shared" si="2"/>
        <v>0.114725</v>
      </c>
      <c r="O69" s="157">
        <f t="shared" si="3"/>
        <v>0.1529666284</v>
      </c>
      <c r="P69" s="158">
        <f t="shared" si="1"/>
        <v>0.6443916284</v>
      </c>
      <c r="Q69" s="159">
        <f t="array" ref="Q69">IFERROR(DGET(Dias_íteis,$Q$1,{$C$1;C69}),"")</f>
        <v>22</v>
      </c>
      <c r="R69" s="160">
        <v>193.60000000000002</v>
      </c>
      <c r="S69" s="161">
        <f>IFERROR(__xludf.DUMMYFUNCTION("SUM(FILTER(Trabalho!$I$2:$I207,MONTH(Trabalho!$G$2:$G207)=C69,Trabalho!$B$2:$B207=B69,Trabalho!$A$2:$A207=A69))"),22.0)</f>
        <v>22</v>
      </c>
      <c r="T69" s="161">
        <f>IFERROR(__xludf.DUMMYFUNCTION("IFERROR(SUM(FILTER(Trabalho!$I$2:$I207,MONTH(Trabalho!$G$2:$G207)=C69,Trabalho!$B$2:$B207=B69,Trabalho!$J$2:$J207=TRUE,Trabalho!$K$2:$K207=TRUE, Trabalho!$A$2:$A207=A69)),0)"),22.0)</f>
        <v>22</v>
      </c>
      <c r="U69" s="162">
        <v>65.34248345802439</v>
      </c>
      <c r="V69" s="154">
        <v>1437.5346360765366</v>
      </c>
    </row>
    <row r="70">
      <c r="A70" s="164" t="s">
        <v>124</v>
      </c>
      <c r="B70" s="164" t="s">
        <v>426</v>
      </c>
      <c r="C70" s="165">
        <v>11.0</v>
      </c>
      <c r="D70" s="135">
        <v>2025.0</v>
      </c>
      <c r="E70" s="164" t="s">
        <v>637</v>
      </c>
      <c r="F70" s="164" t="s">
        <v>638</v>
      </c>
      <c r="G70" s="137">
        <f>IFERROR(__xludf.DUMMYFUNCTION("IFERROR(filter(choosecols('# Salários'!$F:$Q,C70),'# Salários'!$C:$C=B70))"),7693.0)</f>
        <v>7693</v>
      </c>
      <c r="H70" s="166">
        <v>4957.304797473525</v>
      </c>
      <c r="I70" s="167">
        <v>12650.304797473524</v>
      </c>
      <c r="J70" s="140">
        <f>IFERROR(__xludf.DUMMYFUNCTION("filter('# Encargos folha'!E:E,MONTH('# Encargos folha'!$A:$A)=$C70)"),0.2)</f>
        <v>0.2</v>
      </c>
      <c r="K70" s="141">
        <f>IFERROR(__xludf.DUMMYFUNCTION("filter('# Encargos folha'!F:F,MONTH('# Encargos folha'!$A:$A)=$C70)"),0.058)</f>
        <v>0.058</v>
      </c>
      <c r="L70" s="142">
        <f>IFERROR(__xludf.DUMMYFUNCTION("filter('# Encargos folha'!G:G,MONTH('# Encargos folha'!$A:$A)=$C70)"),0.0387)</f>
        <v>0.0387</v>
      </c>
      <c r="M70" s="142">
        <f>IFERROR(__xludf.DUMMYFUNCTION("filter('# Encargos folha'!H:H,MONTH('# Encargos folha'!$A:$A)=$C70)"),0.08)</f>
        <v>0.08</v>
      </c>
      <c r="N70" s="142">
        <f t="shared" si="2"/>
        <v>0.114725</v>
      </c>
      <c r="O70" s="142">
        <f t="shared" si="3"/>
        <v>0.1529666284</v>
      </c>
      <c r="P70" s="168">
        <f t="shared" si="1"/>
        <v>0.6443916284</v>
      </c>
      <c r="Q70" s="145">
        <f t="array" ref="Q70">IFERROR(DGET(Dias_íteis,$Q$1,{$C$1;C70}),"")</f>
        <v>19</v>
      </c>
      <c r="R70" s="169">
        <v>167.20000000000002</v>
      </c>
      <c r="S70" s="147">
        <f>IFERROR(__xludf.DUMMYFUNCTION("SUM(FILTER(Trabalho!$I$2:$I207,MONTH(Trabalho!$G$2:$G207)=C70,Trabalho!$B$2:$B207=B70,Trabalho!$A$2:$A207=A70))"),2.0)</f>
        <v>2</v>
      </c>
      <c r="T70" s="147">
        <f>IFERROR(__xludf.DUMMYFUNCTION("IFERROR(SUM(FILTER(Trabalho!$I$2:$I207,MONTH(Trabalho!$G$2:$G207)=C70,Trabalho!$B$2:$B207=B70,Trabalho!$J$2:$J207=TRUE,Trabalho!$K$2:$K207=TRUE, Trabalho!$A$2:$A207=A70)),0)"),2.0)</f>
        <v>2</v>
      </c>
      <c r="U70" s="170">
        <v>75.65971768823877</v>
      </c>
      <c r="V70" s="167">
        <v>151.31943537647754</v>
      </c>
    </row>
    <row r="71">
      <c r="A71" s="149" t="s">
        <v>124</v>
      </c>
      <c r="B71" s="149" t="s">
        <v>314</v>
      </c>
      <c r="C71" s="150">
        <v>2.0</v>
      </c>
      <c r="D71" s="151">
        <v>2025.0</v>
      </c>
      <c r="E71" s="149" t="s">
        <v>636</v>
      </c>
      <c r="F71" s="149" t="s">
        <v>68</v>
      </c>
      <c r="G71" s="152">
        <f>IFERROR(__xludf.DUMMYFUNCTION("IFERROR(filter(choosecols('# Salários'!$F:$Q,C71),'# Salários'!$C:$C=B71))"),11786.75)</f>
        <v>11786.75</v>
      </c>
      <c r="H71" s="153">
        <v>7472.799052103501</v>
      </c>
      <c r="I71" s="154">
        <v>19259.549052103503</v>
      </c>
      <c r="J71" s="155">
        <f>IFERROR(__xludf.DUMMYFUNCTION("filter('# Encargos folha'!E:E,MONTH('# Encargos folha'!$A:$A)=$C71)"),0.2)</f>
        <v>0.2</v>
      </c>
      <c r="K71" s="156">
        <f>IFERROR(__xludf.DUMMYFUNCTION("filter('# Encargos folha'!F:F,MONTH('# Encargos folha'!$A:$A)=$C71)"),0.058)</f>
        <v>0.058</v>
      </c>
      <c r="L71" s="157">
        <f>IFERROR(__xludf.DUMMYFUNCTION("filter('# Encargos folha'!G:G,MONTH('# Encargos folha'!$A:$A)=$C71)"),0.03)</f>
        <v>0.03</v>
      </c>
      <c r="M71" s="157">
        <f>IFERROR(__xludf.DUMMYFUNCTION("filter('# Encargos folha'!H:H,MONTH('# Encargos folha'!$A:$A)=$C71)"),0.08)</f>
        <v>0.08</v>
      </c>
      <c r="N71" s="157">
        <f t="shared" si="2"/>
        <v>0.114</v>
      </c>
      <c r="O71" s="157">
        <f t="shared" si="3"/>
        <v>0.151999962</v>
      </c>
      <c r="P71" s="158">
        <f t="shared" si="1"/>
        <v>0.633999962</v>
      </c>
      <c r="Q71" s="159">
        <f t="array" ref="Q71">IFERROR(DGET(Dias_íteis,$Q$1,{$C$1;C71}),"")</f>
        <v>19</v>
      </c>
      <c r="R71" s="160">
        <v>167.20000000000002</v>
      </c>
      <c r="S71" s="161">
        <f>IFERROR(__xludf.DUMMYFUNCTION("SUM(FILTER(Trabalho!$I$2:$I207,MONTH(Trabalho!$G$2:$G207)=C71,Trabalho!$B$2:$B207=B71,Trabalho!$A$2:$A207=A71))"),1.75)</f>
        <v>1.75</v>
      </c>
      <c r="T71" s="161">
        <f>IFERROR(__xludf.DUMMYFUNCTION("IFERROR(SUM(FILTER(Trabalho!$I$2:$I207,MONTH(Trabalho!$G$2:$G207)=C71,Trabalho!$B$2:$B207=B71,Trabalho!$J$2:$J207=TRUE,Trabalho!$K$2:$K207=TRUE, Trabalho!$A$2:$A207=A71)),0)"),1.75)</f>
        <v>1.75</v>
      </c>
      <c r="U71" s="162">
        <v>115.18869050301137</v>
      </c>
      <c r="V71" s="154">
        <v>201.5802083802699</v>
      </c>
    </row>
    <row r="72">
      <c r="A72" s="164" t="s">
        <v>130</v>
      </c>
      <c r="B72" s="164" t="s">
        <v>251</v>
      </c>
      <c r="C72" s="165">
        <v>2.0</v>
      </c>
      <c r="D72" s="135">
        <v>2025.0</v>
      </c>
      <c r="E72" s="164" t="s">
        <v>635</v>
      </c>
      <c r="F72" s="164" t="s">
        <v>68</v>
      </c>
      <c r="G72" s="137">
        <f>IFERROR(__xludf.DUMMYFUNCTION("IFERROR(filter(choosecols('# Salários'!$F:$Q,C72),'# Salários'!$C:$C=B72))"),5481.24)</f>
        <v>5481.24</v>
      </c>
      <c r="H72" s="166">
        <v>3475.10595171288</v>
      </c>
      <c r="I72" s="167">
        <v>8956.34595171288</v>
      </c>
      <c r="J72" s="140">
        <f>IFERROR(__xludf.DUMMYFUNCTION("filter('# Encargos folha'!E:E,MONTH('# Encargos folha'!$A:$A)=$C72)"),0.2)</f>
        <v>0.2</v>
      </c>
      <c r="K72" s="141">
        <f>IFERROR(__xludf.DUMMYFUNCTION("filter('# Encargos folha'!F:F,MONTH('# Encargos folha'!$A:$A)=$C72)"),0.058)</f>
        <v>0.058</v>
      </c>
      <c r="L72" s="142">
        <f>IFERROR(__xludf.DUMMYFUNCTION("filter('# Encargos folha'!G:G,MONTH('# Encargos folha'!$A:$A)=$C72)"),0.03)</f>
        <v>0.03</v>
      </c>
      <c r="M72" s="142">
        <f>IFERROR(__xludf.DUMMYFUNCTION("filter('# Encargos folha'!H:H,MONTH('# Encargos folha'!$A:$A)=$C72)"),0.08)</f>
        <v>0.08</v>
      </c>
      <c r="N72" s="142">
        <f t="shared" si="2"/>
        <v>0.114</v>
      </c>
      <c r="O72" s="142">
        <f t="shared" si="3"/>
        <v>0.151999962</v>
      </c>
      <c r="P72" s="168">
        <f t="shared" si="1"/>
        <v>0.633999962</v>
      </c>
      <c r="Q72" s="145">
        <f t="array" ref="Q72">IFERROR(DGET(Dias_íteis,$Q$1,{$C$1;C72}),"")</f>
        <v>19</v>
      </c>
      <c r="R72" s="169">
        <v>167.20000000000002</v>
      </c>
      <c r="S72" s="147">
        <f>IFERROR(__xludf.DUMMYFUNCTION("SUM(FILTER(Trabalho!$I$2:$I207,MONTH(Trabalho!$G$2:$G207)=C72,Trabalho!$B$2:$B207=B72,Trabalho!$A$2:$A207=A72))"),11.933333333333334)</f>
        <v>11.93333333</v>
      </c>
      <c r="T72" s="147">
        <f>IFERROR(__xludf.DUMMYFUNCTION("IFERROR(SUM(FILTER(Trabalho!$I$2:$I207,MONTH(Trabalho!$G$2:$G207)=C72,Trabalho!$B$2:$B207=B72,Trabalho!$J$2:$J207=TRUE,Trabalho!$K$2:$K207=TRUE, Trabalho!$A$2:$A207=A72)),0)"),11.183333333333334)</f>
        <v>11.18333333</v>
      </c>
      <c r="U72" s="170">
        <v>53.566662390627265</v>
      </c>
      <c r="V72" s="167">
        <v>599.0538410685149</v>
      </c>
    </row>
    <row r="73">
      <c r="A73" s="149" t="s">
        <v>130</v>
      </c>
      <c r="B73" s="149" t="s">
        <v>251</v>
      </c>
      <c r="C73" s="150">
        <v>4.0</v>
      </c>
      <c r="D73" s="151">
        <v>2025.0</v>
      </c>
      <c r="E73" s="149" t="s">
        <v>635</v>
      </c>
      <c r="F73" s="149" t="s">
        <v>68</v>
      </c>
      <c r="G73" s="152">
        <f>IFERROR(__xludf.DUMMYFUNCTION("IFERROR(filter(choosecols('# Salários'!$F:$Q,C73),'# Salários'!$C:$C=B73))"),5481.24)</f>
        <v>5481.24</v>
      </c>
      <c r="H73" s="153">
        <v>3376.90040399673</v>
      </c>
      <c r="I73" s="154">
        <v>8858.14040399673</v>
      </c>
      <c r="J73" s="155">
        <f>IFERROR(__xludf.DUMMYFUNCTION("filter('# Encargos folha'!E:E,MONTH('# Encargos folha'!$A:$A)=$C73)"),0.2)</f>
        <v>0.2</v>
      </c>
      <c r="K73" s="156">
        <f>IFERROR(__xludf.DUMMYFUNCTION("filter('# Encargos folha'!F:F,MONTH('# Encargos folha'!$A:$A)=$C73)"),0.058)</f>
        <v>0.058</v>
      </c>
      <c r="L73" s="157">
        <f>IFERROR(__xludf.DUMMYFUNCTION("filter('# Encargos folha'!G:G,MONTH('# Encargos folha'!$A:$A)=$C73)"),0.015)</f>
        <v>0.015</v>
      </c>
      <c r="M73" s="157">
        <f>IFERROR(__xludf.DUMMYFUNCTION("filter('# Encargos folha'!H:H,MONTH('# Encargos folha'!$A:$A)=$C73)"),0.08)</f>
        <v>0.08</v>
      </c>
      <c r="N73" s="157">
        <f t="shared" si="2"/>
        <v>0.11275</v>
      </c>
      <c r="O73" s="157">
        <f t="shared" si="3"/>
        <v>0.1503332958</v>
      </c>
      <c r="P73" s="158">
        <f t="shared" si="1"/>
        <v>0.6160832958</v>
      </c>
      <c r="Q73" s="159">
        <f t="array" ref="Q73">IFERROR(DGET(Dias_íteis,$Q$1,{$C$1;C73}),"")</f>
        <v>20</v>
      </c>
      <c r="R73" s="160">
        <v>176.0</v>
      </c>
      <c r="S73" s="161">
        <f>IFERROR(__xludf.DUMMYFUNCTION("SUM(FILTER(Trabalho!$I$2:$I207,MONTH(Trabalho!$G$2:$G207)=C73,Trabalho!$B$2:$B207=B73,Trabalho!$A$2:$A207=A73))"),5.416666666666667)</f>
        <v>5.416666667</v>
      </c>
      <c r="T73" s="161">
        <f>IFERROR(__xludf.DUMMYFUNCTION("IFERROR(SUM(FILTER(Trabalho!$I$2:$I207,MONTH(Trabalho!$G$2:$G207)=C73,Trabalho!$B$2:$B207=B73,Trabalho!$J$2:$J207=TRUE,Trabalho!$K$2:$K207=TRUE, Trabalho!$A$2:$A207=A73)),0)"),4.25)</f>
        <v>4.25</v>
      </c>
      <c r="U73" s="162">
        <v>50.33034320452687</v>
      </c>
      <c r="V73" s="154">
        <v>213.9039586192392</v>
      </c>
    </row>
    <row r="74">
      <c r="A74" s="164" t="s">
        <v>130</v>
      </c>
      <c r="B74" s="164" t="s">
        <v>251</v>
      </c>
      <c r="C74" s="165">
        <v>7.0</v>
      </c>
      <c r="D74" s="135">
        <v>2025.0</v>
      </c>
      <c r="E74" s="164" t="s">
        <v>635</v>
      </c>
      <c r="F74" s="164" t="s">
        <v>68</v>
      </c>
      <c r="G74" s="137">
        <f>IFERROR(__xludf.DUMMYFUNCTION("IFERROR(filter(choosecols('# Salários'!$F:$Q,C74),'# Salários'!$C:$C=B74))"),5828.0)</f>
        <v>5828</v>
      </c>
      <c r="H74" s="166">
        <v>3590.533447631</v>
      </c>
      <c r="I74" s="167">
        <v>9418.533447631</v>
      </c>
      <c r="J74" s="140">
        <f>IFERROR(__xludf.DUMMYFUNCTION("filter('# Encargos folha'!E:E,MONTH('# Encargos folha'!$A:$A)=$C74)"),0.2)</f>
        <v>0.2</v>
      </c>
      <c r="K74" s="141">
        <f>IFERROR(__xludf.DUMMYFUNCTION("filter('# Encargos folha'!F:F,MONTH('# Encargos folha'!$A:$A)=$C74)"),0.058)</f>
        <v>0.058</v>
      </c>
      <c r="L74" s="142">
        <f>IFERROR(__xludf.DUMMYFUNCTION("filter('# Encargos folha'!G:G,MONTH('# Encargos folha'!$A:$A)=$C74)"),0.015)</f>
        <v>0.015</v>
      </c>
      <c r="M74" s="142">
        <f>IFERROR(__xludf.DUMMYFUNCTION("filter('# Encargos folha'!H:H,MONTH('# Encargos folha'!$A:$A)=$C74)"),0.08)</f>
        <v>0.08</v>
      </c>
      <c r="N74" s="142">
        <f t="shared" si="2"/>
        <v>0.11275</v>
      </c>
      <c r="O74" s="142">
        <f t="shared" si="3"/>
        <v>0.1503332958</v>
      </c>
      <c r="P74" s="168">
        <f t="shared" si="1"/>
        <v>0.6160832958</v>
      </c>
      <c r="Q74" s="145">
        <f t="array" ref="Q74">IFERROR(DGET(Dias_íteis,$Q$1,{$C$1;C74}),"")</f>
        <v>23</v>
      </c>
      <c r="R74" s="169">
        <v>202.4</v>
      </c>
      <c r="S74" s="147">
        <f>IFERROR(__xludf.DUMMYFUNCTION("SUM(FILTER(Trabalho!$I$2:$I207,MONTH(Trabalho!$G$2:$G207)=C74,Trabalho!$B$2:$B207=B74,Trabalho!$A$2:$A207=A74))"),3.0)</f>
        <v>3</v>
      </c>
      <c r="T74" s="147">
        <f>IFERROR(__xludf.DUMMYFUNCTION("IFERROR(SUM(FILTER(Trabalho!$I$2:$I207,MONTH(Trabalho!$G$2:$G207)=C74,Trabalho!$B$2:$B207=B74,Trabalho!$J$2:$J207=TRUE,Trabalho!$K$2:$K207=TRUE, Trabalho!$A$2:$A207=A74)),0)"),3.0)</f>
        <v>3</v>
      </c>
      <c r="U74" s="170">
        <v>46.53425616418478</v>
      </c>
      <c r="V74" s="167">
        <v>139.60276849255433</v>
      </c>
    </row>
    <row r="75">
      <c r="A75" s="149" t="s">
        <v>130</v>
      </c>
      <c r="B75" s="149" t="s">
        <v>251</v>
      </c>
      <c r="C75" s="150">
        <v>8.0</v>
      </c>
      <c r="D75" s="151">
        <v>2025.0</v>
      </c>
      <c r="E75" s="149" t="s">
        <v>635</v>
      </c>
      <c r="F75" s="149" t="s">
        <v>68</v>
      </c>
      <c r="G75" s="152">
        <f>IFERROR(__xludf.DUMMYFUNCTION("IFERROR(filter(choosecols('# Salários'!$F:$Q,C75),'# Salários'!$C:$C=B75))"),7202.0)</f>
        <v>7202</v>
      </c>
      <c r="H75" s="153">
        <v>4437.0318959915</v>
      </c>
      <c r="I75" s="154">
        <v>11639.0318959915</v>
      </c>
      <c r="J75" s="155">
        <f>IFERROR(__xludf.DUMMYFUNCTION("filter('# Encargos folha'!E:E,MONTH('# Encargos folha'!$A:$A)=$C75)"),0.2)</f>
        <v>0.2</v>
      </c>
      <c r="K75" s="156">
        <f>IFERROR(__xludf.DUMMYFUNCTION("filter('# Encargos folha'!F:F,MONTH('# Encargos folha'!$A:$A)=$C75)"),0.058)</f>
        <v>0.058</v>
      </c>
      <c r="L75" s="157">
        <f>IFERROR(__xludf.DUMMYFUNCTION("filter('# Encargos folha'!G:G,MONTH('# Encargos folha'!$A:$A)=$C75)"),0.015)</f>
        <v>0.015</v>
      </c>
      <c r="M75" s="157">
        <f>IFERROR(__xludf.DUMMYFUNCTION("filter('# Encargos folha'!H:H,MONTH('# Encargos folha'!$A:$A)=$C75)"),0.08)</f>
        <v>0.08</v>
      </c>
      <c r="N75" s="157">
        <f t="shared" si="2"/>
        <v>0.11275</v>
      </c>
      <c r="O75" s="157">
        <f t="shared" si="3"/>
        <v>0.1503332958</v>
      </c>
      <c r="P75" s="158">
        <f t="shared" si="1"/>
        <v>0.6160832958</v>
      </c>
      <c r="Q75" s="159">
        <f t="array" ref="Q75">IFERROR(DGET(Dias_íteis,$Q$1,{$C$1;C75}),"")</f>
        <v>21</v>
      </c>
      <c r="R75" s="160">
        <v>184.8</v>
      </c>
      <c r="S75" s="161">
        <f>IFERROR(__xludf.DUMMYFUNCTION("SUM(FILTER(Trabalho!$I$2:$I207,MONTH(Trabalho!$G$2:$G207)=C75,Trabalho!$B$2:$B207=B75,Trabalho!$A$2:$A207=A75))"),0.5)</f>
        <v>0.5</v>
      </c>
      <c r="T75" s="161">
        <f>IFERROR(__xludf.DUMMYFUNCTION("IFERROR(SUM(FILTER(Trabalho!$I$2:$I207,MONTH(Trabalho!$G$2:$G207)=C75,Trabalho!$B$2:$B207=B75,Trabalho!$J$2:$J207=TRUE,Trabalho!$K$2:$K207=TRUE, Trabalho!$A$2:$A207=A75)),0)"),0.5)</f>
        <v>0.5</v>
      </c>
      <c r="U75" s="162">
        <v>62.98177432895833</v>
      </c>
      <c r="V75" s="154">
        <v>31.490887164479165</v>
      </c>
    </row>
    <row r="76">
      <c r="A76" s="164" t="s">
        <v>130</v>
      </c>
      <c r="B76" s="164" t="s">
        <v>251</v>
      </c>
      <c r="C76" s="165">
        <v>9.0</v>
      </c>
      <c r="D76" s="135">
        <v>2025.0</v>
      </c>
      <c r="E76" s="164" t="s">
        <v>635</v>
      </c>
      <c r="F76" s="164" t="s">
        <v>68</v>
      </c>
      <c r="G76" s="137">
        <f>IFERROR(__xludf.DUMMYFUNCTION("IFERROR(filter(choosecols('# Salários'!$F:$Q,C76),'# Salários'!$C:$C=B76))"),7202.0)</f>
        <v>7202</v>
      </c>
      <c r="H76" s="166">
        <v>4437.0318959915</v>
      </c>
      <c r="I76" s="167">
        <v>11639.0318959915</v>
      </c>
      <c r="J76" s="140">
        <f>IFERROR(__xludf.DUMMYFUNCTION("filter('# Encargos folha'!E:E,MONTH('# Encargos folha'!$A:$A)=$C76)"),0.2)</f>
        <v>0.2</v>
      </c>
      <c r="K76" s="141">
        <f>IFERROR(__xludf.DUMMYFUNCTION("filter('# Encargos folha'!F:F,MONTH('# Encargos folha'!$A:$A)=$C76)"),0.058)</f>
        <v>0.058</v>
      </c>
      <c r="L76" s="142">
        <f>IFERROR(__xludf.DUMMYFUNCTION("filter('# Encargos folha'!G:G,MONTH('# Encargos folha'!$A:$A)=$C76)"),0.015)</f>
        <v>0.015</v>
      </c>
      <c r="M76" s="142">
        <f>IFERROR(__xludf.DUMMYFUNCTION("filter('# Encargos folha'!H:H,MONTH('# Encargos folha'!$A:$A)=$C76)"),0.08)</f>
        <v>0.08</v>
      </c>
      <c r="N76" s="142">
        <f t="shared" si="2"/>
        <v>0.11275</v>
      </c>
      <c r="O76" s="142">
        <f t="shared" si="3"/>
        <v>0.1503332958</v>
      </c>
      <c r="P76" s="168">
        <f t="shared" si="1"/>
        <v>0.6160832958</v>
      </c>
      <c r="Q76" s="145">
        <f t="array" ref="Q76">IFERROR(DGET(Dias_íteis,$Q$1,{$C$1;C76}),"")</f>
        <v>21</v>
      </c>
      <c r="R76" s="169">
        <v>184.8</v>
      </c>
      <c r="S76" s="147">
        <f>IFERROR(__xludf.DUMMYFUNCTION("SUM(FILTER(Trabalho!$I$2:$I207,MONTH(Trabalho!$G$2:$G207)=C76,Trabalho!$B$2:$B207=B76,Trabalho!$A$2:$A207=A76))"),2.25)</f>
        <v>2.25</v>
      </c>
      <c r="T76" s="147">
        <f>IFERROR(__xludf.DUMMYFUNCTION("IFERROR(SUM(FILTER(Trabalho!$I$2:$I207,MONTH(Trabalho!$G$2:$G207)=C76,Trabalho!$B$2:$B207=B76,Trabalho!$J$2:$J207=TRUE,Trabalho!$K$2:$K207=TRUE, Trabalho!$A$2:$A207=A76)),0)"),2.25)</f>
        <v>2.25</v>
      </c>
      <c r="U76" s="170">
        <v>62.98177432895833</v>
      </c>
      <c r="V76" s="167">
        <v>141.70899224015625</v>
      </c>
    </row>
    <row r="77">
      <c r="A77" s="149" t="s">
        <v>130</v>
      </c>
      <c r="B77" s="149" t="s">
        <v>290</v>
      </c>
      <c r="C77" s="150">
        <v>2.0</v>
      </c>
      <c r="D77" s="151">
        <v>2025.0</v>
      </c>
      <c r="E77" s="149" t="s">
        <v>640</v>
      </c>
      <c r="F77" s="149" t="s">
        <v>66</v>
      </c>
      <c r="G77" s="152">
        <f>IFERROR(__xludf.DUMMYFUNCTION("IFERROR(filter(choosecols('# Salários'!$F:$Q,C77),'# Salários'!$C:$C=B77))"),6143.46)</f>
        <v>6143.46</v>
      </c>
      <c r="H77" s="153">
        <v>3894.9534065485204</v>
      </c>
      <c r="I77" s="154">
        <v>10038.41340654852</v>
      </c>
      <c r="J77" s="155">
        <f>IFERROR(__xludf.DUMMYFUNCTION("filter('# Encargos folha'!E:E,MONTH('# Encargos folha'!$A:$A)=$C77)"),0.2)</f>
        <v>0.2</v>
      </c>
      <c r="K77" s="156">
        <f>IFERROR(__xludf.DUMMYFUNCTION("filter('# Encargos folha'!F:F,MONTH('# Encargos folha'!$A:$A)=$C77)"),0.058)</f>
        <v>0.058</v>
      </c>
      <c r="L77" s="157">
        <f>IFERROR(__xludf.DUMMYFUNCTION("filter('# Encargos folha'!G:G,MONTH('# Encargos folha'!$A:$A)=$C77)"),0.03)</f>
        <v>0.03</v>
      </c>
      <c r="M77" s="157">
        <f>IFERROR(__xludf.DUMMYFUNCTION("filter('# Encargos folha'!H:H,MONTH('# Encargos folha'!$A:$A)=$C77)"),0.08)</f>
        <v>0.08</v>
      </c>
      <c r="N77" s="157">
        <f t="shared" si="2"/>
        <v>0.114</v>
      </c>
      <c r="O77" s="157">
        <f t="shared" si="3"/>
        <v>0.151999962</v>
      </c>
      <c r="P77" s="158">
        <f t="shared" si="1"/>
        <v>0.633999962</v>
      </c>
      <c r="Q77" s="159">
        <f t="array" ref="Q77">IFERROR(DGET(Dias_íteis,$Q$1,{$C$1;C77}),"")</f>
        <v>19</v>
      </c>
      <c r="R77" s="160">
        <v>167.20000000000002</v>
      </c>
      <c r="S77" s="161">
        <f>IFERROR(__xludf.DUMMYFUNCTION("SUM(FILTER(Trabalho!$I$2:$I207,MONTH(Trabalho!$G$2:$G207)=C77,Trabalho!$B$2:$B207=B77,Trabalho!$A$2:$A207=A77))"),12.0)</f>
        <v>12</v>
      </c>
      <c r="T77" s="161">
        <f>IFERROR(__xludf.DUMMYFUNCTION("IFERROR(SUM(FILTER(Trabalho!$I$2:$I207,MONTH(Trabalho!$G$2:$G207)=C77,Trabalho!$B$2:$B207=B77,Trabalho!$J$2:$J207=TRUE,Trabalho!$K$2:$K207=TRUE, Trabalho!$A$2:$A207=A77)),0)"),3.0)</f>
        <v>3</v>
      </c>
      <c r="U77" s="162">
        <v>60.03835769466817</v>
      </c>
      <c r="V77" s="154">
        <v>180.1150730840045</v>
      </c>
    </row>
    <row r="78">
      <c r="A78" s="164" t="s">
        <v>130</v>
      </c>
      <c r="B78" s="164" t="s">
        <v>290</v>
      </c>
      <c r="C78" s="165">
        <v>4.0</v>
      </c>
      <c r="D78" s="135">
        <v>2025.0</v>
      </c>
      <c r="E78" s="164" t="s">
        <v>640</v>
      </c>
      <c r="F78" s="164" t="s">
        <v>66</v>
      </c>
      <c r="G78" s="137">
        <f>IFERROR(__xludf.DUMMYFUNCTION("IFERROR(filter(choosecols('# Salários'!$F:$Q,C78),'# Salários'!$C:$C=B78))"),6143.46)</f>
        <v>6143.46</v>
      </c>
      <c r="H78" s="166">
        <v>3784.883084108295</v>
      </c>
      <c r="I78" s="167">
        <v>9928.343084108295</v>
      </c>
      <c r="J78" s="140">
        <f>IFERROR(__xludf.DUMMYFUNCTION("filter('# Encargos folha'!E:E,MONTH('# Encargos folha'!$A:$A)=$C78)"),0.2)</f>
        <v>0.2</v>
      </c>
      <c r="K78" s="141">
        <f>IFERROR(__xludf.DUMMYFUNCTION("filter('# Encargos folha'!F:F,MONTH('# Encargos folha'!$A:$A)=$C78)"),0.058)</f>
        <v>0.058</v>
      </c>
      <c r="L78" s="142">
        <f>IFERROR(__xludf.DUMMYFUNCTION("filter('# Encargos folha'!G:G,MONTH('# Encargos folha'!$A:$A)=$C78)"),0.015)</f>
        <v>0.015</v>
      </c>
      <c r="M78" s="142">
        <f>IFERROR(__xludf.DUMMYFUNCTION("filter('# Encargos folha'!H:H,MONTH('# Encargos folha'!$A:$A)=$C78)"),0.08)</f>
        <v>0.08</v>
      </c>
      <c r="N78" s="142">
        <f t="shared" si="2"/>
        <v>0.11275</v>
      </c>
      <c r="O78" s="142">
        <f t="shared" si="3"/>
        <v>0.1503332958</v>
      </c>
      <c r="P78" s="168">
        <f t="shared" si="1"/>
        <v>0.6160832958</v>
      </c>
      <c r="Q78" s="145">
        <f t="array" ref="Q78">IFERROR(DGET(Dias_íteis,$Q$1,{$C$1;C78}),"")</f>
        <v>20</v>
      </c>
      <c r="R78" s="169">
        <v>176.0</v>
      </c>
      <c r="S78" s="147">
        <f>IFERROR(__xludf.DUMMYFUNCTION("SUM(FILTER(Trabalho!$I$2:$I207,MONTH(Trabalho!$G$2:$G207)=C78,Trabalho!$B$2:$B207=B78,Trabalho!$A$2:$A207=A78))"),7.0)</f>
        <v>7</v>
      </c>
      <c r="T78" s="147">
        <f>IFERROR(__xludf.DUMMYFUNCTION("IFERROR(SUM(FILTER(Trabalho!$I$2:$I207,MONTH(Trabalho!$G$2:$G207)=C78,Trabalho!$B$2:$B207=B78,Trabalho!$J$2:$J207=TRUE,Trabalho!$K$2:$K207=TRUE, Trabalho!$A$2:$A207=A78)),0)"),7.0)</f>
        <v>7</v>
      </c>
      <c r="U78" s="170">
        <v>56.411040250615315</v>
      </c>
      <c r="V78" s="167">
        <v>394.8772817543072</v>
      </c>
    </row>
    <row r="79">
      <c r="A79" s="149" t="s">
        <v>130</v>
      </c>
      <c r="B79" s="149" t="s">
        <v>290</v>
      </c>
      <c r="C79" s="150">
        <v>5.0</v>
      </c>
      <c r="D79" s="151">
        <v>2025.0</v>
      </c>
      <c r="E79" s="149" t="s">
        <v>640</v>
      </c>
      <c r="F79" s="149" t="s">
        <v>66</v>
      </c>
      <c r="G79" s="152">
        <f>IFERROR(__xludf.DUMMYFUNCTION("IFERROR(filter(choosecols('# Salários'!$F:$Q,C79),'# Salários'!$C:$C=B79))"),6143.46)</f>
        <v>6143.46</v>
      </c>
      <c r="H79" s="153">
        <v>3784.883084108295</v>
      </c>
      <c r="I79" s="154">
        <v>9928.343084108295</v>
      </c>
      <c r="J79" s="155">
        <f>IFERROR(__xludf.DUMMYFUNCTION("filter('# Encargos folha'!E:E,MONTH('# Encargos folha'!$A:$A)=$C79)"),0.2)</f>
        <v>0.2</v>
      </c>
      <c r="K79" s="156">
        <f>IFERROR(__xludf.DUMMYFUNCTION("filter('# Encargos folha'!F:F,MONTH('# Encargos folha'!$A:$A)=$C79)"),0.058)</f>
        <v>0.058</v>
      </c>
      <c r="L79" s="157">
        <f>IFERROR(__xludf.DUMMYFUNCTION("filter('# Encargos folha'!G:G,MONTH('# Encargos folha'!$A:$A)=$C79)"),0.015)</f>
        <v>0.015</v>
      </c>
      <c r="M79" s="157">
        <f>IFERROR(__xludf.DUMMYFUNCTION("filter('# Encargos folha'!H:H,MONTH('# Encargos folha'!$A:$A)=$C79)"),0.08)</f>
        <v>0.08</v>
      </c>
      <c r="N79" s="157">
        <f t="shared" si="2"/>
        <v>0.11275</v>
      </c>
      <c r="O79" s="157">
        <f t="shared" si="3"/>
        <v>0.1503332958</v>
      </c>
      <c r="P79" s="158">
        <f t="shared" si="1"/>
        <v>0.6160832958</v>
      </c>
      <c r="Q79" s="159">
        <f t="array" ref="Q79">IFERROR(DGET(Dias_íteis,$Q$1,{$C$1;C79}),"")</f>
        <v>21</v>
      </c>
      <c r="R79" s="160">
        <v>184.8</v>
      </c>
      <c r="S79" s="161">
        <f>IFERROR(__xludf.DUMMYFUNCTION("SUM(FILTER(Trabalho!$I$2:$I207,MONTH(Trabalho!$G$2:$G207)=C79,Trabalho!$B$2:$B207=B79,Trabalho!$A$2:$A207=A79))"),11.5)</f>
        <v>11.5</v>
      </c>
      <c r="T79" s="161">
        <f>IFERROR(__xludf.DUMMYFUNCTION("IFERROR(SUM(FILTER(Trabalho!$I$2:$I207,MONTH(Trabalho!$G$2:$G207)=C79,Trabalho!$B$2:$B207=B79,Trabalho!$J$2:$J207=TRUE,Trabalho!$K$2:$K207=TRUE, Trabalho!$A$2:$A207=A79)),0)"),11.5)</f>
        <v>11.5</v>
      </c>
      <c r="U79" s="162">
        <v>53.72480023868125</v>
      </c>
      <c r="V79" s="154">
        <v>617.8352027448343</v>
      </c>
    </row>
    <row r="80">
      <c r="A80" s="164" t="s">
        <v>130</v>
      </c>
      <c r="B80" s="164" t="s">
        <v>290</v>
      </c>
      <c r="C80" s="165">
        <v>9.0</v>
      </c>
      <c r="D80" s="135">
        <v>2025.0</v>
      </c>
      <c r="E80" s="164" t="s">
        <v>640</v>
      </c>
      <c r="F80" s="164" t="s">
        <v>66</v>
      </c>
      <c r="G80" s="137">
        <f>IFERROR(__xludf.DUMMYFUNCTION("IFERROR(filter(choosecols('# Salários'!$F:$Q,C80),'# Salários'!$C:$C=B80))"),6532.0)</f>
        <v>6532</v>
      </c>
      <c r="H80" s="166">
        <v>4024.256087839</v>
      </c>
      <c r="I80" s="167">
        <v>10556.256087839</v>
      </c>
      <c r="J80" s="140">
        <f>IFERROR(__xludf.DUMMYFUNCTION("filter('# Encargos folha'!E:E,MONTH('# Encargos folha'!$A:$A)=$C80)"),0.2)</f>
        <v>0.2</v>
      </c>
      <c r="K80" s="141">
        <f>IFERROR(__xludf.DUMMYFUNCTION("filter('# Encargos folha'!F:F,MONTH('# Encargos folha'!$A:$A)=$C80)"),0.058)</f>
        <v>0.058</v>
      </c>
      <c r="L80" s="142">
        <f>IFERROR(__xludf.DUMMYFUNCTION("filter('# Encargos folha'!G:G,MONTH('# Encargos folha'!$A:$A)=$C80)"),0.015)</f>
        <v>0.015</v>
      </c>
      <c r="M80" s="142">
        <f>IFERROR(__xludf.DUMMYFUNCTION("filter('# Encargos folha'!H:H,MONTH('# Encargos folha'!$A:$A)=$C80)"),0.08)</f>
        <v>0.08</v>
      </c>
      <c r="N80" s="142">
        <f t="shared" si="2"/>
        <v>0.11275</v>
      </c>
      <c r="O80" s="142">
        <f t="shared" si="3"/>
        <v>0.1503332958</v>
      </c>
      <c r="P80" s="168">
        <f t="shared" si="1"/>
        <v>0.6160832958</v>
      </c>
      <c r="Q80" s="145">
        <f t="array" ref="Q80">IFERROR(DGET(Dias_íteis,$Q$1,{$C$1;C80}),"")</f>
        <v>21</v>
      </c>
      <c r="R80" s="169">
        <v>184.8</v>
      </c>
      <c r="S80" s="147">
        <f>IFERROR(__xludf.DUMMYFUNCTION("SUM(FILTER(Trabalho!$I$2:$I207,MONTH(Trabalho!$G$2:$G207)=C80,Trabalho!$B$2:$B207=B80,Trabalho!$A$2:$A207=A80))"),15.5)</f>
        <v>15.5</v>
      </c>
      <c r="T80" s="147">
        <f>IFERROR(__xludf.DUMMYFUNCTION("IFERROR(SUM(FILTER(Trabalho!$I$2:$I207,MONTH(Trabalho!$G$2:$G207)=C80,Trabalho!$B$2:$B207=B80,Trabalho!$J$2:$J207=TRUE,Trabalho!$K$2:$K207=TRUE, Trabalho!$A$2:$A207=A80)),0)"),15.5)</f>
        <v>15.5</v>
      </c>
      <c r="U80" s="170">
        <v>57.12259787791666</v>
      </c>
      <c r="V80" s="167">
        <v>885.4002671077083</v>
      </c>
    </row>
    <row r="81">
      <c r="A81" s="149" t="s">
        <v>130</v>
      </c>
      <c r="B81" s="149" t="s">
        <v>290</v>
      </c>
      <c r="C81" s="150">
        <v>10.0</v>
      </c>
      <c r="D81" s="151">
        <v>2025.0</v>
      </c>
      <c r="E81" s="149" t="s">
        <v>640</v>
      </c>
      <c r="F81" s="149" t="s">
        <v>66</v>
      </c>
      <c r="G81" s="152">
        <f>IFERROR(__xludf.DUMMYFUNCTION("IFERROR(filter(choosecols('# Salários'!$F:$Q,C81),'# Salários'!$C:$C=B81))"),6532.0)</f>
        <v>6532</v>
      </c>
      <c r="H81" s="153">
        <v>4209.1661168721</v>
      </c>
      <c r="I81" s="154">
        <v>10741.1661168721</v>
      </c>
      <c r="J81" s="155">
        <f>IFERROR(__xludf.DUMMYFUNCTION("filter('# Encargos folha'!E:E,MONTH('# Encargos folha'!$A:$A)=$C81)"),0.2)</f>
        <v>0.2</v>
      </c>
      <c r="K81" s="156">
        <f>IFERROR(__xludf.DUMMYFUNCTION("filter('# Encargos folha'!F:F,MONTH('# Encargos folha'!$A:$A)=$C81)"),0.058)</f>
        <v>0.058</v>
      </c>
      <c r="L81" s="157">
        <f>IFERROR(__xludf.DUMMYFUNCTION("filter('# Encargos folha'!G:G,MONTH('# Encargos folha'!$A:$A)=$C81)"),0.0387)</f>
        <v>0.0387</v>
      </c>
      <c r="M81" s="157">
        <f>IFERROR(__xludf.DUMMYFUNCTION("filter('# Encargos folha'!H:H,MONTH('# Encargos folha'!$A:$A)=$C81)"),0.08)</f>
        <v>0.08</v>
      </c>
      <c r="N81" s="157">
        <f t="shared" si="2"/>
        <v>0.114725</v>
      </c>
      <c r="O81" s="157">
        <f t="shared" si="3"/>
        <v>0.1529666284</v>
      </c>
      <c r="P81" s="158">
        <f t="shared" si="1"/>
        <v>0.6443916284</v>
      </c>
      <c r="Q81" s="159">
        <f t="array" ref="Q81">IFERROR(DGET(Dias_íteis,$Q$1,{$C$1;C81}),"")</f>
        <v>22</v>
      </c>
      <c r="R81" s="160">
        <v>193.60000000000002</v>
      </c>
      <c r="S81" s="161">
        <f>IFERROR(__xludf.DUMMYFUNCTION("SUM(FILTER(Trabalho!$I$2:$I207,MONTH(Trabalho!$G$2:$G207)=C81,Trabalho!$B$2:$B207=B81,Trabalho!$A$2:$A207=A81))"),5.5)</f>
        <v>5.5</v>
      </c>
      <c r="T81" s="161">
        <f>IFERROR(__xludf.DUMMYFUNCTION("IFERROR(SUM(FILTER(Trabalho!$I$2:$I207,MONTH(Trabalho!$G$2:$G207)=C81,Trabalho!$B$2:$B207=B81,Trabalho!$J$2:$J207=TRUE,Trabalho!$K$2:$K207=TRUE, Trabalho!$A$2:$A207=A81)),0)"),5.5)</f>
        <v>5.5</v>
      </c>
      <c r="U81" s="162">
        <v>55.481229942521175</v>
      </c>
      <c r="V81" s="154">
        <v>305.1467646838665</v>
      </c>
    </row>
    <row r="82">
      <c r="A82" s="164" t="s">
        <v>130</v>
      </c>
      <c r="B82" s="164" t="s">
        <v>426</v>
      </c>
      <c r="C82" s="165">
        <v>4.0</v>
      </c>
      <c r="D82" s="135">
        <v>2025.0</v>
      </c>
      <c r="E82" s="164" t="s">
        <v>637</v>
      </c>
      <c r="F82" s="164" t="s">
        <v>638</v>
      </c>
      <c r="G82" s="137">
        <f>IFERROR(__xludf.DUMMYFUNCTION("IFERROR(filter(choosecols('# Salários'!$F:$Q,C82),'# Salários'!$C:$C=B82))"),7234.78)</f>
        <v>7234.78</v>
      </c>
      <c r="H82" s="166">
        <v>4457.227106426185</v>
      </c>
      <c r="I82" s="167">
        <v>11692.007106426185</v>
      </c>
      <c r="J82" s="140">
        <f>IFERROR(__xludf.DUMMYFUNCTION("filter('# Encargos folha'!E:E,MONTH('# Encargos folha'!$A:$A)=$C82)"),0.2)</f>
        <v>0.2</v>
      </c>
      <c r="K82" s="141">
        <f>IFERROR(__xludf.DUMMYFUNCTION("filter('# Encargos folha'!F:F,MONTH('# Encargos folha'!$A:$A)=$C82)"),0.058)</f>
        <v>0.058</v>
      </c>
      <c r="L82" s="142">
        <f>IFERROR(__xludf.DUMMYFUNCTION("filter('# Encargos folha'!G:G,MONTH('# Encargos folha'!$A:$A)=$C82)"),0.015)</f>
        <v>0.015</v>
      </c>
      <c r="M82" s="142">
        <f>IFERROR(__xludf.DUMMYFUNCTION("filter('# Encargos folha'!H:H,MONTH('# Encargos folha'!$A:$A)=$C82)"),0.08)</f>
        <v>0.08</v>
      </c>
      <c r="N82" s="142">
        <f t="shared" si="2"/>
        <v>0.11275</v>
      </c>
      <c r="O82" s="142">
        <f t="shared" si="3"/>
        <v>0.1503332958</v>
      </c>
      <c r="P82" s="168">
        <f t="shared" si="1"/>
        <v>0.6160832958</v>
      </c>
      <c r="Q82" s="145">
        <f t="array" ref="Q82">IFERROR(DGET(Dias_íteis,$Q$1,{$C$1;C82}),"")</f>
        <v>20</v>
      </c>
      <c r="R82" s="169">
        <v>176.0</v>
      </c>
      <c r="S82" s="147">
        <f>IFERROR(__xludf.DUMMYFUNCTION("SUM(FILTER(Trabalho!$I$2:$I207,MONTH(Trabalho!$G$2:$G207)=C82,Trabalho!$B$2:$B207=B82,Trabalho!$A$2:$A207=A82))"),5.0)</f>
        <v>5</v>
      </c>
      <c r="T82" s="147">
        <f>IFERROR(__xludf.DUMMYFUNCTION("IFERROR(SUM(FILTER(Trabalho!$I$2:$I207,MONTH(Trabalho!$G$2:$G207)=C82,Trabalho!$B$2:$B207=B82,Trabalho!$J$2:$J207=TRUE,Trabalho!$K$2:$K207=TRUE, Trabalho!$A$2:$A207=A82)),0)"),5.0)</f>
        <v>5</v>
      </c>
      <c r="U82" s="170">
        <v>66.43185855923969</v>
      </c>
      <c r="V82" s="167">
        <v>332.15929279619843</v>
      </c>
    </row>
    <row r="83">
      <c r="A83" s="149" t="s">
        <v>130</v>
      </c>
      <c r="B83" s="149" t="s">
        <v>314</v>
      </c>
      <c r="C83" s="150">
        <v>2.0</v>
      </c>
      <c r="D83" s="151">
        <v>2025.0</v>
      </c>
      <c r="E83" s="149" t="s">
        <v>636</v>
      </c>
      <c r="F83" s="149" t="s">
        <v>68</v>
      </c>
      <c r="G83" s="152">
        <f>IFERROR(__xludf.DUMMYFUNCTION("IFERROR(filter(choosecols('# Salários'!$F:$Q,C83),'# Salários'!$C:$C=B83))"),11786.75)</f>
        <v>11786.75</v>
      </c>
      <c r="H83" s="153">
        <v>7472.799052103501</v>
      </c>
      <c r="I83" s="154">
        <v>19259.549052103503</v>
      </c>
      <c r="J83" s="155">
        <f>IFERROR(__xludf.DUMMYFUNCTION("filter('# Encargos folha'!E:E,MONTH('# Encargos folha'!$A:$A)=$C83)"),0.2)</f>
        <v>0.2</v>
      </c>
      <c r="K83" s="156">
        <f>IFERROR(__xludf.DUMMYFUNCTION("filter('# Encargos folha'!F:F,MONTH('# Encargos folha'!$A:$A)=$C83)"),0.058)</f>
        <v>0.058</v>
      </c>
      <c r="L83" s="157">
        <f>IFERROR(__xludf.DUMMYFUNCTION("filter('# Encargos folha'!G:G,MONTH('# Encargos folha'!$A:$A)=$C83)"),0.03)</f>
        <v>0.03</v>
      </c>
      <c r="M83" s="157">
        <f>IFERROR(__xludf.DUMMYFUNCTION("filter('# Encargos folha'!H:H,MONTH('# Encargos folha'!$A:$A)=$C83)"),0.08)</f>
        <v>0.08</v>
      </c>
      <c r="N83" s="157">
        <f t="shared" si="2"/>
        <v>0.114</v>
      </c>
      <c r="O83" s="157">
        <f t="shared" si="3"/>
        <v>0.151999962</v>
      </c>
      <c r="P83" s="158">
        <f t="shared" si="1"/>
        <v>0.633999962</v>
      </c>
      <c r="Q83" s="159">
        <f t="array" ref="Q83">IFERROR(DGET(Dias_íteis,$Q$1,{$C$1;C83}),"")</f>
        <v>19</v>
      </c>
      <c r="R83" s="160">
        <v>167.20000000000002</v>
      </c>
      <c r="S83" s="161">
        <f>IFERROR(__xludf.DUMMYFUNCTION("SUM(FILTER(Trabalho!$I$2:$I207,MONTH(Trabalho!$G$2:$G207)=C83,Trabalho!$B$2:$B207=B83,Trabalho!$A$2:$A207=A83))"),3.0)</f>
        <v>3</v>
      </c>
      <c r="T83" s="161">
        <f>IFERROR(__xludf.DUMMYFUNCTION("IFERROR(SUM(FILTER(Trabalho!$I$2:$I207,MONTH(Trabalho!$G$2:$G207)=C83,Trabalho!$B$2:$B207=B83,Trabalho!$J$2:$J207=TRUE,Trabalho!$K$2:$K207=TRUE, Trabalho!$A$2:$A207=A83)),0)"),3.0)</f>
        <v>3</v>
      </c>
      <c r="U83" s="162">
        <v>115.18869050301137</v>
      </c>
      <c r="V83" s="154">
        <v>345.56607150903415</v>
      </c>
    </row>
    <row r="84">
      <c r="A84" s="164" t="s">
        <v>293</v>
      </c>
      <c r="B84" s="164" t="s">
        <v>251</v>
      </c>
      <c r="C84" s="165">
        <v>7.0</v>
      </c>
      <c r="D84" s="135">
        <v>2025.0</v>
      </c>
      <c r="E84" s="164" t="s">
        <v>635</v>
      </c>
      <c r="F84" s="164" t="s">
        <v>68</v>
      </c>
      <c r="G84" s="137">
        <f>IFERROR(__xludf.DUMMYFUNCTION("IFERROR(filter(choosecols('# Salários'!$F:$Q,C84),'# Salários'!$C:$C=B84))"),5828.0)</f>
        <v>5828</v>
      </c>
      <c r="H84" s="166">
        <v>3590.533447631</v>
      </c>
      <c r="I84" s="167">
        <v>9418.533447631</v>
      </c>
      <c r="J84" s="140">
        <f>IFERROR(__xludf.DUMMYFUNCTION("filter('# Encargos folha'!E:E,MONTH('# Encargos folha'!$A:$A)=$C84)"),0.2)</f>
        <v>0.2</v>
      </c>
      <c r="K84" s="141">
        <f>IFERROR(__xludf.DUMMYFUNCTION("filter('# Encargos folha'!F:F,MONTH('# Encargos folha'!$A:$A)=$C84)"),0.058)</f>
        <v>0.058</v>
      </c>
      <c r="L84" s="142">
        <f>IFERROR(__xludf.DUMMYFUNCTION("filter('# Encargos folha'!G:G,MONTH('# Encargos folha'!$A:$A)=$C84)"),0.015)</f>
        <v>0.015</v>
      </c>
      <c r="M84" s="142">
        <f>IFERROR(__xludf.DUMMYFUNCTION("filter('# Encargos folha'!H:H,MONTH('# Encargos folha'!$A:$A)=$C84)"),0.08)</f>
        <v>0.08</v>
      </c>
      <c r="N84" s="142">
        <f t="shared" si="2"/>
        <v>0.11275</v>
      </c>
      <c r="O84" s="142">
        <f t="shared" si="3"/>
        <v>0.1503332958</v>
      </c>
      <c r="P84" s="168">
        <f t="shared" si="1"/>
        <v>0.6160832958</v>
      </c>
      <c r="Q84" s="145">
        <f t="array" ref="Q84">IFERROR(DGET(Dias_íteis,$Q$1,{$C$1;C84}),"")</f>
        <v>23</v>
      </c>
      <c r="R84" s="169">
        <v>202.4</v>
      </c>
      <c r="S84" s="147">
        <f>IFERROR(__xludf.DUMMYFUNCTION("SUM(FILTER(Trabalho!$I$2:$I207,MONTH(Trabalho!$G$2:$G207)=C84,Trabalho!$B$2:$B207=B84,Trabalho!$A$2:$A207=A84))"),0.5)</f>
        <v>0.5</v>
      </c>
      <c r="T84" s="147">
        <f>IFERROR(__xludf.DUMMYFUNCTION("IFERROR(SUM(FILTER(Trabalho!$I$2:$I207,MONTH(Trabalho!$G$2:$G207)=C84,Trabalho!$B$2:$B207=B84,Trabalho!$J$2:$J207=TRUE,Trabalho!$K$2:$K207=TRUE, Trabalho!$A$2:$A207=A84)),0)"),0.0)</f>
        <v>0</v>
      </c>
      <c r="U84" s="170">
        <v>46.53425616418478</v>
      </c>
      <c r="V84" s="167">
        <v>0.0</v>
      </c>
    </row>
    <row r="85">
      <c r="A85" s="149" t="s">
        <v>293</v>
      </c>
      <c r="B85" s="149" t="s">
        <v>290</v>
      </c>
      <c r="C85" s="150">
        <v>1.0</v>
      </c>
      <c r="D85" s="151">
        <v>2025.0</v>
      </c>
      <c r="E85" s="149" t="s">
        <v>640</v>
      </c>
      <c r="F85" s="149" t="s">
        <v>66</v>
      </c>
      <c r="G85" s="152">
        <f>IFERROR(__xludf.DUMMYFUNCTION("IFERROR(filter(choosecols('# Salários'!$F:$Q,C85),'# Salários'!$C:$C=B85))"),6143.46)</f>
        <v>6143.46</v>
      </c>
      <c r="H85" s="153">
        <v>3894.9534065485204</v>
      </c>
      <c r="I85" s="154">
        <v>10038.41340654852</v>
      </c>
      <c r="J85" s="155">
        <f>IFERROR(__xludf.DUMMYFUNCTION("filter('# Encargos folha'!E:E,MONTH('# Encargos folha'!$A:$A)=$C85)"),0.2)</f>
        <v>0.2</v>
      </c>
      <c r="K85" s="156">
        <f>IFERROR(__xludf.DUMMYFUNCTION("filter('# Encargos folha'!F:F,MONTH('# Encargos folha'!$A:$A)=$C85)"),0.058)</f>
        <v>0.058</v>
      </c>
      <c r="L85" s="157">
        <f>IFERROR(__xludf.DUMMYFUNCTION("filter('# Encargos folha'!G:G,MONTH('# Encargos folha'!$A:$A)=$C85)"),0.03)</f>
        <v>0.03</v>
      </c>
      <c r="M85" s="157">
        <f>IFERROR(__xludf.DUMMYFUNCTION("filter('# Encargos folha'!H:H,MONTH('# Encargos folha'!$A:$A)=$C85)"),0.08)</f>
        <v>0.08</v>
      </c>
      <c r="N85" s="157">
        <f t="shared" si="2"/>
        <v>0.114</v>
      </c>
      <c r="O85" s="157">
        <f t="shared" si="3"/>
        <v>0.151999962</v>
      </c>
      <c r="P85" s="158">
        <f t="shared" si="1"/>
        <v>0.633999962</v>
      </c>
      <c r="Q85" s="159">
        <f t="array" ref="Q85">IFERROR(DGET(Dias_íteis,$Q$1,{$C$1;C85}),"")</f>
        <v>22</v>
      </c>
      <c r="R85" s="160">
        <v>193.60000000000002</v>
      </c>
      <c r="S85" s="161">
        <f>IFERROR(__xludf.DUMMYFUNCTION("SUM(FILTER(Trabalho!$I$2:$I207,MONTH(Trabalho!$G$2:$G207)=C85,Trabalho!$B$2:$B207=B85,Trabalho!$A$2:$A207=A85))"),2.0)</f>
        <v>2</v>
      </c>
      <c r="T85" s="161">
        <f>IFERROR(__xludf.DUMMYFUNCTION("IFERROR(SUM(FILTER(Trabalho!$I$2:$I207,MONTH(Trabalho!$G$2:$G207)=C85,Trabalho!$B$2:$B207=B85,Trabalho!$J$2:$J207=TRUE,Trabalho!$K$2:$K207=TRUE, Trabalho!$A$2:$A207=A85)),0)"),0.0)</f>
        <v>0</v>
      </c>
      <c r="U85" s="162">
        <v>51.85130891812251</v>
      </c>
      <c r="V85" s="154">
        <v>0.0</v>
      </c>
    </row>
    <row r="86">
      <c r="A86" s="164" t="s">
        <v>293</v>
      </c>
      <c r="B86" s="164" t="s">
        <v>290</v>
      </c>
      <c r="C86" s="165">
        <v>4.0</v>
      </c>
      <c r="D86" s="135">
        <v>2025.0</v>
      </c>
      <c r="E86" s="164" t="s">
        <v>640</v>
      </c>
      <c r="F86" s="164" t="s">
        <v>66</v>
      </c>
      <c r="G86" s="137">
        <f>IFERROR(__xludf.DUMMYFUNCTION("IFERROR(filter(choosecols('# Salários'!$F:$Q,C86),'# Salários'!$C:$C=B86))"),6143.46)</f>
        <v>6143.46</v>
      </c>
      <c r="H86" s="166">
        <v>3784.883084108295</v>
      </c>
      <c r="I86" s="167">
        <v>9928.343084108295</v>
      </c>
      <c r="J86" s="140">
        <f>IFERROR(__xludf.DUMMYFUNCTION("filter('# Encargos folha'!E:E,MONTH('# Encargos folha'!$A:$A)=$C86)"),0.2)</f>
        <v>0.2</v>
      </c>
      <c r="K86" s="141">
        <f>IFERROR(__xludf.DUMMYFUNCTION("filter('# Encargos folha'!F:F,MONTH('# Encargos folha'!$A:$A)=$C86)"),0.058)</f>
        <v>0.058</v>
      </c>
      <c r="L86" s="142">
        <f>IFERROR(__xludf.DUMMYFUNCTION("filter('# Encargos folha'!G:G,MONTH('# Encargos folha'!$A:$A)=$C86)"),0.015)</f>
        <v>0.015</v>
      </c>
      <c r="M86" s="142">
        <f>IFERROR(__xludf.DUMMYFUNCTION("filter('# Encargos folha'!H:H,MONTH('# Encargos folha'!$A:$A)=$C86)"),0.08)</f>
        <v>0.08</v>
      </c>
      <c r="N86" s="142">
        <f t="shared" si="2"/>
        <v>0.11275</v>
      </c>
      <c r="O86" s="142">
        <f t="shared" si="3"/>
        <v>0.1503332958</v>
      </c>
      <c r="P86" s="168">
        <f t="shared" si="1"/>
        <v>0.6160832958</v>
      </c>
      <c r="Q86" s="145">
        <f t="array" ref="Q86">IFERROR(DGET(Dias_íteis,$Q$1,{$C$1;C86}),"")</f>
        <v>20</v>
      </c>
      <c r="R86" s="169">
        <v>176.0</v>
      </c>
      <c r="S86" s="147">
        <f>IFERROR(__xludf.DUMMYFUNCTION("SUM(FILTER(Trabalho!$I$2:$I207,MONTH(Trabalho!$G$2:$G207)=C86,Trabalho!$B$2:$B207=B86,Trabalho!$A$2:$A207=A86))"),3.0)</f>
        <v>3</v>
      </c>
      <c r="T86" s="147">
        <f>IFERROR(__xludf.DUMMYFUNCTION("IFERROR(SUM(FILTER(Trabalho!$I$2:$I207,MONTH(Trabalho!$G$2:$G207)=C86,Trabalho!$B$2:$B207=B86,Trabalho!$J$2:$J207=TRUE,Trabalho!$K$2:$K207=TRUE, Trabalho!$A$2:$A207=A86)),0)"),0.0)</f>
        <v>0</v>
      </c>
      <c r="U86" s="170">
        <v>56.411040250615315</v>
      </c>
      <c r="V86" s="167">
        <v>0.0</v>
      </c>
    </row>
    <row r="87">
      <c r="A87" s="149" t="s">
        <v>293</v>
      </c>
      <c r="B87" s="149" t="s">
        <v>290</v>
      </c>
      <c r="C87" s="150">
        <v>5.0</v>
      </c>
      <c r="D87" s="151">
        <v>2025.0</v>
      </c>
      <c r="E87" s="149" t="s">
        <v>640</v>
      </c>
      <c r="F87" s="149" t="s">
        <v>66</v>
      </c>
      <c r="G87" s="152">
        <f>IFERROR(__xludf.DUMMYFUNCTION("IFERROR(filter(choosecols('# Salários'!$F:$Q,C87),'# Salários'!$C:$C=B87))"),6143.46)</f>
        <v>6143.46</v>
      </c>
      <c r="H87" s="153">
        <v>3784.883084108295</v>
      </c>
      <c r="I87" s="154">
        <v>9928.343084108295</v>
      </c>
      <c r="J87" s="155">
        <f>IFERROR(__xludf.DUMMYFUNCTION("filter('# Encargos folha'!E:E,MONTH('# Encargos folha'!$A:$A)=$C87)"),0.2)</f>
        <v>0.2</v>
      </c>
      <c r="K87" s="156">
        <f>IFERROR(__xludf.DUMMYFUNCTION("filter('# Encargos folha'!F:F,MONTH('# Encargos folha'!$A:$A)=$C87)"),0.058)</f>
        <v>0.058</v>
      </c>
      <c r="L87" s="157">
        <f>IFERROR(__xludf.DUMMYFUNCTION("filter('# Encargos folha'!G:G,MONTH('# Encargos folha'!$A:$A)=$C87)"),0.015)</f>
        <v>0.015</v>
      </c>
      <c r="M87" s="157">
        <f>IFERROR(__xludf.DUMMYFUNCTION("filter('# Encargos folha'!H:H,MONTH('# Encargos folha'!$A:$A)=$C87)"),0.08)</f>
        <v>0.08</v>
      </c>
      <c r="N87" s="157">
        <f t="shared" si="2"/>
        <v>0.11275</v>
      </c>
      <c r="O87" s="157">
        <f t="shared" si="3"/>
        <v>0.1503332958</v>
      </c>
      <c r="P87" s="158">
        <f t="shared" si="1"/>
        <v>0.6160832958</v>
      </c>
      <c r="Q87" s="159">
        <f t="array" ref="Q87">IFERROR(DGET(Dias_íteis,$Q$1,{$C$1;C87}),"")</f>
        <v>21</v>
      </c>
      <c r="R87" s="160">
        <v>184.8</v>
      </c>
      <c r="S87" s="161">
        <f>IFERROR(__xludf.DUMMYFUNCTION("SUM(FILTER(Trabalho!$I$2:$I207,MONTH(Trabalho!$G$2:$G207)=C87,Trabalho!$B$2:$B207=B87,Trabalho!$A$2:$A207=A87))"),2.5)</f>
        <v>2.5</v>
      </c>
      <c r="T87" s="161">
        <f>IFERROR(__xludf.DUMMYFUNCTION("IFERROR(SUM(FILTER(Trabalho!$I$2:$I207,MONTH(Trabalho!$G$2:$G207)=C87,Trabalho!$B$2:$B207=B87,Trabalho!$J$2:$J207=TRUE,Trabalho!$K$2:$K207=TRUE, Trabalho!$A$2:$A207=A87)),0)"),0.0)</f>
        <v>0</v>
      </c>
      <c r="U87" s="162">
        <v>53.72480023868125</v>
      </c>
      <c r="V87" s="154">
        <v>0.0</v>
      </c>
    </row>
    <row r="88">
      <c r="A88" s="164" t="s">
        <v>267</v>
      </c>
      <c r="B88" s="164" t="s">
        <v>496</v>
      </c>
      <c r="C88" s="165">
        <v>8.0</v>
      </c>
      <c r="D88" s="135">
        <v>2025.0</v>
      </c>
      <c r="E88" s="164" t="s">
        <v>634</v>
      </c>
      <c r="F88" s="164" t="s">
        <v>66</v>
      </c>
      <c r="G88" s="137">
        <f>IFERROR(__xludf.DUMMYFUNCTION("IFERROR(filter(choosecols('# Salários'!$F:$Q,C88),'# Salários'!$C:$C=B88))"),7613.79)</f>
        <v>7613.79</v>
      </c>
      <c r="H88" s="166">
        <v>4690.728836348392</v>
      </c>
      <c r="I88" s="167">
        <v>12304.518836348392</v>
      </c>
      <c r="J88" s="140">
        <f>IFERROR(__xludf.DUMMYFUNCTION("filter('# Encargos folha'!E:E,MONTH('# Encargos folha'!$A:$A)=$C88)"),0.2)</f>
        <v>0.2</v>
      </c>
      <c r="K88" s="141">
        <f>IFERROR(__xludf.DUMMYFUNCTION("filter('# Encargos folha'!F:F,MONTH('# Encargos folha'!$A:$A)=$C88)"),0.058)</f>
        <v>0.058</v>
      </c>
      <c r="L88" s="142">
        <f>IFERROR(__xludf.DUMMYFUNCTION("filter('# Encargos folha'!G:G,MONTH('# Encargos folha'!$A:$A)=$C88)"),0.015)</f>
        <v>0.015</v>
      </c>
      <c r="M88" s="142">
        <f>IFERROR(__xludf.DUMMYFUNCTION("filter('# Encargos folha'!H:H,MONTH('# Encargos folha'!$A:$A)=$C88)"),0.08)</f>
        <v>0.08</v>
      </c>
      <c r="N88" s="142">
        <f t="shared" si="2"/>
        <v>0.11275</v>
      </c>
      <c r="O88" s="142">
        <f t="shared" si="3"/>
        <v>0.1503332958</v>
      </c>
      <c r="P88" s="168">
        <f t="shared" si="1"/>
        <v>0.6160832958</v>
      </c>
      <c r="Q88" s="145">
        <f t="array" ref="Q88">IFERROR(DGET(Dias_íteis,$Q$1,{$C$1;C88}),"")</f>
        <v>21</v>
      </c>
      <c r="R88" s="169">
        <v>184.8</v>
      </c>
      <c r="S88" s="147">
        <f>IFERROR(__xludf.DUMMYFUNCTION("SUM(FILTER(Trabalho!$I$2:$I207,MONTH(Trabalho!$G$2:$G207)=C88,Trabalho!$B$2:$B207=B88,Trabalho!$A$2:$A207=A88))"),1.0)</f>
        <v>1</v>
      </c>
      <c r="T88" s="147">
        <f>IFERROR(__xludf.DUMMYFUNCTION("IFERROR(SUM(FILTER(Trabalho!$I$2:$I207,MONTH(Trabalho!$G$2:$G207)=C88,Trabalho!$B$2:$B207=B88,Trabalho!$J$2:$J207=TRUE,Trabalho!$K$2:$K207=TRUE, Trabalho!$A$2:$A207=A88)),0)"),0.0)</f>
        <v>0</v>
      </c>
      <c r="U88" s="170">
        <v>66.58289413608436</v>
      </c>
      <c r="V88" s="167">
        <v>0.0</v>
      </c>
    </row>
    <row r="89">
      <c r="A89" s="149" t="s">
        <v>267</v>
      </c>
      <c r="B89" s="149" t="s">
        <v>496</v>
      </c>
      <c r="C89" s="150">
        <v>9.0</v>
      </c>
      <c r="D89" s="151">
        <v>2025.0</v>
      </c>
      <c r="E89" s="149" t="s">
        <v>634</v>
      </c>
      <c r="F89" s="149" t="s">
        <v>66</v>
      </c>
      <c r="G89" s="152" t="str">
        <f>IFERROR(__xludf.DUMMYFUNCTION("IFERROR(filter(choosecols('# Salários'!$F:$Q,C89),'# Salários'!$C:$C=B89))"),"")</f>
        <v/>
      </c>
      <c r="H89" s="153">
        <v>0.0</v>
      </c>
      <c r="I89" s="154">
        <v>0.0</v>
      </c>
      <c r="J89" s="155">
        <f>IFERROR(__xludf.DUMMYFUNCTION("filter('# Encargos folha'!E:E,MONTH('# Encargos folha'!$A:$A)=$C89)"),0.2)</f>
        <v>0.2</v>
      </c>
      <c r="K89" s="156">
        <f>IFERROR(__xludf.DUMMYFUNCTION("filter('# Encargos folha'!F:F,MONTH('# Encargos folha'!$A:$A)=$C89)"),0.058)</f>
        <v>0.058</v>
      </c>
      <c r="L89" s="157">
        <f>IFERROR(__xludf.DUMMYFUNCTION("filter('# Encargos folha'!G:G,MONTH('# Encargos folha'!$A:$A)=$C89)"),0.015)</f>
        <v>0.015</v>
      </c>
      <c r="M89" s="157">
        <f>IFERROR(__xludf.DUMMYFUNCTION("filter('# Encargos folha'!H:H,MONTH('# Encargos folha'!$A:$A)=$C89)"),0.08)</f>
        <v>0.08</v>
      </c>
      <c r="N89" s="157">
        <f t="shared" si="2"/>
        <v>0.11275</v>
      </c>
      <c r="O89" s="157">
        <f t="shared" si="3"/>
        <v>0.1503332958</v>
      </c>
      <c r="P89" s="158">
        <f t="shared" si="1"/>
        <v>0.6160832958</v>
      </c>
      <c r="Q89" s="159">
        <f t="array" ref="Q89">IFERROR(DGET(Dias_íteis,$Q$1,{$C$1;C89}),"")</f>
        <v>21</v>
      </c>
      <c r="R89" s="160">
        <v>184.8</v>
      </c>
      <c r="S89" s="161">
        <f>IFERROR(__xludf.DUMMYFUNCTION("SUM(FILTER(Trabalho!$I$2:$I207,MONTH(Trabalho!$G$2:$G207)=C89,Trabalho!$B$2:$B207=B89,Trabalho!$A$2:$A207=A89))"),1.0)</f>
        <v>1</v>
      </c>
      <c r="T89" s="161">
        <f>IFERROR(__xludf.DUMMYFUNCTION("IFERROR(SUM(FILTER(Trabalho!$I$2:$I207,MONTH(Trabalho!$G$2:$G207)=C89,Trabalho!$B$2:$B207=B89,Trabalho!$J$2:$J207=TRUE,Trabalho!$K$2:$K207=TRUE, Trabalho!$A$2:$A207=A89)),0)"),0.0)</f>
        <v>0</v>
      </c>
      <c r="U89" s="162">
        <v>0.0</v>
      </c>
      <c r="V89" s="154">
        <v>0.0</v>
      </c>
    </row>
    <row r="90">
      <c r="A90" s="164" t="s">
        <v>267</v>
      </c>
      <c r="B90" s="164" t="s">
        <v>496</v>
      </c>
      <c r="C90" s="165">
        <v>10.0</v>
      </c>
      <c r="D90" s="135">
        <v>2025.0</v>
      </c>
      <c r="E90" s="164" t="s">
        <v>634</v>
      </c>
      <c r="F90" s="164" t="s">
        <v>66</v>
      </c>
      <c r="G90" s="137" t="str">
        <f>IFERROR(__xludf.DUMMYFUNCTION("IFERROR(filter(choosecols('# Salários'!$F:$Q,C90),'# Salários'!$C:$C=B90))"),"")</f>
        <v/>
      </c>
      <c r="H90" s="166">
        <v>0.0</v>
      </c>
      <c r="I90" s="167">
        <v>0.0</v>
      </c>
      <c r="J90" s="140">
        <f>IFERROR(__xludf.DUMMYFUNCTION("filter('# Encargos folha'!E:E,MONTH('# Encargos folha'!$A:$A)=$C90)"),0.2)</f>
        <v>0.2</v>
      </c>
      <c r="K90" s="141">
        <f>IFERROR(__xludf.DUMMYFUNCTION("filter('# Encargos folha'!F:F,MONTH('# Encargos folha'!$A:$A)=$C90)"),0.058)</f>
        <v>0.058</v>
      </c>
      <c r="L90" s="142">
        <f>IFERROR(__xludf.DUMMYFUNCTION("filter('# Encargos folha'!G:G,MONTH('# Encargos folha'!$A:$A)=$C90)"),0.0387)</f>
        <v>0.0387</v>
      </c>
      <c r="M90" s="142">
        <f>IFERROR(__xludf.DUMMYFUNCTION("filter('# Encargos folha'!H:H,MONTH('# Encargos folha'!$A:$A)=$C90)"),0.08)</f>
        <v>0.08</v>
      </c>
      <c r="N90" s="142">
        <f t="shared" si="2"/>
        <v>0.114725</v>
      </c>
      <c r="O90" s="142">
        <f t="shared" si="3"/>
        <v>0.1529666284</v>
      </c>
      <c r="P90" s="168">
        <f t="shared" si="1"/>
        <v>0.6443916284</v>
      </c>
      <c r="Q90" s="145">
        <f t="array" ref="Q90">IFERROR(DGET(Dias_íteis,$Q$1,{$C$1;C90}),"")</f>
        <v>22</v>
      </c>
      <c r="R90" s="169">
        <v>193.60000000000002</v>
      </c>
      <c r="S90" s="147">
        <f>IFERROR(__xludf.DUMMYFUNCTION("SUM(FILTER(Trabalho!$I$2:$I207,MONTH(Trabalho!$G$2:$G207)=C90,Trabalho!$B$2:$B207=B90,Trabalho!$A$2:$A207=A90))"),1.0)</f>
        <v>1</v>
      </c>
      <c r="T90" s="147">
        <f>IFERROR(__xludf.DUMMYFUNCTION("IFERROR(SUM(FILTER(Trabalho!$I$2:$I207,MONTH(Trabalho!$G$2:$G207)=C90,Trabalho!$B$2:$B207=B90,Trabalho!$J$2:$J207=TRUE,Trabalho!$K$2:$K207=TRUE, Trabalho!$A$2:$A207=A90)),0)"),0.0)</f>
        <v>0</v>
      </c>
      <c r="U90" s="170">
        <v>0.0</v>
      </c>
      <c r="V90" s="167">
        <v>0.0</v>
      </c>
    </row>
    <row r="91">
      <c r="A91" s="149" t="s">
        <v>267</v>
      </c>
      <c r="B91" s="149" t="s">
        <v>251</v>
      </c>
      <c r="C91" s="150">
        <v>2.0</v>
      </c>
      <c r="D91" s="151">
        <v>2025.0</v>
      </c>
      <c r="E91" s="149" t="s">
        <v>635</v>
      </c>
      <c r="F91" s="149" t="s">
        <v>68</v>
      </c>
      <c r="G91" s="152">
        <f>IFERROR(__xludf.DUMMYFUNCTION("IFERROR(filter(choosecols('# Salários'!$F:$Q,C91),'# Salários'!$C:$C=B91))"),5481.24)</f>
        <v>5481.24</v>
      </c>
      <c r="H91" s="153">
        <v>3475.10595171288</v>
      </c>
      <c r="I91" s="154">
        <v>8956.34595171288</v>
      </c>
      <c r="J91" s="155">
        <f>IFERROR(__xludf.DUMMYFUNCTION("filter('# Encargos folha'!E:E,MONTH('# Encargos folha'!$A:$A)=$C91)"),0.2)</f>
        <v>0.2</v>
      </c>
      <c r="K91" s="156">
        <f>IFERROR(__xludf.DUMMYFUNCTION("filter('# Encargos folha'!F:F,MONTH('# Encargos folha'!$A:$A)=$C91)"),0.058)</f>
        <v>0.058</v>
      </c>
      <c r="L91" s="157">
        <f>IFERROR(__xludf.DUMMYFUNCTION("filter('# Encargos folha'!G:G,MONTH('# Encargos folha'!$A:$A)=$C91)"),0.03)</f>
        <v>0.03</v>
      </c>
      <c r="M91" s="157">
        <f>IFERROR(__xludf.DUMMYFUNCTION("filter('# Encargos folha'!H:H,MONTH('# Encargos folha'!$A:$A)=$C91)"),0.08)</f>
        <v>0.08</v>
      </c>
      <c r="N91" s="157">
        <f t="shared" si="2"/>
        <v>0.114</v>
      </c>
      <c r="O91" s="157">
        <f t="shared" si="3"/>
        <v>0.151999962</v>
      </c>
      <c r="P91" s="158">
        <f t="shared" si="1"/>
        <v>0.633999962</v>
      </c>
      <c r="Q91" s="159">
        <f t="array" ref="Q91">IFERROR(DGET(Dias_íteis,$Q$1,{$C$1;C91}),"")</f>
        <v>19</v>
      </c>
      <c r="R91" s="160">
        <v>167.20000000000002</v>
      </c>
      <c r="S91" s="161">
        <f>IFERROR(__xludf.DUMMYFUNCTION("SUM(FILTER(Trabalho!$I$2:$I207,MONTH(Trabalho!$G$2:$G207)=C91,Trabalho!$B$2:$B207=B91,Trabalho!$A$2:$A207=A91))"),0.75)</f>
        <v>0.75</v>
      </c>
      <c r="T91" s="161">
        <f>IFERROR(__xludf.DUMMYFUNCTION("IFERROR(SUM(FILTER(Trabalho!$I$2:$I207,MONTH(Trabalho!$G$2:$G207)=C91,Trabalho!$B$2:$B207=B91,Trabalho!$J$2:$J207=TRUE,Trabalho!$K$2:$K207=TRUE, Trabalho!$A$2:$A207=A91)),0)"),0.0)</f>
        <v>0</v>
      </c>
      <c r="U91" s="162">
        <v>53.566662390627265</v>
      </c>
      <c r="V91" s="154">
        <v>0.0</v>
      </c>
    </row>
    <row r="92">
      <c r="A92" s="164" t="s">
        <v>267</v>
      </c>
      <c r="B92" s="164" t="s">
        <v>251</v>
      </c>
      <c r="C92" s="165">
        <v>3.0</v>
      </c>
      <c r="D92" s="135">
        <v>2025.0</v>
      </c>
      <c r="E92" s="164" t="s">
        <v>635</v>
      </c>
      <c r="F92" s="164" t="s">
        <v>68</v>
      </c>
      <c r="G92" s="137">
        <f>IFERROR(__xludf.DUMMYFUNCTION("IFERROR(filter(choosecols('# Salários'!$F:$Q,C92),'# Salários'!$C:$C=B92))"),5481.24)</f>
        <v>5481.24</v>
      </c>
      <c r="H92" s="166">
        <v>3475.10595171288</v>
      </c>
      <c r="I92" s="167">
        <v>8956.34595171288</v>
      </c>
      <c r="J92" s="140">
        <f>IFERROR(__xludf.DUMMYFUNCTION("filter('# Encargos folha'!E:E,MONTH('# Encargos folha'!$A:$A)=$C92)"),0.2)</f>
        <v>0.2</v>
      </c>
      <c r="K92" s="141">
        <f>IFERROR(__xludf.DUMMYFUNCTION("filter('# Encargos folha'!F:F,MONTH('# Encargos folha'!$A:$A)=$C92)"),0.058)</f>
        <v>0.058</v>
      </c>
      <c r="L92" s="142">
        <f>IFERROR(__xludf.DUMMYFUNCTION("filter('# Encargos folha'!G:G,MONTH('# Encargos folha'!$A:$A)=$C92)"),0.03)</f>
        <v>0.03</v>
      </c>
      <c r="M92" s="142">
        <f>IFERROR(__xludf.DUMMYFUNCTION("filter('# Encargos folha'!H:H,MONTH('# Encargos folha'!$A:$A)=$C92)"),0.08)</f>
        <v>0.08</v>
      </c>
      <c r="N92" s="142">
        <f t="shared" si="2"/>
        <v>0.114</v>
      </c>
      <c r="O92" s="142">
        <f t="shared" si="3"/>
        <v>0.151999962</v>
      </c>
      <c r="P92" s="168">
        <f t="shared" si="1"/>
        <v>0.633999962</v>
      </c>
      <c r="Q92" s="145">
        <f t="array" ref="Q92">IFERROR(DGET(Dias_íteis,$Q$1,{$C$1;C92}),"")</f>
        <v>18</v>
      </c>
      <c r="R92" s="169">
        <v>158.4</v>
      </c>
      <c r="S92" s="147">
        <f>IFERROR(__xludf.DUMMYFUNCTION("SUM(FILTER(Trabalho!$I$2:$I207,MONTH(Trabalho!$G$2:$G207)=C92,Trabalho!$B$2:$B207=B92,Trabalho!$A$2:$A207=A92))"),0.5)</f>
        <v>0.5</v>
      </c>
      <c r="T92" s="147">
        <f>IFERROR(__xludf.DUMMYFUNCTION("IFERROR(SUM(FILTER(Trabalho!$I$2:$I207,MONTH(Trabalho!$G$2:$G207)=C92,Trabalho!$B$2:$B207=B92,Trabalho!$J$2:$J207=TRUE,Trabalho!$K$2:$K207=TRUE, Trabalho!$A$2:$A207=A92)),0)"),0.0)</f>
        <v>0</v>
      </c>
      <c r="U92" s="170">
        <v>56.54258807899545</v>
      </c>
      <c r="V92" s="167">
        <v>0.0</v>
      </c>
    </row>
    <row r="93">
      <c r="A93" s="149" t="s">
        <v>267</v>
      </c>
      <c r="B93" s="149" t="s">
        <v>251</v>
      </c>
      <c r="C93" s="150">
        <v>8.0</v>
      </c>
      <c r="D93" s="151">
        <v>2025.0</v>
      </c>
      <c r="E93" s="149" t="s">
        <v>635</v>
      </c>
      <c r="F93" s="149" t="s">
        <v>68</v>
      </c>
      <c r="G93" s="152">
        <f>IFERROR(__xludf.DUMMYFUNCTION("IFERROR(filter(choosecols('# Salários'!$F:$Q,C93),'# Salários'!$C:$C=B93))"),7202.0)</f>
        <v>7202</v>
      </c>
      <c r="H93" s="153">
        <v>4437.0318959915</v>
      </c>
      <c r="I93" s="154">
        <v>11639.0318959915</v>
      </c>
      <c r="J93" s="155">
        <f>IFERROR(__xludf.DUMMYFUNCTION("filter('# Encargos folha'!E:E,MONTH('# Encargos folha'!$A:$A)=$C93)"),0.2)</f>
        <v>0.2</v>
      </c>
      <c r="K93" s="156">
        <f>IFERROR(__xludf.DUMMYFUNCTION("filter('# Encargos folha'!F:F,MONTH('# Encargos folha'!$A:$A)=$C93)"),0.058)</f>
        <v>0.058</v>
      </c>
      <c r="L93" s="157">
        <f>IFERROR(__xludf.DUMMYFUNCTION("filter('# Encargos folha'!G:G,MONTH('# Encargos folha'!$A:$A)=$C93)"),0.015)</f>
        <v>0.015</v>
      </c>
      <c r="M93" s="157">
        <f>IFERROR(__xludf.DUMMYFUNCTION("filter('# Encargos folha'!H:H,MONTH('# Encargos folha'!$A:$A)=$C93)"),0.08)</f>
        <v>0.08</v>
      </c>
      <c r="N93" s="157">
        <f t="shared" si="2"/>
        <v>0.11275</v>
      </c>
      <c r="O93" s="157">
        <f t="shared" si="3"/>
        <v>0.1503332958</v>
      </c>
      <c r="P93" s="158">
        <f t="shared" si="1"/>
        <v>0.6160832958</v>
      </c>
      <c r="Q93" s="159">
        <f t="array" ref="Q93">IFERROR(DGET(Dias_íteis,$Q$1,{$C$1;C93}),"")</f>
        <v>21</v>
      </c>
      <c r="R93" s="160">
        <v>184.8</v>
      </c>
      <c r="S93" s="161">
        <f>IFERROR(__xludf.DUMMYFUNCTION("SUM(FILTER(Trabalho!$I$2:$I207,MONTH(Trabalho!$G$2:$G207)=C93,Trabalho!$B$2:$B207=B93,Trabalho!$A$2:$A207=A93))"),6.083333333333333)</f>
        <v>6.083333333</v>
      </c>
      <c r="T93" s="161">
        <f>IFERROR(__xludf.DUMMYFUNCTION("IFERROR(SUM(FILTER(Trabalho!$I$2:$I207,MONTH(Trabalho!$G$2:$G207)=C93,Trabalho!$B$2:$B207=B93,Trabalho!$J$2:$J207=TRUE,Trabalho!$K$2:$K207=TRUE, Trabalho!$A$2:$A207=A93)),0)"),0.0)</f>
        <v>0</v>
      </c>
      <c r="U93" s="162">
        <v>62.98177432895833</v>
      </c>
      <c r="V93" s="154">
        <v>0.0</v>
      </c>
    </row>
    <row r="94">
      <c r="A94" s="164" t="s">
        <v>267</v>
      </c>
      <c r="B94" s="164" t="s">
        <v>290</v>
      </c>
      <c r="C94" s="165">
        <v>1.0</v>
      </c>
      <c r="D94" s="135">
        <v>2025.0</v>
      </c>
      <c r="E94" s="164" t="s">
        <v>640</v>
      </c>
      <c r="F94" s="164" t="s">
        <v>66</v>
      </c>
      <c r="G94" s="137">
        <f>IFERROR(__xludf.DUMMYFUNCTION("IFERROR(filter(choosecols('# Salários'!$F:$Q,C94),'# Salários'!$C:$C=B94))"),6143.46)</f>
        <v>6143.46</v>
      </c>
      <c r="H94" s="166">
        <v>3894.9534065485204</v>
      </c>
      <c r="I94" s="167">
        <v>10038.41340654852</v>
      </c>
      <c r="J94" s="140">
        <f>IFERROR(__xludf.DUMMYFUNCTION("filter('# Encargos folha'!E:E,MONTH('# Encargos folha'!$A:$A)=$C94)"),0.2)</f>
        <v>0.2</v>
      </c>
      <c r="K94" s="141">
        <f>IFERROR(__xludf.DUMMYFUNCTION("filter('# Encargos folha'!F:F,MONTH('# Encargos folha'!$A:$A)=$C94)"),0.058)</f>
        <v>0.058</v>
      </c>
      <c r="L94" s="142">
        <f>IFERROR(__xludf.DUMMYFUNCTION("filter('# Encargos folha'!G:G,MONTH('# Encargos folha'!$A:$A)=$C94)"),0.03)</f>
        <v>0.03</v>
      </c>
      <c r="M94" s="142">
        <f>IFERROR(__xludf.DUMMYFUNCTION("filter('# Encargos folha'!H:H,MONTH('# Encargos folha'!$A:$A)=$C94)"),0.08)</f>
        <v>0.08</v>
      </c>
      <c r="N94" s="142">
        <f t="shared" si="2"/>
        <v>0.114</v>
      </c>
      <c r="O94" s="142">
        <f t="shared" si="3"/>
        <v>0.151999962</v>
      </c>
      <c r="P94" s="168">
        <f t="shared" si="1"/>
        <v>0.633999962</v>
      </c>
      <c r="Q94" s="145">
        <f t="array" ref="Q94">IFERROR(DGET(Dias_íteis,$Q$1,{$C$1;C94}),"")</f>
        <v>22</v>
      </c>
      <c r="R94" s="169">
        <v>193.60000000000002</v>
      </c>
      <c r="S94" s="147">
        <f>IFERROR(__xludf.DUMMYFUNCTION("SUM(FILTER(Trabalho!$I$2:$I207,MONTH(Trabalho!$G$2:$G207)=C94,Trabalho!$B$2:$B207=B94,Trabalho!$A$2:$A207=A94))"),9.5)</f>
        <v>9.5</v>
      </c>
      <c r="T94" s="147">
        <f>IFERROR(__xludf.DUMMYFUNCTION("IFERROR(SUM(FILTER(Trabalho!$I$2:$I207,MONTH(Trabalho!$G$2:$G207)=C94,Trabalho!$B$2:$B207=B94,Trabalho!$J$2:$J207=TRUE,Trabalho!$K$2:$K207=TRUE, Trabalho!$A$2:$A207=A94)),0)"),0.0)</f>
        <v>0</v>
      </c>
      <c r="U94" s="170">
        <v>51.85130891812251</v>
      </c>
      <c r="V94" s="167">
        <v>0.0</v>
      </c>
    </row>
    <row r="95">
      <c r="A95" s="149" t="s">
        <v>267</v>
      </c>
      <c r="B95" s="149" t="s">
        <v>290</v>
      </c>
      <c r="C95" s="150">
        <v>2.0</v>
      </c>
      <c r="D95" s="151">
        <v>2025.0</v>
      </c>
      <c r="E95" s="149" t="s">
        <v>640</v>
      </c>
      <c r="F95" s="149" t="s">
        <v>66</v>
      </c>
      <c r="G95" s="152">
        <f>IFERROR(__xludf.DUMMYFUNCTION("IFERROR(filter(choosecols('# Salários'!$F:$Q,C95),'# Salários'!$C:$C=B95))"),6143.46)</f>
        <v>6143.46</v>
      </c>
      <c r="H95" s="153">
        <v>3894.9534065485204</v>
      </c>
      <c r="I95" s="154">
        <v>10038.41340654852</v>
      </c>
      <c r="J95" s="155">
        <f>IFERROR(__xludf.DUMMYFUNCTION("filter('# Encargos folha'!E:E,MONTH('# Encargos folha'!$A:$A)=$C95)"),0.2)</f>
        <v>0.2</v>
      </c>
      <c r="K95" s="156">
        <f>IFERROR(__xludf.DUMMYFUNCTION("filter('# Encargos folha'!F:F,MONTH('# Encargos folha'!$A:$A)=$C95)"),0.058)</f>
        <v>0.058</v>
      </c>
      <c r="L95" s="157">
        <f>IFERROR(__xludf.DUMMYFUNCTION("filter('# Encargos folha'!G:G,MONTH('# Encargos folha'!$A:$A)=$C95)"),0.03)</f>
        <v>0.03</v>
      </c>
      <c r="M95" s="157">
        <f>IFERROR(__xludf.DUMMYFUNCTION("filter('# Encargos folha'!H:H,MONTH('# Encargos folha'!$A:$A)=$C95)"),0.08)</f>
        <v>0.08</v>
      </c>
      <c r="N95" s="157">
        <f t="shared" si="2"/>
        <v>0.114</v>
      </c>
      <c r="O95" s="157">
        <f t="shared" si="3"/>
        <v>0.151999962</v>
      </c>
      <c r="P95" s="158">
        <f t="shared" si="1"/>
        <v>0.633999962</v>
      </c>
      <c r="Q95" s="159">
        <f t="array" ref="Q95">IFERROR(DGET(Dias_íteis,$Q$1,{$C$1;C95}),"")</f>
        <v>19</v>
      </c>
      <c r="R95" s="160">
        <v>167.20000000000002</v>
      </c>
      <c r="S95" s="161">
        <f>IFERROR(__xludf.DUMMYFUNCTION("SUM(FILTER(Trabalho!$I$2:$I207,MONTH(Trabalho!$G$2:$G207)=C95,Trabalho!$B$2:$B207=B95,Trabalho!$A$2:$A207=A95))"),1.0)</f>
        <v>1</v>
      </c>
      <c r="T95" s="161">
        <f>IFERROR(__xludf.DUMMYFUNCTION("IFERROR(SUM(FILTER(Trabalho!$I$2:$I207,MONTH(Trabalho!$G$2:$G207)=C95,Trabalho!$B$2:$B207=B95,Trabalho!$J$2:$J207=TRUE,Trabalho!$K$2:$K207=TRUE, Trabalho!$A$2:$A207=A95)),0)"),0.0)</f>
        <v>0</v>
      </c>
      <c r="U95" s="162">
        <v>60.03835769466817</v>
      </c>
      <c r="V95" s="154">
        <v>0.0</v>
      </c>
    </row>
    <row r="96">
      <c r="A96" s="164" t="s">
        <v>267</v>
      </c>
      <c r="B96" s="164" t="s">
        <v>290</v>
      </c>
      <c r="C96" s="165">
        <v>5.0</v>
      </c>
      <c r="D96" s="135">
        <v>2025.0</v>
      </c>
      <c r="E96" s="164" t="s">
        <v>640</v>
      </c>
      <c r="F96" s="164" t="s">
        <v>66</v>
      </c>
      <c r="G96" s="137">
        <f>IFERROR(__xludf.DUMMYFUNCTION("IFERROR(filter(choosecols('# Salários'!$F:$Q,C96),'# Salários'!$C:$C=B96))"),6143.46)</f>
        <v>6143.46</v>
      </c>
      <c r="H96" s="166">
        <v>3784.883084108295</v>
      </c>
      <c r="I96" s="167">
        <v>9928.343084108295</v>
      </c>
      <c r="J96" s="140">
        <f>IFERROR(__xludf.DUMMYFUNCTION("filter('# Encargos folha'!E:E,MONTH('# Encargos folha'!$A:$A)=$C96)"),0.2)</f>
        <v>0.2</v>
      </c>
      <c r="K96" s="141">
        <f>IFERROR(__xludf.DUMMYFUNCTION("filter('# Encargos folha'!F:F,MONTH('# Encargos folha'!$A:$A)=$C96)"),0.058)</f>
        <v>0.058</v>
      </c>
      <c r="L96" s="142">
        <f>IFERROR(__xludf.DUMMYFUNCTION("filter('# Encargos folha'!G:G,MONTH('# Encargos folha'!$A:$A)=$C96)"),0.015)</f>
        <v>0.015</v>
      </c>
      <c r="M96" s="142">
        <f>IFERROR(__xludf.DUMMYFUNCTION("filter('# Encargos folha'!H:H,MONTH('# Encargos folha'!$A:$A)=$C96)"),0.08)</f>
        <v>0.08</v>
      </c>
      <c r="N96" s="142">
        <f t="shared" si="2"/>
        <v>0.11275</v>
      </c>
      <c r="O96" s="142">
        <f t="shared" si="3"/>
        <v>0.1503332958</v>
      </c>
      <c r="P96" s="168">
        <f t="shared" si="1"/>
        <v>0.6160832958</v>
      </c>
      <c r="Q96" s="145">
        <f t="array" ref="Q96">IFERROR(DGET(Dias_íteis,$Q$1,{$C$1;C96}),"")</f>
        <v>21</v>
      </c>
      <c r="R96" s="169">
        <v>184.8</v>
      </c>
      <c r="S96" s="147">
        <f>IFERROR(__xludf.DUMMYFUNCTION("SUM(FILTER(Trabalho!$I$2:$I207,MONTH(Trabalho!$G$2:$G207)=C96,Trabalho!$B$2:$B207=B96,Trabalho!$A$2:$A207=A96))"),2.0)</f>
        <v>2</v>
      </c>
      <c r="T96" s="147">
        <f>IFERROR(__xludf.DUMMYFUNCTION("IFERROR(SUM(FILTER(Trabalho!$I$2:$I207,MONTH(Trabalho!$G$2:$G207)=C96,Trabalho!$B$2:$B207=B96,Trabalho!$J$2:$J207=TRUE,Trabalho!$K$2:$K207=TRUE, Trabalho!$A$2:$A207=A96)),0)"),0.0)</f>
        <v>0</v>
      </c>
      <c r="U96" s="170">
        <v>53.72480023868125</v>
      </c>
      <c r="V96" s="167">
        <v>0.0</v>
      </c>
    </row>
    <row r="97">
      <c r="A97" s="149" t="s">
        <v>267</v>
      </c>
      <c r="B97" s="149" t="s">
        <v>290</v>
      </c>
      <c r="C97" s="150">
        <v>6.0</v>
      </c>
      <c r="D97" s="151">
        <v>2025.0</v>
      </c>
      <c r="E97" s="149" t="s">
        <v>640</v>
      </c>
      <c r="F97" s="149" t="s">
        <v>66</v>
      </c>
      <c r="G97" s="152">
        <f>IFERROR(__xludf.DUMMYFUNCTION("IFERROR(filter(choosecols('# Salários'!$F:$Q,C97),'# Salários'!$C:$C=B97))"),6470.29)</f>
        <v>6470.29</v>
      </c>
      <c r="H97" s="153">
        <v>3986.2375876582673</v>
      </c>
      <c r="I97" s="154">
        <v>10456.527587658267</v>
      </c>
      <c r="J97" s="155">
        <f>IFERROR(__xludf.DUMMYFUNCTION("filter('# Encargos folha'!E:E,MONTH('# Encargos folha'!$A:$A)=$C97)"),0.2)</f>
        <v>0.2</v>
      </c>
      <c r="K97" s="156">
        <f>IFERROR(__xludf.DUMMYFUNCTION("filter('# Encargos folha'!F:F,MONTH('# Encargos folha'!$A:$A)=$C97)"),0.058)</f>
        <v>0.058</v>
      </c>
      <c r="L97" s="157">
        <f>IFERROR(__xludf.DUMMYFUNCTION("filter('# Encargos folha'!G:G,MONTH('# Encargos folha'!$A:$A)=$C97)"),0.015)</f>
        <v>0.015</v>
      </c>
      <c r="M97" s="157">
        <f>IFERROR(__xludf.DUMMYFUNCTION("filter('# Encargos folha'!H:H,MONTH('# Encargos folha'!$A:$A)=$C97)"),0.08)</f>
        <v>0.08</v>
      </c>
      <c r="N97" s="157">
        <f t="shared" si="2"/>
        <v>0.11275</v>
      </c>
      <c r="O97" s="157">
        <f t="shared" si="3"/>
        <v>0.1503332958</v>
      </c>
      <c r="P97" s="158">
        <f t="shared" si="1"/>
        <v>0.6160832958</v>
      </c>
      <c r="Q97" s="159">
        <f t="array" ref="Q97">IFERROR(DGET(Dias_íteis,$Q$1,{$C$1;C97}),"")</f>
        <v>20</v>
      </c>
      <c r="R97" s="160">
        <v>176.0</v>
      </c>
      <c r="S97" s="161">
        <f>IFERROR(__xludf.DUMMYFUNCTION("SUM(FILTER(Trabalho!$I$2:$I207,MONTH(Trabalho!$G$2:$G207)=C97,Trabalho!$B$2:$B207=B97,Trabalho!$A$2:$A207=A97))"),7.5)</f>
        <v>7.5</v>
      </c>
      <c r="T97" s="161">
        <f>IFERROR(__xludf.DUMMYFUNCTION("IFERROR(SUM(FILTER(Trabalho!$I$2:$I207,MONTH(Trabalho!$G$2:$G207)=C97,Trabalho!$B$2:$B207=B97,Trabalho!$J$2:$J207=TRUE,Trabalho!$K$2:$K207=TRUE, Trabalho!$A$2:$A207=A97)),0)"),0.0)</f>
        <v>0</v>
      </c>
      <c r="U97" s="162">
        <v>59.41208856624016</v>
      </c>
      <c r="V97" s="154">
        <v>0.0</v>
      </c>
    </row>
    <row r="98">
      <c r="A98" s="164" t="s">
        <v>267</v>
      </c>
      <c r="B98" s="164" t="s">
        <v>290</v>
      </c>
      <c r="C98" s="165">
        <v>7.0</v>
      </c>
      <c r="D98" s="135">
        <v>2025.0</v>
      </c>
      <c r="E98" s="164" t="s">
        <v>640</v>
      </c>
      <c r="F98" s="164" t="s">
        <v>66</v>
      </c>
      <c r="G98" s="137">
        <f>IFERROR(__xludf.DUMMYFUNCTION("IFERROR(filter(choosecols('# Salários'!$F:$Q,C98),'# Salários'!$C:$C=B98))"),6532.0)</f>
        <v>6532</v>
      </c>
      <c r="H98" s="166">
        <v>4024.256087839</v>
      </c>
      <c r="I98" s="167">
        <v>10556.256087839</v>
      </c>
      <c r="J98" s="140">
        <f>IFERROR(__xludf.DUMMYFUNCTION("filter('# Encargos folha'!E:E,MONTH('# Encargos folha'!$A:$A)=$C98)"),0.2)</f>
        <v>0.2</v>
      </c>
      <c r="K98" s="141">
        <f>IFERROR(__xludf.DUMMYFUNCTION("filter('# Encargos folha'!F:F,MONTH('# Encargos folha'!$A:$A)=$C98)"),0.058)</f>
        <v>0.058</v>
      </c>
      <c r="L98" s="142">
        <f>IFERROR(__xludf.DUMMYFUNCTION("filter('# Encargos folha'!G:G,MONTH('# Encargos folha'!$A:$A)=$C98)"),0.015)</f>
        <v>0.015</v>
      </c>
      <c r="M98" s="142">
        <f>IFERROR(__xludf.DUMMYFUNCTION("filter('# Encargos folha'!H:H,MONTH('# Encargos folha'!$A:$A)=$C98)"),0.08)</f>
        <v>0.08</v>
      </c>
      <c r="N98" s="142">
        <f t="shared" si="2"/>
        <v>0.11275</v>
      </c>
      <c r="O98" s="142">
        <f t="shared" si="3"/>
        <v>0.1503332958</v>
      </c>
      <c r="P98" s="168">
        <f t="shared" si="1"/>
        <v>0.6160832958</v>
      </c>
      <c r="Q98" s="145">
        <f t="array" ref="Q98">IFERROR(DGET(Dias_íteis,$Q$1,{$C$1;C98}),"")</f>
        <v>23</v>
      </c>
      <c r="R98" s="169">
        <v>202.4</v>
      </c>
      <c r="S98" s="147">
        <f>IFERROR(__xludf.DUMMYFUNCTION("SUM(FILTER(Trabalho!$I$2:$I207,MONTH(Trabalho!$G$2:$G207)=C98,Trabalho!$B$2:$B207=B98,Trabalho!$A$2:$A207=A98))"),5.5)</f>
        <v>5.5</v>
      </c>
      <c r="T98" s="147">
        <f>IFERROR(__xludf.DUMMYFUNCTION("IFERROR(SUM(FILTER(Trabalho!$I$2:$I207,MONTH(Trabalho!$G$2:$G207)=C98,Trabalho!$B$2:$B207=B98,Trabalho!$J$2:$J207=TRUE,Trabalho!$K$2:$K207=TRUE, Trabalho!$A$2:$A207=A98)),0)"),0.0)</f>
        <v>0</v>
      </c>
      <c r="U98" s="170">
        <v>52.155415453749995</v>
      </c>
      <c r="V98" s="167">
        <v>0.0</v>
      </c>
    </row>
    <row r="99">
      <c r="A99" s="149" t="s">
        <v>267</v>
      </c>
      <c r="B99" s="149" t="s">
        <v>290</v>
      </c>
      <c r="C99" s="150">
        <v>8.0</v>
      </c>
      <c r="D99" s="151">
        <v>2025.0</v>
      </c>
      <c r="E99" s="149" t="s">
        <v>640</v>
      </c>
      <c r="F99" s="149" t="s">
        <v>66</v>
      </c>
      <c r="G99" s="152">
        <f>IFERROR(__xludf.DUMMYFUNCTION("IFERROR(filter(choosecols('# Salários'!$F:$Q,C99),'# Salários'!$C:$C=B99))"),6532.0)</f>
        <v>6532</v>
      </c>
      <c r="H99" s="153">
        <v>4024.256087839</v>
      </c>
      <c r="I99" s="154">
        <v>10556.256087839</v>
      </c>
      <c r="J99" s="155">
        <f>IFERROR(__xludf.DUMMYFUNCTION("filter('# Encargos folha'!E:E,MONTH('# Encargos folha'!$A:$A)=$C99)"),0.2)</f>
        <v>0.2</v>
      </c>
      <c r="K99" s="156">
        <f>IFERROR(__xludf.DUMMYFUNCTION("filter('# Encargos folha'!F:F,MONTH('# Encargos folha'!$A:$A)=$C99)"),0.058)</f>
        <v>0.058</v>
      </c>
      <c r="L99" s="157">
        <f>IFERROR(__xludf.DUMMYFUNCTION("filter('# Encargos folha'!G:G,MONTH('# Encargos folha'!$A:$A)=$C99)"),0.015)</f>
        <v>0.015</v>
      </c>
      <c r="M99" s="157">
        <f>IFERROR(__xludf.DUMMYFUNCTION("filter('# Encargos folha'!H:H,MONTH('# Encargos folha'!$A:$A)=$C99)"),0.08)</f>
        <v>0.08</v>
      </c>
      <c r="N99" s="157">
        <f t="shared" si="2"/>
        <v>0.11275</v>
      </c>
      <c r="O99" s="157">
        <f t="shared" si="3"/>
        <v>0.1503332958</v>
      </c>
      <c r="P99" s="158">
        <f t="shared" si="1"/>
        <v>0.6160832958</v>
      </c>
      <c r="Q99" s="159">
        <f t="array" ref="Q99">IFERROR(DGET(Dias_íteis,$Q$1,{$C$1;C99}),"")</f>
        <v>21</v>
      </c>
      <c r="R99" s="160">
        <v>184.8</v>
      </c>
      <c r="S99" s="161">
        <f>IFERROR(__xludf.DUMMYFUNCTION("SUM(FILTER(Trabalho!$I$2:$I207,MONTH(Trabalho!$G$2:$G207)=C99,Trabalho!$B$2:$B207=B99,Trabalho!$A$2:$A207=A99))"),12.0)</f>
        <v>12</v>
      </c>
      <c r="T99" s="161">
        <f>IFERROR(__xludf.DUMMYFUNCTION("IFERROR(SUM(FILTER(Trabalho!$I$2:$I207,MONTH(Trabalho!$G$2:$G207)=C99,Trabalho!$B$2:$B207=B99,Trabalho!$J$2:$J207=TRUE,Trabalho!$K$2:$K207=TRUE, Trabalho!$A$2:$A207=A99)),0)"),0.0)</f>
        <v>0</v>
      </c>
      <c r="U99" s="162">
        <v>57.12259787791666</v>
      </c>
      <c r="V99" s="154">
        <v>0.0</v>
      </c>
    </row>
    <row r="100">
      <c r="A100" s="164" t="s">
        <v>267</v>
      </c>
      <c r="B100" s="164" t="s">
        <v>290</v>
      </c>
      <c r="C100" s="165">
        <v>9.0</v>
      </c>
      <c r="D100" s="135">
        <v>2025.0</v>
      </c>
      <c r="E100" s="164" t="s">
        <v>640</v>
      </c>
      <c r="F100" s="164" t="s">
        <v>66</v>
      </c>
      <c r="G100" s="137">
        <f>IFERROR(__xludf.DUMMYFUNCTION("IFERROR(filter(choosecols('# Salários'!$F:$Q,C100),'# Salários'!$C:$C=B100))"),6532.0)</f>
        <v>6532</v>
      </c>
      <c r="H100" s="166">
        <v>4024.256087839</v>
      </c>
      <c r="I100" s="167">
        <v>10556.256087839</v>
      </c>
      <c r="J100" s="140">
        <f>IFERROR(__xludf.DUMMYFUNCTION("filter('# Encargos folha'!E:E,MONTH('# Encargos folha'!$A:$A)=$C100)"),0.2)</f>
        <v>0.2</v>
      </c>
      <c r="K100" s="141">
        <f>IFERROR(__xludf.DUMMYFUNCTION("filter('# Encargos folha'!F:F,MONTH('# Encargos folha'!$A:$A)=$C100)"),0.058)</f>
        <v>0.058</v>
      </c>
      <c r="L100" s="142">
        <f>IFERROR(__xludf.DUMMYFUNCTION("filter('# Encargos folha'!G:G,MONTH('# Encargos folha'!$A:$A)=$C100)"),0.015)</f>
        <v>0.015</v>
      </c>
      <c r="M100" s="142">
        <f>IFERROR(__xludf.DUMMYFUNCTION("filter('# Encargos folha'!H:H,MONTH('# Encargos folha'!$A:$A)=$C100)"),0.08)</f>
        <v>0.08</v>
      </c>
      <c r="N100" s="142">
        <f t="shared" si="2"/>
        <v>0.11275</v>
      </c>
      <c r="O100" s="142">
        <f t="shared" si="3"/>
        <v>0.1503332958</v>
      </c>
      <c r="P100" s="168">
        <f t="shared" si="1"/>
        <v>0.6160832958</v>
      </c>
      <c r="Q100" s="145">
        <f t="array" ref="Q100">IFERROR(DGET(Dias_íteis,$Q$1,{$C$1;C100}),"")</f>
        <v>21</v>
      </c>
      <c r="R100" s="169">
        <v>184.8</v>
      </c>
      <c r="S100" s="147">
        <f>IFERROR(__xludf.DUMMYFUNCTION("SUM(FILTER(Trabalho!$I$2:$I207,MONTH(Trabalho!$G$2:$G207)=C100,Trabalho!$B$2:$B207=B100,Trabalho!$A$2:$A207=A100))"),1.0)</f>
        <v>1</v>
      </c>
      <c r="T100" s="147">
        <f>IFERROR(__xludf.DUMMYFUNCTION("IFERROR(SUM(FILTER(Trabalho!$I$2:$I207,MONTH(Trabalho!$G$2:$G207)=C100,Trabalho!$B$2:$B207=B100,Trabalho!$J$2:$J207=TRUE,Trabalho!$K$2:$K207=TRUE, Trabalho!$A$2:$A207=A100)),0)"),0.0)</f>
        <v>0</v>
      </c>
      <c r="U100" s="170">
        <v>57.12259787791666</v>
      </c>
      <c r="V100" s="167">
        <v>0.0</v>
      </c>
    </row>
    <row r="101">
      <c r="A101" s="149" t="s">
        <v>267</v>
      </c>
      <c r="B101" s="149" t="s">
        <v>290</v>
      </c>
      <c r="C101" s="150">
        <v>10.0</v>
      </c>
      <c r="D101" s="151">
        <v>2025.0</v>
      </c>
      <c r="E101" s="149" t="s">
        <v>640</v>
      </c>
      <c r="F101" s="149" t="s">
        <v>66</v>
      </c>
      <c r="G101" s="152">
        <f>IFERROR(__xludf.DUMMYFUNCTION("IFERROR(filter(choosecols('# Salários'!$F:$Q,C101),'# Salários'!$C:$C=B101))"),6532.0)</f>
        <v>6532</v>
      </c>
      <c r="H101" s="153">
        <v>4209.1661168721</v>
      </c>
      <c r="I101" s="154">
        <v>10741.1661168721</v>
      </c>
      <c r="J101" s="155">
        <f>IFERROR(__xludf.DUMMYFUNCTION("filter('# Encargos folha'!E:E,MONTH('# Encargos folha'!$A:$A)=$C101)"),0.2)</f>
        <v>0.2</v>
      </c>
      <c r="K101" s="156">
        <f>IFERROR(__xludf.DUMMYFUNCTION("filter('# Encargos folha'!F:F,MONTH('# Encargos folha'!$A:$A)=$C101)"),0.058)</f>
        <v>0.058</v>
      </c>
      <c r="L101" s="157">
        <f>IFERROR(__xludf.DUMMYFUNCTION("filter('# Encargos folha'!G:G,MONTH('# Encargos folha'!$A:$A)=$C101)"),0.0387)</f>
        <v>0.0387</v>
      </c>
      <c r="M101" s="157">
        <f>IFERROR(__xludf.DUMMYFUNCTION("filter('# Encargos folha'!H:H,MONTH('# Encargos folha'!$A:$A)=$C101)"),0.08)</f>
        <v>0.08</v>
      </c>
      <c r="N101" s="157">
        <f t="shared" si="2"/>
        <v>0.114725</v>
      </c>
      <c r="O101" s="157">
        <f t="shared" si="3"/>
        <v>0.1529666284</v>
      </c>
      <c r="P101" s="158">
        <f t="shared" si="1"/>
        <v>0.6443916284</v>
      </c>
      <c r="Q101" s="159">
        <f t="array" ref="Q101">IFERROR(DGET(Dias_íteis,$Q$1,{$C$1;C101}),"")</f>
        <v>22</v>
      </c>
      <c r="R101" s="160">
        <v>193.60000000000002</v>
      </c>
      <c r="S101" s="161">
        <f>IFERROR(__xludf.DUMMYFUNCTION("SUM(FILTER(Trabalho!$I$2:$I207,MONTH(Trabalho!$G$2:$G207)=C101,Trabalho!$B$2:$B207=B101,Trabalho!$A$2:$A207=A101))"),3.0)</f>
        <v>3</v>
      </c>
      <c r="T101" s="161">
        <f>IFERROR(__xludf.DUMMYFUNCTION("IFERROR(SUM(FILTER(Trabalho!$I$2:$I207,MONTH(Trabalho!$G$2:$G207)=C101,Trabalho!$B$2:$B207=B101,Trabalho!$J$2:$J207=TRUE,Trabalho!$K$2:$K207=TRUE, Trabalho!$A$2:$A207=A101)),0)"),0.0)</f>
        <v>0</v>
      </c>
      <c r="U101" s="162">
        <v>55.481229942521175</v>
      </c>
      <c r="V101" s="154">
        <v>0.0</v>
      </c>
    </row>
    <row r="102">
      <c r="A102" s="164" t="s">
        <v>267</v>
      </c>
      <c r="B102" s="164" t="s">
        <v>290</v>
      </c>
      <c r="C102" s="165">
        <v>11.0</v>
      </c>
      <c r="D102" s="135">
        <v>2025.0</v>
      </c>
      <c r="E102" s="164" t="s">
        <v>640</v>
      </c>
      <c r="F102" s="164" t="s">
        <v>66</v>
      </c>
      <c r="G102" s="137">
        <f>IFERROR(__xludf.DUMMYFUNCTION("IFERROR(filter(choosecols('# Salários'!$F:$Q,C102),'# Salários'!$C:$C=B102))"),6532.0)</f>
        <v>6532</v>
      </c>
      <c r="H102" s="166">
        <v>4209.1661168721</v>
      </c>
      <c r="I102" s="167">
        <v>10741.1661168721</v>
      </c>
      <c r="J102" s="140">
        <f>IFERROR(__xludf.DUMMYFUNCTION("filter('# Encargos folha'!E:E,MONTH('# Encargos folha'!$A:$A)=$C102)"),0.2)</f>
        <v>0.2</v>
      </c>
      <c r="K102" s="141">
        <f>IFERROR(__xludf.DUMMYFUNCTION("filter('# Encargos folha'!F:F,MONTH('# Encargos folha'!$A:$A)=$C102)"),0.058)</f>
        <v>0.058</v>
      </c>
      <c r="L102" s="142">
        <f>IFERROR(__xludf.DUMMYFUNCTION("filter('# Encargos folha'!G:G,MONTH('# Encargos folha'!$A:$A)=$C102)"),0.0387)</f>
        <v>0.0387</v>
      </c>
      <c r="M102" s="142">
        <f>IFERROR(__xludf.DUMMYFUNCTION("filter('# Encargos folha'!H:H,MONTH('# Encargos folha'!$A:$A)=$C102)"),0.08)</f>
        <v>0.08</v>
      </c>
      <c r="N102" s="142">
        <f t="shared" si="2"/>
        <v>0.114725</v>
      </c>
      <c r="O102" s="142">
        <f t="shared" si="3"/>
        <v>0.1529666284</v>
      </c>
      <c r="P102" s="168">
        <f t="shared" si="1"/>
        <v>0.6443916284</v>
      </c>
      <c r="Q102" s="145">
        <f t="array" ref="Q102">IFERROR(DGET(Dias_íteis,$Q$1,{$C$1;C102}),"")</f>
        <v>19</v>
      </c>
      <c r="R102" s="169">
        <v>167.20000000000002</v>
      </c>
      <c r="S102" s="147">
        <f>IFERROR(__xludf.DUMMYFUNCTION("SUM(FILTER(Trabalho!$I$2:$I207,MONTH(Trabalho!$G$2:$G207)=C102,Trabalho!$B$2:$B207=B102,Trabalho!$A$2:$A207=A102))"),8.0)</f>
        <v>8</v>
      </c>
      <c r="T102" s="147">
        <f>IFERROR(__xludf.DUMMYFUNCTION("IFERROR(SUM(FILTER(Trabalho!$I$2:$I207,MONTH(Trabalho!$G$2:$G207)=C102,Trabalho!$B$2:$B207=B102,Trabalho!$J$2:$J207=TRUE,Trabalho!$K$2:$K207=TRUE, Trabalho!$A$2:$A207=A102)),0)"),0.0)</f>
        <v>0</v>
      </c>
      <c r="U102" s="170">
        <v>64.24142414397188</v>
      </c>
      <c r="V102" s="167">
        <v>0.0</v>
      </c>
    </row>
    <row r="103">
      <c r="A103" s="149" t="s">
        <v>267</v>
      </c>
      <c r="B103" s="149" t="s">
        <v>290</v>
      </c>
      <c r="C103" s="150">
        <v>12.0</v>
      </c>
      <c r="D103" s="151">
        <v>2025.0</v>
      </c>
      <c r="E103" s="149" t="s">
        <v>640</v>
      </c>
      <c r="F103" s="149" t="s">
        <v>66</v>
      </c>
      <c r="G103" s="152">
        <f>IFERROR(__xludf.DUMMYFUNCTION("IFERROR(filter(choosecols('# Salários'!$F:$Q,C103),'# Salários'!$C:$C=B103))"),6532.0)</f>
        <v>6532</v>
      </c>
      <c r="H103" s="153">
        <v>4209.1661168721</v>
      </c>
      <c r="I103" s="154">
        <v>10741.1661168721</v>
      </c>
      <c r="J103" s="155">
        <f>IFERROR(__xludf.DUMMYFUNCTION("filter('# Encargos folha'!E:E,MONTH('# Encargos folha'!$A:$A)=$C103)"),0.2)</f>
        <v>0.2</v>
      </c>
      <c r="K103" s="156">
        <f>IFERROR(__xludf.DUMMYFUNCTION("filter('# Encargos folha'!F:F,MONTH('# Encargos folha'!$A:$A)=$C103)"),0.058)</f>
        <v>0.058</v>
      </c>
      <c r="L103" s="157">
        <f>IFERROR(__xludf.DUMMYFUNCTION("filter('# Encargos folha'!G:G,MONTH('# Encargos folha'!$A:$A)=$C103)"),0.0387)</f>
        <v>0.0387</v>
      </c>
      <c r="M103" s="157">
        <f>IFERROR(__xludf.DUMMYFUNCTION("filter('# Encargos folha'!H:H,MONTH('# Encargos folha'!$A:$A)=$C103)"),0.08)</f>
        <v>0.08</v>
      </c>
      <c r="N103" s="157">
        <f t="shared" si="2"/>
        <v>0.114725</v>
      </c>
      <c r="O103" s="157">
        <f t="shared" si="3"/>
        <v>0.1529666284</v>
      </c>
      <c r="P103" s="158">
        <f t="shared" si="1"/>
        <v>0.6443916284</v>
      </c>
      <c r="Q103" s="159">
        <f t="array" ref="Q103">IFERROR(DGET(Dias_íteis,$Q$1,{$C$1;C103}),"")</f>
        <v>22</v>
      </c>
      <c r="R103" s="160">
        <v>193.60000000000002</v>
      </c>
      <c r="S103" s="161">
        <f>IFERROR(__xludf.DUMMYFUNCTION("SUM(FILTER(Trabalho!$I$2:$I207,MONTH(Trabalho!$G$2:$G207)=C103,Trabalho!$B$2:$B207=B103,Trabalho!$A$2:$A207=A103))"),8.0)</f>
        <v>8</v>
      </c>
      <c r="T103" s="161">
        <f>IFERROR(__xludf.DUMMYFUNCTION("IFERROR(SUM(FILTER(Trabalho!$I$2:$I207,MONTH(Trabalho!$G$2:$G207)=C103,Trabalho!$B$2:$B207=B103,Trabalho!$J$2:$J207=TRUE,Trabalho!$K$2:$K207=TRUE, Trabalho!$A$2:$A207=A103)),0)"),0.0)</f>
        <v>0</v>
      </c>
      <c r="U103" s="162">
        <v>55.481229942521175</v>
      </c>
      <c r="V103" s="154">
        <v>0.0</v>
      </c>
    </row>
    <row r="104">
      <c r="A104" s="164" t="s">
        <v>267</v>
      </c>
      <c r="B104" s="164" t="s">
        <v>406</v>
      </c>
      <c r="C104" s="165">
        <v>7.0</v>
      </c>
      <c r="D104" s="135">
        <v>2025.0</v>
      </c>
      <c r="E104" s="164" t="s">
        <v>636</v>
      </c>
      <c r="F104" s="164" t="s">
        <v>68</v>
      </c>
      <c r="G104" s="137">
        <f>IFERROR(__xludf.DUMMYFUNCTION("IFERROR(filter(choosecols('# Salários'!$F:$Q,C104),'# Salários'!$C:$C=B104))"),5286.0)</f>
        <v>5286</v>
      </c>
      <c r="H104" s="166">
        <v>3256.6163013345</v>
      </c>
      <c r="I104" s="167">
        <v>8542.6163013345</v>
      </c>
      <c r="J104" s="140">
        <f>IFERROR(__xludf.DUMMYFUNCTION("filter('# Encargos folha'!E:E,MONTH('# Encargos folha'!$A:$A)=$C104)"),0.2)</f>
        <v>0.2</v>
      </c>
      <c r="K104" s="141">
        <f>IFERROR(__xludf.DUMMYFUNCTION("filter('# Encargos folha'!F:F,MONTH('# Encargos folha'!$A:$A)=$C104)"),0.058)</f>
        <v>0.058</v>
      </c>
      <c r="L104" s="142">
        <f>IFERROR(__xludf.DUMMYFUNCTION("filter('# Encargos folha'!G:G,MONTH('# Encargos folha'!$A:$A)=$C104)"),0.015)</f>
        <v>0.015</v>
      </c>
      <c r="M104" s="142">
        <f>IFERROR(__xludf.DUMMYFUNCTION("filter('# Encargos folha'!H:H,MONTH('# Encargos folha'!$A:$A)=$C104)"),0.08)</f>
        <v>0.08</v>
      </c>
      <c r="N104" s="142">
        <f t="shared" si="2"/>
        <v>0.11275</v>
      </c>
      <c r="O104" s="142">
        <f t="shared" si="3"/>
        <v>0.1503332958</v>
      </c>
      <c r="P104" s="168">
        <f t="shared" si="1"/>
        <v>0.6160832958</v>
      </c>
      <c r="Q104" s="145">
        <f t="array" ref="Q104">IFERROR(DGET(Dias_íteis,$Q$1,{$C$1;C104}),"")</f>
        <v>23</v>
      </c>
      <c r="R104" s="169">
        <v>202.4</v>
      </c>
      <c r="S104" s="147">
        <f>IFERROR(__xludf.DUMMYFUNCTION("SUM(FILTER(Trabalho!$I$2:$I207,MONTH(Trabalho!$G$2:$G207)=C104,Trabalho!$B$2:$B207=B104,Trabalho!$A$2:$A207=A104))"),15.0)</f>
        <v>15</v>
      </c>
      <c r="T104" s="147">
        <f>IFERROR(__xludf.DUMMYFUNCTION("IFERROR(SUM(FILTER(Trabalho!$I$2:$I207,MONTH(Trabalho!$G$2:$G207)=C104,Trabalho!$B$2:$B207=B104,Trabalho!$J$2:$J207=TRUE,Trabalho!$K$2:$K207=TRUE, Trabalho!$A$2:$A207=A104)),0)"),0.0)</f>
        <v>0</v>
      </c>
      <c r="U104" s="170">
        <v>42.20660227932065</v>
      </c>
      <c r="V104" s="167">
        <v>0.0</v>
      </c>
    </row>
    <row r="105">
      <c r="A105" s="149" t="s">
        <v>267</v>
      </c>
      <c r="B105" s="149" t="s">
        <v>406</v>
      </c>
      <c r="C105" s="150">
        <v>8.0</v>
      </c>
      <c r="D105" s="151">
        <v>2025.0</v>
      </c>
      <c r="E105" s="149" t="s">
        <v>636</v>
      </c>
      <c r="F105" s="149" t="s">
        <v>68</v>
      </c>
      <c r="G105" s="152">
        <f>IFERROR(__xludf.DUMMYFUNCTION("IFERROR(filter(choosecols('# Salários'!$F:$Q,C105),'# Salários'!$C:$C=B105))"),5286.0)</f>
        <v>5286</v>
      </c>
      <c r="H105" s="153">
        <v>3256.6163013345</v>
      </c>
      <c r="I105" s="154">
        <v>8542.6163013345</v>
      </c>
      <c r="J105" s="155">
        <f>IFERROR(__xludf.DUMMYFUNCTION("filter('# Encargos folha'!E:E,MONTH('# Encargos folha'!$A:$A)=$C105)"),0.2)</f>
        <v>0.2</v>
      </c>
      <c r="K105" s="156">
        <f>IFERROR(__xludf.DUMMYFUNCTION("filter('# Encargos folha'!F:F,MONTH('# Encargos folha'!$A:$A)=$C105)"),0.058)</f>
        <v>0.058</v>
      </c>
      <c r="L105" s="157">
        <f>IFERROR(__xludf.DUMMYFUNCTION("filter('# Encargos folha'!G:G,MONTH('# Encargos folha'!$A:$A)=$C105)"),0.015)</f>
        <v>0.015</v>
      </c>
      <c r="M105" s="157">
        <f>IFERROR(__xludf.DUMMYFUNCTION("filter('# Encargos folha'!H:H,MONTH('# Encargos folha'!$A:$A)=$C105)"),0.08)</f>
        <v>0.08</v>
      </c>
      <c r="N105" s="157">
        <f t="shared" si="2"/>
        <v>0.11275</v>
      </c>
      <c r="O105" s="157">
        <f t="shared" si="3"/>
        <v>0.1503332958</v>
      </c>
      <c r="P105" s="158">
        <f t="shared" si="1"/>
        <v>0.6160832958</v>
      </c>
      <c r="Q105" s="159">
        <f t="array" ref="Q105">IFERROR(DGET(Dias_íteis,$Q$1,{$C$1;C105}),"")</f>
        <v>21</v>
      </c>
      <c r="R105" s="160">
        <v>184.8</v>
      </c>
      <c r="S105" s="161">
        <f>IFERROR(__xludf.DUMMYFUNCTION("SUM(FILTER(Trabalho!$I$2:$I207,MONTH(Trabalho!$G$2:$G207)=C105,Trabalho!$B$2:$B207=B105,Trabalho!$A$2:$A207=A105))"),3.0)</f>
        <v>3</v>
      </c>
      <c r="T105" s="161">
        <f>IFERROR(__xludf.DUMMYFUNCTION("IFERROR(SUM(FILTER(Trabalho!$I$2:$I207,MONTH(Trabalho!$G$2:$G207)=C105,Trabalho!$B$2:$B207=B105,Trabalho!$J$2:$J207=TRUE,Trabalho!$K$2:$K207=TRUE, Trabalho!$A$2:$A207=A105)),0)"),0.0)</f>
        <v>0</v>
      </c>
      <c r="U105" s="162">
        <v>46.22627868687499</v>
      </c>
      <c r="V105" s="154">
        <v>0.0</v>
      </c>
    </row>
    <row r="106">
      <c r="A106" s="164" t="s">
        <v>267</v>
      </c>
      <c r="B106" s="171" t="s">
        <v>406</v>
      </c>
      <c r="C106" s="165">
        <v>9.0</v>
      </c>
      <c r="D106" s="135">
        <v>2025.0</v>
      </c>
      <c r="E106" s="164" t="s">
        <v>636</v>
      </c>
      <c r="F106" s="164" t="s">
        <v>68</v>
      </c>
      <c r="G106" s="137">
        <f>IFERROR(__xludf.DUMMYFUNCTION("IFERROR(filter(choosecols('# Salários'!$F:$Q,C106),'# Salários'!$C:$C=B106))"),5286.0)</f>
        <v>5286</v>
      </c>
      <c r="H106" s="166">
        <v>3256.6163013345</v>
      </c>
      <c r="I106" s="167">
        <v>8542.6163013345</v>
      </c>
      <c r="J106" s="140">
        <f>IFERROR(__xludf.DUMMYFUNCTION("filter('# Encargos folha'!E:E,MONTH('# Encargos folha'!$A:$A)=$C106)"),0.2)</f>
        <v>0.2</v>
      </c>
      <c r="K106" s="141">
        <f>IFERROR(__xludf.DUMMYFUNCTION("filter('# Encargos folha'!F:F,MONTH('# Encargos folha'!$A:$A)=$C106)"),0.058)</f>
        <v>0.058</v>
      </c>
      <c r="L106" s="142">
        <f>IFERROR(__xludf.DUMMYFUNCTION("filter('# Encargos folha'!G:G,MONTH('# Encargos folha'!$A:$A)=$C106)"),0.015)</f>
        <v>0.015</v>
      </c>
      <c r="M106" s="142">
        <f>IFERROR(__xludf.DUMMYFUNCTION("filter('# Encargos folha'!H:H,MONTH('# Encargos folha'!$A:$A)=$C106)"),0.08)</f>
        <v>0.08</v>
      </c>
      <c r="N106" s="142">
        <f t="shared" si="2"/>
        <v>0.11275</v>
      </c>
      <c r="O106" s="142">
        <f t="shared" si="3"/>
        <v>0.1503332958</v>
      </c>
      <c r="P106" s="168">
        <f t="shared" si="1"/>
        <v>0.6160832958</v>
      </c>
      <c r="Q106" s="145">
        <f t="array" ref="Q106">IFERROR(DGET(Dias_íteis,$Q$1,{$C$1;C106}),"")</f>
        <v>21</v>
      </c>
      <c r="R106" s="169">
        <v>184.8</v>
      </c>
      <c r="S106" s="147">
        <f>IFERROR(__xludf.DUMMYFUNCTION("SUM(FILTER(Trabalho!$I$2:$I207,MONTH(Trabalho!$G$2:$G207)=C106,Trabalho!$B$2:$B207=B106,Trabalho!$A$2:$A207=A106))"),1.0)</f>
        <v>1</v>
      </c>
      <c r="T106" s="147">
        <f>IFERROR(__xludf.DUMMYFUNCTION("IFERROR(SUM(FILTER(Trabalho!$I$2:$I207,MONTH(Trabalho!$G$2:$G207)=C106,Trabalho!$B$2:$B207=B106,Trabalho!$J$2:$J207=TRUE,Trabalho!$K$2:$K207=TRUE, Trabalho!$A$2:$A207=A106)),0)"),0.0)</f>
        <v>0</v>
      </c>
      <c r="U106" s="170">
        <v>46.22627868687499</v>
      </c>
      <c r="V106" s="167">
        <v>0.0</v>
      </c>
    </row>
    <row r="107">
      <c r="A107" s="149" t="s">
        <v>267</v>
      </c>
      <c r="B107" s="149" t="s">
        <v>406</v>
      </c>
      <c r="C107" s="150">
        <v>10.0</v>
      </c>
      <c r="D107" s="151">
        <v>2025.0</v>
      </c>
      <c r="E107" s="149" t="s">
        <v>636</v>
      </c>
      <c r="F107" s="149" t="s">
        <v>68</v>
      </c>
      <c r="G107" s="152">
        <f>IFERROR(__xludf.DUMMYFUNCTION("IFERROR(filter(choosecols('# Salários'!$F:$Q,C107),'# Salários'!$C:$C=B107))"),5286.0)</f>
        <v>5286</v>
      </c>
      <c r="H107" s="153">
        <v>3406.25414785455</v>
      </c>
      <c r="I107" s="154">
        <v>8692.25414785455</v>
      </c>
      <c r="J107" s="155">
        <f>IFERROR(__xludf.DUMMYFUNCTION("filter('# Encargos folha'!E:E,MONTH('# Encargos folha'!$A:$A)=$C107)"),0.2)</f>
        <v>0.2</v>
      </c>
      <c r="K107" s="156">
        <f>IFERROR(__xludf.DUMMYFUNCTION("filter('# Encargos folha'!F:F,MONTH('# Encargos folha'!$A:$A)=$C107)"),0.058)</f>
        <v>0.058</v>
      </c>
      <c r="L107" s="157">
        <f>IFERROR(__xludf.DUMMYFUNCTION("filter('# Encargos folha'!G:G,MONTH('# Encargos folha'!$A:$A)=$C107)"),0.0387)</f>
        <v>0.0387</v>
      </c>
      <c r="M107" s="157">
        <f>IFERROR(__xludf.DUMMYFUNCTION("filter('# Encargos folha'!H:H,MONTH('# Encargos folha'!$A:$A)=$C107)"),0.08)</f>
        <v>0.08</v>
      </c>
      <c r="N107" s="157">
        <f t="shared" si="2"/>
        <v>0.114725</v>
      </c>
      <c r="O107" s="157">
        <f t="shared" si="3"/>
        <v>0.1529666284</v>
      </c>
      <c r="P107" s="158">
        <f t="shared" si="1"/>
        <v>0.6443916284</v>
      </c>
      <c r="Q107" s="159">
        <f t="array" ref="Q107">IFERROR(DGET(Dias_íteis,$Q$1,{$C$1;C107}),"")</f>
        <v>22</v>
      </c>
      <c r="R107" s="160">
        <v>193.60000000000002</v>
      </c>
      <c r="S107" s="161">
        <f>IFERROR(__xludf.DUMMYFUNCTION("SUM(FILTER(Trabalho!$I$2:$I207,MONTH(Trabalho!$G$2:$G207)=C107,Trabalho!$B$2:$B207=B107,Trabalho!$A$2:$A207=A107))"),2.0)</f>
        <v>2</v>
      </c>
      <c r="T107" s="161">
        <f>IFERROR(__xludf.DUMMYFUNCTION("IFERROR(SUM(FILTER(Trabalho!$I$2:$I207,MONTH(Trabalho!$G$2:$G207)=C107,Trabalho!$B$2:$B207=B107,Trabalho!$J$2:$J207=TRUE,Trabalho!$K$2:$K207=TRUE, Trabalho!$A$2:$A207=A107)),0)"),0.0)</f>
        <v>0</v>
      </c>
      <c r="U107" s="162">
        <v>44.89800696205862</v>
      </c>
      <c r="V107" s="154">
        <v>0.0</v>
      </c>
    </row>
    <row r="108">
      <c r="A108" s="164" t="s">
        <v>267</v>
      </c>
      <c r="B108" s="164" t="s">
        <v>319</v>
      </c>
      <c r="C108" s="165">
        <v>1.0</v>
      </c>
      <c r="D108" s="135">
        <v>2025.0</v>
      </c>
      <c r="E108" s="164" t="s">
        <v>639</v>
      </c>
      <c r="F108" s="164" t="s">
        <v>638</v>
      </c>
      <c r="G108" s="137">
        <f>IFERROR(__xludf.DUMMYFUNCTION("IFERROR(filter(choosecols('# Salários'!$F:$Q,C108),'# Salários'!$C:$C=B108))"),5481.24)</f>
        <v>5481.24</v>
      </c>
      <c r="H108" s="166">
        <v>3475.10595171288</v>
      </c>
      <c r="I108" s="167">
        <v>8956.34595171288</v>
      </c>
      <c r="J108" s="140">
        <f>IFERROR(__xludf.DUMMYFUNCTION("filter('# Encargos folha'!E:E,MONTH('# Encargos folha'!$A:$A)=$C108)"),0.2)</f>
        <v>0.2</v>
      </c>
      <c r="K108" s="141">
        <f>IFERROR(__xludf.DUMMYFUNCTION("filter('# Encargos folha'!F:F,MONTH('# Encargos folha'!$A:$A)=$C108)"),0.058)</f>
        <v>0.058</v>
      </c>
      <c r="L108" s="142">
        <f>IFERROR(__xludf.DUMMYFUNCTION("filter('# Encargos folha'!G:G,MONTH('# Encargos folha'!$A:$A)=$C108)"),0.03)</f>
        <v>0.03</v>
      </c>
      <c r="M108" s="142">
        <f>IFERROR(__xludf.DUMMYFUNCTION("filter('# Encargos folha'!H:H,MONTH('# Encargos folha'!$A:$A)=$C108)"),0.08)</f>
        <v>0.08</v>
      </c>
      <c r="N108" s="142">
        <f t="shared" si="2"/>
        <v>0.114</v>
      </c>
      <c r="O108" s="142">
        <f t="shared" si="3"/>
        <v>0.151999962</v>
      </c>
      <c r="P108" s="168">
        <f t="shared" si="1"/>
        <v>0.633999962</v>
      </c>
      <c r="Q108" s="145">
        <f t="array" ref="Q108">IFERROR(DGET(Dias_íteis,$Q$1,{$C$1;C108}),"")</f>
        <v>22</v>
      </c>
      <c r="R108" s="169">
        <v>193.60000000000002</v>
      </c>
      <c r="S108" s="147">
        <f>IFERROR(__xludf.DUMMYFUNCTION("SUM(FILTER(Trabalho!$I$2:$I207,MONTH(Trabalho!$G$2:$G207)=C108,Trabalho!$B$2:$B207=B108,Trabalho!$A$2:$A207=A108))"),13.0)</f>
        <v>13</v>
      </c>
      <c r="T108" s="147">
        <f>IFERROR(__xludf.DUMMYFUNCTION("IFERROR(SUM(FILTER(Trabalho!$I$2:$I207,MONTH(Trabalho!$G$2:$G207)=C108,Trabalho!$B$2:$B207=B108,Trabalho!$J$2:$J207=TRUE,Trabalho!$K$2:$K207=TRUE, Trabalho!$A$2:$A207=A108)),0)"),0.0)</f>
        <v>0</v>
      </c>
      <c r="U108" s="170">
        <v>46.26211751917809</v>
      </c>
      <c r="V108" s="167">
        <v>0.0</v>
      </c>
    </row>
    <row r="109">
      <c r="A109" s="149" t="s">
        <v>267</v>
      </c>
      <c r="B109" s="149" t="s">
        <v>319</v>
      </c>
      <c r="C109" s="150">
        <v>2.0</v>
      </c>
      <c r="D109" s="151">
        <v>2025.0</v>
      </c>
      <c r="E109" s="149" t="s">
        <v>639</v>
      </c>
      <c r="F109" s="149" t="s">
        <v>638</v>
      </c>
      <c r="G109" s="152">
        <f>IFERROR(__xludf.DUMMYFUNCTION("IFERROR(filter(choosecols('# Salários'!$F:$Q,C109),'# Salários'!$C:$C=B109))"),5481.24)</f>
        <v>5481.24</v>
      </c>
      <c r="H109" s="153">
        <v>3475.10595171288</v>
      </c>
      <c r="I109" s="154">
        <v>8956.34595171288</v>
      </c>
      <c r="J109" s="155">
        <f>IFERROR(__xludf.DUMMYFUNCTION("filter('# Encargos folha'!E:E,MONTH('# Encargos folha'!$A:$A)=$C109)"),0.2)</f>
        <v>0.2</v>
      </c>
      <c r="K109" s="156">
        <f>IFERROR(__xludf.DUMMYFUNCTION("filter('# Encargos folha'!F:F,MONTH('# Encargos folha'!$A:$A)=$C109)"),0.058)</f>
        <v>0.058</v>
      </c>
      <c r="L109" s="157">
        <f>IFERROR(__xludf.DUMMYFUNCTION("filter('# Encargos folha'!G:G,MONTH('# Encargos folha'!$A:$A)=$C109)"),0.03)</f>
        <v>0.03</v>
      </c>
      <c r="M109" s="157">
        <f>IFERROR(__xludf.DUMMYFUNCTION("filter('# Encargos folha'!H:H,MONTH('# Encargos folha'!$A:$A)=$C109)"),0.08)</f>
        <v>0.08</v>
      </c>
      <c r="N109" s="157">
        <f t="shared" si="2"/>
        <v>0.114</v>
      </c>
      <c r="O109" s="157">
        <f t="shared" si="3"/>
        <v>0.151999962</v>
      </c>
      <c r="P109" s="158">
        <f t="shared" si="1"/>
        <v>0.633999962</v>
      </c>
      <c r="Q109" s="159">
        <f t="array" ref="Q109">IFERROR(DGET(Dias_íteis,$Q$1,{$C$1;C109}),"")</f>
        <v>19</v>
      </c>
      <c r="R109" s="160">
        <v>167.20000000000002</v>
      </c>
      <c r="S109" s="161">
        <f>IFERROR(__xludf.DUMMYFUNCTION("SUM(FILTER(Trabalho!$I$2:$I207,MONTH(Trabalho!$G$2:$G207)=C109,Trabalho!$B$2:$B207=B109,Trabalho!$A$2:$A207=A109))"),3.0)</f>
        <v>3</v>
      </c>
      <c r="T109" s="161">
        <f>IFERROR(__xludf.DUMMYFUNCTION("IFERROR(SUM(FILTER(Trabalho!$I$2:$I207,MONTH(Trabalho!$G$2:$G207)=C109,Trabalho!$B$2:$B207=B109,Trabalho!$J$2:$J207=TRUE,Trabalho!$K$2:$K207=TRUE, Trabalho!$A$2:$A207=A109)),0)"),0.0)</f>
        <v>0</v>
      </c>
      <c r="U109" s="162">
        <v>53.566662390627265</v>
      </c>
      <c r="V109" s="154">
        <v>0.0</v>
      </c>
    </row>
    <row r="110">
      <c r="A110" s="164" t="s">
        <v>267</v>
      </c>
      <c r="B110" s="164" t="s">
        <v>319</v>
      </c>
      <c r="C110" s="165">
        <v>3.0</v>
      </c>
      <c r="D110" s="135">
        <v>2025.0</v>
      </c>
      <c r="E110" s="164" t="s">
        <v>639</v>
      </c>
      <c r="F110" s="164" t="s">
        <v>638</v>
      </c>
      <c r="G110" s="137">
        <f>IFERROR(__xludf.DUMMYFUNCTION("IFERROR(filter(choosecols('# Salários'!$F:$Q,C110),'# Salários'!$C:$C=B110))"),5481.24)</f>
        <v>5481.24</v>
      </c>
      <c r="H110" s="166">
        <v>3475.10595171288</v>
      </c>
      <c r="I110" s="167">
        <v>8956.34595171288</v>
      </c>
      <c r="J110" s="140">
        <f>IFERROR(__xludf.DUMMYFUNCTION("filter('# Encargos folha'!E:E,MONTH('# Encargos folha'!$A:$A)=$C110)"),0.2)</f>
        <v>0.2</v>
      </c>
      <c r="K110" s="141">
        <f>IFERROR(__xludf.DUMMYFUNCTION("filter('# Encargos folha'!F:F,MONTH('# Encargos folha'!$A:$A)=$C110)"),0.058)</f>
        <v>0.058</v>
      </c>
      <c r="L110" s="142">
        <f>IFERROR(__xludf.DUMMYFUNCTION("filter('# Encargos folha'!G:G,MONTH('# Encargos folha'!$A:$A)=$C110)"),0.03)</f>
        <v>0.03</v>
      </c>
      <c r="M110" s="142">
        <f>IFERROR(__xludf.DUMMYFUNCTION("filter('# Encargos folha'!H:H,MONTH('# Encargos folha'!$A:$A)=$C110)"),0.08)</f>
        <v>0.08</v>
      </c>
      <c r="N110" s="142">
        <f t="shared" si="2"/>
        <v>0.114</v>
      </c>
      <c r="O110" s="142">
        <f t="shared" si="3"/>
        <v>0.151999962</v>
      </c>
      <c r="P110" s="168">
        <f t="shared" si="1"/>
        <v>0.633999962</v>
      </c>
      <c r="Q110" s="145">
        <f t="array" ref="Q110">IFERROR(DGET(Dias_íteis,$Q$1,{$C$1;C110}),"")</f>
        <v>18</v>
      </c>
      <c r="R110" s="169">
        <v>158.4</v>
      </c>
      <c r="S110" s="147">
        <f>IFERROR(__xludf.DUMMYFUNCTION("SUM(FILTER(Trabalho!$I$2:$I207,MONTH(Trabalho!$G$2:$G207)=C110,Trabalho!$B$2:$B207=B110,Trabalho!$A$2:$A207=A110))"),18.0)</f>
        <v>18</v>
      </c>
      <c r="T110" s="147">
        <f>IFERROR(__xludf.DUMMYFUNCTION("IFERROR(SUM(FILTER(Trabalho!$I$2:$I207,MONTH(Trabalho!$G$2:$G207)=C110,Trabalho!$B$2:$B207=B110,Trabalho!$J$2:$J207=TRUE,Trabalho!$K$2:$K207=TRUE, Trabalho!$A$2:$A207=A110)),0)"),0.0)</f>
        <v>0</v>
      </c>
      <c r="U110" s="170">
        <v>56.54258807899545</v>
      </c>
      <c r="V110" s="167">
        <v>0.0</v>
      </c>
    </row>
    <row r="111">
      <c r="A111" s="149" t="s">
        <v>143</v>
      </c>
      <c r="B111" s="149" t="s">
        <v>496</v>
      </c>
      <c r="C111" s="150">
        <v>9.0</v>
      </c>
      <c r="D111" s="151">
        <v>2025.0</v>
      </c>
      <c r="E111" s="149" t="s">
        <v>634</v>
      </c>
      <c r="F111" s="149" t="s">
        <v>66</v>
      </c>
      <c r="G111" s="152" t="str">
        <f>IFERROR(__xludf.DUMMYFUNCTION("IFERROR(filter(choosecols('# Salários'!$F:$Q,C111),'# Salários'!$C:$C=B111))"),"")</f>
        <v/>
      </c>
      <c r="H111" s="153">
        <v>0.0</v>
      </c>
      <c r="I111" s="154">
        <v>0.0</v>
      </c>
      <c r="J111" s="155">
        <f>IFERROR(__xludf.DUMMYFUNCTION("filter('# Encargos folha'!E:E,MONTH('# Encargos folha'!$A:$A)=$C111)"),0.2)</f>
        <v>0.2</v>
      </c>
      <c r="K111" s="156">
        <f>IFERROR(__xludf.DUMMYFUNCTION("filter('# Encargos folha'!F:F,MONTH('# Encargos folha'!$A:$A)=$C111)"),0.058)</f>
        <v>0.058</v>
      </c>
      <c r="L111" s="157">
        <f>IFERROR(__xludf.DUMMYFUNCTION("filter('# Encargos folha'!G:G,MONTH('# Encargos folha'!$A:$A)=$C111)"),0.015)</f>
        <v>0.015</v>
      </c>
      <c r="M111" s="157">
        <f>IFERROR(__xludf.DUMMYFUNCTION("filter('# Encargos folha'!H:H,MONTH('# Encargos folha'!$A:$A)=$C111)"),0.08)</f>
        <v>0.08</v>
      </c>
      <c r="N111" s="157">
        <f t="shared" si="2"/>
        <v>0.11275</v>
      </c>
      <c r="O111" s="157">
        <f t="shared" si="3"/>
        <v>0.1503332958</v>
      </c>
      <c r="P111" s="158">
        <f t="shared" si="1"/>
        <v>0.6160832958</v>
      </c>
      <c r="Q111" s="159">
        <f t="array" ref="Q111">IFERROR(DGET(Dias_íteis,$Q$1,{$C$1;C111}),"")</f>
        <v>21</v>
      </c>
      <c r="R111" s="160">
        <v>184.8</v>
      </c>
      <c r="S111" s="161">
        <f>IFERROR(__xludf.DUMMYFUNCTION("SUM(FILTER(Trabalho!$I$2:$I207,MONTH(Trabalho!$G$2:$G207)=C111,Trabalho!$B$2:$B207=B111,Trabalho!$A$2:$A207=A111))"),2.0)</f>
        <v>2</v>
      </c>
      <c r="T111" s="161">
        <f>IFERROR(__xludf.DUMMYFUNCTION("IFERROR(SUM(FILTER(Trabalho!$I$2:$I207,MONTH(Trabalho!$G$2:$G207)=C111,Trabalho!$B$2:$B207=B111,Trabalho!$J$2:$J207=TRUE,Trabalho!$K$2:$K207=TRUE, Trabalho!$A$2:$A207=A111)),0)"),2.0)</f>
        <v>2</v>
      </c>
      <c r="U111" s="162">
        <v>0.0</v>
      </c>
      <c r="V111" s="154">
        <v>0.0</v>
      </c>
    </row>
    <row r="112">
      <c r="A112" s="164" t="s">
        <v>150</v>
      </c>
      <c r="B112" s="164" t="s">
        <v>496</v>
      </c>
      <c r="C112" s="165">
        <v>8.0</v>
      </c>
      <c r="D112" s="135">
        <v>2025.0</v>
      </c>
      <c r="E112" s="164" t="s">
        <v>634</v>
      </c>
      <c r="F112" s="164" t="s">
        <v>66</v>
      </c>
      <c r="G112" s="137">
        <f>IFERROR(__xludf.DUMMYFUNCTION("IFERROR(filter(choosecols('# Salários'!$F:$Q,C112),'# Salários'!$C:$C=B112))"),7613.79)</f>
        <v>7613.79</v>
      </c>
      <c r="H112" s="166">
        <v>4690.728836348392</v>
      </c>
      <c r="I112" s="167">
        <v>12304.518836348392</v>
      </c>
      <c r="J112" s="140">
        <f>IFERROR(__xludf.DUMMYFUNCTION("filter('# Encargos folha'!E:E,MONTH('# Encargos folha'!$A:$A)=$C112)"),0.2)</f>
        <v>0.2</v>
      </c>
      <c r="K112" s="141">
        <f>IFERROR(__xludf.DUMMYFUNCTION("filter('# Encargos folha'!F:F,MONTH('# Encargos folha'!$A:$A)=$C112)"),0.058)</f>
        <v>0.058</v>
      </c>
      <c r="L112" s="142">
        <f>IFERROR(__xludf.DUMMYFUNCTION("filter('# Encargos folha'!G:G,MONTH('# Encargos folha'!$A:$A)=$C112)"),0.015)</f>
        <v>0.015</v>
      </c>
      <c r="M112" s="142">
        <f>IFERROR(__xludf.DUMMYFUNCTION("filter('# Encargos folha'!H:H,MONTH('# Encargos folha'!$A:$A)=$C112)"),0.08)</f>
        <v>0.08</v>
      </c>
      <c r="N112" s="142">
        <f t="shared" si="2"/>
        <v>0.11275</v>
      </c>
      <c r="O112" s="142">
        <f t="shared" si="3"/>
        <v>0.1503332958</v>
      </c>
      <c r="P112" s="168">
        <f t="shared" si="1"/>
        <v>0.6160832958</v>
      </c>
      <c r="Q112" s="145">
        <f t="array" ref="Q112">IFERROR(DGET(Dias_íteis,$Q$1,{$C$1;C112}),"")</f>
        <v>21</v>
      </c>
      <c r="R112" s="169">
        <v>184.8</v>
      </c>
      <c r="S112" s="147">
        <f>IFERROR(__xludf.DUMMYFUNCTION("SUM(FILTER(Trabalho!$I$2:$I207,MONTH(Trabalho!$G$2:$G207)=C112,Trabalho!$B$2:$B207=B112,Trabalho!$A$2:$A207=A112))"),4.0)</f>
        <v>4</v>
      </c>
      <c r="T112" s="147">
        <f>IFERROR(__xludf.DUMMYFUNCTION("IFERROR(SUM(FILTER(Trabalho!$I$2:$I207,MONTH(Trabalho!$G$2:$G207)=C112,Trabalho!$B$2:$B207=B112,Trabalho!$J$2:$J207=TRUE,Trabalho!$K$2:$K207=TRUE, Trabalho!$A$2:$A207=A112)),0)"),0.0)</f>
        <v>0</v>
      </c>
      <c r="U112" s="170">
        <v>66.58289413608436</v>
      </c>
      <c r="V112" s="167">
        <v>0.0</v>
      </c>
    </row>
    <row r="113">
      <c r="A113" s="149" t="s">
        <v>150</v>
      </c>
      <c r="B113" s="149" t="s">
        <v>496</v>
      </c>
      <c r="C113" s="150">
        <v>9.0</v>
      </c>
      <c r="D113" s="151">
        <v>2025.0</v>
      </c>
      <c r="E113" s="149" t="s">
        <v>634</v>
      </c>
      <c r="F113" s="149" t="s">
        <v>66</v>
      </c>
      <c r="G113" s="152" t="str">
        <f>IFERROR(__xludf.DUMMYFUNCTION("IFERROR(filter(choosecols('# Salários'!$F:$Q,C113),'# Salários'!$C:$C=B113))"),"")</f>
        <v/>
      </c>
      <c r="H113" s="153">
        <v>0.0</v>
      </c>
      <c r="I113" s="154">
        <v>0.0</v>
      </c>
      <c r="J113" s="155">
        <f>IFERROR(__xludf.DUMMYFUNCTION("filter('# Encargos folha'!E:E,MONTH('# Encargos folha'!$A:$A)=$C113)"),0.2)</f>
        <v>0.2</v>
      </c>
      <c r="K113" s="156">
        <f>IFERROR(__xludf.DUMMYFUNCTION("filter('# Encargos folha'!F:F,MONTH('# Encargos folha'!$A:$A)=$C113)"),0.058)</f>
        <v>0.058</v>
      </c>
      <c r="L113" s="157">
        <f>IFERROR(__xludf.DUMMYFUNCTION("filter('# Encargos folha'!G:G,MONTH('# Encargos folha'!$A:$A)=$C113)"),0.015)</f>
        <v>0.015</v>
      </c>
      <c r="M113" s="157">
        <f>IFERROR(__xludf.DUMMYFUNCTION("filter('# Encargos folha'!H:H,MONTH('# Encargos folha'!$A:$A)=$C113)"),0.08)</f>
        <v>0.08</v>
      </c>
      <c r="N113" s="157">
        <f t="shared" si="2"/>
        <v>0.11275</v>
      </c>
      <c r="O113" s="157">
        <f t="shared" si="3"/>
        <v>0.1503332958</v>
      </c>
      <c r="P113" s="158">
        <f t="shared" si="1"/>
        <v>0.6160832958</v>
      </c>
      <c r="Q113" s="159">
        <f t="array" ref="Q113">IFERROR(DGET(Dias_íteis,$Q$1,{$C$1;C113}),"")</f>
        <v>21</v>
      </c>
      <c r="R113" s="160">
        <v>184.8</v>
      </c>
      <c r="S113" s="161">
        <f>IFERROR(__xludf.DUMMYFUNCTION("SUM(FILTER(Trabalho!$I$2:$I207,MONTH(Trabalho!$G$2:$G207)=C113,Trabalho!$B$2:$B207=B113,Trabalho!$A$2:$A207=A113))"),7.0)</f>
        <v>7</v>
      </c>
      <c r="T113" s="161">
        <f>IFERROR(__xludf.DUMMYFUNCTION("IFERROR(SUM(FILTER(Trabalho!$I$2:$I207,MONTH(Trabalho!$G$2:$G207)=C113,Trabalho!$B$2:$B207=B113,Trabalho!$J$2:$J207=TRUE,Trabalho!$K$2:$K207=TRUE, Trabalho!$A$2:$A207=A113)),0)"),0.0)</f>
        <v>0</v>
      </c>
      <c r="U113" s="162">
        <v>0.0</v>
      </c>
      <c r="V113" s="154">
        <v>0.0</v>
      </c>
    </row>
    <row r="114">
      <c r="A114" s="164" t="s">
        <v>150</v>
      </c>
      <c r="B114" s="164" t="s">
        <v>406</v>
      </c>
      <c r="C114" s="165">
        <v>6.0</v>
      </c>
      <c r="D114" s="135">
        <v>2025.0</v>
      </c>
      <c r="E114" s="164" t="s">
        <v>636</v>
      </c>
      <c r="F114" s="164" t="s">
        <v>68</v>
      </c>
      <c r="G114" s="137">
        <f>IFERROR(__xludf.DUMMYFUNCTION("IFERROR(filter(choosecols('# Salários'!$F:$Q,C114),'# Salários'!$C:$C=B114))"),5236.51)</f>
        <v>5236.51</v>
      </c>
      <c r="H114" s="166">
        <v>3226.1263390278327</v>
      </c>
      <c r="I114" s="167">
        <v>8462.636339027833</v>
      </c>
      <c r="J114" s="140">
        <f>IFERROR(__xludf.DUMMYFUNCTION("filter('# Encargos folha'!E:E,MONTH('# Encargos folha'!$A:$A)=$C114)"),0.2)</f>
        <v>0.2</v>
      </c>
      <c r="K114" s="141">
        <f>IFERROR(__xludf.DUMMYFUNCTION("filter('# Encargos folha'!F:F,MONTH('# Encargos folha'!$A:$A)=$C114)"),0.058)</f>
        <v>0.058</v>
      </c>
      <c r="L114" s="142">
        <f>IFERROR(__xludf.DUMMYFUNCTION("filter('# Encargos folha'!G:G,MONTH('# Encargos folha'!$A:$A)=$C114)"),0.015)</f>
        <v>0.015</v>
      </c>
      <c r="M114" s="142">
        <f>IFERROR(__xludf.DUMMYFUNCTION("filter('# Encargos folha'!H:H,MONTH('# Encargos folha'!$A:$A)=$C114)"),0.08)</f>
        <v>0.08</v>
      </c>
      <c r="N114" s="142">
        <f t="shared" si="2"/>
        <v>0.11275</v>
      </c>
      <c r="O114" s="142">
        <f t="shared" si="3"/>
        <v>0.1503332958</v>
      </c>
      <c r="P114" s="168">
        <f t="shared" si="1"/>
        <v>0.6160832958</v>
      </c>
      <c r="Q114" s="145">
        <f t="array" ref="Q114">IFERROR(DGET(Dias_íteis,$Q$1,{$C$1;C114}),"")</f>
        <v>20</v>
      </c>
      <c r="R114" s="169">
        <v>176.0</v>
      </c>
      <c r="S114" s="147">
        <f>IFERROR(__xludf.DUMMYFUNCTION("SUM(FILTER(Trabalho!$I$2:$I207,MONTH(Trabalho!$G$2:$G207)=C114,Trabalho!$B$2:$B207=B114,Trabalho!$A$2:$A207=A114))"),4.0)</f>
        <v>4</v>
      </c>
      <c r="T114" s="147">
        <f>IFERROR(__xludf.DUMMYFUNCTION("IFERROR(SUM(FILTER(Trabalho!$I$2:$I207,MONTH(Trabalho!$G$2:$G207)=C114,Trabalho!$B$2:$B207=B114,Trabalho!$J$2:$J207=TRUE,Trabalho!$K$2:$K207=TRUE, Trabalho!$A$2:$A207=A114)),0)"),0.0)</f>
        <v>0</v>
      </c>
      <c r="U114" s="170">
        <v>48.083161017203594</v>
      </c>
      <c r="V114" s="167">
        <v>0.0</v>
      </c>
    </row>
    <row r="115">
      <c r="A115" s="149" t="s">
        <v>150</v>
      </c>
      <c r="B115" s="149" t="s">
        <v>406</v>
      </c>
      <c r="C115" s="150">
        <v>7.0</v>
      </c>
      <c r="D115" s="151">
        <v>2025.0</v>
      </c>
      <c r="E115" s="149" t="s">
        <v>636</v>
      </c>
      <c r="F115" s="149" t="s">
        <v>68</v>
      </c>
      <c r="G115" s="152">
        <f>IFERROR(__xludf.DUMMYFUNCTION("IFERROR(filter(choosecols('# Salários'!$F:$Q,C115),'# Salários'!$C:$C=B115))"),5286.0)</f>
        <v>5286</v>
      </c>
      <c r="H115" s="153">
        <v>3256.6163013345</v>
      </c>
      <c r="I115" s="154">
        <v>8542.6163013345</v>
      </c>
      <c r="J115" s="155">
        <f>IFERROR(__xludf.DUMMYFUNCTION("filter('# Encargos folha'!E:E,MONTH('# Encargos folha'!$A:$A)=$C115)"),0.2)</f>
        <v>0.2</v>
      </c>
      <c r="K115" s="156">
        <f>IFERROR(__xludf.DUMMYFUNCTION("filter('# Encargos folha'!F:F,MONTH('# Encargos folha'!$A:$A)=$C115)"),0.058)</f>
        <v>0.058</v>
      </c>
      <c r="L115" s="157">
        <f>IFERROR(__xludf.DUMMYFUNCTION("filter('# Encargos folha'!G:G,MONTH('# Encargos folha'!$A:$A)=$C115)"),0.015)</f>
        <v>0.015</v>
      </c>
      <c r="M115" s="157">
        <f>IFERROR(__xludf.DUMMYFUNCTION("filter('# Encargos folha'!H:H,MONTH('# Encargos folha'!$A:$A)=$C115)"),0.08)</f>
        <v>0.08</v>
      </c>
      <c r="N115" s="157">
        <f t="shared" si="2"/>
        <v>0.11275</v>
      </c>
      <c r="O115" s="157">
        <f t="shared" si="3"/>
        <v>0.1503332958</v>
      </c>
      <c r="P115" s="158">
        <f t="shared" si="1"/>
        <v>0.6160832958</v>
      </c>
      <c r="Q115" s="159">
        <f t="array" ref="Q115">IFERROR(DGET(Dias_íteis,$Q$1,{$C$1;C115}),"")</f>
        <v>23</v>
      </c>
      <c r="R115" s="160">
        <v>202.4</v>
      </c>
      <c r="S115" s="161">
        <f>IFERROR(__xludf.DUMMYFUNCTION("SUM(FILTER(Trabalho!$I$2:$I207,MONTH(Trabalho!$G$2:$G207)=C115,Trabalho!$B$2:$B207=B115,Trabalho!$A$2:$A207=A115))"),5.0)</f>
        <v>5</v>
      </c>
      <c r="T115" s="161">
        <f>IFERROR(__xludf.DUMMYFUNCTION("IFERROR(SUM(FILTER(Trabalho!$I$2:$I207,MONTH(Trabalho!$G$2:$G207)=C115,Trabalho!$B$2:$B207=B115,Trabalho!$J$2:$J207=TRUE,Trabalho!$K$2:$K207=TRUE, Trabalho!$A$2:$A207=A115)),0)"),0.0)</f>
        <v>0</v>
      </c>
      <c r="U115" s="162">
        <v>42.20660227932065</v>
      </c>
      <c r="V115" s="154">
        <v>0.0</v>
      </c>
    </row>
    <row r="116">
      <c r="A116" s="164" t="s">
        <v>150</v>
      </c>
      <c r="B116" s="164" t="s">
        <v>406</v>
      </c>
      <c r="C116" s="165">
        <v>8.0</v>
      </c>
      <c r="D116" s="135">
        <v>2025.0</v>
      </c>
      <c r="E116" s="164" t="s">
        <v>636</v>
      </c>
      <c r="F116" s="164" t="s">
        <v>68</v>
      </c>
      <c r="G116" s="137">
        <f>IFERROR(__xludf.DUMMYFUNCTION("IFERROR(filter(choosecols('# Salários'!$F:$Q,C116),'# Salários'!$C:$C=B116))"),5286.0)</f>
        <v>5286</v>
      </c>
      <c r="H116" s="166">
        <v>3256.6163013345</v>
      </c>
      <c r="I116" s="167">
        <v>8542.6163013345</v>
      </c>
      <c r="J116" s="140">
        <f>IFERROR(__xludf.DUMMYFUNCTION("filter('# Encargos folha'!E:E,MONTH('# Encargos folha'!$A:$A)=$C116)"),0.2)</f>
        <v>0.2</v>
      </c>
      <c r="K116" s="141">
        <f>IFERROR(__xludf.DUMMYFUNCTION("filter('# Encargos folha'!F:F,MONTH('# Encargos folha'!$A:$A)=$C116)"),0.058)</f>
        <v>0.058</v>
      </c>
      <c r="L116" s="142">
        <f>IFERROR(__xludf.DUMMYFUNCTION("filter('# Encargos folha'!G:G,MONTH('# Encargos folha'!$A:$A)=$C116)"),0.015)</f>
        <v>0.015</v>
      </c>
      <c r="M116" s="142">
        <f>IFERROR(__xludf.DUMMYFUNCTION("filter('# Encargos folha'!H:H,MONTH('# Encargos folha'!$A:$A)=$C116)"),0.08)</f>
        <v>0.08</v>
      </c>
      <c r="N116" s="142">
        <f t="shared" si="2"/>
        <v>0.11275</v>
      </c>
      <c r="O116" s="142">
        <f t="shared" si="3"/>
        <v>0.1503332958</v>
      </c>
      <c r="P116" s="168">
        <f t="shared" si="1"/>
        <v>0.6160832958</v>
      </c>
      <c r="Q116" s="145">
        <f t="array" ref="Q116">IFERROR(DGET(Dias_íteis,$Q$1,{$C$1;C116}),"")</f>
        <v>21</v>
      </c>
      <c r="R116" s="169">
        <v>184.8</v>
      </c>
      <c r="S116" s="147">
        <f>IFERROR(__xludf.DUMMYFUNCTION("SUM(FILTER(Trabalho!$I$2:$I207,MONTH(Trabalho!$G$2:$G207)=C116,Trabalho!$B$2:$B207=B116,Trabalho!$A$2:$A207=A116))"),5.0)</f>
        <v>5</v>
      </c>
      <c r="T116" s="147">
        <f>IFERROR(__xludf.DUMMYFUNCTION("IFERROR(SUM(FILTER(Trabalho!$I$2:$I207,MONTH(Trabalho!$G$2:$G207)=C116,Trabalho!$B$2:$B207=B116,Trabalho!$J$2:$J207=TRUE,Trabalho!$K$2:$K207=TRUE, Trabalho!$A$2:$A207=A116)),0)"),0.0)</f>
        <v>0</v>
      </c>
      <c r="U116" s="170">
        <v>46.22627868687499</v>
      </c>
      <c r="V116" s="167">
        <v>0.0</v>
      </c>
    </row>
    <row r="117">
      <c r="A117" s="149" t="s">
        <v>150</v>
      </c>
      <c r="B117" s="149" t="s">
        <v>406</v>
      </c>
      <c r="C117" s="150">
        <v>9.0</v>
      </c>
      <c r="D117" s="151">
        <v>2025.0</v>
      </c>
      <c r="E117" s="149" t="s">
        <v>636</v>
      </c>
      <c r="F117" s="149" t="s">
        <v>68</v>
      </c>
      <c r="G117" s="152">
        <f>IFERROR(__xludf.DUMMYFUNCTION("IFERROR(filter(choosecols('# Salários'!$F:$Q,C117),'# Salários'!$C:$C=B117))"),5286.0)</f>
        <v>5286</v>
      </c>
      <c r="H117" s="153">
        <v>3256.6163013345</v>
      </c>
      <c r="I117" s="154">
        <v>8542.6163013345</v>
      </c>
      <c r="J117" s="155">
        <f>IFERROR(__xludf.DUMMYFUNCTION("filter('# Encargos folha'!E:E,MONTH('# Encargos folha'!$A:$A)=$C117)"),0.2)</f>
        <v>0.2</v>
      </c>
      <c r="K117" s="156">
        <f>IFERROR(__xludf.DUMMYFUNCTION("filter('# Encargos folha'!F:F,MONTH('# Encargos folha'!$A:$A)=$C117)"),0.058)</f>
        <v>0.058</v>
      </c>
      <c r="L117" s="157">
        <f>IFERROR(__xludf.DUMMYFUNCTION("filter('# Encargos folha'!G:G,MONTH('# Encargos folha'!$A:$A)=$C117)"),0.015)</f>
        <v>0.015</v>
      </c>
      <c r="M117" s="157">
        <f>IFERROR(__xludf.DUMMYFUNCTION("filter('# Encargos folha'!H:H,MONTH('# Encargos folha'!$A:$A)=$C117)"),0.08)</f>
        <v>0.08</v>
      </c>
      <c r="N117" s="157">
        <f t="shared" si="2"/>
        <v>0.11275</v>
      </c>
      <c r="O117" s="157">
        <f t="shared" si="3"/>
        <v>0.1503332958</v>
      </c>
      <c r="P117" s="158">
        <f t="shared" si="1"/>
        <v>0.6160832958</v>
      </c>
      <c r="Q117" s="159">
        <f t="array" ref="Q117">IFERROR(DGET(Dias_íteis,$Q$1,{$C$1;C117}),"")</f>
        <v>21</v>
      </c>
      <c r="R117" s="160">
        <v>184.8</v>
      </c>
      <c r="S117" s="161">
        <f>IFERROR(__xludf.DUMMYFUNCTION("SUM(FILTER(Trabalho!$I$2:$I207,MONTH(Trabalho!$G$2:$G207)=C117,Trabalho!$B$2:$B207=B117,Trabalho!$A$2:$A207=A117))"),4.0)</f>
        <v>4</v>
      </c>
      <c r="T117" s="161">
        <f>IFERROR(__xludf.DUMMYFUNCTION("IFERROR(SUM(FILTER(Trabalho!$I$2:$I207,MONTH(Trabalho!$G$2:$G207)=C117,Trabalho!$B$2:$B207=B117,Trabalho!$J$2:$J207=TRUE,Trabalho!$K$2:$K207=TRUE, Trabalho!$A$2:$A207=A117)),0)"),0.0)</f>
        <v>0</v>
      </c>
      <c r="U117" s="162">
        <v>46.22627868687499</v>
      </c>
      <c r="V117" s="154">
        <v>0.0</v>
      </c>
    </row>
    <row r="118">
      <c r="A118" s="164" t="s">
        <v>150</v>
      </c>
      <c r="B118" s="164" t="s">
        <v>406</v>
      </c>
      <c r="C118" s="165">
        <v>10.0</v>
      </c>
      <c r="D118" s="135">
        <v>2025.0</v>
      </c>
      <c r="E118" s="164" t="s">
        <v>636</v>
      </c>
      <c r="F118" s="164" t="s">
        <v>68</v>
      </c>
      <c r="G118" s="137">
        <f>IFERROR(__xludf.DUMMYFUNCTION("IFERROR(filter(choosecols('# Salários'!$F:$Q,C118),'# Salários'!$C:$C=B118))"),5286.0)</f>
        <v>5286</v>
      </c>
      <c r="H118" s="166">
        <v>3406.25414785455</v>
      </c>
      <c r="I118" s="167">
        <v>8692.25414785455</v>
      </c>
      <c r="J118" s="140">
        <f>IFERROR(__xludf.DUMMYFUNCTION("filter('# Encargos folha'!E:E,MONTH('# Encargos folha'!$A:$A)=$C118)"),0.2)</f>
        <v>0.2</v>
      </c>
      <c r="K118" s="141">
        <f>IFERROR(__xludf.DUMMYFUNCTION("filter('# Encargos folha'!F:F,MONTH('# Encargos folha'!$A:$A)=$C118)"),0.058)</f>
        <v>0.058</v>
      </c>
      <c r="L118" s="142">
        <f>IFERROR(__xludf.DUMMYFUNCTION("filter('# Encargos folha'!G:G,MONTH('# Encargos folha'!$A:$A)=$C118)"),0.0387)</f>
        <v>0.0387</v>
      </c>
      <c r="M118" s="142">
        <f>IFERROR(__xludf.DUMMYFUNCTION("filter('# Encargos folha'!H:H,MONTH('# Encargos folha'!$A:$A)=$C118)"),0.08)</f>
        <v>0.08</v>
      </c>
      <c r="N118" s="142">
        <f t="shared" si="2"/>
        <v>0.114725</v>
      </c>
      <c r="O118" s="142">
        <f t="shared" si="3"/>
        <v>0.1529666284</v>
      </c>
      <c r="P118" s="168">
        <f t="shared" si="1"/>
        <v>0.6443916284</v>
      </c>
      <c r="Q118" s="145">
        <f t="array" ref="Q118">IFERROR(DGET(Dias_íteis,$Q$1,{$C$1;C118}),"")</f>
        <v>22</v>
      </c>
      <c r="R118" s="169">
        <v>193.60000000000002</v>
      </c>
      <c r="S118" s="147">
        <f>IFERROR(__xludf.DUMMYFUNCTION("SUM(FILTER(Trabalho!$I$2:$I207,MONTH(Trabalho!$G$2:$G207)=C118,Trabalho!$B$2:$B207=B118,Trabalho!$A$2:$A207=A118))"),2.0)</f>
        <v>2</v>
      </c>
      <c r="T118" s="147">
        <f>IFERROR(__xludf.DUMMYFUNCTION("IFERROR(SUM(FILTER(Trabalho!$I$2:$I207,MONTH(Trabalho!$G$2:$G207)=C118,Trabalho!$B$2:$B207=B118,Trabalho!$J$2:$J207=TRUE,Trabalho!$K$2:$K207=TRUE, Trabalho!$A$2:$A207=A118)),0)"),0.0)</f>
        <v>0</v>
      </c>
      <c r="U118" s="170">
        <v>44.89800696205862</v>
      </c>
      <c r="V118" s="167">
        <v>0.0</v>
      </c>
    </row>
    <row r="119">
      <c r="A119" s="149" t="s">
        <v>150</v>
      </c>
      <c r="B119" s="149" t="s">
        <v>406</v>
      </c>
      <c r="C119" s="150">
        <v>11.0</v>
      </c>
      <c r="D119" s="151">
        <v>2025.0</v>
      </c>
      <c r="E119" s="149" t="s">
        <v>636</v>
      </c>
      <c r="F119" s="149" t="s">
        <v>68</v>
      </c>
      <c r="G119" s="152">
        <f>IFERROR(__xludf.DUMMYFUNCTION("IFERROR(filter(choosecols('# Salários'!$F:$Q,C119),'# Salários'!$C:$C=B119))"),5286.0)</f>
        <v>5286</v>
      </c>
      <c r="H119" s="153">
        <v>3406.25414785455</v>
      </c>
      <c r="I119" s="154">
        <v>8692.25414785455</v>
      </c>
      <c r="J119" s="155">
        <f>IFERROR(__xludf.DUMMYFUNCTION("filter('# Encargos folha'!E:E,MONTH('# Encargos folha'!$A:$A)=$C119)"),0.2)</f>
        <v>0.2</v>
      </c>
      <c r="K119" s="156">
        <f>IFERROR(__xludf.DUMMYFUNCTION("filter('# Encargos folha'!F:F,MONTH('# Encargos folha'!$A:$A)=$C119)"),0.058)</f>
        <v>0.058</v>
      </c>
      <c r="L119" s="157">
        <f>IFERROR(__xludf.DUMMYFUNCTION("filter('# Encargos folha'!G:G,MONTH('# Encargos folha'!$A:$A)=$C119)"),0.0387)</f>
        <v>0.0387</v>
      </c>
      <c r="M119" s="157">
        <f>IFERROR(__xludf.DUMMYFUNCTION("filter('# Encargos folha'!H:H,MONTH('# Encargos folha'!$A:$A)=$C119)"),0.08)</f>
        <v>0.08</v>
      </c>
      <c r="N119" s="157">
        <f t="shared" si="2"/>
        <v>0.114725</v>
      </c>
      <c r="O119" s="157">
        <f t="shared" si="3"/>
        <v>0.1529666284</v>
      </c>
      <c r="P119" s="158">
        <f t="shared" si="1"/>
        <v>0.6443916284</v>
      </c>
      <c r="Q119" s="159">
        <f t="array" ref="Q119">IFERROR(DGET(Dias_íteis,$Q$1,{$C$1;C119}),"")</f>
        <v>19</v>
      </c>
      <c r="R119" s="160">
        <v>167.20000000000002</v>
      </c>
      <c r="S119" s="161">
        <f>IFERROR(__xludf.DUMMYFUNCTION("SUM(FILTER(Trabalho!$I$2:$I207,MONTH(Trabalho!$G$2:$G207)=C119,Trabalho!$B$2:$B207=B119,Trabalho!$A$2:$A207=A119))"),9.0)</f>
        <v>9</v>
      </c>
      <c r="T119" s="161">
        <f>IFERROR(__xludf.DUMMYFUNCTION("IFERROR(SUM(FILTER(Trabalho!$I$2:$I207,MONTH(Trabalho!$G$2:$G207)=C119,Trabalho!$B$2:$B207=B119,Trabalho!$J$2:$J207=TRUE,Trabalho!$K$2:$K207=TRUE, Trabalho!$A$2:$A207=A119)),0)"),0.0)</f>
        <v>0</v>
      </c>
      <c r="U119" s="162">
        <v>51.98716595606788</v>
      </c>
      <c r="V119" s="154">
        <v>0.0</v>
      </c>
    </row>
    <row r="120">
      <c r="A120" s="164" t="s">
        <v>150</v>
      </c>
      <c r="B120" s="164" t="s">
        <v>406</v>
      </c>
      <c r="C120" s="165">
        <v>12.0</v>
      </c>
      <c r="D120" s="135">
        <v>2025.0</v>
      </c>
      <c r="E120" s="164" t="s">
        <v>636</v>
      </c>
      <c r="F120" s="164" t="s">
        <v>68</v>
      </c>
      <c r="G120" s="137">
        <f>IFERROR(__xludf.DUMMYFUNCTION("IFERROR(filter(choosecols('# Salários'!$F:$Q,C120),'# Salários'!$C:$C=B120))"),5286.0)</f>
        <v>5286</v>
      </c>
      <c r="H120" s="166">
        <v>3406.25414785455</v>
      </c>
      <c r="I120" s="167">
        <v>8692.25414785455</v>
      </c>
      <c r="J120" s="140">
        <f>IFERROR(__xludf.DUMMYFUNCTION("filter('# Encargos folha'!E:E,MONTH('# Encargos folha'!$A:$A)=$C120)"),0.2)</f>
        <v>0.2</v>
      </c>
      <c r="K120" s="141">
        <f>IFERROR(__xludf.DUMMYFUNCTION("filter('# Encargos folha'!F:F,MONTH('# Encargos folha'!$A:$A)=$C120)"),0.058)</f>
        <v>0.058</v>
      </c>
      <c r="L120" s="142">
        <f>IFERROR(__xludf.DUMMYFUNCTION("filter('# Encargos folha'!G:G,MONTH('# Encargos folha'!$A:$A)=$C120)"),0.0387)</f>
        <v>0.0387</v>
      </c>
      <c r="M120" s="142">
        <f>IFERROR(__xludf.DUMMYFUNCTION("filter('# Encargos folha'!H:H,MONTH('# Encargos folha'!$A:$A)=$C120)"),0.08)</f>
        <v>0.08</v>
      </c>
      <c r="N120" s="142">
        <f t="shared" si="2"/>
        <v>0.114725</v>
      </c>
      <c r="O120" s="142">
        <f t="shared" si="3"/>
        <v>0.1529666284</v>
      </c>
      <c r="P120" s="168">
        <f t="shared" si="1"/>
        <v>0.6443916284</v>
      </c>
      <c r="Q120" s="145">
        <f t="array" ref="Q120">IFERROR(DGET(Dias_íteis,$Q$1,{$C$1;C120}),"")</f>
        <v>22</v>
      </c>
      <c r="R120" s="169">
        <v>193.60000000000002</v>
      </c>
      <c r="S120" s="147">
        <f>IFERROR(__xludf.DUMMYFUNCTION("SUM(FILTER(Trabalho!$I$2:$I207,MONTH(Trabalho!$G$2:$G207)=C120,Trabalho!$B$2:$B207=B120,Trabalho!$A$2:$A207=A120))"),6.0)</f>
        <v>6</v>
      </c>
      <c r="T120" s="147">
        <f>IFERROR(__xludf.DUMMYFUNCTION("IFERROR(SUM(FILTER(Trabalho!$I$2:$I207,MONTH(Trabalho!$G$2:$G207)=C120,Trabalho!$B$2:$B207=B120,Trabalho!$J$2:$J207=TRUE,Trabalho!$K$2:$K207=TRUE, Trabalho!$A$2:$A207=A120)),0)"),0.0)</f>
        <v>0</v>
      </c>
      <c r="U120" s="170">
        <v>44.89800696205862</v>
      </c>
      <c r="V120" s="167">
        <v>0.0</v>
      </c>
    </row>
    <row r="121">
      <c r="A121" s="149" t="s">
        <v>150</v>
      </c>
      <c r="B121" s="149" t="s">
        <v>426</v>
      </c>
      <c r="C121" s="150">
        <v>10.0</v>
      </c>
      <c r="D121" s="151">
        <v>2025.0</v>
      </c>
      <c r="E121" s="149" t="s">
        <v>637</v>
      </c>
      <c r="F121" s="149" t="s">
        <v>638</v>
      </c>
      <c r="G121" s="152">
        <f>IFERROR(__xludf.DUMMYFUNCTION("IFERROR(filter(choosecols('# Salários'!$F:$Q,C121),'# Salários'!$C:$C=B121))"),7693.0)</f>
        <v>7693</v>
      </c>
      <c r="H121" s="153">
        <v>4957.304797473525</v>
      </c>
      <c r="I121" s="154">
        <v>12650.304797473524</v>
      </c>
      <c r="J121" s="155">
        <f>IFERROR(__xludf.DUMMYFUNCTION("filter('# Encargos folha'!E:E,MONTH('# Encargos folha'!$A:$A)=$C121)"),0.2)</f>
        <v>0.2</v>
      </c>
      <c r="K121" s="156">
        <f>IFERROR(__xludf.DUMMYFUNCTION("filter('# Encargos folha'!F:F,MONTH('# Encargos folha'!$A:$A)=$C121)"),0.058)</f>
        <v>0.058</v>
      </c>
      <c r="L121" s="157">
        <f>IFERROR(__xludf.DUMMYFUNCTION("filter('# Encargos folha'!G:G,MONTH('# Encargos folha'!$A:$A)=$C121)"),0.0387)</f>
        <v>0.0387</v>
      </c>
      <c r="M121" s="157">
        <f>IFERROR(__xludf.DUMMYFUNCTION("filter('# Encargos folha'!H:H,MONTH('# Encargos folha'!$A:$A)=$C121)"),0.08)</f>
        <v>0.08</v>
      </c>
      <c r="N121" s="157">
        <f t="shared" si="2"/>
        <v>0.114725</v>
      </c>
      <c r="O121" s="157">
        <f t="shared" si="3"/>
        <v>0.1529666284</v>
      </c>
      <c r="P121" s="158">
        <f t="shared" si="1"/>
        <v>0.6443916284</v>
      </c>
      <c r="Q121" s="159">
        <f t="array" ref="Q121">IFERROR(DGET(Dias_íteis,$Q$1,{$C$1;C121}),"")</f>
        <v>22</v>
      </c>
      <c r="R121" s="160">
        <v>193.60000000000002</v>
      </c>
      <c r="S121" s="161">
        <f>IFERROR(__xludf.DUMMYFUNCTION("SUM(FILTER(Trabalho!$I$2:$I207,MONTH(Trabalho!$G$2:$G207)=C121,Trabalho!$B$2:$B207=B121,Trabalho!$A$2:$A207=A121))"),8.0)</f>
        <v>8</v>
      </c>
      <c r="T121" s="161">
        <f>IFERROR(__xludf.DUMMYFUNCTION("IFERROR(SUM(FILTER(Trabalho!$I$2:$I207,MONTH(Trabalho!$G$2:$G207)=C121,Trabalho!$B$2:$B207=B121,Trabalho!$J$2:$J207=TRUE,Trabalho!$K$2:$K207=TRUE, Trabalho!$A$2:$A207=A121)),0)"),0.0)</f>
        <v>0</v>
      </c>
      <c r="U121" s="162">
        <v>65.34248345802439</v>
      </c>
      <c r="V121" s="154">
        <v>0.0</v>
      </c>
    </row>
    <row r="122">
      <c r="A122" s="164" t="s">
        <v>150</v>
      </c>
      <c r="B122" s="164" t="s">
        <v>426</v>
      </c>
      <c r="C122" s="165">
        <v>11.0</v>
      </c>
      <c r="D122" s="135">
        <v>2025.0</v>
      </c>
      <c r="E122" s="164" t="s">
        <v>637</v>
      </c>
      <c r="F122" s="164" t="s">
        <v>638</v>
      </c>
      <c r="G122" s="137">
        <f>IFERROR(__xludf.DUMMYFUNCTION("IFERROR(filter(choosecols('# Salários'!$F:$Q,C122),'# Salários'!$C:$C=B122))"),7693.0)</f>
        <v>7693</v>
      </c>
      <c r="H122" s="166">
        <v>4957.304797473525</v>
      </c>
      <c r="I122" s="167">
        <v>12650.304797473524</v>
      </c>
      <c r="J122" s="140">
        <f>IFERROR(__xludf.DUMMYFUNCTION("filter('# Encargos folha'!E:E,MONTH('# Encargos folha'!$A:$A)=$C122)"),0.2)</f>
        <v>0.2</v>
      </c>
      <c r="K122" s="141">
        <f>IFERROR(__xludf.DUMMYFUNCTION("filter('# Encargos folha'!F:F,MONTH('# Encargos folha'!$A:$A)=$C122)"),0.058)</f>
        <v>0.058</v>
      </c>
      <c r="L122" s="142">
        <f>IFERROR(__xludf.DUMMYFUNCTION("filter('# Encargos folha'!G:G,MONTH('# Encargos folha'!$A:$A)=$C122)"),0.0387)</f>
        <v>0.0387</v>
      </c>
      <c r="M122" s="142">
        <f>IFERROR(__xludf.DUMMYFUNCTION("filter('# Encargos folha'!H:H,MONTH('# Encargos folha'!$A:$A)=$C122)"),0.08)</f>
        <v>0.08</v>
      </c>
      <c r="N122" s="142">
        <f t="shared" si="2"/>
        <v>0.114725</v>
      </c>
      <c r="O122" s="142">
        <f t="shared" si="3"/>
        <v>0.1529666284</v>
      </c>
      <c r="P122" s="168">
        <f t="shared" si="1"/>
        <v>0.6443916284</v>
      </c>
      <c r="Q122" s="145">
        <f t="array" ref="Q122">IFERROR(DGET(Dias_íteis,$Q$1,{$C$1;C122}),"")</f>
        <v>19</v>
      </c>
      <c r="R122" s="169">
        <v>167.20000000000002</v>
      </c>
      <c r="S122" s="147">
        <f>IFERROR(__xludf.DUMMYFUNCTION("SUM(FILTER(Trabalho!$I$2:$I207,MONTH(Trabalho!$G$2:$G207)=C122,Trabalho!$B$2:$B207=B122,Trabalho!$A$2:$A207=A122))"),8.0)</f>
        <v>8</v>
      </c>
      <c r="T122" s="147">
        <f>IFERROR(__xludf.DUMMYFUNCTION("IFERROR(SUM(FILTER(Trabalho!$I$2:$I207,MONTH(Trabalho!$G$2:$G207)=C122,Trabalho!$B$2:$B207=B122,Trabalho!$J$2:$J207=TRUE,Trabalho!$K$2:$K207=TRUE, Trabalho!$A$2:$A207=A122)),0)"),0.0)</f>
        <v>0</v>
      </c>
      <c r="U122" s="170">
        <v>75.65971768823877</v>
      </c>
      <c r="V122" s="167">
        <v>0.0</v>
      </c>
    </row>
    <row r="123">
      <c r="A123" s="149" t="s">
        <v>150</v>
      </c>
      <c r="B123" s="149" t="s">
        <v>319</v>
      </c>
      <c r="C123" s="150">
        <v>1.0</v>
      </c>
      <c r="D123" s="151">
        <v>2025.0</v>
      </c>
      <c r="E123" s="149" t="s">
        <v>639</v>
      </c>
      <c r="F123" s="149" t="s">
        <v>638</v>
      </c>
      <c r="G123" s="152">
        <f>IFERROR(__xludf.DUMMYFUNCTION("IFERROR(filter(choosecols('# Salários'!$F:$Q,C123),'# Salários'!$C:$C=B123))"),5481.24)</f>
        <v>5481.24</v>
      </c>
      <c r="H123" s="153">
        <v>3475.10595171288</v>
      </c>
      <c r="I123" s="154">
        <v>8956.34595171288</v>
      </c>
      <c r="J123" s="155">
        <f>IFERROR(__xludf.DUMMYFUNCTION("filter('# Encargos folha'!E:E,MONTH('# Encargos folha'!$A:$A)=$C123)"),0.2)</f>
        <v>0.2</v>
      </c>
      <c r="K123" s="156">
        <f>IFERROR(__xludf.DUMMYFUNCTION("filter('# Encargos folha'!F:F,MONTH('# Encargos folha'!$A:$A)=$C123)"),0.058)</f>
        <v>0.058</v>
      </c>
      <c r="L123" s="157">
        <f>IFERROR(__xludf.DUMMYFUNCTION("filter('# Encargos folha'!G:G,MONTH('# Encargos folha'!$A:$A)=$C123)"),0.03)</f>
        <v>0.03</v>
      </c>
      <c r="M123" s="157">
        <f>IFERROR(__xludf.DUMMYFUNCTION("filter('# Encargos folha'!H:H,MONTH('# Encargos folha'!$A:$A)=$C123)"),0.08)</f>
        <v>0.08</v>
      </c>
      <c r="N123" s="157">
        <f t="shared" si="2"/>
        <v>0.114</v>
      </c>
      <c r="O123" s="157">
        <f t="shared" si="3"/>
        <v>0.151999962</v>
      </c>
      <c r="P123" s="158">
        <f t="shared" si="1"/>
        <v>0.633999962</v>
      </c>
      <c r="Q123" s="159">
        <f t="array" ref="Q123">IFERROR(DGET(Dias_íteis,$Q$1,{$C$1;C123}),"")</f>
        <v>22</v>
      </c>
      <c r="R123" s="160">
        <v>193.60000000000002</v>
      </c>
      <c r="S123" s="161">
        <f>IFERROR(__xludf.DUMMYFUNCTION("SUM(FILTER(Trabalho!$I$2:$I207,MONTH(Trabalho!$G$2:$G207)=C123,Trabalho!$B$2:$B207=B123,Trabalho!$A$2:$A207=A123))"),5.0)</f>
        <v>5</v>
      </c>
      <c r="T123" s="161">
        <f>IFERROR(__xludf.DUMMYFUNCTION("IFERROR(SUM(FILTER(Trabalho!$I$2:$I207,MONTH(Trabalho!$G$2:$G207)=C123,Trabalho!$B$2:$B207=B123,Trabalho!$J$2:$J207=TRUE,Trabalho!$K$2:$K207=TRUE, Trabalho!$A$2:$A207=A123)),0)"),0.0)</f>
        <v>0</v>
      </c>
      <c r="U123" s="162">
        <v>46.26211751917809</v>
      </c>
      <c r="V123" s="154">
        <v>0.0</v>
      </c>
    </row>
    <row r="124">
      <c r="A124" s="164" t="s">
        <v>150</v>
      </c>
      <c r="B124" s="164" t="s">
        <v>319</v>
      </c>
      <c r="C124" s="165">
        <v>2.0</v>
      </c>
      <c r="D124" s="135">
        <v>2025.0</v>
      </c>
      <c r="E124" s="164" t="s">
        <v>639</v>
      </c>
      <c r="F124" s="164" t="s">
        <v>638</v>
      </c>
      <c r="G124" s="137">
        <f>IFERROR(__xludf.DUMMYFUNCTION("IFERROR(filter(choosecols('# Salários'!$F:$Q,C124),'# Salários'!$C:$C=B124))"),5481.24)</f>
        <v>5481.24</v>
      </c>
      <c r="H124" s="166">
        <v>3475.10595171288</v>
      </c>
      <c r="I124" s="167">
        <v>8956.34595171288</v>
      </c>
      <c r="J124" s="140">
        <f>IFERROR(__xludf.DUMMYFUNCTION("filter('# Encargos folha'!E:E,MONTH('# Encargos folha'!$A:$A)=$C124)"),0.2)</f>
        <v>0.2</v>
      </c>
      <c r="K124" s="141">
        <f>IFERROR(__xludf.DUMMYFUNCTION("filter('# Encargos folha'!F:F,MONTH('# Encargos folha'!$A:$A)=$C124)"),0.058)</f>
        <v>0.058</v>
      </c>
      <c r="L124" s="142">
        <f>IFERROR(__xludf.DUMMYFUNCTION("filter('# Encargos folha'!G:G,MONTH('# Encargos folha'!$A:$A)=$C124)"),0.03)</f>
        <v>0.03</v>
      </c>
      <c r="M124" s="142">
        <f>IFERROR(__xludf.DUMMYFUNCTION("filter('# Encargos folha'!H:H,MONTH('# Encargos folha'!$A:$A)=$C124)"),0.08)</f>
        <v>0.08</v>
      </c>
      <c r="N124" s="142">
        <f t="shared" si="2"/>
        <v>0.114</v>
      </c>
      <c r="O124" s="142">
        <f t="shared" si="3"/>
        <v>0.151999962</v>
      </c>
      <c r="P124" s="168">
        <f t="shared" si="1"/>
        <v>0.633999962</v>
      </c>
      <c r="Q124" s="145">
        <f t="array" ref="Q124">IFERROR(DGET(Dias_íteis,$Q$1,{$C$1;C124}),"")</f>
        <v>19</v>
      </c>
      <c r="R124" s="169">
        <v>167.20000000000002</v>
      </c>
      <c r="S124" s="147">
        <f>IFERROR(__xludf.DUMMYFUNCTION("SUM(FILTER(Trabalho!$I$2:$I207,MONTH(Trabalho!$G$2:$G207)=C124,Trabalho!$B$2:$B207=B124,Trabalho!$A$2:$A207=A124))"),4.0)</f>
        <v>4</v>
      </c>
      <c r="T124" s="147">
        <f>IFERROR(__xludf.DUMMYFUNCTION("IFERROR(SUM(FILTER(Trabalho!$I$2:$I207,MONTH(Trabalho!$G$2:$G207)=C124,Trabalho!$B$2:$B207=B124,Trabalho!$J$2:$J207=TRUE,Trabalho!$K$2:$K207=TRUE, Trabalho!$A$2:$A207=A124)),0)"),0.0)</f>
        <v>0</v>
      </c>
      <c r="U124" s="170">
        <v>53.566662390627265</v>
      </c>
      <c r="V124" s="167">
        <v>0.0</v>
      </c>
    </row>
    <row r="125">
      <c r="A125" s="149" t="s">
        <v>150</v>
      </c>
      <c r="B125" s="149" t="s">
        <v>319</v>
      </c>
      <c r="C125" s="150">
        <v>3.0</v>
      </c>
      <c r="D125" s="151">
        <v>2025.0</v>
      </c>
      <c r="E125" s="149" t="s">
        <v>639</v>
      </c>
      <c r="F125" s="149" t="s">
        <v>638</v>
      </c>
      <c r="G125" s="152">
        <f>IFERROR(__xludf.DUMMYFUNCTION("IFERROR(filter(choosecols('# Salários'!$F:$Q,C125),'# Salários'!$C:$C=B125))"),5481.24)</f>
        <v>5481.24</v>
      </c>
      <c r="H125" s="153">
        <v>3475.10595171288</v>
      </c>
      <c r="I125" s="154">
        <v>8956.34595171288</v>
      </c>
      <c r="J125" s="155">
        <f>IFERROR(__xludf.DUMMYFUNCTION("filter('# Encargos folha'!E:E,MONTH('# Encargos folha'!$A:$A)=$C125)"),0.2)</f>
        <v>0.2</v>
      </c>
      <c r="K125" s="156">
        <f>IFERROR(__xludf.DUMMYFUNCTION("filter('# Encargos folha'!F:F,MONTH('# Encargos folha'!$A:$A)=$C125)"),0.058)</f>
        <v>0.058</v>
      </c>
      <c r="L125" s="157">
        <f>IFERROR(__xludf.DUMMYFUNCTION("filter('# Encargos folha'!G:G,MONTH('# Encargos folha'!$A:$A)=$C125)"),0.03)</f>
        <v>0.03</v>
      </c>
      <c r="M125" s="157">
        <f>IFERROR(__xludf.DUMMYFUNCTION("filter('# Encargos folha'!H:H,MONTH('# Encargos folha'!$A:$A)=$C125)"),0.08)</f>
        <v>0.08</v>
      </c>
      <c r="N125" s="157">
        <f t="shared" si="2"/>
        <v>0.114</v>
      </c>
      <c r="O125" s="157">
        <f t="shared" si="3"/>
        <v>0.151999962</v>
      </c>
      <c r="P125" s="158">
        <f t="shared" si="1"/>
        <v>0.633999962</v>
      </c>
      <c r="Q125" s="159">
        <f t="array" ref="Q125">IFERROR(DGET(Dias_íteis,$Q$1,{$C$1;C125}),"")</f>
        <v>18</v>
      </c>
      <c r="R125" s="160">
        <v>158.4</v>
      </c>
      <c r="S125" s="161">
        <f>IFERROR(__xludf.DUMMYFUNCTION("SUM(FILTER(Trabalho!$I$2:$I207,MONTH(Trabalho!$G$2:$G207)=C125,Trabalho!$B$2:$B207=B125,Trabalho!$A$2:$A207=A125))"),7.5)</f>
        <v>7.5</v>
      </c>
      <c r="T125" s="161">
        <f>IFERROR(__xludf.DUMMYFUNCTION("IFERROR(SUM(FILTER(Trabalho!$I$2:$I207,MONTH(Trabalho!$G$2:$G207)=C125,Trabalho!$B$2:$B207=B125,Trabalho!$J$2:$J207=TRUE,Trabalho!$K$2:$K207=TRUE, Trabalho!$A$2:$A207=A125)),0)"),0.0)</f>
        <v>0</v>
      </c>
      <c r="U125" s="162">
        <v>56.54258807899545</v>
      </c>
      <c r="V125" s="154">
        <v>0.0</v>
      </c>
    </row>
    <row r="126">
      <c r="A126" s="164" t="s">
        <v>165</v>
      </c>
      <c r="B126" s="164" t="s">
        <v>319</v>
      </c>
      <c r="C126" s="165">
        <v>1.0</v>
      </c>
      <c r="D126" s="135">
        <v>2025.0</v>
      </c>
      <c r="E126" s="164" t="s">
        <v>639</v>
      </c>
      <c r="F126" s="164" t="s">
        <v>638</v>
      </c>
      <c r="G126" s="137">
        <f>IFERROR(__xludf.DUMMYFUNCTION("IFERROR(filter(choosecols('# Salários'!$F:$Q,C126),'# Salários'!$C:$C=B126))"),5481.24)</f>
        <v>5481.24</v>
      </c>
      <c r="H126" s="166">
        <v>3475.10595171288</v>
      </c>
      <c r="I126" s="167">
        <v>8956.34595171288</v>
      </c>
      <c r="J126" s="140">
        <f>IFERROR(__xludf.DUMMYFUNCTION("filter('# Encargos folha'!E:E,MONTH('# Encargos folha'!$A:$A)=$C126)"),0.2)</f>
        <v>0.2</v>
      </c>
      <c r="K126" s="141">
        <f>IFERROR(__xludf.DUMMYFUNCTION("filter('# Encargos folha'!F:F,MONTH('# Encargos folha'!$A:$A)=$C126)"),0.058)</f>
        <v>0.058</v>
      </c>
      <c r="L126" s="142">
        <f>IFERROR(__xludf.DUMMYFUNCTION("filter('# Encargos folha'!G:G,MONTH('# Encargos folha'!$A:$A)=$C126)"),0.03)</f>
        <v>0.03</v>
      </c>
      <c r="M126" s="142">
        <f>IFERROR(__xludf.DUMMYFUNCTION("filter('# Encargos folha'!H:H,MONTH('# Encargos folha'!$A:$A)=$C126)"),0.08)</f>
        <v>0.08</v>
      </c>
      <c r="N126" s="142">
        <f t="shared" si="2"/>
        <v>0.114</v>
      </c>
      <c r="O126" s="142">
        <f t="shared" si="3"/>
        <v>0.151999962</v>
      </c>
      <c r="P126" s="168">
        <f t="shared" si="1"/>
        <v>0.633999962</v>
      </c>
      <c r="Q126" s="145">
        <f t="array" ref="Q126">IFERROR(DGET(Dias_íteis,$Q$1,{$C$1;C126}),"")</f>
        <v>22</v>
      </c>
      <c r="R126" s="169">
        <v>193.60000000000002</v>
      </c>
      <c r="S126" s="147">
        <f>IFERROR(__xludf.DUMMYFUNCTION("SUM(FILTER(Trabalho!$I$2:$I207,MONTH(Trabalho!$G$2:$G207)=C126,Trabalho!$B$2:$B207=B126,Trabalho!$A$2:$A207=A126))"),7.0)</f>
        <v>7</v>
      </c>
      <c r="T126" s="147">
        <f>IFERROR(__xludf.DUMMYFUNCTION("IFERROR(SUM(FILTER(Trabalho!$I$2:$I207,MONTH(Trabalho!$G$2:$G207)=C126,Trabalho!$B$2:$B207=B126,Trabalho!$J$2:$J207=TRUE,Trabalho!$K$2:$K207=TRUE, Trabalho!$A$2:$A207=A126)),0)"),0.0)</f>
        <v>0</v>
      </c>
      <c r="U126" s="170">
        <v>46.26211751917809</v>
      </c>
      <c r="V126" s="167">
        <v>0.0</v>
      </c>
    </row>
    <row r="127">
      <c r="A127" s="149" t="s">
        <v>165</v>
      </c>
      <c r="B127" s="149" t="s">
        <v>319</v>
      </c>
      <c r="C127" s="150">
        <v>2.0</v>
      </c>
      <c r="D127" s="151">
        <v>2025.0</v>
      </c>
      <c r="E127" s="149" t="s">
        <v>639</v>
      </c>
      <c r="F127" s="149" t="s">
        <v>638</v>
      </c>
      <c r="G127" s="152">
        <f>IFERROR(__xludf.DUMMYFUNCTION("IFERROR(filter(choosecols('# Salários'!$F:$Q,C127),'# Salários'!$C:$C=B127))"),5481.24)</f>
        <v>5481.24</v>
      </c>
      <c r="H127" s="153">
        <v>3475.10595171288</v>
      </c>
      <c r="I127" s="154">
        <v>8956.34595171288</v>
      </c>
      <c r="J127" s="155">
        <f>IFERROR(__xludf.DUMMYFUNCTION("filter('# Encargos folha'!E:E,MONTH('# Encargos folha'!$A:$A)=$C127)"),0.2)</f>
        <v>0.2</v>
      </c>
      <c r="K127" s="156">
        <f>IFERROR(__xludf.DUMMYFUNCTION("filter('# Encargos folha'!F:F,MONTH('# Encargos folha'!$A:$A)=$C127)"),0.058)</f>
        <v>0.058</v>
      </c>
      <c r="L127" s="157">
        <f>IFERROR(__xludf.DUMMYFUNCTION("filter('# Encargos folha'!G:G,MONTH('# Encargos folha'!$A:$A)=$C127)"),0.03)</f>
        <v>0.03</v>
      </c>
      <c r="M127" s="157">
        <f>IFERROR(__xludf.DUMMYFUNCTION("filter('# Encargos folha'!H:H,MONTH('# Encargos folha'!$A:$A)=$C127)"),0.08)</f>
        <v>0.08</v>
      </c>
      <c r="N127" s="157">
        <f t="shared" si="2"/>
        <v>0.114</v>
      </c>
      <c r="O127" s="157">
        <f t="shared" si="3"/>
        <v>0.151999962</v>
      </c>
      <c r="P127" s="158">
        <f t="shared" si="1"/>
        <v>0.633999962</v>
      </c>
      <c r="Q127" s="159">
        <f t="array" ref="Q127">IFERROR(DGET(Dias_íteis,$Q$1,{$C$1;C127}),"")</f>
        <v>19</v>
      </c>
      <c r="R127" s="160">
        <v>167.20000000000002</v>
      </c>
      <c r="S127" s="161">
        <f>IFERROR(__xludf.DUMMYFUNCTION("SUM(FILTER(Trabalho!$I$2:$I207,MONTH(Trabalho!$G$2:$G207)=C127,Trabalho!$B$2:$B207=B127,Trabalho!$A$2:$A207=A127))"),10.0)</f>
        <v>10</v>
      </c>
      <c r="T127" s="161">
        <f>IFERROR(__xludf.DUMMYFUNCTION("IFERROR(SUM(FILTER(Trabalho!$I$2:$I207,MONTH(Trabalho!$G$2:$G207)=C127,Trabalho!$B$2:$B207=B127,Trabalho!$J$2:$J207=TRUE,Trabalho!$K$2:$K207=TRUE, Trabalho!$A$2:$A207=A127)),0)"),0.0)</f>
        <v>0</v>
      </c>
      <c r="U127" s="162">
        <v>53.566662390627265</v>
      </c>
      <c r="V127" s="154">
        <v>0.0</v>
      </c>
    </row>
    <row r="128">
      <c r="A128" s="164" t="s">
        <v>165</v>
      </c>
      <c r="B128" s="164" t="s">
        <v>319</v>
      </c>
      <c r="C128" s="165">
        <v>3.0</v>
      </c>
      <c r="D128" s="135">
        <v>2025.0</v>
      </c>
      <c r="E128" s="164" t="s">
        <v>639</v>
      </c>
      <c r="F128" s="164" t="s">
        <v>638</v>
      </c>
      <c r="G128" s="137">
        <f>IFERROR(__xludf.DUMMYFUNCTION("IFERROR(filter(choosecols('# Salários'!$F:$Q,C128),'# Salários'!$C:$C=B128))"),5481.24)</f>
        <v>5481.24</v>
      </c>
      <c r="H128" s="166">
        <v>3475.10595171288</v>
      </c>
      <c r="I128" s="167">
        <v>8956.34595171288</v>
      </c>
      <c r="J128" s="140">
        <f>IFERROR(__xludf.DUMMYFUNCTION("filter('# Encargos folha'!E:E,MONTH('# Encargos folha'!$A:$A)=$C128)"),0.2)</f>
        <v>0.2</v>
      </c>
      <c r="K128" s="141">
        <f>IFERROR(__xludf.DUMMYFUNCTION("filter('# Encargos folha'!F:F,MONTH('# Encargos folha'!$A:$A)=$C128)"),0.058)</f>
        <v>0.058</v>
      </c>
      <c r="L128" s="142">
        <f>IFERROR(__xludf.DUMMYFUNCTION("filter('# Encargos folha'!G:G,MONTH('# Encargos folha'!$A:$A)=$C128)"),0.03)</f>
        <v>0.03</v>
      </c>
      <c r="M128" s="142">
        <f>IFERROR(__xludf.DUMMYFUNCTION("filter('# Encargos folha'!H:H,MONTH('# Encargos folha'!$A:$A)=$C128)"),0.08)</f>
        <v>0.08</v>
      </c>
      <c r="N128" s="142">
        <f t="shared" si="2"/>
        <v>0.114</v>
      </c>
      <c r="O128" s="142">
        <f t="shared" si="3"/>
        <v>0.151999962</v>
      </c>
      <c r="P128" s="168">
        <f t="shared" si="1"/>
        <v>0.633999962</v>
      </c>
      <c r="Q128" s="145">
        <f t="array" ref="Q128">IFERROR(DGET(Dias_íteis,$Q$1,{$C$1;C128}),"")</f>
        <v>18</v>
      </c>
      <c r="R128" s="169">
        <v>158.4</v>
      </c>
      <c r="S128" s="147">
        <f>IFERROR(__xludf.DUMMYFUNCTION("SUM(FILTER(Trabalho!$I$2:$I207,MONTH(Trabalho!$G$2:$G207)=C128,Trabalho!$B$2:$B207=B128,Trabalho!$A$2:$A207=A128))"),4.0)</f>
        <v>4</v>
      </c>
      <c r="T128" s="147">
        <f>IFERROR(__xludf.DUMMYFUNCTION("IFERROR(SUM(FILTER(Trabalho!$I$2:$I207,MONTH(Trabalho!$G$2:$G207)=C128,Trabalho!$B$2:$B207=B128,Trabalho!$J$2:$J207=TRUE,Trabalho!$K$2:$K207=TRUE, Trabalho!$A$2:$A207=A128)),0)"),0.0)</f>
        <v>0</v>
      </c>
      <c r="U128" s="170">
        <v>56.54258807899545</v>
      </c>
      <c r="V128" s="167">
        <v>0.0</v>
      </c>
    </row>
    <row r="129">
      <c r="A129" s="149" t="s">
        <v>171</v>
      </c>
      <c r="B129" s="149" t="s">
        <v>251</v>
      </c>
      <c r="C129" s="150">
        <v>1.0</v>
      </c>
      <c r="D129" s="151">
        <v>2025.0</v>
      </c>
      <c r="E129" s="149" t="s">
        <v>635</v>
      </c>
      <c r="F129" s="149" t="s">
        <v>68</v>
      </c>
      <c r="G129" s="152">
        <f>IFERROR(__xludf.DUMMYFUNCTION("IFERROR(filter(choosecols('# Salários'!$F:$Q,C129),'# Salários'!$C:$C=B129))"),5481.24)</f>
        <v>5481.24</v>
      </c>
      <c r="H129" s="153">
        <v>3475.10595171288</v>
      </c>
      <c r="I129" s="154">
        <v>8956.34595171288</v>
      </c>
      <c r="J129" s="155">
        <f>IFERROR(__xludf.DUMMYFUNCTION("filter('# Encargos folha'!E:E,MONTH('# Encargos folha'!$A:$A)=$C129)"),0.2)</f>
        <v>0.2</v>
      </c>
      <c r="K129" s="156">
        <f>IFERROR(__xludf.DUMMYFUNCTION("filter('# Encargos folha'!F:F,MONTH('# Encargos folha'!$A:$A)=$C129)"),0.058)</f>
        <v>0.058</v>
      </c>
      <c r="L129" s="157">
        <f>IFERROR(__xludf.DUMMYFUNCTION("filter('# Encargos folha'!G:G,MONTH('# Encargos folha'!$A:$A)=$C129)"),0.03)</f>
        <v>0.03</v>
      </c>
      <c r="M129" s="157">
        <f>IFERROR(__xludf.DUMMYFUNCTION("filter('# Encargos folha'!H:H,MONTH('# Encargos folha'!$A:$A)=$C129)"),0.08)</f>
        <v>0.08</v>
      </c>
      <c r="N129" s="157">
        <f t="shared" si="2"/>
        <v>0.114</v>
      </c>
      <c r="O129" s="157">
        <f t="shared" si="3"/>
        <v>0.151999962</v>
      </c>
      <c r="P129" s="158">
        <f t="shared" si="1"/>
        <v>0.633999962</v>
      </c>
      <c r="Q129" s="159">
        <f t="array" ref="Q129">IFERROR(DGET(Dias_íteis,$Q$1,{$C$1;C129}),"")</f>
        <v>22</v>
      </c>
      <c r="R129" s="160">
        <v>193.60000000000002</v>
      </c>
      <c r="S129" s="161">
        <f>IFERROR(__xludf.DUMMYFUNCTION("SUM(FILTER(Trabalho!$I$2:$I207,MONTH(Trabalho!$G$2:$G207)=C129,Trabalho!$B$2:$B207=B129,Trabalho!$A$2:$A207=A129))"),6.000000000000001)</f>
        <v>6</v>
      </c>
      <c r="T129" s="161">
        <f>IFERROR(__xludf.DUMMYFUNCTION("IFERROR(SUM(FILTER(Trabalho!$I$2:$I207,MONTH(Trabalho!$G$2:$G207)=C129,Trabalho!$B$2:$B207=B129,Trabalho!$J$2:$J207=TRUE,Trabalho!$K$2:$K207=TRUE, Trabalho!$A$2:$A207=A129)),0)"),0.0)</f>
        <v>0</v>
      </c>
      <c r="U129" s="162">
        <v>46.26211751917809</v>
      </c>
      <c r="V129" s="154">
        <v>0.0</v>
      </c>
    </row>
    <row r="130">
      <c r="A130" s="164" t="s">
        <v>171</v>
      </c>
      <c r="B130" s="164" t="s">
        <v>251</v>
      </c>
      <c r="C130" s="165">
        <v>4.0</v>
      </c>
      <c r="D130" s="135">
        <v>2025.0</v>
      </c>
      <c r="E130" s="164" t="s">
        <v>635</v>
      </c>
      <c r="F130" s="164" t="s">
        <v>68</v>
      </c>
      <c r="G130" s="137">
        <f>IFERROR(__xludf.DUMMYFUNCTION("IFERROR(filter(choosecols('# Salários'!$F:$Q,C130),'# Salários'!$C:$C=B130))"),5481.24)</f>
        <v>5481.24</v>
      </c>
      <c r="H130" s="166">
        <v>3376.90040399673</v>
      </c>
      <c r="I130" s="167">
        <v>8858.14040399673</v>
      </c>
      <c r="J130" s="140">
        <f>IFERROR(__xludf.DUMMYFUNCTION("filter('# Encargos folha'!E:E,MONTH('# Encargos folha'!$A:$A)=$C130)"),0.2)</f>
        <v>0.2</v>
      </c>
      <c r="K130" s="141">
        <f>IFERROR(__xludf.DUMMYFUNCTION("filter('# Encargos folha'!F:F,MONTH('# Encargos folha'!$A:$A)=$C130)"),0.058)</f>
        <v>0.058</v>
      </c>
      <c r="L130" s="142">
        <f>IFERROR(__xludf.DUMMYFUNCTION("filter('# Encargos folha'!G:G,MONTH('# Encargos folha'!$A:$A)=$C130)"),0.015)</f>
        <v>0.015</v>
      </c>
      <c r="M130" s="142">
        <f>IFERROR(__xludf.DUMMYFUNCTION("filter('# Encargos folha'!H:H,MONTH('# Encargos folha'!$A:$A)=$C130)"),0.08)</f>
        <v>0.08</v>
      </c>
      <c r="N130" s="142">
        <f t="shared" si="2"/>
        <v>0.11275</v>
      </c>
      <c r="O130" s="142">
        <f t="shared" si="3"/>
        <v>0.1503332958</v>
      </c>
      <c r="P130" s="168">
        <f t="shared" si="1"/>
        <v>0.6160832958</v>
      </c>
      <c r="Q130" s="145">
        <f t="array" ref="Q130">IFERROR(DGET(Dias_íteis,$Q$1,{$C$1;C130}),"")</f>
        <v>20</v>
      </c>
      <c r="R130" s="169">
        <v>176.0</v>
      </c>
      <c r="S130" s="147">
        <f>IFERROR(__xludf.DUMMYFUNCTION("SUM(FILTER(Trabalho!$I$2:$I207,MONTH(Trabalho!$G$2:$G207)=C130,Trabalho!$B$2:$B207=B130,Trabalho!$A$2:$A207=A130))"),3.0)</f>
        <v>3</v>
      </c>
      <c r="T130" s="147">
        <f>IFERROR(__xludf.DUMMYFUNCTION("IFERROR(SUM(FILTER(Trabalho!$I$2:$I207,MONTH(Trabalho!$G$2:$G207)=C130,Trabalho!$B$2:$B207=B130,Trabalho!$J$2:$J207=TRUE,Trabalho!$K$2:$K207=TRUE, Trabalho!$A$2:$A207=A130)),0)"),0.0)</f>
        <v>0</v>
      </c>
      <c r="U130" s="170">
        <v>50.33034320452687</v>
      </c>
      <c r="V130" s="167">
        <v>0.0</v>
      </c>
    </row>
    <row r="131">
      <c r="A131" s="149" t="s">
        <v>171</v>
      </c>
      <c r="B131" s="149" t="s">
        <v>251</v>
      </c>
      <c r="C131" s="150">
        <v>5.0</v>
      </c>
      <c r="D131" s="151">
        <v>2025.0</v>
      </c>
      <c r="E131" s="149" t="s">
        <v>635</v>
      </c>
      <c r="F131" s="149" t="s">
        <v>68</v>
      </c>
      <c r="G131" s="152">
        <f>IFERROR(__xludf.DUMMYFUNCTION("IFERROR(filter(choosecols('# Salários'!$F:$Q,C131),'# Salários'!$C:$C=B131))"),5481.24)</f>
        <v>5481.24</v>
      </c>
      <c r="H131" s="153">
        <v>3376.90040399673</v>
      </c>
      <c r="I131" s="154">
        <v>8858.14040399673</v>
      </c>
      <c r="J131" s="155">
        <f>IFERROR(__xludf.DUMMYFUNCTION("filter('# Encargos folha'!E:E,MONTH('# Encargos folha'!$A:$A)=$C131)"),0.2)</f>
        <v>0.2</v>
      </c>
      <c r="K131" s="156">
        <f>IFERROR(__xludf.DUMMYFUNCTION("filter('# Encargos folha'!F:F,MONTH('# Encargos folha'!$A:$A)=$C131)"),0.058)</f>
        <v>0.058</v>
      </c>
      <c r="L131" s="157">
        <f>IFERROR(__xludf.DUMMYFUNCTION("filter('# Encargos folha'!G:G,MONTH('# Encargos folha'!$A:$A)=$C131)"),0.015)</f>
        <v>0.015</v>
      </c>
      <c r="M131" s="157">
        <f>IFERROR(__xludf.DUMMYFUNCTION("filter('# Encargos folha'!H:H,MONTH('# Encargos folha'!$A:$A)=$C131)"),0.08)</f>
        <v>0.08</v>
      </c>
      <c r="N131" s="157">
        <f t="shared" si="2"/>
        <v>0.11275</v>
      </c>
      <c r="O131" s="157">
        <f t="shared" si="3"/>
        <v>0.1503332958</v>
      </c>
      <c r="P131" s="158">
        <f t="shared" si="1"/>
        <v>0.6160832958</v>
      </c>
      <c r="Q131" s="159">
        <f t="array" ref="Q131">IFERROR(DGET(Dias_íteis,$Q$1,{$C$1;C131}),"")</f>
        <v>21</v>
      </c>
      <c r="R131" s="160">
        <v>184.8</v>
      </c>
      <c r="S131" s="161">
        <f>IFERROR(__xludf.DUMMYFUNCTION("SUM(FILTER(Trabalho!$I$2:$I207,MONTH(Trabalho!$G$2:$G207)=C131,Trabalho!$B$2:$B207=B131,Trabalho!$A$2:$A207=A131))"),10.516666666666666)</f>
        <v>10.51666667</v>
      </c>
      <c r="T131" s="161">
        <f>IFERROR(__xludf.DUMMYFUNCTION("IFERROR(SUM(FILTER(Trabalho!$I$2:$I207,MONTH(Trabalho!$G$2:$G207)=C131,Trabalho!$B$2:$B207=B131,Trabalho!$J$2:$J207=TRUE,Trabalho!$K$2:$K207=TRUE, Trabalho!$A$2:$A207=A131)),0)"),0.0)</f>
        <v>0</v>
      </c>
      <c r="U131" s="162">
        <v>47.93366019478749</v>
      </c>
      <c r="V131" s="154">
        <v>0.0</v>
      </c>
    </row>
    <row r="132">
      <c r="A132" s="164" t="s">
        <v>171</v>
      </c>
      <c r="B132" s="164" t="s">
        <v>251</v>
      </c>
      <c r="C132" s="165">
        <v>6.0</v>
      </c>
      <c r="D132" s="135">
        <v>2025.0</v>
      </c>
      <c r="E132" s="164" t="s">
        <v>635</v>
      </c>
      <c r="F132" s="164" t="s">
        <v>68</v>
      </c>
      <c r="G132" s="137">
        <f>IFERROR(__xludf.DUMMYFUNCTION("IFERROR(filter(choosecols('# Salários'!$F:$Q,C132),'# Salários'!$C:$C=B132))"),5772.84)</f>
        <v>5772.84</v>
      </c>
      <c r="H132" s="166">
        <v>3556.55029303743</v>
      </c>
      <c r="I132" s="167">
        <v>9329.39029303743</v>
      </c>
      <c r="J132" s="140">
        <f>IFERROR(__xludf.DUMMYFUNCTION("filter('# Encargos folha'!E:E,MONTH('# Encargos folha'!$A:$A)=$C132)"),0.2)</f>
        <v>0.2</v>
      </c>
      <c r="K132" s="141">
        <f>IFERROR(__xludf.DUMMYFUNCTION("filter('# Encargos folha'!F:F,MONTH('# Encargos folha'!$A:$A)=$C132)"),0.058)</f>
        <v>0.058</v>
      </c>
      <c r="L132" s="142">
        <f>IFERROR(__xludf.DUMMYFUNCTION("filter('# Encargos folha'!G:G,MONTH('# Encargos folha'!$A:$A)=$C132)"),0.015)</f>
        <v>0.015</v>
      </c>
      <c r="M132" s="142">
        <f>IFERROR(__xludf.DUMMYFUNCTION("filter('# Encargos folha'!H:H,MONTH('# Encargos folha'!$A:$A)=$C132)"),0.08)</f>
        <v>0.08</v>
      </c>
      <c r="N132" s="142">
        <f t="shared" si="2"/>
        <v>0.11275</v>
      </c>
      <c r="O132" s="142">
        <f t="shared" si="3"/>
        <v>0.1503332958</v>
      </c>
      <c r="P132" s="168">
        <f t="shared" si="1"/>
        <v>0.6160832958</v>
      </c>
      <c r="Q132" s="145">
        <f t="array" ref="Q132">IFERROR(DGET(Dias_íteis,$Q$1,{$C$1;C132}),"")</f>
        <v>20</v>
      </c>
      <c r="R132" s="169">
        <v>176.0</v>
      </c>
      <c r="S132" s="147">
        <f>IFERROR(__xludf.DUMMYFUNCTION("SUM(FILTER(Trabalho!$I$2:$I207,MONTH(Trabalho!$G$2:$G207)=C132,Trabalho!$B$2:$B207=B132,Trabalho!$A$2:$A207=A132))"),7.5)</f>
        <v>7.5</v>
      </c>
      <c r="T132" s="147">
        <f>IFERROR(__xludf.DUMMYFUNCTION("IFERROR(SUM(FILTER(Trabalho!$I$2:$I207,MONTH(Trabalho!$G$2:$G207)=C132,Trabalho!$B$2:$B207=B132,Trabalho!$J$2:$J207=TRUE,Trabalho!$K$2:$K207=TRUE, Trabalho!$A$2:$A207=A132)),0)"),0.0)</f>
        <v>0</v>
      </c>
      <c r="U132" s="170">
        <v>53.007899392258125</v>
      </c>
      <c r="V132" s="167">
        <v>0.0</v>
      </c>
    </row>
    <row r="133">
      <c r="A133" s="149" t="s">
        <v>171</v>
      </c>
      <c r="B133" s="149" t="s">
        <v>251</v>
      </c>
      <c r="C133" s="150">
        <v>7.0</v>
      </c>
      <c r="D133" s="151">
        <v>2025.0</v>
      </c>
      <c r="E133" s="149" t="s">
        <v>635</v>
      </c>
      <c r="F133" s="149" t="s">
        <v>68</v>
      </c>
      <c r="G133" s="152">
        <f>IFERROR(__xludf.DUMMYFUNCTION("IFERROR(filter(choosecols('# Salários'!$F:$Q,C133),'# Salários'!$C:$C=B133))"),5828.0)</f>
        <v>5828</v>
      </c>
      <c r="H133" s="153">
        <v>3590.533447631</v>
      </c>
      <c r="I133" s="154">
        <v>9418.533447631</v>
      </c>
      <c r="J133" s="155">
        <f>IFERROR(__xludf.DUMMYFUNCTION("filter('# Encargos folha'!E:E,MONTH('# Encargos folha'!$A:$A)=$C133)"),0.2)</f>
        <v>0.2</v>
      </c>
      <c r="K133" s="156">
        <f>IFERROR(__xludf.DUMMYFUNCTION("filter('# Encargos folha'!F:F,MONTH('# Encargos folha'!$A:$A)=$C133)"),0.058)</f>
        <v>0.058</v>
      </c>
      <c r="L133" s="157">
        <f>IFERROR(__xludf.DUMMYFUNCTION("filter('# Encargos folha'!G:G,MONTH('# Encargos folha'!$A:$A)=$C133)"),0.015)</f>
        <v>0.015</v>
      </c>
      <c r="M133" s="157">
        <f>IFERROR(__xludf.DUMMYFUNCTION("filter('# Encargos folha'!H:H,MONTH('# Encargos folha'!$A:$A)=$C133)"),0.08)</f>
        <v>0.08</v>
      </c>
      <c r="N133" s="157">
        <f t="shared" si="2"/>
        <v>0.11275</v>
      </c>
      <c r="O133" s="157">
        <f t="shared" si="3"/>
        <v>0.1503332958</v>
      </c>
      <c r="P133" s="158">
        <f t="shared" si="1"/>
        <v>0.6160832958</v>
      </c>
      <c r="Q133" s="159">
        <f t="array" ref="Q133">IFERROR(DGET(Dias_íteis,$Q$1,{$C$1;C133}),"")</f>
        <v>23</v>
      </c>
      <c r="R133" s="160">
        <v>202.4</v>
      </c>
      <c r="S133" s="161">
        <f>IFERROR(__xludf.DUMMYFUNCTION("SUM(FILTER(Trabalho!$I$2:$I207,MONTH(Trabalho!$G$2:$G207)=C133,Trabalho!$B$2:$B207=B133,Trabalho!$A$2:$A207=A133))"),4.5)</f>
        <v>4.5</v>
      </c>
      <c r="T133" s="161">
        <f>IFERROR(__xludf.DUMMYFUNCTION("IFERROR(SUM(FILTER(Trabalho!$I$2:$I207,MONTH(Trabalho!$G$2:$G207)=C133,Trabalho!$B$2:$B207=B133,Trabalho!$J$2:$J207=TRUE,Trabalho!$K$2:$K207=TRUE, Trabalho!$A$2:$A207=A133)),0)"),0.0)</f>
        <v>0</v>
      </c>
      <c r="U133" s="162">
        <v>46.53425616418478</v>
      </c>
      <c r="V133" s="154">
        <v>0.0</v>
      </c>
    </row>
    <row r="134">
      <c r="A134" s="164" t="s">
        <v>171</v>
      </c>
      <c r="B134" s="164" t="s">
        <v>251</v>
      </c>
      <c r="C134" s="165">
        <v>8.0</v>
      </c>
      <c r="D134" s="135">
        <v>2025.0</v>
      </c>
      <c r="E134" s="164" t="s">
        <v>635</v>
      </c>
      <c r="F134" s="164" t="s">
        <v>68</v>
      </c>
      <c r="G134" s="137">
        <f>IFERROR(__xludf.DUMMYFUNCTION("IFERROR(filter(choosecols('# Salários'!$F:$Q,C134),'# Salários'!$C:$C=B134))"),7202.0)</f>
        <v>7202</v>
      </c>
      <c r="H134" s="166">
        <v>4437.0318959915</v>
      </c>
      <c r="I134" s="167">
        <v>11639.0318959915</v>
      </c>
      <c r="J134" s="140">
        <f>IFERROR(__xludf.DUMMYFUNCTION("filter('# Encargos folha'!E:E,MONTH('# Encargos folha'!$A:$A)=$C134)"),0.2)</f>
        <v>0.2</v>
      </c>
      <c r="K134" s="141">
        <f>IFERROR(__xludf.DUMMYFUNCTION("filter('# Encargos folha'!F:F,MONTH('# Encargos folha'!$A:$A)=$C134)"),0.058)</f>
        <v>0.058</v>
      </c>
      <c r="L134" s="142">
        <f>IFERROR(__xludf.DUMMYFUNCTION("filter('# Encargos folha'!G:G,MONTH('# Encargos folha'!$A:$A)=$C134)"),0.015)</f>
        <v>0.015</v>
      </c>
      <c r="M134" s="142">
        <f>IFERROR(__xludf.DUMMYFUNCTION("filter('# Encargos folha'!H:H,MONTH('# Encargos folha'!$A:$A)=$C134)"),0.08)</f>
        <v>0.08</v>
      </c>
      <c r="N134" s="142">
        <f t="shared" si="2"/>
        <v>0.11275</v>
      </c>
      <c r="O134" s="142">
        <f t="shared" si="3"/>
        <v>0.1503332958</v>
      </c>
      <c r="P134" s="168">
        <f t="shared" si="1"/>
        <v>0.6160832958</v>
      </c>
      <c r="Q134" s="145">
        <f t="array" ref="Q134">IFERROR(DGET(Dias_íteis,$Q$1,{$C$1;C134}),"")</f>
        <v>21</v>
      </c>
      <c r="R134" s="169">
        <v>184.8</v>
      </c>
      <c r="S134" s="147">
        <f>IFERROR(__xludf.DUMMYFUNCTION("SUM(FILTER(Trabalho!$I$2:$I207,MONTH(Trabalho!$G$2:$G207)=C134,Trabalho!$B$2:$B207=B134,Trabalho!$A$2:$A207=A134))"),4.333333333333334)</f>
        <v>4.333333333</v>
      </c>
      <c r="T134" s="147">
        <f>IFERROR(__xludf.DUMMYFUNCTION("IFERROR(SUM(FILTER(Trabalho!$I$2:$I207,MONTH(Trabalho!$G$2:$G207)=C134,Trabalho!$B$2:$B207=B134,Trabalho!$J$2:$J207=TRUE,Trabalho!$K$2:$K207=TRUE, Trabalho!$A$2:$A207=A134)),0)"),0.0)</f>
        <v>0</v>
      </c>
      <c r="U134" s="170">
        <v>62.98177432895833</v>
      </c>
      <c r="V134" s="167">
        <v>0.0</v>
      </c>
    </row>
    <row r="135">
      <c r="A135" s="149" t="s">
        <v>171</v>
      </c>
      <c r="B135" s="149" t="s">
        <v>251</v>
      </c>
      <c r="C135" s="150">
        <v>9.0</v>
      </c>
      <c r="D135" s="151">
        <v>2025.0</v>
      </c>
      <c r="E135" s="149" t="s">
        <v>635</v>
      </c>
      <c r="F135" s="149" t="s">
        <v>68</v>
      </c>
      <c r="G135" s="152">
        <f>IFERROR(__xludf.DUMMYFUNCTION("IFERROR(filter(choosecols('# Salários'!$F:$Q,C135),'# Salários'!$C:$C=B135))"),7202.0)</f>
        <v>7202</v>
      </c>
      <c r="H135" s="153">
        <v>4437.0318959915</v>
      </c>
      <c r="I135" s="154">
        <v>11639.0318959915</v>
      </c>
      <c r="J135" s="155">
        <f>IFERROR(__xludf.DUMMYFUNCTION("filter('# Encargos folha'!E:E,MONTH('# Encargos folha'!$A:$A)=$C135)"),0.2)</f>
        <v>0.2</v>
      </c>
      <c r="K135" s="156">
        <f>IFERROR(__xludf.DUMMYFUNCTION("filter('# Encargos folha'!F:F,MONTH('# Encargos folha'!$A:$A)=$C135)"),0.058)</f>
        <v>0.058</v>
      </c>
      <c r="L135" s="157">
        <f>IFERROR(__xludf.DUMMYFUNCTION("filter('# Encargos folha'!G:G,MONTH('# Encargos folha'!$A:$A)=$C135)"),0.015)</f>
        <v>0.015</v>
      </c>
      <c r="M135" s="157">
        <f>IFERROR(__xludf.DUMMYFUNCTION("filter('# Encargos folha'!H:H,MONTH('# Encargos folha'!$A:$A)=$C135)"),0.08)</f>
        <v>0.08</v>
      </c>
      <c r="N135" s="157">
        <f t="shared" si="2"/>
        <v>0.11275</v>
      </c>
      <c r="O135" s="157">
        <f t="shared" si="3"/>
        <v>0.1503332958</v>
      </c>
      <c r="P135" s="158">
        <f t="shared" si="1"/>
        <v>0.6160832958</v>
      </c>
      <c r="Q135" s="159">
        <f t="array" ref="Q135">IFERROR(DGET(Dias_íteis,$Q$1,{$C$1;C135}),"")</f>
        <v>21</v>
      </c>
      <c r="R135" s="160">
        <v>184.8</v>
      </c>
      <c r="S135" s="161">
        <f>IFERROR(__xludf.DUMMYFUNCTION("SUM(FILTER(Trabalho!$I$2:$I207,MONTH(Trabalho!$G$2:$G207)=C135,Trabalho!$B$2:$B207=B135,Trabalho!$A$2:$A207=A135))"),0.5)</f>
        <v>0.5</v>
      </c>
      <c r="T135" s="161">
        <f>IFERROR(__xludf.DUMMYFUNCTION("IFERROR(SUM(FILTER(Trabalho!$I$2:$I207,MONTH(Trabalho!$G$2:$G207)=C135,Trabalho!$B$2:$B207=B135,Trabalho!$J$2:$J207=TRUE,Trabalho!$K$2:$K207=TRUE, Trabalho!$A$2:$A207=A135)),0)"),0.0)</f>
        <v>0</v>
      </c>
      <c r="U135" s="162">
        <v>62.98177432895833</v>
      </c>
      <c r="V135" s="154">
        <v>0.0</v>
      </c>
    </row>
    <row r="136">
      <c r="A136" s="164" t="s">
        <v>171</v>
      </c>
      <c r="B136" s="164" t="s">
        <v>251</v>
      </c>
      <c r="C136" s="165">
        <v>10.0</v>
      </c>
      <c r="D136" s="135">
        <v>2025.0</v>
      </c>
      <c r="E136" s="164" t="s">
        <v>635</v>
      </c>
      <c r="F136" s="164" t="s">
        <v>68</v>
      </c>
      <c r="G136" s="137">
        <f>IFERROR(__xludf.DUMMYFUNCTION("IFERROR(filter(choosecols('# Salários'!$F:$Q,C136),'# Salários'!$C:$C=B136))"),7202.0)</f>
        <v>7202</v>
      </c>
      <c r="H136" s="166">
        <v>4640.90850791685</v>
      </c>
      <c r="I136" s="167">
        <v>11842.90850791685</v>
      </c>
      <c r="J136" s="140">
        <f>IFERROR(__xludf.DUMMYFUNCTION("filter('# Encargos folha'!E:E,MONTH('# Encargos folha'!$A:$A)=$C136)"),0.2)</f>
        <v>0.2</v>
      </c>
      <c r="K136" s="141">
        <f>IFERROR(__xludf.DUMMYFUNCTION("filter('# Encargos folha'!F:F,MONTH('# Encargos folha'!$A:$A)=$C136)"),0.058)</f>
        <v>0.058</v>
      </c>
      <c r="L136" s="142">
        <f>IFERROR(__xludf.DUMMYFUNCTION("filter('# Encargos folha'!G:G,MONTH('# Encargos folha'!$A:$A)=$C136)"),0.0387)</f>
        <v>0.0387</v>
      </c>
      <c r="M136" s="142">
        <f>IFERROR(__xludf.DUMMYFUNCTION("filter('# Encargos folha'!H:H,MONTH('# Encargos folha'!$A:$A)=$C136)"),0.08)</f>
        <v>0.08</v>
      </c>
      <c r="N136" s="142">
        <f t="shared" si="2"/>
        <v>0.114725</v>
      </c>
      <c r="O136" s="142">
        <f t="shared" si="3"/>
        <v>0.1529666284</v>
      </c>
      <c r="P136" s="168">
        <f t="shared" si="1"/>
        <v>0.6443916284</v>
      </c>
      <c r="Q136" s="145">
        <f t="array" ref="Q136">IFERROR(DGET(Dias_íteis,$Q$1,{$C$1;C136}),"")</f>
        <v>22</v>
      </c>
      <c r="R136" s="169">
        <v>193.60000000000002</v>
      </c>
      <c r="S136" s="147">
        <f>IFERROR(__xludf.DUMMYFUNCTION("SUM(FILTER(Trabalho!$I$2:$I207,MONTH(Trabalho!$G$2:$G207)=C136,Trabalho!$B$2:$B207=B136,Trabalho!$A$2:$A207=A136))"),5.5)</f>
        <v>5.5</v>
      </c>
      <c r="T136" s="147">
        <f>IFERROR(__xludf.DUMMYFUNCTION("IFERROR(SUM(FILTER(Trabalho!$I$2:$I207,MONTH(Trabalho!$G$2:$G207)=C136,Trabalho!$B$2:$B207=B136,Trabalho!$J$2:$J207=TRUE,Trabalho!$K$2:$K207=TRUE, Trabalho!$A$2:$A207=A136)),0)"),0.0)</f>
        <v>0</v>
      </c>
      <c r="U136" s="170">
        <v>61.1720480780829</v>
      </c>
      <c r="V136" s="167">
        <v>0.0</v>
      </c>
    </row>
    <row r="137">
      <c r="A137" s="149" t="s">
        <v>171</v>
      </c>
      <c r="B137" s="149" t="s">
        <v>251</v>
      </c>
      <c r="C137" s="150">
        <v>11.0</v>
      </c>
      <c r="D137" s="151">
        <v>2025.0</v>
      </c>
      <c r="E137" s="149" t="s">
        <v>635</v>
      </c>
      <c r="F137" s="149" t="s">
        <v>68</v>
      </c>
      <c r="G137" s="152">
        <f>IFERROR(__xludf.DUMMYFUNCTION("IFERROR(filter(choosecols('# Salários'!$F:$Q,C137),'# Salários'!$C:$C=B137))"),7202.0)</f>
        <v>7202</v>
      </c>
      <c r="H137" s="153">
        <v>4640.90850791685</v>
      </c>
      <c r="I137" s="154">
        <v>11842.90850791685</v>
      </c>
      <c r="J137" s="155">
        <f>IFERROR(__xludf.DUMMYFUNCTION("filter('# Encargos folha'!E:E,MONTH('# Encargos folha'!$A:$A)=$C137)"),0.2)</f>
        <v>0.2</v>
      </c>
      <c r="K137" s="156">
        <f>IFERROR(__xludf.DUMMYFUNCTION("filter('# Encargos folha'!F:F,MONTH('# Encargos folha'!$A:$A)=$C137)"),0.058)</f>
        <v>0.058</v>
      </c>
      <c r="L137" s="157">
        <f>IFERROR(__xludf.DUMMYFUNCTION("filter('# Encargos folha'!G:G,MONTH('# Encargos folha'!$A:$A)=$C137)"),0.0387)</f>
        <v>0.0387</v>
      </c>
      <c r="M137" s="157">
        <f>IFERROR(__xludf.DUMMYFUNCTION("filter('# Encargos folha'!H:H,MONTH('# Encargos folha'!$A:$A)=$C137)"),0.08)</f>
        <v>0.08</v>
      </c>
      <c r="N137" s="157">
        <f t="shared" si="2"/>
        <v>0.114725</v>
      </c>
      <c r="O137" s="157">
        <f t="shared" si="3"/>
        <v>0.1529666284</v>
      </c>
      <c r="P137" s="158">
        <f t="shared" si="1"/>
        <v>0.6443916284</v>
      </c>
      <c r="Q137" s="159">
        <f t="array" ref="Q137">IFERROR(DGET(Dias_íteis,$Q$1,{$C$1;C137}),"")</f>
        <v>19</v>
      </c>
      <c r="R137" s="160">
        <v>167.20000000000002</v>
      </c>
      <c r="S137" s="161">
        <f>IFERROR(__xludf.DUMMYFUNCTION("SUM(FILTER(Trabalho!$I$2:$I207,MONTH(Trabalho!$G$2:$G207)=C137,Trabalho!$B$2:$B207=B137,Trabalho!$A$2:$A207=A137))"),0.5)</f>
        <v>0.5</v>
      </c>
      <c r="T137" s="161">
        <f>IFERROR(__xludf.DUMMYFUNCTION("IFERROR(SUM(FILTER(Trabalho!$I$2:$I207,MONTH(Trabalho!$G$2:$G207)=C137,Trabalho!$B$2:$B207=B137,Trabalho!$J$2:$J207=TRUE,Trabalho!$K$2:$K207=TRUE, Trabalho!$A$2:$A207=A137)),0)"),0.0)</f>
        <v>0</v>
      </c>
      <c r="U137" s="162">
        <v>70.83079251146441</v>
      </c>
      <c r="V137" s="154">
        <v>0.0</v>
      </c>
    </row>
    <row r="138">
      <c r="A138" s="164" t="s">
        <v>171</v>
      </c>
      <c r="B138" s="164" t="s">
        <v>251</v>
      </c>
      <c r="C138" s="165">
        <v>12.0</v>
      </c>
      <c r="D138" s="135">
        <v>2025.0</v>
      </c>
      <c r="E138" s="164" t="s">
        <v>635</v>
      </c>
      <c r="F138" s="164" t="s">
        <v>68</v>
      </c>
      <c r="G138" s="137">
        <f>IFERROR(__xludf.DUMMYFUNCTION("IFERROR(filter(choosecols('# Salários'!$F:$Q,C138),'# Salários'!$C:$C=B138))"),7202.0)</f>
        <v>7202</v>
      </c>
      <c r="H138" s="166">
        <v>4640.90850791685</v>
      </c>
      <c r="I138" s="167">
        <v>11842.90850791685</v>
      </c>
      <c r="J138" s="140">
        <f>IFERROR(__xludf.DUMMYFUNCTION("filter('# Encargos folha'!E:E,MONTH('# Encargos folha'!$A:$A)=$C138)"),0.2)</f>
        <v>0.2</v>
      </c>
      <c r="K138" s="141">
        <f>IFERROR(__xludf.DUMMYFUNCTION("filter('# Encargos folha'!F:F,MONTH('# Encargos folha'!$A:$A)=$C138)"),0.058)</f>
        <v>0.058</v>
      </c>
      <c r="L138" s="142">
        <f>IFERROR(__xludf.DUMMYFUNCTION("filter('# Encargos folha'!G:G,MONTH('# Encargos folha'!$A:$A)=$C138)"),0.0387)</f>
        <v>0.0387</v>
      </c>
      <c r="M138" s="142">
        <f>IFERROR(__xludf.DUMMYFUNCTION("filter('# Encargos folha'!H:H,MONTH('# Encargos folha'!$A:$A)=$C138)"),0.08)</f>
        <v>0.08</v>
      </c>
      <c r="N138" s="142">
        <f t="shared" si="2"/>
        <v>0.114725</v>
      </c>
      <c r="O138" s="142">
        <f t="shared" si="3"/>
        <v>0.1529666284</v>
      </c>
      <c r="P138" s="168">
        <f t="shared" si="1"/>
        <v>0.6443916284</v>
      </c>
      <c r="Q138" s="145">
        <f t="array" ref="Q138">IFERROR(DGET(Dias_íteis,$Q$1,{$C$1;C138}),"")</f>
        <v>22</v>
      </c>
      <c r="R138" s="169">
        <v>193.60000000000002</v>
      </c>
      <c r="S138" s="147">
        <f>IFERROR(__xludf.DUMMYFUNCTION("SUM(FILTER(Trabalho!$I$2:$I207,MONTH(Trabalho!$G$2:$G207)=C138,Trabalho!$B$2:$B207=B138,Trabalho!$A$2:$A207=A138))"),3.666666666666667)</f>
        <v>3.666666667</v>
      </c>
      <c r="T138" s="147">
        <f>IFERROR(__xludf.DUMMYFUNCTION("IFERROR(SUM(FILTER(Trabalho!$I$2:$I207,MONTH(Trabalho!$G$2:$G207)=C138,Trabalho!$B$2:$B207=B138,Trabalho!$J$2:$J207=TRUE,Trabalho!$K$2:$K207=TRUE, Trabalho!$A$2:$A207=A138)),0)"),0.0)</f>
        <v>0</v>
      </c>
      <c r="U138" s="170">
        <v>61.1720480780829</v>
      </c>
      <c r="V138" s="167">
        <v>0.0</v>
      </c>
    </row>
    <row r="139">
      <c r="A139" s="149" t="s">
        <v>177</v>
      </c>
      <c r="B139" s="149" t="s">
        <v>426</v>
      </c>
      <c r="C139" s="150">
        <v>4.0</v>
      </c>
      <c r="D139" s="151">
        <v>2025.0</v>
      </c>
      <c r="E139" s="149" t="s">
        <v>637</v>
      </c>
      <c r="F139" s="149" t="s">
        <v>638</v>
      </c>
      <c r="G139" s="152">
        <f>IFERROR(__xludf.DUMMYFUNCTION("IFERROR(filter(choosecols('# Salários'!$F:$Q,C139),'# Salários'!$C:$C=B139))"),7234.78)</f>
        <v>7234.78</v>
      </c>
      <c r="H139" s="153">
        <v>4457.227106426185</v>
      </c>
      <c r="I139" s="154">
        <v>11692.007106426185</v>
      </c>
      <c r="J139" s="155">
        <f>IFERROR(__xludf.DUMMYFUNCTION("filter('# Encargos folha'!E:E,MONTH('# Encargos folha'!$A:$A)=$C139)"),0.2)</f>
        <v>0.2</v>
      </c>
      <c r="K139" s="156">
        <f>IFERROR(__xludf.DUMMYFUNCTION("filter('# Encargos folha'!F:F,MONTH('# Encargos folha'!$A:$A)=$C139)"),0.058)</f>
        <v>0.058</v>
      </c>
      <c r="L139" s="157">
        <f>IFERROR(__xludf.DUMMYFUNCTION("filter('# Encargos folha'!G:G,MONTH('# Encargos folha'!$A:$A)=$C139)"),0.015)</f>
        <v>0.015</v>
      </c>
      <c r="M139" s="157">
        <f>IFERROR(__xludf.DUMMYFUNCTION("filter('# Encargos folha'!H:H,MONTH('# Encargos folha'!$A:$A)=$C139)"),0.08)</f>
        <v>0.08</v>
      </c>
      <c r="N139" s="157">
        <f t="shared" si="2"/>
        <v>0.11275</v>
      </c>
      <c r="O139" s="157">
        <f t="shared" si="3"/>
        <v>0.1503332958</v>
      </c>
      <c r="P139" s="158">
        <f t="shared" si="1"/>
        <v>0.6160832958</v>
      </c>
      <c r="Q139" s="159">
        <f t="array" ref="Q139">IFERROR(DGET(Dias_íteis,$Q$1,{$C$1;C139}),"")</f>
        <v>20</v>
      </c>
      <c r="R139" s="160">
        <v>176.0</v>
      </c>
      <c r="S139" s="161">
        <f>IFERROR(__xludf.DUMMYFUNCTION("SUM(FILTER(Trabalho!$I$2:$I207,MONTH(Trabalho!$G$2:$G207)=C139,Trabalho!$B$2:$B207=B139,Trabalho!$A$2:$A207=A139))"),4.0)</f>
        <v>4</v>
      </c>
      <c r="T139" s="161">
        <f>IFERROR(__xludf.DUMMYFUNCTION("IFERROR(SUM(FILTER(Trabalho!$I$2:$I207,MONTH(Trabalho!$G$2:$G207)=C139,Trabalho!$B$2:$B207=B139,Trabalho!$J$2:$J207=TRUE,Trabalho!$K$2:$K207=TRUE, Trabalho!$A$2:$A207=A139)),0)"),4.0)</f>
        <v>4</v>
      </c>
      <c r="U139" s="162">
        <v>66.43185855923969</v>
      </c>
      <c r="V139" s="154">
        <v>265.72743423695874</v>
      </c>
    </row>
    <row r="140">
      <c r="A140" s="164" t="s">
        <v>177</v>
      </c>
      <c r="B140" s="164" t="s">
        <v>426</v>
      </c>
      <c r="C140" s="165">
        <v>5.0</v>
      </c>
      <c r="D140" s="135">
        <v>2025.0</v>
      </c>
      <c r="E140" s="164" t="s">
        <v>637</v>
      </c>
      <c r="F140" s="164" t="s">
        <v>638</v>
      </c>
      <c r="G140" s="137">
        <f>IFERROR(__xludf.DUMMYFUNCTION("IFERROR(filter(choosecols('# Salários'!$F:$Q,C140),'# Salários'!$C:$C=B140))"),7234.78)</f>
        <v>7234.78</v>
      </c>
      <c r="H140" s="166">
        <v>4457.227106426185</v>
      </c>
      <c r="I140" s="167">
        <v>11692.007106426185</v>
      </c>
      <c r="J140" s="140">
        <f>IFERROR(__xludf.DUMMYFUNCTION("filter('# Encargos folha'!E:E,MONTH('# Encargos folha'!$A:$A)=$C140)"),0.2)</f>
        <v>0.2</v>
      </c>
      <c r="K140" s="141">
        <f>IFERROR(__xludf.DUMMYFUNCTION("filter('# Encargos folha'!F:F,MONTH('# Encargos folha'!$A:$A)=$C140)"),0.058)</f>
        <v>0.058</v>
      </c>
      <c r="L140" s="142">
        <f>IFERROR(__xludf.DUMMYFUNCTION("filter('# Encargos folha'!G:G,MONTH('# Encargos folha'!$A:$A)=$C140)"),0.015)</f>
        <v>0.015</v>
      </c>
      <c r="M140" s="142">
        <f>IFERROR(__xludf.DUMMYFUNCTION("filter('# Encargos folha'!H:H,MONTH('# Encargos folha'!$A:$A)=$C140)"),0.08)</f>
        <v>0.08</v>
      </c>
      <c r="N140" s="142">
        <f t="shared" si="2"/>
        <v>0.11275</v>
      </c>
      <c r="O140" s="142">
        <f t="shared" si="3"/>
        <v>0.1503332958</v>
      </c>
      <c r="P140" s="168">
        <f t="shared" si="1"/>
        <v>0.6160832958</v>
      </c>
      <c r="Q140" s="145">
        <f t="array" ref="Q140">IFERROR(DGET(Dias_íteis,$Q$1,{$C$1;C140}),"")</f>
        <v>21</v>
      </c>
      <c r="R140" s="169">
        <v>184.8</v>
      </c>
      <c r="S140" s="147">
        <f>IFERROR(__xludf.DUMMYFUNCTION("SUM(FILTER(Trabalho!$I$2:$I207,MONTH(Trabalho!$G$2:$G207)=C140,Trabalho!$B$2:$B207=B140,Trabalho!$A$2:$A207=A140))"),3.0)</f>
        <v>3</v>
      </c>
      <c r="T140" s="147">
        <f>IFERROR(__xludf.DUMMYFUNCTION("IFERROR(SUM(FILTER(Trabalho!$I$2:$I207,MONTH(Trabalho!$G$2:$G207)=C140,Trabalho!$B$2:$B207=B140,Trabalho!$J$2:$J207=TRUE,Trabalho!$K$2:$K207=TRUE, Trabalho!$A$2:$A207=A140)),0)"),3.0)</f>
        <v>3</v>
      </c>
      <c r="U140" s="170">
        <v>63.26843672308541</v>
      </c>
      <c r="V140" s="167">
        <v>189.80531016925622</v>
      </c>
    </row>
    <row r="141">
      <c r="A141" s="149" t="s">
        <v>269</v>
      </c>
      <c r="B141" s="149" t="s">
        <v>251</v>
      </c>
      <c r="C141" s="150">
        <v>2.0</v>
      </c>
      <c r="D141" s="151">
        <v>2025.0</v>
      </c>
      <c r="E141" s="149" t="s">
        <v>635</v>
      </c>
      <c r="F141" s="149" t="s">
        <v>68</v>
      </c>
      <c r="G141" s="152">
        <f>IFERROR(__xludf.DUMMYFUNCTION("IFERROR(filter(choosecols('# Salários'!$F:$Q,C141),'# Salários'!$C:$C=B141))"),5481.24)</f>
        <v>5481.24</v>
      </c>
      <c r="H141" s="153">
        <v>3475.10595171288</v>
      </c>
      <c r="I141" s="154">
        <v>8956.34595171288</v>
      </c>
      <c r="J141" s="155">
        <f>IFERROR(__xludf.DUMMYFUNCTION("filter('# Encargos folha'!E:E,MONTH('# Encargos folha'!$A:$A)=$C141)"),0.2)</f>
        <v>0.2</v>
      </c>
      <c r="K141" s="156">
        <f>IFERROR(__xludf.DUMMYFUNCTION("filter('# Encargos folha'!F:F,MONTH('# Encargos folha'!$A:$A)=$C141)"),0.058)</f>
        <v>0.058</v>
      </c>
      <c r="L141" s="157">
        <f>IFERROR(__xludf.DUMMYFUNCTION("filter('# Encargos folha'!G:G,MONTH('# Encargos folha'!$A:$A)=$C141)"),0.03)</f>
        <v>0.03</v>
      </c>
      <c r="M141" s="157">
        <f>IFERROR(__xludf.DUMMYFUNCTION("filter('# Encargos folha'!H:H,MONTH('# Encargos folha'!$A:$A)=$C141)"),0.08)</f>
        <v>0.08</v>
      </c>
      <c r="N141" s="157">
        <f t="shared" si="2"/>
        <v>0.114</v>
      </c>
      <c r="O141" s="157">
        <f t="shared" si="3"/>
        <v>0.151999962</v>
      </c>
      <c r="P141" s="158">
        <f t="shared" si="1"/>
        <v>0.633999962</v>
      </c>
      <c r="Q141" s="159">
        <f t="array" ref="Q141">IFERROR(DGET(Dias_íteis,$Q$1,{$C$1;C141}),"")</f>
        <v>19</v>
      </c>
      <c r="R141" s="160">
        <v>167.20000000000002</v>
      </c>
      <c r="S141" s="161">
        <f>IFERROR(__xludf.DUMMYFUNCTION("SUM(FILTER(Trabalho!$I$2:$I207,MONTH(Trabalho!$G$2:$G207)=C141,Trabalho!$B$2:$B207=B141,Trabalho!$A$2:$A207=A141))"),4.5)</f>
        <v>4.5</v>
      </c>
      <c r="T141" s="161">
        <f>IFERROR(__xludf.DUMMYFUNCTION("IFERROR(SUM(FILTER(Trabalho!$I$2:$I207,MONTH(Trabalho!$G$2:$G207)=C141,Trabalho!$B$2:$B207=B141,Trabalho!$J$2:$J207=TRUE,Trabalho!$K$2:$K207=TRUE, Trabalho!$A$2:$A207=A141)),0)"),0.0)</f>
        <v>0</v>
      </c>
      <c r="U141" s="162">
        <v>53.566662390627265</v>
      </c>
      <c r="V141" s="154">
        <v>0.0</v>
      </c>
    </row>
    <row r="142">
      <c r="A142" s="164" t="s">
        <v>269</v>
      </c>
      <c r="B142" s="164" t="s">
        <v>314</v>
      </c>
      <c r="C142" s="165">
        <v>2.0</v>
      </c>
      <c r="D142" s="135">
        <v>2025.0</v>
      </c>
      <c r="E142" s="164" t="s">
        <v>636</v>
      </c>
      <c r="F142" s="164" t="s">
        <v>68</v>
      </c>
      <c r="G142" s="137">
        <f>IFERROR(__xludf.DUMMYFUNCTION("IFERROR(filter(choosecols('# Salários'!$F:$Q,C142),'# Salários'!$C:$C=B142))"),11786.75)</f>
        <v>11786.75</v>
      </c>
      <c r="H142" s="166">
        <v>7472.799052103501</v>
      </c>
      <c r="I142" s="167">
        <v>19259.549052103503</v>
      </c>
      <c r="J142" s="140">
        <f>IFERROR(__xludf.DUMMYFUNCTION("filter('# Encargos folha'!E:E,MONTH('# Encargos folha'!$A:$A)=$C142)"),0.2)</f>
        <v>0.2</v>
      </c>
      <c r="K142" s="141">
        <f>IFERROR(__xludf.DUMMYFUNCTION("filter('# Encargos folha'!F:F,MONTH('# Encargos folha'!$A:$A)=$C142)"),0.058)</f>
        <v>0.058</v>
      </c>
      <c r="L142" s="142">
        <f>IFERROR(__xludf.DUMMYFUNCTION("filter('# Encargos folha'!G:G,MONTH('# Encargos folha'!$A:$A)=$C142)"),0.03)</f>
        <v>0.03</v>
      </c>
      <c r="M142" s="142">
        <f>IFERROR(__xludf.DUMMYFUNCTION("filter('# Encargos folha'!H:H,MONTH('# Encargos folha'!$A:$A)=$C142)"),0.08)</f>
        <v>0.08</v>
      </c>
      <c r="N142" s="142">
        <f t="shared" si="2"/>
        <v>0.114</v>
      </c>
      <c r="O142" s="142">
        <f t="shared" si="3"/>
        <v>0.151999962</v>
      </c>
      <c r="P142" s="168">
        <f t="shared" si="1"/>
        <v>0.633999962</v>
      </c>
      <c r="Q142" s="145">
        <f t="array" ref="Q142">IFERROR(DGET(Dias_íteis,$Q$1,{$C$1;C142}),"")</f>
        <v>19</v>
      </c>
      <c r="R142" s="169">
        <v>167.20000000000002</v>
      </c>
      <c r="S142" s="147">
        <f>IFERROR(__xludf.DUMMYFUNCTION("SUM(FILTER(Trabalho!$I$2:$I207,MONTH(Trabalho!$G$2:$G207)=C142,Trabalho!$B$2:$B207=B142,Trabalho!$A$2:$A207=A142))"),1.0)</f>
        <v>1</v>
      </c>
      <c r="T142" s="147">
        <f>IFERROR(__xludf.DUMMYFUNCTION("IFERROR(SUM(FILTER(Trabalho!$I$2:$I207,MONTH(Trabalho!$G$2:$G207)=C142,Trabalho!$B$2:$B207=B142,Trabalho!$J$2:$J207=TRUE,Trabalho!$K$2:$K207=TRUE, Trabalho!$A$2:$A207=A142)),0)"),0.0)</f>
        <v>0</v>
      </c>
      <c r="U142" s="170">
        <v>115.18869050301137</v>
      </c>
      <c r="V142" s="167">
        <v>0.0</v>
      </c>
    </row>
    <row r="143">
      <c r="A143" s="149" t="s">
        <v>269</v>
      </c>
      <c r="B143" s="149" t="s">
        <v>546</v>
      </c>
      <c r="C143" s="150">
        <v>9.0</v>
      </c>
      <c r="D143" s="151">
        <v>2025.0</v>
      </c>
      <c r="E143" s="149" t="s">
        <v>641</v>
      </c>
      <c r="F143" s="149" t="s">
        <v>65</v>
      </c>
      <c r="G143" s="152">
        <f>IFERROR(__xludf.DUMMYFUNCTION("IFERROR(filter(choosecols('# Salários'!$F:$Q,C143),'# Salários'!$C:$C=B143))"),4391.0)</f>
        <v>4391</v>
      </c>
      <c r="H143" s="153">
        <v>2705.2217516382498</v>
      </c>
      <c r="I143" s="154">
        <v>7096.22175163825</v>
      </c>
      <c r="J143" s="155">
        <f>IFERROR(__xludf.DUMMYFUNCTION("filter('# Encargos folha'!E:E,MONTH('# Encargos folha'!$A:$A)=$C143)"),0.2)</f>
        <v>0.2</v>
      </c>
      <c r="K143" s="156">
        <f>IFERROR(__xludf.DUMMYFUNCTION("filter('# Encargos folha'!F:F,MONTH('# Encargos folha'!$A:$A)=$C143)"),0.058)</f>
        <v>0.058</v>
      </c>
      <c r="L143" s="157">
        <f>IFERROR(__xludf.DUMMYFUNCTION("filter('# Encargos folha'!G:G,MONTH('# Encargos folha'!$A:$A)=$C143)"),0.015)</f>
        <v>0.015</v>
      </c>
      <c r="M143" s="157">
        <f>IFERROR(__xludf.DUMMYFUNCTION("filter('# Encargos folha'!H:H,MONTH('# Encargos folha'!$A:$A)=$C143)"),0.08)</f>
        <v>0.08</v>
      </c>
      <c r="N143" s="157">
        <f t="shared" si="2"/>
        <v>0.11275</v>
      </c>
      <c r="O143" s="157">
        <f t="shared" si="3"/>
        <v>0.1503332958</v>
      </c>
      <c r="P143" s="158">
        <f t="shared" si="1"/>
        <v>0.6160832958</v>
      </c>
      <c r="Q143" s="159">
        <f t="array" ref="Q143">IFERROR(DGET(Dias_íteis,$Q$1,{$C$1;C143}),"")</f>
        <v>21</v>
      </c>
      <c r="R143" s="160">
        <v>184.8</v>
      </c>
      <c r="S143" s="161">
        <f>IFERROR(__xludf.DUMMYFUNCTION("SUM(FILTER(Trabalho!$I$2:$I207,MONTH(Trabalho!$G$2:$G207)=C143,Trabalho!$B$2:$B207=B143,Trabalho!$A$2:$A207=A143))"),1.9166666666666665)</f>
        <v>1.916666667</v>
      </c>
      <c r="T143" s="161">
        <f>IFERROR(__xludf.DUMMYFUNCTION("IFERROR(SUM(FILTER(Trabalho!$I$2:$I207,MONTH(Trabalho!$G$2:$G207)=C143,Trabalho!$B$2:$B207=B143,Trabalho!$J$2:$J207=TRUE,Trabalho!$K$2:$K207=TRUE, Trabalho!$A$2:$A207=A143)),0)"),0.0)</f>
        <v>0</v>
      </c>
      <c r="U143" s="162">
        <v>38.39946835302083</v>
      </c>
      <c r="V143" s="154">
        <v>0.0</v>
      </c>
    </row>
    <row r="144">
      <c r="A144" s="164" t="s">
        <v>269</v>
      </c>
      <c r="B144" s="164" t="s">
        <v>546</v>
      </c>
      <c r="C144" s="165">
        <v>10.0</v>
      </c>
      <c r="D144" s="135">
        <v>2025.0</v>
      </c>
      <c r="E144" s="164" t="s">
        <v>641</v>
      </c>
      <c r="F144" s="164" t="s">
        <v>65</v>
      </c>
      <c r="G144" s="137">
        <f>IFERROR(__xludf.DUMMYFUNCTION("IFERROR(filter(choosecols('# Salários'!$F:$Q,C144),'# Salários'!$C:$C=B144))"),4391.0)</f>
        <v>4391</v>
      </c>
      <c r="H144" s="166">
        <v>2829.5236404141747</v>
      </c>
      <c r="I144" s="167">
        <v>7220.523640414174</v>
      </c>
      <c r="J144" s="140">
        <f>IFERROR(__xludf.DUMMYFUNCTION("filter('# Encargos folha'!E:E,MONTH('# Encargos folha'!$A:$A)=$C144)"),0.2)</f>
        <v>0.2</v>
      </c>
      <c r="K144" s="141">
        <f>IFERROR(__xludf.DUMMYFUNCTION("filter('# Encargos folha'!F:F,MONTH('# Encargos folha'!$A:$A)=$C144)"),0.058)</f>
        <v>0.058</v>
      </c>
      <c r="L144" s="142">
        <f>IFERROR(__xludf.DUMMYFUNCTION("filter('# Encargos folha'!G:G,MONTH('# Encargos folha'!$A:$A)=$C144)"),0.0387)</f>
        <v>0.0387</v>
      </c>
      <c r="M144" s="142">
        <f>IFERROR(__xludf.DUMMYFUNCTION("filter('# Encargos folha'!H:H,MONTH('# Encargos folha'!$A:$A)=$C144)"),0.08)</f>
        <v>0.08</v>
      </c>
      <c r="N144" s="142">
        <f t="shared" si="2"/>
        <v>0.114725</v>
      </c>
      <c r="O144" s="142">
        <f t="shared" si="3"/>
        <v>0.1529666284</v>
      </c>
      <c r="P144" s="168">
        <f t="shared" si="1"/>
        <v>0.6443916284</v>
      </c>
      <c r="Q144" s="145">
        <f t="array" ref="Q144">IFERROR(DGET(Dias_íteis,$Q$1,{$C$1;C144}),"")</f>
        <v>22</v>
      </c>
      <c r="R144" s="169">
        <v>193.60000000000002</v>
      </c>
      <c r="S144" s="147">
        <f>IFERROR(__xludf.DUMMYFUNCTION("SUM(FILTER(Trabalho!$I$2:$I207,MONTH(Trabalho!$G$2:$G207)=C144,Trabalho!$B$2:$B207=B144,Trabalho!$A$2:$A207=A144))"),0.6666666666666666)</f>
        <v>0.6666666667</v>
      </c>
      <c r="T144" s="147">
        <f>IFERROR(__xludf.DUMMYFUNCTION("IFERROR(SUM(FILTER(Trabalho!$I$2:$I207,MONTH(Trabalho!$G$2:$G207)=C144,Trabalho!$B$2:$B207=B144,Trabalho!$J$2:$J207=TRUE,Trabalho!$K$2:$K207=TRUE, Trabalho!$A$2:$A207=A144)),0)"),0.0)</f>
        <v>0</v>
      </c>
      <c r="U144" s="170">
        <v>37.29609318395751</v>
      </c>
      <c r="V144" s="167">
        <v>0.0</v>
      </c>
    </row>
    <row r="145">
      <c r="A145" s="149" t="s">
        <v>184</v>
      </c>
      <c r="B145" s="149" t="s">
        <v>496</v>
      </c>
      <c r="C145" s="150">
        <v>8.0</v>
      </c>
      <c r="D145" s="151">
        <v>2025.0</v>
      </c>
      <c r="E145" s="149" t="s">
        <v>634</v>
      </c>
      <c r="F145" s="149" t="s">
        <v>66</v>
      </c>
      <c r="G145" s="152">
        <f>IFERROR(__xludf.DUMMYFUNCTION("IFERROR(filter(choosecols('# Salários'!$F:$Q,C145),'# Salários'!$C:$C=B145))"),7613.79)</f>
        <v>7613.79</v>
      </c>
      <c r="H145" s="153">
        <v>4690.728836348392</v>
      </c>
      <c r="I145" s="154">
        <v>12304.518836348392</v>
      </c>
      <c r="J145" s="155">
        <f>IFERROR(__xludf.DUMMYFUNCTION("filter('# Encargos folha'!E:E,MONTH('# Encargos folha'!$A:$A)=$C145)"),0.2)</f>
        <v>0.2</v>
      </c>
      <c r="K145" s="156">
        <f>IFERROR(__xludf.DUMMYFUNCTION("filter('# Encargos folha'!F:F,MONTH('# Encargos folha'!$A:$A)=$C145)"),0.058)</f>
        <v>0.058</v>
      </c>
      <c r="L145" s="157">
        <f>IFERROR(__xludf.DUMMYFUNCTION("filter('# Encargos folha'!G:G,MONTH('# Encargos folha'!$A:$A)=$C145)"),0.015)</f>
        <v>0.015</v>
      </c>
      <c r="M145" s="157">
        <f>IFERROR(__xludf.DUMMYFUNCTION("filter('# Encargos folha'!H:H,MONTH('# Encargos folha'!$A:$A)=$C145)"),0.08)</f>
        <v>0.08</v>
      </c>
      <c r="N145" s="157">
        <f t="shared" si="2"/>
        <v>0.11275</v>
      </c>
      <c r="O145" s="157">
        <f t="shared" si="3"/>
        <v>0.1503332958</v>
      </c>
      <c r="P145" s="158">
        <f t="shared" si="1"/>
        <v>0.6160832958</v>
      </c>
      <c r="Q145" s="159">
        <f t="array" ref="Q145">IFERROR(DGET(Dias_íteis,$Q$1,{$C$1;C145}),"")</f>
        <v>21</v>
      </c>
      <c r="R145" s="160">
        <v>184.8</v>
      </c>
      <c r="S145" s="161">
        <f>IFERROR(__xludf.DUMMYFUNCTION("SUM(FILTER(Trabalho!$I$2:$I207,MONTH(Trabalho!$G$2:$G207)=C145,Trabalho!$B$2:$B207=B145,Trabalho!$A$2:$A207=A145))"),4.0)</f>
        <v>4</v>
      </c>
      <c r="T145" s="161">
        <f>IFERROR(__xludf.DUMMYFUNCTION("IFERROR(SUM(FILTER(Trabalho!$I$2:$I207,MONTH(Trabalho!$G$2:$G207)=C145,Trabalho!$B$2:$B207=B145,Trabalho!$J$2:$J207=TRUE,Trabalho!$K$2:$K207=TRUE, Trabalho!$A$2:$A207=A145)),0)"),4.0)</f>
        <v>4</v>
      </c>
      <c r="U145" s="162">
        <v>66.58289413608436</v>
      </c>
      <c r="V145" s="154">
        <v>266.33157654433745</v>
      </c>
    </row>
    <row r="146">
      <c r="A146" s="164" t="s">
        <v>184</v>
      </c>
      <c r="B146" s="164" t="s">
        <v>496</v>
      </c>
      <c r="C146" s="165">
        <v>9.0</v>
      </c>
      <c r="D146" s="135">
        <v>2025.0</v>
      </c>
      <c r="E146" s="164" t="s">
        <v>634</v>
      </c>
      <c r="F146" s="164" t="s">
        <v>66</v>
      </c>
      <c r="G146" s="137" t="str">
        <f>IFERROR(__xludf.DUMMYFUNCTION("IFERROR(filter(choosecols('# Salários'!$F:$Q,C146),'# Salários'!$C:$C=B146))"),"")</f>
        <v/>
      </c>
      <c r="H146" s="166">
        <v>0.0</v>
      </c>
      <c r="I146" s="167">
        <v>0.0</v>
      </c>
      <c r="J146" s="140">
        <f>IFERROR(__xludf.DUMMYFUNCTION("filter('# Encargos folha'!E:E,MONTH('# Encargos folha'!$A:$A)=$C146)"),0.2)</f>
        <v>0.2</v>
      </c>
      <c r="K146" s="141">
        <f>IFERROR(__xludf.DUMMYFUNCTION("filter('# Encargos folha'!F:F,MONTH('# Encargos folha'!$A:$A)=$C146)"),0.058)</f>
        <v>0.058</v>
      </c>
      <c r="L146" s="142">
        <f>IFERROR(__xludf.DUMMYFUNCTION("filter('# Encargos folha'!G:G,MONTH('# Encargos folha'!$A:$A)=$C146)"),0.015)</f>
        <v>0.015</v>
      </c>
      <c r="M146" s="142">
        <f>IFERROR(__xludf.DUMMYFUNCTION("filter('# Encargos folha'!H:H,MONTH('# Encargos folha'!$A:$A)=$C146)"),0.08)</f>
        <v>0.08</v>
      </c>
      <c r="N146" s="142">
        <f t="shared" si="2"/>
        <v>0.11275</v>
      </c>
      <c r="O146" s="142">
        <f t="shared" si="3"/>
        <v>0.1503332958</v>
      </c>
      <c r="P146" s="168">
        <f t="shared" si="1"/>
        <v>0.6160832958</v>
      </c>
      <c r="Q146" s="145">
        <f t="array" ref="Q146">IFERROR(DGET(Dias_íteis,$Q$1,{$C$1;C146}),"")</f>
        <v>21</v>
      </c>
      <c r="R146" s="169">
        <v>184.8</v>
      </c>
      <c r="S146" s="147">
        <f>IFERROR(__xludf.DUMMYFUNCTION("SUM(FILTER(Trabalho!$I$2:$I207,MONTH(Trabalho!$G$2:$G207)=C146,Trabalho!$B$2:$B207=B146,Trabalho!$A$2:$A207=A146))"),3.0)</f>
        <v>3</v>
      </c>
      <c r="T146" s="147">
        <f>IFERROR(__xludf.DUMMYFUNCTION("IFERROR(SUM(FILTER(Trabalho!$I$2:$I207,MONTH(Trabalho!$G$2:$G207)=C146,Trabalho!$B$2:$B207=B146,Trabalho!$J$2:$J207=TRUE,Trabalho!$K$2:$K207=TRUE, Trabalho!$A$2:$A207=A146)),0)"),3.0)</f>
        <v>3</v>
      </c>
      <c r="U146" s="170">
        <v>0.0</v>
      </c>
      <c r="V146" s="167">
        <v>0.0</v>
      </c>
    </row>
    <row r="147">
      <c r="A147" s="149" t="s">
        <v>184</v>
      </c>
      <c r="B147" s="149" t="s">
        <v>426</v>
      </c>
      <c r="C147" s="150">
        <v>4.0</v>
      </c>
      <c r="D147" s="151">
        <v>2025.0</v>
      </c>
      <c r="E147" s="149" t="s">
        <v>637</v>
      </c>
      <c r="F147" s="149" t="s">
        <v>638</v>
      </c>
      <c r="G147" s="152">
        <f>IFERROR(__xludf.DUMMYFUNCTION("IFERROR(filter(choosecols('# Salários'!$F:$Q,C147),'# Salários'!$C:$C=B147))"),7234.78)</f>
        <v>7234.78</v>
      </c>
      <c r="H147" s="153">
        <v>4457.227106426185</v>
      </c>
      <c r="I147" s="154">
        <v>11692.007106426185</v>
      </c>
      <c r="J147" s="155">
        <f>IFERROR(__xludf.DUMMYFUNCTION("filter('# Encargos folha'!E:E,MONTH('# Encargos folha'!$A:$A)=$C147)"),0.2)</f>
        <v>0.2</v>
      </c>
      <c r="K147" s="156">
        <f>IFERROR(__xludf.DUMMYFUNCTION("filter('# Encargos folha'!F:F,MONTH('# Encargos folha'!$A:$A)=$C147)"),0.058)</f>
        <v>0.058</v>
      </c>
      <c r="L147" s="157">
        <f>IFERROR(__xludf.DUMMYFUNCTION("filter('# Encargos folha'!G:G,MONTH('# Encargos folha'!$A:$A)=$C147)"),0.015)</f>
        <v>0.015</v>
      </c>
      <c r="M147" s="157">
        <f>IFERROR(__xludf.DUMMYFUNCTION("filter('# Encargos folha'!H:H,MONTH('# Encargos folha'!$A:$A)=$C147)"),0.08)</f>
        <v>0.08</v>
      </c>
      <c r="N147" s="157">
        <f t="shared" si="2"/>
        <v>0.11275</v>
      </c>
      <c r="O147" s="157">
        <f t="shared" si="3"/>
        <v>0.1503332958</v>
      </c>
      <c r="P147" s="158">
        <f t="shared" si="1"/>
        <v>0.6160832958</v>
      </c>
      <c r="Q147" s="159">
        <f t="array" ref="Q147">IFERROR(DGET(Dias_íteis,$Q$1,{$C$1;C147}),"")</f>
        <v>20</v>
      </c>
      <c r="R147" s="160">
        <v>176.0</v>
      </c>
      <c r="S147" s="161">
        <f>IFERROR(__xludf.DUMMYFUNCTION("SUM(FILTER(Trabalho!$I$2:$I207,MONTH(Trabalho!$G$2:$G207)=C147,Trabalho!$B$2:$B207=B147,Trabalho!$A$2:$A207=A147))"),5.0)</f>
        <v>5</v>
      </c>
      <c r="T147" s="161">
        <f>IFERROR(__xludf.DUMMYFUNCTION("IFERROR(SUM(FILTER(Trabalho!$I$2:$I207,MONTH(Trabalho!$G$2:$G207)=C147,Trabalho!$B$2:$B207=B147,Trabalho!$J$2:$J207=TRUE,Trabalho!$K$2:$K207=TRUE, Trabalho!$A$2:$A207=A147)),0)"),5.0)</f>
        <v>5</v>
      </c>
      <c r="U147" s="162">
        <v>66.43185855923969</v>
      </c>
      <c r="V147" s="154">
        <v>332.15929279619843</v>
      </c>
    </row>
    <row r="148">
      <c r="A148" s="164" t="s">
        <v>184</v>
      </c>
      <c r="B148" s="164" t="s">
        <v>426</v>
      </c>
      <c r="C148" s="165">
        <v>5.0</v>
      </c>
      <c r="D148" s="135">
        <v>2025.0</v>
      </c>
      <c r="E148" s="164" t="s">
        <v>637</v>
      </c>
      <c r="F148" s="164" t="s">
        <v>638</v>
      </c>
      <c r="G148" s="137">
        <f>IFERROR(__xludf.DUMMYFUNCTION("IFERROR(filter(choosecols('# Salários'!$F:$Q,C148),'# Salários'!$C:$C=B148))"),7234.78)</f>
        <v>7234.78</v>
      </c>
      <c r="H148" s="166">
        <v>4457.227106426185</v>
      </c>
      <c r="I148" s="167">
        <v>11692.007106426185</v>
      </c>
      <c r="J148" s="140">
        <f>IFERROR(__xludf.DUMMYFUNCTION("filter('# Encargos folha'!E:E,MONTH('# Encargos folha'!$A:$A)=$C148)"),0.2)</f>
        <v>0.2</v>
      </c>
      <c r="K148" s="141">
        <f>IFERROR(__xludf.DUMMYFUNCTION("filter('# Encargos folha'!F:F,MONTH('# Encargos folha'!$A:$A)=$C148)"),0.058)</f>
        <v>0.058</v>
      </c>
      <c r="L148" s="142">
        <f>IFERROR(__xludf.DUMMYFUNCTION("filter('# Encargos folha'!G:G,MONTH('# Encargos folha'!$A:$A)=$C148)"),0.015)</f>
        <v>0.015</v>
      </c>
      <c r="M148" s="142">
        <f>IFERROR(__xludf.DUMMYFUNCTION("filter('# Encargos folha'!H:H,MONTH('# Encargos folha'!$A:$A)=$C148)"),0.08)</f>
        <v>0.08</v>
      </c>
      <c r="N148" s="142">
        <f t="shared" si="2"/>
        <v>0.11275</v>
      </c>
      <c r="O148" s="142">
        <f t="shared" si="3"/>
        <v>0.1503332958</v>
      </c>
      <c r="P148" s="168">
        <f t="shared" si="1"/>
        <v>0.6160832958</v>
      </c>
      <c r="Q148" s="145">
        <f t="array" ref="Q148">IFERROR(DGET(Dias_íteis,$Q$1,{$C$1;C148}),"")</f>
        <v>21</v>
      </c>
      <c r="R148" s="169">
        <v>184.8</v>
      </c>
      <c r="S148" s="147">
        <f>IFERROR(__xludf.DUMMYFUNCTION("SUM(FILTER(Trabalho!$I$2:$I207,MONTH(Trabalho!$G$2:$G207)=C148,Trabalho!$B$2:$B207=B148,Trabalho!$A$2:$A207=A148))"),5.0)</f>
        <v>5</v>
      </c>
      <c r="T148" s="147">
        <f>IFERROR(__xludf.DUMMYFUNCTION("IFERROR(SUM(FILTER(Trabalho!$I$2:$I207,MONTH(Trabalho!$G$2:$G207)=C148,Trabalho!$B$2:$B207=B148,Trabalho!$J$2:$J207=TRUE,Trabalho!$K$2:$K207=TRUE, Trabalho!$A$2:$A207=A148)),0)"),5.0)</f>
        <v>5</v>
      </c>
      <c r="U148" s="170">
        <v>63.26843672308541</v>
      </c>
      <c r="V148" s="167">
        <v>316.342183615427</v>
      </c>
    </row>
    <row r="149">
      <c r="A149" s="149" t="s">
        <v>184</v>
      </c>
      <c r="B149" s="149" t="s">
        <v>426</v>
      </c>
      <c r="C149" s="150">
        <v>10.0</v>
      </c>
      <c r="D149" s="151">
        <v>2025.0</v>
      </c>
      <c r="E149" s="149" t="s">
        <v>637</v>
      </c>
      <c r="F149" s="149" t="s">
        <v>638</v>
      </c>
      <c r="G149" s="152">
        <f>IFERROR(__xludf.DUMMYFUNCTION("IFERROR(filter(choosecols('# Salários'!$F:$Q,C149),'# Salários'!$C:$C=B149))"),7693.0)</f>
        <v>7693</v>
      </c>
      <c r="H149" s="153">
        <v>4957.304797473525</v>
      </c>
      <c r="I149" s="154">
        <v>12650.304797473524</v>
      </c>
      <c r="J149" s="155">
        <f>IFERROR(__xludf.DUMMYFUNCTION("filter('# Encargos folha'!E:E,MONTH('# Encargos folha'!$A:$A)=$C149)"),0.2)</f>
        <v>0.2</v>
      </c>
      <c r="K149" s="156">
        <f>IFERROR(__xludf.DUMMYFUNCTION("filter('# Encargos folha'!F:F,MONTH('# Encargos folha'!$A:$A)=$C149)"),0.058)</f>
        <v>0.058</v>
      </c>
      <c r="L149" s="157">
        <f>IFERROR(__xludf.DUMMYFUNCTION("filter('# Encargos folha'!G:G,MONTH('# Encargos folha'!$A:$A)=$C149)"),0.0387)</f>
        <v>0.0387</v>
      </c>
      <c r="M149" s="157">
        <f>IFERROR(__xludf.DUMMYFUNCTION("filter('# Encargos folha'!H:H,MONTH('# Encargos folha'!$A:$A)=$C149)"),0.08)</f>
        <v>0.08</v>
      </c>
      <c r="N149" s="157">
        <f t="shared" si="2"/>
        <v>0.114725</v>
      </c>
      <c r="O149" s="157">
        <f t="shared" si="3"/>
        <v>0.1529666284</v>
      </c>
      <c r="P149" s="158">
        <f t="shared" si="1"/>
        <v>0.6443916284</v>
      </c>
      <c r="Q149" s="159">
        <f t="array" ref="Q149">IFERROR(DGET(Dias_íteis,$Q$1,{$C$1;C149}),"")</f>
        <v>22</v>
      </c>
      <c r="R149" s="160">
        <v>193.60000000000002</v>
      </c>
      <c r="S149" s="161">
        <f>IFERROR(__xludf.DUMMYFUNCTION("SUM(FILTER(Trabalho!$I$2:$I207,MONTH(Trabalho!$G$2:$G207)=C149,Trabalho!$B$2:$B207=B149,Trabalho!$A$2:$A207=A149))"),8.0)</f>
        <v>8</v>
      </c>
      <c r="T149" s="161">
        <f>IFERROR(__xludf.DUMMYFUNCTION("IFERROR(SUM(FILTER(Trabalho!$I$2:$I207,MONTH(Trabalho!$G$2:$G207)=C149,Trabalho!$B$2:$B207=B149,Trabalho!$J$2:$J207=TRUE,Trabalho!$K$2:$K207=TRUE, Trabalho!$A$2:$A207=A149)),0)"),8.0)</f>
        <v>8</v>
      </c>
      <c r="U149" s="162">
        <v>65.34248345802439</v>
      </c>
      <c r="V149" s="154">
        <v>522.7398676641951</v>
      </c>
    </row>
    <row r="150">
      <c r="A150" s="164" t="s">
        <v>190</v>
      </c>
      <c r="B150" s="164" t="s">
        <v>496</v>
      </c>
      <c r="C150" s="165">
        <v>9.0</v>
      </c>
      <c r="D150" s="135">
        <v>2025.0</v>
      </c>
      <c r="E150" s="164" t="s">
        <v>634</v>
      </c>
      <c r="F150" s="164" t="s">
        <v>66</v>
      </c>
      <c r="G150" s="137" t="str">
        <f>IFERROR(__xludf.DUMMYFUNCTION("IFERROR(filter(choosecols('# Salários'!$F:$Q,C150),'# Salários'!$C:$C=B150))"),"")</f>
        <v/>
      </c>
      <c r="H150" s="166">
        <v>0.0</v>
      </c>
      <c r="I150" s="167">
        <v>0.0</v>
      </c>
      <c r="J150" s="140">
        <f>IFERROR(__xludf.DUMMYFUNCTION("filter('# Encargos folha'!E:E,MONTH('# Encargos folha'!$A:$A)=$C150)"),0.2)</f>
        <v>0.2</v>
      </c>
      <c r="K150" s="141">
        <f>IFERROR(__xludf.DUMMYFUNCTION("filter('# Encargos folha'!F:F,MONTH('# Encargos folha'!$A:$A)=$C150)"),0.058)</f>
        <v>0.058</v>
      </c>
      <c r="L150" s="142">
        <f>IFERROR(__xludf.DUMMYFUNCTION("filter('# Encargos folha'!G:G,MONTH('# Encargos folha'!$A:$A)=$C150)"),0.015)</f>
        <v>0.015</v>
      </c>
      <c r="M150" s="142">
        <f>IFERROR(__xludf.DUMMYFUNCTION("filter('# Encargos folha'!H:H,MONTH('# Encargos folha'!$A:$A)=$C150)"),0.08)</f>
        <v>0.08</v>
      </c>
      <c r="N150" s="142">
        <f t="shared" si="2"/>
        <v>0.11275</v>
      </c>
      <c r="O150" s="142">
        <f t="shared" si="3"/>
        <v>0.1503332958</v>
      </c>
      <c r="P150" s="168">
        <f t="shared" si="1"/>
        <v>0.6160832958</v>
      </c>
      <c r="Q150" s="145">
        <f t="array" ref="Q150">IFERROR(DGET(Dias_íteis,$Q$1,{$C$1;C150}),"")</f>
        <v>21</v>
      </c>
      <c r="R150" s="169">
        <v>184.8</v>
      </c>
      <c r="S150" s="147">
        <f>IFERROR(__xludf.DUMMYFUNCTION("SUM(FILTER(Trabalho!$I$2:$I207,MONTH(Trabalho!$G$2:$G207)=C150,Trabalho!$B$2:$B207=B150,Trabalho!$A$2:$A207=A150))"),2.0)</f>
        <v>2</v>
      </c>
      <c r="T150" s="147">
        <f>IFERROR(__xludf.DUMMYFUNCTION("IFERROR(SUM(FILTER(Trabalho!$I$2:$I207,MONTH(Trabalho!$G$2:$G207)=C150,Trabalho!$B$2:$B207=B150,Trabalho!$J$2:$J207=TRUE,Trabalho!$K$2:$K207=TRUE, Trabalho!$A$2:$A207=A150)),0)"),2.0)</f>
        <v>2</v>
      </c>
      <c r="U150" s="170">
        <v>0.0</v>
      </c>
      <c r="V150" s="167">
        <v>0.0</v>
      </c>
    </row>
    <row r="151">
      <c r="A151" s="149" t="s">
        <v>190</v>
      </c>
      <c r="B151" s="149" t="s">
        <v>251</v>
      </c>
      <c r="C151" s="150">
        <v>9.0</v>
      </c>
      <c r="D151" s="151">
        <v>2025.0</v>
      </c>
      <c r="E151" s="149" t="s">
        <v>635</v>
      </c>
      <c r="F151" s="149" t="s">
        <v>68</v>
      </c>
      <c r="G151" s="152">
        <f>IFERROR(__xludf.DUMMYFUNCTION("IFERROR(filter(choosecols('# Salários'!$F:$Q,C151),'# Salários'!$C:$C=B151))"),7202.0)</f>
        <v>7202</v>
      </c>
      <c r="H151" s="153">
        <v>4437.0318959915</v>
      </c>
      <c r="I151" s="154">
        <v>11639.0318959915</v>
      </c>
      <c r="J151" s="155">
        <f>IFERROR(__xludf.DUMMYFUNCTION("filter('# Encargos folha'!E:E,MONTH('# Encargos folha'!$A:$A)=$C151)"),0.2)</f>
        <v>0.2</v>
      </c>
      <c r="K151" s="156">
        <f>IFERROR(__xludf.DUMMYFUNCTION("filter('# Encargos folha'!F:F,MONTH('# Encargos folha'!$A:$A)=$C151)"),0.058)</f>
        <v>0.058</v>
      </c>
      <c r="L151" s="157">
        <f>IFERROR(__xludf.DUMMYFUNCTION("filter('# Encargos folha'!G:G,MONTH('# Encargos folha'!$A:$A)=$C151)"),0.015)</f>
        <v>0.015</v>
      </c>
      <c r="M151" s="157">
        <f>IFERROR(__xludf.DUMMYFUNCTION("filter('# Encargos folha'!H:H,MONTH('# Encargos folha'!$A:$A)=$C151)"),0.08)</f>
        <v>0.08</v>
      </c>
      <c r="N151" s="157">
        <f t="shared" si="2"/>
        <v>0.11275</v>
      </c>
      <c r="O151" s="157">
        <f t="shared" si="3"/>
        <v>0.1503332958</v>
      </c>
      <c r="P151" s="158">
        <f t="shared" si="1"/>
        <v>0.6160832958</v>
      </c>
      <c r="Q151" s="159">
        <f t="array" ref="Q151">IFERROR(DGET(Dias_íteis,$Q$1,{$C$1;C151}),"")</f>
        <v>21</v>
      </c>
      <c r="R151" s="160">
        <v>184.8</v>
      </c>
      <c r="S151" s="161">
        <f>IFERROR(__xludf.DUMMYFUNCTION("SUM(FILTER(Trabalho!$I$2:$I207,MONTH(Trabalho!$G$2:$G207)=C151,Trabalho!$B$2:$B207=B151,Trabalho!$A$2:$A207=A151))"),0.25)</f>
        <v>0.25</v>
      </c>
      <c r="T151" s="161">
        <f>IFERROR(__xludf.DUMMYFUNCTION("IFERROR(SUM(FILTER(Trabalho!$I$2:$I207,MONTH(Trabalho!$G$2:$G207)=C151,Trabalho!$B$2:$B207=B151,Trabalho!$J$2:$J207=TRUE,Trabalho!$K$2:$K207=TRUE, Trabalho!$A$2:$A207=A151)),0)"),0.25)</f>
        <v>0.25</v>
      </c>
      <c r="U151" s="162">
        <v>62.98177432895833</v>
      </c>
      <c r="V151" s="154">
        <v>15.745443582239583</v>
      </c>
    </row>
    <row r="152">
      <c r="A152" s="164" t="s">
        <v>190</v>
      </c>
      <c r="B152" s="164" t="s">
        <v>290</v>
      </c>
      <c r="C152" s="165">
        <v>2.0</v>
      </c>
      <c r="D152" s="135">
        <v>2025.0</v>
      </c>
      <c r="E152" s="164" t="s">
        <v>640</v>
      </c>
      <c r="F152" s="164" t="s">
        <v>66</v>
      </c>
      <c r="G152" s="137">
        <f>IFERROR(__xludf.DUMMYFUNCTION("IFERROR(filter(choosecols('# Salários'!$F:$Q,C152),'# Salários'!$C:$C=B152))"),6143.46)</f>
        <v>6143.46</v>
      </c>
      <c r="H152" s="166">
        <v>3894.9534065485204</v>
      </c>
      <c r="I152" s="167">
        <v>10038.41340654852</v>
      </c>
      <c r="J152" s="140">
        <f>IFERROR(__xludf.DUMMYFUNCTION("filter('# Encargos folha'!E:E,MONTH('# Encargos folha'!$A:$A)=$C152)"),0.2)</f>
        <v>0.2</v>
      </c>
      <c r="K152" s="141">
        <f>IFERROR(__xludf.DUMMYFUNCTION("filter('# Encargos folha'!F:F,MONTH('# Encargos folha'!$A:$A)=$C152)"),0.058)</f>
        <v>0.058</v>
      </c>
      <c r="L152" s="142">
        <f>IFERROR(__xludf.DUMMYFUNCTION("filter('# Encargos folha'!G:G,MONTH('# Encargos folha'!$A:$A)=$C152)"),0.03)</f>
        <v>0.03</v>
      </c>
      <c r="M152" s="142">
        <f>IFERROR(__xludf.DUMMYFUNCTION("filter('# Encargos folha'!H:H,MONTH('# Encargos folha'!$A:$A)=$C152)"),0.08)</f>
        <v>0.08</v>
      </c>
      <c r="N152" s="142">
        <f t="shared" si="2"/>
        <v>0.114</v>
      </c>
      <c r="O152" s="142">
        <f t="shared" si="3"/>
        <v>0.151999962</v>
      </c>
      <c r="P152" s="168">
        <f t="shared" si="1"/>
        <v>0.633999962</v>
      </c>
      <c r="Q152" s="145">
        <f t="array" ref="Q152">IFERROR(DGET(Dias_íteis,$Q$1,{$C$1;C152}),"")</f>
        <v>19</v>
      </c>
      <c r="R152" s="169">
        <v>167.20000000000002</v>
      </c>
      <c r="S152" s="147">
        <f>IFERROR(__xludf.DUMMYFUNCTION("SUM(FILTER(Trabalho!$I$2:$I207,MONTH(Trabalho!$G$2:$G207)=C152,Trabalho!$B$2:$B207=B152,Trabalho!$A$2:$A207=A152))"),8.5)</f>
        <v>8.5</v>
      </c>
      <c r="T152" s="147">
        <f>IFERROR(__xludf.DUMMYFUNCTION("IFERROR(SUM(FILTER(Trabalho!$I$2:$I207,MONTH(Trabalho!$G$2:$G207)=C152,Trabalho!$B$2:$B207=B152,Trabalho!$J$2:$J207=TRUE,Trabalho!$K$2:$K207=TRUE, Trabalho!$A$2:$A207=A152)),0)"),8.5)</f>
        <v>8.5</v>
      </c>
      <c r="U152" s="170">
        <v>60.03835769466817</v>
      </c>
      <c r="V152" s="167">
        <v>510.3260404046795</v>
      </c>
    </row>
    <row r="153">
      <c r="A153" s="149" t="s">
        <v>190</v>
      </c>
      <c r="B153" s="149" t="s">
        <v>426</v>
      </c>
      <c r="C153" s="150">
        <v>2.0</v>
      </c>
      <c r="D153" s="151">
        <v>2025.0</v>
      </c>
      <c r="E153" s="149" t="s">
        <v>637</v>
      </c>
      <c r="F153" s="149" t="s">
        <v>638</v>
      </c>
      <c r="G153" s="152">
        <f>IFERROR(__xludf.DUMMYFUNCTION("IFERROR(filter(choosecols('# Salários'!$F:$Q,C153),'# Salários'!$C:$C=B153))"),7234.78)</f>
        <v>7234.78</v>
      </c>
      <c r="H153" s="153">
        <v>4586.850245078361</v>
      </c>
      <c r="I153" s="154">
        <v>11821.63024507836</v>
      </c>
      <c r="J153" s="155">
        <f>IFERROR(__xludf.DUMMYFUNCTION("filter('# Encargos folha'!E:E,MONTH('# Encargos folha'!$A:$A)=$C153)"),0.2)</f>
        <v>0.2</v>
      </c>
      <c r="K153" s="156">
        <f>IFERROR(__xludf.DUMMYFUNCTION("filter('# Encargos folha'!F:F,MONTH('# Encargos folha'!$A:$A)=$C153)"),0.058)</f>
        <v>0.058</v>
      </c>
      <c r="L153" s="157">
        <f>IFERROR(__xludf.DUMMYFUNCTION("filter('# Encargos folha'!G:G,MONTH('# Encargos folha'!$A:$A)=$C153)"),0.03)</f>
        <v>0.03</v>
      </c>
      <c r="M153" s="157">
        <f>IFERROR(__xludf.DUMMYFUNCTION("filter('# Encargos folha'!H:H,MONTH('# Encargos folha'!$A:$A)=$C153)"),0.08)</f>
        <v>0.08</v>
      </c>
      <c r="N153" s="157">
        <f t="shared" si="2"/>
        <v>0.114</v>
      </c>
      <c r="O153" s="157">
        <f t="shared" si="3"/>
        <v>0.151999962</v>
      </c>
      <c r="P153" s="158">
        <f t="shared" si="1"/>
        <v>0.633999962</v>
      </c>
      <c r="Q153" s="159">
        <f t="array" ref="Q153">IFERROR(DGET(Dias_íteis,$Q$1,{$C$1;C153}),"")</f>
        <v>19</v>
      </c>
      <c r="R153" s="160">
        <v>167.20000000000002</v>
      </c>
      <c r="S153" s="161">
        <f>IFERROR(__xludf.DUMMYFUNCTION("SUM(FILTER(Trabalho!$I$2:$I207,MONTH(Trabalho!$G$2:$G207)=C153,Trabalho!$B$2:$B207=B153,Trabalho!$A$2:$A207=A153))"),3.0)</f>
        <v>3</v>
      </c>
      <c r="T153" s="161">
        <f>IFERROR(__xludf.DUMMYFUNCTION("IFERROR(SUM(FILTER(Trabalho!$I$2:$I207,MONTH(Trabalho!$G$2:$G207)=C153,Trabalho!$B$2:$B207=B153,Trabalho!$J$2:$J207=TRUE,Trabalho!$K$2:$K207=TRUE, Trabalho!$A$2:$A207=A153)),0)"),0.0)</f>
        <v>0</v>
      </c>
      <c r="U153" s="162">
        <v>70.70353017391363</v>
      </c>
      <c r="V153" s="154">
        <v>0.0</v>
      </c>
    </row>
    <row r="154">
      <c r="A154" s="164" t="s">
        <v>190</v>
      </c>
      <c r="B154" s="164" t="s">
        <v>426</v>
      </c>
      <c r="C154" s="165">
        <v>5.0</v>
      </c>
      <c r="D154" s="135">
        <v>2025.0</v>
      </c>
      <c r="E154" s="164" t="s">
        <v>637</v>
      </c>
      <c r="F154" s="164" t="s">
        <v>638</v>
      </c>
      <c r="G154" s="137">
        <f>IFERROR(__xludf.DUMMYFUNCTION("IFERROR(filter(choosecols('# Salários'!$F:$Q,C154),'# Salários'!$C:$C=B154))"),7234.78)</f>
        <v>7234.78</v>
      </c>
      <c r="H154" s="166">
        <v>4457.227106426185</v>
      </c>
      <c r="I154" s="167">
        <v>11692.007106426185</v>
      </c>
      <c r="J154" s="140">
        <f>IFERROR(__xludf.DUMMYFUNCTION("filter('# Encargos folha'!E:E,MONTH('# Encargos folha'!$A:$A)=$C154)"),0.2)</f>
        <v>0.2</v>
      </c>
      <c r="K154" s="141">
        <f>IFERROR(__xludf.DUMMYFUNCTION("filter('# Encargos folha'!F:F,MONTH('# Encargos folha'!$A:$A)=$C154)"),0.058)</f>
        <v>0.058</v>
      </c>
      <c r="L154" s="142">
        <f>IFERROR(__xludf.DUMMYFUNCTION("filter('# Encargos folha'!G:G,MONTH('# Encargos folha'!$A:$A)=$C154)"),0.015)</f>
        <v>0.015</v>
      </c>
      <c r="M154" s="142">
        <f>IFERROR(__xludf.DUMMYFUNCTION("filter('# Encargos folha'!H:H,MONTH('# Encargos folha'!$A:$A)=$C154)"),0.08)</f>
        <v>0.08</v>
      </c>
      <c r="N154" s="142">
        <f t="shared" si="2"/>
        <v>0.11275</v>
      </c>
      <c r="O154" s="142">
        <f t="shared" si="3"/>
        <v>0.1503332958</v>
      </c>
      <c r="P154" s="168">
        <f t="shared" si="1"/>
        <v>0.6160832958</v>
      </c>
      <c r="Q154" s="145">
        <f t="array" ref="Q154">IFERROR(DGET(Dias_íteis,$Q$1,{$C$1;C154}),"")</f>
        <v>21</v>
      </c>
      <c r="R154" s="169">
        <v>184.8</v>
      </c>
      <c r="S154" s="147">
        <f>IFERROR(__xludf.DUMMYFUNCTION("SUM(FILTER(Trabalho!$I$2:$I207,MONTH(Trabalho!$G$2:$G207)=C154,Trabalho!$B$2:$B207=B154,Trabalho!$A$2:$A207=A154))"),3.0)</f>
        <v>3</v>
      </c>
      <c r="T154" s="147">
        <f>IFERROR(__xludf.DUMMYFUNCTION("IFERROR(SUM(FILTER(Trabalho!$I$2:$I207,MONTH(Trabalho!$G$2:$G207)=C154,Trabalho!$B$2:$B207=B154,Trabalho!$J$2:$J207=TRUE,Trabalho!$K$2:$K207=TRUE, Trabalho!$A$2:$A207=A154)),0)"),3.0)</f>
        <v>3</v>
      </c>
      <c r="U154" s="170">
        <v>63.26843672308541</v>
      </c>
      <c r="V154" s="167">
        <v>189.80531016925622</v>
      </c>
    </row>
    <row r="155">
      <c r="A155" s="149" t="s">
        <v>190</v>
      </c>
      <c r="B155" s="149" t="s">
        <v>426</v>
      </c>
      <c r="C155" s="150">
        <v>10.0</v>
      </c>
      <c r="D155" s="151">
        <v>2025.0</v>
      </c>
      <c r="E155" s="149" t="s">
        <v>637</v>
      </c>
      <c r="F155" s="149" t="s">
        <v>638</v>
      </c>
      <c r="G155" s="152">
        <f>IFERROR(__xludf.DUMMYFUNCTION("IFERROR(filter(choosecols('# Salários'!$F:$Q,C155),'# Salários'!$C:$C=B155))"),7693.0)</f>
        <v>7693</v>
      </c>
      <c r="H155" s="153">
        <v>4957.304797473525</v>
      </c>
      <c r="I155" s="154">
        <v>12650.304797473524</v>
      </c>
      <c r="J155" s="155">
        <f>IFERROR(__xludf.DUMMYFUNCTION("filter('# Encargos folha'!E:E,MONTH('# Encargos folha'!$A:$A)=$C155)"),0.2)</f>
        <v>0.2</v>
      </c>
      <c r="K155" s="156">
        <f>IFERROR(__xludf.DUMMYFUNCTION("filter('# Encargos folha'!F:F,MONTH('# Encargos folha'!$A:$A)=$C155)"),0.058)</f>
        <v>0.058</v>
      </c>
      <c r="L155" s="157">
        <f>IFERROR(__xludf.DUMMYFUNCTION("filter('# Encargos folha'!G:G,MONTH('# Encargos folha'!$A:$A)=$C155)"),0.0387)</f>
        <v>0.0387</v>
      </c>
      <c r="M155" s="157">
        <f>IFERROR(__xludf.DUMMYFUNCTION("filter('# Encargos folha'!H:H,MONTH('# Encargos folha'!$A:$A)=$C155)"),0.08)</f>
        <v>0.08</v>
      </c>
      <c r="N155" s="157">
        <f t="shared" si="2"/>
        <v>0.114725</v>
      </c>
      <c r="O155" s="157">
        <f t="shared" si="3"/>
        <v>0.1529666284</v>
      </c>
      <c r="P155" s="158">
        <f t="shared" si="1"/>
        <v>0.6443916284</v>
      </c>
      <c r="Q155" s="159">
        <f t="array" ref="Q155">IFERROR(DGET(Dias_íteis,$Q$1,{$C$1;C155}),"")</f>
        <v>22</v>
      </c>
      <c r="R155" s="160">
        <v>193.60000000000002</v>
      </c>
      <c r="S155" s="161">
        <f>IFERROR(__xludf.DUMMYFUNCTION("SUM(FILTER(Trabalho!$I$2:$I207,MONTH(Trabalho!$G$2:$G207)=C155,Trabalho!$B$2:$B207=B155,Trabalho!$A$2:$A207=A155))"),44.0)</f>
        <v>44</v>
      </c>
      <c r="T155" s="161">
        <f>IFERROR(__xludf.DUMMYFUNCTION("IFERROR(SUM(FILTER(Trabalho!$I$2:$I207,MONTH(Trabalho!$G$2:$G207)=C155,Trabalho!$B$2:$B207=B155,Trabalho!$J$2:$J207=TRUE,Trabalho!$K$2:$K207=TRUE, Trabalho!$A$2:$A207=A155)),0)"),44.0)</f>
        <v>44</v>
      </c>
      <c r="U155" s="162">
        <v>65.34248345802439</v>
      </c>
      <c r="V155" s="154">
        <v>2875.069272153073</v>
      </c>
    </row>
    <row r="156">
      <c r="A156" s="164" t="s">
        <v>190</v>
      </c>
      <c r="B156" s="164" t="s">
        <v>426</v>
      </c>
      <c r="C156" s="165">
        <v>11.0</v>
      </c>
      <c r="D156" s="135">
        <v>2025.0</v>
      </c>
      <c r="E156" s="164" t="s">
        <v>637</v>
      </c>
      <c r="F156" s="164" t="s">
        <v>638</v>
      </c>
      <c r="G156" s="137">
        <f>IFERROR(__xludf.DUMMYFUNCTION("IFERROR(filter(choosecols('# Salários'!$F:$Q,C156),'# Salários'!$C:$C=B156))"),7693.0)</f>
        <v>7693</v>
      </c>
      <c r="H156" s="166">
        <v>4957.304797473525</v>
      </c>
      <c r="I156" s="167">
        <v>12650.304797473524</v>
      </c>
      <c r="J156" s="140">
        <f>IFERROR(__xludf.DUMMYFUNCTION("filter('# Encargos folha'!E:E,MONTH('# Encargos folha'!$A:$A)=$C156)"),0.2)</f>
        <v>0.2</v>
      </c>
      <c r="K156" s="141">
        <f>IFERROR(__xludf.DUMMYFUNCTION("filter('# Encargos folha'!F:F,MONTH('# Encargos folha'!$A:$A)=$C156)"),0.058)</f>
        <v>0.058</v>
      </c>
      <c r="L156" s="142">
        <f>IFERROR(__xludf.DUMMYFUNCTION("filter('# Encargos folha'!G:G,MONTH('# Encargos folha'!$A:$A)=$C156)"),0.0387)</f>
        <v>0.0387</v>
      </c>
      <c r="M156" s="142">
        <f>IFERROR(__xludf.DUMMYFUNCTION("filter('# Encargos folha'!H:H,MONTH('# Encargos folha'!$A:$A)=$C156)"),0.08)</f>
        <v>0.08</v>
      </c>
      <c r="N156" s="142">
        <f t="shared" si="2"/>
        <v>0.114725</v>
      </c>
      <c r="O156" s="142">
        <f t="shared" si="3"/>
        <v>0.1529666284</v>
      </c>
      <c r="P156" s="168">
        <f t="shared" si="1"/>
        <v>0.6443916284</v>
      </c>
      <c r="Q156" s="145">
        <f t="array" ref="Q156">IFERROR(DGET(Dias_íteis,$Q$1,{$C$1;C156}),"")</f>
        <v>19</v>
      </c>
      <c r="R156" s="169">
        <v>167.20000000000002</v>
      </c>
      <c r="S156" s="147">
        <f>IFERROR(__xludf.DUMMYFUNCTION("SUM(FILTER(Trabalho!$I$2:$I207,MONTH(Trabalho!$G$2:$G207)=C156,Trabalho!$B$2:$B207=B156,Trabalho!$A$2:$A207=A156))"),7.0)</f>
        <v>7</v>
      </c>
      <c r="T156" s="147">
        <f>IFERROR(__xludf.DUMMYFUNCTION("IFERROR(SUM(FILTER(Trabalho!$I$2:$I207,MONTH(Trabalho!$G$2:$G207)=C156,Trabalho!$B$2:$B207=B156,Trabalho!$J$2:$J207=TRUE,Trabalho!$K$2:$K207=TRUE, Trabalho!$A$2:$A207=A156)),0)"),7.0)</f>
        <v>7</v>
      </c>
      <c r="U156" s="170">
        <v>75.65971768823877</v>
      </c>
      <c r="V156" s="167">
        <v>529.6180238176714</v>
      </c>
    </row>
    <row r="157">
      <c r="A157" s="149" t="s">
        <v>197</v>
      </c>
      <c r="B157" s="149" t="s">
        <v>496</v>
      </c>
      <c r="C157" s="150">
        <v>8.0</v>
      </c>
      <c r="D157" s="151">
        <v>2025.0</v>
      </c>
      <c r="E157" s="149" t="s">
        <v>634</v>
      </c>
      <c r="F157" s="149" t="s">
        <v>66</v>
      </c>
      <c r="G157" s="152">
        <f>IFERROR(__xludf.DUMMYFUNCTION("IFERROR(filter(choosecols('# Salários'!$F:$Q,C157),'# Salários'!$C:$C=B157))"),7613.79)</f>
        <v>7613.79</v>
      </c>
      <c r="H157" s="153">
        <v>4690.728836348392</v>
      </c>
      <c r="I157" s="154">
        <v>12304.518836348392</v>
      </c>
      <c r="J157" s="155">
        <f>IFERROR(__xludf.DUMMYFUNCTION("filter('# Encargos folha'!E:E,MONTH('# Encargos folha'!$A:$A)=$C157)"),0.2)</f>
        <v>0.2</v>
      </c>
      <c r="K157" s="156">
        <f>IFERROR(__xludf.DUMMYFUNCTION("filter('# Encargos folha'!F:F,MONTH('# Encargos folha'!$A:$A)=$C157)"),0.058)</f>
        <v>0.058</v>
      </c>
      <c r="L157" s="157">
        <f>IFERROR(__xludf.DUMMYFUNCTION("filter('# Encargos folha'!G:G,MONTH('# Encargos folha'!$A:$A)=$C157)"),0.015)</f>
        <v>0.015</v>
      </c>
      <c r="M157" s="157">
        <f>IFERROR(__xludf.DUMMYFUNCTION("filter('# Encargos folha'!H:H,MONTH('# Encargos folha'!$A:$A)=$C157)"),0.08)</f>
        <v>0.08</v>
      </c>
      <c r="N157" s="157">
        <f t="shared" si="2"/>
        <v>0.11275</v>
      </c>
      <c r="O157" s="157">
        <f t="shared" si="3"/>
        <v>0.1503332958</v>
      </c>
      <c r="P157" s="158">
        <f t="shared" si="1"/>
        <v>0.6160832958</v>
      </c>
      <c r="Q157" s="159">
        <f t="array" ref="Q157">IFERROR(DGET(Dias_íteis,$Q$1,{$C$1;C157}),"")</f>
        <v>21</v>
      </c>
      <c r="R157" s="160">
        <v>184.8</v>
      </c>
      <c r="S157" s="161">
        <f>IFERROR(__xludf.DUMMYFUNCTION("SUM(FILTER(Trabalho!$I$2:$I207,MONTH(Trabalho!$G$2:$G207)=C157,Trabalho!$B$2:$B207=B157,Trabalho!$A$2:$A207=A157))"),2.0)</f>
        <v>2</v>
      </c>
      <c r="T157" s="161">
        <f>IFERROR(__xludf.DUMMYFUNCTION("IFERROR(SUM(FILTER(Trabalho!$I$2:$I207,MONTH(Trabalho!$G$2:$G207)=C157,Trabalho!$B$2:$B207=B157,Trabalho!$J$2:$J207=TRUE,Trabalho!$K$2:$K207=TRUE, Trabalho!$A$2:$A207=A157)),0)"),2.0)</f>
        <v>2</v>
      </c>
      <c r="U157" s="162">
        <v>66.58289413608436</v>
      </c>
      <c r="V157" s="154">
        <v>133.16578827216873</v>
      </c>
    </row>
    <row r="158">
      <c r="A158" s="164" t="s">
        <v>197</v>
      </c>
      <c r="B158" s="164" t="s">
        <v>406</v>
      </c>
      <c r="C158" s="165">
        <v>8.0</v>
      </c>
      <c r="D158" s="135">
        <v>2025.0</v>
      </c>
      <c r="E158" s="164" t="s">
        <v>636</v>
      </c>
      <c r="F158" s="164" t="s">
        <v>68</v>
      </c>
      <c r="G158" s="137">
        <f>IFERROR(__xludf.DUMMYFUNCTION("IFERROR(filter(choosecols('# Salários'!$F:$Q,C158),'# Salários'!$C:$C=B158))"),5286.0)</f>
        <v>5286</v>
      </c>
      <c r="H158" s="166">
        <v>3256.6163013345</v>
      </c>
      <c r="I158" s="167">
        <v>8542.6163013345</v>
      </c>
      <c r="J158" s="140">
        <f>IFERROR(__xludf.DUMMYFUNCTION("filter('# Encargos folha'!E:E,MONTH('# Encargos folha'!$A:$A)=$C158)"),0.2)</f>
        <v>0.2</v>
      </c>
      <c r="K158" s="141">
        <f>IFERROR(__xludf.DUMMYFUNCTION("filter('# Encargos folha'!F:F,MONTH('# Encargos folha'!$A:$A)=$C158)"),0.058)</f>
        <v>0.058</v>
      </c>
      <c r="L158" s="142">
        <f>IFERROR(__xludf.DUMMYFUNCTION("filter('# Encargos folha'!G:G,MONTH('# Encargos folha'!$A:$A)=$C158)"),0.015)</f>
        <v>0.015</v>
      </c>
      <c r="M158" s="142">
        <f>IFERROR(__xludf.DUMMYFUNCTION("filter('# Encargos folha'!H:H,MONTH('# Encargos folha'!$A:$A)=$C158)"),0.08)</f>
        <v>0.08</v>
      </c>
      <c r="N158" s="142">
        <f t="shared" si="2"/>
        <v>0.11275</v>
      </c>
      <c r="O158" s="142">
        <f t="shared" si="3"/>
        <v>0.1503332958</v>
      </c>
      <c r="P158" s="168">
        <f t="shared" si="1"/>
        <v>0.6160832958</v>
      </c>
      <c r="Q158" s="145">
        <f t="array" ref="Q158">IFERROR(DGET(Dias_íteis,$Q$1,{$C$1;C158}),"")</f>
        <v>21</v>
      </c>
      <c r="R158" s="169">
        <v>184.8</v>
      </c>
      <c r="S158" s="147">
        <f>IFERROR(__xludf.DUMMYFUNCTION("SUM(FILTER(Trabalho!$I$2:$I207,MONTH(Trabalho!$G$2:$G207)=C158,Trabalho!$B$2:$B207=B158,Trabalho!$A$2:$A207=A158))"),8.0)</f>
        <v>8</v>
      </c>
      <c r="T158" s="147">
        <f>IFERROR(__xludf.DUMMYFUNCTION("IFERROR(SUM(FILTER(Trabalho!$I$2:$I207,MONTH(Trabalho!$G$2:$G207)=C158,Trabalho!$B$2:$B207=B158,Trabalho!$J$2:$J207=TRUE,Trabalho!$K$2:$K207=TRUE, Trabalho!$A$2:$A207=A158)),0)"),8.0)</f>
        <v>8</v>
      </c>
      <c r="U158" s="170">
        <v>46.22627868687499</v>
      </c>
      <c r="V158" s="167">
        <v>369.81022949499993</v>
      </c>
    </row>
    <row r="159">
      <c r="A159" s="149" t="s">
        <v>203</v>
      </c>
      <c r="B159" s="149" t="s">
        <v>496</v>
      </c>
      <c r="C159" s="150">
        <v>9.0</v>
      </c>
      <c r="D159" s="151">
        <v>2025.0</v>
      </c>
      <c r="E159" s="149" t="s">
        <v>634</v>
      </c>
      <c r="F159" s="149" t="s">
        <v>66</v>
      </c>
      <c r="G159" s="152" t="str">
        <f>IFERROR(__xludf.DUMMYFUNCTION("IFERROR(filter(choosecols('# Salários'!$F:$Q,C159),'# Salários'!$C:$C=B159))"),"")</f>
        <v/>
      </c>
      <c r="H159" s="153">
        <v>0.0</v>
      </c>
      <c r="I159" s="154">
        <v>0.0</v>
      </c>
      <c r="J159" s="155">
        <f>IFERROR(__xludf.DUMMYFUNCTION("filter('# Encargos folha'!E:E,MONTH('# Encargos folha'!$A:$A)=$C159)"),0.2)</f>
        <v>0.2</v>
      </c>
      <c r="K159" s="156">
        <f>IFERROR(__xludf.DUMMYFUNCTION("filter('# Encargos folha'!F:F,MONTH('# Encargos folha'!$A:$A)=$C159)"),0.058)</f>
        <v>0.058</v>
      </c>
      <c r="L159" s="157">
        <f>IFERROR(__xludf.DUMMYFUNCTION("filter('# Encargos folha'!G:G,MONTH('# Encargos folha'!$A:$A)=$C159)"),0.015)</f>
        <v>0.015</v>
      </c>
      <c r="M159" s="157">
        <f>IFERROR(__xludf.DUMMYFUNCTION("filter('# Encargos folha'!H:H,MONTH('# Encargos folha'!$A:$A)=$C159)"),0.08)</f>
        <v>0.08</v>
      </c>
      <c r="N159" s="157">
        <f t="shared" si="2"/>
        <v>0.11275</v>
      </c>
      <c r="O159" s="157">
        <f t="shared" si="3"/>
        <v>0.1503332958</v>
      </c>
      <c r="P159" s="158">
        <f t="shared" si="1"/>
        <v>0.6160832958</v>
      </c>
      <c r="Q159" s="159">
        <f t="array" ref="Q159">IFERROR(DGET(Dias_íteis,$Q$1,{$C$1;C159}),"")</f>
        <v>21</v>
      </c>
      <c r="R159" s="160">
        <v>184.8</v>
      </c>
      <c r="S159" s="161">
        <f>IFERROR(__xludf.DUMMYFUNCTION("SUM(FILTER(Trabalho!$I$2:$I207,MONTH(Trabalho!$G$2:$G207)=C159,Trabalho!$B$2:$B207=B159,Trabalho!$A$2:$A207=A159))"),2.0)</f>
        <v>2</v>
      </c>
      <c r="T159" s="161">
        <f>IFERROR(__xludf.DUMMYFUNCTION("IFERROR(SUM(FILTER(Trabalho!$I$2:$I207,MONTH(Trabalho!$G$2:$G207)=C159,Trabalho!$B$2:$B207=B159,Trabalho!$J$2:$J207=TRUE,Trabalho!$K$2:$K207=TRUE, Trabalho!$A$2:$A207=A159)),0)"),2.0)</f>
        <v>2</v>
      </c>
      <c r="U159" s="162">
        <v>0.0</v>
      </c>
      <c r="V159" s="154">
        <v>0.0</v>
      </c>
    </row>
    <row r="160">
      <c r="A160" s="164" t="s">
        <v>258</v>
      </c>
      <c r="B160" s="164" t="s">
        <v>251</v>
      </c>
      <c r="C160" s="165">
        <v>1.0</v>
      </c>
      <c r="D160" s="135">
        <v>2025.0</v>
      </c>
      <c r="E160" s="164" t="s">
        <v>635</v>
      </c>
      <c r="F160" s="164" t="s">
        <v>68</v>
      </c>
      <c r="G160" s="137">
        <f>IFERROR(__xludf.DUMMYFUNCTION("IFERROR(filter(choosecols('# Salários'!$F:$Q,C160),'# Salários'!$C:$C=B160))"),5481.24)</f>
        <v>5481.24</v>
      </c>
      <c r="H160" s="166">
        <v>3475.10595171288</v>
      </c>
      <c r="I160" s="167">
        <v>8956.34595171288</v>
      </c>
      <c r="J160" s="140">
        <f>IFERROR(__xludf.DUMMYFUNCTION("filter('# Encargos folha'!E:E,MONTH('# Encargos folha'!$A:$A)=$C160)"),0.2)</f>
        <v>0.2</v>
      </c>
      <c r="K160" s="141">
        <f>IFERROR(__xludf.DUMMYFUNCTION("filter('# Encargos folha'!F:F,MONTH('# Encargos folha'!$A:$A)=$C160)"),0.058)</f>
        <v>0.058</v>
      </c>
      <c r="L160" s="142">
        <f>IFERROR(__xludf.DUMMYFUNCTION("filter('# Encargos folha'!G:G,MONTH('# Encargos folha'!$A:$A)=$C160)"),0.03)</f>
        <v>0.03</v>
      </c>
      <c r="M160" s="142">
        <f>IFERROR(__xludf.DUMMYFUNCTION("filter('# Encargos folha'!H:H,MONTH('# Encargos folha'!$A:$A)=$C160)"),0.08)</f>
        <v>0.08</v>
      </c>
      <c r="N160" s="142">
        <f t="shared" si="2"/>
        <v>0.114</v>
      </c>
      <c r="O160" s="142">
        <f t="shared" si="3"/>
        <v>0.151999962</v>
      </c>
      <c r="P160" s="168">
        <f t="shared" si="1"/>
        <v>0.633999962</v>
      </c>
      <c r="Q160" s="145">
        <f t="array" ref="Q160">IFERROR(DGET(Dias_íteis,$Q$1,{$C$1;C160}),"")</f>
        <v>22</v>
      </c>
      <c r="R160" s="169">
        <v>193.60000000000002</v>
      </c>
      <c r="S160" s="147">
        <f>IFERROR(__xludf.DUMMYFUNCTION("SUM(FILTER(Trabalho!$I$2:$I207,MONTH(Trabalho!$G$2:$G207)=C160,Trabalho!$B$2:$B207=B160,Trabalho!$A$2:$A207=A160))"),0.25)</f>
        <v>0.25</v>
      </c>
      <c r="T160" s="147">
        <f>IFERROR(__xludf.DUMMYFUNCTION("IFERROR(SUM(FILTER(Trabalho!$I$2:$I207,MONTH(Trabalho!$G$2:$G207)=C160,Trabalho!$B$2:$B207=B160,Trabalho!$J$2:$J207=TRUE,Trabalho!$K$2:$K207=TRUE, Trabalho!$A$2:$A207=A160)),0)"),0.0)</f>
        <v>0</v>
      </c>
      <c r="U160" s="170">
        <v>46.26211751917809</v>
      </c>
      <c r="V160" s="167">
        <v>0.0</v>
      </c>
    </row>
    <row r="161">
      <c r="A161" s="149" t="s">
        <v>258</v>
      </c>
      <c r="B161" s="149" t="s">
        <v>251</v>
      </c>
      <c r="C161" s="150">
        <v>4.0</v>
      </c>
      <c r="D161" s="151">
        <v>2025.0</v>
      </c>
      <c r="E161" s="149" t="s">
        <v>635</v>
      </c>
      <c r="F161" s="149" t="s">
        <v>68</v>
      </c>
      <c r="G161" s="152">
        <f>IFERROR(__xludf.DUMMYFUNCTION("IFERROR(filter(choosecols('# Salários'!$F:$Q,C161),'# Salários'!$C:$C=B161))"),5481.24)</f>
        <v>5481.24</v>
      </c>
      <c r="H161" s="153">
        <v>3376.90040399673</v>
      </c>
      <c r="I161" s="154">
        <v>8858.14040399673</v>
      </c>
      <c r="J161" s="155">
        <f>IFERROR(__xludf.DUMMYFUNCTION("filter('# Encargos folha'!E:E,MONTH('# Encargos folha'!$A:$A)=$C161)"),0.2)</f>
        <v>0.2</v>
      </c>
      <c r="K161" s="156">
        <f>IFERROR(__xludf.DUMMYFUNCTION("filter('# Encargos folha'!F:F,MONTH('# Encargos folha'!$A:$A)=$C161)"),0.058)</f>
        <v>0.058</v>
      </c>
      <c r="L161" s="157">
        <f>IFERROR(__xludf.DUMMYFUNCTION("filter('# Encargos folha'!G:G,MONTH('# Encargos folha'!$A:$A)=$C161)"),0.015)</f>
        <v>0.015</v>
      </c>
      <c r="M161" s="157">
        <f>IFERROR(__xludf.DUMMYFUNCTION("filter('# Encargos folha'!H:H,MONTH('# Encargos folha'!$A:$A)=$C161)"),0.08)</f>
        <v>0.08</v>
      </c>
      <c r="N161" s="157">
        <f t="shared" si="2"/>
        <v>0.11275</v>
      </c>
      <c r="O161" s="157">
        <f t="shared" si="3"/>
        <v>0.1503332958</v>
      </c>
      <c r="P161" s="158">
        <f t="shared" si="1"/>
        <v>0.6160832958</v>
      </c>
      <c r="Q161" s="159">
        <f t="array" ref="Q161">IFERROR(DGET(Dias_íteis,$Q$1,{$C$1;C161}),"")</f>
        <v>20</v>
      </c>
      <c r="R161" s="160">
        <v>176.0</v>
      </c>
      <c r="S161" s="161">
        <f>IFERROR(__xludf.DUMMYFUNCTION("SUM(FILTER(Trabalho!$I$2:$I207,MONTH(Trabalho!$G$2:$G207)=C161,Trabalho!$B$2:$B207=B161,Trabalho!$A$2:$A207=A161))"),2.25)</f>
        <v>2.25</v>
      </c>
      <c r="T161" s="161">
        <f>IFERROR(__xludf.DUMMYFUNCTION("IFERROR(SUM(FILTER(Trabalho!$I$2:$I207,MONTH(Trabalho!$G$2:$G207)=C161,Trabalho!$B$2:$B207=B161,Trabalho!$J$2:$J207=TRUE,Trabalho!$K$2:$K207=TRUE, Trabalho!$A$2:$A207=A161)),0)"),0.0)</f>
        <v>0</v>
      </c>
      <c r="U161" s="162">
        <v>50.33034320452687</v>
      </c>
      <c r="V161" s="154">
        <v>0.0</v>
      </c>
    </row>
    <row r="162">
      <c r="A162" s="164" t="s">
        <v>258</v>
      </c>
      <c r="B162" s="164" t="s">
        <v>546</v>
      </c>
      <c r="C162" s="165">
        <v>11.0</v>
      </c>
      <c r="D162" s="135">
        <v>2025.0</v>
      </c>
      <c r="E162" s="164" t="s">
        <v>641</v>
      </c>
      <c r="F162" s="164" t="s">
        <v>65</v>
      </c>
      <c r="G162" s="137">
        <f>IFERROR(__xludf.DUMMYFUNCTION("IFERROR(filter(choosecols('# Salários'!$F:$Q,C162),'# Salários'!$C:$C=B162))"),4391.0)</f>
        <v>4391</v>
      </c>
      <c r="H162" s="166">
        <v>2829.5236404141747</v>
      </c>
      <c r="I162" s="167">
        <v>7220.523640414174</v>
      </c>
      <c r="J162" s="140">
        <f>IFERROR(__xludf.DUMMYFUNCTION("filter('# Encargos folha'!E:E,MONTH('# Encargos folha'!$A:$A)=$C162)"),0.2)</f>
        <v>0.2</v>
      </c>
      <c r="K162" s="141">
        <f>IFERROR(__xludf.DUMMYFUNCTION("filter('# Encargos folha'!F:F,MONTH('# Encargos folha'!$A:$A)=$C162)"),0.058)</f>
        <v>0.058</v>
      </c>
      <c r="L162" s="142">
        <f>IFERROR(__xludf.DUMMYFUNCTION("filter('# Encargos folha'!G:G,MONTH('# Encargos folha'!$A:$A)=$C162)"),0.0387)</f>
        <v>0.0387</v>
      </c>
      <c r="M162" s="142">
        <f>IFERROR(__xludf.DUMMYFUNCTION("filter('# Encargos folha'!H:H,MONTH('# Encargos folha'!$A:$A)=$C162)"),0.08)</f>
        <v>0.08</v>
      </c>
      <c r="N162" s="142">
        <f t="shared" si="2"/>
        <v>0.114725</v>
      </c>
      <c r="O162" s="142">
        <f t="shared" si="3"/>
        <v>0.1529666284</v>
      </c>
      <c r="P162" s="168">
        <f t="shared" si="1"/>
        <v>0.6443916284</v>
      </c>
      <c r="Q162" s="145">
        <f t="array" ref="Q162">IFERROR(DGET(Dias_íteis,$Q$1,{$C$1;C162}),"")</f>
        <v>19</v>
      </c>
      <c r="R162" s="169">
        <v>167.20000000000002</v>
      </c>
      <c r="S162" s="147">
        <f>IFERROR(__xludf.DUMMYFUNCTION("SUM(FILTER(Trabalho!$I$2:$I207,MONTH(Trabalho!$G$2:$G207)=C162,Trabalho!$B$2:$B207=B162,Trabalho!$A$2:$A207=A162))"),0.75)</f>
        <v>0.75</v>
      </c>
      <c r="T162" s="147">
        <f>IFERROR(__xludf.DUMMYFUNCTION("IFERROR(SUM(FILTER(Trabalho!$I$2:$I207,MONTH(Trabalho!$G$2:$G207)=C162,Trabalho!$B$2:$B207=B162,Trabalho!$J$2:$J207=TRUE,Trabalho!$K$2:$K207=TRUE, Trabalho!$A$2:$A207=A162)),0)"),0.0)</f>
        <v>0</v>
      </c>
      <c r="U162" s="170">
        <v>43.184950002477116</v>
      </c>
      <c r="V162" s="167">
        <v>0.0</v>
      </c>
    </row>
    <row r="163">
      <c r="A163" s="149" t="s">
        <v>209</v>
      </c>
      <c r="B163" s="149" t="s">
        <v>290</v>
      </c>
      <c r="C163" s="150">
        <v>11.0</v>
      </c>
      <c r="D163" s="151">
        <v>2025.0</v>
      </c>
      <c r="E163" s="149" t="s">
        <v>640</v>
      </c>
      <c r="F163" s="149" t="s">
        <v>66</v>
      </c>
      <c r="G163" s="152">
        <f>IFERROR(__xludf.DUMMYFUNCTION("IFERROR(filter(choosecols('# Salários'!$F:$Q,C163),'# Salários'!$C:$C=B163))"),6532.0)</f>
        <v>6532</v>
      </c>
      <c r="H163" s="153">
        <v>4209.1661168721</v>
      </c>
      <c r="I163" s="154">
        <v>10741.1661168721</v>
      </c>
      <c r="J163" s="155">
        <f>IFERROR(__xludf.DUMMYFUNCTION("filter('# Encargos folha'!E:E,MONTH('# Encargos folha'!$A:$A)=$C163)"),0.2)</f>
        <v>0.2</v>
      </c>
      <c r="K163" s="156">
        <f>IFERROR(__xludf.DUMMYFUNCTION("filter('# Encargos folha'!F:F,MONTH('# Encargos folha'!$A:$A)=$C163)"),0.058)</f>
        <v>0.058</v>
      </c>
      <c r="L163" s="157">
        <f>IFERROR(__xludf.DUMMYFUNCTION("filter('# Encargos folha'!G:G,MONTH('# Encargos folha'!$A:$A)=$C163)"),0.0387)</f>
        <v>0.0387</v>
      </c>
      <c r="M163" s="157">
        <f>IFERROR(__xludf.DUMMYFUNCTION("filter('# Encargos folha'!H:H,MONTH('# Encargos folha'!$A:$A)=$C163)"),0.08)</f>
        <v>0.08</v>
      </c>
      <c r="N163" s="157">
        <f t="shared" si="2"/>
        <v>0.114725</v>
      </c>
      <c r="O163" s="157">
        <f t="shared" si="3"/>
        <v>0.1529666284</v>
      </c>
      <c r="P163" s="158">
        <f t="shared" si="1"/>
        <v>0.6443916284</v>
      </c>
      <c r="Q163" s="159">
        <f t="array" ref="Q163">IFERROR(DGET(Dias_íteis,$Q$1,{$C$1;C163}),"")</f>
        <v>19</v>
      </c>
      <c r="R163" s="160">
        <v>167.20000000000002</v>
      </c>
      <c r="S163" s="161">
        <f>IFERROR(__xludf.DUMMYFUNCTION("SUM(FILTER(Trabalho!$I$2:$I207,MONTH(Trabalho!$G$2:$G207)=C163,Trabalho!$B$2:$B207=B163,Trabalho!$A$2:$A207=A163))"),7.0)</f>
        <v>7</v>
      </c>
      <c r="T163" s="161">
        <f>IFERROR(__xludf.DUMMYFUNCTION("IFERROR(SUM(FILTER(Trabalho!$I$2:$I207,MONTH(Trabalho!$G$2:$G207)=C163,Trabalho!$B$2:$B207=B163,Trabalho!$J$2:$J207=TRUE,Trabalho!$K$2:$K207=TRUE, Trabalho!$A$2:$A207=A163)),0)"),7.0)</f>
        <v>7</v>
      </c>
      <c r="U163" s="162">
        <v>64.24142414397188</v>
      </c>
      <c r="V163" s="154">
        <v>449.6899690078032</v>
      </c>
    </row>
    <row r="164">
      <c r="A164" s="164" t="s">
        <v>209</v>
      </c>
      <c r="B164" s="164" t="s">
        <v>406</v>
      </c>
      <c r="C164" s="165">
        <v>6.0</v>
      </c>
      <c r="D164" s="135">
        <v>2025.0</v>
      </c>
      <c r="E164" s="164" t="s">
        <v>636</v>
      </c>
      <c r="F164" s="164" t="s">
        <v>68</v>
      </c>
      <c r="G164" s="137">
        <f>IFERROR(__xludf.DUMMYFUNCTION("IFERROR(filter(choosecols('# Salários'!$F:$Q,C164),'# Salários'!$C:$C=B164))"),5236.51)</f>
        <v>5236.51</v>
      </c>
      <c r="H164" s="166">
        <v>3226.1263390278327</v>
      </c>
      <c r="I164" s="167">
        <v>8462.636339027833</v>
      </c>
      <c r="J164" s="140">
        <f>IFERROR(__xludf.DUMMYFUNCTION("filter('# Encargos folha'!E:E,MONTH('# Encargos folha'!$A:$A)=$C164)"),0.2)</f>
        <v>0.2</v>
      </c>
      <c r="K164" s="141">
        <f>IFERROR(__xludf.DUMMYFUNCTION("filter('# Encargos folha'!F:F,MONTH('# Encargos folha'!$A:$A)=$C164)"),0.058)</f>
        <v>0.058</v>
      </c>
      <c r="L164" s="142">
        <f>IFERROR(__xludf.DUMMYFUNCTION("filter('# Encargos folha'!G:G,MONTH('# Encargos folha'!$A:$A)=$C164)"),0.015)</f>
        <v>0.015</v>
      </c>
      <c r="M164" s="142">
        <f>IFERROR(__xludf.DUMMYFUNCTION("filter('# Encargos folha'!H:H,MONTH('# Encargos folha'!$A:$A)=$C164)"),0.08)</f>
        <v>0.08</v>
      </c>
      <c r="N164" s="142">
        <f t="shared" si="2"/>
        <v>0.11275</v>
      </c>
      <c r="O164" s="142">
        <f t="shared" si="3"/>
        <v>0.1503332958</v>
      </c>
      <c r="P164" s="168">
        <f t="shared" si="1"/>
        <v>0.6160832958</v>
      </c>
      <c r="Q164" s="145">
        <f t="array" ref="Q164">IFERROR(DGET(Dias_íteis,$Q$1,{$C$1;C164}),"")</f>
        <v>20</v>
      </c>
      <c r="R164" s="169">
        <v>176.0</v>
      </c>
      <c r="S164" s="147">
        <f>IFERROR(__xludf.DUMMYFUNCTION("SUM(FILTER(Trabalho!$I$2:$I207,MONTH(Trabalho!$G$2:$G207)=C164,Trabalho!$B$2:$B207=B164,Trabalho!$A$2:$A207=A164))"),12.5)</f>
        <v>12.5</v>
      </c>
      <c r="T164" s="147">
        <f>IFERROR(__xludf.DUMMYFUNCTION("IFERROR(SUM(FILTER(Trabalho!$I$2:$I207,MONTH(Trabalho!$G$2:$G207)=C164,Trabalho!$B$2:$B207=B164,Trabalho!$J$2:$J207=TRUE,Trabalho!$K$2:$K207=TRUE, Trabalho!$A$2:$A207=A164)),0)"),10.5)</f>
        <v>10.5</v>
      </c>
      <c r="U164" s="170">
        <v>48.083161017203594</v>
      </c>
      <c r="V164" s="167">
        <v>504.8731906806377</v>
      </c>
    </row>
    <row r="165">
      <c r="A165" s="149" t="s">
        <v>209</v>
      </c>
      <c r="B165" s="149" t="s">
        <v>406</v>
      </c>
      <c r="C165" s="150">
        <v>7.0</v>
      </c>
      <c r="D165" s="151">
        <v>2025.0</v>
      </c>
      <c r="E165" s="149" t="s">
        <v>636</v>
      </c>
      <c r="F165" s="149" t="s">
        <v>68</v>
      </c>
      <c r="G165" s="152">
        <f>IFERROR(__xludf.DUMMYFUNCTION("IFERROR(filter(choosecols('# Salários'!$F:$Q,C165),'# Salários'!$C:$C=B165))"),5286.0)</f>
        <v>5286</v>
      </c>
      <c r="H165" s="153">
        <v>3256.6163013345</v>
      </c>
      <c r="I165" s="154">
        <v>8542.6163013345</v>
      </c>
      <c r="J165" s="155">
        <f>IFERROR(__xludf.DUMMYFUNCTION("filter('# Encargos folha'!E:E,MONTH('# Encargos folha'!$A:$A)=$C165)"),0.2)</f>
        <v>0.2</v>
      </c>
      <c r="K165" s="156">
        <f>IFERROR(__xludf.DUMMYFUNCTION("filter('# Encargos folha'!F:F,MONTH('# Encargos folha'!$A:$A)=$C165)"),0.058)</f>
        <v>0.058</v>
      </c>
      <c r="L165" s="157">
        <f>IFERROR(__xludf.DUMMYFUNCTION("filter('# Encargos folha'!G:G,MONTH('# Encargos folha'!$A:$A)=$C165)"),0.015)</f>
        <v>0.015</v>
      </c>
      <c r="M165" s="157">
        <f>IFERROR(__xludf.DUMMYFUNCTION("filter('# Encargos folha'!H:H,MONTH('# Encargos folha'!$A:$A)=$C165)"),0.08)</f>
        <v>0.08</v>
      </c>
      <c r="N165" s="157">
        <f t="shared" si="2"/>
        <v>0.11275</v>
      </c>
      <c r="O165" s="157">
        <f t="shared" si="3"/>
        <v>0.1503332958</v>
      </c>
      <c r="P165" s="158">
        <f t="shared" si="1"/>
        <v>0.6160832958</v>
      </c>
      <c r="Q165" s="159">
        <f t="array" ref="Q165">IFERROR(DGET(Dias_íteis,$Q$1,{$C$1;C165}),"")</f>
        <v>23</v>
      </c>
      <c r="R165" s="160">
        <v>202.4</v>
      </c>
      <c r="S165" s="161">
        <f>IFERROR(__xludf.DUMMYFUNCTION("SUM(FILTER(Trabalho!$I$2:$I207,MONTH(Trabalho!$G$2:$G207)=C165,Trabalho!$B$2:$B207=B165,Trabalho!$A$2:$A207=A165))"),2.0)</f>
        <v>2</v>
      </c>
      <c r="T165" s="161">
        <f>IFERROR(__xludf.DUMMYFUNCTION("IFERROR(SUM(FILTER(Trabalho!$I$2:$I207,MONTH(Trabalho!$G$2:$G207)=C165,Trabalho!$B$2:$B207=B165,Trabalho!$J$2:$J207=TRUE,Trabalho!$K$2:$K207=TRUE, Trabalho!$A$2:$A207=A165)),0)"),2.0)</f>
        <v>2</v>
      </c>
      <c r="U165" s="162">
        <v>42.20660227932065</v>
      </c>
      <c r="V165" s="154">
        <v>84.4132045586413</v>
      </c>
    </row>
    <row r="166">
      <c r="A166" s="164" t="s">
        <v>209</v>
      </c>
      <c r="B166" s="164" t="s">
        <v>406</v>
      </c>
      <c r="C166" s="165">
        <v>8.0</v>
      </c>
      <c r="D166" s="135">
        <v>2025.0</v>
      </c>
      <c r="E166" s="164" t="s">
        <v>636</v>
      </c>
      <c r="F166" s="164" t="s">
        <v>68</v>
      </c>
      <c r="G166" s="137">
        <f>IFERROR(__xludf.DUMMYFUNCTION("IFERROR(filter(choosecols('# Salários'!$F:$Q,C166),'# Salários'!$C:$C=B166))"),5286.0)</f>
        <v>5286</v>
      </c>
      <c r="H166" s="166">
        <v>3256.6163013345</v>
      </c>
      <c r="I166" s="167">
        <v>8542.6163013345</v>
      </c>
      <c r="J166" s="140">
        <f>IFERROR(__xludf.DUMMYFUNCTION("filter('# Encargos folha'!E:E,MONTH('# Encargos folha'!$A:$A)=$C166)"),0.2)</f>
        <v>0.2</v>
      </c>
      <c r="K166" s="141">
        <f>IFERROR(__xludf.DUMMYFUNCTION("filter('# Encargos folha'!F:F,MONTH('# Encargos folha'!$A:$A)=$C166)"),0.058)</f>
        <v>0.058</v>
      </c>
      <c r="L166" s="142">
        <f>IFERROR(__xludf.DUMMYFUNCTION("filter('# Encargos folha'!G:G,MONTH('# Encargos folha'!$A:$A)=$C166)"),0.015)</f>
        <v>0.015</v>
      </c>
      <c r="M166" s="142">
        <f>IFERROR(__xludf.DUMMYFUNCTION("filter('# Encargos folha'!H:H,MONTH('# Encargos folha'!$A:$A)=$C166)"),0.08)</f>
        <v>0.08</v>
      </c>
      <c r="N166" s="142">
        <f t="shared" si="2"/>
        <v>0.11275</v>
      </c>
      <c r="O166" s="142">
        <f t="shared" si="3"/>
        <v>0.1503332958</v>
      </c>
      <c r="P166" s="168">
        <f t="shared" si="1"/>
        <v>0.6160832958</v>
      </c>
      <c r="Q166" s="145">
        <f t="array" ref="Q166">IFERROR(DGET(Dias_íteis,$Q$1,{$C$1;C166}),"")</f>
        <v>21</v>
      </c>
      <c r="R166" s="169">
        <v>184.8</v>
      </c>
      <c r="S166" s="147">
        <f>IFERROR(__xludf.DUMMYFUNCTION("SUM(FILTER(Trabalho!$I$2:$I207,MONTH(Trabalho!$G$2:$G207)=C166,Trabalho!$B$2:$B207=B166,Trabalho!$A$2:$A207=A166))"),27.0)</f>
        <v>27</v>
      </c>
      <c r="T166" s="147">
        <f>IFERROR(__xludf.DUMMYFUNCTION("IFERROR(SUM(FILTER(Trabalho!$I$2:$I207,MONTH(Trabalho!$G$2:$G207)=C166,Trabalho!$B$2:$B207=B166,Trabalho!$J$2:$J207=TRUE,Trabalho!$K$2:$K207=TRUE, Trabalho!$A$2:$A207=A166)),0)"),27.0)</f>
        <v>27</v>
      </c>
      <c r="U166" s="170">
        <v>46.22627868687499</v>
      </c>
      <c r="V166" s="167">
        <v>1248.1095245456247</v>
      </c>
    </row>
    <row r="167">
      <c r="A167" s="149" t="s">
        <v>209</v>
      </c>
      <c r="B167" s="149" t="s">
        <v>319</v>
      </c>
      <c r="C167" s="150">
        <v>1.0</v>
      </c>
      <c r="D167" s="151">
        <v>2025.0</v>
      </c>
      <c r="E167" s="149" t="s">
        <v>639</v>
      </c>
      <c r="F167" s="149" t="s">
        <v>638</v>
      </c>
      <c r="G167" s="152">
        <f>IFERROR(__xludf.DUMMYFUNCTION("IFERROR(filter(choosecols('# Salários'!$F:$Q,C167),'# Salários'!$C:$C=B167))"),5481.24)</f>
        <v>5481.24</v>
      </c>
      <c r="H167" s="153">
        <v>3475.10595171288</v>
      </c>
      <c r="I167" s="154">
        <v>8956.34595171288</v>
      </c>
      <c r="J167" s="155">
        <f>IFERROR(__xludf.DUMMYFUNCTION("filter('# Encargos folha'!E:E,MONTH('# Encargos folha'!$A:$A)=$C167)"),0.2)</f>
        <v>0.2</v>
      </c>
      <c r="K167" s="156">
        <f>IFERROR(__xludf.DUMMYFUNCTION("filter('# Encargos folha'!F:F,MONTH('# Encargos folha'!$A:$A)=$C167)"),0.058)</f>
        <v>0.058</v>
      </c>
      <c r="L167" s="157">
        <f>IFERROR(__xludf.DUMMYFUNCTION("filter('# Encargos folha'!G:G,MONTH('# Encargos folha'!$A:$A)=$C167)"),0.03)</f>
        <v>0.03</v>
      </c>
      <c r="M167" s="157">
        <f>IFERROR(__xludf.DUMMYFUNCTION("filter('# Encargos folha'!H:H,MONTH('# Encargos folha'!$A:$A)=$C167)"),0.08)</f>
        <v>0.08</v>
      </c>
      <c r="N167" s="157">
        <f t="shared" si="2"/>
        <v>0.114</v>
      </c>
      <c r="O167" s="157">
        <f t="shared" si="3"/>
        <v>0.151999962</v>
      </c>
      <c r="P167" s="158">
        <f t="shared" si="1"/>
        <v>0.633999962</v>
      </c>
      <c r="Q167" s="159">
        <f t="array" ref="Q167">IFERROR(DGET(Dias_íteis,$Q$1,{$C$1;C167}),"")</f>
        <v>22</v>
      </c>
      <c r="R167" s="160">
        <v>193.60000000000002</v>
      </c>
      <c r="S167" s="161">
        <f>IFERROR(__xludf.DUMMYFUNCTION("SUM(FILTER(Trabalho!$I$2:$I207,MONTH(Trabalho!$G$2:$G207)=C167,Trabalho!$B$2:$B207=B167,Trabalho!$A$2:$A207=A167))"),2.0)</f>
        <v>2</v>
      </c>
      <c r="T167" s="161">
        <f>IFERROR(__xludf.DUMMYFUNCTION("IFERROR(SUM(FILTER(Trabalho!$I$2:$I207,MONTH(Trabalho!$G$2:$G207)=C167,Trabalho!$B$2:$B207=B167,Trabalho!$J$2:$J207=TRUE,Trabalho!$K$2:$K207=TRUE, Trabalho!$A$2:$A207=A167)),0)"),2.0)</f>
        <v>2</v>
      </c>
      <c r="U167" s="162">
        <v>46.26211751917809</v>
      </c>
      <c r="V167" s="154">
        <v>92.52423503835618</v>
      </c>
    </row>
    <row r="168">
      <c r="A168" s="164" t="s">
        <v>209</v>
      </c>
      <c r="B168" s="164" t="s">
        <v>319</v>
      </c>
      <c r="C168" s="165">
        <v>2.0</v>
      </c>
      <c r="D168" s="135">
        <v>2025.0</v>
      </c>
      <c r="E168" s="164" t="s">
        <v>639</v>
      </c>
      <c r="F168" s="164" t="s">
        <v>638</v>
      </c>
      <c r="G168" s="137">
        <f>IFERROR(__xludf.DUMMYFUNCTION("IFERROR(filter(choosecols('# Salários'!$F:$Q,C168),'# Salários'!$C:$C=B168))"),5481.24)</f>
        <v>5481.24</v>
      </c>
      <c r="H168" s="166">
        <v>3475.10595171288</v>
      </c>
      <c r="I168" s="167">
        <v>8956.34595171288</v>
      </c>
      <c r="J168" s="140">
        <f>IFERROR(__xludf.DUMMYFUNCTION("filter('# Encargos folha'!E:E,MONTH('# Encargos folha'!$A:$A)=$C168)"),0.2)</f>
        <v>0.2</v>
      </c>
      <c r="K168" s="141">
        <f>IFERROR(__xludf.DUMMYFUNCTION("filter('# Encargos folha'!F:F,MONTH('# Encargos folha'!$A:$A)=$C168)"),0.058)</f>
        <v>0.058</v>
      </c>
      <c r="L168" s="142">
        <f>IFERROR(__xludf.DUMMYFUNCTION("filter('# Encargos folha'!G:G,MONTH('# Encargos folha'!$A:$A)=$C168)"),0.03)</f>
        <v>0.03</v>
      </c>
      <c r="M168" s="142">
        <f>IFERROR(__xludf.DUMMYFUNCTION("filter('# Encargos folha'!H:H,MONTH('# Encargos folha'!$A:$A)=$C168)"),0.08)</f>
        <v>0.08</v>
      </c>
      <c r="N168" s="142">
        <f t="shared" si="2"/>
        <v>0.114</v>
      </c>
      <c r="O168" s="142">
        <f t="shared" si="3"/>
        <v>0.151999962</v>
      </c>
      <c r="P168" s="168">
        <f t="shared" si="1"/>
        <v>0.633999962</v>
      </c>
      <c r="Q168" s="145">
        <f t="array" ref="Q168">IFERROR(DGET(Dias_íteis,$Q$1,{$C$1;C168}),"")</f>
        <v>19</v>
      </c>
      <c r="R168" s="169">
        <v>167.20000000000002</v>
      </c>
      <c r="S168" s="147">
        <f>IFERROR(__xludf.DUMMYFUNCTION("SUM(FILTER(Trabalho!$I$2:$I207,MONTH(Trabalho!$G$2:$G207)=C168,Trabalho!$B$2:$B207=B168,Trabalho!$A$2:$A207=A168))"),3.0)</f>
        <v>3</v>
      </c>
      <c r="T168" s="147">
        <f>IFERROR(__xludf.DUMMYFUNCTION("IFERROR(SUM(FILTER(Trabalho!$I$2:$I207,MONTH(Trabalho!$G$2:$G207)=C168,Trabalho!$B$2:$B207=B168,Trabalho!$J$2:$J207=TRUE,Trabalho!$K$2:$K207=TRUE, Trabalho!$A$2:$A207=A168)),0)"),3.0)</f>
        <v>3</v>
      </c>
      <c r="U168" s="170">
        <v>53.566662390627265</v>
      </c>
      <c r="V168" s="167">
        <v>160.6999871718818</v>
      </c>
    </row>
    <row r="169">
      <c r="A169" s="149" t="s">
        <v>608</v>
      </c>
      <c r="B169" s="149" t="s">
        <v>546</v>
      </c>
      <c r="C169" s="150">
        <v>11.0</v>
      </c>
      <c r="D169" s="151">
        <v>2025.0</v>
      </c>
      <c r="E169" s="149" t="s">
        <v>641</v>
      </c>
      <c r="F169" s="149" t="s">
        <v>65</v>
      </c>
      <c r="G169" s="152">
        <f>IFERROR(__xludf.DUMMYFUNCTION("IFERROR(filter(choosecols('# Salários'!$F:$Q,C169),'# Salários'!$C:$C=B169))"),4391.0)</f>
        <v>4391</v>
      </c>
      <c r="H169" s="153">
        <v>2829.5236404141747</v>
      </c>
      <c r="I169" s="154">
        <v>7220.523640414174</v>
      </c>
      <c r="J169" s="155">
        <f>IFERROR(__xludf.DUMMYFUNCTION("filter('# Encargos folha'!E:E,MONTH('# Encargos folha'!$A:$A)=$C169)"),0.2)</f>
        <v>0.2</v>
      </c>
      <c r="K169" s="156">
        <f>IFERROR(__xludf.DUMMYFUNCTION("filter('# Encargos folha'!F:F,MONTH('# Encargos folha'!$A:$A)=$C169)"),0.058)</f>
        <v>0.058</v>
      </c>
      <c r="L169" s="157">
        <f>IFERROR(__xludf.DUMMYFUNCTION("filter('# Encargos folha'!G:G,MONTH('# Encargos folha'!$A:$A)=$C169)"),0.0387)</f>
        <v>0.0387</v>
      </c>
      <c r="M169" s="157">
        <f>IFERROR(__xludf.DUMMYFUNCTION("filter('# Encargos folha'!H:H,MONTH('# Encargos folha'!$A:$A)=$C169)"),0.08)</f>
        <v>0.08</v>
      </c>
      <c r="N169" s="157">
        <f t="shared" si="2"/>
        <v>0.114725</v>
      </c>
      <c r="O169" s="157">
        <f t="shared" si="3"/>
        <v>0.1529666284</v>
      </c>
      <c r="P169" s="158">
        <f t="shared" si="1"/>
        <v>0.6443916284</v>
      </c>
      <c r="Q169" s="159">
        <f t="array" ref="Q169">IFERROR(DGET(Dias_íteis,$Q$1,{$C$1;C169}),"")</f>
        <v>19</v>
      </c>
      <c r="R169" s="160">
        <v>167.20000000000002</v>
      </c>
      <c r="S169" s="161">
        <f>IFERROR(__xludf.DUMMYFUNCTION("SUM(FILTER(Trabalho!$I$2:$I207,MONTH(Trabalho!$G$2:$G207)=C169,Trabalho!$B$2:$B207=B169,Trabalho!$A$2:$A207=A169))"),0.8333333333333334)</f>
        <v>0.8333333333</v>
      </c>
      <c r="T169" s="161">
        <f>IFERROR(__xludf.DUMMYFUNCTION("IFERROR(SUM(FILTER(Trabalho!$I$2:$I207,MONTH(Trabalho!$G$2:$G207)=C169,Trabalho!$B$2:$B207=B169,Trabalho!$J$2:$J207=TRUE,Trabalho!$K$2:$K207=TRUE, Trabalho!$A$2:$A207=A169)),0)"),0.0)</f>
        <v>0</v>
      </c>
      <c r="U169" s="162">
        <v>43.184950002477116</v>
      </c>
      <c r="V169" s="154">
        <v>0.0</v>
      </c>
    </row>
    <row r="170">
      <c r="A170" s="164" t="s">
        <v>260</v>
      </c>
      <c r="B170" s="164" t="s">
        <v>251</v>
      </c>
      <c r="C170" s="165">
        <v>1.0</v>
      </c>
      <c r="D170" s="135">
        <v>2025.0</v>
      </c>
      <c r="E170" s="164" t="s">
        <v>635</v>
      </c>
      <c r="F170" s="164" t="s">
        <v>68</v>
      </c>
      <c r="G170" s="137">
        <f>IFERROR(__xludf.DUMMYFUNCTION("IFERROR(filter(choosecols('# Salários'!$F:$Q,C170),'# Salários'!$C:$C=B170))"),5481.24)</f>
        <v>5481.24</v>
      </c>
      <c r="H170" s="166">
        <v>3475.10595171288</v>
      </c>
      <c r="I170" s="167">
        <v>8956.34595171288</v>
      </c>
      <c r="J170" s="140">
        <f>IFERROR(__xludf.DUMMYFUNCTION("filter('# Encargos folha'!E:E,MONTH('# Encargos folha'!$A:$A)=$C170)"),0.2)</f>
        <v>0.2</v>
      </c>
      <c r="K170" s="141">
        <f>IFERROR(__xludf.DUMMYFUNCTION("filter('# Encargos folha'!F:F,MONTH('# Encargos folha'!$A:$A)=$C170)"),0.058)</f>
        <v>0.058</v>
      </c>
      <c r="L170" s="142">
        <f>IFERROR(__xludf.DUMMYFUNCTION("filter('# Encargos folha'!G:G,MONTH('# Encargos folha'!$A:$A)=$C170)"),0.03)</f>
        <v>0.03</v>
      </c>
      <c r="M170" s="142">
        <f>IFERROR(__xludf.DUMMYFUNCTION("filter('# Encargos folha'!H:H,MONTH('# Encargos folha'!$A:$A)=$C170)"),0.08)</f>
        <v>0.08</v>
      </c>
      <c r="N170" s="142">
        <f t="shared" si="2"/>
        <v>0.114</v>
      </c>
      <c r="O170" s="142">
        <f t="shared" si="3"/>
        <v>0.151999962</v>
      </c>
      <c r="P170" s="168">
        <f t="shared" si="1"/>
        <v>0.633999962</v>
      </c>
      <c r="Q170" s="145">
        <f t="array" ref="Q170">IFERROR(DGET(Dias_íteis,$Q$1,{$C$1;C170}),"")</f>
        <v>22</v>
      </c>
      <c r="R170" s="169">
        <v>193.60000000000002</v>
      </c>
      <c r="S170" s="147">
        <f>IFERROR(__xludf.DUMMYFUNCTION("SUM(FILTER(Trabalho!$I$2:$I207,MONTH(Trabalho!$G$2:$G207)=C170,Trabalho!$B$2:$B207=B170,Trabalho!$A$2:$A207=A170))"),23.466666666666665)</f>
        <v>23.46666667</v>
      </c>
      <c r="T170" s="147">
        <f>IFERROR(__xludf.DUMMYFUNCTION("IFERROR(SUM(FILTER(Trabalho!$I$2:$I207,MONTH(Trabalho!$G$2:$G207)=C170,Trabalho!$B$2:$B207=B170,Trabalho!$J$2:$J207=TRUE,Trabalho!$K$2:$K207=TRUE, Trabalho!$A$2:$A207=A170)),0)"),0.0)</f>
        <v>0</v>
      </c>
      <c r="U170" s="170">
        <v>46.26211751917809</v>
      </c>
      <c r="V170" s="167">
        <v>0.0</v>
      </c>
    </row>
    <row r="171">
      <c r="A171" s="149" t="s">
        <v>260</v>
      </c>
      <c r="B171" s="149" t="s">
        <v>251</v>
      </c>
      <c r="C171" s="150">
        <v>2.0</v>
      </c>
      <c r="D171" s="151">
        <v>2025.0</v>
      </c>
      <c r="E171" s="149" t="s">
        <v>635</v>
      </c>
      <c r="F171" s="149" t="s">
        <v>68</v>
      </c>
      <c r="G171" s="152">
        <f>IFERROR(__xludf.DUMMYFUNCTION("IFERROR(filter(choosecols('# Salários'!$F:$Q,C171),'# Salários'!$C:$C=B171))"),5481.24)</f>
        <v>5481.24</v>
      </c>
      <c r="H171" s="153">
        <v>3475.10595171288</v>
      </c>
      <c r="I171" s="154">
        <v>8956.34595171288</v>
      </c>
      <c r="J171" s="155">
        <f>IFERROR(__xludf.DUMMYFUNCTION("filter('# Encargos folha'!E:E,MONTH('# Encargos folha'!$A:$A)=$C171)"),0.2)</f>
        <v>0.2</v>
      </c>
      <c r="K171" s="156">
        <f>IFERROR(__xludf.DUMMYFUNCTION("filter('# Encargos folha'!F:F,MONTH('# Encargos folha'!$A:$A)=$C171)"),0.058)</f>
        <v>0.058</v>
      </c>
      <c r="L171" s="157">
        <f>IFERROR(__xludf.DUMMYFUNCTION("filter('# Encargos folha'!G:G,MONTH('# Encargos folha'!$A:$A)=$C171)"),0.03)</f>
        <v>0.03</v>
      </c>
      <c r="M171" s="157">
        <f>IFERROR(__xludf.DUMMYFUNCTION("filter('# Encargos folha'!H:H,MONTH('# Encargos folha'!$A:$A)=$C171)"),0.08)</f>
        <v>0.08</v>
      </c>
      <c r="N171" s="157">
        <f t="shared" si="2"/>
        <v>0.114</v>
      </c>
      <c r="O171" s="157">
        <f t="shared" si="3"/>
        <v>0.151999962</v>
      </c>
      <c r="P171" s="158">
        <f t="shared" si="1"/>
        <v>0.633999962</v>
      </c>
      <c r="Q171" s="159">
        <f t="array" ref="Q171">IFERROR(DGET(Dias_íteis,$Q$1,{$C$1;C171}),"")</f>
        <v>19</v>
      </c>
      <c r="R171" s="160">
        <v>167.20000000000002</v>
      </c>
      <c r="S171" s="161">
        <f>IFERROR(__xludf.DUMMYFUNCTION("SUM(FILTER(Trabalho!$I$2:$I207,MONTH(Trabalho!$G$2:$G207)=C171,Trabalho!$B$2:$B207=B171,Trabalho!$A$2:$A207=A171))"),10.5)</f>
        <v>10.5</v>
      </c>
      <c r="T171" s="161">
        <f>IFERROR(__xludf.DUMMYFUNCTION("IFERROR(SUM(FILTER(Trabalho!$I$2:$I207,MONTH(Trabalho!$G$2:$G207)=C171,Trabalho!$B$2:$B207=B171,Trabalho!$J$2:$J207=TRUE,Trabalho!$K$2:$K207=TRUE, Trabalho!$A$2:$A207=A171)),0)"),0.0)</f>
        <v>0</v>
      </c>
      <c r="U171" s="162">
        <v>53.566662390627265</v>
      </c>
      <c r="V171" s="154">
        <v>0.0</v>
      </c>
    </row>
    <row r="172">
      <c r="A172" s="164" t="s">
        <v>260</v>
      </c>
      <c r="B172" s="164" t="s">
        <v>251</v>
      </c>
      <c r="C172" s="165">
        <v>3.0</v>
      </c>
      <c r="D172" s="135">
        <v>2025.0</v>
      </c>
      <c r="E172" s="164" t="s">
        <v>635</v>
      </c>
      <c r="F172" s="164" t="s">
        <v>68</v>
      </c>
      <c r="G172" s="137">
        <f>IFERROR(__xludf.DUMMYFUNCTION("IFERROR(filter(choosecols('# Salários'!$F:$Q,C172),'# Salários'!$C:$C=B172))"),5481.24)</f>
        <v>5481.24</v>
      </c>
      <c r="H172" s="166">
        <v>3475.10595171288</v>
      </c>
      <c r="I172" s="167">
        <v>8956.34595171288</v>
      </c>
      <c r="J172" s="140">
        <f>IFERROR(__xludf.DUMMYFUNCTION("filter('# Encargos folha'!E:E,MONTH('# Encargos folha'!$A:$A)=$C172)"),0.2)</f>
        <v>0.2</v>
      </c>
      <c r="K172" s="141">
        <f>IFERROR(__xludf.DUMMYFUNCTION("filter('# Encargos folha'!F:F,MONTH('# Encargos folha'!$A:$A)=$C172)"),0.058)</f>
        <v>0.058</v>
      </c>
      <c r="L172" s="142">
        <f>IFERROR(__xludf.DUMMYFUNCTION("filter('# Encargos folha'!G:G,MONTH('# Encargos folha'!$A:$A)=$C172)"),0.03)</f>
        <v>0.03</v>
      </c>
      <c r="M172" s="142">
        <f>IFERROR(__xludf.DUMMYFUNCTION("filter('# Encargos folha'!H:H,MONTH('# Encargos folha'!$A:$A)=$C172)"),0.08)</f>
        <v>0.08</v>
      </c>
      <c r="N172" s="142">
        <f t="shared" si="2"/>
        <v>0.114</v>
      </c>
      <c r="O172" s="142">
        <f t="shared" si="3"/>
        <v>0.151999962</v>
      </c>
      <c r="P172" s="168">
        <f t="shared" si="1"/>
        <v>0.633999962</v>
      </c>
      <c r="Q172" s="145">
        <f t="array" ref="Q172">IFERROR(DGET(Dias_íteis,$Q$1,{$C$1;C172}),"")</f>
        <v>18</v>
      </c>
      <c r="R172" s="169">
        <v>158.4</v>
      </c>
      <c r="S172" s="147">
        <f>IFERROR(__xludf.DUMMYFUNCTION("SUM(FILTER(Trabalho!$I$2:$I207,MONTH(Trabalho!$G$2:$G207)=C172,Trabalho!$B$2:$B207=B172,Trabalho!$A$2:$A207=A172))"),2.0)</f>
        <v>2</v>
      </c>
      <c r="T172" s="147">
        <f>IFERROR(__xludf.DUMMYFUNCTION("IFERROR(SUM(FILTER(Trabalho!$I$2:$I207,MONTH(Trabalho!$G$2:$G207)=C172,Trabalho!$B$2:$B207=B172,Trabalho!$J$2:$J207=TRUE,Trabalho!$K$2:$K207=TRUE, Trabalho!$A$2:$A207=A172)),0)"),0.0)</f>
        <v>0</v>
      </c>
      <c r="U172" s="170">
        <v>56.54258807899545</v>
      </c>
      <c r="V172" s="167">
        <v>0.0</v>
      </c>
    </row>
    <row r="173">
      <c r="A173" s="149" t="s">
        <v>260</v>
      </c>
      <c r="B173" s="149" t="s">
        <v>251</v>
      </c>
      <c r="C173" s="150">
        <v>4.0</v>
      </c>
      <c r="D173" s="151">
        <v>2025.0</v>
      </c>
      <c r="E173" s="149" t="s">
        <v>635</v>
      </c>
      <c r="F173" s="149" t="s">
        <v>68</v>
      </c>
      <c r="G173" s="152">
        <f>IFERROR(__xludf.DUMMYFUNCTION("IFERROR(filter(choosecols('# Salários'!$F:$Q,C173),'# Salários'!$C:$C=B173))"),5481.24)</f>
        <v>5481.24</v>
      </c>
      <c r="H173" s="153">
        <v>3376.90040399673</v>
      </c>
      <c r="I173" s="154">
        <v>8858.14040399673</v>
      </c>
      <c r="J173" s="155">
        <f>IFERROR(__xludf.DUMMYFUNCTION("filter('# Encargos folha'!E:E,MONTH('# Encargos folha'!$A:$A)=$C173)"),0.2)</f>
        <v>0.2</v>
      </c>
      <c r="K173" s="156">
        <f>IFERROR(__xludf.DUMMYFUNCTION("filter('# Encargos folha'!F:F,MONTH('# Encargos folha'!$A:$A)=$C173)"),0.058)</f>
        <v>0.058</v>
      </c>
      <c r="L173" s="157">
        <f>IFERROR(__xludf.DUMMYFUNCTION("filter('# Encargos folha'!G:G,MONTH('# Encargos folha'!$A:$A)=$C173)"),0.015)</f>
        <v>0.015</v>
      </c>
      <c r="M173" s="157">
        <f>IFERROR(__xludf.DUMMYFUNCTION("filter('# Encargos folha'!H:H,MONTH('# Encargos folha'!$A:$A)=$C173)"),0.08)</f>
        <v>0.08</v>
      </c>
      <c r="N173" s="157">
        <f t="shared" si="2"/>
        <v>0.11275</v>
      </c>
      <c r="O173" s="157">
        <f t="shared" si="3"/>
        <v>0.1503332958</v>
      </c>
      <c r="P173" s="158">
        <f t="shared" si="1"/>
        <v>0.6160832958</v>
      </c>
      <c r="Q173" s="159">
        <f t="array" ref="Q173">IFERROR(DGET(Dias_íteis,$Q$1,{$C$1;C173}),"")</f>
        <v>20</v>
      </c>
      <c r="R173" s="160">
        <v>176.0</v>
      </c>
      <c r="S173" s="161">
        <f>IFERROR(__xludf.DUMMYFUNCTION("SUM(FILTER(Trabalho!$I$2:$I207,MONTH(Trabalho!$G$2:$G207)=C173,Trabalho!$B$2:$B207=B173,Trabalho!$A$2:$A207=A173))"),2.6666666666666665)</f>
        <v>2.666666667</v>
      </c>
      <c r="T173" s="161">
        <f>IFERROR(__xludf.DUMMYFUNCTION("IFERROR(SUM(FILTER(Trabalho!$I$2:$I207,MONTH(Trabalho!$G$2:$G207)=C173,Trabalho!$B$2:$B207=B173,Trabalho!$J$2:$J207=TRUE,Trabalho!$K$2:$K207=TRUE, Trabalho!$A$2:$A207=A173)),0)"),0.0)</f>
        <v>0</v>
      </c>
      <c r="U173" s="162">
        <v>50.33034320452687</v>
      </c>
      <c r="V173" s="154">
        <v>0.0</v>
      </c>
    </row>
    <row r="174">
      <c r="A174" s="164" t="s">
        <v>260</v>
      </c>
      <c r="B174" s="164" t="s">
        <v>251</v>
      </c>
      <c r="C174" s="165">
        <v>5.0</v>
      </c>
      <c r="D174" s="135">
        <v>2025.0</v>
      </c>
      <c r="E174" s="164" t="s">
        <v>635</v>
      </c>
      <c r="F174" s="164" t="s">
        <v>68</v>
      </c>
      <c r="G174" s="137">
        <f>IFERROR(__xludf.DUMMYFUNCTION("IFERROR(filter(choosecols('# Salários'!$F:$Q,C174),'# Salários'!$C:$C=B174))"),5481.24)</f>
        <v>5481.24</v>
      </c>
      <c r="H174" s="166">
        <v>3376.90040399673</v>
      </c>
      <c r="I174" s="167">
        <v>8858.14040399673</v>
      </c>
      <c r="J174" s="140">
        <f>IFERROR(__xludf.DUMMYFUNCTION("filter('# Encargos folha'!E:E,MONTH('# Encargos folha'!$A:$A)=$C174)"),0.2)</f>
        <v>0.2</v>
      </c>
      <c r="K174" s="141">
        <f>IFERROR(__xludf.DUMMYFUNCTION("filter('# Encargos folha'!F:F,MONTH('# Encargos folha'!$A:$A)=$C174)"),0.058)</f>
        <v>0.058</v>
      </c>
      <c r="L174" s="142">
        <f>IFERROR(__xludf.DUMMYFUNCTION("filter('# Encargos folha'!G:G,MONTH('# Encargos folha'!$A:$A)=$C174)"),0.015)</f>
        <v>0.015</v>
      </c>
      <c r="M174" s="142">
        <f>IFERROR(__xludf.DUMMYFUNCTION("filter('# Encargos folha'!H:H,MONTH('# Encargos folha'!$A:$A)=$C174)"),0.08)</f>
        <v>0.08</v>
      </c>
      <c r="N174" s="142">
        <f t="shared" si="2"/>
        <v>0.11275</v>
      </c>
      <c r="O174" s="142">
        <f t="shared" si="3"/>
        <v>0.1503332958</v>
      </c>
      <c r="P174" s="168">
        <f t="shared" si="1"/>
        <v>0.6160832958</v>
      </c>
      <c r="Q174" s="145">
        <f t="array" ref="Q174">IFERROR(DGET(Dias_íteis,$Q$1,{$C$1;C174}),"")</f>
        <v>21</v>
      </c>
      <c r="R174" s="169">
        <v>184.8</v>
      </c>
      <c r="S174" s="147">
        <f>IFERROR(__xludf.DUMMYFUNCTION("SUM(FILTER(Trabalho!$I$2:$I207,MONTH(Trabalho!$G$2:$G207)=C174,Trabalho!$B$2:$B207=B174,Trabalho!$A$2:$A207=A174))"),0.4166666666666667)</f>
        <v>0.4166666667</v>
      </c>
      <c r="T174" s="147">
        <f>IFERROR(__xludf.DUMMYFUNCTION("IFERROR(SUM(FILTER(Trabalho!$I$2:$I207,MONTH(Trabalho!$G$2:$G207)=C174,Trabalho!$B$2:$B207=B174,Trabalho!$J$2:$J207=TRUE,Trabalho!$K$2:$K207=TRUE, Trabalho!$A$2:$A207=A174)),0)"),0.0)</f>
        <v>0</v>
      </c>
      <c r="U174" s="170">
        <v>47.93366019478749</v>
      </c>
      <c r="V174" s="167">
        <v>0.0</v>
      </c>
    </row>
    <row r="175">
      <c r="A175" s="149" t="s">
        <v>260</v>
      </c>
      <c r="B175" s="149" t="s">
        <v>251</v>
      </c>
      <c r="C175" s="150">
        <v>6.0</v>
      </c>
      <c r="D175" s="151">
        <v>2025.0</v>
      </c>
      <c r="E175" s="149" t="s">
        <v>635</v>
      </c>
      <c r="F175" s="149" t="s">
        <v>68</v>
      </c>
      <c r="G175" s="152">
        <f>IFERROR(__xludf.DUMMYFUNCTION("IFERROR(filter(choosecols('# Salários'!$F:$Q,C175),'# Salários'!$C:$C=B175))"),5772.84)</f>
        <v>5772.84</v>
      </c>
      <c r="H175" s="153">
        <v>3556.55029303743</v>
      </c>
      <c r="I175" s="154">
        <v>9329.39029303743</v>
      </c>
      <c r="J175" s="155">
        <f>IFERROR(__xludf.DUMMYFUNCTION("filter('# Encargos folha'!E:E,MONTH('# Encargos folha'!$A:$A)=$C175)"),0.2)</f>
        <v>0.2</v>
      </c>
      <c r="K175" s="156">
        <f>IFERROR(__xludf.DUMMYFUNCTION("filter('# Encargos folha'!F:F,MONTH('# Encargos folha'!$A:$A)=$C175)"),0.058)</f>
        <v>0.058</v>
      </c>
      <c r="L175" s="157">
        <f>IFERROR(__xludf.DUMMYFUNCTION("filter('# Encargos folha'!G:G,MONTH('# Encargos folha'!$A:$A)=$C175)"),0.015)</f>
        <v>0.015</v>
      </c>
      <c r="M175" s="157">
        <f>IFERROR(__xludf.DUMMYFUNCTION("filter('# Encargos folha'!H:H,MONTH('# Encargos folha'!$A:$A)=$C175)"),0.08)</f>
        <v>0.08</v>
      </c>
      <c r="N175" s="157">
        <f t="shared" si="2"/>
        <v>0.11275</v>
      </c>
      <c r="O175" s="157">
        <f t="shared" si="3"/>
        <v>0.1503332958</v>
      </c>
      <c r="P175" s="158">
        <f t="shared" si="1"/>
        <v>0.6160832958</v>
      </c>
      <c r="Q175" s="159">
        <f t="array" ref="Q175">IFERROR(DGET(Dias_íteis,$Q$1,{$C$1;C175}),"")</f>
        <v>20</v>
      </c>
      <c r="R175" s="160">
        <v>176.0</v>
      </c>
      <c r="S175" s="161">
        <f>IFERROR(__xludf.DUMMYFUNCTION("SUM(FILTER(Trabalho!$I$2:$I207,MONTH(Trabalho!$G$2:$G207)=C175,Trabalho!$B$2:$B207=B175,Trabalho!$A$2:$A207=A175))"),0.25)</f>
        <v>0.25</v>
      </c>
      <c r="T175" s="161">
        <f>IFERROR(__xludf.DUMMYFUNCTION("IFERROR(SUM(FILTER(Trabalho!$I$2:$I207,MONTH(Trabalho!$G$2:$G207)=C175,Trabalho!$B$2:$B207=B175,Trabalho!$J$2:$J207=TRUE,Trabalho!$K$2:$K207=TRUE, Trabalho!$A$2:$A207=A175)),0)"),0.0)</f>
        <v>0</v>
      </c>
      <c r="U175" s="162">
        <v>53.007899392258125</v>
      </c>
      <c r="V175" s="154">
        <v>0.0</v>
      </c>
    </row>
    <row r="176">
      <c r="A176" s="164" t="s">
        <v>260</v>
      </c>
      <c r="B176" s="164" t="s">
        <v>251</v>
      </c>
      <c r="C176" s="165">
        <v>7.0</v>
      </c>
      <c r="D176" s="135">
        <v>2025.0</v>
      </c>
      <c r="E176" s="164" t="s">
        <v>635</v>
      </c>
      <c r="F176" s="164" t="s">
        <v>68</v>
      </c>
      <c r="G176" s="137">
        <f>IFERROR(__xludf.DUMMYFUNCTION("IFERROR(filter(choosecols('# Salários'!$F:$Q,C176),'# Salários'!$C:$C=B176))"),5828.0)</f>
        <v>5828</v>
      </c>
      <c r="H176" s="166">
        <v>3590.533447631</v>
      </c>
      <c r="I176" s="167">
        <v>9418.533447631</v>
      </c>
      <c r="J176" s="140">
        <f>IFERROR(__xludf.DUMMYFUNCTION("filter('# Encargos folha'!E:E,MONTH('# Encargos folha'!$A:$A)=$C176)"),0.2)</f>
        <v>0.2</v>
      </c>
      <c r="K176" s="141">
        <f>IFERROR(__xludf.DUMMYFUNCTION("filter('# Encargos folha'!F:F,MONTH('# Encargos folha'!$A:$A)=$C176)"),0.058)</f>
        <v>0.058</v>
      </c>
      <c r="L176" s="142">
        <f>IFERROR(__xludf.DUMMYFUNCTION("filter('# Encargos folha'!G:G,MONTH('# Encargos folha'!$A:$A)=$C176)"),0.015)</f>
        <v>0.015</v>
      </c>
      <c r="M176" s="142">
        <f>IFERROR(__xludf.DUMMYFUNCTION("filter('# Encargos folha'!H:H,MONTH('# Encargos folha'!$A:$A)=$C176)"),0.08)</f>
        <v>0.08</v>
      </c>
      <c r="N176" s="142">
        <f t="shared" si="2"/>
        <v>0.11275</v>
      </c>
      <c r="O176" s="142">
        <f t="shared" si="3"/>
        <v>0.1503332958</v>
      </c>
      <c r="P176" s="168">
        <f t="shared" si="1"/>
        <v>0.6160832958</v>
      </c>
      <c r="Q176" s="145">
        <f t="array" ref="Q176">IFERROR(DGET(Dias_íteis,$Q$1,{$C$1;C176}),"")</f>
        <v>23</v>
      </c>
      <c r="R176" s="169">
        <v>202.4</v>
      </c>
      <c r="S176" s="147">
        <f>IFERROR(__xludf.DUMMYFUNCTION("SUM(FILTER(Trabalho!$I$2:$I207,MONTH(Trabalho!$G$2:$G207)=C176,Trabalho!$B$2:$B207=B176,Trabalho!$A$2:$A207=A176))"),0.25)</f>
        <v>0.25</v>
      </c>
      <c r="T176" s="147">
        <f>IFERROR(__xludf.DUMMYFUNCTION("IFERROR(SUM(FILTER(Trabalho!$I$2:$I207,MONTH(Trabalho!$G$2:$G207)=C176,Trabalho!$B$2:$B207=B176,Trabalho!$J$2:$J207=TRUE,Trabalho!$K$2:$K207=TRUE, Trabalho!$A$2:$A207=A176)),0)"),0.0)</f>
        <v>0</v>
      </c>
      <c r="U176" s="170">
        <v>46.53425616418478</v>
      </c>
      <c r="V176" s="167">
        <v>0.0</v>
      </c>
    </row>
    <row r="177">
      <c r="A177" s="149" t="s">
        <v>260</v>
      </c>
      <c r="B177" s="149" t="s">
        <v>251</v>
      </c>
      <c r="C177" s="150">
        <v>8.0</v>
      </c>
      <c r="D177" s="151">
        <v>2025.0</v>
      </c>
      <c r="E177" s="149" t="s">
        <v>635</v>
      </c>
      <c r="F177" s="149" t="s">
        <v>68</v>
      </c>
      <c r="G177" s="152">
        <f>IFERROR(__xludf.DUMMYFUNCTION("IFERROR(filter(choosecols('# Salários'!$F:$Q,C177),'# Salários'!$C:$C=B177))"),7202.0)</f>
        <v>7202</v>
      </c>
      <c r="H177" s="153">
        <v>4437.0318959915</v>
      </c>
      <c r="I177" s="154">
        <v>11639.0318959915</v>
      </c>
      <c r="J177" s="155">
        <f>IFERROR(__xludf.DUMMYFUNCTION("filter('# Encargos folha'!E:E,MONTH('# Encargos folha'!$A:$A)=$C177)"),0.2)</f>
        <v>0.2</v>
      </c>
      <c r="K177" s="156">
        <f>IFERROR(__xludf.DUMMYFUNCTION("filter('# Encargos folha'!F:F,MONTH('# Encargos folha'!$A:$A)=$C177)"),0.058)</f>
        <v>0.058</v>
      </c>
      <c r="L177" s="157">
        <f>IFERROR(__xludf.DUMMYFUNCTION("filter('# Encargos folha'!G:G,MONTH('# Encargos folha'!$A:$A)=$C177)"),0.015)</f>
        <v>0.015</v>
      </c>
      <c r="M177" s="157">
        <f>IFERROR(__xludf.DUMMYFUNCTION("filter('# Encargos folha'!H:H,MONTH('# Encargos folha'!$A:$A)=$C177)"),0.08)</f>
        <v>0.08</v>
      </c>
      <c r="N177" s="157">
        <f t="shared" si="2"/>
        <v>0.11275</v>
      </c>
      <c r="O177" s="157">
        <f t="shared" si="3"/>
        <v>0.1503332958</v>
      </c>
      <c r="P177" s="158">
        <f t="shared" si="1"/>
        <v>0.6160832958</v>
      </c>
      <c r="Q177" s="159">
        <f t="array" ref="Q177">IFERROR(DGET(Dias_íteis,$Q$1,{$C$1;C177}),"")</f>
        <v>21</v>
      </c>
      <c r="R177" s="160">
        <v>184.8</v>
      </c>
      <c r="S177" s="161">
        <f>IFERROR(__xludf.DUMMYFUNCTION("SUM(FILTER(Trabalho!$I$2:$I207,MONTH(Trabalho!$G$2:$G207)=C177,Trabalho!$B$2:$B207=B177,Trabalho!$A$2:$A207=A177))"),10.999999999999998)</f>
        <v>11</v>
      </c>
      <c r="T177" s="161">
        <f>IFERROR(__xludf.DUMMYFUNCTION("IFERROR(SUM(FILTER(Trabalho!$I$2:$I207,MONTH(Trabalho!$G$2:$G207)=C177,Trabalho!$B$2:$B207=B177,Trabalho!$J$2:$J207=TRUE,Trabalho!$K$2:$K207=TRUE, Trabalho!$A$2:$A207=A177)),0)"),0.0)</f>
        <v>0</v>
      </c>
      <c r="U177" s="162">
        <v>62.98177432895833</v>
      </c>
      <c r="V177" s="154">
        <v>0.0</v>
      </c>
    </row>
    <row r="178">
      <c r="A178" s="164" t="s">
        <v>260</v>
      </c>
      <c r="B178" s="164" t="s">
        <v>251</v>
      </c>
      <c r="C178" s="165">
        <v>9.0</v>
      </c>
      <c r="D178" s="135">
        <v>2025.0</v>
      </c>
      <c r="E178" s="164" t="s">
        <v>635</v>
      </c>
      <c r="F178" s="164" t="s">
        <v>68</v>
      </c>
      <c r="G178" s="137">
        <f>IFERROR(__xludf.DUMMYFUNCTION("IFERROR(filter(choosecols('# Salários'!$F:$Q,C178),'# Salários'!$C:$C=B178))"),7202.0)</f>
        <v>7202</v>
      </c>
      <c r="H178" s="166">
        <v>4437.0318959915</v>
      </c>
      <c r="I178" s="167">
        <v>11639.0318959915</v>
      </c>
      <c r="J178" s="140">
        <f>IFERROR(__xludf.DUMMYFUNCTION("filter('# Encargos folha'!E:E,MONTH('# Encargos folha'!$A:$A)=$C178)"),0.2)</f>
        <v>0.2</v>
      </c>
      <c r="K178" s="141">
        <f>IFERROR(__xludf.DUMMYFUNCTION("filter('# Encargos folha'!F:F,MONTH('# Encargos folha'!$A:$A)=$C178)"),0.058)</f>
        <v>0.058</v>
      </c>
      <c r="L178" s="142">
        <f>IFERROR(__xludf.DUMMYFUNCTION("filter('# Encargos folha'!G:G,MONTH('# Encargos folha'!$A:$A)=$C178)"),0.015)</f>
        <v>0.015</v>
      </c>
      <c r="M178" s="142">
        <f>IFERROR(__xludf.DUMMYFUNCTION("filter('# Encargos folha'!H:H,MONTH('# Encargos folha'!$A:$A)=$C178)"),0.08)</f>
        <v>0.08</v>
      </c>
      <c r="N178" s="142">
        <f t="shared" si="2"/>
        <v>0.11275</v>
      </c>
      <c r="O178" s="142">
        <f t="shared" si="3"/>
        <v>0.1503332958</v>
      </c>
      <c r="P178" s="168">
        <f t="shared" si="1"/>
        <v>0.6160832958</v>
      </c>
      <c r="Q178" s="145">
        <f t="array" ref="Q178">IFERROR(DGET(Dias_íteis,$Q$1,{$C$1;C178}),"")</f>
        <v>21</v>
      </c>
      <c r="R178" s="169">
        <v>184.8</v>
      </c>
      <c r="S178" s="147">
        <f>IFERROR(__xludf.DUMMYFUNCTION("SUM(FILTER(Trabalho!$I$2:$I207,MONTH(Trabalho!$G$2:$G207)=C178,Trabalho!$B$2:$B207=B178,Trabalho!$A$2:$A207=A178))"),11.966666666666669)</f>
        <v>11.96666667</v>
      </c>
      <c r="T178" s="147">
        <f>IFERROR(__xludf.DUMMYFUNCTION("IFERROR(SUM(FILTER(Trabalho!$I$2:$I207,MONTH(Trabalho!$G$2:$G207)=C178,Trabalho!$B$2:$B207=B178,Trabalho!$J$2:$J207=TRUE,Trabalho!$K$2:$K207=TRUE, Trabalho!$A$2:$A207=A178)),0)"),0.0)</f>
        <v>0</v>
      </c>
      <c r="U178" s="170">
        <v>62.98177432895833</v>
      </c>
      <c r="V178" s="167">
        <v>0.0</v>
      </c>
    </row>
    <row r="179">
      <c r="A179" s="149" t="s">
        <v>260</v>
      </c>
      <c r="B179" s="149" t="s">
        <v>251</v>
      </c>
      <c r="C179" s="150">
        <v>10.0</v>
      </c>
      <c r="D179" s="151">
        <v>2025.0</v>
      </c>
      <c r="E179" s="149" t="s">
        <v>635</v>
      </c>
      <c r="F179" s="149" t="s">
        <v>68</v>
      </c>
      <c r="G179" s="152">
        <f>IFERROR(__xludf.DUMMYFUNCTION("IFERROR(filter(choosecols('# Salários'!$F:$Q,C179),'# Salários'!$C:$C=B179))"),7202.0)</f>
        <v>7202</v>
      </c>
      <c r="H179" s="153">
        <v>4640.90850791685</v>
      </c>
      <c r="I179" s="154">
        <v>11842.90850791685</v>
      </c>
      <c r="J179" s="155">
        <f>IFERROR(__xludf.DUMMYFUNCTION("filter('# Encargos folha'!E:E,MONTH('# Encargos folha'!$A:$A)=$C179)"),0.2)</f>
        <v>0.2</v>
      </c>
      <c r="K179" s="156">
        <f>IFERROR(__xludf.DUMMYFUNCTION("filter('# Encargos folha'!F:F,MONTH('# Encargos folha'!$A:$A)=$C179)"),0.058)</f>
        <v>0.058</v>
      </c>
      <c r="L179" s="157">
        <f>IFERROR(__xludf.DUMMYFUNCTION("filter('# Encargos folha'!G:G,MONTH('# Encargos folha'!$A:$A)=$C179)"),0.0387)</f>
        <v>0.0387</v>
      </c>
      <c r="M179" s="157">
        <f>IFERROR(__xludf.DUMMYFUNCTION("filter('# Encargos folha'!H:H,MONTH('# Encargos folha'!$A:$A)=$C179)"),0.08)</f>
        <v>0.08</v>
      </c>
      <c r="N179" s="157">
        <f t="shared" si="2"/>
        <v>0.114725</v>
      </c>
      <c r="O179" s="157">
        <f t="shared" si="3"/>
        <v>0.1529666284</v>
      </c>
      <c r="P179" s="158">
        <f t="shared" si="1"/>
        <v>0.6443916284</v>
      </c>
      <c r="Q179" s="159">
        <f t="array" ref="Q179">IFERROR(DGET(Dias_íteis,$Q$1,{$C$1;C179}),"")</f>
        <v>22</v>
      </c>
      <c r="R179" s="160">
        <v>193.60000000000002</v>
      </c>
      <c r="S179" s="161">
        <f>IFERROR(__xludf.DUMMYFUNCTION("SUM(FILTER(Trabalho!$I$2:$I207,MONTH(Trabalho!$G$2:$G207)=C179,Trabalho!$B$2:$B207=B179,Trabalho!$A$2:$A207=A179))"),4.5)</f>
        <v>4.5</v>
      </c>
      <c r="T179" s="161">
        <f>IFERROR(__xludf.DUMMYFUNCTION("IFERROR(SUM(FILTER(Trabalho!$I$2:$I207,MONTH(Trabalho!$G$2:$G207)=C179,Trabalho!$B$2:$B207=B179,Trabalho!$J$2:$J207=TRUE,Trabalho!$K$2:$K207=TRUE, Trabalho!$A$2:$A207=A179)),0)"),0.0)</f>
        <v>0</v>
      </c>
      <c r="U179" s="162">
        <v>61.1720480780829</v>
      </c>
      <c r="V179" s="154">
        <v>0.0</v>
      </c>
    </row>
    <row r="180">
      <c r="A180" s="164" t="s">
        <v>215</v>
      </c>
      <c r="B180" s="164" t="s">
        <v>496</v>
      </c>
      <c r="C180" s="165">
        <v>8.0</v>
      </c>
      <c r="D180" s="135">
        <v>2025.0</v>
      </c>
      <c r="E180" s="164" t="s">
        <v>634</v>
      </c>
      <c r="F180" s="164" t="s">
        <v>66</v>
      </c>
      <c r="G180" s="137">
        <f>IFERROR(__xludf.DUMMYFUNCTION("IFERROR(filter(choosecols('# Salários'!$F:$Q,C180),'# Salários'!$C:$C=B180))"),7613.79)</f>
        <v>7613.79</v>
      </c>
      <c r="H180" s="166">
        <v>4690.728836348392</v>
      </c>
      <c r="I180" s="167">
        <v>12304.518836348392</v>
      </c>
      <c r="J180" s="140">
        <f>IFERROR(__xludf.DUMMYFUNCTION("filter('# Encargos folha'!E:E,MONTH('# Encargos folha'!$A:$A)=$C180)"),0.2)</f>
        <v>0.2</v>
      </c>
      <c r="K180" s="141">
        <f>IFERROR(__xludf.DUMMYFUNCTION("filter('# Encargos folha'!F:F,MONTH('# Encargos folha'!$A:$A)=$C180)"),0.058)</f>
        <v>0.058</v>
      </c>
      <c r="L180" s="142">
        <f>IFERROR(__xludf.DUMMYFUNCTION("filter('# Encargos folha'!G:G,MONTH('# Encargos folha'!$A:$A)=$C180)"),0.015)</f>
        <v>0.015</v>
      </c>
      <c r="M180" s="142">
        <f>IFERROR(__xludf.DUMMYFUNCTION("filter('# Encargos folha'!H:H,MONTH('# Encargos folha'!$A:$A)=$C180)"),0.08)</f>
        <v>0.08</v>
      </c>
      <c r="N180" s="142">
        <f t="shared" si="2"/>
        <v>0.11275</v>
      </c>
      <c r="O180" s="142">
        <f t="shared" si="3"/>
        <v>0.1503332958</v>
      </c>
      <c r="P180" s="168">
        <f t="shared" si="1"/>
        <v>0.6160832958</v>
      </c>
      <c r="Q180" s="145">
        <f t="array" ref="Q180">IFERROR(DGET(Dias_íteis,$Q$1,{$C$1;C180}),"")</f>
        <v>21</v>
      </c>
      <c r="R180" s="169">
        <v>184.8</v>
      </c>
      <c r="S180" s="147">
        <f>IFERROR(__xludf.DUMMYFUNCTION("SUM(FILTER(Trabalho!$I$2:$I207,MONTH(Trabalho!$G$2:$G207)=C180,Trabalho!$B$2:$B207=B180,Trabalho!$A$2:$A207=A180))"),2.0)</f>
        <v>2</v>
      </c>
      <c r="T180" s="147">
        <f>IFERROR(__xludf.DUMMYFUNCTION("IFERROR(SUM(FILTER(Trabalho!$I$2:$I207,MONTH(Trabalho!$G$2:$G207)=C180,Trabalho!$B$2:$B207=B180,Trabalho!$J$2:$J207=TRUE,Trabalho!$K$2:$K207=TRUE, Trabalho!$A$2:$A207=A180)),0)"),1.0)</f>
        <v>1</v>
      </c>
      <c r="U180" s="170">
        <v>66.58289413608436</v>
      </c>
      <c r="V180" s="167">
        <v>66.58289413608436</v>
      </c>
    </row>
    <row r="181">
      <c r="A181" s="149" t="s">
        <v>215</v>
      </c>
      <c r="B181" s="149" t="s">
        <v>251</v>
      </c>
      <c r="C181" s="150">
        <v>1.0</v>
      </c>
      <c r="D181" s="151">
        <v>2025.0</v>
      </c>
      <c r="E181" s="149" t="s">
        <v>635</v>
      </c>
      <c r="F181" s="149" t="s">
        <v>68</v>
      </c>
      <c r="G181" s="152">
        <f>IFERROR(__xludf.DUMMYFUNCTION("IFERROR(filter(choosecols('# Salários'!$F:$Q,C181),'# Salários'!$C:$C=B181))"),5481.24)</f>
        <v>5481.24</v>
      </c>
      <c r="H181" s="153">
        <v>3475.10595171288</v>
      </c>
      <c r="I181" s="154">
        <v>8956.34595171288</v>
      </c>
      <c r="J181" s="155">
        <f>IFERROR(__xludf.DUMMYFUNCTION("filter('# Encargos folha'!E:E,MONTH('# Encargos folha'!$A:$A)=$C181)"),0.2)</f>
        <v>0.2</v>
      </c>
      <c r="K181" s="156">
        <f>IFERROR(__xludf.DUMMYFUNCTION("filter('# Encargos folha'!F:F,MONTH('# Encargos folha'!$A:$A)=$C181)"),0.058)</f>
        <v>0.058</v>
      </c>
      <c r="L181" s="157">
        <f>IFERROR(__xludf.DUMMYFUNCTION("filter('# Encargos folha'!G:G,MONTH('# Encargos folha'!$A:$A)=$C181)"),0.03)</f>
        <v>0.03</v>
      </c>
      <c r="M181" s="157">
        <f>IFERROR(__xludf.DUMMYFUNCTION("filter('# Encargos folha'!H:H,MONTH('# Encargos folha'!$A:$A)=$C181)"),0.08)</f>
        <v>0.08</v>
      </c>
      <c r="N181" s="157">
        <f t="shared" si="2"/>
        <v>0.114</v>
      </c>
      <c r="O181" s="157">
        <f t="shared" si="3"/>
        <v>0.151999962</v>
      </c>
      <c r="P181" s="158">
        <f t="shared" si="1"/>
        <v>0.633999962</v>
      </c>
      <c r="Q181" s="159">
        <f t="array" ref="Q181">IFERROR(DGET(Dias_íteis,$Q$1,{$C$1;C181}),"")</f>
        <v>22</v>
      </c>
      <c r="R181" s="160">
        <v>193.60000000000002</v>
      </c>
      <c r="S181" s="161">
        <f>IFERROR(__xludf.DUMMYFUNCTION("SUM(FILTER(Trabalho!$I$2:$I207,MONTH(Trabalho!$G$2:$G207)=C181,Trabalho!$B$2:$B207=B181,Trabalho!$A$2:$A207=A181))"),1.6666666666666665)</f>
        <v>1.666666667</v>
      </c>
      <c r="T181" s="161">
        <f>IFERROR(__xludf.DUMMYFUNCTION("IFERROR(SUM(FILTER(Trabalho!$I$2:$I207,MONTH(Trabalho!$G$2:$G207)=C181,Trabalho!$B$2:$B207=B181,Trabalho!$J$2:$J207=TRUE,Trabalho!$K$2:$K207=TRUE, Trabalho!$A$2:$A207=A181)),0)"),1.6666666666666665)</f>
        <v>1.666666667</v>
      </c>
      <c r="U181" s="162">
        <v>46.26211751917809</v>
      </c>
      <c r="V181" s="154">
        <v>77.10352919863014</v>
      </c>
    </row>
    <row r="182">
      <c r="A182" s="164" t="s">
        <v>215</v>
      </c>
      <c r="B182" s="164" t="s">
        <v>251</v>
      </c>
      <c r="C182" s="165">
        <v>2.0</v>
      </c>
      <c r="D182" s="135">
        <v>2025.0</v>
      </c>
      <c r="E182" s="164" t="s">
        <v>635</v>
      </c>
      <c r="F182" s="164" t="s">
        <v>68</v>
      </c>
      <c r="G182" s="137">
        <f>IFERROR(__xludf.DUMMYFUNCTION("IFERROR(filter(choosecols('# Salários'!$F:$Q,C182),'# Salários'!$C:$C=B182))"),5481.24)</f>
        <v>5481.24</v>
      </c>
      <c r="H182" s="166">
        <v>3475.10595171288</v>
      </c>
      <c r="I182" s="167">
        <v>8956.34595171288</v>
      </c>
      <c r="J182" s="140">
        <f>IFERROR(__xludf.DUMMYFUNCTION("filter('# Encargos folha'!E:E,MONTH('# Encargos folha'!$A:$A)=$C182)"),0.2)</f>
        <v>0.2</v>
      </c>
      <c r="K182" s="141">
        <f>IFERROR(__xludf.DUMMYFUNCTION("filter('# Encargos folha'!F:F,MONTH('# Encargos folha'!$A:$A)=$C182)"),0.058)</f>
        <v>0.058</v>
      </c>
      <c r="L182" s="142">
        <f>IFERROR(__xludf.DUMMYFUNCTION("filter('# Encargos folha'!G:G,MONTH('# Encargos folha'!$A:$A)=$C182)"),0.03)</f>
        <v>0.03</v>
      </c>
      <c r="M182" s="142">
        <f>IFERROR(__xludf.DUMMYFUNCTION("filter('# Encargos folha'!H:H,MONTH('# Encargos folha'!$A:$A)=$C182)"),0.08)</f>
        <v>0.08</v>
      </c>
      <c r="N182" s="142">
        <f t="shared" si="2"/>
        <v>0.114</v>
      </c>
      <c r="O182" s="142">
        <f t="shared" si="3"/>
        <v>0.151999962</v>
      </c>
      <c r="P182" s="168">
        <f t="shared" si="1"/>
        <v>0.633999962</v>
      </c>
      <c r="Q182" s="145">
        <f t="array" ref="Q182">IFERROR(DGET(Dias_íteis,$Q$1,{$C$1;C182}),"")</f>
        <v>19</v>
      </c>
      <c r="R182" s="169">
        <v>167.20000000000002</v>
      </c>
      <c r="S182" s="147">
        <f>IFERROR(__xludf.DUMMYFUNCTION("SUM(FILTER(Trabalho!$I$2:$I207,MONTH(Trabalho!$G$2:$G207)=C182,Trabalho!$B$2:$B207=B182,Trabalho!$A$2:$A207=A182))"),1.0)</f>
        <v>1</v>
      </c>
      <c r="T182" s="147">
        <f>IFERROR(__xludf.DUMMYFUNCTION("IFERROR(SUM(FILTER(Trabalho!$I$2:$I207,MONTH(Trabalho!$G$2:$G207)=C182,Trabalho!$B$2:$B207=B182,Trabalho!$J$2:$J207=TRUE,Trabalho!$K$2:$K207=TRUE, Trabalho!$A$2:$A207=A182)),0)"),0.0)</f>
        <v>0</v>
      </c>
      <c r="U182" s="170">
        <v>53.566662390627265</v>
      </c>
      <c r="V182" s="167">
        <v>0.0</v>
      </c>
    </row>
    <row r="183">
      <c r="A183" s="149" t="s">
        <v>215</v>
      </c>
      <c r="B183" s="149" t="s">
        <v>251</v>
      </c>
      <c r="C183" s="150">
        <v>11.0</v>
      </c>
      <c r="D183" s="151">
        <v>2025.0</v>
      </c>
      <c r="E183" s="149" t="s">
        <v>635</v>
      </c>
      <c r="F183" s="149" t="s">
        <v>68</v>
      </c>
      <c r="G183" s="152">
        <f>IFERROR(__xludf.DUMMYFUNCTION("IFERROR(filter(choosecols('# Salários'!$F:$Q,C183),'# Salários'!$C:$C=B183))"),7202.0)</f>
        <v>7202</v>
      </c>
      <c r="H183" s="153">
        <v>4640.90850791685</v>
      </c>
      <c r="I183" s="154">
        <v>11842.90850791685</v>
      </c>
      <c r="J183" s="155">
        <f>IFERROR(__xludf.DUMMYFUNCTION("filter('# Encargos folha'!E:E,MONTH('# Encargos folha'!$A:$A)=$C183)"),0.2)</f>
        <v>0.2</v>
      </c>
      <c r="K183" s="156">
        <f>IFERROR(__xludf.DUMMYFUNCTION("filter('# Encargos folha'!F:F,MONTH('# Encargos folha'!$A:$A)=$C183)"),0.058)</f>
        <v>0.058</v>
      </c>
      <c r="L183" s="157">
        <f>IFERROR(__xludf.DUMMYFUNCTION("filter('# Encargos folha'!G:G,MONTH('# Encargos folha'!$A:$A)=$C183)"),0.0387)</f>
        <v>0.0387</v>
      </c>
      <c r="M183" s="157">
        <f>IFERROR(__xludf.DUMMYFUNCTION("filter('# Encargos folha'!H:H,MONTH('# Encargos folha'!$A:$A)=$C183)"),0.08)</f>
        <v>0.08</v>
      </c>
      <c r="N183" s="157">
        <f t="shared" si="2"/>
        <v>0.114725</v>
      </c>
      <c r="O183" s="157">
        <f t="shared" si="3"/>
        <v>0.1529666284</v>
      </c>
      <c r="P183" s="158">
        <f t="shared" si="1"/>
        <v>0.6443916284</v>
      </c>
      <c r="Q183" s="159">
        <f t="array" ref="Q183">IFERROR(DGET(Dias_íteis,$Q$1,{$C$1;C183}),"")</f>
        <v>19</v>
      </c>
      <c r="R183" s="160">
        <v>167.20000000000002</v>
      </c>
      <c r="S183" s="161">
        <f>IFERROR(__xludf.DUMMYFUNCTION("SUM(FILTER(Trabalho!$I$2:$I207,MONTH(Trabalho!$G$2:$G207)=C183,Trabalho!$B$2:$B207=B183,Trabalho!$A$2:$A207=A183))"),1.75)</f>
        <v>1.75</v>
      </c>
      <c r="T183" s="161">
        <f>IFERROR(__xludf.DUMMYFUNCTION("IFERROR(SUM(FILTER(Trabalho!$I$2:$I207,MONTH(Trabalho!$G$2:$G207)=C183,Trabalho!$B$2:$B207=B183,Trabalho!$J$2:$J207=TRUE,Trabalho!$K$2:$K207=TRUE, Trabalho!$A$2:$A207=A183)),0)"),1.75)</f>
        <v>1.75</v>
      </c>
      <c r="U183" s="162">
        <v>70.83079251146441</v>
      </c>
      <c r="V183" s="154">
        <v>123.95388689506271</v>
      </c>
    </row>
    <row r="184">
      <c r="A184" s="164" t="s">
        <v>215</v>
      </c>
      <c r="B184" s="164" t="s">
        <v>290</v>
      </c>
      <c r="C184" s="165">
        <v>1.0</v>
      </c>
      <c r="D184" s="135">
        <v>2025.0</v>
      </c>
      <c r="E184" s="164" t="s">
        <v>640</v>
      </c>
      <c r="F184" s="164" t="s">
        <v>66</v>
      </c>
      <c r="G184" s="137">
        <f>IFERROR(__xludf.DUMMYFUNCTION("IFERROR(filter(choosecols('# Salários'!$F:$Q,C184),'# Salários'!$C:$C=B184))"),6143.46)</f>
        <v>6143.46</v>
      </c>
      <c r="H184" s="166">
        <v>3894.9534065485204</v>
      </c>
      <c r="I184" s="167">
        <v>10038.41340654852</v>
      </c>
      <c r="J184" s="140">
        <f>IFERROR(__xludf.DUMMYFUNCTION("filter('# Encargos folha'!E:E,MONTH('# Encargos folha'!$A:$A)=$C184)"),0.2)</f>
        <v>0.2</v>
      </c>
      <c r="K184" s="141">
        <f>IFERROR(__xludf.DUMMYFUNCTION("filter('# Encargos folha'!F:F,MONTH('# Encargos folha'!$A:$A)=$C184)"),0.058)</f>
        <v>0.058</v>
      </c>
      <c r="L184" s="142">
        <f>IFERROR(__xludf.DUMMYFUNCTION("filter('# Encargos folha'!G:G,MONTH('# Encargos folha'!$A:$A)=$C184)"),0.03)</f>
        <v>0.03</v>
      </c>
      <c r="M184" s="142">
        <f>IFERROR(__xludf.DUMMYFUNCTION("filter('# Encargos folha'!H:H,MONTH('# Encargos folha'!$A:$A)=$C184)"),0.08)</f>
        <v>0.08</v>
      </c>
      <c r="N184" s="142">
        <f t="shared" si="2"/>
        <v>0.114</v>
      </c>
      <c r="O184" s="142">
        <f t="shared" si="3"/>
        <v>0.151999962</v>
      </c>
      <c r="P184" s="168">
        <f t="shared" si="1"/>
        <v>0.633999962</v>
      </c>
      <c r="Q184" s="145">
        <f t="array" ref="Q184">IFERROR(DGET(Dias_íteis,$Q$1,{$C$1;C184}),"")</f>
        <v>22</v>
      </c>
      <c r="R184" s="169">
        <v>193.60000000000002</v>
      </c>
      <c r="S184" s="147">
        <f>IFERROR(__xludf.DUMMYFUNCTION("SUM(FILTER(Trabalho!$I$2:$I207,MONTH(Trabalho!$G$2:$G207)=C184,Trabalho!$B$2:$B207=B184,Trabalho!$A$2:$A207=A184))"),20.5)</f>
        <v>20.5</v>
      </c>
      <c r="T184" s="147">
        <f>IFERROR(__xludf.DUMMYFUNCTION("IFERROR(SUM(FILTER(Trabalho!$I$2:$I207,MONTH(Trabalho!$G$2:$G207)=C184,Trabalho!$B$2:$B207=B184,Trabalho!$J$2:$J207=TRUE,Trabalho!$K$2:$K207=TRUE, Trabalho!$A$2:$A207=A184)),0)"),20.5)</f>
        <v>20.5</v>
      </c>
      <c r="U184" s="170">
        <v>51.85130891812251</v>
      </c>
      <c r="V184" s="167">
        <v>1062.9518328215115</v>
      </c>
    </row>
    <row r="185">
      <c r="A185" s="149" t="s">
        <v>215</v>
      </c>
      <c r="B185" s="149" t="s">
        <v>290</v>
      </c>
      <c r="C185" s="150">
        <v>2.0</v>
      </c>
      <c r="D185" s="151">
        <v>2025.0</v>
      </c>
      <c r="E185" s="149" t="s">
        <v>640</v>
      </c>
      <c r="F185" s="149" t="s">
        <v>66</v>
      </c>
      <c r="G185" s="152">
        <f>IFERROR(__xludf.DUMMYFUNCTION("IFERROR(filter(choosecols('# Salários'!$F:$Q,C185),'# Salários'!$C:$C=B185))"),6143.46)</f>
        <v>6143.46</v>
      </c>
      <c r="H185" s="153">
        <v>3894.9534065485204</v>
      </c>
      <c r="I185" s="154">
        <v>10038.41340654852</v>
      </c>
      <c r="J185" s="155">
        <f>IFERROR(__xludf.DUMMYFUNCTION("filter('# Encargos folha'!E:E,MONTH('# Encargos folha'!$A:$A)=$C185)"),0.2)</f>
        <v>0.2</v>
      </c>
      <c r="K185" s="156">
        <f>IFERROR(__xludf.DUMMYFUNCTION("filter('# Encargos folha'!F:F,MONTH('# Encargos folha'!$A:$A)=$C185)"),0.058)</f>
        <v>0.058</v>
      </c>
      <c r="L185" s="157">
        <f>IFERROR(__xludf.DUMMYFUNCTION("filter('# Encargos folha'!G:G,MONTH('# Encargos folha'!$A:$A)=$C185)"),0.03)</f>
        <v>0.03</v>
      </c>
      <c r="M185" s="157">
        <f>IFERROR(__xludf.DUMMYFUNCTION("filter('# Encargos folha'!H:H,MONTH('# Encargos folha'!$A:$A)=$C185)"),0.08)</f>
        <v>0.08</v>
      </c>
      <c r="N185" s="157">
        <f t="shared" si="2"/>
        <v>0.114</v>
      </c>
      <c r="O185" s="157">
        <f t="shared" si="3"/>
        <v>0.151999962</v>
      </c>
      <c r="P185" s="158">
        <f t="shared" si="1"/>
        <v>0.633999962</v>
      </c>
      <c r="Q185" s="159">
        <f t="array" ref="Q185">IFERROR(DGET(Dias_íteis,$Q$1,{$C$1;C185}),"")</f>
        <v>19</v>
      </c>
      <c r="R185" s="160">
        <v>167.20000000000002</v>
      </c>
      <c r="S185" s="161">
        <f>IFERROR(__xludf.DUMMYFUNCTION("SUM(FILTER(Trabalho!$I$2:$I207,MONTH(Trabalho!$G$2:$G207)=C185,Trabalho!$B$2:$B207=B185,Trabalho!$A$2:$A207=A185))"),3.25)</f>
        <v>3.25</v>
      </c>
      <c r="T185" s="161">
        <f>IFERROR(__xludf.DUMMYFUNCTION("IFERROR(SUM(FILTER(Trabalho!$I$2:$I207,MONTH(Trabalho!$G$2:$G207)=C185,Trabalho!$B$2:$B207=B185,Trabalho!$J$2:$J207=TRUE,Trabalho!$K$2:$K207=TRUE, Trabalho!$A$2:$A207=A185)),0)"),3.25)</f>
        <v>3.25</v>
      </c>
      <c r="U185" s="162">
        <v>60.03835769466817</v>
      </c>
      <c r="V185" s="154">
        <v>195.12466250767156</v>
      </c>
    </row>
    <row r="186">
      <c r="A186" s="164" t="s">
        <v>215</v>
      </c>
      <c r="B186" s="164" t="s">
        <v>290</v>
      </c>
      <c r="C186" s="165">
        <v>3.0</v>
      </c>
      <c r="D186" s="135">
        <v>2025.0</v>
      </c>
      <c r="E186" s="164" t="s">
        <v>640</v>
      </c>
      <c r="F186" s="164" t="s">
        <v>66</v>
      </c>
      <c r="G186" s="137">
        <f>IFERROR(__xludf.DUMMYFUNCTION("IFERROR(filter(choosecols('# Salários'!$F:$Q,C186),'# Salários'!$C:$C=B186))"),6143.46)</f>
        <v>6143.46</v>
      </c>
      <c r="H186" s="166">
        <v>3894.9534065485204</v>
      </c>
      <c r="I186" s="167">
        <v>10038.41340654852</v>
      </c>
      <c r="J186" s="140">
        <f>IFERROR(__xludf.DUMMYFUNCTION("filter('# Encargos folha'!E:E,MONTH('# Encargos folha'!$A:$A)=$C186)"),0.2)</f>
        <v>0.2</v>
      </c>
      <c r="K186" s="141">
        <f>IFERROR(__xludf.DUMMYFUNCTION("filter('# Encargos folha'!F:F,MONTH('# Encargos folha'!$A:$A)=$C186)"),0.058)</f>
        <v>0.058</v>
      </c>
      <c r="L186" s="142">
        <f>IFERROR(__xludf.DUMMYFUNCTION("filter('# Encargos folha'!G:G,MONTH('# Encargos folha'!$A:$A)=$C186)"),0.03)</f>
        <v>0.03</v>
      </c>
      <c r="M186" s="142">
        <f>IFERROR(__xludf.DUMMYFUNCTION("filter('# Encargos folha'!H:H,MONTH('# Encargos folha'!$A:$A)=$C186)"),0.08)</f>
        <v>0.08</v>
      </c>
      <c r="N186" s="142">
        <f t="shared" si="2"/>
        <v>0.114</v>
      </c>
      <c r="O186" s="142">
        <f t="shared" si="3"/>
        <v>0.151999962</v>
      </c>
      <c r="P186" s="168">
        <f t="shared" si="1"/>
        <v>0.633999962</v>
      </c>
      <c r="Q186" s="145">
        <f t="array" ref="Q186">IFERROR(DGET(Dias_íteis,$Q$1,{$C$1;C186}),"")</f>
        <v>18</v>
      </c>
      <c r="R186" s="169">
        <v>158.4</v>
      </c>
      <c r="S186" s="147">
        <f>IFERROR(__xludf.DUMMYFUNCTION("SUM(FILTER(Trabalho!$I$2:$I207,MONTH(Trabalho!$G$2:$G207)=C186,Trabalho!$B$2:$B207=B186,Trabalho!$A$2:$A207=A186))"),4.0)</f>
        <v>4</v>
      </c>
      <c r="T186" s="147">
        <f>IFERROR(__xludf.DUMMYFUNCTION("IFERROR(SUM(FILTER(Trabalho!$I$2:$I207,MONTH(Trabalho!$G$2:$G207)=C186,Trabalho!$B$2:$B207=B186,Trabalho!$J$2:$J207=TRUE,Trabalho!$K$2:$K207=TRUE, Trabalho!$A$2:$A207=A186)),0)"),4.0)</f>
        <v>4</v>
      </c>
      <c r="U186" s="170">
        <v>63.373822011038634</v>
      </c>
      <c r="V186" s="167">
        <v>253.49528804415453</v>
      </c>
    </row>
    <row r="187">
      <c r="A187" s="149" t="s">
        <v>215</v>
      </c>
      <c r="B187" s="149" t="s">
        <v>290</v>
      </c>
      <c r="C187" s="150">
        <v>4.0</v>
      </c>
      <c r="D187" s="151">
        <v>2025.0</v>
      </c>
      <c r="E187" s="149" t="s">
        <v>640</v>
      </c>
      <c r="F187" s="149" t="s">
        <v>66</v>
      </c>
      <c r="G187" s="152">
        <f>IFERROR(__xludf.DUMMYFUNCTION("IFERROR(filter(choosecols('# Salários'!$F:$Q,C187),'# Salários'!$C:$C=B187))"),6143.46)</f>
        <v>6143.46</v>
      </c>
      <c r="H187" s="153">
        <v>3784.883084108295</v>
      </c>
      <c r="I187" s="154">
        <v>9928.343084108295</v>
      </c>
      <c r="J187" s="155">
        <f>IFERROR(__xludf.DUMMYFUNCTION("filter('# Encargos folha'!E:E,MONTH('# Encargos folha'!$A:$A)=$C187)"),0.2)</f>
        <v>0.2</v>
      </c>
      <c r="K187" s="156">
        <f>IFERROR(__xludf.DUMMYFUNCTION("filter('# Encargos folha'!F:F,MONTH('# Encargos folha'!$A:$A)=$C187)"),0.058)</f>
        <v>0.058</v>
      </c>
      <c r="L187" s="157">
        <f>IFERROR(__xludf.DUMMYFUNCTION("filter('# Encargos folha'!G:G,MONTH('# Encargos folha'!$A:$A)=$C187)"),0.015)</f>
        <v>0.015</v>
      </c>
      <c r="M187" s="157">
        <f>IFERROR(__xludf.DUMMYFUNCTION("filter('# Encargos folha'!H:H,MONTH('# Encargos folha'!$A:$A)=$C187)"),0.08)</f>
        <v>0.08</v>
      </c>
      <c r="N187" s="157">
        <f t="shared" si="2"/>
        <v>0.11275</v>
      </c>
      <c r="O187" s="157">
        <f t="shared" si="3"/>
        <v>0.1503332958</v>
      </c>
      <c r="P187" s="158">
        <f t="shared" si="1"/>
        <v>0.6160832958</v>
      </c>
      <c r="Q187" s="159">
        <f t="array" ref="Q187">IFERROR(DGET(Dias_íteis,$Q$1,{$C$1;C187}),"")</f>
        <v>20</v>
      </c>
      <c r="R187" s="160">
        <v>176.0</v>
      </c>
      <c r="S187" s="161">
        <f>IFERROR(__xludf.DUMMYFUNCTION("SUM(FILTER(Trabalho!$I$2:$I207,MONTH(Trabalho!$G$2:$G207)=C187,Trabalho!$B$2:$B207=B187,Trabalho!$A$2:$A207=A187))"),2.0)</f>
        <v>2</v>
      </c>
      <c r="T187" s="161">
        <f>IFERROR(__xludf.DUMMYFUNCTION("IFERROR(SUM(FILTER(Trabalho!$I$2:$I207,MONTH(Trabalho!$G$2:$G207)=C187,Trabalho!$B$2:$B207=B187,Trabalho!$J$2:$J207=TRUE,Trabalho!$K$2:$K207=TRUE, Trabalho!$A$2:$A207=A187)),0)"),2.0)</f>
        <v>2</v>
      </c>
      <c r="U187" s="162">
        <v>56.411040250615315</v>
      </c>
      <c r="V187" s="154">
        <v>112.82208050123063</v>
      </c>
    </row>
    <row r="188">
      <c r="A188" s="164" t="s">
        <v>215</v>
      </c>
      <c r="B188" s="164" t="s">
        <v>290</v>
      </c>
      <c r="C188" s="165">
        <v>5.0</v>
      </c>
      <c r="D188" s="135">
        <v>2025.0</v>
      </c>
      <c r="E188" s="164" t="s">
        <v>640</v>
      </c>
      <c r="F188" s="164" t="s">
        <v>66</v>
      </c>
      <c r="G188" s="137">
        <f>IFERROR(__xludf.DUMMYFUNCTION("IFERROR(filter(choosecols('# Salários'!$F:$Q,C188),'# Salários'!$C:$C=B188))"),6143.46)</f>
        <v>6143.46</v>
      </c>
      <c r="H188" s="166">
        <v>3784.883084108295</v>
      </c>
      <c r="I188" s="167">
        <v>9928.343084108295</v>
      </c>
      <c r="J188" s="140">
        <f>IFERROR(__xludf.DUMMYFUNCTION("filter('# Encargos folha'!E:E,MONTH('# Encargos folha'!$A:$A)=$C188)"),0.2)</f>
        <v>0.2</v>
      </c>
      <c r="K188" s="141">
        <f>IFERROR(__xludf.DUMMYFUNCTION("filter('# Encargos folha'!F:F,MONTH('# Encargos folha'!$A:$A)=$C188)"),0.058)</f>
        <v>0.058</v>
      </c>
      <c r="L188" s="142">
        <f>IFERROR(__xludf.DUMMYFUNCTION("filter('# Encargos folha'!G:G,MONTH('# Encargos folha'!$A:$A)=$C188)"),0.015)</f>
        <v>0.015</v>
      </c>
      <c r="M188" s="142">
        <f>IFERROR(__xludf.DUMMYFUNCTION("filter('# Encargos folha'!H:H,MONTH('# Encargos folha'!$A:$A)=$C188)"),0.08)</f>
        <v>0.08</v>
      </c>
      <c r="N188" s="142">
        <f t="shared" si="2"/>
        <v>0.11275</v>
      </c>
      <c r="O188" s="142">
        <f t="shared" si="3"/>
        <v>0.1503332958</v>
      </c>
      <c r="P188" s="168">
        <f t="shared" si="1"/>
        <v>0.6160832958</v>
      </c>
      <c r="Q188" s="145">
        <f t="array" ref="Q188">IFERROR(DGET(Dias_íteis,$Q$1,{$C$1;C188}),"")</f>
        <v>21</v>
      </c>
      <c r="R188" s="169">
        <v>184.8</v>
      </c>
      <c r="S188" s="147">
        <f>IFERROR(__xludf.DUMMYFUNCTION("SUM(FILTER(Trabalho!$I$2:$I207,MONTH(Trabalho!$G$2:$G207)=C188,Trabalho!$B$2:$B207=B188,Trabalho!$A$2:$A207=A188))"),3.0)</f>
        <v>3</v>
      </c>
      <c r="T188" s="147">
        <f>IFERROR(__xludf.DUMMYFUNCTION("IFERROR(SUM(FILTER(Trabalho!$I$2:$I207,MONTH(Trabalho!$G$2:$G207)=C188,Trabalho!$B$2:$B207=B188,Trabalho!$J$2:$J207=TRUE,Trabalho!$K$2:$K207=TRUE, Trabalho!$A$2:$A207=A188)),0)"),3.0)</f>
        <v>3</v>
      </c>
      <c r="U188" s="170">
        <v>53.72480023868125</v>
      </c>
      <c r="V188" s="167">
        <v>161.17440071604375</v>
      </c>
    </row>
    <row r="189">
      <c r="A189" s="149" t="s">
        <v>215</v>
      </c>
      <c r="B189" s="149" t="s">
        <v>290</v>
      </c>
      <c r="C189" s="150">
        <v>6.0</v>
      </c>
      <c r="D189" s="151">
        <v>2025.0</v>
      </c>
      <c r="E189" s="149" t="s">
        <v>640</v>
      </c>
      <c r="F189" s="149" t="s">
        <v>66</v>
      </c>
      <c r="G189" s="152">
        <f>IFERROR(__xludf.DUMMYFUNCTION("IFERROR(filter(choosecols('# Salários'!$F:$Q,C189),'# Salários'!$C:$C=B189))"),6470.29)</f>
        <v>6470.29</v>
      </c>
      <c r="H189" s="153">
        <v>3986.2375876582673</v>
      </c>
      <c r="I189" s="154">
        <v>10456.527587658267</v>
      </c>
      <c r="J189" s="155">
        <f>IFERROR(__xludf.DUMMYFUNCTION("filter('# Encargos folha'!E:E,MONTH('# Encargos folha'!$A:$A)=$C189)"),0.2)</f>
        <v>0.2</v>
      </c>
      <c r="K189" s="156">
        <f>IFERROR(__xludf.DUMMYFUNCTION("filter('# Encargos folha'!F:F,MONTH('# Encargos folha'!$A:$A)=$C189)"),0.058)</f>
        <v>0.058</v>
      </c>
      <c r="L189" s="157">
        <f>IFERROR(__xludf.DUMMYFUNCTION("filter('# Encargos folha'!G:G,MONTH('# Encargos folha'!$A:$A)=$C189)"),0.015)</f>
        <v>0.015</v>
      </c>
      <c r="M189" s="157">
        <f>IFERROR(__xludf.DUMMYFUNCTION("filter('# Encargos folha'!H:H,MONTH('# Encargos folha'!$A:$A)=$C189)"),0.08)</f>
        <v>0.08</v>
      </c>
      <c r="N189" s="157">
        <f t="shared" si="2"/>
        <v>0.11275</v>
      </c>
      <c r="O189" s="157">
        <f t="shared" si="3"/>
        <v>0.1503332958</v>
      </c>
      <c r="P189" s="158">
        <f t="shared" si="1"/>
        <v>0.6160832958</v>
      </c>
      <c r="Q189" s="159">
        <f t="array" ref="Q189">IFERROR(DGET(Dias_íteis,$Q$1,{$C$1;C189}),"")</f>
        <v>20</v>
      </c>
      <c r="R189" s="160">
        <v>176.0</v>
      </c>
      <c r="S189" s="161">
        <f>IFERROR(__xludf.DUMMYFUNCTION("SUM(FILTER(Trabalho!$I$2:$I207,MONTH(Trabalho!$G$2:$G207)=C189,Trabalho!$B$2:$B207=B189,Trabalho!$A$2:$A207=A189))"),3.0)</f>
        <v>3</v>
      </c>
      <c r="T189" s="161">
        <f>IFERROR(__xludf.DUMMYFUNCTION("IFERROR(SUM(FILTER(Trabalho!$I$2:$I207,MONTH(Trabalho!$G$2:$G207)=C189,Trabalho!$B$2:$B207=B189,Trabalho!$J$2:$J207=TRUE,Trabalho!$K$2:$K207=TRUE, Trabalho!$A$2:$A207=A189)),0)"),3.0)</f>
        <v>3</v>
      </c>
      <c r="U189" s="162">
        <v>59.41208856624016</v>
      </c>
      <c r="V189" s="154">
        <v>178.23626569872047</v>
      </c>
    </row>
    <row r="190">
      <c r="A190" s="164" t="s">
        <v>215</v>
      </c>
      <c r="B190" s="164" t="s">
        <v>290</v>
      </c>
      <c r="C190" s="165">
        <v>9.0</v>
      </c>
      <c r="D190" s="135">
        <v>2025.0</v>
      </c>
      <c r="E190" s="164" t="s">
        <v>640</v>
      </c>
      <c r="F190" s="164" t="s">
        <v>66</v>
      </c>
      <c r="G190" s="137">
        <f>IFERROR(__xludf.DUMMYFUNCTION("IFERROR(filter(choosecols('# Salários'!$F:$Q,C190),'# Salários'!$C:$C=B190))"),6532.0)</f>
        <v>6532</v>
      </c>
      <c r="H190" s="166">
        <v>4024.256087839</v>
      </c>
      <c r="I190" s="167">
        <v>10556.256087839</v>
      </c>
      <c r="J190" s="140">
        <f>IFERROR(__xludf.DUMMYFUNCTION("filter('# Encargos folha'!E:E,MONTH('# Encargos folha'!$A:$A)=$C190)"),0.2)</f>
        <v>0.2</v>
      </c>
      <c r="K190" s="141">
        <f>IFERROR(__xludf.DUMMYFUNCTION("filter('# Encargos folha'!F:F,MONTH('# Encargos folha'!$A:$A)=$C190)"),0.058)</f>
        <v>0.058</v>
      </c>
      <c r="L190" s="142">
        <f>IFERROR(__xludf.DUMMYFUNCTION("filter('# Encargos folha'!G:G,MONTH('# Encargos folha'!$A:$A)=$C190)"),0.015)</f>
        <v>0.015</v>
      </c>
      <c r="M190" s="142">
        <f>IFERROR(__xludf.DUMMYFUNCTION("filter('# Encargos folha'!H:H,MONTH('# Encargos folha'!$A:$A)=$C190)"),0.08)</f>
        <v>0.08</v>
      </c>
      <c r="N190" s="142">
        <f t="shared" si="2"/>
        <v>0.11275</v>
      </c>
      <c r="O190" s="142">
        <f t="shared" si="3"/>
        <v>0.1503332958</v>
      </c>
      <c r="P190" s="168">
        <f t="shared" si="1"/>
        <v>0.6160832958</v>
      </c>
      <c r="Q190" s="145">
        <f t="array" ref="Q190">IFERROR(DGET(Dias_íteis,$Q$1,{$C$1;C190}),"")</f>
        <v>21</v>
      </c>
      <c r="R190" s="169">
        <v>184.8</v>
      </c>
      <c r="S190" s="147">
        <f>IFERROR(__xludf.DUMMYFUNCTION("SUM(FILTER(Trabalho!$I$2:$I207,MONTH(Trabalho!$G$2:$G207)=C190,Trabalho!$B$2:$B207=B190,Trabalho!$A$2:$A207=A190))"),2.5)</f>
        <v>2.5</v>
      </c>
      <c r="T190" s="147">
        <f>IFERROR(__xludf.DUMMYFUNCTION("IFERROR(SUM(FILTER(Trabalho!$I$2:$I207,MONTH(Trabalho!$G$2:$G207)=C190,Trabalho!$B$2:$B207=B190,Trabalho!$J$2:$J207=TRUE,Trabalho!$K$2:$K207=TRUE, Trabalho!$A$2:$A207=A190)),0)"),2.5)</f>
        <v>2.5</v>
      </c>
      <c r="U190" s="170">
        <v>57.12259787791666</v>
      </c>
      <c r="V190" s="167">
        <v>142.80649469479164</v>
      </c>
    </row>
    <row r="191">
      <c r="A191" s="149" t="s">
        <v>215</v>
      </c>
      <c r="B191" s="149" t="s">
        <v>290</v>
      </c>
      <c r="C191" s="150">
        <v>10.0</v>
      </c>
      <c r="D191" s="151">
        <v>2025.0</v>
      </c>
      <c r="E191" s="149" t="s">
        <v>640</v>
      </c>
      <c r="F191" s="149" t="s">
        <v>66</v>
      </c>
      <c r="G191" s="152">
        <f>IFERROR(__xludf.DUMMYFUNCTION("IFERROR(filter(choosecols('# Salários'!$F:$Q,C191),'# Salários'!$C:$C=B191))"),6532.0)</f>
        <v>6532</v>
      </c>
      <c r="H191" s="153">
        <v>4209.1661168721</v>
      </c>
      <c r="I191" s="154">
        <v>10741.1661168721</v>
      </c>
      <c r="J191" s="155">
        <f>IFERROR(__xludf.DUMMYFUNCTION("filter('# Encargos folha'!E:E,MONTH('# Encargos folha'!$A:$A)=$C191)"),0.2)</f>
        <v>0.2</v>
      </c>
      <c r="K191" s="156">
        <f>IFERROR(__xludf.DUMMYFUNCTION("filter('# Encargos folha'!F:F,MONTH('# Encargos folha'!$A:$A)=$C191)"),0.058)</f>
        <v>0.058</v>
      </c>
      <c r="L191" s="157">
        <f>IFERROR(__xludf.DUMMYFUNCTION("filter('# Encargos folha'!G:G,MONTH('# Encargos folha'!$A:$A)=$C191)"),0.0387)</f>
        <v>0.0387</v>
      </c>
      <c r="M191" s="157">
        <f>IFERROR(__xludf.DUMMYFUNCTION("filter('# Encargos folha'!H:H,MONTH('# Encargos folha'!$A:$A)=$C191)"),0.08)</f>
        <v>0.08</v>
      </c>
      <c r="N191" s="157">
        <f t="shared" si="2"/>
        <v>0.114725</v>
      </c>
      <c r="O191" s="157">
        <f t="shared" si="3"/>
        <v>0.1529666284</v>
      </c>
      <c r="P191" s="158">
        <f t="shared" si="1"/>
        <v>0.6443916284</v>
      </c>
      <c r="Q191" s="159">
        <f t="array" ref="Q191">IFERROR(DGET(Dias_íteis,$Q$1,{$C$1;C191}),"")</f>
        <v>22</v>
      </c>
      <c r="R191" s="160">
        <v>193.60000000000002</v>
      </c>
      <c r="S191" s="161">
        <f>IFERROR(__xludf.DUMMYFUNCTION("SUM(FILTER(Trabalho!$I$2:$I207,MONTH(Trabalho!$G$2:$G207)=C191,Trabalho!$B$2:$B207=B191,Trabalho!$A$2:$A207=A191))"),4.5)</f>
        <v>4.5</v>
      </c>
      <c r="T191" s="161">
        <f>IFERROR(__xludf.DUMMYFUNCTION("IFERROR(SUM(FILTER(Trabalho!$I$2:$I207,MONTH(Trabalho!$G$2:$G207)=C191,Trabalho!$B$2:$B207=B191,Trabalho!$J$2:$J207=TRUE,Trabalho!$K$2:$K207=TRUE, Trabalho!$A$2:$A207=A191)),0)"),4.5)</f>
        <v>4.5</v>
      </c>
      <c r="U191" s="162">
        <v>55.481229942521175</v>
      </c>
      <c r="V191" s="154">
        <v>249.66553474134528</v>
      </c>
    </row>
    <row r="192">
      <c r="A192" s="164" t="s">
        <v>215</v>
      </c>
      <c r="B192" s="164" t="s">
        <v>290</v>
      </c>
      <c r="C192" s="165">
        <v>11.0</v>
      </c>
      <c r="D192" s="135">
        <v>2025.0</v>
      </c>
      <c r="E192" s="164" t="s">
        <v>640</v>
      </c>
      <c r="F192" s="164" t="s">
        <v>66</v>
      </c>
      <c r="G192" s="137">
        <f>IFERROR(__xludf.DUMMYFUNCTION("IFERROR(filter(choosecols('# Salários'!$F:$Q,C192),'# Salários'!$C:$C=B192))"),6532.0)</f>
        <v>6532</v>
      </c>
      <c r="H192" s="166">
        <v>4209.1661168721</v>
      </c>
      <c r="I192" s="167">
        <v>10741.1661168721</v>
      </c>
      <c r="J192" s="140">
        <f>IFERROR(__xludf.DUMMYFUNCTION("filter('# Encargos folha'!E:E,MONTH('# Encargos folha'!$A:$A)=$C192)"),0.2)</f>
        <v>0.2</v>
      </c>
      <c r="K192" s="141">
        <f>IFERROR(__xludf.DUMMYFUNCTION("filter('# Encargos folha'!F:F,MONTH('# Encargos folha'!$A:$A)=$C192)"),0.058)</f>
        <v>0.058</v>
      </c>
      <c r="L192" s="142">
        <f>IFERROR(__xludf.DUMMYFUNCTION("filter('# Encargos folha'!G:G,MONTH('# Encargos folha'!$A:$A)=$C192)"),0.0387)</f>
        <v>0.0387</v>
      </c>
      <c r="M192" s="142">
        <f>IFERROR(__xludf.DUMMYFUNCTION("filter('# Encargos folha'!H:H,MONTH('# Encargos folha'!$A:$A)=$C192)"),0.08)</f>
        <v>0.08</v>
      </c>
      <c r="N192" s="142">
        <f t="shared" si="2"/>
        <v>0.114725</v>
      </c>
      <c r="O192" s="142">
        <f t="shared" si="3"/>
        <v>0.1529666284</v>
      </c>
      <c r="P192" s="168">
        <f t="shared" si="1"/>
        <v>0.6443916284</v>
      </c>
      <c r="Q192" s="145">
        <f t="array" ref="Q192">IFERROR(DGET(Dias_íteis,$Q$1,{$C$1;C192}),"")</f>
        <v>19</v>
      </c>
      <c r="R192" s="169">
        <v>167.20000000000002</v>
      </c>
      <c r="S192" s="147">
        <f>IFERROR(__xludf.DUMMYFUNCTION("SUM(FILTER(Trabalho!$I$2:$I207,MONTH(Trabalho!$G$2:$G207)=C192,Trabalho!$B$2:$B207=B192,Trabalho!$A$2:$A207=A192))"),2.0)</f>
        <v>2</v>
      </c>
      <c r="T192" s="147">
        <f>IFERROR(__xludf.DUMMYFUNCTION("IFERROR(SUM(FILTER(Trabalho!$I$2:$I207,MONTH(Trabalho!$G$2:$G207)=C192,Trabalho!$B$2:$B207=B192,Trabalho!$J$2:$J207=TRUE,Trabalho!$K$2:$K207=TRUE, Trabalho!$A$2:$A207=A192)),0)"),2.0)</f>
        <v>2</v>
      </c>
      <c r="U192" s="170">
        <v>64.24142414397188</v>
      </c>
      <c r="V192" s="167">
        <v>128.48284828794377</v>
      </c>
    </row>
    <row r="193">
      <c r="A193" s="149" t="s">
        <v>215</v>
      </c>
      <c r="B193" s="149" t="s">
        <v>290</v>
      </c>
      <c r="C193" s="150">
        <v>12.0</v>
      </c>
      <c r="D193" s="151">
        <v>2025.0</v>
      </c>
      <c r="E193" s="149" t="s">
        <v>640</v>
      </c>
      <c r="F193" s="149" t="s">
        <v>66</v>
      </c>
      <c r="G193" s="152">
        <f>IFERROR(__xludf.DUMMYFUNCTION("IFERROR(filter(choosecols('# Salários'!$F:$Q,C193),'# Salários'!$C:$C=B193))"),6532.0)</f>
        <v>6532</v>
      </c>
      <c r="H193" s="153">
        <v>4209.1661168721</v>
      </c>
      <c r="I193" s="154">
        <v>10741.1661168721</v>
      </c>
      <c r="J193" s="155">
        <f>IFERROR(__xludf.DUMMYFUNCTION("filter('# Encargos folha'!E:E,MONTH('# Encargos folha'!$A:$A)=$C193)"),0.2)</f>
        <v>0.2</v>
      </c>
      <c r="K193" s="156">
        <f>IFERROR(__xludf.DUMMYFUNCTION("filter('# Encargos folha'!F:F,MONTH('# Encargos folha'!$A:$A)=$C193)"),0.058)</f>
        <v>0.058</v>
      </c>
      <c r="L193" s="157">
        <f>IFERROR(__xludf.DUMMYFUNCTION("filter('# Encargos folha'!G:G,MONTH('# Encargos folha'!$A:$A)=$C193)"),0.0387)</f>
        <v>0.0387</v>
      </c>
      <c r="M193" s="157">
        <f>IFERROR(__xludf.DUMMYFUNCTION("filter('# Encargos folha'!H:H,MONTH('# Encargos folha'!$A:$A)=$C193)"),0.08)</f>
        <v>0.08</v>
      </c>
      <c r="N193" s="157">
        <f t="shared" si="2"/>
        <v>0.114725</v>
      </c>
      <c r="O193" s="157">
        <f t="shared" si="3"/>
        <v>0.1529666284</v>
      </c>
      <c r="P193" s="158">
        <f t="shared" si="1"/>
        <v>0.6443916284</v>
      </c>
      <c r="Q193" s="159">
        <f t="array" ref="Q193">IFERROR(DGET(Dias_íteis,$Q$1,{$C$1;C193}),"")</f>
        <v>22</v>
      </c>
      <c r="R193" s="160">
        <v>193.60000000000002</v>
      </c>
      <c r="S193" s="161">
        <f>IFERROR(__xludf.DUMMYFUNCTION("SUM(FILTER(Trabalho!$I$2:$I207,MONTH(Trabalho!$G$2:$G207)=C193,Trabalho!$B$2:$B207=B193,Trabalho!$A$2:$A207=A193))"),0.5)</f>
        <v>0.5</v>
      </c>
      <c r="T193" s="161">
        <f>IFERROR(__xludf.DUMMYFUNCTION("IFERROR(SUM(FILTER(Trabalho!$I$2:$I207,MONTH(Trabalho!$G$2:$G207)=C193,Trabalho!$B$2:$B207=B193,Trabalho!$J$2:$J207=TRUE,Trabalho!$K$2:$K207=TRUE, Trabalho!$A$2:$A207=A193)),0)"),0.5)</f>
        <v>0.5</v>
      </c>
      <c r="U193" s="162">
        <v>55.481229942521175</v>
      </c>
      <c r="V193" s="154">
        <v>27.740614971260587</v>
      </c>
    </row>
    <row r="194">
      <c r="A194" s="164" t="s">
        <v>215</v>
      </c>
      <c r="B194" s="164" t="s">
        <v>426</v>
      </c>
      <c r="C194" s="165">
        <v>2.0</v>
      </c>
      <c r="D194" s="135">
        <v>2025.0</v>
      </c>
      <c r="E194" s="164" t="s">
        <v>637</v>
      </c>
      <c r="F194" s="164" t="s">
        <v>638</v>
      </c>
      <c r="G194" s="137">
        <f>IFERROR(__xludf.DUMMYFUNCTION("IFERROR(filter(choosecols('# Salários'!$F:$Q,C194),'# Salários'!$C:$C=B194))"),7234.78)</f>
        <v>7234.78</v>
      </c>
      <c r="H194" s="166">
        <v>4586.850245078361</v>
      </c>
      <c r="I194" s="167">
        <v>11821.63024507836</v>
      </c>
      <c r="J194" s="140">
        <f>IFERROR(__xludf.DUMMYFUNCTION("filter('# Encargos folha'!E:E,MONTH('# Encargos folha'!$A:$A)=$C194)"),0.2)</f>
        <v>0.2</v>
      </c>
      <c r="K194" s="141">
        <f>IFERROR(__xludf.DUMMYFUNCTION("filter('# Encargos folha'!F:F,MONTH('# Encargos folha'!$A:$A)=$C194)"),0.058)</f>
        <v>0.058</v>
      </c>
      <c r="L194" s="142">
        <f>IFERROR(__xludf.DUMMYFUNCTION("filter('# Encargos folha'!G:G,MONTH('# Encargos folha'!$A:$A)=$C194)"),0.03)</f>
        <v>0.03</v>
      </c>
      <c r="M194" s="142">
        <f>IFERROR(__xludf.DUMMYFUNCTION("filter('# Encargos folha'!H:H,MONTH('# Encargos folha'!$A:$A)=$C194)"),0.08)</f>
        <v>0.08</v>
      </c>
      <c r="N194" s="142">
        <f t="shared" si="2"/>
        <v>0.114</v>
      </c>
      <c r="O194" s="142">
        <f t="shared" si="3"/>
        <v>0.151999962</v>
      </c>
      <c r="P194" s="168">
        <f t="shared" si="1"/>
        <v>0.633999962</v>
      </c>
      <c r="Q194" s="145">
        <f t="array" ref="Q194">IFERROR(DGET(Dias_íteis,$Q$1,{$C$1;C194}),"")</f>
        <v>19</v>
      </c>
      <c r="R194" s="169">
        <v>167.20000000000002</v>
      </c>
      <c r="S194" s="147">
        <f>IFERROR(__xludf.DUMMYFUNCTION("SUM(FILTER(Trabalho!$I$2:$I207,MONTH(Trabalho!$G$2:$G207)=C194,Trabalho!$B$2:$B207=B194,Trabalho!$A$2:$A207=A194))"),2.0)</f>
        <v>2</v>
      </c>
      <c r="T194" s="147">
        <f>IFERROR(__xludf.DUMMYFUNCTION("IFERROR(SUM(FILTER(Trabalho!$I$2:$I207,MONTH(Trabalho!$G$2:$G207)=C194,Trabalho!$B$2:$B207=B194,Trabalho!$J$2:$J207=TRUE,Trabalho!$K$2:$K207=TRUE, Trabalho!$A$2:$A207=A194)),0)"),0.0)</f>
        <v>0</v>
      </c>
      <c r="U194" s="170">
        <v>70.70353017391363</v>
      </c>
      <c r="V194" s="167">
        <v>0.0</v>
      </c>
    </row>
    <row r="195">
      <c r="A195" s="149" t="s">
        <v>215</v>
      </c>
      <c r="B195" s="149" t="s">
        <v>426</v>
      </c>
      <c r="C195" s="150">
        <v>5.0</v>
      </c>
      <c r="D195" s="151">
        <v>2025.0</v>
      </c>
      <c r="E195" s="149" t="s">
        <v>637</v>
      </c>
      <c r="F195" s="149" t="s">
        <v>638</v>
      </c>
      <c r="G195" s="152">
        <f>IFERROR(__xludf.DUMMYFUNCTION("IFERROR(filter(choosecols('# Salários'!$F:$Q,C195),'# Salários'!$C:$C=B195))"),7234.78)</f>
        <v>7234.78</v>
      </c>
      <c r="H195" s="153">
        <v>4457.227106426185</v>
      </c>
      <c r="I195" s="154">
        <v>11692.007106426185</v>
      </c>
      <c r="J195" s="155">
        <f>IFERROR(__xludf.DUMMYFUNCTION("filter('# Encargos folha'!E:E,MONTH('# Encargos folha'!$A:$A)=$C195)"),0.2)</f>
        <v>0.2</v>
      </c>
      <c r="K195" s="156">
        <f>IFERROR(__xludf.DUMMYFUNCTION("filter('# Encargos folha'!F:F,MONTH('# Encargos folha'!$A:$A)=$C195)"),0.058)</f>
        <v>0.058</v>
      </c>
      <c r="L195" s="157">
        <f>IFERROR(__xludf.DUMMYFUNCTION("filter('# Encargos folha'!G:G,MONTH('# Encargos folha'!$A:$A)=$C195)"),0.015)</f>
        <v>0.015</v>
      </c>
      <c r="M195" s="157">
        <f>IFERROR(__xludf.DUMMYFUNCTION("filter('# Encargos folha'!H:H,MONTH('# Encargos folha'!$A:$A)=$C195)"),0.08)</f>
        <v>0.08</v>
      </c>
      <c r="N195" s="157">
        <f t="shared" si="2"/>
        <v>0.11275</v>
      </c>
      <c r="O195" s="157">
        <f t="shared" si="3"/>
        <v>0.1503332958</v>
      </c>
      <c r="P195" s="158">
        <f t="shared" si="1"/>
        <v>0.6160832958</v>
      </c>
      <c r="Q195" s="159">
        <f t="array" ref="Q195">IFERROR(DGET(Dias_íteis,$Q$1,{$C$1;C195}),"")</f>
        <v>21</v>
      </c>
      <c r="R195" s="160">
        <v>184.8</v>
      </c>
      <c r="S195" s="161">
        <f>IFERROR(__xludf.DUMMYFUNCTION("SUM(FILTER(Trabalho!$I$2:$I207,MONTH(Trabalho!$G$2:$G207)=C195,Trabalho!$B$2:$B207=B195,Trabalho!$A$2:$A207=A195))"),4.0)</f>
        <v>4</v>
      </c>
      <c r="T195" s="161">
        <f>IFERROR(__xludf.DUMMYFUNCTION("IFERROR(SUM(FILTER(Trabalho!$I$2:$I207,MONTH(Trabalho!$G$2:$G207)=C195,Trabalho!$B$2:$B207=B195,Trabalho!$J$2:$J207=TRUE,Trabalho!$K$2:$K207=TRUE, Trabalho!$A$2:$A207=A195)),0)"),4.0)</f>
        <v>4</v>
      </c>
      <c r="U195" s="162">
        <v>63.26843672308541</v>
      </c>
      <c r="V195" s="154">
        <v>253.07374689234163</v>
      </c>
    </row>
    <row r="196">
      <c r="A196" s="164" t="s">
        <v>215</v>
      </c>
      <c r="B196" s="164" t="s">
        <v>426</v>
      </c>
      <c r="C196" s="165">
        <v>10.0</v>
      </c>
      <c r="D196" s="135">
        <v>2025.0</v>
      </c>
      <c r="E196" s="164" t="s">
        <v>637</v>
      </c>
      <c r="F196" s="164" t="s">
        <v>638</v>
      </c>
      <c r="G196" s="137">
        <f>IFERROR(__xludf.DUMMYFUNCTION("IFERROR(filter(choosecols('# Salários'!$F:$Q,C196),'# Salários'!$C:$C=B196))"),7693.0)</f>
        <v>7693</v>
      </c>
      <c r="H196" s="166">
        <v>4957.304797473525</v>
      </c>
      <c r="I196" s="167">
        <v>12650.304797473524</v>
      </c>
      <c r="J196" s="140">
        <f>IFERROR(__xludf.DUMMYFUNCTION("filter('# Encargos folha'!E:E,MONTH('# Encargos folha'!$A:$A)=$C196)"),0.2)</f>
        <v>0.2</v>
      </c>
      <c r="K196" s="141">
        <f>IFERROR(__xludf.DUMMYFUNCTION("filter('# Encargos folha'!F:F,MONTH('# Encargos folha'!$A:$A)=$C196)"),0.058)</f>
        <v>0.058</v>
      </c>
      <c r="L196" s="142">
        <f>IFERROR(__xludf.DUMMYFUNCTION("filter('# Encargos folha'!G:G,MONTH('# Encargos folha'!$A:$A)=$C196)"),0.0387)</f>
        <v>0.0387</v>
      </c>
      <c r="M196" s="142">
        <f>IFERROR(__xludf.DUMMYFUNCTION("filter('# Encargos folha'!H:H,MONTH('# Encargos folha'!$A:$A)=$C196)"),0.08)</f>
        <v>0.08</v>
      </c>
      <c r="N196" s="142">
        <f t="shared" si="2"/>
        <v>0.114725</v>
      </c>
      <c r="O196" s="142">
        <f t="shared" si="3"/>
        <v>0.1529666284</v>
      </c>
      <c r="P196" s="168">
        <f t="shared" si="1"/>
        <v>0.6443916284</v>
      </c>
      <c r="Q196" s="145">
        <f t="array" ref="Q196">IFERROR(DGET(Dias_íteis,$Q$1,{$C$1;C196}),"")</f>
        <v>22</v>
      </c>
      <c r="R196" s="169">
        <v>193.60000000000002</v>
      </c>
      <c r="S196" s="147">
        <f>IFERROR(__xludf.DUMMYFUNCTION("SUM(FILTER(Trabalho!$I$2:$I207,MONTH(Trabalho!$G$2:$G207)=C196,Trabalho!$B$2:$B207=B196,Trabalho!$A$2:$A207=A196))"),7.0)</f>
        <v>7</v>
      </c>
      <c r="T196" s="147">
        <f>IFERROR(__xludf.DUMMYFUNCTION("IFERROR(SUM(FILTER(Trabalho!$I$2:$I207,MONTH(Trabalho!$G$2:$G207)=C196,Trabalho!$B$2:$B207=B196,Trabalho!$J$2:$J207=TRUE,Trabalho!$K$2:$K207=TRUE, Trabalho!$A$2:$A207=A196)),0)"),7.0)</f>
        <v>7</v>
      </c>
      <c r="U196" s="170">
        <v>65.34248345802439</v>
      </c>
      <c r="V196" s="167">
        <v>457.3973842061707</v>
      </c>
    </row>
    <row r="197">
      <c r="A197" s="149" t="s">
        <v>215</v>
      </c>
      <c r="B197" s="149" t="s">
        <v>426</v>
      </c>
      <c r="C197" s="150">
        <v>11.0</v>
      </c>
      <c r="D197" s="151">
        <v>2025.0</v>
      </c>
      <c r="E197" s="149" t="s">
        <v>637</v>
      </c>
      <c r="F197" s="149" t="s">
        <v>638</v>
      </c>
      <c r="G197" s="152">
        <f>IFERROR(__xludf.DUMMYFUNCTION("IFERROR(filter(choosecols('# Salários'!$F:$Q,C197),'# Salários'!$C:$C=B197))"),7693.0)</f>
        <v>7693</v>
      </c>
      <c r="H197" s="153">
        <v>4957.304797473525</v>
      </c>
      <c r="I197" s="154">
        <v>12650.304797473524</v>
      </c>
      <c r="J197" s="155">
        <f>IFERROR(__xludf.DUMMYFUNCTION("filter('# Encargos folha'!E:E,MONTH('# Encargos folha'!$A:$A)=$C197)"),0.2)</f>
        <v>0.2</v>
      </c>
      <c r="K197" s="156">
        <f>IFERROR(__xludf.DUMMYFUNCTION("filter('# Encargos folha'!F:F,MONTH('# Encargos folha'!$A:$A)=$C197)"),0.058)</f>
        <v>0.058</v>
      </c>
      <c r="L197" s="157">
        <f>IFERROR(__xludf.DUMMYFUNCTION("filter('# Encargos folha'!G:G,MONTH('# Encargos folha'!$A:$A)=$C197)"),0.0387)</f>
        <v>0.0387</v>
      </c>
      <c r="M197" s="157">
        <f>IFERROR(__xludf.DUMMYFUNCTION("filter('# Encargos folha'!H:H,MONTH('# Encargos folha'!$A:$A)=$C197)"),0.08)</f>
        <v>0.08</v>
      </c>
      <c r="N197" s="157">
        <f t="shared" si="2"/>
        <v>0.114725</v>
      </c>
      <c r="O197" s="157">
        <f t="shared" si="3"/>
        <v>0.1529666284</v>
      </c>
      <c r="P197" s="158">
        <f t="shared" si="1"/>
        <v>0.6443916284</v>
      </c>
      <c r="Q197" s="159">
        <f t="array" ref="Q197">IFERROR(DGET(Dias_íteis,$Q$1,{$C$1;C197}),"")</f>
        <v>19</v>
      </c>
      <c r="R197" s="160">
        <v>167.20000000000002</v>
      </c>
      <c r="S197" s="161">
        <f>IFERROR(__xludf.DUMMYFUNCTION("SUM(FILTER(Trabalho!$I$2:$I207,MONTH(Trabalho!$G$2:$G207)=C197,Trabalho!$B$2:$B207=B197,Trabalho!$A$2:$A207=A197))"),9.0)</f>
        <v>9</v>
      </c>
      <c r="T197" s="161">
        <f>IFERROR(__xludf.DUMMYFUNCTION("IFERROR(SUM(FILTER(Trabalho!$I$2:$I207,MONTH(Trabalho!$G$2:$G207)=C197,Trabalho!$B$2:$B207=B197,Trabalho!$J$2:$J207=TRUE,Trabalho!$K$2:$K207=TRUE, Trabalho!$A$2:$A207=A197)),0)"),9.0)</f>
        <v>9</v>
      </c>
      <c r="U197" s="162">
        <v>75.65971768823877</v>
      </c>
      <c r="V197" s="154">
        <v>680.9374591941489</v>
      </c>
    </row>
    <row r="198">
      <c r="A198" s="164" t="s">
        <v>233</v>
      </c>
      <c r="B198" s="164" t="s">
        <v>319</v>
      </c>
      <c r="C198" s="165">
        <v>2.0</v>
      </c>
      <c r="D198" s="135">
        <v>2025.0</v>
      </c>
      <c r="E198" s="164" t="s">
        <v>639</v>
      </c>
      <c r="F198" s="164" t="s">
        <v>638</v>
      </c>
      <c r="G198" s="137">
        <f>IFERROR(__xludf.DUMMYFUNCTION("IFERROR(filter(choosecols('# Salários'!$F:$Q,C198),'# Salários'!$C:$C=B198))"),5481.24)</f>
        <v>5481.24</v>
      </c>
      <c r="H198" s="166">
        <v>3475.10595171288</v>
      </c>
      <c r="I198" s="167">
        <v>8956.34595171288</v>
      </c>
      <c r="J198" s="140">
        <f>IFERROR(__xludf.DUMMYFUNCTION("filter('# Encargos folha'!E:E,MONTH('# Encargos folha'!$A:$A)=$C198)"),0.2)</f>
        <v>0.2</v>
      </c>
      <c r="K198" s="141">
        <f>IFERROR(__xludf.DUMMYFUNCTION("filter('# Encargos folha'!F:F,MONTH('# Encargos folha'!$A:$A)=$C198)"),0.058)</f>
        <v>0.058</v>
      </c>
      <c r="L198" s="142">
        <f>IFERROR(__xludf.DUMMYFUNCTION("filter('# Encargos folha'!G:G,MONTH('# Encargos folha'!$A:$A)=$C198)"),0.03)</f>
        <v>0.03</v>
      </c>
      <c r="M198" s="142">
        <f>IFERROR(__xludf.DUMMYFUNCTION("filter('# Encargos folha'!H:H,MONTH('# Encargos folha'!$A:$A)=$C198)"),0.08)</f>
        <v>0.08</v>
      </c>
      <c r="N198" s="142">
        <f t="shared" si="2"/>
        <v>0.114</v>
      </c>
      <c r="O198" s="142">
        <f t="shared" si="3"/>
        <v>0.151999962</v>
      </c>
      <c r="P198" s="168">
        <f t="shared" si="1"/>
        <v>0.633999962</v>
      </c>
      <c r="Q198" s="145">
        <f t="array" ref="Q198">IFERROR(DGET(Dias_íteis,$Q$1,{$C$1;C198}),"")</f>
        <v>19</v>
      </c>
      <c r="R198" s="169">
        <v>167.20000000000002</v>
      </c>
      <c r="S198" s="147">
        <f>IFERROR(__xludf.DUMMYFUNCTION("SUM(FILTER(Trabalho!$I$2:$I207,MONTH(Trabalho!$G$2:$G207)=C198,Trabalho!$B$2:$B207=B198,Trabalho!$A$2:$A207=A198))"),18.75)</f>
        <v>18.75</v>
      </c>
      <c r="T198" s="147">
        <f>IFERROR(__xludf.DUMMYFUNCTION("IFERROR(SUM(FILTER(Trabalho!$I$2:$I207,MONTH(Trabalho!$G$2:$G207)=C198,Trabalho!$B$2:$B207=B198,Trabalho!$J$2:$J207=TRUE,Trabalho!$K$2:$K207=TRUE, Trabalho!$A$2:$A207=A198)),0)"),0.0)</f>
        <v>0</v>
      </c>
      <c r="U198" s="170">
        <v>53.566662390627265</v>
      </c>
      <c r="V198" s="167">
        <v>0.0</v>
      </c>
    </row>
    <row r="199">
      <c r="A199" s="149" t="s">
        <v>239</v>
      </c>
      <c r="B199" s="149" t="s">
        <v>319</v>
      </c>
      <c r="C199" s="150">
        <v>1.0</v>
      </c>
      <c r="D199" s="151">
        <v>2025.0</v>
      </c>
      <c r="E199" s="149" t="s">
        <v>639</v>
      </c>
      <c r="F199" s="149" t="s">
        <v>638</v>
      </c>
      <c r="G199" s="152">
        <f>IFERROR(__xludf.DUMMYFUNCTION("IFERROR(filter(choosecols('# Salários'!$F:$Q,C199),'# Salários'!$C:$C=B199))"),5481.24)</f>
        <v>5481.24</v>
      </c>
      <c r="H199" s="153">
        <v>3475.10595171288</v>
      </c>
      <c r="I199" s="154">
        <v>8956.34595171288</v>
      </c>
      <c r="J199" s="155">
        <f>IFERROR(__xludf.DUMMYFUNCTION("filter('# Encargos folha'!E:E,MONTH('# Encargos folha'!$A:$A)=$C199)"),0.2)</f>
        <v>0.2</v>
      </c>
      <c r="K199" s="156">
        <f>IFERROR(__xludf.DUMMYFUNCTION("filter('# Encargos folha'!F:F,MONTH('# Encargos folha'!$A:$A)=$C199)"),0.058)</f>
        <v>0.058</v>
      </c>
      <c r="L199" s="157">
        <f>IFERROR(__xludf.DUMMYFUNCTION("filter('# Encargos folha'!G:G,MONTH('# Encargos folha'!$A:$A)=$C199)"),0.03)</f>
        <v>0.03</v>
      </c>
      <c r="M199" s="157">
        <f>IFERROR(__xludf.DUMMYFUNCTION("filter('# Encargos folha'!H:H,MONTH('# Encargos folha'!$A:$A)=$C199)"),0.08)</f>
        <v>0.08</v>
      </c>
      <c r="N199" s="157">
        <f t="shared" si="2"/>
        <v>0.114</v>
      </c>
      <c r="O199" s="157">
        <f t="shared" si="3"/>
        <v>0.151999962</v>
      </c>
      <c r="P199" s="158">
        <f t="shared" si="1"/>
        <v>0.633999962</v>
      </c>
      <c r="Q199" s="159">
        <f t="array" ref="Q199">IFERROR(DGET(Dias_íteis,$Q$1,{$C$1;C199}),"")</f>
        <v>22</v>
      </c>
      <c r="R199" s="160">
        <v>193.60000000000002</v>
      </c>
      <c r="S199" s="161">
        <f>IFERROR(__xludf.DUMMYFUNCTION("SUM(FILTER(Trabalho!$I$2:$I207,MONTH(Trabalho!$G$2:$G207)=C199,Trabalho!$B$2:$B207=B199,Trabalho!$A$2:$A207=A199))"),1.0)</f>
        <v>1</v>
      </c>
      <c r="T199" s="161">
        <f>IFERROR(__xludf.DUMMYFUNCTION("IFERROR(SUM(FILTER(Trabalho!$I$2:$I207,MONTH(Trabalho!$G$2:$G207)=C199,Trabalho!$B$2:$B207=B199,Trabalho!$J$2:$J207=TRUE,Trabalho!$K$2:$K207=TRUE, Trabalho!$A$2:$A207=A199)),0)"),0.0)</f>
        <v>0</v>
      </c>
      <c r="U199" s="162">
        <v>46.26211751917809</v>
      </c>
      <c r="V199" s="154">
        <v>0.0</v>
      </c>
    </row>
    <row r="200">
      <c r="A200" s="164" t="s">
        <v>322</v>
      </c>
      <c r="B200" s="164" t="s">
        <v>496</v>
      </c>
      <c r="C200" s="165">
        <v>8.0</v>
      </c>
      <c r="D200" s="135">
        <v>2025.0</v>
      </c>
      <c r="E200" s="164" t="s">
        <v>634</v>
      </c>
      <c r="F200" s="164" t="s">
        <v>66</v>
      </c>
      <c r="G200" s="137">
        <f>IFERROR(__xludf.DUMMYFUNCTION("IFERROR(filter(choosecols('# Salários'!$F:$Q,C200),'# Salários'!$C:$C=B200))"),7613.79)</f>
        <v>7613.79</v>
      </c>
      <c r="H200" s="166">
        <v>4690.728836348392</v>
      </c>
      <c r="I200" s="167">
        <v>12304.518836348392</v>
      </c>
      <c r="J200" s="140">
        <f>IFERROR(__xludf.DUMMYFUNCTION("filter('# Encargos folha'!E:E,MONTH('# Encargos folha'!$A:$A)=$C200)"),0.2)</f>
        <v>0.2</v>
      </c>
      <c r="K200" s="141">
        <f>IFERROR(__xludf.DUMMYFUNCTION("filter('# Encargos folha'!F:F,MONTH('# Encargos folha'!$A:$A)=$C200)"),0.058)</f>
        <v>0.058</v>
      </c>
      <c r="L200" s="142">
        <f>IFERROR(__xludf.DUMMYFUNCTION("filter('# Encargos folha'!G:G,MONTH('# Encargos folha'!$A:$A)=$C200)"),0.015)</f>
        <v>0.015</v>
      </c>
      <c r="M200" s="142">
        <f>IFERROR(__xludf.DUMMYFUNCTION("filter('# Encargos folha'!H:H,MONTH('# Encargos folha'!$A:$A)=$C200)"),0.08)</f>
        <v>0.08</v>
      </c>
      <c r="N200" s="142">
        <f t="shared" si="2"/>
        <v>0.11275</v>
      </c>
      <c r="O200" s="142">
        <f t="shared" si="3"/>
        <v>0.1503332958</v>
      </c>
      <c r="P200" s="168">
        <f t="shared" si="1"/>
        <v>0.6160832958</v>
      </c>
      <c r="Q200" s="145">
        <f t="array" ref="Q200">IFERROR(DGET(Dias_íteis,$Q$1,{$C$1;C200}),"")</f>
        <v>21</v>
      </c>
      <c r="R200" s="169">
        <v>184.8</v>
      </c>
      <c r="S200" s="147">
        <f>IFERROR(__xludf.DUMMYFUNCTION("SUM(FILTER(Trabalho!$I$2:$I207,MONTH(Trabalho!$G$2:$G207)=C200,Trabalho!$B$2:$B207=B200,Trabalho!$A$2:$A207=A200))"),2.0)</f>
        <v>2</v>
      </c>
      <c r="T200" s="147">
        <f>IFERROR(__xludf.DUMMYFUNCTION("IFERROR(SUM(FILTER(Trabalho!$I$2:$I207,MONTH(Trabalho!$G$2:$G207)=C200,Trabalho!$B$2:$B207=B200,Trabalho!$J$2:$J207=TRUE,Trabalho!$K$2:$K207=TRUE, Trabalho!$A$2:$A207=A200)),0)"),0.0)</f>
        <v>0</v>
      </c>
      <c r="U200" s="170">
        <v>66.58289413608436</v>
      </c>
      <c r="V200" s="167">
        <v>0.0</v>
      </c>
    </row>
    <row r="201">
      <c r="A201" s="149" t="s">
        <v>322</v>
      </c>
      <c r="B201" s="149" t="s">
        <v>496</v>
      </c>
      <c r="C201" s="150">
        <v>9.0</v>
      </c>
      <c r="D201" s="151">
        <v>2025.0</v>
      </c>
      <c r="E201" s="149" t="s">
        <v>634</v>
      </c>
      <c r="F201" s="149" t="s">
        <v>66</v>
      </c>
      <c r="G201" s="152" t="str">
        <f>IFERROR(__xludf.DUMMYFUNCTION("IFERROR(filter(choosecols('# Salários'!$F:$Q,C201),'# Salários'!$C:$C=B201))"),"")</f>
        <v/>
      </c>
      <c r="H201" s="153">
        <v>0.0</v>
      </c>
      <c r="I201" s="154">
        <v>0.0</v>
      </c>
      <c r="J201" s="155">
        <f>IFERROR(__xludf.DUMMYFUNCTION("filter('# Encargos folha'!E:E,MONTH('# Encargos folha'!$A:$A)=$C201)"),0.2)</f>
        <v>0.2</v>
      </c>
      <c r="K201" s="156">
        <f>IFERROR(__xludf.DUMMYFUNCTION("filter('# Encargos folha'!F:F,MONTH('# Encargos folha'!$A:$A)=$C201)"),0.058)</f>
        <v>0.058</v>
      </c>
      <c r="L201" s="157">
        <f>IFERROR(__xludf.DUMMYFUNCTION("filter('# Encargos folha'!G:G,MONTH('# Encargos folha'!$A:$A)=$C201)"),0.015)</f>
        <v>0.015</v>
      </c>
      <c r="M201" s="157">
        <f>IFERROR(__xludf.DUMMYFUNCTION("filter('# Encargos folha'!H:H,MONTH('# Encargos folha'!$A:$A)=$C201)"),0.08)</f>
        <v>0.08</v>
      </c>
      <c r="N201" s="157">
        <f t="shared" si="2"/>
        <v>0.11275</v>
      </c>
      <c r="O201" s="157">
        <f t="shared" si="3"/>
        <v>0.1503332958</v>
      </c>
      <c r="P201" s="158">
        <f t="shared" si="1"/>
        <v>0.6160832958</v>
      </c>
      <c r="Q201" s="159">
        <f t="array" ref="Q201">IFERROR(DGET(Dias_íteis,$Q$1,{$C$1;C201}),"")</f>
        <v>21</v>
      </c>
      <c r="R201" s="160">
        <v>184.8</v>
      </c>
      <c r="S201" s="161">
        <f>IFERROR(__xludf.DUMMYFUNCTION("SUM(FILTER(Trabalho!$I$2:$I207,MONTH(Trabalho!$G$2:$G207)=C201,Trabalho!$B$2:$B207=B201,Trabalho!$A$2:$A207=A201))"),5.0)</f>
        <v>5</v>
      </c>
      <c r="T201" s="161">
        <f>IFERROR(__xludf.DUMMYFUNCTION("IFERROR(SUM(FILTER(Trabalho!$I$2:$I207,MONTH(Trabalho!$G$2:$G207)=C201,Trabalho!$B$2:$B207=B201,Trabalho!$J$2:$J207=TRUE,Trabalho!$K$2:$K207=TRUE, Trabalho!$A$2:$A207=A201)),0)"),0.0)</f>
        <v>0</v>
      </c>
      <c r="U201" s="162">
        <v>0.0</v>
      </c>
      <c r="V201" s="154">
        <v>0.0</v>
      </c>
    </row>
    <row r="202">
      <c r="A202" s="164" t="s">
        <v>322</v>
      </c>
      <c r="B202" s="164" t="s">
        <v>406</v>
      </c>
      <c r="C202" s="165">
        <v>7.0</v>
      </c>
      <c r="D202" s="135">
        <v>2025.0</v>
      </c>
      <c r="E202" s="164" t="s">
        <v>636</v>
      </c>
      <c r="F202" s="164" t="s">
        <v>68</v>
      </c>
      <c r="G202" s="137">
        <f>IFERROR(__xludf.DUMMYFUNCTION("IFERROR(filter(choosecols('# Salários'!$F:$Q,C202),'# Salários'!$C:$C=B202))"),5286.0)</f>
        <v>5286</v>
      </c>
      <c r="H202" s="166">
        <v>3256.6163013345</v>
      </c>
      <c r="I202" s="167">
        <v>8542.6163013345</v>
      </c>
      <c r="J202" s="140">
        <f>IFERROR(__xludf.DUMMYFUNCTION("filter('# Encargos folha'!E:E,MONTH('# Encargos folha'!$A:$A)=$C202)"),0.2)</f>
        <v>0.2</v>
      </c>
      <c r="K202" s="141">
        <f>IFERROR(__xludf.DUMMYFUNCTION("filter('# Encargos folha'!F:F,MONTH('# Encargos folha'!$A:$A)=$C202)"),0.058)</f>
        <v>0.058</v>
      </c>
      <c r="L202" s="142">
        <f>IFERROR(__xludf.DUMMYFUNCTION("filter('# Encargos folha'!G:G,MONTH('# Encargos folha'!$A:$A)=$C202)"),0.015)</f>
        <v>0.015</v>
      </c>
      <c r="M202" s="142">
        <f>IFERROR(__xludf.DUMMYFUNCTION("filter('# Encargos folha'!H:H,MONTH('# Encargos folha'!$A:$A)=$C202)"),0.08)</f>
        <v>0.08</v>
      </c>
      <c r="N202" s="142">
        <f t="shared" si="2"/>
        <v>0.11275</v>
      </c>
      <c r="O202" s="142">
        <f t="shared" si="3"/>
        <v>0.1503332958</v>
      </c>
      <c r="P202" s="168">
        <f t="shared" si="1"/>
        <v>0.6160832958</v>
      </c>
      <c r="Q202" s="145">
        <f t="array" ref="Q202">IFERROR(DGET(Dias_íteis,$Q$1,{$C$1;C202}),"")</f>
        <v>23</v>
      </c>
      <c r="R202" s="169">
        <v>202.4</v>
      </c>
      <c r="S202" s="147">
        <f>IFERROR(__xludf.DUMMYFUNCTION("SUM(FILTER(Trabalho!$I$2:$I207,MONTH(Trabalho!$G$2:$G207)=C202,Trabalho!$B$2:$B207=B202,Trabalho!$A$2:$A207=A202))"),1.0)</f>
        <v>1</v>
      </c>
      <c r="T202" s="147">
        <f>IFERROR(__xludf.DUMMYFUNCTION("IFERROR(SUM(FILTER(Trabalho!$I$2:$I207,MONTH(Trabalho!$G$2:$G207)=C202,Trabalho!$B$2:$B207=B202,Trabalho!$J$2:$J207=TRUE,Trabalho!$K$2:$K207=TRUE, Trabalho!$A$2:$A207=A202)),0)"),0.0)</f>
        <v>0</v>
      </c>
      <c r="U202" s="170">
        <v>42.20660227932065</v>
      </c>
      <c r="V202" s="167">
        <v>0.0</v>
      </c>
    </row>
    <row r="203">
      <c r="A203" s="149" t="s">
        <v>322</v>
      </c>
      <c r="B203" s="172" t="s">
        <v>406</v>
      </c>
      <c r="C203" s="150">
        <v>9.0</v>
      </c>
      <c r="D203" s="151">
        <v>2025.0</v>
      </c>
      <c r="E203" s="149" t="s">
        <v>636</v>
      </c>
      <c r="F203" s="149" t="s">
        <v>68</v>
      </c>
      <c r="G203" s="152">
        <f>IFERROR(__xludf.DUMMYFUNCTION("IFERROR(filter(choosecols('# Salários'!$F:$Q,C203),'# Salários'!$C:$C=B203))"),5286.0)</f>
        <v>5286</v>
      </c>
      <c r="H203" s="153">
        <v>3256.6163013345</v>
      </c>
      <c r="I203" s="154">
        <v>8542.6163013345</v>
      </c>
      <c r="J203" s="155">
        <f>IFERROR(__xludf.DUMMYFUNCTION("filter('# Encargos folha'!E:E,MONTH('# Encargos folha'!$A:$A)=$C203)"),0.2)</f>
        <v>0.2</v>
      </c>
      <c r="K203" s="156">
        <f>IFERROR(__xludf.DUMMYFUNCTION("filter('# Encargos folha'!F:F,MONTH('# Encargos folha'!$A:$A)=$C203)"),0.058)</f>
        <v>0.058</v>
      </c>
      <c r="L203" s="157">
        <f>IFERROR(__xludf.DUMMYFUNCTION("filter('# Encargos folha'!G:G,MONTH('# Encargos folha'!$A:$A)=$C203)"),0.015)</f>
        <v>0.015</v>
      </c>
      <c r="M203" s="157">
        <f>IFERROR(__xludf.DUMMYFUNCTION("filter('# Encargos folha'!H:H,MONTH('# Encargos folha'!$A:$A)=$C203)"),0.08)</f>
        <v>0.08</v>
      </c>
      <c r="N203" s="157">
        <f t="shared" si="2"/>
        <v>0.11275</v>
      </c>
      <c r="O203" s="157">
        <f t="shared" si="3"/>
        <v>0.1503332958</v>
      </c>
      <c r="P203" s="158">
        <f t="shared" si="1"/>
        <v>0.6160832958</v>
      </c>
      <c r="Q203" s="159">
        <f t="array" ref="Q203">IFERROR(DGET(Dias_íteis,$Q$1,{$C$1;C203}),"")</f>
        <v>21</v>
      </c>
      <c r="R203" s="160">
        <v>184.8</v>
      </c>
      <c r="S203" s="161">
        <f>IFERROR(__xludf.DUMMYFUNCTION("SUM(FILTER(Trabalho!$I$2:$I207,MONTH(Trabalho!$G$2:$G207)=C203,Trabalho!$B$2:$B207=B203,Trabalho!$A$2:$A207=A203))"),12.0)</f>
        <v>12</v>
      </c>
      <c r="T203" s="161">
        <f>IFERROR(__xludf.DUMMYFUNCTION("IFERROR(SUM(FILTER(Trabalho!$I$2:$I207,MONTH(Trabalho!$G$2:$G207)=C203,Trabalho!$B$2:$B207=B203,Trabalho!$J$2:$J207=TRUE,Trabalho!$K$2:$K207=TRUE, Trabalho!$A$2:$A207=A203)),0)"),0.0)</f>
        <v>0</v>
      </c>
      <c r="U203" s="162">
        <v>46.22627868687499</v>
      </c>
      <c r="V203" s="154">
        <v>0.0</v>
      </c>
    </row>
    <row r="204">
      <c r="A204" s="164" t="s">
        <v>322</v>
      </c>
      <c r="B204" s="164" t="s">
        <v>406</v>
      </c>
      <c r="C204" s="165">
        <v>10.0</v>
      </c>
      <c r="D204" s="135">
        <v>2025.0</v>
      </c>
      <c r="E204" s="164" t="s">
        <v>636</v>
      </c>
      <c r="F204" s="164" t="s">
        <v>68</v>
      </c>
      <c r="G204" s="137">
        <f>IFERROR(__xludf.DUMMYFUNCTION("IFERROR(filter(choosecols('# Salários'!$F:$Q,C204),'# Salários'!$C:$C=B204))"),5286.0)</f>
        <v>5286</v>
      </c>
      <c r="H204" s="166">
        <v>3406.25414785455</v>
      </c>
      <c r="I204" s="167">
        <v>8692.25414785455</v>
      </c>
      <c r="J204" s="140">
        <f>IFERROR(__xludf.DUMMYFUNCTION("filter('# Encargos folha'!E:E,MONTH('# Encargos folha'!$A:$A)=$C204)"),0.2)</f>
        <v>0.2</v>
      </c>
      <c r="K204" s="141">
        <f>IFERROR(__xludf.DUMMYFUNCTION("filter('# Encargos folha'!F:F,MONTH('# Encargos folha'!$A:$A)=$C204)"),0.058)</f>
        <v>0.058</v>
      </c>
      <c r="L204" s="142">
        <f>IFERROR(__xludf.DUMMYFUNCTION("filter('# Encargos folha'!G:G,MONTH('# Encargos folha'!$A:$A)=$C204)"),0.0387)</f>
        <v>0.0387</v>
      </c>
      <c r="M204" s="142">
        <f>IFERROR(__xludf.DUMMYFUNCTION("filter('# Encargos folha'!H:H,MONTH('# Encargos folha'!$A:$A)=$C204)"),0.08)</f>
        <v>0.08</v>
      </c>
      <c r="N204" s="142">
        <f t="shared" si="2"/>
        <v>0.114725</v>
      </c>
      <c r="O204" s="142">
        <f t="shared" si="3"/>
        <v>0.1529666284</v>
      </c>
      <c r="P204" s="168">
        <f t="shared" si="1"/>
        <v>0.6443916284</v>
      </c>
      <c r="Q204" s="145">
        <f t="array" ref="Q204">IFERROR(DGET(Dias_íteis,$Q$1,{$C$1;C204}),"")</f>
        <v>22</v>
      </c>
      <c r="R204" s="169">
        <v>193.60000000000002</v>
      </c>
      <c r="S204" s="147">
        <f>IFERROR(__xludf.DUMMYFUNCTION("SUM(FILTER(Trabalho!$I$2:$I207,MONTH(Trabalho!$G$2:$G207)=C204,Trabalho!$B$2:$B207=B204,Trabalho!$A$2:$A207=A204))"),4.0)</f>
        <v>4</v>
      </c>
      <c r="T204" s="147">
        <f>IFERROR(__xludf.DUMMYFUNCTION("IFERROR(SUM(FILTER(Trabalho!$I$2:$I207,MONTH(Trabalho!$G$2:$G207)=C204,Trabalho!$B$2:$B207=B204,Trabalho!$J$2:$J207=TRUE,Trabalho!$K$2:$K207=TRUE, Trabalho!$A$2:$A207=A204)),0)"),0.0)</f>
        <v>0</v>
      </c>
      <c r="U204" s="170">
        <v>44.89800696205862</v>
      </c>
      <c r="V204" s="167">
        <v>0.0</v>
      </c>
    </row>
    <row r="205">
      <c r="A205" s="149" t="s">
        <v>322</v>
      </c>
      <c r="B205" s="149" t="s">
        <v>406</v>
      </c>
      <c r="C205" s="150">
        <v>12.0</v>
      </c>
      <c r="D205" s="151">
        <v>2025.0</v>
      </c>
      <c r="E205" s="149" t="s">
        <v>636</v>
      </c>
      <c r="F205" s="149" t="s">
        <v>68</v>
      </c>
      <c r="G205" s="152">
        <f>IFERROR(__xludf.DUMMYFUNCTION("IFERROR(filter(choosecols('# Salários'!$F:$Q,C205),'# Salários'!$C:$C=B205))"),5286.0)</f>
        <v>5286</v>
      </c>
      <c r="H205" s="153">
        <v>3406.25414785455</v>
      </c>
      <c r="I205" s="154">
        <v>8692.25414785455</v>
      </c>
      <c r="J205" s="155">
        <f>IFERROR(__xludf.DUMMYFUNCTION("filter('# Encargos folha'!E:E,MONTH('# Encargos folha'!$A:$A)=$C205)"),0.2)</f>
        <v>0.2</v>
      </c>
      <c r="K205" s="156">
        <f>IFERROR(__xludf.DUMMYFUNCTION("filter('# Encargos folha'!F:F,MONTH('# Encargos folha'!$A:$A)=$C205)"),0.058)</f>
        <v>0.058</v>
      </c>
      <c r="L205" s="157">
        <f>IFERROR(__xludf.DUMMYFUNCTION("filter('# Encargos folha'!G:G,MONTH('# Encargos folha'!$A:$A)=$C205)"),0.0387)</f>
        <v>0.0387</v>
      </c>
      <c r="M205" s="157">
        <f>IFERROR(__xludf.DUMMYFUNCTION("filter('# Encargos folha'!H:H,MONTH('# Encargos folha'!$A:$A)=$C205)"),0.08)</f>
        <v>0.08</v>
      </c>
      <c r="N205" s="157">
        <f t="shared" si="2"/>
        <v>0.114725</v>
      </c>
      <c r="O205" s="157">
        <f t="shared" si="3"/>
        <v>0.1529666284</v>
      </c>
      <c r="P205" s="158">
        <f t="shared" si="1"/>
        <v>0.6443916284</v>
      </c>
      <c r="Q205" s="159">
        <f t="array" ref="Q205">IFERROR(DGET(Dias_íteis,$Q$1,{$C$1;C205}),"")</f>
        <v>22</v>
      </c>
      <c r="R205" s="160">
        <v>193.60000000000002</v>
      </c>
      <c r="S205" s="161">
        <f>IFERROR(__xludf.DUMMYFUNCTION("SUM(FILTER(Trabalho!$I$2:$I207,MONTH(Trabalho!$G$2:$G207)=C205,Trabalho!$B$2:$B207=B205,Trabalho!$A$2:$A207=A205))"),11.5)</f>
        <v>11.5</v>
      </c>
      <c r="T205" s="161">
        <f>IFERROR(__xludf.DUMMYFUNCTION("IFERROR(SUM(FILTER(Trabalho!$I$2:$I207,MONTH(Trabalho!$G$2:$G207)=C205,Trabalho!$B$2:$B207=B205,Trabalho!$J$2:$J207=TRUE,Trabalho!$K$2:$K207=TRUE, Trabalho!$A$2:$A207=A205)),0)"),0.0)</f>
        <v>0</v>
      </c>
      <c r="U205" s="162">
        <v>44.89800696205862</v>
      </c>
      <c r="V205" s="154">
        <v>0.0</v>
      </c>
    </row>
    <row r="206">
      <c r="A206" s="164" t="s">
        <v>322</v>
      </c>
      <c r="B206" s="164" t="s">
        <v>319</v>
      </c>
      <c r="C206" s="165">
        <v>1.0</v>
      </c>
      <c r="D206" s="135">
        <v>2025.0</v>
      </c>
      <c r="E206" s="164" t="s">
        <v>639</v>
      </c>
      <c r="F206" s="164" t="s">
        <v>638</v>
      </c>
      <c r="G206" s="137">
        <f>IFERROR(__xludf.DUMMYFUNCTION("IFERROR(filter(choosecols('# Salários'!$F:$Q,C206),'# Salários'!$C:$C=B206))"),5481.24)</f>
        <v>5481.24</v>
      </c>
      <c r="H206" s="166">
        <v>3475.10595171288</v>
      </c>
      <c r="I206" s="167">
        <v>8956.34595171288</v>
      </c>
      <c r="J206" s="140">
        <f>IFERROR(__xludf.DUMMYFUNCTION("filter('# Encargos folha'!E:E,MONTH('# Encargos folha'!$A:$A)=$C206)"),0.2)</f>
        <v>0.2</v>
      </c>
      <c r="K206" s="141">
        <f>IFERROR(__xludf.DUMMYFUNCTION("filter('# Encargos folha'!F:F,MONTH('# Encargos folha'!$A:$A)=$C206)"),0.058)</f>
        <v>0.058</v>
      </c>
      <c r="L206" s="142">
        <f>IFERROR(__xludf.DUMMYFUNCTION("filter('# Encargos folha'!G:G,MONTH('# Encargos folha'!$A:$A)=$C206)"),0.03)</f>
        <v>0.03</v>
      </c>
      <c r="M206" s="142">
        <f>IFERROR(__xludf.DUMMYFUNCTION("filter('# Encargos folha'!H:H,MONTH('# Encargos folha'!$A:$A)=$C206)"),0.08)</f>
        <v>0.08</v>
      </c>
      <c r="N206" s="142">
        <f t="shared" si="2"/>
        <v>0.114</v>
      </c>
      <c r="O206" s="142">
        <f t="shared" si="3"/>
        <v>0.151999962</v>
      </c>
      <c r="P206" s="168">
        <f t="shared" si="1"/>
        <v>0.633999962</v>
      </c>
      <c r="Q206" s="145">
        <f t="array" ref="Q206">IFERROR(DGET(Dias_íteis,$Q$1,{$C$1;C206}),"")</f>
        <v>22</v>
      </c>
      <c r="R206" s="169">
        <v>193.60000000000002</v>
      </c>
      <c r="S206" s="147">
        <f>IFERROR(__xludf.DUMMYFUNCTION("SUM(FILTER(Trabalho!$I$2:$I207,MONTH(Trabalho!$G$2:$G207)=C206,Trabalho!$B$2:$B207=B206,Trabalho!$A$2:$A207=A206))"),1.0)</f>
        <v>1</v>
      </c>
      <c r="T206" s="147">
        <f>IFERROR(__xludf.DUMMYFUNCTION("IFERROR(SUM(FILTER(Trabalho!$I$2:$I207,MONTH(Trabalho!$G$2:$G207)=C206,Trabalho!$B$2:$B207=B206,Trabalho!$J$2:$J207=TRUE,Trabalho!$K$2:$K207=TRUE, Trabalho!$A$2:$A207=A206)),0)"),0.0)</f>
        <v>0</v>
      </c>
      <c r="U206" s="170">
        <v>46.26211751917809</v>
      </c>
      <c r="V206" s="167">
        <v>0.0</v>
      </c>
    </row>
    <row r="207">
      <c r="A207" s="149" t="s">
        <v>322</v>
      </c>
      <c r="B207" s="149" t="s">
        <v>319</v>
      </c>
      <c r="C207" s="150">
        <v>3.0</v>
      </c>
      <c r="D207" s="151">
        <v>2025.0</v>
      </c>
      <c r="E207" s="149" t="s">
        <v>639</v>
      </c>
      <c r="F207" s="149" t="s">
        <v>638</v>
      </c>
      <c r="G207" s="152">
        <f>IFERROR(__xludf.DUMMYFUNCTION("IFERROR(filter(choosecols('# Salários'!$F:$Q,C207),'# Salários'!$C:$C=B207))"),5481.24)</f>
        <v>5481.24</v>
      </c>
      <c r="H207" s="153">
        <v>3475.10595171288</v>
      </c>
      <c r="I207" s="154">
        <v>8956.34595171288</v>
      </c>
      <c r="J207" s="155">
        <f>IFERROR(__xludf.DUMMYFUNCTION("filter('# Encargos folha'!E:E,MONTH('# Encargos folha'!$A:$A)=$C207)"),0.2)</f>
        <v>0.2</v>
      </c>
      <c r="K207" s="156">
        <f>IFERROR(__xludf.DUMMYFUNCTION("filter('# Encargos folha'!F:F,MONTH('# Encargos folha'!$A:$A)=$C207)"),0.058)</f>
        <v>0.058</v>
      </c>
      <c r="L207" s="157">
        <f>IFERROR(__xludf.DUMMYFUNCTION("filter('# Encargos folha'!G:G,MONTH('# Encargos folha'!$A:$A)=$C207)"),0.03)</f>
        <v>0.03</v>
      </c>
      <c r="M207" s="157">
        <f>IFERROR(__xludf.DUMMYFUNCTION("filter('# Encargos folha'!H:H,MONTH('# Encargos folha'!$A:$A)=$C207)"),0.08)</f>
        <v>0.08</v>
      </c>
      <c r="N207" s="157">
        <f t="shared" si="2"/>
        <v>0.114</v>
      </c>
      <c r="O207" s="157">
        <f t="shared" si="3"/>
        <v>0.151999962</v>
      </c>
      <c r="P207" s="158">
        <f t="shared" si="1"/>
        <v>0.633999962</v>
      </c>
      <c r="Q207" s="159">
        <f t="array" ref="Q207">IFERROR(DGET(Dias_íteis,$Q$1,{$C$1;C207}),"")</f>
        <v>18</v>
      </c>
      <c r="R207" s="160">
        <v>158.4</v>
      </c>
      <c r="S207" s="161">
        <f>IFERROR(__xludf.DUMMYFUNCTION("SUM(FILTER(Trabalho!$I$2:$I207,MONTH(Trabalho!$G$2:$G207)=C207,Trabalho!$B$2:$B207=B207,Trabalho!$A$2:$A207=A207))"),20.0)</f>
        <v>20</v>
      </c>
      <c r="T207" s="161">
        <f>IFERROR(__xludf.DUMMYFUNCTION("IFERROR(SUM(FILTER(Trabalho!$I$2:$I207,MONTH(Trabalho!$G$2:$G207)=C207,Trabalho!$B$2:$B207=B207,Trabalho!$J$2:$J207=TRUE,Trabalho!$K$2:$K207=TRUE, Trabalho!$A$2:$A207=A207)),0)"),0.0)</f>
        <v>0</v>
      </c>
      <c r="U207" s="162">
        <v>56.54258807899545</v>
      </c>
      <c r="V207" s="154">
        <v>0.0</v>
      </c>
    </row>
  </sheetData>
  <autoFilter ref="$A$1:$V$207"/>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6D7A8"/>
    <outlinePr summaryBelow="0" summaryRight="0"/>
    <pageSetUpPr fitToPage="1"/>
  </sheetPr>
  <sheetViews>
    <sheetView showGridLines="0" workbookViewId="0"/>
  </sheetViews>
  <sheetFormatPr customHeight="1" defaultColWidth="12.63" defaultRowHeight="15.75"/>
  <cols>
    <col customWidth="1" min="1" max="1" width="50.5"/>
    <col customWidth="1" min="2" max="2" width="16.25"/>
    <col customWidth="1" min="3" max="3" width="58.38"/>
    <col customWidth="1" min="4" max="4" width="10.63"/>
    <col customWidth="1" min="5" max="5" width="9.25"/>
    <col customWidth="1" min="6" max="6" width="9.88"/>
    <col customWidth="1" min="7" max="7" width="11.75"/>
    <col customWidth="1" min="8" max="8" width="57.75"/>
    <col customWidth="1" min="9" max="9" width="18.5"/>
    <col customWidth="1" min="10" max="10" width="10.75"/>
    <col customWidth="1" min="11" max="11" width="13.5"/>
    <col customWidth="1" min="12" max="12" width="12.13"/>
    <col customWidth="1" min="13" max="13" width="5.25"/>
    <col customWidth="1" min="14" max="54" width="12.88"/>
  </cols>
  <sheetData>
    <row r="1">
      <c r="A1" s="173"/>
      <c r="B1" s="173"/>
      <c r="C1" s="173"/>
      <c r="D1" s="174"/>
      <c r="E1" s="175"/>
      <c r="F1" s="176"/>
      <c r="G1" s="173"/>
      <c r="H1" s="173"/>
      <c r="I1" s="173"/>
      <c r="J1" s="174"/>
      <c r="K1" s="173"/>
      <c r="L1" s="173"/>
      <c r="M1" s="173"/>
      <c r="N1" s="177" t="b">
        <f t="array" ref="N1">XLOOKUP(N3,Projetos!$J:$J,Projetos!$K:$K,FALSE)</f>
        <v>1</v>
      </c>
      <c r="O1" s="177" t="b">
        <f t="array" ref="O1">XLOOKUP(O3,Projetos!$J:$J,Projetos!$K:$K,FALSE)</f>
        <v>0</v>
      </c>
      <c r="P1" s="177" t="b">
        <f t="array" ref="P1">XLOOKUP(P3,Projetos!$J:$J,Projetos!$K:$K,FALSE)</f>
        <v>1</v>
      </c>
      <c r="Q1" s="177" t="b">
        <f t="array" ref="Q1">XLOOKUP(Q3,Projetos!$J:$J,Projetos!$K:$K,FALSE)</f>
        <v>1</v>
      </c>
      <c r="R1" s="177" t="b">
        <f t="array" ref="R1">XLOOKUP(R3,Projetos!$J:$J,Projetos!$K:$K,FALSE)</f>
        <v>1</v>
      </c>
      <c r="S1" s="177" t="b">
        <f t="array" ref="S1">XLOOKUP(S3,Projetos!$J:$J,Projetos!$K:$K,FALSE)</f>
        <v>0</v>
      </c>
      <c r="T1" s="177" t="b">
        <f t="array" ref="T1">XLOOKUP(T3,Projetos!$J:$J,Projetos!$K:$K,FALSE)</f>
        <v>1</v>
      </c>
      <c r="U1" s="177" t="b">
        <f t="array" ref="U1">XLOOKUP(U3,Projetos!$J:$J,Projetos!$K:$K,FALSE)</f>
        <v>1</v>
      </c>
      <c r="V1" s="177" t="b">
        <f t="array" ref="V1">XLOOKUP(V3,Projetos!$J:$J,Projetos!$K:$K,FALSE)</f>
        <v>0</v>
      </c>
      <c r="W1" s="177" t="b">
        <f t="array" ref="W1">XLOOKUP(W3,Projetos!$J:$J,Projetos!$K:$K,FALSE)</f>
        <v>1</v>
      </c>
      <c r="X1" s="177" t="b">
        <f t="array" ref="X1">XLOOKUP(X3,Projetos!$J:$J,Projetos!$K:$K,FALSE)</f>
        <v>1</v>
      </c>
      <c r="Y1" s="177" t="b">
        <f t="array" ref="Y1">XLOOKUP(Y3,Projetos!$J:$J,Projetos!$K:$K,FALSE)</f>
        <v>0</v>
      </c>
      <c r="Z1" s="177" t="b">
        <f t="array" ref="Z1">XLOOKUP(Z3,Projetos!$J:$J,Projetos!$K:$K,FALSE)</f>
        <v>0</v>
      </c>
      <c r="AA1" s="177" t="b">
        <f t="array" ref="AA1">XLOOKUP(AA3,Projetos!$J:$J,Projetos!$K:$K,FALSE)</f>
        <v>0</v>
      </c>
      <c r="AB1" s="177" t="b">
        <f t="array" ref="AB1">XLOOKUP(AB3,Projetos!$J:$J,Projetos!$K:$K,FALSE)</f>
        <v>0</v>
      </c>
      <c r="AC1" s="177" t="b">
        <f t="array" ref="AC1">XLOOKUP(AC3,Projetos!$J:$J,Projetos!$K:$K,FALSE)</f>
        <v>1</v>
      </c>
      <c r="AD1" s="177" t="b">
        <f t="array" ref="AD1">XLOOKUP(AD3,Projetos!$J:$J,Projetos!$K:$K,FALSE)</f>
        <v>1</v>
      </c>
      <c r="AE1" s="177" t="b">
        <f t="array" ref="AE1">XLOOKUP(AE3,Projetos!$J:$J,Projetos!$K:$K,FALSE)</f>
        <v>0</v>
      </c>
      <c r="AF1" s="177" t="b">
        <f t="array" ref="AF1">XLOOKUP(AF3,Projetos!$J:$J,Projetos!$K:$K,FALSE)</f>
        <v>1</v>
      </c>
      <c r="AG1" s="177" t="b">
        <f t="array" ref="AG1">XLOOKUP(AG3,Projetos!$J:$J,Projetos!$K:$K,FALSE)</f>
        <v>0</v>
      </c>
      <c r="AH1" s="177" t="b">
        <f t="array" ref="AH1">XLOOKUP(AH3,Projetos!$J:$J,Projetos!$K:$K,FALSE)</f>
        <v>0</v>
      </c>
      <c r="AI1" s="177" t="b">
        <f t="array" ref="AI1">XLOOKUP(AI3,Projetos!$J:$J,Projetos!$K:$K,FALSE)</f>
        <v>0</v>
      </c>
      <c r="AJ1" s="177" t="b">
        <f t="array" ref="AJ1">XLOOKUP(AJ3,Projetos!$J:$J,Projetos!$K:$K,FALSE)</f>
        <v>1</v>
      </c>
      <c r="AK1" s="177" t="b">
        <f t="array" ref="AK1">XLOOKUP(AK3,Projetos!$J:$J,Projetos!$K:$K,FALSE)</f>
        <v>0</v>
      </c>
      <c r="AL1" s="177" t="b">
        <f t="array" ref="AL1">XLOOKUP(AL3,Projetos!$J:$J,Projetos!$K:$K,FALSE)</f>
        <v>0</v>
      </c>
      <c r="AM1" s="177" t="b">
        <f t="array" ref="AM1">XLOOKUP(AM3,Projetos!$J:$J,Projetos!$K:$K,FALSE)</f>
        <v>1</v>
      </c>
      <c r="AN1" s="177" t="b">
        <f t="array" ref="AN1">XLOOKUP(AN3,Projetos!$J:$J,Projetos!$K:$K,FALSE)</f>
        <v>0</v>
      </c>
      <c r="AO1" s="177" t="b">
        <f t="array" ref="AO1">XLOOKUP(AO3,Projetos!$J:$J,Projetos!$K:$K,FALSE)</f>
        <v>1</v>
      </c>
      <c r="AP1" s="177" t="b">
        <f t="array" ref="AP1">XLOOKUP(AP3,Projetos!$J:$J,Projetos!$K:$K,FALSE)</f>
        <v>1</v>
      </c>
      <c r="AQ1" s="177" t="b">
        <f t="array" ref="AQ1">XLOOKUP(AQ3,Projetos!$J:$J,Projetos!$K:$K,FALSE)</f>
        <v>1</v>
      </c>
      <c r="AR1" s="177" t="b">
        <f t="array" ref="AR1">XLOOKUP(AR3,Projetos!$J:$J,Projetos!$K:$K,FALSE)</f>
        <v>1</v>
      </c>
      <c r="AS1" s="177" t="b">
        <f t="array" ref="AS1">XLOOKUP(AS3,Projetos!$J:$J,Projetos!$K:$K,FALSE)</f>
        <v>1</v>
      </c>
      <c r="AT1" s="177" t="b">
        <f t="array" ref="AT1">XLOOKUP(AT3,Projetos!$J:$J,Projetos!$K:$K,FALSE)</f>
        <v>0</v>
      </c>
      <c r="AU1" s="177" t="b">
        <f t="array" ref="AU1">XLOOKUP(AU3,Projetos!$J:$J,Projetos!$K:$K,FALSE)</f>
        <v>1</v>
      </c>
      <c r="AV1" s="177" t="b">
        <f t="array" ref="AV1">XLOOKUP(AV3,Projetos!$J:$J,Projetos!$K:$K,FALSE)</f>
        <v>1</v>
      </c>
      <c r="AW1" s="177" t="b">
        <f t="array" ref="AW1">XLOOKUP(AW3,Projetos!$J:$J,Projetos!$K:$K,FALSE)</f>
        <v>1</v>
      </c>
      <c r="AX1" s="177" t="b">
        <f t="array" ref="AX1">XLOOKUP(AX3,Projetos!$J:$J,Projetos!$K:$K,FALSE)</f>
        <v>0</v>
      </c>
      <c r="AY1" s="177" t="b">
        <f t="array" ref="AY1">XLOOKUP(AY3,Projetos!$J:$J,Projetos!$K:$K,FALSE)</f>
        <v>0</v>
      </c>
      <c r="AZ1" s="177" t="b">
        <f t="array" ref="AZ1">XLOOKUP(AZ3,Projetos!$J:$J,Projetos!$K:$K,FALSE)</f>
        <v>0</v>
      </c>
      <c r="BA1" s="177" t="b">
        <f t="array" ref="BA1">XLOOKUP(BA3,Projetos!$J:$J,Projetos!$K:$K,FALSE)</f>
        <v>0</v>
      </c>
      <c r="BB1" s="177" t="b">
        <f t="array" ref="BB1">XLOOKUP(BB3,Projetos!$J:$J,Projetos!$K:$K,FALSE)</f>
        <v>0</v>
      </c>
    </row>
    <row r="2">
      <c r="A2" s="173"/>
      <c r="B2" s="173"/>
      <c r="C2" s="173"/>
      <c r="D2" s="174"/>
      <c r="E2" s="75">
        <f>SUM(E4:E87)</f>
        <v>920786.07</v>
      </c>
      <c r="F2" s="176"/>
      <c r="G2" s="173"/>
      <c r="H2" s="173"/>
      <c r="I2" s="173"/>
      <c r="J2" s="174"/>
      <c r="K2" s="178">
        <f>SUM(K4:K87)</f>
        <v>755697.1017</v>
      </c>
      <c r="L2" s="178">
        <f>SUM(N2:BB2)</f>
        <v>755697.1017</v>
      </c>
      <c r="M2" s="173"/>
      <c r="N2" s="179">
        <f t="shared" ref="N2:BB2" si="1">SUM(N4:N87)</f>
        <v>238620.4183</v>
      </c>
      <c r="O2" s="179">
        <f t="shared" si="1"/>
        <v>0</v>
      </c>
      <c r="P2" s="179">
        <f t="shared" si="1"/>
        <v>30440.2875</v>
      </c>
      <c r="Q2" s="179">
        <f t="shared" si="1"/>
        <v>20462.53</v>
      </c>
      <c r="R2" s="179">
        <f t="shared" si="1"/>
        <v>35743.1775</v>
      </c>
      <c r="S2" s="179">
        <f t="shared" si="1"/>
        <v>0</v>
      </c>
      <c r="T2" s="179">
        <f t="shared" si="1"/>
        <v>0</v>
      </c>
      <c r="U2" s="179">
        <f t="shared" si="1"/>
        <v>79988.1175</v>
      </c>
      <c r="V2" s="179">
        <f t="shared" si="1"/>
        <v>0</v>
      </c>
      <c r="W2" s="179">
        <f t="shared" si="1"/>
        <v>181490.8058</v>
      </c>
      <c r="X2" s="179">
        <f t="shared" si="1"/>
        <v>168637.045</v>
      </c>
      <c r="Y2" s="179">
        <f t="shared" si="1"/>
        <v>0</v>
      </c>
      <c r="Z2" s="179">
        <f t="shared" si="1"/>
        <v>0</v>
      </c>
      <c r="AA2" s="179">
        <f t="shared" si="1"/>
        <v>0</v>
      </c>
      <c r="AB2" s="179">
        <f t="shared" si="1"/>
        <v>0</v>
      </c>
      <c r="AC2" s="179">
        <f t="shared" si="1"/>
        <v>0</v>
      </c>
      <c r="AD2" s="179">
        <f t="shared" si="1"/>
        <v>0</v>
      </c>
      <c r="AE2" s="179">
        <f t="shared" si="1"/>
        <v>0</v>
      </c>
      <c r="AF2" s="179">
        <f t="shared" si="1"/>
        <v>0</v>
      </c>
      <c r="AG2" s="179">
        <f t="shared" si="1"/>
        <v>0</v>
      </c>
      <c r="AH2" s="179">
        <f t="shared" si="1"/>
        <v>0</v>
      </c>
      <c r="AI2" s="179">
        <f t="shared" si="1"/>
        <v>0</v>
      </c>
      <c r="AJ2" s="179">
        <f t="shared" si="1"/>
        <v>0</v>
      </c>
      <c r="AK2" s="179">
        <f t="shared" si="1"/>
        <v>0</v>
      </c>
      <c r="AL2" s="179">
        <f t="shared" si="1"/>
        <v>0</v>
      </c>
      <c r="AM2" s="179">
        <f t="shared" si="1"/>
        <v>0</v>
      </c>
      <c r="AN2" s="179">
        <f t="shared" si="1"/>
        <v>0</v>
      </c>
      <c r="AO2" s="179">
        <f t="shared" si="1"/>
        <v>0</v>
      </c>
      <c r="AP2" s="179">
        <f t="shared" si="1"/>
        <v>172.5</v>
      </c>
      <c r="AQ2" s="179">
        <f t="shared" si="1"/>
        <v>0</v>
      </c>
      <c r="AR2" s="179">
        <f t="shared" si="1"/>
        <v>0</v>
      </c>
      <c r="AS2" s="179">
        <f t="shared" si="1"/>
        <v>0</v>
      </c>
      <c r="AT2" s="179">
        <f t="shared" si="1"/>
        <v>0</v>
      </c>
      <c r="AU2" s="179">
        <f t="shared" si="1"/>
        <v>0</v>
      </c>
      <c r="AV2" s="179">
        <f t="shared" si="1"/>
        <v>142.22</v>
      </c>
      <c r="AW2" s="179">
        <f t="shared" si="1"/>
        <v>0</v>
      </c>
      <c r="AX2" s="179">
        <f t="shared" si="1"/>
        <v>0</v>
      </c>
      <c r="AY2" s="179">
        <f t="shared" si="1"/>
        <v>0</v>
      </c>
      <c r="AZ2" s="179">
        <f t="shared" si="1"/>
        <v>0</v>
      </c>
      <c r="BA2" s="179">
        <f t="shared" si="1"/>
        <v>0</v>
      </c>
      <c r="BB2" s="179">
        <f t="shared" si="1"/>
        <v>0</v>
      </c>
    </row>
    <row r="3">
      <c r="A3" s="100" t="s">
        <v>642</v>
      </c>
      <c r="B3" s="100" t="s">
        <v>643</v>
      </c>
      <c r="C3" s="100" t="s">
        <v>1</v>
      </c>
      <c r="D3" s="180" t="s">
        <v>644</v>
      </c>
      <c r="E3" s="181" t="s">
        <v>645</v>
      </c>
      <c r="F3" s="102" t="s">
        <v>245</v>
      </c>
      <c r="G3" s="180" t="s">
        <v>36</v>
      </c>
      <c r="H3" s="100" t="s">
        <v>646</v>
      </c>
      <c r="I3" s="100" t="s">
        <v>647</v>
      </c>
      <c r="J3" s="180" t="s">
        <v>648</v>
      </c>
      <c r="K3" s="100" t="s">
        <v>649</v>
      </c>
      <c r="L3" s="100" t="s">
        <v>650</v>
      </c>
      <c r="M3" s="100" t="s">
        <v>651</v>
      </c>
      <c r="N3" s="101" t="s">
        <v>92</v>
      </c>
      <c r="O3" s="180" t="s">
        <v>652</v>
      </c>
      <c r="P3" s="180" t="s">
        <v>98</v>
      </c>
      <c r="Q3" s="180" t="s">
        <v>104</v>
      </c>
      <c r="R3" s="180" t="s">
        <v>106</v>
      </c>
      <c r="S3" s="180" t="s">
        <v>653</v>
      </c>
      <c r="T3" s="180" t="s">
        <v>112</v>
      </c>
      <c r="U3" s="180" t="s">
        <v>118</v>
      </c>
      <c r="V3" s="180" t="s">
        <v>654</v>
      </c>
      <c r="W3" s="180" t="s">
        <v>124</v>
      </c>
      <c r="X3" s="180" t="s">
        <v>130</v>
      </c>
      <c r="Y3" s="180" t="s">
        <v>655</v>
      </c>
      <c r="Z3" s="180" t="s">
        <v>293</v>
      </c>
      <c r="AA3" s="180" t="s">
        <v>267</v>
      </c>
      <c r="AB3" s="180" t="s">
        <v>656</v>
      </c>
      <c r="AC3" s="180" t="s">
        <v>137</v>
      </c>
      <c r="AD3" s="180" t="s">
        <v>143</v>
      </c>
      <c r="AE3" s="180" t="s">
        <v>150</v>
      </c>
      <c r="AF3" s="180" t="s">
        <v>156</v>
      </c>
      <c r="AG3" s="180" t="s">
        <v>158</v>
      </c>
      <c r="AH3" s="180" t="s">
        <v>165</v>
      </c>
      <c r="AI3" s="180" t="s">
        <v>171</v>
      </c>
      <c r="AJ3" s="180" t="s">
        <v>177</v>
      </c>
      <c r="AK3" s="180" t="s">
        <v>657</v>
      </c>
      <c r="AL3" s="180" t="s">
        <v>269</v>
      </c>
      <c r="AM3" s="180" t="s">
        <v>178</v>
      </c>
      <c r="AN3" s="180" t="s">
        <v>658</v>
      </c>
      <c r="AO3" s="180" t="s">
        <v>184</v>
      </c>
      <c r="AP3" s="180" t="s">
        <v>190</v>
      </c>
      <c r="AQ3" s="180" t="s">
        <v>196</v>
      </c>
      <c r="AR3" s="180" t="s">
        <v>197</v>
      </c>
      <c r="AS3" s="180" t="s">
        <v>203</v>
      </c>
      <c r="AT3" s="180" t="s">
        <v>258</v>
      </c>
      <c r="AU3" s="180" t="s">
        <v>209</v>
      </c>
      <c r="AV3" s="180" t="s">
        <v>215</v>
      </c>
      <c r="AW3" s="180" t="s">
        <v>221</v>
      </c>
      <c r="AX3" s="180" t="s">
        <v>659</v>
      </c>
      <c r="AY3" s="180" t="s">
        <v>227</v>
      </c>
      <c r="AZ3" s="180" t="s">
        <v>233</v>
      </c>
      <c r="BA3" s="180" t="s">
        <v>239</v>
      </c>
      <c r="BB3" s="180" t="s">
        <v>660</v>
      </c>
    </row>
    <row r="4">
      <c r="A4" s="182" t="s">
        <v>661</v>
      </c>
      <c r="B4" s="183" t="s">
        <v>662</v>
      </c>
      <c r="C4" s="105" t="s">
        <v>663</v>
      </c>
      <c r="D4" s="184">
        <v>117831.0</v>
      </c>
      <c r="E4" s="185">
        <v>1289.89</v>
      </c>
      <c r="F4" s="186">
        <v>45659.0</v>
      </c>
      <c r="G4" s="105" t="s">
        <v>664</v>
      </c>
      <c r="H4" s="83" t="s">
        <v>663</v>
      </c>
      <c r="I4" s="187" t="s">
        <v>92</v>
      </c>
      <c r="J4" s="188" t="b">
        <v>1</v>
      </c>
      <c r="K4" s="189">
        <f t="shared" ref="K4:K87" si="3">SUM(N4:BB4)</f>
        <v>1289.89</v>
      </c>
      <c r="L4" s="48" t="b">
        <f t="shared" ref="L4:L87" si="4">SUM(N4:BB4)=E4</f>
        <v>1</v>
      </c>
      <c r="M4" s="190">
        <f t="shared" ref="M4:M67" si="5">IF(J4=FALSE,0,IF(LEN(I4)=0,0,IF(LEN(I4)=9,1,(LEN(I4)+1)/10)))</f>
        <v>1</v>
      </c>
      <c r="N4" s="179">
        <f t="shared" ref="N4:BB4" si="2">IFERROR(IF(N$1=FALSE,, IF(IF(SEARCH(N$3,$I4,1)&gt;0,1,0)=1,$E4/$M4,)),"")</f>
        <v>1289.89</v>
      </c>
      <c r="O4" s="179" t="str">
        <f t="shared" si="2"/>
        <v/>
      </c>
      <c r="P4" s="179" t="str">
        <f t="shared" si="2"/>
        <v/>
      </c>
      <c r="Q4" s="179" t="str">
        <f t="shared" si="2"/>
        <v/>
      </c>
      <c r="R4" s="179" t="str">
        <f t="shared" si="2"/>
        <v/>
      </c>
      <c r="S4" s="179" t="str">
        <f t="shared" si="2"/>
        <v/>
      </c>
      <c r="T4" s="179" t="str">
        <f t="shared" si="2"/>
        <v/>
      </c>
      <c r="U4" s="179" t="str">
        <f t="shared" si="2"/>
        <v/>
      </c>
      <c r="V4" s="179" t="str">
        <f t="shared" si="2"/>
        <v/>
      </c>
      <c r="W4" s="179" t="str">
        <f t="shared" si="2"/>
        <v/>
      </c>
      <c r="X4" s="179" t="str">
        <f t="shared" si="2"/>
        <v/>
      </c>
      <c r="Y4" s="179" t="str">
        <f t="shared" si="2"/>
        <v/>
      </c>
      <c r="Z4" s="179" t="str">
        <f t="shared" si="2"/>
        <v/>
      </c>
      <c r="AA4" s="179" t="str">
        <f t="shared" si="2"/>
        <v/>
      </c>
      <c r="AB4" s="179" t="str">
        <f t="shared" si="2"/>
        <v/>
      </c>
      <c r="AC4" s="179" t="str">
        <f t="shared" si="2"/>
        <v/>
      </c>
      <c r="AD4" s="179" t="str">
        <f t="shared" si="2"/>
        <v/>
      </c>
      <c r="AE4" s="179" t="str">
        <f t="shared" si="2"/>
        <v/>
      </c>
      <c r="AF4" s="179" t="str">
        <f t="shared" si="2"/>
        <v/>
      </c>
      <c r="AG4" s="179" t="str">
        <f t="shared" si="2"/>
        <v/>
      </c>
      <c r="AH4" s="179" t="str">
        <f t="shared" si="2"/>
        <v/>
      </c>
      <c r="AI4" s="179" t="str">
        <f t="shared" si="2"/>
        <v/>
      </c>
      <c r="AJ4" s="179" t="str">
        <f t="shared" si="2"/>
        <v/>
      </c>
      <c r="AK4" s="179" t="str">
        <f t="shared" si="2"/>
        <v/>
      </c>
      <c r="AL4" s="179" t="str">
        <f t="shared" si="2"/>
        <v/>
      </c>
      <c r="AM4" s="179" t="str">
        <f t="shared" si="2"/>
        <v/>
      </c>
      <c r="AN4" s="179" t="str">
        <f t="shared" si="2"/>
        <v/>
      </c>
      <c r="AO4" s="179" t="str">
        <f t="shared" si="2"/>
        <v/>
      </c>
      <c r="AP4" s="179" t="str">
        <f t="shared" si="2"/>
        <v/>
      </c>
      <c r="AQ4" s="179" t="str">
        <f t="shared" si="2"/>
        <v/>
      </c>
      <c r="AR4" s="179" t="str">
        <f t="shared" si="2"/>
        <v/>
      </c>
      <c r="AS4" s="179" t="str">
        <f t="shared" si="2"/>
        <v/>
      </c>
      <c r="AT4" s="179" t="str">
        <f t="shared" si="2"/>
        <v/>
      </c>
      <c r="AU4" s="179" t="str">
        <f t="shared" si="2"/>
        <v/>
      </c>
      <c r="AV4" s="179" t="str">
        <f t="shared" si="2"/>
        <v/>
      </c>
      <c r="AW4" s="179" t="str">
        <f t="shared" si="2"/>
        <v/>
      </c>
      <c r="AX4" s="179" t="str">
        <f t="shared" si="2"/>
        <v/>
      </c>
      <c r="AY4" s="179" t="str">
        <f t="shared" si="2"/>
        <v/>
      </c>
      <c r="AZ4" s="179" t="str">
        <f t="shared" si="2"/>
        <v/>
      </c>
      <c r="BA4" s="179" t="str">
        <f t="shared" si="2"/>
        <v/>
      </c>
      <c r="BB4" s="179" t="str">
        <f t="shared" si="2"/>
        <v/>
      </c>
    </row>
    <row r="5">
      <c r="A5" s="182" t="s">
        <v>661</v>
      </c>
      <c r="B5" s="105" t="s">
        <v>662</v>
      </c>
      <c r="C5" s="105" t="s">
        <v>665</v>
      </c>
      <c r="D5" s="184">
        <v>118058.0</v>
      </c>
      <c r="E5" s="185">
        <v>37904.28</v>
      </c>
      <c r="F5" s="186">
        <v>45666.0</v>
      </c>
      <c r="G5" s="105" t="s">
        <v>664</v>
      </c>
      <c r="H5" s="83" t="s">
        <v>665</v>
      </c>
      <c r="I5" s="187" t="s">
        <v>92</v>
      </c>
      <c r="J5" s="188" t="b">
        <v>1</v>
      </c>
      <c r="K5" s="189">
        <f t="shared" si="3"/>
        <v>37904.28</v>
      </c>
      <c r="L5" s="48" t="b">
        <f t="shared" si="4"/>
        <v>1</v>
      </c>
      <c r="M5" s="190">
        <f t="shared" si="5"/>
        <v>1</v>
      </c>
      <c r="N5" s="179">
        <f t="shared" ref="N5:BB5" si="6">IFERROR(IF(N$1=FALSE,, IF(IF(SEARCH(N$3,$I5,1)&gt;0,1,0)=1,$E5/$M5,)),"")</f>
        <v>37904.28</v>
      </c>
      <c r="O5" s="179" t="str">
        <f t="shared" si="6"/>
        <v/>
      </c>
      <c r="P5" s="179" t="str">
        <f t="shared" si="6"/>
        <v/>
      </c>
      <c r="Q5" s="179" t="str">
        <f t="shared" si="6"/>
        <v/>
      </c>
      <c r="R5" s="179" t="str">
        <f t="shared" si="6"/>
        <v/>
      </c>
      <c r="S5" s="179" t="str">
        <f t="shared" si="6"/>
        <v/>
      </c>
      <c r="T5" s="179" t="str">
        <f t="shared" si="6"/>
        <v/>
      </c>
      <c r="U5" s="179" t="str">
        <f t="shared" si="6"/>
        <v/>
      </c>
      <c r="V5" s="179" t="str">
        <f t="shared" si="6"/>
        <v/>
      </c>
      <c r="W5" s="179" t="str">
        <f t="shared" si="6"/>
        <v/>
      </c>
      <c r="X5" s="179" t="str">
        <f t="shared" si="6"/>
        <v/>
      </c>
      <c r="Y5" s="179" t="str">
        <f t="shared" si="6"/>
        <v/>
      </c>
      <c r="Z5" s="179" t="str">
        <f t="shared" si="6"/>
        <v/>
      </c>
      <c r="AA5" s="179" t="str">
        <f t="shared" si="6"/>
        <v/>
      </c>
      <c r="AB5" s="179" t="str">
        <f t="shared" si="6"/>
        <v/>
      </c>
      <c r="AC5" s="179" t="str">
        <f t="shared" si="6"/>
        <v/>
      </c>
      <c r="AD5" s="179" t="str">
        <f t="shared" si="6"/>
        <v/>
      </c>
      <c r="AE5" s="179" t="str">
        <f t="shared" si="6"/>
        <v/>
      </c>
      <c r="AF5" s="179" t="str">
        <f t="shared" si="6"/>
        <v/>
      </c>
      <c r="AG5" s="179" t="str">
        <f t="shared" si="6"/>
        <v/>
      </c>
      <c r="AH5" s="179" t="str">
        <f t="shared" si="6"/>
        <v/>
      </c>
      <c r="AI5" s="179" t="str">
        <f t="shared" si="6"/>
        <v/>
      </c>
      <c r="AJ5" s="179" t="str">
        <f t="shared" si="6"/>
        <v/>
      </c>
      <c r="AK5" s="179" t="str">
        <f t="shared" si="6"/>
        <v/>
      </c>
      <c r="AL5" s="179" t="str">
        <f t="shared" si="6"/>
        <v/>
      </c>
      <c r="AM5" s="179" t="str">
        <f t="shared" si="6"/>
        <v/>
      </c>
      <c r="AN5" s="179" t="str">
        <f t="shared" si="6"/>
        <v/>
      </c>
      <c r="AO5" s="179" t="str">
        <f t="shared" si="6"/>
        <v/>
      </c>
      <c r="AP5" s="179" t="str">
        <f t="shared" si="6"/>
        <v/>
      </c>
      <c r="AQ5" s="179" t="str">
        <f t="shared" si="6"/>
        <v/>
      </c>
      <c r="AR5" s="179" t="str">
        <f t="shared" si="6"/>
        <v/>
      </c>
      <c r="AS5" s="179" t="str">
        <f t="shared" si="6"/>
        <v/>
      </c>
      <c r="AT5" s="179" t="str">
        <f t="shared" si="6"/>
        <v/>
      </c>
      <c r="AU5" s="179" t="str">
        <f t="shared" si="6"/>
        <v/>
      </c>
      <c r="AV5" s="179" t="str">
        <f t="shared" si="6"/>
        <v/>
      </c>
      <c r="AW5" s="179" t="str">
        <f t="shared" si="6"/>
        <v/>
      </c>
      <c r="AX5" s="179" t="str">
        <f t="shared" si="6"/>
        <v/>
      </c>
      <c r="AY5" s="179" t="str">
        <f t="shared" si="6"/>
        <v/>
      </c>
      <c r="AZ5" s="179" t="str">
        <f t="shared" si="6"/>
        <v/>
      </c>
      <c r="BA5" s="179" t="str">
        <f t="shared" si="6"/>
        <v/>
      </c>
      <c r="BB5" s="179" t="str">
        <f t="shared" si="6"/>
        <v/>
      </c>
    </row>
    <row r="6">
      <c r="A6" s="182" t="s">
        <v>661</v>
      </c>
      <c r="B6" s="105" t="s">
        <v>662</v>
      </c>
      <c r="C6" s="105" t="s">
        <v>666</v>
      </c>
      <c r="D6" s="184">
        <v>118219.0</v>
      </c>
      <c r="E6" s="185">
        <v>3864.24</v>
      </c>
      <c r="F6" s="186">
        <v>45677.0</v>
      </c>
      <c r="G6" s="105" t="s">
        <v>664</v>
      </c>
      <c r="H6" s="83" t="s">
        <v>666</v>
      </c>
      <c r="I6" s="187" t="s">
        <v>667</v>
      </c>
      <c r="J6" s="188" t="b">
        <v>1</v>
      </c>
      <c r="K6" s="189">
        <f t="shared" si="3"/>
        <v>3864.24</v>
      </c>
      <c r="L6" s="48" t="b">
        <f t="shared" si="4"/>
        <v>1</v>
      </c>
      <c r="M6" s="190">
        <f t="shared" si="5"/>
        <v>2</v>
      </c>
      <c r="N6" s="179">
        <f t="shared" ref="N6:BB6" si="7">IFERROR(IF(N$1=FALSE,, IF(IF(SEARCH(N$3,$I6,1)&gt;0,1,0)=1,$E6/$M6,)),"")</f>
        <v>1932.12</v>
      </c>
      <c r="O6" s="179" t="str">
        <f t="shared" si="7"/>
        <v/>
      </c>
      <c r="P6" s="179" t="str">
        <f t="shared" si="7"/>
        <v/>
      </c>
      <c r="Q6" s="179" t="str">
        <f t="shared" si="7"/>
        <v/>
      </c>
      <c r="R6" s="179" t="str">
        <f t="shared" si="7"/>
        <v/>
      </c>
      <c r="S6" s="179" t="str">
        <f t="shared" si="7"/>
        <v/>
      </c>
      <c r="T6" s="179" t="str">
        <f t="shared" si="7"/>
        <v/>
      </c>
      <c r="U6" s="179">
        <f t="shared" si="7"/>
        <v>1932.12</v>
      </c>
      <c r="V6" s="179" t="str">
        <f t="shared" si="7"/>
        <v/>
      </c>
      <c r="W6" s="179" t="str">
        <f t="shared" si="7"/>
        <v/>
      </c>
      <c r="X6" s="179" t="str">
        <f t="shared" si="7"/>
        <v/>
      </c>
      <c r="Y6" s="179" t="str">
        <f t="shared" si="7"/>
        <v/>
      </c>
      <c r="Z6" s="179" t="str">
        <f t="shared" si="7"/>
        <v/>
      </c>
      <c r="AA6" s="179" t="str">
        <f t="shared" si="7"/>
        <v/>
      </c>
      <c r="AB6" s="179" t="str">
        <f t="shared" si="7"/>
        <v/>
      </c>
      <c r="AC6" s="179" t="str">
        <f t="shared" si="7"/>
        <v/>
      </c>
      <c r="AD6" s="179" t="str">
        <f t="shared" si="7"/>
        <v/>
      </c>
      <c r="AE6" s="179" t="str">
        <f t="shared" si="7"/>
        <v/>
      </c>
      <c r="AF6" s="179" t="str">
        <f t="shared" si="7"/>
        <v/>
      </c>
      <c r="AG6" s="179" t="str">
        <f t="shared" si="7"/>
        <v/>
      </c>
      <c r="AH6" s="179" t="str">
        <f t="shared" si="7"/>
        <v/>
      </c>
      <c r="AI6" s="179" t="str">
        <f t="shared" si="7"/>
        <v/>
      </c>
      <c r="AJ6" s="179" t="str">
        <f t="shared" si="7"/>
        <v/>
      </c>
      <c r="AK6" s="179" t="str">
        <f t="shared" si="7"/>
        <v/>
      </c>
      <c r="AL6" s="179" t="str">
        <f t="shared" si="7"/>
        <v/>
      </c>
      <c r="AM6" s="179" t="str">
        <f t="shared" si="7"/>
        <v/>
      </c>
      <c r="AN6" s="179" t="str">
        <f t="shared" si="7"/>
        <v/>
      </c>
      <c r="AO6" s="179" t="str">
        <f t="shared" si="7"/>
        <v/>
      </c>
      <c r="AP6" s="179" t="str">
        <f t="shared" si="7"/>
        <v/>
      </c>
      <c r="AQ6" s="179" t="str">
        <f t="shared" si="7"/>
        <v/>
      </c>
      <c r="AR6" s="179" t="str">
        <f t="shared" si="7"/>
        <v/>
      </c>
      <c r="AS6" s="179" t="str">
        <f t="shared" si="7"/>
        <v/>
      </c>
      <c r="AT6" s="179" t="str">
        <f t="shared" si="7"/>
        <v/>
      </c>
      <c r="AU6" s="179" t="str">
        <f t="shared" si="7"/>
        <v/>
      </c>
      <c r="AV6" s="179" t="str">
        <f t="shared" si="7"/>
        <v/>
      </c>
      <c r="AW6" s="179" t="str">
        <f t="shared" si="7"/>
        <v/>
      </c>
      <c r="AX6" s="179" t="str">
        <f t="shared" si="7"/>
        <v/>
      </c>
      <c r="AY6" s="179" t="str">
        <f t="shared" si="7"/>
        <v/>
      </c>
      <c r="AZ6" s="179" t="str">
        <f t="shared" si="7"/>
        <v/>
      </c>
      <c r="BA6" s="179" t="str">
        <f t="shared" si="7"/>
        <v/>
      </c>
      <c r="BB6" s="179" t="str">
        <f t="shared" si="7"/>
        <v/>
      </c>
    </row>
    <row r="7">
      <c r="A7" s="182" t="s">
        <v>668</v>
      </c>
      <c r="B7" s="105" t="s">
        <v>669</v>
      </c>
      <c r="C7" s="105" t="s">
        <v>670</v>
      </c>
      <c r="D7" s="184">
        <v>97362.0</v>
      </c>
      <c r="E7" s="185">
        <v>797.4</v>
      </c>
      <c r="F7" s="186">
        <v>45685.0</v>
      </c>
      <c r="G7" s="105" t="s">
        <v>664</v>
      </c>
      <c r="H7" s="83" t="s">
        <v>670</v>
      </c>
      <c r="I7" s="187" t="s">
        <v>150</v>
      </c>
      <c r="J7" s="188" t="b">
        <v>0</v>
      </c>
      <c r="K7" s="189">
        <f t="shared" si="3"/>
        <v>0</v>
      </c>
      <c r="L7" s="48" t="b">
        <f t="shared" si="4"/>
        <v>0</v>
      </c>
      <c r="M7" s="190">
        <f t="shared" si="5"/>
        <v>0</v>
      </c>
      <c r="N7" s="179" t="str">
        <f t="shared" ref="N7:BB7" si="8">IFERROR(IF(N$1=FALSE,, IF(IF(SEARCH(N$3,$I7,1)&gt;0,1,0)=1,$E7/$M7,)),"")</f>
        <v/>
      </c>
      <c r="O7" s="179" t="str">
        <f t="shared" si="8"/>
        <v/>
      </c>
      <c r="P7" s="179" t="str">
        <f t="shared" si="8"/>
        <v/>
      </c>
      <c r="Q7" s="179" t="str">
        <f t="shared" si="8"/>
        <v/>
      </c>
      <c r="R7" s="179" t="str">
        <f t="shared" si="8"/>
        <v/>
      </c>
      <c r="S7" s="179" t="str">
        <f t="shared" si="8"/>
        <v/>
      </c>
      <c r="T7" s="179" t="str">
        <f t="shared" si="8"/>
        <v/>
      </c>
      <c r="U7" s="179" t="str">
        <f t="shared" si="8"/>
        <v/>
      </c>
      <c r="V7" s="179" t="str">
        <f t="shared" si="8"/>
        <v/>
      </c>
      <c r="W7" s="179" t="str">
        <f t="shared" si="8"/>
        <v/>
      </c>
      <c r="X7" s="179" t="str">
        <f t="shared" si="8"/>
        <v/>
      </c>
      <c r="Y7" s="179" t="str">
        <f t="shared" si="8"/>
        <v/>
      </c>
      <c r="Z7" s="179" t="str">
        <f t="shared" si="8"/>
        <v/>
      </c>
      <c r="AA7" s="179" t="str">
        <f t="shared" si="8"/>
        <v/>
      </c>
      <c r="AB7" s="179" t="str">
        <f t="shared" si="8"/>
        <v/>
      </c>
      <c r="AC7" s="179" t="str">
        <f t="shared" si="8"/>
        <v/>
      </c>
      <c r="AD7" s="179" t="str">
        <f t="shared" si="8"/>
        <v/>
      </c>
      <c r="AE7" s="179" t="str">
        <f t="shared" si="8"/>
        <v/>
      </c>
      <c r="AF7" s="179" t="str">
        <f t="shared" si="8"/>
        <v/>
      </c>
      <c r="AG7" s="179" t="str">
        <f t="shared" si="8"/>
        <v/>
      </c>
      <c r="AH7" s="179" t="str">
        <f t="shared" si="8"/>
        <v/>
      </c>
      <c r="AI7" s="179" t="str">
        <f t="shared" si="8"/>
        <v/>
      </c>
      <c r="AJ7" s="179" t="str">
        <f t="shared" si="8"/>
        <v/>
      </c>
      <c r="AK7" s="179" t="str">
        <f t="shared" si="8"/>
        <v/>
      </c>
      <c r="AL7" s="179" t="str">
        <f t="shared" si="8"/>
        <v/>
      </c>
      <c r="AM7" s="179" t="str">
        <f t="shared" si="8"/>
        <v/>
      </c>
      <c r="AN7" s="179" t="str">
        <f t="shared" si="8"/>
        <v/>
      </c>
      <c r="AO7" s="179" t="str">
        <f t="shared" si="8"/>
        <v/>
      </c>
      <c r="AP7" s="179" t="str">
        <f t="shared" si="8"/>
        <v/>
      </c>
      <c r="AQ7" s="179" t="str">
        <f t="shared" si="8"/>
        <v/>
      </c>
      <c r="AR7" s="179" t="str">
        <f t="shared" si="8"/>
        <v/>
      </c>
      <c r="AS7" s="179" t="str">
        <f t="shared" si="8"/>
        <v/>
      </c>
      <c r="AT7" s="179" t="str">
        <f t="shared" si="8"/>
        <v/>
      </c>
      <c r="AU7" s="179" t="str">
        <f t="shared" si="8"/>
        <v/>
      </c>
      <c r="AV7" s="179" t="str">
        <f t="shared" si="8"/>
        <v/>
      </c>
      <c r="AW7" s="179" t="str">
        <f t="shared" si="8"/>
        <v/>
      </c>
      <c r="AX7" s="179" t="str">
        <f t="shared" si="8"/>
        <v/>
      </c>
      <c r="AY7" s="179" t="str">
        <f t="shared" si="8"/>
        <v/>
      </c>
      <c r="AZ7" s="179" t="str">
        <f t="shared" si="8"/>
        <v/>
      </c>
      <c r="BA7" s="179" t="str">
        <f t="shared" si="8"/>
        <v/>
      </c>
      <c r="BB7" s="179" t="str">
        <f t="shared" si="8"/>
        <v/>
      </c>
    </row>
    <row r="8">
      <c r="A8" s="182" t="s">
        <v>661</v>
      </c>
      <c r="B8" s="105" t="s">
        <v>662</v>
      </c>
      <c r="C8" s="105" t="s">
        <v>671</v>
      </c>
      <c r="D8" s="184">
        <v>118638.0</v>
      </c>
      <c r="E8" s="185">
        <v>17155.98</v>
      </c>
      <c r="F8" s="186">
        <v>45694.0</v>
      </c>
      <c r="G8" s="105" t="s">
        <v>664</v>
      </c>
      <c r="H8" s="83" t="s">
        <v>671</v>
      </c>
      <c r="I8" s="187" t="s">
        <v>672</v>
      </c>
      <c r="J8" s="188" t="b">
        <v>1</v>
      </c>
      <c r="K8" s="189">
        <f t="shared" si="3"/>
        <v>8577.99</v>
      </c>
      <c r="L8" s="48" t="b">
        <f t="shared" si="4"/>
        <v>0</v>
      </c>
      <c r="M8" s="190">
        <f t="shared" si="5"/>
        <v>2</v>
      </c>
      <c r="N8" s="179" t="str">
        <f t="shared" ref="N8:BB8" si="9">IFERROR(IF(N$1=FALSE,, IF(IF(SEARCH(N$3,$I8,1)&gt;0,1,0)=1,$E8/$M8,)),"")</f>
        <v/>
      </c>
      <c r="O8" s="179" t="str">
        <f t="shared" si="9"/>
        <v/>
      </c>
      <c r="P8" s="179" t="str">
        <f t="shared" si="9"/>
        <v/>
      </c>
      <c r="Q8" s="179" t="str">
        <f t="shared" si="9"/>
        <v/>
      </c>
      <c r="R8" s="179">
        <f t="shared" si="9"/>
        <v>8577.99</v>
      </c>
      <c r="S8" s="179" t="str">
        <f t="shared" si="9"/>
        <v/>
      </c>
      <c r="T8" s="179" t="str">
        <f t="shared" si="9"/>
        <v/>
      </c>
      <c r="U8" s="179" t="str">
        <f t="shared" si="9"/>
        <v/>
      </c>
      <c r="V8" s="179" t="str">
        <f t="shared" si="9"/>
        <v/>
      </c>
      <c r="W8" s="179" t="str">
        <f t="shared" si="9"/>
        <v/>
      </c>
      <c r="X8" s="179" t="str">
        <f t="shared" si="9"/>
        <v/>
      </c>
      <c r="Y8" s="179" t="str">
        <f t="shared" si="9"/>
        <v/>
      </c>
      <c r="Z8" s="179" t="str">
        <f t="shared" si="9"/>
        <v/>
      </c>
      <c r="AA8" s="179" t="str">
        <f t="shared" si="9"/>
        <v/>
      </c>
      <c r="AB8" s="179" t="str">
        <f t="shared" si="9"/>
        <v/>
      </c>
      <c r="AC8" s="179" t="str">
        <f t="shared" si="9"/>
        <v/>
      </c>
      <c r="AD8" s="179" t="str">
        <f t="shared" si="9"/>
        <v/>
      </c>
      <c r="AE8" s="179" t="str">
        <f t="shared" si="9"/>
        <v/>
      </c>
      <c r="AF8" s="179" t="str">
        <f t="shared" si="9"/>
        <v/>
      </c>
      <c r="AG8" s="179" t="str">
        <f t="shared" si="9"/>
        <v/>
      </c>
      <c r="AH8" s="179" t="str">
        <f t="shared" si="9"/>
        <v/>
      </c>
      <c r="AI8" s="179" t="str">
        <f t="shared" si="9"/>
        <v/>
      </c>
      <c r="AJ8" s="179" t="str">
        <f t="shared" si="9"/>
        <v/>
      </c>
      <c r="AK8" s="179" t="str">
        <f t="shared" si="9"/>
        <v/>
      </c>
      <c r="AL8" s="179" t="str">
        <f t="shared" si="9"/>
        <v/>
      </c>
      <c r="AM8" s="179" t="str">
        <f t="shared" si="9"/>
        <v/>
      </c>
      <c r="AN8" s="179" t="str">
        <f t="shared" si="9"/>
        <v/>
      </c>
      <c r="AO8" s="179" t="str">
        <f t="shared" si="9"/>
        <v/>
      </c>
      <c r="AP8" s="179" t="str">
        <f t="shared" si="9"/>
        <v/>
      </c>
      <c r="AQ8" s="179" t="str">
        <f t="shared" si="9"/>
        <v/>
      </c>
      <c r="AR8" s="179" t="str">
        <f t="shared" si="9"/>
        <v/>
      </c>
      <c r="AS8" s="179" t="str">
        <f t="shared" si="9"/>
        <v/>
      </c>
      <c r="AT8" s="179" t="str">
        <f t="shared" si="9"/>
        <v/>
      </c>
      <c r="AU8" s="179" t="str">
        <f t="shared" si="9"/>
        <v/>
      </c>
      <c r="AV8" s="179" t="str">
        <f t="shared" si="9"/>
        <v/>
      </c>
      <c r="AW8" s="179" t="str">
        <f t="shared" si="9"/>
        <v/>
      </c>
      <c r="AX8" s="179" t="str">
        <f t="shared" si="9"/>
        <v/>
      </c>
      <c r="AY8" s="179" t="str">
        <f t="shared" si="9"/>
        <v/>
      </c>
      <c r="AZ8" s="179" t="str">
        <f t="shared" si="9"/>
        <v/>
      </c>
      <c r="BA8" s="179" t="str">
        <f t="shared" si="9"/>
        <v/>
      </c>
      <c r="BB8" s="179" t="str">
        <f t="shared" si="9"/>
        <v/>
      </c>
    </row>
    <row r="9">
      <c r="A9" s="182" t="s">
        <v>673</v>
      </c>
      <c r="B9" s="183" t="s">
        <v>674</v>
      </c>
      <c r="C9" s="105" t="s">
        <v>675</v>
      </c>
      <c r="D9" s="184">
        <v>1725.0</v>
      </c>
      <c r="E9" s="185">
        <v>71.1</v>
      </c>
      <c r="F9" s="186">
        <v>45692.0</v>
      </c>
      <c r="G9" s="105" t="s">
        <v>664</v>
      </c>
      <c r="H9" s="83" t="s">
        <v>675</v>
      </c>
      <c r="I9" s="187" t="s">
        <v>124</v>
      </c>
      <c r="J9" s="188" t="b">
        <v>1</v>
      </c>
      <c r="K9" s="189">
        <f t="shared" si="3"/>
        <v>71.1</v>
      </c>
      <c r="L9" s="48" t="b">
        <f t="shared" si="4"/>
        <v>1</v>
      </c>
      <c r="M9" s="190">
        <f t="shared" si="5"/>
        <v>1</v>
      </c>
      <c r="N9" s="179" t="str">
        <f t="shared" ref="N9:BB9" si="10">IFERROR(IF(N$1=FALSE,, IF(IF(SEARCH(N$3,$I9,1)&gt;0,1,0)=1,$E9/$M9,)),"")</f>
        <v/>
      </c>
      <c r="O9" s="179" t="str">
        <f t="shared" si="10"/>
        <v/>
      </c>
      <c r="P9" s="179" t="str">
        <f t="shared" si="10"/>
        <v/>
      </c>
      <c r="Q9" s="179" t="str">
        <f t="shared" si="10"/>
        <v/>
      </c>
      <c r="R9" s="179" t="str">
        <f t="shared" si="10"/>
        <v/>
      </c>
      <c r="S9" s="179" t="str">
        <f t="shared" si="10"/>
        <v/>
      </c>
      <c r="T9" s="179" t="str">
        <f t="shared" si="10"/>
        <v/>
      </c>
      <c r="U9" s="179" t="str">
        <f t="shared" si="10"/>
        <v/>
      </c>
      <c r="V9" s="179" t="str">
        <f t="shared" si="10"/>
        <v/>
      </c>
      <c r="W9" s="179">
        <f t="shared" si="10"/>
        <v>71.1</v>
      </c>
      <c r="X9" s="179" t="str">
        <f t="shared" si="10"/>
        <v/>
      </c>
      <c r="Y9" s="179" t="str">
        <f t="shared" si="10"/>
        <v/>
      </c>
      <c r="Z9" s="179" t="str">
        <f t="shared" si="10"/>
        <v/>
      </c>
      <c r="AA9" s="179" t="str">
        <f t="shared" si="10"/>
        <v/>
      </c>
      <c r="AB9" s="179" t="str">
        <f t="shared" si="10"/>
        <v/>
      </c>
      <c r="AC9" s="179" t="str">
        <f t="shared" si="10"/>
        <v/>
      </c>
      <c r="AD9" s="179" t="str">
        <f t="shared" si="10"/>
        <v/>
      </c>
      <c r="AE9" s="179" t="str">
        <f t="shared" si="10"/>
        <v/>
      </c>
      <c r="AF9" s="179" t="str">
        <f t="shared" si="10"/>
        <v/>
      </c>
      <c r="AG9" s="179" t="str">
        <f t="shared" si="10"/>
        <v/>
      </c>
      <c r="AH9" s="179" t="str">
        <f t="shared" si="10"/>
        <v/>
      </c>
      <c r="AI9" s="179" t="str">
        <f t="shared" si="10"/>
        <v/>
      </c>
      <c r="AJ9" s="179" t="str">
        <f t="shared" si="10"/>
        <v/>
      </c>
      <c r="AK9" s="179" t="str">
        <f t="shared" si="10"/>
        <v/>
      </c>
      <c r="AL9" s="179" t="str">
        <f t="shared" si="10"/>
        <v/>
      </c>
      <c r="AM9" s="179" t="str">
        <f t="shared" si="10"/>
        <v/>
      </c>
      <c r="AN9" s="179" t="str">
        <f t="shared" si="10"/>
        <v/>
      </c>
      <c r="AO9" s="179" t="str">
        <f t="shared" si="10"/>
        <v/>
      </c>
      <c r="AP9" s="179" t="str">
        <f t="shared" si="10"/>
        <v/>
      </c>
      <c r="AQ9" s="179" t="str">
        <f t="shared" si="10"/>
        <v/>
      </c>
      <c r="AR9" s="179" t="str">
        <f t="shared" si="10"/>
        <v/>
      </c>
      <c r="AS9" s="179" t="str">
        <f t="shared" si="10"/>
        <v/>
      </c>
      <c r="AT9" s="179" t="str">
        <f t="shared" si="10"/>
        <v/>
      </c>
      <c r="AU9" s="179" t="str">
        <f t="shared" si="10"/>
        <v/>
      </c>
      <c r="AV9" s="179" t="str">
        <f t="shared" si="10"/>
        <v/>
      </c>
      <c r="AW9" s="179" t="str">
        <f t="shared" si="10"/>
        <v/>
      </c>
      <c r="AX9" s="179" t="str">
        <f t="shared" si="10"/>
        <v/>
      </c>
      <c r="AY9" s="179" t="str">
        <f t="shared" si="10"/>
        <v/>
      </c>
      <c r="AZ9" s="179" t="str">
        <f t="shared" si="10"/>
        <v/>
      </c>
      <c r="BA9" s="179" t="str">
        <f t="shared" si="10"/>
        <v/>
      </c>
      <c r="BB9" s="179" t="str">
        <f t="shared" si="10"/>
        <v/>
      </c>
    </row>
    <row r="10">
      <c r="A10" s="182" t="s">
        <v>676</v>
      </c>
      <c r="B10" s="183" t="s">
        <v>677</v>
      </c>
      <c r="C10" s="105" t="s">
        <v>678</v>
      </c>
      <c r="D10" s="184">
        <v>158507.0</v>
      </c>
      <c r="E10" s="185">
        <v>7168.0</v>
      </c>
      <c r="F10" s="186">
        <v>45695.0</v>
      </c>
      <c r="G10" s="105" t="s">
        <v>664</v>
      </c>
      <c r="H10" s="83" t="s">
        <v>678</v>
      </c>
      <c r="I10" s="187" t="s">
        <v>667</v>
      </c>
      <c r="J10" s="188" t="b">
        <v>1</v>
      </c>
      <c r="K10" s="189">
        <f t="shared" si="3"/>
        <v>7168</v>
      </c>
      <c r="L10" s="48" t="b">
        <f t="shared" si="4"/>
        <v>1</v>
      </c>
      <c r="M10" s="190">
        <f t="shared" si="5"/>
        <v>2</v>
      </c>
      <c r="N10" s="179">
        <f t="shared" ref="N10:BB10" si="11">IFERROR(IF(N$1=FALSE,, IF(IF(SEARCH(N$3,$I10,1)&gt;0,1,0)=1,$E10/$M10,)),"")</f>
        <v>3584</v>
      </c>
      <c r="O10" s="179" t="str">
        <f t="shared" si="11"/>
        <v/>
      </c>
      <c r="P10" s="179" t="str">
        <f t="shared" si="11"/>
        <v/>
      </c>
      <c r="Q10" s="179" t="str">
        <f t="shared" si="11"/>
        <v/>
      </c>
      <c r="R10" s="179" t="str">
        <f t="shared" si="11"/>
        <v/>
      </c>
      <c r="S10" s="179" t="str">
        <f t="shared" si="11"/>
        <v/>
      </c>
      <c r="T10" s="179" t="str">
        <f t="shared" si="11"/>
        <v/>
      </c>
      <c r="U10" s="179">
        <f t="shared" si="11"/>
        <v>3584</v>
      </c>
      <c r="V10" s="179" t="str">
        <f t="shared" si="11"/>
        <v/>
      </c>
      <c r="W10" s="179" t="str">
        <f t="shared" si="11"/>
        <v/>
      </c>
      <c r="X10" s="179" t="str">
        <f t="shared" si="11"/>
        <v/>
      </c>
      <c r="Y10" s="179" t="str">
        <f t="shared" si="11"/>
        <v/>
      </c>
      <c r="Z10" s="179" t="str">
        <f t="shared" si="11"/>
        <v/>
      </c>
      <c r="AA10" s="179" t="str">
        <f t="shared" si="11"/>
        <v/>
      </c>
      <c r="AB10" s="179" t="str">
        <f t="shared" si="11"/>
        <v/>
      </c>
      <c r="AC10" s="179" t="str">
        <f t="shared" si="11"/>
        <v/>
      </c>
      <c r="AD10" s="179" t="str">
        <f t="shared" si="11"/>
        <v/>
      </c>
      <c r="AE10" s="179" t="str">
        <f t="shared" si="11"/>
        <v/>
      </c>
      <c r="AF10" s="179" t="str">
        <f t="shared" si="11"/>
        <v/>
      </c>
      <c r="AG10" s="179" t="str">
        <f t="shared" si="11"/>
        <v/>
      </c>
      <c r="AH10" s="179" t="str">
        <f t="shared" si="11"/>
        <v/>
      </c>
      <c r="AI10" s="179" t="str">
        <f t="shared" si="11"/>
        <v/>
      </c>
      <c r="AJ10" s="179" t="str">
        <f t="shared" si="11"/>
        <v/>
      </c>
      <c r="AK10" s="179" t="str">
        <f t="shared" si="11"/>
        <v/>
      </c>
      <c r="AL10" s="179" t="str">
        <f t="shared" si="11"/>
        <v/>
      </c>
      <c r="AM10" s="179" t="str">
        <f t="shared" si="11"/>
        <v/>
      </c>
      <c r="AN10" s="179" t="str">
        <f t="shared" si="11"/>
        <v/>
      </c>
      <c r="AO10" s="179" t="str">
        <f t="shared" si="11"/>
        <v/>
      </c>
      <c r="AP10" s="179" t="str">
        <f t="shared" si="11"/>
        <v/>
      </c>
      <c r="AQ10" s="179" t="str">
        <f t="shared" si="11"/>
        <v/>
      </c>
      <c r="AR10" s="179" t="str">
        <f t="shared" si="11"/>
        <v/>
      </c>
      <c r="AS10" s="179" t="str">
        <f t="shared" si="11"/>
        <v/>
      </c>
      <c r="AT10" s="179" t="str">
        <f t="shared" si="11"/>
        <v/>
      </c>
      <c r="AU10" s="179" t="str">
        <f t="shared" si="11"/>
        <v/>
      </c>
      <c r="AV10" s="179" t="str">
        <f t="shared" si="11"/>
        <v/>
      </c>
      <c r="AW10" s="179" t="str">
        <f t="shared" si="11"/>
        <v/>
      </c>
      <c r="AX10" s="179" t="str">
        <f t="shared" si="11"/>
        <v/>
      </c>
      <c r="AY10" s="179" t="str">
        <f t="shared" si="11"/>
        <v/>
      </c>
      <c r="AZ10" s="179" t="str">
        <f t="shared" si="11"/>
        <v/>
      </c>
      <c r="BA10" s="179" t="str">
        <f t="shared" si="11"/>
        <v/>
      </c>
      <c r="BB10" s="179" t="str">
        <f t="shared" si="11"/>
        <v/>
      </c>
    </row>
    <row r="11">
      <c r="A11" s="182" t="s">
        <v>668</v>
      </c>
      <c r="B11" s="105" t="s">
        <v>669</v>
      </c>
      <c r="C11" s="105" t="s">
        <v>670</v>
      </c>
      <c r="D11" s="184">
        <v>98067.0</v>
      </c>
      <c r="E11" s="185">
        <v>265.8</v>
      </c>
      <c r="F11" s="186">
        <v>45700.0</v>
      </c>
      <c r="G11" s="105" t="s">
        <v>664</v>
      </c>
      <c r="H11" s="83" t="s">
        <v>670</v>
      </c>
      <c r="I11" s="187" t="s">
        <v>150</v>
      </c>
      <c r="J11" s="188" t="b">
        <v>0</v>
      </c>
      <c r="K11" s="189">
        <f t="shared" si="3"/>
        <v>0</v>
      </c>
      <c r="L11" s="48" t="b">
        <f t="shared" si="4"/>
        <v>0</v>
      </c>
      <c r="M11" s="190">
        <f t="shared" si="5"/>
        <v>0</v>
      </c>
      <c r="N11" s="179" t="str">
        <f t="shared" ref="N11:BB11" si="12">IFERROR(IF(N$1=FALSE,, IF(IF(SEARCH(N$3,$I11,1)&gt;0,1,0)=1,$E11/$M11,)),"")</f>
        <v/>
      </c>
      <c r="O11" s="179" t="str">
        <f t="shared" si="12"/>
        <v/>
      </c>
      <c r="P11" s="179" t="str">
        <f t="shared" si="12"/>
        <v/>
      </c>
      <c r="Q11" s="179" t="str">
        <f t="shared" si="12"/>
        <v/>
      </c>
      <c r="R11" s="179" t="str">
        <f t="shared" si="12"/>
        <v/>
      </c>
      <c r="S11" s="179" t="str">
        <f t="shared" si="12"/>
        <v/>
      </c>
      <c r="T11" s="179" t="str">
        <f t="shared" si="12"/>
        <v/>
      </c>
      <c r="U11" s="179" t="str">
        <f t="shared" si="12"/>
        <v/>
      </c>
      <c r="V11" s="179" t="str">
        <f t="shared" si="12"/>
        <v/>
      </c>
      <c r="W11" s="179" t="str">
        <f t="shared" si="12"/>
        <v/>
      </c>
      <c r="X11" s="179" t="str">
        <f t="shared" si="12"/>
        <v/>
      </c>
      <c r="Y11" s="179" t="str">
        <f t="shared" si="12"/>
        <v/>
      </c>
      <c r="Z11" s="179" t="str">
        <f t="shared" si="12"/>
        <v/>
      </c>
      <c r="AA11" s="179" t="str">
        <f t="shared" si="12"/>
        <v/>
      </c>
      <c r="AB11" s="179" t="str">
        <f t="shared" si="12"/>
        <v/>
      </c>
      <c r="AC11" s="179" t="str">
        <f t="shared" si="12"/>
        <v/>
      </c>
      <c r="AD11" s="179" t="str">
        <f t="shared" si="12"/>
        <v/>
      </c>
      <c r="AE11" s="179" t="str">
        <f t="shared" si="12"/>
        <v/>
      </c>
      <c r="AF11" s="179" t="str">
        <f t="shared" si="12"/>
        <v/>
      </c>
      <c r="AG11" s="179" t="str">
        <f t="shared" si="12"/>
        <v/>
      </c>
      <c r="AH11" s="179" t="str">
        <f t="shared" si="12"/>
        <v/>
      </c>
      <c r="AI11" s="179" t="str">
        <f t="shared" si="12"/>
        <v/>
      </c>
      <c r="AJ11" s="179" t="str">
        <f t="shared" si="12"/>
        <v/>
      </c>
      <c r="AK11" s="179" t="str">
        <f t="shared" si="12"/>
        <v/>
      </c>
      <c r="AL11" s="179" t="str">
        <f t="shared" si="12"/>
        <v/>
      </c>
      <c r="AM11" s="179" t="str">
        <f t="shared" si="12"/>
        <v/>
      </c>
      <c r="AN11" s="179" t="str">
        <f t="shared" si="12"/>
        <v/>
      </c>
      <c r="AO11" s="179" t="str">
        <f t="shared" si="12"/>
        <v/>
      </c>
      <c r="AP11" s="179" t="str">
        <f t="shared" si="12"/>
        <v/>
      </c>
      <c r="AQ11" s="179" t="str">
        <f t="shared" si="12"/>
        <v/>
      </c>
      <c r="AR11" s="179" t="str">
        <f t="shared" si="12"/>
        <v/>
      </c>
      <c r="AS11" s="179" t="str">
        <f t="shared" si="12"/>
        <v/>
      </c>
      <c r="AT11" s="179" t="str">
        <f t="shared" si="12"/>
        <v/>
      </c>
      <c r="AU11" s="179" t="str">
        <f t="shared" si="12"/>
        <v/>
      </c>
      <c r="AV11" s="179" t="str">
        <f t="shared" si="12"/>
        <v/>
      </c>
      <c r="AW11" s="179" t="str">
        <f t="shared" si="12"/>
        <v/>
      </c>
      <c r="AX11" s="179" t="str">
        <f t="shared" si="12"/>
        <v/>
      </c>
      <c r="AY11" s="179" t="str">
        <f t="shared" si="12"/>
        <v/>
      </c>
      <c r="AZ11" s="179" t="str">
        <f t="shared" si="12"/>
        <v/>
      </c>
      <c r="BA11" s="179" t="str">
        <f t="shared" si="12"/>
        <v/>
      </c>
      <c r="BB11" s="179" t="str">
        <f t="shared" si="12"/>
        <v/>
      </c>
    </row>
    <row r="12">
      <c r="A12" s="182" t="s">
        <v>676</v>
      </c>
      <c r="B12" s="183" t="s">
        <v>677</v>
      </c>
      <c r="C12" s="105" t="s">
        <v>679</v>
      </c>
      <c r="D12" s="184">
        <v>158623.0</v>
      </c>
      <c r="E12" s="185">
        <v>1013.0</v>
      </c>
      <c r="F12" s="186">
        <v>45700.0</v>
      </c>
      <c r="G12" s="105" t="s">
        <v>664</v>
      </c>
      <c r="H12" s="83" t="s">
        <v>679</v>
      </c>
      <c r="I12" s="187" t="s">
        <v>106</v>
      </c>
      <c r="J12" s="188" t="b">
        <v>1</v>
      </c>
      <c r="K12" s="189">
        <f t="shared" si="3"/>
        <v>1013</v>
      </c>
      <c r="L12" s="48" t="b">
        <f t="shared" si="4"/>
        <v>1</v>
      </c>
      <c r="M12" s="190">
        <f t="shared" si="5"/>
        <v>1</v>
      </c>
      <c r="N12" s="179" t="str">
        <f t="shared" ref="N12:BB12" si="13">IFERROR(IF(N$1=FALSE,, IF(IF(SEARCH(N$3,$I12,1)&gt;0,1,0)=1,$E12/$M12,)),"")</f>
        <v/>
      </c>
      <c r="O12" s="179" t="str">
        <f t="shared" si="13"/>
        <v/>
      </c>
      <c r="P12" s="179" t="str">
        <f t="shared" si="13"/>
        <v/>
      </c>
      <c r="Q12" s="179" t="str">
        <f t="shared" si="13"/>
        <v/>
      </c>
      <c r="R12" s="179">
        <f t="shared" si="13"/>
        <v>1013</v>
      </c>
      <c r="S12" s="179" t="str">
        <f t="shared" si="13"/>
        <v/>
      </c>
      <c r="T12" s="179" t="str">
        <f t="shared" si="13"/>
        <v/>
      </c>
      <c r="U12" s="179" t="str">
        <f t="shared" si="13"/>
        <v/>
      </c>
      <c r="V12" s="179" t="str">
        <f t="shared" si="13"/>
        <v/>
      </c>
      <c r="W12" s="179" t="str">
        <f t="shared" si="13"/>
        <v/>
      </c>
      <c r="X12" s="179" t="str">
        <f t="shared" si="13"/>
        <v/>
      </c>
      <c r="Y12" s="179" t="str">
        <f t="shared" si="13"/>
        <v/>
      </c>
      <c r="Z12" s="179" t="str">
        <f t="shared" si="13"/>
        <v/>
      </c>
      <c r="AA12" s="179" t="str">
        <f t="shared" si="13"/>
        <v/>
      </c>
      <c r="AB12" s="179" t="str">
        <f t="shared" si="13"/>
        <v/>
      </c>
      <c r="AC12" s="179" t="str">
        <f t="shared" si="13"/>
        <v/>
      </c>
      <c r="AD12" s="179" t="str">
        <f t="shared" si="13"/>
        <v/>
      </c>
      <c r="AE12" s="179" t="str">
        <f t="shared" si="13"/>
        <v/>
      </c>
      <c r="AF12" s="179" t="str">
        <f t="shared" si="13"/>
        <v/>
      </c>
      <c r="AG12" s="179" t="str">
        <f t="shared" si="13"/>
        <v/>
      </c>
      <c r="AH12" s="179" t="str">
        <f t="shared" si="13"/>
        <v/>
      </c>
      <c r="AI12" s="179" t="str">
        <f t="shared" si="13"/>
        <v/>
      </c>
      <c r="AJ12" s="179" t="str">
        <f t="shared" si="13"/>
        <v/>
      </c>
      <c r="AK12" s="179" t="str">
        <f t="shared" si="13"/>
        <v/>
      </c>
      <c r="AL12" s="179" t="str">
        <f t="shared" si="13"/>
        <v/>
      </c>
      <c r="AM12" s="179" t="str">
        <f t="shared" si="13"/>
        <v/>
      </c>
      <c r="AN12" s="179" t="str">
        <f t="shared" si="13"/>
        <v/>
      </c>
      <c r="AO12" s="179" t="str">
        <f t="shared" si="13"/>
        <v/>
      </c>
      <c r="AP12" s="179" t="str">
        <f t="shared" si="13"/>
        <v/>
      </c>
      <c r="AQ12" s="179" t="str">
        <f t="shared" si="13"/>
        <v/>
      </c>
      <c r="AR12" s="179" t="str">
        <f t="shared" si="13"/>
        <v/>
      </c>
      <c r="AS12" s="179" t="str">
        <f t="shared" si="13"/>
        <v/>
      </c>
      <c r="AT12" s="179" t="str">
        <f t="shared" si="13"/>
        <v/>
      </c>
      <c r="AU12" s="179" t="str">
        <f t="shared" si="13"/>
        <v/>
      </c>
      <c r="AV12" s="179" t="str">
        <f t="shared" si="13"/>
        <v/>
      </c>
      <c r="AW12" s="179" t="str">
        <f t="shared" si="13"/>
        <v/>
      </c>
      <c r="AX12" s="179" t="str">
        <f t="shared" si="13"/>
        <v/>
      </c>
      <c r="AY12" s="179" t="str">
        <f t="shared" si="13"/>
        <v/>
      </c>
      <c r="AZ12" s="179" t="str">
        <f t="shared" si="13"/>
        <v/>
      </c>
      <c r="BA12" s="179" t="str">
        <f t="shared" si="13"/>
        <v/>
      </c>
      <c r="BB12" s="179" t="str">
        <f t="shared" si="13"/>
        <v/>
      </c>
    </row>
    <row r="13">
      <c r="A13" s="182" t="s">
        <v>661</v>
      </c>
      <c r="B13" s="183" t="s">
        <v>662</v>
      </c>
      <c r="C13" s="105" t="s">
        <v>680</v>
      </c>
      <c r="D13" s="184">
        <v>118852.0</v>
      </c>
      <c r="E13" s="185">
        <v>2627.28</v>
      </c>
      <c r="F13" s="186">
        <v>45700.0</v>
      </c>
      <c r="G13" s="105" t="s">
        <v>664</v>
      </c>
      <c r="H13" s="83" t="s">
        <v>680</v>
      </c>
      <c r="I13" s="187" t="s">
        <v>130</v>
      </c>
      <c r="J13" s="188" t="b">
        <v>1</v>
      </c>
      <c r="K13" s="189">
        <f t="shared" si="3"/>
        <v>2627.28</v>
      </c>
      <c r="L13" s="48" t="b">
        <f t="shared" si="4"/>
        <v>1</v>
      </c>
      <c r="M13" s="190">
        <f t="shared" si="5"/>
        <v>1</v>
      </c>
      <c r="N13" s="179" t="str">
        <f t="shared" ref="N13:BB13" si="14">IFERROR(IF(N$1=FALSE,, IF(IF(SEARCH(N$3,$I13,1)&gt;0,1,0)=1,$E13/$M13,)),"")</f>
        <v/>
      </c>
      <c r="O13" s="179" t="str">
        <f t="shared" si="14"/>
        <v/>
      </c>
      <c r="P13" s="179" t="str">
        <f t="shared" si="14"/>
        <v/>
      </c>
      <c r="Q13" s="179" t="str">
        <f t="shared" si="14"/>
        <v/>
      </c>
      <c r="R13" s="179" t="str">
        <f t="shared" si="14"/>
        <v/>
      </c>
      <c r="S13" s="179" t="str">
        <f t="shared" si="14"/>
        <v/>
      </c>
      <c r="T13" s="179" t="str">
        <f t="shared" si="14"/>
        <v/>
      </c>
      <c r="U13" s="179" t="str">
        <f t="shared" si="14"/>
        <v/>
      </c>
      <c r="V13" s="179" t="str">
        <f t="shared" si="14"/>
        <v/>
      </c>
      <c r="W13" s="179" t="str">
        <f t="shared" si="14"/>
        <v/>
      </c>
      <c r="X13" s="179">
        <f t="shared" si="14"/>
        <v>2627.28</v>
      </c>
      <c r="Y13" s="179" t="str">
        <f t="shared" si="14"/>
        <v/>
      </c>
      <c r="Z13" s="179" t="str">
        <f t="shared" si="14"/>
        <v/>
      </c>
      <c r="AA13" s="179" t="str">
        <f t="shared" si="14"/>
        <v/>
      </c>
      <c r="AB13" s="179" t="str">
        <f t="shared" si="14"/>
        <v/>
      </c>
      <c r="AC13" s="179" t="str">
        <f t="shared" si="14"/>
        <v/>
      </c>
      <c r="AD13" s="179" t="str">
        <f t="shared" si="14"/>
        <v/>
      </c>
      <c r="AE13" s="179" t="str">
        <f t="shared" si="14"/>
        <v/>
      </c>
      <c r="AF13" s="179" t="str">
        <f t="shared" si="14"/>
        <v/>
      </c>
      <c r="AG13" s="179" t="str">
        <f t="shared" si="14"/>
        <v/>
      </c>
      <c r="AH13" s="179" t="str">
        <f t="shared" si="14"/>
        <v/>
      </c>
      <c r="AI13" s="179" t="str">
        <f t="shared" si="14"/>
        <v/>
      </c>
      <c r="AJ13" s="179" t="str">
        <f t="shared" si="14"/>
        <v/>
      </c>
      <c r="AK13" s="179" t="str">
        <f t="shared" si="14"/>
        <v/>
      </c>
      <c r="AL13" s="179" t="str">
        <f t="shared" si="14"/>
        <v/>
      </c>
      <c r="AM13" s="179" t="str">
        <f t="shared" si="14"/>
        <v/>
      </c>
      <c r="AN13" s="179" t="str">
        <f t="shared" si="14"/>
        <v/>
      </c>
      <c r="AO13" s="179" t="str">
        <f t="shared" si="14"/>
        <v/>
      </c>
      <c r="AP13" s="179" t="str">
        <f t="shared" si="14"/>
        <v/>
      </c>
      <c r="AQ13" s="179" t="str">
        <f t="shared" si="14"/>
        <v/>
      </c>
      <c r="AR13" s="179" t="str">
        <f t="shared" si="14"/>
        <v/>
      </c>
      <c r="AS13" s="179" t="str">
        <f t="shared" si="14"/>
        <v/>
      </c>
      <c r="AT13" s="179" t="str">
        <f t="shared" si="14"/>
        <v/>
      </c>
      <c r="AU13" s="179" t="str">
        <f t="shared" si="14"/>
        <v/>
      </c>
      <c r="AV13" s="179" t="str">
        <f t="shared" si="14"/>
        <v/>
      </c>
      <c r="AW13" s="179" t="str">
        <f t="shared" si="14"/>
        <v/>
      </c>
      <c r="AX13" s="179" t="str">
        <f t="shared" si="14"/>
        <v/>
      </c>
      <c r="AY13" s="179" t="str">
        <f t="shared" si="14"/>
        <v/>
      </c>
      <c r="AZ13" s="179" t="str">
        <f t="shared" si="14"/>
        <v/>
      </c>
      <c r="BA13" s="179" t="str">
        <f t="shared" si="14"/>
        <v/>
      </c>
      <c r="BB13" s="179" t="str">
        <f t="shared" si="14"/>
        <v/>
      </c>
    </row>
    <row r="14">
      <c r="A14" s="182" t="s">
        <v>661</v>
      </c>
      <c r="B14" s="183" t="s">
        <v>662</v>
      </c>
      <c r="C14" s="105" t="s">
        <v>681</v>
      </c>
      <c r="D14" s="184">
        <v>119048.0</v>
      </c>
      <c r="E14" s="185">
        <v>11468.37</v>
      </c>
      <c r="F14" s="186">
        <v>45707.0</v>
      </c>
      <c r="G14" s="105" t="s">
        <v>664</v>
      </c>
      <c r="H14" s="83" t="s">
        <v>681</v>
      </c>
      <c r="I14" s="187" t="s">
        <v>106</v>
      </c>
      <c r="J14" s="188" t="b">
        <v>1</v>
      </c>
      <c r="K14" s="189">
        <f t="shared" si="3"/>
        <v>11468.37</v>
      </c>
      <c r="L14" s="48" t="b">
        <f t="shared" si="4"/>
        <v>1</v>
      </c>
      <c r="M14" s="190">
        <f t="shared" si="5"/>
        <v>1</v>
      </c>
      <c r="N14" s="179" t="str">
        <f t="shared" ref="N14:BB14" si="15">IFERROR(IF(N$1=FALSE,, IF(IF(SEARCH(N$3,$I14,1)&gt;0,1,0)=1,$E14/$M14,)),"")</f>
        <v/>
      </c>
      <c r="O14" s="179" t="str">
        <f t="shared" si="15"/>
        <v/>
      </c>
      <c r="P14" s="179" t="str">
        <f t="shared" si="15"/>
        <v/>
      </c>
      <c r="Q14" s="179" t="str">
        <f t="shared" si="15"/>
        <v/>
      </c>
      <c r="R14" s="179">
        <f t="shared" si="15"/>
        <v>11468.37</v>
      </c>
      <c r="S14" s="179" t="str">
        <f t="shared" si="15"/>
        <v/>
      </c>
      <c r="T14" s="179" t="str">
        <f t="shared" si="15"/>
        <v/>
      </c>
      <c r="U14" s="179" t="str">
        <f t="shared" si="15"/>
        <v/>
      </c>
      <c r="V14" s="179" t="str">
        <f t="shared" si="15"/>
        <v/>
      </c>
      <c r="W14" s="179" t="str">
        <f t="shared" si="15"/>
        <v/>
      </c>
      <c r="X14" s="179" t="str">
        <f t="shared" si="15"/>
        <v/>
      </c>
      <c r="Y14" s="179" t="str">
        <f t="shared" si="15"/>
        <v/>
      </c>
      <c r="Z14" s="179" t="str">
        <f t="shared" si="15"/>
        <v/>
      </c>
      <c r="AA14" s="179" t="str">
        <f t="shared" si="15"/>
        <v/>
      </c>
      <c r="AB14" s="179" t="str">
        <f t="shared" si="15"/>
        <v/>
      </c>
      <c r="AC14" s="179" t="str">
        <f t="shared" si="15"/>
        <v/>
      </c>
      <c r="AD14" s="179" t="str">
        <f t="shared" si="15"/>
        <v/>
      </c>
      <c r="AE14" s="179" t="str">
        <f t="shared" si="15"/>
        <v/>
      </c>
      <c r="AF14" s="179" t="str">
        <f t="shared" si="15"/>
        <v/>
      </c>
      <c r="AG14" s="179" t="str">
        <f t="shared" si="15"/>
        <v/>
      </c>
      <c r="AH14" s="179" t="str">
        <f t="shared" si="15"/>
        <v/>
      </c>
      <c r="AI14" s="179" t="str">
        <f t="shared" si="15"/>
        <v/>
      </c>
      <c r="AJ14" s="179" t="str">
        <f t="shared" si="15"/>
        <v/>
      </c>
      <c r="AK14" s="179" t="str">
        <f t="shared" si="15"/>
        <v/>
      </c>
      <c r="AL14" s="179" t="str">
        <f t="shared" si="15"/>
        <v/>
      </c>
      <c r="AM14" s="179" t="str">
        <f t="shared" si="15"/>
        <v/>
      </c>
      <c r="AN14" s="179" t="str">
        <f t="shared" si="15"/>
        <v/>
      </c>
      <c r="AO14" s="179" t="str">
        <f t="shared" si="15"/>
        <v/>
      </c>
      <c r="AP14" s="179" t="str">
        <f t="shared" si="15"/>
        <v/>
      </c>
      <c r="AQ14" s="179" t="str">
        <f t="shared" si="15"/>
        <v/>
      </c>
      <c r="AR14" s="179" t="str">
        <f t="shared" si="15"/>
        <v/>
      </c>
      <c r="AS14" s="179" t="str">
        <f t="shared" si="15"/>
        <v/>
      </c>
      <c r="AT14" s="179" t="str">
        <f t="shared" si="15"/>
        <v/>
      </c>
      <c r="AU14" s="179" t="str">
        <f t="shared" si="15"/>
        <v/>
      </c>
      <c r="AV14" s="179" t="str">
        <f t="shared" si="15"/>
        <v/>
      </c>
      <c r="AW14" s="179" t="str">
        <f t="shared" si="15"/>
        <v/>
      </c>
      <c r="AX14" s="179" t="str">
        <f t="shared" si="15"/>
        <v/>
      </c>
      <c r="AY14" s="179" t="str">
        <f t="shared" si="15"/>
        <v/>
      </c>
      <c r="AZ14" s="179" t="str">
        <f t="shared" si="15"/>
        <v/>
      </c>
      <c r="BA14" s="179" t="str">
        <f t="shared" si="15"/>
        <v/>
      </c>
      <c r="BB14" s="179" t="str">
        <f t="shared" si="15"/>
        <v/>
      </c>
    </row>
    <row r="15">
      <c r="A15" s="182" t="s">
        <v>673</v>
      </c>
      <c r="B15" s="105" t="s">
        <v>674</v>
      </c>
      <c r="C15" s="105" t="s">
        <v>682</v>
      </c>
      <c r="D15" s="191">
        <v>2112.0</v>
      </c>
      <c r="E15" s="185">
        <v>135.2</v>
      </c>
      <c r="F15" s="186">
        <v>45721.0</v>
      </c>
      <c r="G15" s="105" t="s">
        <v>664</v>
      </c>
      <c r="H15" s="83" t="s">
        <v>682</v>
      </c>
      <c r="I15" s="187" t="s">
        <v>683</v>
      </c>
      <c r="J15" s="188" t="b">
        <v>1</v>
      </c>
      <c r="K15" s="189">
        <f t="shared" si="3"/>
        <v>135.2</v>
      </c>
      <c r="L15" s="48" t="b">
        <f t="shared" si="4"/>
        <v>1</v>
      </c>
      <c r="M15" s="190">
        <f t="shared" si="5"/>
        <v>2</v>
      </c>
      <c r="N15" s="179" t="str">
        <f t="shared" ref="N15:BB15" si="16">IFERROR(IF(N$1=FALSE,, IF(IF(SEARCH(N$3,$I15,1)&gt;0,1,0)=1,$E15/$M15,)),"")</f>
        <v/>
      </c>
      <c r="O15" s="179" t="str">
        <f t="shared" si="16"/>
        <v/>
      </c>
      <c r="P15" s="179" t="str">
        <f t="shared" si="16"/>
        <v/>
      </c>
      <c r="Q15" s="179">
        <f t="shared" si="16"/>
        <v>67.6</v>
      </c>
      <c r="R15" s="179" t="str">
        <f t="shared" si="16"/>
        <v/>
      </c>
      <c r="S15" s="179" t="str">
        <f t="shared" si="16"/>
        <v/>
      </c>
      <c r="T15" s="179" t="str">
        <f t="shared" si="16"/>
        <v/>
      </c>
      <c r="U15" s="179" t="str">
        <f t="shared" si="16"/>
        <v/>
      </c>
      <c r="V15" s="179" t="str">
        <f t="shared" si="16"/>
        <v/>
      </c>
      <c r="W15" s="179">
        <f t="shared" si="16"/>
        <v>67.6</v>
      </c>
      <c r="X15" s="179" t="str">
        <f t="shared" si="16"/>
        <v/>
      </c>
      <c r="Y15" s="179" t="str">
        <f t="shared" si="16"/>
        <v/>
      </c>
      <c r="Z15" s="179" t="str">
        <f t="shared" si="16"/>
        <v/>
      </c>
      <c r="AA15" s="179" t="str">
        <f t="shared" si="16"/>
        <v/>
      </c>
      <c r="AB15" s="179" t="str">
        <f t="shared" si="16"/>
        <v/>
      </c>
      <c r="AC15" s="179" t="str">
        <f t="shared" si="16"/>
        <v/>
      </c>
      <c r="AD15" s="179" t="str">
        <f t="shared" si="16"/>
        <v/>
      </c>
      <c r="AE15" s="179" t="str">
        <f t="shared" si="16"/>
        <v/>
      </c>
      <c r="AF15" s="179" t="str">
        <f t="shared" si="16"/>
        <v/>
      </c>
      <c r="AG15" s="179" t="str">
        <f t="shared" si="16"/>
        <v/>
      </c>
      <c r="AH15" s="179" t="str">
        <f t="shared" si="16"/>
        <v/>
      </c>
      <c r="AI15" s="179" t="str">
        <f t="shared" si="16"/>
        <v/>
      </c>
      <c r="AJ15" s="179" t="str">
        <f t="shared" si="16"/>
        <v/>
      </c>
      <c r="AK15" s="179" t="str">
        <f t="shared" si="16"/>
        <v/>
      </c>
      <c r="AL15" s="179" t="str">
        <f t="shared" si="16"/>
        <v/>
      </c>
      <c r="AM15" s="179" t="str">
        <f t="shared" si="16"/>
        <v/>
      </c>
      <c r="AN15" s="179" t="str">
        <f t="shared" si="16"/>
        <v/>
      </c>
      <c r="AO15" s="179" t="str">
        <f t="shared" si="16"/>
        <v/>
      </c>
      <c r="AP15" s="179" t="str">
        <f t="shared" si="16"/>
        <v/>
      </c>
      <c r="AQ15" s="179" t="str">
        <f t="shared" si="16"/>
        <v/>
      </c>
      <c r="AR15" s="179" t="str">
        <f t="shared" si="16"/>
        <v/>
      </c>
      <c r="AS15" s="179" t="str">
        <f t="shared" si="16"/>
        <v/>
      </c>
      <c r="AT15" s="179" t="str">
        <f t="shared" si="16"/>
        <v/>
      </c>
      <c r="AU15" s="179" t="str">
        <f t="shared" si="16"/>
        <v/>
      </c>
      <c r="AV15" s="179" t="str">
        <f t="shared" si="16"/>
        <v/>
      </c>
      <c r="AW15" s="179" t="str">
        <f t="shared" si="16"/>
        <v/>
      </c>
      <c r="AX15" s="179" t="str">
        <f t="shared" si="16"/>
        <v/>
      </c>
      <c r="AY15" s="179" t="str">
        <f t="shared" si="16"/>
        <v/>
      </c>
      <c r="AZ15" s="179" t="str">
        <f t="shared" si="16"/>
        <v/>
      </c>
      <c r="BA15" s="179" t="str">
        <f t="shared" si="16"/>
        <v/>
      </c>
      <c r="BB15" s="179" t="str">
        <f t="shared" si="16"/>
        <v/>
      </c>
    </row>
    <row r="16">
      <c r="A16" s="182" t="s">
        <v>661</v>
      </c>
      <c r="B16" s="105" t="s">
        <v>662</v>
      </c>
      <c r="C16" s="105" t="s">
        <v>684</v>
      </c>
      <c r="D16" s="191">
        <v>119414.0</v>
      </c>
      <c r="E16" s="185">
        <v>614.94</v>
      </c>
      <c r="F16" s="186">
        <v>45721.0</v>
      </c>
      <c r="G16" s="105" t="s">
        <v>664</v>
      </c>
      <c r="H16" s="83" t="s">
        <v>684</v>
      </c>
      <c r="I16" s="187" t="s">
        <v>685</v>
      </c>
      <c r="J16" s="188" t="b">
        <v>1</v>
      </c>
      <c r="K16" s="189">
        <f t="shared" si="3"/>
        <v>409.96</v>
      </c>
      <c r="L16" s="48" t="b">
        <f t="shared" si="4"/>
        <v>0</v>
      </c>
      <c r="M16" s="190">
        <f t="shared" si="5"/>
        <v>3</v>
      </c>
      <c r="N16" s="179" t="str">
        <f t="shared" ref="N16:BB16" si="17">IFERROR(IF(N$1=FALSE,, IF(IF(SEARCH(N$3,$I16,1)&gt;0,1,0)=1,$E16/$M16,)),"")</f>
        <v/>
      </c>
      <c r="O16" s="179" t="str">
        <f t="shared" si="17"/>
        <v/>
      </c>
      <c r="P16" s="179" t="str">
        <f t="shared" si="17"/>
        <v/>
      </c>
      <c r="Q16" s="179" t="str">
        <f t="shared" si="17"/>
        <v/>
      </c>
      <c r="R16" s="179" t="str">
        <f t="shared" si="17"/>
        <v/>
      </c>
      <c r="S16" s="179" t="str">
        <f t="shared" si="17"/>
        <v/>
      </c>
      <c r="T16" s="179" t="str">
        <f t="shared" si="17"/>
        <v/>
      </c>
      <c r="U16" s="179">
        <f t="shared" si="17"/>
        <v>204.98</v>
      </c>
      <c r="V16" s="179" t="str">
        <f t="shared" si="17"/>
        <v/>
      </c>
      <c r="W16" s="179">
        <f t="shared" si="17"/>
        <v>204.98</v>
      </c>
      <c r="X16" s="179" t="str">
        <f t="shared" si="17"/>
        <v/>
      </c>
      <c r="Y16" s="179" t="str">
        <f t="shared" si="17"/>
        <v/>
      </c>
      <c r="Z16" s="179" t="str">
        <f t="shared" si="17"/>
        <v/>
      </c>
      <c r="AA16" s="179" t="str">
        <f t="shared" si="17"/>
        <v/>
      </c>
      <c r="AB16" s="179" t="str">
        <f t="shared" si="17"/>
        <v/>
      </c>
      <c r="AC16" s="179" t="str">
        <f t="shared" si="17"/>
        <v/>
      </c>
      <c r="AD16" s="179" t="str">
        <f t="shared" si="17"/>
        <v/>
      </c>
      <c r="AE16" s="179" t="str">
        <f t="shared" si="17"/>
        <v/>
      </c>
      <c r="AF16" s="179" t="str">
        <f t="shared" si="17"/>
        <v/>
      </c>
      <c r="AG16" s="179" t="str">
        <f t="shared" si="17"/>
        <v/>
      </c>
      <c r="AH16" s="179" t="str">
        <f t="shared" si="17"/>
        <v/>
      </c>
      <c r="AI16" s="179" t="str">
        <f t="shared" si="17"/>
        <v/>
      </c>
      <c r="AJ16" s="179" t="str">
        <f t="shared" si="17"/>
        <v/>
      </c>
      <c r="AK16" s="179" t="str">
        <f t="shared" si="17"/>
        <v/>
      </c>
      <c r="AL16" s="179" t="str">
        <f t="shared" si="17"/>
        <v/>
      </c>
      <c r="AM16" s="179" t="str">
        <f t="shared" si="17"/>
        <v/>
      </c>
      <c r="AN16" s="179" t="str">
        <f t="shared" si="17"/>
        <v/>
      </c>
      <c r="AO16" s="179" t="str">
        <f t="shared" si="17"/>
        <v/>
      </c>
      <c r="AP16" s="179" t="str">
        <f t="shared" si="17"/>
        <v/>
      </c>
      <c r="AQ16" s="179" t="str">
        <f t="shared" si="17"/>
        <v/>
      </c>
      <c r="AR16" s="179" t="str">
        <f t="shared" si="17"/>
        <v/>
      </c>
      <c r="AS16" s="179" t="str">
        <f t="shared" si="17"/>
        <v/>
      </c>
      <c r="AT16" s="179" t="str">
        <f t="shared" si="17"/>
        <v/>
      </c>
      <c r="AU16" s="179" t="str">
        <f t="shared" si="17"/>
        <v/>
      </c>
      <c r="AV16" s="179" t="str">
        <f t="shared" si="17"/>
        <v/>
      </c>
      <c r="AW16" s="179" t="str">
        <f t="shared" si="17"/>
        <v/>
      </c>
      <c r="AX16" s="179" t="str">
        <f t="shared" si="17"/>
        <v/>
      </c>
      <c r="AY16" s="179" t="str">
        <f t="shared" si="17"/>
        <v/>
      </c>
      <c r="AZ16" s="179" t="str">
        <f t="shared" si="17"/>
        <v/>
      </c>
      <c r="BA16" s="179" t="str">
        <f t="shared" si="17"/>
        <v/>
      </c>
      <c r="BB16" s="179" t="str">
        <f t="shared" si="17"/>
        <v/>
      </c>
    </row>
    <row r="17">
      <c r="A17" s="182" t="s">
        <v>661</v>
      </c>
      <c r="B17" s="105" t="s">
        <v>662</v>
      </c>
      <c r="C17" s="105" t="s">
        <v>686</v>
      </c>
      <c r="D17" s="192">
        <v>119159.0</v>
      </c>
      <c r="E17" s="185">
        <v>73839.72</v>
      </c>
      <c r="F17" s="186">
        <v>45712.0</v>
      </c>
      <c r="G17" s="105" t="s">
        <v>664</v>
      </c>
      <c r="H17" s="83" t="s">
        <v>686</v>
      </c>
      <c r="I17" s="187" t="s">
        <v>687</v>
      </c>
      <c r="J17" s="188" t="b">
        <v>1</v>
      </c>
      <c r="K17" s="189">
        <f t="shared" si="3"/>
        <v>55379.79</v>
      </c>
      <c r="L17" s="48" t="b">
        <f t="shared" si="4"/>
        <v>0</v>
      </c>
      <c r="M17" s="190">
        <f t="shared" si="5"/>
        <v>4</v>
      </c>
      <c r="N17" s="179" t="str">
        <f t="shared" ref="N17:BB17" si="18">IFERROR(IF(N$1=FALSE,, IF(IF(SEARCH(N$3,$I17,1)&gt;0,1,0)=1,$E17/$M17,)),"")</f>
        <v/>
      </c>
      <c r="O17" s="179" t="str">
        <f t="shared" si="18"/>
        <v/>
      </c>
      <c r="P17" s="179">
        <f t="shared" si="18"/>
        <v>18459.93</v>
      </c>
      <c r="Q17" s="179">
        <f t="shared" si="18"/>
        <v>18459.93</v>
      </c>
      <c r="R17" s="179" t="str">
        <f t="shared" si="18"/>
        <v/>
      </c>
      <c r="S17" s="179" t="str">
        <f t="shared" si="18"/>
        <v/>
      </c>
      <c r="T17" s="179" t="str">
        <f t="shared" si="18"/>
        <v/>
      </c>
      <c r="U17" s="179" t="str">
        <f t="shared" si="18"/>
        <v/>
      </c>
      <c r="V17" s="179" t="str">
        <f t="shared" si="18"/>
        <v/>
      </c>
      <c r="W17" s="179">
        <f t="shared" si="18"/>
        <v>18459.93</v>
      </c>
      <c r="X17" s="179" t="str">
        <f t="shared" si="18"/>
        <v/>
      </c>
      <c r="Y17" s="179" t="str">
        <f t="shared" si="18"/>
        <v/>
      </c>
      <c r="Z17" s="179" t="str">
        <f t="shared" si="18"/>
        <v/>
      </c>
      <c r="AA17" s="179" t="str">
        <f t="shared" si="18"/>
        <v/>
      </c>
      <c r="AB17" s="179" t="str">
        <f t="shared" si="18"/>
        <v/>
      </c>
      <c r="AC17" s="179" t="str">
        <f t="shared" si="18"/>
        <v/>
      </c>
      <c r="AD17" s="179" t="str">
        <f t="shared" si="18"/>
        <v/>
      </c>
      <c r="AE17" s="179" t="str">
        <f t="shared" si="18"/>
        <v/>
      </c>
      <c r="AF17" s="179" t="str">
        <f t="shared" si="18"/>
        <v/>
      </c>
      <c r="AG17" s="179" t="str">
        <f t="shared" si="18"/>
        <v/>
      </c>
      <c r="AH17" s="179" t="str">
        <f t="shared" si="18"/>
        <v/>
      </c>
      <c r="AI17" s="179" t="str">
        <f t="shared" si="18"/>
        <v/>
      </c>
      <c r="AJ17" s="179" t="str">
        <f t="shared" si="18"/>
        <v/>
      </c>
      <c r="AK17" s="179" t="str">
        <f t="shared" si="18"/>
        <v/>
      </c>
      <c r="AL17" s="179" t="str">
        <f t="shared" si="18"/>
        <v/>
      </c>
      <c r="AM17" s="179" t="str">
        <f t="shared" si="18"/>
        <v/>
      </c>
      <c r="AN17" s="179" t="str">
        <f t="shared" si="18"/>
        <v/>
      </c>
      <c r="AO17" s="179" t="str">
        <f t="shared" si="18"/>
        <v/>
      </c>
      <c r="AP17" s="179" t="str">
        <f t="shared" si="18"/>
        <v/>
      </c>
      <c r="AQ17" s="179" t="str">
        <f t="shared" si="18"/>
        <v/>
      </c>
      <c r="AR17" s="179" t="str">
        <f t="shared" si="18"/>
        <v/>
      </c>
      <c r="AS17" s="179" t="str">
        <f t="shared" si="18"/>
        <v/>
      </c>
      <c r="AT17" s="179" t="str">
        <f t="shared" si="18"/>
        <v/>
      </c>
      <c r="AU17" s="179" t="str">
        <f t="shared" si="18"/>
        <v/>
      </c>
      <c r="AV17" s="179" t="str">
        <f t="shared" si="18"/>
        <v/>
      </c>
      <c r="AW17" s="179" t="str">
        <f t="shared" si="18"/>
        <v/>
      </c>
      <c r="AX17" s="179" t="str">
        <f t="shared" si="18"/>
        <v/>
      </c>
      <c r="AY17" s="179" t="str">
        <f t="shared" si="18"/>
        <v/>
      </c>
      <c r="AZ17" s="179" t="str">
        <f t="shared" si="18"/>
        <v/>
      </c>
      <c r="BA17" s="179" t="str">
        <f t="shared" si="18"/>
        <v/>
      </c>
      <c r="BB17" s="179" t="str">
        <f t="shared" si="18"/>
        <v/>
      </c>
    </row>
    <row r="18">
      <c r="A18" s="182" t="s">
        <v>673</v>
      </c>
      <c r="B18" s="105" t="s">
        <v>674</v>
      </c>
      <c r="C18" s="105" t="s">
        <v>688</v>
      </c>
      <c r="D18" s="192">
        <v>2409.0</v>
      </c>
      <c r="E18" s="185">
        <v>29.84</v>
      </c>
      <c r="F18" s="186">
        <v>45733.0</v>
      </c>
      <c r="G18" s="105" t="s">
        <v>664</v>
      </c>
      <c r="H18" s="83" t="s">
        <v>688</v>
      </c>
      <c r="I18" s="187" t="s">
        <v>124</v>
      </c>
      <c r="J18" s="188" t="b">
        <v>1</v>
      </c>
      <c r="K18" s="189">
        <f t="shared" si="3"/>
        <v>29.84</v>
      </c>
      <c r="L18" s="48" t="b">
        <f t="shared" si="4"/>
        <v>1</v>
      </c>
      <c r="M18" s="190">
        <f t="shared" si="5"/>
        <v>1</v>
      </c>
      <c r="N18" s="179" t="str">
        <f t="shared" ref="N18:BB18" si="19">IFERROR(IF(N$1=FALSE,, IF(IF(SEARCH(N$3,$I18,1)&gt;0,1,0)=1,$E18/$M18,)),"")</f>
        <v/>
      </c>
      <c r="O18" s="179" t="str">
        <f t="shared" si="19"/>
        <v/>
      </c>
      <c r="P18" s="179" t="str">
        <f t="shared" si="19"/>
        <v/>
      </c>
      <c r="Q18" s="179" t="str">
        <f t="shared" si="19"/>
        <v/>
      </c>
      <c r="R18" s="179" t="str">
        <f t="shared" si="19"/>
        <v/>
      </c>
      <c r="S18" s="179" t="str">
        <f t="shared" si="19"/>
        <v/>
      </c>
      <c r="T18" s="179" t="str">
        <f t="shared" si="19"/>
        <v/>
      </c>
      <c r="U18" s="179" t="str">
        <f t="shared" si="19"/>
        <v/>
      </c>
      <c r="V18" s="179" t="str">
        <f t="shared" si="19"/>
        <v/>
      </c>
      <c r="W18" s="179">
        <f t="shared" si="19"/>
        <v>29.84</v>
      </c>
      <c r="X18" s="179" t="str">
        <f t="shared" si="19"/>
        <v/>
      </c>
      <c r="Y18" s="179" t="str">
        <f t="shared" si="19"/>
        <v/>
      </c>
      <c r="Z18" s="179" t="str">
        <f t="shared" si="19"/>
        <v/>
      </c>
      <c r="AA18" s="179" t="str">
        <f t="shared" si="19"/>
        <v/>
      </c>
      <c r="AB18" s="179" t="str">
        <f t="shared" si="19"/>
        <v/>
      </c>
      <c r="AC18" s="179" t="str">
        <f t="shared" si="19"/>
        <v/>
      </c>
      <c r="AD18" s="179" t="str">
        <f t="shared" si="19"/>
        <v/>
      </c>
      <c r="AE18" s="179" t="str">
        <f t="shared" si="19"/>
        <v/>
      </c>
      <c r="AF18" s="179" t="str">
        <f t="shared" si="19"/>
        <v/>
      </c>
      <c r="AG18" s="179" t="str">
        <f t="shared" si="19"/>
        <v/>
      </c>
      <c r="AH18" s="179" t="str">
        <f t="shared" si="19"/>
        <v/>
      </c>
      <c r="AI18" s="179" t="str">
        <f t="shared" si="19"/>
        <v/>
      </c>
      <c r="AJ18" s="179" t="str">
        <f t="shared" si="19"/>
        <v/>
      </c>
      <c r="AK18" s="179" t="str">
        <f t="shared" si="19"/>
        <v/>
      </c>
      <c r="AL18" s="179" t="str">
        <f t="shared" si="19"/>
        <v/>
      </c>
      <c r="AM18" s="179" t="str">
        <f t="shared" si="19"/>
        <v/>
      </c>
      <c r="AN18" s="179" t="str">
        <f t="shared" si="19"/>
        <v/>
      </c>
      <c r="AO18" s="179" t="str">
        <f t="shared" si="19"/>
        <v/>
      </c>
      <c r="AP18" s="179" t="str">
        <f t="shared" si="19"/>
        <v/>
      </c>
      <c r="AQ18" s="179" t="str">
        <f t="shared" si="19"/>
        <v/>
      </c>
      <c r="AR18" s="179" t="str">
        <f t="shared" si="19"/>
        <v/>
      </c>
      <c r="AS18" s="179" t="str">
        <f t="shared" si="19"/>
        <v/>
      </c>
      <c r="AT18" s="179" t="str">
        <f t="shared" si="19"/>
        <v/>
      </c>
      <c r="AU18" s="179" t="str">
        <f t="shared" si="19"/>
        <v/>
      </c>
      <c r="AV18" s="179" t="str">
        <f t="shared" si="19"/>
        <v/>
      </c>
      <c r="AW18" s="179" t="str">
        <f t="shared" si="19"/>
        <v/>
      </c>
      <c r="AX18" s="179" t="str">
        <f t="shared" si="19"/>
        <v/>
      </c>
      <c r="AY18" s="179" t="str">
        <f t="shared" si="19"/>
        <v/>
      </c>
      <c r="AZ18" s="179" t="str">
        <f t="shared" si="19"/>
        <v/>
      </c>
      <c r="BA18" s="179" t="str">
        <f t="shared" si="19"/>
        <v/>
      </c>
      <c r="BB18" s="179" t="str">
        <f t="shared" si="19"/>
        <v/>
      </c>
    </row>
    <row r="19">
      <c r="A19" s="182" t="s">
        <v>668</v>
      </c>
      <c r="B19" s="105" t="s">
        <v>669</v>
      </c>
      <c r="C19" s="105" t="s">
        <v>670</v>
      </c>
      <c r="D19" s="192">
        <v>99189.0</v>
      </c>
      <c r="E19" s="185">
        <v>531.6</v>
      </c>
      <c r="F19" s="186">
        <v>45729.0</v>
      </c>
      <c r="G19" s="105" t="s">
        <v>664</v>
      </c>
      <c r="H19" s="83" t="s">
        <v>670</v>
      </c>
      <c r="I19" s="187" t="s">
        <v>150</v>
      </c>
      <c r="J19" s="188" t="b">
        <v>0</v>
      </c>
      <c r="K19" s="189">
        <f t="shared" si="3"/>
        <v>0</v>
      </c>
      <c r="L19" s="48" t="b">
        <f t="shared" si="4"/>
        <v>0</v>
      </c>
      <c r="M19" s="190">
        <f t="shared" si="5"/>
        <v>0</v>
      </c>
      <c r="N19" s="179" t="str">
        <f t="shared" ref="N19:BB19" si="20">IFERROR(IF(N$1=FALSE,, IF(IF(SEARCH(N$3,$I19,1)&gt;0,1,0)=1,$E19/$M19,)),"")</f>
        <v/>
      </c>
      <c r="O19" s="179" t="str">
        <f t="shared" si="20"/>
        <v/>
      </c>
      <c r="P19" s="179" t="str">
        <f t="shared" si="20"/>
        <v/>
      </c>
      <c r="Q19" s="179" t="str">
        <f t="shared" si="20"/>
        <v/>
      </c>
      <c r="R19" s="179" t="str">
        <f t="shared" si="20"/>
        <v/>
      </c>
      <c r="S19" s="179" t="str">
        <f t="shared" si="20"/>
        <v/>
      </c>
      <c r="T19" s="179" t="str">
        <f t="shared" si="20"/>
        <v/>
      </c>
      <c r="U19" s="179" t="str">
        <f t="shared" si="20"/>
        <v/>
      </c>
      <c r="V19" s="179" t="str">
        <f t="shared" si="20"/>
        <v/>
      </c>
      <c r="W19" s="179" t="str">
        <f t="shared" si="20"/>
        <v/>
      </c>
      <c r="X19" s="179" t="str">
        <f t="shared" si="20"/>
        <v/>
      </c>
      <c r="Y19" s="179" t="str">
        <f t="shared" si="20"/>
        <v/>
      </c>
      <c r="Z19" s="179" t="str">
        <f t="shared" si="20"/>
        <v/>
      </c>
      <c r="AA19" s="179" t="str">
        <f t="shared" si="20"/>
        <v/>
      </c>
      <c r="AB19" s="179" t="str">
        <f t="shared" si="20"/>
        <v/>
      </c>
      <c r="AC19" s="179" t="str">
        <f t="shared" si="20"/>
        <v/>
      </c>
      <c r="AD19" s="179" t="str">
        <f t="shared" si="20"/>
        <v/>
      </c>
      <c r="AE19" s="179" t="str">
        <f t="shared" si="20"/>
        <v/>
      </c>
      <c r="AF19" s="179" t="str">
        <f t="shared" si="20"/>
        <v/>
      </c>
      <c r="AG19" s="179" t="str">
        <f t="shared" si="20"/>
        <v/>
      </c>
      <c r="AH19" s="179" t="str">
        <f t="shared" si="20"/>
        <v/>
      </c>
      <c r="AI19" s="179" t="str">
        <f t="shared" si="20"/>
        <v/>
      </c>
      <c r="AJ19" s="179" t="str">
        <f t="shared" si="20"/>
        <v/>
      </c>
      <c r="AK19" s="179" t="str">
        <f t="shared" si="20"/>
        <v/>
      </c>
      <c r="AL19" s="179" t="str">
        <f t="shared" si="20"/>
        <v/>
      </c>
      <c r="AM19" s="179" t="str">
        <f t="shared" si="20"/>
        <v/>
      </c>
      <c r="AN19" s="179" t="str">
        <f t="shared" si="20"/>
        <v/>
      </c>
      <c r="AO19" s="179" t="str">
        <f t="shared" si="20"/>
        <v/>
      </c>
      <c r="AP19" s="179" t="str">
        <f t="shared" si="20"/>
        <v/>
      </c>
      <c r="AQ19" s="179" t="str">
        <f t="shared" si="20"/>
        <v/>
      </c>
      <c r="AR19" s="179" t="str">
        <f t="shared" si="20"/>
        <v/>
      </c>
      <c r="AS19" s="179" t="str">
        <f t="shared" si="20"/>
        <v/>
      </c>
      <c r="AT19" s="179" t="str">
        <f t="shared" si="20"/>
        <v/>
      </c>
      <c r="AU19" s="179" t="str">
        <f t="shared" si="20"/>
        <v/>
      </c>
      <c r="AV19" s="179" t="str">
        <f t="shared" si="20"/>
        <v/>
      </c>
      <c r="AW19" s="179" t="str">
        <f t="shared" si="20"/>
        <v/>
      </c>
      <c r="AX19" s="179" t="str">
        <f t="shared" si="20"/>
        <v/>
      </c>
      <c r="AY19" s="179" t="str">
        <f t="shared" si="20"/>
        <v/>
      </c>
      <c r="AZ19" s="179" t="str">
        <f t="shared" si="20"/>
        <v/>
      </c>
      <c r="BA19" s="179" t="str">
        <f t="shared" si="20"/>
        <v/>
      </c>
      <c r="BB19" s="179" t="str">
        <f t="shared" si="20"/>
        <v/>
      </c>
    </row>
    <row r="20">
      <c r="A20" s="182" t="s">
        <v>668</v>
      </c>
      <c r="B20" s="105" t="s">
        <v>669</v>
      </c>
      <c r="C20" s="105" t="s">
        <v>670</v>
      </c>
      <c r="D20" s="192">
        <v>100100.0</v>
      </c>
      <c r="E20" s="185">
        <v>620.2</v>
      </c>
      <c r="F20" s="186">
        <v>45749.0</v>
      </c>
      <c r="G20" s="105" t="s">
        <v>664</v>
      </c>
      <c r="H20" s="83" t="s">
        <v>670</v>
      </c>
      <c r="I20" s="187" t="s">
        <v>150</v>
      </c>
      <c r="J20" s="188" t="b">
        <v>0</v>
      </c>
      <c r="K20" s="189">
        <f t="shared" si="3"/>
        <v>0</v>
      </c>
      <c r="L20" s="48" t="b">
        <f t="shared" si="4"/>
        <v>0</v>
      </c>
      <c r="M20" s="190">
        <f t="shared" si="5"/>
        <v>0</v>
      </c>
      <c r="N20" s="179" t="str">
        <f t="shared" ref="N20:BB20" si="21">IFERROR(IF(N$1=FALSE,, IF(IF(SEARCH(N$3,$I20,1)&gt;0,1,0)=1,$E20/$M20,)),"")</f>
        <v/>
      </c>
      <c r="O20" s="179" t="str">
        <f t="shared" si="21"/>
        <v/>
      </c>
      <c r="P20" s="179" t="str">
        <f t="shared" si="21"/>
        <v/>
      </c>
      <c r="Q20" s="179" t="str">
        <f t="shared" si="21"/>
        <v/>
      </c>
      <c r="R20" s="179" t="str">
        <f t="shared" si="21"/>
        <v/>
      </c>
      <c r="S20" s="179" t="str">
        <f t="shared" si="21"/>
        <v/>
      </c>
      <c r="T20" s="179" t="str">
        <f t="shared" si="21"/>
        <v/>
      </c>
      <c r="U20" s="179" t="str">
        <f t="shared" si="21"/>
        <v/>
      </c>
      <c r="V20" s="179" t="str">
        <f t="shared" si="21"/>
        <v/>
      </c>
      <c r="W20" s="179" t="str">
        <f t="shared" si="21"/>
        <v/>
      </c>
      <c r="X20" s="179" t="str">
        <f t="shared" si="21"/>
        <v/>
      </c>
      <c r="Y20" s="179" t="str">
        <f t="shared" si="21"/>
        <v/>
      </c>
      <c r="Z20" s="179" t="str">
        <f t="shared" si="21"/>
        <v/>
      </c>
      <c r="AA20" s="179" t="str">
        <f t="shared" si="21"/>
        <v/>
      </c>
      <c r="AB20" s="179" t="str">
        <f t="shared" si="21"/>
        <v/>
      </c>
      <c r="AC20" s="179" t="str">
        <f t="shared" si="21"/>
        <v/>
      </c>
      <c r="AD20" s="179" t="str">
        <f t="shared" si="21"/>
        <v/>
      </c>
      <c r="AE20" s="179" t="str">
        <f t="shared" si="21"/>
        <v/>
      </c>
      <c r="AF20" s="179" t="str">
        <f t="shared" si="21"/>
        <v/>
      </c>
      <c r="AG20" s="179" t="str">
        <f t="shared" si="21"/>
        <v/>
      </c>
      <c r="AH20" s="179" t="str">
        <f t="shared" si="21"/>
        <v/>
      </c>
      <c r="AI20" s="179" t="str">
        <f t="shared" si="21"/>
        <v/>
      </c>
      <c r="AJ20" s="179" t="str">
        <f t="shared" si="21"/>
        <v/>
      </c>
      <c r="AK20" s="179" t="str">
        <f t="shared" si="21"/>
        <v/>
      </c>
      <c r="AL20" s="179" t="str">
        <f t="shared" si="21"/>
        <v/>
      </c>
      <c r="AM20" s="179" t="str">
        <f t="shared" si="21"/>
        <v/>
      </c>
      <c r="AN20" s="179" t="str">
        <f t="shared" si="21"/>
        <v/>
      </c>
      <c r="AO20" s="179" t="str">
        <f t="shared" si="21"/>
        <v/>
      </c>
      <c r="AP20" s="179" t="str">
        <f t="shared" si="21"/>
        <v/>
      </c>
      <c r="AQ20" s="179" t="str">
        <f t="shared" si="21"/>
        <v/>
      </c>
      <c r="AR20" s="179" t="str">
        <f t="shared" si="21"/>
        <v/>
      </c>
      <c r="AS20" s="179" t="str">
        <f t="shared" si="21"/>
        <v/>
      </c>
      <c r="AT20" s="179" t="str">
        <f t="shared" si="21"/>
        <v/>
      </c>
      <c r="AU20" s="179" t="str">
        <f t="shared" si="21"/>
        <v/>
      </c>
      <c r="AV20" s="179" t="str">
        <f t="shared" si="21"/>
        <v/>
      </c>
      <c r="AW20" s="179" t="str">
        <f t="shared" si="21"/>
        <v/>
      </c>
      <c r="AX20" s="179" t="str">
        <f t="shared" si="21"/>
        <v/>
      </c>
      <c r="AY20" s="179" t="str">
        <f t="shared" si="21"/>
        <v/>
      </c>
      <c r="AZ20" s="179" t="str">
        <f t="shared" si="21"/>
        <v/>
      </c>
      <c r="BA20" s="179" t="str">
        <f t="shared" si="21"/>
        <v/>
      </c>
      <c r="BB20" s="179" t="str">
        <f t="shared" si="21"/>
        <v/>
      </c>
    </row>
    <row r="21">
      <c r="A21" s="193" t="s">
        <v>661</v>
      </c>
      <c r="B21" s="105" t="s">
        <v>662</v>
      </c>
      <c r="C21" s="105" t="s">
        <v>689</v>
      </c>
      <c r="D21" s="192">
        <v>119947.0</v>
      </c>
      <c r="E21" s="185">
        <v>3353.18</v>
      </c>
      <c r="F21" s="186">
        <v>45737.0</v>
      </c>
      <c r="G21" s="105" t="s">
        <v>664</v>
      </c>
      <c r="H21" s="83" t="s">
        <v>689</v>
      </c>
      <c r="I21" s="187" t="s">
        <v>690</v>
      </c>
      <c r="J21" s="188" t="b">
        <v>1</v>
      </c>
      <c r="K21" s="189">
        <f t="shared" si="3"/>
        <v>1676.59</v>
      </c>
      <c r="L21" s="48" t="b">
        <f t="shared" si="4"/>
        <v>0</v>
      </c>
      <c r="M21" s="190">
        <f t="shared" si="5"/>
        <v>2</v>
      </c>
      <c r="N21" s="179">
        <f t="shared" ref="N21:BB21" si="22">IFERROR(IF(N$1=FALSE,, IF(IF(SEARCH(N$3,$I21,1)&gt;0,1,0)=1,$E21/$M21,)),"")</f>
        <v>1676.59</v>
      </c>
      <c r="O21" s="179" t="str">
        <f t="shared" si="22"/>
        <v/>
      </c>
      <c r="P21" s="179" t="str">
        <f t="shared" si="22"/>
        <v/>
      </c>
      <c r="Q21" s="179" t="str">
        <f t="shared" si="22"/>
        <v/>
      </c>
      <c r="R21" s="179" t="str">
        <f t="shared" si="22"/>
        <v/>
      </c>
      <c r="S21" s="179" t="str">
        <f t="shared" si="22"/>
        <v/>
      </c>
      <c r="T21" s="179" t="str">
        <f t="shared" si="22"/>
        <v/>
      </c>
      <c r="U21" s="179" t="str">
        <f t="shared" si="22"/>
        <v/>
      </c>
      <c r="V21" s="179" t="str">
        <f t="shared" si="22"/>
        <v/>
      </c>
      <c r="W21" s="179" t="str">
        <f t="shared" si="22"/>
        <v/>
      </c>
      <c r="X21" s="179" t="str">
        <f t="shared" si="22"/>
        <v/>
      </c>
      <c r="Y21" s="179" t="str">
        <f t="shared" si="22"/>
        <v/>
      </c>
      <c r="Z21" s="179" t="str">
        <f t="shared" si="22"/>
        <v/>
      </c>
      <c r="AA21" s="179" t="str">
        <f t="shared" si="22"/>
        <v/>
      </c>
      <c r="AB21" s="179" t="str">
        <f t="shared" si="22"/>
        <v/>
      </c>
      <c r="AC21" s="179" t="str">
        <f t="shared" si="22"/>
        <v/>
      </c>
      <c r="AD21" s="179" t="str">
        <f t="shared" si="22"/>
        <v/>
      </c>
      <c r="AE21" s="179" t="str">
        <f t="shared" si="22"/>
        <v/>
      </c>
      <c r="AF21" s="179" t="str">
        <f t="shared" si="22"/>
        <v/>
      </c>
      <c r="AG21" s="179" t="str">
        <f t="shared" si="22"/>
        <v/>
      </c>
      <c r="AH21" s="179" t="str">
        <f t="shared" si="22"/>
        <v/>
      </c>
      <c r="AI21" s="179" t="str">
        <f t="shared" si="22"/>
        <v/>
      </c>
      <c r="AJ21" s="179" t="str">
        <f t="shared" si="22"/>
        <v/>
      </c>
      <c r="AK21" s="179" t="str">
        <f t="shared" si="22"/>
        <v/>
      </c>
      <c r="AL21" s="179" t="str">
        <f t="shared" si="22"/>
        <v/>
      </c>
      <c r="AM21" s="179" t="str">
        <f t="shared" si="22"/>
        <v/>
      </c>
      <c r="AN21" s="179" t="str">
        <f t="shared" si="22"/>
        <v/>
      </c>
      <c r="AO21" s="179" t="str">
        <f t="shared" si="22"/>
        <v/>
      </c>
      <c r="AP21" s="179" t="str">
        <f t="shared" si="22"/>
        <v/>
      </c>
      <c r="AQ21" s="179" t="str">
        <f t="shared" si="22"/>
        <v/>
      </c>
      <c r="AR21" s="179" t="str">
        <f t="shared" si="22"/>
        <v/>
      </c>
      <c r="AS21" s="179" t="str">
        <f t="shared" si="22"/>
        <v/>
      </c>
      <c r="AT21" s="179" t="str">
        <f t="shared" si="22"/>
        <v/>
      </c>
      <c r="AU21" s="179" t="str">
        <f t="shared" si="22"/>
        <v/>
      </c>
      <c r="AV21" s="179" t="str">
        <f t="shared" si="22"/>
        <v/>
      </c>
      <c r="AW21" s="179" t="str">
        <f t="shared" si="22"/>
        <v/>
      </c>
      <c r="AX21" s="179" t="str">
        <f t="shared" si="22"/>
        <v/>
      </c>
      <c r="AY21" s="179" t="str">
        <f t="shared" si="22"/>
        <v/>
      </c>
      <c r="AZ21" s="179" t="str">
        <f t="shared" si="22"/>
        <v/>
      </c>
      <c r="BA21" s="179" t="str">
        <f t="shared" si="22"/>
        <v/>
      </c>
      <c r="BB21" s="179" t="str">
        <f t="shared" si="22"/>
        <v/>
      </c>
    </row>
    <row r="22">
      <c r="A22" s="193" t="s">
        <v>676</v>
      </c>
      <c r="B22" s="105" t="s">
        <v>677</v>
      </c>
      <c r="C22" s="105" t="s">
        <v>691</v>
      </c>
      <c r="D22" s="192">
        <v>159408.0</v>
      </c>
      <c r="E22" s="185">
        <v>3870.0</v>
      </c>
      <c r="F22" s="186">
        <v>45736.0</v>
      </c>
      <c r="G22" s="105" t="s">
        <v>664</v>
      </c>
      <c r="H22" s="83" t="s">
        <v>691</v>
      </c>
      <c r="I22" s="187" t="s">
        <v>124</v>
      </c>
      <c r="J22" s="188" t="b">
        <v>1</v>
      </c>
      <c r="K22" s="189">
        <f t="shared" si="3"/>
        <v>3870</v>
      </c>
      <c r="L22" s="48" t="b">
        <f t="shared" si="4"/>
        <v>1</v>
      </c>
      <c r="M22" s="190">
        <f t="shared" si="5"/>
        <v>1</v>
      </c>
      <c r="N22" s="179" t="str">
        <f t="shared" ref="N22:BB22" si="23">IFERROR(IF(N$1=FALSE,, IF(IF(SEARCH(N$3,$I22,1)&gt;0,1,0)=1,$E22/$M22,)),"")</f>
        <v/>
      </c>
      <c r="O22" s="179" t="str">
        <f t="shared" si="23"/>
        <v/>
      </c>
      <c r="P22" s="179" t="str">
        <f t="shared" si="23"/>
        <v/>
      </c>
      <c r="Q22" s="179" t="str">
        <f t="shared" si="23"/>
        <v/>
      </c>
      <c r="R22" s="179" t="str">
        <f t="shared" si="23"/>
        <v/>
      </c>
      <c r="S22" s="179" t="str">
        <f t="shared" si="23"/>
        <v/>
      </c>
      <c r="T22" s="179" t="str">
        <f t="shared" si="23"/>
        <v/>
      </c>
      <c r="U22" s="179" t="str">
        <f t="shared" si="23"/>
        <v/>
      </c>
      <c r="V22" s="179" t="str">
        <f t="shared" si="23"/>
        <v/>
      </c>
      <c r="W22" s="179">
        <f t="shared" si="23"/>
        <v>3870</v>
      </c>
      <c r="X22" s="179" t="str">
        <f t="shared" si="23"/>
        <v/>
      </c>
      <c r="Y22" s="179" t="str">
        <f t="shared" si="23"/>
        <v/>
      </c>
      <c r="Z22" s="179" t="str">
        <f t="shared" si="23"/>
        <v/>
      </c>
      <c r="AA22" s="179" t="str">
        <f t="shared" si="23"/>
        <v/>
      </c>
      <c r="AB22" s="179" t="str">
        <f t="shared" si="23"/>
        <v/>
      </c>
      <c r="AC22" s="179" t="str">
        <f t="shared" si="23"/>
        <v/>
      </c>
      <c r="AD22" s="179" t="str">
        <f t="shared" si="23"/>
        <v/>
      </c>
      <c r="AE22" s="179" t="str">
        <f t="shared" si="23"/>
        <v/>
      </c>
      <c r="AF22" s="179" t="str">
        <f t="shared" si="23"/>
        <v/>
      </c>
      <c r="AG22" s="179" t="str">
        <f t="shared" si="23"/>
        <v/>
      </c>
      <c r="AH22" s="179" t="str">
        <f t="shared" si="23"/>
        <v/>
      </c>
      <c r="AI22" s="179" t="str">
        <f t="shared" si="23"/>
        <v/>
      </c>
      <c r="AJ22" s="179" t="str">
        <f t="shared" si="23"/>
        <v/>
      </c>
      <c r="AK22" s="179" t="str">
        <f t="shared" si="23"/>
        <v/>
      </c>
      <c r="AL22" s="179" t="str">
        <f t="shared" si="23"/>
        <v/>
      </c>
      <c r="AM22" s="179" t="str">
        <f t="shared" si="23"/>
        <v/>
      </c>
      <c r="AN22" s="179" t="str">
        <f t="shared" si="23"/>
        <v/>
      </c>
      <c r="AO22" s="179" t="str">
        <f t="shared" si="23"/>
        <v/>
      </c>
      <c r="AP22" s="179" t="str">
        <f t="shared" si="23"/>
        <v/>
      </c>
      <c r="AQ22" s="179" t="str">
        <f t="shared" si="23"/>
        <v/>
      </c>
      <c r="AR22" s="179" t="str">
        <f t="shared" si="23"/>
        <v/>
      </c>
      <c r="AS22" s="179" t="str">
        <f t="shared" si="23"/>
        <v/>
      </c>
      <c r="AT22" s="179" t="str">
        <f t="shared" si="23"/>
        <v/>
      </c>
      <c r="AU22" s="179" t="str">
        <f t="shared" si="23"/>
        <v/>
      </c>
      <c r="AV22" s="179" t="str">
        <f t="shared" si="23"/>
        <v/>
      </c>
      <c r="AW22" s="179" t="str">
        <f t="shared" si="23"/>
        <v/>
      </c>
      <c r="AX22" s="179" t="str">
        <f t="shared" si="23"/>
        <v/>
      </c>
      <c r="AY22" s="179" t="str">
        <f t="shared" si="23"/>
        <v/>
      </c>
      <c r="AZ22" s="179" t="str">
        <f t="shared" si="23"/>
        <v/>
      </c>
      <c r="BA22" s="179" t="str">
        <f t="shared" si="23"/>
        <v/>
      </c>
      <c r="BB22" s="179" t="str">
        <f t="shared" si="23"/>
        <v/>
      </c>
    </row>
    <row r="23">
      <c r="A23" s="193" t="s">
        <v>673</v>
      </c>
      <c r="B23" s="105" t="s">
        <v>674</v>
      </c>
      <c r="C23" s="105" t="s">
        <v>692</v>
      </c>
      <c r="D23" s="192">
        <v>2657.0</v>
      </c>
      <c r="E23" s="185">
        <v>142.22</v>
      </c>
      <c r="F23" s="186">
        <v>45749.0</v>
      </c>
      <c r="G23" s="105" t="s">
        <v>664</v>
      </c>
      <c r="H23" s="83" t="s">
        <v>692</v>
      </c>
      <c r="I23" s="187" t="s">
        <v>215</v>
      </c>
      <c r="J23" s="188" t="b">
        <v>1</v>
      </c>
      <c r="K23" s="189">
        <f t="shared" si="3"/>
        <v>142.22</v>
      </c>
      <c r="L23" s="48" t="b">
        <f t="shared" si="4"/>
        <v>1</v>
      </c>
      <c r="M23" s="190">
        <f t="shared" si="5"/>
        <v>1</v>
      </c>
      <c r="N23" s="179" t="str">
        <f t="shared" ref="N23:BB23" si="24">IFERROR(IF(N$1=FALSE,, IF(IF(SEARCH(N$3,$I23,1)&gt;0,1,0)=1,$E23/$M23,)),"")</f>
        <v/>
      </c>
      <c r="O23" s="179" t="str">
        <f t="shared" si="24"/>
        <v/>
      </c>
      <c r="P23" s="179" t="str">
        <f t="shared" si="24"/>
        <v/>
      </c>
      <c r="Q23" s="179" t="str">
        <f t="shared" si="24"/>
        <v/>
      </c>
      <c r="R23" s="179" t="str">
        <f t="shared" si="24"/>
        <v/>
      </c>
      <c r="S23" s="179" t="str">
        <f t="shared" si="24"/>
        <v/>
      </c>
      <c r="T23" s="179" t="str">
        <f t="shared" si="24"/>
        <v/>
      </c>
      <c r="U23" s="179" t="str">
        <f t="shared" si="24"/>
        <v/>
      </c>
      <c r="V23" s="179" t="str">
        <f t="shared" si="24"/>
        <v/>
      </c>
      <c r="W23" s="179" t="str">
        <f t="shared" si="24"/>
        <v/>
      </c>
      <c r="X23" s="179" t="str">
        <f t="shared" si="24"/>
        <v/>
      </c>
      <c r="Y23" s="179" t="str">
        <f t="shared" si="24"/>
        <v/>
      </c>
      <c r="Z23" s="179" t="str">
        <f t="shared" si="24"/>
        <v/>
      </c>
      <c r="AA23" s="179" t="str">
        <f t="shared" si="24"/>
        <v/>
      </c>
      <c r="AB23" s="179" t="str">
        <f t="shared" si="24"/>
        <v/>
      </c>
      <c r="AC23" s="179" t="str">
        <f t="shared" si="24"/>
        <v/>
      </c>
      <c r="AD23" s="179" t="str">
        <f t="shared" si="24"/>
        <v/>
      </c>
      <c r="AE23" s="179" t="str">
        <f t="shared" si="24"/>
        <v/>
      </c>
      <c r="AF23" s="179" t="str">
        <f t="shared" si="24"/>
        <v/>
      </c>
      <c r="AG23" s="179" t="str">
        <f t="shared" si="24"/>
        <v/>
      </c>
      <c r="AH23" s="179" t="str">
        <f t="shared" si="24"/>
        <v/>
      </c>
      <c r="AI23" s="179" t="str">
        <f t="shared" si="24"/>
        <v/>
      </c>
      <c r="AJ23" s="179" t="str">
        <f t="shared" si="24"/>
        <v/>
      </c>
      <c r="AK23" s="179" t="str">
        <f t="shared" si="24"/>
        <v/>
      </c>
      <c r="AL23" s="179" t="str">
        <f t="shared" si="24"/>
        <v/>
      </c>
      <c r="AM23" s="179" t="str">
        <f t="shared" si="24"/>
        <v/>
      </c>
      <c r="AN23" s="179" t="str">
        <f t="shared" si="24"/>
        <v/>
      </c>
      <c r="AO23" s="179" t="str">
        <f t="shared" si="24"/>
        <v/>
      </c>
      <c r="AP23" s="179" t="str">
        <f t="shared" si="24"/>
        <v/>
      </c>
      <c r="AQ23" s="179" t="str">
        <f t="shared" si="24"/>
        <v/>
      </c>
      <c r="AR23" s="179" t="str">
        <f t="shared" si="24"/>
        <v/>
      </c>
      <c r="AS23" s="179" t="str">
        <f t="shared" si="24"/>
        <v/>
      </c>
      <c r="AT23" s="179" t="str">
        <f t="shared" si="24"/>
        <v/>
      </c>
      <c r="AU23" s="179" t="str">
        <f t="shared" si="24"/>
        <v/>
      </c>
      <c r="AV23" s="179">
        <f t="shared" si="24"/>
        <v>142.22</v>
      </c>
      <c r="AW23" s="179" t="str">
        <f t="shared" si="24"/>
        <v/>
      </c>
      <c r="AX23" s="179" t="str">
        <f t="shared" si="24"/>
        <v/>
      </c>
      <c r="AY23" s="179" t="str">
        <f t="shared" si="24"/>
        <v/>
      </c>
      <c r="AZ23" s="179" t="str">
        <f t="shared" si="24"/>
        <v/>
      </c>
      <c r="BA23" s="179" t="str">
        <f t="shared" si="24"/>
        <v/>
      </c>
      <c r="BB23" s="179" t="str">
        <f t="shared" si="24"/>
        <v/>
      </c>
    </row>
    <row r="24">
      <c r="A24" s="193" t="s">
        <v>676</v>
      </c>
      <c r="B24" s="105" t="s">
        <v>677</v>
      </c>
      <c r="C24" s="105" t="s">
        <v>691</v>
      </c>
      <c r="D24" s="192">
        <v>159541.0</v>
      </c>
      <c r="E24" s="185">
        <v>1935.0</v>
      </c>
      <c r="F24" s="186">
        <v>45748.0</v>
      </c>
      <c r="G24" s="105" t="s">
        <v>664</v>
      </c>
      <c r="H24" s="83" t="s">
        <v>691</v>
      </c>
      <c r="I24" s="187" t="s">
        <v>104</v>
      </c>
      <c r="J24" s="188" t="b">
        <v>1</v>
      </c>
      <c r="K24" s="189">
        <f t="shared" si="3"/>
        <v>1935</v>
      </c>
      <c r="L24" s="48" t="b">
        <f t="shared" si="4"/>
        <v>1</v>
      </c>
      <c r="M24" s="190">
        <f t="shared" si="5"/>
        <v>1</v>
      </c>
      <c r="N24" s="179" t="str">
        <f t="shared" ref="N24:BB24" si="25">IFERROR(IF(N$1=FALSE,, IF(IF(SEARCH(N$3,$I24,1)&gt;0,1,0)=1,$E24/$M24,)),"")</f>
        <v/>
      </c>
      <c r="O24" s="179" t="str">
        <f t="shared" si="25"/>
        <v/>
      </c>
      <c r="P24" s="179" t="str">
        <f t="shared" si="25"/>
        <v/>
      </c>
      <c r="Q24" s="179">
        <f t="shared" si="25"/>
        <v>1935</v>
      </c>
      <c r="R24" s="179" t="str">
        <f t="shared" si="25"/>
        <v/>
      </c>
      <c r="S24" s="179" t="str">
        <f t="shared" si="25"/>
        <v/>
      </c>
      <c r="T24" s="179" t="str">
        <f t="shared" si="25"/>
        <v/>
      </c>
      <c r="U24" s="179" t="str">
        <f t="shared" si="25"/>
        <v/>
      </c>
      <c r="V24" s="179" t="str">
        <f t="shared" si="25"/>
        <v/>
      </c>
      <c r="W24" s="179" t="str">
        <f t="shared" si="25"/>
        <v/>
      </c>
      <c r="X24" s="179" t="str">
        <f t="shared" si="25"/>
        <v/>
      </c>
      <c r="Y24" s="179" t="str">
        <f t="shared" si="25"/>
        <v/>
      </c>
      <c r="Z24" s="179" t="str">
        <f t="shared" si="25"/>
        <v/>
      </c>
      <c r="AA24" s="179" t="str">
        <f t="shared" si="25"/>
        <v/>
      </c>
      <c r="AB24" s="179" t="str">
        <f t="shared" si="25"/>
        <v/>
      </c>
      <c r="AC24" s="179" t="str">
        <f t="shared" si="25"/>
        <v/>
      </c>
      <c r="AD24" s="179" t="str">
        <f t="shared" si="25"/>
        <v/>
      </c>
      <c r="AE24" s="179" t="str">
        <f t="shared" si="25"/>
        <v/>
      </c>
      <c r="AF24" s="179" t="str">
        <f t="shared" si="25"/>
        <v/>
      </c>
      <c r="AG24" s="179" t="str">
        <f t="shared" si="25"/>
        <v/>
      </c>
      <c r="AH24" s="179" t="str">
        <f t="shared" si="25"/>
        <v/>
      </c>
      <c r="AI24" s="179" t="str">
        <f t="shared" si="25"/>
        <v/>
      </c>
      <c r="AJ24" s="179" t="str">
        <f t="shared" si="25"/>
        <v/>
      </c>
      <c r="AK24" s="179" t="str">
        <f t="shared" si="25"/>
        <v/>
      </c>
      <c r="AL24" s="179" t="str">
        <f t="shared" si="25"/>
        <v/>
      </c>
      <c r="AM24" s="179" t="str">
        <f t="shared" si="25"/>
        <v/>
      </c>
      <c r="AN24" s="179" t="str">
        <f t="shared" si="25"/>
        <v/>
      </c>
      <c r="AO24" s="179" t="str">
        <f t="shared" si="25"/>
        <v/>
      </c>
      <c r="AP24" s="179" t="str">
        <f t="shared" si="25"/>
        <v/>
      </c>
      <c r="AQ24" s="179" t="str">
        <f t="shared" si="25"/>
        <v/>
      </c>
      <c r="AR24" s="179" t="str">
        <f t="shared" si="25"/>
        <v/>
      </c>
      <c r="AS24" s="179" t="str">
        <f t="shared" si="25"/>
        <v/>
      </c>
      <c r="AT24" s="179" t="str">
        <f t="shared" si="25"/>
        <v/>
      </c>
      <c r="AU24" s="179" t="str">
        <f t="shared" si="25"/>
        <v/>
      </c>
      <c r="AV24" s="179" t="str">
        <f t="shared" si="25"/>
        <v/>
      </c>
      <c r="AW24" s="179" t="str">
        <f t="shared" si="25"/>
        <v/>
      </c>
      <c r="AX24" s="179" t="str">
        <f t="shared" si="25"/>
        <v/>
      </c>
      <c r="AY24" s="179" t="str">
        <f t="shared" si="25"/>
        <v/>
      </c>
      <c r="AZ24" s="179" t="str">
        <f t="shared" si="25"/>
        <v/>
      </c>
      <c r="BA24" s="179" t="str">
        <f t="shared" si="25"/>
        <v/>
      </c>
      <c r="BB24" s="179" t="str">
        <f t="shared" si="25"/>
        <v/>
      </c>
    </row>
    <row r="25">
      <c r="A25" s="193" t="s">
        <v>693</v>
      </c>
      <c r="B25" s="105" t="s">
        <v>694</v>
      </c>
      <c r="C25" s="105" t="s">
        <v>695</v>
      </c>
      <c r="D25" s="192">
        <v>7821.0</v>
      </c>
      <c r="E25" s="185">
        <v>1030.4</v>
      </c>
      <c r="F25" s="186">
        <v>45764.0</v>
      </c>
      <c r="G25" s="105" t="s">
        <v>664</v>
      </c>
      <c r="H25" s="83" t="s">
        <v>695</v>
      </c>
      <c r="I25" s="187" t="s">
        <v>150</v>
      </c>
      <c r="J25" s="188" t="b">
        <v>1</v>
      </c>
      <c r="K25" s="189">
        <f t="shared" si="3"/>
        <v>0</v>
      </c>
      <c r="L25" s="48" t="b">
        <f t="shared" si="4"/>
        <v>0</v>
      </c>
      <c r="M25" s="190">
        <f t="shared" si="5"/>
        <v>1</v>
      </c>
      <c r="N25" s="179" t="str">
        <f t="shared" ref="N25:BB25" si="26">IFERROR(IF(N$1=FALSE,, IF(IF(SEARCH(N$3,$I25,1)&gt;0,1,0)=1,$E25/$M25,)),"")</f>
        <v/>
      </c>
      <c r="O25" s="179" t="str">
        <f t="shared" si="26"/>
        <v/>
      </c>
      <c r="P25" s="179" t="str">
        <f t="shared" si="26"/>
        <v/>
      </c>
      <c r="Q25" s="179" t="str">
        <f t="shared" si="26"/>
        <v/>
      </c>
      <c r="R25" s="179" t="str">
        <f t="shared" si="26"/>
        <v/>
      </c>
      <c r="S25" s="179" t="str">
        <f t="shared" si="26"/>
        <v/>
      </c>
      <c r="T25" s="179" t="str">
        <f t="shared" si="26"/>
        <v/>
      </c>
      <c r="U25" s="179" t="str">
        <f t="shared" si="26"/>
        <v/>
      </c>
      <c r="V25" s="179" t="str">
        <f t="shared" si="26"/>
        <v/>
      </c>
      <c r="W25" s="179" t="str">
        <f t="shared" si="26"/>
        <v/>
      </c>
      <c r="X25" s="179" t="str">
        <f t="shared" si="26"/>
        <v/>
      </c>
      <c r="Y25" s="179" t="str">
        <f t="shared" si="26"/>
        <v/>
      </c>
      <c r="Z25" s="179" t="str">
        <f t="shared" si="26"/>
        <v/>
      </c>
      <c r="AA25" s="179" t="str">
        <f t="shared" si="26"/>
        <v/>
      </c>
      <c r="AB25" s="179" t="str">
        <f t="shared" si="26"/>
        <v/>
      </c>
      <c r="AC25" s="179" t="str">
        <f t="shared" si="26"/>
        <v/>
      </c>
      <c r="AD25" s="179" t="str">
        <f t="shared" si="26"/>
        <v/>
      </c>
      <c r="AE25" s="179" t="str">
        <f t="shared" si="26"/>
        <v/>
      </c>
      <c r="AF25" s="179" t="str">
        <f t="shared" si="26"/>
        <v/>
      </c>
      <c r="AG25" s="179" t="str">
        <f t="shared" si="26"/>
        <v/>
      </c>
      <c r="AH25" s="179" t="str">
        <f t="shared" si="26"/>
        <v/>
      </c>
      <c r="AI25" s="179" t="str">
        <f t="shared" si="26"/>
        <v/>
      </c>
      <c r="AJ25" s="179" t="str">
        <f t="shared" si="26"/>
        <v/>
      </c>
      <c r="AK25" s="179" t="str">
        <f t="shared" si="26"/>
        <v/>
      </c>
      <c r="AL25" s="179" t="str">
        <f t="shared" si="26"/>
        <v/>
      </c>
      <c r="AM25" s="179" t="str">
        <f t="shared" si="26"/>
        <v/>
      </c>
      <c r="AN25" s="179" t="str">
        <f t="shared" si="26"/>
        <v/>
      </c>
      <c r="AO25" s="179" t="str">
        <f t="shared" si="26"/>
        <v/>
      </c>
      <c r="AP25" s="179" t="str">
        <f t="shared" si="26"/>
        <v/>
      </c>
      <c r="AQ25" s="179" t="str">
        <f t="shared" si="26"/>
        <v/>
      </c>
      <c r="AR25" s="179" t="str">
        <f t="shared" si="26"/>
        <v/>
      </c>
      <c r="AS25" s="179" t="str">
        <f t="shared" si="26"/>
        <v/>
      </c>
      <c r="AT25" s="179" t="str">
        <f t="shared" si="26"/>
        <v/>
      </c>
      <c r="AU25" s="179" t="str">
        <f t="shared" si="26"/>
        <v/>
      </c>
      <c r="AV25" s="179" t="str">
        <f t="shared" si="26"/>
        <v/>
      </c>
      <c r="AW25" s="179" t="str">
        <f t="shared" si="26"/>
        <v/>
      </c>
      <c r="AX25" s="179" t="str">
        <f t="shared" si="26"/>
        <v/>
      </c>
      <c r="AY25" s="179" t="str">
        <f t="shared" si="26"/>
        <v/>
      </c>
      <c r="AZ25" s="179" t="str">
        <f t="shared" si="26"/>
        <v/>
      </c>
      <c r="BA25" s="179" t="str">
        <f t="shared" si="26"/>
        <v/>
      </c>
      <c r="BB25" s="179" t="str">
        <f t="shared" si="26"/>
        <v/>
      </c>
    </row>
    <row r="26">
      <c r="A26" s="193" t="s">
        <v>661</v>
      </c>
      <c r="B26" s="105" t="s">
        <v>662</v>
      </c>
      <c r="C26" s="105" t="s">
        <v>666</v>
      </c>
      <c r="D26" s="192">
        <v>120328.0</v>
      </c>
      <c r="E26" s="185">
        <v>1087.52</v>
      </c>
      <c r="F26" s="186">
        <v>45751.0</v>
      </c>
      <c r="G26" s="105" t="s">
        <v>664</v>
      </c>
      <c r="H26" s="83" t="s">
        <v>666</v>
      </c>
      <c r="I26" s="187" t="s">
        <v>130</v>
      </c>
      <c r="J26" s="188" t="b">
        <v>1</v>
      </c>
      <c r="K26" s="189">
        <f t="shared" si="3"/>
        <v>1087.52</v>
      </c>
      <c r="L26" s="48" t="b">
        <f t="shared" si="4"/>
        <v>1</v>
      </c>
      <c r="M26" s="190">
        <f t="shared" si="5"/>
        <v>1</v>
      </c>
      <c r="N26" s="179" t="str">
        <f t="shared" ref="N26:BB26" si="27">IFERROR(IF(N$1=FALSE,, IF(IF(SEARCH(N$3,$I26,1)&gt;0,1,0)=1,$E26/$M26,)),"")</f>
        <v/>
      </c>
      <c r="O26" s="179" t="str">
        <f t="shared" si="27"/>
        <v/>
      </c>
      <c r="P26" s="179" t="str">
        <f t="shared" si="27"/>
        <v/>
      </c>
      <c r="Q26" s="179" t="str">
        <f t="shared" si="27"/>
        <v/>
      </c>
      <c r="R26" s="179" t="str">
        <f t="shared" si="27"/>
        <v/>
      </c>
      <c r="S26" s="179" t="str">
        <f t="shared" si="27"/>
        <v/>
      </c>
      <c r="T26" s="179" t="str">
        <f t="shared" si="27"/>
        <v/>
      </c>
      <c r="U26" s="179" t="str">
        <f t="shared" si="27"/>
        <v/>
      </c>
      <c r="V26" s="179" t="str">
        <f t="shared" si="27"/>
        <v/>
      </c>
      <c r="W26" s="179" t="str">
        <f t="shared" si="27"/>
        <v/>
      </c>
      <c r="X26" s="179">
        <f t="shared" si="27"/>
        <v>1087.52</v>
      </c>
      <c r="Y26" s="179" t="str">
        <f t="shared" si="27"/>
        <v/>
      </c>
      <c r="Z26" s="179" t="str">
        <f t="shared" si="27"/>
        <v/>
      </c>
      <c r="AA26" s="179" t="str">
        <f t="shared" si="27"/>
        <v/>
      </c>
      <c r="AB26" s="179" t="str">
        <f t="shared" si="27"/>
        <v/>
      </c>
      <c r="AC26" s="179" t="str">
        <f t="shared" si="27"/>
        <v/>
      </c>
      <c r="AD26" s="179" t="str">
        <f t="shared" si="27"/>
        <v/>
      </c>
      <c r="AE26" s="179" t="str">
        <f t="shared" si="27"/>
        <v/>
      </c>
      <c r="AF26" s="179" t="str">
        <f t="shared" si="27"/>
        <v/>
      </c>
      <c r="AG26" s="179" t="str">
        <f t="shared" si="27"/>
        <v/>
      </c>
      <c r="AH26" s="179" t="str">
        <f t="shared" si="27"/>
        <v/>
      </c>
      <c r="AI26" s="179" t="str">
        <f t="shared" si="27"/>
        <v/>
      </c>
      <c r="AJ26" s="179" t="str">
        <f t="shared" si="27"/>
        <v/>
      </c>
      <c r="AK26" s="179" t="str">
        <f t="shared" si="27"/>
        <v/>
      </c>
      <c r="AL26" s="179" t="str">
        <f t="shared" si="27"/>
        <v/>
      </c>
      <c r="AM26" s="179" t="str">
        <f t="shared" si="27"/>
        <v/>
      </c>
      <c r="AN26" s="179" t="str">
        <f t="shared" si="27"/>
        <v/>
      </c>
      <c r="AO26" s="179" t="str">
        <f t="shared" si="27"/>
        <v/>
      </c>
      <c r="AP26" s="179" t="str">
        <f t="shared" si="27"/>
        <v/>
      </c>
      <c r="AQ26" s="179" t="str">
        <f t="shared" si="27"/>
        <v/>
      </c>
      <c r="AR26" s="179" t="str">
        <f t="shared" si="27"/>
        <v/>
      </c>
      <c r="AS26" s="179" t="str">
        <f t="shared" si="27"/>
        <v/>
      </c>
      <c r="AT26" s="179" t="str">
        <f t="shared" si="27"/>
        <v/>
      </c>
      <c r="AU26" s="179" t="str">
        <f t="shared" si="27"/>
        <v/>
      </c>
      <c r="AV26" s="179" t="str">
        <f t="shared" si="27"/>
        <v/>
      </c>
      <c r="AW26" s="179" t="str">
        <f t="shared" si="27"/>
        <v/>
      </c>
      <c r="AX26" s="179" t="str">
        <f t="shared" si="27"/>
        <v/>
      </c>
      <c r="AY26" s="179" t="str">
        <f t="shared" si="27"/>
        <v/>
      </c>
      <c r="AZ26" s="179" t="str">
        <f t="shared" si="27"/>
        <v/>
      </c>
      <c r="BA26" s="179" t="str">
        <f t="shared" si="27"/>
        <v/>
      </c>
      <c r="BB26" s="179" t="str">
        <f t="shared" si="27"/>
        <v/>
      </c>
    </row>
    <row r="27">
      <c r="A27" s="193" t="s">
        <v>673</v>
      </c>
      <c r="B27" s="105" t="s">
        <v>674</v>
      </c>
      <c r="C27" s="105" t="s">
        <v>696</v>
      </c>
      <c r="D27" s="192">
        <v>2990.0</v>
      </c>
      <c r="E27" s="185">
        <v>261.5</v>
      </c>
      <c r="F27" s="186">
        <v>45769.0</v>
      </c>
      <c r="G27" s="105" t="s">
        <v>664</v>
      </c>
      <c r="H27" s="83" t="s">
        <v>696</v>
      </c>
      <c r="I27" s="187" t="s">
        <v>697</v>
      </c>
      <c r="J27" s="188" t="b">
        <v>1</v>
      </c>
      <c r="K27" s="189">
        <f t="shared" si="3"/>
        <v>261.5</v>
      </c>
      <c r="L27" s="48" t="b">
        <f t="shared" si="4"/>
        <v>1</v>
      </c>
      <c r="M27" s="190">
        <f t="shared" si="5"/>
        <v>2</v>
      </c>
      <c r="N27" s="179" t="str">
        <f t="shared" ref="N27:BB27" si="28">IFERROR(IF(N$1=FALSE,, IF(IF(SEARCH(N$3,$I27,1)&gt;0,1,0)=1,$E27/$M27,)),"")</f>
        <v/>
      </c>
      <c r="O27" s="179" t="str">
        <f t="shared" si="28"/>
        <v/>
      </c>
      <c r="P27" s="179" t="str">
        <f t="shared" si="28"/>
        <v/>
      </c>
      <c r="Q27" s="179" t="str">
        <f t="shared" si="28"/>
        <v/>
      </c>
      <c r="R27" s="179" t="str">
        <f t="shared" si="28"/>
        <v/>
      </c>
      <c r="S27" s="179" t="str">
        <f t="shared" si="28"/>
        <v/>
      </c>
      <c r="T27" s="179" t="str">
        <f t="shared" si="28"/>
        <v/>
      </c>
      <c r="U27" s="179">
        <f t="shared" si="28"/>
        <v>130.75</v>
      </c>
      <c r="V27" s="179" t="str">
        <f t="shared" si="28"/>
        <v/>
      </c>
      <c r="W27" s="179" t="str">
        <f t="shared" si="28"/>
        <v/>
      </c>
      <c r="X27" s="179">
        <f t="shared" si="28"/>
        <v>130.75</v>
      </c>
      <c r="Y27" s="179" t="str">
        <f t="shared" si="28"/>
        <v/>
      </c>
      <c r="Z27" s="179" t="str">
        <f t="shared" si="28"/>
        <v/>
      </c>
      <c r="AA27" s="179" t="str">
        <f t="shared" si="28"/>
        <v/>
      </c>
      <c r="AB27" s="179" t="str">
        <f t="shared" si="28"/>
        <v/>
      </c>
      <c r="AC27" s="179" t="str">
        <f t="shared" si="28"/>
        <v/>
      </c>
      <c r="AD27" s="179" t="str">
        <f t="shared" si="28"/>
        <v/>
      </c>
      <c r="AE27" s="179" t="str">
        <f t="shared" si="28"/>
        <v/>
      </c>
      <c r="AF27" s="179" t="str">
        <f t="shared" si="28"/>
        <v/>
      </c>
      <c r="AG27" s="179" t="str">
        <f t="shared" si="28"/>
        <v/>
      </c>
      <c r="AH27" s="179" t="str">
        <f t="shared" si="28"/>
        <v/>
      </c>
      <c r="AI27" s="179" t="str">
        <f t="shared" si="28"/>
        <v/>
      </c>
      <c r="AJ27" s="179" t="str">
        <f t="shared" si="28"/>
        <v/>
      </c>
      <c r="AK27" s="179" t="str">
        <f t="shared" si="28"/>
        <v/>
      </c>
      <c r="AL27" s="179" t="str">
        <f t="shared" si="28"/>
        <v/>
      </c>
      <c r="AM27" s="179" t="str">
        <f t="shared" si="28"/>
        <v/>
      </c>
      <c r="AN27" s="179" t="str">
        <f t="shared" si="28"/>
        <v/>
      </c>
      <c r="AO27" s="179" t="str">
        <f t="shared" si="28"/>
        <v/>
      </c>
      <c r="AP27" s="179" t="str">
        <f t="shared" si="28"/>
        <v/>
      </c>
      <c r="AQ27" s="179" t="str">
        <f t="shared" si="28"/>
        <v/>
      </c>
      <c r="AR27" s="179" t="str">
        <f t="shared" si="28"/>
        <v/>
      </c>
      <c r="AS27" s="179" t="str">
        <f t="shared" si="28"/>
        <v/>
      </c>
      <c r="AT27" s="179" t="str">
        <f t="shared" si="28"/>
        <v/>
      </c>
      <c r="AU27" s="179" t="str">
        <f t="shared" si="28"/>
        <v/>
      </c>
      <c r="AV27" s="179" t="str">
        <f t="shared" si="28"/>
        <v/>
      </c>
      <c r="AW27" s="179" t="str">
        <f t="shared" si="28"/>
        <v/>
      </c>
      <c r="AX27" s="179" t="str">
        <f t="shared" si="28"/>
        <v/>
      </c>
      <c r="AY27" s="179" t="str">
        <f t="shared" si="28"/>
        <v/>
      </c>
      <c r="AZ27" s="179" t="str">
        <f t="shared" si="28"/>
        <v/>
      </c>
      <c r="BA27" s="179" t="str">
        <f t="shared" si="28"/>
        <v/>
      </c>
      <c r="BB27" s="179" t="str">
        <f t="shared" si="28"/>
        <v/>
      </c>
    </row>
    <row r="28">
      <c r="A28" s="193" t="s">
        <v>661</v>
      </c>
      <c r="B28" s="105" t="s">
        <v>662</v>
      </c>
      <c r="C28" s="105" t="s">
        <v>698</v>
      </c>
      <c r="D28" s="192">
        <v>121038.0</v>
      </c>
      <c r="E28" s="185">
        <v>179935.65</v>
      </c>
      <c r="F28" s="186">
        <v>45779.0</v>
      </c>
      <c r="G28" s="105" t="s">
        <v>664</v>
      </c>
      <c r="H28" s="83" t="s">
        <v>698</v>
      </c>
      <c r="I28" s="187" t="s">
        <v>699</v>
      </c>
      <c r="J28" s="188" t="b">
        <v>1</v>
      </c>
      <c r="K28" s="189">
        <f t="shared" si="3"/>
        <v>89967.825</v>
      </c>
      <c r="L28" s="48" t="b">
        <f t="shared" si="4"/>
        <v>0</v>
      </c>
      <c r="M28" s="190">
        <f t="shared" si="5"/>
        <v>2</v>
      </c>
      <c r="N28" s="179" t="str">
        <f t="shared" ref="N28:BB28" si="29">IFERROR(IF(N$1=FALSE,, IF(IF(SEARCH(N$3,$I28,1)&gt;0,1,0)=1,$E28/$M28,)),"")</f>
        <v/>
      </c>
      <c r="O28" s="179" t="str">
        <f t="shared" si="29"/>
        <v/>
      </c>
      <c r="P28" s="179" t="str">
        <f t="shared" si="29"/>
        <v/>
      </c>
      <c r="Q28" s="179" t="str">
        <f t="shared" si="29"/>
        <v/>
      </c>
      <c r="R28" s="179" t="str">
        <f t="shared" si="29"/>
        <v/>
      </c>
      <c r="S28" s="179" t="str">
        <f t="shared" si="29"/>
        <v/>
      </c>
      <c r="T28" s="179" t="str">
        <f t="shared" si="29"/>
        <v/>
      </c>
      <c r="U28" s="179" t="str">
        <f t="shared" si="29"/>
        <v/>
      </c>
      <c r="V28" s="179" t="str">
        <f t="shared" si="29"/>
        <v/>
      </c>
      <c r="W28" s="179" t="str">
        <f t="shared" si="29"/>
        <v/>
      </c>
      <c r="X28" s="179">
        <f t="shared" si="29"/>
        <v>89967.825</v>
      </c>
      <c r="Y28" s="179" t="str">
        <f t="shared" si="29"/>
        <v/>
      </c>
      <c r="Z28" s="179" t="str">
        <f t="shared" si="29"/>
        <v/>
      </c>
      <c r="AA28" s="179" t="str">
        <f t="shared" si="29"/>
        <v/>
      </c>
      <c r="AB28" s="179" t="str">
        <f t="shared" si="29"/>
        <v/>
      </c>
      <c r="AC28" s="179" t="str">
        <f t="shared" si="29"/>
        <v/>
      </c>
      <c r="AD28" s="179" t="str">
        <f t="shared" si="29"/>
        <v/>
      </c>
      <c r="AE28" s="179" t="str">
        <f t="shared" si="29"/>
        <v/>
      </c>
      <c r="AF28" s="179" t="str">
        <f t="shared" si="29"/>
        <v/>
      </c>
      <c r="AG28" s="179" t="str">
        <f t="shared" si="29"/>
        <v/>
      </c>
      <c r="AH28" s="179" t="str">
        <f t="shared" si="29"/>
        <v/>
      </c>
      <c r="AI28" s="179" t="str">
        <f t="shared" si="29"/>
        <v/>
      </c>
      <c r="AJ28" s="179" t="str">
        <f t="shared" si="29"/>
        <v/>
      </c>
      <c r="AK28" s="179" t="str">
        <f t="shared" si="29"/>
        <v/>
      </c>
      <c r="AL28" s="179" t="str">
        <f t="shared" si="29"/>
        <v/>
      </c>
      <c r="AM28" s="179" t="str">
        <f t="shared" si="29"/>
        <v/>
      </c>
      <c r="AN28" s="179" t="str">
        <f t="shared" si="29"/>
        <v/>
      </c>
      <c r="AO28" s="179" t="str">
        <f t="shared" si="29"/>
        <v/>
      </c>
      <c r="AP28" s="179" t="str">
        <f t="shared" si="29"/>
        <v/>
      </c>
      <c r="AQ28" s="179" t="str">
        <f t="shared" si="29"/>
        <v/>
      </c>
      <c r="AR28" s="179" t="str">
        <f t="shared" si="29"/>
        <v/>
      </c>
      <c r="AS28" s="179" t="str">
        <f t="shared" si="29"/>
        <v/>
      </c>
      <c r="AT28" s="179" t="str">
        <f t="shared" si="29"/>
        <v/>
      </c>
      <c r="AU28" s="179" t="str">
        <f t="shared" si="29"/>
        <v/>
      </c>
      <c r="AV28" s="179" t="str">
        <f t="shared" si="29"/>
        <v/>
      </c>
      <c r="AW28" s="179" t="str">
        <f t="shared" si="29"/>
        <v/>
      </c>
      <c r="AX28" s="179" t="str">
        <f t="shared" si="29"/>
        <v/>
      </c>
      <c r="AY28" s="179" t="str">
        <f t="shared" si="29"/>
        <v/>
      </c>
      <c r="AZ28" s="179" t="str">
        <f t="shared" si="29"/>
        <v/>
      </c>
      <c r="BA28" s="179" t="str">
        <f t="shared" si="29"/>
        <v/>
      </c>
      <c r="BB28" s="179" t="str">
        <f t="shared" si="29"/>
        <v/>
      </c>
    </row>
    <row r="29">
      <c r="A29" s="193" t="s">
        <v>673</v>
      </c>
      <c r="B29" s="105" t="s">
        <v>674</v>
      </c>
      <c r="C29" s="105" t="s">
        <v>696</v>
      </c>
      <c r="D29" s="192">
        <v>3128.0</v>
      </c>
      <c r="E29" s="185">
        <v>78.55</v>
      </c>
      <c r="F29" s="186">
        <v>45782.0</v>
      </c>
      <c r="G29" s="105" t="s">
        <v>664</v>
      </c>
      <c r="H29" s="83" t="s">
        <v>696</v>
      </c>
      <c r="I29" s="187" t="s">
        <v>700</v>
      </c>
      <c r="J29" s="188" t="b">
        <v>1</v>
      </c>
      <c r="K29" s="189">
        <f t="shared" si="3"/>
        <v>78.55</v>
      </c>
      <c r="L29" s="48" t="b">
        <f t="shared" si="4"/>
        <v>1</v>
      </c>
      <c r="M29" s="190">
        <f t="shared" si="5"/>
        <v>2</v>
      </c>
      <c r="N29" s="179">
        <f t="shared" ref="N29:BB29" si="30">IFERROR(IF(N$1=FALSE,, IF(IF(SEARCH(N$3,$I29,1)&gt;0,1,0)=1,$E29/$M29,)),"")</f>
        <v>39.275</v>
      </c>
      <c r="O29" s="179" t="str">
        <f t="shared" si="30"/>
        <v/>
      </c>
      <c r="P29" s="179" t="str">
        <f t="shared" si="30"/>
        <v/>
      </c>
      <c r="Q29" s="179" t="str">
        <f t="shared" si="30"/>
        <v/>
      </c>
      <c r="R29" s="179" t="str">
        <f t="shared" si="30"/>
        <v/>
      </c>
      <c r="S29" s="179" t="str">
        <f t="shared" si="30"/>
        <v/>
      </c>
      <c r="T29" s="179" t="str">
        <f t="shared" si="30"/>
        <v/>
      </c>
      <c r="U29" s="179" t="str">
        <f t="shared" si="30"/>
        <v/>
      </c>
      <c r="V29" s="179" t="str">
        <f t="shared" si="30"/>
        <v/>
      </c>
      <c r="W29" s="179">
        <f t="shared" si="30"/>
        <v>39.275</v>
      </c>
      <c r="X29" s="179" t="str">
        <f t="shared" si="30"/>
        <v/>
      </c>
      <c r="Y29" s="179" t="str">
        <f t="shared" si="30"/>
        <v/>
      </c>
      <c r="Z29" s="179" t="str">
        <f t="shared" si="30"/>
        <v/>
      </c>
      <c r="AA29" s="179" t="str">
        <f t="shared" si="30"/>
        <v/>
      </c>
      <c r="AB29" s="179" t="str">
        <f t="shared" si="30"/>
        <v/>
      </c>
      <c r="AC29" s="179" t="str">
        <f t="shared" si="30"/>
        <v/>
      </c>
      <c r="AD29" s="179" t="str">
        <f t="shared" si="30"/>
        <v/>
      </c>
      <c r="AE29" s="179" t="str">
        <f t="shared" si="30"/>
        <v/>
      </c>
      <c r="AF29" s="179" t="str">
        <f t="shared" si="30"/>
        <v/>
      </c>
      <c r="AG29" s="179" t="str">
        <f t="shared" si="30"/>
        <v/>
      </c>
      <c r="AH29" s="179" t="str">
        <f t="shared" si="30"/>
        <v/>
      </c>
      <c r="AI29" s="179" t="str">
        <f t="shared" si="30"/>
        <v/>
      </c>
      <c r="AJ29" s="179" t="str">
        <f t="shared" si="30"/>
        <v/>
      </c>
      <c r="AK29" s="179" t="str">
        <f t="shared" si="30"/>
        <v/>
      </c>
      <c r="AL29" s="179" t="str">
        <f t="shared" si="30"/>
        <v/>
      </c>
      <c r="AM29" s="179" t="str">
        <f t="shared" si="30"/>
        <v/>
      </c>
      <c r="AN29" s="179" t="str">
        <f t="shared" si="30"/>
        <v/>
      </c>
      <c r="AO29" s="179" t="str">
        <f t="shared" si="30"/>
        <v/>
      </c>
      <c r="AP29" s="179" t="str">
        <f t="shared" si="30"/>
        <v/>
      </c>
      <c r="AQ29" s="179" t="str">
        <f t="shared" si="30"/>
        <v/>
      </c>
      <c r="AR29" s="179" t="str">
        <f t="shared" si="30"/>
        <v/>
      </c>
      <c r="AS29" s="179" t="str">
        <f t="shared" si="30"/>
        <v/>
      </c>
      <c r="AT29" s="179" t="str">
        <f t="shared" si="30"/>
        <v/>
      </c>
      <c r="AU29" s="179" t="str">
        <f t="shared" si="30"/>
        <v/>
      </c>
      <c r="AV29" s="179" t="str">
        <f t="shared" si="30"/>
        <v/>
      </c>
      <c r="AW29" s="179" t="str">
        <f t="shared" si="30"/>
        <v/>
      </c>
      <c r="AX29" s="179" t="str">
        <f t="shared" si="30"/>
        <v/>
      </c>
      <c r="AY29" s="179" t="str">
        <f t="shared" si="30"/>
        <v/>
      </c>
      <c r="AZ29" s="179" t="str">
        <f t="shared" si="30"/>
        <v/>
      </c>
      <c r="BA29" s="179" t="str">
        <f t="shared" si="30"/>
        <v/>
      </c>
      <c r="BB29" s="179" t="str">
        <f t="shared" si="30"/>
        <v/>
      </c>
    </row>
    <row r="30">
      <c r="A30" s="193" t="s">
        <v>701</v>
      </c>
      <c r="B30" s="105" t="s">
        <v>702</v>
      </c>
      <c r="C30" s="105" t="s">
        <v>703</v>
      </c>
      <c r="D30" s="192">
        <v>1623.0</v>
      </c>
      <c r="E30" s="185">
        <v>1500.0</v>
      </c>
      <c r="F30" s="186">
        <v>45789.0</v>
      </c>
      <c r="G30" s="105" t="s">
        <v>664</v>
      </c>
      <c r="H30" s="83" t="s">
        <v>703</v>
      </c>
      <c r="I30" s="187" t="s">
        <v>184</v>
      </c>
      <c r="J30" s="188" t="b">
        <v>0</v>
      </c>
      <c r="K30" s="189">
        <f t="shared" si="3"/>
        <v>0</v>
      </c>
      <c r="L30" s="48" t="b">
        <f t="shared" si="4"/>
        <v>0</v>
      </c>
      <c r="M30" s="190">
        <f t="shared" si="5"/>
        <v>0</v>
      </c>
      <c r="N30" s="179" t="str">
        <f t="shared" ref="N30:BB30" si="31">IFERROR(IF(N$1=FALSE,, IF(IF(SEARCH(N$3,$I30,1)&gt;0,1,0)=1,$E30/$M30,)),"")</f>
        <v/>
      </c>
      <c r="O30" s="179" t="str">
        <f t="shared" si="31"/>
        <v/>
      </c>
      <c r="P30" s="179" t="str">
        <f t="shared" si="31"/>
        <v/>
      </c>
      <c r="Q30" s="179" t="str">
        <f t="shared" si="31"/>
        <v/>
      </c>
      <c r="R30" s="179" t="str">
        <f t="shared" si="31"/>
        <v/>
      </c>
      <c r="S30" s="179" t="str">
        <f t="shared" si="31"/>
        <v/>
      </c>
      <c r="T30" s="179" t="str">
        <f t="shared" si="31"/>
        <v/>
      </c>
      <c r="U30" s="179" t="str">
        <f t="shared" si="31"/>
        <v/>
      </c>
      <c r="V30" s="179" t="str">
        <f t="shared" si="31"/>
        <v/>
      </c>
      <c r="W30" s="179" t="str">
        <f t="shared" si="31"/>
        <v/>
      </c>
      <c r="X30" s="179" t="str">
        <f t="shared" si="31"/>
        <v/>
      </c>
      <c r="Y30" s="179" t="str">
        <f t="shared" si="31"/>
        <v/>
      </c>
      <c r="Z30" s="179" t="str">
        <f t="shared" si="31"/>
        <v/>
      </c>
      <c r="AA30" s="179" t="str">
        <f t="shared" si="31"/>
        <v/>
      </c>
      <c r="AB30" s="179" t="str">
        <f t="shared" si="31"/>
        <v/>
      </c>
      <c r="AC30" s="179" t="str">
        <f t="shared" si="31"/>
        <v/>
      </c>
      <c r="AD30" s="179" t="str">
        <f t="shared" si="31"/>
        <v/>
      </c>
      <c r="AE30" s="179" t="str">
        <f t="shared" si="31"/>
        <v/>
      </c>
      <c r="AF30" s="179" t="str">
        <f t="shared" si="31"/>
        <v/>
      </c>
      <c r="AG30" s="179" t="str">
        <f t="shared" si="31"/>
        <v/>
      </c>
      <c r="AH30" s="179" t="str">
        <f t="shared" si="31"/>
        <v/>
      </c>
      <c r="AI30" s="179" t="str">
        <f t="shared" si="31"/>
        <v/>
      </c>
      <c r="AJ30" s="179" t="str">
        <f t="shared" si="31"/>
        <v/>
      </c>
      <c r="AK30" s="179" t="str">
        <f t="shared" si="31"/>
        <v/>
      </c>
      <c r="AL30" s="179" t="str">
        <f t="shared" si="31"/>
        <v/>
      </c>
      <c r="AM30" s="179" t="str">
        <f t="shared" si="31"/>
        <v/>
      </c>
      <c r="AN30" s="179" t="str">
        <f t="shared" si="31"/>
        <v/>
      </c>
      <c r="AO30" s="179" t="str">
        <f t="shared" si="31"/>
        <v/>
      </c>
      <c r="AP30" s="179" t="str">
        <f t="shared" si="31"/>
        <v/>
      </c>
      <c r="AQ30" s="179" t="str">
        <f t="shared" si="31"/>
        <v/>
      </c>
      <c r="AR30" s="179" t="str">
        <f t="shared" si="31"/>
        <v/>
      </c>
      <c r="AS30" s="179" t="str">
        <f t="shared" si="31"/>
        <v/>
      </c>
      <c r="AT30" s="179" t="str">
        <f t="shared" si="31"/>
        <v/>
      </c>
      <c r="AU30" s="179" t="str">
        <f t="shared" si="31"/>
        <v/>
      </c>
      <c r="AV30" s="179" t="str">
        <f t="shared" si="31"/>
        <v/>
      </c>
      <c r="AW30" s="179" t="str">
        <f t="shared" si="31"/>
        <v/>
      </c>
      <c r="AX30" s="179" t="str">
        <f t="shared" si="31"/>
        <v/>
      </c>
      <c r="AY30" s="179" t="str">
        <f t="shared" si="31"/>
        <v/>
      </c>
      <c r="AZ30" s="179" t="str">
        <f t="shared" si="31"/>
        <v/>
      </c>
      <c r="BA30" s="179" t="str">
        <f t="shared" si="31"/>
        <v/>
      </c>
      <c r="BB30" s="179" t="str">
        <f t="shared" si="31"/>
        <v/>
      </c>
    </row>
    <row r="31">
      <c r="A31" s="193" t="s">
        <v>704</v>
      </c>
      <c r="B31" s="105" t="s">
        <v>705</v>
      </c>
      <c r="C31" s="105" t="s">
        <v>703</v>
      </c>
      <c r="D31" s="192">
        <v>94.0</v>
      </c>
      <c r="E31" s="185">
        <v>1500.0</v>
      </c>
      <c r="F31" s="186">
        <v>45791.0</v>
      </c>
      <c r="G31" s="105" t="s">
        <v>664</v>
      </c>
      <c r="H31" s="83" t="s">
        <v>703</v>
      </c>
      <c r="I31" s="187" t="s">
        <v>184</v>
      </c>
      <c r="J31" s="188" t="b">
        <v>0</v>
      </c>
      <c r="K31" s="189">
        <f t="shared" si="3"/>
        <v>0</v>
      </c>
      <c r="L31" s="48" t="b">
        <f t="shared" si="4"/>
        <v>0</v>
      </c>
      <c r="M31" s="190">
        <f t="shared" si="5"/>
        <v>0</v>
      </c>
      <c r="N31" s="179" t="str">
        <f t="shared" ref="N31:BB31" si="32">IFERROR(IF(N$1=FALSE,, IF(IF(SEARCH(N$3,$I31,1)&gt;0,1,0)=1,$E31/$M31,)),"")</f>
        <v/>
      </c>
      <c r="O31" s="179" t="str">
        <f t="shared" si="32"/>
        <v/>
      </c>
      <c r="P31" s="179" t="str">
        <f t="shared" si="32"/>
        <v/>
      </c>
      <c r="Q31" s="179" t="str">
        <f t="shared" si="32"/>
        <v/>
      </c>
      <c r="R31" s="179" t="str">
        <f t="shared" si="32"/>
        <v/>
      </c>
      <c r="S31" s="179" t="str">
        <f t="shared" si="32"/>
        <v/>
      </c>
      <c r="T31" s="179" t="str">
        <f t="shared" si="32"/>
        <v/>
      </c>
      <c r="U31" s="179" t="str">
        <f t="shared" si="32"/>
        <v/>
      </c>
      <c r="V31" s="179" t="str">
        <f t="shared" si="32"/>
        <v/>
      </c>
      <c r="W31" s="179" t="str">
        <f t="shared" si="32"/>
        <v/>
      </c>
      <c r="X31" s="179" t="str">
        <f t="shared" si="32"/>
        <v/>
      </c>
      <c r="Y31" s="179" t="str">
        <f t="shared" si="32"/>
        <v/>
      </c>
      <c r="Z31" s="179" t="str">
        <f t="shared" si="32"/>
        <v/>
      </c>
      <c r="AA31" s="179" t="str">
        <f t="shared" si="32"/>
        <v/>
      </c>
      <c r="AB31" s="179" t="str">
        <f t="shared" si="32"/>
        <v/>
      </c>
      <c r="AC31" s="179" t="str">
        <f t="shared" si="32"/>
        <v/>
      </c>
      <c r="AD31" s="179" t="str">
        <f t="shared" si="32"/>
        <v/>
      </c>
      <c r="AE31" s="179" t="str">
        <f t="shared" si="32"/>
        <v/>
      </c>
      <c r="AF31" s="179" t="str">
        <f t="shared" si="32"/>
        <v/>
      </c>
      <c r="AG31" s="179" t="str">
        <f t="shared" si="32"/>
        <v/>
      </c>
      <c r="AH31" s="179" t="str">
        <f t="shared" si="32"/>
        <v/>
      </c>
      <c r="AI31" s="179" t="str">
        <f t="shared" si="32"/>
        <v/>
      </c>
      <c r="AJ31" s="179" t="str">
        <f t="shared" si="32"/>
        <v/>
      </c>
      <c r="AK31" s="179" t="str">
        <f t="shared" si="32"/>
        <v/>
      </c>
      <c r="AL31" s="179" t="str">
        <f t="shared" si="32"/>
        <v/>
      </c>
      <c r="AM31" s="179" t="str">
        <f t="shared" si="32"/>
        <v/>
      </c>
      <c r="AN31" s="179" t="str">
        <f t="shared" si="32"/>
        <v/>
      </c>
      <c r="AO31" s="179" t="str">
        <f t="shared" si="32"/>
        <v/>
      </c>
      <c r="AP31" s="179" t="str">
        <f t="shared" si="32"/>
        <v/>
      </c>
      <c r="AQ31" s="179" t="str">
        <f t="shared" si="32"/>
        <v/>
      </c>
      <c r="AR31" s="179" t="str">
        <f t="shared" si="32"/>
        <v/>
      </c>
      <c r="AS31" s="179" t="str">
        <f t="shared" si="32"/>
        <v/>
      </c>
      <c r="AT31" s="179" t="str">
        <f t="shared" si="32"/>
        <v/>
      </c>
      <c r="AU31" s="179" t="str">
        <f t="shared" si="32"/>
        <v/>
      </c>
      <c r="AV31" s="179" t="str">
        <f t="shared" si="32"/>
        <v/>
      </c>
      <c r="AW31" s="179" t="str">
        <f t="shared" si="32"/>
        <v/>
      </c>
      <c r="AX31" s="179" t="str">
        <f t="shared" si="32"/>
        <v/>
      </c>
      <c r="AY31" s="179" t="str">
        <f t="shared" si="32"/>
        <v/>
      </c>
      <c r="AZ31" s="179" t="str">
        <f t="shared" si="32"/>
        <v/>
      </c>
      <c r="BA31" s="179" t="str">
        <f t="shared" si="32"/>
        <v/>
      </c>
      <c r="BB31" s="179" t="str">
        <f t="shared" si="32"/>
        <v/>
      </c>
    </row>
    <row r="32">
      <c r="A32" s="193" t="s">
        <v>706</v>
      </c>
      <c r="B32" s="105" t="s">
        <v>707</v>
      </c>
      <c r="C32" s="105" t="s">
        <v>708</v>
      </c>
      <c r="D32" s="192">
        <v>103974.0</v>
      </c>
      <c r="E32" s="185">
        <v>83.25</v>
      </c>
      <c r="F32" s="186">
        <v>45797.0</v>
      </c>
      <c r="G32" s="105" t="s">
        <v>664</v>
      </c>
      <c r="H32" s="83" t="s">
        <v>708</v>
      </c>
      <c r="I32" s="187" t="s">
        <v>98</v>
      </c>
      <c r="J32" s="188" t="b">
        <v>0</v>
      </c>
      <c r="K32" s="189">
        <f t="shared" si="3"/>
        <v>0</v>
      </c>
      <c r="L32" s="48" t="b">
        <f t="shared" si="4"/>
        <v>0</v>
      </c>
      <c r="M32" s="190">
        <f t="shared" si="5"/>
        <v>0</v>
      </c>
      <c r="N32" s="179" t="str">
        <f t="shared" ref="N32:BB32" si="33">IFERROR(IF(N$1=FALSE,, IF(IF(SEARCH(N$3,$I32,1)&gt;0,1,0)=1,$E32/$M32,)),"")</f>
        <v/>
      </c>
      <c r="O32" s="179" t="str">
        <f t="shared" si="33"/>
        <v/>
      </c>
      <c r="P32" s="179" t="str">
        <f t="shared" si="33"/>
        <v/>
      </c>
      <c r="Q32" s="179" t="str">
        <f t="shared" si="33"/>
        <v/>
      </c>
      <c r="R32" s="179" t="str">
        <f t="shared" si="33"/>
        <v/>
      </c>
      <c r="S32" s="179" t="str">
        <f t="shared" si="33"/>
        <v/>
      </c>
      <c r="T32" s="179" t="str">
        <f t="shared" si="33"/>
        <v/>
      </c>
      <c r="U32" s="179" t="str">
        <f t="shared" si="33"/>
        <v/>
      </c>
      <c r="V32" s="179" t="str">
        <f t="shared" si="33"/>
        <v/>
      </c>
      <c r="W32" s="179" t="str">
        <f t="shared" si="33"/>
        <v/>
      </c>
      <c r="X32" s="179" t="str">
        <f t="shared" si="33"/>
        <v/>
      </c>
      <c r="Y32" s="179" t="str">
        <f t="shared" si="33"/>
        <v/>
      </c>
      <c r="Z32" s="179" t="str">
        <f t="shared" si="33"/>
        <v/>
      </c>
      <c r="AA32" s="179" t="str">
        <f t="shared" si="33"/>
        <v/>
      </c>
      <c r="AB32" s="179" t="str">
        <f t="shared" si="33"/>
        <v/>
      </c>
      <c r="AC32" s="179" t="str">
        <f t="shared" si="33"/>
        <v/>
      </c>
      <c r="AD32" s="179" t="str">
        <f t="shared" si="33"/>
        <v/>
      </c>
      <c r="AE32" s="179" t="str">
        <f t="shared" si="33"/>
        <v/>
      </c>
      <c r="AF32" s="179" t="str">
        <f t="shared" si="33"/>
        <v/>
      </c>
      <c r="AG32" s="179" t="str">
        <f t="shared" si="33"/>
        <v/>
      </c>
      <c r="AH32" s="179" t="str">
        <f t="shared" si="33"/>
        <v/>
      </c>
      <c r="AI32" s="179" t="str">
        <f t="shared" si="33"/>
        <v/>
      </c>
      <c r="AJ32" s="179" t="str">
        <f t="shared" si="33"/>
        <v/>
      </c>
      <c r="AK32" s="179" t="str">
        <f t="shared" si="33"/>
        <v/>
      </c>
      <c r="AL32" s="179" t="str">
        <f t="shared" si="33"/>
        <v/>
      </c>
      <c r="AM32" s="179" t="str">
        <f t="shared" si="33"/>
        <v/>
      </c>
      <c r="AN32" s="179" t="str">
        <f t="shared" si="33"/>
        <v/>
      </c>
      <c r="AO32" s="179" t="str">
        <f t="shared" si="33"/>
        <v/>
      </c>
      <c r="AP32" s="179" t="str">
        <f t="shared" si="33"/>
        <v/>
      </c>
      <c r="AQ32" s="179" t="str">
        <f t="shared" si="33"/>
        <v/>
      </c>
      <c r="AR32" s="179" t="str">
        <f t="shared" si="33"/>
        <v/>
      </c>
      <c r="AS32" s="179" t="str">
        <f t="shared" si="33"/>
        <v/>
      </c>
      <c r="AT32" s="179" t="str">
        <f t="shared" si="33"/>
        <v/>
      </c>
      <c r="AU32" s="179" t="str">
        <f t="shared" si="33"/>
        <v/>
      </c>
      <c r="AV32" s="179" t="str">
        <f t="shared" si="33"/>
        <v/>
      </c>
      <c r="AW32" s="179" t="str">
        <f t="shared" si="33"/>
        <v/>
      </c>
      <c r="AX32" s="179" t="str">
        <f t="shared" si="33"/>
        <v/>
      </c>
      <c r="AY32" s="179" t="str">
        <f t="shared" si="33"/>
        <v/>
      </c>
      <c r="AZ32" s="179" t="str">
        <f t="shared" si="33"/>
        <v/>
      </c>
      <c r="BA32" s="179" t="str">
        <f t="shared" si="33"/>
        <v/>
      </c>
      <c r="BB32" s="179" t="str">
        <f t="shared" si="33"/>
        <v/>
      </c>
    </row>
    <row r="33">
      <c r="A33" s="193" t="s">
        <v>673</v>
      </c>
      <c r="B33" s="105" t="s">
        <v>674</v>
      </c>
      <c r="C33" s="105" t="s">
        <v>696</v>
      </c>
      <c r="D33" s="192">
        <v>3445.0</v>
      </c>
      <c r="E33" s="185">
        <v>326.5</v>
      </c>
      <c r="F33" s="186">
        <v>45797.0</v>
      </c>
      <c r="G33" s="105" t="s">
        <v>664</v>
      </c>
      <c r="H33" s="83" t="s">
        <v>696</v>
      </c>
      <c r="I33" s="187" t="s">
        <v>124</v>
      </c>
      <c r="J33" s="188" t="b">
        <v>1</v>
      </c>
      <c r="K33" s="189">
        <f t="shared" si="3"/>
        <v>326.5</v>
      </c>
      <c r="L33" s="48" t="b">
        <f t="shared" si="4"/>
        <v>1</v>
      </c>
      <c r="M33" s="190">
        <f t="shared" si="5"/>
        <v>1</v>
      </c>
      <c r="N33" s="179" t="str">
        <f t="shared" ref="N33:BB33" si="34">IFERROR(IF(N$1=FALSE,, IF(IF(SEARCH(N$3,$I33,1)&gt;0,1,0)=1,$E33/$M33,)),"")</f>
        <v/>
      </c>
      <c r="O33" s="179" t="str">
        <f t="shared" si="34"/>
        <v/>
      </c>
      <c r="P33" s="179" t="str">
        <f t="shared" si="34"/>
        <v/>
      </c>
      <c r="Q33" s="179" t="str">
        <f t="shared" si="34"/>
        <v/>
      </c>
      <c r="R33" s="179" t="str">
        <f t="shared" si="34"/>
        <v/>
      </c>
      <c r="S33" s="179" t="str">
        <f t="shared" si="34"/>
        <v/>
      </c>
      <c r="T33" s="179" t="str">
        <f t="shared" si="34"/>
        <v/>
      </c>
      <c r="U33" s="179" t="str">
        <f t="shared" si="34"/>
        <v/>
      </c>
      <c r="V33" s="179" t="str">
        <f t="shared" si="34"/>
        <v/>
      </c>
      <c r="W33" s="179">
        <f t="shared" si="34"/>
        <v>326.5</v>
      </c>
      <c r="X33" s="179" t="str">
        <f t="shared" si="34"/>
        <v/>
      </c>
      <c r="Y33" s="179" t="str">
        <f t="shared" si="34"/>
        <v/>
      </c>
      <c r="Z33" s="179" t="str">
        <f t="shared" si="34"/>
        <v/>
      </c>
      <c r="AA33" s="179" t="str">
        <f t="shared" si="34"/>
        <v/>
      </c>
      <c r="AB33" s="179" t="str">
        <f t="shared" si="34"/>
        <v/>
      </c>
      <c r="AC33" s="179" t="str">
        <f t="shared" si="34"/>
        <v/>
      </c>
      <c r="AD33" s="179" t="str">
        <f t="shared" si="34"/>
        <v/>
      </c>
      <c r="AE33" s="179" t="str">
        <f t="shared" si="34"/>
        <v/>
      </c>
      <c r="AF33" s="179" t="str">
        <f t="shared" si="34"/>
        <v/>
      </c>
      <c r="AG33" s="179" t="str">
        <f t="shared" si="34"/>
        <v/>
      </c>
      <c r="AH33" s="179" t="str">
        <f t="shared" si="34"/>
        <v/>
      </c>
      <c r="AI33" s="179" t="str">
        <f t="shared" si="34"/>
        <v/>
      </c>
      <c r="AJ33" s="179" t="str">
        <f t="shared" si="34"/>
        <v/>
      </c>
      <c r="AK33" s="179" t="str">
        <f t="shared" si="34"/>
        <v/>
      </c>
      <c r="AL33" s="179" t="str">
        <f t="shared" si="34"/>
        <v/>
      </c>
      <c r="AM33" s="179" t="str">
        <f t="shared" si="34"/>
        <v/>
      </c>
      <c r="AN33" s="179" t="str">
        <f t="shared" si="34"/>
        <v/>
      </c>
      <c r="AO33" s="179" t="str">
        <f t="shared" si="34"/>
        <v/>
      </c>
      <c r="AP33" s="179" t="str">
        <f t="shared" si="34"/>
        <v/>
      </c>
      <c r="AQ33" s="179" t="str">
        <f t="shared" si="34"/>
        <v/>
      </c>
      <c r="AR33" s="179" t="str">
        <f t="shared" si="34"/>
        <v/>
      </c>
      <c r="AS33" s="179" t="str">
        <f t="shared" si="34"/>
        <v/>
      </c>
      <c r="AT33" s="179" t="str">
        <f t="shared" si="34"/>
        <v/>
      </c>
      <c r="AU33" s="179" t="str">
        <f t="shared" si="34"/>
        <v/>
      </c>
      <c r="AV33" s="179" t="str">
        <f t="shared" si="34"/>
        <v/>
      </c>
      <c r="AW33" s="179" t="str">
        <f t="shared" si="34"/>
        <v/>
      </c>
      <c r="AX33" s="179" t="str">
        <f t="shared" si="34"/>
        <v/>
      </c>
      <c r="AY33" s="179" t="str">
        <f t="shared" si="34"/>
        <v/>
      </c>
      <c r="AZ33" s="179" t="str">
        <f t="shared" si="34"/>
        <v/>
      </c>
      <c r="BA33" s="179" t="str">
        <f t="shared" si="34"/>
        <v/>
      </c>
      <c r="BB33" s="179" t="str">
        <f t="shared" si="34"/>
        <v/>
      </c>
    </row>
    <row r="34">
      <c r="A34" s="193" t="s">
        <v>661</v>
      </c>
      <c r="B34" s="105" t="s">
        <v>662</v>
      </c>
      <c r="C34" s="105" t="s">
        <v>698</v>
      </c>
      <c r="D34" s="192">
        <v>121781.0</v>
      </c>
      <c r="E34" s="185">
        <v>56729.04</v>
      </c>
      <c r="F34" s="186">
        <v>45798.0</v>
      </c>
      <c r="G34" s="105" t="s">
        <v>664</v>
      </c>
      <c r="H34" s="83" t="s">
        <v>698</v>
      </c>
      <c r="I34" s="187" t="s">
        <v>124</v>
      </c>
      <c r="J34" s="188" t="b">
        <v>1</v>
      </c>
      <c r="K34" s="189">
        <f t="shared" si="3"/>
        <v>56729.04</v>
      </c>
      <c r="L34" s="48" t="b">
        <f t="shared" si="4"/>
        <v>1</v>
      </c>
      <c r="M34" s="190">
        <f t="shared" si="5"/>
        <v>1</v>
      </c>
      <c r="N34" s="179" t="str">
        <f t="shared" ref="N34:BB34" si="35">IFERROR(IF(N$1=FALSE,, IF(IF(SEARCH(N$3,$I34,1)&gt;0,1,0)=1,$E34/$M34,)),"")</f>
        <v/>
      </c>
      <c r="O34" s="179" t="str">
        <f t="shared" si="35"/>
        <v/>
      </c>
      <c r="P34" s="179" t="str">
        <f t="shared" si="35"/>
        <v/>
      </c>
      <c r="Q34" s="179" t="str">
        <f t="shared" si="35"/>
        <v/>
      </c>
      <c r="R34" s="179" t="str">
        <f t="shared" si="35"/>
        <v/>
      </c>
      <c r="S34" s="179" t="str">
        <f t="shared" si="35"/>
        <v/>
      </c>
      <c r="T34" s="179" t="str">
        <f t="shared" si="35"/>
        <v/>
      </c>
      <c r="U34" s="179" t="str">
        <f t="shared" si="35"/>
        <v/>
      </c>
      <c r="V34" s="179" t="str">
        <f t="shared" si="35"/>
        <v/>
      </c>
      <c r="W34" s="179">
        <f t="shared" si="35"/>
        <v>56729.04</v>
      </c>
      <c r="X34" s="179" t="str">
        <f t="shared" si="35"/>
        <v/>
      </c>
      <c r="Y34" s="179" t="str">
        <f t="shared" si="35"/>
        <v/>
      </c>
      <c r="Z34" s="179" t="str">
        <f t="shared" si="35"/>
        <v/>
      </c>
      <c r="AA34" s="179" t="str">
        <f t="shared" si="35"/>
        <v/>
      </c>
      <c r="AB34" s="179" t="str">
        <f t="shared" si="35"/>
        <v/>
      </c>
      <c r="AC34" s="179" t="str">
        <f t="shared" si="35"/>
        <v/>
      </c>
      <c r="AD34" s="179" t="str">
        <f t="shared" si="35"/>
        <v/>
      </c>
      <c r="AE34" s="179" t="str">
        <f t="shared" si="35"/>
        <v/>
      </c>
      <c r="AF34" s="179" t="str">
        <f t="shared" si="35"/>
        <v/>
      </c>
      <c r="AG34" s="179" t="str">
        <f t="shared" si="35"/>
        <v/>
      </c>
      <c r="AH34" s="179" t="str">
        <f t="shared" si="35"/>
        <v/>
      </c>
      <c r="AI34" s="179" t="str">
        <f t="shared" si="35"/>
        <v/>
      </c>
      <c r="AJ34" s="179" t="str">
        <f t="shared" si="35"/>
        <v/>
      </c>
      <c r="AK34" s="179" t="str">
        <f t="shared" si="35"/>
        <v/>
      </c>
      <c r="AL34" s="179" t="str">
        <f t="shared" si="35"/>
        <v/>
      </c>
      <c r="AM34" s="179" t="str">
        <f t="shared" si="35"/>
        <v/>
      </c>
      <c r="AN34" s="179" t="str">
        <f t="shared" si="35"/>
        <v/>
      </c>
      <c r="AO34" s="179" t="str">
        <f t="shared" si="35"/>
        <v/>
      </c>
      <c r="AP34" s="179" t="str">
        <f t="shared" si="35"/>
        <v/>
      </c>
      <c r="AQ34" s="179" t="str">
        <f t="shared" si="35"/>
        <v/>
      </c>
      <c r="AR34" s="179" t="str">
        <f t="shared" si="35"/>
        <v/>
      </c>
      <c r="AS34" s="179" t="str">
        <f t="shared" si="35"/>
        <v/>
      </c>
      <c r="AT34" s="179" t="str">
        <f t="shared" si="35"/>
        <v/>
      </c>
      <c r="AU34" s="179" t="str">
        <f t="shared" si="35"/>
        <v/>
      </c>
      <c r="AV34" s="179" t="str">
        <f t="shared" si="35"/>
        <v/>
      </c>
      <c r="AW34" s="179" t="str">
        <f t="shared" si="35"/>
        <v/>
      </c>
      <c r="AX34" s="179" t="str">
        <f t="shared" si="35"/>
        <v/>
      </c>
      <c r="AY34" s="179" t="str">
        <f t="shared" si="35"/>
        <v/>
      </c>
      <c r="AZ34" s="179" t="str">
        <f t="shared" si="35"/>
        <v/>
      </c>
      <c r="BA34" s="179" t="str">
        <f t="shared" si="35"/>
        <v/>
      </c>
      <c r="BB34" s="179" t="str">
        <f t="shared" si="35"/>
        <v/>
      </c>
    </row>
    <row r="35">
      <c r="A35" s="193" t="s">
        <v>661</v>
      </c>
      <c r="B35" s="105" t="s">
        <v>662</v>
      </c>
      <c r="C35" s="105" t="s">
        <v>698</v>
      </c>
      <c r="D35" s="192">
        <v>121899.0</v>
      </c>
      <c r="E35" s="185">
        <v>22937.46</v>
      </c>
      <c r="F35" s="186">
        <v>45804.0</v>
      </c>
      <c r="G35" s="105" t="s">
        <v>664</v>
      </c>
      <c r="H35" s="83" t="s">
        <v>698</v>
      </c>
      <c r="I35" s="187" t="s">
        <v>92</v>
      </c>
      <c r="J35" s="188" t="b">
        <v>1</v>
      </c>
      <c r="K35" s="189">
        <f t="shared" si="3"/>
        <v>22937.46</v>
      </c>
      <c r="L35" s="48" t="b">
        <f t="shared" si="4"/>
        <v>1</v>
      </c>
      <c r="M35" s="190">
        <f t="shared" si="5"/>
        <v>1</v>
      </c>
      <c r="N35" s="179">
        <f t="shared" ref="N35:BB35" si="36">IFERROR(IF(N$1=FALSE,, IF(IF(SEARCH(N$3,$I35,1)&gt;0,1,0)=1,$E35/$M35,)),"")</f>
        <v>22937.46</v>
      </c>
      <c r="O35" s="179" t="str">
        <f t="shared" si="36"/>
        <v/>
      </c>
      <c r="P35" s="179" t="str">
        <f t="shared" si="36"/>
        <v/>
      </c>
      <c r="Q35" s="179" t="str">
        <f t="shared" si="36"/>
        <v/>
      </c>
      <c r="R35" s="179" t="str">
        <f t="shared" si="36"/>
        <v/>
      </c>
      <c r="S35" s="179" t="str">
        <f t="shared" si="36"/>
        <v/>
      </c>
      <c r="T35" s="179" t="str">
        <f t="shared" si="36"/>
        <v/>
      </c>
      <c r="U35" s="179" t="str">
        <f t="shared" si="36"/>
        <v/>
      </c>
      <c r="V35" s="179" t="str">
        <f t="shared" si="36"/>
        <v/>
      </c>
      <c r="W35" s="179" t="str">
        <f t="shared" si="36"/>
        <v/>
      </c>
      <c r="X35" s="179" t="str">
        <f t="shared" si="36"/>
        <v/>
      </c>
      <c r="Y35" s="179" t="str">
        <f t="shared" si="36"/>
        <v/>
      </c>
      <c r="Z35" s="179" t="str">
        <f t="shared" si="36"/>
        <v/>
      </c>
      <c r="AA35" s="179" t="str">
        <f t="shared" si="36"/>
        <v/>
      </c>
      <c r="AB35" s="179" t="str">
        <f t="shared" si="36"/>
        <v/>
      </c>
      <c r="AC35" s="179" t="str">
        <f t="shared" si="36"/>
        <v/>
      </c>
      <c r="AD35" s="179" t="str">
        <f t="shared" si="36"/>
        <v/>
      </c>
      <c r="AE35" s="179" t="str">
        <f t="shared" si="36"/>
        <v/>
      </c>
      <c r="AF35" s="179" t="str">
        <f t="shared" si="36"/>
        <v/>
      </c>
      <c r="AG35" s="179" t="str">
        <f t="shared" si="36"/>
        <v/>
      </c>
      <c r="AH35" s="179" t="str">
        <f t="shared" si="36"/>
        <v/>
      </c>
      <c r="AI35" s="179" t="str">
        <f t="shared" si="36"/>
        <v/>
      </c>
      <c r="AJ35" s="179" t="str">
        <f t="shared" si="36"/>
        <v/>
      </c>
      <c r="AK35" s="179" t="str">
        <f t="shared" si="36"/>
        <v/>
      </c>
      <c r="AL35" s="179" t="str">
        <f t="shared" si="36"/>
        <v/>
      </c>
      <c r="AM35" s="179" t="str">
        <f t="shared" si="36"/>
        <v/>
      </c>
      <c r="AN35" s="179" t="str">
        <f t="shared" si="36"/>
        <v/>
      </c>
      <c r="AO35" s="179" t="str">
        <f t="shared" si="36"/>
        <v/>
      </c>
      <c r="AP35" s="179" t="str">
        <f t="shared" si="36"/>
        <v/>
      </c>
      <c r="AQ35" s="179" t="str">
        <f t="shared" si="36"/>
        <v/>
      </c>
      <c r="AR35" s="179" t="str">
        <f t="shared" si="36"/>
        <v/>
      </c>
      <c r="AS35" s="179" t="str">
        <f t="shared" si="36"/>
        <v/>
      </c>
      <c r="AT35" s="179" t="str">
        <f t="shared" si="36"/>
        <v/>
      </c>
      <c r="AU35" s="179" t="str">
        <f t="shared" si="36"/>
        <v/>
      </c>
      <c r="AV35" s="179" t="str">
        <f t="shared" si="36"/>
        <v/>
      </c>
      <c r="AW35" s="179" t="str">
        <f t="shared" si="36"/>
        <v/>
      </c>
      <c r="AX35" s="179" t="str">
        <f t="shared" si="36"/>
        <v/>
      </c>
      <c r="AY35" s="179" t="str">
        <f t="shared" si="36"/>
        <v/>
      </c>
      <c r="AZ35" s="179" t="str">
        <f t="shared" si="36"/>
        <v/>
      </c>
      <c r="BA35" s="179" t="str">
        <f t="shared" si="36"/>
        <v/>
      </c>
      <c r="BB35" s="179" t="str">
        <f t="shared" si="36"/>
        <v/>
      </c>
    </row>
    <row r="36">
      <c r="A36" s="193" t="s">
        <v>676</v>
      </c>
      <c r="B36" s="105" t="s">
        <v>677</v>
      </c>
      <c r="C36" s="105" t="s">
        <v>709</v>
      </c>
      <c r="D36" s="192">
        <v>161002.0</v>
      </c>
      <c r="E36" s="185">
        <v>8013.0</v>
      </c>
      <c r="F36" s="186">
        <v>45811.0</v>
      </c>
      <c r="G36" s="105" t="s">
        <v>664</v>
      </c>
      <c r="H36" s="83" t="s">
        <v>709</v>
      </c>
      <c r="I36" s="187" t="s">
        <v>130</v>
      </c>
      <c r="J36" s="188" t="b">
        <v>1</v>
      </c>
      <c r="K36" s="189">
        <f t="shared" si="3"/>
        <v>8013</v>
      </c>
      <c r="L36" s="48" t="b">
        <f t="shared" si="4"/>
        <v>1</v>
      </c>
      <c r="M36" s="190">
        <f t="shared" si="5"/>
        <v>1</v>
      </c>
      <c r="N36" s="179" t="str">
        <f t="shared" ref="N36:BB36" si="37">IFERROR(IF(N$1=FALSE,, IF(IF(SEARCH(N$3,$I36,1)&gt;0,1,0)=1,$E36/$M36,)),"")</f>
        <v/>
      </c>
      <c r="O36" s="179" t="str">
        <f t="shared" si="37"/>
        <v/>
      </c>
      <c r="P36" s="179" t="str">
        <f t="shared" si="37"/>
        <v/>
      </c>
      <c r="Q36" s="179" t="str">
        <f t="shared" si="37"/>
        <v/>
      </c>
      <c r="R36" s="179" t="str">
        <f t="shared" si="37"/>
        <v/>
      </c>
      <c r="S36" s="179" t="str">
        <f t="shared" si="37"/>
        <v/>
      </c>
      <c r="T36" s="179" t="str">
        <f t="shared" si="37"/>
        <v/>
      </c>
      <c r="U36" s="179" t="str">
        <f t="shared" si="37"/>
        <v/>
      </c>
      <c r="V36" s="179" t="str">
        <f t="shared" si="37"/>
        <v/>
      </c>
      <c r="W36" s="179" t="str">
        <f t="shared" si="37"/>
        <v/>
      </c>
      <c r="X36" s="179">
        <f t="shared" si="37"/>
        <v>8013</v>
      </c>
      <c r="Y36" s="179" t="str">
        <f t="shared" si="37"/>
        <v/>
      </c>
      <c r="Z36" s="179" t="str">
        <f t="shared" si="37"/>
        <v/>
      </c>
      <c r="AA36" s="179" t="str">
        <f t="shared" si="37"/>
        <v/>
      </c>
      <c r="AB36" s="179" t="str">
        <f t="shared" si="37"/>
        <v/>
      </c>
      <c r="AC36" s="179" t="str">
        <f t="shared" si="37"/>
        <v/>
      </c>
      <c r="AD36" s="179" t="str">
        <f t="shared" si="37"/>
        <v/>
      </c>
      <c r="AE36" s="179" t="str">
        <f t="shared" si="37"/>
        <v/>
      </c>
      <c r="AF36" s="179" t="str">
        <f t="shared" si="37"/>
        <v/>
      </c>
      <c r="AG36" s="179" t="str">
        <f t="shared" si="37"/>
        <v/>
      </c>
      <c r="AH36" s="179" t="str">
        <f t="shared" si="37"/>
        <v/>
      </c>
      <c r="AI36" s="179" t="str">
        <f t="shared" si="37"/>
        <v/>
      </c>
      <c r="AJ36" s="179" t="str">
        <f t="shared" si="37"/>
        <v/>
      </c>
      <c r="AK36" s="179" t="str">
        <f t="shared" si="37"/>
        <v/>
      </c>
      <c r="AL36" s="179" t="str">
        <f t="shared" si="37"/>
        <v/>
      </c>
      <c r="AM36" s="179" t="str">
        <f t="shared" si="37"/>
        <v/>
      </c>
      <c r="AN36" s="179" t="str">
        <f t="shared" si="37"/>
        <v/>
      </c>
      <c r="AO36" s="179" t="str">
        <f t="shared" si="37"/>
        <v/>
      </c>
      <c r="AP36" s="179" t="str">
        <f t="shared" si="37"/>
        <v/>
      </c>
      <c r="AQ36" s="179" t="str">
        <f t="shared" si="37"/>
        <v/>
      </c>
      <c r="AR36" s="179" t="str">
        <f t="shared" si="37"/>
        <v/>
      </c>
      <c r="AS36" s="179" t="str">
        <f t="shared" si="37"/>
        <v/>
      </c>
      <c r="AT36" s="179" t="str">
        <f t="shared" si="37"/>
        <v/>
      </c>
      <c r="AU36" s="179" t="str">
        <f t="shared" si="37"/>
        <v/>
      </c>
      <c r="AV36" s="179" t="str">
        <f t="shared" si="37"/>
        <v/>
      </c>
      <c r="AW36" s="179" t="str">
        <f t="shared" si="37"/>
        <v/>
      </c>
      <c r="AX36" s="179" t="str">
        <f t="shared" si="37"/>
        <v/>
      </c>
      <c r="AY36" s="179" t="str">
        <f t="shared" si="37"/>
        <v/>
      </c>
      <c r="AZ36" s="179" t="str">
        <f t="shared" si="37"/>
        <v/>
      </c>
      <c r="BA36" s="179" t="str">
        <f t="shared" si="37"/>
        <v/>
      </c>
      <c r="BB36" s="179" t="str">
        <f t="shared" si="37"/>
        <v/>
      </c>
    </row>
    <row r="37">
      <c r="A37" s="193" t="s">
        <v>673</v>
      </c>
      <c r="B37" s="105" t="s">
        <v>674</v>
      </c>
      <c r="C37" s="105" t="s">
        <v>710</v>
      </c>
      <c r="D37" s="192">
        <v>3522.0</v>
      </c>
      <c r="E37" s="185">
        <v>214.74</v>
      </c>
      <c r="F37" s="186">
        <v>45811.0</v>
      </c>
      <c r="G37" s="105" t="s">
        <v>664</v>
      </c>
      <c r="H37" s="83" t="s">
        <v>710</v>
      </c>
      <c r="I37" s="187" t="s">
        <v>711</v>
      </c>
      <c r="J37" s="188" t="b">
        <v>1</v>
      </c>
      <c r="K37" s="189">
        <f t="shared" si="3"/>
        <v>107.37</v>
      </c>
      <c r="L37" s="48" t="b">
        <f t="shared" si="4"/>
        <v>0</v>
      </c>
      <c r="M37" s="190">
        <f t="shared" si="5"/>
        <v>2</v>
      </c>
      <c r="N37" s="179">
        <f t="shared" ref="N37:BB37" si="38">IFERROR(IF(N$1=FALSE,, IF(IF(SEARCH(N$3,$I37,1)&gt;0,1,0)=1,$E37/$M37,)),"")</f>
        <v>107.37</v>
      </c>
      <c r="O37" s="179" t="str">
        <f t="shared" si="38"/>
        <v/>
      </c>
      <c r="P37" s="179" t="str">
        <f t="shared" si="38"/>
        <v/>
      </c>
      <c r="Q37" s="179" t="str">
        <f t="shared" si="38"/>
        <v/>
      </c>
      <c r="R37" s="179" t="str">
        <f t="shared" si="38"/>
        <v/>
      </c>
      <c r="S37" s="179" t="str">
        <f t="shared" si="38"/>
        <v/>
      </c>
      <c r="T37" s="179" t="str">
        <f t="shared" si="38"/>
        <v/>
      </c>
      <c r="U37" s="179" t="str">
        <f t="shared" si="38"/>
        <v/>
      </c>
      <c r="V37" s="179" t="str">
        <f t="shared" si="38"/>
        <v/>
      </c>
      <c r="W37" s="179" t="str">
        <f t="shared" si="38"/>
        <v/>
      </c>
      <c r="X37" s="179" t="str">
        <f t="shared" si="38"/>
        <v/>
      </c>
      <c r="Y37" s="179" t="str">
        <f t="shared" si="38"/>
        <v/>
      </c>
      <c r="Z37" s="179" t="str">
        <f t="shared" si="38"/>
        <v/>
      </c>
      <c r="AA37" s="179" t="str">
        <f t="shared" si="38"/>
        <v/>
      </c>
      <c r="AB37" s="179" t="str">
        <f t="shared" si="38"/>
        <v/>
      </c>
      <c r="AC37" s="179" t="str">
        <f t="shared" si="38"/>
        <v/>
      </c>
      <c r="AD37" s="179" t="str">
        <f t="shared" si="38"/>
        <v/>
      </c>
      <c r="AE37" s="179" t="str">
        <f t="shared" si="38"/>
        <v/>
      </c>
      <c r="AF37" s="179" t="str">
        <f t="shared" si="38"/>
        <v/>
      </c>
      <c r="AG37" s="179" t="str">
        <f t="shared" si="38"/>
        <v/>
      </c>
      <c r="AH37" s="179" t="str">
        <f t="shared" si="38"/>
        <v/>
      </c>
      <c r="AI37" s="179" t="str">
        <f t="shared" si="38"/>
        <v/>
      </c>
      <c r="AJ37" s="179" t="str">
        <f t="shared" si="38"/>
        <v/>
      </c>
      <c r="AK37" s="179" t="str">
        <f t="shared" si="38"/>
        <v/>
      </c>
      <c r="AL37" s="179" t="str">
        <f t="shared" si="38"/>
        <v/>
      </c>
      <c r="AM37" s="179" t="str">
        <f t="shared" si="38"/>
        <v/>
      </c>
      <c r="AN37" s="179" t="str">
        <f t="shared" si="38"/>
        <v/>
      </c>
      <c r="AO37" s="179" t="str">
        <f t="shared" si="38"/>
        <v/>
      </c>
      <c r="AP37" s="179" t="str">
        <f t="shared" si="38"/>
        <v/>
      </c>
      <c r="AQ37" s="179" t="str">
        <f t="shared" si="38"/>
        <v/>
      </c>
      <c r="AR37" s="179" t="str">
        <f t="shared" si="38"/>
        <v/>
      </c>
      <c r="AS37" s="179" t="str">
        <f t="shared" si="38"/>
        <v/>
      </c>
      <c r="AT37" s="179" t="str">
        <f t="shared" si="38"/>
        <v/>
      </c>
      <c r="AU37" s="179" t="str">
        <f t="shared" si="38"/>
        <v/>
      </c>
      <c r="AV37" s="179" t="str">
        <f t="shared" si="38"/>
        <v/>
      </c>
      <c r="AW37" s="179" t="str">
        <f t="shared" si="38"/>
        <v/>
      </c>
      <c r="AX37" s="179" t="str">
        <f t="shared" si="38"/>
        <v/>
      </c>
      <c r="AY37" s="179" t="str">
        <f t="shared" si="38"/>
        <v/>
      </c>
      <c r="AZ37" s="179" t="str">
        <f t="shared" si="38"/>
        <v/>
      </c>
      <c r="BA37" s="179" t="str">
        <f t="shared" si="38"/>
        <v/>
      </c>
      <c r="BB37" s="179" t="str">
        <f t="shared" si="38"/>
        <v/>
      </c>
    </row>
    <row r="38">
      <c r="A38" s="193" t="s">
        <v>661</v>
      </c>
      <c r="B38" s="105" t="s">
        <v>662</v>
      </c>
      <c r="C38" s="105" t="s">
        <v>712</v>
      </c>
      <c r="D38" s="192">
        <v>122164.0</v>
      </c>
      <c r="E38" s="185">
        <v>274.88</v>
      </c>
      <c r="F38" s="186">
        <v>45814.0</v>
      </c>
      <c r="G38" s="105" t="s">
        <v>664</v>
      </c>
      <c r="H38" s="83" t="s">
        <v>712</v>
      </c>
      <c r="I38" s="187" t="s">
        <v>293</v>
      </c>
      <c r="J38" s="188" t="b">
        <v>1</v>
      </c>
      <c r="K38" s="189">
        <f t="shared" si="3"/>
        <v>0</v>
      </c>
      <c r="L38" s="48" t="b">
        <f t="shared" si="4"/>
        <v>0</v>
      </c>
      <c r="M38" s="190">
        <f t="shared" si="5"/>
        <v>1</v>
      </c>
      <c r="N38" s="179" t="str">
        <f t="shared" ref="N38:BB38" si="39">IFERROR(IF(N$1=FALSE,, IF(IF(SEARCH(N$3,$I38,1)&gt;0,1,0)=1,$E38/$M38,)),"")</f>
        <v/>
      </c>
      <c r="O38" s="179" t="str">
        <f t="shared" si="39"/>
        <v/>
      </c>
      <c r="P38" s="179" t="str">
        <f t="shared" si="39"/>
        <v/>
      </c>
      <c r="Q38" s="179" t="str">
        <f t="shared" si="39"/>
        <v/>
      </c>
      <c r="R38" s="179" t="str">
        <f t="shared" si="39"/>
        <v/>
      </c>
      <c r="S38" s="179" t="str">
        <f t="shared" si="39"/>
        <v/>
      </c>
      <c r="T38" s="179" t="str">
        <f t="shared" si="39"/>
        <v/>
      </c>
      <c r="U38" s="179" t="str">
        <f t="shared" si="39"/>
        <v/>
      </c>
      <c r="V38" s="179" t="str">
        <f t="shared" si="39"/>
        <v/>
      </c>
      <c r="W38" s="179" t="str">
        <f t="shared" si="39"/>
        <v/>
      </c>
      <c r="X38" s="179" t="str">
        <f t="shared" si="39"/>
        <v/>
      </c>
      <c r="Y38" s="179" t="str">
        <f t="shared" si="39"/>
        <v/>
      </c>
      <c r="Z38" s="179" t="str">
        <f t="shared" si="39"/>
        <v/>
      </c>
      <c r="AA38" s="179" t="str">
        <f t="shared" si="39"/>
        <v/>
      </c>
      <c r="AB38" s="179" t="str">
        <f t="shared" si="39"/>
        <v/>
      </c>
      <c r="AC38" s="179" t="str">
        <f t="shared" si="39"/>
        <v/>
      </c>
      <c r="AD38" s="179" t="str">
        <f t="shared" si="39"/>
        <v/>
      </c>
      <c r="AE38" s="179" t="str">
        <f t="shared" si="39"/>
        <v/>
      </c>
      <c r="AF38" s="179" t="str">
        <f t="shared" si="39"/>
        <v/>
      </c>
      <c r="AG38" s="179" t="str">
        <f t="shared" si="39"/>
        <v/>
      </c>
      <c r="AH38" s="179" t="str">
        <f t="shared" si="39"/>
        <v/>
      </c>
      <c r="AI38" s="179" t="str">
        <f t="shared" si="39"/>
        <v/>
      </c>
      <c r="AJ38" s="179" t="str">
        <f t="shared" si="39"/>
        <v/>
      </c>
      <c r="AK38" s="179" t="str">
        <f t="shared" si="39"/>
        <v/>
      </c>
      <c r="AL38" s="179" t="str">
        <f t="shared" si="39"/>
        <v/>
      </c>
      <c r="AM38" s="179" t="str">
        <f t="shared" si="39"/>
        <v/>
      </c>
      <c r="AN38" s="179" t="str">
        <f t="shared" si="39"/>
        <v/>
      </c>
      <c r="AO38" s="179" t="str">
        <f t="shared" si="39"/>
        <v/>
      </c>
      <c r="AP38" s="179" t="str">
        <f t="shared" si="39"/>
        <v/>
      </c>
      <c r="AQ38" s="179" t="str">
        <f t="shared" si="39"/>
        <v/>
      </c>
      <c r="AR38" s="179" t="str">
        <f t="shared" si="39"/>
        <v/>
      </c>
      <c r="AS38" s="179" t="str">
        <f t="shared" si="39"/>
        <v/>
      </c>
      <c r="AT38" s="179" t="str">
        <f t="shared" si="39"/>
        <v/>
      </c>
      <c r="AU38" s="179" t="str">
        <f t="shared" si="39"/>
        <v/>
      </c>
      <c r="AV38" s="179" t="str">
        <f t="shared" si="39"/>
        <v/>
      </c>
      <c r="AW38" s="179" t="str">
        <f t="shared" si="39"/>
        <v/>
      </c>
      <c r="AX38" s="179" t="str">
        <f t="shared" si="39"/>
        <v/>
      </c>
      <c r="AY38" s="179" t="str">
        <f t="shared" si="39"/>
        <v/>
      </c>
      <c r="AZ38" s="179" t="str">
        <f t="shared" si="39"/>
        <v/>
      </c>
      <c r="BA38" s="179" t="str">
        <f t="shared" si="39"/>
        <v/>
      </c>
      <c r="BB38" s="179" t="str">
        <f t="shared" si="39"/>
        <v/>
      </c>
    </row>
    <row r="39">
      <c r="A39" s="193" t="s">
        <v>676</v>
      </c>
      <c r="B39" s="105" t="s">
        <v>677</v>
      </c>
      <c r="C39" s="105" t="s">
        <v>709</v>
      </c>
      <c r="D39" s="192">
        <v>161555.0</v>
      </c>
      <c r="E39" s="185">
        <v>1013.0</v>
      </c>
      <c r="F39" s="186">
        <v>45826.0</v>
      </c>
      <c r="G39" s="105" t="s">
        <v>664</v>
      </c>
      <c r="H39" s="83" t="s">
        <v>709</v>
      </c>
      <c r="I39" s="187" t="s">
        <v>92</v>
      </c>
      <c r="J39" s="188" t="b">
        <v>1</v>
      </c>
      <c r="K39" s="189">
        <f t="shared" si="3"/>
        <v>1013</v>
      </c>
      <c r="L39" s="48" t="b">
        <f t="shared" si="4"/>
        <v>1</v>
      </c>
      <c r="M39" s="190">
        <f t="shared" si="5"/>
        <v>1</v>
      </c>
      <c r="N39" s="179">
        <f t="shared" ref="N39:BB39" si="40">IFERROR(IF(N$1=FALSE,, IF(IF(SEARCH(N$3,$I39,1)&gt;0,1,0)=1,$E39/$M39,)),"")</f>
        <v>1013</v>
      </c>
      <c r="O39" s="179" t="str">
        <f t="shared" si="40"/>
        <v/>
      </c>
      <c r="P39" s="179" t="str">
        <f t="shared" si="40"/>
        <v/>
      </c>
      <c r="Q39" s="179" t="str">
        <f t="shared" si="40"/>
        <v/>
      </c>
      <c r="R39" s="179" t="str">
        <f t="shared" si="40"/>
        <v/>
      </c>
      <c r="S39" s="179" t="str">
        <f t="shared" si="40"/>
        <v/>
      </c>
      <c r="T39" s="179" t="str">
        <f t="shared" si="40"/>
        <v/>
      </c>
      <c r="U39" s="179" t="str">
        <f t="shared" si="40"/>
        <v/>
      </c>
      <c r="V39" s="179" t="str">
        <f t="shared" si="40"/>
        <v/>
      </c>
      <c r="W39" s="179" t="str">
        <f t="shared" si="40"/>
        <v/>
      </c>
      <c r="X39" s="179" t="str">
        <f t="shared" si="40"/>
        <v/>
      </c>
      <c r="Y39" s="179" t="str">
        <f t="shared" si="40"/>
        <v/>
      </c>
      <c r="Z39" s="179" t="str">
        <f t="shared" si="40"/>
        <v/>
      </c>
      <c r="AA39" s="179" t="str">
        <f t="shared" si="40"/>
        <v/>
      </c>
      <c r="AB39" s="179" t="str">
        <f t="shared" si="40"/>
        <v/>
      </c>
      <c r="AC39" s="179" t="str">
        <f t="shared" si="40"/>
        <v/>
      </c>
      <c r="AD39" s="179" t="str">
        <f t="shared" si="40"/>
        <v/>
      </c>
      <c r="AE39" s="179" t="str">
        <f t="shared" si="40"/>
        <v/>
      </c>
      <c r="AF39" s="179" t="str">
        <f t="shared" si="40"/>
        <v/>
      </c>
      <c r="AG39" s="179" t="str">
        <f t="shared" si="40"/>
        <v/>
      </c>
      <c r="AH39" s="179" t="str">
        <f t="shared" si="40"/>
        <v/>
      </c>
      <c r="AI39" s="179" t="str">
        <f t="shared" si="40"/>
        <v/>
      </c>
      <c r="AJ39" s="179" t="str">
        <f t="shared" si="40"/>
        <v/>
      </c>
      <c r="AK39" s="179" t="str">
        <f t="shared" si="40"/>
        <v/>
      </c>
      <c r="AL39" s="179" t="str">
        <f t="shared" si="40"/>
        <v/>
      </c>
      <c r="AM39" s="179" t="str">
        <f t="shared" si="40"/>
        <v/>
      </c>
      <c r="AN39" s="179" t="str">
        <f t="shared" si="40"/>
        <v/>
      </c>
      <c r="AO39" s="179" t="str">
        <f t="shared" si="40"/>
        <v/>
      </c>
      <c r="AP39" s="179" t="str">
        <f t="shared" si="40"/>
        <v/>
      </c>
      <c r="AQ39" s="179" t="str">
        <f t="shared" si="40"/>
        <v/>
      </c>
      <c r="AR39" s="179" t="str">
        <f t="shared" si="40"/>
        <v/>
      </c>
      <c r="AS39" s="179" t="str">
        <f t="shared" si="40"/>
        <v/>
      </c>
      <c r="AT39" s="179" t="str">
        <f t="shared" si="40"/>
        <v/>
      </c>
      <c r="AU39" s="179" t="str">
        <f t="shared" si="40"/>
        <v/>
      </c>
      <c r="AV39" s="179" t="str">
        <f t="shared" si="40"/>
        <v/>
      </c>
      <c r="AW39" s="179" t="str">
        <f t="shared" si="40"/>
        <v/>
      </c>
      <c r="AX39" s="179" t="str">
        <f t="shared" si="40"/>
        <v/>
      </c>
      <c r="AY39" s="179" t="str">
        <f t="shared" si="40"/>
        <v/>
      </c>
      <c r="AZ39" s="179" t="str">
        <f t="shared" si="40"/>
        <v/>
      </c>
      <c r="BA39" s="179" t="str">
        <f t="shared" si="40"/>
        <v/>
      </c>
      <c r="BB39" s="179" t="str">
        <f t="shared" si="40"/>
        <v/>
      </c>
    </row>
    <row r="40">
      <c r="A40" s="193" t="s">
        <v>661</v>
      </c>
      <c r="B40" s="105" t="s">
        <v>662</v>
      </c>
      <c r="C40" s="105" t="s">
        <v>713</v>
      </c>
      <c r="D40" s="192">
        <v>122354.0</v>
      </c>
      <c r="E40" s="185">
        <v>55.52</v>
      </c>
      <c r="F40" s="186">
        <v>45826.0</v>
      </c>
      <c r="G40" s="105" t="s">
        <v>664</v>
      </c>
      <c r="H40" s="83" t="s">
        <v>713</v>
      </c>
      <c r="I40" s="187" t="s">
        <v>124</v>
      </c>
      <c r="J40" s="188" t="b">
        <v>1</v>
      </c>
      <c r="K40" s="189">
        <f t="shared" si="3"/>
        <v>55.52</v>
      </c>
      <c r="L40" s="48" t="b">
        <f t="shared" si="4"/>
        <v>1</v>
      </c>
      <c r="M40" s="190">
        <f t="shared" si="5"/>
        <v>1</v>
      </c>
      <c r="N40" s="179" t="str">
        <f t="shared" ref="N40:BB40" si="41">IFERROR(IF(N$1=FALSE,, IF(IF(SEARCH(N$3,$I40,1)&gt;0,1,0)=1,$E40/$M40,)),"")</f>
        <v/>
      </c>
      <c r="O40" s="179" t="str">
        <f t="shared" si="41"/>
        <v/>
      </c>
      <c r="P40" s="179" t="str">
        <f t="shared" si="41"/>
        <v/>
      </c>
      <c r="Q40" s="179" t="str">
        <f t="shared" si="41"/>
        <v/>
      </c>
      <c r="R40" s="179" t="str">
        <f t="shared" si="41"/>
        <v/>
      </c>
      <c r="S40" s="179" t="str">
        <f t="shared" si="41"/>
        <v/>
      </c>
      <c r="T40" s="179" t="str">
        <f t="shared" si="41"/>
        <v/>
      </c>
      <c r="U40" s="179" t="str">
        <f t="shared" si="41"/>
        <v/>
      </c>
      <c r="V40" s="179" t="str">
        <f t="shared" si="41"/>
        <v/>
      </c>
      <c r="W40" s="179">
        <f t="shared" si="41"/>
        <v>55.52</v>
      </c>
      <c r="X40" s="179" t="str">
        <f t="shared" si="41"/>
        <v/>
      </c>
      <c r="Y40" s="179" t="str">
        <f t="shared" si="41"/>
        <v/>
      </c>
      <c r="Z40" s="179" t="str">
        <f t="shared" si="41"/>
        <v/>
      </c>
      <c r="AA40" s="179" t="str">
        <f t="shared" si="41"/>
        <v/>
      </c>
      <c r="AB40" s="179" t="str">
        <f t="shared" si="41"/>
        <v/>
      </c>
      <c r="AC40" s="179" t="str">
        <f t="shared" si="41"/>
        <v/>
      </c>
      <c r="AD40" s="179" t="str">
        <f t="shared" si="41"/>
        <v/>
      </c>
      <c r="AE40" s="179" t="str">
        <f t="shared" si="41"/>
        <v/>
      </c>
      <c r="AF40" s="179" t="str">
        <f t="shared" si="41"/>
        <v/>
      </c>
      <c r="AG40" s="179" t="str">
        <f t="shared" si="41"/>
        <v/>
      </c>
      <c r="AH40" s="179" t="str">
        <f t="shared" si="41"/>
        <v/>
      </c>
      <c r="AI40" s="179" t="str">
        <f t="shared" si="41"/>
        <v/>
      </c>
      <c r="AJ40" s="179" t="str">
        <f t="shared" si="41"/>
        <v/>
      </c>
      <c r="AK40" s="179" t="str">
        <f t="shared" si="41"/>
        <v/>
      </c>
      <c r="AL40" s="179" t="str">
        <f t="shared" si="41"/>
        <v/>
      </c>
      <c r="AM40" s="179" t="str">
        <f t="shared" si="41"/>
        <v/>
      </c>
      <c r="AN40" s="179" t="str">
        <f t="shared" si="41"/>
        <v/>
      </c>
      <c r="AO40" s="179" t="str">
        <f t="shared" si="41"/>
        <v/>
      </c>
      <c r="AP40" s="179" t="str">
        <f t="shared" si="41"/>
        <v/>
      </c>
      <c r="AQ40" s="179" t="str">
        <f t="shared" si="41"/>
        <v/>
      </c>
      <c r="AR40" s="179" t="str">
        <f t="shared" si="41"/>
        <v/>
      </c>
      <c r="AS40" s="179" t="str">
        <f t="shared" si="41"/>
        <v/>
      </c>
      <c r="AT40" s="179" t="str">
        <f t="shared" si="41"/>
        <v/>
      </c>
      <c r="AU40" s="179" t="str">
        <f t="shared" si="41"/>
        <v/>
      </c>
      <c r="AV40" s="179" t="str">
        <f t="shared" si="41"/>
        <v/>
      </c>
      <c r="AW40" s="179" t="str">
        <f t="shared" si="41"/>
        <v/>
      </c>
      <c r="AX40" s="179" t="str">
        <f t="shared" si="41"/>
        <v/>
      </c>
      <c r="AY40" s="179" t="str">
        <f t="shared" si="41"/>
        <v/>
      </c>
      <c r="AZ40" s="179" t="str">
        <f t="shared" si="41"/>
        <v/>
      </c>
      <c r="BA40" s="179" t="str">
        <f t="shared" si="41"/>
        <v/>
      </c>
      <c r="BB40" s="179" t="str">
        <f t="shared" si="41"/>
        <v/>
      </c>
    </row>
    <row r="41">
      <c r="A41" s="193" t="s">
        <v>661</v>
      </c>
      <c r="B41" s="105" t="s">
        <v>662</v>
      </c>
      <c r="C41" s="105" t="s">
        <v>714</v>
      </c>
      <c r="D41" s="192">
        <v>122626.0</v>
      </c>
      <c r="E41" s="185">
        <v>1664.05</v>
      </c>
      <c r="F41" s="186">
        <v>45828.0</v>
      </c>
      <c r="G41" s="105" t="s">
        <v>664</v>
      </c>
      <c r="H41" s="83" t="s">
        <v>714</v>
      </c>
      <c r="I41" s="187" t="s">
        <v>124</v>
      </c>
      <c r="J41" s="188" t="b">
        <v>1</v>
      </c>
      <c r="K41" s="189">
        <f t="shared" si="3"/>
        <v>1664.05</v>
      </c>
      <c r="L41" s="48" t="b">
        <f t="shared" si="4"/>
        <v>1</v>
      </c>
      <c r="M41" s="190">
        <f t="shared" si="5"/>
        <v>1</v>
      </c>
      <c r="N41" s="179" t="str">
        <f t="shared" ref="N41:BB41" si="42">IFERROR(IF(N$1=FALSE,, IF(IF(SEARCH(N$3,$I41,1)&gt;0,1,0)=1,$E41/$M41,)),"")</f>
        <v/>
      </c>
      <c r="O41" s="179" t="str">
        <f t="shared" si="42"/>
        <v/>
      </c>
      <c r="P41" s="179" t="str">
        <f t="shared" si="42"/>
        <v/>
      </c>
      <c r="Q41" s="179" t="str">
        <f t="shared" si="42"/>
        <v/>
      </c>
      <c r="R41" s="179" t="str">
        <f t="shared" si="42"/>
        <v/>
      </c>
      <c r="S41" s="179" t="str">
        <f t="shared" si="42"/>
        <v/>
      </c>
      <c r="T41" s="179" t="str">
        <f t="shared" si="42"/>
        <v/>
      </c>
      <c r="U41" s="179" t="str">
        <f t="shared" si="42"/>
        <v/>
      </c>
      <c r="V41" s="179" t="str">
        <f t="shared" si="42"/>
        <v/>
      </c>
      <c r="W41" s="179">
        <f t="shared" si="42"/>
        <v>1664.05</v>
      </c>
      <c r="X41" s="179" t="str">
        <f t="shared" si="42"/>
        <v/>
      </c>
      <c r="Y41" s="179" t="str">
        <f t="shared" si="42"/>
        <v/>
      </c>
      <c r="Z41" s="179" t="str">
        <f t="shared" si="42"/>
        <v/>
      </c>
      <c r="AA41" s="179" t="str">
        <f t="shared" si="42"/>
        <v/>
      </c>
      <c r="AB41" s="179" t="str">
        <f t="shared" si="42"/>
        <v/>
      </c>
      <c r="AC41" s="179" t="str">
        <f t="shared" si="42"/>
        <v/>
      </c>
      <c r="AD41" s="179" t="str">
        <f t="shared" si="42"/>
        <v/>
      </c>
      <c r="AE41" s="179" t="str">
        <f t="shared" si="42"/>
        <v/>
      </c>
      <c r="AF41" s="179" t="str">
        <f t="shared" si="42"/>
        <v/>
      </c>
      <c r="AG41" s="179" t="str">
        <f t="shared" si="42"/>
        <v/>
      </c>
      <c r="AH41" s="179" t="str">
        <f t="shared" si="42"/>
        <v/>
      </c>
      <c r="AI41" s="179" t="str">
        <f t="shared" si="42"/>
        <v/>
      </c>
      <c r="AJ41" s="179" t="str">
        <f t="shared" si="42"/>
        <v/>
      </c>
      <c r="AK41" s="179" t="str">
        <f t="shared" si="42"/>
        <v/>
      </c>
      <c r="AL41" s="179" t="str">
        <f t="shared" si="42"/>
        <v/>
      </c>
      <c r="AM41" s="179" t="str">
        <f t="shared" si="42"/>
        <v/>
      </c>
      <c r="AN41" s="179" t="str">
        <f t="shared" si="42"/>
        <v/>
      </c>
      <c r="AO41" s="179" t="str">
        <f t="shared" si="42"/>
        <v/>
      </c>
      <c r="AP41" s="179" t="str">
        <f t="shared" si="42"/>
        <v/>
      </c>
      <c r="AQ41" s="179" t="str">
        <f t="shared" si="42"/>
        <v/>
      </c>
      <c r="AR41" s="179" t="str">
        <f t="shared" si="42"/>
        <v/>
      </c>
      <c r="AS41" s="179" t="str">
        <f t="shared" si="42"/>
        <v/>
      </c>
      <c r="AT41" s="179" t="str">
        <f t="shared" si="42"/>
        <v/>
      </c>
      <c r="AU41" s="179" t="str">
        <f t="shared" si="42"/>
        <v/>
      </c>
      <c r="AV41" s="179" t="str">
        <f t="shared" si="42"/>
        <v/>
      </c>
      <c r="AW41" s="179" t="str">
        <f t="shared" si="42"/>
        <v/>
      </c>
      <c r="AX41" s="179" t="str">
        <f t="shared" si="42"/>
        <v/>
      </c>
      <c r="AY41" s="179" t="str">
        <f t="shared" si="42"/>
        <v/>
      </c>
      <c r="AZ41" s="179" t="str">
        <f t="shared" si="42"/>
        <v/>
      </c>
      <c r="BA41" s="179" t="str">
        <f t="shared" si="42"/>
        <v/>
      </c>
      <c r="BB41" s="179" t="str">
        <f t="shared" si="42"/>
        <v/>
      </c>
    </row>
    <row r="42">
      <c r="A42" s="193" t="s">
        <v>661</v>
      </c>
      <c r="B42" s="105" t="s">
        <v>662</v>
      </c>
      <c r="C42" s="105" t="s">
        <v>715</v>
      </c>
      <c r="D42" s="192">
        <v>1227664.0</v>
      </c>
      <c r="E42" s="185">
        <v>87214.39</v>
      </c>
      <c r="F42" s="186">
        <v>45834.0</v>
      </c>
      <c r="G42" s="105" t="s">
        <v>664</v>
      </c>
      <c r="H42" s="83" t="s">
        <v>715</v>
      </c>
      <c r="I42" s="187" t="s">
        <v>716</v>
      </c>
      <c r="J42" s="188" t="b">
        <v>1</v>
      </c>
      <c r="K42" s="189">
        <f t="shared" si="3"/>
        <v>58142.92667</v>
      </c>
      <c r="L42" s="48" t="b">
        <f t="shared" si="4"/>
        <v>0</v>
      </c>
      <c r="M42" s="190">
        <f t="shared" si="5"/>
        <v>3</v>
      </c>
      <c r="N42" s="179">
        <f t="shared" ref="N42:BB42" si="43">IFERROR(IF(N$1=FALSE,, IF(IF(SEARCH(N$3,$I42,1)&gt;0,1,0)=1,$E42/$M42,)),"")</f>
        <v>29071.46333</v>
      </c>
      <c r="O42" s="179" t="str">
        <f t="shared" si="43"/>
        <v/>
      </c>
      <c r="P42" s="179" t="str">
        <f t="shared" si="43"/>
        <v/>
      </c>
      <c r="Q42" s="179" t="str">
        <f t="shared" si="43"/>
        <v/>
      </c>
      <c r="R42" s="179" t="str">
        <f t="shared" si="43"/>
        <v/>
      </c>
      <c r="S42" s="179" t="str">
        <f t="shared" si="43"/>
        <v/>
      </c>
      <c r="T42" s="179" t="str">
        <f t="shared" si="43"/>
        <v/>
      </c>
      <c r="U42" s="179" t="str">
        <f t="shared" si="43"/>
        <v/>
      </c>
      <c r="V42" s="179" t="str">
        <f t="shared" si="43"/>
        <v/>
      </c>
      <c r="W42" s="179">
        <f t="shared" si="43"/>
        <v>29071.46333</v>
      </c>
      <c r="X42" s="179" t="str">
        <f t="shared" si="43"/>
        <v/>
      </c>
      <c r="Y42" s="179" t="str">
        <f t="shared" si="43"/>
        <v/>
      </c>
      <c r="Z42" s="179" t="str">
        <f t="shared" si="43"/>
        <v/>
      </c>
      <c r="AA42" s="179" t="str">
        <f t="shared" si="43"/>
        <v/>
      </c>
      <c r="AB42" s="179" t="str">
        <f t="shared" si="43"/>
        <v/>
      </c>
      <c r="AC42" s="179" t="str">
        <f t="shared" si="43"/>
        <v/>
      </c>
      <c r="AD42" s="179" t="str">
        <f t="shared" si="43"/>
        <v/>
      </c>
      <c r="AE42" s="179" t="str">
        <f t="shared" si="43"/>
        <v/>
      </c>
      <c r="AF42" s="179" t="str">
        <f t="shared" si="43"/>
        <v/>
      </c>
      <c r="AG42" s="179" t="str">
        <f t="shared" si="43"/>
        <v/>
      </c>
      <c r="AH42" s="179" t="str">
        <f t="shared" si="43"/>
        <v/>
      </c>
      <c r="AI42" s="179" t="str">
        <f t="shared" si="43"/>
        <v/>
      </c>
      <c r="AJ42" s="179" t="str">
        <f t="shared" si="43"/>
        <v/>
      </c>
      <c r="AK42" s="179" t="str">
        <f t="shared" si="43"/>
        <v/>
      </c>
      <c r="AL42" s="179" t="str">
        <f t="shared" si="43"/>
        <v/>
      </c>
      <c r="AM42" s="179" t="str">
        <f t="shared" si="43"/>
        <v/>
      </c>
      <c r="AN42" s="179" t="str">
        <f t="shared" si="43"/>
        <v/>
      </c>
      <c r="AO42" s="179" t="str">
        <f t="shared" si="43"/>
        <v/>
      </c>
      <c r="AP42" s="179" t="str">
        <f t="shared" si="43"/>
        <v/>
      </c>
      <c r="AQ42" s="179" t="str">
        <f t="shared" si="43"/>
        <v/>
      </c>
      <c r="AR42" s="179" t="str">
        <f t="shared" si="43"/>
        <v/>
      </c>
      <c r="AS42" s="179" t="str">
        <f t="shared" si="43"/>
        <v/>
      </c>
      <c r="AT42" s="179" t="str">
        <f t="shared" si="43"/>
        <v/>
      </c>
      <c r="AU42" s="179" t="str">
        <f t="shared" si="43"/>
        <v/>
      </c>
      <c r="AV42" s="179" t="str">
        <f t="shared" si="43"/>
        <v/>
      </c>
      <c r="AW42" s="179" t="str">
        <f t="shared" si="43"/>
        <v/>
      </c>
      <c r="AX42" s="179" t="str">
        <f t="shared" si="43"/>
        <v/>
      </c>
      <c r="AY42" s="179" t="str">
        <f t="shared" si="43"/>
        <v/>
      </c>
      <c r="AZ42" s="179" t="str">
        <f t="shared" si="43"/>
        <v/>
      </c>
      <c r="BA42" s="179" t="str">
        <f t="shared" si="43"/>
        <v/>
      </c>
      <c r="BB42" s="179" t="str">
        <f t="shared" si="43"/>
        <v/>
      </c>
    </row>
    <row r="43">
      <c r="A43" s="193" t="s">
        <v>717</v>
      </c>
      <c r="B43" s="105" t="s">
        <v>718</v>
      </c>
      <c r="C43" s="105" t="s">
        <v>719</v>
      </c>
      <c r="D43" s="192">
        <v>54728.0</v>
      </c>
      <c r="E43" s="185">
        <v>550.0</v>
      </c>
      <c r="F43" s="186">
        <v>45846.0</v>
      </c>
      <c r="G43" s="105" t="s">
        <v>664</v>
      </c>
      <c r="H43" s="83" t="s">
        <v>719</v>
      </c>
      <c r="I43" s="187" t="s">
        <v>293</v>
      </c>
      <c r="J43" s="188" t="b">
        <v>1</v>
      </c>
      <c r="K43" s="189">
        <f t="shared" si="3"/>
        <v>0</v>
      </c>
      <c r="L43" s="48" t="b">
        <f t="shared" si="4"/>
        <v>0</v>
      </c>
      <c r="M43" s="190">
        <f t="shared" si="5"/>
        <v>1</v>
      </c>
      <c r="N43" s="179" t="str">
        <f t="shared" ref="N43:BB43" si="44">IFERROR(IF(N$1=FALSE,, IF(IF(SEARCH(N$3,$I43,1)&gt;0,1,0)=1,$E43/$M43,)),"")</f>
        <v/>
      </c>
      <c r="O43" s="179" t="str">
        <f t="shared" si="44"/>
        <v/>
      </c>
      <c r="P43" s="179" t="str">
        <f t="shared" si="44"/>
        <v/>
      </c>
      <c r="Q43" s="179" t="str">
        <f t="shared" si="44"/>
        <v/>
      </c>
      <c r="R43" s="179" t="str">
        <f t="shared" si="44"/>
        <v/>
      </c>
      <c r="S43" s="179" t="str">
        <f t="shared" si="44"/>
        <v/>
      </c>
      <c r="T43" s="179" t="str">
        <f t="shared" si="44"/>
        <v/>
      </c>
      <c r="U43" s="179" t="str">
        <f t="shared" si="44"/>
        <v/>
      </c>
      <c r="V43" s="179" t="str">
        <f t="shared" si="44"/>
        <v/>
      </c>
      <c r="W43" s="179" t="str">
        <f t="shared" si="44"/>
        <v/>
      </c>
      <c r="X43" s="179" t="str">
        <f t="shared" si="44"/>
        <v/>
      </c>
      <c r="Y43" s="179" t="str">
        <f t="shared" si="44"/>
        <v/>
      </c>
      <c r="Z43" s="179" t="str">
        <f t="shared" si="44"/>
        <v/>
      </c>
      <c r="AA43" s="179" t="str">
        <f t="shared" si="44"/>
        <v/>
      </c>
      <c r="AB43" s="179" t="str">
        <f t="shared" si="44"/>
        <v/>
      </c>
      <c r="AC43" s="179" t="str">
        <f t="shared" si="44"/>
        <v/>
      </c>
      <c r="AD43" s="179" t="str">
        <f t="shared" si="44"/>
        <v/>
      </c>
      <c r="AE43" s="179" t="str">
        <f t="shared" si="44"/>
        <v/>
      </c>
      <c r="AF43" s="179" t="str">
        <f t="shared" si="44"/>
        <v/>
      </c>
      <c r="AG43" s="179" t="str">
        <f t="shared" si="44"/>
        <v/>
      </c>
      <c r="AH43" s="179" t="str">
        <f t="shared" si="44"/>
        <v/>
      </c>
      <c r="AI43" s="179" t="str">
        <f t="shared" si="44"/>
        <v/>
      </c>
      <c r="AJ43" s="179" t="str">
        <f t="shared" si="44"/>
        <v/>
      </c>
      <c r="AK43" s="179" t="str">
        <f t="shared" si="44"/>
        <v/>
      </c>
      <c r="AL43" s="179" t="str">
        <f t="shared" si="44"/>
        <v/>
      </c>
      <c r="AM43" s="179" t="str">
        <f t="shared" si="44"/>
        <v/>
      </c>
      <c r="AN43" s="179" t="str">
        <f t="shared" si="44"/>
        <v/>
      </c>
      <c r="AO43" s="179" t="str">
        <f t="shared" si="44"/>
        <v/>
      </c>
      <c r="AP43" s="179" t="str">
        <f t="shared" si="44"/>
        <v/>
      </c>
      <c r="AQ43" s="179" t="str">
        <f t="shared" si="44"/>
        <v/>
      </c>
      <c r="AR43" s="179" t="str">
        <f t="shared" si="44"/>
        <v/>
      </c>
      <c r="AS43" s="179" t="str">
        <f t="shared" si="44"/>
        <v/>
      </c>
      <c r="AT43" s="179" t="str">
        <f t="shared" si="44"/>
        <v/>
      </c>
      <c r="AU43" s="179" t="str">
        <f t="shared" si="44"/>
        <v/>
      </c>
      <c r="AV43" s="179" t="str">
        <f t="shared" si="44"/>
        <v/>
      </c>
      <c r="AW43" s="179" t="str">
        <f t="shared" si="44"/>
        <v/>
      </c>
      <c r="AX43" s="179" t="str">
        <f t="shared" si="44"/>
        <v/>
      </c>
      <c r="AY43" s="179" t="str">
        <f t="shared" si="44"/>
        <v/>
      </c>
      <c r="AZ43" s="179" t="str">
        <f t="shared" si="44"/>
        <v/>
      </c>
      <c r="BA43" s="179" t="str">
        <f t="shared" si="44"/>
        <v/>
      </c>
      <c r="BB43" s="179" t="str">
        <f t="shared" si="44"/>
        <v/>
      </c>
    </row>
    <row r="44">
      <c r="A44" s="193" t="s">
        <v>676</v>
      </c>
      <c r="B44" s="105" t="s">
        <v>677</v>
      </c>
      <c r="C44" s="105" t="s">
        <v>720</v>
      </c>
      <c r="D44" s="192">
        <v>161951.0</v>
      </c>
      <c r="E44" s="185">
        <v>2948.0</v>
      </c>
      <c r="F44" s="186">
        <v>45848.0</v>
      </c>
      <c r="G44" s="105" t="s">
        <v>664</v>
      </c>
      <c r="H44" s="83" t="s">
        <v>720</v>
      </c>
      <c r="I44" s="187" t="s">
        <v>92</v>
      </c>
      <c r="J44" s="188" t="b">
        <v>1</v>
      </c>
      <c r="K44" s="189">
        <f t="shared" si="3"/>
        <v>2948</v>
      </c>
      <c r="L44" s="48" t="b">
        <f t="shared" si="4"/>
        <v>1</v>
      </c>
      <c r="M44" s="190">
        <f t="shared" si="5"/>
        <v>1</v>
      </c>
      <c r="N44" s="179">
        <f t="shared" ref="N44:BB44" si="45">IFERROR(IF(N$1=FALSE,, IF(IF(SEARCH(N$3,$I44,1)&gt;0,1,0)=1,$E44/$M44,)),"")</f>
        <v>2948</v>
      </c>
      <c r="O44" s="179" t="str">
        <f t="shared" si="45"/>
        <v/>
      </c>
      <c r="P44" s="179" t="str">
        <f t="shared" si="45"/>
        <v/>
      </c>
      <c r="Q44" s="179" t="str">
        <f t="shared" si="45"/>
        <v/>
      </c>
      <c r="R44" s="179" t="str">
        <f t="shared" si="45"/>
        <v/>
      </c>
      <c r="S44" s="179" t="str">
        <f t="shared" si="45"/>
        <v/>
      </c>
      <c r="T44" s="179" t="str">
        <f t="shared" si="45"/>
        <v/>
      </c>
      <c r="U44" s="179" t="str">
        <f t="shared" si="45"/>
        <v/>
      </c>
      <c r="V44" s="179" t="str">
        <f t="shared" si="45"/>
        <v/>
      </c>
      <c r="W44" s="179" t="str">
        <f t="shared" si="45"/>
        <v/>
      </c>
      <c r="X44" s="179" t="str">
        <f t="shared" si="45"/>
        <v/>
      </c>
      <c r="Y44" s="179" t="str">
        <f t="shared" si="45"/>
        <v/>
      </c>
      <c r="Z44" s="179" t="str">
        <f t="shared" si="45"/>
        <v/>
      </c>
      <c r="AA44" s="179" t="str">
        <f t="shared" si="45"/>
        <v/>
      </c>
      <c r="AB44" s="179" t="str">
        <f t="shared" si="45"/>
        <v/>
      </c>
      <c r="AC44" s="179" t="str">
        <f t="shared" si="45"/>
        <v/>
      </c>
      <c r="AD44" s="179" t="str">
        <f t="shared" si="45"/>
        <v/>
      </c>
      <c r="AE44" s="179" t="str">
        <f t="shared" si="45"/>
        <v/>
      </c>
      <c r="AF44" s="179" t="str">
        <f t="shared" si="45"/>
        <v/>
      </c>
      <c r="AG44" s="179" t="str">
        <f t="shared" si="45"/>
        <v/>
      </c>
      <c r="AH44" s="179" t="str">
        <f t="shared" si="45"/>
        <v/>
      </c>
      <c r="AI44" s="179" t="str">
        <f t="shared" si="45"/>
        <v/>
      </c>
      <c r="AJ44" s="179" t="str">
        <f t="shared" si="45"/>
        <v/>
      </c>
      <c r="AK44" s="179" t="str">
        <f t="shared" si="45"/>
        <v/>
      </c>
      <c r="AL44" s="179" t="str">
        <f t="shared" si="45"/>
        <v/>
      </c>
      <c r="AM44" s="179" t="str">
        <f t="shared" si="45"/>
        <v/>
      </c>
      <c r="AN44" s="179" t="str">
        <f t="shared" si="45"/>
        <v/>
      </c>
      <c r="AO44" s="179" t="str">
        <f t="shared" si="45"/>
        <v/>
      </c>
      <c r="AP44" s="179" t="str">
        <f t="shared" si="45"/>
        <v/>
      </c>
      <c r="AQ44" s="179" t="str">
        <f t="shared" si="45"/>
        <v/>
      </c>
      <c r="AR44" s="179" t="str">
        <f t="shared" si="45"/>
        <v/>
      </c>
      <c r="AS44" s="179" t="str">
        <f t="shared" si="45"/>
        <v/>
      </c>
      <c r="AT44" s="179" t="str">
        <f t="shared" si="45"/>
        <v/>
      </c>
      <c r="AU44" s="179" t="str">
        <f t="shared" si="45"/>
        <v/>
      </c>
      <c r="AV44" s="179" t="str">
        <f t="shared" si="45"/>
        <v/>
      </c>
      <c r="AW44" s="179" t="str">
        <f t="shared" si="45"/>
        <v/>
      </c>
      <c r="AX44" s="179" t="str">
        <f t="shared" si="45"/>
        <v/>
      </c>
      <c r="AY44" s="179" t="str">
        <f t="shared" si="45"/>
        <v/>
      </c>
      <c r="AZ44" s="179" t="str">
        <f t="shared" si="45"/>
        <v/>
      </c>
      <c r="BA44" s="179" t="str">
        <f t="shared" si="45"/>
        <v/>
      </c>
      <c r="BB44" s="179" t="str">
        <f t="shared" si="45"/>
        <v/>
      </c>
    </row>
    <row r="45">
      <c r="A45" s="193" t="s">
        <v>661</v>
      </c>
      <c r="B45" s="105" t="s">
        <v>662</v>
      </c>
      <c r="C45" s="105" t="s">
        <v>721</v>
      </c>
      <c r="D45" s="192">
        <v>123174.0</v>
      </c>
      <c r="E45" s="185">
        <v>110.6</v>
      </c>
      <c r="F45" s="186">
        <v>45847.0</v>
      </c>
      <c r="G45" s="105" t="s">
        <v>664</v>
      </c>
      <c r="H45" s="83" t="s">
        <v>721</v>
      </c>
      <c r="I45" s="187" t="s">
        <v>124</v>
      </c>
      <c r="J45" s="188" t="b">
        <v>1</v>
      </c>
      <c r="K45" s="189">
        <f t="shared" si="3"/>
        <v>110.6</v>
      </c>
      <c r="L45" s="48" t="b">
        <f t="shared" si="4"/>
        <v>1</v>
      </c>
      <c r="M45" s="190">
        <f t="shared" si="5"/>
        <v>1</v>
      </c>
      <c r="N45" s="179" t="str">
        <f t="shared" ref="N45:BB45" si="46">IFERROR(IF(N$1=FALSE,, IF(IF(SEARCH(N$3,$I45,1)&gt;0,1,0)=1,$E45/$M45,)),"")</f>
        <v/>
      </c>
      <c r="O45" s="179" t="str">
        <f t="shared" si="46"/>
        <v/>
      </c>
      <c r="P45" s="179" t="str">
        <f t="shared" si="46"/>
        <v/>
      </c>
      <c r="Q45" s="179" t="str">
        <f t="shared" si="46"/>
        <v/>
      </c>
      <c r="R45" s="179" t="str">
        <f t="shared" si="46"/>
        <v/>
      </c>
      <c r="S45" s="179" t="str">
        <f t="shared" si="46"/>
        <v/>
      </c>
      <c r="T45" s="179" t="str">
        <f t="shared" si="46"/>
        <v/>
      </c>
      <c r="U45" s="179" t="str">
        <f t="shared" si="46"/>
        <v/>
      </c>
      <c r="V45" s="179" t="str">
        <f t="shared" si="46"/>
        <v/>
      </c>
      <c r="W45" s="179">
        <f t="shared" si="46"/>
        <v>110.6</v>
      </c>
      <c r="X45" s="179" t="str">
        <f t="shared" si="46"/>
        <v/>
      </c>
      <c r="Y45" s="179" t="str">
        <f t="shared" si="46"/>
        <v/>
      </c>
      <c r="Z45" s="179" t="str">
        <f t="shared" si="46"/>
        <v/>
      </c>
      <c r="AA45" s="179" t="str">
        <f t="shared" si="46"/>
        <v/>
      </c>
      <c r="AB45" s="179" t="str">
        <f t="shared" si="46"/>
        <v/>
      </c>
      <c r="AC45" s="179" t="str">
        <f t="shared" si="46"/>
        <v/>
      </c>
      <c r="AD45" s="179" t="str">
        <f t="shared" si="46"/>
        <v/>
      </c>
      <c r="AE45" s="179" t="str">
        <f t="shared" si="46"/>
        <v/>
      </c>
      <c r="AF45" s="179" t="str">
        <f t="shared" si="46"/>
        <v/>
      </c>
      <c r="AG45" s="179" t="str">
        <f t="shared" si="46"/>
        <v/>
      </c>
      <c r="AH45" s="179" t="str">
        <f t="shared" si="46"/>
        <v/>
      </c>
      <c r="AI45" s="179" t="str">
        <f t="shared" si="46"/>
        <v/>
      </c>
      <c r="AJ45" s="179" t="str">
        <f t="shared" si="46"/>
        <v/>
      </c>
      <c r="AK45" s="179" t="str">
        <f t="shared" si="46"/>
        <v/>
      </c>
      <c r="AL45" s="179" t="str">
        <f t="shared" si="46"/>
        <v/>
      </c>
      <c r="AM45" s="179" t="str">
        <f t="shared" si="46"/>
        <v/>
      </c>
      <c r="AN45" s="179" t="str">
        <f t="shared" si="46"/>
        <v/>
      </c>
      <c r="AO45" s="179" t="str">
        <f t="shared" si="46"/>
        <v/>
      </c>
      <c r="AP45" s="179" t="str">
        <f t="shared" si="46"/>
        <v/>
      </c>
      <c r="AQ45" s="179" t="str">
        <f t="shared" si="46"/>
        <v/>
      </c>
      <c r="AR45" s="179" t="str">
        <f t="shared" si="46"/>
        <v/>
      </c>
      <c r="AS45" s="179" t="str">
        <f t="shared" si="46"/>
        <v/>
      </c>
      <c r="AT45" s="179" t="str">
        <f t="shared" si="46"/>
        <v/>
      </c>
      <c r="AU45" s="179" t="str">
        <f t="shared" si="46"/>
        <v/>
      </c>
      <c r="AV45" s="179" t="str">
        <f t="shared" si="46"/>
        <v/>
      </c>
      <c r="AW45" s="179" t="str">
        <f t="shared" si="46"/>
        <v/>
      </c>
      <c r="AX45" s="179" t="str">
        <f t="shared" si="46"/>
        <v/>
      </c>
      <c r="AY45" s="179" t="str">
        <f t="shared" si="46"/>
        <v/>
      </c>
      <c r="AZ45" s="179" t="str">
        <f t="shared" si="46"/>
        <v/>
      </c>
      <c r="BA45" s="179" t="str">
        <f t="shared" si="46"/>
        <v/>
      </c>
      <c r="BB45" s="179" t="str">
        <f t="shared" si="46"/>
        <v/>
      </c>
    </row>
    <row r="46">
      <c r="A46" s="193" t="s">
        <v>661</v>
      </c>
      <c r="B46" s="105" t="s">
        <v>662</v>
      </c>
      <c r="C46" s="105" t="s">
        <v>722</v>
      </c>
      <c r="D46" s="192">
        <v>123291.0</v>
      </c>
      <c r="E46" s="185">
        <v>406.88</v>
      </c>
      <c r="F46" s="186">
        <v>45852.0</v>
      </c>
      <c r="G46" s="105" t="s">
        <v>664</v>
      </c>
      <c r="H46" s="83" t="s">
        <v>722</v>
      </c>
      <c r="I46" s="187" t="s">
        <v>258</v>
      </c>
      <c r="J46" s="188" t="b">
        <v>1</v>
      </c>
      <c r="K46" s="189">
        <f t="shared" si="3"/>
        <v>0</v>
      </c>
      <c r="L46" s="48" t="b">
        <f t="shared" si="4"/>
        <v>0</v>
      </c>
      <c r="M46" s="190">
        <f t="shared" si="5"/>
        <v>1</v>
      </c>
      <c r="N46" s="179" t="str">
        <f t="shared" ref="N46:BB46" si="47">IFERROR(IF(N$1=FALSE,, IF(IF(SEARCH(N$3,$I46,1)&gt;0,1,0)=1,$E46/$M46,)),"")</f>
        <v/>
      </c>
      <c r="O46" s="179" t="str">
        <f t="shared" si="47"/>
        <v/>
      </c>
      <c r="P46" s="179" t="str">
        <f t="shared" si="47"/>
        <v/>
      </c>
      <c r="Q46" s="179" t="str">
        <f t="shared" si="47"/>
        <v/>
      </c>
      <c r="R46" s="179" t="str">
        <f t="shared" si="47"/>
        <v/>
      </c>
      <c r="S46" s="179" t="str">
        <f t="shared" si="47"/>
        <v/>
      </c>
      <c r="T46" s="179" t="str">
        <f t="shared" si="47"/>
        <v/>
      </c>
      <c r="U46" s="179" t="str">
        <f t="shared" si="47"/>
        <v/>
      </c>
      <c r="V46" s="179" t="str">
        <f t="shared" si="47"/>
        <v/>
      </c>
      <c r="W46" s="179" t="str">
        <f t="shared" si="47"/>
        <v/>
      </c>
      <c r="X46" s="179" t="str">
        <f t="shared" si="47"/>
        <v/>
      </c>
      <c r="Y46" s="179" t="str">
        <f t="shared" si="47"/>
        <v/>
      </c>
      <c r="Z46" s="179" t="str">
        <f t="shared" si="47"/>
        <v/>
      </c>
      <c r="AA46" s="179" t="str">
        <f t="shared" si="47"/>
        <v/>
      </c>
      <c r="AB46" s="179" t="str">
        <f t="shared" si="47"/>
        <v/>
      </c>
      <c r="AC46" s="179" t="str">
        <f t="shared" si="47"/>
        <v/>
      </c>
      <c r="AD46" s="179" t="str">
        <f t="shared" si="47"/>
        <v/>
      </c>
      <c r="AE46" s="179" t="str">
        <f t="shared" si="47"/>
        <v/>
      </c>
      <c r="AF46" s="179" t="str">
        <f t="shared" si="47"/>
        <v/>
      </c>
      <c r="AG46" s="179" t="str">
        <f t="shared" si="47"/>
        <v/>
      </c>
      <c r="AH46" s="179" t="str">
        <f t="shared" si="47"/>
        <v/>
      </c>
      <c r="AI46" s="179" t="str">
        <f t="shared" si="47"/>
        <v/>
      </c>
      <c r="AJ46" s="179" t="str">
        <f t="shared" si="47"/>
        <v/>
      </c>
      <c r="AK46" s="179" t="str">
        <f t="shared" si="47"/>
        <v/>
      </c>
      <c r="AL46" s="179" t="str">
        <f t="shared" si="47"/>
        <v/>
      </c>
      <c r="AM46" s="179" t="str">
        <f t="shared" si="47"/>
        <v/>
      </c>
      <c r="AN46" s="179" t="str">
        <f t="shared" si="47"/>
        <v/>
      </c>
      <c r="AO46" s="179" t="str">
        <f t="shared" si="47"/>
        <v/>
      </c>
      <c r="AP46" s="179" t="str">
        <f t="shared" si="47"/>
        <v/>
      </c>
      <c r="AQ46" s="179" t="str">
        <f t="shared" si="47"/>
        <v/>
      </c>
      <c r="AR46" s="179" t="str">
        <f t="shared" si="47"/>
        <v/>
      </c>
      <c r="AS46" s="179" t="str">
        <f t="shared" si="47"/>
        <v/>
      </c>
      <c r="AT46" s="179" t="str">
        <f t="shared" si="47"/>
        <v/>
      </c>
      <c r="AU46" s="179" t="str">
        <f t="shared" si="47"/>
        <v/>
      </c>
      <c r="AV46" s="179" t="str">
        <f t="shared" si="47"/>
        <v/>
      </c>
      <c r="AW46" s="179" t="str">
        <f t="shared" si="47"/>
        <v/>
      </c>
      <c r="AX46" s="179" t="str">
        <f t="shared" si="47"/>
        <v/>
      </c>
      <c r="AY46" s="179" t="str">
        <f t="shared" si="47"/>
        <v/>
      </c>
      <c r="AZ46" s="179" t="str">
        <f t="shared" si="47"/>
        <v/>
      </c>
      <c r="BA46" s="179" t="str">
        <f t="shared" si="47"/>
        <v/>
      </c>
      <c r="BB46" s="179" t="str">
        <f t="shared" si="47"/>
        <v/>
      </c>
    </row>
    <row r="47">
      <c r="A47" s="193" t="s">
        <v>676</v>
      </c>
      <c r="B47" s="105" t="s">
        <v>677</v>
      </c>
      <c r="C47" s="105" t="s">
        <v>720</v>
      </c>
      <c r="D47" s="192">
        <v>162136.0</v>
      </c>
      <c r="E47" s="185">
        <v>3039.0</v>
      </c>
      <c r="F47" s="186">
        <v>45854.0</v>
      </c>
      <c r="G47" s="105" t="s">
        <v>664</v>
      </c>
      <c r="H47" s="83" t="s">
        <v>720</v>
      </c>
      <c r="I47" s="187" t="s">
        <v>124</v>
      </c>
      <c r="J47" s="188" t="b">
        <v>1</v>
      </c>
      <c r="K47" s="189">
        <f t="shared" si="3"/>
        <v>3039</v>
      </c>
      <c r="L47" s="48" t="b">
        <f t="shared" si="4"/>
        <v>1</v>
      </c>
      <c r="M47" s="190">
        <f t="shared" si="5"/>
        <v>1</v>
      </c>
      <c r="N47" s="179" t="str">
        <f t="shared" ref="N47:BB47" si="48">IFERROR(IF(N$1=FALSE,, IF(IF(SEARCH(N$3,$I47,1)&gt;0,1,0)=1,$E47/$M47,)),"")</f>
        <v/>
      </c>
      <c r="O47" s="179" t="str">
        <f t="shared" si="48"/>
        <v/>
      </c>
      <c r="P47" s="179" t="str">
        <f t="shared" si="48"/>
        <v/>
      </c>
      <c r="Q47" s="179" t="str">
        <f t="shared" si="48"/>
        <v/>
      </c>
      <c r="R47" s="179" t="str">
        <f t="shared" si="48"/>
        <v/>
      </c>
      <c r="S47" s="179" t="str">
        <f t="shared" si="48"/>
        <v/>
      </c>
      <c r="T47" s="179" t="str">
        <f t="shared" si="48"/>
        <v/>
      </c>
      <c r="U47" s="179" t="str">
        <f t="shared" si="48"/>
        <v/>
      </c>
      <c r="V47" s="179" t="str">
        <f t="shared" si="48"/>
        <v/>
      </c>
      <c r="W47" s="179">
        <f t="shared" si="48"/>
        <v>3039</v>
      </c>
      <c r="X47" s="179" t="str">
        <f t="shared" si="48"/>
        <v/>
      </c>
      <c r="Y47" s="179" t="str">
        <f t="shared" si="48"/>
        <v/>
      </c>
      <c r="Z47" s="179" t="str">
        <f t="shared" si="48"/>
        <v/>
      </c>
      <c r="AA47" s="179" t="str">
        <f t="shared" si="48"/>
        <v/>
      </c>
      <c r="AB47" s="179" t="str">
        <f t="shared" si="48"/>
        <v/>
      </c>
      <c r="AC47" s="179" t="str">
        <f t="shared" si="48"/>
        <v/>
      </c>
      <c r="AD47" s="179" t="str">
        <f t="shared" si="48"/>
        <v/>
      </c>
      <c r="AE47" s="179" t="str">
        <f t="shared" si="48"/>
        <v/>
      </c>
      <c r="AF47" s="179" t="str">
        <f t="shared" si="48"/>
        <v/>
      </c>
      <c r="AG47" s="179" t="str">
        <f t="shared" si="48"/>
        <v/>
      </c>
      <c r="AH47" s="179" t="str">
        <f t="shared" si="48"/>
        <v/>
      </c>
      <c r="AI47" s="179" t="str">
        <f t="shared" si="48"/>
        <v/>
      </c>
      <c r="AJ47" s="179" t="str">
        <f t="shared" si="48"/>
        <v/>
      </c>
      <c r="AK47" s="179" t="str">
        <f t="shared" si="48"/>
        <v/>
      </c>
      <c r="AL47" s="179" t="str">
        <f t="shared" si="48"/>
        <v/>
      </c>
      <c r="AM47" s="179" t="str">
        <f t="shared" si="48"/>
        <v/>
      </c>
      <c r="AN47" s="179" t="str">
        <f t="shared" si="48"/>
        <v/>
      </c>
      <c r="AO47" s="179" t="str">
        <f t="shared" si="48"/>
        <v/>
      </c>
      <c r="AP47" s="179" t="str">
        <f t="shared" si="48"/>
        <v/>
      </c>
      <c r="AQ47" s="179" t="str">
        <f t="shared" si="48"/>
        <v/>
      </c>
      <c r="AR47" s="179" t="str">
        <f t="shared" si="48"/>
        <v/>
      </c>
      <c r="AS47" s="179" t="str">
        <f t="shared" si="48"/>
        <v/>
      </c>
      <c r="AT47" s="179" t="str">
        <f t="shared" si="48"/>
        <v/>
      </c>
      <c r="AU47" s="179" t="str">
        <f t="shared" si="48"/>
        <v/>
      </c>
      <c r="AV47" s="179" t="str">
        <f t="shared" si="48"/>
        <v/>
      </c>
      <c r="AW47" s="179" t="str">
        <f t="shared" si="48"/>
        <v/>
      </c>
      <c r="AX47" s="179" t="str">
        <f t="shared" si="48"/>
        <v/>
      </c>
      <c r="AY47" s="179" t="str">
        <f t="shared" si="48"/>
        <v/>
      </c>
      <c r="AZ47" s="179" t="str">
        <f t="shared" si="48"/>
        <v/>
      </c>
      <c r="BA47" s="179" t="str">
        <f t="shared" si="48"/>
        <v/>
      </c>
      <c r="BB47" s="179" t="str">
        <f t="shared" si="48"/>
        <v/>
      </c>
    </row>
    <row r="48">
      <c r="A48" s="193" t="s">
        <v>661</v>
      </c>
      <c r="B48" s="105" t="s">
        <v>662</v>
      </c>
      <c r="C48" s="105" t="s">
        <v>723</v>
      </c>
      <c r="D48" s="192">
        <v>123613.0</v>
      </c>
      <c r="E48" s="185">
        <v>84221.14</v>
      </c>
      <c r="F48" s="186">
        <v>45860.0</v>
      </c>
      <c r="G48" s="105" t="s">
        <v>664</v>
      </c>
      <c r="H48" s="83" t="s">
        <v>723</v>
      </c>
      <c r="I48" s="187" t="s">
        <v>92</v>
      </c>
      <c r="J48" s="188" t="b">
        <v>1</v>
      </c>
      <c r="K48" s="189">
        <f t="shared" si="3"/>
        <v>84221.14</v>
      </c>
      <c r="L48" s="48" t="b">
        <f t="shared" si="4"/>
        <v>1</v>
      </c>
      <c r="M48" s="190">
        <f t="shared" si="5"/>
        <v>1</v>
      </c>
      <c r="N48" s="179">
        <f t="shared" ref="N48:BB48" si="49">IFERROR(IF(N$1=FALSE,, IF(IF(SEARCH(N$3,$I48,1)&gt;0,1,0)=1,$E48/$M48,)),"")</f>
        <v>84221.14</v>
      </c>
      <c r="O48" s="179" t="str">
        <f t="shared" si="49"/>
        <v/>
      </c>
      <c r="P48" s="179" t="str">
        <f t="shared" si="49"/>
        <v/>
      </c>
      <c r="Q48" s="179" t="str">
        <f t="shared" si="49"/>
        <v/>
      </c>
      <c r="R48" s="179" t="str">
        <f t="shared" si="49"/>
        <v/>
      </c>
      <c r="S48" s="179" t="str">
        <f t="shared" si="49"/>
        <v/>
      </c>
      <c r="T48" s="179" t="str">
        <f t="shared" si="49"/>
        <v/>
      </c>
      <c r="U48" s="179" t="str">
        <f t="shared" si="49"/>
        <v/>
      </c>
      <c r="V48" s="179" t="str">
        <f t="shared" si="49"/>
        <v/>
      </c>
      <c r="W48" s="179" t="str">
        <f t="shared" si="49"/>
        <v/>
      </c>
      <c r="X48" s="179" t="str">
        <f t="shared" si="49"/>
        <v/>
      </c>
      <c r="Y48" s="179" t="str">
        <f t="shared" si="49"/>
        <v/>
      </c>
      <c r="Z48" s="179" t="str">
        <f t="shared" si="49"/>
        <v/>
      </c>
      <c r="AA48" s="179" t="str">
        <f t="shared" si="49"/>
        <v/>
      </c>
      <c r="AB48" s="179" t="str">
        <f t="shared" si="49"/>
        <v/>
      </c>
      <c r="AC48" s="179" t="str">
        <f t="shared" si="49"/>
        <v/>
      </c>
      <c r="AD48" s="179" t="str">
        <f t="shared" si="49"/>
        <v/>
      </c>
      <c r="AE48" s="179" t="str">
        <f t="shared" si="49"/>
        <v/>
      </c>
      <c r="AF48" s="179" t="str">
        <f t="shared" si="49"/>
        <v/>
      </c>
      <c r="AG48" s="179" t="str">
        <f t="shared" si="49"/>
        <v/>
      </c>
      <c r="AH48" s="179" t="str">
        <f t="shared" si="49"/>
        <v/>
      </c>
      <c r="AI48" s="179" t="str">
        <f t="shared" si="49"/>
        <v/>
      </c>
      <c r="AJ48" s="179" t="str">
        <f t="shared" si="49"/>
        <v/>
      </c>
      <c r="AK48" s="179" t="str">
        <f t="shared" si="49"/>
        <v/>
      </c>
      <c r="AL48" s="179" t="str">
        <f t="shared" si="49"/>
        <v/>
      </c>
      <c r="AM48" s="179" t="str">
        <f t="shared" si="49"/>
        <v/>
      </c>
      <c r="AN48" s="179" t="str">
        <f t="shared" si="49"/>
        <v/>
      </c>
      <c r="AO48" s="179" t="str">
        <f t="shared" si="49"/>
        <v/>
      </c>
      <c r="AP48" s="179" t="str">
        <f t="shared" si="49"/>
        <v/>
      </c>
      <c r="AQ48" s="179" t="str">
        <f t="shared" si="49"/>
        <v/>
      </c>
      <c r="AR48" s="179" t="str">
        <f t="shared" si="49"/>
        <v/>
      </c>
      <c r="AS48" s="179" t="str">
        <f t="shared" si="49"/>
        <v/>
      </c>
      <c r="AT48" s="179" t="str">
        <f t="shared" si="49"/>
        <v/>
      </c>
      <c r="AU48" s="179" t="str">
        <f t="shared" si="49"/>
        <v/>
      </c>
      <c r="AV48" s="179" t="str">
        <f t="shared" si="49"/>
        <v/>
      </c>
      <c r="AW48" s="179" t="str">
        <f t="shared" si="49"/>
        <v/>
      </c>
      <c r="AX48" s="179" t="str">
        <f t="shared" si="49"/>
        <v/>
      </c>
      <c r="AY48" s="179" t="str">
        <f t="shared" si="49"/>
        <v/>
      </c>
      <c r="AZ48" s="179" t="str">
        <f t="shared" si="49"/>
        <v/>
      </c>
      <c r="BA48" s="179" t="str">
        <f t="shared" si="49"/>
        <v/>
      </c>
      <c r="BB48" s="179" t="str">
        <f t="shared" si="49"/>
        <v/>
      </c>
    </row>
    <row r="49">
      <c r="A49" s="193" t="s">
        <v>724</v>
      </c>
      <c r="B49" s="105" t="s">
        <v>725</v>
      </c>
      <c r="C49" s="105" t="s">
        <v>726</v>
      </c>
      <c r="D49" s="192">
        <v>409881.0</v>
      </c>
      <c r="E49" s="185">
        <v>466.0</v>
      </c>
      <c r="F49" s="186">
        <v>45862.0</v>
      </c>
      <c r="G49" s="105" t="s">
        <v>664</v>
      </c>
      <c r="H49" s="83" t="s">
        <v>726</v>
      </c>
      <c r="I49" s="187" t="s">
        <v>92</v>
      </c>
      <c r="J49" s="188" t="b">
        <v>1</v>
      </c>
      <c r="K49" s="189">
        <f t="shared" si="3"/>
        <v>466</v>
      </c>
      <c r="L49" s="48" t="b">
        <f t="shared" si="4"/>
        <v>1</v>
      </c>
      <c r="M49" s="190">
        <f t="shared" si="5"/>
        <v>1</v>
      </c>
      <c r="N49" s="179">
        <f t="shared" ref="N49:BB49" si="50">IFERROR(IF(N$1=FALSE,, IF(IF(SEARCH(N$3,$I49,1)&gt;0,1,0)=1,$E49/$M49,)),"")</f>
        <v>466</v>
      </c>
      <c r="O49" s="179" t="str">
        <f t="shared" si="50"/>
        <v/>
      </c>
      <c r="P49" s="179" t="str">
        <f t="shared" si="50"/>
        <v/>
      </c>
      <c r="Q49" s="179" t="str">
        <f t="shared" si="50"/>
        <v/>
      </c>
      <c r="R49" s="179" t="str">
        <f t="shared" si="50"/>
        <v/>
      </c>
      <c r="S49" s="179" t="str">
        <f t="shared" si="50"/>
        <v/>
      </c>
      <c r="T49" s="179" t="str">
        <f t="shared" si="50"/>
        <v/>
      </c>
      <c r="U49" s="179" t="str">
        <f t="shared" si="50"/>
        <v/>
      </c>
      <c r="V49" s="179" t="str">
        <f t="shared" si="50"/>
        <v/>
      </c>
      <c r="W49" s="179" t="str">
        <f t="shared" si="50"/>
        <v/>
      </c>
      <c r="X49" s="179" t="str">
        <f t="shared" si="50"/>
        <v/>
      </c>
      <c r="Y49" s="179" t="str">
        <f t="shared" si="50"/>
        <v/>
      </c>
      <c r="Z49" s="179" t="str">
        <f t="shared" si="50"/>
        <v/>
      </c>
      <c r="AA49" s="179" t="str">
        <f t="shared" si="50"/>
        <v/>
      </c>
      <c r="AB49" s="179" t="str">
        <f t="shared" si="50"/>
        <v/>
      </c>
      <c r="AC49" s="179" t="str">
        <f t="shared" si="50"/>
        <v/>
      </c>
      <c r="AD49" s="179" t="str">
        <f t="shared" si="50"/>
        <v/>
      </c>
      <c r="AE49" s="179" t="str">
        <f t="shared" si="50"/>
        <v/>
      </c>
      <c r="AF49" s="179" t="str">
        <f t="shared" si="50"/>
        <v/>
      </c>
      <c r="AG49" s="179" t="str">
        <f t="shared" si="50"/>
        <v/>
      </c>
      <c r="AH49" s="179" t="str">
        <f t="shared" si="50"/>
        <v/>
      </c>
      <c r="AI49" s="179" t="str">
        <f t="shared" si="50"/>
        <v/>
      </c>
      <c r="AJ49" s="179" t="str">
        <f t="shared" si="50"/>
        <v/>
      </c>
      <c r="AK49" s="179" t="str">
        <f t="shared" si="50"/>
        <v/>
      </c>
      <c r="AL49" s="179" t="str">
        <f t="shared" si="50"/>
        <v/>
      </c>
      <c r="AM49" s="179" t="str">
        <f t="shared" si="50"/>
        <v/>
      </c>
      <c r="AN49" s="179" t="str">
        <f t="shared" si="50"/>
        <v/>
      </c>
      <c r="AO49" s="179" t="str">
        <f t="shared" si="50"/>
        <v/>
      </c>
      <c r="AP49" s="179" t="str">
        <f t="shared" si="50"/>
        <v/>
      </c>
      <c r="AQ49" s="179" t="str">
        <f t="shared" si="50"/>
        <v/>
      </c>
      <c r="AR49" s="179" t="str">
        <f t="shared" si="50"/>
        <v/>
      </c>
      <c r="AS49" s="179" t="str">
        <f t="shared" si="50"/>
        <v/>
      </c>
      <c r="AT49" s="179" t="str">
        <f t="shared" si="50"/>
        <v/>
      </c>
      <c r="AU49" s="179" t="str">
        <f t="shared" si="50"/>
        <v/>
      </c>
      <c r="AV49" s="179" t="str">
        <f t="shared" si="50"/>
        <v/>
      </c>
      <c r="AW49" s="179" t="str">
        <f t="shared" si="50"/>
        <v/>
      </c>
      <c r="AX49" s="179" t="str">
        <f t="shared" si="50"/>
        <v/>
      </c>
      <c r="AY49" s="179" t="str">
        <f t="shared" si="50"/>
        <v/>
      </c>
      <c r="AZ49" s="179" t="str">
        <f t="shared" si="50"/>
        <v/>
      </c>
      <c r="BA49" s="179" t="str">
        <f t="shared" si="50"/>
        <v/>
      </c>
      <c r="BB49" s="179" t="str">
        <f t="shared" si="50"/>
        <v/>
      </c>
    </row>
    <row r="50">
      <c r="A50" s="193" t="s">
        <v>727</v>
      </c>
      <c r="B50" s="105" t="s">
        <v>728</v>
      </c>
      <c r="C50" s="105" t="s">
        <v>729</v>
      </c>
      <c r="D50" s="192">
        <v>33703.0</v>
      </c>
      <c r="E50" s="185">
        <v>31289.9</v>
      </c>
      <c r="F50" s="186">
        <v>45859.0</v>
      </c>
      <c r="G50" s="105" t="s">
        <v>664</v>
      </c>
      <c r="H50" s="83" t="s">
        <v>729</v>
      </c>
      <c r="I50" s="187" t="s">
        <v>124</v>
      </c>
      <c r="J50" s="188" t="b">
        <v>1</v>
      </c>
      <c r="K50" s="189">
        <f t="shared" si="3"/>
        <v>31289.9</v>
      </c>
      <c r="L50" s="48" t="b">
        <f t="shared" si="4"/>
        <v>1</v>
      </c>
      <c r="M50" s="190">
        <f t="shared" si="5"/>
        <v>1</v>
      </c>
      <c r="N50" s="179" t="str">
        <f t="shared" ref="N50:BB50" si="51">IFERROR(IF(N$1=FALSE,, IF(IF(SEARCH(N$3,$I50,1)&gt;0,1,0)=1,$E50/$M50,)),"")</f>
        <v/>
      </c>
      <c r="O50" s="179" t="str">
        <f t="shared" si="51"/>
        <v/>
      </c>
      <c r="P50" s="179" t="str">
        <f t="shared" si="51"/>
        <v/>
      </c>
      <c r="Q50" s="179" t="str">
        <f t="shared" si="51"/>
        <v/>
      </c>
      <c r="R50" s="179" t="str">
        <f t="shared" si="51"/>
        <v/>
      </c>
      <c r="S50" s="179" t="str">
        <f t="shared" si="51"/>
        <v/>
      </c>
      <c r="T50" s="179" t="str">
        <f t="shared" si="51"/>
        <v/>
      </c>
      <c r="U50" s="179" t="str">
        <f t="shared" si="51"/>
        <v/>
      </c>
      <c r="V50" s="179" t="str">
        <f t="shared" si="51"/>
        <v/>
      </c>
      <c r="W50" s="179">
        <f t="shared" si="51"/>
        <v>31289.9</v>
      </c>
      <c r="X50" s="179" t="str">
        <f t="shared" si="51"/>
        <v/>
      </c>
      <c r="Y50" s="179" t="str">
        <f t="shared" si="51"/>
        <v/>
      </c>
      <c r="Z50" s="179" t="str">
        <f t="shared" si="51"/>
        <v/>
      </c>
      <c r="AA50" s="179" t="str">
        <f t="shared" si="51"/>
        <v/>
      </c>
      <c r="AB50" s="179" t="str">
        <f t="shared" si="51"/>
        <v/>
      </c>
      <c r="AC50" s="179" t="str">
        <f t="shared" si="51"/>
        <v/>
      </c>
      <c r="AD50" s="179" t="str">
        <f t="shared" si="51"/>
        <v/>
      </c>
      <c r="AE50" s="179" t="str">
        <f t="shared" si="51"/>
        <v/>
      </c>
      <c r="AF50" s="179" t="str">
        <f t="shared" si="51"/>
        <v/>
      </c>
      <c r="AG50" s="179" t="str">
        <f t="shared" si="51"/>
        <v/>
      </c>
      <c r="AH50" s="179" t="str">
        <f t="shared" si="51"/>
        <v/>
      </c>
      <c r="AI50" s="179" t="str">
        <f t="shared" si="51"/>
        <v/>
      </c>
      <c r="AJ50" s="179" t="str">
        <f t="shared" si="51"/>
        <v/>
      </c>
      <c r="AK50" s="179" t="str">
        <f t="shared" si="51"/>
        <v/>
      </c>
      <c r="AL50" s="179" t="str">
        <f t="shared" si="51"/>
        <v/>
      </c>
      <c r="AM50" s="179" t="str">
        <f t="shared" si="51"/>
        <v/>
      </c>
      <c r="AN50" s="179" t="str">
        <f t="shared" si="51"/>
        <v/>
      </c>
      <c r="AO50" s="179" t="str">
        <f t="shared" si="51"/>
        <v/>
      </c>
      <c r="AP50" s="179" t="str">
        <f t="shared" si="51"/>
        <v/>
      </c>
      <c r="AQ50" s="179" t="str">
        <f t="shared" si="51"/>
        <v/>
      </c>
      <c r="AR50" s="179" t="str">
        <f t="shared" si="51"/>
        <v/>
      </c>
      <c r="AS50" s="179" t="str">
        <f t="shared" si="51"/>
        <v/>
      </c>
      <c r="AT50" s="179" t="str">
        <f t="shared" si="51"/>
        <v/>
      </c>
      <c r="AU50" s="179" t="str">
        <f t="shared" si="51"/>
        <v/>
      </c>
      <c r="AV50" s="179" t="str">
        <f t="shared" si="51"/>
        <v/>
      </c>
      <c r="AW50" s="179" t="str">
        <f t="shared" si="51"/>
        <v/>
      </c>
      <c r="AX50" s="179" t="str">
        <f t="shared" si="51"/>
        <v/>
      </c>
      <c r="AY50" s="179" t="str">
        <f t="shared" si="51"/>
        <v/>
      </c>
      <c r="AZ50" s="179" t="str">
        <f t="shared" si="51"/>
        <v/>
      </c>
      <c r="BA50" s="179" t="str">
        <f t="shared" si="51"/>
        <v/>
      </c>
      <c r="BB50" s="179" t="str">
        <f t="shared" si="51"/>
        <v/>
      </c>
    </row>
    <row r="51">
      <c r="A51" s="193" t="s">
        <v>673</v>
      </c>
      <c r="B51" s="105" t="s">
        <v>674</v>
      </c>
      <c r="C51" s="105" t="s">
        <v>696</v>
      </c>
      <c r="D51" s="192">
        <v>4505.0</v>
      </c>
      <c r="E51" s="185">
        <v>250.2</v>
      </c>
      <c r="F51" s="186">
        <v>45859.0</v>
      </c>
      <c r="G51" s="105" t="s">
        <v>664</v>
      </c>
      <c r="H51" s="83" t="s">
        <v>696</v>
      </c>
      <c r="I51" s="187" t="s">
        <v>92</v>
      </c>
      <c r="J51" s="188" t="b">
        <v>1</v>
      </c>
      <c r="K51" s="189">
        <f t="shared" si="3"/>
        <v>250.2</v>
      </c>
      <c r="L51" s="48" t="b">
        <f t="shared" si="4"/>
        <v>1</v>
      </c>
      <c r="M51" s="190">
        <f t="shared" si="5"/>
        <v>1</v>
      </c>
      <c r="N51" s="179">
        <f t="shared" ref="N51:BB51" si="52">IFERROR(IF(N$1=FALSE,, IF(IF(SEARCH(N$3,$I51,1)&gt;0,1,0)=1,$E51/$M51,)),"")</f>
        <v>250.2</v>
      </c>
      <c r="O51" s="179" t="str">
        <f t="shared" si="52"/>
        <v/>
      </c>
      <c r="P51" s="179" t="str">
        <f t="shared" si="52"/>
        <v/>
      </c>
      <c r="Q51" s="179" t="str">
        <f t="shared" si="52"/>
        <v/>
      </c>
      <c r="R51" s="179" t="str">
        <f t="shared" si="52"/>
        <v/>
      </c>
      <c r="S51" s="179" t="str">
        <f t="shared" si="52"/>
        <v/>
      </c>
      <c r="T51" s="179" t="str">
        <f t="shared" si="52"/>
        <v/>
      </c>
      <c r="U51" s="179" t="str">
        <f t="shared" si="52"/>
        <v/>
      </c>
      <c r="V51" s="179" t="str">
        <f t="shared" si="52"/>
        <v/>
      </c>
      <c r="W51" s="179" t="str">
        <f t="shared" si="52"/>
        <v/>
      </c>
      <c r="X51" s="179" t="str">
        <f t="shared" si="52"/>
        <v/>
      </c>
      <c r="Y51" s="179" t="str">
        <f t="shared" si="52"/>
        <v/>
      </c>
      <c r="Z51" s="179" t="str">
        <f t="shared" si="52"/>
        <v/>
      </c>
      <c r="AA51" s="179" t="str">
        <f t="shared" si="52"/>
        <v/>
      </c>
      <c r="AB51" s="179" t="str">
        <f t="shared" si="52"/>
        <v/>
      </c>
      <c r="AC51" s="179" t="str">
        <f t="shared" si="52"/>
        <v/>
      </c>
      <c r="AD51" s="179" t="str">
        <f t="shared" si="52"/>
        <v/>
      </c>
      <c r="AE51" s="179" t="str">
        <f t="shared" si="52"/>
        <v/>
      </c>
      <c r="AF51" s="179" t="str">
        <f t="shared" si="52"/>
        <v/>
      </c>
      <c r="AG51" s="179" t="str">
        <f t="shared" si="52"/>
        <v/>
      </c>
      <c r="AH51" s="179" t="str">
        <f t="shared" si="52"/>
        <v/>
      </c>
      <c r="AI51" s="179" t="str">
        <f t="shared" si="52"/>
        <v/>
      </c>
      <c r="AJ51" s="179" t="str">
        <f t="shared" si="52"/>
        <v/>
      </c>
      <c r="AK51" s="179" t="str">
        <f t="shared" si="52"/>
        <v/>
      </c>
      <c r="AL51" s="179" t="str">
        <f t="shared" si="52"/>
        <v/>
      </c>
      <c r="AM51" s="179" t="str">
        <f t="shared" si="52"/>
        <v/>
      </c>
      <c r="AN51" s="179" t="str">
        <f t="shared" si="52"/>
        <v/>
      </c>
      <c r="AO51" s="179" t="str">
        <f t="shared" si="52"/>
        <v/>
      </c>
      <c r="AP51" s="179" t="str">
        <f t="shared" si="52"/>
        <v/>
      </c>
      <c r="AQ51" s="179" t="str">
        <f t="shared" si="52"/>
        <v/>
      </c>
      <c r="AR51" s="179" t="str">
        <f t="shared" si="52"/>
        <v/>
      </c>
      <c r="AS51" s="179" t="str">
        <f t="shared" si="52"/>
        <v/>
      </c>
      <c r="AT51" s="179" t="str">
        <f t="shared" si="52"/>
        <v/>
      </c>
      <c r="AU51" s="179" t="str">
        <f t="shared" si="52"/>
        <v/>
      </c>
      <c r="AV51" s="179" t="str">
        <f t="shared" si="52"/>
        <v/>
      </c>
      <c r="AW51" s="179" t="str">
        <f t="shared" si="52"/>
        <v/>
      </c>
      <c r="AX51" s="179" t="str">
        <f t="shared" si="52"/>
        <v/>
      </c>
      <c r="AY51" s="179" t="str">
        <f t="shared" si="52"/>
        <v/>
      </c>
      <c r="AZ51" s="179" t="str">
        <f t="shared" si="52"/>
        <v/>
      </c>
      <c r="BA51" s="179" t="str">
        <f t="shared" si="52"/>
        <v/>
      </c>
      <c r="BB51" s="179" t="str">
        <f t="shared" si="52"/>
        <v/>
      </c>
    </row>
    <row r="52">
      <c r="A52" s="193" t="s">
        <v>673</v>
      </c>
      <c r="B52" s="105" t="s">
        <v>674</v>
      </c>
      <c r="C52" s="105" t="s">
        <v>696</v>
      </c>
      <c r="D52" s="192">
        <v>4562.0</v>
      </c>
      <c r="E52" s="185">
        <v>391.3</v>
      </c>
      <c r="F52" s="186">
        <v>45870.0</v>
      </c>
      <c r="G52" s="105" t="s">
        <v>664</v>
      </c>
      <c r="H52" s="83" t="s">
        <v>696</v>
      </c>
      <c r="I52" s="187" t="s">
        <v>730</v>
      </c>
      <c r="J52" s="188" t="b">
        <v>1</v>
      </c>
      <c r="K52" s="189">
        <f t="shared" si="3"/>
        <v>391.3</v>
      </c>
      <c r="L52" s="48" t="b">
        <f t="shared" si="4"/>
        <v>1</v>
      </c>
      <c r="M52" s="190">
        <f t="shared" si="5"/>
        <v>2</v>
      </c>
      <c r="N52" s="179" t="str">
        <f t="shared" ref="N52:BB52" si="53">IFERROR(IF(N$1=FALSE,, IF(IF(SEARCH(N$3,$I52,1)&gt;0,1,0)=1,$E52/$M52,)),"")</f>
        <v/>
      </c>
      <c r="O52" s="179" t="str">
        <f t="shared" si="53"/>
        <v/>
      </c>
      <c r="P52" s="179" t="str">
        <f t="shared" si="53"/>
        <v/>
      </c>
      <c r="Q52" s="179" t="str">
        <f t="shared" si="53"/>
        <v/>
      </c>
      <c r="R52" s="179">
        <f t="shared" si="53"/>
        <v>195.65</v>
      </c>
      <c r="S52" s="179" t="str">
        <f t="shared" si="53"/>
        <v/>
      </c>
      <c r="T52" s="179" t="str">
        <f t="shared" si="53"/>
        <v/>
      </c>
      <c r="U52" s="179" t="str">
        <f t="shared" si="53"/>
        <v/>
      </c>
      <c r="V52" s="179" t="str">
        <f t="shared" si="53"/>
        <v/>
      </c>
      <c r="W52" s="179">
        <f t="shared" si="53"/>
        <v>195.65</v>
      </c>
      <c r="X52" s="179" t="str">
        <f t="shared" si="53"/>
        <v/>
      </c>
      <c r="Y52" s="179" t="str">
        <f t="shared" si="53"/>
        <v/>
      </c>
      <c r="Z52" s="179" t="str">
        <f t="shared" si="53"/>
        <v/>
      </c>
      <c r="AA52" s="179" t="str">
        <f t="shared" si="53"/>
        <v/>
      </c>
      <c r="AB52" s="179" t="str">
        <f t="shared" si="53"/>
        <v/>
      </c>
      <c r="AC52" s="179" t="str">
        <f t="shared" si="53"/>
        <v/>
      </c>
      <c r="AD52" s="179" t="str">
        <f t="shared" si="53"/>
        <v/>
      </c>
      <c r="AE52" s="179" t="str">
        <f t="shared" si="53"/>
        <v/>
      </c>
      <c r="AF52" s="179" t="str">
        <f t="shared" si="53"/>
        <v/>
      </c>
      <c r="AG52" s="179" t="str">
        <f t="shared" si="53"/>
        <v/>
      </c>
      <c r="AH52" s="179" t="str">
        <f t="shared" si="53"/>
        <v/>
      </c>
      <c r="AI52" s="179" t="str">
        <f t="shared" si="53"/>
        <v/>
      </c>
      <c r="AJ52" s="179" t="str">
        <f t="shared" si="53"/>
        <v/>
      </c>
      <c r="AK52" s="179" t="str">
        <f t="shared" si="53"/>
        <v/>
      </c>
      <c r="AL52" s="179" t="str">
        <f t="shared" si="53"/>
        <v/>
      </c>
      <c r="AM52" s="179" t="str">
        <f t="shared" si="53"/>
        <v/>
      </c>
      <c r="AN52" s="179" t="str">
        <f t="shared" si="53"/>
        <v/>
      </c>
      <c r="AO52" s="179" t="str">
        <f t="shared" si="53"/>
        <v/>
      </c>
      <c r="AP52" s="179" t="str">
        <f t="shared" si="53"/>
        <v/>
      </c>
      <c r="AQ52" s="179" t="str">
        <f t="shared" si="53"/>
        <v/>
      </c>
      <c r="AR52" s="179" t="str">
        <f t="shared" si="53"/>
        <v/>
      </c>
      <c r="AS52" s="179" t="str">
        <f t="shared" si="53"/>
        <v/>
      </c>
      <c r="AT52" s="179" t="str">
        <f t="shared" si="53"/>
        <v/>
      </c>
      <c r="AU52" s="179" t="str">
        <f t="shared" si="53"/>
        <v/>
      </c>
      <c r="AV52" s="179" t="str">
        <f t="shared" si="53"/>
        <v/>
      </c>
      <c r="AW52" s="179" t="str">
        <f t="shared" si="53"/>
        <v/>
      </c>
      <c r="AX52" s="179" t="str">
        <f t="shared" si="53"/>
        <v/>
      </c>
      <c r="AY52" s="179" t="str">
        <f t="shared" si="53"/>
        <v/>
      </c>
      <c r="AZ52" s="179" t="str">
        <f t="shared" si="53"/>
        <v/>
      </c>
      <c r="BA52" s="179" t="str">
        <f t="shared" si="53"/>
        <v/>
      </c>
      <c r="BB52" s="179" t="str">
        <f t="shared" si="53"/>
        <v/>
      </c>
    </row>
    <row r="53">
      <c r="A53" s="193" t="s">
        <v>661</v>
      </c>
      <c r="B53" s="105" t="s">
        <v>662</v>
      </c>
      <c r="C53" s="105" t="s">
        <v>698</v>
      </c>
      <c r="D53" s="192">
        <v>124611.0</v>
      </c>
      <c r="E53" s="185">
        <v>47921.43</v>
      </c>
      <c r="F53" s="186">
        <v>45894.0</v>
      </c>
      <c r="G53" s="105" t="s">
        <v>664</v>
      </c>
      <c r="H53" s="83" t="s">
        <v>698</v>
      </c>
      <c r="I53" s="187" t="s">
        <v>731</v>
      </c>
      <c r="J53" s="188" t="b">
        <v>1</v>
      </c>
      <c r="K53" s="189">
        <f t="shared" si="3"/>
        <v>47921.43</v>
      </c>
      <c r="L53" s="48" t="b">
        <f t="shared" si="4"/>
        <v>1</v>
      </c>
      <c r="M53" s="190">
        <f t="shared" si="5"/>
        <v>4</v>
      </c>
      <c r="N53" s="179" t="str">
        <f t="shared" ref="N53:BB53" si="54">IFERROR(IF(N$1=FALSE,, IF(IF(SEARCH(N$3,$I53,1)&gt;0,1,0)=1,$E53/$M53,)),"")</f>
        <v/>
      </c>
      <c r="O53" s="179" t="str">
        <f t="shared" si="54"/>
        <v/>
      </c>
      <c r="P53" s="179">
        <f t="shared" si="54"/>
        <v>11980.3575</v>
      </c>
      <c r="Q53" s="179" t="str">
        <f t="shared" si="54"/>
        <v/>
      </c>
      <c r="R53" s="179">
        <f t="shared" si="54"/>
        <v>11980.3575</v>
      </c>
      <c r="S53" s="179" t="str">
        <f t="shared" si="54"/>
        <v/>
      </c>
      <c r="T53" s="179" t="str">
        <f t="shared" si="54"/>
        <v/>
      </c>
      <c r="U53" s="179">
        <f t="shared" si="54"/>
        <v>11980.3575</v>
      </c>
      <c r="V53" s="179" t="str">
        <f t="shared" si="54"/>
        <v/>
      </c>
      <c r="W53" s="179">
        <f t="shared" si="54"/>
        <v>11980.3575</v>
      </c>
      <c r="X53" s="179" t="str">
        <f t="shared" si="54"/>
        <v/>
      </c>
      <c r="Y53" s="179" t="str">
        <f t="shared" si="54"/>
        <v/>
      </c>
      <c r="Z53" s="179" t="str">
        <f t="shared" si="54"/>
        <v/>
      </c>
      <c r="AA53" s="179" t="str">
        <f t="shared" si="54"/>
        <v/>
      </c>
      <c r="AB53" s="179" t="str">
        <f t="shared" si="54"/>
        <v/>
      </c>
      <c r="AC53" s="179" t="str">
        <f t="shared" si="54"/>
        <v/>
      </c>
      <c r="AD53" s="179" t="str">
        <f t="shared" si="54"/>
        <v/>
      </c>
      <c r="AE53" s="179" t="str">
        <f t="shared" si="54"/>
        <v/>
      </c>
      <c r="AF53" s="179" t="str">
        <f t="shared" si="54"/>
        <v/>
      </c>
      <c r="AG53" s="179" t="str">
        <f t="shared" si="54"/>
        <v/>
      </c>
      <c r="AH53" s="179" t="str">
        <f t="shared" si="54"/>
        <v/>
      </c>
      <c r="AI53" s="179" t="str">
        <f t="shared" si="54"/>
        <v/>
      </c>
      <c r="AJ53" s="179" t="str">
        <f t="shared" si="54"/>
        <v/>
      </c>
      <c r="AK53" s="179" t="str">
        <f t="shared" si="54"/>
        <v/>
      </c>
      <c r="AL53" s="179" t="str">
        <f t="shared" si="54"/>
        <v/>
      </c>
      <c r="AM53" s="179" t="str">
        <f t="shared" si="54"/>
        <v/>
      </c>
      <c r="AN53" s="179" t="str">
        <f t="shared" si="54"/>
        <v/>
      </c>
      <c r="AO53" s="179" t="str">
        <f t="shared" si="54"/>
        <v/>
      </c>
      <c r="AP53" s="179" t="str">
        <f t="shared" si="54"/>
        <v/>
      </c>
      <c r="AQ53" s="179" t="str">
        <f t="shared" si="54"/>
        <v/>
      </c>
      <c r="AR53" s="179" t="str">
        <f t="shared" si="54"/>
        <v/>
      </c>
      <c r="AS53" s="179" t="str">
        <f t="shared" si="54"/>
        <v/>
      </c>
      <c r="AT53" s="179" t="str">
        <f t="shared" si="54"/>
        <v/>
      </c>
      <c r="AU53" s="179" t="str">
        <f t="shared" si="54"/>
        <v/>
      </c>
      <c r="AV53" s="179" t="str">
        <f t="shared" si="54"/>
        <v/>
      </c>
      <c r="AW53" s="179" t="str">
        <f t="shared" si="54"/>
        <v/>
      </c>
      <c r="AX53" s="179" t="str">
        <f t="shared" si="54"/>
        <v/>
      </c>
      <c r="AY53" s="179" t="str">
        <f t="shared" si="54"/>
        <v/>
      </c>
      <c r="AZ53" s="179" t="str">
        <f t="shared" si="54"/>
        <v/>
      </c>
      <c r="BA53" s="179" t="str">
        <f t="shared" si="54"/>
        <v/>
      </c>
      <c r="BB53" s="179" t="str">
        <f t="shared" si="54"/>
        <v/>
      </c>
    </row>
    <row r="54">
      <c r="A54" s="193" t="s">
        <v>732</v>
      </c>
      <c r="B54" s="105" t="s">
        <v>733</v>
      </c>
      <c r="C54" s="105" t="s">
        <v>734</v>
      </c>
      <c r="D54" s="192">
        <v>1511.0</v>
      </c>
      <c r="E54" s="185">
        <v>245.83</v>
      </c>
      <c r="F54" s="186">
        <v>45887.0</v>
      </c>
      <c r="G54" s="105" t="s">
        <v>664</v>
      </c>
      <c r="H54" s="83" t="s">
        <v>734</v>
      </c>
      <c r="I54" s="187" t="s">
        <v>171</v>
      </c>
      <c r="J54" s="188" t="b">
        <v>1</v>
      </c>
      <c r="K54" s="189">
        <f t="shared" si="3"/>
        <v>0</v>
      </c>
      <c r="L54" s="48" t="b">
        <f t="shared" si="4"/>
        <v>0</v>
      </c>
      <c r="M54" s="190">
        <f t="shared" si="5"/>
        <v>1</v>
      </c>
      <c r="N54" s="179" t="str">
        <f t="shared" ref="N54:BB54" si="55">IFERROR(IF(N$1=FALSE,, IF(IF(SEARCH(N$3,$I54,1)&gt;0,1,0)=1,$E54/$M54,)),"")</f>
        <v/>
      </c>
      <c r="O54" s="179" t="str">
        <f t="shared" si="55"/>
        <v/>
      </c>
      <c r="P54" s="179" t="str">
        <f t="shared" si="55"/>
        <v/>
      </c>
      <c r="Q54" s="179" t="str">
        <f t="shared" si="55"/>
        <v/>
      </c>
      <c r="R54" s="179" t="str">
        <f t="shared" si="55"/>
        <v/>
      </c>
      <c r="S54" s="179" t="str">
        <f t="shared" si="55"/>
        <v/>
      </c>
      <c r="T54" s="179" t="str">
        <f t="shared" si="55"/>
        <v/>
      </c>
      <c r="U54" s="179" t="str">
        <f t="shared" si="55"/>
        <v/>
      </c>
      <c r="V54" s="179" t="str">
        <f t="shared" si="55"/>
        <v/>
      </c>
      <c r="W54" s="179" t="str">
        <f t="shared" si="55"/>
        <v/>
      </c>
      <c r="X54" s="179" t="str">
        <f t="shared" si="55"/>
        <v/>
      </c>
      <c r="Y54" s="179" t="str">
        <f t="shared" si="55"/>
        <v/>
      </c>
      <c r="Z54" s="179" t="str">
        <f t="shared" si="55"/>
        <v/>
      </c>
      <c r="AA54" s="179" t="str">
        <f t="shared" si="55"/>
        <v/>
      </c>
      <c r="AB54" s="179" t="str">
        <f t="shared" si="55"/>
        <v/>
      </c>
      <c r="AC54" s="179" t="str">
        <f t="shared" si="55"/>
        <v/>
      </c>
      <c r="AD54" s="179" t="str">
        <f t="shared" si="55"/>
        <v/>
      </c>
      <c r="AE54" s="179" t="str">
        <f t="shared" si="55"/>
        <v/>
      </c>
      <c r="AF54" s="179" t="str">
        <f t="shared" si="55"/>
        <v/>
      </c>
      <c r="AG54" s="179" t="str">
        <f t="shared" si="55"/>
        <v/>
      </c>
      <c r="AH54" s="179" t="str">
        <f t="shared" si="55"/>
        <v/>
      </c>
      <c r="AI54" s="179" t="str">
        <f t="shared" si="55"/>
        <v/>
      </c>
      <c r="AJ54" s="179" t="str">
        <f t="shared" si="55"/>
        <v/>
      </c>
      <c r="AK54" s="179" t="str">
        <f t="shared" si="55"/>
        <v/>
      </c>
      <c r="AL54" s="179" t="str">
        <f t="shared" si="55"/>
        <v/>
      </c>
      <c r="AM54" s="179" t="str">
        <f t="shared" si="55"/>
        <v/>
      </c>
      <c r="AN54" s="179" t="str">
        <f t="shared" si="55"/>
        <v/>
      </c>
      <c r="AO54" s="179" t="str">
        <f t="shared" si="55"/>
        <v/>
      </c>
      <c r="AP54" s="179" t="str">
        <f t="shared" si="55"/>
        <v/>
      </c>
      <c r="AQ54" s="179" t="str">
        <f t="shared" si="55"/>
        <v/>
      </c>
      <c r="AR54" s="179" t="str">
        <f t="shared" si="55"/>
        <v/>
      </c>
      <c r="AS54" s="179" t="str">
        <f t="shared" si="55"/>
        <v/>
      </c>
      <c r="AT54" s="179" t="str">
        <f t="shared" si="55"/>
        <v/>
      </c>
      <c r="AU54" s="179" t="str">
        <f t="shared" si="55"/>
        <v/>
      </c>
      <c r="AV54" s="179" t="str">
        <f t="shared" si="55"/>
        <v/>
      </c>
      <c r="AW54" s="179" t="str">
        <f t="shared" si="55"/>
        <v/>
      </c>
      <c r="AX54" s="179" t="str">
        <f t="shared" si="55"/>
        <v/>
      </c>
      <c r="AY54" s="179" t="str">
        <f t="shared" si="55"/>
        <v/>
      </c>
      <c r="AZ54" s="179" t="str">
        <f t="shared" si="55"/>
        <v/>
      </c>
      <c r="BA54" s="179" t="str">
        <f t="shared" si="55"/>
        <v/>
      </c>
      <c r="BB54" s="179" t="str">
        <f t="shared" si="55"/>
        <v/>
      </c>
    </row>
    <row r="55">
      <c r="A55" s="193" t="s">
        <v>661</v>
      </c>
      <c r="B55" s="105" t="s">
        <v>662</v>
      </c>
      <c r="C55" s="105" t="s">
        <v>735</v>
      </c>
      <c r="D55" s="192">
        <v>124382.0</v>
      </c>
      <c r="E55" s="185">
        <v>2507.81</v>
      </c>
      <c r="F55" s="186">
        <v>45887.0</v>
      </c>
      <c r="G55" s="105" t="s">
        <v>664</v>
      </c>
      <c r="H55" s="83" t="s">
        <v>735</v>
      </c>
      <c r="I55" s="187" t="s">
        <v>106</v>
      </c>
      <c r="J55" s="188" t="b">
        <v>1</v>
      </c>
      <c r="K55" s="189">
        <f t="shared" si="3"/>
        <v>2507.81</v>
      </c>
      <c r="L55" s="48" t="b">
        <f t="shared" si="4"/>
        <v>1</v>
      </c>
      <c r="M55" s="190">
        <f t="shared" si="5"/>
        <v>1</v>
      </c>
      <c r="N55" s="179" t="str">
        <f t="shared" ref="N55:BB55" si="56">IFERROR(IF(N$1=FALSE,, IF(IF(SEARCH(N$3,$I55,1)&gt;0,1,0)=1,$E55/$M55,)),"")</f>
        <v/>
      </c>
      <c r="O55" s="179" t="str">
        <f t="shared" si="56"/>
        <v/>
      </c>
      <c r="P55" s="179" t="str">
        <f t="shared" si="56"/>
        <v/>
      </c>
      <c r="Q55" s="179" t="str">
        <f t="shared" si="56"/>
        <v/>
      </c>
      <c r="R55" s="179">
        <f t="shared" si="56"/>
        <v>2507.81</v>
      </c>
      <c r="S55" s="179" t="str">
        <f t="shared" si="56"/>
        <v/>
      </c>
      <c r="T55" s="179" t="str">
        <f t="shared" si="56"/>
        <v/>
      </c>
      <c r="U55" s="179" t="str">
        <f t="shared" si="56"/>
        <v/>
      </c>
      <c r="V55" s="179" t="str">
        <f t="shared" si="56"/>
        <v/>
      </c>
      <c r="W55" s="179" t="str">
        <f t="shared" si="56"/>
        <v/>
      </c>
      <c r="X55" s="179" t="str">
        <f t="shared" si="56"/>
        <v/>
      </c>
      <c r="Y55" s="179" t="str">
        <f t="shared" si="56"/>
        <v/>
      </c>
      <c r="Z55" s="179" t="str">
        <f t="shared" si="56"/>
        <v/>
      </c>
      <c r="AA55" s="179" t="str">
        <f t="shared" si="56"/>
        <v/>
      </c>
      <c r="AB55" s="179" t="str">
        <f t="shared" si="56"/>
        <v/>
      </c>
      <c r="AC55" s="179" t="str">
        <f t="shared" si="56"/>
        <v/>
      </c>
      <c r="AD55" s="179" t="str">
        <f t="shared" si="56"/>
        <v/>
      </c>
      <c r="AE55" s="179" t="str">
        <f t="shared" si="56"/>
        <v/>
      </c>
      <c r="AF55" s="179" t="str">
        <f t="shared" si="56"/>
        <v/>
      </c>
      <c r="AG55" s="179" t="str">
        <f t="shared" si="56"/>
        <v/>
      </c>
      <c r="AH55" s="179" t="str">
        <f t="shared" si="56"/>
        <v/>
      </c>
      <c r="AI55" s="179" t="str">
        <f t="shared" si="56"/>
        <v/>
      </c>
      <c r="AJ55" s="179" t="str">
        <f t="shared" si="56"/>
        <v/>
      </c>
      <c r="AK55" s="179" t="str">
        <f t="shared" si="56"/>
        <v/>
      </c>
      <c r="AL55" s="179" t="str">
        <f t="shared" si="56"/>
        <v/>
      </c>
      <c r="AM55" s="179" t="str">
        <f t="shared" si="56"/>
        <v/>
      </c>
      <c r="AN55" s="179" t="str">
        <f t="shared" si="56"/>
        <v/>
      </c>
      <c r="AO55" s="179" t="str">
        <f t="shared" si="56"/>
        <v/>
      </c>
      <c r="AP55" s="179" t="str">
        <f t="shared" si="56"/>
        <v/>
      </c>
      <c r="AQ55" s="179" t="str">
        <f t="shared" si="56"/>
        <v/>
      </c>
      <c r="AR55" s="179" t="str">
        <f t="shared" si="56"/>
        <v/>
      </c>
      <c r="AS55" s="179" t="str">
        <f t="shared" si="56"/>
        <v/>
      </c>
      <c r="AT55" s="179" t="str">
        <f t="shared" si="56"/>
        <v/>
      </c>
      <c r="AU55" s="179" t="str">
        <f t="shared" si="56"/>
        <v/>
      </c>
      <c r="AV55" s="179" t="str">
        <f t="shared" si="56"/>
        <v/>
      </c>
      <c r="AW55" s="179" t="str">
        <f t="shared" si="56"/>
        <v/>
      </c>
      <c r="AX55" s="179" t="str">
        <f t="shared" si="56"/>
        <v/>
      </c>
      <c r="AY55" s="179" t="str">
        <f t="shared" si="56"/>
        <v/>
      </c>
      <c r="AZ55" s="179" t="str">
        <f t="shared" si="56"/>
        <v/>
      </c>
      <c r="BA55" s="179" t="str">
        <f t="shared" si="56"/>
        <v/>
      </c>
      <c r="BB55" s="179" t="str">
        <f t="shared" si="56"/>
        <v/>
      </c>
    </row>
    <row r="56">
      <c r="A56" s="193" t="s">
        <v>661</v>
      </c>
      <c r="B56" s="105" t="s">
        <v>662</v>
      </c>
      <c r="C56" s="105" t="s">
        <v>736</v>
      </c>
      <c r="D56" s="192">
        <v>124333.0</v>
      </c>
      <c r="E56" s="185">
        <v>3013.69</v>
      </c>
      <c r="F56" s="186">
        <v>45884.0</v>
      </c>
      <c r="G56" s="105" t="s">
        <v>664</v>
      </c>
      <c r="H56" s="83" t="s">
        <v>736</v>
      </c>
      <c r="I56" s="187" t="s">
        <v>124</v>
      </c>
      <c r="J56" s="188" t="b">
        <v>1</v>
      </c>
      <c r="K56" s="189">
        <f t="shared" si="3"/>
        <v>3013.69</v>
      </c>
      <c r="L56" s="48" t="b">
        <f t="shared" si="4"/>
        <v>1</v>
      </c>
      <c r="M56" s="190">
        <f t="shared" si="5"/>
        <v>1</v>
      </c>
      <c r="N56" s="179" t="str">
        <f t="shared" ref="N56:BB56" si="57">IFERROR(IF(N$1=FALSE,, IF(IF(SEARCH(N$3,$I56,1)&gt;0,1,0)=1,$E56/$M56,)),"")</f>
        <v/>
      </c>
      <c r="O56" s="179" t="str">
        <f t="shared" si="57"/>
        <v/>
      </c>
      <c r="P56" s="179" t="str">
        <f t="shared" si="57"/>
        <v/>
      </c>
      <c r="Q56" s="179" t="str">
        <f t="shared" si="57"/>
        <v/>
      </c>
      <c r="R56" s="179" t="str">
        <f t="shared" si="57"/>
        <v/>
      </c>
      <c r="S56" s="179" t="str">
        <f t="shared" si="57"/>
        <v/>
      </c>
      <c r="T56" s="179" t="str">
        <f t="shared" si="57"/>
        <v/>
      </c>
      <c r="U56" s="179" t="str">
        <f t="shared" si="57"/>
        <v/>
      </c>
      <c r="V56" s="179" t="str">
        <f t="shared" si="57"/>
        <v/>
      </c>
      <c r="W56" s="179">
        <f t="shared" si="57"/>
        <v>3013.69</v>
      </c>
      <c r="X56" s="179" t="str">
        <f t="shared" si="57"/>
        <v/>
      </c>
      <c r="Y56" s="179" t="str">
        <f t="shared" si="57"/>
        <v/>
      </c>
      <c r="Z56" s="179" t="str">
        <f t="shared" si="57"/>
        <v/>
      </c>
      <c r="AA56" s="179" t="str">
        <f t="shared" si="57"/>
        <v/>
      </c>
      <c r="AB56" s="179" t="str">
        <f t="shared" si="57"/>
        <v/>
      </c>
      <c r="AC56" s="179" t="str">
        <f t="shared" si="57"/>
        <v/>
      </c>
      <c r="AD56" s="179" t="str">
        <f t="shared" si="57"/>
        <v/>
      </c>
      <c r="AE56" s="179" t="str">
        <f t="shared" si="57"/>
        <v/>
      </c>
      <c r="AF56" s="179" t="str">
        <f t="shared" si="57"/>
        <v/>
      </c>
      <c r="AG56" s="179" t="str">
        <f t="shared" si="57"/>
        <v/>
      </c>
      <c r="AH56" s="179" t="str">
        <f t="shared" si="57"/>
        <v/>
      </c>
      <c r="AI56" s="179" t="str">
        <f t="shared" si="57"/>
        <v/>
      </c>
      <c r="AJ56" s="179" t="str">
        <f t="shared" si="57"/>
        <v/>
      </c>
      <c r="AK56" s="179" t="str">
        <f t="shared" si="57"/>
        <v/>
      </c>
      <c r="AL56" s="179" t="str">
        <f t="shared" si="57"/>
        <v/>
      </c>
      <c r="AM56" s="179" t="str">
        <f t="shared" si="57"/>
        <v/>
      </c>
      <c r="AN56" s="179" t="str">
        <f t="shared" si="57"/>
        <v/>
      </c>
      <c r="AO56" s="179" t="str">
        <f t="shared" si="57"/>
        <v/>
      </c>
      <c r="AP56" s="179" t="str">
        <f t="shared" si="57"/>
        <v/>
      </c>
      <c r="AQ56" s="179" t="str">
        <f t="shared" si="57"/>
        <v/>
      </c>
      <c r="AR56" s="179" t="str">
        <f t="shared" si="57"/>
        <v/>
      </c>
      <c r="AS56" s="179" t="str">
        <f t="shared" si="57"/>
        <v/>
      </c>
      <c r="AT56" s="179" t="str">
        <f t="shared" si="57"/>
        <v/>
      </c>
      <c r="AU56" s="179" t="str">
        <f t="shared" si="57"/>
        <v/>
      </c>
      <c r="AV56" s="179" t="str">
        <f t="shared" si="57"/>
        <v/>
      </c>
      <c r="AW56" s="179" t="str">
        <f t="shared" si="57"/>
        <v/>
      </c>
      <c r="AX56" s="179" t="str">
        <f t="shared" si="57"/>
        <v/>
      </c>
      <c r="AY56" s="179" t="str">
        <f t="shared" si="57"/>
        <v/>
      </c>
      <c r="AZ56" s="179" t="str">
        <f t="shared" si="57"/>
        <v/>
      </c>
      <c r="BA56" s="179" t="str">
        <f t="shared" si="57"/>
        <v/>
      </c>
      <c r="BB56" s="179" t="str">
        <f t="shared" si="57"/>
        <v/>
      </c>
    </row>
    <row r="57">
      <c r="A57" s="193" t="s">
        <v>724</v>
      </c>
      <c r="B57" s="105" t="s">
        <v>725</v>
      </c>
      <c r="C57" s="105" t="s">
        <v>726</v>
      </c>
      <c r="D57" s="192">
        <v>41515.0</v>
      </c>
      <c r="E57" s="185">
        <v>932.0</v>
      </c>
      <c r="F57" s="186">
        <v>45910.0</v>
      </c>
      <c r="G57" s="105" t="s">
        <v>664</v>
      </c>
      <c r="H57" s="83" t="s">
        <v>726</v>
      </c>
      <c r="I57" s="187" t="s">
        <v>171</v>
      </c>
      <c r="J57" s="188" t="b">
        <v>1</v>
      </c>
      <c r="K57" s="189">
        <f t="shared" si="3"/>
        <v>0</v>
      </c>
      <c r="L57" s="48" t="b">
        <f t="shared" si="4"/>
        <v>0</v>
      </c>
      <c r="M57" s="190">
        <f t="shared" si="5"/>
        <v>1</v>
      </c>
      <c r="N57" s="179" t="str">
        <f t="shared" ref="N57:BB57" si="58">IFERROR(IF(N$1=FALSE,, IF(IF(SEARCH(N$3,$I57,1)&gt;0,1,0)=1,$E57/$M57,)),"")</f>
        <v/>
      </c>
      <c r="O57" s="179" t="str">
        <f t="shared" si="58"/>
        <v/>
      </c>
      <c r="P57" s="179" t="str">
        <f t="shared" si="58"/>
        <v/>
      </c>
      <c r="Q57" s="179" t="str">
        <f t="shared" si="58"/>
        <v/>
      </c>
      <c r="R57" s="179" t="str">
        <f t="shared" si="58"/>
        <v/>
      </c>
      <c r="S57" s="179" t="str">
        <f t="shared" si="58"/>
        <v/>
      </c>
      <c r="T57" s="179" t="str">
        <f t="shared" si="58"/>
        <v/>
      </c>
      <c r="U57" s="179" t="str">
        <f t="shared" si="58"/>
        <v/>
      </c>
      <c r="V57" s="179" t="str">
        <f t="shared" si="58"/>
        <v/>
      </c>
      <c r="W57" s="179" t="str">
        <f t="shared" si="58"/>
        <v/>
      </c>
      <c r="X57" s="179" t="str">
        <f t="shared" si="58"/>
        <v/>
      </c>
      <c r="Y57" s="179" t="str">
        <f t="shared" si="58"/>
        <v/>
      </c>
      <c r="Z57" s="179" t="str">
        <f t="shared" si="58"/>
        <v/>
      </c>
      <c r="AA57" s="179" t="str">
        <f t="shared" si="58"/>
        <v/>
      </c>
      <c r="AB57" s="179" t="str">
        <f t="shared" si="58"/>
        <v/>
      </c>
      <c r="AC57" s="179" t="str">
        <f t="shared" si="58"/>
        <v/>
      </c>
      <c r="AD57" s="179" t="str">
        <f t="shared" si="58"/>
        <v/>
      </c>
      <c r="AE57" s="179" t="str">
        <f t="shared" si="58"/>
        <v/>
      </c>
      <c r="AF57" s="179" t="str">
        <f t="shared" si="58"/>
        <v/>
      </c>
      <c r="AG57" s="179" t="str">
        <f t="shared" si="58"/>
        <v/>
      </c>
      <c r="AH57" s="179" t="str">
        <f t="shared" si="58"/>
        <v/>
      </c>
      <c r="AI57" s="179" t="str">
        <f t="shared" si="58"/>
        <v/>
      </c>
      <c r="AJ57" s="179" t="str">
        <f t="shared" si="58"/>
        <v/>
      </c>
      <c r="AK57" s="179" t="str">
        <f t="shared" si="58"/>
        <v/>
      </c>
      <c r="AL57" s="179" t="str">
        <f t="shared" si="58"/>
        <v/>
      </c>
      <c r="AM57" s="179" t="str">
        <f t="shared" si="58"/>
        <v/>
      </c>
      <c r="AN57" s="179" t="str">
        <f t="shared" si="58"/>
        <v/>
      </c>
      <c r="AO57" s="179" t="str">
        <f t="shared" si="58"/>
        <v/>
      </c>
      <c r="AP57" s="179" t="str">
        <f t="shared" si="58"/>
        <v/>
      </c>
      <c r="AQ57" s="179" t="str">
        <f t="shared" si="58"/>
        <v/>
      </c>
      <c r="AR57" s="179" t="str">
        <f t="shared" si="58"/>
        <v/>
      </c>
      <c r="AS57" s="179" t="str">
        <f t="shared" si="58"/>
        <v/>
      </c>
      <c r="AT57" s="179" t="str">
        <f t="shared" si="58"/>
        <v/>
      </c>
      <c r="AU57" s="179" t="str">
        <f t="shared" si="58"/>
        <v/>
      </c>
      <c r="AV57" s="179" t="str">
        <f t="shared" si="58"/>
        <v/>
      </c>
      <c r="AW57" s="179" t="str">
        <f t="shared" si="58"/>
        <v/>
      </c>
      <c r="AX57" s="179" t="str">
        <f t="shared" si="58"/>
        <v/>
      </c>
      <c r="AY57" s="179" t="str">
        <f t="shared" si="58"/>
        <v/>
      </c>
      <c r="AZ57" s="179" t="str">
        <f t="shared" si="58"/>
        <v/>
      </c>
      <c r="BA57" s="179" t="str">
        <f t="shared" si="58"/>
        <v/>
      </c>
      <c r="BB57" s="179" t="str">
        <f t="shared" si="58"/>
        <v/>
      </c>
    </row>
    <row r="58">
      <c r="A58" s="193" t="s">
        <v>661</v>
      </c>
      <c r="B58" s="105" t="s">
        <v>662</v>
      </c>
      <c r="C58" s="105" t="s">
        <v>737</v>
      </c>
      <c r="D58" s="192">
        <v>125141.0</v>
      </c>
      <c r="E58" s="185">
        <v>160.84</v>
      </c>
      <c r="F58" s="186">
        <v>45909.0</v>
      </c>
      <c r="G58" s="105" t="s">
        <v>664</v>
      </c>
      <c r="H58" s="83" t="s">
        <v>737</v>
      </c>
      <c r="I58" s="187" t="s">
        <v>171</v>
      </c>
      <c r="J58" s="188" t="b">
        <v>1</v>
      </c>
      <c r="K58" s="189">
        <f t="shared" si="3"/>
        <v>0</v>
      </c>
      <c r="L58" s="48" t="b">
        <f t="shared" si="4"/>
        <v>0</v>
      </c>
      <c r="M58" s="190">
        <f t="shared" si="5"/>
        <v>1</v>
      </c>
      <c r="N58" s="179" t="str">
        <f t="shared" ref="N58:BB58" si="59">IFERROR(IF(N$1=FALSE,, IF(IF(SEARCH(N$3,$I58,1)&gt;0,1,0)=1,$E58/$M58,)),"")</f>
        <v/>
      </c>
      <c r="O58" s="179" t="str">
        <f t="shared" si="59"/>
        <v/>
      </c>
      <c r="P58" s="179" t="str">
        <f t="shared" si="59"/>
        <v/>
      </c>
      <c r="Q58" s="179" t="str">
        <f t="shared" si="59"/>
        <v/>
      </c>
      <c r="R58" s="179" t="str">
        <f t="shared" si="59"/>
        <v/>
      </c>
      <c r="S58" s="179" t="str">
        <f t="shared" si="59"/>
        <v/>
      </c>
      <c r="T58" s="179" t="str">
        <f t="shared" si="59"/>
        <v/>
      </c>
      <c r="U58" s="179" t="str">
        <f t="shared" si="59"/>
        <v/>
      </c>
      <c r="V58" s="179" t="str">
        <f t="shared" si="59"/>
        <v/>
      </c>
      <c r="W58" s="179" t="str">
        <f t="shared" si="59"/>
        <v/>
      </c>
      <c r="X58" s="179" t="str">
        <f t="shared" si="59"/>
        <v/>
      </c>
      <c r="Y58" s="179" t="str">
        <f t="shared" si="59"/>
        <v/>
      </c>
      <c r="Z58" s="179" t="str">
        <f t="shared" si="59"/>
        <v/>
      </c>
      <c r="AA58" s="179" t="str">
        <f t="shared" si="59"/>
        <v/>
      </c>
      <c r="AB58" s="179" t="str">
        <f t="shared" si="59"/>
        <v/>
      </c>
      <c r="AC58" s="179" t="str">
        <f t="shared" si="59"/>
        <v/>
      </c>
      <c r="AD58" s="179" t="str">
        <f t="shared" si="59"/>
        <v/>
      </c>
      <c r="AE58" s="179" t="str">
        <f t="shared" si="59"/>
        <v/>
      </c>
      <c r="AF58" s="179" t="str">
        <f t="shared" si="59"/>
        <v/>
      </c>
      <c r="AG58" s="179" t="str">
        <f t="shared" si="59"/>
        <v/>
      </c>
      <c r="AH58" s="179" t="str">
        <f t="shared" si="59"/>
        <v/>
      </c>
      <c r="AI58" s="179" t="str">
        <f t="shared" si="59"/>
        <v/>
      </c>
      <c r="AJ58" s="179" t="str">
        <f t="shared" si="59"/>
        <v/>
      </c>
      <c r="AK58" s="179" t="str">
        <f t="shared" si="59"/>
        <v/>
      </c>
      <c r="AL58" s="179" t="str">
        <f t="shared" si="59"/>
        <v/>
      </c>
      <c r="AM58" s="179" t="str">
        <f t="shared" si="59"/>
        <v/>
      </c>
      <c r="AN58" s="179" t="str">
        <f t="shared" si="59"/>
        <v/>
      </c>
      <c r="AO58" s="179" t="str">
        <f t="shared" si="59"/>
        <v/>
      </c>
      <c r="AP58" s="179" t="str">
        <f t="shared" si="59"/>
        <v/>
      </c>
      <c r="AQ58" s="179" t="str">
        <f t="shared" si="59"/>
        <v/>
      </c>
      <c r="AR58" s="179" t="str">
        <f t="shared" si="59"/>
        <v/>
      </c>
      <c r="AS58" s="179" t="str">
        <f t="shared" si="59"/>
        <v/>
      </c>
      <c r="AT58" s="179" t="str">
        <f t="shared" si="59"/>
        <v/>
      </c>
      <c r="AU58" s="179" t="str">
        <f t="shared" si="59"/>
        <v/>
      </c>
      <c r="AV58" s="179" t="str">
        <f t="shared" si="59"/>
        <v/>
      </c>
      <c r="AW58" s="179" t="str">
        <f t="shared" si="59"/>
        <v/>
      </c>
      <c r="AX58" s="179" t="str">
        <f t="shared" si="59"/>
        <v/>
      </c>
      <c r="AY58" s="179" t="str">
        <f t="shared" si="59"/>
        <v/>
      </c>
      <c r="AZ58" s="179" t="str">
        <f t="shared" si="59"/>
        <v/>
      </c>
      <c r="BA58" s="179" t="str">
        <f t="shared" si="59"/>
        <v/>
      </c>
      <c r="BB58" s="179" t="str">
        <f t="shared" si="59"/>
        <v/>
      </c>
    </row>
    <row r="59">
      <c r="A59" s="193" t="s">
        <v>661</v>
      </c>
      <c r="B59" s="105" t="s">
        <v>662</v>
      </c>
      <c r="C59" s="105" t="s">
        <v>738</v>
      </c>
      <c r="D59" s="192">
        <v>125088.0</v>
      </c>
      <c r="E59" s="185">
        <v>1515.5</v>
      </c>
      <c r="F59" s="186">
        <v>45908.0</v>
      </c>
      <c r="G59" s="105" t="s">
        <v>664</v>
      </c>
      <c r="H59" s="83" t="s">
        <v>738</v>
      </c>
      <c r="I59" s="187" t="s">
        <v>171</v>
      </c>
      <c r="J59" s="188" t="b">
        <v>1</v>
      </c>
      <c r="K59" s="189">
        <f t="shared" si="3"/>
        <v>0</v>
      </c>
      <c r="L59" s="48" t="b">
        <f t="shared" si="4"/>
        <v>0</v>
      </c>
      <c r="M59" s="190">
        <f t="shared" si="5"/>
        <v>1</v>
      </c>
      <c r="N59" s="179" t="str">
        <f t="shared" ref="N59:BB59" si="60">IFERROR(IF(N$1=FALSE,, IF(IF(SEARCH(N$3,$I59,1)&gt;0,1,0)=1,$E59/$M59,)),"")</f>
        <v/>
      </c>
      <c r="O59" s="179" t="str">
        <f t="shared" si="60"/>
        <v/>
      </c>
      <c r="P59" s="179" t="str">
        <f t="shared" si="60"/>
        <v/>
      </c>
      <c r="Q59" s="179" t="str">
        <f t="shared" si="60"/>
        <v/>
      </c>
      <c r="R59" s="179" t="str">
        <f t="shared" si="60"/>
        <v/>
      </c>
      <c r="S59" s="179" t="str">
        <f t="shared" si="60"/>
        <v/>
      </c>
      <c r="T59" s="179" t="str">
        <f t="shared" si="60"/>
        <v/>
      </c>
      <c r="U59" s="179" t="str">
        <f t="shared" si="60"/>
        <v/>
      </c>
      <c r="V59" s="179" t="str">
        <f t="shared" si="60"/>
        <v/>
      </c>
      <c r="W59" s="179" t="str">
        <f t="shared" si="60"/>
        <v/>
      </c>
      <c r="X59" s="179" t="str">
        <f t="shared" si="60"/>
        <v/>
      </c>
      <c r="Y59" s="179" t="str">
        <f t="shared" si="60"/>
        <v/>
      </c>
      <c r="Z59" s="179" t="str">
        <f t="shared" si="60"/>
        <v/>
      </c>
      <c r="AA59" s="179" t="str">
        <f t="shared" si="60"/>
        <v/>
      </c>
      <c r="AB59" s="179" t="str">
        <f t="shared" si="60"/>
        <v/>
      </c>
      <c r="AC59" s="179" t="str">
        <f t="shared" si="60"/>
        <v/>
      </c>
      <c r="AD59" s="179" t="str">
        <f t="shared" si="60"/>
        <v/>
      </c>
      <c r="AE59" s="179" t="str">
        <f t="shared" si="60"/>
        <v/>
      </c>
      <c r="AF59" s="179" t="str">
        <f t="shared" si="60"/>
        <v/>
      </c>
      <c r="AG59" s="179" t="str">
        <f t="shared" si="60"/>
        <v/>
      </c>
      <c r="AH59" s="179" t="str">
        <f t="shared" si="60"/>
        <v/>
      </c>
      <c r="AI59" s="179" t="str">
        <f t="shared" si="60"/>
        <v/>
      </c>
      <c r="AJ59" s="179" t="str">
        <f t="shared" si="60"/>
        <v/>
      </c>
      <c r="AK59" s="179" t="str">
        <f t="shared" si="60"/>
        <v/>
      </c>
      <c r="AL59" s="179" t="str">
        <f t="shared" si="60"/>
        <v/>
      </c>
      <c r="AM59" s="179" t="str">
        <f t="shared" si="60"/>
        <v/>
      </c>
      <c r="AN59" s="179" t="str">
        <f t="shared" si="60"/>
        <v/>
      </c>
      <c r="AO59" s="179" t="str">
        <f t="shared" si="60"/>
        <v/>
      </c>
      <c r="AP59" s="179" t="str">
        <f t="shared" si="60"/>
        <v/>
      </c>
      <c r="AQ59" s="179" t="str">
        <f t="shared" si="60"/>
        <v/>
      </c>
      <c r="AR59" s="179" t="str">
        <f t="shared" si="60"/>
        <v/>
      </c>
      <c r="AS59" s="179" t="str">
        <f t="shared" si="60"/>
        <v/>
      </c>
      <c r="AT59" s="179" t="str">
        <f t="shared" si="60"/>
        <v/>
      </c>
      <c r="AU59" s="179" t="str">
        <f t="shared" si="60"/>
        <v/>
      </c>
      <c r="AV59" s="179" t="str">
        <f t="shared" si="60"/>
        <v/>
      </c>
      <c r="AW59" s="179" t="str">
        <f t="shared" si="60"/>
        <v/>
      </c>
      <c r="AX59" s="179" t="str">
        <f t="shared" si="60"/>
        <v/>
      </c>
      <c r="AY59" s="179" t="str">
        <f t="shared" si="60"/>
        <v/>
      </c>
      <c r="AZ59" s="179" t="str">
        <f t="shared" si="60"/>
        <v/>
      </c>
      <c r="BA59" s="179" t="str">
        <f t="shared" si="60"/>
        <v/>
      </c>
      <c r="BB59" s="179" t="str">
        <f t="shared" si="60"/>
        <v/>
      </c>
    </row>
    <row r="60">
      <c r="A60" s="193" t="s">
        <v>673</v>
      </c>
      <c r="B60" s="105" t="s">
        <v>674</v>
      </c>
      <c r="C60" s="105" t="s">
        <v>696</v>
      </c>
      <c r="D60" s="192">
        <v>5209.0</v>
      </c>
      <c r="E60" s="185">
        <v>110.6</v>
      </c>
      <c r="F60" s="186">
        <v>45902.0</v>
      </c>
      <c r="G60" s="105" t="s">
        <v>664</v>
      </c>
      <c r="H60" s="83" t="s">
        <v>696</v>
      </c>
      <c r="I60" s="187" t="s">
        <v>260</v>
      </c>
      <c r="J60" s="188" t="b">
        <v>1</v>
      </c>
      <c r="K60" s="189">
        <f t="shared" si="3"/>
        <v>0</v>
      </c>
      <c r="L60" s="48" t="b">
        <f t="shared" si="4"/>
        <v>0</v>
      </c>
      <c r="M60" s="190">
        <f t="shared" si="5"/>
        <v>1</v>
      </c>
      <c r="N60" s="179" t="str">
        <f t="shared" ref="N60:BB60" si="61">IFERROR(IF(N$1=FALSE,, IF(IF(SEARCH(N$3,$I60,1)&gt;0,1,0)=1,$E60/$M60,)),"")</f>
        <v/>
      </c>
      <c r="O60" s="179" t="str">
        <f t="shared" si="61"/>
        <v/>
      </c>
      <c r="P60" s="179" t="str">
        <f t="shared" si="61"/>
        <v/>
      </c>
      <c r="Q60" s="179" t="str">
        <f t="shared" si="61"/>
        <v/>
      </c>
      <c r="R60" s="179" t="str">
        <f t="shared" si="61"/>
        <v/>
      </c>
      <c r="S60" s="179" t="str">
        <f t="shared" si="61"/>
        <v/>
      </c>
      <c r="T60" s="179" t="str">
        <f t="shared" si="61"/>
        <v/>
      </c>
      <c r="U60" s="179" t="str">
        <f t="shared" si="61"/>
        <v/>
      </c>
      <c r="V60" s="179" t="str">
        <f t="shared" si="61"/>
        <v/>
      </c>
      <c r="W60" s="179" t="str">
        <f t="shared" si="61"/>
        <v/>
      </c>
      <c r="X60" s="179" t="str">
        <f t="shared" si="61"/>
        <v/>
      </c>
      <c r="Y60" s="179" t="str">
        <f t="shared" si="61"/>
        <v/>
      </c>
      <c r="Z60" s="179" t="str">
        <f t="shared" si="61"/>
        <v/>
      </c>
      <c r="AA60" s="179" t="str">
        <f t="shared" si="61"/>
        <v/>
      </c>
      <c r="AB60" s="179" t="str">
        <f t="shared" si="61"/>
        <v/>
      </c>
      <c r="AC60" s="179" t="str">
        <f t="shared" si="61"/>
        <v/>
      </c>
      <c r="AD60" s="179" t="str">
        <f t="shared" si="61"/>
        <v/>
      </c>
      <c r="AE60" s="179" t="str">
        <f t="shared" si="61"/>
        <v/>
      </c>
      <c r="AF60" s="179" t="str">
        <f t="shared" si="61"/>
        <v/>
      </c>
      <c r="AG60" s="179" t="str">
        <f t="shared" si="61"/>
        <v/>
      </c>
      <c r="AH60" s="179" t="str">
        <f t="shared" si="61"/>
        <v/>
      </c>
      <c r="AI60" s="179" t="str">
        <f t="shared" si="61"/>
        <v/>
      </c>
      <c r="AJ60" s="179" t="str">
        <f t="shared" si="61"/>
        <v/>
      </c>
      <c r="AK60" s="179" t="str">
        <f t="shared" si="61"/>
        <v/>
      </c>
      <c r="AL60" s="179" t="str">
        <f t="shared" si="61"/>
        <v/>
      </c>
      <c r="AM60" s="179" t="str">
        <f t="shared" si="61"/>
        <v/>
      </c>
      <c r="AN60" s="179" t="str">
        <f t="shared" si="61"/>
        <v/>
      </c>
      <c r="AO60" s="179" t="str">
        <f t="shared" si="61"/>
        <v/>
      </c>
      <c r="AP60" s="179" t="str">
        <f t="shared" si="61"/>
        <v/>
      </c>
      <c r="AQ60" s="179" t="str">
        <f t="shared" si="61"/>
        <v/>
      </c>
      <c r="AR60" s="179" t="str">
        <f t="shared" si="61"/>
        <v/>
      </c>
      <c r="AS60" s="179" t="str">
        <f t="shared" si="61"/>
        <v/>
      </c>
      <c r="AT60" s="179" t="str">
        <f t="shared" si="61"/>
        <v/>
      </c>
      <c r="AU60" s="179" t="str">
        <f t="shared" si="61"/>
        <v/>
      </c>
      <c r="AV60" s="179" t="str">
        <f t="shared" si="61"/>
        <v/>
      </c>
      <c r="AW60" s="179" t="str">
        <f t="shared" si="61"/>
        <v/>
      </c>
      <c r="AX60" s="179" t="str">
        <f t="shared" si="61"/>
        <v/>
      </c>
      <c r="AY60" s="179" t="str">
        <f t="shared" si="61"/>
        <v/>
      </c>
      <c r="AZ60" s="179" t="str">
        <f t="shared" si="61"/>
        <v/>
      </c>
      <c r="BA60" s="179" t="str">
        <f t="shared" si="61"/>
        <v/>
      </c>
      <c r="BB60" s="179" t="str">
        <f t="shared" si="61"/>
        <v/>
      </c>
    </row>
    <row r="61">
      <c r="A61" s="193" t="s">
        <v>661</v>
      </c>
      <c r="B61" s="105" t="s">
        <v>662</v>
      </c>
      <c r="C61" s="105" t="s">
        <v>739</v>
      </c>
      <c r="D61" s="192">
        <v>125203.0</v>
      </c>
      <c r="E61" s="185">
        <v>260.53</v>
      </c>
      <c r="F61" s="186">
        <v>45910.0</v>
      </c>
      <c r="G61" s="105" t="s">
        <v>664</v>
      </c>
      <c r="H61" s="83" t="s">
        <v>739</v>
      </c>
      <c r="I61" s="187" t="s">
        <v>171</v>
      </c>
      <c r="J61" s="188" t="b">
        <v>1</v>
      </c>
      <c r="K61" s="189">
        <f t="shared" si="3"/>
        <v>0</v>
      </c>
      <c r="L61" s="48" t="b">
        <f t="shared" si="4"/>
        <v>0</v>
      </c>
      <c r="M61" s="190">
        <f t="shared" si="5"/>
        <v>1</v>
      </c>
      <c r="N61" s="179" t="str">
        <f t="shared" ref="N61:BB61" si="62">IFERROR(IF(N$1=FALSE,, IF(IF(SEARCH(N$3,$I61,1)&gt;0,1,0)=1,$E61/$M61,)),"")</f>
        <v/>
      </c>
      <c r="O61" s="179" t="str">
        <f t="shared" si="62"/>
        <v/>
      </c>
      <c r="P61" s="179" t="str">
        <f t="shared" si="62"/>
        <v/>
      </c>
      <c r="Q61" s="179" t="str">
        <f t="shared" si="62"/>
        <v/>
      </c>
      <c r="R61" s="179" t="str">
        <f t="shared" si="62"/>
        <v/>
      </c>
      <c r="S61" s="179" t="str">
        <f t="shared" si="62"/>
        <v/>
      </c>
      <c r="T61" s="179" t="str">
        <f t="shared" si="62"/>
        <v/>
      </c>
      <c r="U61" s="179" t="str">
        <f t="shared" si="62"/>
        <v/>
      </c>
      <c r="V61" s="179" t="str">
        <f t="shared" si="62"/>
        <v/>
      </c>
      <c r="W61" s="179" t="str">
        <f t="shared" si="62"/>
        <v/>
      </c>
      <c r="X61" s="179" t="str">
        <f t="shared" si="62"/>
        <v/>
      </c>
      <c r="Y61" s="179" t="str">
        <f t="shared" si="62"/>
        <v/>
      </c>
      <c r="Z61" s="179" t="str">
        <f t="shared" si="62"/>
        <v/>
      </c>
      <c r="AA61" s="179" t="str">
        <f t="shared" si="62"/>
        <v/>
      </c>
      <c r="AB61" s="179" t="str">
        <f t="shared" si="62"/>
        <v/>
      </c>
      <c r="AC61" s="179" t="str">
        <f t="shared" si="62"/>
        <v/>
      </c>
      <c r="AD61" s="179" t="str">
        <f t="shared" si="62"/>
        <v/>
      </c>
      <c r="AE61" s="179" t="str">
        <f t="shared" si="62"/>
        <v/>
      </c>
      <c r="AF61" s="179" t="str">
        <f t="shared" si="62"/>
        <v/>
      </c>
      <c r="AG61" s="179" t="str">
        <f t="shared" si="62"/>
        <v/>
      </c>
      <c r="AH61" s="179" t="str">
        <f t="shared" si="62"/>
        <v/>
      </c>
      <c r="AI61" s="179" t="str">
        <f t="shared" si="62"/>
        <v/>
      </c>
      <c r="AJ61" s="179" t="str">
        <f t="shared" si="62"/>
        <v/>
      </c>
      <c r="AK61" s="179" t="str">
        <f t="shared" si="62"/>
        <v/>
      </c>
      <c r="AL61" s="179" t="str">
        <f t="shared" si="62"/>
        <v/>
      </c>
      <c r="AM61" s="179" t="str">
        <f t="shared" si="62"/>
        <v/>
      </c>
      <c r="AN61" s="179" t="str">
        <f t="shared" si="62"/>
        <v/>
      </c>
      <c r="AO61" s="179" t="str">
        <f t="shared" si="62"/>
        <v/>
      </c>
      <c r="AP61" s="179" t="str">
        <f t="shared" si="62"/>
        <v/>
      </c>
      <c r="AQ61" s="179" t="str">
        <f t="shared" si="62"/>
        <v/>
      </c>
      <c r="AR61" s="179" t="str">
        <f t="shared" si="62"/>
        <v/>
      </c>
      <c r="AS61" s="179" t="str">
        <f t="shared" si="62"/>
        <v/>
      </c>
      <c r="AT61" s="179" t="str">
        <f t="shared" si="62"/>
        <v/>
      </c>
      <c r="AU61" s="179" t="str">
        <f t="shared" si="62"/>
        <v/>
      </c>
      <c r="AV61" s="179" t="str">
        <f t="shared" si="62"/>
        <v/>
      </c>
      <c r="AW61" s="179" t="str">
        <f t="shared" si="62"/>
        <v/>
      </c>
      <c r="AX61" s="179" t="str">
        <f t="shared" si="62"/>
        <v/>
      </c>
      <c r="AY61" s="179" t="str">
        <f t="shared" si="62"/>
        <v/>
      </c>
      <c r="AZ61" s="179" t="str">
        <f t="shared" si="62"/>
        <v/>
      </c>
      <c r="BA61" s="179" t="str">
        <f t="shared" si="62"/>
        <v/>
      </c>
      <c r="BB61" s="179" t="str">
        <f t="shared" si="62"/>
        <v/>
      </c>
    </row>
    <row r="62">
      <c r="A62" s="193" t="s">
        <v>740</v>
      </c>
      <c r="B62" s="105" t="s">
        <v>741</v>
      </c>
      <c r="C62" s="105" t="s">
        <v>742</v>
      </c>
      <c r="D62" s="192">
        <v>72469.0</v>
      </c>
      <c r="E62" s="185">
        <v>315.0</v>
      </c>
      <c r="F62" s="186">
        <v>45911.0</v>
      </c>
      <c r="G62" s="105" t="s">
        <v>664</v>
      </c>
      <c r="H62" s="83" t="s">
        <v>742</v>
      </c>
      <c r="I62" s="187" t="s">
        <v>260</v>
      </c>
      <c r="J62" s="188" t="b">
        <v>1</v>
      </c>
      <c r="K62" s="189">
        <f t="shared" si="3"/>
        <v>0</v>
      </c>
      <c r="L62" s="48" t="b">
        <f t="shared" si="4"/>
        <v>0</v>
      </c>
      <c r="M62" s="190">
        <f t="shared" si="5"/>
        <v>1</v>
      </c>
      <c r="N62" s="179" t="str">
        <f t="shared" ref="N62:BB62" si="63">IFERROR(IF(N$1=FALSE,, IF(IF(SEARCH(N$3,$I62,1)&gt;0,1,0)=1,$E62/$M62,)),"")</f>
        <v/>
      </c>
      <c r="O62" s="179" t="str">
        <f t="shared" si="63"/>
        <v/>
      </c>
      <c r="P62" s="179" t="str">
        <f t="shared" si="63"/>
        <v/>
      </c>
      <c r="Q62" s="179" t="str">
        <f t="shared" si="63"/>
        <v/>
      </c>
      <c r="R62" s="179" t="str">
        <f t="shared" si="63"/>
        <v/>
      </c>
      <c r="S62" s="179" t="str">
        <f t="shared" si="63"/>
        <v/>
      </c>
      <c r="T62" s="179" t="str">
        <f t="shared" si="63"/>
        <v/>
      </c>
      <c r="U62" s="179" t="str">
        <f t="shared" si="63"/>
        <v/>
      </c>
      <c r="V62" s="179" t="str">
        <f t="shared" si="63"/>
        <v/>
      </c>
      <c r="W62" s="179" t="str">
        <f t="shared" si="63"/>
        <v/>
      </c>
      <c r="X62" s="179" t="str">
        <f t="shared" si="63"/>
        <v/>
      </c>
      <c r="Y62" s="179" t="str">
        <f t="shared" si="63"/>
        <v/>
      </c>
      <c r="Z62" s="179" t="str">
        <f t="shared" si="63"/>
        <v/>
      </c>
      <c r="AA62" s="179" t="str">
        <f t="shared" si="63"/>
        <v/>
      </c>
      <c r="AB62" s="179" t="str">
        <f t="shared" si="63"/>
        <v/>
      </c>
      <c r="AC62" s="179" t="str">
        <f t="shared" si="63"/>
        <v/>
      </c>
      <c r="AD62" s="179" t="str">
        <f t="shared" si="63"/>
        <v/>
      </c>
      <c r="AE62" s="179" t="str">
        <f t="shared" si="63"/>
        <v/>
      </c>
      <c r="AF62" s="179" t="str">
        <f t="shared" si="63"/>
        <v/>
      </c>
      <c r="AG62" s="179" t="str">
        <f t="shared" si="63"/>
        <v/>
      </c>
      <c r="AH62" s="179" t="str">
        <f t="shared" si="63"/>
        <v/>
      </c>
      <c r="AI62" s="179" t="str">
        <f t="shared" si="63"/>
        <v/>
      </c>
      <c r="AJ62" s="179" t="str">
        <f t="shared" si="63"/>
        <v/>
      </c>
      <c r="AK62" s="179" t="str">
        <f t="shared" si="63"/>
        <v/>
      </c>
      <c r="AL62" s="179" t="str">
        <f t="shared" si="63"/>
        <v/>
      </c>
      <c r="AM62" s="179" t="str">
        <f t="shared" si="63"/>
        <v/>
      </c>
      <c r="AN62" s="179" t="str">
        <f t="shared" si="63"/>
        <v/>
      </c>
      <c r="AO62" s="179" t="str">
        <f t="shared" si="63"/>
        <v/>
      </c>
      <c r="AP62" s="179" t="str">
        <f t="shared" si="63"/>
        <v/>
      </c>
      <c r="AQ62" s="179" t="str">
        <f t="shared" si="63"/>
        <v/>
      </c>
      <c r="AR62" s="179" t="str">
        <f t="shared" si="63"/>
        <v/>
      </c>
      <c r="AS62" s="179" t="str">
        <f t="shared" si="63"/>
        <v/>
      </c>
      <c r="AT62" s="179" t="str">
        <f t="shared" si="63"/>
        <v/>
      </c>
      <c r="AU62" s="179" t="str">
        <f t="shared" si="63"/>
        <v/>
      </c>
      <c r="AV62" s="179" t="str">
        <f t="shared" si="63"/>
        <v/>
      </c>
      <c r="AW62" s="179" t="str">
        <f t="shared" si="63"/>
        <v/>
      </c>
      <c r="AX62" s="179" t="str">
        <f t="shared" si="63"/>
        <v/>
      </c>
      <c r="AY62" s="179" t="str">
        <f t="shared" si="63"/>
        <v/>
      </c>
      <c r="AZ62" s="179" t="str">
        <f t="shared" si="63"/>
        <v/>
      </c>
      <c r="BA62" s="179" t="str">
        <f t="shared" si="63"/>
        <v/>
      </c>
      <c r="BB62" s="179" t="str">
        <f t="shared" si="63"/>
        <v/>
      </c>
    </row>
    <row r="63">
      <c r="A63" s="193" t="s">
        <v>676</v>
      </c>
      <c r="B63" s="105" t="s">
        <v>677</v>
      </c>
      <c r="C63" s="105" t="s">
        <v>709</v>
      </c>
      <c r="D63" s="192">
        <v>163767.0</v>
      </c>
      <c r="E63" s="185">
        <v>3039.0</v>
      </c>
      <c r="F63" s="186">
        <v>45919.0</v>
      </c>
      <c r="G63" s="105" t="s">
        <v>664</v>
      </c>
      <c r="H63" s="83" t="s">
        <v>709</v>
      </c>
      <c r="I63" s="187" t="s">
        <v>171</v>
      </c>
      <c r="J63" s="188" t="b">
        <v>1</v>
      </c>
      <c r="K63" s="189">
        <f t="shared" si="3"/>
        <v>0</v>
      </c>
      <c r="L63" s="48" t="b">
        <f t="shared" si="4"/>
        <v>0</v>
      </c>
      <c r="M63" s="190">
        <f t="shared" si="5"/>
        <v>1</v>
      </c>
      <c r="N63" s="179" t="str">
        <f t="shared" ref="N63:BB63" si="64">IFERROR(IF(N$1=FALSE,, IF(IF(SEARCH(N$3,$I63,1)&gt;0,1,0)=1,$E63/$M63,)),"")</f>
        <v/>
      </c>
      <c r="O63" s="179" t="str">
        <f t="shared" si="64"/>
        <v/>
      </c>
      <c r="P63" s="179" t="str">
        <f t="shared" si="64"/>
        <v/>
      </c>
      <c r="Q63" s="179" t="str">
        <f t="shared" si="64"/>
        <v/>
      </c>
      <c r="R63" s="179" t="str">
        <f t="shared" si="64"/>
        <v/>
      </c>
      <c r="S63" s="179" t="str">
        <f t="shared" si="64"/>
        <v/>
      </c>
      <c r="T63" s="179" t="str">
        <f t="shared" si="64"/>
        <v/>
      </c>
      <c r="U63" s="179" t="str">
        <f t="shared" si="64"/>
        <v/>
      </c>
      <c r="V63" s="179" t="str">
        <f t="shared" si="64"/>
        <v/>
      </c>
      <c r="W63" s="179" t="str">
        <f t="shared" si="64"/>
        <v/>
      </c>
      <c r="X63" s="179" t="str">
        <f t="shared" si="64"/>
        <v/>
      </c>
      <c r="Y63" s="179" t="str">
        <f t="shared" si="64"/>
        <v/>
      </c>
      <c r="Z63" s="179" t="str">
        <f t="shared" si="64"/>
        <v/>
      </c>
      <c r="AA63" s="179" t="str">
        <f t="shared" si="64"/>
        <v/>
      </c>
      <c r="AB63" s="179" t="str">
        <f t="shared" si="64"/>
        <v/>
      </c>
      <c r="AC63" s="179" t="str">
        <f t="shared" si="64"/>
        <v/>
      </c>
      <c r="AD63" s="179" t="str">
        <f t="shared" si="64"/>
        <v/>
      </c>
      <c r="AE63" s="179" t="str">
        <f t="shared" si="64"/>
        <v/>
      </c>
      <c r="AF63" s="179" t="str">
        <f t="shared" si="64"/>
        <v/>
      </c>
      <c r="AG63" s="179" t="str">
        <f t="shared" si="64"/>
        <v/>
      </c>
      <c r="AH63" s="179" t="str">
        <f t="shared" si="64"/>
        <v/>
      </c>
      <c r="AI63" s="179" t="str">
        <f t="shared" si="64"/>
        <v/>
      </c>
      <c r="AJ63" s="179" t="str">
        <f t="shared" si="64"/>
        <v/>
      </c>
      <c r="AK63" s="179" t="str">
        <f t="shared" si="64"/>
        <v/>
      </c>
      <c r="AL63" s="179" t="str">
        <f t="shared" si="64"/>
        <v/>
      </c>
      <c r="AM63" s="179" t="str">
        <f t="shared" si="64"/>
        <v/>
      </c>
      <c r="AN63" s="179" t="str">
        <f t="shared" si="64"/>
        <v/>
      </c>
      <c r="AO63" s="179" t="str">
        <f t="shared" si="64"/>
        <v/>
      </c>
      <c r="AP63" s="179" t="str">
        <f t="shared" si="64"/>
        <v/>
      </c>
      <c r="AQ63" s="179" t="str">
        <f t="shared" si="64"/>
        <v/>
      </c>
      <c r="AR63" s="179" t="str">
        <f t="shared" si="64"/>
        <v/>
      </c>
      <c r="AS63" s="179" t="str">
        <f t="shared" si="64"/>
        <v/>
      </c>
      <c r="AT63" s="179" t="str">
        <f t="shared" si="64"/>
        <v/>
      </c>
      <c r="AU63" s="179" t="str">
        <f t="shared" si="64"/>
        <v/>
      </c>
      <c r="AV63" s="179" t="str">
        <f t="shared" si="64"/>
        <v/>
      </c>
      <c r="AW63" s="179" t="str">
        <f t="shared" si="64"/>
        <v/>
      </c>
      <c r="AX63" s="179" t="str">
        <f t="shared" si="64"/>
        <v/>
      </c>
      <c r="AY63" s="179" t="str">
        <f t="shared" si="64"/>
        <v/>
      </c>
      <c r="AZ63" s="179" t="str">
        <f t="shared" si="64"/>
        <v/>
      </c>
      <c r="BA63" s="179" t="str">
        <f t="shared" si="64"/>
        <v/>
      </c>
      <c r="BB63" s="179" t="str">
        <f t="shared" si="64"/>
        <v/>
      </c>
    </row>
    <row r="64">
      <c r="A64" s="193" t="s">
        <v>673</v>
      </c>
      <c r="B64" s="105" t="s">
        <v>674</v>
      </c>
      <c r="C64" s="105" t="s">
        <v>696</v>
      </c>
      <c r="D64" s="192">
        <v>5428.0</v>
      </c>
      <c r="E64" s="185">
        <v>275.1</v>
      </c>
      <c r="F64" s="186">
        <v>45916.0</v>
      </c>
      <c r="G64" s="105" t="s">
        <v>664</v>
      </c>
      <c r="H64" s="83" t="s">
        <v>696</v>
      </c>
      <c r="I64" s="187" t="s">
        <v>124</v>
      </c>
      <c r="J64" s="188" t="b">
        <v>1</v>
      </c>
      <c r="K64" s="189">
        <f t="shared" si="3"/>
        <v>275.1</v>
      </c>
      <c r="L64" s="48" t="b">
        <f t="shared" si="4"/>
        <v>1</v>
      </c>
      <c r="M64" s="190">
        <f t="shared" si="5"/>
        <v>1</v>
      </c>
      <c r="N64" s="179" t="str">
        <f t="shared" ref="N64:BB64" si="65">IFERROR(IF(N$1=FALSE,, IF(IF(SEARCH(N$3,$I64,1)&gt;0,1,0)=1,$E64/$M64,)),"")</f>
        <v/>
      </c>
      <c r="O64" s="179" t="str">
        <f t="shared" si="65"/>
        <v/>
      </c>
      <c r="P64" s="179" t="str">
        <f t="shared" si="65"/>
        <v/>
      </c>
      <c r="Q64" s="179" t="str">
        <f t="shared" si="65"/>
        <v/>
      </c>
      <c r="R64" s="179" t="str">
        <f t="shared" si="65"/>
        <v/>
      </c>
      <c r="S64" s="179" t="str">
        <f t="shared" si="65"/>
        <v/>
      </c>
      <c r="T64" s="179" t="str">
        <f t="shared" si="65"/>
        <v/>
      </c>
      <c r="U64" s="179" t="str">
        <f t="shared" si="65"/>
        <v/>
      </c>
      <c r="V64" s="179" t="str">
        <f t="shared" si="65"/>
        <v/>
      </c>
      <c r="W64" s="179">
        <f t="shared" si="65"/>
        <v>275.1</v>
      </c>
      <c r="X64" s="179" t="str">
        <f t="shared" si="65"/>
        <v/>
      </c>
      <c r="Y64" s="179" t="str">
        <f t="shared" si="65"/>
        <v/>
      </c>
      <c r="Z64" s="179" t="str">
        <f t="shared" si="65"/>
        <v/>
      </c>
      <c r="AA64" s="179" t="str">
        <f t="shared" si="65"/>
        <v/>
      </c>
      <c r="AB64" s="179" t="str">
        <f t="shared" si="65"/>
        <v/>
      </c>
      <c r="AC64" s="179" t="str">
        <f t="shared" si="65"/>
        <v/>
      </c>
      <c r="AD64" s="179" t="str">
        <f t="shared" si="65"/>
        <v/>
      </c>
      <c r="AE64" s="179" t="str">
        <f t="shared" si="65"/>
        <v/>
      </c>
      <c r="AF64" s="179" t="str">
        <f t="shared" si="65"/>
        <v/>
      </c>
      <c r="AG64" s="179" t="str">
        <f t="shared" si="65"/>
        <v/>
      </c>
      <c r="AH64" s="179" t="str">
        <f t="shared" si="65"/>
        <v/>
      </c>
      <c r="AI64" s="179" t="str">
        <f t="shared" si="65"/>
        <v/>
      </c>
      <c r="AJ64" s="179" t="str">
        <f t="shared" si="65"/>
        <v/>
      </c>
      <c r="AK64" s="179" t="str">
        <f t="shared" si="65"/>
        <v/>
      </c>
      <c r="AL64" s="179" t="str">
        <f t="shared" si="65"/>
        <v/>
      </c>
      <c r="AM64" s="179" t="str">
        <f t="shared" si="65"/>
        <v/>
      </c>
      <c r="AN64" s="179" t="str">
        <f t="shared" si="65"/>
        <v/>
      </c>
      <c r="AO64" s="179" t="str">
        <f t="shared" si="65"/>
        <v/>
      </c>
      <c r="AP64" s="179" t="str">
        <f t="shared" si="65"/>
        <v/>
      </c>
      <c r="AQ64" s="179" t="str">
        <f t="shared" si="65"/>
        <v/>
      </c>
      <c r="AR64" s="179" t="str">
        <f t="shared" si="65"/>
        <v/>
      </c>
      <c r="AS64" s="179" t="str">
        <f t="shared" si="65"/>
        <v/>
      </c>
      <c r="AT64" s="179" t="str">
        <f t="shared" si="65"/>
        <v/>
      </c>
      <c r="AU64" s="179" t="str">
        <f t="shared" si="65"/>
        <v/>
      </c>
      <c r="AV64" s="179" t="str">
        <f t="shared" si="65"/>
        <v/>
      </c>
      <c r="AW64" s="179" t="str">
        <f t="shared" si="65"/>
        <v/>
      </c>
      <c r="AX64" s="179" t="str">
        <f t="shared" si="65"/>
        <v/>
      </c>
      <c r="AY64" s="179" t="str">
        <f t="shared" si="65"/>
        <v/>
      </c>
      <c r="AZ64" s="179" t="str">
        <f t="shared" si="65"/>
        <v/>
      </c>
      <c r="BA64" s="179" t="str">
        <f t="shared" si="65"/>
        <v/>
      </c>
      <c r="BB64" s="179" t="str">
        <f t="shared" si="65"/>
        <v/>
      </c>
    </row>
    <row r="65">
      <c r="A65" s="193" t="s">
        <v>661</v>
      </c>
      <c r="B65" s="105" t="s">
        <v>662</v>
      </c>
      <c r="C65" s="105" t="s">
        <v>743</v>
      </c>
      <c r="D65" s="192">
        <v>125368.0</v>
      </c>
      <c r="E65" s="185">
        <v>260.53</v>
      </c>
      <c r="F65" s="186">
        <v>45916.0</v>
      </c>
      <c r="G65" s="105" t="s">
        <v>664</v>
      </c>
      <c r="H65" s="83" t="s">
        <v>743</v>
      </c>
      <c r="I65" s="187" t="s">
        <v>171</v>
      </c>
      <c r="J65" s="188" t="b">
        <v>1</v>
      </c>
      <c r="K65" s="189">
        <f t="shared" si="3"/>
        <v>0</v>
      </c>
      <c r="L65" s="48" t="b">
        <f t="shared" si="4"/>
        <v>0</v>
      </c>
      <c r="M65" s="190">
        <f t="shared" si="5"/>
        <v>1</v>
      </c>
      <c r="N65" s="179" t="str">
        <f t="shared" ref="N65:BB65" si="66">IFERROR(IF(N$1=FALSE,, IF(IF(SEARCH(N$3,$I65,1)&gt;0,1,0)=1,$E65/$M65,)),"")</f>
        <v/>
      </c>
      <c r="O65" s="179" t="str">
        <f t="shared" si="66"/>
        <v/>
      </c>
      <c r="P65" s="179" t="str">
        <f t="shared" si="66"/>
        <v/>
      </c>
      <c r="Q65" s="179" t="str">
        <f t="shared" si="66"/>
        <v/>
      </c>
      <c r="R65" s="179" t="str">
        <f t="shared" si="66"/>
        <v/>
      </c>
      <c r="S65" s="179" t="str">
        <f t="shared" si="66"/>
        <v/>
      </c>
      <c r="T65" s="179" t="str">
        <f t="shared" si="66"/>
        <v/>
      </c>
      <c r="U65" s="179" t="str">
        <f t="shared" si="66"/>
        <v/>
      </c>
      <c r="V65" s="179" t="str">
        <f t="shared" si="66"/>
        <v/>
      </c>
      <c r="W65" s="179" t="str">
        <f t="shared" si="66"/>
        <v/>
      </c>
      <c r="X65" s="179" t="str">
        <f t="shared" si="66"/>
        <v/>
      </c>
      <c r="Y65" s="179" t="str">
        <f t="shared" si="66"/>
        <v/>
      </c>
      <c r="Z65" s="179" t="str">
        <f t="shared" si="66"/>
        <v/>
      </c>
      <c r="AA65" s="179" t="str">
        <f t="shared" si="66"/>
        <v/>
      </c>
      <c r="AB65" s="179" t="str">
        <f t="shared" si="66"/>
        <v/>
      </c>
      <c r="AC65" s="179" t="str">
        <f t="shared" si="66"/>
        <v/>
      </c>
      <c r="AD65" s="179" t="str">
        <f t="shared" si="66"/>
        <v/>
      </c>
      <c r="AE65" s="179" t="str">
        <f t="shared" si="66"/>
        <v/>
      </c>
      <c r="AF65" s="179" t="str">
        <f t="shared" si="66"/>
        <v/>
      </c>
      <c r="AG65" s="179" t="str">
        <f t="shared" si="66"/>
        <v/>
      </c>
      <c r="AH65" s="179" t="str">
        <f t="shared" si="66"/>
        <v/>
      </c>
      <c r="AI65" s="179" t="str">
        <f t="shared" si="66"/>
        <v/>
      </c>
      <c r="AJ65" s="179" t="str">
        <f t="shared" si="66"/>
        <v/>
      </c>
      <c r="AK65" s="179" t="str">
        <f t="shared" si="66"/>
        <v/>
      </c>
      <c r="AL65" s="179" t="str">
        <f t="shared" si="66"/>
        <v/>
      </c>
      <c r="AM65" s="179" t="str">
        <f t="shared" si="66"/>
        <v/>
      </c>
      <c r="AN65" s="179" t="str">
        <f t="shared" si="66"/>
        <v/>
      </c>
      <c r="AO65" s="179" t="str">
        <f t="shared" si="66"/>
        <v/>
      </c>
      <c r="AP65" s="179" t="str">
        <f t="shared" si="66"/>
        <v/>
      </c>
      <c r="AQ65" s="179" t="str">
        <f t="shared" si="66"/>
        <v/>
      </c>
      <c r="AR65" s="179" t="str">
        <f t="shared" si="66"/>
        <v/>
      </c>
      <c r="AS65" s="179" t="str">
        <f t="shared" si="66"/>
        <v/>
      </c>
      <c r="AT65" s="179" t="str">
        <f t="shared" si="66"/>
        <v/>
      </c>
      <c r="AU65" s="179" t="str">
        <f t="shared" si="66"/>
        <v/>
      </c>
      <c r="AV65" s="179" t="str">
        <f t="shared" si="66"/>
        <v/>
      </c>
      <c r="AW65" s="179" t="str">
        <f t="shared" si="66"/>
        <v/>
      </c>
      <c r="AX65" s="179" t="str">
        <f t="shared" si="66"/>
        <v/>
      </c>
      <c r="AY65" s="179" t="str">
        <f t="shared" si="66"/>
        <v/>
      </c>
      <c r="AZ65" s="179" t="str">
        <f t="shared" si="66"/>
        <v/>
      </c>
      <c r="BA65" s="179" t="str">
        <f t="shared" si="66"/>
        <v/>
      </c>
      <c r="BB65" s="179" t="str">
        <f t="shared" si="66"/>
        <v/>
      </c>
    </row>
    <row r="66">
      <c r="A66" s="193" t="s">
        <v>661</v>
      </c>
      <c r="B66" s="105" t="s">
        <v>662</v>
      </c>
      <c r="C66" s="105" t="s">
        <v>698</v>
      </c>
      <c r="D66" s="192">
        <v>125576.0</v>
      </c>
      <c r="E66" s="185">
        <v>842.63</v>
      </c>
      <c r="F66" s="186">
        <v>45922.0</v>
      </c>
      <c r="G66" s="105" t="s">
        <v>664</v>
      </c>
      <c r="H66" s="83" t="s">
        <v>698</v>
      </c>
      <c r="I66" s="187" t="s">
        <v>124</v>
      </c>
      <c r="J66" s="188" t="b">
        <v>1</v>
      </c>
      <c r="K66" s="189">
        <f t="shared" si="3"/>
        <v>842.63</v>
      </c>
      <c r="L66" s="48" t="b">
        <f t="shared" si="4"/>
        <v>1</v>
      </c>
      <c r="M66" s="190">
        <f t="shared" si="5"/>
        <v>1</v>
      </c>
      <c r="N66" s="179" t="str">
        <f t="shared" ref="N66:BB66" si="67">IFERROR(IF(N$1=FALSE,, IF(IF(SEARCH(N$3,$I66,1)&gt;0,1,0)=1,$E66/$M66,)),"")</f>
        <v/>
      </c>
      <c r="O66" s="179" t="str">
        <f t="shared" si="67"/>
        <v/>
      </c>
      <c r="P66" s="179" t="str">
        <f t="shared" si="67"/>
        <v/>
      </c>
      <c r="Q66" s="179" t="str">
        <f t="shared" si="67"/>
        <v/>
      </c>
      <c r="R66" s="179" t="str">
        <f t="shared" si="67"/>
        <v/>
      </c>
      <c r="S66" s="179" t="str">
        <f t="shared" si="67"/>
        <v/>
      </c>
      <c r="T66" s="179" t="str">
        <f t="shared" si="67"/>
        <v/>
      </c>
      <c r="U66" s="179" t="str">
        <f t="shared" si="67"/>
        <v/>
      </c>
      <c r="V66" s="179" t="str">
        <f t="shared" si="67"/>
        <v/>
      </c>
      <c r="W66" s="179">
        <f t="shared" si="67"/>
        <v>842.63</v>
      </c>
      <c r="X66" s="179" t="str">
        <f t="shared" si="67"/>
        <v/>
      </c>
      <c r="Y66" s="179" t="str">
        <f t="shared" si="67"/>
        <v/>
      </c>
      <c r="Z66" s="179" t="str">
        <f t="shared" si="67"/>
        <v/>
      </c>
      <c r="AA66" s="179" t="str">
        <f t="shared" si="67"/>
        <v/>
      </c>
      <c r="AB66" s="179" t="str">
        <f t="shared" si="67"/>
        <v/>
      </c>
      <c r="AC66" s="179" t="str">
        <f t="shared" si="67"/>
        <v/>
      </c>
      <c r="AD66" s="179" t="str">
        <f t="shared" si="67"/>
        <v/>
      </c>
      <c r="AE66" s="179" t="str">
        <f t="shared" si="67"/>
        <v/>
      </c>
      <c r="AF66" s="179" t="str">
        <f t="shared" si="67"/>
        <v/>
      </c>
      <c r="AG66" s="179" t="str">
        <f t="shared" si="67"/>
        <v/>
      </c>
      <c r="AH66" s="179" t="str">
        <f t="shared" si="67"/>
        <v/>
      </c>
      <c r="AI66" s="179" t="str">
        <f t="shared" si="67"/>
        <v/>
      </c>
      <c r="AJ66" s="179" t="str">
        <f t="shared" si="67"/>
        <v/>
      </c>
      <c r="AK66" s="179" t="str">
        <f t="shared" si="67"/>
        <v/>
      </c>
      <c r="AL66" s="179" t="str">
        <f t="shared" si="67"/>
        <v/>
      </c>
      <c r="AM66" s="179" t="str">
        <f t="shared" si="67"/>
        <v/>
      </c>
      <c r="AN66" s="179" t="str">
        <f t="shared" si="67"/>
        <v/>
      </c>
      <c r="AO66" s="179" t="str">
        <f t="shared" si="67"/>
        <v/>
      </c>
      <c r="AP66" s="179" t="str">
        <f t="shared" si="67"/>
        <v/>
      </c>
      <c r="AQ66" s="179" t="str">
        <f t="shared" si="67"/>
        <v/>
      </c>
      <c r="AR66" s="179" t="str">
        <f t="shared" si="67"/>
        <v/>
      </c>
      <c r="AS66" s="179" t="str">
        <f t="shared" si="67"/>
        <v/>
      </c>
      <c r="AT66" s="179" t="str">
        <f t="shared" si="67"/>
        <v/>
      </c>
      <c r="AU66" s="179" t="str">
        <f t="shared" si="67"/>
        <v/>
      </c>
      <c r="AV66" s="179" t="str">
        <f t="shared" si="67"/>
        <v/>
      </c>
      <c r="AW66" s="179" t="str">
        <f t="shared" si="67"/>
        <v/>
      </c>
      <c r="AX66" s="179" t="str">
        <f t="shared" si="67"/>
        <v/>
      </c>
      <c r="AY66" s="179" t="str">
        <f t="shared" si="67"/>
        <v/>
      </c>
      <c r="AZ66" s="179" t="str">
        <f t="shared" si="67"/>
        <v/>
      </c>
      <c r="BA66" s="179" t="str">
        <f t="shared" si="67"/>
        <v/>
      </c>
      <c r="BB66" s="179" t="str">
        <f t="shared" si="67"/>
        <v/>
      </c>
    </row>
    <row r="67">
      <c r="A67" s="193" t="s">
        <v>661</v>
      </c>
      <c r="B67" s="105" t="s">
        <v>662</v>
      </c>
      <c r="C67" s="105" t="s">
        <v>666</v>
      </c>
      <c r="D67" s="192">
        <v>125719.0</v>
      </c>
      <c r="E67" s="185">
        <v>543.76</v>
      </c>
      <c r="F67" s="186">
        <v>45931.0</v>
      </c>
      <c r="G67" s="105" t="s">
        <v>664</v>
      </c>
      <c r="H67" s="83" t="s">
        <v>666</v>
      </c>
      <c r="I67" s="187" t="s">
        <v>130</v>
      </c>
      <c r="J67" s="194" t="b">
        <v>1</v>
      </c>
      <c r="K67" s="189">
        <f t="shared" si="3"/>
        <v>543.76</v>
      </c>
      <c r="L67" s="48" t="b">
        <f t="shared" si="4"/>
        <v>1</v>
      </c>
      <c r="M67" s="190">
        <f t="shared" si="5"/>
        <v>1</v>
      </c>
      <c r="N67" s="179" t="str">
        <f t="shared" ref="N67:BB67" si="68">IFERROR(IF(N$1=FALSE,, IF(IF(SEARCH(N$3,$I67,1)&gt;0,1,0)=1,$E67/$M67,)),"")</f>
        <v/>
      </c>
      <c r="O67" s="179" t="str">
        <f t="shared" si="68"/>
        <v/>
      </c>
      <c r="P67" s="179" t="str">
        <f t="shared" si="68"/>
        <v/>
      </c>
      <c r="Q67" s="179" t="str">
        <f t="shared" si="68"/>
        <v/>
      </c>
      <c r="R67" s="179" t="str">
        <f t="shared" si="68"/>
        <v/>
      </c>
      <c r="S67" s="179" t="str">
        <f t="shared" si="68"/>
        <v/>
      </c>
      <c r="T67" s="179" t="str">
        <f t="shared" si="68"/>
        <v/>
      </c>
      <c r="U67" s="179" t="str">
        <f t="shared" si="68"/>
        <v/>
      </c>
      <c r="V67" s="179" t="str">
        <f t="shared" si="68"/>
        <v/>
      </c>
      <c r="W67" s="179" t="str">
        <f t="shared" si="68"/>
        <v/>
      </c>
      <c r="X67" s="179">
        <f t="shared" si="68"/>
        <v>543.76</v>
      </c>
      <c r="Y67" s="179" t="str">
        <f t="shared" si="68"/>
        <v/>
      </c>
      <c r="Z67" s="179" t="str">
        <f t="shared" si="68"/>
        <v/>
      </c>
      <c r="AA67" s="179" t="str">
        <f t="shared" si="68"/>
        <v/>
      </c>
      <c r="AB67" s="179" t="str">
        <f t="shared" si="68"/>
        <v/>
      </c>
      <c r="AC67" s="179" t="str">
        <f t="shared" si="68"/>
        <v/>
      </c>
      <c r="AD67" s="179" t="str">
        <f t="shared" si="68"/>
        <v/>
      </c>
      <c r="AE67" s="179" t="str">
        <f t="shared" si="68"/>
        <v/>
      </c>
      <c r="AF67" s="179" t="str">
        <f t="shared" si="68"/>
        <v/>
      </c>
      <c r="AG67" s="179" t="str">
        <f t="shared" si="68"/>
        <v/>
      </c>
      <c r="AH67" s="179" t="str">
        <f t="shared" si="68"/>
        <v/>
      </c>
      <c r="AI67" s="179" t="str">
        <f t="shared" si="68"/>
        <v/>
      </c>
      <c r="AJ67" s="179" t="str">
        <f t="shared" si="68"/>
        <v/>
      </c>
      <c r="AK67" s="179" t="str">
        <f t="shared" si="68"/>
        <v/>
      </c>
      <c r="AL67" s="179" t="str">
        <f t="shared" si="68"/>
        <v/>
      </c>
      <c r="AM67" s="179" t="str">
        <f t="shared" si="68"/>
        <v/>
      </c>
      <c r="AN67" s="179" t="str">
        <f t="shared" si="68"/>
        <v/>
      </c>
      <c r="AO67" s="179" t="str">
        <f t="shared" si="68"/>
        <v/>
      </c>
      <c r="AP67" s="179" t="str">
        <f t="shared" si="68"/>
        <v/>
      </c>
      <c r="AQ67" s="179" t="str">
        <f t="shared" si="68"/>
        <v/>
      </c>
      <c r="AR67" s="179" t="str">
        <f t="shared" si="68"/>
        <v/>
      </c>
      <c r="AS67" s="179" t="str">
        <f t="shared" si="68"/>
        <v/>
      </c>
      <c r="AT67" s="179" t="str">
        <f t="shared" si="68"/>
        <v/>
      </c>
      <c r="AU67" s="179" t="str">
        <f t="shared" si="68"/>
        <v/>
      </c>
      <c r="AV67" s="179" t="str">
        <f t="shared" si="68"/>
        <v/>
      </c>
      <c r="AW67" s="179" t="str">
        <f t="shared" si="68"/>
        <v/>
      </c>
      <c r="AX67" s="179" t="str">
        <f t="shared" si="68"/>
        <v/>
      </c>
      <c r="AY67" s="179" t="str">
        <f t="shared" si="68"/>
        <v/>
      </c>
      <c r="AZ67" s="179" t="str">
        <f t="shared" si="68"/>
        <v/>
      </c>
      <c r="BA67" s="179" t="str">
        <f t="shared" si="68"/>
        <v/>
      </c>
      <c r="BB67" s="179" t="str">
        <f t="shared" si="68"/>
        <v/>
      </c>
    </row>
    <row r="68">
      <c r="A68" s="193" t="s">
        <v>661</v>
      </c>
      <c r="B68" s="105" t="s">
        <v>662</v>
      </c>
      <c r="C68" s="105" t="s">
        <v>744</v>
      </c>
      <c r="D68" s="192">
        <v>126560.0</v>
      </c>
      <c r="E68" s="185">
        <v>124311.82</v>
      </c>
      <c r="F68" s="186">
        <v>45952.0</v>
      </c>
      <c r="G68" s="105" t="s">
        <v>664</v>
      </c>
      <c r="H68" s="83" t="s">
        <v>744</v>
      </c>
      <c r="I68" s="187" t="s">
        <v>745</v>
      </c>
      <c r="J68" s="194" t="b">
        <v>1</v>
      </c>
      <c r="K68" s="189">
        <f t="shared" si="3"/>
        <v>124311.82</v>
      </c>
      <c r="L68" s="48" t="b">
        <f t="shared" si="4"/>
        <v>1</v>
      </c>
      <c r="M68" s="195">
        <v>2.0</v>
      </c>
      <c r="N68" s="179" t="str">
        <f t="shared" ref="N68:BB68" si="69">IFERROR(IF(N$1=FALSE,, IF(IF(SEARCH(N$3,$I68,1)&gt;0,1,0)=1,$E68/$M68,)),"")</f>
        <v/>
      </c>
      <c r="O68" s="179" t="str">
        <f t="shared" si="69"/>
        <v/>
      </c>
      <c r="P68" s="179" t="str">
        <f t="shared" si="69"/>
        <v/>
      </c>
      <c r="Q68" s="179" t="str">
        <f t="shared" si="69"/>
        <v/>
      </c>
      <c r="R68" s="179" t="str">
        <f t="shared" si="69"/>
        <v/>
      </c>
      <c r="S68" s="179" t="str">
        <f t="shared" si="69"/>
        <v/>
      </c>
      <c r="T68" s="179" t="str">
        <f t="shared" si="69"/>
        <v/>
      </c>
      <c r="U68" s="179">
        <f t="shared" si="69"/>
        <v>62155.91</v>
      </c>
      <c r="V68" s="179" t="str">
        <f t="shared" si="69"/>
        <v/>
      </c>
      <c r="W68" s="179" t="str">
        <f t="shared" si="69"/>
        <v/>
      </c>
      <c r="X68" s="179">
        <f t="shared" si="69"/>
        <v>62155.91</v>
      </c>
      <c r="Y68" s="179" t="str">
        <f t="shared" si="69"/>
        <v/>
      </c>
      <c r="Z68" s="179" t="str">
        <f t="shared" si="69"/>
        <v/>
      </c>
      <c r="AA68" s="179" t="str">
        <f t="shared" si="69"/>
        <v/>
      </c>
      <c r="AB68" s="179" t="str">
        <f t="shared" si="69"/>
        <v/>
      </c>
      <c r="AC68" s="179" t="str">
        <f t="shared" si="69"/>
        <v/>
      </c>
      <c r="AD68" s="179" t="str">
        <f t="shared" si="69"/>
        <v/>
      </c>
      <c r="AE68" s="179" t="str">
        <f t="shared" si="69"/>
        <v/>
      </c>
      <c r="AF68" s="179" t="str">
        <f t="shared" si="69"/>
        <v/>
      </c>
      <c r="AG68" s="179" t="str">
        <f t="shared" si="69"/>
        <v/>
      </c>
      <c r="AH68" s="179" t="str">
        <f t="shared" si="69"/>
        <v/>
      </c>
      <c r="AI68" s="179" t="str">
        <f t="shared" si="69"/>
        <v/>
      </c>
      <c r="AJ68" s="179" t="str">
        <f t="shared" si="69"/>
        <v/>
      </c>
      <c r="AK68" s="179" t="str">
        <f t="shared" si="69"/>
        <v/>
      </c>
      <c r="AL68" s="179" t="str">
        <f t="shared" si="69"/>
        <v/>
      </c>
      <c r="AM68" s="179" t="str">
        <f t="shared" si="69"/>
        <v/>
      </c>
      <c r="AN68" s="179" t="str">
        <f t="shared" si="69"/>
        <v/>
      </c>
      <c r="AO68" s="179" t="str">
        <f t="shared" si="69"/>
        <v/>
      </c>
      <c r="AP68" s="179" t="str">
        <f t="shared" si="69"/>
        <v/>
      </c>
      <c r="AQ68" s="179" t="str">
        <f t="shared" si="69"/>
        <v/>
      </c>
      <c r="AR68" s="179" t="str">
        <f t="shared" si="69"/>
        <v/>
      </c>
      <c r="AS68" s="179" t="str">
        <f t="shared" si="69"/>
        <v/>
      </c>
      <c r="AT68" s="179" t="str">
        <f t="shared" si="69"/>
        <v/>
      </c>
      <c r="AU68" s="179" t="str">
        <f t="shared" si="69"/>
        <v/>
      </c>
      <c r="AV68" s="179" t="str">
        <f t="shared" si="69"/>
        <v/>
      </c>
      <c r="AW68" s="179" t="str">
        <f t="shared" si="69"/>
        <v/>
      </c>
      <c r="AX68" s="179" t="str">
        <f t="shared" si="69"/>
        <v/>
      </c>
      <c r="AY68" s="179" t="str">
        <f t="shared" si="69"/>
        <v/>
      </c>
      <c r="AZ68" s="179" t="str">
        <f t="shared" si="69"/>
        <v/>
      </c>
      <c r="BA68" s="179" t="str">
        <f t="shared" si="69"/>
        <v/>
      </c>
      <c r="BB68" s="179" t="str">
        <f t="shared" si="69"/>
        <v/>
      </c>
    </row>
    <row r="69">
      <c r="A69" s="193" t="s">
        <v>740</v>
      </c>
      <c r="B69" s="105" t="s">
        <v>741</v>
      </c>
      <c r="C69" s="105" t="s">
        <v>742</v>
      </c>
      <c r="D69" s="192">
        <v>73502.0</v>
      </c>
      <c r="E69" s="185">
        <v>630.0</v>
      </c>
      <c r="F69" s="186">
        <v>45951.0</v>
      </c>
      <c r="G69" s="105" t="s">
        <v>664</v>
      </c>
      <c r="H69" s="83" t="s">
        <v>742</v>
      </c>
      <c r="I69" s="187" t="s">
        <v>92</v>
      </c>
      <c r="J69" s="194" t="b">
        <v>1</v>
      </c>
      <c r="K69" s="189">
        <f t="shared" si="3"/>
        <v>630</v>
      </c>
      <c r="L69" s="48" t="b">
        <f t="shared" si="4"/>
        <v>1</v>
      </c>
      <c r="M69" s="190">
        <f t="shared" ref="M69:M75" si="71">IF(J69=FALSE,0,IF(LEN(I69)=0,0,IF(LEN(I69)=9,1,(LEN(I69)+1)/10)))</f>
        <v>1</v>
      </c>
      <c r="N69" s="179">
        <f t="shared" ref="N69:BB69" si="70">IFERROR(IF(N$1=FALSE,, IF(IF(SEARCH(N$3,$I69,1)&gt;0,1,0)=1,$E69/$M69,)),"")</f>
        <v>630</v>
      </c>
      <c r="O69" s="179" t="str">
        <f t="shared" si="70"/>
        <v/>
      </c>
      <c r="P69" s="179" t="str">
        <f t="shared" si="70"/>
        <v/>
      </c>
      <c r="Q69" s="179" t="str">
        <f t="shared" si="70"/>
        <v/>
      </c>
      <c r="R69" s="179" t="str">
        <f t="shared" si="70"/>
        <v/>
      </c>
      <c r="S69" s="179" t="str">
        <f t="shared" si="70"/>
        <v/>
      </c>
      <c r="T69" s="179" t="str">
        <f t="shared" si="70"/>
        <v/>
      </c>
      <c r="U69" s="179" t="str">
        <f t="shared" si="70"/>
        <v/>
      </c>
      <c r="V69" s="179" t="str">
        <f t="shared" si="70"/>
        <v/>
      </c>
      <c r="W69" s="179" t="str">
        <f t="shared" si="70"/>
        <v/>
      </c>
      <c r="X69" s="179" t="str">
        <f t="shared" si="70"/>
        <v/>
      </c>
      <c r="Y69" s="179" t="str">
        <f t="shared" si="70"/>
        <v/>
      </c>
      <c r="Z69" s="179" t="str">
        <f t="shared" si="70"/>
        <v/>
      </c>
      <c r="AA69" s="179" t="str">
        <f t="shared" si="70"/>
        <v/>
      </c>
      <c r="AB69" s="179" t="str">
        <f t="shared" si="70"/>
        <v/>
      </c>
      <c r="AC69" s="179" t="str">
        <f t="shared" si="70"/>
        <v/>
      </c>
      <c r="AD69" s="179" t="str">
        <f t="shared" si="70"/>
        <v/>
      </c>
      <c r="AE69" s="179" t="str">
        <f t="shared" si="70"/>
        <v/>
      </c>
      <c r="AF69" s="179" t="str">
        <f t="shared" si="70"/>
        <v/>
      </c>
      <c r="AG69" s="179" t="str">
        <f t="shared" si="70"/>
        <v/>
      </c>
      <c r="AH69" s="179" t="str">
        <f t="shared" si="70"/>
        <v/>
      </c>
      <c r="AI69" s="179" t="str">
        <f t="shared" si="70"/>
        <v/>
      </c>
      <c r="AJ69" s="179" t="str">
        <f t="shared" si="70"/>
        <v/>
      </c>
      <c r="AK69" s="179" t="str">
        <f t="shared" si="70"/>
        <v/>
      </c>
      <c r="AL69" s="179" t="str">
        <f t="shared" si="70"/>
        <v/>
      </c>
      <c r="AM69" s="179" t="str">
        <f t="shared" si="70"/>
        <v/>
      </c>
      <c r="AN69" s="179" t="str">
        <f t="shared" si="70"/>
        <v/>
      </c>
      <c r="AO69" s="179" t="str">
        <f t="shared" si="70"/>
        <v/>
      </c>
      <c r="AP69" s="179" t="str">
        <f t="shared" si="70"/>
        <v/>
      </c>
      <c r="AQ69" s="179" t="str">
        <f t="shared" si="70"/>
        <v/>
      </c>
      <c r="AR69" s="179" t="str">
        <f t="shared" si="70"/>
        <v/>
      </c>
      <c r="AS69" s="179" t="str">
        <f t="shared" si="70"/>
        <v/>
      </c>
      <c r="AT69" s="179" t="str">
        <f t="shared" si="70"/>
        <v/>
      </c>
      <c r="AU69" s="179" t="str">
        <f t="shared" si="70"/>
        <v/>
      </c>
      <c r="AV69" s="179" t="str">
        <f t="shared" si="70"/>
        <v/>
      </c>
      <c r="AW69" s="179" t="str">
        <f t="shared" si="70"/>
        <v/>
      </c>
      <c r="AX69" s="179" t="str">
        <f t="shared" si="70"/>
        <v/>
      </c>
      <c r="AY69" s="179" t="str">
        <f t="shared" si="70"/>
        <v/>
      </c>
      <c r="AZ69" s="179" t="str">
        <f t="shared" si="70"/>
        <v/>
      </c>
      <c r="BA69" s="179" t="str">
        <f t="shared" si="70"/>
        <v/>
      </c>
      <c r="BB69" s="179" t="str">
        <f t="shared" si="70"/>
        <v/>
      </c>
    </row>
    <row r="70">
      <c r="A70" s="193" t="s">
        <v>676</v>
      </c>
      <c r="B70" s="105" t="s">
        <v>677</v>
      </c>
      <c r="C70" s="105" t="s">
        <v>746</v>
      </c>
      <c r="D70" s="192">
        <v>164503.0</v>
      </c>
      <c r="E70" s="185">
        <v>1935.0</v>
      </c>
      <c r="F70" s="186">
        <v>45947.0</v>
      </c>
      <c r="G70" s="105" t="s">
        <v>664</v>
      </c>
      <c r="H70" s="83" t="s">
        <v>746</v>
      </c>
      <c r="I70" s="187" t="s">
        <v>130</v>
      </c>
      <c r="J70" s="194" t="b">
        <v>1</v>
      </c>
      <c r="K70" s="189">
        <f t="shared" si="3"/>
        <v>1935</v>
      </c>
      <c r="L70" s="48" t="b">
        <f t="shared" si="4"/>
        <v>1</v>
      </c>
      <c r="M70" s="190">
        <f t="shared" si="71"/>
        <v>1</v>
      </c>
      <c r="N70" s="179" t="str">
        <f t="shared" ref="N70:BB70" si="72">IFERROR(IF(N$1=FALSE,, IF(IF(SEARCH(N$3,$I70,1)&gt;0,1,0)=1,$E70/$M70,)),"")</f>
        <v/>
      </c>
      <c r="O70" s="179" t="str">
        <f t="shared" si="72"/>
        <v/>
      </c>
      <c r="P70" s="179" t="str">
        <f t="shared" si="72"/>
        <v/>
      </c>
      <c r="Q70" s="179" t="str">
        <f t="shared" si="72"/>
        <v/>
      </c>
      <c r="R70" s="179" t="str">
        <f t="shared" si="72"/>
        <v/>
      </c>
      <c r="S70" s="179" t="str">
        <f t="shared" si="72"/>
        <v/>
      </c>
      <c r="T70" s="179" t="str">
        <f t="shared" si="72"/>
        <v/>
      </c>
      <c r="U70" s="179" t="str">
        <f t="shared" si="72"/>
        <v/>
      </c>
      <c r="V70" s="179" t="str">
        <f t="shared" si="72"/>
        <v/>
      </c>
      <c r="W70" s="179" t="str">
        <f t="shared" si="72"/>
        <v/>
      </c>
      <c r="X70" s="179">
        <f t="shared" si="72"/>
        <v>1935</v>
      </c>
      <c r="Y70" s="179" t="str">
        <f t="shared" si="72"/>
        <v/>
      </c>
      <c r="Z70" s="179" t="str">
        <f t="shared" si="72"/>
        <v/>
      </c>
      <c r="AA70" s="179" t="str">
        <f t="shared" si="72"/>
        <v/>
      </c>
      <c r="AB70" s="179" t="str">
        <f t="shared" si="72"/>
        <v/>
      </c>
      <c r="AC70" s="179" t="str">
        <f t="shared" si="72"/>
        <v/>
      </c>
      <c r="AD70" s="179" t="str">
        <f t="shared" si="72"/>
        <v/>
      </c>
      <c r="AE70" s="179" t="str">
        <f t="shared" si="72"/>
        <v/>
      </c>
      <c r="AF70" s="179" t="str">
        <f t="shared" si="72"/>
        <v/>
      </c>
      <c r="AG70" s="179" t="str">
        <f t="shared" si="72"/>
        <v/>
      </c>
      <c r="AH70" s="179" t="str">
        <f t="shared" si="72"/>
        <v/>
      </c>
      <c r="AI70" s="179" t="str">
        <f t="shared" si="72"/>
        <v/>
      </c>
      <c r="AJ70" s="179" t="str">
        <f t="shared" si="72"/>
        <v/>
      </c>
      <c r="AK70" s="179" t="str">
        <f t="shared" si="72"/>
        <v/>
      </c>
      <c r="AL70" s="179" t="str">
        <f t="shared" si="72"/>
        <v/>
      </c>
      <c r="AM70" s="179" t="str">
        <f t="shared" si="72"/>
        <v/>
      </c>
      <c r="AN70" s="179" t="str">
        <f t="shared" si="72"/>
        <v/>
      </c>
      <c r="AO70" s="179" t="str">
        <f t="shared" si="72"/>
        <v/>
      </c>
      <c r="AP70" s="179" t="str">
        <f t="shared" si="72"/>
        <v/>
      </c>
      <c r="AQ70" s="179" t="str">
        <f t="shared" si="72"/>
        <v/>
      </c>
      <c r="AR70" s="179" t="str">
        <f t="shared" si="72"/>
        <v/>
      </c>
      <c r="AS70" s="179" t="str">
        <f t="shared" si="72"/>
        <v/>
      </c>
      <c r="AT70" s="179" t="str">
        <f t="shared" si="72"/>
        <v/>
      </c>
      <c r="AU70" s="179" t="str">
        <f t="shared" si="72"/>
        <v/>
      </c>
      <c r="AV70" s="179" t="str">
        <f t="shared" si="72"/>
        <v/>
      </c>
      <c r="AW70" s="179" t="str">
        <f t="shared" si="72"/>
        <v/>
      </c>
      <c r="AX70" s="179" t="str">
        <f t="shared" si="72"/>
        <v/>
      </c>
      <c r="AY70" s="179" t="str">
        <f t="shared" si="72"/>
        <v/>
      </c>
      <c r="AZ70" s="179" t="str">
        <f t="shared" si="72"/>
        <v/>
      </c>
      <c r="BA70" s="179" t="str">
        <f t="shared" si="72"/>
        <v/>
      </c>
      <c r="BB70" s="179" t="str">
        <f t="shared" si="72"/>
        <v/>
      </c>
    </row>
    <row r="71">
      <c r="A71" s="193" t="s">
        <v>740</v>
      </c>
      <c r="B71" s="105" t="s">
        <v>741</v>
      </c>
      <c r="C71" s="105" t="s">
        <v>742</v>
      </c>
      <c r="D71" s="192">
        <v>74025.0</v>
      </c>
      <c r="E71" s="185">
        <v>315.0</v>
      </c>
      <c r="F71" s="186">
        <v>45968.0</v>
      </c>
      <c r="G71" s="105" t="s">
        <v>664</v>
      </c>
      <c r="H71" s="83" t="s">
        <v>742</v>
      </c>
      <c r="I71" s="187" t="s">
        <v>92</v>
      </c>
      <c r="J71" s="194" t="b">
        <v>1</v>
      </c>
      <c r="K71" s="189">
        <f t="shared" si="3"/>
        <v>315</v>
      </c>
      <c r="L71" s="48" t="b">
        <f t="shared" si="4"/>
        <v>1</v>
      </c>
      <c r="M71" s="190">
        <f t="shared" si="71"/>
        <v>1</v>
      </c>
      <c r="N71" s="179">
        <f t="shared" ref="N71:BB71" si="73">IFERROR(IF(N$1=FALSE,, IF(IF(SEARCH(N$3,$I71,1)&gt;0,1,0)=1,$E71/$M71,)),"")</f>
        <v>315</v>
      </c>
      <c r="O71" s="179" t="str">
        <f t="shared" si="73"/>
        <v/>
      </c>
      <c r="P71" s="179" t="str">
        <f t="shared" si="73"/>
        <v/>
      </c>
      <c r="Q71" s="179" t="str">
        <f t="shared" si="73"/>
        <v/>
      </c>
      <c r="R71" s="179" t="str">
        <f t="shared" si="73"/>
        <v/>
      </c>
      <c r="S71" s="179" t="str">
        <f t="shared" si="73"/>
        <v/>
      </c>
      <c r="T71" s="179" t="str">
        <f t="shared" si="73"/>
        <v/>
      </c>
      <c r="U71" s="179" t="str">
        <f t="shared" si="73"/>
        <v/>
      </c>
      <c r="V71" s="179" t="str">
        <f t="shared" si="73"/>
        <v/>
      </c>
      <c r="W71" s="179" t="str">
        <f t="shared" si="73"/>
        <v/>
      </c>
      <c r="X71" s="179" t="str">
        <f t="shared" si="73"/>
        <v/>
      </c>
      <c r="Y71" s="179" t="str">
        <f t="shared" si="73"/>
        <v/>
      </c>
      <c r="Z71" s="179" t="str">
        <f t="shared" si="73"/>
        <v/>
      </c>
      <c r="AA71" s="179" t="str">
        <f t="shared" si="73"/>
        <v/>
      </c>
      <c r="AB71" s="179" t="str">
        <f t="shared" si="73"/>
        <v/>
      </c>
      <c r="AC71" s="179" t="str">
        <f t="shared" si="73"/>
        <v/>
      </c>
      <c r="AD71" s="179" t="str">
        <f t="shared" si="73"/>
        <v/>
      </c>
      <c r="AE71" s="179" t="str">
        <f t="shared" si="73"/>
        <v/>
      </c>
      <c r="AF71" s="179" t="str">
        <f t="shared" si="73"/>
        <v/>
      </c>
      <c r="AG71" s="179" t="str">
        <f t="shared" si="73"/>
        <v/>
      </c>
      <c r="AH71" s="179" t="str">
        <f t="shared" si="73"/>
        <v/>
      </c>
      <c r="AI71" s="179" t="str">
        <f t="shared" si="73"/>
        <v/>
      </c>
      <c r="AJ71" s="179" t="str">
        <f t="shared" si="73"/>
        <v/>
      </c>
      <c r="AK71" s="179" t="str">
        <f t="shared" si="73"/>
        <v/>
      </c>
      <c r="AL71" s="179" t="str">
        <f t="shared" si="73"/>
        <v/>
      </c>
      <c r="AM71" s="179" t="str">
        <f t="shared" si="73"/>
        <v/>
      </c>
      <c r="AN71" s="179" t="str">
        <f t="shared" si="73"/>
        <v/>
      </c>
      <c r="AO71" s="179" t="str">
        <f t="shared" si="73"/>
        <v/>
      </c>
      <c r="AP71" s="179" t="str">
        <f t="shared" si="73"/>
        <v/>
      </c>
      <c r="AQ71" s="179" t="str">
        <f t="shared" si="73"/>
        <v/>
      </c>
      <c r="AR71" s="179" t="str">
        <f t="shared" si="73"/>
        <v/>
      </c>
      <c r="AS71" s="179" t="str">
        <f t="shared" si="73"/>
        <v/>
      </c>
      <c r="AT71" s="179" t="str">
        <f t="shared" si="73"/>
        <v/>
      </c>
      <c r="AU71" s="179" t="str">
        <f t="shared" si="73"/>
        <v/>
      </c>
      <c r="AV71" s="179" t="str">
        <f t="shared" si="73"/>
        <v/>
      </c>
      <c r="AW71" s="179" t="str">
        <f t="shared" si="73"/>
        <v/>
      </c>
      <c r="AX71" s="179" t="str">
        <f t="shared" si="73"/>
        <v/>
      </c>
      <c r="AY71" s="179" t="str">
        <f t="shared" si="73"/>
        <v/>
      </c>
      <c r="AZ71" s="179" t="str">
        <f t="shared" si="73"/>
        <v/>
      </c>
      <c r="BA71" s="179" t="str">
        <f t="shared" si="73"/>
        <v/>
      </c>
      <c r="BB71" s="179" t="str">
        <f t="shared" si="73"/>
        <v/>
      </c>
    </row>
    <row r="72">
      <c r="A72" s="193" t="s">
        <v>676</v>
      </c>
      <c r="B72" s="105" t="s">
        <v>677</v>
      </c>
      <c r="C72" s="105" t="s">
        <v>746</v>
      </c>
      <c r="D72" s="192">
        <v>164703.0</v>
      </c>
      <c r="E72" s="185">
        <v>2026.0</v>
      </c>
      <c r="F72" s="186">
        <v>45964.0</v>
      </c>
      <c r="G72" s="105" t="s">
        <v>664</v>
      </c>
      <c r="H72" s="83" t="s">
        <v>746</v>
      </c>
      <c r="I72" s="187" t="s">
        <v>130</v>
      </c>
      <c r="J72" s="194" t="b">
        <v>1</v>
      </c>
      <c r="K72" s="189">
        <f t="shared" si="3"/>
        <v>2026</v>
      </c>
      <c r="L72" s="48" t="b">
        <f t="shared" si="4"/>
        <v>1</v>
      </c>
      <c r="M72" s="190">
        <f t="shared" si="71"/>
        <v>1</v>
      </c>
      <c r="N72" s="179" t="str">
        <f t="shared" ref="N72:BB72" si="74">IFERROR(IF(N$1=FALSE,, IF(IF(SEARCH(N$3,$I72,1)&gt;0,1,0)=1,$E72/$M72,)),"")</f>
        <v/>
      </c>
      <c r="O72" s="179" t="str">
        <f t="shared" si="74"/>
        <v/>
      </c>
      <c r="P72" s="179" t="str">
        <f t="shared" si="74"/>
        <v/>
      </c>
      <c r="Q72" s="179" t="str">
        <f t="shared" si="74"/>
        <v/>
      </c>
      <c r="R72" s="179" t="str">
        <f t="shared" si="74"/>
        <v/>
      </c>
      <c r="S72" s="179" t="str">
        <f t="shared" si="74"/>
        <v/>
      </c>
      <c r="T72" s="179" t="str">
        <f t="shared" si="74"/>
        <v/>
      </c>
      <c r="U72" s="179" t="str">
        <f t="shared" si="74"/>
        <v/>
      </c>
      <c r="V72" s="179" t="str">
        <f t="shared" si="74"/>
        <v/>
      </c>
      <c r="W72" s="179" t="str">
        <f t="shared" si="74"/>
        <v/>
      </c>
      <c r="X72" s="179">
        <f t="shared" si="74"/>
        <v>2026</v>
      </c>
      <c r="Y72" s="179" t="str">
        <f t="shared" si="74"/>
        <v/>
      </c>
      <c r="Z72" s="179" t="str">
        <f t="shared" si="74"/>
        <v/>
      </c>
      <c r="AA72" s="179" t="str">
        <f t="shared" si="74"/>
        <v/>
      </c>
      <c r="AB72" s="179" t="str">
        <f t="shared" si="74"/>
        <v/>
      </c>
      <c r="AC72" s="179" t="str">
        <f t="shared" si="74"/>
        <v/>
      </c>
      <c r="AD72" s="179" t="str">
        <f t="shared" si="74"/>
        <v/>
      </c>
      <c r="AE72" s="179" t="str">
        <f t="shared" si="74"/>
        <v/>
      </c>
      <c r="AF72" s="179" t="str">
        <f t="shared" si="74"/>
        <v/>
      </c>
      <c r="AG72" s="179" t="str">
        <f t="shared" si="74"/>
        <v/>
      </c>
      <c r="AH72" s="179" t="str">
        <f t="shared" si="74"/>
        <v/>
      </c>
      <c r="AI72" s="179" t="str">
        <f t="shared" si="74"/>
        <v/>
      </c>
      <c r="AJ72" s="179" t="str">
        <f t="shared" si="74"/>
        <v/>
      </c>
      <c r="AK72" s="179" t="str">
        <f t="shared" si="74"/>
        <v/>
      </c>
      <c r="AL72" s="179" t="str">
        <f t="shared" si="74"/>
        <v/>
      </c>
      <c r="AM72" s="179" t="str">
        <f t="shared" si="74"/>
        <v/>
      </c>
      <c r="AN72" s="179" t="str">
        <f t="shared" si="74"/>
        <v/>
      </c>
      <c r="AO72" s="179" t="str">
        <f t="shared" si="74"/>
        <v/>
      </c>
      <c r="AP72" s="179" t="str">
        <f t="shared" si="74"/>
        <v/>
      </c>
      <c r="AQ72" s="179" t="str">
        <f t="shared" si="74"/>
        <v/>
      </c>
      <c r="AR72" s="179" t="str">
        <f t="shared" si="74"/>
        <v/>
      </c>
      <c r="AS72" s="179" t="str">
        <f t="shared" si="74"/>
        <v/>
      </c>
      <c r="AT72" s="179" t="str">
        <f t="shared" si="74"/>
        <v/>
      </c>
      <c r="AU72" s="179" t="str">
        <f t="shared" si="74"/>
        <v/>
      </c>
      <c r="AV72" s="179" t="str">
        <f t="shared" si="74"/>
        <v/>
      </c>
      <c r="AW72" s="179" t="str">
        <f t="shared" si="74"/>
        <v/>
      </c>
      <c r="AX72" s="179" t="str">
        <f t="shared" si="74"/>
        <v/>
      </c>
      <c r="AY72" s="179" t="str">
        <f t="shared" si="74"/>
        <v/>
      </c>
      <c r="AZ72" s="179" t="str">
        <f t="shared" si="74"/>
        <v/>
      </c>
      <c r="BA72" s="179" t="str">
        <f t="shared" si="74"/>
        <v/>
      </c>
      <c r="BB72" s="179" t="str">
        <f t="shared" si="74"/>
        <v/>
      </c>
    </row>
    <row r="73">
      <c r="A73" s="193" t="s">
        <v>724</v>
      </c>
      <c r="B73" s="105" t="s">
        <v>725</v>
      </c>
      <c r="C73" s="105" t="s">
        <v>747</v>
      </c>
      <c r="D73" s="192">
        <v>42130.0</v>
      </c>
      <c r="E73" s="185">
        <v>1049.0</v>
      </c>
      <c r="F73" s="186">
        <v>45959.0</v>
      </c>
      <c r="G73" s="105" t="s">
        <v>664</v>
      </c>
      <c r="H73" s="83" t="s">
        <v>747</v>
      </c>
      <c r="I73" s="187" t="s">
        <v>92</v>
      </c>
      <c r="J73" s="194" t="b">
        <v>1</v>
      </c>
      <c r="K73" s="189">
        <f t="shared" si="3"/>
        <v>1049</v>
      </c>
      <c r="L73" s="48" t="b">
        <f t="shared" si="4"/>
        <v>1</v>
      </c>
      <c r="M73" s="190">
        <f t="shared" si="71"/>
        <v>1</v>
      </c>
      <c r="N73" s="179">
        <f t="shared" ref="N73:BB73" si="75">IFERROR(IF(N$1=FALSE,, IF(IF(SEARCH(N$3,$I73,1)&gt;0,1,0)=1,$E73/$M73,)),"")</f>
        <v>1049</v>
      </c>
      <c r="O73" s="179" t="str">
        <f t="shared" si="75"/>
        <v/>
      </c>
      <c r="P73" s="179" t="str">
        <f t="shared" si="75"/>
        <v/>
      </c>
      <c r="Q73" s="179" t="str">
        <f t="shared" si="75"/>
        <v/>
      </c>
      <c r="R73" s="179" t="str">
        <f t="shared" si="75"/>
        <v/>
      </c>
      <c r="S73" s="179" t="str">
        <f t="shared" si="75"/>
        <v/>
      </c>
      <c r="T73" s="179" t="str">
        <f t="shared" si="75"/>
        <v/>
      </c>
      <c r="U73" s="179" t="str">
        <f t="shared" si="75"/>
        <v/>
      </c>
      <c r="V73" s="179" t="str">
        <f t="shared" si="75"/>
        <v/>
      </c>
      <c r="W73" s="179" t="str">
        <f t="shared" si="75"/>
        <v/>
      </c>
      <c r="X73" s="179" t="str">
        <f t="shared" si="75"/>
        <v/>
      </c>
      <c r="Y73" s="179" t="str">
        <f t="shared" si="75"/>
        <v/>
      </c>
      <c r="Z73" s="179" t="str">
        <f t="shared" si="75"/>
        <v/>
      </c>
      <c r="AA73" s="179" t="str">
        <f t="shared" si="75"/>
        <v/>
      </c>
      <c r="AB73" s="179" t="str">
        <f t="shared" si="75"/>
        <v/>
      </c>
      <c r="AC73" s="179" t="str">
        <f t="shared" si="75"/>
        <v/>
      </c>
      <c r="AD73" s="179" t="str">
        <f t="shared" si="75"/>
        <v/>
      </c>
      <c r="AE73" s="179" t="str">
        <f t="shared" si="75"/>
        <v/>
      </c>
      <c r="AF73" s="179" t="str">
        <f t="shared" si="75"/>
        <v/>
      </c>
      <c r="AG73" s="179" t="str">
        <f t="shared" si="75"/>
        <v/>
      </c>
      <c r="AH73" s="179" t="str">
        <f t="shared" si="75"/>
        <v/>
      </c>
      <c r="AI73" s="179" t="str">
        <f t="shared" si="75"/>
        <v/>
      </c>
      <c r="AJ73" s="179" t="str">
        <f t="shared" si="75"/>
        <v/>
      </c>
      <c r="AK73" s="179" t="str">
        <f t="shared" si="75"/>
        <v/>
      </c>
      <c r="AL73" s="179" t="str">
        <f t="shared" si="75"/>
        <v/>
      </c>
      <c r="AM73" s="179" t="str">
        <f t="shared" si="75"/>
        <v/>
      </c>
      <c r="AN73" s="179" t="str">
        <f t="shared" si="75"/>
        <v/>
      </c>
      <c r="AO73" s="179" t="str">
        <f t="shared" si="75"/>
        <v/>
      </c>
      <c r="AP73" s="179" t="str">
        <f t="shared" si="75"/>
        <v/>
      </c>
      <c r="AQ73" s="179" t="str">
        <f t="shared" si="75"/>
        <v/>
      </c>
      <c r="AR73" s="179" t="str">
        <f t="shared" si="75"/>
        <v/>
      </c>
      <c r="AS73" s="179" t="str">
        <f t="shared" si="75"/>
        <v/>
      </c>
      <c r="AT73" s="179" t="str">
        <f t="shared" si="75"/>
        <v/>
      </c>
      <c r="AU73" s="179" t="str">
        <f t="shared" si="75"/>
        <v/>
      </c>
      <c r="AV73" s="179" t="str">
        <f t="shared" si="75"/>
        <v/>
      </c>
      <c r="AW73" s="179" t="str">
        <f t="shared" si="75"/>
        <v/>
      </c>
      <c r="AX73" s="179" t="str">
        <f t="shared" si="75"/>
        <v/>
      </c>
      <c r="AY73" s="179" t="str">
        <f t="shared" si="75"/>
        <v/>
      </c>
      <c r="AZ73" s="179" t="str">
        <f t="shared" si="75"/>
        <v/>
      </c>
      <c r="BA73" s="179" t="str">
        <f t="shared" si="75"/>
        <v/>
      </c>
      <c r="BB73" s="179" t="str">
        <f t="shared" si="75"/>
        <v/>
      </c>
    </row>
    <row r="74">
      <c r="A74" s="193" t="s">
        <v>724</v>
      </c>
      <c r="B74" s="105" t="s">
        <v>725</v>
      </c>
      <c r="C74" s="105" t="s">
        <v>747</v>
      </c>
      <c r="D74" s="192">
        <v>42110.0</v>
      </c>
      <c r="E74" s="185">
        <v>2098.0</v>
      </c>
      <c r="F74" s="186">
        <v>45957.0</v>
      </c>
      <c r="G74" s="105" t="s">
        <v>664</v>
      </c>
      <c r="H74" s="83" t="s">
        <v>747</v>
      </c>
      <c r="I74" s="187" t="s">
        <v>92</v>
      </c>
      <c r="J74" s="194" t="b">
        <v>1</v>
      </c>
      <c r="K74" s="189">
        <f t="shared" si="3"/>
        <v>2098</v>
      </c>
      <c r="L74" s="48" t="b">
        <f t="shared" si="4"/>
        <v>1</v>
      </c>
      <c r="M74" s="190">
        <f t="shared" si="71"/>
        <v>1</v>
      </c>
      <c r="N74" s="179">
        <f t="shared" ref="N74:BB74" si="76">IFERROR(IF(N$1=FALSE,, IF(IF(SEARCH(N$3,$I74,1)&gt;0,1,0)=1,$E74/$M74,)),"")</f>
        <v>2098</v>
      </c>
      <c r="O74" s="179" t="str">
        <f t="shared" si="76"/>
        <v/>
      </c>
      <c r="P74" s="179" t="str">
        <f t="shared" si="76"/>
        <v/>
      </c>
      <c r="Q74" s="179" t="str">
        <f t="shared" si="76"/>
        <v/>
      </c>
      <c r="R74" s="179" t="str">
        <f t="shared" si="76"/>
        <v/>
      </c>
      <c r="S74" s="179" t="str">
        <f t="shared" si="76"/>
        <v/>
      </c>
      <c r="T74" s="179" t="str">
        <f t="shared" si="76"/>
        <v/>
      </c>
      <c r="U74" s="179" t="str">
        <f t="shared" si="76"/>
        <v/>
      </c>
      <c r="V74" s="179" t="str">
        <f t="shared" si="76"/>
        <v/>
      </c>
      <c r="W74" s="179" t="str">
        <f t="shared" si="76"/>
        <v/>
      </c>
      <c r="X74" s="179" t="str">
        <f t="shared" si="76"/>
        <v/>
      </c>
      <c r="Y74" s="179" t="str">
        <f t="shared" si="76"/>
        <v/>
      </c>
      <c r="Z74" s="179" t="str">
        <f t="shared" si="76"/>
        <v/>
      </c>
      <c r="AA74" s="179" t="str">
        <f t="shared" si="76"/>
        <v/>
      </c>
      <c r="AB74" s="179" t="str">
        <f t="shared" si="76"/>
        <v/>
      </c>
      <c r="AC74" s="179" t="str">
        <f t="shared" si="76"/>
        <v/>
      </c>
      <c r="AD74" s="179" t="str">
        <f t="shared" si="76"/>
        <v/>
      </c>
      <c r="AE74" s="179" t="str">
        <f t="shared" si="76"/>
        <v/>
      </c>
      <c r="AF74" s="179" t="str">
        <f t="shared" si="76"/>
        <v/>
      </c>
      <c r="AG74" s="179" t="str">
        <f t="shared" si="76"/>
        <v/>
      </c>
      <c r="AH74" s="179" t="str">
        <f t="shared" si="76"/>
        <v/>
      </c>
      <c r="AI74" s="179" t="str">
        <f t="shared" si="76"/>
        <v/>
      </c>
      <c r="AJ74" s="179" t="str">
        <f t="shared" si="76"/>
        <v/>
      </c>
      <c r="AK74" s="179" t="str">
        <f t="shared" si="76"/>
        <v/>
      </c>
      <c r="AL74" s="179" t="str">
        <f t="shared" si="76"/>
        <v/>
      </c>
      <c r="AM74" s="179" t="str">
        <f t="shared" si="76"/>
        <v/>
      </c>
      <c r="AN74" s="179" t="str">
        <f t="shared" si="76"/>
        <v/>
      </c>
      <c r="AO74" s="179" t="str">
        <f t="shared" si="76"/>
        <v/>
      </c>
      <c r="AP74" s="179" t="str">
        <f t="shared" si="76"/>
        <v/>
      </c>
      <c r="AQ74" s="179" t="str">
        <f t="shared" si="76"/>
        <v/>
      </c>
      <c r="AR74" s="179" t="str">
        <f t="shared" si="76"/>
        <v/>
      </c>
      <c r="AS74" s="179" t="str">
        <f t="shared" si="76"/>
        <v/>
      </c>
      <c r="AT74" s="179" t="str">
        <f t="shared" si="76"/>
        <v/>
      </c>
      <c r="AU74" s="179" t="str">
        <f t="shared" si="76"/>
        <v/>
      </c>
      <c r="AV74" s="179" t="str">
        <f t="shared" si="76"/>
        <v/>
      </c>
      <c r="AW74" s="179" t="str">
        <f t="shared" si="76"/>
        <v/>
      </c>
      <c r="AX74" s="179" t="str">
        <f t="shared" si="76"/>
        <v/>
      </c>
      <c r="AY74" s="179" t="str">
        <f t="shared" si="76"/>
        <v/>
      </c>
      <c r="AZ74" s="179" t="str">
        <f t="shared" si="76"/>
        <v/>
      </c>
      <c r="BA74" s="179" t="str">
        <f t="shared" si="76"/>
        <v/>
      </c>
      <c r="BB74" s="179" t="str">
        <f t="shared" si="76"/>
        <v/>
      </c>
    </row>
    <row r="75">
      <c r="A75" s="193" t="s">
        <v>717</v>
      </c>
      <c r="B75" s="105" t="s">
        <v>718</v>
      </c>
      <c r="C75" s="105" t="s">
        <v>748</v>
      </c>
      <c r="D75" s="192">
        <v>55848.0</v>
      </c>
      <c r="E75" s="185">
        <v>150.0</v>
      </c>
      <c r="F75" s="186">
        <v>45957.0</v>
      </c>
      <c r="G75" s="105" t="s">
        <v>664</v>
      </c>
      <c r="H75" s="83" t="s">
        <v>748</v>
      </c>
      <c r="I75" s="187" t="s">
        <v>130</v>
      </c>
      <c r="J75" s="194" t="b">
        <v>1</v>
      </c>
      <c r="K75" s="189">
        <f t="shared" si="3"/>
        <v>150</v>
      </c>
      <c r="L75" s="48" t="b">
        <f t="shared" si="4"/>
        <v>1</v>
      </c>
      <c r="M75" s="190">
        <f t="shared" si="71"/>
        <v>1</v>
      </c>
      <c r="N75" s="179" t="str">
        <f t="shared" ref="N75:BB75" si="77">IFERROR(IF(N$1=FALSE,, IF(IF(SEARCH(N$3,$I75,1)&gt;0,1,0)=1,$E75/$M75,)),"")</f>
        <v/>
      </c>
      <c r="O75" s="179" t="str">
        <f t="shared" si="77"/>
        <v/>
      </c>
      <c r="P75" s="179" t="str">
        <f t="shared" si="77"/>
        <v/>
      </c>
      <c r="Q75" s="179" t="str">
        <f t="shared" si="77"/>
        <v/>
      </c>
      <c r="R75" s="179" t="str">
        <f t="shared" si="77"/>
        <v/>
      </c>
      <c r="S75" s="179" t="str">
        <f t="shared" si="77"/>
        <v/>
      </c>
      <c r="T75" s="179" t="str">
        <f t="shared" si="77"/>
        <v/>
      </c>
      <c r="U75" s="179" t="str">
        <f t="shared" si="77"/>
        <v/>
      </c>
      <c r="V75" s="179" t="str">
        <f t="shared" si="77"/>
        <v/>
      </c>
      <c r="W75" s="179" t="str">
        <f t="shared" si="77"/>
        <v/>
      </c>
      <c r="X75" s="179">
        <f t="shared" si="77"/>
        <v>150</v>
      </c>
      <c r="Y75" s="179" t="str">
        <f t="shared" si="77"/>
        <v/>
      </c>
      <c r="Z75" s="179" t="str">
        <f t="shared" si="77"/>
        <v/>
      </c>
      <c r="AA75" s="179" t="str">
        <f t="shared" si="77"/>
        <v/>
      </c>
      <c r="AB75" s="179" t="str">
        <f t="shared" si="77"/>
        <v/>
      </c>
      <c r="AC75" s="179" t="str">
        <f t="shared" si="77"/>
        <v/>
      </c>
      <c r="AD75" s="179" t="str">
        <f t="shared" si="77"/>
        <v/>
      </c>
      <c r="AE75" s="179" t="str">
        <f t="shared" si="77"/>
        <v/>
      </c>
      <c r="AF75" s="179" t="str">
        <f t="shared" si="77"/>
        <v/>
      </c>
      <c r="AG75" s="179" t="str">
        <f t="shared" si="77"/>
        <v/>
      </c>
      <c r="AH75" s="179" t="str">
        <f t="shared" si="77"/>
        <v/>
      </c>
      <c r="AI75" s="179" t="str">
        <f t="shared" si="77"/>
        <v/>
      </c>
      <c r="AJ75" s="179" t="str">
        <f t="shared" si="77"/>
        <v/>
      </c>
      <c r="AK75" s="179" t="str">
        <f t="shared" si="77"/>
        <v/>
      </c>
      <c r="AL75" s="179" t="str">
        <f t="shared" si="77"/>
        <v/>
      </c>
      <c r="AM75" s="179" t="str">
        <f t="shared" si="77"/>
        <v/>
      </c>
      <c r="AN75" s="179" t="str">
        <f t="shared" si="77"/>
        <v/>
      </c>
      <c r="AO75" s="179" t="str">
        <f t="shared" si="77"/>
        <v/>
      </c>
      <c r="AP75" s="179" t="str">
        <f t="shared" si="77"/>
        <v/>
      </c>
      <c r="AQ75" s="179" t="str">
        <f t="shared" si="77"/>
        <v/>
      </c>
      <c r="AR75" s="179" t="str">
        <f t="shared" si="77"/>
        <v/>
      </c>
      <c r="AS75" s="179" t="str">
        <f t="shared" si="77"/>
        <v/>
      </c>
      <c r="AT75" s="179" t="str">
        <f t="shared" si="77"/>
        <v/>
      </c>
      <c r="AU75" s="179" t="str">
        <f t="shared" si="77"/>
        <v/>
      </c>
      <c r="AV75" s="179" t="str">
        <f t="shared" si="77"/>
        <v/>
      </c>
      <c r="AW75" s="179" t="str">
        <f t="shared" si="77"/>
        <v/>
      </c>
      <c r="AX75" s="179" t="str">
        <f t="shared" si="77"/>
        <v/>
      </c>
      <c r="AY75" s="179" t="str">
        <f t="shared" si="77"/>
        <v/>
      </c>
      <c r="AZ75" s="179" t="str">
        <f t="shared" si="77"/>
        <v/>
      </c>
      <c r="BA75" s="179" t="str">
        <f t="shared" si="77"/>
        <v/>
      </c>
      <c r="BB75" s="179" t="str">
        <f t="shared" si="77"/>
        <v/>
      </c>
    </row>
    <row r="76">
      <c r="A76" s="193" t="s">
        <v>749</v>
      </c>
      <c r="B76" s="105" t="s">
        <v>750</v>
      </c>
      <c r="C76" s="105" t="s">
        <v>751</v>
      </c>
      <c r="D76" s="192" t="s">
        <v>752</v>
      </c>
      <c r="E76" s="185">
        <v>797.92</v>
      </c>
      <c r="F76" s="186">
        <v>45966.0</v>
      </c>
      <c r="G76" s="105" t="s">
        <v>664</v>
      </c>
      <c r="H76" s="83" t="s">
        <v>751</v>
      </c>
      <c r="I76" s="187" t="s">
        <v>150</v>
      </c>
      <c r="J76" s="194" t="b">
        <v>0</v>
      </c>
      <c r="K76" s="189">
        <f t="shared" si="3"/>
        <v>0</v>
      </c>
      <c r="L76" s="48" t="b">
        <f t="shared" si="4"/>
        <v>0</v>
      </c>
      <c r="M76" s="195">
        <v>1.0</v>
      </c>
      <c r="N76" s="179" t="str">
        <f t="shared" ref="N76:BB76" si="78">IFERROR(IF(N$1=FALSE,, IF(IF(SEARCH(N$3,$I76,1)&gt;0,1,0)=1,$E76/$M76,)),"")</f>
        <v/>
      </c>
      <c r="O76" s="179" t="str">
        <f t="shared" si="78"/>
        <v/>
      </c>
      <c r="P76" s="179" t="str">
        <f t="shared" si="78"/>
        <v/>
      </c>
      <c r="Q76" s="179" t="str">
        <f t="shared" si="78"/>
        <v/>
      </c>
      <c r="R76" s="179" t="str">
        <f t="shared" si="78"/>
        <v/>
      </c>
      <c r="S76" s="179" t="str">
        <f t="shared" si="78"/>
        <v/>
      </c>
      <c r="T76" s="179" t="str">
        <f t="shared" si="78"/>
        <v/>
      </c>
      <c r="U76" s="179" t="str">
        <f t="shared" si="78"/>
        <v/>
      </c>
      <c r="V76" s="179" t="str">
        <f t="shared" si="78"/>
        <v/>
      </c>
      <c r="W76" s="179" t="str">
        <f t="shared" si="78"/>
        <v/>
      </c>
      <c r="X76" s="179" t="str">
        <f t="shared" si="78"/>
        <v/>
      </c>
      <c r="Y76" s="179" t="str">
        <f t="shared" si="78"/>
        <v/>
      </c>
      <c r="Z76" s="179" t="str">
        <f t="shared" si="78"/>
        <v/>
      </c>
      <c r="AA76" s="179" t="str">
        <f t="shared" si="78"/>
        <v/>
      </c>
      <c r="AB76" s="179" t="str">
        <f t="shared" si="78"/>
        <v/>
      </c>
      <c r="AC76" s="179" t="str">
        <f t="shared" si="78"/>
        <v/>
      </c>
      <c r="AD76" s="179" t="str">
        <f t="shared" si="78"/>
        <v/>
      </c>
      <c r="AE76" s="179" t="str">
        <f t="shared" si="78"/>
        <v/>
      </c>
      <c r="AF76" s="179" t="str">
        <f t="shared" si="78"/>
        <v/>
      </c>
      <c r="AG76" s="179" t="str">
        <f t="shared" si="78"/>
        <v/>
      </c>
      <c r="AH76" s="179" t="str">
        <f t="shared" si="78"/>
        <v/>
      </c>
      <c r="AI76" s="179" t="str">
        <f t="shared" si="78"/>
        <v/>
      </c>
      <c r="AJ76" s="179" t="str">
        <f t="shared" si="78"/>
        <v/>
      </c>
      <c r="AK76" s="179" t="str">
        <f t="shared" si="78"/>
        <v/>
      </c>
      <c r="AL76" s="179" t="str">
        <f t="shared" si="78"/>
        <v/>
      </c>
      <c r="AM76" s="179" t="str">
        <f t="shared" si="78"/>
        <v/>
      </c>
      <c r="AN76" s="179" t="str">
        <f t="shared" si="78"/>
        <v/>
      </c>
      <c r="AO76" s="179" t="str">
        <f t="shared" si="78"/>
        <v/>
      </c>
      <c r="AP76" s="179" t="str">
        <f t="shared" si="78"/>
        <v/>
      </c>
      <c r="AQ76" s="179" t="str">
        <f t="shared" si="78"/>
        <v/>
      </c>
      <c r="AR76" s="179" t="str">
        <f t="shared" si="78"/>
        <v/>
      </c>
      <c r="AS76" s="179" t="str">
        <f t="shared" si="78"/>
        <v/>
      </c>
      <c r="AT76" s="179" t="str">
        <f t="shared" si="78"/>
        <v/>
      </c>
      <c r="AU76" s="179" t="str">
        <f t="shared" si="78"/>
        <v/>
      </c>
      <c r="AV76" s="179" t="str">
        <f t="shared" si="78"/>
        <v/>
      </c>
      <c r="AW76" s="179" t="str">
        <f t="shared" si="78"/>
        <v/>
      </c>
      <c r="AX76" s="179" t="str">
        <f t="shared" si="78"/>
        <v/>
      </c>
      <c r="AY76" s="179" t="str">
        <f t="shared" si="78"/>
        <v/>
      </c>
      <c r="AZ76" s="179" t="str">
        <f t="shared" si="78"/>
        <v/>
      </c>
      <c r="BA76" s="179" t="str">
        <f t="shared" si="78"/>
        <v/>
      </c>
      <c r="BB76" s="179" t="str">
        <f t="shared" si="78"/>
        <v/>
      </c>
    </row>
    <row r="77">
      <c r="A77" s="193" t="s">
        <v>753</v>
      </c>
      <c r="B77" s="105" t="s">
        <v>754</v>
      </c>
      <c r="C77" s="105" t="s">
        <v>755</v>
      </c>
      <c r="D77" s="192" t="s">
        <v>752</v>
      </c>
      <c r="E77" s="185">
        <v>310.34</v>
      </c>
      <c r="F77" s="186">
        <v>45968.0</v>
      </c>
      <c r="G77" s="105" t="s">
        <v>664</v>
      </c>
      <c r="H77" s="83" t="s">
        <v>755</v>
      </c>
      <c r="I77" s="187" t="s">
        <v>150</v>
      </c>
      <c r="J77" s="194" t="b">
        <v>0</v>
      </c>
      <c r="K77" s="189">
        <f t="shared" si="3"/>
        <v>0</v>
      </c>
      <c r="L77" s="48" t="b">
        <f t="shared" si="4"/>
        <v>0</v>
      </c>
      <c r="M77" s="195">
        <v>1.0</v>
      </c>
      <c r="N77" s="179" t="str">
        <f t="shared" ref="N77:BB77" si="79">IFERROR(IF(N$1=FALSE,, IF(IF(SEARCH(N$3,$I77,1)&gt;0,1,0)=1,$E77/$M77,)),"")</f>
        <v/>
      </c>
      <c r="O77" s="179" t="str">
        <f t="shared" si="79"/>
        <v/>
      </c>
      <c r="P77" s="179" t="str">
        <f t="shared" si="79"/>
        <v/>
      </c>
      <c r="Q77" s="179" t="str">
        <f t="shared" si="79"/>
        <v/>
      </c>
      <c r="R77" s="179" t="str">
        <f t="shared" si="79"/>
        <v/>
      </c>
      <c r="S77" s="179" t="str">
        <f t="shared" si="79"/>
        <v/>
      </c>
      <c r="T77" s="179" t="str">
        <f t="shared" si="79"/>
        <v/>
      </c>
      <c r="U77" s="179" t="str">
        <f t="shared" si="79"/>
        <v/>
      </c>
      <c r="V77" s="179" t="str">
        <f t="shared" si="79"/>
        <v/>
      </c>
      <c r="W77" s="179" t="str">
        <f t="shared" si="79"/>
        <v/>
      </c>
      <c r="X77" s="179" t="str">
        <f t="shared" si="79"/>
        <v/>
      </c>
      <c r="Y77" s="179" t="str">
        <f t="shared" si="79"/>
        <v/>
      </c>
      <c r="Z77" s="179" t="str">
        <f t="shared" si="79"/>
        <v/>
      </c>
      <c r="AA77" s="179" t="str">
        <f t="shared" si="79"/>
        <v/>
      </c>
      <c r="AB77" s="179" t="str">
        <f t="shared" si="79"/>
        <v/>
      </c>
      <c r="AC77" s="179" t="str">
        <f t="shared" si="79"/>
        <v/>
      </c>
      <c r="AD77" s="179" t="str">
        <f t="shared" si="79"/>
        <v/>
      </c>
      <c r="AE77" s="179" t="str">
        <f t="shared" si="79"/>
        <v/>
      </c>
      <c r="AF77" s="179" t="str">
        <f t="shared" si="79"/>
        <v/>
      </c>
      <c r="AG77" s="179" t="str">
        <f t="shared" si="79"/>
        <v/>
      </c>
      <c r="AH77" s="179" t="str">
        <f t="shared" si="79"/>
        <v/>
      </c>
      <c r="AI77" s="179" t="str">
        <f t="shared" si="79"/>
        <v/>
      </c>
      <c r="AJ77" s="179" t="str">
        <f t="shared" si="79"/>
        <v/>
      </c>
      <c r="AK77" s="179" t="str">
        <f t="shared" si="79"/>
        <v/>
      </c>
      <c r="AL77" s="179" t="str">
        <f t="shared" si="79"/>
        <v/>
      </c>
      <c r="AM77" s="179" t="str">
        <f t="shared" si="79"/>
        <v/>
      </c>
      <c r="AN77" s="179" t="str">
        <f t="shared" si="79"/>
        <v/>
      </c>
      <c r="AO77" s="179" t="str">
        <f t="shared" si="79"/>
        <v/>
      </c>
      <c r="AP77" s="179" t="str">
        <f t="shared" si="79"/>
        <v/>
      </c>
      <c r="AQ77" s="179" t="str">
        <f t="shared" si="79"/>
        <v/>
      </c>
      <c r="AR77" s="179" t="str">
        <f t="shared" si="79"/>
        <v/>
      </c>
      <c r="AS77" s="179" t="str">
        <f t="shared" si="79"/>
        <v/>
      </c>
      <c r="AT77" s="179" t="str">
        <f t="shared" si="79"/>
        <v/>
      </c>
      <c r="AU77" s="179" t="str">
        <f t="shared" si="79"/>
        <v/>
      </c>
      <c r="AV77" s="179" t="str">
        <f t="shared" si="79"/>
        <v/>
      </c>
      <c r="AW77" s="179" t="str">
        <f t="shared" si="79"/>
        <v/>
      </c>
      <c r="AX77" s="179" t="str">
        <f t="shared" si="79"/>
        <v/>
      </c>
      <c r="AY77" s="179" t="str">
        <f t="shared" si="79"/>
        <v/>
      </c>
      <c r="AZ77" s="179" t="str">
        <f t="shared" si="79"/>
        <v/>
      </c>
      <c r="BA77" s="179" t="str">
        <f t="shared" si="79"/>
        <v/>
      </c>
      <c r="BB77" s="179" t="str">
        <f t="shared" si="79"/>
        <v/>
      </c>
    </row>
    <row r="78">
      <c r="A78" s="193" t="s">
        <v>706</v>
      </c>
      <c r="B78" s="105" t="s">
        <v>707</v>
      </c>
      <c r="C78" s="105" t="s">
        <v>756</v>
      </c>
      <c r="D78" s="192">
        <v>119385.0</v>
      </c>
      <c r="E78" s="185">
        <v>28.0</v>
      </c>
      <c r="F78" s="186">
        <v>45958.0</v>
      </c>
      <c r="G78" s="105" t="s">
        <v>664</v>
      </c>
      <c r="H78" s="83" t="s">
        <v>756</v>
      </c>
      <c r="I78" s="187" t="s">
        <v>190</v>
      </c>
      <c r="J78" s="194" t="b">
        <v>0</v>
      </c>
      <c r="K78" s="189">
        <f t="shared" si="3"/>
        <v>0</v>
      </c>
      <c r="L78" s="48" t="b">
        <f t="shared" si="4"/>
        <v>0</v>
      </c>
      <c r="M78" s="195">
        <v>1.0</v>
      </c>
      <c r="N78" s="179" t="str">
        <f t="shared" ref="N78:AO78" si="80">IFERROR(IF(N$1=FALSE,, IF(IF(SEARCH(N$3,$I78,1)&gt;0,1,0)=1,$E78/$M78,)),"")</f>
        <v/>
      </c>
      <c r="O78" s="179" t="str">
        <f t="shared" si="80"/>
        <v/>
      </c>
      <c r="P78" s="179" t="str">
        <f t="shared" si="80"/>
        <v/>
      </c>
      <c r="Q78" s="179" t="str">
        <f t="shared" si="80"/>
        <v/>
      </c>
      <c r="R78" s="179" t="str">
        <f t="shared" si="80"/>
        <v/>
      </c>
      <c r="S78" s="179" t="str">
        <f t="shared" si="80"/>
        <v/>
      </c>
      <c r="T78" s="179" t="str">
        <f t="shared" si="80"/>
        <v/>
      </c>
      <c r="U78" s="179" t="str">
        <f t="shared" si="80"/>
        <v/>
      </c>
      <c r="V78" s="179" t="str">
        <f t="shared" si="80"/>
        <v/>
      </c>
      <c r="W78" s="179" t="str">
        <f t="shared" si="80"/>
        <v/>
      </c>
      <c r="X78" s="179" t="str">
        <f t="shared" si="80"/>
        <v/>
      </c>
      <c r="Y78" s="179" t="str">
        <f t="shared" si="80"/>
        <v/>
      </c>
      <c r="Z78" s="179" t="str">
        <f t="shared" si="80"/>
        <v/>
      </c>
      <c r="AA78" s="179" t="str">
        <f t="shared" si="80"/>
        <v/>
      </c>
      <c r="AB78" s="179" t="str">
        <f t="shared" si="80"/>
        <v/>
      </c>
      <c r="AC78" s="179" t="str">
        <f t="shared" si="80"/>
        <v/>
      </c>
      <c r="AD78" s="179" t="str">
        <f t="shared" si="80"/>
        <v/>
      </c>
      <c r="AE78" s="179" t="str">
        <f t="shared" si="80"/>
        <v/>
      </c>
      <c r="AF78" s="179" t="str">
        <f t="shared" si="80"/>
        <v/>
      </c>
      <c r="AG78" s="179" t="str">
        <f t="shared" si="80"/>
        <v/>
      </c>
      <c r="AH78" s="179" t="str">
        <f t="shared" si="80"/>
        <v/>
      </c>
      <c r="AI78" s="179" t="str">
        <f t="shared" si="80"/>
        <v/>
      </c>
      <c r="AJ78" s="179" t="str">
        <f t="shared" si="80"/>
        <v/>
      </c>
      <c r="AK78" s="179" t="str">
        <f t="shared" si="80"/>
        <v/>
      </c>
      <c r="AL78" s="179" t="str">
        <f t="shared" si="80"/>
        <v/>
      </c>
      <c r="AM78" s="179" t="str">
        <f t="shared" si="80"/>
        <v/>
      </c>
      <c r="AN78" s="179" t="str">
        <f t="shared" si="80"/>
        <v/>
      </c>
      <c r="AO78" s="179" t="str">
        <f t="shared" si="80"/>
        <v/>
      </c>
      <c r="AP78" s="179"/>
      <c r="AQ78" s="179" t="str">
        <f t="shared" ref="AQ78:BB78" si="81">IFERROR(IF(AQ$1=FALSE,, IF(IF(SEARCH(AQ$3,$I78,1)&gt;0,1,0)=1,$E78/$M78,)),"")</f>
        <v/>
      </c>
      <c r="AR78" s="179" t="str">
        <f t="shared" si="81"/>
        <v/>
      </c>
      <c r="AS78" s="179" t="str">
        <f t="shared" si="81"/>
        <v/>
      </c>
      <c r="AT78" s="179" t="str">
        <f t="shared" si="81"/>
        <v/>
      </c>
      <c r="AU78" s="179" t="str">
        <f t="shared" si="81"/>
        <v/>
      </c>
      <c r="AV78" s="179" t="str">
        <f t="shared" si="81"/>
        <v/>
      </c>
      <c r="AW78" s="179" t="str">
        <f t="shared" si="81"/>
        <v/>
      </c>
      <c r="AX78" s="179" t="str">
        <f t="shared" si="81"/>
        <v/>
      </c>
      <c r="AY78" s="179" t="str">
        <f t="shared" si="81"/>
        <v/>
      </c>
      <c r="AZ78" s="179" t="str">
        <f t="shared" si="81"/>
        <v/>
      </c>
      <c r="BA78" s="179" t="str">
        <f t="shared" si="81"/>
        <v/>
      </c>
      <c r="BB78" s="179" t="str">
        <f t="shared" si="81"/>
        <v/>
      </c>
    </row>
    <row r="79">
      <c r="A79" s="193" t="s">
        <v>757</v>
      </c>
      <c r="B79" s="105" t="s">
        <v>758</v>
      </c>
      <c r="C79" s="105" t="s">
        <v>759</v>
      </c>
      <c r="D79" s="192">
        <v>2237.0</v>
      </c>
      <c r="E79" s="185">
        <v>57.5</v>
      </c>
      <c r="F79" s="186">
        <v>45966.0</v>
      </c>
      <c r="G79" s="105" t="s">
        <v>664</v>
      </c>
      <c r="H79" s="83" t="s">
        <v>759</v>
      </c>
      <c r="I79" s="187" t="s">
        <v>190</v>
      </c>
      <c r="J79" s="194" t="b">
        <v>1</v>
      </c>
      <c r="K79" s="189">
        <f t="shared" si="3"/>
        <v>57.5</v>
      </c>
      <c r="L79" s="48" t="b">
        <f t="shared" si="4"/>
        <v>1</v>
      </c>
      <c r="M79" s="195">
        <v>1.0</v>
      </c>
      <c r="N79" s="179" t="str">
        <f t="shared" ref="N79:BB79" si="82">IFERROR(IF(N$1=FALSE,, IF(IF(SEARCH(N$3,$I79,1)&gt;0,1,0)=1,$E79/$M79,)),"")</f>
        <v/>
      </c>
      <c r="O79" s="179" t="str">
        <f t="shared" si="82"/>
        <v/>
      </c>
      <c r="P79" s="179" t="str">
        <f t="shared" si="82"/>
        <v/>
      </c>
      <c r="Q79" s="179" t="str">
        <f t="shared" si="82"/>
        <v/>
      </c>
      <c r="R79" s="179" t="str">
        <f t="shared" si="82"/>
        <v/>
      </c>
      <c r="S79" s="179" t="str">
        <f t="shared" si="82"/>
        <v/>
      </c>
      <c r="T79" s="179" t="str">
        <f t="shared" si="82"/>
        <v/>
      </c>
      <c r="U79" s="179" t="str">
        <f t="shared" si="82"/>
        <v/>
      </c>
      <c r="V79" s="179" t="str">
        <f t="shared" si="82"/>
        <v/>
      </c>
      <c r="W79" s="179" t="str">
        <f t="shared" si="82"/>
        <v/>
      </c>
      <c r="X79" s="179" t="str">
        <f t="shared" si="82"/>
        <v/>
      </c>
      <c r="Y79" s="179" t="str">
        <f t="shared" si="82"/>
        <v/>
      </c>
      <c r="Z79" s="179" t="str">
        <f t="shared" si="82"/>
        <v/>
      </c>
      <c r="AA79" s="179" t="str">
        <f t="shared" si="82"/>
        <v/>
      </c>
      <c r="AB79" s="179" t="str">
        <f t="shared" si="82"/>
        <v/>
      </c>
      <c r="AC79" s="179" t="str">
        <f t="shared" si="82"/>
        <v/>
      </c>
      <c r="AD79" s="179" t="str">
        <f t="shared" si="82"/>
        <v/>
      </c>
      <c r="AE79" s="179" t="str">
        <f t="shared" si="82"/>
        <v/>
      </c>
      <c r="AF79" s="179" t="str">
        <f t="shared" si="82"/>
        <v/>
      </c>
      <c r="AG79" s="179" t="str">
        <f t="shared" si="82"/>
        <v/>
      </c>
      <c r="AH79" s="179" t="str">
        <f t="shared" si="82"/>
        <v/>
      </c>
      <c r="AI79" s="179" t="str">
        <f t="shared" si="82"/>
        <v/>
      </c>
      <c r="AJ79" s="179" t="str">
        <f t="shared" si="82"/>
        <v/>
      </c>
      <c r="AK79" s="179" t="str">
        <f t="shared" si="82"/>
        <v/>
      </c>
      <c r="AL79" s="179" t="str">
        <f t="shared" si="82"/>
        <v/>
      </c>
      <c r="AM79" s="179" t="str">
        <f t="shared" si="82"/>
        <v/>
      </c>
      <c r="AN79" s="179" t="str">
        <f t="shared" si="82"/>
        <v/>
      </c>
      <c r="AO79" s="179" t="str">
        <f t="shared" si="82"/>
        <v/>
      </c>
      <c r="AP79" s="179">
        <f t="shared" si="82"/>
        <v>57.5</v>
      </c>
      <c r="AQ79" s="179" t="str">
        <f t="shared" si="82"/>
        <v/>
      </c>
      <c r="AR79" s="179" t="str">
        <f t="shared" si="82"/>
        <v/>
      </c>
      <c r="AS79" s="179" t="str">
        <f t="shared" si="82"/>
        <v/>
      </c>
      <c r="AT79" s="179" t="str">
        <f t="shared" si="82"/>
        <v/>
      </c>
      <c r="AU79" s="179" t="str">
        <f t="shared" si="82"/>
        <v/>
      </c>
      <c r="AV79" s="179" t="str">
        <f t="shared" si="82"/>
        <v/>
      </c>
      <c r="AW79" s="179" t="str">
        <f t="shared" si="82"/>
        <v/>
      </c>
      <c r="AX79" s="179" t="str">
        <f t="shared" si="82"/>
        <v/>
      </c>
      <c r="AY79" s="179" t="str">
        <f t="shared" si="82"/>
        <v/>
      </c>
      <c r="AZ79" s="179" t="str">
        <f t="shared" si="82"/>
        <v/>
      </c>
      <c r="BA79" s="179" t="str">
        <f t="shared" si="82"/>
        <v/>
      </c>
      <c r="BB79" s="179" t="str">
        <f t="shared" si="82"/>
        <v/>
      </c>
    </row>
    <row r="80">
      <c r="A80" s="193" t="s">
        <v>757</v>
      </c>
      <c r="B80" s="105" t="s">
        <v>758</v>
      </c>
      <c r="C80" s="105" t="s">
        <v>759</v>
      </c>
      <c r="D80" s="192">
        <v>2227.0</v>
      </c>
      <c r="E80" s="185">
        <v>115.0</v>
      </c>
      <c r="F80" s="186">
        <v>45964.0</v>
      </c>
      <c r="G80" s="105" t="s">
        <v>664</v>
      </c>
      <c r="H80" s="83" t="s">
        <v>759</v>
      </c>
      <c r="I80" s="187" t="s">
        <v>190</v>
      </c>
      <c r="J80" s="194" t="b">
        <v>1</v>
      </c>
      <c r="K80" s="189">
        <f t="shared" si="3"/>
        <v>115</v>
      </c>
      <c r="L80" s="48" t="b">
        <f t="shared" si="4"/>
        <v>1</v>
      </c>
      <c r="M80" s="195">
        <v>1.0</v>
      </c>
      <c r="N80" s="179" t="str">
        <f t="shared" ref="N80:BB80" si="83">IFERROR(IF(N$1=FALSE,, IF(IF(SEARCH(N$3,$I80,1)&gt;0,1,0)=1,$E80/$M80,)),"")</f>
        <v/>
      </c>
      <c r="O80" s="179" t="str">
        <f t="shared" si="83"/>
        <v/>
      </c>
      <c r="P80" s="179" t="str">
        <f t="shared" si="83"/>
        <v/>
      </c>
      <c r="Q80" s="179" t="str">
        <f t="shared" si="83"/>
        <v/>
      </c>
      <c r="R80" s="179" t="str">
        <f t="shared" si="83"/>
        <v/>
      </c>
      <c r="S80" s="179" t="str">
        <f t="shared" si="83"/>
        <v/>
      </c>
      <c r="T80" s="179" t="str">
        <f t="shared" si="83"/>
        <v/>
      </c>
      <c r="U80" s="179" t="str">
        <f t="shared" si="83"/>
        <v/>
      </c>
      <c r="V80" s="179" t="str">
        <f t="shared" si="83"/>
        <v/>
      </c>
      <c r="W80" s="179" t="str">
        <f t="shared" si="83"/>
        <v/>
      </c>
      <c r="X80" s="179" t="str">
        <f t="shared" si="83"/>
        <v/>
      </c>
      <c r="Y80" s="179" t="str">
        <f t="shared" si="83"/>
        <v/>
      </c>
      <c r="Z80" s="179" t="str">
        <f t="shared" si="83"/>
        <v/>
      </c>
      <c r="AA80" s="179" t="str">
        <f t="shared" si="83"/>
        <v/>
      </c>
      <c r="AB80" s="179" t="str">
        <f t="shared" si="83"/>
        <v/>
      </c>
      <c r="AC80" s="179" t="str">
        <f t="shared" si="83"/>
        <v/>
      </c>
      <c r="AD80" s="179" t="str">
        <f t="shared" si="83"/>
        <v/>
      </c>
      <c r="AE80" s="179" t="str">
        <f t="shared" si="83"/>
        <v/>
      </c>
      <c r="AF80" s="179" t="str">
        <f t="shared" si="83"/>
        <v/>
      </c>
      <c r="AG80" s="179" t="str">
        <f t="shared" si="83"/>
        <v/>
      </c>
      <c r="AH80" s="179" t="str">
        <f t="shared" si="83"/>
        <v/>
      </c>
      <c r="AI80" s="179" t="str">
        <f t="shared" si="83"/>
        <v/>
      </c>
      <c r="AJ80" s="179" t="str">
        <f t="shared" si="83"/>
        <v/>
      </c>
      <c r="AK80" s="179" t="str">
        <f t="shared" si="83"/>
        <v/>
      </c>
      <c r="AL80" s="179" t="str">
        <f t="shared" si="83"/>
        <v/>
      </c>
      <c r="AM80" s="179" t="str">
        <f t="shared" si="83"/>
        <v/>
      </c>
      <c r="AN80" s="179" t="str">
        <f t="shared" si="83"/>
        <v/>
      </c>
      <c r="AO80" s="179" t="str">
        <f t="shared" si="83"/>
        <v/>
      </c>
      <c r="AP80" s="179">
        <f t="shared" si="83"/>
        <v>115</v>
      </c>
      <c r="AQ80" s="179" t="str">
        <f t="shared" si="83"/>
        <v/>
      </c>
      <c r="AR80" s="179" t="str">
        <f t="shared" si="83"/>
        <v/>
      </c>
      <c r="AS80" s="179" t="str">
        <f t="shared" si="83"/>
        <v/>
      </c>
      <c r="AT80" s="179" t="str">
        <f t="shared" si="83"/>
        <v/>
      </c>
      <c r="AU80" s="179" t="str">
        <f t="shared" si="83"/>
        <v/>
      </c>
      <c r="AV80" s="179" t="str">
        <f t="shared" si="83"/>
        <v/>
      </c>
      <c r="AW80" s="179" t="str">
        <f t="shared" si="83"/>
        <v/>
      </c>
      <c r="AX80" s="179" t="str">
        <f t="shared" si="83"/>
        <v/>
      </c>
      <c r="AY80" s="179" t="str">
        <f t="shared" si="83"/>
        <v/>
      </c>
      <c r="AZ80" s="179" t="str">
        <f t="shared" si="83"/>
        <v/>
      </c>
      <c r="BA80" s="179" t="str">
        <f t="shared" si="83"/>
        <v/>
      </c>
      <c r="BB80" s="179" t="str">
        <f t="shared" si="83"/>
        <v/>
      </c>
    </row>
    <row r="81">
      <c r="A81" s="193" t="s">
        <v>760</v>
      </c>
      <c r="B81" s="105" t="s">
        <v>669</v>
      </c>
      <c r="C81" s="105" t="s">
        <v>761</v>
      </c>
      <c r="D81" s="192">
        <v>109389.0</v>
      </c>
      <c r="E81" s="185">
        <v>625.32</v>
      </c>
      <c r="F81" s="186">
        <v>45967.0</v>
      </c>
      <c r="G81" s="105" t="s">
        <v>664</v>
      </c>
      <c r="H81" s="83" t="s">
        <v>761</v>
      </c>
      <c r="I81" s="187" t="s">
        <v>150</v>
      </c>
      <c r="J81" s="194" t="b">
        <v>0</v>
      </c>
      <c r="K81" s="189">
        <f t="shared" si="3"/>
        <v>0</v>
      </c>
      <c r="L81" s="48" t="b">
        <f t="shared" si="4"/>
        <v>0</v>
      </c>
      <c r="M81" s="195">
        <v>1.0</v>
      </c>
      <c r="N81" s="179" t="str">
        <f t="shared" ref="N81:BB81" si="84">IFERROR(IF(N$1=FALSE,, IF(IF(SEARCH(N$3,$I81,1)&gt;0,1,0)=1,$E81/$M81,)),"")</f>
        <v/>
      </c>
      <c r="O81" s="179" t="str">
        <f t="shared" si="84"/>
        <v/>
      </c>
      <c r="P81" s="179" t="str">
        <f t="shared" si="84"/>
        <v/>
      </c>
      <c r="Q81" s="179" t="str">
        <f t="shared" si="84"/>
        <v/>
      </c>
      <c r="R81" s="179" t="str">
        <f t="shared" si="84"/>
        <v/>
      </c>
      <c r="S81" s="179" t="str">
        <f t="shared" si="84"/>
        <v/>
      </c>
      <c r="T81" s="179" t="str">
        <f t="shared" si="84"/>
        <v/>
      </c>
      <c r="U81" s="179" t="str">
        <f t="shared" si="84"/>
        <v/>
      </c>
      <c r="V81" s="179" t="str">
        <f t="shared" si="84"/>
        <v/>
      </c>
      <c r="W81" s="179" t="str">
        <f t="shared" si="84"/>
        <v/>
      </c>
      <c r="X81" s="179" t="str">
        <f t="shared" si="84"/>
        <v/>
      </c>
      <c r="Y81" s="179" t="str">
        <f t="shared" si="84"/>
        <v/>
      </c>
      <c r="Z81" s="179" t="str">
        <f t="shared" si="84"/>
        <v/>
      </c>
      <c r="AA81" s="179" t="str">
        <f t="shared" si="84"/>
        <v/>
      </c>
      <c r="AB81" s="179" t="str">
        <f t="shared" si="84"/>
        <v/>
      </c>
      <c r="AC81" s="179" t="str">
        <f t="shared" si="84"/>
        <v/>
      </c>
      <c r="AD81" s="179" t="str">
        <f t="shared" si="84"/>
        <v/>
      </c>
      <c r="AE81" s="179" t="str">
        <f t="shared" si="84"/>
        <v/>
      </c>
      <c r="AF81" s="179" t="str">
        <f t="shared" si="84"/>
        <v/>
      </c>
      <c r="AG81" s="179" t="str">
        <f t="shared" si="84"/>
        <v/>
      </c>
      <c r="AH81" s="179" t="str">
        <f t="shared" si="84"/>
        <v/>
      </c>
      <c r="AI81" s="179" t="str">
        <f t="shared" si="84"/>
        <v/>
      </c>
      <c r="AJ81" s="179" t="str">
        <f t="shared" si="84"/>
        <v/>
      </c>
      <c r="AK81" s="179" t="str">
        <f t="shared" si="84"/>
        <v/>
      </c>
      <c r="AL81" s="179" t="str">
        <f t="shared" si="84"/>
        <v/>
      </c>
      <c r="AM81" s="179" t="str">
        <f t="shared" si="84"/>
        <v/>
      </c>
      <c r="AN81" s="179" t="str">
        <f t="shared" si="84"/>
        <v/>
      </c>
      <c r="AO81" s="179" t="str">
        <f t="shared" si="84"/>
        <v/>
      </c>
      <c r="AP81" s="179" t="str">
        <f t="shared" si="84"/>
        <v/>
      </c>
      <c r="AQ81" s="179" t="str">
        <f t="shared" si="84"/>
        <v/>
      </c>
      <c r="AR81" s="179" t="str">
        <f t="shared" si="84"/>
        <v/>
      </c>
      <c r="AS81" s="179" t="str">
        <f t="shared" si="84"/>
        <v/>
      </c>
      <c r="AT81" s="179" t="str">
        <f t="shared" si="84"/>
        <v/>
      </c>
      <c r="AU81" s="179" t="str">
        <f t="shared" si="84"/>
        <v/>
      </c>
      <c r="AV81" s="179" t="str">
        <f t="shared" si="84"/>
        <v/>
      </c>
      <c r="AW81" s="179" t="str">
        <f t="shared" si="84"/>
        <v/>
      </c>
      <c r="AX81" s="179" t="str">
        <f t="shared" si="84"/>
        <v/>
      </c>
      <c r="AY81" s="179" t="str">
        <f t="shared" si="84"/>
        <v/>
      </c>
      <c r="AZ81" s="179" t="str">
        <f t="shared" si="84"/>
        <v/>
      </c>
      <c r="BA81" s="179" t="str">
        <f t="shared" si="84"/>
        <v/>
      </c>
      <c r="BB81" s="179" t="str">
        <f t="shared" si="84"/>
        <v/>
      </c>
    </row>
    <row r="82">
      <c r="A82" s="193" t="s">
        <v>661</v>
      </c>
      <c r="B82" s="105" t="s">
        <v>662</v>
      </c>
      <c r="C82" s="105" t="s">
        <v>762</v>
      </c>
      <c r="D82" s="192">
        <v>127453.0</v>
      </c>
      <c r="E82" s="185">
        <v>20018.64</v>
      </c>
      <c r="F82" s="186">
        <v>45982.0</v>
      </c>
      <c r="G82" s="105" t="s">
        <v>664</v>
      </c>
      <c r="H82" s="83" t="s">
        <v>762</v>
      </c>
      <c r="I82" s="187" t="s">
        <v>92</v>
      </c>
      <c r="J82" s="194" t="b">
        <v>1</v>
      </c>
      <c r="K82" s="189">
        <f t="shared" si="3"/>
        <v>20018.64</v>
      </c>
      <c r="L82" s="48" t="b">
        <f t="shared" si="4"/>
        <v>1</v>
      </c>
      <c r="M82" s="190">
        <f t="shared" ref="M82:M85" si="86">IF(J82=FALSE,0,IF(LEN(I82)=0,0,IF(LEN(I82)=9,1,(LEN(I82)+1)/10)))</f>
        <v>1</v>
      </c>
      <c r="N82" s="179">
        <f t="shared" ref="N82:BB82" si="85">IFERROR(IF(N$1=FALSE,, IF(IF(SEARCH(N$3,$I82,1)&gt;0,1,0)=1,$E82/$M82,)),"")</f>
        <v>20018.64</v>
      </c>
      <c r="O82" s="179" t="str">
        <f t="shared" si="85"/>
        <v/>
      </c>
      <c r="P82" s="179" t="str">
        <f t="shared" si="85"/>
        <v/>
      </c>
      <c r="Q82" s="179" t="str">
        <f t="shared" si="85"/>
        <v/>
      </c>
      <c r="R82" s="179" t="str">
        <f t="shared" si="85"/>
        <v/>
      </c>
      <c r="S82" s="179" t="str">
        <f t="shared" si="85"/>
        <v/>
      </c>
      <c r="T82" s="179" t="str">
        <f t="shared" si="85"/>
        <v/>
      </c>
      <c r="U82" s="179" t="str">
        <f t="shared" si="85"/>
        <v/>
      </c>
      <c r="V82" s="179" t="str">
        <f t="shared" si="85"/>
        <v/>
      </c>
      <c r="W82" s="179" t="str">
        <f t="shared" si="85"/>
        <v/>
      </c>
      <c r="X82" s="179" t="str">
        <f t="shared" si="85"/>
        <v/>
      </c>
      <c r="Y82" s="179" t="str">
        <f t="shared" si="85"/>
        <v/>
      </c>
      <c r="Z82" s="179" t="str">
        <f t="shared" si="85"/>
        <v/>
      </c>
      <c r="AA82" s="179" t="str">
        <f t="shared" si="85"/>
        <v/>
      </c>
      <c r="AB82" s="179" t="str">
        <f t="shared" si="85"/>
        <v/>
      </c>
      <c r="AC82" s="179" t="str">
        <f t="shared" si="85"/>
        <v/>
      </c>
      <c r="AD82" s="179" t="str">
        <f t="shared" si="85"/>
        <v/>
      </c>
      <c r="AE82" s="179" t="str">
        <f t="shared" si="85"/>
        <v/>
      </c>
      <c r="AF82" s="179" t="str">
        <f t="shared" si="85"/>
        <v/>
      </c>
      <c r="AG82" s="179" t="str">
        <f t="shared" si="85"/>
        <v/>
      </c>
      <c r="AH82" s="179" t="str">
        <f t="shared" si="85"/>
        <v/>
      </c>
      <c r="AI82" s="179" t="str">
        <f t="shared" si="85"/>
        <v/>
      </c>
      <c r="AJ82" s="179" t="str">
        <f t="shared" si="85"/>
        <v/>
      </c>
      <c r="AK82" s="179" t="str">
        <f t="shared" si="85"/>
        <v/>
      </c>
      <c r="AL82" s="179" t="str">
        <f t="shared" si="85"/>
        <v/>
      </c>
      <c r="AM82" s="179" t="str">
        <f t="shared" si="85"/>
        <v/>
      </c>
      <c r="AN82" s="179" t="str">
        <f t="shared" si="85"/>
        <v/>
      </c>
      <c r="AO82" s="179" t="str">
        <f t="shared" si="85"/>
        <v/>
      </c>
      <c r="AP82" s="179" t="str">
        <f t="shared" si="85"/>
        <v/>
      </c>
      <c r="AQ82" s="179" t="str">
        <f t="shared" si="85"/>
        <v/>
      </c>
      <c r="AR82" s="179" t="str">
        <f t="shared" si="85"/>
        <v/>
      </c>
      <c r="AS82" s="179" t="str">
        <f t="shared" si="85"/>
        <v/>
      </c>
      <c r="AT82" s="179" t="str">
        <f t="shared" si="85"/>
        <v/>
      </c>
      <c r="AU82" s="179" t="str">
        <f t="shared" si="85"/>
        <v/>
      </c>
      <c r="AV82" s="179" t="str">
        <f t="shared" si="85"/>
        <v/>
      </c>
      <c r="AW82" s="179" t="str">
        <f t="shared" si="85"/>
        <v/>
      </c>
      <c r="AX82" s="179" t="str">
        <f t="shared" si="85"/>
        <v/>
      </c>
      <c r="AY82" s="179" t="str">
        <f t="shared" si="85"/>
        <v/>
      </c>
      <c r="AZ82" s="179" t="str">
        <f t="shared" si="85"/>
        <v/>
      </c>
      <c r="BA82" s="179" t="str">
        <f t="shared" si="85"/>
        <v/>
      </c>
      <c r="BB82" s="179" t="str">
        <f t="shared" si="85"/>
        <v/>
      </c>
    </row>
    <row r="83">
      <c r="A83" s="193" t="s">
        <v>760</v>
      </c>
      <c r="B83" s="105" t="s">
        <v>669</v>
      </c>
      <c r="C83" s="105" t="s">
        <v>763</v>
      </c>
      <c r="D83" s="192">
        <v>110814.0</v>
      </c>
      <c r="E83" s="185">
        <v>504.0</v>
      </c>
      <c r="F83" s="186">
        <v>46002.0</v>
      </c>
      <c r="G83" s="105" t="s">
        <v>664</v>
      </c>
      <c r="H83" s="83" t="s">
        <v>763</v>
      </c>
      <c r="I83" s="187" t="s">
        <v>118</v>
      </c>
      <c r="J83" s="194" t="b">
        <v>0</v>
      </c>
      <c r="K83" s="189">
        <f t="shared" si="3"/>
        <v>0</v>
      </c>
      <c r="L83" s="48" t="b">
        <f t="shared" si="4"/>
        <v>0</v>
      </c>
      <c r="M83" s="190">
        <f t="shared" si="86"/>
        <v>0</v>
      </c>
      <c r="N83" s="179" t="str">
        <f t="shared" ref="N83:BB83" si="87">IFERROR(IF(N$1=FALSE,, IF(IF(SEARCH(N$3,$I83,1)&gt;0,1,0)=1,$E83/$M83,)),"")</f>
        <v/>
      </c>
      <c r="O83" s="179" t="str">
        <f t="shared" si="87"/>
        <v/>
      </c>
      <c r="P83" s="179" t="str">
        <f t="shared" si="87"/>
        <v/>
      </c>
      <c r="Q83" s="179" t="str">
        <f t="shared" si="87"/>
        <v/>
      </c>
      <c r="R83" s="179" t="str">
        <f t="shared" si="87"/>
        <v/>
      </c>
      <c r="S83" s="179" t="str">
        <f t="shared" si="87"/>
        <v/>
      </c>
      <c r="T83" s="179" t="str">
        <f t="shared" si="87"/>
        <v/>
      </c>
      <c r="U83" s="179" t="str">
        <f t="shared" si="87"/>
        <v/>
      </c>
      <c r="V83" s="179" t="str">
        <f t="shared" si="87"/>
        <v/>
      </c>
      <c r="W83" s="179" t="str">
        <f t="shared" si="87"/>
        <v/>
      </c>
      <c r="X83" s="179" t="str">
        <f t="shared" si="87"/>
        <v/>
      </c>
      <c r="Y83" s="179" t="str">
        <f t="shared" si="87"/>
        <v/>
      </c>
      <c r="Z83" s="179" t="str">
        <f t="shared" si="87"/>
        <v/>
      </c>
      <c r="AA83" s="179" t="str">
        <f t="shared" si="87"/>
        <v/>
      </c>
      <c r="AB83" s="179" t="str">
        <f t="shared" si="87"/>
        <v/>
      </c>
      <c r="AC83" s="179" t="str">
        <f t="shared" si="87"/>
        <v/>
      </c>
      <c r="AD83" s="179" t="str">
        <f t="shared" si="87"/>
        <v/>
      </c>
      <c r="AE83" s="179" t="str">
        <f t="shared" si="87"/>
        <v/>
      </c>
      <c r="AF83" s="179" t="str">
        <f t="shared" si="87"/>
        <v/>
      </c>
      <c r="AG83" s="179" t="str">
        <f t="shared" si="87"/>
        <v/>
      </c>
      <c r="AH83" s="179" t="str">
        <f t="shared" si="87"/>
        <v/>
      </c>
      <c r="AI83" s="179" t="str">
        <f t="shared" si="87"/>
        <v/>
      </c>
      <c r="AJ83" s="179" t="str">
        <f t="shared" si="87"/>
        <v/>
      </c>
      <c r="AK83" s="179" t="str">
        <f t="shared" si="87"/>
        <v/>
      </c>
      <c r="AL83" s="179" t="str">
        <f t="shared" si="87"/>
        <v/>
      </c>
      <c r="AM83" s="179" t="str">
        <f t="shared" si="87"/>
        <v/>
      </c>
      <c r="AN83" s="179" t="str">
        <f t="shared" si="87"/>
        <v/>
      </c>
      <c r="AO83" s="179" t="str">
        <f t="shared" si="87"/>
        <v/>
      </c>
      <c r="AP83" s="179" t="str">
        <f t="shared" si="87"/>
        <v/>
      </c>
      <c r="AQ83" s="179" t="str">
        <f t="shared" si="87"/>
        <v/>
      </c>
      <c r="AR83" s="179" t="str">
        <f t="shared" si="87"/>
        <v/>
      </c>
      <c r="AS83" s="179" t="str">
        <f t="shared" si="87"/>
        <v/>
      </c>
      <c r="AT83" s="179" t="str">
        <f t="shared" si="87"/>
        <v/>
      </c>
      <c r="AU83" s="179" t="str">
        <f t="shared" si="87"/>
        <v/>
      </c>
      <c r="AV83" s="179" t="str">
        <f t="shared" si="87"/>
        <v/>
      </c>
      <c r="AW83" s="179" t="str">
        <f t="shared" si="87"/>
        <v/>
      </c>
      <c r="AX83" s="179" t="str">
        <f t="shared" si="87"/>
        <v/>
      </c>
      <c r="AY83" s="179" t="str">
        <f t="shared" si="87"/>
        <v/>
      </c>
      <c r="AZ83" s="179" t="str">
        <f t="shared" si="87"/>
        <v/>
      </c>
      <c r="BA83" s="179" t="str">
        <f t="shared" si="87"/>
        <v/>
      </c>
      <c r="BB83" s="179" t="str">
        <f t="shared" si="87"/>
        <v/>
      </c>
    </row>
    <row r="84">
      <c r="A84" s="193" t="s">
        <v>676</v>
      </c>
      <c r="B84" s="105" t="s">
        <v>677</v>
      </c>
      <c r="C84" s="105" t="s">
        <v>709</v>
      </c>
      <c r="D84" s="192">
        <v>165843.0</v>
      </c>
      <c r="E84" s="185">
        <v>1013.0</v>
      </c>
      <c r="F84" s="186">
        <v>46003.0</v>
      </c>
      <c r="G84" s="105" t="s">
        <v>664</v>
      </c>
      <c r="H84" s="83" t="s">
        <v>709</v>
      </c>
      <c r="I84" s="187" t="s">
        <v>92</v>
      </c>
      <c r="J84" s="194" t="b">
        <v>1</v>
      </c>
      <c r="K84" s="189">
        <f t="shared" si="3"/>
        <v>1013</v>
      </c>
      <c r="L84" s="48" t="b">
        <f t="shared" si="4"/>
        <v>1</v>
      </c>
      <c r="M84" s="190">
        <f t="shared" si="86"/>
        <v>1</v>
      </c>
      <c r="N84" s="179">
        <f t="shared" ref="N84:BB84" si="88">IFERROR(IF(N$1=FALSE,, IF(IF(SEARCH(N$3,$I84,1)&gt;0,1,0)=1,$E84/$M84,)),"")</f>
        <v>1013</v>
      </c>
      <c r="O84" s="179" t="str">
        <f t="shared" si="88"/>
        <v/>
      </c>
      <c r="P84" s="179" t="str">
        <f t="shared" si="88"/>
        <v/>
      </c>
      <c r="Q84" s="179" t="str">
        <f t="shared" si="88"/>
        <v/>
      </c>
      <c r="R84" s="179" t="str">
        <f t="shared" si="88"/>
        <v/>
      </c>
      <c r="S84" s="179" t="str">
        <f t="shared" si="88"/>
        <v/>
      </c>
      <c r="T84" s="179" t="str">
        <f t="shared" si="88"/>
        <v/>
      </c>
      <c r="U84" s="179" t="str">
        <f t="shared" si="88"/>
        <v/>
      </c>
      <c r="V84" s="179" t="str">
        <f t="shared" si="88"/>
        <v/>
      </c>
      <c r="W84" s="179" t="str">
        <f t="shared" si="88"/>
        <v/>
      </c>
      <c r="X84" s="179" t="str">
        <f t="shared" si="88"/>
        <v/>
      </c>
      <c r="Y84" s="179" t="str">
        <f t="shared" si="88"/>
        <v/>
      </c>
      <c r="Z84" s="179" t="str">
        <f t="shared" si="88"/>
        <v/>
      </c>
      <c r="AA84" s="179" t="str">
        <f t="shared" si="88"/>
        <v/>
      </c>
      <c r="AB84" s="179" t="str">
        <f t="shared" si="88"/>
        <v/>
      </c>
      <c r="AC84" s="179" t="str">
        <f t="shared" si="88"/>
        <v/>
      </c>
      <c r="AD84" s="179" t="str">
        <f t="shared" si="88"/>
        <v/>
      </c>
      <c r="AE84" s="179" t="str">
        <f t="shared" si="88"/>
        <v/>
      </c>
      <c r="AF84" s="179" t="str">
        <f t="shared" si="88"/>
        <v/>
      </c>
      <c r="AG84" s="179" t="str">
        <f t="shared" si="88"/>
        <v/>
      </c>
      <c r="AH84" s="179" t="str">
        <f t="shared" si="88"/>
        <v/>
      </c>
      <c r="AI84" s="179" t="str">
        <f t="shared" si="88"/>
        <v/>
      </c>
      <c r="AJ84" s="179" t="str">
        <f t="shared" si="88"/>
        <v/>
      </c>
      <c r="AK84" s="179" t="str">
        <f t="shared" si="88"/>
        <v/>
      </c>
      <c r="AL84" s="179" t="str">
        <f t="shared" si="88"/>
        <v/>
      </c>
      <c r="AM84" s="179" t="str">
        <f t="shared" si="88"/>
        <v/>
      </c>
      <c r="AN84" s="179" t="str">
        <f t="shared" si="88"/>
        <v/>
      </c>
      <c r="AO84" s="179" t="str">
        <f t="shared" si="88"/>
        <v/>
      </c>
      <c r="AP84" s="179" t="str">
        <f t="shared" si="88"/>
        <v/>
      </c>
      <c r="AQ84" s="179" t="str">
        <f t="shared" si="88"/>
        <v/>
      </c>
      <c r="AR84" s="179" t="str">
        <f t="shared" si="88"/>
        <v/>
      </c>
      <c r="AS84" s="179" t="str">
        <f t="shared" si="88"/>
        <v/>
      </c>
      <c r="AT84" s="179" t="str">
        <f t="shared" si="88"/>
        <v/>
      </c>
      <c r="AU84" s="179" t="str">
        <f t="shared" si="88"/>
        <v/>
      </c>
      <c r="AV84" s="179" t="str">
        <f t="shared" si="88"/>
        <v/>
      </c>
      <c r="AW84" s="179" t="str">
        <f t="shared" si="88"/>
        <v/>
      </c>
      <c r="AX84" s="179" t="str">
        <f t="shared" si="88"/>
        <v/>
      </c>
      <c r="AY84" s="179" t="str">
        <f t="shared" si="88"/>
        <v/>
      </c>
      <c r="AZ84" s="179" t="str">
        <f t="shared" si="88"/>
        <v/>
      </c>
      <c r="BA84" s="179" t="str">
        <f t="shared" si="88"/>
        <v/>
      </c>
      <c r="BB84" s="179" t="str">
        <f t="shared" si="88"/>
        <v/>
      </c>
    </row>
    <row r="85">
      <c r="A85" s="193" t="s">
        <v>676</v>
      </c>
      <c r="B85" s="105" t="s">
        <v>677</v>
      </c>
      <c r="C85" s="105" t="s">
        <v>764</v>
      </c>
      <c r="D85" s="192">
        <v>165462.0</v>
      </c>
      <c r="E85" s="185">
        <v>5901.41</v>
      </c>
      <c r="F85" s="186">
        <v>45993.0</v>
      </c>
      <c r="G85" s="105" t="s">
        <v>664</v>
      </c>
      <c r="H85" s="83" t="s">
        <v>764</v>
      </c>
      <c r="I85" s="187" t="s">
        <v>92</v>
      </c>
      <c r="J85" s="194" t="b">
        <v>1</v>
      </c>
      <c r="K85" s="189">
        <f t="shared" si="3"/>
        <v>5901.41</v>
      </c>
      <c r="L85" s="48" t="b">
        <f t="shared" si="4"/>
        <v>1</v>
      </c>
      <c r="M85" s="190">
        <f t="shared" si="86"/>
        <v>1</v>
      </c>
      <c r="N85" s="179">
        <f t="shared" ref="N85:BB85" si="89">IFERROR(IF(N$1=FALSE,, IF(IF(SEARCH(N$3,$I85,1)&gt;0,1,0)=1,$E85/$M85,)),"")</f>
        <v>5901.41</v>
      </c>
      <c r="O85" s="179" t="str">
        <f t="shared" si="89"/>
        <v/>
      </c>
      <c r="P85" s="179" t="str">
        <f t="shared" si="89"/>
        <v/>
      </c>
      <c r="Q85" s="179" t="str">
        <f t="shared" si="89"/>
        <v/>
      </c>
      <c r="R85" s="179" t="str">
        <f t="shared" si="89"/>
        <v/>
      </c>
      <c r="S85" s="179" t="str">
        <f t="shared" si="89"/>
        <v/>
      </c>
      <c r="T85" s="179" t="str">
        <f t="shared" si="89"/>
        <v/>
      </c>
      <c r="U85" s="179" t="str">
        <f t="shared" si="89"/>
        <v/>
      </c>
      <c r="V85" s="179" t="str">
        <f t="shared" si="89"/>
        <v/>
      </c>
      <c r="W85" s="179" t="str">
        <f t="shared" si="89"/>
        <v/>
      </c>
      <c r="X85" s="179" t="str">
        <f t="shared" si="89"/>
        <v/>
      </c>
      <c r="Y85" s="179" t="str">
        <f t="shared" si="89"/>
        <v/>
      </c>
      <c r="Z85" s="179" t="str">
        <f t="shared" si="89"/>
        <v/>
      </c>
      <c r="AA85" s="179" t="str">
        <f t="shared" si="89"/>
        <v/>
      </c>
      <c r="AB85" s="179" t="str">
        <f t="shared" si="89"/>
        <v/>
      </c>
      <c r="AC85" s="179" t="str">
        <f t="shared" si="89"/>
        <v/>
      </c>
      <c r="AD85" s="179" t="str">
        <f t="shared" si="89"/>
        <v/>
      </c>
      <c r="AE85" s="179" t="str">
        <f t="shared" si="89"/>
        <v/>
      </c>
      <c r="AF85" s="179" t="str">
        <f t="shared" si="89"/>
        <v/>
      </c>
      <c r="AG85" s="179" t="str">
        <f t="shared" si="89"/>
        <v/>
      </c>
      <c r="AH85" s="179" t="str">
        <f t="shared" si="89"/>
        <v/>
      </c>
      <c r="AI85" s="179" t="str">
        <f t="shared" si="89"/>
        <v/>
      </c>
      <c r="AJ85" s="179" t="str">
        <f t="shared" si="89"/>
        <v/>
      </c>
      <c r="AK85" s="179" t="str">
        <f t="shared" si="89"/>
        <v/>
      </c>
      <c r="AL85" s="179" t="str">
        <f t="shared" si="89"/>
        <v/>
      </c>
      <c r="AM85" s="179" t="str">
        <f t="shared" si="89"/>
        <v/>
      </c>
      <c r="AN85" s="179" t="str">
        <f t="shared" si="89"/>
        <v/>
      </c>
      <c r="AO85" s="179" t="str">
        <f t="shared" si="89"/>
        <v/>
      </c>
      <c r="AP85" s="179" t="str">
        <f t="shared" si="89"/>
        <v/>
      </c>
      <c r="AQ85" s="179" t="str">
        <f t="shared" si="89"/>
        <v/>
      </c>
      <c r="AR85" s="179" t="str">
        <f t="shared" si="89"/>
        <v/>
      </c>
      <c r="AS85" s="179" t="str">
        <f t="shared" si="89"/>
        <v/>
      </c>
      <c r="AT85" s="179" t="str">
        <f t="shared" si="89"/>
        <v/>
      </c>
      <c r="AU85" s="179" t="str">
        <f t="shared" si="89"/>
        <v/>
      </c>
      <c r="AV85" s="179" t="str">
        <f t="shared" si="89"/>
        <v/>
      </c>
      <c r="AW85" s="179" t="str">
        <f t="shared" si="89"/>
        <v/>
      </c>
      <c r="AX85" s="179" t="str">
        <f t="shared" si="89"/>
        <v/>
      </c>
      <c r="AY85" s="179" t="str">
        <f t="shared" si="89"/>
        <v/>
      </c>
      <c r="AZ85" s="179" t="str">
        <f t="shared" si="89"/>
        <v/>
      </c>
      <c r="BA85" s="179" t="str">
        <f t="shared" si="89"/>
        <v/>
      </c>
      <c r="BB85" s="179" t="str">
        <f t="shared" si="89"/>
        <v/>
      </c>
    </row>
    <row r="86">
      <c r="A86" s="193" t="s">
        <v>760</v>
      </c>
      <c r="B86" s="105" t="s">
        <v>669</v>
      </c>
      <c r="C86" s="105" t="s">
        <v>765</v>
      </c>
      <c r="D86" s="192">
        <v>3664.0</v>
      </c>
      <c r="E86" s="185">
        <v>357.0</v>
      </c>
      <c r="F86" s="186">
        <v>46010.0</v>
      </c>
      <c r="G86" s="105" t="s">
        <v>664</v>
      </c>
      <c r="H86" s="83" t="s">
        <v>765</v>
      </c>
      <c r="I86" s="187" t="s">
        <v>150</v>
      </c>
      <c r="J86" s="194" t="b">
        <v>0</v>
      </c>
      <c r="K86" s="189">
        <f t="shared" si="3"/>
        <v>0</v>
      </c>
      <c r="L86" s="48" t="b">
        <f t="shared" si="4"/>
        <v>0</v>
      </c>
      <c r="M86" s="195">
        <v>1.0</v>
      </c>
      <c r="N86" s="179" t="str">
        <f t="shared" ref="N86:BB86" si="90">IFERROR(IF(N$1=FALSE,, IF(IF(SEARCH(N$3,$I86,1)&gt;0,1,0)=1,$E86/$M86,)),"")</f>
        <v/>
      </c>
      <c r="O86" s="179" t="str">
        <f t="shared" si="90"/>
        <v/>
      </c>
      <c r="P86" s="179" t="str">
        <f t="shared" si="90"/>
        <v/>
      </c>
      <c r="Q86" s="179" t="str">
        <f t="shared" si="90"/>
        <v/>
      </c>
      <c r="R86" s="179" t="str">
        <f t="shared" si="90"/>
        <v/>
      </c>
      <c r="S86" s="179" t="str">
        <f t="shared" si="90"/>
        <v/>
      </c>
      <c r="T86" s="179" t="str">
        <f t="shared" si="90"/>
        <v/>
      </c>
      <c r="U86" s="179" t="str">
        <f t="shared" si="90"/>
        <v/>
      </c>
      <c r="V86" s="179" t="str">
        <f t="shared" si="90"/>
        <v/>
      </c>
      <c r="W86" s="179" t="str">
        <f t="shared" si="90"/>
        <v/>
      </c>
      <c r="X86" s="179" t="str">
        <f t="shared" si="90"/>
        <v/>
      </c>
      <c r="Y86" s="179" t="str">
        <f t="shared" si="90"/>
        <v/>
      </c>
      <c r="Z86" s="179" t="str">
        <f t="shared" si="90"/>
        <v/>
      </c>
      <c r="AA86" s="179" t="str">
        <f t="shared" si="90"/>
        <v/>
      </c>
      <c r="AB86" s="179" t="str">
        <f t="shared" si="90"/>
        <v/>
      </c>
      <c r="AC86" s="179" t="str">
        <f t="shared" si="90"/>
        <v/>
      </c>
      <c r="AD86" s="179" t="str">
        <f t="shared" si="90"/>
        <v/>
      </c>
      <c r="AE86" s="179" t="str">
        <f t="shared" si="90"/>
        <v/>
      </c>
      <c r="AF86" s="179" t="str">
        <f t="shared" si="90"/>
        <v/>
      </c>
      <c r="AG86" s="179" t="str">
        <f t="shared" si="90"/>
        <v/>
      </c>
      <c r="AH86" s="179" t="str">
        <f t="shared" si="90"/>
        <v/>
      </c>
      <c r="AI86" s="179" t="str">
        <f t="shared" si="90"/>
        <v/>
      </c>
      <c r="AJ86" s="179" t="str">
        <f t="shared" si="90"/>
        <v/>
      </c>
      <c r="AK86" s="179" t="str">
        <f t="shared" si="90"/>
        <v/>
      </c>
      <c r="AL86" s="179" t="str">
        <f t="shared" si="90"/>
        <v/>
      </c>
      <c r="AM86" s="179" t="str">
        <f t="shared" si="90"/>
        <v/>
      </c>
      <c r="AN86" s="179" t="str">
        <f t="shared" si="90"/>
        <v/>
      </c>
      <c r="AO86" s="179" t="str">
        <f t="shared" si="90"/>
        <v/>
      </c>
      <c r="AP86" s="179" t="str">
        <f t="shared" si="90"/>
        <v/>
      </c>
      <c r="AQ86" s="179" t="str">
        <f t="shared" si="90"/>
        <v/>
      </c>
      <c r="AR86" s="179" t="str">
        <f t="shared" si="90"/>
        <v/>
      </c>
      <c r="AS86" s="179" t="str">
        <f t="shared" si="90"/>
        <v/>
      </c>
      <c r="AT86" s="179" t="str">
        <f t="shared" si="90"/>
        <v/>
      </c>
      <c r="AU86" s="179" t="str">
        <f t="shared" si="90"/>
        <v/>
      </c>
      <c r="AV86" s="179" t="str">
        <f t="shared" si="90"/>
        <v/>
      </c>
      <c r="AW86" s="179" t="str">
        <f t="shared" si="90"/>
        <v/>
      </c>
      <c r="AX86" s="179" t="str">
        <f t="shared" si="90"/>
        <v/>
      </c>
      <c r="AY86" s="179" t="str">
        <f t="shared" si="90"/>
        <v/>
      </c>
      <c r="AZ86" s="179" t="str">
        <f t="shared" si="90"/>
        <v/>
      </c>
      <c r="BA86" s="179" t="str">
        <f t="shared" si="90"/>
        <v/>
      </c>
      <c r="BB86" s="179" t="str">
        <f t="shared" si="90"/>
        <v/>
      </c>
    </row>
    <row r="87">
      <c r="A87" s="193" t="s">
        <v>661</v>
      </c>
      <c r="B87" s="105" t="s">
        <v>662</v>
      </c>
      <c r="C87" s="105" t="s">
        <v>698</v>
      </c>
      <c r="D87" s="192">
        <v>128317.0</v>
      </c>
      <c r="E87" s="185">
        <v>40309.16</v>
      </c>
      <c r="F87" s="186">
        <v>46009.0</v>
      </c>
      <c r="G87" s="105" t="s">
        <v>664</v>
      </c>
      <c r="H87" s="83" t="s">
        <v>698</v>
      </c>
      <c r="I87" s="187" t="s">
        <v>766</v>
      </c>
      <c r="J87" s="194" t="b">
        <v>1</v>
      </c>
      <c r="K87" s="189">
        <f t="shared" si="3"/>
        <v>40309.16</v>
      </c>
      <c r="L87" s="48" t="b">
        <f t="shared" si="4"/>
        <v>1</v>
      </c>
      <c r="M87" s="195">
        <v>2.0</v>
      </c>
      <c r="N87" s="179">
        <f t="shared" ref="N87:BB87" si="91">IFERROR(IF(N$1=FALSE,, IF(IF(SEARCH(N$3,$I87,1)&gt;0,1,0)=1,$E87/$M87,)),"")</f>
        <v>20154.58</v>
      </c>
      <c r="O87" s="179" t="str">
        <f t="shared" si="91"/>
        <v/>
      </c>
      <c r="P87" s="179" t="str">
        <f t="shared" si="91"/>
        <v/>
      </c>
      <c r="Q87" s="179" t="str">
        <f t="shared" si="91"/>
        <v/>
      </c>
      <c r="R87" s="179" t="str">
        <f t="shared" si="91"/>
        <v/>
      </c>
      <c r="S87" s="179" t="str">
        <f t="shared" si="91"/>
        <v/>
      </c>
      <c r="T87" s="179" t="str">
        <f t="shared" si="91"/>
        <v/>
      </c>
      <c r="U87" s="179" t="str">
        <f t="shared" si="91"/>
        <v/>
      </c>
      <c r="V87" s="179" t="str">
        <f t="shared" si="91"/>
        <v/>
      </c>
      <c r="W87" s="179">
        <f t="shared" si="91"/>
        <v>20154.58</v>
      </c>
      <c r="X87" s="179" t="str">
        <f t="shared" si="91"/>
        <v/>
      </c>
      <c r="Y87" s="179" t="str">
        <f t="shared" si="91"/>
        <v/>
      </c>
      <c r="Z87" s="179" t="str">
        <f t="shared" si="91"/>
        <v/>
      </c>
      <c r="AA87" s="179" t="str">
        <f t="shared" si="91"/>
        <v/>
      </c>
      <c r="AB87" s="179" t="str">
        <f t="shared" si="91"/>
        <v/>
      </c>
      <c r="AC87" s="179" t="str">
        <f t="shared" si="91"/>
        <v/>
      </c>
      <c r="AD87" s="179" t="str">
        <f t="shared" si="91"/>
        <v/>
      </c>
      <c r="AE87" s="179" t="str">
        <f t="shared" si="91"/>
        <v/>
      </c>
      <c r="AF87" s="179" t="str">
        <f t="shared" si="91"/>
        <v/>
      </c>
      <c r="AG87" s="179" t="str">
        <f t="shared" si="91"/>
        <v/>
      </c>
      <c r="AH87" s="179" t="str">
        <f t="shared" si="91"/>
        <v/>
      </c>
      <c r="AI87" s="179" t="str">
        <f t="shared" si="91"/>
        <v/>
      </c>
      <c r="AJ87" s="179" t="str">
        <f t="shared" si="91"/>
        <v/>
      </c>
      <c r="AK87" s="179" t="str">
        <f t="shared" si="91"/>
        <v/>
      </c>
      <c r="AL87" s="179" t="str">
        <f t="shared" si="91"/>
        <v/>
      </c>
      <c r="AM87" s="179" t="str">
        <f t="shared" si="91"/>
        <v/>
      </c>
      <c r="AN87" s="179" t="str">
        <f t="shared" si="91"/>
        <v/>
      </c>
      <c r="AO87" s="179" t="str">
        <f t="shared" si="91"/>
        <v/>
      </c>
      <c r="AP87" s="179" t="str">
        <f t="shared" si="91"/>
        <v/>
      </c>
      <c r="AQ87" s="179" t="str">
        <f t="shared" si="91"/>
        <v/>
      </c>
      <c r="AR87" s="179" t="str">
        <f t="shared" si="91"/>
        <v/>
      </c>
      <c r="AS87" s="179" t="str">
        <f t="shared" si="91"/>
        <v/>
      </c>
      <c r="AT87" s="179" t="str">
        <f t="shared" si="91"/>
        <v/>
      </c>
      <c r="AU87" s="179" t="str">
        <f t="shared" si="91"/>
        <v/>
      </c>
      <c r="AV87" s="179" t="str">
        <f t="shared" si="91"/>
        <v/>
      </c>
      <c r="AW87" s="179" t="str">
        <f t="shared" si="91"/>
        <v/>
      </c>
      <c r="AX87" s="179" t="str">
        <f t="shared" si="91"/>
        <v/>
      </c>
      <c r="AY87" s="179" t="str">
        <f t="shared" si="91"/>
        <v/>
      </c>
      <c r="AZ87" s="179" t="str">
        <f t="shared" si="91"/>
        <v/>
      </c>
      <c r="BA87" s="179" t="str">
        <f t="shared" si="91"/>
        <v/>
      </c>
      <c r="BB87" s="179" t="str">
        <f t="shared" si="91"/>
        <v/>
      </c>
    </row>
  </sheetData>
  <autoFilter ref="$A$3:$BB$87"/>
  <dataValidations>
    <dataValidation type="list" allowBlank="1" showErrorMessage="1" sqref="G4:G87">
      <formula1>"Serviços,Material,OP"</formula1>
    </dataValidation>
  </dataValidations>
  <printOptions gridLines="1" horizontalCentered="1"/>
  <pageMargins bottom="0.75" footer="0.0" header="0.0" left="0.25" right="0.25" top="0.75"/>
  <pageSetup fitToHeight="0" paperSize="9" cellComments="atEnd" orientation="landscape"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EAD3"/>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7.88"/>
    <col customWidth="1" min="2" max="2" width="32.0"/>
    <col customWidth="1" min="3" max="3" width="7.63"/>
    <col customWidth="1" min="5" max="5" width="3.38"/>
    <col customWidth="1" min="6" max="6" width="3.75"/>
    <col customWidth="1" min="7" max="7" width="7.75"/>
    <col customWidth="1" min="8" max="8" width="7.88"/>
    <col customWidth="1" min="9" max="9" width="6.88"/>
    <col customWidth="1" min="10" max="10" width="7.5"/>
  </cols>
  <sheetData>
    <row r="1">
      <c r="A1" s="196" t="s">
        <v>245</v>
      </c>
      <c r="B1" s="197" t="s">
        <v>1</v>
      </c>
      <c r="C1" s="198"/>
      <c r="D1" s="198"/>
      <c r="E1" s="199" t="s">
        <v>241</v>
      </c>
      <c r="F1" s="199" t="s">
        <v>615</v>
      </c>
      <c r="G1" s="199" t="s">
        <v>767</v>
      </c>
      <c r="H1" s="199" t="s">
        <v>768</v>
      </c>
      <c r="I1" s="199" t="s">
        <v>628</v>
      </c>
      <c r="J1" s="199" t="s">
        <v>769</v>
      </c>
    </row>
    <row r="2">
      <c r="A2" s="200">
        <v>45658.0</v>
      </c>
      <c r="B2" s="201" t="s">
        <v>770</v>
      </c>
      <c r="C2" s="202" t="s">
        <v>771</v>
      </c>
      <c r="D2" s="198"/>
      <c r="E2" s="203">
        <v>1.0</v>
      </c>
      <c r="F2" s="203">
        <v>2025.0</v>
      </c>
      <c r="G2" s="204">
        <v>45658.0</v>
      </c>
      <c r="H2" s="205">
        <f t="shared" ref="H2:H13" si="1">EOMONTH(G2,0)</f>
        <v>45688</v>
      </c>
      <c r="I2" s="206">
        <f t="shared" ref="I2:I13" si="2">NETWORKDAYS(G2,H2,$A$2:$A19)</f>
        <v>22</v>
      </c>
      <c r="J2" s="207">
        <f>SUM('Dias úteis e Feriados'!I2:I13)*(8.8)/24</f>
        <v>90.93333333</v>
      </c>
    </row>
    <row r="3">
      <c r="A3" s="200">
        <v>45699.0</v>
      </c>
      <c r="B3" s="201" t="s">
        <v>772</v>
      </c>
      <c r="C3" s="202" t="s">
        <v>773</v>
      </c>
      <c r="D3" s="198"/>
      <c r="E3" s="203">
        <v>2.0</v>
      </c>
      <c r="F3" s="203">
        <v>2025.0</v>
      </c>
      <c r="G3" s="208">
        <v>45689.0</v>
      </c>
      <c r="H3" s="205">
        <f t="shared" si="1"/>
        <v>45716</v>
      </c>
      <c r="I3" s="206">
        <f t="shared" si="2"/>
        <v>19</v>
      </c>
      <c r="J3" s="198"/>
    </row>
    <row r="4">
      <c r="A4" s="200">
        <v>45719.0</v>
      </c>
      <c r="B4" s="201" t="s">
        <v>774</v>
      </c>
      <c r="C4" s="202" t="s">
        <v>771</v>
      </c>
      <c r="D4" s="198"/>
      <c r="E4" s="203">
        <v>3.0</v>
      </c>
      <c r="F4" s="203">
        <v>2025.0</v>
      </c>
      <c r="G4" s="204">
        <v>45717.0</v>
      </c>
      <c r="H4" s="205">
        <f t="shared" si="1"/>
        <v>45747</v>
      </c>
      <c r="I4" s="206">
        <f t="shared" si="2"/>
        <v>18</v>
      </c>
      <c r="J4" s="198"/>
    </row>
    <row r="5">
      <c r="A5" s="200">
        <v>45720.0</v>
      </c>
      <c r="B5" s="201" t="s">
        <v>774</v>
      </c>
      <c r="C5" s="202" t="s">
        <v>773</v>
      </c>
      <c r="D5" s="198"/>
      <c r="E5" s="203">
        <v>4.0</v>
      </c>
      <c r="F5" s="203">
        <v>2025.0</v>
      </c>
      <c r="G5" s="208">
        <v>45748.0</v>
      </c>
      <c r="H5" s="205">
        <f t="shared" si="1"/>
        <v>45777</v>
      </c>
      <c r="I5" s="206">
        <f t="shared" si="2"/>
        <v>20</v>
      </c>
      <c r="J5" s="198"/>
    </row>
    <row r="6">
      <c r="A6" s="200">
        <v>45721.0</v>
      </c>
      <c r="B6" s="201" t="s">
        <v>775</v>
      </c>
      <c r="C6" s="202" t="s">
        <v>771</v>
      </c>
      <c r="D6" s="198"/>
      <c r="E6" s="203">
        <v>5.0</v>
      </c>
      <c r="F6" s="203">
        <v>2025.0</v>
      </c>
      <c r="G6" s="204">
        <v>45778.0</v>
      </c>
      <c r="H6" s="205">
        <f t="shared" si="1"/>
        <v>45808</v>
      </c>
      <c r="I6" s="206">
        <f t="shared" si="2"/>
        <v>21</v>
      </c>
      <c r="J6" s="198"/>
    </row>
    <row r="7">
      <c r="A7" s="200">
        <v>45765.0</v>
      </c>
      <c r="B7" s="201" t="s">
        <v>776</v>
      </c>
      <c r="C7" s="202" t="s">
        <v>771</v>
      </c>
      <c r="D7" s="198"/>
      <c r="E7" s="203">
        <v>6.0</v>
      </c>
      <c r="F7" s="203">
        <v>2025.0</v>
      </c>
      <c r="G7" s="208">
        <v>45809.0</v>
      </c>
      <c r="H7" s="205">
        <f t="shared" si="1"/>
        <v>45838</v>
      </c>
      <c r="I7" s="206">
        <f t="shared" si="2"/>
        <v>20</v>
      </c>
      <c r="J7" s="198"/>
    </row>
    <row r="8">
      <c r="A8" s="200">
        <v>45767.0</v>
      </c>
      <c r="B8" s="201" t="s">
        <v>777</v>
      </c>
      <c r="C8" s="202" t="s">
        <v>771</v>
      </c>
      <c r="D8" s="198"/>
      <c r="E8" s="203">
        <v>7.0</v>
      </c>
      <c r="F8" s="203">
        <v>2025.0</v>
      </c>
      <c r="G8" s="204">
        <v>45839.0</v>
      </c>
      <c r="H8" s="205">
        <f t="shared" si="1"/>
        <v>45869</v>
      </c>
      <c r="I8" s="206">
        <f t="shared" si="2"/>
        <v>23</v>
      </c>
      <c r="J8" s="198"/>
    </row>
    <row r="9">
      <c r="A9" s="200">
        <v>45768.0</v>
      </c>
      <c r="B9" s="201" t="s">
        <v>778</v>
      </c>
      <c r="C9" s="202" t="s">
        <v>771</v>
      </c>
      <c r="D9" s="198"/>
      <c r="E9" s="203">
        <v>8.0</v>
      </c>
      <c r="F9" s="203">
        <v>2025.0</v>
      </c>
      <c r="G9" s="208">
        <v>45870.0</v>
      </c>
      <c r="H9" s="205">
        <f t="shared" si="1"/>
        <v>45900</v>
      </c>
      <c r="I9" s="206">
        <f t="shared" si="2"/>
        <v>21</v>
      </c>
      <c r="J9" s="198"/>
    </row>
    <row r="10">
      <c r="A10" s="200">
        <v>45778.0</v>
      </c>
      <c r="B10" s="201" t="s">
        <v>779</v>
      </c>
      <c r="C10" s="202" t="s">
        <v>771</v>
      </c>
      <c r="D10" s="198"/>
      <c r="E10" s="203">
        <v>9.0</v>
      </c>
      <c r="F10" s="203">
        <v>2025.0</v>
      </c>
      <c r="G10" s="204">
        <v>45901.0</v>
      </c>
      <c r="H10" s="205">
        <f t="shared" si="1"/>
        <v>45930</v>
      </c>
      <c r="I10" s="206">
        <f t="shared" si="2"/>
        <v>21</v>
      </c>
      <c r="J10" s="198"/>
    </row>
    <row r="11">
      <c r="A11" s="200">
        <v>45827.0</v>
      </c>
      <c r="B11" s="201" t="s">
        <v>780</v>
      </c>
      <c r="C11" s="202" t="s">
        <v>771</v>
      </c>
      <c r="D11" s="198"/>
      <c r="E11" s="203">
        <v>10.0</v>
      </c>
      <c r="F11" s="203">
        <v>2025.0</v>
      </c>
      <c r="G11" s="208">
        <v>45931.0</v>
      </c>
      <c r="H11" s="205">
        <f t="shared" si="1"/>
        <v>45961</v>
      </c>
      <c r="I11" s="206">
        <f t="shared" si="2"/>
        <v>22</v>
      </c>
      <c r="J11" s="198"/>
    </row>
    <row r="12">
      <c r="A12" s="200">
        <v>45907.0</v>
      </c>
      <c r="B12" s="201" t="s">
        <v>781</v>
      </c>
      <c r="C12" s="202" t="s">
        <v>771</v>
      </c>
      <c r="D12" s="198"/>
      <c r="E12" s="203">
        <v>11.0</v>
      </c>
      <c r="F12" s="203">
        <v>2025.0</v>
      </c>
      <c r="G12" s="204">
        <v>45962.0</v>
      </c>
      <c r="H12" s="205">
        <f t="shared" si="1"/>
        <v>45991</v>
      </c>
      <c r="I12" s="206">
        <f t="shared" si="2"/>
        <v>19</v>
      </c>
      <c r="J12" s="198"/>
    </row>
    <row r="13">
      <c r="A13" s="200">
        <v>45908.0</v>
      </c>
      <c r="B13" s="201" t="s">
        <v>782</v>
      </c>
      <c r="C13" s="202" t="s">
        <v>773</v>
      </c>
      <c r="D13" s="198"/>
      <c r="E13" s="203">
        <v>12.0</v>
      </c>
      <c r="F13" s="203">
        <v>2025.0</v>
      </c>
      <c r="G13" s="208">
        <v>45992.0</v>
      </c>
      <c r="H13" s="205">
        <f t="shared" si="1"/>
        <v>46022</v>
      </c>
      <c r="I13" s="206">
        <f t="shared" si="2"/>
        <v>22</v>
      </c>
      <c r="J13" s="198"/>
    </row>
    <row r="14">
      <c r="A14" s="200">
        <v>45942.0</v>
      </c>
      <c r="B14" s="201" t="s">
        <v>783</v>
      </c>
      <c r="C14" s="202" t="s">
        <v>771</v>
      </c>
      <c r="D14" s="198"/>
      <c r="E14" s="198"/>
      <c r="F14" s="198"/>
      <c r="G14" s="206"/>
      <c r="H14" s="206"/>
      <c r="I14" s="206"/>
      <c r="J14" s="198"/>
    </row>
    <row r="15">
      <c r="A15" s="200">
        <v>45960.0</v>
      </c>
      <c r="B15" s="201" t="s">
        <v>784</v>
      </c>
      <c r="C15" s="202" t="s">
        <v>773</v>
      </c>
      <c r="D15" s="198"/>
      <c r="E15" s="198"/>
      <c r="F15" s="198"/>
      <c r="G15" s="206"/>
      <c r="H15" s="206"/>
      <c r="I15" s="206"/>
      <c r="J15" s="198"/>
    </row>
    <row r="16">
      <c r="A16" s="200">
        <v>45963.0</v>
      </c>
      <c r="B16" s="201" t="s">
        <v>785</v>
      </c>
      <c r="C16" s="202" t="s">
        <v>771</v>
      </c>
      <c r="D16" s="198"/>
      <c r="E16" s="198"/>
      <c r="F16" s="198"/>
      <c r="G16" s="206"/>
      <c r="H16" s="206"/>
      <c r="I16" s="206"/>
      <c r="J16" s="198"/>
    </row>
    <row r="17">
      <c r="A17" s="200">
        <v>45976.0</v>
      </c>
      <c r="B17" s="201" t="s">
        <v>786</v>
      </c>
      <c r="C17" s="202" t="s">
        <v>771</v>
      </c>
      <c r="D17" s="198"/>
      <c r="E17" s="198"/>
      <c r="F17" s="198"/>
      <c r="G17" s="206"/>
      <c r="H17" s="206"/>
      <c r="I17" s="206"/>
      <c r="J17" s="198"/>
    </row>
    <row r="18">
      <c r="A18" s="200">
        <v>45981.0</v>
      </c>
      <c r="B18" s="201" t="s">
        <v>787</v>
      </c>
      <c r="C18" s="202" t="s">
        <v>771</v>
      </c>
      <c r="D18" s="198"/>
      <c r="E18" s="198"/>
      <c r="F18" s="198"/>
      <c r="G18" s="206"/>
      <c r="H18" s="206"/>
      <c r="I18" s="206"/>
      <c r="J18" s="198"/>
    </row>
    <row r="19">
      <c r="A19" s="200">
        <v>46016.0</v>
      </c>
      <c r="B19" s="201" t="s">
        <v>788</v>
      </c>
      <c r="C19" s="202" t="s">
        <v>771</v>
      </c>
      <c r="D19" s="198"/>
      <c r="E19" s="198"/>
      <c r="F19" s="198"/>
      <c r="G19" s="206"/>
      <c r="H19" s="206"/>
      <c r="I19" s="206"/>
      <c r="J19" s="198"/>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EAD3"/>
    <outlinePr summaryBelow="0" summaryRight="0"/>
  </sheetPr>
  <sheetViews>
    <sheetView showGridLines="0" workbookViewId="0"/>
  </sheetViews>
  <sheetFormatPr customHeight="1" defaultColWidth="12.63" defaultRowHeight="15.75"/>
  <cols>
    <col customWidth="1" min="2" max="2" width="12.38"/>
    <col customWidth="1" min="3" max="3" width="12.0"/>
    <col customWidth="1" min="4" max="4" width="9.63"/>
    <col customWidth="1" min="5" max="5" width="9.25"/>
    <col customWidth="1" min="6" max="6" width="9.63"/>
    <col customWidth="1" min="7" max="7" width="9.13"/>
    <col customWidth="1" min="8" max="8" width="4.63"/>
  </cols>
  <sheetData>
    <row r="1">
      <c r="A1" s="209" t="s">
        <v>789</v>
      </c>
      <c r="B1" s="210" t="s">
        <v>790</v>
      </c>
      <c r="C1" s="210" t="s">
        <v>791</v>
      </c>
      <c r="D1" s="211" t="s">
        <v>792</v>
      </c>
      <c r="E1" s="212" t="s">
        <v>793</v>
      </c>
      <c r="F1" s="213" t="s">
        <v>622</v>
      </c>
      <c r="G1" s="213" t="s">
        <v>623</v>
      </c>
      <c r="H1" s="213" t="s">
        <v>624</v>
      </c>
    </row>
    <row r="2">
      <c r="A2" s="214">
        <v>45658.0</v>
      </c>
      <c r="B2" s="215">
        <v>0.0</v>
      </c>
      <c r="C2" s="216">
        <f t="shared" ref="C2:C10" si="1">(1-B2)*20%</f>
        <v>0.2</v>
      </c>
      <c r="D2" s="217">
        <f t="shared" ref="D2:D10" si="2">5%*B2</f>
        <v>0</v>
      </c>
      <c r="E2" s="215">
        <f t="shared" ref="E2:E13" si="3">C2+D2</f>
        <v>0.2</v>
      </c>
      <c r="F2" s="215">
        <v>0.058</v>
      </c>
      <c r="G2" s="215">
        <v>0.03</v>
      </c>
      <c r="H2" s="215">
        <v>0.08</v>
      </c>
    </row>
    <row r="3">
      <c r="A3" s="214">
        <v>45689.0</v>
      </c>
      <c r="B3" s="215">
        <v>0.0</v>
      </c>
      <c r="C3" s="216">
        <f t="shared" si="1"/>
        <v>0.2</v>
      </c>
      <c r="D3" s="217">
        <f t="shared" si="2"/>
        <v>0</v>
      </c>
      <c r="E3" s="215">
        <f t="shared" si="3"/>
        <v>0.2</v>
      </c>
      <c r="F3" s="215">
        <v>0.058</v>
      </c>
      <c r="G3" s="215">
        <v>0.03</v>
      </c>
      <c r="H3" s="215">
        <v>0.08</v>
      </c>
    </row>
    <row r="4">
      <c r="A4" s="214">
        <v>45717.0</v>
      </c>
      <c r="B4" s="215">
        <v>0.0</v>
      </c>
      <c r="C4" s="216">
        <f t="shared" si="1"/>
        <v>0.2</v>
      </c>
      <c r="D4" s="217">
        <f t="shared" si="2"/>
        <v>0</v>
      </c>
      <c r="E4" s="215">
        <f t="shared" si="3"/>
        <v>0.2</v>
      </c>
      <c r="F4" s="215">
        <v>0.058</v>
      </c>
      <c r="G4" s="215">
        <v>0.03</v>
      </c>
      <c r="H4" s="215">
        <v>0.08</v>
      </c>
    </row>
    <row r="5">
      <c r="A5" s="214">
        <v>45748.0</v>
      </c>
      <c r="B5" s="215">
        <v>0.0</v>
      </c>
      <c r="C5" s="216">
        <f t="shared" si="1"/>
        <v>0.2</v>
      </c>
      <c r="D5" s="217">
        <f t="shared" si="2"/>
        <v>0</v>
      </c>
      <c r="E5" s="215">
        <f t="shared" si="3"/>
        <v>0.2</v>
      </c>
      <c r="F5" s="215">
        <v>0.058</v>
      </c>
      <c r="G5" s="215">
        <v>0.015</v>
      </c>
      <c r="H5" s="216">
        <v>0.08</v>
      </c>
    </row>
    <row r="6">
      <c r="A6" s="214">
        <v>45778.0</v>
      </c>
      <c r="B6" s="215">
        <v>0.0</v>
      </c>
      <c r="C6" s="216">
        <f t="shared" si="1"/>
        <v>0.2</v>
      </c>
      <c r="D6" s="217">
        <f t="shared" si="2"/>
        <v>0</v>
      </c>
      <c r="E6" s="215">
        <f t="shared" si="3"/>
        <v>0.2</v>
      </c>
      <c r="F6" s="215">
        <v>0.058</v>
      </c>
      <c r="G6" s="215">
        <v>0.015</v>
      </c>
      <c r="H6" s="216">
        <v>0.08</v>
      </c>
    </row>
    <row r="7">
      <c r="A7" s="214">
        <v>45809.0</v>
      </c>
      <c r="B7" s="215">
        <v>0.0</v>
      </c>
      <c r="C7" s="216">
        <f t="shared" si="1"/>
        <v>0.2</v>
      </c>
      <c r="D7" s="217">
        <f t="shared" si="2"/>
        <v>0</v>
      </c>
      <c r="E7" s="215">
        <f t="shared" si="3"/>
        <v>0.2</v>
      </c>
      <c r="F7" s="215">
        <v>0.058</v>
      </c>
      <c r="G7" s="215">
        <v>0.015</v>
      </c>
      <c r="H7" s="216">
        <v>0.08</v>
      </c>
    </row>
    <row r="8">
      <c r="A8" s="214">
        <v>45839.0</v>
      </c>
      <c r="B8" s="215">
        <v>0.0</v>
      </c>
      <c r="C8" s="216">
        <f t="shared" si="1"/>
        <v>0.2</v>
      </c>
      <c r="D8" s="217">
        <f t="shared" si="2"/>
        <v>0</v>
      </c>
      <c r="E8" s="215">
        <f t="shared" si="3"/>
        <v>0.2</v>
      </c>
      <c r="F8" s="215">
        <v>0.058</v>
      </c>
      <c r="G8" s="215">
        <v>0.015</v>
      </c>
      <c r="H8" s="216">
        <v>0.08</v>
      </c>
    </row>
    <row r="9">
      <c r="A9" s="214">
        <v>45870.0</v>
      </c>
      <c r="B9" s="215">
        <v>0.0</v>
      </c>
      <c r="C9" s="216">
        <f t="shared" si="1"/>
        <v>0.2</v>
      </c>
      <c r="D9" s="217">
        <f t="shared" si="2"/>
        <v>0</v>
      </c>
      <c r="E9" s="215">
        <f t="shared" si="3"/>
        <v>0.2</v>
      </c>
      <c r="F9" s="215">
        <v>0.058</v>
      </c>
      <c r="G9" s="215">
        <v>0.015</v>
      </c>
      <c r="H9" s="216">
        <v>0.08</v>
      </c>
    </row>
    <row r="10">
      <c r="A10" s="214">
        <v>45901.0</v>
      </c>
      <c r="B10" s="215">
        <v>0.0</v>
      </c>
      <c r="C10" s="216">
        <f t="shared" si="1"/>
        <v>0.2</v>
      </c>
      <c r="D10" s="217">
        <f t="shared" si="2"/>
        <v>0</v>
      </c>
      <c r="E10" s="215">
        <f t="shared" si="3"/>
        <v>0.2</v>
      </c>
      <c r="F10" s="215">
        <v>0.058</v>
      </c>
      <c r="G10" s="215">
        <v>0.015</v>
      </c>
      <c r="H10" s="216">
        <v>0.08</v>
      </c>
    </row>
    <row r="11">
      <c r="A11" s="214">
        <v>45931.0</v>
      </c>
      <c r="B11" s="215">
        <v>0.0</v>
      </c>
      <c r="C11" s="216">
        <v>0.2</v>
      </c>
      <c r="D11" s="217">
        <v>0.0</v>
      </c>
      <c r="E11" s="215">
        <f t="shared" si="3"/>
        <v>0.2</v>
      </c>
      <c r="F11" s="215">
        <v>0.058</v>
      </c>
      <c r="G11" s="215">
        <v>0.0387</v>
      </c>
      <c r="H11" s="216">
        <v>0.08</v>
      </c>
    </row>
    <row r="12">
      <c r="A12" s="214">
        <v>45962.0</v>
      </c>
      <c r="B12" s="215">
        <v>0.0</v>
      </c>
      <c r="C12" s="216">
        <v>0.2</v>
      </c>
      <c r="D12" s="217">
        <v>0.0</v>
      </c>
      <c r="E12" s="215">
        <f t="shared" si="3"/>
        <v>0.2</v>
      </c>
      <c r="F12" s="215">
        <v>0.058</v>
      </c>
      <c r="G12" s="215">
        <v>0.0387</v>
      </c>
      <c r="H12" s="216">
        <v>0.08</v>
      </c>
    </row>
    <row r="13">
      <c r="A13" s="214">
        <v>45992.0</v>
      </c>
      <c r="B13" s="215">
        <v>0.0</v>
      </c>
      <c r="C13" s="216">
        <v>0.2</v>
      </c>
      <c r="D13" s="217">
        <v>0.0</v>
      </c>
      <c r="E13" s="215">
        <f t="shared" si="3"/>
        <v>0.2</v>
      </c>
      <c r="F13" s="215">
        <v>0.058</v>
      </c>
      <c r="G13" s="215">
        <v>0.0387</v>
      </c>
      <c r="H13" s="216">
        <v>0.08</v>
      </c>
    </row>
  </sheetData>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75"/>
    <col customWidth="1" min="2" max="2" width="9.88"/>
    <col customWidth="1" min="3" max="3" width="14.5"/>
    <col customWidth="1" min="9" max="9" width="27.13"/>
  </cols>
  <sheetData>
    <row r="1">
      <c r="A1" s="218"/>
      <c r="B1" s="219"/>
      <c r="C1" s="220"/>
    </row>
    <row r="2">
      <c r="A2" s="221"/>
      <c r="B2" s="219"/>
      <c r="C2" s="220"/>
    </row>
    <row r="3">
      <c r="A3" s="221"/>
      <c r="B3" s="219"/>
      <c r="C3" s="220"/>
      <c r="I3" s="222" t="s">
        <v>794</v>
      </c>
    </row>
    <row r="4">
      <c r="A4" s="221"/>
      <c r="B4" s="223"/>
      <c r="C4" s="220"/>
    </row>
    <row r="5">
      <c r="A5" s="105"/>
      <c r="B5" s="223"/>
      <c r="C5" s="224"/>
    </row>
    <row r="6">
      <c r="A6" s="100" t="s">
        <v>240</v>
      </c>
      <c r="B6" s="102" t="s">
        <v>245</v>
      </c>
      <c r="C6" s="104" t="s">
        <v>246</v>
      </c>
      <c r="E6" s="225" t="str">
        <f t="array" ref="E6:F417">UNIQUE(A6:B434)</f>
        <v>Funcionário</v>
      </c>
      <c r="F6" s="226" t="s">
        <v>245</v>
      </c>
      <c r="I6" s="225" t="s">
        <v>240</v>
      </c>
      <c r="J6" s="226" t="s">
        <v>245</v>
      </c>
    </row>
    <row r="7">
      <c r="A7" s="105" t="s">
        <v>795</v>
      </c>
      <c r="B7" s="107">
        <v>45729.0</v>
      </c>
      <c r="C7" s="227">
        <v>6.0</v>
      </c>
      <c r="E7" s="225" t="s">
        <v>795</v>
      </c>
      <c r="F7" s="226">
        <v>45729.0</v>
      </c>
      <c r="G7" s="228">
        <f>IFERROR(__xludf.DUMMYFUNCTION("SUM(FILTER(C:C,B:B=F7,A:A=E7))"),6.0)</f>
        <v>6</v>
      </c>
      <c r="I7" s="229" t="s">
        <v>796</v>
      </c>
      <c r="J7" s="230">
        <v>45764.0</v>
      </c>
      <c r="K7" s="231">
        <v>18.0</v>
      </c>
    </row>
    <row r="8">
      <c r="A8" s="105" t="s">
        <v>795</v>
      </c>
      <c r="B8" s="107">
        <v>45730.0</v>
      </c>
      <c r="C8" s="227">
        <v>6.0</v>
      </c>
      <c r="E8" s="225" t="s">
        <v>795</v>
      </c>
      <c r="F8" s="226">
        <v>45730.0</v>
      </c>
      <c r="G8" s="228">
        <f>IFERROR(__xludf.DUMMYFUNCTION("SUM(FILTER(C:C,B:B=F8,A:A=E8))"),6.0)</f>
        <v>6</v>
      </c>
      <c r="I8" s="229" t="s">
        <v>797</v>
      </c>
      <c r="J8" s="230">
        <v>45691.0</v>
      </c>
      <c r="K8" s="231">
        <v>14.0</v>
      </c>
    </row>
    <row r="9">
      <c r="A9" s="105" t="s">
        <v>795</v>
      </c>
      <c r="B9" s="107">
        <v>45733.0</v>
      </c>
      <c r="C9" s="227">
        <v>7.0</v>
      </c>
      <c r="E9" s="225" t="s">
        <v>795</v>
      </c>
      <c r="F9" s="226">
        <v>45733.0</v>
      </c>
      <c r="G9" s="228">
        <f>IFERROR(__xludf.DUMMYFUNCTION("SUM(FILTER(C:C,B:B=F9,A:A=E9))"),7.0)</f>
        <v>7</v>
      </c>
      <c r="I9" s="229" t="s">
        <v>796</v>
      </c>
      <c r="J9" s="230">
        <v>45749.0</v>
      </c>
      <c r="K9" s="231">
        <v>12.0</v>
      </c>
    </row>
    <row r="10">
      <c r="A10" s="105" t="s">
        <v>798</v>
      </c>
      <c r="B10" s="107">
        <v>45692.0</v>
      </c>
      <c r="C10" s="227">
        <v>6.0</v>
      </c>
      <c r="E10" s="225" t="s">
        <v>798</v>
      </c>
      <c r="F10" s="226">
        <v>45692.0</v>
      </c>
      <c r="G10" s="228">
        <f>IFERROR(__xludf.DUMMYFUNCTION("SUM(FILTER(C:C,B:B=F10,A:A=E10))"),6.0)</f>
        <v>6</v>
      </c>
      <c r="I10" s="229" t="s">
        <v>799</v>
      </c>
      <c r="J10" s="230">
        <v>45824.0</v>
      </c>
      <c r="K10" s="231">
        <v>12.0</v>
      </c>
    </row>
    <row r="11">
      <c r="A11" s="105" t="s">
        <v>798</v>
      </c>
      <c r="B11" s="107">
        <v>45694.0</v>
      </c>
      <c r="C11" s="227">
        <v>8.0</v>
      </c>
      <c r="E11" s="225" t="s">
        <v>798</v>
      </c>
      <c r="F11" s="226">
        <v>45694.0</v>
      </c>
      <c r="G11" s="228">
        <f>IFERROR(__xludf.DUMMYFUNCTION("SUM(FILTER(C:C,B:B=F11,A:A=E11))"),8.0)</f>
        <v>8</v>
      </c>
      <c r="I11" s="229" t="s">
        <v>800</v>
      </c>
      <c r="J11" s="230">
        <v>45762.0</v>
      </c>
      <c r="K11" s="231">
        <v>10.5</v>
      </c>
    </row>
    <row r="12">
      <c r="A12" s="105" t="s">
        <v>798</v>
      </c>
      <c r="B12" s="107">
        <v>45698.0</v>
      </c>
      <c r="C12" s="227">
        <v>8.0</v>
      </c>
      <c r="E12" s="225" t="s">
        <v>798</v>
      </c>
      <c r="F12" s="226">
        <v>45698.0</v>
      </c>
      <c r="G12" s="228">
        <f>IFERROR(__xludf.DUMMYFUNCTION("SUM(FILTER(C:C,B:B=F12,A:A=E12))"),8.0)</f>
        <v>8</v>
      </c>
      <c r="I12" s="225" t="s">
        <v>800</v>
      </c>
      <c r="J12" s="226">
        <v>45763.0</v>
      </c>
      <c r="K12" s="228">
        <v>10.0</v>
      </c>
    </row>
    <row r="13">
      <c r="A13" s="105" t="s">
        <v>798</v>
      </c>
      <c r="B13" s="107">
        <v>45700.0</v>
      </c>
      <c r="C13" s="227">
        <v>5.0</v>
      </c>
      <c r="E13" s="225" t="s">
        <v>798</v>
      </c>
      <c r="F13" s="226">
        <v>45700.0</v>
      </c>
      <c r="G13" s="228">
        <f>IFERROR(__xludf.DUMMYFUNCTION("SUM(FILTER(C:C,B:B=F13,A:A=E13))"),5.0)</f>
        <v>5</v>
      </c>
      <c r="I13" s="225" t="s">
        <v>800</v>
      </c>
      <c r="J13" s="226">
        <v>45768.0</v>
      </c>
      <c r="K13" s="228">
        <v>9.0</v>
      </c>
    </row>
    <row r="14">
      <c r="A14" s="105" t="s">
        <v>798</v>
      </c>
      <c r="B14" s="107">
        <v>45705.0</v>
      </c>
      <c r="C14" s="227">
        <v>8.0</v>
      </c>
      <c r="E14" s="225" t="s">
        <v>798</v>
      </c>
      <c r="F14" s="226">
        <v>45705.0</v>
      </c>
      <c r="G14" s="228">
        <f>IFERROR(__xludf.DUMMYFUNCTION("SUM(FILTER(C:C,B:B=F14,A:A=E14))"),8.0)</f>
        <v>8</v>
      </c>
      <c r="I14" s="225" t="s">
        <v>800</v>
      </c>
      <c r="J14" s="226">
        <v>45770.0</v>
      </c>
      <c r="K14" s="228">
        <v>9.0</v>
      </c>
    </row>
    <row r="15">
      <c r="A15" s="105" t="s">
        <v>798</v>
      </c>
      <c r="B15" s="107">
        <v>45707.0</v>
      </c>
      <c r="C15" s="227">
        <v>8.0</v>
      </c>
      <c r="E15" s="225" t="s">
        <v>798</v>
      </c>
      <c r="F15" s="226">
        <v>45707.0</v>
      </c>
      <c r="G15" s="228">
        <f>IFERROR(__xludf.DUMMYFUNCTION("SUM(FILTER(C:C,B:B=F15,A:A=E15))"),8.0)</f>
        <v>8</v>
      </c>
      <c r="I15" s="225" t="s">
        <v>800</v>
      </c>
      <c r="J15" s="226">
        <v>45772.0</v>
      </c>
      <c r="K15" s="228">
        <v>9.0</v>
      </c>
    </row>
    <row r="16">
      <c r="A16" s="105" t="s">
        <v>798</v>
      </c>
      <c r="B16" s="107">
        <v>45708.0</v>
      </c>
      <c r="C16" s="227">
        <v>8.0</v>
      </c>
      <c r="E16" s="225" t="s">
        <v>798</v>
      </c>
      <c r="F16" s="226">
        <v>45708.0</v>
      </c>
      <c r="G16" s="228">
        <f>IFERROR(__xludf.DUMMYFUNCTION("SUM(FILTER(C:C,B:B=F16,A:A=E16))"),8.0)</f>
        <v>8</v>
      </c>
      <c r="I16" s="225" t="s">
        <v>800</v>
      </c>
      <c r="J16" s="226">
        <v>45777.0</v>
      </c>
      <c r="K16" s="228">
        <v>9.0</v>
      </c>
    </row>
    <row r="17">
      <c r="A17" s="105" t="s">
        <v>798</v>
      </c>
      <c r="B17" s="107">
        <v>45713.0</v>
      </c>
      <c r="C17" s="227">
        <v>8.0</v>
      </c>
      <c r="E17" s="225" t="s">
        <v>798</v>
      </c>
      <c r="F17" s="226">
        <v>45713.0</v>
      </c>
      <c r="G17" s="228">
        <f>IFERROR(__xludf.DUMMYFUNCTION("SUM(FILTER(C:C,B:B=F17,A:A=E17))"),8.0)</f>
        <v>8</v>
      </c>
      <c r="I17" s="225" t="s">
        <v>800</v>
      </c>
      <c r="J17" s="226">
        <v>45778.0</v>
      </c>
      <c r="K17" s="228">
        <v>9.0</v>
      </c>
    </row>
    <row r="18">
      <c r="A18" s="105" t="s">
        <v>798</v>
      </c>
      <c r="B18" s="107">
        <v>45716.0</v>
      </c>
      <c r="C18" s="227">
        <v>8.0</v>
      </c>
      <c r="E18" s="225" t="s">
        <v>798</v>
      </c>
      <c r="F18" s="226">
        <v>45716.0</v>
      </c>
      <c r="G18" s="228">
        <f>IFERROR(__xludf.DUMMYFUNCTION("SUM(FILTER(C:C,B:B=F18,A:A=E18))"),8.0)</f>
        <v>8</v>
      </c>
      <c r="I18" s="225" t="s">
        <v>800</v>
      </c>
      <c r="J18" s="226">
        <v>45748.0</v>
      </c>
      <c r="K18" s="228">
        <v>9.0</v>
      </c>
    </row>
    <row r="19">
      <c r="A19" s="105" t="s">
        <v>798</v>
      </c>
      <c r="B19" s="107">
        <v>45726.0</v>
      </c>
      <c r="C19" s="227">
        <v>8.0</v>
      </c>
      <c r="E19" s="225" t="s">
        <v>798</v>
      </c>
      <c r="F19" s="226">
        <v>45726.0</v>
      </c>
      <c r="G19" s="228">
        <f>IFERROR(__xludf.DUMMYFUNCTION("SUM(FILTER(C:C,B:B=F19,A:A=E19))"),8.0)</f>
        <v>8</v>
      </c>
      <c r="I19" s="225" t="s">
        <v>796</v>
      </c>
      <c r="J19" s="226">
        <v>45748.0</v>
      </c>
      <c r="K19" s="228">
        <v>9.0</v>
      </c>
    </row>
    <row r="20">
      <c r="A20" s="105" t="s">
        <v>798</v>
      </c>
      <c r="B20" s="107">
        <v>45727.0</v>
      </c>
      <c r="C20" s="227">
        <v>8.0</v>
      </c>
      <c r="E20" s="225" t="s">
        <v>798</v>
      </c>
      <c r="F20" s="226">
        <v>45727.0</v>
      </c>
      <c r="G20" s="228">
        <f>IFERROR(__xludf.DUMMYFUNCTION("SUM(FILTER(C:C,B:B=F20,A:A=E20))"),8.0)</f>
        <v>8</v>
      </c>
      <c r="I20" s="225" t="s">
        <v>800</v>
      </c>
      <c r="J20" s="226">
        <v>45749.0</v>
      </c>
      <c r="K20" s="228">
        <v>9.0</v>
      </c>
    </row>
    <row r="21">
      <c r="A21" s="105" t="s">
        <v>798</v>
      </c>
      <c r="B21" s="107">
        <v>45728.0</v>
      </c>
      <c r="C21" s="227">
        <v>8.0</v>
      </c>
      <c r="E21" s="225" t="s">
        <v>798</v>
      </c>
      <c r="F21" s="226">
        <v>45728.0</v>
      </c>
      <c r="G21" s="228">
        <f>IFERROR(__xludf.DUMMYFUNCTION("SUM(FILTER(C:C,B:B=F21,A:A=E21))"),8.0)</f>
        <v>8</v>
      </c>
      <c r="I21" s="225" t="s">
        <v>800</v>
      </c>
      <c r="J21" s="226">
        <v>45750.0</v>
      </c>
      <c r="K21" s="228">
        <v>9.0</v>
      </c>
    </row>
    <row r="22">
      <c r="A22" s="105" t="s">
        <v>798</v>
      </c>
      <c r="B22" s="107">
        <v>45729.0</v>
      </c>
      <c r="C22" s="227">
        <v>8.0</v>
      </c>
      <c r="E22" s="225" t="s">
        <v>798</v>
      </c>
      <c r="F22" s="226">
        <v>45729.0</v>
      </c>
      <c r="G22" s="228">
        <f>IFERROR(__xludf.DUMMYFUNCTION("SUM(FILTER(C:C,B:B=F22,A:A=E22))"),8.0)</f>
        <v>8</v>
      </c>
      <c r="I22" s="225" t="s">
        <v>796</v>
      </c>
      <c r="J22" s="226">
        <v>45750.0</v>
      </c>
      <c r="K22" s="228">
        <v>9.0</v>
      </c>
    </row>
    <row r="23">
      <c r="A23" s="105" t="s">
        <v>798</v>
      </c>
      <c r="B23" s="107">
        <v>45730.0</v>
      </c>
      <c r="C23" s="227">
        <v>8.0</v>
      </c>
      <c r="E23" s="225" t="s">
        <v>798</v>
      </c>
      <c r="F23" s="226">
        <v>45730.0</v>
      </c>
      <c r="G23" s="228">
        <f>IFERROR(__xludf.DUMMYFUNCTION("SUM(FILTER(C:C,B:B=F23,A:A=E23))"),8.0)</f>
        <v>8</v>
      </c>
      <c r="I23" s="225" t="s">
        <v>796</v>
      </c>
      <c r="J23" s="226">
        <v>45751.0</v>
      </c>
      <c r="K23" s="228">
        <v>9.0</v>
      </c>
    </row>
    <row r="24">
      <c r="A24" s="105" t="s">
        <v>798</v>
      </c>
      <c r="B24" s="107">
        <v>45733.0</v>
      </c>
      <c r="C24" s="227">
        <v>8.0</v>
      </c>
      <c r="E24" s="225" t="s">
        <v>798</v>
      </c>
      <c r="F24" s="226">
        <v>45733.0</v>
      </c>
      <c r="G24" s="228">
        <f>IFERROR(__xludf.DUMMYFUNCTION("SUM(FILTER(C:C,B:B=F24,A:A=E24))"),8.0)</f>
        <v>8</v>
      </c>
      <c r="I24" s="225" t="s">
        <v>800</v>
      </c>
      <c r="J24" s="226">
        <v>45751.0</v>
      </c>
      <c r="K24" s="228">
        <v>9.0</v>
      </c>
    </row>
    <row r="25">
      <c r="A25" s="105" t="s">
        <v>798</v>
      </c>
      <c r="B25" s="107">
        <v>45734.0</v>
      </c>
      <c r="C25" s="227">
        <v>8.0</v>
      </c>
      <c r="E25" s="225" t="s">
        <v>798</v>
      </c>
      <c r="F25" s="226">
        <v>45734.0</v>
      </c>
      <c r="G25" s="228">
        <f>IFERROR(__xludf.DUMMYFUNCTION("SUM(FILTER(C:C,B:B=F25,A:A=E25))"),8.0)</f>
        <v>8</v>
      </c>
      <c r="I25" s="225" t="s">
        <v>796</v>
      </c>
      <c r="J25" s="226">
        <v>45756.0</v>
      </c>
      <c r="K25" s="228">
        <v>9.0</v>
      </c>
    </row>
    <row r="26">
      <c r="A26" s="105" t="s">
        <v>798</v>
      </c>
      <c r="B26" s="107">
        <v>45735.0</v>
      </c>
      <c r="C26" s="227">
        <v>8.0</v>
      </c>
      <c r="E26" s="225" t="s">
        <v>798</v>
      </c>
      <c r="F26" s="226">
        <v>45735.0</v>
      </c>
      <c r="G26" s="228">
        <f>IFERROR(__xludf.DUMMYFUNCTION("SUM(FILTER(C:C,B:B=F26,A:A=E26))"),8.0)</f>
        <v>8</v>
      </c>
      <c r="I26" s="225" t="s">
        <v>800</v>
      </c>
      <c r="J26" s="226">
        <v>45758.0</v>
      </c>
      <c r="K26" s="228">
        <v>9.0</v>
      </c>
    </row>
    <row r="27">
      <c r="A27" s="105" t="s">
        <v>798</v>
      </c>
      <c r="B27" s="107">
        <v>45736.0</v>
      </c>
      <c r="C27" s="227">
        <v>8.0</v>
      </c>
      <c r="E27" s="225" t="s">
        <v>798</v>
      </c>
      <c r="F27" s="226">
        <v>45736.0</v>
      </c>
      <c r="G27" s="228">
        <f>IFERROR(__xludf.DUMMYFUNCTION("SUM(FILTER(C:C,B:B=F27,A:A=E27))"),8.0)</f>
        <v>8</v>
      </c>
      <c r="I27" s="225" t="s">
        <v>796</v>
      </c>
      <c r="J27" s="226">
        <v>45762.0</v>
      </c>
      <c r="K27" s="228">
        <v>9.0</v>
      </c>
    </row>
    <row r="28">
      <c r="A28" s="105" t="s">
        <v>798</v>
      </c>
      <c r="B28" s="107">
        <v>45737.0</v>
      </c>
      <c r="C28" s="227">
        <v>8.0</v>
      </c>
      <c r="E28" s="225" t="s">
        <v>798</v>
      </c>
      <c r="F28" s="226">
        <v>45737.0</v>
      </c>
      <c r="G28" s="228">
        <f>IFERROR(__xludf.DUMMYFUNCTION("SUM(FILTER(C:C,B:B=F28,A:A=E28))"),8.0)</f>
        <v>8</v>
      </c>
      <c r="I28" s="225" t="s">
        <v>796</v>
      </c>
      <c r="J28" s="226">
        <v>45755.0</v>
      </c>
      <c r="K28" s="228">
        <v>9.0</v>
      </c>
    </row>
    <row r="29">
      <c r="A29" s="105" t="s">
        <v>795</v>
      </c>
      <c r="B29" s="107">
        <v>45686.0</v>
      </c>
      <c r="C29" s="227">
        <v>6.0</v>
      </c>
      <c r="E29" s="225" t="s">
        <v>795</v>
      </c>
      <c r="F29" s="226">
        <v>45686.0</v>
      </c>
      <c r="G29" s="228">
        <f>IFERROR(__xludf.DUMMYFUNCTION("SUM(FILTER(C:C,B:B=F29,A:A=E29))"),6.0)</f>
        <v>6</v>
      </c>
      <c r="I29" s="225" t="s">
        <v>796</v>
      </c>
      <c r="J29" s="226">
        <v>45757.0</v>
      </c>
      <c r="K29" s="228">
        <v>9.0</v>
      </c>
    </row>
    <row r="30">
      <c r="A30" s="105" t="s">
        <v>795</v>
      </c>
      <c r="B30" s="107">
        <v>45687.0</v>
      </c>
      <c r="C30" s="227">
        <v>3.0</v>
      </c>
      <c r="E30" s="225" t="s">
        <v>795</v>
      </c>
      <c r="F30" s="226">
        <v>45687.0</v>
      </c>
      <c r="G30" s="228">
        <f>IFERROR(__xludf.DUMMYFUNCTION("SUM(FILTER(C:C,B:B=F30,A:A=E30))"),3.0)</f>
        <v>3</v>
      </c>
      <c r="I30" s="225" t="s">
        <v>800</v>
      </c>
      <c r="J30" s="226">
        <v>45757.0</v>
      </c>
      <c r="K30" s="228">
        <v>9.0</v>
      </c>
    </row>
    <row r="31">
      <c r="A31" s="105" t="s">
        <v>795</v>
      </c>
      <c r="B31" s="107">
        <v>45688.0</v>
      </c>
      <c r="C31" s="227">
        <v>6.0</v>
      </c>
      <c r="E31" s="225" t="s">
        <v>795</v>
      </c>
      <c r="F31" s="226">
        <v>45688.0</v>
      </c>
      <c r="G31" s="228">
        <f>IFERROR(__xludf.DUMMYFUNCTION("SUM(FILTER(C:C,B:B=F31,A:A=E31))"),6.0)</f>
        <v>6</v>
      </c>
      <c r="I31" s="225" t="s">
        <v>800</v>
      </c>
      <c r="J31" s="226">
        <v>45761.0</v>
      </c>
      <c r="K31" s="228">
        <v>9.0</v>
      </c>
    </row>
    <row r="32">
      <c r="A32" s="105" t="s">
        <v>801</v>
      </c>
      <c r="B32" s="107">
        <v>45688.0</v>
      </c>
      <c r="C32" s="227">
        <v>2.0</v>
      </c>
      <c r="E32" s="225" t="s">
        <v>801</v>
      </c>
      <c r="F32" s="226">
        <v>45688.0</v>
      </c>
      <c r="G32" s="228">
        <f>IFERROR(__xludf.DUMMYFUNCTION("SUM(FILTER(C:C,B:B=F32,A:A=E32))"),2.0)</f>
        <v>2</v>
      </c>
      <c r="I32" s="225" t="s">
        <v>796</v>
      </c>
      <c r="J32" s="226">
        <v>45761.0</v>
      </c>
      <c r="K32" s="228">
        <v>9.0</v>
      </c>
    </row>
    <row r="33">
      <c r="A33" s="105" t="s">
        <v>801</v>
      </c>
      <c r="B33" s="107">
        <v>45691.0</v>
      </c>
      <c r="C33" s="227">
        <v>3.0</v>
      </c>
      <c r="E33" s="225" t="s">
        <v>801</v>
      </c>
      <c r="F33" s="226">
        <v>45691.0</v>
      </c>
      <c r="G33" s="228">
        <f>IFERROR(__xludf.DUMMYFUNCTION("SUM(FILTER(C:C,B:B=F33,A:A=E33))"),3.0)</f>
        <v>3</v>
      </c>
      <c r="I33" s="225" t="s">
        <v>800</v>
      </c>
      <c r="J33" s="226">
        <v>45764.0</v>
      </c>
      <c r="K33" s="228">
        <v>9.0</v>
      </c>
    </row>
    <row r="34">
      <c r="A34" s="105" t="s">
        <v>795</v>
      </c>
      <c r="B34" s="107">
        <v>45691.0</v>
      </c>
      <c r="C34" s="227">
        <v>6.0</v>
      </c>
      <c r="E34" s="225" t="s">
        <v>795</v>
      </c>
      <c r="F34" s="226">
        <v>45691.0</v>
      </c>
      <c r="G34" s="228">
        <f>IFERROR(__xludf.DUMMYFUNCTION("SUM(FILTER(C:C,B:B=F34,A:A=E34))"),6.0)</f>
        <v>6</v>
      </c>
      <c r="I34" s="225" t="s">
        <v>800</v>
      </c>
      <c r="J34" s="226">
        <v>45765.0</v>
      </c>
      <c r="K34" s="228">
        <v>9.0</v>
      </c>
    </row>
    <row r="35">
      <c r="A35" s="105" t="s">
        <v>797</v>
      </c>
      <c r="B35" s="107">
        <v>45691.0</v>
      </c>
      <c r="C35" s="227">
        <v>7.0</v>
      </c>
      <c r="E35" s="225" t="s">
        <v>797</v>
      </c>
      <c r="F35" s="226">
        <v>45691.0</v>
      </c>
      <c r="G35" s="228">
        <f>IFERROR(__xludf.DUMMYFUNCTION("SUM(FILTER(C:C,B:B=F35,A:A=E35))"),14.0)</f>
        <v>14</v>
      </c>
      <c r="I35" s="225" t="s">
        <v>796</v>
      </c>
      <c r="J35" s="226">
        <v>45765.0</v>
      </c>
      <c r="K35" s="228">
        <v>9.0</v>
      </c>
    </row>
    <row r="36">
      <c r="A36" s="105" t="s">
        <v>797</v>
      </c>
      <c r="B36" s="107">
        <v>45691.0</v>
      </c>
      <c r="C36" s="227">
        <v>7.0</v>
      </c>
      <c r="E36" s="225" t="s">
        <v>797</v>
      </c>
      <c r="F36" s="226">
        <v>45692.0</v>
      </c>
      <c r="G36" s="228">
        <f>IFERROR(__xludf.DUMMYFUNCTION("SUM(FILTER(C:C,B:B=F36,A:A=E36))"),6.0)</f>
        <v>6</v>
      </c>
      <c r="I36" s="225" t="s">
        <v>796</v>
      </c>
      <c r="J36" s="226">
        <v>45770.0</v>
      </c>
      <c r="K36" s="228">
        <v>9.0</v>
      </c>
    </row>
    <row r="37">
      <c r="A37" s="105" t="s">
        <v>797</v>
      </c>
      <c r="B37" s="107">
        <v>45692.0</v>
      </c>
      <c r="C37" s="227">
        <v>6.0</v>
      </c>
      <c r="E37" s="225" t="s">
        <v>795</v>
      </c>
      <c r="F37" s="226">
        <v>45692.0</v>
      </c>
      <c r="G37" s="228">
        <f>IFERROR(__xludf.DUMMYFUNCTION("SUM(FILTER(C:C,B:B=F37,A:A=E37))"),4.0)</f>
        <v>4</v>
      </c>
      <c r="I37" s="225" t="s">
        <v>796</v>
      </c>
      <c r="J37" s="226">
        <v>45771.0</v>
      </c>
      <c r="K37" s="228">
        <v>9.0</v>
      </c>
    </row>
    <row r="38">
      <c r="A38" s="105" t="s">
        <v>795</v>
      </c>
      <c r="B38" s="107">
        <v>45692.0</v>
      </c>
      <c r="C38" s="227">
        <v>4.0</v>
      </c>
      <c r="E38" s="225" t="s">
        <v>801</v>
      </c>
      <c r="F38" s="226">
        <v>45692.0</v>
      </c>
      <c r="G38" s="228">
        <f>IFERROR(__xludf.DUMMYFUNCTION("SUM(FILTER(C:C,B:B=F38,A:A=E38))"),2.0)</f>
        <v>2</v>
      </c>
      <c r="I38" s="225" t="s">
        <v>800</v>
      </c>
      <c r="J38" s="226">
        <v>45771.0</v>
      </c>
      <c r="K38" s="228">
        <v>9.0</v>
      </c>
    </row>
    <row r="39">
      <c r="A39" s="105" t="s">
        <v>801</v>
      </c>
      <c r="B39" s="107">
        <v>45692.0</v>
      </c>
      <c r="C39" s="227">
        <v>2.0</v>
      </c>
      <c r="E39" s="225" t="s">
        <v>801</v>
      </c>
      <c r="F39" s="226">
        <v>45693.0</v>
      </c>
      <c r="G39" s="228">
        <f>IFERROR(__xludf.DUMMYFUNCTION("SUM(FILTER(C:C,B:B=F39,A:A=E39))"),3.0)</f>
        <v>3</v>
      </c>
      <c r="I39" s="225" t="s">
        <v>796</v>
      </c>
      <c r="J39" s="226">
        <v>45772.0</v>
      </c>
      <c r="K39" s="228">
        <v>9.0</v>
      </c>
    </row>
    <row r="40">
      <c r="A40" s="105" t="s">
        <v>801</v>
      </c>
      <c r="B40" s="107">
        <v>45693.0</v>
      </c>
      <c r="C40" s="227">
        <v>3.0</v>
      </c>
      <c r="E40" s="225" t="s">
        <v>795</v>
      </c>
      <c r="F40" s="226">
        <v>45693.0</v>
      </c>
      <c r="G40" s="228">
        <f>IFERROR(__xludf.DUMMYFUNCTION("SUM(FILTER(C:C,B:B=F40,A:A=E40))"),6.0)</f>
        <v>6</v>
      </c>
      <c r="I40" s="225" t="s">
        <v>800</v>
      </c>
      <c r="J40" s="226">
        <v>45775.0</v>
      </c>
      <c r="K40" s="228">
        <v>9.0</v>
      </c>
    </row>
    <row r="41">
      <c r="A41" s="105" t="s">
        <v>795</v>
      </c>
      <c r="B41" s="107">
        <v>45693.0</v>
      </c>
      <c r="C41" s="227">
        <v>6.0</v>
      </c>
      <c r="E41" s="225" t="s">
        <v>797</v>
      </c>
      <c r="F41" s="226">
        <v>45693.0</v>
      </c>
      <c r="G41" s="228">
        <f>IFERROR(__xludf.DUMMYFUNCTION("SUM(FILTER(C:C,B:B=F41,A:A=E41))"),7.0)</f>
        <v>7</v>
      </c>
      <c r="I41" s="225" t="s">
        <v>796</v>
      </c>
      <c r="J41" s="226">
        <v>45775.0</v>
      </c>
      <c r="K41" s="228">
        <v>9.0</v>
      </c>
    </row>
    <row r="42">
      <c r="A42" s="105" t="s">
        <v>797</v>
      </c>
      <c r="B42" s="107">
        <v>45693.0</v>
      </c>
      <c r="C42" s="227">
        <v>7.0</v>
      </c>
      <c r="E42" s="225" t="s">
        <v>797</v>
      </c>
      <c r="F42" s="226">
        <v>45694.0</v>
      </c>
      <c r="G42" s="228">
        <f>IFERROR(__xludf.DUMMYFUNCTION("SUM(FILTER(C:C,B:B=F42,A:A=E42))"),7.0)</f>
        <v>7</v>
      </c>
      <c r="I42" s="225" t="s">
        <v>796</v>
      </c>
      <c r="J42" s="226">
        <v>45776.0</v>
      </c>
      <c r="K42" s="228">
        <v>9.0</v>
      </c>
    </row>
    <row r="43">
      <c r="A43" s="105" t="s">
        <v>797</v>
      </c>
      <c r="B43" s="107">
        <v>45694.0</v>
      </c>
      <c r="C43" s="227">
        <v>7.0</v>
      </c>
      <c r="E43" s="225" t="s">
        <v>795</v>
      </c>
      <c r="F43" s="226">
        <v>45694.0</v>
      </c>
      <c r="G43" s="228">
        <f>IFERROR(__xludf.DUMMYFUNCTION("SUM(FILTER(C:C,B:B=F43,A:A=E43))"),5.0)</f>
        <v>5</v>
      </c>
      <c r="I43" s="225" t="s">
        <v>800</v>
      </c>
      <c r="J43" s="226">
        <v>45776.0</v>
      </c>
      <c r="K43" s="228">
        <v>9.0</v>
      </c>
    </row>
    <row r="44">
      <c r="A44" s="105" t="s">
        <v>795</v>
      </c>
      <c r="B44" s="107">
        <v>45694.0</v>
      </c>
      <c r="C44" s="227">
        <v>5.0</v>
      </c>
      <c r="E44" s="225" t="s">
        <v>801</v>
      </c>
      <c r="F44" s="226">
        <v>45694.0</v>
      </c>
      <c r="G44" s="228">
        <f>IFERROR(__xludf.DUMMYFUNCTION("SUM(FILTER(C:C,B:B=F44,A:A=E44))"),1.0)</f>
        <v>1</v>
      </c>
      <c r="I44" s="225" t="s">
        <v>800</v>
      </c>
      <c r="J44" s="226">
        <v>45782.0</v>
      </c>
      <c r="K44" s="228">
        <v>9.0</v>
      </c>
    </row>
    <row r="45">
      <c r="A45" s="105" t="s">
        <v>801</v>
      </c>
      <c r="B45" s="107">
        <v>45694.0</v>
      </c>
      <c r="C45" s="227">
        <v>1.0</v>
      </c>
      <c r="E45" s="225" t="s">
        <v>795</v>
      </c>
      <c r="F45" s="226">
        <v>45695.0</v>
      </c>
      <c r="G45" s="228">
        <f>IFERROR(__xludf.DUMMYFUNCTION("SUM(FILTER(C:C,B:B=F45,A:A=E45))"),3.0)</f>
        <v>3</v>
      </c>
      <c r="I45" s="225" t="s">
        <v>800</v>
      </c>
      <c r="J45" s="226">
        <v>45783.0</v>
      </c>
      <c r="K45" s="228">
        <v>9.0</v>
      </c>
    </row>
    <row r="46">
      <c r="A46" s="105" t="s">
        <v>795</v>
      </c>
      <c r="B46" s="107">
        <v>45695.0</v>
      </c>
      <c r="C46" s="227">
        <v>3.0</v>
      </c>
      <c r="E46" s="225" t="s">
        <v>797</v>
      </c>
      <c r="F46" s="226">
        <v>45695.0</v>
      </c>
      <c r="G46" s="228">
        <f>IFERROR(__xludf.DUMMYFUNCTION("SUM(FILTER(C:C,B:B=F46,A:A=E46))"),6.0)</f>
        <v>6</v>
      </c>
      <c r="I46" s="225" t="s">
        <v>800</v>
      </c>
      <c r="J46" s="226">
        <v>45784.0</v>
      </c>
      <c r="K46" s="228">
        <v>9.0</v>
      </c>
    </row>
    <row r="47">
      <c r="A47" s="105" t="s">
        <v>797</v>
      </c>
      <c r="B47" s="107">
        <v>45695.0</v>
      </c>
      <c r="C47" s="227">
        <v>6.0</v>
      </c>
      <c r="E47" s="225" t="s">
        <v>797</v>
      </c>
      <c r="F47" s="226">
        <v>45698.0</v>
      </c>
      <c r="G47" s="228">
        <f>IFERROR(__xludf.DUMMYFUNCTION("SUM(FILTER(C:C,B:B=F47,A:A=E47))"),7.0)</f>
        <v>7</v>
      </c>
      <c r="I47" s="225" t="s">
        <v>800</v>
      </c>
      <c r="J47" s="226">
        <v>45791.0</v>
      </c>
      <c r="K47" s="228">
        <v>9.0</v>
      </c>
    </row>
    <row r="48">
      <c r="A48" s="105" t="s">
        <v>797</v>
      </c>
      <c r="B48" s="107">
        <v>45698.0</v>
      </c>
      <c r="C48" s="227">
        <v>7.0</v>
      </c>
      <c r="E48" s="225" t="s">
        <v>797</v>
      </c>
      <c r="F48" s="226">
        <v>45699.0</v>
      </c>
      <c r="G48" s="228">
        <f>IFERROR(__xludf.DUMMYFUNCTION("SUM(FILTER(C:C,B:B=F48,A:A=E48))"),7.0)</f>
        <v>7</v>
      </c>
      <c r="I48" s="225" t="s">
        <v>796</v>
      </c>
      <c r="J48" s="226">
        <v>45797.0</v>
      </c>
      <c r="K48" s="228">
        <v>9.0</v>
      </c>
    </row>
    <row r="49">
      <c r="A49" s="105" t="s">
        <v>797</v>
      </c>
      <c r="B49" s="107">
        <v>45699.0</v>
      </c>
      <c r="C49" s="227">
        <v>7.0</v>
      </c>
      <c r="E49" s="225" t="s">
        <v>797</v>
      </c>
      <c r="F49" s="226">
        <v>45700.0</v>
      </c>
      <c r="G49" s="228">
        <f>IFERROR(__xludf.DUMMYFUNCTION("SUM(FILTER(C:C,B:B=F49,A:A=E49))"),7.0)</f>
        <v>7</v>
      </c>
      <c r="I49" s="225" t="s">
        <v>800</v>
      </c>
      <c r="J49" s="226">
        <v>45798.0</v>
      </c>
      <c r="K49" s="228">
        <v>9.0</v>
      </c>
    </row>
    <row r="50">
      <c r="A50" s="105" t="s">
        <v>797</v>
      </c>
      <c r="B50" s="107">
        <v>45700.0</v>
      </c>
      <c r="C50" s="227">
        <v>7.0</v>
      </c>
      <c r="E50" s="225" t="s">
        <v>797</v>
      </c>
      <c r="F50" s="226">
        <v>45712.0</v>
      </c>
      <c r="G50" s="228">
        <f>IFERROR(__xludf.DUMMYFUNCTION("SUM(FILTER(C:C,B:B=F50,A:A=E50))"),8.0)</f>
        <v>8</v>
      </c>
      <c r="I50" s="225" t="s">
        <v>800</v>
      </c>
      <c r="J50" s="226">
        <v>45799.0</v>
      </c>
      <c r="K50" s="228">
        <v>9.0</v>
      </c>
    </row>
    <row r="51">
      <c r="A51" s="105" t="s">
        <v>797</v>
      </c>
      <c r="B51" s="107">
        <v>45712.0</v>
      </c>
      <c r="C51" s="227">
        <v>8.0</v>
      </c>
      <c r="E51" s="225" t="s">
        <v>797</v>
      </c>
      <c r="F51" s="226">
        <v>45713.0</v>
      </c>
      <c r="G51" s="228">
        <f>IFERROR(__xludf.DUMMYFUNCTION("SUM(FILTER(C:C,B:B=F51,A:A=E51))"),7.0)</f>
        <v>7</v>
      </c>
      <c r="I51" s="225" t="s">
        <v>800</v>
      </c>
      <c r="J51" s="226">
        <v>45804.0</v>
      </c>
      <c r="K51" s="228">
        <v>9.0</v>
      </c>
    </row>
    <row r="52">
      <c r="A52" s="105" t="s">
        <v>797</v>
      </c>
      <c r="B52" s="107">
        <v>45713.0</v>
      </c>
      <c r="C52" s="227">
        <v>7.0</v>
      </c>
      <c r="E52" s="225" t="s">
        <v>797</v>
      </c>
      <c r="F52" s="226">
        <v>45714.0</v>
      </c>
      <c r="G52" s="228">
        <f>IFERROR(__xludf.DUMMYFUNCTION("SUM(FILTER(C:C,B:B=F52,A:A=E52))"),8.0)</f>
        <v>8</v>
      </c>
      <c r="I52" s="225" t="s">
        <v>800</v>
      </c>
      <c r="J52" s="226">
        <v>45805.0</v>
      </c>
      <c r="K52" s="228">
        <v>9.0</v>
      </c>
    </row>
    <row r="53">
      <c r="A53" s="105" t="s">
        <v>797</v>
      </c>
      <c r="B53" s="107">
        <v>45714.0</v>
      </c>
      <c r="C53" s="227">
        <v>8.0</v>
      </c>
      <c r="E53" s="225" t="s">
        <v>797</v>
      </c>
      <c r="F53" s="226">
        <v>45715.0</v>
      </c>
      <c r="G53" s="228">
        <f>IFERROR(__xludf.DUMMYFUNCTION("SUM(FILTER(C:C,B:B=F53,A:A=E53))"),8.0)</f>
        <v>8</v>
      </c>
      <c r="I53" s="225" t="s">
        <v>800</v>
      </c>
      <c r="J53" s="226">
        <v>45821.0</v>
      </c>
      <c r="K53" s="228">
        <v>9.0</v>
      </c>
    </row>
    <row r="54">
      <c r="A54" s="105" t="s">
        <v>797</v>
      </c>
      <c r="B54" s="107">
        <v>45715.0</v>
      </c>
      <c r="C54" s="227">
        <v>8.0</v>
      </c>
      <c r="E54" s="225" t="s">
        <v>797</v>
      </c>
      <c r="F54" s="226">
        <v>45716.0</v>
      </c>
      <c r="G54" s="228">
        <f>IFERROR(__xludf.DUMMYFUNCTION("SUM(FILTER(C:C,B:B=F54,A:A=E54))"),4.0)</f>
        <v>4</v>
      </c>
      <c r="I54" s="225" t="s">
        <v>796</v>
      </c>
      <c r="J54" s="226">
        <v>45830.0</v>
      </c>
      <c r="K54" s="228">
        <v>9.0</v>
      </c>
    </row>
    <row r="55">
      <c r="A55" s="105" t="s">
        <v>797</v>
      </c>
      <c r="B55" s="107">
        <v>45716.0</v>
      </c>
      <c r="C55" s="227">
        <v>4.0</v>
      </c>
      <c r="E55" s="225" t="s">
        <v>795</v>
      </c>
      <c r="F55" s="226">
        <v>45722.0</v>
      </c>
      <c r="G55" s="228">
        <f>IFERROR(__xludf.DUMMYFUNCTION("SUM(FILTER(C:C,B:B=F55,A:A=E55))"),5.0)</f>
        <v>5</v>
      </c>
      <c r="I55" s="225" t="s">
        <v>796</v>
      </c>
      <c r="J55" s="226">
        <v>45832.0</v>
      </c>
      <c r="K55" s="228">
        <v>9.0</v>
      </c>
    </row>
    <row r="56">
      <c r="A56" s="105" t="s">
        <v>795</v>
      </c>
      <c r="B56" s="107">
        <v>45722.0</v>
      </c>
      <c r="C56" s="227">
        <v>5.0</v>
      </c>
      <c r="E56" s="225" t="s">
        <v>795</v>
      </c>
      <c r="F56" s="226">
        <v>45723.0</v>
      </c>
      <c r="G56" s="228">
        <f>IFERROR(__xludf.DUMMYFUNCTION("SUM(FILTER(C:C,B:B=F56,A:A=E56))"),6.0)</f>
        <v>6</v>
      </c>
      <c r="I56" s="225" t="s">
        <v>798</v>
      </c>
      <c r="J56" s="226">
        <v>45694.0</v>
      </c>
      <c r="K56" s="228">
        <v>8.0</v>
      </c>
    </row>
    <row r="57">
      <c r="A57" s="105" t="s">
        <v>795</v>
      </c>
      <c r="B57" s="107">
        <v>45723.0</v>
      </c>
      <c r="C57" s="227">
        <v>6.0</v>
      </c>
      <c r="E57" s="225" t="s">
        <v>795</v>
      </c>
      <c r="F57" s="226">
        <v>45726.0</v>
      </c>
      <c r="G57" s="228">
        <f>IFERROR(__xludf.DUMMYFUNCTION("SUM(FILTER(C:C,B:B=F57,A:A=E57))"),5.0)</f>
        <v>5</v>
      </c>
      <c r="I57" s="225" t="s">
        <v>798</v>
      </c>
      <c r="J57" s="226">
        <v>45698.0</v>
      </c>
      <c r="K57" s="228">
        <v>8.0</v>
      </c>
    </row>
    <row r="58">
      <c r="A58" s="105" t="s">
        <v>795</v>
      </c>
      <c r="B58" s="107">
        <v>45726.0</v>
      </c>
      <c r="C58" s="227">
        <v>5.0</v>
      </c>
      <c r="E58" s="225" t="s">
        <v>795</v>
      </c>
      <c r="F58" s="226">
        <v>45727.0</v>
      </c>
      <c r="G58" s="228">
        <f>IFERROR(__xludf.DUMMYFUNCTION("SUM(FILTER(C:C,B:B=F58,A:A=E58))"),1.0)</f>
        <v>1</v>
      </c>
      <c r="I58" s="225" t="s">
        <v>798</v>
      </c>
      <c r="J58" s="226">
        <v>45705.0</v>
      </c>
      <c r="K58" s="228">
        <v>8.0</v>
      </c>
    </row>
    <row r="59">
      <c r="A59" s="105" t="s">
        <v>795</v>
      </c>
      <c r="B59" s="107">
        <v>45727.0</v>
      </c>
      <c r="C59" s="227">
        <v>1.0</v>
      </c>
      <c r="E59" s="225" t="s">
        <v>801</v>
      </c>
      <c r="F59" s="226">
        <v>45727.0</v>
      </c>
      <c r="G59" s="228">
        <f>IFERROR(__xludf.DUMMYFUNCTION("SUM(FILTER(C:C,B:B=F59,A:A=E59))"),2.0)</f>
        <v>2</v>
      </c>
      <c r="I59" s="225" t="s">
        <v>798</v>
      </c>
      <c r="J59" s="226">
        <v>45707.0</v>
      </c>
      <c r="K59" s="228">
        <v>8.0</v>
      </c>
    </row>
    <row r="60">
      <c r="A60" s="105" t="s">
        <v>801</v>
      </c>
      <c r="B60" s="107">
        <v>45727.0</v>
      </c>
      <c r="C60" s="227">
        <v>2.0</v>
      </c>
      <c r="E60" s="225" t="s">
        <v>797</v>
      </c>
      <c r="F60" s="226">
        <v>45678.0</v>
      </c>
      <c r="G60" s="228">
        <f>IFERROR(__xludf.DUMMYFUNCTION("SUM(FILTER(C:C,B:B=F60,A:A=E60))"),8.0)</f>
        <v>8</v>
      </c>
      <c r="I60" s="225" t="s">
        <v>798</v>
      </c>
      <c r="J60" s="226">
        <v>45708.0</v>
      </c>
      <c r="K60" s="228">
        <v>8.0</v>
      </c>
    </row>
    <row r="61">
      <c r="A61" s="105" t="s">
        <v>797</v>
      </c>
      <c r="B61" s="107">
        <v>45678.0</v>
      </c>
      <c r="C61" s="227">
        <v>8.0</v>
      </c>
      <c r="E61" s="225" t="s">
        <v>797</v>
      </c>
      <c r="F61" s="226">
        <v>45679.0</v>
      </c>
      <c r="G61" s="228">
        <f>IFERROR(__xludf.DUMMYFUNCTION("SUM(FILTER(C:C,B:B=F61,A:A=E61))"),8.0)</f>
        <v>8</v>
      </c>
      <c r="I61" s="225" t="s">
        <v>798</v>
      </c>
      <c r="J61" s="226">
        <v>45713.0</v>
      </c>
      <c r="K61" s="228">
        <v>8.0</v>
      </c>
    </row>
    <row r="62">
      <c r="A62" s="105" t="s">
        <v>797</v>
      </c>
      <c r="B62" s="107">
        <v>45679.0</v>
      </c>
      <c r="C62" s="227">
        <v>8.0</v>
      </c>
      <c r="E62" s="225" t="s">
        <v>797</v>
      </c>
      <c r="F62" s="226">
        <v>45680.0</v>
      </c>
      <c r="G62" s="228">
        <f>IFERROR(__xludf.DUMMYFUNCTION("SUM(FILTER(C:C,B:B=F62,A:A=E62))"),8.0)</f>
        <v>8</v>
      </c>
      <c r="I62" s="225" t="s">
        <v>798</v>
      </c>
      <c r="J62" s="226">
        <v>45716.0</v>
      </c>
      <c r="K62" s="228">
        <v>8.0</v>
      </c>
    </row>
    <row r="63">
      <c r="A63" s="105" t="s">
        <v>797</v>
      </c>
      <c r="B63" s="107">
        <v>45680.0</v>
      </c>
      <c r="C63" s="227">
        <v>8.0</v>
      </c>
      <c r="E63" s="225" t="s">
        <v>797</v>
      </c>
      <c r="F63" s="226">
        <v>45681.0</v>
      </c>
      <c r="G63" s="228">
        <f>IFERROR(__xludf.DUMMYFUNCTION("SUM(FILTER(C:C,B:B=F63,A:A=E63))"),5.0)</f>
        <v>5</v>
      </c>
      <c r="I63" s="225" t="s">
        <v>798</v>
      </c>
      <c r="J63" s="226">
        <v>45726.0</v>
      </c>
      <c r="K63" s="228">
        <v>8.0</v>
      </c>
    </row>
    <row r="64">
      <c r="A64" s="105" t="s">
        <v>797</v>
      </c>
      <c r="B64" s="107">
        <v>45681.0</v>
      </c>
      <c r="C64" s="227">
        <v>5.0</v>
      </c>
      <c r="E64" s="225" t="s">
        <v>797</v>
      </c>
      <c r="F64" s="226">
        <v>45684.0</v>
      </c>
      <c r="G64" s="228">
        <f>IFERROR(__xludf.DUMMYFUNCTION("SUM(FILTER(C:C,B:B=F64,A:A=E64))"),6.0)</f>
        <v>6</v>
      </c>
      <c r="I64" s="225" t="s">
        <v>798</v>
      </c>
      <c r="J64" s="226">
        <v>45727.0</v>
      </c>
      <c r="K64" s="228">
        <v>8.0</v>
      </c>
    </row>
    <row r="65">
      <c r="A65" s="105" t="s">
        <v>797</v>
      </c>
      <c r="B65" s="107">
        <v>45684.0</v>
      </c>
      <c r="C65" s="227">
        <v>6.0</v>
      </c>
      <c r="E65" s="225" t="s">
        <v>797</v>
      </c>
      <c r="F65" s="226">
        <v>45685.0</v>
      </c>
      <c r="G65" s="228">
        <f>IFERROR(__xludf.DUMMYFUNCTION("SUM(FILTER(C:C,B:B=F65,A:A=E65))"),6.0)</f>
        <v>6</v>
      </c>
      <c r="I65" s="225" t="s">
        <v>798</v>
      </c>
      <c r="J65" s="226">
        <v>45728.0</v>
      </c>
      <c r="K65" s="228">
        <v>8.0</v>
      </c>
    </row>
    <row r="66">
      <c r="A66" s="105" t="s">
        <v>797</v>
      </c>
      <c r="B66" s="107">
        <v>45685.0</v>
      </c>
      <c r="C66" s="227">
        <v>6.0</v>
      </c>
      <c r="E66" s="225" t="s">
        <v>797</v>
      </c>
      <c r="F66" s="226">
        <v>45686.0</v>
      </c>
      <c r="G66" s="228">
        <f>IFERROR(__xludf.DUMMYFUNCTION("SUM(FILTER(C:C,B:B=F66,A:A=E66))"),5.0)</f>
        <v>5</v>
      </c>
      <c r="I66" s="225" t="s">
        <v>798</v>
      </c>
      <c r="J66" s="226">
        <v>45729.0</v>
      </c>
      <c r="K66" s="228">
        <v>8.0</v>
      </c>
    </row>
    <row r="67">
      <c r="A67" s="105" t="s">
        <v>797</v>
      </c>
      <c r="B67" s="107">
        <v>45686.0</v>
      </c>
      <c r="C67" s="227">
        <v>5.0</v>
      </c>
      <c r="E67" s="225" t="s">
        <v>797</v>
      </c>
      <c r="F67" s="226">
        <v>45687.0</v>
      </c>
      <c r="G67" s="228">
        <f>IFERROR(__xludf.DUMMYFUNCTION("SUM(FILTER(C:C,B:B=F67,A:A=E67))"),6.0)</f>
        <v>6</v>
      </c>
      <c r="I67" s="225" t="s">
        <v>798</v>
      </c>
      <c r="J67" s="226">
        <v>45730.0</v>
      </c>
      <c r="K67" s="228">
        <v>8.0</v>
      </c>
    </row>
    <row r="68">
      <c r="A68" s="105" t="s">
        <v>797</v>
      </c>
      <c r="B68" s="107">
        <v>45687.0</v>
      </c>
      <c r="C68" s="227">
        <v>6.0</v>
      </c>
      <c r="E68" s="225" t="s">
        <v>797</v>
      </c>
      <c r="F68" s="226">
        <v>45688.0</v>
      </c>
      <c r="G68" s="228">
        <f>IFERROR(__xludf.DUMMYFUNCTION("SUM(FILTER(C:C,B:B=F68,A:A=E68))"),6.0)</f>
        <v>6</v>
      </c>
      <c r="I68" s="225" t="s">
        <v>798</v>
      </c>
      <c r="J68" s="226">
        <v>45733.0</v>
      </c>
      <c r="K68" s="228">
        <v>8.0</v>
      </c>
    </row>
    <row r="69">
      <c r="A69" s="105" t="s">
        <v>797</v>
      </c>
      <c r="B69" s="107">
        <v>45688.0</v>
      </c>
      <c r="C69" s="227">
        <v>6.0</v>
      </c>
      <c r="E69" s="225" t="s">
        <v>795</v>
      </c>
      <c r="F69" s="226">
        <v>45712.0</v>
      </c>
      <c r="G69" s="228">
        <f>IFERROR(__xludf.DUMMYFUNCTION("SUM(FILTER(C:C,B:B=F69,A:A=E69))"),6.0)</f>
        <v>6</v>
      </c>
      <c r="I69" s="225" t="s">
        <v>798</v>
      </c>
      <c r="J69" s="226">
        <v>45734.0</v>
      </c>
      <c r="K69" s="228">
        <v>8.0</v>
      </c>
    </row>
    <row r="70">
      <c r="A70" s="105" t="s">
        <v>795</v>
      </c>
      <c r="B70" s="107">
        <v>45712.0</v>
      </c>
      <c r="C70" s="227">
        <v>6.0</v>
      </c>
      <c r="E70" s="225" t="s">
        <v>795</v>
      </c>
      <c r="F70" s="226">
        <v>45713.0</v>
      </c>
      <c r="G70" s="228">
        <f>IFERROR(__xludf.DUMMYFUNCTION("SUM(FILTER(C:C,B:B=F70,A:A=E70))"),5.0)</f>
        <v>5</v>
      </c>
      <c r="I70" s="225" t="s">
        <v>798</v>
      </c>
      <c r="J70" s="226">
        <v>45735.0</v>
      </c>
      <c r="K70" s="228">
        <v>8.0</v>
      </c>
    </row>
    <row r="71">
      <c r="A71" s="105" t="s">
        <v>795</v>
      </c>
      <c r="B71" s="107">
        <v>45713.0</v>
      </c>
      <c r="C71" s="227">
        <v>5.0</v>
      </c>
      <c r="E71" s="225" t="s">
        <v>802</v>
      </c>
      <c r="F71" s="226">
        <v>45667.0</v>
      </c>
      <c r="G71" s="228">
        <f>IFERROR(__xludf.DUMMYFUNCTION("SUM(FILTER(C:C,B:B=F71,A:A=E71))"),1.0)</f>
        <v>1</v>
      </c>
      <c r="I71" s="225" t="s">
        <v>798</v>
      </c>
      <c r="J71" s="226">
        <v>45736.0</v>
      </c>
      <c r="K71" s="228">
        <v>8.0</v>
      </c>
    </row>
    <row r="72">
      <c r="A72" s="105" t="s">
        <v>802</v>
      </c>
      <c r="B72" s="107">
        <v>45667.0</v>
      </c>
      <c r="C72" s="227">
        <v>1.0</v>
      </c>
      <c r="E72" s="225" t="s">
        <v>803</v>
      </c>
      <c r="F72" s="226">
        <v>45700.0</v>
      </c>
      <c r="G72" s="228">
        <f>IFERROR(__xludf.DUMMYFUNCTION("SUM(FILTER(C:C,B:B=F72,A:A=E72))"),4.0)</f>
        <v>4</v>
      </c>
      <c r="I72" s="225" t="s">
        <v>798</v>
      </c>
      <c r="J72" s="226">
        <v>45737.0</v>
      </c>
      <c r="K72" s="228">
        <v>8.0</v>
      </c>
    </row>
    <row r="73">
      <c r="A73" s="105" t="s">
        <v>803</v>
      </c>
      <c r="B73" s="107">
        <v>45700.0</v>
      </c>
      <c r="C73" s="227">
        <v>4.0</v>
      </c>
      <c r="E73" s="225" t="s">
        <v>804</v>
      </c>
      <c r="F73" s="226">
        <v>45701.0</v>
      </c>
      <c r="G73" s="228">
        <f>IFERROR(__xludf.DUMMYFUNCTION("SUM(FILTER(C:C,B:B=F73,A:A=E73))"),4.0)</f>
        <v>4</v>
      </c>
      <c r="I73" s="225" t="s">
        <v>797</v>
      </c>
      <c r="J73" s="226">
        <v>45712.0</v>
      </c>
      <c r="K73" s="228">
        <v>8.0</v>
      </c>
    </row>
    <row r="74">
      <c r="A74" s="105" t="s">
        <v>804</v>
      </c>
      <c r="B74" s="107">
        <v>45701.0</v>
      </c>
      <c r="C74" s="227">
        <v>4.0</v>
      </c>
      <c r="E74" s="225" t="s">
        <v>804</v>
      </c>
      <c r="F74" s="226">
        <v>45702.0</v>
      </c>
      <c r="G74" s="228">
        <f>IFERROR(__xludf.DUMMYFUNCTION("SUM(FILTER(C:C,B:B=F74,A:A=E74))"),4.0)</f>
        <v>4</v>
      </c>
      <c r="I74" s="225" t="s">
        <v>797</v>
      </c>
      <c r="J74" s="226">
        <v>45714.0</v>
      </c>
      <c r="K74" s="228">
        <v>8.0</v>
      </c>
    </row>
    <row r="75">
      <c r="A75" s="105" t="s">
        <v>804</v>
      </c>
      <c r="B75" s="107">
        <v>45702.0</v>
      </c>
      <c r="C75" s="227">
        <v>4.0</v>
      </c>
      <c r="E75" s="225" t="s">
        <v>803</v>
      </c>
      <c r="F75" s="226">
        <v>45733.0</v>
      </c>
      <c r="G75" s="228">
        <f>IFERROR(__xludf.DUMMYFUNCTION("SUM(FILTER(C:C,B:B=F75,A:A=E75))"),2.0)</f>
        <v>2</v>
      </c>
      <c r="I75" s="225" t="s">
        <v>797</v>
      </c>
      <c r="J75" s="226">
        <v>45715.0</v>
      </c>
      <c r="K75" s="228">
        <v>8.0</v>
      </c>
    </row>
    <row r="76">
      <c r="A76" s="105" t="s">
        <v>803</v>
      </c>
      <c r="B76" s="107">
        <v>45733.0</v>
      </c>
      <c r="C76" s="227">
        <v>2.0</v>
      </c>
      <c r="E76" s="225" t="s">
        <v>805</v>
      </c>
      <c r="F76" s="226">
        <v>45698.0</v>
      </c>
      <c r="G76" s="228">
        <f>IFERROR(__xludf.DUMMYFUNCTION("SUM(FILTER(C:C,B:B=F76,A:A=E76))"),1.0)</f>
        <v>1</v>
      </c>
      <c r="I76" s="225" t="s">
        <v>797</v>
      </c>
      <c r="J76" s="226">
        <v>45678.0</v>
      </c>
      <c r="K76" s="228">
        <v>8.0</v>
      </c>
    </row>
    <row r="77">
      <c r="A77" s="105" t="s">
        <v>805</v>
      </c>
      <c r="B77" s="107">
        <v>45698.0</v>
      </c>
      <c r="C77" s="227">
        <v>1.0</v>
      </c>
      <c r="E77" s="225" t="s">
        <v>806</v>
      </c>
      <c r="F77" s="226">
        <v>45700.0</v>
      </c>
      <c r="G77" s="228">
        <f>IFERROR(__xludf.DUMMYFUNCTION("SUM(FILTER(C:C,B:B=F77,A:A=E77))"),2.0)</f>
        <v>2</v>
      </c>
      <c r="I77" s="225" t="s">
        <v>797</v>
      </c>
      <c r="J77" s="226">
        <v>45679.0</v>
      </c>
      <c r="K77" s="228">
        <v>8.0</v>
      </c>
    </row>
    <row r="78">
      <c r="A78" s="105" t="s">
        <v>806</v>
      </c>
      <c r="B78" s="107">
        <v>45700.0</v>
      </c>
      <c r="C78" s="227">
        <v>2.0</v>
      </c>
      <c r="E78" s="225" t="s">
        <v>806</v>
      </c>
      <c r="F78" s="226">
        <v>45728.0</v>
      </c>
      <c r="G78" s="228">
        <f>IFERROR(__xludf.DUMMYFUNCTION("SUM(FILTER(C:C,B:B=F78,A:A=E78))"),3.0)</f>
        <v>3</v>
      </c>
      <c r="I78" s="225" t="s">
        <v>797</v>
      </c>
      <c r="J78" s="226">
        <v>45680.0</v>
      </c>
      <c r="K78" s="228">
        <v>8.0</v>
      </c>
    </row>
    <row r="79">
      <c r="A79" s="105" t="s">
        <v>806</v>
      </c>
      <c r="B79" s="107">
        <v>45728.0</v>
      </c>
      <c r="C79" s="227">
        <v>3.0</v>
      </c>
      <c r="E79" s="225" t="s">
        <v>802</v>
      </c>
      <c r="F79" s="226">
        <v>45734.0</v>
      </c>
      <c r="G79" s="228">
        <f>IFERROR(__xludf.DUMMYFUNCTION("SUM(FILTER(C:C,B:B=F79,A:A=E79))"),1.0)</f>
        <v>1</v>
      </c>
      <c r="I79" s="225" t="s">
        <v>797</v>
      </c>
      <c r="J79" s="226">
        <v>45701.0</v>
      </c>
      <c r="K79" s="228">
        <v>8.0</v>
      </c>
    </row>
    <row r="80">
      <c r="A80" s="105" t="s">
        <v>802</v>
      </c>
      <c r="B80" s="107">
        <v>45734.0</v>
      </c>
      <c r="C80" s="227">
        <v>1.0</v>
      </c>
      <c r="E80" s="225" t="s">
        <v>804</v>
      </c>
      <c r="F80" s="226">
        <v>45741.0</v>
      </c>
      <c r="G80" s="228">
        <f>IFERROR(__xludf.DUMMYFUNCTION("SUM(FILTER(C:C,B:B=F80,A:A=E80))"),2.0)</f>
        <v>2</v>
      </c>
      <c r="I80" s="225" t="s">
        <v>797</v>
      </c>
      <c r="J80" s="226">
        <v>45705.0</v>
      </c>
      <c r="K80" s="228">
        <v>8.0</v>
      </c>
    </row>
    <row r="81">
      <c r="A81" s="105" t="s">
        <v>804</v>
      </c>
      <c r="B81" s="107">
        <v>45741.0</v>
      </c>
      <c r="C81" s="227">
        <v>2.0</v>
      </c>
      <c r="E81" s="225" t="s">
        <v>797</v>
      </c>
      <c r="F81" s="226">
        <v>45701.0</v>
      </c>
      <c r="G81" s="228">
        <f>IFERROR(__xludf.DUMMYFUNCTION("SUM(FILTER(C:C,B:B=F81,A:A=E81))"),8.0)</f>
        <v>8</v>
      </c>
      <c r="I81" s="225" t="s">
        <v>797</v>
      </c>
      <c r="J81" s="226">
        <v>45706.0</v>
      </c>
      <c r="K81" s="228">
        <v>8.0</v>
      </c>
    </row>
    <row r="82">
      <c r="A82" s="105" t="s">
        <v>797</v>
      </c>
      <c r="B82" s="107">
        <v>45701.0</v>
      </c>
      <c r="C82" s="227">
        <v>8.0</v>
      </c>
      <c r="E82" s="225" t="s">
        <v>797</v>
      </c>
      <c r="F82" s="226">
        <v>45702.0</v>
      </c>
      <c r="G82" s="228">
        <f>IFERROR(__xludf.DUMMYFUNCTION("SUM(FILTER(C:C,B:B=F82,A:A=E82))"),6.0)</f>
        <v>6</v>
      </c>
      <c r="I82" s="225" t="s">
        <v>797</v>
      </c>
      <c r="J82" s="226">
        <v>45707.0</v>
      </c>
      <c r="K82" s="228">
        <v>8.0</v>
      </c>
    </row>
    <row r="83">
      <c r="A83" s="105" t="s">
        <v>797</v>
      </c>
      <c r="B83" s="107">
        <v>45702.0</v>
      </c>
      <c r="C83" s="227">
        <v>6.0</v>
      </c>
      <c r="E83" s="225" t="s">
        <v>797</v>
      </c>
      <c r="F83" s="226">
        <v>45705.0</v>
      </c>
      <c r="G83" s="228">
        <f>IFERROR(__xludf.DUMMYFUNCTION("SUM(FILTER(C:C,B:B=F83,A:A=E83))"),8.0)</f>
        <v>8</v>
      </c>
      <c r="I83" s="225" t="s">
        <v>797</v>
      </c>
      <c r="J83" s="226">
        <v>45720.0</v>
      </c>
      <c r="K83" s="228">
        <v>8.0</v>
      </c>
    </row>
    <row r="84">
      <c r="A84" s="105" t="s">
        <v>797</v>
      </c>
      <c r="B84" s="107">
        <v>45705.0</v>
      </c>
      <c r="C84" s="227">
        <v>8.0</v>
      </c>
      <c r="E84" s="225" t="s">
        <v>797</v>
      </c>
      <c r="F84" s="226">
        <v>45706.0</v>
      </c>
      <c r="G84" s="228">
        <f>IFERROR(__xludf.DUMMYFUNCTION("SUM(FILTER(C:C,B:B=F84,A:A=E84))"),8.0)</f>
        <v>8</v>
      </c>
      <c r="I84" s="225" t="s">
        <v>797</v>
      </c>
      <c r="J84" s="226">
        <v>45726.0</v>
      </c>
      <c r="K84" s="228">
        <v>8.0</v>
      </c>
    </row>
    <row r="85">
      <c r="A85" s="105" t="s">
        <v>797</v>
      </c>
      <c r="B85" s="107">
        <v>45706.0</v>
      </c>
      <c r="C85" s="227">
        <v>8.0</v>
      </c>
      <c r="E85" s="225" t="s">
        <v>797</v>
      </c>
      <c r="F85" s="226">
        <v>45707.0</v>
      </c>
      <c r="G85" s="228">
        <f>IFERROR(__xludf.DUMMYFUNCTION("SUM(FILTER(C:C,B:B=F85,A:A=E85))"),8.0)</f>
        <v>8</v>
      </c>
      <c r="I85" s="225" t="s">
        <v>797</v>
      </c>
      <c r="J85" s="226">
        <v>45727.0</v>
      </c>
      <c r="K85" s="228">
        <v>8.0</v>
      </c>
    </row>
    <row r="86">
      <c r="A86" s="105" t="s">
        <v>797</v>
      </c>
      <c r="B86" s="107">
        <v>45707.0</v>
      </c>
      <c r="C86" s="227">
        <v>8.0</v>
      </c>
      <c r="E86" s="225" t="s">
        <v>797</v>
      </c>
      <c r="F86" s="226">
        <v>45708.0</v>
      </c>
      <c r="G86" s="228">
        <f>IFERROR(__xludf.DUMMYFUNCTION("SUM(FILTER(C:C,B:B=F86,A:A=E86))"),7.0)</f>
        <v>7</v>
      </c>
      <c r="I86" s="225" t="s">
        <v>797</v>
      </c>
      <c r="J86" s="226">
        <v>45728.0</v>
      </c>
      <c r="K86" s="228">
        <v>8.0</v>
      </c>
    </row>
    <row r="87">
      <c r="A87" s="105" t="s">
        <v>797</v>
      </c>
      <c r="B87" s="107">
        <v>45708.0</v>
      </c>
      <c r="C87" s="227">
        <v>7.0</v>
      </c>
      <c r="E87" s="225" t="s">
        <v>797</v>
      </c>
      <c r="F87" s="226">
        <v>45709.0</v>
      </c>
      <c r="G87" s="228">
        <f>IFERROR(__xludf.DUMMYFUNCTION("SUM(FILTER(C:C,B:B=F87,A:A=E87))"),6.0)</f>
        <v>6</v>
      </c>
      <c r="I87" s="225" t="s">
        <v>797</v>
      </c>
      <c r="J87" s="226">
        <v>45733.0</v>
      </c>
      <c r="K87" s="228">
        <v>8.0</v>
      </c>
    </row>
    <row r="88">
      <c r="A88" s="105" t="s">
        <v>797</v>
      </c>
      <c r="B88" s="107">
        <v>45709.0</v>
      </c>
      <c r="C88" s="227">
        <v>6.0</v>
      </c>
      <c r="E88" s="225" t="s">
        <v>795</v>
      </c>
      <c r="F88" s="226">
        <v>45714.0</v>
      </c>
      <c r="G88" s="228">
        <f>IFERROR(__xludf.DUMMYFUNCTION("SUM(FILTER(C:C,B:B=F88,A:A=E88))"),7.0)</f>
        <v>7</v>
      </c>
      <c r="I88" s="225" t="s">
        <v>797</v>
      </c>
      <c r="J88" s="226">
        <v>45734.0</v>
      </c>
      <c r="K88" s="228">
        <v>8.0</v>
      </c>
    </row>
    <row r="89">
      <c r="A89" s="105" t="s">
        <v>795</v>
      </c>
      <c r="B89" s="107">
        <v>45714.0</v>
      </c>
      <c r="C89" s="227">
        <v>7.0</v>
      </c>
      <c r="E89" s="225" t="s">
        <v>795</v>
      </c>
      <c r="F89" s="226">
        <v>45715.0</v>
      </c>
      <c r="G89" s="228">
        <f>IFERROR(__xludf.DUMMYFUNCTION("SUM(FILTER(C:C,B:B=F89,A:A=E89))"),4.0)</f>
        <v>4</v>
      </c>
      <c r="I89" s="225" t="s">
        <v>797</v>
      </c>
      <c r="J89" s="226">
        <v>45740.0</v>
      </c>
      <c r="K89" s="228">
        <v>8.0</v>
      </c>
    </row>
    <row r="90">
      <c r="A90" s="105" t="s">
        <v>795</v>
      </c>
      <c r="B90" s="107">
        <v>45715.0</v>
      </c>
      <c r="C90" s="227">
        <v>4.0</v>
      </c>
      <c r="E90" s="225" t="s">
        <v>795</v>
      </c>
      <c r="F90" s="226">
        <v>45716.0</v>
      </c>
      <c r="G90" s="228">
        <f>IFERROR(__xludf.DUMMYFUNCTION("SUM(FILTER(C:C,B:B=F90,A:A=E90))"),5.0)</f>
        <v>5</v>
      </c>
      <c r="I90" s="225" t="s">
        <v>797</v>
      </c>
      <c r="J90" s="226">
        <v>45741.0</v>
      </c>
      <c r="K90" s="228">
        <v>8.0</v>
      </c>
    </row>
    <row r="91">
      <c r="A91" s="105" t="s">
        <v>795</v>
      </c>
      <c r="B91" s="107">
        <v>45716.0</v>
      </c>
      <c r="C91" s="227">
        <v>5.0</v>
      </c>
      <c r="E91" s="225" t="s">
        <v>797</v>
      </c>
      <c r="F91" s="226">
        <v>45720.0</v>
      </c>
      <c r="G91" s="228">
        <f>IFERROR(__xludf.DUMMYFUNCTION("SUM(FILTER(C:C,B:B=F91,A:A=E91))"),8.0)</f>
        <v>8</v>
      </c>
      <c r="I91" s="225" t="s">
        <v>807</v>
      </c>
      <c r="J91" s="226">
        <v>45733.0</v>
      </c>
      <c r="K91" s="228">
        <v>8.0</v>
      </c>
    </row>
    <row r="92">
      <c r="A92" s="105" t="s">
        <v>797</v>
      </c>
      <c r="B92" s="107">
        <v>45720.0</v>
      </c>
      <c r="C92" s="227">
        <v>8.0</v>
      </c>
      <c r="E92" s="225" t="s">
        <v>797</v>
      </c>
      <c r="F92" s="226">
        <v>45721.0</v>
      </c>
      <c r="G92" s="228">
        <f>IFERROR(__xludf.DUMMYFUNCTION("SUM(FILTER(C:C,B:B=F92,A:A=E92))"),6.0)</f>
        <v>6</v>
      </c>
      <c r="I92" s="225" t="s">
        <v>800</v>
      </c>
      <c r="J92" s="226">
        <v>45824.0</v>
      </c>
      <c r="K92" s="228">
        <v>8.0</v>
      </c>
    </row>
    <row r="93">
      <c r="A93" s="105" t="s">
        <v>797</v>
      </c>
      <c r="B93" s="107">
        <v>45721.0</v>
      </c>
      <c r="C93" s="227">
        <v>6.0</v>
      </c>
      <c r="E93" s="225" t="s">
        <v>797</v>
      </c>
      <c r="F93" s="226">
        <v>45722.0</v>
      </c>
      <c r="G93" s="228">
        <f>IFERROR(__xludf.DUMMYFUNCTION("SUM(FILTER(C:C,B:B=F93,A:A=E93))"),3.0)</f>
        <v>3</v>
      </c>
      <c r="I93" s="225" t="s">
        <v>797</v>
      </c>
      <c r="J93" s="226">
        <v>45811.0</v>
      </c>
      <c r="K93" s="228">
        <v>8.0</v>
      </c>
    </row>
    <row r="94">
      <c r="A94" s="105" t="s">
        <v>797</v>
      </c>
      <c r="B94" s="107">
        <v>45722.0</v>
      </c>
      <c r="C94" s="227">
        <v>3.0</v>
      </c>
      <c r="E94" s="225" t="s">
        <v>797</v>
      </c>
      <c r="F94" s="226">
        <v>45726.0</v>
      </c>
      <c r="G94" s="228">
        <f>IFERROR(__xludf.DUMMYFUNCTION("SUM(FILTER(C:C,B:B=F94,A:A=E94))"),8.0)</f>
        <v>8</v>
      </c>
      <c r="I94" s="225" t="s">
        <v>797</v>
      </c>
      <c r="J94" s="226">
        <v>45812.0</v>
      </c>
      <c r="K94" s="228">
        <v>8.0</v>
      </c>
    </row>
    <row r="95">
      <c r="A95" s="105" t="s">
        <v>797</v>
      </c>
      <c r="B95" s="107">
        <v>45726.0</v>
      </c>
      <c r="C95" s="227">
        <v>8.0</v>
      </c>
      <c r="E95" s="225" t="s">
        <v>797</v>
      </c>
      <c r="F95" s="226">
        <v>45727.0</v>
      </c>
      <c r="G95" s="228">
        <f>IFERROR(__xludf.DUMMYFUNCTION("SUM(FILTER(C:C,B:B=F95,A:A=E95))"),8.0)</f>
        <v>8</v>
      </c>
      <c r="I95" s="225" t="s">
        <v>797</v>
      </c>
      <c r="J95" s="226">
        <v>45748.0</v>
      </c>
      <c r="K95" s="228">
        <v>8.0</v>
      </c>
    </row>
    <row r="96">
      <c r="A96" s="105" t="s">
        <v>797</v>
      </c>
      <c r="B96" s="107">
        <v>45727.0</v>
      </c>
      <c r="C96" s="227">
        <v>8.0</v>
      </c>
      <c r="E96" s="225" t="s">
        <v>797</v>
      </c>
      <c r="F96" s="226">
        <v>45728.0</v>
      </c>
      <c r="G96" s="228">
        <f>IFERROR(__xludf.DUMMYFUNCTION("SUM(FILTER(C:C,B:B=F96,A:A=E96))"),8.0)</f>
        <v>8</v>
      </c>
      <c r="I96" s="225" t="s">
        <v>797</v>
      </c>
      <c r="J96" s="226">
        <v>45749.0</v>
      </c>
      <c r="K96" s="228">
        <v>8.0</v>
      </c>
    </row>
    <row r="97">
      <c r="A97" s="105" t="s">
        <v>797</v>
      </c>
      <c r="B97" s="107">
        <v>45728.0</v>
      </c>
      <c r="C97" s="227">
        <v>8.0</v>
      </c>
      <c r="E97" s="225" t="s">
        <v>797</v>
      </c>
      <c r="F97" s="226">
        <v>45729.0</v>
      </c>
      <c r="G97" s="228">
        <f>IFERROR(__xludf.DUMMYFUNCTION("SUM(FILTER(C:C,B:B=F97,A:A=E97))"),6.0)</f>
        <v>6</v>
      </c>
      <c r="I97" s="225" t="s">
        <v>797</v>
      </c>
      <c r="J97" s="226">
        <v>45755.0</v>
      </c>
      <c r="K97" s="228">
        <v>8.0</v>
      </c>
    </row>
    <row r="98">
      <c r="A98" s="105" t="s">
        <v>797</v>
      </c>
      <c r="B98" s="107">
        <v>45729.0</v>
      </c>
      <c r="C98" s="227">
        <v>6.0</v>
      </c>
      <c r="E98" s="225" t="s">
        <v>797</v>
      </c>
      <c r="F98" s="226">
        <v>45730.0</v>
      </c>
      <c r="G98" s="228">
        <f>IFERROR(__xludf.DUMMYFUNCTION("SUM(FILTER(C:C,B:B=F98,A:A=E98))"),4.0)</f>
        <v>4</v>
      </c>
      <c r="I98" s="225" t="s">
        <v>797</v>
      </c>
      <c r="J98" s="226">
        <v>45761.0</v>
      </c>
      <c r="K98" s="228">
        <v>8.0</v>
      </c>
    </row>
    <row r="99">
      <c r="A99" s="105" t="s">
        <v>797</v>
      </c>
      <c r="B99" s="107">
        <v>45730.0</v>
      </c>
      <c r="C99" s="227">
        <v>4.0</v>
      </c>
      <c r="E99" s="225" t="s">
        <v>797</v>
      </c>
      <c r="F99" s="226">
        <v>45733.0</v>
      </c>
      <c r="G99" s="228">
        <f>IFERROR(__xludf.DUMMYFUNCTION("SUM(FILTER(C:C,B:B=F99,A:A=E99))"),8.0)</f>
        <v>8</v>
      </c>
      <c r="I99" s="225" t="s">
        <v>797</v>
      </c>
      <c r="J99" s="226">
        <v>45769.0</v>
      </c>
      <c r="K99" s="228">
        <v>8.0</v>
      </c>
    </row>
    <row r="100">
      <c r="A100" s="105" t="s">
        <v>797</v>
      </c>
      <c r="B100" s="107">
        <v>45733.0</v>
      </c>
      <c r="C100" s="227">
        <v>8.0</v>
      </c>
      <c r="E100" s="225" t="s">
        <v>797</v>
      </c>
      <c r="F100" s="226">
        <v>45734.0</v>
      </c>
      <c r="G100" s="228">
        <f>IFERROR(__xludf.DUMMYFUNCTION("SUM(FILTER(C:C,B:B=F100,A:A=E100))"),8.0)</f>
        <v>8</v>
      </c>
      <c r="I100" s="225" t="s">
        <v>797</v>
      </c>
      <c r="J100" s="226">
        <v>45770.0</v>
      </c>
      <c r="K100" s="228">
        <v>8.0</v>
      </c>
    </row>
    <row r="101">
      <c r="A101" s="105" t="s">
        <v>797</v>
      </c>
      <c r="B101" s="107">
        <v>45734.0</v>
      </c>
      <c r="C101" s="227">
        <v>8.0</v>
      </c>
      <c r="E101" s="225" t="s">
        <v>797</v>
      </c>
      <c r="F101" s="226">
        <v>45735.0</v>
      </c>
      <c r="G101" s="228">
        <f>IFERROR(__xludf.DUMMYFUNCTION("SUM(FILTER(C:C,B:B=F101,A:A=E101))"),4.0)</f>
        <v>4</v>
      </c>
      <c r="I101" s="225" t="s">
        <v>797</v>
      </c>
      <c r="J101" s="226">
        <v>45791.0</v>
      </c>
      <c r="K101" s="228">
        <v>8.0</v>
      </c>
    </row>
    <row r="102">
      <c r="A102" s="105" t="s">
        <v>797</v>
      </c>
      <c r="B102" s="107">
        <v>45735.0</v>
      </c>
      <c r="C102" s="227">
        <v>4.0</v>
      </c>
      <c r="E102" s="225" t="s">
        <v>797</v>
      </c>
      <c r="F102" s="226">
        <v>45736.0</v>
      </c>
      <c r="G102" s="228">
        <f>IFERROR(__xludf.DUMMYFUNCTION("SUM(FILTER(C:C,B:B=F102,A:A=E102))"),4.0)</f>
        <v>4</v>
      </c>
      <c r="I102" s="225" t="s">
        <v>800</v>
      </c>
      <c r="J102" s="226">
        <v>45756.0</v>
      </c>
      <c r="K102" s="228">
        <v>8.0</v>
      </c>
    </row>
    <row r="103">
      <c r="A103" s="105" t="s">
        <v>797</v>
      </c>
      <c r="B103" s="107">
        <v>45736.0</v>
      </c>
      <c r="C103" s="227">
        <v>4.0</v>
      </c>
      <c r="E103" s="225" t="s">
        <v>797</v>
      </c>
      <c r="F103" s="226">
        <v>45737.0</v>
      </c>
      <c r="G103" s="228">
        <f>IFERROR(__xludf.DUMMYFUNCTION("SUM(FILTER(C:C,B:B=F103,A:A=E103))"),3.0)</f>
        <v>3</v>
      </c>
      <c r="I103" s="225" t="s">
        <v>797</v>
      </c>
      <c r="J103" s="226">
        <v>45756.0</v>
      </c>
      <c r="K103" s="228">
        <v>8.0</v>
      </c>
    </row>
    <row r="104">
      <c r="A104" s="105" t="s">
        <v>797</v>
      </c>
      <c r="B104" s="107">
        <v>45737.0</v>
      </c>
      <c r="C104" s="227">
        <v>3.0</v>
      </c>
      <c r="E104" s="225" t="s">
        <v>797</v>
      </c>
      <c r="F104" s="226">
        <v>45740.0</v>
      </c>
      <c r="G104" s="228">
        <f>IFERROR(__xludf.DUMMYFUNCTION("SUM(FILTER(C:C,B:B=F104,A:A=E104))"),8.0)</f>
        <v>8</v>
      </c>
      <c r="I104" s="225" t="s">
        <v>797</v>
      </c>
      <c r="J104" s="226">
        <v>45775.0</v>
      </c>
      <c r="K104" s="228">
        <v>8.0</v>
      </c>
    </row>
    <row r="105">
      <c r="A105" s="105" t="s">
        <v>797</v>
      </c>
      <c r="B105" s="107">
        <v>45740.0</v>
      </c>
      <c r="C105" s="227">
        <v>8.0</v>
      </c>
      <c r="E105" s="225" t="s">
        <v>797</v>
      </c>
      <c r="F105" s="226">
        <v>45741.0</v>
      </c>
      <c r="G105" s="228">
        <f>IFERROR(__xludf.DUMMYFUNCTION("SUM(FILTER(C:C,B:B=F105,A:A=E105))"),8.0)</f>
        <v>8</v>
      </c>
      <c r="I105" s="225" t="s">
        <v>797</v>
      </c>
      <c r="J105" s="226">
        <v>45776.0</v>
      </c>
      <c r="K105" s="228">
        <v>8.0</v>
      </c>
    </row>
    <row r="106">
      <c r="A106" s="105" t="s">
        <v>797</v>
      </c>
      <c r="B106" s="107">
        <v>45741.0</v>
      </c>
      <c r="C106" s="227">
        <v>8.0</v>
      </c>
      <c r="E106" s="225" t="s">
        <v>799</v>
      </c>
      <c r="F106" s="226">
        <v>45663.0</v>
      </c>
      <c r="G106" s="228">
        <f>IFERROR(__xludf.DUMMYFUNCTION("SUM(FILTER(C:C,B:B=F106,A:A=E106))"),6.0)</f>
        <v>6</v>
      </c>
      <c r="I106" s="225" t="s">
        <v>797</v>
      </c>
      <c r="J106" s="226">
        <v>45777.0</v>
      </c>
      <c r="K106" s="228">
        <v>8.0</v>
      </c>
    </row>
    <row r="107">
      <c r="A107" s="105" t="s">
        <v>799</v>
      </c>
      <c r="B107" s="107">
        <v>45663.0</v>
      </c>
      <c r="C107" s="227">
        <v>6.0</v>
      </c>
      <c r="E107" s="225" t="s">
        <v>808</v>
      </c>
      <c r="F107" s="226">
        <v>45663.0</v>
      </c>
      <c r="G107" s="228">
        <f>IFERROR(__xludf.DUMMYFUNCTION("SUM(FILTER(C:C,B:B=F107,A:A=E107))"),4.0)</f>
        <v>4</v>
      </c>
      <c r="I107" s="225" t="s">
        <v>797</v>
      </c>
      <c r="J107" s="226">
        <v>45803.0</v>
      </c>
      <c r="K107" s="228">
        <v>8.0</v>
      </c>
    </row>
    <row r="108">
      <c r="A108" s="105" t="s">
        <v>808</v>
      </c>
      <c r="B108" s="107">
        <v>45663.0</v>
      </c>
      <c r="C108" s="227">
        <v>4.0</v>
      </c>
      <c r="E108" s="225" t="s">
        <v>799</v>
      </c>
      <c r="F108" s="226">
        <v>45664.0</v>
      </c>
      <c r="G108" s="228">
        <f>IFERROR(__xludf.DUMMYFUNCTION("SUM(FILTER(C:C,B:B=F108,A:A=E108))"),5.0)</f>
        <v>5</v>
      </c>
      <c r="I108" s="225" t="s">
        <v>797</v>
      </c>
      <c r="J108" s="226">
        <v>45804.0</v>
      </c>
      <c r="K108" s="228">
        <v>8.0</v>
      </c>
    </row>
    <row r="109">
      <c r="A109" s="105" t="s">
        <v>799</v>
      </c>
      <c r="B109" s="107">
        <v>45664.0</v>
      </c>
      <c r="C109" s="227">
        <v>5.0</v>
      </c>
      <c r="E109" s="225" t="s">
        <v>808</v>
      </c>
      <c r="F109" s="226">
        <v>45664.0</v>
      </c>
      <c r="G109" s="228">
        <f>IFERROR(__xludf.DUMMYFUNCTION("SUM(FILTER(C:C,B:B=F109,A:A=E109))"),4.0)</f>
        <v>4</v>
      </c>
      <c r="I109" s="225" t="s">
        <v>797</v>
      </c>
      <c r="J109" s="226">
        <v>45805.0</v>
      </c>
      <c r="K109" s="228">
        <v>8.0</v>
      </c>
    </row>
    <row r="110">
      <c r="A110" s="105" t="s">
        <v>808</v>
      </c>
      <c r="B110" s="107">
        <v>45664.0</v>
      </c>
      <c r="C110" s="227">
        <v>4.0</v>
      </c>
      <c r="E110" s="225" t="s">
        <v>799</v>
      </c>
      <c r="F110" s="226">
        <v>45665.0</v>
      </c>
      <c r="G110" s="228">
        <f>IFERROR(__xludf.DUMMYFUNCTION("SUM(FILTER(C:C,B:B=F110,A:A=E110))"),6.0)</f>
        <v>6</v>
      </c>
      <c r="I110" s="225" t="s">
        <v>797</v>
      </c>
      <c r="J110" s="226">
        <v>45813.0</v>
      </c>
      <c r="K110" s="228">
        <v>8.0</v>
      </c>
    </row>
    <row r="111">
      <c r="A111" s="105" t="s">
        <v>799</v>
      </c>
      <c r="B111" s="107">
        <v>45665.0</v>
      </c>
      <c r="C111" s="227">
        <v>6.0</v>
      </c>
      <c r="E111" s="225" t="s">
        <v>799</v>
      </c>
      <c r="F111" s="226">
        <v>45666.0</v>
      </c>
      <c r="G111" s="228">
        <f>IFERROR(__xludf.DUMMYFUNCTION("SUM(FILTER(C:C,B:B=F111,A:A=E111))"),5.0)</f>
        <v>5</v>
      </c>
      <c r="I111" s="225" t="s">
        <v>796</v>
      </c>
      <c r="J111" s="226">
        <v>45777.0</v>
      </c>
      <c r="K111" s="228">
        <v>8.0</v>
      </c>
    </row>
    <row r="112">
      <c r="A112" s="105" t="s">
        <v>799</v>
      </c>
      <c r="B112" s="107">
        <v>45666.0</v>
      </c>
      <c r="C112" s="227">
        <v>5.0</v>
      </c>
      <c r="E112" s="225" t="s">
        <v>801</v>
      </c>
      <c r="F112" s="226">
        <v>45667.0</v>
      </c>
      <c r="G112" s="228">
        <f>IFERROR(__xludf.DUMMYFUNCTION("SUM(FILTER(C:C,B:B=F112,A:A=E112))"),2.0)</f>
        <v>2</v>
      </c>
      <c r="I112" s="225" t="s">
        <v>796</v>
      </c>
      <c r="J112" s="226">
        <v>45778.0</v>
      </c>
      <c r="K112" s="228">
        <v>8.0</v>
      </c>
    </row>
    <row r="113">
      <c r="A113" s="105" t="s">
        <v>801</v>
      </c>
      <c r="B113" s="107">
        <v>45667.0</v>
      </c>
      <c r="C113" s="227">
        <v>2.0</v>
      </c>
      <c r="E113" s="225" t="s">
        <v>799</v>
      </c>
      <c r="F113" s="226">
        <v>45667.0</v>
      </c>
      <c r="G113" s="228">
        <f>IFERROR(__xludf.DUMMYFUNCTION("SUM(FILTER(C:C,B:B=F113,A:A=E113))"),5.0)</f>
        <v>5</v>
      </c>
      <c r="I113" s="225" t="s">
        <v>796</v>
      </c>
      <c r="J113" s="226">
        <v>45779.0</v>
      </c>
      <c r="K113" s="228">
        <v>8.0</v>
      </c>
    </row>
    <row r="114">
      <c r="A114" s="105" t="s">
        <v>799</v>
      </c>
      <c r="B114" s="107">
        <v>45667.0</v>
      </c>
      <c r="C114" s="227">
        <v>5.0</v>
      </c>
      <c r="E114" s="225" t="s">
        <v>808</v>
      </c>
      <c r="F114" s="226">
        <v>45667.0</v>
      </c>
      <c r="G114" s="228">
        <f>IFERROR(__xludf.DUMMYFUNCTION("SUM(FILTER(C:C,B:B=F114,A:A=E114))"),4.0)</f>
        <v>4</v>
      </c>
      <c r="I114" s="225" t="s">
        <v>796</v>
      </c>
      <c r="J114" s="226">
        <v>45782.0</v>
      </c>
      <c r="K114" s="228">
        <v>8.0</v>
      </c>
    </row>
    <row r="115">
      <c r="A115" s="105" t="s">
        <v>808</v>
      </c>
      <c r="B115" s="107">
        <v>45667.0</v>
      </c>
      <c r="C115" s="227">
        <v>4.0</v>
      </c>
      <c r="E115" s="225" t="s">
        <v>801</v>
      </c>
      <c r="F115" s="226">
        <v>45670.0</v>
      </c>
      <c r="G115" s="228">
        <f>IFERROR(__xludf.DUMMYFUNCTION("SUM(FILTER(C:C,B:B=F115,A:A=E115))"),3.0)</f>
        <v>3</v>
      </c>
      <c r="I115" s="225" t="s">
        <v>796</v>
      </c>
      <c r="J115" s="226">
        <v>45783.0</v>
      </c>
      <c r="K115" s="228">
        <v>8.0</v>
      </c>
    </row>
    <row r="116">
      <c r="A116" s="105" t="s">
        <v>801</v>
      </c>
      <c r="B116" s="107">
        <v>45670.0</v>
      </c>
      <c r="C116" s="227">
        <v>3.0</v>
      </c>
      <c r="E116" s="225" t="s">
        <v>808</v>
      </c>
      <c r="F116" s="226">
        <v>45670.0</v>
      </c>
      <c r="G116" s="228">
        <f>IFERROR(__xludf.DUMMYFUNCTION("SUM(FILTER(C:C,B:B=F116,A:A=E116))"),3.0)</f>
        <v>3</v>
      </c>
      <c r="I116" s="225" t="s">
        <v>796</v>
      </c>
      <c r="J116" s="226">
        <v>45784.0</v>
      </c>
      <c r="K116" s="228">
        <v>8.0</v>
      </c>
    </row>
    <row r="117">
      <c r="A117" s="105" t="s">
        <v>808</v>
      </c>
      <c r="B117" s="107">
        <v>45670.0</v>
      </c>
      <c r="C117" s="227">
        <v>3.0</v>
      </c>
      <c r="E117" s="225" t="s">
        <v>799</v>
      </c>
      <c r="F117" s="226">
        <v>45670.0</v>
      </c>
      <c r="G117" s="228">
        <f>IFERROR(__xludf.DUMMYFUNCTION("SUM(FILTER(C:C,B:B=F117,A:A=E117))"),6.0)</f>
        <v>6</v>
      </c>
      <c r="I117" s="225" t="s">
        <v>796</v>
      </c>
      <c r="J117" s="226">
        <v>45785.0</v>
      </c>
      <c r="K117" s="228">
        <v>8.0</v>
      </c>
    </row>
    <row r="118">
      <c r="A118" s="105" t="s">
        <v>799</v>
      </c>
      <c r="B118" s="107">
        <v>45670.0</v>
      </c>
      <c r="C118" s="227">
        <v>6.0</v>
      </c>
      <c r="E118" s="225" t="s">
        <v>801</v>
      </c>
      <c r="F118" s="226">
        <v>45671.0</v>
      </c>
      <c r="G118" s="228">
        <f>IFERROR(__xludf.DUMMYFUNCTION("SUM(FILTER(C:C,B:B=F118,A:A=E118))"),3.0)</f>
        <v>3</v>
      </c>
      <c r="I118" s="225" t="s">
        <v>796</v>
      </c>
      <c r="J118" s="226">
        <v>45786.0</v>
      </c>
      <c r="K118" s="228">
        <v>8.0</v>
      </c>
    </row>
    <row r="119">
      <c r="A119" s="105" t="s">
        <v>801</v>
      </c>
      <c r="B119" s="107">
        <v>45671.0</v>
      </c>
      <c r="C119" s="227">
        <v>3.0</v>
      </c>
      <c r="E119" s="225" t="s">
        <v>808</v>
      </c>
      <c r="F119" s="226">
        <v>45671.0</v>
      </c>
      <c r="G119" s="228">
        <f>IFERROR(__xludf.DUMMYFUNCTION("SUM(FILTER(C:C,B:B=F119,A:A=E119))"),3.0)</f>
        <v>3</v>
      </c>
      <c r="I119" s="225" t="s">
        <v>796</v>
      </c>
      <c r="J119" s="226">
        <v>45789.0</v>
      </c>
      <c r="K119" s="228">
        <v>8.0</v>
      </c>
    </row>
    <row r="120">
      <c r="A120" s="105" t="s">
        <v>808</v>
      </c>
      <c r="B120" s="107">
        <v>45671.0</v>
      </c>
      <c r="C120" s="227">
        <v>3.0</v>
      </c>
      <c r="E120" s="225" t="s">
        <v>799</v>
      </c>
      <c r="F120" s="226">
        <v>45671.0</v>
      </c>
      <c r="G120" s="228">
        <f>IFERROR(__xludf.DUMMYFUNCTION("SUM(FILTER(C:C,B:B=F120,A:A=E120))"),7.0)</f>
        <v>7</v>
      </c>
      <c r="I120" s="225" t="s">
        <v>796</v>
      </c>
      <c r="J120" s="226">
        <v>45791.0</v>
      </c>
      <c r="K120" s="228">
        <v>8.0</v>
      </c>
    </row>
    <row r="121">
      <c r="A121" s="105" t="s">
        <v>799</v>
      </c>
      <c r="B121" s="107">
        <v>45671.0</v>
      </c>
      <c r="C121" s="227">
        <v>7.0</v>
      </c>
      <c r="E121" s="225" t="s">
        <v>799</v>
      </c>
      <c r="F121" s="226">
        <v>45672.0</v>
      </c>
      <c r="G121" s="228">
        <f>IFERROR(__xludf.DUMMYFUNCTION("SUM(FILTER(C:C,B:B=F121,A:A=E121))"),6.0)</f>
        <v>6</v>
      </c>
      <c r="I121" s="225" t="s">
        <v>796</v>
      </c>
      <c r="J121" s="226">
        <v>45798.0</v>
      </c>
      <c r="K121" s="228">
        <v>8.0</v>
      </c>
    </row>
    <row r="122">
      <c r="A122" s="105" t="s">
        <v>799</v>
      </c>
      <c r="B122" s="107">
        <v>45672.0</v>
      </c>
      <c r="C122" s="227">
        <v>6.0</v>
      </c>
      <c r="E122" s="225" t="s">
        <v>808</v>
      </c>
      <c r="F122" s="226">
        <v>45673.0</v>
      </c>
      <c r="G122" s="228">
        <f>IFERROR(__xludf.DUMMYFUNCTION("SUM(FILTER(C:C,B:B=F122,A:A=E122))"),4.0)</f>
        <v>4</v>
      </c>
      <c r="I122" s="225" t="s">
        <v>796</v>
      </c>
      <c r="J122" s="226">
        <v>45804.0</v>
      </c>
      <c r="K122" s="228">
        <v>8.0</v>
      </c>
    </row>
    <row r="123">
      <c r="A123" s="105" t="s">
        <v>808</v>
      </c>
      <c r="B123" s="107">
        <v>45673.0</v>
      </c>
      <c r="C123" s="227">
        <v>4.0</v>
      </c>
      <c r="E123" s="225" t="s">
        <v>799</v>
      </c>
      <c r="F123" s="226">
        <v>45673.0</v>
      </c>
      <c r="G123" s="228">
        <f>IFERROR(__xludf.DUMMYFUNCTION("SUM(FILTER(C:C,B:B=F123,A:A=E123))"),5.0)</f>
        <v>5</v>
      </c>
      <c r="I123" s="225" t="s">
        <v>796</v>
      </c>
      <c r="J123" s="226">
        <v>45805.0</v>
      </c>
      <c r="K123" s="228">
        <v>8.0</v>
      </c>
    </row>
    <row r="124">
      <c r="A124" s="105" t="s">
        <v>799</v>
      </c>
      <c r="B124" s="107">
        <v>45673.0</v>
      </c>
      <c r="C124" s="227">
        <v>5.0</v>
      </c>
      <c r="E124" s="225" t="s">
        <v>801</v>
      </c>
      <c r="F124" s="226">
        <v>45674.0</v>
      </c>
      <c r="G124" s="228">
        <f>IFERROR(__xludf.DUMMYFUNCTION("SUM(FILTER(C:C,B:B=F124,A:A=E124))"),3.0)</f>
        <v>3</v>
      </c>
      <c r="I124" s="225" t="s">
        <v>796</v>
      </c>
      <c r="J124" s="226">
        <v>45806.0</v>
      </c>
      <c r="K124" s="228">
        <v>8.0</v>
      </c>
    </row>
    <row r="125">
      <c r="A125" s="105" t="s">
        <v>801</v>
      </c>
      <c r="B125" s="107">
        <v>45674.0</v>
      </c>
      <c r="C125" s="227">
        <v>3.0</v>
      </c>
      <c r="E125" s="225" t="s">
        <v>808</v>
      </c>
      <c r="F125" s="226">
        <v>45674.0</v>
      </c>
      <c r="G125" s="228">
        <f>IFERROR(__xludf.DUMMYFUNCTION("SUM(FILTER(C:C,B:B=F125,A:A=E125))"),2.0)</f>
        <v>2</v>
      </c>
      <c r="I125" s="225" t="s">
        <v>796</v>
      </c>
      <c r="J125" s="226">
        <v>45807.0</v>
      </c>
      <c r="K125" s="228">
        <v>8.0</v>
      </c>
    </row>
    <row r="126">
      <c r="A126" s="105" t="s">
        <v>808</v>
      </c>
      <c r="B126" s="107">
        <v>45674.0</v>
      </c>
      <c r="C126" s="227">
        <v>2.0</v>
      </c>
      <c r="E126" s="225" t="s">
        <v>799</v>
      </c>
      <c r="F126" s="226">
        <v>45674.0</v>
      </c>
      <c r="G126" s="228">
        <f>IFERROR(__xludf.DUMMYFUNCTION("SUM(FILTER(C:C,B:B=F126,A:A=E126))"),6.0)</f>
        <v>6</v>
      </c>
      <c r="I126" s="225" t="s">
        <v>796</v>
      </c>
      <c r="J126" s="226">
        <v>45810.0</v>
      </c>
      <c r="K126" s="228">
        <v>8.0</v>
      </c>
    </row>
    <row r="127">
      <c r="A127" s="105" t="s">
        <v>799</v>
      </c>
      <c r="B127" s="107">
        <v>45674.0</v>
      </c>
      <c r="C127" s="227">
        <v>6.0</v>
      </c>
      <c r="E127" s="225" t="s">
        <v>799</v>
      </c>
      <c r="F127" s="226">
        <v>45677.0</v>
      </c>
      <c r="G127" s="228">
        <f>IFERROR(__xludf.DUMMYFUNCTION("SUM(FILTER(C:C,B:B=F127,A:A=E127))"),6.0)</f>
        <v>6</v>
      </c>
      <c r="I127" s="225" t="s">
        <v>796</v>
      </c>
      <c r="J127" s="226">
        <v>45811.0</v>
      </c>
      <c r="K127" s="228">
        <v>8.0</v>
      </c>
    </row>
    <row r="128">
      <c r="A128" s="105" t="s">
        <v>799</v>
      </c>
      <c r="B128" s="107">
        <v>45677.0</v>
      </c>
      <c r="C128" s="227">
        <v>6.0</v>
      </c>
      <c r="E128" s="225" t="s">
        <v>801</v>
      </c>
      <c r="F128" s="226">
        <v>45677.0</v>
      </c>
      <c r="G128" s="228">
        <f>IFERROR(__xludf.DUMMYFUNCTION("SUM(FILTER(C:C,B:B=F128,A:A=E128))"),4.0)</f>
        <v>4</v>
      </c>
      <c r="I128" s="225" t="s">
        <v>796</v>
      </c>
      <c r="J128" s="226">
        <v>45812.0</v>
      </c>
      <c r="K128" s="228">
        <v>8.0</v>
      </c>
    </row>
    <row r="129">
      <c r="A129" s="105" t="s">
        <v>801</v>
      </c>
      <c r="B129" s="107">
        <v>45677.0</v>
      </c>
      <c r="C129" s="227">
        <v>4.0</v>
      </c>
      <c r="E129" s="225" t="s">
        <v>808</v>
      </c>
      <c r="F129" s="226">
        <v>45677.0</v>
      </c>
      <c r="G129" s="228">
        <f>IFERROR(__xludf.DUMMYFUNCTION("SUM(FILTER(C:C,B:B=F129,A:A=E129))"),2.0)</f>
        <v>2</v>
      </c>
      <c r="I129" s="225" t="s">
        <v>796</v>
      </c>
      <c r="J129" s="226">
        <v>45813.0</v>
      </c>
      <c r="K129" s="228">
        <v>8.0</v>
      </c>
    </row>
    <row r="130">
      <c r="A130" s="105" t="s">
        <v>808</v>
      </c>
      <c r="B130" s="107">
        <v>45677.0</v>
      </c>
      <c r="C130" s="227">
        <v>2.0</v>
      </c>
      <c r="E130" s="225" t="s">
        <v>799</v>
      </c>
      <c r="F130" s="226">
        <v>45678.0</v>
      </c>
      <c r="G130" s="228">
        <f>IFERROR(__xludf.DUMMYFUNCTION("SUM(FILTER(C:C,B:B=F130,A:A=E130))"),7.0)</f>
        <v>7</v>
      </c>
      <c r="I130" s="225" t="s">
        <v>796</v>
      </c>
      <c r="J130" s="226">
        <v>45814.0</v>
      </c>
      <c r="K130" s="228">
        <v>8.0</v>
      </c>
    </row>
    <row r="131">
      <c r="A131" s="105" t="s">
        <v>799</v>
      </c>
      <c r="B131" s="107">
        <v>45678.0</v>
      </c>
      <c r="C131" s="227">
        <v>7.0</v>
      </c>
      <c r="E131" s="225" t="s">
        <v>801</v>
      </c>
      <c r="F131" s="226">
        <v>45678.0</v>
      </c>
      <c r="G131" s="228">
        <f>IFERROR(__xludf.DUMMYFUNCTION("SUM(FILTER(C:C,B:B=F131,A:A=E131))"),4.0)</f>
        <v>4</v>
      </c>
      <c r="I131" s="225" t="s">
        <v>800</v>
      </c>
      <c r="J131" s="226">
        <v>45818.0</v>
      </c>
      <c r="K131" s="228">
        <v>8.0</v>
      </c>
    </row>
    <row r="132">
      <c r="A132" s="105" t="s">
        <v>801</v>
      </c>
      <c r="B132" s="107">
        <v>45678.0</v>
      </c>
      <c r="C132" s="227">
        <v>4.0</v>
      </c>
      <c r="E132" s="225" t="s">
        <v>808</v>
      </c>
      <c r="F132" s="226">
        <v>45678.0</v>
      </c>
      <c r="G132" s="228">
        <f>IFERROR(__xludf.DUMMYFUNCTION("SUM(FILTER(C:C,B:B=F132,A:A=E132))"),4.0)</f>
        <v>4</v>
      </c>
      <c r="I132" s="225" t="s">
        <v>795</v>
      </c>
      <c r="J132" s="226">
        <v>45733.0</v>
      </c>
      <c r="K132" s="228">
        <v>7.0</v>
      </c>
    </row>
    <row r="133">
      <c r="A133" s="105" t="s">
        <v>808</v>
      </c>
      <c r="B133" s="107">
        <v>45678.0</v>
      </c>
      <c r="C133" s="227">
        <v>4.0</v>
      </c>
      <c r="E133" s="225" t="s">
        <v>799</v>
      </c>
      <c r="F133" s="226">
        <v>45679.0</v>
      </c>
      <c r="G133" s="228">
        <f>IFERROR(__xludf.DUMMYFUNCTION("SUM(FILTER(C:C,B:B=F133,A:A=E133))"),6.0)</f>
        <v>6</v>
      </c>
      <c r="I133" s="225" t="s">
        <v>797</v>
      </c>
      <c r="J133" s="226">
        <v>45693.0</v>
      </c>
      <c r="K133" s="228">
        <v>7.0</v>
      </c>
    </row>
    <row r="134">
      <c r="A134" s="105" t="s">
        <v>799</v>
      </c>
      <c r="B134" s="107">
        <v>45679.0</v>
      </c>
      <c r="C134" s="227">
        <v>6.0</v>
      </c>
      <c r="E134" s="225" t="s">
        <v>808</v>
      </c>
      <c r="F134" s="226">
        <v>45679.0</v>
      </c>
      <c r="G134" s="228">
        <f>IFERROR(__xludf.DUMMYFUNCTION("SUM(FILTER(C:C,B:B=F134,A:A=E134))"),2.0)</f>
        <v>2</v>
      </c>
      <c r="I134" s="225" t="s">
        <v>797</v>
      </c>
      <c r="J134" s="226">
        <v>45694.0</v>
      </c>
      <c r="K134" s="228">
        <v>7.0</v>
      </c>
    </row>
    <row r="135">
      <c r="A135" s="105" t="s">
        <v>808</v>
      </c>
      <c r="B135" s="107">
        <v>45679.0</v>
      </c>
      <c r="C135" s="227">
        <v>2.0</v>
      </c>
      <c r="E135" s="225" t="s">
        <v>799</v>
      </c>
      <c r="F135" s="226">
        <v>45680.0</v>
      </c>
      <c r="G135" s="228">
        <f>IFERROR(__xludf.DUMMYFUNCTION("SUM(FILTER(C:C,B:B=F135,A:A=E135))"),5.0)</f>
        <v>5</v>
      </c>
      <c r="I135" s="225" t="s">
        <v>797</v>
      </c>
      <c r="J135" s="226">
        <v>45698.0</v>
      </c>
      <c r="K135" s="228">
        <v>7.0</v>
      </c>
    </row>
    <row r="136">
      <c r="A136" s="105" t="s">
        <v>799</v>
      </c>
      <c r="B136" s="107">
        <v>45680.0</v>
      </c>
      <c r="C136" s="227">
        <v>5.0</v>
      </c>
      <c r="E136" s="225" t="s">
        <v>808</v>
      </c>
      <c r="F136" s="226">
        <v>45680.0</v>
      </c>
      <c r="G136" s="228">
        <f>IFERROR(__xludf.DUMMYFUNCTION("SUM(FILTER(C:C,B:B=F136,A:A=E136))"),4.0)</f>
        <v>4</v>
      </c>
      <c r="I136" s="225" t="s">
        <v>797</v>
      </c>
      <c r="J136" s="226">
        <v>45699.0</v>
      </c>
      <c r="K136" s="228">
        <v>7.0</v>
      </c>
    </row>
    <row r="137">
      <c r="A137" s="105" t="s">
        <v>808</v>
      </c>
      <c r="B137" s="107">
        <v>45680.0</v>
      </c>
      <c r="C137" s="227">
        <v>4.0</v>
      </c>
      <c r="E137" s="225" t="s">
        <v>799</v>
      </c>
      <c r="F137" s="226">
        <v>45681.0</v>
      </c>
      <c r="G137" s="228">
        <f>IFERROR(__xludf.DUMMYFUNCTION("SUM(FILTER(C:C,B:B=F137,A:A=E137))"),6.0)</f>
        <v>6</v>
      </c>
      <c r="I137" s="225" t="s">
        <v>797</v>
      </c>
      <c r="J137" s="226">
        <v>45700.0</v>
      </c>
      <c r="K137" s="228">
        <v>7.0</v>
      </c>
    </row>
    <row r="138">
      <c r="A138" s="105" t="s">
        <v>799</v>
      </c>
      <c r="B138" s="107">
        <v>45681.0</v>
      </c>
      <c r="C138" s="227">
        <v>6.0</v>
      </c>
      <c r="E138" s="225" t="s">
        <v>808</v>
      </c>
      <c r="F138" s="226">
        <v>45681.0</v>
      </c>
      <c r="G138" s="228">
        <f>IFERROR(__xludf.DUMMYFUNCTION("SUM(FILTER(C:C,B:B=F138,A:A=E138))"),2.0)</f>
        <v>2</v>
      </c>
      <c r="I138" s="225" t="s">
        <v>797</v>
      </c>
      <c r="J138" s="226">
        <v>45713.0</v>
      </c>
      <c r="K138" s="228">
        <v>7.0</v>
      </c>
    </row>
    <row r="139">
      <c r="A139" s="105" t="s">
        <v>808</v>
      </c>
      <c r="B139" s="107">
        <v>45681.0</v>
      </c>
      <c r="C139" s="227">
        <v>2.0</v>
      </c>
      <c r="E139" s="225" t="s">
        <v>799</v>
      </c>
      <c r="F139" s="226">
        <v>45684.0</v>
      </c>
      <c r="G139" s="228">
        <f>IFERROR(__xludf.DUMMYFUNCTION("SUM(FILTER(C:C,B:B=F139,A:A=E139))"),6.0)</f>
        <v>6</v>
      </c>
      <c r="I139" s="225" t="s">
        <v>797</v>
      </c>
      <c r="J139" s="226">
        <v>45708.0</v>
      </c>
      <c r="K139" s="228">
        <v>7.0</v>
      </c>
    </row>
    <row r="140">
      <c r="A140" s="105" t="s">
        <v>799</v>
      </c>
      <c r="B140" s="107">
        <v>45684.0</v>
      </c>
      <c r="C140" s="227">
        <v>6.0</v>
      </c>
      <c r="E140" s="225" t="s">
        <v>799</v>
      </c>
      <c r="F140" s="226">
        <v>45685.0</v>
      </c>
      <c r="G140" s="228">
        <f>IFERROR(__xludf.DUMMYFUNCTION("SUM(FILTER(C:C,B:B=F140,A:A=E140))"),6.0)</f>
        <v>6</v>
      </c>
      <c r="I140" s="225" t="s">
        <v>795</v>
      </c>
      <c r="J140" s="226">
        <v>45714.0</v>
      </c>
      <c r="K140" s="228">
        <v>7.0</v>
      </c>
    </row>
    <row r="141">
      <c r="A141" s="105" t="s">
        <v>799</v>
      </c>
      <c r="B141" s="107">
        <v>45685.0</v>
      </c>
      <c r="C141" s="227">
        <v>6.0</v>
      </c>
      <c r="E141" s="225" t="s">
        <v>799</v>
      </c>
      <c r="F141" s="226">
        <v>45686.0</v>
      </c>
      <c r="G141" s="228">
        <f>IFERROR(__xludf.DUMMYFUNCTION("SUM(FILTER(C:C,B:B=F141,A:A=E141))"),7.0)</f>
        <v>7</v>
      </c>
      <c r="I141" s="225" t="s">
        <v>799</v>
      </c>
      <c r="J141" s="226">
        <v>45671.0</v>
      </c>
      <c r="K141" s="228">
        <v>7.0</v>
      </c>
    </row>
    <row r="142">
      <c r="A142" s="105" t="s">
        <v>799</v>
      </c>
      <c r="B142" s="107">
        <v>45686.0</v>
      </c>
      <c r="C142" s="227">
        <v>7.0</v>
      </c>
      <c r="E142" s="225" t="s">
        <v>808</v>
      </c>
      <c r="F142" s="226">
        <v>45686.0</v>
      </c>
      <c r="G142" s="228">
        <f>IFERROR(__xludf.DUMMYFUNCTION("SUM(FILTER(C:C,B:B=F142,A:A=E142))"),2.0)</f>
        <v>2</v>
      </c>
      <c r="I142" s="225" t="s">
        <v>799</v>
      </c>
      <c r="J142" s="226">
        <v>45678.0</v>
      </c>
      <c r="K142" s="228">
        <v>7.0</v>
      </c>
    </row>
    <row r="143">
      <c r="A143" s="105" t="s">
        <v>808</v>
      </c>
      <c r="B143" s="107">
        <v>45686.0</v>
      </c>
      <c r="C143" s="227">
        <v>2.0</v>
      </c>
      <c r="E143" s="225" t="s">
        <v>799</v>
      </c>
      <c r="F143" s="226">
        <v>45687.0</v>
      </c>
      <c r="G143" s="228">
        <f>IFERROR(__xludf.DUMMYFUNCTION("SUM(FILTER(C:C,B:B=F143,A:A=E143))"),7.0)</f>
        <v>7</v>
      </c>
      <c r="I143" s="225" t="s">
        <v>799</v>
      </c>
      <c r="J143" s="226">
        <v>45686.0</v>
      </c>
      <c r="K143" s="228">
        <v>7.0</v>
      </c>
    </row>
    <row r="144">
      <c r="A144" s="105" t="s">
        <v>799</v>
      </c>
      <c r="B144" s="107">
        <v>45687.0</v>
      </c>
      <c r="C144" s="227">
        <v>7.0</v>
      </c>
      <c r="E144" s="225" t="s">
        <v>799</v>
      </c>
      <c r="F144" s="226">
        <v>45688.0</v>
      </c>
      <c r="G144" s="228">
        <f>IFERROR(__xludf.DUMMYFUNCTION("SUM(FILTER(C:C,B:B=F144,A:A=E144))"),6.0)</f>
        <v>6</v>
      </c>
      <c r="I144" s="225" t="s">
        <v>799</v>
      </c>
      <c r="J144" s="226">
        <v>45687.0</v>
      </c>
      <c r="K144" s="228">
        <v>7.0</v>
      </c>
    </row>
    <row r="145">
      <c r="A145" s="105" t="s">
        <v>799</v>
      </c>
      <c r="B145" s="107">
        <v>45688.0</v>
      </c>
      <c r="C145" s="227">
        <v>6.0</v>
      </c>
      <c r="E145" s="225" t="s">
        <v>808</v>
      </c>
      <c r="F145" s="226">
        <v>45688.0</v>
      </c>
      <c r="G145" s="228">
        <f>IFERROR(__xludf.DUMMYFUNCTION("SUM(FILTER(C:C,B:B=F145,A:A=E145))"),2.0)</f>
        <v>2</v>
      </c>
      <c r="I145" s="225" t="s">
        <v>799</v>
      </c>
      <c r="J145" s="226">
        <v>45691.0</v>
      </c>
      <c r="K145" s="228">
        <v>7.0</v>
      </c>
    </row>
    <row r="146">
      <c r="A146" s="105" t="s">
        <v>808</v>
      </c>
      <c r="B146" s="107">
        <v>45688.0</v>
      </c>
      <c r="C146" s="227">
        <v>2.0</v>
      </c>
      <c r="E146" s="225" t="s">
        <v>799</v>
      </c>
      <c r="F146" s="226">
        <v>45691.0</v>
      </c>
      <c r="G146" s="228">
        <f>IFERROR(__xludf.DUMMYFUNCTION("SUM(FILTER(C:C,B:B=F146,A:A=E146))"),7.0)</f>
        <v>7</v>
      </c>
      <c r="I146" s="225" t="s">
        <v>799</v>
      </c>
      <c r="J146" s="226">
        <v>45692.0</v>
      </c>
      <c r="K146" s="228">
        <v>7.0</v>
      </c>
    </row>
    <row r="147">
      <c r="A147" s="105" t="s">
        <v>799</v>
      </c>
      <c r="B147" s="107">
        <v>45691.0</v>
      </c>
      <c r="C147" s="227">
        <v>7.0</v>
      </c>
      <c r="E147" s="225" t="s">
        <v>808</v>
      </c>
      <c r="F147" s="226">
        <v>45691.0</v>
      </c>
      <c r="G147" s="228">
        <f>IFERROR(__xludf.DUMMYFUNCTION("SUM(FILTER(C:C,B:B=F147,A:A=E147))"),5.0)</f>
        <v>5</v>
      </c>
      <c r="I147" s="225" t="s">
        <v>799</v>
      </c>
      <c r="J147" s="226">
        <v>45693.0</v>
      </c>
      <c r="K147" s="228">
        <v>7.0</v>
      </c>
    </row>
    <row r="148">
      <c r="A148" s="105" t="s">
        <v>808</v>
      </c>
      <c r="B148" s="107">
        <v>45691.0</v>
      </c>
      <c r="C148" s="227">
        <v>5.0</v>
      </c>
      <c r="E148" s="225" t="s">
        <v>799</v>
      </c>
      <c r="F148" s="226">
        <v>45692.0</v>
      </c>
      <c r="G148" s="228">
        <f>IFERROR(__xludf.DUMMYFUNCTION("SUM(FILTER(C:C,B:B=F148,A:A=E148))"),7.0)</f>
        <v>7</v>
      </c>
      <c r="I148" s="225" t="s">
        <v>799</v>
      </c>
      <c r="J148" s="226">
        <v>45694.0</v>
      </c>
      <c r="K148" s="228">
        <v>7.0</v>
      </c>
    </row>
    <row r="149">
      <c r="A149" s="105" t="s">
        <v>799</v>
      </c>
      <c r="B149" s="107">
        <v>45692.0</v>
      </c>
      <c r="C149" s="227">
        <v>7.0</v>
      </c>
      <c r="E149" s="225" t="s">
        <v>799</v>
      </c>
      <c r="F149" s="226">
        <v>45693.0</v>
      </c>
      <c r="G149" s="228">
        <f>IFERROR(__xludf.DUMMYFUNCTION("SUM(FILTER(C:C,B:B=F149,A:A=E149))"),7.0)</f>
        <v>7</v>
      </c>
      <c r="I149" s="225" t="s">
        <v>799</v>
      </c>
      <c r="J149" s="226">
        <v>45735.0</v>
      </c>
      <c r="K149" s="228">
        <v>7.0</v>
      </c>
    </row>
    <row r="150">
      <c r="A150" s="105" t="s">
        <v>799</v>
      </c>
      <c r="B150" s="107">
        <v>45693.0</v>
      </c>
      <c r="C150" s="227">
        <v>7.0</v>
      </c>
      <c r="E150" s="225" t="s">
        <v>799</v>
      </c>
      <c r="F150" s="226">
        <v>45694.0</v>
      </c>
      <c r="G150" s="228">
        <f>IFERROR(__xludf.DUMMYFUNCTION("SUM(FILTER(C:C,B:B=F150,A:A=E150))"),7.0)</f>
        <v>7</v>
      </c>
      <c r="I150" s="225" t="s">
        <v>799</v>
      </c>
      <c r="J150" s="226">
        <v>45736.0</v>
      </c>
      <c r="K150" s="228">
        <v>7.0</v>
      </c>
    </row>
    <row r="151">
      <c r="A151" s="105" t="s">
        <v>799</v>
      </c>
      <c r="B151" s="107">
        <v>45694.0</v>
      </c>
      <c r="C151" s="227">
        <v>7.0</v>
      </c>
      <c r="E151" s="225" t="s">
        <v>808</v>
      </c>
      <c r="F151" s="226">
        <v>45694.0</v>
      </c>
      <c r="G151" s="228">
        <f>IFERROR(__xludf.DUMMYFUNCTION("SUM(FILTER(C:C,B:B=F151,A:A=E151))"),5.0)</f>
        <v>5</v>
      </c>
      <c r="I151" s="225" t="s">
        <v>795</v>
      </c>
      <c r="J151" s="226">
        <v>45765.0</v>
      </c>
      <c r="K151" s="228">
        <v>7.0</v>
      </c>
    </row>
    <row r="152">
      <c r="A152" s="105" t="s">
        <v>808</v>
      </c>
      <c r="B152" s="107">
        <v>45694.0</v>
      </c>
      <c r="C152" s="227">
        <v>5.0</v>
      </c>
      <c r="E152" s="225" t="s">
        <v>799</v>
      </c>
      <c r="F152" s="226">
        <v>45695.0</v>
      </c>
      <c r="G152" s="228">
        <f>IFERROR(__xludf.DUMMYFUNCTION("SUM(FILTER(C:C,B:B=F152,A:A=E152))"),6.0)</f>
        <v>6</v>
      </c>
      <c r="I152" s="225" t="s">
        <v>795</v>
      </c>
      <c r="J152" s="226">
        <v>45775.0</v>
      </c>
      <c r="K152" s="228">
        <v>7.0</v>
      </c>
    </row>
    <row r="153">
      <c r="A153" s="105" t="s">
        <v>799</v>
      </c>
      <c r="B153" s="107">
        <v>45695.0</v>
      </c>
      <c r="C153" s="227">
        <v>6.0</v>
      </c>
      <c r="E153" s="225" t="s">
        <v>799</v>
      </c>
      <c r="F153" s="226">
        <v>45698.0</v>
      </c>
      <c r="G153" s="228">
        <f>IFERROR(__xludf.DUMMYFUNCTION("SUM(FILTER(C:C,B:B=F153,A:A=E153))"),5.0)</f>
        <v>5</v>
      </c>
      <c r="I153" s="225" t="s">
        <v>795</v>
      </c>
      <c r="J153" s="226">
        <v>45825.0</v>
      </c>
      <c r="K153" s="228">
        <v>7.0</v>
      </c>
    </row>
    <row r="154">
      <c r="A154" s="105" t="s">
        <v>799</v>
      </c>
      <c r="B154" s="107">
        <v>45698.0</v>
      </c>
      <c r="C154" s="227">
        <v>5.0</v>
      </c>
      <c r="E154" s="225" t="s">
        <v>799</v>
      </c>
      <c r="F154" s="226">
        <v>45699.0</v>
      </c>
      <c r="G154" s="228">
        <f>IFERROR(__xludf.DUMMYFUNCTION("SUM(FILTER(C:C,B:B=F154,A:A=E154))"),6.0)</f>
        <v>6</v>
      </c>
      <c r="I154" s="225" t="s">
        <v>795</v>
      </c>
      <c r="J154" s="226">
        <v>45826.0</v>
      </c>
      <c r="K154" s="228">
        <v>7.0</v>
      </c>
    </row>
    <row r="155">
      <c r="A155" s="105" t="s">
        <v>799</v>
      </c>
      <c r="B155" s="107">
        <v>45699.0</v>
      </c>
      <c r="C155" s="227">
        <v>6.0</v>
      </c>
      <c r="E155" s="225" t="s">
        <v>808</v>
      </c>
      <c r="F155" s="226">
        <v>45699.0</v>
      </c>
      <c r="G155" s="228">
        <f>IFERROR(__xludf.DUMMYFUNCTION("SUM(FILTER(C:C,B:B=F155,A:A=E155))"),4.0)</f>
        <v>4</v>
      </c>
      <c r="I155" s="225" t="s">
        <v>797</v>
      </c>
      <c r="J155" s="226">
        <v>45750.0</v>
      </c>
      <c r="K155" s="228">
        <v>7.0</v>
      </c>
    </row>
    <row r="156">
      <c r="A156" s="105" t="s">
        <v>808</v>
      </c>
      <c r="B156" s="107">
        <v>45699.0</v>
      </c>
      <c r="C156" s="227">
        <v>4.0</v>
      </c>
      <c r="E156" s="225" t="s">
        <v>808</v>
      </c>
      <c r="F156" s="226">
        <v>45700.0</v>
      </c>
      <c r="G156" s="228">
        <f>IFERROR(__xludf.DUMMYFUNCTION("SUM(FILTER(C:C,B:B=F156,A:A=E156))"),5.0)</f>
        <v>5</v>
      </c>
      <c r="I156" s="225" t="s">
        <v>797</v>
      </c>
      <c r="J156" s="226">
        <v>45757.0</v>
      </c>
      <c r="K156" s="228">
        <v>7.0</v>
      </c>
    </row>
    <row r="157">
      <c r="A157" s="105" t="s">
        <v>808</v>
      </c>
      <c r="B157" s="107">
        <v>45700.0</v>
      </c>
      <c r="C157" s="227">
        <v>5.0</v>
      </c>
      <c r="E157" s="225" t="s">
        <v>799</v>
      </c>
      <c r="F157" s="226">
        <v>45700.0</v>
      </c>
      <c r="G157" s="228">
        <f>IFERROR(__xludf.DUMMYFUNCTION("SUM(FILTER(C:C,B:B=F157,A:A=E157))"),5.0)</f>
        <v>5</v>
      </c>
      <c r="I157" s="225" t="s">
        <v>797</v>
      </c>
      <c r="J157" s="226">
        <v>45799.0</v>
      </c>
      <c r="K157" s="228">
        <v>7.0</v>
      </c>
    </row>
    <row r="158">
      <c r="A158" s="105" t="s">
        <v>799</v>
      </c>
      <c r="B158" s="107">
        <v>45700.0</v>
      </c>
      <c r="C158" s="227">
        <v>5.0</v>
      </c>
      <c r="E158" s="225" t="s">
        <v>799</v>
      </c>
      <c r="F158" s="226">
        <v>45701.0</v>
      </c>
      <c r="G158" s="228">
        <f>IFERROR(__xludf.DUMMYFUNCTION("SUM(FILTER(C:C,B:B=F158,A:A=E158))"),6.0)</f>
        <v>6</v>
      </c>
      <c r="I158" s="225" t="s">
        <v>799</v>
      </c>
      <c r="J158" s="226">
        <v>45784.0</v>
      </c>
      <c r="K158" s="228">
        <v>7.0</v>
      </c>
    </row>
    <row r="159">
      <c r="A159" s="105" t="s">
        <v>799</v>
      </c>
      <c r="B159" s="107">
        <v>45701.0</v>
      </c>
      <c r="C159" s="227">
        <v>6.0</v>
      </c>
      <c r="E159" s="225" t="s">
        <v>808</v>
      </c>
      <c r="F159" s="226">
        <v>45701.0</v>
      </c>
      <c r="G159" s="228">
        <f>IFERROR(__xludf.DUMMYFUNCTION("SUM(FILTER(C:C,B:B=F159,A:A=E159))"),4.0)</f>
        <v>4</v>
      </c>
      <c r="I159" s="225" t="s">
        <v>800</v>
      </c>
      <c r="J159" s="226">
        <v>45755.0</v>
      </c>
      <c r="K159" s="228">
        <v>7.0</v>
      </c>
    </row>
    <row r="160">
      <c r="A160" s="105" t="s">
        <v>808</v>
      </c>
      <c r="B160" s="107">
        <v>45701.0</v>
      </c>
      <c r="C160" s="227">
        <v>4.0</v>
      </c>
      <c r="E160" s="225" t="s">
        <v>799</v>
      </c>
      <c r="F160" s="226">
        <v>45702.0</v>
      </c>
      <c r="G160" s="228">
        <f>IFERROR(__xludf.DUMMYFUNCTION("SUM(FILTER(C:C,B:B=F160,A:A=E160))"),3.0)</f>
        <v>3</v>
      </c>
      <c r="I160" s="225" t="s">
        <v>796</v>
      </c>
      <c r="J160" s="226">
        <v>45790.0</v>
      </c>
      <c r="K160" s="228">
        <v>7.0</v>
      </c>
    </row>
    <row r="161">
      <c r="A161" s="105" t="s">
        <v>799</v>
      </c>
      <c r="B161" s="107">
        <v>45702.0</v>
      </c>
      <c r="C161" s="227">
        <v>3.0</v>
      </c>
      <c r="E161" s="225" t="s">
        <v>808</v>
      </c>
      <c r="F161" s="226">
        <v>45702.0</v>
      </c>
      <c r="G161" s="228">
        <f>IFERROR(__xludf.DUMMYFUNCTION("SUM(FILTER(C:C,B:B=F161,A:A=E161))"),3.0)</f>
        <v>3</v>
      </c>
      <c r="I161" s="225" t="s">
        <v>796</v>
      </c>
      <c r="J161" s="226">
        <v>45792.0</v>
      </c>
      <c r="K161" s="228">
        <v>7.0</v>
      </c>
    </row>
    <row r="162">
      <c r="A162" s="105" t="s">
        <v>808</v>
      </c>
      <c r="B162" s="107">
        <v>45702.0</v>
      </c>
      <c r="C162" s="227">
        <v>3.0</v>
      </c>
      <c r="E162" s="225" t="s">
        <v>799</v>
      </c>
      <c r="F162" s="226">
        <v>45705.0</v>
      </c>
      <c r="G162" s="228">
        <f>IFERROR(__xludf.DUMMYFUNCTION("SUM(FILTER(C:C,B:B=F162,A:A=E162))"),5.0)</f>
        <v>5</v>
      </c>
      <c r="I162" s="225" t="s">
        <v>796</v>
      </c>
      <c r="J162" s="226">
        <v>45800.0</v>
      </c>
      <c r="K162" s="228">
        <v>7.0</v>
      </c>
    </row>
    <row r="163">
      <c r="A163" s="105" t="s">
        <v>799</v>
      </c>
      <c r="B163" s="107">
        <v>45705.0</v>
      </c>
      <c r="C163" s="227">
        <v>5.0</v>
      </c>
      <c r="E163" s="225" t="s">
        <v>799</v>
      </c>
      <c r="F163" s="226">
        <v>45706.0</v>
      </c>
      <c r="G163" s="228">
        <f>IFERROR(__xludf.DUMMYFUNCTION("SUM(FILTER(C:C,B:B=F163,A:A=E163))"),6.0)</f>
        <v>6</v>
      </c>
      <c r="I163" s="225" t="s">
        <v>795</v>
      </c>
      <c r="J163" s="226">
        <v>45729.0</v>
      </c>
      <c r="K163" s="228">
        <v>6.0</v>
      </c>
    </row>
    <row r="164">
      <c r="A164" s="105" t="s">
        <v>799</v>
      </c>
      <c r="B164" s="107">
        <v>45706.0</v>
      </c>
      <c r="C164" s="227">
        <v>6.0</v>
      </c>
      <c r="E164" s="225" t="s">
        <v>808</v>
      </c>
      <c r="F164" s="226">
        <v>45707.0</v>
      </c>
      <c r="G164" s="228">
        <f>IFERROR(__xludf.DUMMYFUNCTION("SUM(FILTER(C:C,B:B=F164,A:A=E164))"),3.0)</f>
        <v>3</v>
      </c>
      <c r="I164" s="225" t="s">
        <v>795</v>
      </c>
      <c r="J164" s="226">
        <v>45730.0</v>
      </c>
      <c r="K164" s="228">
        <v>6.0</v>
      </c>
    </row>
    <row r="165">
      <c r="A165" s="105" t="s">
        <v>808</v>
      </c>
      <c r="B165" s="107">
        <v>45707.0</v>
      </c>
      <c r="C165" s="227">
        <v>3.0</v>
      </c>
      <c r="E165" s="225" t="s">
        <v>799</v>
      </c>
      <c r="F165" s="226">
        <v>45707.0</v>
      </c>
      <c r="G165" s="228">
        <f>IFERROR(__xludf.DUMMYFUNCTION("SUM(FILTER(C:C,B:B=F165,A:A=E165))"),6.0)</f>
        <v>6</v>
      </c>
      <c r="I165" s="225" t="s">
        <v>798</v>
      </c>
      <c r="J165" s="226">
        <v>45692.0</v>
      </c>
      <c r="K165" s="228">
        <v>6.0</v>
      </c>
    </row>
    <row r="166">
      <c r="A166" s="105" t="s">
        <v>799</v>
      </c>
      <c r="B166" s="107">
        <v>45707.0</v>
      </c>
      <c r="C166" s="227">
        <v>6.0</v>
      </c>
      <c r="E166" s="225" t="s">
        <v>799</v>
      </c>
      <c r="F166" s="226">
        <v>45708.0</v>
      </c>
      <c r="G166" s="228">
        <f>IFERROR(__xludf.DUMMYFUNCTION("SUM(FILTER(C:C,B:B=F166,A:A=E166))"),5.0)</f>
        <v>5</v>
      </c>
      <c r="I166" s="225" t="s">
        <v>795</v>
      </c>
      <c r="J166" s="226">
        <v>45686.0</v>
      </c>
      <c r="K166" s="228">
        <v>6.0</v>
      </c>
    </row>
    <row r="167">
      <c r="A167" s="105" t="s">
        <v>799</v>
      </c>
      <c r="B167" s="107">
        <v>45708.0</v>
      </c>
      <c r="C167" s="227">
        <v>5.0</v>
      </c>
      <c r="E167" s="225" t="s">
        <v>799</v>
      </c>
      <c r="F167" s="226">
        <v>45712.0</v>
      </c>
      <c r="G167" s="228">
        <f>IFERROR(__xludf.DUMMYFUNCTION("SUM(FILTER(C:C,B:B=F167,A:A=E167))"),5.0)</f>
        <v>5</v>
      </c>
      <c r="I167" s="225" t="s">
        <v>795</v>
      </c>
      <c r="J167" s="226">
        <v>45688.0</v>
      </c>
      <c r="K167" s="228">
        <v>6.0</v>
      </c>
    </row>
    <row r="168">
      <c r="A168" s="105" t="s">
        <v>799</v>
      </c>
      <c r="B168" s="107">
        <v>45712.0</v>
      </c>
      <c r="C168" s="227">
        <v>5.0</v>
      </c>
      <c r="E168" s="225" t="s">
        <v>799</v>
      </c>
      <c r="F168" s="226">
        <v>45713.0</v>
      </c>
      <c r="G168" s="228">
        <f>IFERROR(__xludf.DUMMYFUNCTION("SUM(FILTER(C:C,B:B=F168,A:A=E168))"),5.0)</f>
        <v>5</v>
      </c>
      <c r="I168" s="225" t="s">
        <v>795</v>
      </c>
      <c r="J168" s="226">
        <v>45691.0</v>
      </c>
      <c r="K168" s="228">
        <v>6.0</v>
      </c>
    </row>
    <row r="169">
      <c r="A169" s="105" t="s">
        <v>799</v>
      </c>
      <c r="B169" s="107">
        <v>45713.0</v>
      </c>
      <c r="C169" s="227">
        <v>5.0</v>
      </c>
      <c r="E169" s="225" t="s">
        <v>808</v>
      </c>
      <c r="F169" s="226">
        <v>45713.0</v>
      </c>
      <c r="G169" s="228">
        <f>IFERROR(__xludf.DUMMYFUNCTION("SUM(FILTER(C:C,B:B=F169,A:A=E169))"),5.0)</f>
        <v>5</v>
      </c>
      <c r="I169" s="225" t="s">
        <v>797</v>
      </c>
      <c r="J169" s="226">
        <v>45692.0</v>
      </c>
      <c r="K169" s="228">
        <v>6.0</v>
      </c>
    </row>
    <row r="170">
      <c r="A170" s="105" t="s">
        <v>808</v>
      </c>
      <c r="B170" s="107">
        <v>45713.0</v>
      </c>
      <c r="C170" s="227">
        <v>5.0</v>
      </c>
      <c r="E170" s="225" t="s">
        <v>799</v>
      </c>
      <c r="F170" s="226">
        <v>45714.0</v>
      </c>
      <c r="G170" s="228">
        <f>IFERROR(__xludf.DUMMYFUNCTION("SUM(FILTER(C:C,B:B=F170,A:A=E170))"),5.0)</f>
        <v>5</v>
      </c>
      <c r="I170" s="225" t="s">
        <v>795</v>
      </c>
      <c r="J170" s="226">
        <v>45693.0</v>
      </c>
      <c r="K170" s="228">
        <v>6.0</v>
      </c>
    </row>
    <row r="171">
      <c r="A171" s="105" t="s">
        <v>799</v>
      </c>
      <c r="B171" s="107">
        <v>45714.0</v>
      </c>
      <c r="C171" s="227">
        <v>5.0</v>
      </c>
      <c r="E171" s="225" t="s">
        <v>799</v>
      </c>
      <c r="F171" s="226">
        <v>45715.0</v>
      </c>
      <c r="G171" s="228">
        <f>IFERROR(__xludf.DUMMYFUNCTION("SUM(FILTER(C:C,B:B=F171,A:A=E171))"),5.0)</f>
        <v>5</v>
      </c>
      <c r="I171" s="225" t="s">
        <v>797</v>
      </c>
      <c r="J171" s="226">
        <v>45695.0</v>
      </c>
      <c r="K171" s="228">
        <v>6.0</v>
      </c>
    </row>
    <row r="172">
      <c r="A172" s="105" t="s">
        <v>799</v>
      </c>
      <c r="B172" s="107">
        <v>45715.0</v>
      </c>
      <c r="C172" s="227">
        <v>5.0</v>
      </c>
      <c r="E172" s="225" t="s">
        <v>808</v>
      </c>
      <c r="F172" s="226">
        <v>45716.0</v>
      </c>
      <c r="G172" s="228">
        <f>IFERROR(__xludf.DUMMYFUNCTION("SUM(FILTER(C:C,B:B=F172,A:A=E172))"),5.0)</f>
        <v>5</v>
      </c>
      <c r="I172" s="225" t="s">
        <v>795</v>
      </c>
      <c r="J172" s="226">
        <v>45723.0</v>
      </c>
      <c r="K172" s="228">
        <v>6.0</v>
      </c>
    </row>
    <row r="173">
      <c r="A173" s="105" t="s">
        <v>808</v>
      </c>
      <c r="B173" s="107">
        <v>45716.0</v>
      </c>
      <c r="C173" s="227">
        <v>5.0</v>
      </c>
      <c r="E173" s="225" t="s">
        <v>799</v>
      </c>
      <c r="F173" s="226">
        <v>45716.0</v>
      </c>
      <c r="G173" s="228">
        <f>IFERROR(__xludf.DUMMYFUNCTION("SUM(FILTER(C:C,B:B=F173,A:A=E173))"),4.0)</f>
        <v>4</v>
      </c>
      <c r="I173" s="225" t="s">
        <v>797</v>
      </c>
      <c r="J173" s="226">
        <v>45684.0</v>
      </c>
      <c r="K173" s="228">
        <v>6.0</v>
      </c>
    </row>
    <row r="174">
      <c r="A174" s="105" t="s">
        <v>799</v>
      </c>
      <c r="B174" s="107">
        <v>45716.0</v>
      </c>
      <c r="C174" s="227">
        <v>4.0</v>
      </c>
      <c r="E174" s="225" t="s">
        <v>808</v>
      </c>
      <c r="F174" s="226">
        <v>45719.0</v>
      </c>
      <c r="G174" s="228">
        <f>IFERROR(__xludf.DUMMYFUNCTION("SUM(FILTER(C:C,B:B=F174,A:A=E174))"),4.0)</f>
        <v>4</v>
      </c>
      <c r="I174" s="225" t="s">
        <v>797</v>
      </c>
      <c r="J174" s="226">
        <v>45685.0</v>
      </c>
      <c r="K174" s="228">
        <v>6.0</v>
      </c>
    </row>
    <row r="175">
      <c r="A175" s="105" t="s">
        <v>808</v>
      </c>
      <c r="B175" s="107">
        <v>45719.0</v>
      </c>
      <c r="C175" s="227">
        <v>4.0</v>
      </c>
      <c r="E175" s="225" t="s">
        <v>799</v>
      </c>
      <c r="F175" s="226">
        <v>45719.0</v>
      </c>
      <c r="G175" s="228">
        <f>IFERROR(__xludf.DUMMYFUNCTION("SUM(FILTER(C:C,B:B=F175,A:A=E175))"),5.0)</f>
        <v>5</v>
      </c>
      <c r="I175" s="225" t="s">
        <v>797</v>
      </c>
      <c r="J175" s="226">
        <v>45687.0</v>
      </c>
      <c r="K175" s="228">
        <v>6.0</v>
      </c>
    </row>
    <row r="176">
      <c r="A176" s="105" t="s">
        <v>799</v>
      </c>
      <c r="B176" s="107">
        <v>45719.0</v>
      </c>
      <c r="C176" s="227">
        <v>5.0</v>
      </c>
      <c r="E176" s="225" t="s">
        <v>799</v>
      </c>
      <c r="F176" s="226">
        <v>45720.0</v>
      </c>
      <c r="G176" s="228">
        <f>IFERROR(__xludf.DUMMYFUNCTION("SUM(FILTER(C:C,B:B=F176,A:A=E176))"),6.0)</f>
        <v>6</v>
      </c>
      <c r="I176" s="225" t="s">
        <v>797</v>
      </c>
      <c r="J176" s="226">
        <v>45688.0</v>
      </c>
      <c r="K176" s="228">
        <v>6.0</v>
      </c>
    </row>
    <row r="177">
      <c r="A177" s="105" t="s">
        <v>799</v>
      </c>
      <c r="B177" s="107">
        <v>45720.0</v>
      </c>
      <c r="C177" s="227">
        <v>6.0</v>
      </c>
      <c r="E177" s="225" t="s">
        <v>799</v>
      </c>
      <c r="F177" s="226">
        <v>45721.0</v>
      </c>
      <c r="G177" s="228">
        <f>IFERROR(__xludf.DUMMYFUNCTION("SUM(FILTER(C:C,B:B=F177,A:A=E177))"),5.0)</f>
        <v>5</v>
      </c>
      <c r="I177" s="225" t="s">
        <v>795</v>
      </c>
      <c r="J177" s="226">
        <v>45712.0</v>
      </c>
      <c r="K177" s="228">
        <v>6.0</v>
      </c>
    </row>
    <row r="178">
      <c r="A178" s="105" t="s">
        <v>799</v>
      </c>
      <c r="B178" s="107">
        <v>45721.0</v>
      </c>
      <c r="C178" s="227">
        <v>5.0</v>
      </c>
      <c r="E178" s="225" t="s">
        <v>808</v>
      </c>
      <c r="F178" s="226">
        <v>45722.0</v>
      </c>
      <c r="G178" s="228">
        <f>IFERROR(__xludf.DUMMYFUNCTION("SUM(FILTER(C:C,B:B=F178,A:A=E178))"),5.0)</f>
        <v>5</v>
      </c>
      <c r="I178" s="225" t="s">
        <v>797</v>
      </c>
      <c r="J178" s="226">
        <v>45702.0</v>
      </c>
      <c r="K178" s="228">
        <v>6.0</v>
      </c>
    </row>
    <row r="179">
      <c r="A179" s="105" t="s">
        <v>808</v>
      </c>
      <c r="B179" s="107">
        <v>45722.0</v>
      </c>
      <c r="C179" s="227">
        <v>5.0</v>
      </c>
      <c r="E179" s="225" t="s">
        <v>799</v>
      </c>
      <c r="F179" s="226">
        <v>45722.0</v>
      </c>
      <c r="G179" s="228">
        <f>IFERROR(__xludf.DUMMYFUNCTION("SUM(FILTER(C:C,B:B=F179,A:A=E179))"),6.0)</f>
        <v>6</v>
      </c>
      <c r="I179" s="225" t="s">
        <v>797</v>
      </c>
      <c r="J179" s="226">
        <v>45709.0</v>
      </c>
      <c r="K179" s="228">
        <v>6.0</v>
      </c>
    </row>
    <row r="180">
      <c r="A180" s="105" t="s">
        <v>799</v>
      </c>
      <c r="B180" s="107">
        <v>45722.0</v>
      </c>
      <c r="C180" s="227">
        <v>6.0</v>
      </c>
      <c r="E180" s="225" t="s">
        <v>799</v>
      </c>
      <c r="F180" s="226">
        <v>45723.0</v>
      </c>
      <c r="G180" s="228">
        <f>IFERROR(__xludf.DUMMYFUNCTION("SUM(FILTER(C:C,B:B=F180,A:A=E180))"),4.0)</f>
        <v>4</v>
      </c>
      <c r="I180" s="225" t="s">
        <v>797</v>
      </c>
      <c r="J180" s="226">
        <v>45721.0</v>
      </c>
      <c r="K180" s="228">
        <v>6.0</v>
      </c>
    </row>
    <row r="181">
      <c r="A181" s="105" t="s">
        <v>799</v>
      </c>
      <c r="B181" s="107">
        <v>45723.0</v>
      </c>
      <c r="C181" s="227">
        <v>4.0</v>
      </c>
      <c r="E181" s="225" t="s">
        <v>808</v>
      </c>
      <c r="F181" s="226">
        <v>45723.0</v>
      </c>
      <c r="G181" s="228">
        <f>IFERROR(__xludf.DUMMYFUNCTION("SUM(FILTER(C:C,B:B=F181,A:A=E181))"),4.0)</f>
        <v>4</v>
      </c>
      <c r="I181" s="225" t="s">
        <v>797</v>
      </c>
      <c r="J181" s="226">
        <v>45729.0</v>
      </c>
      <c r="K181" s="228">
        <v>6.0</v>
      </c>
    </row>
    <row r="182">
      <c r="A182" s="105" t="s">
        <v>808</v>
      </c>
      <c r="B182" s="107">
        <v>45723.0</v>
      </c>
      <c r="C182" s="227">
        <v>4.0</v>
      </c>
      <c r="E182" s="225" t="s">
        <v>799</v>
      </c>
      <c r="F182" s="226">
        <v>45726.0</v>
      </c>
      <c r="G182" s="228">
        <f>IFERROR(__xludf.DUMMYFUNCTION("SUM(FILTER(C:C,B:B=F182,A:A=E182))"),5.0)</f>
        <v>5</v>
      </c>
      <c r="I182" s="225" t="s">
        <v>799</v>
      </c>
      <c r="J182" s="226">
        <v>45663.0</v>
      </c>
      <c r="K182" s="228">
        <v>6.0</v>
      </c>
    </row>
    <row r="183">
      <c r="A183" s="105" t="s">
        <v>799</v>
      </c>
      <c r="B183" s="107">
        <v>45726.0</v>
      </c>
      <c r="C183" s="227">
        <v>5.0</v>
      </c>
      <c r="E183" s="225" t="s">
        <v>799</v>
      </c>
      <c r="F183" s="226">
        <v>45727.0</v>
      </c>
      <c r="G183" s="228">
        <f>IFERROR(__xludf.DUMMYFUNCTION("SUM(FILTER(C:C,B:B=F183,A:A=E183))"),5.0)</f>
        <v>5</v>
      </c>
      <c r="I183" s="225" t="s">
        <v>799</v>
      </c>
      <c r="J183" s="226">
        <v>45665.0</v>
      </c>
      <c r="K183" s="228">
        <v>6.0</v>
      </c>
    </row>
    <row r="184">
      <c r="A184" s="105" t="s">
        <v>799</v>
      </c>
      <c r="B184" s="107">
        <v>45727.0</v>
      </c>
      <c r="C184" s="227">
        <v>5.0</v>
      </c>
      <c r="E184" s="225" t="s">
        <v>808</v>
      </c>
      <c r="F184" s="226">
        <v>45727.0</v>
      </c>
      <c r="G184" s="228">
        <f>IFERROR(__xludf.DUMMYFUNCTION("SUM(FILTER(C:C,B:B=F184,A:A=E184))"),4.0)</f>
        <v>4</v>
      </c>
      <c r="I184" s="225" t="s">
        <v>799</v>
      </c>
      <c r="J184" s="226">
        <v>45670.0</v>
      </c>
      <c r="K184" s="228">
        <v>6.0</v>
      </c>
    </row>
    <row r="185">
      <c r="A185" s="105" t="s">
        <v>808</v>
      </c>
      <c r="B185" s="107">
        <v>45727.0</v>
      </c>
      <c r="C185" s="227">
        <v>4.0</v>
      </c>
      <c r="E185" s="225" t="s">
        <v>808</v>
      </c>
      <c r="F185" s="226">
        <v>45730.0</v>
      </c>
      <c r="G185" s="228">
        <f>IFERROR(__xludf.DUMMYFUNCTION("SUM(FILTER(C:C,B:B=F185,A:A=E185))"),4.0)</f>
        <v>4</v>
      </c>
      <c r="I185" s="225" t="s">
        <v>799</v>
      </c>
      <c r="J185" s="226">
        <v>45672.0</v>
      </c>
      <c r="K185" s="228">
        <v>6.0</v>
      </c>
    </row>
    <row r="186">
      <c r="A186" s="105" t="s">
        <v>808</v>
      </c>
      <c r="B186" s="107">
        <v>45730.0</v>
      </c>
      <c r="C186" s="227">
        <v>4.0</v>
      </c>
      <c r="E186" s="225" t="s">
        <v>808</v>
      </c>
      <c r="F186" s="226">
        <v>45733.0</v>
      </c>
      <c r="G186" s="228">
        <f>IFERROR(__xludf.DUMMYFUNCTION("SUM(FILTER(C:C,B:B=F186,A:A=E186))"),5.0)</f>
        <v>5</v>
      </c>
      <c r="I186" s="225" t="s">
        <v>799</v>
      </c>
      <c r="J186" s="226">
        <v>45674.0</v>
      </c>
      <c r="K186" s="228">
        <v>6.0</v>
      </c>
    </row>
    <row r="187">
      <c r="A187" s="105" t="s">
        <v>808</v>
      </c>
      <c r="B187" s="107">
        <v>45733.0</v>
      </c>
      <c r="C187" s="227">
        <v>5.0</v>
      </c>
      <c r="E187" s="225" t="s">
        <v>799</v>
      </c>
      <c r="F187" s="226">
        <v>45733.0</v>
      </c>
      <c r="G187" s="228">
        <f>IFERROR(__xludf.DUMMYFUNCTION("SUM(FILTER(C:C,B:B=F187,A:A=E187))"),5.0)</f>
        <v>5</v>
      </c>
      <c r="I187" s="225" t="s">
        <v>799</v>
      </c>
      <c r="J187" s="226">
        <v>45677.0</v>
      </c>
      <c r="K187" s="228">
        <v>6.0</v>
      </c>
    </row>
    <row r="188">
      <c r="A188" s="105" t="s">
        <v>799</v>
      </c>
      <c r="B188" s="107">
        <v>45733.0</v>
      </c>
      <c r="C188" s="227">
        <v>5.0</v>
      </c>
      <c r="E188" s="225" t="s">
        <v>807</v>
      </c>
      <c r="F188" s="226">
        <v>45733.0</v>
      </c>
      <c r="G188" s="228">
        <f>IFERROR(__xludf.DUMMYFUNCTION("SUM(FILTER(C:C,B:B=F188,A:A=E188))"),8.0)</f>
        <v>8</v>
      </c>
      <c r="I188" s="225" t="s">
        <v>799</v>
      </c>
      <c r="J188" s="226">
        <v>45679.0</v>
      </c>
      <c r="K188" s="228">
        <v>6.0</v>
      </c>
    </row>
    <row r="189">
      <c r="A189" s="105" t="s">
        <v>807</v>
      </c>
      <c r="B189" s="107">
        <v>45733.0</v>
      </c>
      <c r="C189" s="227">
        <v>8.0</v>
      </c>
      <c r="E189" s="225" t="s">
        <v>799</v>
      </c>
      <c r="F189" s="226">
        <v>45735.0</v>
      </c>
      <c r="G189" s="228">
        <f>IFERROR(__xludf.DUMMYFUNCTION("SUM(FILTER(C:C,B:B=F189,A:A=E189))"),7.0)</f>
        <v>7</v>
      </c>
      <c r="I189" s="225" t="s">
        <v>799</v>
      </c>
      <c r="J189" s="226">
        <v>45681.0</v>
      </c>
      <c r="K189" s="228">
        <v>6.0</v>
      </c>
    </row>
    <row r="190">
      <c r="A190" s="105" t="s">
        <v>799</v>
      </c>
      <c r="B190" s="107">
        <v>45735.0</v>
      </c>
      <c r="C190" s="227">
        <v>7.0</v>
      </c>
      <c r="E190" s="225" t="s">
        <v>799</v>
      </c>
      <c r="F190" s="226">
        <v>45736.0</v>
      </c>
      <c r="G190" s="228">
        <f>IFERROR(__xludf.DUMMYFUNCTION("SUM(FILTER(C:C,B:B=F190,A:A=E190))"),7.0)</f>
        <v>7</v>
      </c>
      <c r="I190" s="225" t="s">
        <v>799</v>
      </c>
      <c r="J190" s="226">
        <v>45684.0</v>
      </c>
      <c r="K190" s="228">
        <v>6.0</v>
      </c>
    </row>
    <row r="191">
      <c r="A191" s="105" t="s">
        <v>799</v>
      </c>
      <c r="B191" s="107">
        <v>45736.0</v>
      </c>
      <c r="C191" s="227">
        <v>7.0</v>
      </c>
      <c r="E191" s="225" t="s">
        <v>808</v>
      </c>
      <c r="F191" s="226">
        <v>45736.0</v>
      </c>
      <c r="G191" s="228">
        <f>IFERROR(__xludf.DUMMYFUNCTION("SUM(FILTER(C:C,B:B=F191,A:A=E191))"),5.0)</f>
        <v>5</v>
      </c>
      <c r="I191" s="225" t="s">
        <v>799</v>
      </c>
      <c r="J191" s="226">
        <v>45685.0</v>
      </c>
      <c r="K191" s="228">
        <v>6.0</v>
      </c>
    </row>
    <row r="192">
      <c r="A192" s="105" t="s">
        <v>808</v>
      </c>
      <c r="B192" s="107">
        <v>45736.0</v>
      </c>
      <c r="C192" s="227">
        <v>5.0</v>
      </c>
      <c r="E192" s="225" t="s">
        <v>799</v>
      </c>
      <c r="F192" s="226">
        <v>45737.0</v>
      </c>
      <c r="G192" s="228">
        <f>IFERROR(__xludf.DUMMYFUNCTION("SUM(FILTER(C:C,B:B=F192,A:A=E192))"),6.0)</f>
        <v>6</v>
      </c>
      <c r="I192" s="225" t="s">
        <v>799</v>
      </c>
      <c r="J192" s="226">
        <v>45688.0</v>
      </c>
      <c r="K192" s="228">
        <v>6.0</v>
      </c>
    </row>
    <row r="193">
      <c r="A193" s="105" t="s">
        <v>799</v>
      </c>
      <c r="B193" s="107">
        <v>45737.0</v>
      </c>
      <c r="C193" s="227">
        <v>6.0</v>
      </c>
      <c r="E193" s="225" t="s">
        <v>808</v>
      </c>
      <c r="F193" s="226">
        <v>45740.0</v>
      </c>
      <c r="G193" s="228">
        <f>IFERROR(__xludf.DUMMYFUNCTION("SUM(FILTER(C:C,B:B=F193,A:A=E193))"),3.0)</f>
        <v>3</v>
      </c>
      <c r="I193" s="225" t="s">
        <v>799</v>
      </c>
      <c r="J193" s="226">
        <v>45695.0</v>
      </c>
      <c r="K193" s="228">
        <v>6.0</v>
      </c>
    </row>
    <row r="194">
      <c r="A194" s="105" t="s">
        <v>808</v>
      </c>
      <c r="B194" s="107">
        <v>45740.0</v>
      </c>
      <c r="C194" s="227">
        <v>3.0</v>
      </c>
      <c r="E194" s="225" t="s">
        <v>808</v>
      </c>
      <c r="F194" s="226">
        <v>45743.0</v>
      </c>
      <c r="G194" s="228">
        <f>IFERROR(__xludf.DUMMYFUNCTION("SUM(FILTER(C:C,B:B=F194,A:A=E194))"),4.0)</f>
        <v>4</v>
      </c>
      <c r="I194" s="225" t="s">
        <v>799</v>
      </c>
      <c r="J194" s="226">
        <v>45699.0</v>
      </c>
      <c r="K194" s="228">
        <v>6.0</v>
      </c>
    </row>
    <row r="195">
      <c r="A195" s="105" t="s">
        <v>808</v>
      </c>
      <c r="B195" s="107">
        <v>45743.0</v>
      </c>
      <c r="C195" s="227">
        <v>4.0</v>
      </c>
      <c r="E195" s="225" t="s">
        <v>808</v>
      </c>
      <c r="F195" s="226">
        <v>45744.0</v>
      </c>
      <c r="G195" s="228">
        <f>IFERROR(__xludf.DUMMYFUNCTION("SUM(FILTER(C:C,B:B=F195,A:A=E195))"),4.0)</f>
        <v>4</v>
      </c>
      <c r="I195" s="225" t="s">
        <v>799</v>
      </c>
      <c r="J195" s="226">
        <v>45701.0</v>
      </c>
      <c r="K195" s="228">
        <v>6.0</v>
      </c>
    </row>
    <row r="196">
      <c r="A196" s="105" t="s">
        <v>808</v>
      </c>
      <c r="B196" s="107">
        <v>45744.0</v>
      </c>
      <c r="C196" s="227">
        <v>4.0</v>
      </c>
      <c r="E196" s="225" t="s">
        <v>808</v>
      </c>
      <c r="F196" s="226">
        <v>45747.0</v>
      </c>
      <c r="G196" s="228">
        <f>IFERROR(__xludf.DUMMYFUNCTION("SUM(FILTER(C:C,B:B=F196,A:A=E196))"),3.0)</f>
        <v>3</v>
      </c>
      <c r="I196" s="225" t="s">
        <v>799</v>
      </c>
      <c r="J196" s="226">
        <v>45706.0</v>
      </c>
      <c r="K196" s="228">
        <v>6.0</v>
      </c>
    </row>
    <row r="197">
      <c r="A197" s="105" t="s">
        <v>808</v>
      </c>
      <c r="B197" s="107">
        <v>45747.0</v>
      </c>
      <c r="C197" s="227">
        <v>3.0</v>
      </c>
      <c r="E197" s="225" t="s">
        <v>795</v>
      </c>
      <c r="F197" s="226">
        <v>45764.0</v>
      </c>
      <c r="G197" s="228">
        <f>IFERROR(__xludf.DUMMYFUNCTION("SUM(FILTER(C:C,B:B=F197,A:A=E197))"),2.0)</f>
        <v>2</v>
      </c>
      <c r="I197" s="225" t="s">
        <v>799</v>
      </c>
      <c r="J197" s="226">
        <v>45707.0</v>
      </c>
      <c r="K197" s="228">
        <v>6.0</v>
      </c>
    </row>
    <row r="198">
      <c r="A198" s="105" t="s">
        <v>795</v>
      </c>
      <c r="B198" s="107">
        <v>45764.0</v>
      </c>
      <c r="C198" s="227">
        <v>2.0</v>
      </c>
      <c r="E198" s="225" t="s">
        <v>795</v>
      </c>
      <c r="F198" s="226">
        <v>45765.0</v>
      </c>
      <c r="G198" s="228">
        <f>IFERROR(__xludf.DUMMYFUNCTION("SUM(FILTER(C:C,B:B=F198,A:A=E198))"),7.0)</f>
        <v>7</v>
      </c>
      <c r="I198" s="225" t="s">
        <v>799</v>
      </c>
      <c r="J198" s="226">
        <v>45720.0</v>
      </c>
      <c r="K198" s="228">
        <v>6.0</v>
      </c>
    </row>
    <row r="199">
      <c r="A199" s="105" t="s">
        <v>795</v>
      </c>
      <c r="B199" s="107">
        <v>45765.0</v>
      </c>
      <c r="C199" s="227">
        <v>7.0</v>
      </c>
      <c r="E199" s="225" t="s">
        <v>795</v>
      </c>
      <c r="F199" s="226">
        <v>45768.0</v>
      </c>
      <c r="G199" s="228">
        <f>IFERROR(__xludf.DUMMYFUNCTION("SUM(FILTER(C:C,B:B=F199,A:A=E199))"),5.0)</f>
        <v>5</v>
      </c>
      <c r="I199" s="225" t="s">
        <v>799</v>
      </c>
      <c r="J199" s="226">
        <v>45722.0</v>
      </c>
      <c r="K199" s="228">
        <v>6.0</v>
      </c>
    </row>
    <row r="200">
      <c r="A200" s="105" t="s">
        <v>795</v>
      </c>
      <c r="B200" s="107">
        <v>45768.0</v>
      </c>
      <c r="C200" s="227">
        <v>5.0</v>
      </c>
      <c r="E200" s="225" t="s">
        <v>795</v>
      </c>
      <c r="F200" s="226">
        <v>45775.0</v>
      </c>
      <c r="G200" s="228">
        <f>IFERROR(__xludf.DUMMYFUNCTION("SUM(FILTER(C:C,B:B=F200,A:A=E200))"),7.0)</f>
        <v>7</v>
      </c>
      <c r="I200" s="225" t="s">
        <v>799</v>
      </c>
      <c r="J200" s="226">
        <v>45737.0</v>
      </c>
      <c r="K200" s="228">
        <v>6.0</v>
      </c>
    </row>
    <row r="201">
      <c r="A201" s="105" t="s">
        <v>795</v>
      </c>
      <c r="B201" s="107">
        <v>45775.0</v>
      </c>
      <c r="C201" s="227">
        <v>7.0</v>
      </c>
      <c r="E201" s="225" t="s">
        <v>795</v>
      </c>
      <c r="F201" s="226">
        <v>45776.0</v>
      </c>
      <c r="G201" s="228">
        <f>IFERROR(__xludf.DUMMYFUNCTION("SUM(FILTER(C:C,B:B=F201,A:A=E201))"),6.0)</f>
        <v>6</v>
      </c>
      <c r="I201" s="225" t="s">
        <v>795</v>
      </c>
      <c r="J201" s="226">
        <v>45776.0</v>
      </c>
      <c r="K201" s="228">
        <v>6.0</v>
      </c>
    </row>
    <row r="202">
      <c r="A202" s="105" t="s">
        <v>795</v>
      </c>
      <c r="B202" s="107">
        <v>45776.0</v>
      </c>
      <c r="C202" s="227">
        <v>6.0</v>
      </c>
      <c r="E202" s="225" t="s">
        <v>795</v>
      </c>
      <c r="F202" s="226">
        <v>45777.0</v>
      </c>
      <c r="G202" s="228">
        <f>IFERROR(__xludf.DUMMYFUNCTION("SUM(FILTER(C:C,B:B=F202,A:A=E202))"),4.0)</f>
        <v>4</v>
      </c>
      <c r="I202" s="225" t="s">
        <v>795</v>
      </c>
      <c r="J202" s="226">
        <v>45807.0</v>
      </c>
      <c r="K202" s="228">
        <v>6.0</v>
      </c>
    </row>
    <row r="203">
      <c r="A203" s="105" t="s">
        <v>795</v>
      </c>
      <c r="B203" s="107">
        <v>45777.0</v>
      </c>
      <c r="C203" s="227">
        <v>4.0</v>
      </c>
      <c r="E203" s="225" t="s">
        <v>795</v>
      </c>
      <c r="F203" s="226">
        <v>45789.0</v>
      </c>
      <c r="G203" s="228">
        <f>IFERROR(__xludf.DUMMYFUNCTION("SUM(FILTER(C:C,B:B=F203,A:A=E203))"),3.0)</f>
        <v>3</v>
      </c>
      <c r="I203" s="225" t="s">
        <v>795</v>
      </c>
      <c r="J203" s="226">
        <v>45824.0</v>
      </c>
      <c r="K203" s="228">
        <v>6.0</v>
      </c>
    </row>
    <row r="204">
      <c r="A204" s="105" t="s">
        <v>795</v>
      </c>
      <c r="B204" s="107">
        <v>45789.0</v>
      </c>
      <c r="C204" s="227">
        <v>3.0</v>
      </c>
      <c r="E204" s="225" t="s">
        <v>795</v>
      </c>
      <c r="F204" s="226">
        <v>45806.0</v>
      </c>
      <c r="G204" s="228">
        <f>IFERROR(__xludf.DUMMYFUNCTION("SUM(FILTER(C:C,B:B=F204,A:A=E204))"),2.0)</f>
        <v>2</v>
      </c>
      <c r="I204" s="225" t="s">
        <v>797</v>
      </c>
      <c r="J204" s="226">
        <v>45779.0</v>
      </c>
      <c r="K204" s="228">
        <v>6.0</v>
      </c>
    </row>
    <row r="205">
      <c r="A205" s="105" t="s">
        <v>795</v>
      </c>
      <c r="B205" s="107">
        <v>45806.0</v>
      </c>
      <c r="C205" s="227">
        <v>2.0</v>
      </c>
      <c r="E205" s="225" t="s">
        <v>795</v>
      </c>
      <c r="F205" s="226">
        <v>45807.0</v>
      </c>
      <c r="G205" s="228">
        <f>IFERROR(__xludf.DUMMYFUNCTION("SUM(FILTER(C:C,B:B=F205,A:A=E205))"),6.0)</f>
        <v>6</v>
      </c>
      <c r="I205" s="225" t="s">
        <v>797</v>
      </c>
      <c r="J205" s="226">
        <v>45772.0</v>
      </c>
      <c r="K205" s="228">
        <v>6.0</v>
      </c>
    </row>
    <row r="206">
      <c r="A206" s="105" t="s">
        <v>795</v>
      </c>
      <c r="B206" s="107">
        <v>45807.0</v>
      </c>
      <c r="C206" s="227">
        <v>6.0</v>
      </c>
      <c r="E206" s="225" t="s">
        <v>795</v>
      </c>
      <c r="F206" s="226">
        <v>45810.0</v>
      </c>
      <c r="G206" s="228">
        <f>IFERROR(__xludf.DUMMYFUNCTION("SUM(FILTER(C:C,B:B=F206,A:A=E206))"),5.0)</f>
        <v>5</v>
      </c>
      <c r="I206" s="225" t="s">
        <v>797</v>
      </c>
      <c r="J206" s="226">
        <v>45782.0</v>
      </c>
      <c r="K206" s="228">
        <v>6.0</v>
      </c>
    </row>
    <row r="207">
      <c r="A207" s="105" t="s">
        <v>795</v>
      </c>
      <c r="B207" s="107">
        <v>45810.0</v>
      </c>
      <c r="C207" s="227">
        <v>5.0</v>
      </c>
      <c r="E207" s="225" t="s">
        <v>795</v>
      </c>
      <c r="F207" s="226">
        <v>45824.0</v>
      </c>
      <c r="G207" s="228">
        <f>IFERROR(__xludf.DUMMYFUNCTION("SUM(FILTER(C:C,B:B=F207,A:A=E207))"),6.0)</f>
        <v>6</v>
      </c>
      <c r="I207" s="225" t="s">
        <v>797</v>
      </c>
      <c r="J207" s="226">
        <v>45783.0</v>
      </c>
      <c r="K207" s="228">
        <v>6.0</v>
      </c>
    </row>
    <row r="208">
      <c r="A208" s="105" t="s">
        <v>795</v>
      </c>
      <c r="B208" s="107">
        <v>45824.0</v>
      </c>
      <c r="C208" s="227">
        <v>6.0</v>
      </c>
      <c r="E208" s="225" t="s">
        <v>795</v>
      </c>
      <c r="F208" s="226">
        <v>45825.0</v>
      </c>
      <c r="G208" s="228">
        <f>IFERROR(__xludf.DUMMYFUNCTION("SUM(FILTER(C:C,B:B=F208,A:A=E208))"),7.0)</f>
        <v>7</v>
      </c>
      <c r="I208" s="225" t="s">
        <v>797</v>
      </c>
      <c r="J208" s="226">
        <v>45784.0</v>
      </c>
      <c r="K208" s="228">
        <v>6.0</v>
      </c>
    </row>
    <row r="209">
      <c r="A209" s="105" t="s">
        <v>795</v>
      </c>
      <c r="B209" s="107">
        <v>45825.0</v>
      </c>
      <c r="C209" s="227">
        <v>7.0</v>
      </c>
      <c r="E209" s="225" t="s">
        <v>795</v>
      </c>
      <c r="F209" s="226">
        <v>45826.0</v>
      </c>
      <c r="G209" s="228">
        <f>IFERROR(__xludf.DUMMYFUNCTION("SUM(FILTER(C:C,B:B=F209,A:A=E209))"),7.0)</f>
        <v>7</v>
      </c>
      <c r="I209" s="225" t="s">
        <v>797</v>
      </c>
      <c r="J209" s="226">
        <v>45798.0</v>
      </c>
      <c r="K209" s="228">
        <v>6.0</v>
      </c>
    </row>
    <row r="210">
      <c r="A210" s="105" t="s">
        <v>795</v>
      </c>
      <c r="B210" s="107">
        <v>45826.0</v>
      </c>
      <c r="C210" s="227">
        <v>7.0</v>
      </c>
      <c r="E210" s="225" t="s">
        <v>800</v>
      </c>
      <c r="F210" s="226">
        <v>45824.0</v>
      </c>
      <c r="G210" s="228">
        <f>IFERROR(__xludf.DUMMYFUNCTION("SUM(FILTER(C:C,B:B=F210,A:A=E210))"),8.0)</f>
        <v>8</v>
      </c>
      <c r="I210" s="225" t="s">
        <v>797</v>
      </c>
      <c r="J210" s="226">
        <v>45806.0</v>
      </c>
      <c r="K210" s="228">
        <v>6.0</v>
      </c>
    </row>
    <row r="211">
      <c r="A211" s="105" t="s">
        <v>800</v>
      </c>
      <c r="B211" s="107">
        <v>45824.0</v>
      </c>
      <c r="C211" s="227">
        <v>3.0</v>
      </c>
      <c r="E211" s="225" t="s">
        <v>800</v>
      </c>
      <c r="F211" s="226">
        <v>45762.0</v>
      </c>
      <c r="G211" s="228">
        <f>IFERROR(__xludf.DUMMYFUNCTION("SUM(FILTER(C:C,B:B=F211,A:A=E211))"),10.5)</f>
        <v>10.5</v>
      </c>
      <c r="I211" s="225" t="s">
        <v>799</v>
      </c>
      <c r="J211" s="226">
        <v>45749.0</v>
      </c>
      <c r="K211" s="228">
        <v>6.0</v>
      </c>
    </row>
    <row r="212">
      <c r="A212" s="105" t="s">
        <v>800</v>
      </c>
      <c r="B212" s="107">
        <v>45762.0</v>
      </c>
      <c r="C212" s="227">
        <v>1.5</v>
      </c>
      <c r="E212" s="225" t="s">
        <v>800</v>
      </c>
      <c r="F212" s="226">
        <v>45763.0</v>
      </c>
      <c r="G212" s="228">
        <f>IFERROR(__xludf.DUMMYFUNCTION("SUM(FILTER(C:C,B:B=F212,A:A=E212))"),10.0)</f>
        <v>10</v>
      </c>
      <c r="I212" s="225" t="s">
        <v>808</v>
      </c>
      <c r="J212" s="226">
        <v>45754.0</v>
      </c>
      <c r="K212" s="228">
        <v>6.0</v>
      </c>
    </row>
    <row r="213">
      <c r="A213" s="105" t="s">
        <v>800</v>
      </c>
      <c r="B213" s="107">
        <v>45763.0</v>
      </c>
      <c r="C213" s="227">
        <v>9.0</v>
      </c>
      <c r="E213" s="225" t="s">
        <v>800</v>
      </c>
      <c r="F213" s="226">
        <v>45768.0</v>
      </c>
      <c r="G213" s="228">
        <f>IFERROR(__xludf.DUMMYFUNCTION("SUM(FILTER(C:C,B:B=F213,A:A=E213))"),9.0)</f>
        <v>9</v>
      </c>
      <c r="I213" s="225" t="s">
        <v>799</v>
      </c>
      <c r="J213" s="226">
        <v>45754.0</v>
      </c>
      <c r="K213" s="228">
        <v>6.0</v>
      </c>
    </row>
    <row r="214">
      <c r="A214" s="105" t="s">
        <v>800</v>
      </c>
      <c r="B214" s="107">
        <v>45768.0</v>
      </c>
      <c r="C214" s="227">
        <v>9.0</v>
      </c>
      <c r="E214" s="225" t="s">
        <v>800</v>
      </c>
      <c r="F214" s="226">
        <v>45770.0</v>
      </c>
      <c r="G214" s="228">
        <f>IFERROR(__xludf.DUMMYFUNCTION("SUM(FILTER(C:C,B:B=F214,A:A=E214))"),9.0)</f>
        <v>9</v>
      </c>
      <c r="I214" s="225" t="s">
        <v>799</v>
      </c>
      <c r="J214" s="226">
        <v>45756.0</v>
      </c>
      <c r="K214" s="228">
        <v>6.0</v>
      </c>
    </row>
    <row r="215">
      <c r="A215" s="105" t="s">
        <v>800</v>
      </c>
      <c r="B215" s="107">
        <v>45770.0</v>
      </c>
      <c r="C215" s="227">
        <v>4.0</v>
      </c>
      <c r="E215" s="225" t="s">
        <v>800</v>
      </c>
      <c r="F215" s="226">
        <v>45772.0</v>
      </c>
      <c r="G215" s="228">
        <f>IFERROR(__xludf.DUMMYFUNCTION("SUM(FILTER(C:C,B:B=F215,A:A=E215))"),9.0)</f>
        <v>9</v>
      </c>
      <c r="I215" s="225" t="s">
        <v>799</v>
      </c>
      <c r="J215" s="226">
        <v>45758.0</v>
      </c>
      <c r="K215" s="228">
        <v>6.0</v>
      </c>
    </row>
    <row r="216">
      <c r="A216" s="105" t="s">
        <v>800</v>
      </c>
      <c r="B216" s="107">
        <v>45772.0</v>
      </c>
      <c r="C216" s="227">
        <v>9.0</v>
      </c>
      <c r="E216" s="225" t="s">
        <v>800</v>
      </c>
      <c r="F216" s="226">
        <v>45777.0</v>
      </c>
      <c r="G216" s="228">
        <f>IFERROR(__xludf.DUMMYFUNCTION("SUM(FILTER(C:C,B:B=F216,A:A=E216))"),9.0)</f>
        <v>9</v>
      </c>
      <c r="I216" s="225" t="s">
        <v>808</v>
      </c>
      <c r="J216" s="226">
        <v>45764.0</v>
      </c>
      <c r="K216" s="228">
        <v>6.0</v>
      </c>
    </row>
    <row r="217">
      <c r="A217" s="105" t="s">
        <v>800</v>
      </c>
      <c r="B217" s="107">
        <v>45777.0</v>
      </c>
      <c r="C217" s="227">
        <v>9.0</v>
      </c>
      <c r="E217" s="225" t="s">
        <v>800</v>
      </c>
      <c r="F217" s="226">
        <v>45778.0</v>
      </c>
      <c r="G217" s="228">
        <f>IFERROR(__xludf.DUMMYFUNCTION("SUM(FILTER(C:C,B:B=F217,A:A=E217))"),9.0)</f>
        <v>9</v>
      </c>
      <c r="I217" s="225" t="s">
        <v>799</v>
      </c>
      <c r="J217" s="226">
        <v>45764.0</v>
      </c>
      <c r="K217" s="228">
        <v>6.0</v>
      </c>
    </row>
    <row r="218">
      <c r="A218" s="105" t="s">
        <v>800</v>
      </c>
      <c r="B218" s="107">
        <v>45778.0</v>
      </c>
      <c r="C218" s="227">
        <v>9.0</v>
      </c>
      <c r="E218" s="225" t="s">
        <v>797</v>
      </c>
      <c r="F218" s="226">
        <v>45779.0</v>
      </c>
      <c r="G218" s="228">
        <f>IFERROR(__xludf.DUMMYFUNCTION("SUM(FILTER(C:C,B:B=F218,A:A=E218))"),6.0)</f>
        <v>6</v>
      </c>
      <c r="I218" s="225" t="s">
        <v>808</v>
      </c>
      <c r="J218" s="226">
        <v>45770.0</v>
      </c>
      <c r="K218" s="228">
        <v>6.0</v>
      </c>
    </row>
    <row r="219">
      <c r="A219" s="105" t="s">
        <v>797</v>
      </c>
      <c r="B219" s="107">
        <v>45779.0</v>
      </c>
      <c r="C219" s="227">
        <v>6.0</v>
      </c>
      <c r="E219" s="225" t="s">
        <v>797</v>
      </c>
      <c r="F219" s="226">
        <v>45811.0</v>
      </c>
      <c r="G219" s="228">
        <f>IFERROR(__xludf.DUMMYFUNCTION("SUM(FILTER(C:C,B:B=F219,A:A=E219))"),8.0)</f>
        <v>8</v>
      </c>
      <c r="I219" s="225" t="s">
        <v>799</v>
      </c>
      <c r="J219" s="226">
        <v>45770.0</v>
      </c>
      <c r="K219" s="228">
        <v>6.0</v>
      </c>
    </row>
    <row r="220">
      <c r="A220" s="105" t="s">
        <v>797</v>
      </c>
      <c r="B220" s="107">
        <v>45811.0</v>
      </c>
      <c r="C220" s="227">
        <v>8.0</v>
      </c>
      <c r="E220" s="225" t="s">
        <v>797</v>
      </c>
      <c r="F220" s="226">
        <v>45812.0</v>
      </c>
      <c r="G220" s="228">
        <f>IFERROR(__xludf.DUMMYFUNCTION("SUM(FILTER(C:C,B:B=F220,A:A=E220))"),8.0)</f>
        <v>8</v>
      </c>
      <c r="I220" s="225" t="s">
        <v>799</v>
      </c>
      <c r="J220" s="226">
        <v>45775.0</v>
      </c>
      <c r="K220" s="228">
        <v>6.0</v>
      </c>
    </row>
    <row r="221">
      <c r="A221" s="105" t="s">
        <v>797</v>
      </c>
      <c r="B221" s="107">
        <v>45812.0</v>
      </c>
      <c r="C221" s="227">
        <v>8.0</v>
      </c>
      <c r="E221" s="225" t="s">
        <v>797</v>
      </c>
      <c r="F221" s="226">
        <v>45748.0</v>
      </c>
      <c r="G221" s="228">
        <f>IFERROR(__xludf.DUMMYFUNCTION("SUM(FILTER(C:C,B:B=F221,A:A=E221))"),8.0)</f>
        <v>8</v>
      </c>
      <c r="I221" s="225" t="s">
        <v>799</v>
      </c>
      <c r="J221" s="226">
        <v>45777.0</v>
      </c>
      <c r="K221" s="228">
        <v>6.0</v>
      </c>
    </row>
    <row r="222">
      <c r="A222" s="105" t="s">
        <v>797</v>
      </c>
      <c r="B222" s="107">
        <v>45748.0</v>
      </c>
      <c r="C222" s="227">
        <v>8.0</v>
      </c>
      <c r="E222" s="225" t="s">
        <v>797</v>
      </c>
      <c r="F222" s="226">
        <v>45749.0</v>
      </c>
      <c r="G222" s="228">
        <f>IFERROR(__xludf.DUMMYFUNCTION("SUM(FILTER(C:C,B:B=F222,A:A=E222))"),8.0)</f>
        <v>8</v>
      </c>
      <c r="I222" s="225" t="s">
        <v>799</v>
      </c>
      <c r="J222" s="226">
        <v>45783.0</v>
      </c>
      <c r="K222" s="228">
        <v>6.0</v>
      </c>
    </row>
    <row r="223">
      <c r="A223" s="105" t="s">
        <v>797</v>
      </c>
      <c r="B223" s="107">
        <v>45749.0</v>
      </c>
      <c r="C223" s="227">
        <v>8.0</v>
      </c>
      <c r="E223" s="225" t="s">
        <v>797</v>
      </c>
      <c r="F223" s="226">
        <v>45750.0</v>
      </c>
      <c r="G223" s="228">
        <f>IFERROR(__xludf.DUMMYFUNCTION("SUM(FILTER(C:C,B:B=F223,A:A=E223))"),7.0)</f>
        <v>7</v>
      </c>
      <c r="I223" s="225" t="s">
        <v>808</v>
      </c>
      <c r="J223" s="226">
        <v>45783.0</v>
      </c>
      <c r="K223" s="228">
        <v>6.0</v>
      </c>
    </row>
    <row r="224">
      <c r="A224" s="105" t="s">
        <v>797</v>
      </c>
      <c r="B224" s="107">
        <v>45750.0</v>
      </c>
      <c r="C224" s="227">
        <v>7.0</v>
      </c>
      <c r="E224" s="225" t="s">
        <v>797</v>
      </c>
      <c r="F224" s="226">
        <v>45754.0</v>
      </c>
      <c r="G224" s="228">
        <f>IFERROR(__xludf.DUMMYFUNCTION("SUM(FILTER(C:C,B:B=F224,A:A=E224))"),5.0)</f>
        <v>5</v>
      </c>
      <c r="I224" s="225" t="s">
        <v>799</v>
      </c>
      <c r="J224" s="226">
        <v>45785.0</v>
      </c>
      <c r="K224" s="228">
        <v>6.0</v>
      </c>
    </row>
    <row r="225">
      <c r="A225" s="105" t="s">
        <v>797</v>
      </c>
      <c r="B225" s="107">
        <v>45754.0</v>
      </c>
      <c r="C225" s="227">
        <v>5.0</v>
      </c>
      <c r="E225" s="225" t="s">
        <v>797</v>
      </c>
      <c r="F225" s="226">
        <v>45755.0</v>
      </c>
      <c r="G225" s="228">
        <f>IFERROR(__xludf.DUMMYFUNCTION("SUM(FILTER(C:C,B:B=F225,A:A=E225))"),8.0)</f>
        <v>8</v>
      </c>
      <c r="I225" s="225" t="s">
        <v>799</v>
      </c>
      <c r="J225" s="226">
        <v>45786.0</v>
      </c>
      <c r="K225" s="228">
        <v>6.0</v>
      </c>
    </row>
    <row r="226">
      <c r="A226" s="105" t="s">
        <v>797</v>
      </c>
      <c r="B226" s="107">
        <v>45755.0</v>
      </c>
      <c r="C226" s="227">
        <v>8.0</v>
      </c>
      <c r="E226" s="225" t="s">
        <v>797</v>
      </c>
      <c r="F226" s="226">
        <v>45761.0</v>
      </c>
      <c r="G226" s="228">
        <f>IFERROR(__xludf.DUMMYFUNCTION("SUM(FILTER(C:C,B:B=F226,A:A=E226))"),8.0)</f>
        <v>8</v>
      </c>
      <c r="I226" s="225" t="s">
        <v>799</v>
      </c>
      <c r="J226" s="226">
        <v>45791.0</v>
      </c>
      <c r="K226" s="228">
        <v>6.0</v>
      </c>
    </row>
    <row r="227">
      <c r="A227" s="105" t="s">
        <v>797</v>
      </c>
      <c r="B227" s="107">
        <v>45761.0</v>
      </c>
      <c r="C227" s="227">
        <v>8.0</v>
      </c>
      <c r="E227" s="225" t="s">
        <v>797</v>
      </c>
      <c r="F227" s="226">
        <v>45762.0</v>
      </c>
      <c r="G227" s="228">
        <f>IFERROR(__xludf.DUMMYFUNCTION("SUM(FILTER(C:C,B:B=F227,A:A=E227))"),5.0)</f>
        <v>5</v>
      </c>
      <c r="I227" s="225" t="s">
        <v>808</v>
      </c>
      <c r="J227" s="226">
        <v>45792.0</v>
      </c>
      <c r="K227" s="228">
        <v>6.0</v>
      </c>
    </row>
    <row r="228">
      <c r="A228" s="105" t="s">
        <v>797</v>
      </c>
      <c r="B228" s="107">
        <v>45762.0</v>
      </c>
      <c r="C228" s="227">
        <v>5.0</v>
      </c>
      <c r="E228" s="225" t="s">
        <v>797</v>
      </c>
      <c r="F228" s="226">
        <v>45763.0</v>
      </c>
      <c r="G228" s="228">
        <f>IFERROR(__xludf.DUMMYFUNCTION("SUM(FILTER(C:C,B:B=F228,A:A=E228))"),5.0)</f>
        <v>5</v>
      </c>
      <c r="I228" s="225" t="s">
        <v>799</v>
      </c>
      <c r="J228" s="226">
        <v>45792.0</v>
      </c>
      <c r="K228" s="228">
        <v>6.0</v>
      </c>
    </row>
    <row r="229">
      <c r="A229" s="105" t="s">
        <v>797</v>
      </c>
      <c r="B229" s="107">
        <v>45763.0</v>
      </c>
      <c r="C229" s="227">
        <v>5.0</v>
      </c>
      <c r="E229" s="225" t="s">
        <v>797</v>
      </c>
      <c r="F229" s="226">
        <v>45769.0</v>
      </c>
      <c r="G229" s="228">
        <f>IFERROR(__xludf.DUMMYFUNCTION("SUM(FILTER(C:C,B:B=F229,A:A=E229))"),8.0)</f>
        <v>8</v>
      </c>
      <c r="I229" s="225" t="s">
        <v>808</v>
      </c>
      <c r="J229" s="226">
        <v>45793.0</v>
      </c>
      <c r="K229" s="228">
        <v>6.0</v>
      </c>
    </row>
    <row r="230">
      <c r="A230" s="105" t="s">
        <v>797</v>
      </c>
      <c r="B230" s="107">
        <v>45769.0</v>
      </c>
      <c r="C230" s="227">
        <v>8.0</v>
      </c>
      <c r="E230" s="225" t="s">
        <v>797</v>
      </c>
      <c r="F230" s="226">
        <v>45770.0</v>
      </c>
      <c r="G230" s="228">
        <f>IFERROR(__xludf.DUMMYFUNCTION("SUM(FILTER(C:C,B:B=F230,A:A=E230))"),8.0)</f>
        <v>8</v>
      </c>
      <c r="I230" s="225" t="s">
        <v>808</v>
      </c>
      <c r="J230" s="226">
        <v>45796.0</v>
      </c>
      <c r="K230" s="228">
        <v>6.0</v>
      </c>
    </row>
    <row r="231">
      <c r="A231" s="105" t="s">
        <v>797</v>
      </c>
      <c r="B231" s="107">
        <v>45770.0</v>
      </c>
      <c r="C231" s="227">
        <v>8.0</v>
      </c>
      <c r="E231" s="225" t="s">
        <v>797</v>
      </c>
      <c r="F231" s="226">
        <v>45791.0</v>
      </c>
      <c r="G231" s="228">
        <f>IFERROR(__xludf.DUMMYFUNCTION("SUM(FILTER(C:C,B:B=F231,A:A=E231))"),8.0)</f>
        <v>8</v>
      </c>
      <c r="I231" s="225" t="s">
        <v>799</v>
      </c>
      <c r="J231" s="226">
        <v>45796.0</v>
      </c>
      <c r="K231" s="228">
        <v>6.0</v>
      </c>
    </row>
    <row r="232">
      <c r="A232" s="105" t="s">
        <v>797</v>
      </c>
      <c r="B232" s="107">
        <v>45791.0</v>
      </c>
      <c r="C232" s="227">
        <v>8.0</v>
      </c>
      <c r="E232" s="225" t="s">
        <v>800</v>
      </c>
      <c r="F232" s="226">
        <v>45748.0</v>
      </c>
      <c r="G232" s="228">
        <f>IFERROR(__xludf.DUMMYFUNCTION("SUM(FILTER(C:C,B:B=F232,A:A=E232))"),9.0)</f>
        <v>9</v>
      </c>
      <c r="I232" s="225" t="s">
        <v>799</v>
      </c>
      <c r="J232" s="226">
        <v>45797.0</v>
      </c>
      <c r="K232" s="228">
        <v>6.0</v>
      </c>
    </row>
    <row r="233">
      <c r="A233" s="105" t="s">
        <v>800</v>
      </c>
      <c r="B233" s="107">
        <v>45748.0</v>
      </c>
      <c r="C233" s="227">
        <v>9.0</v>
      </c>
      <c r="E233" s="225" t="s">
        <v>809</v>
      </c>
      <c r="F233" s="226">
        <v>45748.0</v>
      </c>
      <c r="G233" s="228">
        <f>IFERROR(__xludf.DUMMYFUNCTION("SUM(FILTER(C:C,B:B=F233,A:A=E233))"),3.0)</f>
        <v>3</v>
      </c>
      <c r="I233" s="225" t="s">
        <v>808</v>
      </c>
      <c r="J233" s="226">
        <v>45797.0</v>
      </c>
      <c r="K233" s="228">
        <v>6.0</v>
      </c>
    </row>
    <row r="234">
      <c r="A234" s="105" t="s">
        <v>809</v>
      </c>
      <c r="B234" s="107">
        <v>45748.0</v>
      </c>
      <c r="C234" s="227">
        <v>3.0</v>
      </c>
      <c r="E234" s="225" t="s">
        <v>796</v>
      </c>
      <c r="F234" s="226">
        <v>45748.0</v>
      </c>
      <c r="G234" s="228">
        <f>IFERROR(__xludf.DUMMYFUNCTION("SUM(FILTER(C:C,B:B=F234,A:A=E234))"),9.0)</f>
        <v>9</v>
      </c>
      <c r="I234" s="225" t="s">
        <v>799</v>
      </c>
      <c r="J234" s="226">
        <v>45800.0</v>
      </c>
      <c r="K234" s="228">
        <v>6.0</v>
      </c>
    </row>
    <row r="235">
      <c r="A235" s="105" t="s">
        <v>796</v>
      </c>
      <c r="B235" s="107">
        <v>45748.0</v>
      </c>
      <c r="C235" s="227">
        <v>9.0</v>
      </c>
      <c r="E235" s="225" t="s">
        <v>796</v>
      </c>
      <c r="F235" s="226">
        <v>45749.0</v>
      </c>
      <c r="G235" s="228">
        <f>IFERROR(__xludf.DUMMYFUNCTION("SUM(FILTER(C:C,B:B=F235,A:A=E235))"),12.0)</f>
        <v>12</v>
      </c>
      <c r="I235" s="225" t="s">
        <v>799</v>
      </c>
      <c r="J235" s="226">
        <v>45803.0</v>
      </c>
      <c r="K235" s="228">
        <v>6.0</v>
      </c>
    </row>
    <row r="236">
      <c r="A236" s="105" t="s">
        <v>796</v>
      </c>
      <c r="B236" s="113">
        <v>45749.0</v>
      </c>
      <c r="C236" s="227">
        <v>7.0</v>
      </c>
      <c r="E236" s="225" t="s">
        <v>809</v>
      </c>
      <c r="F236" s="226">
        <v>45749.0</v>
      </c>
      <c r="G236" s="228">
        <f>IFERROR(__xludf.DUMMYFUNCTION("SUM(FILTER(C:C,B:B=F236,A:A=E236))"),2.0)</f>
        <v>2</v>
      </c>
      <c r="I236" s="225" t="s">
        <v>799</v>
      </c>
      <c r="J236" s="226">
        <v>45804.0</v>
      </c>
      <c r="K236" s="228">
        <v>6.0</v>
      </c>
    </row>
    <row r="237">
      <c r="A237" s="105" t="s">
        <v>809</v>
      </c>
      <c r="B237" s="113">
        <v>45749.0</v>
      </c>
      <c r="C237" s="227">
        <v>2.0</v>
      </c>
      <c r="E237" s="225" t="s">
        <v>800</v>
      </c>
      <c r="F237" s="226">
        <v>45749.0</v>
      </c>
      <c r="G237" s="228">
        <f>IFERROR(__xludf.DUMMYFUNCTION("SUM(FILTER(C:C,B:B=F237,A:A=E237))"),9.0)</f>
        <v>9</v>
      </c>
      <c r="I237" s="225" t="s">
        <v>799</v>
      </c>
      <c r="J237" s="226">
        <v>45805.0</v>
      </c>
      <c r="K237" s="228">
        <v>6.0</v>
      </c>
    </row>
    <row r="238">
      <c r="A238" s="105" t="s">
        <v>800</v>
      </c>
      <c r="B238" s="113">
        <v>45749.0</v>
      </c>
      <c r="C238" s="227">
        <v>4.0</v>
      </c>
      <c r="E238" s="225" t="s">
        <v>800</v>
      </c>
      <c r="F238" s="226">
        <v>45750.0</v>
      </c>
      <c r="G238" s="228">
        <f>IFERROR(__xludf.DUMMYFUNCTION("SUM(FILTER(C:C,B:B=F238,A:A=E238))"),9.0)</f>
        <v>9</v>
      </c>
      <c r="I238" s="225" t="s">
        <v>799</v>
      </c>
      <c r="J238" s="226">
        <v>45807.0</v>
      </c>
      <c r="K238" s="228">
        <v>6.0</v>
      </c>
    </row>
    <row r="239">
      <c r="A239" s="105" t="s">
        <v>800</v>
      </c>
      <c r="B239" s="113">
        <v>45750.0</v>
      </c>
      <c r="C239" s="227">
        <v>4.0</v>
      </c>
      <c r="E239" s="225" t="s">
        <v>796</v>
      </c>
      <c r="F239" s="226">
        <v>45750.0</v>
      </c>
      <c r="G239" s="228">
        <f>IFERROR(__xludf.DUMMYFUNCTION("SUM(FILTER(C:C,B:B=F239,A:A=E239))"),9.0)</f>
        <v>9</v>
      </c>
      <c r="I239" s="225" t="s">
        <v>799</v>
      </c>
      <c r="J239" s="226">
        <v>45810.0</v>
      </c>
      <c r="K239" s="228">
        <v>6.0</v>
      </c>
    </row>
    <row r="240">
      <c r="A240" s="105" t="s">
        <v>796</v>
      </c>
      <c r="B240" s="113">
        <v>45750.0</v>
      </c>
      <c r="C240" s="227">
        <v>4.0</v>
      </c>
      <c r="E240" s="225" t="s">
        <v>796</v>
      </c>
      <c r="F240" s="226">
        <v>45751.0</v>
      </c>
      <c r="G240" s="228">
        <f>IFERROR(__xludf.DUMMYFUNCTION("SUM(FILTER(C:C,B:B=F240,A:A=E240))"),9.0)</f>
        <v>9</v>
      </c>
      <c r="I240" s="225" t="s">
        <v>799</v>
      </c>
      <c r="J240" s="226">
        <v>45811.0</v>
      </c>
      <c r="K240" s="228">
        <v>6.0</v>
      </c>
    </row>
    <row r="241">
      <c r="A241" s="105" t="s">
        <v>796</v>
      </c>
      <c r="B241" s="113">
        <v>45751.0</v>
      </c>
      <c r="C241" s="227">
        <v>4.0</v>
      </c>
      <c r="E241" s="225" t="s">
        <v>809</v>
      </c>
      <c r="F241" s="226">
        <v>45751.0</v>
      </c>
      <c r="G241" s="228">
        <f>IFERROR(__xludf.DUMMYFUNCTION("SUM(FILTER(C:C,B:B=F241,A:A=E241))"),3.0)</f>
        <v>3</v>
      </c>
      <c r="I241" s="225" t="s">
        <v>800</v>
      </c>
      <c r="J241" s="226">
        <v>45786.0</v>
      </c>
      <c r="K241" s="228">
        <v>6.0</v>
      </c>
    </row>
    <row r="242">
      <c r="A242" s="105" t="s">
        <v>809</v>
      </c>
      <c r="B242" s="113">
        <v>45751.0</v>
      </c>
      <c r="C242" s="227">
        <v>3.0</v>
      </c>
      <c r="E242" s="225" t="s">
        <v>800</v>
      </c>
      <c r="F242" s="226">
        <v>45751.0</v>
      </c>
      <c r="G242" s="228">
        <f>IFERROR(__xludf.DUMMYFUNCTION("SUM(FILTER(C:C,B:B=F242,A:A=E242))"),9.0)</f>
        <v>9</v>
      </c>
      <c r="I242" s="225" t="s">
        <v>800</v>
      </c>
      <c r="J242" s="226">
        <v>45789.0</v>
      </c>
      <c r="K242" s="228">
        <v>6.0</v>
      </c>
    </row>
    <row r="243">
      <c r="A243" s="105" t="s">
        <v>800</v>
      </c>
      <c r="B243" s="107">
        <v>45751.0</v>
      </c>
      <c r="C243" s="227">
        <v>4.0</v>
      </c>
      <c r="E243" s="225" t="s">
        <v>800</v>
      </c>
      <c r="F243" s="226">
        <v>45754.0</v>
      </c>
      <c r="G243" s="228">
        <f>IFERROR(__xludf.DUMMYFUNCTION("SUM(FILTER(C:C,B:B=F243,A:A=E243))"),4.0)</f>
        <v>4</v>
      </c>
      <c r="I243" s="225" t="s">
        <v>800</v>
      </c>
      <c r="J243" s="226">
        <v>45797.0</v>
      </c>
      <c r="K243" s="228">
        <v>6.0</v>
      </c>
    </row>
    <row r="244">
      <c r="A244" s="105" t="s">
        <v>800</v>
      </c>
      <c r="B244" s="113">
        <v>45754.0</v>
      </c>
      <c r="C244" s="227">
        <v>4.0</v>
      </c>
      <c r="E244" s="225" t="s">
        <v>796</v>
      </c>
      <c r="F244" s="226">
        <v>45754.0</v>
      </c>
      <c r="G244" s="228">
        <f>IFERROR(__xludf.DUMMYFUNCTION("SUM(FILTER(C:C,B:B=F244,A:A=E244))"),4.0)</f>
        <v>4</v>
      </c>
      <c r="I244" s="225" t="s">
        <v>800</v>
      </c>
      <c r="J244" s="226">
        <v>45807.0</v>
      </c>
      <c r="K244" s="228">
        <v>6.0</v>
      </c>
    </row>
    <row r="245">
      <c r="A245" s="105" t="s">
        <v>796</v>
      </c>
      <c r="B245" s="113">
        <v>45754.0</v>
      </c>
      <c r="C245" s="227">
        <v>4.0</v>
      </c>
      <c r="E245" s="225" t="s">
        <v>796</v>
      </c>
      <c r="F245" s="226">
        <v>45756.0</v>
      </c>
      <c r="G245" s="228">
        <f>IFERROR(__xludf.DUMMYFUNCTION("SUM(FILTER(C:C,B:B=F245,A:A=E245))"),9.0)</f>
        <v>9</v>
      </c>
      <c r="I245" s="225" t="s">
        <v>800</v>
      </c>
      <c r="J245" s="226">
        <v>45810.0</v>
      </c>
      <c r="K245" s="228">
        <v>6.0</v>
      </c>
    </row>
    <row r="246">
      <c r="A246" s="105" t="s">
        <v>796</v>
      </c>
      <c r="B246" s="113">
        <v>45756.0</v>
      </c>
      <c r="C246" s="227">
        <v>4.0</v>
      </c>
      <c r="E246" s="225" t="s">
        <v>809</v>
      </c>
      <c r="F246" s="226">
        <v>45756.0</v>
      </c>
      <c r="G246" s="228">
        <f>IFERROR(__xludf.DUMMYFUNCTION("SUM(FILTER(C:C,B:B=F246,A:A=E246))"),3.0)</f>
        <v>3</v>
      </c>
      <c r="I246" s="225" t="s">
        <v>800</v>
      </c>
      <c r="J246" s="226">
        <v>45812.0</v>
      </c>
      <c r="K246" s="228">
        <v>6.0</v>
      </c>
    </row>
    <row r="247">
      <c r="A247" s="105" t="s">
        <v>809</v>
      </c>
      <c r="B247" s="113">
        <v>45756.0</v>
      </c>
      <c r="C247" s="227">
        <v>3.0</v>
      </c>
      <c r="E247" s="225" t="s">
        <v>800</v>
      </c>
      <c r="F247" s="226">
        <v>45756.0</v>
      </c>
      <c r="G247" s="228">
        <f>IFERROR(__xludf.DUMMYFUNCTION("SUM(FILTER(C:C,B:B=F247,A:A=E247))"),8.0)</f>
        <v>8</v>
      </c>
      <c r="I247" s="225" t="s">
        <v>798</v>
      </c>
      <c r="J247" s="226">
        <v>45700.0</v>
      </c>
      <c r="K247" s="228">
        <v>5.0</v>
      </c>
    </row>
    <row r="248">
      <c r="A248" s="105" t="s">
        <v>800</v>
      </c>
      <c r="B248" s="113">
        <v>45756.0</v>
      </c>
      <c r="C248" s="227">
        <v>6.0</v>
      </c>
      <c r="E248" s="225" t="s">
        <v>800</v>
      </c>
      <c r="F248" s="226">
        <v>45758.0</v>
      </c>
      <c r="G248" s="228">
        <f>IFERROR(__xludf.DUMMYFUNCTION("SUM(FILTER(C:C,B:B=F248,A:A=E248))"),9.0)</f>
        <v>9</v>
      </c>
      <c r="I248" s="225" t="s">
        <v>795</v>
      </c>
      <c r="J248" s="226">
        <v>45694.0</v>
      </c>
      <c r="K248" s="228">
        <v>5.0</v>
      </c>
    </row>
    <row r="249">
      <c r="A249" s="105" t="s">
        <v>800</v>
      </c>
      <c r="B249" s="113">
        <v>45758.0</v>
      </c>
      <c r="C249" s="227">
        <v>9.0</v>
      </c>
      <c r="E249" s="225" t="s">
        <v>809</v>
      </c>
      <c r="F249" s="226">
        <v>45758.0</v>
      </c>
      <c r="G249" s="228">
        <f>IFERROR(__xludf.DUMMYFUNCTION("SUM(FILTER(C:C,B:B=F249,A:A=E249))"),3.0)</f>
        <v>3</v>
      </c>
      <c r="I249" s="225" t="s">
        <v>795</v>
      </c>
      <c r="J249" s="226">
        <v>45722.0</v>
      </c>
      <c r="K249" s="228">
        <v>5.0</v>
      </c>
    </row>
    <row r="250">
      <c r="A250" s="105" t="s">
        <v>809</v>
      </c>
      <c r="B250" s="113">
        <v>45758.0</v>
      </c>
      <c r="C250" s="227">
        <v>3.0</v>
      </c>
      <c r="E250" s="225" t="s">
        <v>796</v>
      </c>
      <c r="F250" s="226">
        <v>45758.0</v>
      </c>
      <c r="G250" s="228">
        <f>IFERROR(__xludf.DUMMYFUNCTION("SUM(FILTER(C:C,B:B=F250,A:A=E250))"),4.0)</f>
        <v>4</v>
      </c>
      <c r="I250" s="225" t="s">
        <v>795</v>
      </c>
      <c r="J250" s="226">
        <v>45726.0</v>
      </c>
      <c r="K250" s="228">
        <v>5.0</v>
      </c>
    </row>
    <row r="251">
      <c r="A251" s="105" t="s">
        <v>796</v>
      </c>
      <c r="B251" s="113">
        <v>45758.0</v>
      </c>
      <c r="C251" s="227">
        <v>4.0</v>
      </c>
      <c r="E251" s="225" t="s">
        <v>796</v>
      </c>
      <c r="F251" s="226">
        <v>45762.0</v>
      </c>
      <c r="G251" s="228">
        <f>IFERROR(__xludf.DUMMYFUNCTION("SUM(FILTER(C:C,B:B=F251,A:A=E251))"),9.0)</f>
        <v>9</v>
      </c>
      <c r="I251" s="225" t="s">
        <v>797</v>
      </c>
      <c r="J251" s="226">
        <v>45681.0</v>
      </c>
      <c r="K251" s="228">
        <v>5.0</v>
      </c>
    </row>
    <row r="252">
      <c r="A252" s="105" t="s">
        <v>796</v>
      </c>
      <c r="B252" s="113">
        <v>45762.0</v>
      </c>
      <c r="C252" s="227">
        <v>4.0</v>
      </c>
      <c r="E252" s="225" t="s">
        <v>809</v>
      </c>
      <c r="F252" s="226">
        <v>45762.0</v>
      </c>
      <c r="G252" s="228">
        <f>IFERROR(__xludf.DUMMYFUNCTION("SUM(FILTER(C:C,B:B=F252,A:A=E252))"),3.0)</f>
        <v>3</v>
      </c>
      <c r="I252" s="225" t="s">
        <v>797</v>
      </c>
      <c r="J252" s="226">
        <v>45686.0</v>
      </c>
      <c r="K252" s="228">
        <v>5.0</v>
      </c>
    </row>
    <row r="253">
      <c r="A253" s="105" t="s">
        <v>809</v>
      </c>
      <c r="B253" s="107">
        <v>45762.0</v>
      </c>
      <c r="C253" s="227">
        <v>3.0</v>
      </c>
      <c r="E253" s="225" t="s">
        <v>804</v>
      </c>
      <c r="F253" s="226">
        <v>45789.0</v>
      </c>
      <c r="G253" s="228">
        <f>IFERROR(__xludf.DUMMYFUNCTION("SUM(FILTER(C:C,B:B=F253,A:A=E253))"),1.0)</f>
        <v>1</v>
      </c>
      <c r="I253" s="225" t="s">
        <v>795</v>
      </c>
      <c r="J253" s="226">
        <v>45713.0</v>
      </c>
      <c r="K253" s="228">
        <v>5.0</v>
      </c>
    </row>
    <row r="254">
      <c r="A254" s="105" t="s">
        <v>800</v>
      </c>
      <c r="B254" s="113">
        <v>45762.0</v>
      </c>
      <c r="C254" s="227">
        <v>3.0</v>
      </c>
      <c r="E254" s="225" t="s">
        <v>806</v>
      </c>
      <c r="F254" s="226">
        <v>45804.0</v>
      </c>
      <c r="G254" s="228">
        <f>IFERROR(__xludf.DUMMYFUNCTION("SUM(FILTER(C:C,B:B=F254,A:A=E254))"),3.0)</f>
        <v>3</v>
      </c>
      <c r="I254" s="225" t="s">
        <v>795</v>
      </c>
      <c r="J254" s="226">
        <v>45716.0</v>
      </c>
      <c r="K254" s="228">
        <v>5.0</v>
      </c>
    </row>
    <row r="255">
      <c r="A255" s="105" t="s">
        <v>800</v>
      </c>
      <c r="B255" s="107">
        <v>45763.0</v>
      </c>
      <c r="C255" s="227">
        <v>1.0</v>
      </c>
      <c r="E255" s="225" t="s">
        <v>802</v>
      </c>
      <c r="F255" s="226">
        <v>45812.0</v>
      </c>
      <c r="G255" s="228">
        <f>IFERROR(__xludf.DUMMYFUNCTION("SUM(FILTER(C:C,B:B=F255,A:A=E255))"),0.0)</f>
        <v>0</v>
      </c>
      <c r="I255" s="225" t="s">
        <v>799</v>
      </c>
      <c r="J255" s="226">
        <v>45664.0</v>
      </c>
      <c r="K255" s="228">
        <v>5.0</v>
      </c>
    </row>
    <row r="256">
      <c r="A256" s="105" t="s">
        <v>804</v>
      </c>
      <c r="B256" s="113">
        <v>45789.0</v>
      </c>
      <c r="C256" s="227">
        <v>1.0</v>
      </c>
      <c r="E256" s="225" t="s">
        <v>797</v>
      </c>
      <c r="F256" s="226">
        <v>45751.0</v>
      </c>
      <c r="G256" s="228">
        <f>IFERROR(__xludf.DUMMYFUNCTION("SUM(FILTER(C:C,B:B=F256,A:A=E256))"),4.0)</f>
        <v>4</v>
      </c>
      <c r="I256" s="225" t="s">
        <v>799</v>
      </c>
      <c r="J256" s="226">
        <v>45666.0</v>
      </c>
      <c r="K256" s="228">
        <v>5.0</v>
      </c>
    </row>
    <row r="257">
      <c r="A257" s="105" t="s">
        <v>806</v>
      </c>
      <c r="B257" s="113">
        <v>45804.0</v>
      </c>
      <c r="C257" s="227">
        <v>3.0</v>
      </c>
      <c r="E257" s="225" t="s">
        <v>797</v>
      </c>
      <c r="F257" s="226">
        <v>45756.0</v>
      </c>
      <c r="G257" s="228">
        <f>IFERROR(__xludf.DUMMYFUNCTION("SUM(FILTER(C:C,B:B=F257,A:A=E257))"),8.0)</f>
        <v>8</v>
      </c>
      <c r="I257" s="225" t="s">
        <v>799</v>
      </c>
      <c r="J257" s="226">
        <v>45667.0</v>
      </c>
      <c r="K257" s="228">
        <v>5.0</v>
      </c>
    </row>
    <row r="258">
      <c r="A258" s="105" t="s">
        <v>802</v>
      </c>
      <c r="B258" s="113">
        <v>45812.0</v>
      </c>
      <c r="C258" s="227">
        <v>0.0</v>
      </c>
      <c r="E258" s="225" t="s">
        <v>797</v>
      </c>
      <c r="F258" s="226">
        <v>45757.0</v>
      </c>
      <c r="G258" s="228">
        <f>IFERROR(__xludf.DUMMYFUNCTION("SUM(FILTER(C:C,B:B=F258,A:A=E258))"),7.0)</f>
        <v>7</v>
      </c>
      <c r="I258" s="225" t="s">
        <v>799</v>
      </c>
      <c r="J258" s="226">
        <v>45673.0</v>
      </c>
      <c r="K258" s="228">
        <v>5.0</v>
      </c>
    </row>
    <row r="259">
      <c r="A259" s="105" t="s">
        <v>797</v>
      </c>
      <c r="B259" s="113">
        <v>45751.0</v>
      </c>
      <c r="C259" s="227">
        <v>4.0</v>
      </c>
      <c r="E259" s="225" t="s">
        <v>797</v>
      </c>
      <c r="F259" s="226">
        <v>45772.0</v>
      </c>
      <c r="G259" s="228">
        <f>IFERROR(__xludf.DUMMYFUNCTION("SUM(FILTER(C:C,B:B=F259,A:A=E259))"),6.0)</f>
        <v>6</v>
      </c>
      <c r="I259" s="225" t="s">
        <v>799</v>
      </c>
      <c r="J259" s="226">
        <v>45680.0</v>
      </c>
      <c r="K259" s="228">
        <v>5.0</v>
      </c>
    </row>
    <row r="260">
      <c r="A260" s="105" t="s">
        <v>797</v>
      </c>
      <c r="B260" s="113">
        <v>45756.0</v>
      </c>
      <c r="C260" s="227">
        <v>8.0</v>
      </c>
      <c r="E260" s="225" t="s">
        <v>797</v>
      </c>
      <c r="F260" s="226">
        <v>45775.0</v>
      </c>
      <c r="G260" s="228">
        <f>IFERROR(__xludf.DUMMYFUNCTION("SUM(FILTER(C:C,B:B=F260,A:A=E260))"),8.0)</f>
        <v>8</v>
      </c>
      <c r="I260" s="225" t="s">
        <v>808</v>
      </c>
      <c r="J260" s="226">
        <v>45691.0</v>
      </c>
      <c r="K260" s="228">
        <v>5.0</v>
      </c>
    </row>
    <row r="261">
      <c r="A261" s="105" t="s">
        <v>797</v>
      </c>
      <c r="B261" s="113">
        <v>45757.0</v>
      </c>
      <c r="C261" s="227">
        <v>7.0</v>
      </c>
      <c r="E261" s="225" t="s">
        <v>797</v>
      </c>
      <c r="F261" s="226">
        <v>45776.0</v>
      </c>
      <c r="G261" s="228">
        <f>IFERROR(__xludf.DUMMYFUNCTION("SUM(FILTER(C:C,B:B=F261,A:A=E261))"),8.0)</f>
        <v>8</v>
      </c>
      <c r="I261" s="225" t="s">
        <v>808</v>
      </c>
      <c r="J261" s="226">
        <v>45694.0</v>
      </c>
      <c r="K261" s="228">
        <v>5.0</v>
      </c>
    </row>
    <row r="262">
      <c r="A262" s="105" t="s">
        <v>797</v>
      </c>
      <c r="B262" s="113">
        <v>45772.0</v>
      </c>
      <c r="C262" s="227">
        <v>6.0</v>
      </c>
      <c r="E262" s="225" t="s">
        <v>797</v>
      </c>
      <c r="F262" s="226">
        <v>45777.0</v>
      </c>
      <c r="G262" s="228">
        <f>IFERROR(__xludf.DUMMYFUNCTION("SUM(FILTER(C:C,B:B=F262,A:A=E262))"),8.0)</f>
        <v>8</v>
      </c>
      <c r="I262" s="225" t="s">
        <v>799</v>
      </c>
      <c r="J262" s="226">
        <v>45698.0</v>
      </c>
      <c r="K262" s="228">
        <v>5.0</v>
      </c>
    </row>
    <row r="263">
      <c r="A263" s="105" t="s">
        <v>797</v>
      </c>
      <c r="B263" s="113">
        <v>45775.0</v>
      </c>
      <c r="C263" s="227">
        <v>8.0</v>
      </c>
      <c r="E263" s="225" t="s">
        <v>797</v>
      </c>
      <c r="F263" s="226">
        <v>45782.0</v>
      </c>
      <c r="G263" s="228">
        <f>IFERROR(__xludf.DUMMYFUNCTION("SUM(FILTER(C:C,B:B=F263,A:A=E263))"),6.0)</f>
        <v>6</v>
      </c>
      <c r="I263" s="225" t="s">
        <v>808</v>
      </c>
      <c r="J263" s="226">
        <v>45700.0</v>
      </c>
      <c r="K263" s="228">
        <v>5.0</v>
      </c>
    </row>
    <row r="264">
      <c r="A264" s="105" t="s">
        <v>797</v>
      </c>
      <c r="B264" s="113">
        <v>45776.0</v>
      </c>
      <c r="C264" s="227">
        <v>8.0</v>
      </c>
      <c r="E264" s="225" t="s">
        <v>797</v>
      </c>
      <c r="F264" s="226">
        <v>45783.0</v>
      </c>
      <c r="G264" s="228">
        <f>IFERROR(__xludf.DUMMYFUNCTION("SUM(FILTER(C:C,B:B=F264,A:A=E264))"),6.0)</f>
        <v>6</v>
      </c>
      <c r="I264" s="225" t="s">
        <v>799</v>
      </c>
      <c r="J264" s="226">
        <v>45700.0</v>
      </c>
      <c r="K264" s="228">
        <v>5.0</v>
      </c>
    </row>
    <row r="265">
      <c r="A265" s="105" t="s">
        <v>797</v>
      </c>
      <c r="B265" s="113">
        <v>45777.0</v>
      </c>
      <c r="C265" s="227">
        <v>8.0</v>
      </c>
      <c r="E265" s="225" t="s">
        <v>797</v>
      </c>
      <c r="F265" s="226">
        <v>45784.0</v>
      </c>
      <c r="G265" s="228">
        <f>IFERROR(__xludf.DUMMYFUNCTION("SUM(FILTER(C:C,B:B=F265,A:A=E265))"),6.0)</f>
        <v>6</v>
      </c>
      <c r="I265" s="225" t="s">
        <v>799</v>
      </c>
      <c r="J265" s="226">
        <v>45705.0</v>
      </c>
      <c r="K265" s="228">
        <v>5.0</v>
      </c>
    </row>
    <row r="266">
      <c r="A266" s="105" t="s">
        <v>797</v>
      </c>
      <c r="B266" s="113">
        <v>45782.0</v>
      </c>
      <c r="C266" s="227">
        <v>6.0</v>
      </c>
      <c r="E266" s="225" t="s">
        <v>797</v>
      </c>
      <c r="F266" s="226">
        <v>45785.0</v>
      </c>
      <c r="G266" s="228">
        <f>IFERROR(__xludf.DUMMYFUNCTION("SUM(FILTER(C:C,B:B=F266,A:A=E266))"),5.0)</f>
        <v>5</v>
      </c>
      <c r="I266" s="225" t="s">
        <v>799</v>
      </c>
      <c r="J266" s="226">
        <v>45708.0</v>
      </c>
      <c r="K266" s="228">
        <v>5.0</v>
      </c>
    </row>
    <row r="267">
      <c r="A267" s="105" t="s">
        <v>797</v>
      </c>
      <c r="B267" s="113">
        <v>45783.0</v>
      </c>
      <c r="C267" s="227">
        <v>6.0</v>
      </c>
      <c r="E267" s="225" t="s">
        <v>797</v>
      </c>
      <c r="F267" s="226">
        <v>45786.0</v>
      </c>
      <c r="G267" s="228">
        <f>IFERROR(__xludf.DUMMYFUNCTION("SUM(FILTER(C:C,B:B=F267,A:A=E267))"),5.0)</f>
        <v>5</v>
      </c>
      <c r="I267" s="225" t="s">
        <v>799</v>
      </c>
      <c r="J267" s="226">
        <v>45712.0</v>
      </c>
      <c r="K267" s="228">
        <v>5.0</v>
      </c>
    </row>
    <row r="268">
      <c r="A268" s="105" t="s">
        <v>797</v>
      </c>
      <c r="B268" s="113">
        <v>45784.0</v>
      </c>
      <c r="C268" s="227">
        <v>6.0</v>
      </c>
      <c r="E268" s="225" t="s">
        <v>797</v>
      </c>
      <c r="F268" s="226">
        <v>45789.0</v>
      </c>
      <c r="G268" s="228">
        <f>IFERROR(__xludf.DUMMYFUNCTION("SUM(FILTER(C:C,B:B=F268,A:A=E268))"),4.0)</f>
        <v>4</v>
      </c>
      <c r="I268" s="225" t="s">
        <v>799</v>
      </c>
      <c r="J268" s="226">
        <v>45713.0</v>
      </c>
      <c r="K268" s="228">
        <v>5.0</v>
      </c>
    </row>
    <row r="269">
      <c r="A269" s="105" t="s">
        <v>797</v>
      </c>
      <c r="B269" s="113">
        <v>45785.0</v>
      </c>
      <c r="C269" s="227">
        <v>5.0</v>
      </c>
      <c r="E269" s="225" t="s">
        <v>797</v>
      </c>
      <c r="F269" s="226">
        <v>45797.0</v>
      </c>
      <c r="G269" s="228">
        <f>IFERROR(__xludf.DUMMYFUNCTION("SUM(FILTER(C:C,B:B=F269,A:A=E269))"),4.0)</f>
        <v>4</v>
      </c>
      <c r="I269" s="225" t="s">
        <v>808</v>
      </c>
      <c r="J269" s="226">
        <v>45713.0</v>
      </c>
      <c r="K269" s="228">
        <v>5.0</v>
      </c>
    </row>
    <row r="270">
      <c r="A270" s="105" t="s">
        <v>797</v>
      </c>
      <c r="B270" s="113">
        <v>45786.0</v>
      </c>
      <c r="C270" s="227">
        <v>5.0</v>
      </c>
      <c r="E270" s="225" t="s">
        <v>797</v>
      </c>
      <c r="F270" s="226">
        <v>45798.0</v>
      </c>
      <c r="G270" s="228">
        <f>IFERROR(__xludf.DUMMYFUNCTION("SUM(FILTER(C:C,B:B=F270,A:A=E270))"),6.0)</f>
        <v>6</v>
      </c>
      <c r="I270" s="225" t="s">
        <v>799</v>
      </c>
      <c r="J270" s="226">
        <v>45714.0</v>
      </c>
      <c r="K270" s="228">
        <v>5.0</v>
      </c>
    </row>
    <row r="271">
      <c r="A271" s="105" t="s">
        <v>797</v>
      </c>
      <c r="B271" s="113">
        <v>45789.0</v>
      </c>
      <c r="C271" s="227">
        <v>4.0</v>
      </c>
      <c r="E271" s="225" t="s">
        <v>797</v>
      </c>
      <c r="F271" s="226">
        <v>45799.0</v>
      </c>
      <c r="G271" s="228">
        <f>IFERROR(__xludf.DUMMYFUNCTION("SUM(FILTER(C:C,B:B=F271,A:A=E271))"),7.0)</f>
        <v>7</v>
      </c>
      <c r="I271" s="225" t="s">
        <v>799</v>
      </c>
      <c r="J271" s="226">
        <v>45715.0</v>
      </c>
      <c r="K271" s="228">
        <v>5.0</v>
      </c>
    </row>
    <row r="272">
      <c r="A272" s="105" t="s">
        <v>797</v>
      </c>
      <c r="B272" s="113">
        <v>45797.0</v>
      </c>
      <c r="C272" s="227">
        <v>4.0</v>
      </c>
      <c r="E272" s="225" t="s">
        <v>797</v>
      </c>
      <c r="F272" s="226">
        <v>45800.0</v>
      </c>
      <c r="G272" s="228">
        <f>IFERROR(__xludf.DUMMYFUNCTION("SUM(FILTER(C:C,B:B=F272,A:A=E272))"),4.0)</f>
        <v>4</v>
      </c>
      <c r="I272" s="225" t="s">
        <v>808</v>
      </c>
      <c r="J272" s="226">
        <v>45716.0</v>
      </c>
      <c r="K272" s="228">
        <v>5.0</v>
      </c>
    </row>
    <row r="273">
      <c r="A273" s="105" t="s">
        <v>797</v>
      </c>
      <c r="B273" s="113">
        <v>45798.0</v>
      </c>
      <c r="C273" s="227">
        <v>6.0</v>
      </c>
      <c r="E273" s="225" t="s">
        <v>797</v>
      </c>
      <c r="F273" s="226">
        <v>45803.0</v>
      </c>
      <c r="G273" s="228">
        <f>IFERROR(__xludf.DUMMYFUNCTION("SUM(FILTER(C:C,B:B=F273,A:A=E273))"),8.0)</f>
        <v>8</v>
      </c>
      <c r="I273" s="225" t="s">
        <v>799</v>
      </c>
      <c r="J273" s="226">
        <v>45719.0</v>
      </c>
      <c r="K273" s="228">
        <v>5.0</v>
      </c>
    </row>
    <row r="274">
      <c r="A274" s="105" t="s">
        <v>797</v>
      </c>
      <c r="B274" s="113">
        <v>45799.0</v>
      </c>
      <c r="C274" s="227">
        <v>7.0</v>
      </c>
      <c r="E274" s="225" t="s">
        <v>797</v>
      </c>
      <c r="F274" s="226">
        <v>45804.0</v>
      </c>
      <c r="G274" s="228">
        <f>IFERROR(__xludf.DUMMYFUNCTION("SUM(FILTER(C:C,B:B=F274,A:A=E274))"),8.0)</f>
        <v>8</v>
      </c>
      <c r="I274" s="225" t="s">
        <v>799</v>
      </c>
      <c r="J274" s="226">
        <v>45721.0</v>
      </c>
      <c r="K274" s="228">
        <v>5.0</v>
      </c>
    </row>
    <row r="275">
      <c r="A275" s="105" t="s">
        <v>797</v>
      </c>
      <c r="B275" s="113">
        <v>45800.0</v>
      </c>
      <c r="C275" s="227">
        <v>4.0</v>
      </c>
      <c r="E275" s="225" t="s">
        <v>797</v>
      </c>
      <c r="F275" s="226">
        <v>45805.0</v>
      </c>
      <c r="G275" s="228">
        <f>IFERROR(__xludf.DUMMYFUNCTION("SUM(FILTER(C:C,B:B=F275,A:A=E275))"),8.0)</f>
        <v>8</v>
      </c>
      <c r="I275" s="225" t="s">
        <v>808</v>
      </c>
      <c r="J275" s="226">
        <v>45722.0</v>
      </c>
      <c r="K275" s="228">
        <v>5.0</v>
      </c>
    </row>
    <row r="276">
      <c r="A276" s="105" t="s">
        <v>797</v>
      </c>
      <c r="B276" s="113">
        <v>45803.0</v>
      </c>
      <c r="C276" s="227">
        <v>8.0</v>
      </c>
      <c r="E276" s="225" t="s">
        <v>797</v>
      </c>
      <c r="F276" s="226">
        <v>45806.0</v>
      </c>
      <c r="G276" s="228">
        <f>IFERROR(__xludf.DUMMYFUNCTION("SUM(FILTER(C:C,B:B=F276,A:A=E276))"),6.0)</f>
        <v>6</v>
      </c>
      <c r="I276" s="225" t="s">
        <v>799</v>
      </c>
      <c r="J276" s="226">
        <v>45726.0</v>
      </c>
      <c r="K276" s="228">
        <v>5.0</v>
      </c>
    </row>
    <row r="277">
      <c r="A277" s="105" t="s">
        <v>797</v>
      </c>
      <c r="B277" s="113">
        <v>45804.0</v>
      </c>
      <c r="C277" s="227">
        <v>8.0</v>
      </c>
      <c r="E277" s="225" t="s">
        <v>797</v>
      </c>
      <c r="F277" s="226">
        <v>45810.0</v>
      </c>
      <c r="G277" s="228">
        <f>IFERROR(__xludf.DUMMYFUNCTION("SUM(FILTER(C:C,B:B=F277,A:A=E277))"),5.0)</f>
        <v>5</v>
      </c>
      <c r="I277" s="225" t="s">
        <v>799</v>
      </c>
      <c r="J277" s="226">
        <v>45727.0</v>
      </c>
      <c r="K277" s="228">
        <v>5.0</v>
      </c>
    </row>
    <row r="278">
      <c r="A278" s="105" t="s">
        <v>797</v>
      </c>
      <c r="B278" s="113">
        <v>45805.0</v>
      </c>
      <c r="C278" s="227">
        <v>8.0</v>
      </c>
      <c r="E278" s="225" t="s">
        <v>797</v>
      </c>
      <c r="F278" s="226">
        <v>45813.0</v>
      </c>
      <c r="G278" s="228">
        <f>IFERROR(__xludf.DUMMYFUNCTION("SUM(FILTER(C:C,B:B=F278,A:A=E278))"),8.0)</f>
        <v>8</v>
      </c>
      <c r="I278" s="225" t="s">
        <v>808</v>
      </c>
      <c r="J278" s="226">
        <v>45733.0</v>
      </c>
      <c r="K278" s="228">
        <v>5.0</v>
      </c>
    </row>
    <row r="279">
      <c r="A279" s="105" t="s">
        <v>797</v>
      </c>
      <c r="B279" s="113">
        <v>45806.0</v>
      </c>
      <c r="C279" s="227">
        <v>6.0</v>
      </c>
      <c r="E279" s="225" t="s">
        <v>797</v>
      </c>
      <c r="F279" s="226">
        <v>45817.0</v>
      </c>
      <c r="G279" s="228">
        <f>IFERROR(__xludf.DUMMYFUNCTION("SUM(FILTER(C:C,B:B=F279,A:A=E279))"),4.0)</f>
        <v>4</v>
      </c>
      <c r="I279" s="225" t="s">
        <v>799</v>
      </c>
      <c r="J279" s="226">
        <v>45733.0</v>
      </c>
      <c r="K279" s="228">
        <v>5.0</v>
      </c>
    </row>
    <row r="280">
      <c r="A280" s="105" t="s">
        <v>797</v>
      </c>
      <c r="B280" s="113">
        <v>45810.0</v>
      </c>
      <c r="C280" s="227">
        <v>5.0</v>
      </c>
      <c r="E280" s="225" t="s">
        <v>797</v>
      </c>
      <c r="F280" s="226">
        <v>45818.0</v>
      </c>
      <c r="G280" s="228">
        <f>IFERROR(__xludf.DUMMYFUNCTION("SUM(FILTER(C:C,B:B=F280,A:A=E280))"),5.0)</f>
        <v>5</v>
      </c>
      <c r="I280" s="225" t="s">
        <v>808</v>
      </c>
      <c r="J280" s="226">
        <v>45736.0</v>
      </c>
      <c r="K280" s="228">
        <v>5.0</v>
      </c>
    </row>
    <row r="281">
      <c r="A281" s="105" t="s">
        <v>797</v>
      </c>
      <c r="B281" s="113">
        <v>45813.0</v>
      </c>
      <c r="C281" s="227">
        <v>8.0</v>
      </c>
      <c r="E281" s="225" t="s">
        <v>799</v>
      </c>
      <c r="F281" s="226">
        <v>45748.0</v>
      </c>
      <c r="G281" s="228">
        <f>IFERROR(__xludf.DUMMYFUNCTION("SUM(FILTER(C:C,B:B=F281,A:A=E281))"),5.0)</f>
        <v>5</v>
      </c>
      <c r="I281" s="225" t="s">
        <v>795</v>
      </c>
      <c r="J281" s="226">
        <v>45768.0</v>
      </c>
      <c r="K281" s="228">
        <v>5.0</v>
      </c>
    </row>
    <row r="282">
      <c r="A282" s="105" t="s">
        <v>797</v>
      </c>
      <c r="B282" s="113">
        <v>45817.0</v>
      </c>
      <c r="C282" s="227">
        <v>4.0</v>
      </c>
      <c r="E282" s="225" t="s">
        <v>799</v>
      </c>
      <c r="F282" s="226">
        <v>45749.0</v>
      </c>
      <c r="G282" s="228">
        <f>IFERROR(__xludf.DUMMYFUNCTION("SUM(FILTER(C:C,B:B=F282,A:A=E282))"),6.0)</f>
        <v>6</v>
      </c>
      <c r="I282" s="225" t="s">
        <v>795</v>
      </c>
      <c r="J282" s="226">
        <v>45810.0</v>
      </c>
      <c r="K282" s="228">
        <v>5.0</v>
      </c>
    </row>
    <row r="283">
      <c r="A283" s="105" t="s">
        <v>797</v>
      </c>
      <c r="B283" s="113">
        <v>45818.0</v>
      </c>
      <c r="C283" s="227">
        <v>5.0</v>
      </c>
      <c r="E283" s="225" t="s">
        <v>799</v>
      </c>
      <c r="F283" s="226">
        <v>45750.0</v>
      </c>
      <c r="G283" s="228">
        <f>IFERROR(__xludf.DUMMYFUNCTION("SUM(FILTER(C:C,B:B=F283,A:A=E283))"),4.0)</f>
        <v>4</v>
      </c>
      <c r="I283" s="225" t="s">
        <v>797</v>
      </c>
      <c r="J283" s="226">
        <v>45754.0</v>
      </c>
      <c r="K283" s="228">
        <v>5.0</v>
      </c>
    </row>
    <row r="284">
      <c r="A284" s="105" t="s">
        <v>799</v>
      </c>
      <c r="B284" s="113">
        <v>45748.0</v>
      </c>
      <c r="C284" s="227">
        <v>5.0</v>
      </c>
      <c r="E284" s="225" t="s">
        <v>799</v>
      </c>
      <c r="F284" s="226">
        <v>45751.0</v>
      </c>
      <c r="G284" s="228">
        <f>IFERROR(__xludf.DUMMYFUNCTION("SUM(FILTER(C:C,B:B=F284,A:A=E284))"),5.0)</f>
        <v>5</v>
      </c>
      <c r="I284" s="225" t="s">
        <v>797</v>
      </c>
      <c r="J284" s="226">
        <v>45762.0</v>
      </c>
      <c r="K284" s="228">
        <v>5.0</v>
      </c>
    </row>
    <row r="285">
      <c r="A285" s="105" t="s">
        <v>799</v>
      </c>
      <c r="B285" s="113">
        <v>45749.0</v>
      </c>
      <c r="C285" s="227">
        <v>6.0</v>
      </c>
      <c r="E285" s="225" t="s">
        <v>808</v>
      </c>
      <c r="F285" s="226">
        <v>45751.0</v>
      </c>
      <c r="G285" s="228">
        <f>IFERROR(__xludf.DUMMYFUNCTION("SUM(FILTER(C:C,B:B=F285,A:A=E285))"),5.0)</f>
        <v>5</v>
      </c>
      <c r="I285" s="225" t="s">
        <v>797</v>
      </c>
      <c r="J285" s="226">
        <v>45763.0</v>
      </c>
      <c r="K285" s="228">
        <v>5.0</v>
      </c>
    </row>
    <row r="286">
      <c r="A286" s="105" t="s">
        <v>799</v>
      </c>
      <c r="B286" s="113">
        <v>45750.0</v>
      </c>
      <c r="C286" s="227">
        <v>4.0</v>
      </c>
      <c r="E286" s="225" t="s">
        <v>808</v>
      </c>
      <c r="F286" s="226">
        <v>45754.0</v>
      </c>
      <c r="G286" s="228">
        <f>IFERROR(__xludf.DUMMYFUNCTION("SUM(FILTER(C:C,B:B=F286,A:A=E286))"),6.0)</f>
        <v>6</v>
      </c>
      <c r="I286" s="225" t="s">
        <v>797</v>
      </c>
      <c r="J286" s="226">
        <v>45785.0</v>
      </c>
      <c r="K286" s="228">
        <v>5.0</v>
      </c>
    </row>
    <row r="287">
      <c r="A287" s="105" t="s">
        <v>799</v>
      </c>
      <c r="B287" s="113">
        <v>45751.0</v>
      </c>
      <c r="C287" s="227">
        <v>5.0</v>
      </c>
      <c r="E287" s="225" t="s">
        <v>799</v>
      </c>
      <c r="F287" s="226">
        <v>45754.0</v>
      </c>
      <c r="G287" s="228">
        <f>IFERROR(__xludf.DUMMYFUNCTION("SUM(FILTER(C:C,B:B=F287,A:A=E287))"),6.0)</f>
        <v>6</v>
      </c>
      <c r="I287" s="225" t="s">
        <v>797</v>
      </c>
      <c r="J287" s="226">
        <v>45786.0</v>
      </c>
      <c r="K287" s="228">
        <v>5.0</v>
      </c>
    </row>
    <row r="288">
      <c r="A288" s="105" t="s">
        <v>808</v>
      </c>
      <c r="B288" s="113">
        <v>45751.0</v>
      </c>
      <c r="C288" s="227">
        <v>5.0</v>
      </c>
      <c r="E288" s="225" t="s">
        <v>799</v>
      </c>
      <c r="F288" s="226">
        <v>45755.0</v>
      </c>
      <c r="G288" s="228">
        <f>IFERROR(__xludf.DUMMYFUNCTION("SUM(FILTER(C:C,B:B=F288,A:A=E288))"),5.0)</f>
        <v>5</v>
      </c>
      <c r="I288" s="225" t="s">
        <v>797</v>
      </c>
      <c r="J288" s="226">
        <v>45810.0</v>
      </c>
      <c r="K288" s="228">
        <v>5.0</v>
      </c>
    </row>
    <row r="289">
      <c r="A289" s="105" t="s">
        <v>808</v>
      </c>
      <c r="B289" s="113">
        <v>45754.0</v>
      </c>
      <c r="C289" s="227">
        <v>6.0</v>
      </c>
      <c r="E289" s="225" t="s">
        <v>808</v>
      </c>
      <c r="F289" s="226">
        <v>45755.0</v>
      </c>
      <c r="G289" s="228">
        <f>IFERROR(__xludf.DUMMYFUNCTION("SUM(FILTER(C:C,B:B=F289,A:A=E289))"),5.0)</f>
        <v>5</v>
      </c>
      <c r="I289" s="225" t="s">
        <v>797</v>
      </c>
      <c r="J289" s="226">
        <v>45818.0</v>
      </c>
      <c r="K289" s="228">
        <v>5.0</v>
      </c>
    </row>
    <row r="290">
      <c r="A290" s="105" t="s">
        <v>799</v>
      </c>
      <c r="B290" s="113">
        <v>45754.0</v>
      </c>
      <c r="C290" s="227">
        <v>6.0</v>
      </c>
      <c r="E290" s="225" t="s">
        <v>799</v>
      </c>
      <c r="F290" s="226">
        <v>45756.0</v>
      </c>
      <c r="G290" s="228">
        <f>IFERROR(__xludf.DUMMYFUNCTION("SUM(FILTER(C:C,B:B=F290,A:A=E290))"),6.0)</f>
        <v>6</v>
      </c>
      <c r="I290" s="225" t="s">
        <v>799</v>
      </c>
      <c r="J290" s="226">
        <v>45748.0</v>
      </c>
      <c r="K290" s="228">
        <v>5.0</v>
      </c>
    </row>
    <row r="291">
      <c r="A291" s="105" t="s">
        <v>799</v>
      </c>
      <c r="B291" s="113">
        <v>45755.0</v>
      </c>
      <c r="C291" s="227">
        <v>5.0</v>
      </c>
      <c r="E291" s="225" t="s">
        <v>799</v>
      </c>
      <c r="F291" s="226">
        <v>45757.0</v>
      </c>
      <c r="G291" s="228">
        <f>IFERROR(__xludf.DUMMYFUNCTION("SUM(FILTER(C:C,B:B=F291,A:A=E291))"),5.0)</f>
        <v>5</v>
      </c>
      <c r="I291" s="225" t="s">
        <v>799</v>
      </c>
      <c r="J291" s="226">
        <v>45751.0</v>
      </c>
      <c r="K291" s="228">
        <v>5.0</v>
      </c>
    </row>
    <row r="292">
      <c r="A292" s="105" t="s">
        <v>808</v>
      </c>
      <c r="B292" s="113">
        <v>45755.0</v>
      </c>
      <c r="C292" s="227">
        <v>5.0</v>
      </c>
      <c r="E292" s="225" t="s">
        <v>799</v>
      </c>
      <c r="F292" s="226">
        <v>45758.0</v>
      </c>
      <c r="G292" s="228">
        <f>IFERROR(__xludf.DUMMYFUNCTION("SUM(FILTER(C:C,B:B=F292,A:A=E292))"),6.0)</f>
        <v>6</v>
      </c>
      <c r="I292" s="225" t="s">
        <v>808</v>
      </c>
      <c r="J292" s="226">
        <v>45751.0</v>
      </c>
      <c r="K292" s="228">
        <v>5.0</v>
      </c>
    </row>
    <row r="293">
      <c r="A293" s="105" t="s">
        <v>799</v>
      </c>
      <c r="B293" s="113">
        <v>45756.0</v>
      </c>
      <c r="C293" s="227">
        <v>6.0</v>
      </c>
      <c r="E293" s="225" t="s">
        <v>799</v>
      </c>
      <c r="F293" s="226">
        <v>45763.0</v>
      </c>
      <c r="G293" s="228">
        <f>IFERROR(__xludf.DUMMYFUNCTION("SUM(FILTER(C:C,B:B=F293,A:A=E293))"),5.0)</f>
        <v>5</v>
      </c>
      <c r="I293" s="225" t="s">
        <v>799</v>
      </c>
      <c r="J293" s="226">
        <v>45755.0</v>
      </c>
      <c r="K293" s="228">
        <v>5.0</v>
      </c>
    </row>
    <row r="294">
      <c r="A294" s="105" t="s">
        <v>799</v>
      </c>
      <c r="B294" s="113">
        <v>45757.0</v>
      </c>
      <c r="C294" s="227">
        <v>5.0</v>
      </c>
      <c r="E294" s="225" t="s">
        <v>808</v>
      </c>
      <c r="F294" s="226">
        <v>45763.0</v>
      </c>
      <c r="G294" s="228">
        <f>IFERROR(__xludf.DUMMYFUNCTION("SUM(FILTER(C:C,B:B=F294,A:A=E294))"),5.0)</f>
        <v>5</v>
      </c>
      <c r="I294" s="225" t="s">
        <v>808</v>
      </c>
      <c r="J294" s="226">
        <v>45755.0</v>
      </c>
      <c r="K294" s="228">
        <v>5.0</v>
      </c>
    </row>
    <row r="295">
      <c r="A295" s="105" t="s">
        <v>799</v>
      </c>
      <c r="B295" s="113">
        <v>45758.0</v>
      </c>
      <c r="C295" s="227">
        <v>6.0</v>
      </c>
      <c r="E295" s="225" t="s">
        <v>808</v>
      </c>
      <c r="F295" s="226">
        <v>45764.0</v>
      </c>
      <c r="G295" s="228">
        <f>IFERROR(__xludf.DUMMYFUNCTION("SUM(FILTER(C:C,B:B=F295,A:A=E295))"),6.0)</f>
        <v>6</v>
      </c>
      <c r="I295" s="225" t="s">
        <v>799</v>
      </c>
      <c r="J295" s="226">
        <v>45757.0</v>
      </c>
      <c r="K295" s="228">
        <v>5.0</v>
      </c>
    </row>
    <row r="296">
      <c r="A296" s="105" t="s">
        <v>799</v>
      </c>
      <c r="B296" s="113">
        <v>45763.0</v>
      </c>
      <c r="C296" s="227">
        <v>5.0</v>
      </c>
      <c r="E296" s="225" t="s">
        <v>799</v>
      </c>
      <c r="F296" s="226">
        <v>45764.0</v>
      </c>
      <c r="G296" s="228">
        <f>IFERROR(__xludf.DUMMYFUNCTION("SUM(FILTER(C:C,B:B=F296,A:A=E296))"),6.0)</f>
        <v>6</v>
      </c>
      <c r="I296" s="225" t="s">
        <v>799</v>
      </c>
      <c r="J296" s="226">
        <v>45763.0</v>
      </c>
      <c r="K296" s="228">
        <v>5.0</v>
      </c>
    </row>
    <row r="297">
      <c r="A297" s="105" t="s">
        <v>808</v>
      </c>
      <c r="B297" s="113">
        <v>45763.0</v>
      </c>
      <c r="C297" s="227">
        <v>5.0</v>
      </c>
      <c r="E297" s="225" t="s">
        <v>799</v>
      </c>
      <c r="F297" s="226">
        <v>45769.0</v>
      </c>
      <c r="G297" s="228">
        <f>IFERROR(__xludf.DUMMYFUNCTION("SUM(FILTER(C:C,B:B=F297,A:A=E297))"),5.0)</f>
        <v>5</v>
      </c>
      <c r="I297" s="225" t="s">
        <v>808</v>
      </c>
      <c r="J297" s="226">
        <v>45763.0</v>
      </c>
      <c r="K297" s="228">
        <v>5.0</v>
      </c>
    </row>
    <row r="298">
      <c r="A298" s="105" t="s">
        <v>808</v>
      </c>
      <c r="B298" s="113">
        <v>45764.0</v>
      </c>
      <c r="C298" s="227">
        <v>6.0</v>
      </c>
      <c r="E298" s="225" t="s">
        <v>808</v>
      </c>
      <c r="F298" s="226">
        <v>45769.0</v>
      </c>
      <c r="G298" s="228">
        <f>IFERROR(__xludf.DUMMYFUNCTION("SUM(FILTER(C:C,B:B=F298,A:A=E298))"),5.0)</f>
        <v>5</v>
      </c>
      <c r="I298" s="225" t="s">
        <v>799</v>
      </c>
      <c r="J298" s="226">
        <v>45769.0</v>
      </c>
      <c r="K298" s="228">
        <v>5.0</v>
      </c>
    </row>
    <row r="299">
      <c r="A299" s="105" t="s">
        <v>799</v>
      </c>
      <c r="B299" s="113">
        <v>45764.0</v>
      </c>
      <c r="C299" s="227">
        <v>6.0</v>
      </c>
      <c r="E299" s="225" t="s">
        <v>808</v>
      </c>
      <c r="F299" s="226">
        <v>45770.0</v>
      </c>
      <c r="G299" s="228">
        <f>IFERROR(__xludf.DUMMYFUNCTION("SUM(FILTER(C:C,B:B=F299,A:A=E299))"),6.0)</f>
        <v>6</v>
      </c>
      <c r="I299" s="225" t="s">
        <v>808</v>
      </c>
      <c r="J299" s="226">
        <v>45769.0</v>
      </c>
      <c r="K299" s="228">
        <v>5.0</v>
      </c>
    </row>
    <row r="300">
      <c r="A300" s="105" t="s">
        <v>799</v>
      </c>
      <c r="B300" s="113">
        <v>45769.0</v>
      </c>
      <c r="C300" s="227">
        <v>5.0</v>
      </c>
      <c r="E300" s="225" t="s">
        <v>799</v>
      </c>
      <c r="F300" s="226">
        <v>45770.0</v>
      </c>
      <c r="G300" s="228">
        <f>IFERROR(__xludf.DUMMYFUNCTION("SUM(FILTER(C:C,B:B=F300,A:A=E300))"),6.0)</f>
        <v>6</v>
      </c>
      <c r="I300" s="225" t="s">
        <v>799</v>
      </c>
      <c r="J300" s="226">
        <v>45776.0</v>
      </c>
      <c r="K300" s="228">
        <v>5.0</v>
      </c>
    </row>
    <row r="301">
      <c r="A301" s="105" t="s">
        <v>808</v>
      </c>
      <c r="B301" s="113">
        <v>45769.0</v>
      </c>
      <c r="C301" s="227">
        <v>5.0</v>
      </c>
      <c r="E301" s="225" t="s">
        <v>799</v>
      </c>
      <c r="F301" s="226">
        <v>45771.0</v>
      </c>
      <c r="G301" s="228">
        <f>IFERROR(__xludf.DUMMYFUNCTION("SUM(FILTER(C:C,B:B=F301,A:A=E301))"),3.0)</f>
        <v>3</v>
      </c>
      <c r="I301" s="225" t="s">
        <v>799</v>
      </c>
      <c r="J301" s="226">
        <v>45782.0</v>
      </c>
      <c r="K301" s="228">
        <v>5.0</v>
      </c>
    </row>
    <row r="302">
      <c r="A302" s="105" t="s">
        <v>808</v>
      </c>
      <c r="B302" s="113">
        <v>45770.0</v>
      </c>
      <c r="C302" s="227">
        <v>6.0</v>
      </c>
      <c r="E302" s="225" t="s">
        <v>799</v>
      </c>
      <c r="F302" s="226">
        <v>45772.0</v>
      </c>
      <c r="G302" s="228">
        <f>IFERROR(__xludf.DUMMYFUNCTION("SUM(FILTER(C:C,B:B=F302,A:A=E302))"),4.0)</f>
        <v>4</v>
      </c>
      <c r="I302" s="225" t="s">
        <v>808</v>
      </c>
      <c r="J302" s="226">
        <v>45785.0</v>
      </c>
      <c r="K302" s="228">
        <v>5.0</v>
      </c>
    </row>
    <row r="303">
      <c r="A303" s="105" t="s">
        <v>799</v>
      </c>
      <c r="B303" s="113">
        <v>45770.0</v>
      </c>
      <c r="C303" s="227">
        <v>6.0</v>
      </c>
      <c r="E303" s="225" t="s">
        <v>799</v>
      </c>
      <c r="F303" s="226">
        <v>45775.0</v>
      </c>
      <c r="G303" s="228">
        <f>IFERROR(__xludf.DUMMYFUNCTION("SUM(FILTER(C:C,B:B=F303,A:A=E303))"),6.0)</f>
        <v>6</v>
      </c>
      <c r="I303" s="225" t="s">
        <v>808</v>
      </c>
      <c r="J303" s="226">
        <v>45786.0</v>
      </c>
      <c r="K303" s="228">
        <v>5.0</v>
      </c>
    </row>
    <row r="304">
      <c r="A304" s="105" t="s">
        <v>799</v>
      </c>
      <c r="B304" s="113">
        <v>45771.0</v>
      </c>
      <c r="C304" s="227">
        <v>3.0</v>
      </c>
      <c r="E304" s="225" t="s">
        <v>799</v>
      </c>
      <c r="F304" s="226">
        <v>45776.0</v>
      </c>
      <c r="G304" s="228">
        <f>IFERROR(__xludf.DUMMYFUNCTION("SUM(FILTER(C:C,B:B=F304,A:A=E304))"),5.0)</f>
        <v>5</v>
      </c>
      <c r="I304" s="225" t="s">
        <v>799</v>
      </c>
      <c r="J304" s="226">
        <v>45789.0</v>
      </c>
      <c r="K304" s="228">
        <v>5.0</v>
      </c>
    </row>
    <row r="305">
      <c r="A305" s="105" t="s">
        <v>799</v>
      </c>
      <c r="B305" s="113">
        <v>45772.0</v>
      </c>
      <c r="C305" s="227">
        <v>4.0</v>
      </c>
      <c r="E305" s="225" t="s">
        <v>799</v>
      </c>
      <c r="F305" s="226">
        <v>45777.0</v>
      </c>
      <c r="G305" s="228">
        <f>IFERROR(__xludf.DUMMYFUNCTION("SUM(FILTER(C:C,B:B=F305,A:A=E305))"),6.0)</f>
        <v>6</v>
      </c>
      <c r="I305" s="225" t="s">
        <v>808</v>
      </c>
      <c r="J305" s="226">
        <v>45789.0</v>
      </c>
      <c r="K305" s="228">
        <v>5.0</v>
      </c>
    </row>
    <row r="306">
      <c r="A306" s="105" t="s">
        <v>799</v>
      </c>
      <c r="B306" s="113">
        <v>45775.0</v>
      </c>
      <c r="C306" s="227">
        <v>6.0</v>
      </c>
      <c r="E306" s="225" t="s">
        <v>807</v>
      </c>
      <c r="F306" s="226">
        <v>45777.0</v>
      </c>
      <c r="G306" s="228">
        <f>IFERROR(__xludf.DUMMYFUNCTION("SUM(FILTER(C:C,B:B=F306,A:A=E306))"),4.0)</f>
        <v>4</v>
      </c>
      <c r="I306" s="225" t="s">
        <v>808</v>
      </c>
      <c r="J306" s="226">
        <v>45790.0</v>
      </c>
      <c r="K306" s="228">
        <v>5.0</v>
      </c>
    </row>
    <row r="307">
      <c r="A307" s="105" t="s">
        <v>799</v>
      </c>
      <c r="B307" s="113">
        <v>45776.0</v>
      </c>
      <c r="C307" s="227">
        <v>5.0</v>
      </c>
      <c r="E307" s="225" t="s">
        <v>807</v>
      </c>
      <c r="F307" s="226">
        <v>45779.0</v>
      </c>
      <c r="G307" s="228">
        <f>IFERROR(__xludf.DUMMYFUNCTION("SUM(FILTER(C:C,B:B=F307,A:A=E307))"),0.0)</f>
        <v>0</v>
      </c>
      <c r="I307" s="225" t="s">
        <v>799</v>
      </c>
      <c r="J307" s="226">
        <v>45790.0</v>
      </c>
      <c r="K307" s="228">
        <v>5.0</v>
      </c>
    </row>
    <row r="308">
      <c r="A308" s="105" t="s">
        <v>799</v>
      </c>
      <c r="B308" s="113">
        <v>45777.0</v>
      </c>
      <c r="C308" s="227">
        <v>6.0</v>
      </c>
      <c r="E308" s="225" t="s">
        <v>799</v>
      </c>
      <c r="F308" s="226">
        <v>45779.0</v>
      </c>
      <c r="G308" s="228">
        <f>IFERROR(__xludf.DUMMYFUNCTION("SUM(FILTER(C:C,B:B=F308,A:A=E308))"),4.0)</f>
        <v>4</v>
      </c>
      <c r="I308" s="225" t="s">
        <v>808</v>
      </c>
      <c r="J308" s="226">
        <v>45791.0</v>
      </c>
      <c r="K308" s="228">
        <v>5.0</v>
      </c>
    </row>
    <row r="309">
      <c r="A309" s="105" t="s">
        <v>807</v>
      </c>
      <c r="B309" s="113">
        <v>45777.0</v>
      </c>
      <c r="C309" s="227">
        <v>4.0</v>
      </c>
      <c r="E309" s="225" t="s">
        <v>799</v>
      </c>
      <c r="F309" s="226">
        <v>45782.0</v>
      </c>
      <c r="G309" s="228">
        <f>IFERROR(__xludf.DUMMYFUNCTION("SUM(FILTER(C:C,B:B=F309,A:A=E309))"),5.0)</f>
        <v>5</v>
      </c>
      <c r="I309" s="225" t="s">
        <v>799</v>
      </c>
      <c r="J309" s="226">
        <v>45793.0</v>
      </c>
      <c r="K309" s="228">
        <v>5.0</v>
      </c>
    </row>
    <row r="310">
      <c r="A310" s="105" t="s">
        <v>807</v>
      </c>
      <c r="B310" s="113">
        <v>45779.0</v>
      </c>
      <c r="C310" s="227">
        <v>0.0</v>
      </c>
      <c r="E310" s="225" t="s">
        <v>799</v>
      </c>
      <c r="F310" s="226">
        <v>45783.0</v>
      </c>
      <c r="G310" s="228">
        <f>IFERROR(__xludf.DUMMYFUNCTION("SUM(FILTER(C:C,B:B=F310,A:A=E310))"),6.0)</f>
        <v>6</v>
      </c>
      <c r="I310" s="225" t="s">
        <v>799</v>
      </c>
      <c r="J310" s="226">
        <v>45799.0</v>
      </c>
      <c r="K310" s="228">
        <v>5.0</v>
      </c>
    </row>
    <row r="311">
      <c r="A311" s="105" t="s">
        <v>799</v>
      </c>
      <c r="B311" s="113">
        <v>45779.0</v>
      </c>
      <c r="C311" s="227">
        <v>4.0</v>
      </c>
      <c r="E311" s="225" t="s">
        <v>808</v>
      </c>
      <c r="F311" s="226">
        <v>45783.0</v>
      </c>
      <c r="G311" s="228">
        <f>IFERROR(__xludf.DUMMYFUNCTION("SUM(FILTER(C:C,B:B=F311,A:A=E311))"),6.0)</f>
        <v>6</v>
      </c>
      <c r="I311" s="225" t="s">
        <v>808</v>
      </c>
      <c r="J311" s="226">
        <v>45802.0</v>
      </c>
      <c r="K311" s="228">
        <v>5.0</v>
      </c>
    </row>
    <row r="312">
      <c r="A312" s="105" t="s">
        <v>799</v>
      </c>
      <c r="B312" s="113">
        <v>45782.0</v>
      </c>
      <c r="C312" s="227">
        <v>5.0</v>
      </c>
      <c r="E312" s="225" t="s">
        <v>799</v>
      </c>
      <c r="F312" s="226">
        <v>45784.0</v>
      </c>
      <c r="G312" s="228">
        <f>IFERROR(__xludf.DUMMYFUNCTION("SUM(FILTER(C:C,B:B=F312,A:A=E312))"),7.0)</f>
        <v>7</v>
      </c>
      <c r="I312" s="225" t="s">
        <v>799</v>
      </c>
      <c r="J312" s="226">
        <v>45806.0</v>
      </c>
      <c r="K312" s="228">
        <v>5.0</v>
      </c>
    </row>
    <row r="313">
      <c r="A313" s="105" t="s">
        <v>799</v>
      </c>
      <c r="B313" s="113">
        <v>45783.0</v>
      </c>
      <c r="C313" s="227">
        <v>6.0</v>
      </c>
      <c r="E313" s="225" t="s">
        <v>799</v>
      </c>
      <c r="F313" s="226">
        <v>45785.0</v>
      </c>
      <c r="G313" s="228">
        <f>IFERROR(__xludf.DUMMYFUNCTION("SUM(FILTER(C:C,B:B=F313,A:A=E313))"),6.0)</f>
        <v>6</v>
      </c>
      <c r="I313" s="225" t="s">
        <v>799</v>
      </c>
      <c r="J313" s="226">
        <v>45831.0</v>
      </c>
      <c r="K313" s="228">
        <v>5.0</v>
      </c>
    </row>
    <row r="314">
      <c r="A314" s="105" t="s">
        <v>808</v>
      </c>
      <c r="B314" s="113">
        <v>45783.0</v>
      </c>
      <c r="C314" s="227">
        <v>6.0</v>
      </c>
      <c r="E314" s="225" t="s">
        <v>808</v>
      </c>
      <c r="F314" s="226">
        <v>45785.0</v>
      </c>
      <c r="G314" s="228">
        <f>IFERROR(__xludf.DUMMYFUNCTION("SUM(FILTER(C:C,B:B=F314,A:A=E314))"),5.0)</f>
        <v>5</v>
      </c>
      <c r="I314" s="225" t="s">
        <v>800</v>
      </c>
      <c r="J314" s="226">
        <v>45790.0</v>
      </c>
      <c r="K314" s="228">
        <v>5.0</v>
      </c>
    </row>
    <row r="315">
      <c r="A315" s="105" t="s">
        <v>799</v>
      </c>
      <c r="B315" s="113">
        <v>45784.0</v>
      </c>
      <c r="C315" s="227">
        <v>7.0</v>
      </c>
      <c r="E315" s="225" t="s">
        <v>808</v>
      </c>
      <c r="F315" s="226">
        <v>45786.0</v>
      </c>
      <c r="G315" s="228">
        <f>IFERROR(__xludf.DUMMYFUNCTION("SUM(FILTER(C:C,B:B=F315,A:A=E315))"),5.0)</f>
        <v>5</v>
      </c>
      <c r="I315" s="225" t="s">
        <v>796</v>
      </c>
      <c r="J315" s="226">
        <v>45793.0</v>
      </c>
      <c r="K315" s="228">
        <v>5.0</v>
      </c>
    </row>
    <row r="316">
      <c r="A316" s="105" t="s">
        <v>799</v>
      </c>
      <c r="B316" s="113">
        <v>45785.0</v>
      </c>
      <c r="C316" s="227">
        <v>6.0</v>
      </c>
      <c r="E316" s="225" t="s">
        <v>799</v>
      </c>
      <c r="F316" s="226">
        <v>45786.0</v>
      </c>
      <c r="G316" s="228">
        <f>IFERROR(__xludf.DUMMYFUNCTION("SUM(FILTER(C:C,B:B=F316,A:A=E316))"),6.0)</f>
        <v>6</v>
      </c>
      <c r="I316" s="225" t="s">
        <v>800</v>
      </c>
      <c r="J316" s="226">
        <v>45800.0</v>
      </c>
      <c r="K316" s="228">
        <v>5.0</v>
      </c>
    </row>
    <row r="317">
      <c r="A317" s="105" t="s">
        <v>808</v>
      </c>
      <c r="B317" s="113">
        <v>45785.0</v>
      </c>
      <c r="C317" s="227">
        <v>5.0</v>
      </c>
      <c r="E317" s="225" t="s">
        <v>799</v>
      </c>
      <c r="F317" s="226">
        <v>45789.0</v>
      </c>
      <c r="G317" s="228">
        <f>IFERROR(__xludf.DUMMYFUNCTION("SUM(FILTER(C:C,B:B=F317,A:A=E317))"),5.0)</f>
        <v>5</v>
      </c>
      <c r="I317" s="225" t="s">
        <v>800</v>
      </c>
      <c r="J317" s="226">
        <v>45813.0</v>
      </c>
      <c r="K317" s="228">
        <v>5.0</v>
      </c>
    </row>
    <row r="318">
      <c r="A318" s="105" t="s">
        <v>808</v>
      </c>
      <c r="B318" s="113">
        <v>45786.0</v>
      </c>
      <c r="C318" s="227">
        <v>5.0</v>
      </c>
      <c r="E318" s="225" t="s">
        <v>808</v>
      </c>
      <c r="F318" s="226">
        <v>45789.0</v>
      </c>
      <c r="G318" s="228">
        <f>IFERROR(__xludf.DUMMYFUNCTION("SUM(FILTER(C:C,B:B=F318,A:A=E318))"),5.0)</f>
        <v>5</v>
      </c>
      <c r="I318" s="225" t="s">
        <v>800</v>
      </c>
      <c r="J318" s="226">
        <v>45817.0</v>
      </c>
      <c r="K318" s="228">
        <v>5.0</v>
      </c>
    </row>
    <row r="319">
      <c r="A319" s="105" t="s">
        <v>799</v>
      </c>
      <c r="B319" s="113">
        <v>45786.0</v>
      </c>
      <c r="C319" s="227">
        <v>6.0</v>
      </c>
      <c r="E319" s="225" t="s">
        <v>808</v>
      </c>
      <c r="F319" s="226">
        <v>45790.0</v>
      </c>
      <c r="G319" s="228">
        <f>IFERROR(__xludf.DUMMYFUNCTION("SUM(FILTER(C:C,B:B=F319,A:A=E319))"),5.0)</f>
        <v>5</v>
      </c>
      <c r="I319" s="225" t="s">
        <v>800</v>
      </c>
      <c r="J319" s="226">
        <v>45820.0</v>
      </c>
      <c r="K319" s="228">
        <v>5.0</v>
      </c>
    </row>
    <row r="320">
      <c r="A320" s="105" t="s">
        <v>799</v>
      </c>
      <c r="B320" s="113">
        <v>45789.0</v>
      </c>
      <c r="C320" s="227">
        <v>5.0</v>
      </c>
      <c r="E320" s="225" t="s">
        <v>799</v>
      </c>
      <c r="F320" s="226">
        <v>45790.0</v>
      </c>
      <c r="G320" s="228">
        <f>IFERROR(__xludf.DUMMYFUNCTION("SUM(FILTER(C:C,B:B=F320,A:A=E320))"),5.0)</f>
        <v>5</v>
      </c>
      <c r="I320" s="225" t="s">
        <v>796</v>
      </c>
      <c r="J320" s="226">
        <v>45833.0</v>
      </c>
      <c r="K320" s="228">
        <v>5.0</v>
      </c>
    </row>
    <row r="321">
      <c r="A321" s="105" t="s">
        <v>808</v>
      </c>
      <c r="B321" s="113">
        <v>45789.0</v>
      </c>
      <c r="C321" s="227">
        <v>5.0</v>
      </c>
      <c r="E321" s="225" t="s">
        <v>799</v>
      </c>
      <c r="F321" s="226">
        <v>45791.0</v>
      </c>
      <c r="G321" s="228">
        <f>IFERROR(__xludf.DUMMYFUNCTION("SUM(FILTER(C:C,B:B=F321,A:A=E321))"),6.0)</f>
        <v>6</v>
      </c>
      <c r="I321" s="225" t="s">
        <v>795</v>
      </c>
      <c r="J321" s="226">
        <v>45692.0</v>
      </c>
      <c r="K321" s="228">
        <v>4.0</v>
      </c>
    </row>
    <row r="322">
      <c r="A322" s="105" t="s">
        <v>808</v>
      </c>
      <c r="B322" s="113">
        <v>45790.0</v>
      </c>
      <c r="C322" s="227">
        <v>5.0</v>
      </c>
      <c r="E322" s="225" t="s">
        <v>808</v>
      </c>
      <c r="F322" s="226">
        <v>45791.0</v>
      </c>
      <c r="G322" s="228">
        <f>IFERROR(__xludf.DUMMYFUNCTION("SUM(FILTER(C:C,B:B=F322,A:A=E322))"),5.0)</f>
        <v>5</v>
      </c>
      <c r="I322" s="225" t="s">
        <v>797</v>
      </c>
      <c r="J322" s="226">
        <v>45716.0</v>
      </c>
      <c r="K322" s="228">
        <v>4.0</v>
      </c>
    </row>
    <row r="323">
      <c r="A323" s="105" t="s">
        <v>799</v>
      </c>
      <c r="B323" s="107">
        <v>45790.0</v>
      </c>
      <c r="C323" s="227">
        <v>5.0</v>
      </c>
      <c r="E323" s="225" t="s">
        <v>808</v>
      </c>
      <c r="F323" s="226">
        <v>45792.0</v>
      </c>
      <c r="G323" s="228">
        <f>IFERROR(__xludf.DUMMYFUNCTION("SUM(FILTER(C:C,B:B=F323,A:A=E323))"),6.0)</f>
        <v>6</v>
      </c>
      <c r="I323" s="225" t="s">
        <v>803</v>
      </c>
      <c r="J323" s="226">
        <v>45700.0</v>
      </c>
      <c r="K323" s="228">
        <v>4.0</v>
      </c>
    </row>
    <row r="324">
      <c r="A324" s="105" t="s">
        <v>799</v>
      </c>
      <c r="B324" s="107">
        <v>45791.0</v>
      </c>
      <c r="C324" s="227">
        <v>6.0</v>
      </c>
      <c r="E324" s="225" t="s">
        <v>799</v>
      </c>
      <c r="F324" s="226">
        <v>45792.0</v>
      </c>
      <c r="G324" s="228">
        <f>IFERROR(__xludf.DUMMYFUNCTION("SUM(FILTER(C:C,B:B=F324,A:A=E324))"),6.0)</f>
        <v>6</v>
      </c>
      <c r="I324" s="225" t="s">
        <v>804</v>
      </c>
      <c r="J324" s="226">
        <v>45701.0</v>
      </c>
      <c r="K324" s="228">
        <v>4.0</v>
      </c>
    </row>
    <row r="325">
      <c r="A325" s="105" t="s">
        <v>808</v>
      </c>
      <c r="B325" s="107">
        <v>45791.0</v>
      </c>
      <c r="C325" s="227">
        <v>5.0</v>
      </c>
      <c r="E325" s="225" t="s">
        <v>799</v>
      </c>
      <c r="F325" s="226">
        <v>45793.0</v>
      </c>
      <c r="G325" s="228">
        <f>IFERROR(__xludf.DUMMYFUNCTION("SUM(FILTER(C:C,B:B=F325,A:A=E325))"),5.0)</f>
        <v>5</v>
      </c>
      <c r="I325" s="225" t="s">
        <v>804</v>
      </c>
      <c r="J325" s="226">
        <v>45702.0</v>
      </c>
      <c r="K325" s="228">
        <v>4.0</v>
      </c>
    </row>
    <row r="326">
      <c r="A326" s="105" t="s">
        <v>808</v>
      </c>
      <c r="B326" s="113">
        <v>45792.0</v>
      </c>
      <c r="C326" s="227">
        <v>6.0</v>
      </c>
      <c r="E326" s="225" t="s">
        <v>808</v>
      </c>
      <c r="F326" s="226">
        <v>45793.0</v>
      </c>
      <c r="G326" s="228">
        <f>IFERROR(__xludf.DUMMYFUNCTION("SUM(FILTER(C:C,B:B=F326,A:A=E326))"),6.0)</f>
        <v>6</v>
      </c>
      <c r="I326" s="225" t="s">
        <v>795</v>
      </c>
      <c r="J326" s="226">
        <v>45715.0</v>
      </c>
      <c r="K326" s="228">
        <v>4.0</v>
      </c>
    </row>
    <row r="327">
      <c r="A327" s="105" t="s">
        <v>799</v>
      </c>
      <c r="B327" s="113">
        <v>45792.0</v>
      </c>
      <c r="C327" s="227">
        <v>6.0</v>
      </c>
      <c r="E327" s="225" t="s">
        <v>808</v>
      </c>
      <c r="F327" s="226">
        <v>45796.0</v>
      </c>
      <c r="G327" s="228">
        <f>IFERROR(__xludf.DUMMYFUNCTION("SUM(FILTER(C:C,B:B=F327,A:A=E327))"),6.0)</f>
        <v>6</v>
      </c>
      <c r="I327" s="225" t="s">
        <v>797</v>
      </c>
      <c r="J327" s="226">
        <v>45730.0</v>
      </c>
      <c r="K327" s="228">
        <v>4.0</v>
      </c>
    </row>
    <row r="328">
      <c r="A328" s="105" t="s">
        <v>799</v>
      </c>
      <c r="B328" s="107">
        <v>45793.0</v>
      </c>
      <c r="C328" s="227">
        <v>5.0</v>
      </c>
      <c r="E328" s="225" t="s">
        <v>799</v>
      </c>
      <c r="F328" s="226">
        <v>45796.0</v>
      </c>
      <c r="G328" s="228">
        <f>IFERROR(__xludf.DUMMYFUNCTION("SUM(FILTER(C:C,B:B=F328,A:A=E328))"),6.0)</f>
        <v>6</v>
      </c>
      <c r="I328" s="225" t="s">
        <v>797</v>
      </c>
      <c r="J328" s="226">
        <v>45735.0</v>
      </c>
      <c r="K328" s="228">
        <v>4.0</v>
      </c>
    </row>
    <row r="329">
      <c r="A329" s="105" t="s">
        <v>808</v>
      </c>
      <c r="B329" s="113">
        <v>45793.0</v>
      </c>
      <c r="C329" s="227">
        <v>6.0</v>
      </c>
      <c r="E329" s="225" t="s">
        <v>799</v>
      </c>
      <c r="F329" s="226">
        <v>45797.0</v>
      </c>
      <c r="G329" s="228">
        <f>IFERROR(__xludf.DUMMYFUNCTION("SUM(FILTER(C:C,B:B=F329,A:A=E329))"),6.0)</f>
        <v>6</v>
      </c>
      <c r="I329" s="225" t="s">
        <v>797</v>
      </c>
      <c r="J329" s="226">
        <v>45736.0</v>
      </c>
      <c r="K329" s="228">
        <v>4.0</v>
      </c>
    </row>
    <row r="330">
      <c r="A330" s="105" t="s">
        <v>808</v>
      </c>
      <c r="B330" s="113">
        <v>45796.0</v>
      </c>
      <c r="C330" s="227">
        <v>6.0</v>
      </c>
      <c r="E330" s="225" t="s">
        <v>808</v>
      </c>
      <c r="F330" s="226">
        <v>45797.0</v>
      </c>
      <c r="G330" s="228">
        <f>IFERROR(__xludf.DUMMYFUNCTION("SUM(FILTER(C:C,B:B=F330,A:A=E330))"),6.0)</f>
        <v>6</v>
      </c>
      <c r="I330" s="225" t="s">
        <v>808</v>
      </c>
      <c r="J330" s="226">
        <v>45663.0</v>
      </c>
      <c r="K330" s="228">
        <v>4.0</v>
      </c>
    </row>
    <row r="331">
      <c r="A331" s="105" t="s">
        <v>799</v>
      </c>
      <c r="B331" s="113">
        <v>45796.0</v>
      </c>
      <c r="C331" s="227">
        <v>6.0</v>
      </c>
      <c r="E331" s="225" t="s">
        <v>799</v>
      </c>
      <c r="F331" s="226">
        <v>45798.0</v>
      </c>
      <c r="G331" s="228">
        <f>IFERROR(__xludf.DUMMYFUNCTION("SUM(FILTER(C:C,B:B=F331,A:A=E331))"),4.0)</f>
        <v>4</v>
      </c>
      <c r="I331" s="225" t="s">
        <v>808</v>
      </c>
      <c r="J331" s="226">
        <v>45664.0</v>
      </c>
      <c r="K331" s="228">
        <v>4.0</v>
      </c>
    </row>
    <row r="332">
      <c r="A332" s="105" t="s">
        <v>799</v>
      </c>
      <c r="B332" s="113">
        <v>45797.0</v>
      </c>
      <c r="C332" s="227">
        <v>6.0</v>
      </c>
      <c r="E332" s="225" t="s">
        <v>799</v>
      </c>
      <c r="F332" s="226">
        <v>45799.0</v>
      </c>
      <c r="G332" s="228">
        <f>IFERROR(__xludf.DUMMYFUNCTION("SUM(FILTER(C:C,B:B=F332,A:A=E332))"),5.0)</f>
        <v>5</v>
      </c>
      <c r="I332" s="225" t="s">
        <v>808</v>
      </c>
      <c r="J332" s="226">
        <v>45667.0</v>
      </c>
      <c r="K332" s="228">
        <v>4.0</v>
      </c>
    </row>
    <row r="333">
      <c r="A333" s="105" t="s">
        <v>808</v>
      </c>
      <c r="B333" s="113">
        <v>45797.0</v>
      </c>
      <c r="C333" s="227">
        <v>6.0</v>
      </c>
      <c r="E333" s="225" t="s">
        <v>799</v>
      </c>
      <c r="F333" s="226">
        <v>45800.0</v>
      </c>
      <c r="G333" s="228">
        <f>IFERROR(__xludf.DUMMYFUNCTION("SUM(FILTER(C:C,B:B=F333,A:A=E333))"),6.0)</f>
        <v>6</v>
      </c>
      <c r="I333" s="225" t="s">
        <v>808</v>
      </c>
      <c r="J333" s="226">
        <v>45673.0</v>
      </c>
      <c r="K333" s="228">
        <v>4.0</v>
      </c>
    </row>
    <row r="334">
      <c r="A334" s="105" t="s">
        <v>799</v>
      </c>
      <c r="B334" s="113">
        <v>45798.0</v>
      </c>
      <c r="C334" s="227">
        <v>4.0</v>
      </c>
      <c r="E334" s="225" t="s">
        <v>808</v>
      </c>
      <c r="F334" s="226">
        <v>45802.0</v>
      </c>
      <c r="G334" s="228">
        <f>IFERROR(__xludf.DUMMYFUNCTION("SUM(FILTER(C:C,B:B=F334,A:A=E334))"),5.0)</f>
        <v>5</v>
      </c>
      <c r="I334" s="225" t="s">
        <v>801</v>
      </c>
      <c r="J334" s="226">
        <v>45677.0</v>
      </c>
      <c r="K334" s="228">
        <v>4.0</v>
      </c>
    </row>
    <row r="335">
      <c r="A335" s="105" t="s">
        <v>799</v>
      </c>
      <c r="B335" s="113">
        <v>45799.0</v>
      </c>
      <c r="C335" s="227">
        <v>5.0</v>
      </c>
      <c r="E335" s="225" t="s">
        <v>799</v>
      </c>
      <c r="F335" s="226">
        <v>45803.0</v>
      </c>
      <c r="G335" s="228">
        <f>IFERROR(__xludf.DUMMYFUNCTION("SUM(FILTER(C:C,B:B=F335,A:A=E335))"),6.0)</f>
        <v>6</v>
      </c>
      <c r="I335" s="225" t="s">
        <v>801</v>
      </c>
      <c r="J335" s="226">
        <v>45678.0</v>
      </c>
      <c r="K335" s="228">
        <v>4.0</v>
      </c>
    </row>
    <row r="336">
      <c r="A336" s="105" t="s">
        <v>799</v>
      </c>
      <c r="B336" s="113">
        <v>45800.0</v>
      </c>
      <c r="C336" s="227">
        <v>6.0</v>
      </c>
      <c r="E336" s="225" t="s">
        <v>799</v>
      </c>
      <c r="F336" s="226">
        <v>45804.0</v>
      </c>
      <c r="G336" s="228">
        <f>IFERROR(__xludf.DUMMYFUNCTION("SUM(FILTER(C:C,B:B=F336,A:A=E336))"),6.0)</f>
        <v>6</v>
      </c>
      <c r="I336" s="225" t="s">
        <v>808</v>
      </c>
      <c r="J336" s="226">
        <v>45678.0</v>
      </c>
      <c r="K336" s="228">
        <v>4.0</v>
      </c>
    </row>
    <row r="337">
      <c r="A337" s="105" t="s">
        <v>808</v>
      </c>
      <c r="B337" s="113">
        <v>45802.0</v>
      </c>
      <c r="C337" s="227">
        <v>5.0</v>
      </c>
      <c r="E337" s="225" t="s">
        <v>799</v>
      </c>
      <c r="F337" s="226">
        <v>45805.0</v>
      </c>
      <c r="G337" s="228">
        <f>IFERROR(__xludf.DUMMYFUNCTION("SUM(FILTER(C:C,B:B=F337,A:A=E337))"),6.0)</f>
        <v>6</v>
      </c>
      <c r="I337" s="225" t="s">
        <v>808</v>
      </c>
      <c r="J337" s="226">
        <v>45680.0</v>
      </c>
      <c r="K337" s="228">
        <v>4.0</v>
      </c>
    </row>
    <row r="338">
      <c r="A338" s="105" t="s">
        <v>799</v>
      </c>
      <c r="B338" s="107">
        <v>45803.0</v>
      </c>
      <c r="C338" s="227">
        <v>6.0</v>
      </c>
      <c r="E338" s="225" t="s">
        <v>799</v>
      </c>
      <c r="F338" s="226">
        <v>45806.0</v>
      </c>
      <c r="G338" s="228">
        <f>IFERROR(__xludf.DUMMYFUNCTION("SUM(FILTER(C:C,B:B=F338,A:A=E338))"),5.0)</f>
        <v>5</v>
      </c>
      <c r="I338" s="225" t="s">
        <v>808</v>
      </c>
      <c r="J338" s="226">
        <v>45699.0</v>
      </c>
      <c r="K338" s="228">
        <v>4.0</v>
      </c>
    </row>
    <row r="339">
      <c r="A339" s="105" t="s">
        <v>799</v>
      </c>
      <c r="B339" s="113">
        <v>45804.0</v>
      </c>
      <c r="C339" s="227">
        <v>6.0</v>
      </c>
      <c r="E339" s="225" t="s">
        <v>799</v>
      </c>
      <c r="F339" s="226">
        <v>45807.0</v>
      </c>
      <c r="G339" s="228">
        <f>IFERROR(__xludf.DUMMYFUNCTION("SUM(FILTER(C:C,B:B=F339,A:A=E339))"),6.0)</f>
        <v>6</v>
      </c>
      <c r="I339" s="225" t="s">
        <v>808</v>
      </c>
      <c r="J339" s="226">
        <v>45701.0</v>
      </c>
      <c r="K339" s="228">
        <v>4.0</v>
      </c>
    </row>
    <row r="340">
      <c r="A340" s="105" t="s">
        <v>799</v>
      </c>
      <c r="B340" s="113">
        <v>45805.0</v>
      </c>
      <c r="C340" s="227">
        <v>6.0</v>
      </c>
      <c r="E340" s="225" t="s">
        <v>799</v>
      </c>
      <c r="F340" s="226">
        <v>45810.0</v>
      </c>
      <c r="G340" s="228">
        <f>IFERROR(__xludf.DUMMYFUNCTION("SUM(FILTER(C:C,B:B=F340,A:A=E340))"),6.0)</f>
        <v>6</v>
      </c>
      <c r="I340" s="225" t="s">
        <v>799</v>
      </c>
      <c r="J340" s="226">
        <v>45716.0</v>
      </c>
      <c r="K340" s="228">
        <v>4.0</v>
      </c>
    </row>
    <row r="341">
      <c r="A341" s="105" t="s">
        <v>799</v>
      </c>
      <c r="B341" s="113">
        <v>45806.0</v>
      </c>
      <c r="C341" s="227">
        <v>5.0</v>
      </c>
      <c r="E341" s="225" t="s">
        <v>799</v>
      </c>
      <c r="F341" s="226">
        <v>45811.0</v>
      </c>
      <c r="G341" s="228">
        <f>IFERROR(__xludf.DUMMYFUNCTION("SUM(FILTER(C:C,B:B=F341,A:A=E341))"),6.0)</f>
        <v>6</v>
      </c>
      <c r="I341" s="225" t="s">
        <v>808</v>
      </c>
      <c r="J341" s="226">
        <v>45719.0</v>
      </c>
      <c r="K341" s="228">
        <v>4.0</v>
      </c>
    </row>
    <row r="342">
      <c r="A342" s="105" t="s">
        <v>799</v>
      </c>
      <c r="B342" s="113">
        <v>45807.0</v>
      </c>
      <c r="C342" s="227">
        <v>6.0</v>
      </c>
      <c r="E342" s="225" t="s">
        <v>808</v>
      </c>
      <c r="F342" s="226">
        <v>45817.0</v>
      </c>
      <c r="G342" s="228">
        <f>IFERROR(__xludf.DUMMYFUNCTION("SUM(FILTER(C:C,B:B=F342,A:A=E342))"),4.0)</f>
        <v>4</v>
      </c>
      <c r="I342" s="225" t="s">
        <v>799</v>
      </c>
      <c r="J342" s="226">
        <v>45723.0</v>
      </c>
      <c r="K342" s="228">
        <v>4.0</v>
      </c>
    </row>
    <row r="343">
      <c r="A343" s="105" t="s">
        <v>799</v>
      </c>
      <c r="B343" s="113">
        <v>45810.0</v>
      </c>
      <c r="C343" s="227">
        <v>6.0</v>
      </c>
      <c r="E343" s="225" t="s">
        <v>799</v>
      </c>
      <c r="F343" s="226">
        <v>45824.0</v>
      </c>
      <c r="G343" s="228">
        <f>IFERROR(__xludf.DUMMYFUNCTION("SUM(FILTER(C:C,B:B=F343,A:A=E343))"),12.0)</f>
        <v>12</v>
      </c>
      <c r="I343" s="225" t="s">
        <v>808</v>
      </c>
      <c r="J343" s="226">
        <v>45723.0</v>
      </c>
      <c r="K343" s="228">
        <v>4.0</v>
      </c>
    </row>
    <row r="344">
      <c r="A344" s="105" t="s">
        <v>799</v>
      </c>
      <c r="B344" s="113">
        <v>45811.0</v>
      </c>
      <c r="C344" s="227">
        <v>6.0</v>
      </c>
      <c r="E344" s="225" t="s">
        <v>808</v>
      </c>
      <c r="F344" s="226">
        <v>45824.0</v>
      </c>
      <c r="G344" s="228">
        <f>IFERROR(__xludf.DUMMYFUNCTION("SUM(FILTER(C:C,B:B=F344,A:A=E344))"),4.0)</f>
        <v>4</v>
      </c>
      <c r="I344" s="225" t="s">
        <v>808</v>
      </c>
      <c r="J344" s="226">
        <v>45727.0</v>
      </c>
      <c r="K344" s="228">
        <v>4.0</v>
      </c>
    </row>
    <row r="345">
      <c r="A345" s="105" t="s">
        <v>808</v>
      </c>
      <c r="B345" s="113">
        <v>45817.0</v>
      </c>
      <c r="C345" s="227">
        <v>4.0</v>
      </c>
      <c r="E345" s="225" t="s">
        <v>799</v>
      </c>
      <c r="F345" s="226">
        <v>45831.0</v>
      </c>
      <c r="G345" s="228">
        <f>IFERROR(__xludf.DUMMYFUNCTION("SUM(FILTER(C:C,B:B=F345,A:A=E345))"),5.0)</f>
        <v>5</v>
      </c>
      <c r="I345" s="225" t="s">
        <v>808</v>
      </c>
      <c r="J345" s="226">
        <v>45730.0</v>
      </c>
      <c r="K345" s="228">
        <v>4.0</v>
      </c>
    </row>
    <row r="346">
      <c r="A346" s="105" t="s">
        <v>799</v>
      </c>
      <c r="B346" s="113">
        <v>45824.0</v>
      </c>
      <c r="C346" s="227">
        <v>6.0</v>
      </c>
      <c r="E346" s="225" t="s">
        <v>799</v>
      </c>
      <c r="F346" s="226">
        <v>45834.0</v>
      </c>
      <c r="G346" s="228">
        <f>IFERROR(__xludf.DUMMYFUNCTION("SUM(FILTER(C:C,B:B=F346,A:A=E346))"),4.0)</f>
        <v>4</v>
      </c>
      <c r="I346" s="225" t="s">
        <v>808</v>
      </c>
      <c r="J346" s="226">
        <v>45743.0</v>
      </c>
      <c r="K346" s="228">
        <v>4.0</v>
      </c>
    </row>
    <row r="347">
      <c r="A347" s="105" t="s">
        <v>799</v>
      </c>
      <c r="B347" s="113">
        <v>45824.0</v>
      </c>
      <c r="C347" s="227">
        <v>6.0</v>
      </c>
      <c r="E347" s="225" t="s">
        <v>796</v>
      </c>
      <c r="F347" s="226">
        <v>45755.0</v>
      </c>
      <c r="G347" s="228">
        <f>IFERROR(__xludf.DUMMYFUNCTION("SUM(FILTER(C:C,B:B=F347,A:A=E347))"),9.0)</f>
        <v>9</v>
      </c>
      <c r="I347" s="225" t="s">
        <v>808</v>
      </c>
      <c r="J347" s="226">
        <v>45744.0</v>
      </c>
      <c r="K347" s="228">
        <v>4.0</v>
      </c>
    </row>
    <row r="348">
      <c r="A348" s="105" t="s">
        <v>808</v>
      </c>
      <c r="B348" s="113">
        <v>45824.0</v>
      </c>
      <c r="C348" s="227">
        <v>4.0</v>
      </c>
      <c r="E348" s="225" t="s">
        <v>800</v>
      </c>
      <c r="F348" s="226">
        <v>45755.0</v>
      </c>
      <c r="G348" s="228">
        <f>IFERROR(__xludf.DUMMYFUNCTION("SUM(FILTER(C:C,B:B=F348,A:A=E348))"),7.0)</f>
        <v>7</v>
      </c>
      <c r="I348" s="225" t="s">
        <v>795</v>
      </c>
      <c r="J348" s="226">
        <v>45777.0</v>
      </c>
      <c r="K348" s="228">
        <v>4.0</v>
      </c>
    </row>
    <row r="349">
      <c r="A349" s="105" t="s">
        <v>799</v>
      </c>
      <c r="B349" s="113">
        <v>45831.0</v>
      </c>
      <c r="C349" s="227">
        <v>5.0</v>
      </c>
      <c r="E349" s="225" t="s">
        <v>796</v>
      </c>
      <c r="F349" s="226">
        <v>45757.0</v>
      </c>
      <c r="G349" s="228">
        <f>IFERROR(__xludf.DUMMYFUNCTION("SUM(FILTER(C:C,B:B=F349,A:A=E349))"),9.0)</f>
        <v>9</v>
      </c>
      <c r="I349" s="225" t="s">
        <v>800</v>
      </c>
      <c r="J349" s="226">
        <v>45754.0</v>
      </c>
      <c r="K349" s="228">
        <v>4.0</v>
      </c>
    </row>
    <row r="350">
      <c r="A350" s="105" t="s">
        <v>799</v>
      </c>
      <c r="B350" s="113">
        <v>45834.0</v>
      </c>
      <c r="C350" s="227">
        <v>4.0</v>
      </c>
      <c r="E350" s="225" t="s">
        <v>800</v>
      </c>
      <c r="F350" s="226">
        <v>45757.0</v>
      </c>
      <c r="G350" s="228">
        <f>IFERROR(__xludf.DUMMYFUNCTION("SUM(FILTER(C:C,B:B=F350,A:A=E350))"),9.0)</f>
        <v>9</v>
      </c>
      <c r="I350" s="225" t="s">
        <v>796</v>
      </c>
      <c r="J350" s="226">
        <v>45754.0</v>
      </c>
      <c r="K350" s="228">
        <v>4.0</v>
      </c>
    </row>
    <row r="351">
      <c r="A351" s="105" t="s">
        <v>796</v>
      </c>
      <c r="B351" s="113">
        <v>45749.0</v>
      </c>
      <c r="C351" s="227">
        <v>5.0</v>
      </c>
      <c r="E351" s="225" t="s">
        <v>800</v>
      </c>
      <c r="F351" s="226">
        <v>45761.0</v>
      </c>
      <c r="G351" s="228">
        <f>IFERROR(__xludf.DUMMYFUNCTION("SUM(FILTER(C:C,B:B=F351,A:A=E351))"),9.0)</f>
        <v>9</v>
      </c>
      <c r="I351" s="225" t="s">
        <v>796</v>
      </c>
      <c r="J351" s="226">
        <v>45758.0</v>
      </c>
      <c r="K351" s="228">
        <v>4.0</v>
      </c>
    </row>
    <row r="352">
      <c r="A352" s="105" t="s">
        <v>800</v>
      </c>
      <c r="B352" s="113">
        <v>45749.0</v>
      </c>
      <c r="C352" s="227">
        <v>5.0</v>
      </c>
      <c r="E352" s="225" t="s">
        <v>796</v>
      </c>
      <c r="F352" s="226">
        <v>45761.0</v>
      </c>
      <c r="G352" s="228">
        <f>IFERROR(__xludf.DUMMYFUNCTION("SUM(FILTER(C:C,B:B=F352,A:A=E352))"),9.0)</f>
        <v>9</v>
      </c>
      <c r="I352" s="225" t="s">
        <v>797</v>
      </c>
      <c r="J352" s="226">
        <v>45751.0</v>
      </c>
      <c r="K352" s="228">
        <v>4.0</v>
      </c>
    </row>
    <row r="353">
      <c r="A353" s="105" t="s">
        <v>800</v>
      </c>
      <c r="B353" s="113">
        <v>45750.0</v>
      </c>
      <c r="C353" s="227">
        <v>5.0</v>
      </c>
      <c r="E353" s="225" t="s">
        <v>800</v>
      </c>
      <c r="F353" s="226">
        <v>45764.0</v>
      </c>
      <c r="G353" s="228">
        <f>IFERROR(__xludf.DUMMYFUNCTION("SUM(FILTER(C:C,B:B=F353,A:A=E353))"),9.0)</f>
        <v>9</v>
      </c>
      <c r="I353" s="225" t="s">
        <v>797</v>
      </c>
      <c r="J353" s="226">
        <v>45789.0</v>
      </c>
      <c r="K353" s="228">
        <v>4.0</v>
      </c>
    </row>
    <row r="354">
      <c r="A354" s="105" t="s">
        <v>796</v>
      </c>
      <c r="B354" s="113">
        <v>45750.0</v>
      </c>
      <c r="C354" s="227">
        <v>5.0</v>
      </c>
      <c r="E354" s="225" t="s">
        <v>796</v>
      </c>
      <c r="F354" s="226">
        <v>45764.0</v>
      </c>
      <c r="G354" s="228">
        <f>IFERROR(__xludf.DUMMYFUNCTION("SUM(FILTER(C:C,B:B=F354,A:A=E354))"),18.0)</f>
        <v>18</v>
      </c>
      <c r="I354" s="225" t="s">
        <v>797</v>
      </c>
      <c r="J354" s="226">
        <v>45797.0</v>
      </c>
      <c r="K354" s="228">
        <v>4.0</v>
      </c>
    </row>
    <row r="355">
      <c r="A355" s="105" t="s">
        <v>796</v>
      </c>
      <c r="B355" s="113">
        <v>45751.0</v>
      </c>
      <c r="C355" s="227">
        <v>5.0</v>
      </c>
      <c r="E355" s="225" t="s">
        <v>800</v>
      </c>
      <c r="F355" s="226">
        <v>45765.0</v>
      </c>
      <c r="G355" s="228">
        <f>IFERROR(__xludf.DUMMYFUNCTION("SUM(FILTER(C:C,B:B=F355,A:A=E355))"),9.0)</f>
        <v>9</v>
      </c>
      <c r="I355" s="225" t="s">
        <v>797</v>
      </c>
      <c r="J355" s="226">
        <v>45800.0</v>
      </c>
      <c r="K355" s="228">
        <v>4.0</v>
      </c>
    </row>
    <row r="356">
      <c r="A356" s="105" t="s">
        <v>800</v>
      </c>
      <c r="B356" s="113">
        <v>45751.0</v>
      </c>
      <c r="C356" s="227">
        <v>5.0</v>
      </c>
      <c r="E356" s="225" t="s">
        <v>796</v>
      </c>
      <c r="F356" s="226">
        <v>45765.0</v>
      </c>
      <c r="G356" s="228">
        <f>IFERROR(__xludf.DUMMYFUNCTION("SUM(FILTER(C:C,B:B=F356,A:A=E356))"),9.0)</f>
        <v>9</v>
      </c>
      <c r="I356" s="225" t="s">
        <v>797</v>
      </c>
      <c r="J356" s="226">
        <v>45817.0</v>
      </c>
      <c r="K356" s="228">
        <v>4.0</v>
      </c>
    </row>
    <row r="357">
      <c r="A357" s="105" t="s">
        <v>796</v>
      </c>
      <c r="B357" s="113">
        <v>45755.0</v>
      </c>
      <c r="C357" s="227">
        <v>9.0</v>
      </c>
      <c r="E357" s="225" t="s">
        <v>796</v>
      </c>
      <c r="F357" s="226">
        <v>45770.0</v>
      </c>
      <c r="G357" s="228">
        <f>IFERROR(__xludf.DUMMYFUNCTION("SUM(FILTER(C:C,B:B=F357,A:A=E357))"),9.0)</f>
        <v>9</v>
      </c>
      <c r="I357" s="225" t="s">
        <v>799</v>
      </c>
      <c r="J357" s="226">
        <v>45750.0</v>
      </c>
      <c r="K357" s="228">
        <v>4.0</v>
      </c>
    </row>
    <row r="358">
      <c r="A358" s="105" t="s">
        <v>800</v>
      </c>
      <c r="B358" s="107">
        <v>45755.0</v>
      </c>
      <c r="C358" s="227">
        <v>7.0</v>
      </c>
      <c r="E358" s="225" t="s">
        <v>796</v>
      </c>
      <c r="F358" s="226">
        <v>45771.0</v>
      </c>
      <c r="G358" s="228">
        <f>IFERROR(__xludf.DUMMYFUNCTION("SUM(FILTER(C:C,B:B=F358,A:A=E358))"),9.0)</f>
        <v>9</v>
      </c>
      <c r="I358" s="225" t="s">
        <v>799</v>
      </c>
      <c r="J358" s="226">
        <v>45772.0</v>
      </c>
      <c r="K358" s="228">
        <v>4.0</v>
      </c>
    </row>
    <row r="359">
      <c r="A359" s="105" t="s">
        <v>800</v>
      </c>
      <c r="B359" s="113">
        <v>45756.0</v>
      </c>
      <c r="C359" s="227">
        <v>2.0</v>
      </c>
      <c r="E359" s="225" t="s">
        <v>800</v>
      </c>
      <c r="F359" s="226">
        <v>45771.0</v>
      </c>
      <c r="G359" s="228">
        <f>IFERROR(__xludf.DUMMYFUNCTION("SUM(FILTER(C:C,B:B=F359,A:A=E359))"),9.0)</f>
        <v>9</v>
      </c>
      <c r="I359" s="225" t="s">
        <v>807</v>
      </c>
      <c r="J359" s="226">
        <v>45777.0</v>
      </c>
      <c r="K359" s="228">
        <v>4.0</v>
      </c>
    </row>
    <row r="360">
      <c r="A360" s="105" t="s">
        <v>796</v>
      </c>
      <c r="B360" s="113">
        <v>45756.0</v>
      </c>
      <c r="C360" s="227">
        <v>5.0</v>
      </c>
      <c r="E360" s="225" t="s">
        <v>796</v>
      </c>
      <c r="F360" s="226">
        <v>45772.0</v>
      </c>
      <c r="G360" s="228">
        <f>IFERROR(__xludf.DUMMYFUNCTION("SUM(FILTER(C:C,B:B=F360,A:A=E360))"),9.0)</f>
        <v>9</v>
      </c>
      <c r="I360" s="225" t="s">
        <v>799</v>
      </c>
      <c r="J360" s="226">
        <v>45779.0</v>
      </c>
      <c r="K360" s="228">
        <v>4.0</v>
      </c>
    </row>
    <row r="361">
      <c r="A361" s="105" t="s">
        <v>796</v>
      </c>
      <c r="B361" s="113">
        <v>45757.0</v>
      </c>
      <c r="C361" s="227">
        <v>9.0</v>
      </c>
      <c r="E361" s="225" t="s">
        <v>800</v>
      </c>
      <c r="F361" s="226">
        <v>45775.0</v>
      </c>
      <c r="G361" s="228">
        <f>IFERROR(__xludf.DUMMYFUNCTION("SUM(FILTER(C:C,B:B=F361,A:A=E361))"),9.0)</f>
        <v>9</v>
      </c>
      <c r="I361" s="225" t="s">
        <v>799</v>
      </c>
      <c r="J361" s="226">
        <v>45798.0</v>
      </c>
      <c r="K361" s="228">
        <v>4.0</v>
      </c>
    </row>
    <row r="362">
      <c r="A362" s="105" t="s">
        <v>800</v>
      </c>
      <c r="B362" s="113">
        <v>45757.0</v>
      </c>
      <c r="C362" s="227">
        <v>9.0</v>
      </c>
      <c r="E362" s="225" t="s">
        <v>796</v>
      </c>
      <c r="F362" s="226">
        <v>45775.0</v>
      </c>
      <c r="G362" s="228">
        <f>IFERROR(__xludf.DUMMYFUNCTION("SUM(FILTER(C:C,B:B=F362,A:A=E362))"),9.0)</f>
        <v>9</v>
      </c>
      <c r="I362" s="225" t="s">
        <v>808</v>
      </c>
      <c r="J362" s="226">
        <v>45817.0</v>
      </c>
      <c r="K362" s="228">
        <v>4.0</v>
      </c>
    </row>
    <row r="363">
      <c r="A363" s="105" t="s">
        <v>800</v>
      </c>
      <c r="B363" s="113">
        <v>45761.0</v>
      </c>
      <c r="C363" s="227">
        <v>9.0</v>
      </c>
      <c r="E363" s="225" t="s">
        <v>796</v>
      </c>
      <c r="F363" s="226">
        <v>45776.0</v>
      </c>
      <c r="G363" s="228">
        <f>IFERROR(__xludf.DUMMYFUNCTION("SUM(FILTER(C:C,B:B=F363,A:A=E363))"),9.0)</f>
        <v>9</v>
      </c>
      <c r="I363" s="225" t="s">
        <v>808</v>
      </c>
      <c r="J363" s="226">
        <v>45824.0</v>
      </c>
      <c r="K363" s="228">
        <v>4.0</v>
      </c>
    </row>
    <row r="364">
      <c r="A364" s="105" t="s">
        <v>796</v>
      </c>
      <c r="B364" s="113">
        <v>45761.0</v>
      </c>
      <c r="C364" s="227">
        <v>9.0</v>
      </c>
      <c r="E364" s="225" t="s">
        <v>800</v>
      </c>
      <c r="F364" s="226">
        <v>45776.0</v>
      </c>
      <c r="G364" s="228">
        <f>IFERROR(__xludf.DUMMYFUNCTION("SUM(FILTER(C:C,B:B=F364,A:A=E364))"),9.0)</f>
        <v>9</v>
      </c>
      <c r="I364" s="225" t="s">
        <v>799</v>
      </c>
      <c r="J364" s="226">
        <v>45834.0</v>
      </c>
      <c r="K364" s="228">
        <v>4.0</v>
      </c>
    </row>
    <row r="365">
      <c r="A365" s="105" t="s">
        <v>800</v>
      </c>
      <c r="B365" s="113">
        <v>45762.0</v>
      </c>
      <c r="C365" s="227">
        <v>6.0</v>
      </c>
      <c r="E365" s="225" t="s">
        <v>796</v>
      </c>
      <c r="F365" s="226">
        <v>45777.0</v>
      </c>
      <c r="G365" s="228">
        <f>IFERROR(__xludf.DUMMYFUNCTION("SUM(FILTER(C:C,B:B=F365,A:A=E365))"),8.0)</f>
        <v>8</v>
      </c>
      <c r="I365" s="225" t="s">
        <v>800</v>
      </c>
      <c r="J365" s="226">
        <v>45796.0</v>
      </c>
      <c r="K365" s="228">
        <v>4.0</v>
      </c>
    </row>
    <row r="366">
      <c r="A366" s="105" t="s">
        <v>796</v>
      </c>
      <c r="B366" s="113">
        <v>45762.0</v>
      </c>
      <c r="C366" s="227">
        <v>5.0</v>
      </c>
      <c r="E366" s="225" t="s">
        <v>796</v>
      </c>
      <c r="F366" s="226">
        <v>45778.0</v>
      </c>
      <c r="G366" s="228">
        <f>IFERROR(__xludf.DUMMYFUNCTION("SUM(FILTER(C:C,B:B=F366,A:A=E366))"),8.0)</f>
        <v>8</v>
      </c>
      <c r="I366" s="225" t="s">
        <v>796</v>
      </c>
      <c r="J366" s="226">
        <v>45803.0</v>
      </c>
      <c r="K366" s="228">
        <v>4.0</v>
      </c>
    </row>
    <row r="367">
      <c r="A367" s="105" t="s">
        <v>800</v>
      </c>
      <c r="B367" s="113">
        <v>45764.0</v>
      </c>
      <c r="C367" s="227">
        <v>9.0</v>
      </c>
      <c r="E367" s="225" t="s">
        <v>796</v>
      </c>
      <c r="F367" s="226">
        <v>45779.0</v>
      </c>
      <c r="G367" s="228">
        <f>IFERROR(__xludf.DUMMYFUNCTION("SUM(FILTER(C:C,B:B=F367,A:A=E367))"),8.0)</f>
        <v>8</v>
      </c>
      <c r="I367" s="225" t="s">
        <v>800</v>
      </c>
      <c r="J367" s="226">
        <v>45803.0</v>
      </c>
      <c r="K367" s="228">
        <v>4.0</v>
      </c>
    </row>
    <row r="368">
      <c r="A368" s="105" t="s">
        <v>796</v>
      </c>
      <c r="B368" s="113">
        <v>45764.0</v>
      </c>
      <c r="C368" s="227">
        <v>9.0</v>
      </c>
      <c r="E368" s="225" t="s">
        <v>800</v>
      </c>
      <c r="F368" s="226">
        <v>45782.0</v>
      </c>
      <c r="G368" s="228">
        <f>IFERROR(__xludf.DUMMYFUNCTION("SUM(FILTER(C:C,B:B=F368,A:A=E368))"),9.0)</f>
        <v>9</v>
      </c>
      <c r="I368" s="225" t="s">
        <v>800</v>
      </c>
      <c r="J368" s="226">
        <v>45814.0</v>
      </c>
      <c r="K368" s="228">
        <v>4.0</v>
      </c>
    </row>
    <row r="369">
      <c r="A369" s="105" t="s">
        <v>796</v>
      </c>
      <c r="B369" s="113">
        <v>45764.0</v>
      </c>
      <c r="C369" s="227">
        <v>9.0</v>
      </c>
      <c r="E369" s="225" t="s">
        <v>796</v>
      </c>
      <c r="F369" s="226">
        <v>45782.0</v>
      </c>
      <c r="G369" s="228">
        <f>IFERROR(__xludf.DUMMYFUNCTION("SUM(FILTER(C:C,B:B=F369,A:A=E369))"),8.0)</f>
        <v>8</v>
      </c>
      <c r="I369" s="225" t="s">
        <v>795</v>
      </c>
      <c r="J369" s="226">
        <v>45687.0</v>
      </c>
      <c r="K369" s="228">
        <v>3.0</v>
      </c>
    </row>
    <row r="370">
      <c r="A370" s="105" t="s">
        <v>800</v>
      </c>
      <c r="B370" s="113">
        <v>45765.0</v>
      </c>
      <c r="C370" s="227">
        <v>9.0</v>
      </c>
      <c r="E370" s="225" t="s">
        <v>796</v>
      </c>
      <c r="F370" s="226">
        <v>45783.0</v>
      </c>
      <c r="G370" s="228">
        <f>IFERROR(__xludf.DUMMYFUNCTION("SUM(FILTER(C:C,B:B=F370,A:A=E370))"),8.0)</f>
        <v>8</v>
      </c>
      <c r="I370" s="225" t="s">
        <v>801</v>
      </c>
      <c r="J370" s="226">
        <v>45691.0</v>
      </c>
      <c r="K370" s="228">
        <v>3.0</v>
      </c>
    </row>
    <row r="371">
      <c r="A371" s="105" t="s">
        <v>796</v>
      </c>
      <c r="B371" s="113">
        <v>45765.0</v>
      </c>
      <c r="C371" s="227">
        <v>9.0</v>
      </c>
      <c r="E371" s="225" t="s">
        <v>800</v>
      </c>
      <c r="F371" s="226">
        <v>45783.0</v>
      </c>
      <c r="G371" s="228">
        <f>IFERROR(__xludf.DUMMYFUNCTION("SUM(FILTER(C:C,B:B=F371,A:A=E371))"),9.0)</f>
        <v>9</v>
      </c>
      <c r="I371" s="225" t="s">
        <v>801</v>
      </c>
      <c r="J371" s="226">
        <v>45693.0</v>
      </c>
      <c r="K371" s="228">
        <v>3.0</v>
      </c>
    </row>
    <row r="372">
      <c r="A372" s="105" t="s">
        <v>800</v>
      </c>
      <c r="B372" s="113">
        <v>45770.0</v>
      </c>
      <c r="C372" s="227">
        <v>5.0</v>
      </c>
      <c r="E372" s="225" t="s">
        <v>800</v>
      </c>
      <c r="F372" s="226">
        <v>45784.0</v>
      </c>
      <c r="G372" s="228">
        <f>IFERROR(__xludf.DUMMYFUNCTION("SUM(FILTER(C:C,B:B=F372,A:A=E372))"),9.0)</f>
        <v>9</v>
      </c>
      <c r="I372" s="225" t="s">
        <v>795</v>
      </c>
      <c r="J372" s="226">
        <v>45695.0</v>
      </c>
      <c r="K372" s="228">
        <v>3.0</v>
      </c>
    </row>
    <row r="373">
      <c r="A373" s="105" t="s">
        <v>796</v>
      </c>
      <c r="B373" s="113">
        <v>45770.0</v>
      </c>
      <c r="C373" s="227">
        <v>9.0</v>
      </c>
      <c r="E373" s="225" t="s">
        <v>796</v>
      </c>
      <c r="F373" s="226">
        <v>45784.0</v>
      </c>
      <c r="G373" s="228">
        <f>IFERROR(__xludf.DUMMYFUNCTION("SUM(FILTER(C:C,B:B=F373,A:A=E373))"),8.0)</f>
        <v>8</v>
      </c>
      <c r="I373" s="225" t="s">
        <v>806</v>
      </c>
      <c r="J373" s="226">
        <v>45728.0</v>
      </c>
      <c r="K373" s="228">
        <v>3.0</v>
      </c>
    </row>
    <row r="374">
      <c r="A374" s="105" t="s">
        <v>796</v>
      </c>
      <c r="B374" s="113">
        <v>45771.0</v>
      </c>
      <c r="C374" s="227">
        <v>9.0</v>
      </c>
      <c r="E374" s="225" t="s">
        <v>796</v>
      </c>
      <c r="F374" s="226">
        <v>45785.0</v>
      </c>
      <c r="G374" s="228">
        <f>IFERROR(__xludf.DUMMYFUNCTION("SUM(FILTER(C:C,B:B=F374,A:A=E374))"),8.0)</f>
        <v>8</v>
      </c>
      <c r="I374" s="225" t="s">
        <v>797</v>
      </c>
      <c r="J374" s="226">
        <v>45722.0</v>
      </c>
      <c r="K374" s="228">
        <v>3.0</v>
      </c>
    </row>
    <row r="375">
      <c r="A375" s="105" t="s">
        <v>800</v>
      </c>
      <c r="B375" s="113">
        <v>45771.0</v>
      </c>
      <c r="C375" s="227">
        <v>9.0</v>
      </c>
      <c r="E375" s="225" t="s">
        <v>796</v>
      </c>
      <c r="F375" s="226">
        <v>45786.0</v>
      </c>
      <c r="G375" s="228">
        <f>IFERROR(__xludf.DUMMYFUNCTION("SUM(FILTER(C:C,B:B=F375,A:A=E375))"),8.0)</f>
        <v>8</v>
      </c>
      <c r="I375" s="225" t="s">
        <v>797</v>
      </c>
      <c r="J375" s="226">
        <v>45737.0</v>
      </c>
      <c r="K375" s="228">
        <v>3.0</v>
      </c>
    </row>
    <row r="376">
      <c r="A376" s="105" t="s">
        <v>796</v>
      </c>
      <c r="B376" s="113">
        <v>45772.0</v>
      </c>
      <c r="C376" s="227">
        <v>9.0</v>
      </c>
      <c r="E376" s="225" t="s">
        <v>800</v>
      </c>
      <c r="F376" s="226">
        <v>45786.0</v>
      </c>
      <c r="G376" s="228">
        <f>IFERROR(__xludf.DUMMYFUNCTION("SUM(FILTER(C:C,B:B=F376,A:A=E376))"),6.0)</f>
        <v>6</v>
      </c>
      <c r="I376" s="225" t="s">
        <v>801</v>
      </c>
      <c r="J376" s="226">
        <v>45670.0</v>
      </c>
      <c r="K376" s="228">
        <v>3.0</v>
      </c>
    </row>
    <row r="377">
      <c r="A377" s="105" t="s">
        <v>800</v>
      </c>
      <c r="B377" s="113">
        <v>45775.0</v>
      </c>
      <c r="C377" s="227">
        <v>9.0</v>
      </c>
      <c r="E377" s="225" t="s">
        <v>800</v>
      </c>
      <c r="F377" s="226">
        <v>45789.0</v>
      </c>
      <c r="G377" s="228">
        <f>IFERROR(__xludf.DUMMYFUNCTION("SUM(FILTER(C:C,B:B=F377,A:A=E377))"),6.0)</f>
        <v>6</v>
      </c>
      <c r="I377" s="225" t="s">
        <v>808</v>
      </c>
      <c r="J377" s="226">
        <v>45670.0</v>
      </c>
      <c r="K377" s="228">
        <v>3.0</v>
      </c>
    </row>
    <row r="378">
      <c r="A378" s="105" t="s">
        <v>796</v>
      </c>
      <c r="B378" s="113">
        <v>45775.0</v>
      </c>
      <c r="C378" s="227">
        <v>9.0</v>
      </c>
      <c r="E378" s="225" t="s">
        <v>796</v>
      </c>
      <c r="F378" s="226">
        <v>45789.0</v>
      </c>
      <c r="G378" s="228">
        <f>IFERROR(__xludf.DUMMYFUNCTION("SUM(FILTER(C:C,B:B=F378,A:A=E378))"),8.0)</f>
        <v>8</v>
      </c>
      <c r="I378" s="225" t="s">
        <v>801</v>
      </c>
      <c r="J378" s="226">
        <v>45671.0</v>
      </c>
      <c r="K378" s="228">
        <v>3.0</v>
      </c>
    </row>
    <row r="379">
      <c r="A379" s="105" t="s">
        <v>796</v>
      </c>
      <c r="B379" s="113">
        <v>45776.0</v>
      </c>
      <c r="C379" s="227">
        <v>9.0</v>
      </c>
      <c r="E379" s="225" t="s">
        <v>796</v>
      </c>
      <c r="F379" s="226">
        <v>45790.0</v>
      </c>
      <c r="G379" s="228">
        <f>IFERROR(__xludf.DUMMYFUNCTION("SUM(FILTER(C:C,B:B=F379,A:A=E379))"),7.0)</f>
        <v>7</v>
      </c>
      <c r="I379" s="225" t="s">
        <v>808</v>
      </c>
      <c r="J379" s="226">
        <v>45671.0</v>
      </c>
      <c r="K379" s="228">
        <v>3.0</v>
      </c>
    </row>
    <row r="380">
      <c r="A380" s="105" t="s">
        <v>800</v>
      </c>
      <c r="B380" s="113">
        <v>45776.0</v>
      </c>
      <c r="C380" s="227">
        <v>9.0</v>
      </c>
      <c r="E380" s="225" t="s">
        <v>800</v>
      </c>
      <c r="F380" s="226">
        <v>45790.0</v>
      </c>
      <c r="G380" s="228">
        <f>IFERROR(__xludf.DUMMYFUNCTION("SUM(FILTER(C:C,B:B=F380,A:A=E380))"),5.0)</f>
        <v>5</v>
      </c>
      <c r="I380" s="225" t="s">
        <v>801</v>
      </c>
      <c r="J380" s="226">
        <v>45674.0</v>
      </c>
      <c r="K380" s="228">
        <v>3.0</v>
      </c>
    </row>
    <row r="381">
      <c r="A381" s="105" t="s">
        <v>796</v>
      </c>
      <c r="B381" s="113">
        <v>45777.0</v>
      </c>
      <c r="C381" s="227">
        <v>8.0</v>
      </c>
      <c r="E381" s="225" t="s">
        <v>800</v>
      </c>
      <c r="F381" s="226">
        <v>45791.0</v>
      </c>
      <c r="G381" s="228">
        <f>IFERROR(__xludf.DUMMYFUNCTION("SUM(FILTER(C:C,B:B=F381,A:A=E381))"),9.0)</f>
        <v>9</v>
      </c>
      <c r="I381" s="225" t="s">
        <v>799</v>
      </c>
      <c r="J381" s="226">
        <v>45702.0</v>
      </c>
      <c r="K381" s="228">
        <v>3.0</v>
      </c>
    </row>
    <row r="382">
      <c r="A382" s="105" t="s">
        <v>796</v>
      </c>
      <c r="B382" s="113">
        <v>45778.0</v>
      </c>
      <c r="C382" s="227">
        <v>8.0</v>
      </c>
      <c r="E382" s="225" t="s">
        <v>796</v>
      </c>
      <c r="F382" s="226">
        <v>45791.0</v>
      </c>
      <c r="G382" s="228">
        <f>IFERROR(__xludf.DUMMYFUNCTION("SUM(FILTER(C:C,B:B=F382,A:A=E382))"),8.0)</f>
        <v>8</v>
      </c>
      <c r="I382" s="225" t="s">
        <v>808</v>
      </c>
      <c r="J382" s="226">
        <v>45702.0</v>
      </c>
      <c r="K382" s="228">
        <v>3.0</v>
      </c>
    </row>
    <row r="383">
      <c r="A383" s="105" t="s">
        <v>796</v>
      </c>
      <c r="B383" s="113">
        <v>45779.0</v>
      </c>
      <c r="C383" s="227">
        <v>8.0</v>
      </c>
      <c r="E383" s="225" t="s">
        <v>796</v>
      </c>
      <c r="F383" s="226">
        <v>45792.0</v>
      </c>
      <c r="G383" s="228">
        <f>IFERROR(__xludf.DUMMYFUNCTION("SUM(FILTER(C:C,B:B=F383,A:A=E383))"),7.0)</f>
        <v>7</v>
      </c>
      <c r="I383" s="225" t="s">
        <v>808</v>
      </c>
      <c r="J383" s="226">
        <v>45707.0</v>
      </c>
      <c r="K383" s="228">
        <v>3.0</v>
      </c>
    </row>
    <row r="384">
      <c r="A384" s="105" t="s">
        <v>800</v>
      </c>
      <c r="B384" s="113">
        <v>45782.0</v>
      </c>
      <c r="C384" s="227">
        <v>9.0</v>
      </c>
      <c r="E384" s="225" t="s">
        <v>796</v>
      </c>
      <c r="F384" s="226">
        <v>45793.0</v>
      </c>
      <c r="G384" s="228">
        <f>IFERROR(__xludf.DUMMYFUNCTION("SUM(FILTER(C:C,B:B=F384,A:A=E384))"),5.0)</f>
        <v>5</v>
      </c>
      <c r="I384" s="225" t="s">
        <v>808</v>
      </c>
      <c r="J384" s="226">
        <v>45740.0</v>
      </c>
      <c r="K384" s="228">
        <v>3.0</v>
      </c>
    </row>
    <row r="385">
      <c r="A385" s="105" t="s">
        <v>796</v>
      </c>
      <c r="B385" s="113">
        <v>45782.0</v>
      </c>
      <c r="C385" s="227">
        <v>8.0</v>
      </c>
      <c r="E385" s="225" t="s">
        <v>800</v>
      </c>
      <c r="F385" s="226">
        <v>45796.0</v>
      </c>
      <c r="G385" s="228">
        <f>IFERROR(__xludf.DUMMYFUNCTION("SUM(FILTER(C:C,B:B=F385,A:A=E385))"),4.0)</f>
        <v>4</v>
      </c>
      <c r="I385" s="225" t="s">
        <v>808</v>
      </c>
      <c r="J385" s="226">
        <v>45747.0</v>
      </c>
      <c r="K385" s="228">
        <v>3.0</v>
      </c>
    </row>
    <row r="386">
      <c r="A386" s="105" t="s">
        <v>796</v>
      </c>
      <c r="B386" s="113">
        <v>45783.0</v>
      </c>
      <c r="C386" s="227">
        <v>8.0</v>
      </c>
      <c r="E386" s="225" t="s">
        <v>800</v>
      </c>
      <c r="F386" s="226">
        <v>45797.0</v>
      </c>
      <c r="G386" s="228">
        <f>IFERROR(__xludf.DUMMYFUNCTION("SUM(FILTER(C:C,B:B=F386,A:A=E386))"),6.0)</f>
        <v>6</v>
      </c>
      <c r="I386" s="225" t="s">
        <v>795</v>
      </c>
      <c r="J386" s="226">
        <v>45789.0</v>
      </c>
      <c r="K386" s="228">
        <v>3.0</v>
      </c>
    </row>
    <row r="387">
      <c r="A387" s="105" t="s">
        <v>800</v>
      </c>
      <c r="B387" s="113">
        <v>45783.0</v>
      </c>
      <c r="C387" s="227">
        <v>9.0</v>
      </c>
      <c r="E387" s="225" t="s">
        <v>796</v>
      </c>
      <c r="F387" s="226">
        <v>45797.0</v>
      </c>
      <c r="G387" s="228">
        <f>IFERROR(__xludf.DUMMYFUNCTION("SUM(FILTER(C:C,B:B=F387,A:A=E387))"),9.0)</f>
        <v>9</v>
      </c>
      <c r="I387" s="225" t="s">
        <v>809</v>
      </c>
      <c r="J387" s="226">
        <v>45748.0</v>
      </c>
      <c r="K387" s="228">
        <v>3.0</v>
      </c>
    </row>
    <row r="388">
      <c r="A388" s="105" t="s">
        <v>800</v>
      </c>
      <c r="B388" s="113">
        <v>45784.0</v>
      </c>
      <c r="C388" s="227">
        <v>9.0</v>
      </c>
      <c r="E388" s="225" t="s">
        <v>796</v>
      </c>
      <c r="F388" s="226">
        <v>45798.0</v>
      </c>
      <c r="G388" s="228">
        <f>IFERROR(__xludf.DUMMYFUNCTION("SUM(FILTER(C:C,B:B=F388,A:A=E388))"),8.0)</f>
        <v>8</v>
      </c>
      <c r="I388" s="225" t="s">
        <v>809</v>
      </c>
      <c r="J388" s="226">
        <v>45751.0</v>
      </c>
      <c r="K388" s="228">
        <v>3.0</v>
      </c>
    </row>
    <row r="389">
      <c r="A389" s="105" t="s">
        <v>796</v>
      </c>
      <c r="B389" s="113">
        <v>45784.0</v>
      </c>
      <c r="C389" s="227">
        <v>8.0</v>
      </c>
      <c r="E389" s="225" t="s">
        <v>800</v>
      </c>
      <c r="F389" s="226">
        <v>45798.0</v>
      </c>
      <c r="G389" s="228">
        <f>IFERROR(__xludf.DUMMYFUNCTION("SUM(FILTER(C:C,B:B=F389,A:A=E389))"),9.0)</f>
        <v>9</v>
      </c>
      <c r="I389" s="225" t="s">
        <v>809</v>
      </c>
      <c r="J389" s="226">
        <v>45756.0</v>
      </c>
      <c r="K389" s="228">
        <v>3.0</v>
      </c>
    </row>
    <row r="390">
      <c r="A390" s="105" t="s">
        <v>796</v>
      </c>
      <c r="B390" s="113">
        <v>45785.0</v>
      </c>
      <c r="C390" s="227">
        <v>8.0</v>
      </c>
      <c r="E390" s="225" t="s">
        <v>800</v>
      </c>
      <c r="F390" s="226">
        <v>45799.0</v>
      </c>
      <c r="G390" s="228">
        <f>IFERROR(__xludf.DUMMYFUNCTION("SUM(FILTER(C:C,B:B=F390,A:A=E390))"),9.0)</f>
        <v>9</v>
      </c>
      <c r="I390" s="225" t="s">
        <v>809</v>
      </c>
      <c r="J390" s="226">
        <v>45758.0</v>
      </c>
      <c r="K390" s="228">
        <v>3.0</v>
      </c>
    </row>
    <row r="391">
      <c r="A391" s="105" t="s">
        <v>796</v>
      </c>
      <c r="B391" s="113">
        <v>45786.0</v>
      </c>
      <c r="C391" s="227">
        <v>8.0</v>
      </c>
      <c r="E391" s="225" t="s">
        <v>800</v>
      </c>
      <c r="F391" s="226">
        <v>45800.0</v>
      </c>
      <c r="G391" s="228">
        <f>IFERROR(__xludf.DUMMYFUNCTION("SUM(FILTER(C:C,B:B=F391,A:A=E391))"),5.0)</f>
        <v>5</v>
      </c>
      <c r="I391" s="225" t="s">
        <v>809</v>
      </c>
      <c r="J391" s="226">
        <v>45762.0</v>
      </c>
      <c r="K391" s="228">
        <v>3.0</v>
      </c>
    </row>
    <row r="392">
      <c r="A392" s="105" t="s">
        <v>800</v>
      </c>
      <c r="B392" s="113">
        <v>45786.0</v>
      </c>
      <c r="C392" s="227">
        <v>6.0</v>
      </c>
      <c r="E392" s="225" t="s">
        <v>796</v>
      </c>
      <c r="F392" s="226">
        <v>45800.0</v>
      </c>
      <c r="G392" s="228">
        <f>IFERROR(__xludf.DUMMYFUNCTION("SUM(FILTER(C:C,B:B=F392,A:A=E392))"),7.0)</f>
        <v>7</v>
      </c>
      <c r="I392" s="225" t="s">
        <v>806</v>
      </c>
      <c r="J392" s="226">
        <v>45804.0</v>
      </c>
      <c r="K392" s="228">
        <v>3.0</v>
      </c>
    </row>
    <row r="393">
      <c r="A393" s="105" t="s">
        <v>800</v>
      </c>
      <c r="B393" s="113">
        <v>45789.0</v>
      </c>
      <c r="C393" s="227">
        <v>6.0</v>
      </c>
      <c r="E393" s="225" t="s">
        <v>796</v>
      </c>
      <c r="F393" s="226">
        <v>45803.0</v>
      </c>
      <c r="G393" s="228">
        <f>IFERROR(__xludf.DUMMYFUNCTION("SUM(FILTER(C:C,B:B=F393,A:A=E393))"),4.0)</f>
        <v>4</v>
      </c>
      <c r="I393" s="225" t="s">
        <v>799</v>
      </c>
      <c r="J393" s="226">
        <v>45771.0</v>
      </c>
      <c r="K393" s="228">
        <v>3.0</v>
      </c>
    </row>
    <row r="394">
      <c r="A394" s="105" t="s">
        <v>796</v>
      </c>
      <c r="B394" s="113">
        <v>45789.0</v>
      </c>
      <c r="C394" s="227">
        <v>8.0</v>
      </c>
      <c r="E394" s="225" t="s">
        <v>800</v>
      </c>
      <c r="F394" s="226">
        <v>45803.0</v>
      </c>
      <c r="G394" s="228">
        <f>IFERROR(__xludf.DUMMYFUNCTION("SUM(FILTER(C:C,B:B=F394,A:A=E394))"),4.0)</f>
        <v>4</v>
      </c>
      <c r="I394" s="225" t="s">
        <v>801</v>
      </c>
      <c r="J394" s="226">
        <v>45688.0</v>
      </c>
      <c r="K394" s="228">
        <v>2.0</v>
      </c>
    </row>
    <row r="395">
      <c r="A395" s="105" t="s">
        <v>796</v>
      </c>
      <c r="B395" s="107">
        <v>45790.0</v>
      </c>
      <c r="C395" s="227">
        <v>7.0</v>
      </c>
      <c r="E395" s="225" t="s">
        <v>800</v>
      </c>
      <c r="F395" s="226">
        <v>45804.0</v>
      </c>
      <c r="G395" s="228">
        <f>IFERROR(__xludf.DUMMYFUNCTION("SUM(FILTER(C:C,B:B=F395,A:A=E395))"),9.0)</f>
        <v>9</v>
      </c>
      <c r="I395" s="225" t="s">
        <v>801</v>
      </c>
      <c r="J395" s="226">
        <v>45692.0</v>
      </c>
      <c r="K395" s="228">
        <v>2.0</v>
      </c>
    </row>
    <row r="396">
      <c r="A396" s="105" t="s">
        <v>800</v>
      </c>
      <c r="B396" s="113">
        <v>45790.0</v>
      </c>
      <c r="C396" s="227">
        <v>5.0</v>
      </c>
      <c r="E396" s="225" t="s">
        <v>796</v>
      </c>
      <c r="F396" s="226">
        <v>45804.0</v>
      </c>
      <c r="G396" s="228">
        <f>IFERROR(__xludf.DUMMYFUNCTION("SUM(FILTER(C:C,B:B=F396,A:A=E396))"),8.0)</f>
        <v>8</v>
      </c>
      <c r="I396" s="225" t="s">
        <v>801</v>
      </c>
      <c r="J396" s="226">
        <v>45727.0</v>
      </c>
      <c r="K396" s="228">
        <v>2.0</v>
      </c>
    </row>
    <row r="397">
      <c r="A397" s="105" t="s">
        <v>800</v>
      </c>
      <c r="B397" s="113">
        <v>45791.0</v>
      </c>
      <c r="C397" s="227">
        <v>9.0</v>
      </c>
      <c r="E397" s="225" t="s">
        <v>800</v>
      </c>
      <c r="F397" s="226">
        <v>45805.0</v>
      </c>
      <c r="G397" s="228">
        <f>IFERROR(__xludf.DUMMYFUNCTION("SUM(FILTER(C:C,B:B=F397,A:A=E397))"),9.0)</f>
        <v>9</v>
      </c>
      <c r="I397" s="225" t="s">
        <v>803</v>
      </c>
      <c r="J397" s="226">
        <v>45733.0</v>
      </c>
      <c r="K397" s="228">
        <v>2.0</v>
      </c>
    </row>
    <row r="398">
      <c r="A398" s="105" t="s">
        <v>796</v>
      </c>
      <c r="B398" s="113">
        <v>45791.0</v>
      </c>
      <c r="C398" s="227">
        <v>8.0</v>
      </c>
      <c r="E398" s="225" t="s">
        <v>796</v>
      </c>
      <c r="F398" s="226">
        <v>45805.0</v>
      </c>
      <c r="G398" s="228">
        <f>IFERROR(__xludf.DUMMYFUNCTION("SUM(FILTER(C:C,B:B=F398,A:A=E398))"),8.0)</f>
        <v>8</v>
      </c>
      <c r="I398" s="225" t="s">
        <v>806</v>
      </c>
      <c r="J398" s="226">
        <v>45700.0</v>
      </c>
      <c r="K398" s="228">
        <v>2.0</v>
      </c>
    </row>
    <row r="399">
      <c r="A399" s="105" t="s">
        <v>796</v>
      </c>
      <c r="B399" s="113">
        <v>45792.0</v>
      </c>
      <c r="C399" s="227">
        <v>7.0</v>
      </c>
      <c r="E399" s="225" t="s">
        <v>796</v>
      </c>
      <c r="F399" s="226">
        <v>45806.0</v>
      </c>
      <c r="G399" s="228">
        <f>IFERROR(__xludf.DUMMYFUNCTION("SUM(FILTER(C:C,B:B=F399,A:A=E399))"),8.0)</f>
        <v>8</v>
      </c>
      <c r="I399" s="225" t="s">
        <v>804</v>
      </c>
      <c r="J399" s="226">
        <v>45741.0</v>
      </c>
      <c r="K399" s="228">
        <v>2.0</v>
      </c>
    </row>
    <row r="400">
      <c r="A400" s="105" t="s">
        <v>796</v>
      </c>
      <c r="B400" s="113">
        <v>45793.0</v>
      </c>
      <c r="C400" s="227">
        <v>5.0</v>
      </c>
      <c r="E400" s="225" t="s">
        <v>796</v>
      </c>
      <c r="F400" s="226">
        <v>45807.0</v>
      </c>
      <c r="G400" s="228">
        <f>IFERROR(__xludf.DUMMYFUNCTION("SUM(FILTER(C:C,B:B=F400,A:A=E400))"),8.0)</f>
        <v>8</v>
      </c>
      <c r="I400" s="225" t="s">
        <v>801</v>
      </c>
      <c r="J400" s="226">
        <v>45667.0</v>
      </c>
      <c r="K400" s="228">
        <v>2.0</v>
      </c>
    </row>
    <row r="401">
      <c r="A401" s="105" t="s">
        <v>800</v>
      </c>
      <c r="B401" s="113">
        <v>45796.0</v>
      </c>
      <c r="C401" s="227">
        <v>4.0</v>
      </c>
      <c r="E401" s="225" t="s">
        <v>800</v>
      </c>
      <c r="F401" s="226">
        <v>45807.0</v>
      </c>
      <c r="G401" s="228">
        <f>IFERROR(__xludf.DUMMYFUNCTION("SUM(FILTER(C:C,B:B=F401,A:A=E401))"),6.0)</f>
        <v>6</v>
      </c>
      <c r="I401" s="225" t="s">
        <v>808</v>
      </c>
      <c r="J401" s="226">
        <v>45674.0</v>
      </c>
      <c r="K401" s="228">
        <v>2.0</v>
      </c>
    </row>
    <row r="402">
      <c r="A402" s="105" t="s">
        <v>800</v>
      </c>
      <c r="B402" s="113">
        <v>45797.0</v>
      </c>
      <c r="C402" s="227">
        <v>6.0</v>
      </c>
      <c r="E402" s="225" t="s">
        <v>800</v>
      </c>
      <c r="F402" s="226">
        <v>45810.0</v>
      </c>
      <c r="G402" s="228">
        <f>IFERROR(__xludf.DUMMYFUNCTION("SUM(FILTER(C:C,B:B=F402,A:A=E402))"),6.0)</f>
        <v>6</v>
      </c>
      <c r="I402" s="225" t="s">
        <v>808</v>
      </c>
      <c r="J402" s="226">
        <v>45677.0</v>
      </c>
      <c r="K402" s="228">
        <v>2.0</v>
      </c>
    </row>
    <row r="403">
      <c r="A403" s="105" t="s">
        <v>796</v>
      </c>
      <c r="B403" s="113">
        <v>45797.0</v>
      </c>
      <c r="C403" s="227">
        <v>9.0</v>
      </c>
      <c r="E403" s="225" t="s">
        <v>796</v>
      </c>
      <c r="F403" s="226">
        <v>45810.0</v>
      </c>
      <c r="G403" s="228">
        <f>IFERROR(__xludf.DUMMYFUNCTION("SUM(FILTER(C:C,B:B=F403,A:A=E403))"),8.0)</f>
        <v>8</v>
      </c>
      <c r="I403" s="225" t="s">
        <v>808</v>
      </c>
      <c r="J403" s="226">
        <v>45679.0</v>
      </c>
      <c r="K403" s="228">
        <v>2.0</v>
      </c>
    </row>
    <row r="404">
      <c r="A404" s="105" t="s">
        <v>796</v>
      </c>
      <c r="B404" s="113">
        <v>45798.0</v>
      </c>
      <c r="C404" s="227">
        <v>8.0</v>
      </c>
      <c r="E404" s="225" t="s">
        <v>796</v>
      </c>
      <c r="F404" s="226">
        <v>45811.0</v>
      </c>
      <c r="G404" s="228">
        <f>IFERROR(__xludf.DUMMYFUNCTION("SUM(FILTER(C:C,B:B=F404,A:A=E404))"),8.0)</f>
        <v>8</v>
      </c>
      <c r="I404" s="225" t="s">
        <v>808</v>
      </c>
      <c r="J404" s="226">
        <v>45681.0</v>
      </c>
      <c r="K404" s="228">
        <v>2.0</v>
      </c>
    </row>
    <row r="405">
      <c r="A405" s="105" t="s">
        <v>800</v>
      </c>
      <c r="B405" s="113">
        <v>45798.0</v>
      </c>
      <c r="C405" s="227">
        <v>9.0</v>
      </c>
      <c r="E405" s="225" t="s">
        <v>800</v>
      </c>
      <c r="F405" s="226">
        <v>45812.0</v>
      </c>
      <c r="G405" s="228">
        <f>IFERROR(__xludf.DUMMYFUNCTION("SUM(FILTER(C:C,B:B=F405,A:A=E405))"),6.0)</f>
        <v>6</v>
      </c>
      <c r="I405" s="225" t="s">
        <v>808</v>
      </c>
      <c r="J405" s="226">
        <v>45686.0</v>
      </c>
      <c r="K405" s="228">
        <v>2.0</v>
      </c>
    </row>
    <row r="406">
      <c r="A406" s="105" t="s">
        <v>800</v>
      </c>
      <c r="B406" s="113">
        <v>45799.0</v>
      </c>
      <c r="C406" s="227">
        <v>9.0</v>
      </c>
      <c r="E406" s="225" t="s">
        <v>796</v>
      </c>
      <c r="F406" s="226">
        <v>45812.0</v>
      </c>
      <c r="G406" s="228">
        <f>IFERROR(__xludf.DUMMYFUNCTION("SUM(FILTER(C:C,B:B=F406,A:A=E406))"),8.0)</f>
        <v>8</v>
      </c>
      <c r="I406" s="225" t="s">
        <v>808</v>
      </c>
      <c r="J406" s="226">
        <v>45688.0</v>
      </c>
      <c r="K406" s="228">
        <v>2.0</v>
      </c>
    </row>
    <row r="407">
      <c r="A407" s="105" t="s">
        <v>800</v>
      </c>
      <c r="B407" s="113">
        <v>45800.0</v>
      </c>
      <c r="C407" s="227">
        <v>5.0</v>
      </c>
      <c r="E407" s="225" t="s">
        <v>800</v>
      </c>
      <c r="F407" s="226">
        <v>45813.0</v>
      </c>
      <c r="G407" s="228">
        <f>IFERROR(__xludf.DUMMYFUNCTION("SUM(FILTER(C:C,B:B=F407,A:A=E407))"),5.0)</f>
        <v>5</v>
      </c>
      <c r="I407" s="225" t="s">
        <v>795</v>
      </c>
      <c r="J407" s="226">
        <v>45764.0</v>
      </c>
      <c r="K407" s="228">
        <v>2.0</v>
      </c>
    </row>
    <row r="408">
      <c r="A408" s="105" t="s">
        <v>796</v>
      </c>
      <c r="B408" s="113">
        <v>45800.0</v>
      </c>
      <c r="C408" s="227">
        <v>7.0</v>
      </c>
      <c r="E408" s="225" t="s">
        <v>796</v>
      </c>
      <c r="F408" s="226">
        <v>45813.0</v>
      </c>
      <c r="G408" s="228">
        <f>IFERROR(__xludf.DUMMYFUNCTION("SUM(FILTER(C:C,B:B=F408,A:A=E408))"),8.0)</f>
        <v>8</v>
      </c>
      <c r="I408" s="225" t="s">
        <v>795</v>
      </c>
      <c r="J408" s="226">
        <v>45806.0</v>
      </c>
      <c r="K408" s="228">
        <v>2.0</v>
      </c>
    </row>
    <row r="409">
      <c r="A409" s="105" t="s">
        <v>796</v>
      </c>
      <c r="B409" s="113">
        <v>45803.0</v>
      </c>
      <c r="C409" s="227">
        <v>4.0</v>
      </c>
      <c r="E409" s="225" t="s">
        <v>800</v>
      </c>
      <c r="F409" s="226">
        <v>45814.0</v>
      </c>
      <c r="G409" s="228">
        <f>IFERROR(__xludf.DUMMYFUNCTION("SUM(FILTER(C:C,B:B=F409,A:A=E409))"),4.0)</f>
        <v>4</v>
      </c>
      <c r="I409" s="225" t="s">
        <v>809</v>
      </c>
      <c r="J409" s="226">
        <v>45749.0</v>
      </c>
      <c r="K409" s="228">
        <v>2.0</v>
      </c>
    </row>
    <row r="410">
      <c r="A410" s="105" t="s">
        <v>800</v>
      </c>
      <c r="B410" s="113">
        <v>45803.0</v>
      </c>
      <c r="C410" s="227">
        <v>4.0</v>
      </c>
      <c r="E410" s="225" t="s">
        <v>796</v>
      </c>
      <c r="F410" s="226">
        <v>45814.0</v>
      </c>
      <c r="G410" s="228">
        <f>IFERROR(__xludf.DUMMYFUNCTION("SUM(FILTER(C:C,B:B=F410,A:A=E410))"),8.0)</f>
        <v>8</v>
      </c>
      <c r="I410" s="225" t="s">
        <v>801</v>
      </c>
      <c r="J410" s="226">
        <v>45694.0</v>
      </c>
      <c r="K410" s="228">
        <v>1.0</v>
      </c>
    </row>
    <row r="411">
      <c r="A411" s="105" t="s">
        <v>800</v>
      </c>
      <c r="B411" s="113">
        <v>45804.0</v>
      </c>
      <c r="C411" s="227">
        <v>9.0</v>
      </c>
      <c r="E411" s="225" t="s">
        <v>800</v>
      </c>
      <c r="F411" s="226">
        <v>45817.0</v>
      </c>
      <c r="G411" s="228">
        <f>IFERROR(__xludf.DUMMYFUNCTION("SUM(FILTER(C:C,B:B=F411,A:A=E411))"),5.0)</f>
        <v>5</v>
      </c>
      <c r="I411" s="225" t="s">
        <v>795</v>
      </c>
      <c r="J411" s="226">
        <v>45727.0</v>
      </c>
      <c r="K411" s="228">
        <v>1.0</v>
      </c>
    </row>
    <row r="412">
      <c r="A412" s="105" t="s">
        <v>796</v>
      </c>
      <c r="B412" s="113">
        <v>45804.0</v>
      </c>
      <c r="C412" s="227">
        <v>8.0</v>
      </c>
      <c r="E412" s="225" t="s">
        <v>800</v>
      </c>
      <c r="F412" s="226">
        <v>45818.0</v>
      </c>
      <c r="G412" s="228">
        <f>IFERROR(__xludf.DUMMYFUNCTION("SUM(FILTER(C:C,B:B=F412,A:A=E412))"),8.0)</f>
        <v>8</v>
      </c>
      <c r="I412" s="225" t="s">
        <v>802</v>
      </c>
      <c r="J412" s="226">
        <v>45667.0</v>
      </c>
      <c r="K412" s="228">
        <v>1.0</v>
      </c>
    </row>
    <row r="413">
      <c r="A413" s="105" t="s">
        <v>800</v>
      </c>
      <c r="B413" s="113">
        <v>45805.0</v>
      </c>
      <c r="C413" s="227">
        <v>9.0</v>
      </c>
      <c r="E413" s="225" t="s">
        <v>800</v>
      </c>
      <c r="F413" s="226">
        <v>45820.0</v>
      </c>
      <c r="G413" s="228">
        <f>IFERROR(__xludf.DUMMYFUNCTION("SUM(FILTER(C:C,B:B=F413,A:A=E413))"),5.0)</f>
        <v>5</v>
      </c>
      <c r="I413" s="225" t="s">
        <v>805</v>
      </c>
      <c r="J413" s="226">
        <v>45698.0</v>
      </c>
      <c r="K413" s="228">
        <v>1.0</v>
      </c>
    </row>
    <row r="414">
      <c r="A414" s="105" t="s">
        <v>796</v>
      </c>
      <c r="B414" s="113">
        <v>45805.0</v>
      </c>
      <c r="C414" s="227">
        <v>8.0</v>
      </c>
      <c r="E414" s="225" t="s">
        <v>800</v>
      </c>
      <c r="F414" s="226">
        <v>45821.0</v>
      </c>
      <c r="G414" s="228">
        <f>IFERROR(__xludf.DUMMYFUNCTION("SUM(FILTER(C:C,B:B=F414,A:A=E414))"),9.0)</f>
        <v>9</v>
      </c>
      <c r="I414" s="225" t="s">
        <v>802</v>
      </c>
      <c r="J414" s="226">
        <v>45734.0</v>
      </c>
      <c r="K414" s="228">
        <v>1.0</v>
      </c>
    </row>
    <row r="415">
      <c r="A415" s="105" t="s">
        <v>796</v>
      </c>
      <c r="B415" s="113">
        <v>45806.0</v>
      </c>
      <c r="C415" s="227">
        <v>8.0</v>
      </c>
      <c r="E415" s="225" t="s">
        <v>796</v>
      </c>
      <c r="F415" s="226">
        <v>45830.0</v>
      </c>
      <c r="G415" s="228">
        <f>IFERROR(__xludf.DUMMYFUNCTION("SUM(FILTER(C:C,B:B=F415,A:A=E415))"),9.0)</f>
        <v>9</v>
      </c>
      <c r="I415" s="225" t="s">
        <v>804</v>
      </c>
      <c r="J415" s="226">
        <v>45789.0</v>
      </c>
      <c r="K415" s="228">
        <v>1.0</v>
      </c>
    </row>
    <row r="416">
      <c r="A416" s="105" t="s">
        <v>796</v>
      </c>
      <c r="B416" s="113">
        <v>45807.0</v>
      </c>
      <c r="C416" s="227">
        <v>8.0</v>
      </c>
      <c r="E416" s="225" t="s">
        <v>796</v>
      </c>
      <c r="F416" s="226">
        <v>45832.0</v>
      </c>
      <c r="G416" s="228">
        <f>IFERROR(__xludf.DUMMYFUNCTION("SUM(FILTER(C:C,B:B=F416,A:A=E416))"),9.0)</f>
        <v>9</v>
      </c>
      <c r="I416" s="225" t="s">
        <v>802</v>
      </c>
      <c r="J416" s="226">
        <v>45812.0</v>
      </c>
      <c r="K416" s="228">
        <v>0.0</v>
      </c>
    </row>
    <row r="417">
      <c r="A417" s="105" t="s">
        <v>800</v>
      </c>
      <c r="B417" s="113">
        <v>45807.0</v>
      </c>
      <c r="C417" s="227">
        <v>6.0</v>
      </c>
      <c r="E417" s="225" t="s">
        <v>796</v>
      </c>
      <c r="F417" s="226">
        <v>45833.0</v>
      </c>
      <c r="G417" s="228">
        <f>IFERROR(__xludf.DUMMYFUNCTION("SUM(FILTER(C:C,B:B=F417,A:A=E417))"),5.0)</f>
        <v>5</v>
      </c>
      <c r="I417" s="225" t="s">
        <v>807</v>
      </c>
      <c r="J417" s="226">
        <v>45779.0</v>
      </c>
      <c r="K417" s="228">
        <v>0.0</v>
      </c>
    </row>
    <row r="418">
      <c r="A418" s="105" t="s">
        <v>800</v>
      </c>
      <c r="B418" s="113">
        <v>45810.0</v>
      </c>
      <c r="C418" s="227">
        <v>6.0</v>
      </c>
    </row>
    <row r="419">
      <c r="A419" s="105" t="s">
        <v>796</v>
      </c>
      <c r="B419" s="113">
        <v>45810.0</v>
      </c>
      <c r="C419" s="227">
        <v>8.0</v>
      </c>
    </row>
    <row r="420">
      <c r="A420" s="105" t="s">
        <v>796</v>
      </c>
      <c r="B420" s="113">
        <v>45811.0</v>
      </c>
      <c r="C420" s="227">
        <v>8.0</v>
      </c>
    </row>
    <row r="421">
      <c r="A421" s="105" t="s">
        <v>800</v>
      </c>
      <c r="B421" s="113">
        <v>45812.0</v>
      </c>
      <c r="C421" s="227">
        <v>6.0</v>
      </c>
    </row>
    <row r="422">
      <c r="A422" s="105" t="s">
        <v>796</v>
      </c>
      <c r="B422" s="113">
        <v>45812.0</v>
      </c>
      <c r="C422" s="227">
        <v>8.0</v>
      </c>
    </row>
    <row r="423">
      <c r="A423" s="105" t="s">
        <v>800</v>
      </c>
      <c r="B423" s="113">
        <v>45813.0</v>
      </c>
      <c r="C423" s="227">
        <v>5.0</v>
      </c>
    </row>
    <row r="424">
      <c r="A424" s="105" t="s">
        <v>796</v>
      </c>
      <c r="B424" s="113">
        <v>45813.0</v>
      </c>
      <c r="C424" s="227">
        <v>8.0</v>
      </c>
    </row>
    <row r="425">
      <c r="A425" s="105" t="s">
        <v>800</v>
      </c>
      <c r="B425" s="113">
        <v>45814.0</v>
      </c>
      <c r="C425" s="227">
        <v>4.0</v>
      </c>
    </row>
    <row r="426">
      <c r="A426" s="105" t="s">
        <v>796</v>
      </c>
      <c r="B426" s="113">
        <v>45814.0</v>
      </c>
      <c r="C426" s="227">
        <v>8.0</v>
      </c>
    </row>
    <row r="427">
      <c r="A427" s="105" t="s">
        <v>800</v>
      </c>
      <c r="B427" s="113">
        <v>45817.0</v>
      </c>
      <c r="C427" s="227">
        <v>5.0</v>
      </c>
    </row>
    <row r="428">
      <c r="A428" s="105" t="s">
        <v>800</v>
      </c>
      <c r="B428" s="113">
        <v>45818.0</v>
      </c>
      <c r="C428" s="227">
        <v>8.0</v>
      </c>
    </row>
    <row r="429">
      <c r="A429" s="105" t="s">
        <v>800</v>
      </c>
      <c r="B429" s="113">
        <v>45820.0</v>
      </c>
      <c r="C429" s="227">
        <v>5.0</v>
      </c>
    </row>
    <row r="430">
      <c r="A430" s="105" t="s">
        <v>800</v>
      </c>
      <c r="B430" s="113">
        <v>45821.0</v>
      </c>
      <c r="C430" s="227">
        <v>9.0</v>
      </c>
    </row>
    <row r="431">
      <c r="A431" s="105" t="s">
        <v>800</v>
      </c>
      <c r="B431" s="113">
        <v>45824.0</v>
      </c>
      <c r="C431" s="227">
        <v>5.0</v>
      </c>
    </row>
    <row r="432">
      <c r="A432" s="105" t="s">
        <v>796</v>
      </c>
      <c r="B432" s="113">
        <v>45830.0</v>
      </c>
      <c r="C432" s="227">
        <v>9.0</v>
      </c>
    </row>
    <row r="433">
      <c r="A433" s="105" t="s">
        <v>796</v>
      </c>
      <c r="B433" s="113">
        <v>45832.0</v>
      </c>
      <c r="C433" s="227">
        <v>9.0</v>
      </c>
    </row>
    <row r="434">
      <c r="A434" s="105" t="s">
        <v>796</v>
      </c>
      <c r="B434" s="113">
        <v>45833.0</v>
      </c>
      <c r="C434" s="227">
        <v>5.0</v>
      </c>
    </row>
    <row r="435">
      <c r="A435" s="105"/>
      <c r="B435" s="113"/>
      <c r="C435" s="227">
        <v>0.0</v>
      </c>
    </row>
    <row r="436">
      <c r="A436" s="105"/>
      <c r="B436" s="113"/>
      <c r="C436" s="227">
        <v>0.0</v>
      </c>
    </row>
    <row r="437">
      <c r="A437" s="105"/>
      <c r="B437" s="113"/>
      <c r="C437" s="227">
        <v>0.0</v>
      </c>
    </row>
    <row r="438">
      <c r="A438" s="105"/>
      <c r="B438" s="113"/>
      <c r="C438" s="227">
        <v>0.0</v>
      </c>
    </row>
    <row r="439">
      <c r="A439" s="105"/>
      <c r="B439" s="113"/>
      <c r="C439" s="227">
        <v>0.0</v>
      </c>
    </row>
    <row r="440">
      <c r="A440" s="105"/>
      <c r="B440" s="113"/>
      <c r="C440" s="227">
        <v>0.0</v>
      </c>
    </row>
    <row r="441">
      <c r="A441" s="105"/>
      <c r="B441" s="107"/>
      <c r="C441" s="227">
        <v>0.0</v>
      </c>
    </row>
    <row r="442">
      <c r="A442" s="105"/>
      <c r="B442" s="113"/>
      <c r="C442" s="227">
        <v>0.0</v>
      </c>
    </row>
    <row r="443">
      <c r="A443" s="105"/>
      <c r="B443" s="113"/>
      <c r="C443" s="227">
        <v>0.0</v>
      </c>
    </row>
    <row r="444">
      <c r="A444" s="105"/>
      <c r="B444" s="113"/>
      <c r="C444" s="227">
        <v>0.0</v>
      </c>
    </row>
    <row r="445">
      <c r="A445" s="105"/>
      <c r="B445" s="113"/>
      <c r="C445" s="227">
        <v>0.0</v>
      </c>
    </row>
    <row r="446">
      <c r="A446" s="105"/>
      <c r="B446" s="113"/>
      <c r="C446" s="227">
        <v>0.0</v>
      </c>
    </row>
    <row r="447">
      <c r="A447" s="105"/>
      <c r="B447" s="113"/>
      <c r="C447" s="227">
        <v>0.0</v>
      </c>
    </row>
    <row r="448">
      <c r="A448" s="105"/>
      <c r="B448" s="113"/>
      <c r="C448" s="227">
        <v>0.0</v>
      </c>
    </row>
    <row r="449">
      <c r="A449" s="105"/>
      <c r="B449" s="113"/>
      <c r="C449" s="227">
        <v>0.0</v>
      </c>
    </row>
    <row r="450">
      <c r="A450" s="105"/>
      <c r="B450" s="113"/>
      <c r="C450" s="227">
        <v>0.0</v>
      </c>
    </row>
    <row r="451">
      <c r="A451" s="105"/>
      <c r="B451" s="113"/>
      <c r="C451" s="227">
        <v>0.0</v>
      </c>
    </row>
    <row r="452">
      <c r="A452" s="105"/>
      <c r="B452" s="113"/>
      <c r="C452" s="227">
        <v>0.0</v>
      </c>
    </row>
    <row r="453">
      <c r="A453" s="105"/>
      <c r="B453" s="113"/>
      <c r="C453" s="227">
        <v>0.0</v>
      </c>
    </row>
    <row r="454">
      <c r="A454" s="105"/>
      <c r="B454" s="113"/>
      <c r="C454" s="227">
        <v>0.0</v>
      </c>
    </row>
    <row r="455">
      <c r="A455" s="105"/>
      <c r="B455" s="113"/>
      <c r="C455" s="227">
        <v>0.0</v>
      </c>
    </row>
    <row r="456">
      <c r="A456" s="105"/>
      <c r="B456" s="113"/>
      <c r="C456" s="227">
        <v>0.0</v>
      </c>
    </row>
    <row r="457">
      <c r="A457" s="105"/>
      <c r="B457" s="113"/>
      <c r="C457" s="227">
        <v>0.0</v>
      </c>
    </row>
    <row r="458">
      <c r="A458" s="105"/>
      <c r="B458" s="113"/>
      <c r="C458" s="227">
        <v>0.0</v>
      </c>
    </row>
    <row r="459">
      <c r="A459" s="105"/>
      <c r="B459" s="113"/>
      <c r="C459" s="227">
        <v>0.0</v>
      </c>
    </row>
    <row r="460">
      <c r="A460" s="105"/>
      <c r="B460" s="113"/>
      <c r="C460" s="227">
        <v>0.0</v>
      </c>
    </row>
    <row r="461">
      <c r="A461" s="105"/>
      <c r="B461" s="113"/>
      <c r="C461" s="227">
        <v>0.0</v>
      </c>
    </row>
    <row r="462">
      <c r="A462" s="105"/>
      <c r="B462" s="113"/>
      <c r="C462" s="227">
        <v>0.0</v>
      </c>
    </row>
    <row r="463">
      <c r="A463" s="105"/>
      <c r="B463" s="113"/>
      <c r="C463" s="227">
        <v>0.0</v>
      </c>
    </row>
    <row r="464">
      <c r="A464" s="105"/>
      <c r="B464" s="113"/>
      <c r="C464" s="227">
        <v>0.0</v>
      </c>
    </row>
    <row r="465">
      <c r="A465" s="105"/>
      <c r="B465" s="113"/>
      <c r="C465" s="227">
        <v>0.0</v>
      </c>
    </row>
    <row r="466">
      <c r="A466" s="105"/>
      <c r="B466" s="113"/>
      <c r="C466" s="227">
        <v>0.0</v>
      </c>
    </row>
    <row r="467">
      <c r="A467" s="105"/>
      <c r="B467" s="113"/>
      <c r="C467" s="227">
        <v>0.0</v>
      </c>
    </row>
    <row r="468">
      <c r="A468" s="105"/>
      <c r="B468" s="113"/>
      <c r="C468" s="227">
        <v>0.0</v>
      </c>
    </row>
    <row r="469">
      <c r="A469" s="105"/>
      <c r="B469" s="113"/>
      <c r="C469" s="227">
        <v>0.0</v>
      </c>
    </row>
    <row r="470">
      <c r="A470" s="105"/>
      <c r="B470" s="113"/>
      <c r="C470" s="227">
        <v>0.0</v>
      </c>
    </row>
    <row r="471">
      <c r="A471" s="105"/>
      <c r="B471" s="113"/>
      <c r="C471" s="227">
        <v>0.0</v>
      </c>
    </row>
    <row r="472">
      <c r="A472" s="105"/>
      <c r="B472" s="113"/>
      <c r="C472" s="227">
        <v>0.0</v>
      </c>
    </row>
    <row r="473">
      <c r="A473" s="105"/>
      <c r="B473" s="113"/>
      <c r="C473" s="227">
        <v>0.0</v>
      </c>
    </row>
    <row r="474">
      <c r="A474" s="105"/>
      <c r="B474" s="113"/>
      <c r="C474" s="227">
        <v>0.0</v>
      </c>
    </row>
    <row r="475">
      <c r="A475" s="105"/>
      <c r="B475" s="113"/>
      <c r="C475" s="227">
        <v>0.0</v>
      </c>
    </row>
    <row r="476">
      <c r="A476" s="105"/>
      <c r="B476" s="113"/>
      <c r="C476" s="227">
        <v>0.0</v>
      </c>
    </row>
    <row r="477">
      <c r="A477" s="105"/>
      <c r="B477" s="113"/>
      <c r="C477" s="227">
        <v>0.0</v>
      </c>
    </row>
    <row r="478">
      <c r="A478" s="105"/>
      <c r="B478" s="113"/>
      <c r="C478" s="227">
        <v>0.0</v>
      </c>
    </row>
    <row r="479">
      <c r="A479" s="105"/>
      <c r="B479" s="113"/>
      <c r="C479" s="227">
        <v>0.0</v>
      </c>
    </row>
    <row r="480">
      <c r="A480" s="105"/>
      <c r="B480" s="113"/>
      <c r="C480" s="227">
        <v>0.0</v>
      </c>
    </row>
    <row r="481">
      <c r="A481" s="105"/>
      <c r="B481" s="113"/>
      <c r="C481" s="227">
        <v>0.0</v>
      </c>
    </row>
    <row r="482">
      <c r="A482" s="105"/>
      <c r="B482" s="113"/>
      <c r="C482" s="227">
        <v>0.0</v>
      </c>
    </row>
    <row r="483">
      <c r="A483" s="105"/>
      <c r="B483" s="113"/>
      <c r="C483" s="227">
        <v>0.0</v>
      </c>
    </row>
    <row r="484">
      <c r="A484" s="105"/>
      <c r="B484" s="113"/>
      <c r="C484" s="227">
        <v>0.0</v>
      </c>
    </row>
    <row r="485">
      <c r="A485" s="105"/>
      <c r="B485" s="113"/>
      <c r="C485" s="227">
        <v>0.0</v>
      </c>
    </row>
    <row r="486">
      <c r="A486" s="105"/>
      <c r="B486" s="113"/>
      <c r="C486" s="227">
        <v>0.0</v>
      </c>
    </row>
    <row r="487">
      <c r="A487" s="105"/>
      <c r="B487" s="113"/>
      <c r="C487" s="227">
        <v>0.0</v>
      </c>
    </row>
    <row r="488">
      <c r="A488" s="105"/>
      <c r="B488" s="113"/>
      <c r="C488" s="227">
        <v>0.0</v>
      </c>
    </row>
    <row r="489">
      <c r="A489" s="105"/>
      <c r="B489" s="113"/>
      <c r="C489" s="227">
        <v>0.0</v>
      </c>
    </row>
    <row r="490">
      <c r="A490" s="105"/>
      <c r="B490" s="113"/>
      <c r="C490" s="227">
        <v>0.0</v>
      </c>
    </row>
    <row r="491">
      <c r="A491" s="105"/>
      <c r="B491" s="113"/>
      <c r="C491" s="227">
        <v>0.0</v>
      </c>
    </row>
    <row r="492">
      <c r="A492" s="105"/>
      <c r="B492" s="113"/>
      <c r="C492" s="227">
        <v>0.0</v>
      </c>
    </row>
    <row r="493">
      <c r="A493" s="105"/>
      <c r="B493" s="113"/>
      <c r="C493" s="227">
        <v>0.0</v>
      </c>
    </row>
    <row r="494">
      <c r="A494" s="105"/>
      <c r="B494" s="113"/>
      <c r="C494" s="227">
        <v>0.0</v>
      </c>
    </row>
    <row r="495">
      <c r="A495" s="105"/>
      <c r="B495" s="113"/>
      <c r="C495" s="227">
        <v>0.0</v>
      </c>
    </row>
    <row r="496">
      <c r="A496" s="105"/>
      <c r="B496" s="113"/>
      <c r="C496" s="227">
        <v>0.0</v>
      </c>
    </row>
    <row r="497">
      <c r="A497" s="105"/>
      <c r="B497" s="113"/>
      <c r="C497" s="227">
        <v>0.0</v>
      </c>
    </row>
    <row r="498">
      <c r="A498" s="105"/>
      <c r="B498" s="113"/>
      <c r="C498" s="227">
        <v>0.0</v>
      </c>
    </row>
    <row r="499">
      <c r="A499" s="105"/>
      <c r="B499" s="113"/>
      <c r="C499" s="227">
        <v>0.0</v>
      </c>
    </row>
    <row r="500">
      <c r="A500" s="105"/>
      <c r="B500" s="113"/>
      <c r="C500" s="227">
        <v>0.0</v>
      </c>
    </row>
    <row r="501">
      <c r="A501" s="105"/>
      <c r="B501" s="113"/>
      <c r="C501" s="227">
        <v>0.0</v>
      </c>
    </row>
    <row r="502">
      <c r="A502" s="105"/>
      <c r="B502" s="113"/>
      <c r="C502" s="227">
        <v>0.0</v>
      </c>
    </row>
    <row r="503">
      <c r="A503" s="105"/>
      <c r="B503" s="113"/>
      <c r="C503" s="227">
        <v>0.0</v>
      </c>
    </row>
    <row r="504">
      <c r="A504" s="105"/>
      <c r="B504" s="113"/>
      <c r="C504" s="227">
        <v>0.0</v>
      </c>
    </row>
    <row r="505">
      <c r="A505" s="105"/>
      <c r="B505" s="113"/>
      <c r="C505" s="227">
        <v>0.0</v>
      </c>
    </row>
    <row r="506">
      <c r="A506" s="105"/>
      <c r="B506" s="113"/>
      <c r="C506" s="227">
        <v>0.0</v>
      </c>
    </row>
    <row r="507">
      <c r="A507" s="105"/>
      <c r="B507" s="113"/>
      <c r="C507" s="227">
        <v>0.0</v>
      </c>
    </row>
    <row r="508">
      <c r="A508" s="105"/>
      <c r="B508" s="107"/>
      <c r="C508" s="227">
        <v>0.0</v>
      </c>
    </row>
    <row r="509">
      <c r="A509" s="105"/>
      <c r="B509" s="107"/>
      <c r="C509" s="227">
        <v>0.0</v>
      </c>
    </row>
    <row r="510">
      <c r="A510" s="105"/>
      <c r="B510" s="107"/>
      <c r="C510" s="227">
        <v>0.0</v>
      </c>
    </row>
    <row r="511">
      <c r="A511" s="105"/>
      <c r="B511" s="107"/>
      <c r="C511" s="227">
        <v>0.0</v>
      </c>
    </row>
    <row r="512">
      <c r="A512" s="105"/>
      <c r="B512" s="107"/>
      <c r="C512" s="227">
        <v>0.0</v>
      </c>
    </row>
    <row r="513">
      <c r="A513" s="105"/>
      <c r="B513" s="107"/>
      <c r="C513" s="227">
        <v>0.0</v>
      </c>
    </row>
    <row r="514">
      <c r="A514" s="105"/>
      <c r="B514" s="107"/>
      <c r="C514" s="227">
        <v>0.0</v>
      </c>
    </row>
    <row r="515">
      <c r="A515" s="105"/>
      <c r="B515" s="107"/>
      <c r="C515" s="227">
        <v>0.0</v>
      </c>
    </row>
    <row r="516">
      <c r="A516" s="105"/>
      <c r="B516" s="107"/>
      <c r="C516" s="227">
        <v>0.0</v>
      </c>
    </row>
    <row r="517">
      <c r="A517" s="105"/>
      <c r="B517" s="107"/>
      <c r="C517" s="227">
        <v>0.0</v>
      </c>
    </row>
    <row r="518">
      <c r="A518" s="105"/>
      <c r="B518" s="107"/>
      <c r="C518" s="227">
        <v>0.0</v>
      </c>
    </row>
    <row r="519">
      <c r="A519" s="105"/>
      <c r="B519" s="107"/>
      <c r="C519" s="227">
        <v>0.0</v>
      </c>
    </row>
    <row r="520">
      <c r="A520" s="105"/>
      <c r="B520" s="107"/>
      <c r="C520" s="227">
        <v>0.0</v>
      </c>
    </row>
    <row r="521">
      <c r="A521" s="105"/>
      <c r="B521" s="107"/>
      <c r="C521" s="227">
        <v>0.0</v>
      </c>
    </row>
    <row r="522">
      <c r="A522" s="105"/>
      <c r="B522" s="107"/>
      <c r="C522" s="227">
        <v>0.0</v>
      </c>
    </row>
    <row r="523">
      <c r="A523" s="105"/>
      <c r="B523" s="107"/>
      <c r="C523" s="227">
        <v>0.0</v>
      </c>
    </row>
    <row r="524">
      <c r="A524" s="105"/>
      <c r="B524" s="107"/>
      <c r="C524" s="227">
        <v>0.0</v>
      </c>
    </row>
    <row r="525">
      <c r="A525" s="105"/>
      <c r="B525" s="107"/>
      <c r="C525" s="227">
        <v>0.0</v>
      </c>
    </row>
    <row r="526">
      <c r="A526" s="105"/>
      <c r="B526" s="107"/>
      <c r="C526" s="227">
        <v>0.0</v>
      </c>
    </row>
    <row r="527">
      <c r="A527" s="105"/>
      <c r="B527" s="107"/>
      <c r="C527" s="227">
        <v>0.0</v>
      </c>
    </row>
    <row r="528">
      <c r="A528" s="105"/>
      <c r="B528" s="107"/>
      <c r="C528" s="227">
        <v>0.0</v>
      </c>
    </row>
    <row r="529">
      <c r="A529" s="105"/>
      <c r="B529" s="107"/>
      <c r="C529" s="227">
        <v>0.0</v>
      </c>
    </row>
    <row r="530">
      <c r="A530" s="105"/>
      <c r="B530" s="107"/>
      <c r="C530" s="227">
        <v>0.0</v>
      </c>
    </row>
    <row r="531">
      <c r="A531" s="105"/>
      <c r="B531" s="107"/>
      <c r="C531" s="227">
        <v>0.0</v>
      </c>
    </row>
    <row r="532">
      <c r="A532" s="105"/>
      <c r="B532" s="107"/>
      <c r="C532" s="227">
        <v>0.0</v>
      </c>
    </row>
    <row r="533">
      <c r="A533" s="105"/>
      <c r="B533" s="107"/>
      <c r="C533" s="227">
        <v>0.0</v>
      </c>
    </row>
    <row r="534">
      <c r="A534" s="105"/>
      <c r="B534" s="107"/>
      <c r="C534" s="227">
        <v>0.0</v>
      </c>
    </row>
    <row r="535">
      <c r="A535" s="105"/>
      <c r="B535" s="107"/>
      <c r="C535" s="227">
        <v>0.0</v>
      </c>
    </row>
    <row r="536">
      <c r="A536" s="105"/>
      <c r="B536" s="107"/>
      <c r="C536" s="227">
        <v>0.0</v>
      </c>
    </row>
    <row r="537">
      <c r="A537" s="105"/>
      <c r="B537" s="107"/>
      <c r="C537" s="227">
        <v>0.0</v>
      </c>
    </row>
    <row r="538">
      <c r="A538" s="105"/>
      <c r="B538" s="107"/>
      <c r="C538" s="227">
        <v>0.0</v>
      </c>
    </row>
    <row r="539">
      <c r="A539" s="105"/>
      <c r="B539" s="107"/>
      <c r="C539" s="227">
        <v>0.0</v>
      </c>
    </row>
    <row r="540">
      <c r="A540" s="105"/>
      <c r="B540" s="107"/>
      <c r="C540" s="227">
        <v>0.0</v>
      </c>
    </row>
    <row r="541">
      <c r="A541" s="105"/>
      <c r="B541" s="107"/>
      <c r="C541" s="227">
        <v>0.0</v>
      </c>
    </row>
    <row r="542">
      <c r="A542" s="105"/>
      <c r="B542" s="107"/>
      <c r="C542" s="227">
        <v>0.0</v>
      </c>
    </row>
    <row r="543">
      <c r="A543" s="105"/>
      <c r="B543" s="107"/>
      <c r="C543" s="227">
        <v>0.0</v>
      </c>
    </row>
    <row r="544">
      <c r="A544" s="105"/>
      <c r="B544" s="107"/>
      <c r="C544" s="227">
        <v>0.0</v>
      </c>
    </row>
    <row r="545">
      <c r="A545" s="105"/>
      <c r="B545" s="107"/>
      <c r="C545" s="227">
        <v>0.0</v>
      </c>
    </row>
    <row r="546">
      <c r="A546" s="105"/>
      <c r="B546" s="107"/>
      <c r="C546" s="227">
        <v>0.0</v>
      </c>
    </row>
    <row r="547">
      <c r="A547" s="105"/>
      <c r="B547" s="107"/>
      <c r="C547" s="227">
        <v>0.0</v>
      </c>
    </row>
    <row r="548">
      <c r="A548" s="105"/>
      <c r="B548" s="107"/>
      <c r="C548" s="227">
        <v>0.0</v>
      </c>
    </row>
    <row r="549">
      <c r="A549" s="105"/>
      <c r="B549" s="107"/>
      <c r="C549" s="227">
        <v>0.0</v>
      </c>
    </row>
    <row r="550">
      <c r="A550" s="105"/>
      <c r="B550" s="107"/>
      <c r="C550" s="227">
        <v>0.0</v>
      </c>
    </row>
    <row r="551">
      <c r="A551" s="105"/>
      <c r="B551" s="107"/>
      <c r="C551" s="227">
        <v>0.0</v>
      </c>
    </row>
    <row r="552">
      <c r="A552" s="105"/>
      <c r="B552" s="107"/>
      <c r="C552" s="227">
        <v>0.0</v>
      </c>
    </row>
    <row r="553">
      <c r="A553" s="105"/>
      <c r="B553" s="107"/>
      <c r="C553" s="227">
        <v>0.0</v>
      </c>
    </row>
    <row r="554">
      <c r="A554" s="105"/>
      <c r="B554" s="107"/>
      <c r="C554" s="227">
        <v>0.0</v>
      </c>
    </row>
    <row r="555">
      <c r="A555" s="105"/>
      <c r="B555" s="107"/>
      <c r="C555" s="227">
        <v>0.0</v>
      </c>
    </row>
    <row r="556">
      <c r="A556" s="105"/>
      <c r="B556" s="107"/>
      <c r="C556" s="227">
        <v>0.0</v>
      </c>
    </row>
    <row r="557">
      <c r="A557" s="105"/>
      <c r="B557" s="107"/>
      <c r="C557" s="227">
        <v>0.0</v>
      </c>
    </row>
    <row r="558">
      <c r="A558" s="105"/>
      <c r="B558" s="107"/>
      <c r="C558" s="227">
        <v>0.0</v>
      </c>
    </row>
    <row r="559">
      <c r="A559" s="105"/>
      <c r="B559" s="107"/>
      <c r="C559" s="227">
        <v>0.0</v>
      </c>
    </row>
    <row r="560">
      <c r="A560" s="105"/>
      <c r="B560" s="107"/>
      <c r="C560" s="227">
        <v>0.0</v>
      </c>
    </row>
    <row r="561">
      <c r="A561" s="105"/>
      <c r="B561" s="107"/>
      <c r="C561" s="227">
        <v>0.0</v>
      </c>
    </row>
    <row r="562">
      <c r="A562" s="105"/>
      <c r="B562" s="107"/>
      <c r="C562" s="227">
        <v>0.0</v>
      </c>
    </row>
    <row r="563">
      <c r="A563" s="105"/>
      <c r="B563" s="107"/>
      <c r="C563" s="227">
        <v>0.0</v>
      </c>
    </row>
    <row r="564">
      <c r="A564" s="105"/>
      <c r="B564" s="107"/>
      <c r="C564" s="227">
        <v>0.0</v>
      </c>
    </row>
    <row r="565">
      <c r="A565" s="105"/>
      <c r="B565" s="107"/>
      <c r="C565" s="227">
        <v>0.0</v>
      </c>
    </row>
    <row r="566">
      <c r="A566" s="105"/>
      <c r="B566" s="107"/>
      <c r="C566" s="227">
        <v>0.0</v>
      </c>
    </row>
    <row r="567">
      <c r="A567" s="105"/>
      <c r="B567" s="107"/>
      <c r="C567" s="227">
        <v>0.0</v>
      </c>
    </row>
    <row r="568">
      <c r="A568" s="105"/>
      <c r="B568" s="107"/>
      <c r="C568" s="227">
        <v>0.0</v>
      </c>
    </row>
    <row r="569">
      <c r="A569" s="105"/>
      <c r="B569" s="107"/>
      <c r="C569" s="227">
        <v>0.0</v>
      </c>
    </row>
    <row r="570">
      <c r="A570" s="105"/>
      <c r="B570" s="107"/>
      <c r="C570" s="227">
        <v>0.0</v>
      </c>
    </row>
    <row r="571">
      <c r="A571" s="105"/>
      <c r="B571" s="107"/>
      <c r="C571" s="227">
        <v>0.0</v>
      </c>
    </row>
    <row r="572">
      <c r="A572" s="105"/>
      <c r="B572" s="107"/>
      <c r="C572" s="227">
        <v>0.0</v>
      </c>
    </row>
    <row r="573">
      <c r="A573" s="105"/>
      <c r="B573" s="107"/>
      <c r="C573" s="227">
        <v>0.0</v>
      </c>
    </row>
    <row r="574">
      <c r="A574" s="105"/>
      <c r="B574" s="107"/>
      <c r="C574" s="227">
        <v>0.0</v>
      </c>
    </row>
    <row r="575">
      <c r="A575" s="105"/>
      <c r="B575" s="107"/>
      <c r="C575" s="227">
        <v>0.0</v>
      </c>
    </row>
    <row r="576">
      <c r="A576" s="105"/>
      <c r="B576" s="107"/>
      <c r="C576" s="227">
        <v>0.0</v>
      </c>
    </row>
    <row r="577">
      <c r="A577" s="105"/>
      <c r="B577" s="107"/>
      <c r="C577" s="227">
        <v>0.0</v>
      </c>
    </row>
    <row r="578">
      <c r="A578" s="105"/>
      <c r="B578" s="107"/>
      <c r="C578" s="227">
        <v>0.0</v>
      </c>
    </row>
    <row r="579">
      <c r="A579" s="105"/>
      <c r="B579" s="107"/>
      <c r="C579" s="227">
        <v>0.0</v>
      </c>
    </row>
    <row r="580">
      <c r="A580" s="105"/>
      <c r="B580" s="107"/>
      <c r="C580" s="227">
        <v>0.0</v>
      </c>
    </row>
    <row r="581">
      <c r="A581" s="105"/>
      <c r="B581" s="107"/>
      <c r="C581" s="227">
        <v>0.0</v>
      </c>
    </row>
    <row r="582">
      <c r="A582" s="105"/>
      <c r="B582" s="107"/>
      <c r="C582" s="227">
        <v>0.0</v>
      </c>
    </row>
    <row r="583">
      <c r="A583" s="105"/>
      <c r="B583" s="107"/>
      <c r="C583" s="227">
        <v>0.0</v>
      </c>
    </row>
    <row r="584">
      <c r="A584" s="105"/>
      <c r="B584" s="107"/>
      <c r="C584" s="227">
        <v>0.0</v>
      </c>
    </row>
    <row r="585">
      <c r="A585" s="105"/>
      <c r="B585" s="107"/>
      <c r="C585" s="227">
        <v>0.0</v>
      </c>
    </row>
    <row r="586">
      <c r="A586" s="105"/>
      <c r="B586" s="107"/>
      <c r="C586" s="227">
        <v>0.0</v>
      </c>
    </row>
    <row r="587">
      <c r="A587" s="105"/>
      <c r="B587" s="107"/>
      <c r="C587" s="227">
        <v>0.0</v>
      </c>
    </row>
    <row r="588">
      <c r="A588" s="105"/>
      <c r="B588" s="107"/>
      <c r="C588" s="227">
        <v>0.0</v>
      </c>
    </row>
    <row r="589">
      <c r="A589" s="105"/>
      <c r="B589" s="107"/>
      <c r="C589" s="227">
        <v>0.0</v>
      </c>
    </row>
    <row r="590">
      <c r="A590" s="105"/>
      <c r="B590" s="107"/>
      <c r="C590" s="227">
        <v>0.0</v>
      </c>
    </row>
    <row r="591">
      <c r="A591" s="105"/>
      <c r="B591" s="107"/>
      <c r="C591" s="227">
        <v>0.0</v>
      </c>
    </row>
    <row r="592">
      <c r="A592" s="105"/>
      <c r="B592" s="107"/>
      <c r="C592" s="227">
        <v>0.0</v>
      </c>
    </row>
    <row r="593">
      <c r="A593" s="105"/>
      <c r="B593" s="107"/>
      <c r="C593" s="227">
        <v>0.0</v>
      </c>
    </row>
    <row r="594">
      <c r="A594" s="105"/>
      <c r="B594" s="107"/>
      <c r="C594" s="227">
        <v>0.0</v>
      </c>
    </row>
    <row r="595">
      <c r="A595" s="105"/>
      <c r="B595" s="107"/>
      <c r="C595" s="227">
        <v>0.0</v>
      </c>
    </row>
    <row r="596">
      <c r="A596" s="105"/>
      <c r="B596" s="107"/>
      <c r="C596" s="227">
        <v>0.0</v>
      </c>
    </row>
    <row r="597">
      <c r="A597" s="105"/>
      <c r="B597" s="107"/>
      <c r="C597" s="227">
        <v>0.0</v>
      </c>
    </row>
    <row r="598">
      <c r="A598" s="105"/>
      <c r="B598" s="107"/>
      <c r="C598" s="227">
        <v>0.0</v>
      </c>
    </row>
    <row r="599">
      <c r="A599" s="105"/>
      <c r="B599" s="107"/>
      <c r="C599" s="227">
        <v>0.0</v>
      </c>
    </row>
    <row r="600">
      <c r="A600" s="105"/>
      <c r="B600" s="107"/>
      <c r="C600" s="227">
        <v>0.0</v>
      </c>
    </row>
    <row r="601">
      <c r="A601" s="105"/>
      <c r="B601" s="107"/>
      <c r="C601" s="227">
        <v>0.0</v>
      </c>
    </row>
    <row r="602">
      <c r="A602" s="105"/>
      <c r="B602" s="107"/>
      <c r="C602" s="227">
        <v>0.0</v>
      </c>
    </row>
    <row r="603">
      <c r="A603" s="105"/>
      <c r="B603" s="107"/>
      <c r="C603" s="227">
        <v>0.0</v>
      </c>
    </row>
    <row r="604">
      <c r="A604" s="105"/>
      <c r="B604" s="107"/>
      <c r="C604" s="227">
        <v>0.0</v>
      </c>
    </row>
    <row r="605">
      <c r="A605" s="105"/>
      <c r="B605" s="107"/>
      <c r="C605" s="227">
        <v>0.0</v>
      </c>
    </row>
    <row r="606">
      <c r="A606" s="105"/>
      <c r="B606" s="107"/>
      <c r="C606" s="227">
        <v>0.0</v>
      </c>
    </row>
    <row r="607">
      <c r="A607" s="105"/>
      <c r="B607" s="107"/>
      <c r="C607" s="227">
        <v>0.0</v>
      </c>
    </row>
    <row r="608">
      <c r="A608" s="105"/>
      <c r="B608" s="107"/>
      <c r="C608" s="227">
        <v>0.0</v>
      </c>
    </row>
    <row r="609">
      <c r="A609" s="105"/>
      <c r="B609" s="107"/>
      <c r="C609" s="227">
        <v>0.0</v>
      </c>
    </row>
    <row r="610">
      <c r="A610" s="105"/>
      <c r="B610" s="107"/>
      <c r="C610" s="227">
        <v>0.0</v>
      </c>
    </row>
    <row r="611">
      <c r="A611" s="105"/>
      <c r="B611" s="107"/>
      <c r="C611" s="227">
        <v>0.0</v>
      </c>
    </row>
    <row r="612">
      <c r="A612" s="105"/>
      <c r="B612" s="107"/>
      <c r="C612" s="227">
        <v>0.0</v>
      </c>
    </row>
    <row r="613">
      <c r="A613" s="105"/>
      <c r="B613" s="107"/>
      <c r="C613" s="227">
        <v>0.0</v>
      </c>
    </row>
    <row r="614">
      <c r="A614" s="105"/>
      <c r="B614" s="107"/>
      <c r="C614" s="227">
        <v>0.0</v>
      </c>
    </row>
    <row r="615">
      <c r="A615" s="105"/>
      <c r="B615" s="107"/>
      <c r="C615" s="227">
        <v>0.0</v>
      </c>
    </row>
    <row r="616">
      <c r="A616" s="105"/>
      <c r="B616" s="107"/>
      <c r="C616" s="227">
        <v>0.0</v>
      </c>
    </row>
    <row r="617">
      <c r="A617" s="105"/>
      <c r="B617" s="107"/>
      <c r="C617" s="227">
        <v>0.0</v>
      </c>
    </row>
    <row r="618">
      <c r="A618" s="105"/>
      <c r="B618" s="107"/>
      <c r="C618" s="227">
        <v>0.0</v>
      </c>
    </row>
    <row r="619">
      <c r="A619" s="105"/>
      <c r="B619" s="107"/>
      <c r="C619" s="227">
        <v>0.0</v>
      </c>
    </row>
    <row r="620">
      <c r="A620" s="105"/>
      <c r="B620" s="107"/>
      <c r="C620" s="227">
        <v>0.0</v>
      </c>
    </row>
    <row r="621">
      <c r="A621" s="105"/>
      <c r="B621" s="107"/>
      <c r="C621" s="227">
        <v>0.0</v>
      </c>
    </row>
    <row r="622">
      <c r="A622" s="105"/>
      <c r="B622" s="107"/>
      <c r="C622" s="227">
        <v>0.0</v>
      </c>
    </row>
    <row r="623">
      <c r="A623" s="105"/>
      <c r="B623" s="107"/>
      <c r="C623" s="227">
        <v>0.0</v>
      </c>
    </row>
    <row r="624">
      <c r="A624" s="105"/>
      <c r="B624" s="107"/>
      <c r="C624" s="227">
        <v>0.0</v>
      </c>
    </row>
    <row r="625">
      <c r="A625" s="105"/>
      <c r="B625" s="107"/>
      <c r="C625" s="227">
        <v>0.0</v>
      </c>
    </row>
    <row r="626">
      <c r="A626" s="105"/>
      <c r="B626" s="107"/>
      <c r="C626" s="227">
        <v>0.0</v>
      </c>
    </row>
    <row r="627">
      <c r="A627" s="105"/>
      <c r="B627" s="107"/>
      <c r="C627" s="227">
        <v>0.0</v>
      </c>
    </row>
    <row r="628">
      <c r="A628" s="105"/>
      <c r="B628" s="107"/>
      <c r="C628" s="227">
        <v>0.0</v>
      </c>
    </row>
    <row r="629">
      <c r="A629" s="105"/>
      <c r="B629" s="107"/>
      <c r="C629" s="227">
        <v>0.0</v>
      </c>
    </row>
    <row r="630">
      <c r="A630" s="105"/>
      <c r="B630" s="107"/>
      <c r="C630" s="227">
        <v>0.0</v>
      </c>
    </row>
    <row r="631">
      <c r="A631" s="105"/>
      <c r="B631" s="107"/>
      <c r="C631" s="227">
        <v>0.0</v>
      </c>
    </row>
    <row r="632">
      <c r="A632" s="105"/>
      <c r="B632" s="107"/>
      <c r="C632" s="227">
        <v>0.0</v>
      </c>
    </row>
    <row r="633">
      <c r="A633" s="105"/>
      <c r="B633" s="107"/>
      <c r="C633" s="227">
        <v>0.0</v>
      </c>
    </row>
    <row r="634">
      <c r="A634" s="105"/>
      <c r="B634" s="107"/>
      <c r="C634" s="227">
        <v>0.0</v>
      </c>
    </row>
    <row r="635">
      <c r="A635" s="105"/>
      <c r="B635" s="107"/>
      <c r="C635" s="227">
        <v>0.0</v>
      </c>
    </row>
    <row r="636">
      <c r="A636" s="105"/>
      <c r="B636" s="107"/>
      <c r="C636" s="227">
        <v>0.0</v>
      </c>
    </row>
    <row r="637">
      <c r="A637" s="105"/>
      <c r="B637" s="107"/>
      <c r="C637" s="227">
        <v>0.0</v>
      </c>
    </row>
    <row r="638">
      <c r="A638" s="105"/>
      <c r="B638" s="107"/>
      <c r="C638" s="227">
        <v>0.0</v>
      </c>
    </row>
    <row r="639">
      <c r="A639" s="105"/>
      <c r="B639" s="107"/>
      <c r="C639" s="227">
        <v>0.0</v>
      </c>
    </row>
    <row r="640">
      <c r="A640" s="105"/>
      <c r="B640" s="107"/>
      <c r="C640" s="227">
        <v>0.0</v>
      </c>
    </row>
    <row r="641">
      <c r="A641" s="105"/>
      <c r="B641" s="107"/>
      <c r="C641" s="227">
        <v>0.0</v>
      </c>
    </row>
    <row r="642">
      <c r="A642" s="105"/>
      <c r="B642" s="107"/>
      <c r="C642" s="227">
        <v>0.0</v>
      </c>
    </row>
    <row r="643">
      <c r="A643" s="105"/>
      <c r="B643" s="107"/>
      <c r="C643" s="227">
        <v>0.0</v>
      </c>
    </row>
    <row r="644">
      <c r="A644" s="105"/>
      <c r="B644" s="107"/>
      <c r="C644" s="227">
        <v>0.0</v>
      </c>
    </row>
    <row r="645">
      <c r="A645" s="105"/>
      <c r="B645" s="107"/>
      <c r="C645" s="227">
        <v>0.0</v>
      </c>
    </row>
    <row r="646">
      <c r="A646" s="105"/>
      <c r="B646" s="107"/>
      <c r="C646" s="227">
        <v>0.0</v>
      </c>
    </row>
    <row r="647">
      <c r="A647" s="105"/>
      <c r="B647" s="107"/>
      <c r="C647" s="227">
        <v>0.0</v>
      </c>
    </row>
    <row r="648">
      <c r="A648" s="105"/>
      <c r="B648" s="107"/>
      <c r="C648" s="227">
        <v>0.0</v>
      </c>
    </row>
    <row r="649">
      <c r="A649" s="105"/>
      <c r="B649" s="107"/>
      <c r="C649" s="227">
        <v>0.0</v>
      </c>
    </row>
    <row r="650">
      <c r="A650" s="105"/>
      <c r="B650" s="107"/>
      <c r="C650" s="227">
        <v>0.0</v>
      </c>
    </row>
    <row r="651">
      <c r="A651" s="105"/>
      <c r="B651" s="107"/>
      <c r="C651" s="227">
        <v>0.0</v>
      </c>
    </row>
    <row r="652">
      <c r="A652" s="105"/>
      <c r="B652" s="107"/>
      <c r="C652" s="227">
        <v>0.0</v>
      </c>
    </row>
    <row r="653">
      <c r="A653" s="105"/>
      <c r="B653" s="107"/>
      <c r="C653" s="227">
        <v>0.0</v>
      </c>
    </row>
    <row r="654">
      <c r="A654" s="105"/>
      <c r="B654" s="107"/>
      <c r="C654" s="227">
        <v>0.0</v>
      </c>
    </row>
    <row r="655">
      <c r="A655" s="105"/>
      <c r="B655" s="107"/>
      <c r="C655" s="227">
        <v>0.0</v>
      </c>
    </row>
    <row r="656">
      <c r="A656" s="105"/>
      <c r="B656" s="107"/>
      <c r="C656" s="227">
        <v>0.0</v>
      </c>
    </row>
    <row r="657">
      <c r="A657" s="105"/>
      <c r="B657" s="107"/>
      <c r="C657" s="227">
        <v>0.0</v>
      </c>
    </row>
    <row r="658">
      <c r="A658" s="105"/>
      <c r="B658" s="107"/>
      <c r="C658" s="227">
        <v>0.0</v>
      </c>
    </row>
    <row r="659">
      <c r="A659" s="105"/>
      <c r="B659" s="107"/>
      <c r="C659" s="227">
        <v>0.0</v>
      </c>
    </row>
    <row r="660">
      <c r="A660" s="105"/>
      <c r="B660" s="107"/>
      <c r="C660" s="227">
        <v>0.0</v>
      </c>
    </row>
    <row r="661">
      <c r="A661" s="105"/>
      <c r="B661" s="107"/>
      <c r="C661" s="227">
        <v>0.0</v>
      </c>
    </row>
    <row r="662">
      <c r="A662" s="105"/>
      <c r="B662" s="107"/>
      <c r="C662" s="227">
        <v>0.0</v>
      </c>
    </row>
    <row r="663">
      <c r="A663" s="105"/>
      <c r="B663" s="107"/>
      <c r="C663" s="227">
        <v>0.0</v>
      </c>
    </row>
    <row r="664">
      <c r="A664" s="105"/>
      <c r="B664" s="107"/>
      <c r="C664" s="227">
        <v>0.0</v>
      </c>
    </row>
    <row r="665">
      <c r="A665" s="105"/>
      <c r="B665" s="107"/>
      <c r="C665" s="227">
        <v>0.0</v>
      </c>
    </row>
    <row r="666">
      <c r="A666" s="105"/>
      <c r="B666" s="107"/>
      <c r="C666" s="227">
        <v>0.0</v>
      </c>
    </row>
    <row r="667">
      <c r="A667" s="105"/>
      <c r="B667" s="107"/>
      <c r="C667" s="227">
        <v>0.0</v>
      </c>
    </row>
    <row r="668">
      <c r="A668" s="105"/>
      <c r="B668" s="107"/>
      <c r="C668" s="227">
        <v>0.0</v>
      </c>
    </row>
    <row r="669">
      <c r="A669" s="105"/>
      <c r="B669" s="107"/>
      <c r="C669" s="227">
        <v>0.0</v>
      </c>
    </row>
    <row r="670">
      <c r="A670" s="105"/>
      <c r="B670" s="107"/>
      <c r="C670" s="227">
        <v>0.0</v>
      </c>
    </row>
    <row r="671">
      <c r="A671" s="105"/>
      <c r="B671" s="107"/>
      <c r="C671" s="227">
        <v>0.0</v>
      </c>
    </row>
    <row r="672">
      <c r="A672" s="105"/>
      <c r="B672" s="107"/>
      <c r="C672" s="227">
        <v>0.0</v>
      </c>
    </row>
    <row r="673">
      <c r="A673" s="105"/>
      <c r="B673" s="107"/>
      <c r="C673" s="227">
        <v>0.0</v>
      </c>
    </row>
    <row r="674">
      <c r="A674" s="105"/>
      <c r="B674" s="107"/>
      <c r="C674" s="227">
        <v>0.0</v>
      </c>
    </row>
    <row r="675">
      <c r="A675" s="105"/>
      <c r="B675" s="107"/>
      <c r="C675" s="227">
        <v>0.0</v>
      </c>
    </row>
    <row r="676">
      <c r="A676" s="105"/>
      <c r="B676" s="107"/>
      <c r="C676" s="227">
        <v>0.0</v>
      </c>
    </row>
    <row r="677">
      <c r="A677" s="105"/>
      <c r="B677" s="107"/>
      <c r="C677" s="227">
        <v>0.0</v>
      </c>
    </row>
    <row r="678">
      <c r="A678" s="105"/>
      <c r="B678" s="107"/>
      <c r="C678" s="227">
        <v>0.0</v>
      </c>
    </row>
    <row r="679">
      <c r="A679" s="105"/>
      <c r="B679" s="107"/>
      <c r="C679" s="227">
        <v>0.0</v>
      </c>
    </row>
    <row r="680">
      <c r="A680" s="105"/>
      <c r="B680" s="107"/>
      <c r="C680" s="227">
        <v>0.0</v>
      </c>
    </row>
    <row r="681">
      <c r="A681" s="105"/>
      <c r="B681" s="107"/>
      <c r="C681" s="227">
        <v>0.0</v>
      </c>
    </row>
    <row r="682">
      <c r="A682" s="105"/>
      <c r="B682" s="107"/>
      <c r="C682" s="227">
        <v>0.0</v>
      </c>
    </row>
    <row r="683">
      <c r="A683" s="105"/>
      <c r="B683" s="107"/>
      <c r="C683" s="227">
        <v>0.0</v>
      </c>
    </row>
    <row r="684">
      <c r="A684" s="105"/>
      <c r="B684" s="107"/>
      <c r="C684" s="227">
        <v>0.0</v>
      </c>
    </row>
    <row r="685">
      <c r="A685" s="105"/>
      <c r="B685" s="107"/>
      <c r="C685" s="227">
        <v>0.0</v>
      </c>
    </row>
    <row r="686">
      <c r="A686" s="105"/>
      <c r="B686" s="107"/>
      <c r="C686" s="227">
        <v>0.0</v>
      </c>
    </row>
    <row r="687">
      <c r="A687" s="105"/>
      <c r="B687" s="107"/>
      <c r="C687" s="227">
        <v>0.0</v>
      </c>
    </row>
    <row r="688">
      <c r="A688" s="105"/>
      <c r="B688" s="107"/>
      <c r="C688" s="227">
        <v>0.0</v>
      </c>
    </row>
    <row r="689">
      <c r="A689" s="105"/>
      <c r="B689" s="107"/>
      <c r="C689" s="227">
        <v>0.0</v>
      </c>
    </row>
    <row r="690">
      <c r="A690" s="105"/>
      <c r="B690" s="107"/>
      <c r="C690" s="227">
        <v>0.0</v>
      </c>
    </row>
    <row r="691">
      <c r="A691" s="105"/>
      <c r="B691" s="107"/>
      <c r="C691" s="227">
        <v>0.0</v>
      </c>
    </row>
    <row r="692">
      <c r="A692" s="105"/>
      <c r="B692" s="107"/>
      <c r="C692" s="227">
        <v>0.0</v>
      </c>
    </row>
    <row r="693">
      <c r="A693" s="105"/>
      <c r="B693" s="107"/>
      <c r="C693" s="227">
        <v>0.0</v>
      </c>
    </row>
    <row r="694">
      <c r="A694" s="105"/>
      <c r="B694" s="107"/>
      <c r="C694" s="227">
        <v>0.0</v>
      </c>
    </row>
    <row r="695">
      <c r="A695" s="105"/>
      <c r="B695" s="107"/>
      <c r="C695" s="227">
        <v>0.0</v>
      </c>
    </row>
    <row r="696">
      <c r="A696" s="105"/>
      <c r="B696" s="107"/>
      <c r="C696" s="227">
        <v>0.0</v>
      </c>
    </row>
    <row r="697">
      <c r="A697" s="105"/>
      <c r="B697" s="107"/>
      <c r="C697" s="227">
        <v>0.0</v>
      </c>
    </row>
    <row r="698">
      <c r="A698" s="105"/>
      <c r="B698" s="107"/>
      <c r="C698" s="227">
        <v>0.0</v>
      </c>
    </row>
    <row r="699">
      <c r="A699" s="105"/>
      <c r="B699" s="107"/>
      <c r="C699" s="227">
        <v>0.0</v>
      </c>
    </row>
    <row r="700">
      <c r="A700" s="105"/>
      <c r="B700" s="107"/>
      <c r="C700" s="227">
        <v>0.0</v>
      </c>
    </row>
    <row r="701">
      <c r="A701" s="105"/>
      <c r="B701" s="107"/>
      <c r="C701" s="227">
        <v>0.0</v>
      </c>
    </row>
    <row r="702">
      <c r="A702" s="105"/>
      <c r="B702" s="107"/>
      <c r="C702" s="227">
        <v>0.0</v>
      </c>
    </row>
    <row r="703">
      <c r="A703" s="105"/>
      <c r="B703" s="107"/>
      <c r="C703" s="227">
        <v>0.0</v>
      </c>
    </row>
    <row r="704">
      <c r="A704" s="105"/>
      <c r="B704" s="107"/>
      <c r="C704" s="227">
        <v>0.0</v>
      </c>
    </row>
    <row r="705">
      <c r="A705" s="105"/>
      <c r="B705" s="107"/>
      <c r="C705" s="227">
        <v>0.0</v>
      </c>
    </row>
    <row r="706">
      <c r="A706" s="105"/>
      <c r="B706" s="107"/>
      <c r="C706" s="227">
        <v>0.0</v>
      </c>
    </row>
    <row r="707">
      <c r="A707" s="105"/>
      <c r="B707" s="107"/>
      <c r="C707" s="227">
        <v>0.0</v>
      </c>
    </row>
    <row r="708">
      <c r="A708" s="105"/>
      <c r="B708" s="107"/>
      <c r="C708" s="227">
        <v>0.0</v>
      </c>
    </row>
    <row r="709">
      <c r="A709" s="105"/>
      <c r="B709" s="107"/>
      <c r="C709" s="227">
        <v>0.0</v>
      </c>
    </row>
    <row r="710">
      <c r="A710" s="105"/>
      <c r="B710" s="107"/>
      <c r="C710" s="227">
        <v>0.0</v>
      </c>
    </row>
    <row r="711">
      <c r="A711" s="105"/>
      <c r="B711" s="107"/>
      <c r="C711" s="227">
        <v>0.0</v>
      </c>
    </row>
    <row r="712">
      <c r="A712" s="105"/>
      <c r="B712" s="107"/>
      <c r="C712" s="227">
        <v>0.0</v>
      </c>
    </row>
    <row r="713">
      <c r="A713" s="105"/>
      <c r="B713" s="107"/>
      <c r="C713" s="227">
        <v>0.0</v>
      </c>
    </row>
    <row r="714">
      <c r="A714" s="105"/>
      <c r="B714" s="107"/>
      <c r="C714" s="227">
        <v>0.0</v>
      </c>
    </row>
    <row r="715">
      <c r="A715" s="105"/>
      <c r="B715" s="107"/>
      <c r="C715" s="227">
        <v>0.0</v>
      </c>
    </row>
    <row r="716">
      <c r="A716" s="105"/>
      <c r="B716" s="107"/>
      <c r="C716" s="227">
        <v>0.0</v>
      </c>
    </row>
    <row r="717">
      <c r="A717" s="105"/>
      <c r="B717" s="107"/>
      <c r="C717" s="227">
        <v>0.0</v>
      </c>
    </row>
    <row r="718">
      <c r="A718" s="105"/>
      <c r="B718" s="107"/>
      <c r="C718" s="227">
        <v>0.0</v>
      </c>
    </row>
    <row r="719">
      <c r="A719" s="105"/>
      <c r="B719" s="107"/>
      <c r="C719" s="227">
        <v>0.0</v>
      </c>
    </row>
    <row r="720">
      <c r="A720" s="105"/>
      <c r="B720" s="107"/>
      <c r="C720" s="227">
        <v>0.0</v>
      </c>
    </row>
    <row r="721">
      <c r="A721" s="105"/>
      <c r="B721" s="107"/>
      <c r="C721" s="227">
        <v>0.0</v>
      </c>
    </row>
    <row r="722">
      <c r="A722" s="105"/>
      <c r="B722" s="107"/>
      <c r="C722" s="227">
        <v>0.0</v>
      </c>
    </row>
    <row r="723">
      <c r="A723" s="105"/>
      <c r="B723" s="107"/>
      <c r="C723" s="227">
        <v>0.0</v>
      </c>
    </row>
    <row r="724">
      <c r="A724" s="105"/>
      <c r="B724" s="107"/>
      <c r="C724" s="227">
        <v>0.0</v>
      </c>
    </row>
    <row r="725">
      <c r="A725" s="105"/>
      <c r="B725" s="107"/>
      <c r="C725" s="227">
        <v>0.0</v>
      </c>
    </row>
    <row r="726">
      <c r="A726" s="105"/>
      <c r="B726" s="107"/>
      <c r="C726" s="227">
        <v>0.0</v>
      </c>
    </row>
    <row r="727">
      <c r="A727" s="105"/>
      <c r="B727" s="107"/>
      <c r="C727" s="227">
        <v>0.0</v>
      </c>
    </row>
    <row r="728">
      <c r="A728" s="105"/>
      <c r="B728" s="107"/>
      <c r="C728" s="227">
        <v>0.0</v>
      </c>
    </row>
    <row r="729">
      <c r="A729" s="105"/>
      <c r="B729" s="107"/>
      <c r="C729" s="227">
        <v>0.0</v>
      </c>
    </row>
    <row r="730">
      <c r="A730" s="105"/>
      <c r="B730" s="107"/>
      <c r="C730" s="227">
        <v>0.0</v>
      </c>
    </row>
    <row r="731">
      <c r="A731" s="105"/>
      <c r="B731" s="107"/>
      <c r="C731" s="227">
        <v>0.0</v>
      </c>
    </row>
    <row r="732">
      <c r="A732" s="105"/>
      <c r="B732" s="107"/>
      <c r="C732" s="227">
        <v>0.0</v>
      </c>
    </row>
    <row r="733">
      <c r="A733" s="105"/>
      <c r="B733" s="107"/>
      <c r="C733" s="227">
        <v>0.0</v>
      </c>
    </row>
    <row r="734">
      <c r="A734" s="105"/>
      <c r="B734" s="107"/>
      <c r="C734" s="227">
        <v>0.0</v>
      </c>
    </row>
    <row r="735">
      <c r="A735" s="105"/>
      <c r="B735" s="107"/>
      <c r="C735" s="227">
        <v>0.0</v>
      </c>
    </row>
    <row r="736">
      <c r="A736" s="105"/>
      <c r="B736" s="107"/>
      <c r="C736" s="227">
        <v>0.0</v>
      </c>
    </row>
    <row r="737">
      <c r="A737" s="105"/>
      <c r="B737" s="107"/>
      <c r="C737" s="227">
        <v>0.0</v>
      </c>
    </row>
    <row r="738">
      <c r="A738" s="105"/>
      <c r="B738" s="107"/>
      <c r="C738" s="227">
        <v>0.0</v>
      </c>
    </row>
    <row r="739">
      <c r="A739" s="105"/>
      <c r="B739" s="107"/>
      <c r="C739" s="227">
        <v>0.0</v>
      </c>
    </row>
    <row r="740">
      <c r="A740" s="105"/>
      <c r="B740" s="107"/>
      <c r="C740" s="227">
        <v>0.0</v>
      </c>
    </row>
    <row r="741">
      <c r="A741" s="105"/>
      <c r="B741" s="107"/>
      <c r="C741" s="227">
        <v>0.0</v>
      </c>
    </row>
    <row r="742">
      <c r="A742" s="105"/>
      <c r="B742" s="107"/>
      <c r="C742" s="227">
        <v>0.0</v>
      </c>
    </row>
    <row r="743">
      <c r="A743" s="105"/>
      <c r="B743" s="107"/>
      <c r="C743" s="227">
        <v>0.0</v>
      </c>
    </row>
    <row r="744">
      <c r="A744" s="105"/>
      <c r="B744" s="107"/>
      <c r="C744" s="227">
        <v>0.0</v>
      </c>
    </row>
    <row r="745">
      <c r="A745" s="105"/>
      <c r="B745" s="107"/>
      <c r="C745" s="227">
        <v>0.0</v>
      </c>
    </row>
    <row r="746">
      <c r="A746" s="105"/>
      <c r="B746" s="107"/>
      <c r="C746" s="227">
        <v>0.0</v>
      </c>
    </row>
    <row r="747">
      <c r="A747" s="105"/>
      <c r="B747" s="107"/>
      <c r="C747" s="227">
        <v>0.0</v>
      </c>
    </row>
    <row r="748">
      <c r="A748" s="105"/>
      <c r="B748" s="107"/>
      <c r="C748" s="227">
        <v>0.0</v>
      </c>
    </row>
    <row r="749">
      <c r="A749" s="105"/>
      <c r="B749" s="107"/>
      <c r="C749" s="227">
        <v>0.0</v>
      </c>
    </row>
    <row r="750">
      <c r="A750" s="105"/>
      <c r="B750" s="107"/>
      <c r="C750" s="227">
        <v>0.0</v>
      </c>
    </row>
    <row r="751">
      <c r="A751" s="105"/>
      <c r="B751" s="107"/>
      <c r="C751" s="227">
        <v>0.0</v>
      </c>
    </row>
    <row r="752">
      <c r="A752" s="105"/>
      <c r="B752" s="107"/>
      <c r="C752" s="227">
        <v>0.0</v>
      </c>
    </row>
    <row r="753">
      <c r="A753" s="105"/>
      <c r="B753" s="107"/>
      <c r="C753" s="227">
        <v>0.0</v>
      </c>
    </row>
    <row r="754">
      <c r="A754" s="105"/>
      <c r="B754" s="107"/>
      <c r="C754" s="227">
        <v>0.0</v>
      </c>
    </row>
    <row r="755">
      <c r="A755" s="105"/>
      <c r="B755" s="107"/>
      <c r="C755" s="227">
        <v>0.0</v>
      </c>
    </row>
    <row r="756">
      <c r="A756" s="105"/>
      <c r="B756" s="107"/>
      <c r="C756" s="227">
        <v>0.0</v>
      </c>
    </row>
    <row r="757">
      <c r="A757" s="105"/>
      <c r="B757" s="107"/>
      <c r="C757" s="227">
        <v>0.0</v>
      </c>
    </row>
    <row r="758">
      <c r="A758" s="105"/>
      <c r="B758" s="107"/>
      <c r="C758" s="227">
        <v>0.0</v>
      </c>
    </row>
    <row r="759">
      <c r="A759" s="105"/>
      <c r="B759" s="107"/>
      <c r="C759" s="227">
        <v>0.0</v>
      </c>
    </row>
    <row r="760">
      <c r="A760" s="105"/>
      <c r="B760" s="107"/>
      <c r="C760" s="227">
        <v>0.0</v>
      </c>
    </row>
    <row r="761">
      <c r="A761" s="105"/>
      <c r="B761" s="107"/>
      <c r="C761" s="227">
        <v>0.0</v>
      </c>
    </row>
    <row r="762">
      <c r="A762" s="105"/>
      <c r="B762" s="107"/>
      <c r="C762" s="227">
        <v>0.0</v>
      </c>
    </row>
    <row r="763">
      <c r="A763" s="105"/>
      <c r="B763" s="107"/>
      <c r="C763" s="227">
        <v>0.0</v>
      </c>
    </row>
    <row r="764">
      <c r="A764" s="105"/>
      <c r="B764" s="107"/>
      <c r="C764" s="227">
        <v>0.0</v>
      </c>
    </row>
    <row r="765">
      <c r="A765" s="105"/>
      <c r="B765" s="107"/>
      <c r="C765" s="227">
        <v>0.0</v>
      </c>
    </row>
    <row r="766">
      <c r="A766" s="105"/>
      <c r="B766" s="107"/>
      <c r="C766" s="227">
        <v>0.0</v>
      </c>
    </row>
    <row r="767">
      <c r="A767" s="105"/>
      <c r="B767" s="107"/>
      <c r="C767" s="227">
        <v>0.0</v>
      </c>
    </row>
    <row r="768">
      <c r="A768" s="105"/>
      <c r="B768" s="107"/>
      <c r="C768" s="227">
        <v>0.0</v>
      </c>
    </row>
    <row r="769">
      <c r="A769" s="105"/>
      <c r="B769" s="107"/>
      <c r="C769" s="227">
        <v>0.0</v>
      </c>
    </row>
    <row r="770">
      <c r="A770" s="105"/>
      <c r="B770" s="107"/>
      <c r="C770" s="227">
        <v>0.0</v>
      </c>
    </row>
    <row r="771">
      <c r="A771" s="105"/>
      <c r="B771" s="107"/>
      <c r="C771" s="227">
        <v>0.0</v>
      </c>
    </row>
    <row r="772">
      <c r="A772" s="105"/>
      <c r="B772" s="107"/>
      <c r="C772" s="227">
        <v>0.0</v>
      </c>
    </row>
    <row r="773">
      <c r="A773" s="105"/>
      <c r="B773" s="107"/>
      <c r="C773" s="227">
        <v>0.0</v>
      </c>
    </row>
    <row r="774">
      <c r="A774" s="105"/>
      <c r="B774" s="107"/>
      <c r="C774" s="227">
        <v>0.0</v>
      </c>
    </row>
    <row r="775">
      <c r="A775" s="105"/>
      <c r="B775" s="107"/>
      <c r="C775" s="227">
        <v>0.0</v>
      </c>
    </row>
    <row r="776">
      <c r="A776" s="105"/>
      <c r="B776" s="107"/>
      <c r="C776" s="227">
        <v>0.0</v>
      </c>
    </row>
    <row r="777">
      <c r="A777" s="105"/>
      <c r="B777" s="107"/>
      <c r="C777" s="227">
        <v>0.0</v>
      </c>
    </row>
    <row r="778">
      <c r="A778" s="105"/>
      <c r="B778" s="107"/>
      <c r="C778" s="227">
        <v>0.0</v>
      </c>
    </row>
    <row r="779">
      <c r="A779" s="105"/>
      <c r="B779" s="107"/>
      <c r="C779" s="227">
        <v>0.0</v>
      </c>
    </row>
    <row r="780">
      <c r="A780" s="105"/>
      <c r="B780" s="107"/>
      <c r="C780" s="227">
        <v>0.0</v>
      </c>
    </row>
    <row r="781">
      <c r="A781" s="105"/>
      <c r="B781" s="107"/>
      <c r="C781" s="227">
        <v>0.0</v>
      </c>
    </row>
    <row r="782">
      <c r="A782" s="105"/>
      <c r="B782" s="107"/>
      <c r="C782" s="227">
        <v>0.0</v>
      </c>
    </row>
    <row r="783">
      <c r="A783" s="105"/>
      <c r="B783" s="107"/>
      <c r="C783" s="227">
        <v>0.0</v>
      </c>
    </row>
    <row r="784">
      <c r="A784" s="105"/>
      <c r="B784" s="107"/>
      <c r="C784" s="227">
        <v>0.0</v>
      </c>
    </row>
    <row r="785">
      <c r="A785" s="105"/>
      <c r="B785" s="107"/>
      <c r="C785" s="227">
        <v>0.0</v>
      </c>
    </row>
    <row r="786">
      <c r="A786" s="105"/>
      <c r="B786" s="107"/>
      <c r="C786" s="227">
        <v>0.0</v>
      </c>
    </row>
    <row r="787">
      <c r="A787" s="105"/>
      <c r="B787" s="107"/>
      <c r="C787" s="227">
        <v>0.0</v>
      </c>
    </row>
    <row r="788">
      <c r="A788" s="105"/>
      <c r="B788" s="107"/>
      <c r="C788" s="227">
        <v>0.0</v>
      </c>
    </row>
    <row r="789">
      <c r="A789" s="105"/>
      <c r="B789" s="107"/>
      <c r="C789" s="227">
        <v>0.0</v>
      </c>
    </row>
    <row r="790">
      <c r="A790" s="105"/>
      <c r="B790" s="107"/>
      <c r="C790" s="227">
        <v>0.0</v>
      </c>
    </row>
    <row r="791">
      <c r="A791" s="105"/>
      <c r="B791" s="107"/>
      <c r="C791" s="227">
        <v>0.0</v>
      </c>
    </row>
    <row r="792">
      <c r="A792" s="105"/>
      <c r="B792" s="107"/>
      <c r="C792" s="227">
        <v>0.0</v>
      </c>
    </row>
    <row r="793">
      <c r="A793" s="105"/>
      <c r="B793" s="107"/>
      <c r="C793" s="227">
        <v>0.0</v>
      </c>
    </row>
    <row r="794">
      <c r="A794" s="105"/>
      <c r="B794" s="107"/>
      <c r="C794" s="227">
        <v>0.0</v>
      </c>
    </row>
    <row r="795">
      <c r="A795" s="105"/>
      <c r="B795" s="107"/>
      <c r="C795" s="227">
        <v>0.0</v>
      </c>
    </row>
    <row r="796">
      <c r="A796" s="105"/>
      <c r="B796" s="107"/>
      <c r="C796" s="227">
        <v>0.0</v>
      </c>
    </row>
    <row r="797">
      <c r="A797" s="105"/>
      <c r="B797" s="107"/>
      <c r="C797" s="227">
        <v>0.0</v>
      </c>
    </row>
    <row r="798">
      <c r="A798" s="105"/>
      <c r="B798" s="107"/>
      <c r="C798" s="227">
        <v>0.0</v>
      </c>
    </row>
    <row r="799">
      <c r="A799" s="105"/>
      <c r="B799" s="107"/>
      <c r="C799" s="227">
        <v>0.0</v>
      </c>
    </row>
    <row r="800">
      <c r="A800" s="105"/>
      <c r="B800" s="107"/>
      <c r="C800" s="227">
        <v>0.0</v>
      </c>
    </row>
    <row r="801">
      <c r="A801" s="105"/>
      <c r="B801" s="107"/>
      <c r="C801" s="227">
        <v>0.0</v>
      </c>
    </row>
    <row r="802">
      <c r="A802" s="105"/>
      <c r="B802" s="107"/>
      <c r="C802" s="227">
        <v>0.0</v>
      </c>
    </row>
    <row r="803">
      <c r="A803" s="105"/>
      <c r="B803" s="107"/>
      <c r="C803" s="227">
        <v>0.0</v>
      </c>
    </row>
    <row r="804">
      <c r="A804" s="105"/>
      <c r="B804" s="107"/>
      <c r="C804" s="227">
        <v>0.0</v>
      </c>
    </row>
    <row r="805">
      <c r="A805" s="105"/>
      <c r="B805" s="107"/>
      <c r="C805" s="227">
        <v>0.0</v>
      </c>
    </row>
    <row r="806">
      <c r="A806" s="105"/>
      <c r="B806" s="107"/>
      <c r="C806" s="227">
        <v>0.0</v>
      </c>
    </row>
    <row r="807">
      <c r="A807" s="105"/>
      <c r="B807" s="107"/>
      <c r="C807" s="227">
        <v>0.0</v>
      </c>
    </row>
    <row r="808">
      <c r="A808" s="105"/>
      <c r="B808" s="107"/>
      <c r="C808" s="227">
        <v>0.0</v>
      </c>
    </row>
    <row r="809">
      <c r="A809" s="105"/>
      <c r="B809" s="107"/>
      <c r="C809" s="227">
        <v>0.0</v>
      </c>
    </row>
    <row r="810">
      <c r="A810" s="105"/>
      <c r="B810" s="107"/>
      <c r="C810" s="227">
        <v>0.0</v>
      </c>
    </row>
    <row r="811">
      <c r="A811" s="105"/>
      <c r="B811" s="107"/>
      <c r="C811" s="227">
        <v>0.0</v>
      </c>
    </row>
    <row r="812">
      <c r="A812" s="105"/>
      <c r="B812" s="107"/>
      <c r="C812" s="227">
        <v>0.0</v>
      </c>
    </row>
    <row r="813">
      <c r="A813" s="105"/>
      <c r="B813" s="107"/>
      <c r="C813" s="227">
        <v>0.0</v>
      </c>
    </row>
    <row r="814">
      <c r="A814" s="105"/>
      <c r="B814" s="107"/>
      <c r="C814" s="227">
        <v>0.0</v>
      </c>
    </row>
    <row r="815">
      <c r="A815" s="105"/>
      <c r="B815" s="107"/>
      <c r="C815" s="227">
        <v>0.0</v>
      </c>
    </row>
    <row r="816">
      <c r="A816" s="105"/>
      <c r="B816" s="107"/>
      <c r="C816" s="227">
        <v>0.0</v>
      </c>
    </row>
    <row r="817">
      <c r="A817" s="105"/>
      <c r="B817" s="107"/>
      <c r="C817" s="227">
        <v>0.0</v>
      </c>
    </row>
    <row r="818">
      <c r="A818" s="105"/>
      <c r="B818" s="107"/>
      <c r="C818" s="227">
        <v>0.0</v>
      </c>
    </row>
    <row r="819">
      <c r="A819" s="105"/>
      <c r="B819" s="107"/>
      <c r="C819" s="227">
        <v>0.0</v>
      </c>
    </row>
    <row r="820">
      <c r="A820" s="105"/>
      <c r="B820" s="107"/>
      <c r="C820" s="227">
        <v>0.0</v>
      </c>
    </row>
    <row r="821">
      <c r="A821" s="105"/>
      <c r="B821" s="107"/>
      <c r="C821" s="227">
        <v>0.0</v>
      </c>
    </row>
    <row r="822">
      <c r="A822" s="105"/>
      <c r="B822" s="107"/>
      <c r="C822" s="227">
        <v>0.0</v>
      </c>
    </row>
    <row r="823">
      <c r="A823" s="105"/>
      <c r="B823" s="107"/>
      <c r="C823" s="227">
        <v>0.0</v>
      </c>
    </row>
    <row r="824">
      <c r="A824" s="105"/>
      <c r="B824" s="107"/>
      <c r="C824" s="227">
        <v>0.0</v>
      </c>
    </row>
    <row r="825">
      <c r="A825" s="105"/>
      <c r="B825" s="107"/>
      <c r="C825" s="227">
        <v>0.0</v>
      </c>
    </row>
    <row r="826">
      <c r="A826" s="105"/>
      <c r="B826" s="107"/>
      <c r="C826" s="227">
        <v>0.0</v>
      </c>
    </row>
    <row r="827">
      <c r="A827" s="105"/>
      <c r="B827" s="107"/>
      <c r="C827" s="227">
        <v>0.0</v>
      </c>
    </row>
    <row r="828">
      <c r="A828" s="105"/>
      <c r="B828" s="107"/>
      <c r="C828" s="227">
        <v>0.0</v>
      </c>
    </row>
    <row r="829">
      <c r="A829" s="105"/>
      <c r="B829" s="107"/>
      <c r="C829" s="227">
        <v>0.0</v>
      </c>
    </row>
    <row r="830">
      <c r="A830" s="105"/>
      <c r="B830" s="107"/>
      <c r="C830" s="227">
        <v>0.0</v>
      </c>
    </row>
    <row r="831">
      <c r="A831" s="105"/>
      <c r="B831" s="107"/>
      <c r="C831" s="227">
        <v>0.0</v>
      </c>
    </row>
    <row r="832">
      <c r="A832" s="105"/>
      <c r="B832" s="107"/>
      <c r="C832" s="227">
        <v>0.0</v>
      </c>
    </row>
    <row r="833">
      <c r="A833" s="105"/>
      <c r="B833" s="107"/>
      <c r="C833" s="227">
        <v>0.0</v>
      </c>
    </row>
    <row r="834">
      <c r="A834" s="105"/>
      <c r="B834" s="107"/>
      <c r="C834" s="227">
        <v>0.0</v>
      </c>
    </row>
    <row r="835">
      <c r="A835" s="105"/>
      <c r="B835" s="107"/>
      <c r="C835" s="227">
        <v>0.0</v>
      </c>
    </row>
    <row r="836">
      <c r="A836" s="105"/>
      <c r="B836" s="107"/>
      <c r="C836" s="227">
        <v>0.0</v>
      </c>
    </row>
    <row r="837">
      <c r="A837" s="105"/>
      <c r="B837" s="107"/>
      <c r="C837" s="227">
        <v>0.0</v>
      </c>
    </row>
    <row r="838">
      <c r="A838" s="105"/>
      <c r="B838" s="107"/>
      <c r="C838" s="227">
        <v>0.0</v>
      </c>
    </row>
    <row r="839">
      <c r="A839" s="105"/>
      <c r="B839" s="107"/>
      <c r="C839" s="227">
        <v>0.0</v>
      </c>
    </row>
    <row r="840">
      <c r="A840" s="105"/>
      <c r="B840" s="107"/>
      <c r="C840" s="227">
        <v>0.0</v>
      </c>
    </row>
    <row r="841">
      <c r="A841" s="105"/>
      <c r="B841" s="107"/>
      <c r="C841" s="227">
        <v>0.0</v>
      </c>
    </row>
    <row r="842">
      <c r="A842" s="105"/>
      <c r="B842" s="107"/>
      <c r="C842" s="227">
        <v>0.0</v>
      </c>
    </row>
    <row r="843">
      <c r="A843" s="105"/>
      <c r="B843" s="107"/>
      <c r="C843" s="227">
        <v>0.0</v>
      </c>
    </row>
    <row r="844">
      <c r="A844" s="105"/>
      <c r="B844" s="107"/>
      <c r="C844" s="227">
        <v>0.0</v>
      </c>
    </row>
    <row r="845">
      <c r="A845" s="105"/>
      <c r="B845" s="107"/>
      <c r="C845" s="227">
        <v>0.0</v>
      </c>
    </row>
    <row r="846">
      <c r="A846" s="105"/>
      <c r="B846" s="107"/>
      <c r="C846" s="227">
        <v>0.0</v>
      </c>
    </row>
    <row r="847">
      <c r="A847" s="105"/>
      <c r="B847" s="107"/>
      <c r="C847" s="227">
        <v>0.0</v>
      </c>
    </row>
    <row r="848">
      <c r="A848" s="105"/>
      <c r="B848" s="107"/>
      <c r="C848" s="227">
        <v>0.0</v>
      </c>
    </row>
    <row r="849">
      <c r="A849" s="105"/>
      <c r="B849" s="107"/>
      <c r="C849" s="227">
        <v>0.0</v>
      </c>
    </row>
    <row r="850">
      <c r="A850" s="105"/>
      <c r="B850" s="107"/>
      <c r="C850" s="227">
        <v>0.0</v>
      </c>
    </row>
    <row r="851">
      <c r="A851" s="105"/>
      <c r="B851" s="107"/>
      <c r="C851" s="227">
        <v>0.0</v>
      </c>
    </row>
    <row r="852">
      <c r="A852" s="105"/>
      <c r="B852" s="107"/>
      <c r="C852" s="227">
        <v>0.0</v>
      </c>
    </row>
    <row r="853">
      <c r="A853" s="105"/>
      <c r="B853" s="107"/>
      <c r="C853" s="227">
        <v>0.0</v>
      </c>
    </row>
    <row r="854">
      <c r="A854" s="105"/>
      <c r="B854" s="107"/>
      <c r="C854" s="227">
        <v>0.0</v>
      </c>
    </row>
    <row r="855">
      <c r="A855" s="105"/>
      <c r="B855" s="107"/>
      <c r="C855" s="227">
        <v>0.0</v>
      </c>
    </row>
    <row r="856">
      <c r="A856" s="105"/>
      <c r="B856" s="107"/>
      <c r="C856" s="227">
        <v>0.0</v>
      </c>
    </row>
    <row r="857">
      <c r="A857" s="105"/>
      <c r="B857" s="107"/>
      <c r="C857" s="227">
        <v>0.0</v>
      </c>
    </row>
    <row r="858">
      <c r="A858" s="105"/>
      <c r="B858" s="107"/>
      <c r="C858" s="227">
        <v>0.0</v>
      </c>
    </row>
    <row r="859">
      <c r="A859" s="105"/>
      <c r="B859" s="107"/>
      <c r="C859" s="227">
        <v>0.0</v>
      </c>
    </row>
    <row r="860">
      <c r="A860" s="105"/>
      <c r="B860" s="107"/>
      <c r="C860" s="227">
        <v>0.0</v>
      </c>
    </row>
    <row r="861">
      <c r="A861" s="105"/>
      <c r="B861" s="107"/>
      <c r="C861" s="227">
        <v>0.0</v>
      </c>
    </row>
    <row r="862">
      <c r="A862" s="105"/>
      <c r="B862" s="107"/>
      <c r="C862" s="227">
        <v>0.0</v>
      </c>
    </row>
    <row r="863">
      <c r="A863" s="105"/>
      <c r="B863" s="107"/>
      <c r="C863" s="227">
        <v>0.0</v>
      </c>
    </row>
    <row r="864">
      <c r="A864" s="105"/>
      <c r="B864" s="107"/>
      <c r="C864" s="227">
        <v>0.0</v>
      </c>
    </row>
    <row r="865">
      <c r="A865" s="105"/>
      <c r="B865" s="107"/>
      <c r="C865" s="227">
        <v>0.0</v>
      </c>
    </row>
    <row r="866">
      <c r="A866" s="105"/>
      <c r="B866" s="107"/>
      <c r="C866" s="227">
        <v>0.0</v>
      </c>
    </row>
    <row r="867">
      <c r="A867" s="105"/>
      <c r="B867" s="107"/>
      <c r="C867" s="227">
        <v>0.0</v>
      </c>
    </row>
    <row r="868">
      <c r="A868" s="105"/>
      <c r="B868" s="107"/>
      <c r="C868" s="227">
        <v>0.0</v>
      </c>
    </row>
    <row r="869">
      <c r="A869" s="105"/>
      <c r="B869" s="107"/>
      <c r="C869" s="227">
        <v>0.0</v>
      </c>
    </row>
    <row r="870">
      <c r="A870" s="105"/>
      <c r="B870" s="107"/>
      <c r="C870" s="227">
        <v>0.0</v>
      </c>
    </row>
    <row r="871">
      <c r="A871" s="105"/>
      <c r="B871" s="107"/>
      <c r="C871" s="227">
        <v>0.0</v>
      </c>
    </row>
    <row r="872">
      <c r="A872" s="105"/>
      <c r="B872" s="107"/>
      <c r="C872" s="227">
        <v>0.0</v>
      </c>
    </row>
    <row r="873">
      <c r="A873" s="105"/>
      <c r="B873" s="107"/>
      <c r="C873" s="227">
        <v>0.0</v>
      </c>
    </row>
    <row r="874">
      <c r="A874" s="105"/>
      <c r="B874" s="107"/>
      <c r="C874" s="227">
        <v>0.0</v>
      </c>
    </row>
    <row r="875">
      <c r="A875" s="105"/>
      <c r="B875" s="107"/>
      <c r="C875" s="227">
        <v>0.0</v>
      </c>
    </row>
    <row r="876">
      <c r="A876" s="105"/>
      <c r="B876" s="107"/>
      <c r="C876" s="227">
        <v>0.0</v>
      </c>
    </row>
    <row r="877">
      <c r="A877" s="105"/>
      <c r="B877" s="107"/>
      <c r="C877" s="227">
        <v>0.0</v>
      </c>
    </row>
    <row r="878">
      <c r="A878" s="105"/>
      <c r="B878" s="107"/>
      <c r="C878" s="227">
        <v>0.0</v>
      </c>
    </row>
    <row r="879">
      <c r="A879" s="105"/>
      <c r="B879" s="107"/>
      <c r="C879" s="227">
        <v>0.0</v>
      </c>
    </row>
    <row r="880">
      <c r="A880" s="105"/>
      <c r="B880" s="107"/>
      <c r="C880" s="227">
        <v>0.0</v>
      </c>
    </row>
    <row r="881">
      <c r="A881" s="105"/>
      <c r="B881" s="107"/>
      <c r="C881" s="227">
        <v>0.0</v>
      </c>
    </row>
    <row r="882">
      <c r="A882" s="105"/>
      <c r="B882" s="107"/>
      <c r="C882" s="227">
        <v>0.0</v>
      </c>
    </row>
    <row r="883">
      <c r="A883" s="105"/>
      <c r="B883" s="107"/>
      <c r="C883" s="227">
        <v>0.0</v>
      </c>
    </row>
    <row r="884">
      <c r="A884" s="105"/>
      <c r="B884" s="107"/>
      <c r="C884" s="227">
        <v>0.0</v>
      </c>
    </row>
    <row r="885">
      <c r="A885" s="105"/>
      <c r="B885" s="107"/>
      <c r="C885" s="227">
        <v>0.0</v>
      </c>
    </row>
    <row r="886">
      <c r="A886" s="105"/>
      <c r="B886" s="107"/>
      <c r="C886" s="227">
        <v>0.0</v>
      </c>
    </row>
    <row r="887">
      <c r="A887" s="105"/>
      <c r="B887" s="107"/>
      <c r="C887" s="227">
        <v>0.0</v>
      </c>
    </row>
    <row r="888">
      <c r="A888" s="105"/>
      <c r="B888" s="107"/>
      <c r="C888" s="227">
        <v>0.0</v>
      </c>
    </row>
    <row r="889">
      <c r="A889" s="105"/>
      <c r="B889" s="107"/>
      <c r="C889" s="227">
        <v>0.0</v>
      </c>
    </row>
    <row r="890">
      <c r="A890" s="105"/>
      <c r="B890" s="107"/>
      <c r="C890" s="227">
        <v>0.0</v>
      </c>
    </row>
    <row r="891">
      <c r="A891" s="105"/>
      <c r="B891" s="107"/>
      <c r="C891" s="227">
        <v>0.0</v>
      </c>
    </row>
    <row r="892">
      <c r="A892" s="105"/>
      <c r="B892" s="107"/>
      <c r="C892" s="227">
        <v>0.0</v>
      </c>
    </row>
    <row r="893">
      <c r="A893" s="105"/>
      <c r="B893" s="107"/>
      <c r="C893" s="227">
        <v>0.0</v>
      </c>
    </row>
    <row r="894">
      <c r="A894" s="105"/>
      <c r="B894" s="107"/>
      <c r="C894" s="227">
        <v>0.0</v>
      </c>
    </row>
    <row r="895">
      <c r="A895" s="105"/>
      <c r="B895" s="107"/>
      <c r="C895" s="227">
        <v>0.0</v>
      </c>
    </row>
    <row r="896">
      <c r="A896" s="105"/>
      <c r="B896" s="107"/>
      <c r="C896" s="227">
        <v>0.0</v>
      </c>
    </row>
    <row r="897">
      <c r="A897" s="105"/>
      <c r="B897" s="107"/>
      <c r="C897" s="227">
        <v>0.0</v>
      </c>
    </row>
    <row r="898">
      <c r="A898" s="105"/>
      <c r="B898" s="107"/>
      <c r="C898" s="227">
        <v>0.0</v>
      </c>
    </row>
    <row r="899">
      <c r="A899" s="105"/>
      <c r="B899" s="107"/>
      <c r="C899" s="227">
        <v>0.0</v>
      </c>
    </row>
    <row r="900">
      <c r="A900" s="105"/>
      <c r="B900" s="107"/>
      <c r="C900" s="227">
        <v>0.0</v>
      </c>
    </row>
    <row r="901">
      <c r="A901" s="105"/>
      <c r="B901" s="107"/>
      <c r="C901" s="227">
        <v>0.0</v>
      </c>
    </row>
    <row r="902">
      <c r="A902" s="105"/>
      <c r="B902" s="107"/>
      <c r="C902" s="227">
        <v>0.0</v>
      </c>
    </row>
    <row r="903">
      <c r="A903" s="105"/>
      <c r="B903" s="107"/>
      <c r="C903" s="227">
        <v>0.0</v>
      </c>
    </row>
    <row r="904">
      <c r="A904" s="105"/>
      <c r="B904" s="107"/>
      <c r="C904" s="227">
        <v>0.0</v>
      </c>
    </row>
    <row r="905">
      <c r="A905" s="105"/>
      <c r="B905" s="107"/>
      <c r="C905" s="227">
        <v>0.0</v>
      </c>
    </row>
    <row r="906">
      <c r="A906" s="105"/>
      <c r="B906" s="107"/>
      <c r="C906" s="227">
        <v>0.0</v>
      </c>
    </row>
    <row r="907">
      <c r="A907" s="105"/>
      <c r="B907" s="107"/>
      <c r="C907" s="227">
        <v>0.0</v>
      </c>
    </row>
    <row r="908">
      <c r="A908" s="105"/>
      <c r="B908" s="107"/>
      <c r="C908" s="227">
        <v>0.0</v>
      </c>
    </row>
    <row r="909">
      <c r="A909" s="105"/>
      <c r="B909" s="107"/>
      <c r="C909" s="227">
        <v>0.0</v>
      </c>
    </row>
    <row r="910">
      <c r="A910" s="105"/>
      <c r="B910" s="107"/>
      <c r="C910" s="227">
        <v>0.0</v>
      </c>
    </row>
    <row r="911">
      <c r="A911" s="105"/>
      <c r="B911" s="107"/>
      <c r="C911" s="227">
        <v>0.0</v>
      </c>
    </row>
    <row r="912">
      <c r="A912" s="105"/>
      <c r="B912" s="107"/>
      <c r="C912" s="227">
        <v>0.0</v>
      </c>
    </row>
    <row r="913">
      <c r="A913" s="105"/>
      <c r="B913" s="107"/>
      <c r="C913" s="227">
        <v>0.0</v>
      </c>
    </row>
    <row r="914">
      <c r="A914" s="105"/>
      <c r="B914" s="107"/>
      <c r="C914" s="227">
        <v>0.0</v>
      </c>
    </row>
    <row r="915">
      <c r="A915" s="105"/>
      <c r="B915" s="107"/>
      <c r="C915" s="227">
        <v>0.0</v>
      </c>
    </row>
    <row r="916">
      <c r="A916" s="105"/>
      <c r="B916" s="107"/>
      <c r="C916" s="227">
        <v>0.0</v>
      </c>
    </row>
    <row r="917">
      <c r="A917" s="105"/>
      <c r="B917" s="107"/>
      <c r="C917" s="227">
        <v>0.0</v>
      </c>
    </row>
    <row r="918">
      <c r="A918" s="105"/>
      <c r="B918" s="107"/>
      <c r="C918" s="227">
        <v>0.0</v>
      </c>
    </row>
    <row r="919">
      <c r="A919" s="105"/>
      <c r="B919" s="107"/>
      <c r="C919" s="227">
        <v>0.0</v>
      </c>
    </row>
    <row r="920">
      <c r="A920" s="105"/>
      <c r="B920" s="107"/>
      <c r="C920" s="227">
        <v>0.0</v>
      </c>
    </row>
    <row r="921">
      <c r="A921" s="105"/>
      <c r="B921" s="107"/>
      <c r="C921" s="227">
        <v>0.0</v>
      </c>
    </row>
    <row r="922">
      <c r="A922" s="105"/>
      <c r="B922" s="107"/>
      <c r="C922" s="227">
        <v>0.0</v>
      </c>
    </row>
    <row r="923">
      <c r="A923" s="105"/>
      <c r="B923" s="107"/>
      <c r="C923" s="227">
        <v>0.0</v>
      </c>
    </row>
    <row r="924">
      <c r="A924" s="105"/>
      <c r="B924" s="107"/>
      <c r="C924" s="227">
        <v>0.0</v>
      </c>
    </row>
    <row r="925">
      <c r="A925" s="105"/>
      <c r="B925" s="107"/>
      <c r="C925" s="227">
        <v>0.0</v>
      </c>
    </row>
    <row r="926">
      <c r="A926" s="105"/>
      <c r="B926" s="107"/>
      <c r="C926" s="227">
        <v>0.0</v>
      </c>
    </row>
    <row r="927">
      <c r="A927" s="105"/>
      <c r="B927" s="107"/>
      <c r="C927" s="227">
        <v>0.0</v>
      </c>
    </row>
    <row r="928">
      <c r="A928" s="105"/>
      <c r="B928" s="107"/>
      <c r="C928" s="227">
        <v>0.0</v>
      </c>
    </row>
    <row r="929">
      <c r="A929" s="105"/>
      <c r="B929" s="107"/>
      <c r="C929" s="227">
        <v>0.0</v>
      </c>
    </row>
    <row r="930">
      <c r="A930" s="105"/>
      <c r="B930" s="107"/>
      <c r="C930" s="227">
        <v>0.0</v>
      </c>
    </row>
    <row r="931">
      <c r="A931" s="105"/>
      <c r="B931" s="107"/>
      <c r="C931" s="227">
        <v>0.0</v>
      </c>
    </row>
    <row r="932">
      <c r="A932" s="105"/>
      <c r="B932" s="107"/>
      <c r="C932" s="227">
        <v>0.0</v>
      </c>
    </row>
    <row r="933">
      <c r="A933" s="105"/>
      <c r="B933" s="107"/>
      <c r="C933" s="227">
        <v>0.0</v>
      </c>
    </row>
    <row r="934">
      <c r="A934" s="105"/>
      <c r="B934" s="107"/>
      <c r="C934" s="227">
        <v>0.0</v>
      </c>
    </row>
    <row r="935">
      <c r="A935" s="105"/>
      <c r="B935" s="107"/>
      <c r="C935" s="227">
        <v>0.0</v>
      </c>
    </row>
    <row r="936">
      <c r="A936" s="105"/>
      <c r="B936" s="107"/>
      <c r="C936" s="227">
        <v>0.0</v>
      </c>
    </row>
    <row r="937">
      <c r="A937" s="105"/>
      <c r="B937" s="107"/>
      <c r="C937" s="227">
        <v>0.0</v>
      </c>
    </row>
    <row r="938">
      <c r="A938" s="105"/>
      <c r="B938" s="107"/>
      <c r="C938" s="227">
        <v>0.0</v>
      </c>
    </row>
    <row r="939">
      <c r="A939" s="105"/>
      <c r="B939" s="107"/>
      <c r="C939" s="227">
        <v>0.0</v>
      </c>
    </row>
    <row r="940">
      <c r="A940" s="105"/>
      <c r="B940" s="107"/>
      <c r="C940" s="227">
        <v>0.0</v>
      </c>
    </row>
    <row r="941">
      <c r="A941" s="105"/>
      <c r="B941" s="107"/>
      <c r="C941" s="227">
        <v>0.0</v>
      </c>
    </row>
    <row r="942">
      <c r="A942" s="105"/>
      <c r="B942" s="107"/>
      <c r="C942" s="227">
        <v>0.0</v>
      </c>
    </row>
    <row r="943">
      <c r="A943" s="105"/>
      <c r="B943" s="107"/>
      <c r="C943" s="227">
        <v>0.0</v>
      </c>
    </row>
    <row r="944">
      <c r="A944" s="105"/>
      <c r="B944" s="107"/>
      <c r="C944" s="227">
        <v>0.0</v>
      </c>
    </row>
    <row r="945">
      <c r="A945" s="105"/>
      <c r="B945" s="107"/>
      <c r="C945" s="227">
        <v>0.0</v>
      </c>
    </row>
    <row r="946">
      <c r="A946" s="105"/>
      <c r="B946" s="107"/>
      <c r="C946" s="227">
        <v>0.0</v>
      </c>
    </row>
    <row r="947">
      <c r="A947" s="105"/>
      <c r="B947" s="107"/>
      <c r="C947" s="227">
        <v>0.0</v>
      </c>
    </row>
    <row r="948">
      <c r="A948" s="105"/>
      <c r="B948" s="107"/>
      <c r="C948" s="227">
        <v>0.0</v>
      </c>
    </row>
    <row r="949">
      <c r="A949" s="105"/>
      <c r="B949" s="107"/>
      <c r="C949" s="227">
        <v>0.0</v>
      </c>
    </row>
    <row r="950">
      <c r="A950" s="105"/>
      <c r="B950" s="107"/>
      <c r="C950" s="227">
        <v>0.0</v>
      </c>
    </row>
    <row r="951">
      <c r="A951" s="105"/>
      <c r="B951" s="107"/>
      <c r="C951" s="227">
        <v>0.0</v>
      </c>
    </row>
    <row r="952">
      <c r="A952" s="105"/>
      <c r="B952" s="107"/>
      <c r="C952" s="227">
        <v>0.0</v>
      </c>
    </row>
    <row r="953">
      <c r="A953" s="105"/>
      <c r="B953" s="107"/>
      <c r="C953" s="227">
        <v>0.0</v>
      </c>
    </row>
    <row r="954">
      <c r="A954" s="105"/>
      <c r="B954" s="107"/>
      <c r="C954" s="227">
        <v>0.0</v>
      </c>
    </row>
    <row r="955">
      <c r="A955" s="105"/>
      <c r="B955" s="107"/>
      <c r="C955" s="227">
        <v>0.0</v>
      </c>
    </row>
    <row r="956">
      <c r="A956" s="105"/>
      <c r="B956" s="107"/>
      <c r="C956" s="227">
        <v>0.0</v>
      </c>
    </row>
    <row r="957">
      <c r="A957" s="105"/>
      <c r="B957" s="107"/>
      <c r="C957" s="227">
        <v>0.0</v>
      </c>
    </row>
    <row r="958">
      <c r="A958" s="105"/>
      <c r="B958" s="107"/>
      <c r="C958" s="227">
        <v>0.0</v>
      </c>
    </row>
    <row r="959">
      <c r="A959" s="105"/>
      <c r="B959" s="107"/>
      <c r="C959" s="227">
        <v>0.0</v>
      </c>
    </row>
    <row r="960">
      <c r="A960" s="105"/>
      <c r="B960" s="107"/>
      <c r="C960" s="227">
        <v>0.0</v>
      </c>
    </row>
    <row r="961">
      <c r="A961" s="105"/>
      <c r="B961" s="107"/>
      <c r="C961" s="227">
        <v>0.0</v>
      </c>
    </row>
    <row r="962">
      <c r="A962" s="105"/>
      <c r="B962" s="107"/>
      <c r="C962" s="227">
        <v>0.0</v>
      </c>
    </row>
    <row r="963">
      <c r="A963" s="105"/>
      <c r="B963" s="107"/>
      <c r="C963" s="227">
        <v>0.0</v>
      </c>
    </row>
    <row r="964">
      <c r="A964" s="105"/>
      <c r="B964" s="107"/>
      <c r="C964" s="227">
        <v>0.0</v>
      </c>
    </row>
    <row r="965">
      <c r="A965" s="105"/>
      <c r="B965" s="107"/>
      <c r="C965" s="227">
        <v>0.0</v>
      </c>
    </row>
    <row r="966">
      <c r="A966" s="105"/>
      <c r="B966" s="107"/>
      <c r="C966" s="227">
        <v>0.0</v>
      </c>
    </row>
    <row r="967">
      <c r="A967" s="105"/>
      <c r="B967" s="107"/>
      <c r="C967" s="227">
        <v>0.0</v>
      </c>
    </row>
    <row r="968">
      <c r="A968" s="105"/>
      <c r="B968" s="107"/>
      <c r="C968" s="227">
        <v>0.0</v>
      </c>
    </row>
    <row r="969">
      <c r="A969" s="105"/>
      <c r="B969" s="107"/>
      <c r="C969" s="227">
        <v>0.0</v>
      </c>
    </row>
    <row r="970">
      <c r="A970" s="105"/>
      <c r="B970" s="107"/>
      <c r="C970" s="227">
        <v>0.0</v>
      </c>
    </row>
    <row r="971">
      <c r="A971" s="105"/>
      <c r="B971" s="107"/>
      <c r="C971" s="227">
        <v>0.0</v>
      </c>
    </row>
    <row r="972">
      <c r="A972" s="105"/>
      <c r="B972" s="107"/>
      <c r="C972" s="227">
        <v>0.0</v>
      </c>
    </row>
    <row r="973">
      <c r="A973" s="105"/>
      <c r="B973" s="107"/>
      <c r="C973" s="227">
        <v>0.0</v>
      </c>
    </row>
    <row r="974">
      <c r="A974" s="105"/>
      <c r="B974" s="107"/>
      <c r="C974" s="227">
        <v>0.0</v>
      </c>
    </row>
    <row r="975">
      <c r="A975" s="105"/>
      <c r="B975" s="107"/>
      <c r="C975" s="227">
        <v>0.0</v>
      </c>
    </row>
    <row r="976">
      <c r="A976" s="105"/>
      <c r="B976" s="107"/>
      <c r="C976" s="227">
        <v>0.0</v>
      </c>
    </row>
    <row r="977">
      <c r="A977" s="105"/>
      <c r="B977" s="107"/>
      <c r="C977" s="227">
        <v>0.0</v>
      </c>
    </row>
    <row r="978">
      <c r="A978" s="105"/>
      <c r="B978" s="107"/>
      <c r="C978" s="227">
        <v>0.0</v>
      </c>
    </row>
    <row r="979">
      <c r="A979" s="105"/>
      <c r="B979" s="107"/>
      <c r="C979" s="227">
        <v>0.0</v>
      </c>
    </row>
    <row r="980">
      <c r="A980" s="105"/>
      <c r="B980" s="107"/>
      <c r="C980" s="227">
        <v>0.0</v>
      </c>
    </row>
    <row r="981">
      <c r="A981" s="105"/>
      <c r="B981" s="107"/>
      <c r="C981" s="227">
        <v>0.0</v>
      </c>
    </row>
    <row r="982">
      <c r="A982" s="105"/>
      <c r="B982" s="107"/>
      <c r="C982" s="227">
        <v>0.0</v>
      </c>
    </row>
    <row r="983">
      <c r="A983" s="105"/>
      <c r="B983" s="107"/>
      <c r="C983" s="227">
        <v>0.0</v>
      </c>
    </row>
    <row r="984">
      <c r="A984" s="105"/>
      <c r="B984" s="107"/>
      <c r="C984" s="227">
        <v>0.0</v>
      </c>
    </row>
    <row r="985">
      <c r="A985" s="105"/>
      <c r="B985" s="107"/>
      <c r="C985" s="227">
        <v>0.0</v>
      </c>
    </row>
    <row r="986">
      <c r="A986" s="105"/>
      <c r="B986" s="107"/>
      <c r="C986" s="227">
        <v>0.0</v>
      </c>
    </row>
    <row r="987">
      <c r="A987" s="105"/>
      <c r="B987" s="107"/>
      <c r="C987" s="227">
        <v>0.0</v>
      </c>
    </row>
    <row r="988">
      <c r="A988" s="105"/>
      <c r="B988" s="107"/>
      <c r="C988" s="227">
        <v>0.0</v>
      </c>
    </row>
    <row r="989">
      <c r="A989" s="105"/>
      <c r="B989" s="107"/>
      <c r="C989" s="227">
        <v>0.0</v>
      </c>
    </row>
    <row r="990">
      <c r="A990" s="105"/>
      <c r="B990" s="107"/>
      <c r="C990" s="227">
        <v>0.0</v>
      </c>
    </row>
    <row r="991">
      <c r="A991" s="105"/>
      <c r="B991" s="107"/>
      <c r="C991" s="227">
        <v>0.0</v>
      </c>
    </row>
    <row r="992">
      <c r="A992" s="105"/>
      <c r="B992" s="107"/>
      <c r="C992" s="227">
        <v>0.0</v>
      </c>
    </row>
    <row r="993">
      <c r="A993" s="105"/>
      <c r="B993" s="107"/>
      <c r="C993" s="227">
        <v>0.0</v>
      </c>
    </row>
    <row r="994">
      <c r="A994" s="105"/>
      <c r="B994" s="107"/>
      <c r="C994" s="227">
        <v>0.0</v>
      </c>
    </row>
    <row r="995">
      <c r="A995" s="105"/>
      <c r="B995" s="107"/>
      <c r="C995" s="227">
        <v>0.0</v>
      </c>
    </row>
    <row r="996">
      <c r="A996" s="105"/>
      <c r="B996" s="107"/>
      <c r="C996" s="227">
        <v>0.0</v>
      </c>
    </row>
    <row r="997">
      <c r="A997" s="105"/>
      <c r="B997" s="107"/>
      <c r="C997" s="227">
        <v>0.0</v>
      </c>
    </row>
    <row r="998">
      <c r="A998" s="105"/>
      <c r="B998" s="107"/>
      <c r="C998" s="227">
        <v>0.0</v>
      </c>
    </row>
    <row r="999">
      <c r="A999" s="105"/>
      <c r="B999" s="107"/>
      <c r="C999" s="227">
        <v>0.0</v>
      </c>
    </row>
    <row r="1000">
      <c r="A1000" s="105"/>
      <c r="B1000" s="107"/>
      <c r="C1000" s="227">
        <v>0.0</v>
      </c>
    </row>
    <row r="1001">
      <c r="A1001" s="105"/>
      <c r="B1001" s="107"/>
      <c r="C1001" s="227">
        <v>0.0</v>
      </c>
    </row>
    <row r="1002">
      <c r="A1002" s="105"/>
      <c r="B1002" s="107"/>
      <c r="C1002" s="227">
        <v>0.0</v>
      </c>
    </row>
    <row r="1003">
      <c r="A1003" s="105"/>
      <c r="B1003" s="107"/>
      <c r="C1003" s="227">
        <v>0.0</v>
      </c>
    </row>
    <row r="1004">
      <c r="A1004" s="105"/>
      <c r="B1004" s="107"/>
      <c r="C1004" s="227">
        <v>0.0</v>
      </c>
    </row>
    <row r="1005">
      <c r="A1005" s="105"/>
      <c r="B1005" s="107"/>
      <c r="C1005" s="227">
        <v>0.0</v>
      </c>
    </row>
    <row r="1006">
      <c r="A1006" s="105"/>
      <c r="B1006" s="107"/>
      <c r="C1006" s="227">
        <v>0.0</v>
      </c>
    </row>
    <row r="1007">
      <c r="A1007" s="105"/>
      <c r="B1007" s="107"/>
      <c r="C1007" s="227">
        <v>0.0</v>
      </c>
    </row>
    <row r="1008">
      <c r="A1008" s="105"/>
      <c r="B1008" s="107"/>
      <c r="C1008" s="227">
        <v>0.0</v>
      </c>
    </row>
    <row r="1009">
      <c r="A1009" s="105"/>
      <c r="B1009" s="107"/>
      <c r="C1009" s="227">
        <v>0.0</v>
      </c>
    </row>
    <row r="1010">
      <c r="A1010" s="105"/>
      <c r="B1010" s="107"/>
      <c r="C1010" s="227">
        <v>0.0</v>
      </c>
    </row>
    <row r="1011">
      <c r="A1011" s="105"/>
      <c r="B1011" s="107"/>
      <c r="C1011" s="227">
        <v>0.0</v>
      </c>
    </row>
    <row r="1012">
      <c r="A1012" s="105"/>
      <c r="B1012" s="107"/>
      <c r="C1012" s="227">
        <v>0.0</v>
      </c>
    </row>
    <row r="1013">
      <c r="A1013" s="105"/>
      <c r="B1013" s="107"/>
      <c r="C1013" s="227">
        <v>0.0</v>
      </c>
    </row>
    <row r="1014">
      <c r="A1014" s="105"/>
      <c r="B1014" s="107"/>
      <c r="C1014" s="227">
        <v>0.0</v>
      </c>
    </row>
    <row r="1015">
      <c r="A1015" s="105"/>
      <c r="B1015" s="107"/>
      <c r="C1015" s="227">
        <v>0.0</v>
      </c>
    </row>
    <row r="1016">
      <c r="A1016" s="105"/>
      <c r="B1016" s="107"/>
      <c r="C1016" s="227">
        <v>0.0</v>
      </c>
    </row>
    <row r="1017">
      <c r="A1017" s="105"/>
      <c r="B1017" s="107"/>
      <c r="C1017" s="227">
        <v>0.0</v>
      </c>
    </row>
    <row r="1018">
      <c r="A1018" s="105"/>
      <c r="B1018" s="107"/>
      <c r="C1018" s="227">
        <v>0.0</v>
      </c>
    </row>
    <row r="1019">
      <c r="A1019" s="105"/>
      <c r="B1019" s="107"/>
      <c r="C1019" s="227">
        <v>0.0</v>
      </c>
    </row>
    <row r="1020">
      <c r="A1020" s="105"/>
      <c r="B1020" s="107"/>
      <c r="C1020" s="227">
        <v>0.0</v>
      </c>
    </row>
    <row r="1021">
      <c r="A1021" s="105"/>
      <c r="B1021" s="107"/>
      <c r="C1021" s="227">
        <v>0.0</v>
      </c>
    </row>
    <row r="1022">
      <c r="A1022" s="105"/>
      <c r="B1022" s="107"/>
      <c r="C1022" s="227">
        <v>0.0</v>
      </c>
    </row>
    <row r="1023">
      <c r="A1023" s="105"/>
      <c r="B1023" s="107"/>
      <c r="C1023" s="227">
        <v>0.0</v>
      </c>
    </row>
    <row r="1024">
      <c r="A1024" s="105"/>
      <c r="B1024" s="107"/>
      <c r="C1024" s="227">
        <v>0.0</v>
      </c>
    </row>
    <row r="1025">
      <c r="A1025" s="105"/>
      <c r="B1025" s="107"/>
      <c r="C1025" s="227">
        <v>0.0</v>
      </c>
    </row>
    <row r="1026">
      <c r="A1026" s="105"/>
      <c r="B1026" s="107"/>
      <c r="C1026" s="227">
        <v>0.0</v>
      </c>
    </row>
    <row r="1027">
      <c r="A1027" s="105"/>
      <c r="B1027" s="107"/>
      <c r="C1027" s="227">
        <v>0.0</v>
      </c>
    </row>
    <row r="1028">
      <c r="A1028" s="105"/>
      <c r="B1028" s="107"/>
      <c r="C1028" s="227">
        <v>0.0</v>
      </c>
    </row>
    <row r="1029">
      <c r="A1029" s="105"/>
      <c r="B1029" s="107"/>
      <c r="C1029" s="227">
        <v>0.0</v>
      </c>
    </row>
    <row r="1030">
      <c r="A1030" s="105"/>
      <c r="B1030" s="107"/>
      <c r="C1030" s="227">
        <v>0.0</v>
      </c>
    </row>
    <row r="1031">
      <c r="A1031" s="105"/>
      <c r="B1031" s="107"/>
      <c r="C1031" s="227">
        <v>0.0</v>
      </c>
    </row>
    <row r="1032">
      <c r="A1032" s="105"/>
      <c r="B1032" s="107"/>
      <c r="C1032" s="227">
        <v>0.0</v>
      </c>
    </row>
    <row r="1033">
      <c r="A1033" s="105"/>
      <c r="B1033" s="107"/>
      <c r="C1033" s="227">
        <v>0.0</v>
      </c>
    </row>
    <row r="1034">
      <c r="A1034" s="105"/>
      <c r="B1034" s="107"/>
      <c r="C1034" s="227">
        <v>0.0</v>
      </c>
    </row>
    <row r="1035">
      <c r="A1035" s="105"/>
      <c r="B1035" s="107"/>
      <c r="C1035" s="227">
        <v>0.0</v>
      </c>
    </row>
    <row r="1036">
      <c r="A1036" s="105"/>
      <c r="B1036" s="107"/>
      <c r="C1036" s="227">
        <v>0.0</v>
      </c>
    </row>
    <row r="1037">
      <c r="A1037" s="105"/>
      <c r="B1037" s="107"/>
      <c r="C1037" s="227">
        <v>0.0</v>
      </c>
    </row>
    <row r="1038">
      <c r="A1038" s="105"/>
      <c r="B1038" s="107"/>
      <c r="C1038" s="227">
        <v>0.0</v>
      </c>
    </row>
    <row r="1039">
      <c r="A1039" s="105"/>
      <c r="B1039" s="107"/>
      <c r="C1039" s="227">
        <v>0.0</v>
      </c>
    </row>
    <row r="1040">
      <c r="A1040" s="105"/>
      <c r="B1040" s="107"/>
      <c r="C1040" s="227">
        <v>0.0</v>
      </c>
    </row>
    <row r="1041">
      <c r="A1041" s="105"/>
      <c r="B1041" s="107"/>
      <c r="C1041" s="227">
        <v>0.0</v>
      </c>
    </row>
    <row r="1042">
      <c r="A1042" s="105"/>
      <c r="B1042" s="107"/>
      <c r="C1042" s="227">
        <v>0.0</v>
      </c>
    </row>
    <row r="1043">
      <c r="A1043" s="105"/>
      <c r="B1043" s="107"/>
      <c r="C1043" s="227">
        <v>0.0</v>
      </c>
    </row>
    <row r="1044">
      <c r="A1044" s="105"/>
      <c r="B1044" s="107"/>
      <c r="C1044" s="227">
        <v>0.0</v>
      </c>
    </row>
    <row r="1045">
      <c r="A1045" s="105"/>
      <c r="B1045" s="107"/>
      <c r="C1045" s="227">
        <v>0.0</v>
      </c>
    </row>
    <row r="1046">
      <c r="A1046" s="105"/>
      <c r="B1046" s="107"/>
      <c r="C1046" s="227">
        <v>0.0</v>
      </c>
    </row>
    <row r="1047">
      <c r="A1047" s="105"/>
      <c r="B1047" s="107"/>
      <c r="C1047" s="227">
        <v>0.0</v>
      </c>
    </row>
    <row r="1048">
      <c r="A1048" s="105"/>
      <c r="B1048" s="107"/>
      <c r="C1048" s="227">
        <v>0.0</v>
      </c>
    </row>
    <row r="1049">
      <c r="A1049" s="105"/>
      <c r="B1049" s="107"/>
      <c r="C1049" s="227">
        <v>0.0</v>
      </c>
    </row>
    <row r="1050">
      <c r="A1050" s="105"/>
      <c r="B1050" s="107"/>
      <c r="C1050" s="227">
        <v>0.0</v>
      </c>
    </row>
    <row r="1051">
      <c r="A1051" s="105"/>
      <c r="B1051" s="107"/>
      <c r="C1051" s="227">
        <v>0.0</v>
      </c>
    </row>
    <row r="1052">
      <c r="A1052" s="105"/>
      <c r="B1052" s="107"/>
      <c r="C1052" s="227">
        <v>0.0</v>
      </c>
    </row>
    <row r="1053">
      <c r="A1053" s="105"/>
      <c r="B1053" s="107"/>
      <c r="C1053" s="227">
        <v>0.0</v>
      </c>
    </row>
    <row r="1054">
      <c r="A1054" s="105"/>
      <c r="B1054" s="107"/>
      <c r="C1054" s="227">
        <v>0.0</v>
      </c>
    </row>
    <row r="1055">
      <c r="A1055" s="105"/>
      <c r="B1055" s="107"/>
      <c r="C1055" s="227">
        <v>0.0</v>
      </c>
    </row>
    <row r="1056">
      <c r="A1056" s="105"/>
      <c r="B1056" s="107"/>
      <c r="C1056" s="227">
        <v>0.0</v>
      </c>
    </row>
    <row r="1057">
      <c r="A1057" s="105"/>
      <c r="B1057" s="107"/>
      <c r="C1057" s="227">
        <v>0.0</v>
      </c>
    </row>
    <row r="1058">
      <c r="A1058" s="105"/>
      <c r="B1058" s="107"/>
      <c r="C1058" s="227">
        <v>0.0</v>
      </c>
    </row>
    <row r="1059">
      <c r="A1059" s="105"/>
      <c r="B1059" s="107"/>
      <c r="C1059" s="227">
        <v>0.0</v>
      </c>
    </row>
    <row r="1060">
      <c r="A1060" s="105"/>
      <c r="B1060" s="107"/>
      <c r="C1060" s="227">
        <v>0.0</v>
      </c>
    </row>
    <row r="1061">
      <c r="A1061" s="105"/>
      <c r="B1061" s="107"/>
      <c r="C1061" s="227">
        <v>0.0</v>
      </c>
    </row>
    <row r="1062">
      <c r="A1062" s="105"/>
      <c r="B1062" s="107"/>
      <c r="C1062" s="227">
        <v>0.0</v>
      </c>
    </row>
    <row r="1063">
      <c r="A1063" s="105"/>
      <c r="B1063" s="107"/>
      <c r="C1063" s="227">
        <v>0.0</v>
      </c>
    </row>
    <row r="1064">
      <c r="A1064" s="105"/>
      <c r="B1064" s="107"/>
      <c r="C1064" s="227">
        <v>0.0</v>
      </c>
    </row>
    <row r="1065">
      <c r="A1065" s="105"/>
      <c r="B1065" s="107"/>
      <c r="C1065" s="227">
        <v>0.0</v>
      </c>
    </row>
    <row r="1066">
      <c r="A1066" s="105"/>
      <c r="B1066" s="107"/>
      <c r="C1066" s="227">
        <v>0.0</v>
      </c>
    </row>
    <row r="1067">
      <c r="A1067" s="105"/>
      <c r="B1067" s="107"/>
      <c r="C1067" s="227">
        <v>0.0</v>
      </c>
    </row>
    <row r="1068">
      <c r="A1068" s="105"/>
      <c r="B1068" s="107"/>
      <c r="C1068" s="227">
        <v>0.0</v>
      </c>
    </row>
    <row r="1069">
      <c r="A1069" s="105"/>
      <c r="B1069" s="107"/>
      <c r="C1069" s="227">
        <v>0.0</v>
      </c>
    </row>
    <row r="1070">
      <c r="A1070" s="105"/>
      <c r="B1070" s="107"/>
      <c r="C1070" s="227">
        <v>0.0</v>
      </c>
    </row>
    <row r="1071">
      <c r="A1071" s="105"/>
      <c r="B1071" s="107"/>
      <c r="C1071" s="227">
        <v>0.0</v>
      </c>
    </row>
    <row r="1072">
      <c r="A1072" s="105"/>
      <c r="B1072" s="107"/>
      <c r="C1072" s="227">
        <v>0.0</v>
      </c>
    </row>
    <row r="1073">
      <c r="A1073" s="105"/>
      <c r="B1073" s="107"/>
      <c r="C1073" s="227">
        <v>0.0</v>
      </c>
    </row>
    <row r="1074">
      <c r="A1074" s="105"/>
      <c r="B1074" s="107"/>
      <c r="C1074" s="227">
        <v>0.0</v>
      </c>
    </row>
    <row r="1075">
      <c r="A1075" s="105"/>
      <c r="B1075" s="107"/>
      <c r="C1075" s="227">
        <v>0.0</v>
      </c>
    </row>
    <row r="1076">
      <c r="A1076" s="105"/>
      <c r="B1076" s="107"/>
      <c r="C1076" s="227">
        <v>0.0</v>
      </c>
    </row>
    <row r="1077">
      <c r="A1077" s="105"/>
      <c r="B1077" s="107"/>
      <c r="C1077" s="227">
        <v>0.0</v>
      </c>
    </row>
    <row r="1078">
      <c r="A1078" s="105"/>
      <c r="B1078" s="107"/>
      <c r="C1078" s="227">
        <v>0.0</v>
      </c>
    </row>
    <row r="1079">
      <c r="A1079" s="105"/>
      <c r="B1079" s="107"/>
      <c r="C1079" s="227">
        <v>0.0</v>
      </c>
    </row>
    <row r="1080">
      <c r="A1080" s="105"/>
      <c r="B1080" s="107"/>
      <c r="C1080" s="227">
        <v>0.0</v>
      </c>
    </row>
    <row r="1081">
      <c r="A1081" s="105"/>
      <c r="B1081" s="107"/>
      <c r="C1081" s="227">
        <v>0.0</v>
      </c>
    </row>
    <row r="1082">
      <c r="A1082" s="105"/>
      <c r="B1082" s="107"/>
      <c r="C1082" s="227">
        <v>0.0</v>
      </c>
    </row>
    <row r="1083">
      <c r="A1083" s="105"/>
      <c r="B1083" s="107"/>
      <c r="C1083" s="227">
        <v>0.0</v>
      </c>
    </row>
    <row r="1084">
      <c r="A1084" s="105"/>
      <c r="B1084" s="107"/>
      <c r="C1084" s="227">
        <v>0.0</v>
      </c>
    </row>
    <row r="1085">
      <c r="A1085" s="105"/>
      <c r="B1085" s="107"/>
      <c r="C1085" s="227">
        <v>0.0</v>
      </c>
    </row>
    <row r="1086">
      <c r="A1086" s="105"/>
      <c r="B1086" s="107"/>
      <c r="C1086" s="227">
        <v>0.0</v>
      </c>
    </row>
    <row r="1087">
      <c r="A1087" s="105"/>
      <c r="B1087" s="107"/>
      <c r="C1087" s="227">
        <v>0.0</v>
      </c>
    </row>
    <row r="1088">
      <c r="A1088" s="105"/>
      <c r="B1088" s="107"/>
      <c r="C1088" s="227">
        <v>0.0</v>
      </c>
    </row>
    <row r="1089">
      <c r="A1089" s="105"/>
      <c r="B1089" s="107"/>
      <c r="C1089" s="227">
        <v>0.0</v>
      </c>
    </row>
    <row r="1090">
      <c r="A1090" s="105"/>
      <c r="B1090" s="107"/>
      <c r="C1090" s="227">
        <v>0.0</v>
      </c>
    </row>
    <row r="1091">
      <c r="A1091" s="105"/>
      <c r="B1091" s="107"/>
      <c r="C1091" s="227">
        <v>0.0</v>
      </c>
    </row>
    <row r="1092">
      <c r="A1092" s="105"/>
      <c r="B1092" s="107"/>
      <c r="C1092" s="227">
        <v>0.0</v>
      </c>
    </row>
    <row r="1093">
      <c r="A1093" s="105"/>
      <c r="B1093" s="107"/>
      <c r="C1093" s="227">
        <v>0.0</v>
      </c>
    </row>
    <row r="1094">
      <c r="A1094" s="105"/>
      <c r="B1094" s="107"/>
      <c r="C1094" s="227">
        <v>0.0</v>
      </c>
    </row>
    <row r="1095">
      <c r="A1095" s="105"/>
      <c r="B1095" s="107"/>
      <c r="C1095" s="227">
        <v>0.0</v>
      </c>
    </row>
    <row r="1096">
      <c r="A1096" s="105"/>
      <c r="B1096" s="107"/>
      <c r="C1096" s="227">
        <v>0.0</v>
      </c>
    </row>
    <row r="1097">
      <c r="A1097" s="105"/>
      <c r="B1097" s="107"/>
      <c r="C1097" s="227">
        <v>0.0</v>
      </c>
    </row>
    <row r="1098">
      <c r="A1098" s="105"/>
      <c r="B1098" s="107"/>
      <c r="C1098" s="227">
        <v>0.0</v>
      </c>
    </row>
    <row r="1099">
      <c r="A1099" s="105"/>
      <c r="B1099" s="107"/>
      <c r="C1099" s="227">
        <v>0.0</v>
      </c>
    </row>
    <row r="1100">
      <c r="A1100" s="105"/>
      <c r="B1100" s="107"/>
      <c r="C1100" s="227">
        <v>0.0</v>
      </c>
    </row>
    <row r="1101">
      <c r="A1101" s="105"/>
      <c r="B1101" s="107"/>
      <c r="C1101" s="227">
        <v>0.0</v>
      </c>
    </row>
    <row r="1102">
      <c r="A1102" s="105"/>
      <c r="B1102" s="107"/>
      <c r="C1102" s="227">
        <v>0.0</v>
      </c>
    </row>
    <row r="1103">
      <c r="A1103" s="105"/>
      <c r="B1103" s="107"/>
      <c r="C1103" s="227">
        <v>0.0</v>
      </c>
    </row>
    <row r="1104">
      <c r="A1104" s="105"/>
      <c r="B1104" s="107"/>
      <c r="C1104" s="227">
        <v>0.0</v>
      </c>
    </row>
    <row r="1105">
      <c r="A1105" s="105"/>
      <c r="B1105" s="107"/>
      <c r="C1105" s="227">
        <v>0.0</v>
      </c>
    </row>
    <row r="1106">
      <c r="A1106" s="105"/>
      <c r="B1106" s="107"/>
      <c r="C1106" s="227">
        <v>0.0</v>
      </c>
    </row>
    <row r="1107">
      <c r="A1107" s="105"/>
      <c r="B1107" s="107"/>
      <c r="C1107" s="227">
        <v>0.0</v>
      </c>
    </row>
    <row r="1108">
      <c r="A1108" s="105"/>
      <c r="B1108" s="107"/>
      <c r="C1108" s="227">
        <v>0.0</v>
      </c>
    </row>
    <row r="1109">
      <c r="A1109" s="105"/>
      <c r="B1109" s="107"/>
      <c r="C1109" s="227">
        <v>0.0</v>
      </c>
    </row>
    <row r="1110">
      <c r="A1110" s="105"/>
      <c r="B1110" s="107"/>
      <c r="C1110" s="227">
        <v>0.0</v>
      </c>
    </row>
    <row r="1111">
      <c r="A1111" s="105"/>
      <c r="B1111" s="107"/>
      <c r="C1111" s="227">
        <v>0.0</v>
      </c>
    </row>
    <row r="1112">
      <c r="A1112" s="105"/>
      <c r="B1112" s="107"/>
      <c r="C1112" s="227">
        <v>0.0</v>
      </c>
    </row>
    <row r="1113">
      <c r="A1113" s="105"/>
      <c r="B1113" s="107"/>
      <c r="C1113" s="227">
        <v>0.0</v>
      </c>
    </row>
    <row r="1114">
      <c r="A1114" s="105"/>
      <c r="B1114" s="107"/>
      <c r="C1114" s="227">
        <v>0.0</v>
      </c>
    </row>
    <row r="1115">
      <c r="A1115" s="105"/>
      <c r="B1115" s="107"/>
      <c r="C1115" s="227">
        <v>0.0</v>
      </c>
    </row>
    <row r="1116">
      <c r="A1116" s="105"/>
      <c r="B1116" s="107"/>
      <c r="C1116" s="227">
        <v>0.0</v>
      </c>
    </row>
    <row r="1117">
      <c r="A1117" s="105"/>
      <c r="B1117" s="107"/>
      <c r="C1117" s="227">
        <v>0.0</v>
      </c>
    </row>
    <row r="1118">
      <c r="A1118" s="105"/>
      <c r="B1118" s="107"/>
      <c r="C1118" s="227">
        <v>0.0</v>
      </c>
    </row>
    <row r="1119">
      <c r="A1119" s="105"/>
      <c r="B1119" s="107"/>
      <c r="C1119" s="227">
        <v>0.0</v>
      </c>
    </row>
    <row r="1120">
      <c r="A1120" s="105"/>
      <c r="B1120" s="107"/>
      <c r="C1120" s="227">
        <v>0.0</v>
      </c>
    </row>
    <row r="1121">
      <c r="A1121" s="105"/>
      <c r="B1121" s="107"/>
      <c r="C1121" s="227">
        <v>0.0</v>
      </c>
    </row>
    <row r="1122">
      <c r="A1122" s="105"/>
      <c r="B1122" s="107"/>
      <c r="C1122" s="227">
        <v>0.0</v>
      </c>
    </row>
    <row r="1123">
      <c r="A1123" s="105"/>
      <c r="B1123" s="107"/>
      <c r="C1123" s="227">
        <v>0.0</v>
      </c>
    </row>
    <row r="1124">
      <c r="A1124" s="105"/>
      <c r="B1124" s="107"/>
      <c r="C1124" s="227">
        <v>0.0</v>
      </c>
    </row>
    <row r="1125">
      <c r="A1125" s="105"/>
      <c r="B1125" s="107"/>
      <c r="C1125" s="227">
        <v>0.0</v>
      </c>
    </row>
    <row r="1126">
      <c r="A1126" s="105"/>
      <c r="B1126" s="107"/>
      <c r="C1126" s="227">
        <v>0.0</v>
      </c>
    </row>
    <row r="1127">
      <c r="A1127" s="105"/>
      <c r="B1127" s="107"/>
      <c r="C1127" s="227">
        <v>0.0</v>
      </c>
    </row>
    <row r="1128">
      <c r="A1128" s="105"/>
      <c r="B1128" s="107"/>
      <c r="C1128" s="227">
        <v>0.0</v>
      </c>
    </row>
    <row r="1129">
      <c r="A1129" s="105"/>
      <c r="B1129" s="107"/>
      <c r="C1129" s="227">
        <v>0.0</v>
      </c>
    </row>
    <row r="1130">
      <c r="A1130" s="105"/>
      <c r="B1130" s="107"/>
      <c r="C1130" s="227">
        <v>0.0</v>
      </c>
    </row>
    <row r="1131">
      <c r="A1131" s="105"/>
      <c r="B1131" s="107"/>
      <c r="C1131" s="227">
        <v>0.0</v>
      </c>
    </row>
    <row r="1132">
      <c r="A1132" s="105"/>
      <c r="B1132" s="107"/>
      <c r="C1132" s="227">
        <v>0.0</v>
      </c>
    </row>
    <row r="1133">
      <c r="A1133" s="105"/>
      <c r="B1133" s="107"/>
      <c r="C1133" s="227">
        <v>0.0</v>
      </c>
    </row>
    <row r="1134">
      <c r="A1134" s="105"/>
      <c r="B1134" s="107"/>
      <c r="C1134" s="227">
        <v>0.0</v>
      </c>
    </row>
    <row r="1135">
      <c r="A1135" s="105"/>
      <c r="B1135" s="107"/>
      <c r="C1135" s="227">
        <v>0.0</v>
      </c>
    </row>
    <row r="1136">
      <c r="A1136" s="105"/>
      <c r="B1136" s="107"/>
      <c r="C1136" s="227">
        <v>0.0</v>
      </c>
    </row>
    <row r="1137">
      <c r="A1137" s="105"/>
      <c r="B1137" s="107"/>
      <c r="C1137" s="227">
        <v>0.0</v>
      </c>
    </row>
    <row r="1138">
      <c r="A1138" s="105"/>
      <c r="B1138" s="107"/>
      <c r="C1138" s="227">
        <v>0.0</v>
      </c>
    </row>
    <row r="1139">
      <c r="A1139" s="105"/>
      <c r="B1139" s="107"/>
      <c r="C1139" s="227">
        <v>0.0</v>
      </c>
    </row>
    <row r="1140">
      <c r="A1140" s="105"/>
      <c r="B1140" s="107"/>
      <c r="C1140" s="227">
        <v>0.0</v>
      </c>
    </row>
    <row r="1141">
      <c r="A1141" s="105"/>
      <c r="B1141" s="107"/>
      <c r="C1141" s="227">
        <v>0.0</v>
      </c>
    </row>
    <row r="1142">
      <c r="A1142" s="105"/>
      <c r="B1142" s="107"/>
      <c r="C1142" s="227">
        <v>0.0</v>
      </c>
    </row>
    <row r="1143">
      <c r="A1143" s="105"/>
      <c r="B1143" s="107"/>
      <c r="C1143" s="227">
        <v>0.0</v>
      </c>
    </row>
    <row r="1144">
      <c r="A1144" s="105"/>
      <c r="B1144" s="107"/>
      <c r="C1144" s="227">
        <v>0.0</v>
      </c>
    </row>
    <row r="1145">
      <c r="A1145" s="105"/>
      <c r="B1145" s="107"/>
      <c r="C1145" s="227">
        <v>0.0</v>
      </c>
    </row>
    <row r="1146">
      <c r="A1146" s="105"/>
      <c r="B1146" s="107"/>
      <c r="C1146" s="227">
        <v>0.0</v>
      </c>
    </row>
    <row r="1147">
      <c r="A1147" s="105"/>
      <c r="B1147" s="107"/>
      <c r="C1147" s="227">
        <v>0.0</v>
      </c>
    </row>
    <row r="1148">
      <c r="A1148" s="105"/>
      <c r="B1148" s="107"/>
      <c r="C1148" s="227">
        <v>0.0</v>
      </c>
    </row>
    <row r="1149">
      <c r="A1149" s="105"/>
      <c r="B1149" s="107"/>
      <c r="C1149" s="227">
        <v>0.0</v>
      </c>
    </row>
    <row r="1150">
      <c r="A1150" s="105"/>
      <c r="B1150" s="107"/>
      <c r="C1150" s="227">
        <v>0.0</v>
      </c>
    </row>
    <row r="1151">
      <c r="A1151" s="105"/>
      <c r="B1151" s="107"/>
      <c r="C1151" s="227">
        <v>0.0</v>
      </c>
    </row>
    <row r="1152">
      <c r="A1152" s="105"/>
      <c r="B1152" s="107"/>
      <c r="C1152" s="227">
        <v>0.0</v>
      </c>
    </row>
    <row r="1153">
      <c r="A1153" s="105"/>
      <c r="B1153" s="107"/>
      <c r="C1153" s="227">
        <v>0.0</v>
      </c>
    </row>
    <row r="1154">
      <c r="A1154" s="105"/>
      <c r="B1154" s="107"/>
      <c r="C1154" s="227">
        <v>0.0</v>
      </c>
    </row>
    <row r="1155">
      <c r="A1155" s="105"/>
      <c r="B1155" s="107"/>
      <c r="C1155" s="227">
        <v>0.0</v>
      </c>
    </row>
    <row r="1156">
      <c r="A1156" s="105"/>
      <c r="B1156" s="107"/>
      <c r="C1156" s="227">
        <v>0.0</v>
      </c>
    </row>
    <row r="1157">
      <c r="A1157" s="105"/>
      <c r="B1157" s="107"/>
      <c r="C1157" s="227">
        <v>0.0</v>
      </c>
    </row>
    <row r="1158">
      <c r="A1158" s="105"/>
      <c r="B1158" s="107"/>
      <c r="C1158" s="227">
        <v>0.0</v>
      </c>
    </row>
    <row r="1159">
      <c r="A1159" s="105"/>
      <c r="B1159" s="107"/>
      <c r="C1159" s="227">
        <v>0.0</v>
      </c>
    </row>
    <row r="1160">
      <c r="A1160" s="105"/>
      <c r="B1160" s="107"/>
      <c r="C1160" s="227">
        <v>0.0</v>
      </c>
    </row>
    <row r="1161">
      <c r="A1161" s="105"/>
      <c r="B1161" s="107"/>
      <c r="C1161" s="227">
        <v>0.0</v>
      </c>
    </row>
    <row r="1162">
      <c r="A1162" s="105"/>
      <c r="B1162" s="107"/>
      <c r="C1162" s="227">
        <v>0.0</v>
      </c>
    </row>
    <row r="1163">
      <c r="A1163" s="105"/>
      <c r="B1163" s="107"/>
      <c r="C1163" s="227">
        <v>0.0</v>
      </c>
    </row>
    <row r="1164">
      <c r="A1164" s="105"/>
      <c r="B1164" s="107"/>
      <c r="C1164" s="227">
        <v>0.0</v>
      </c>
    </row>
    <row r="1165">
      <c r="A1165" s="105"/>
      <c r="B1165" s="107"/>
      <c r="C1165" s="227">
        <v>0.0</v>
      </c>
    </row>
    <row r="1166">
      <c r="A1166" s="105"/>
      <c r="B1166" s="107"/>
      <c r="C1166" s="227">
        <v>0.0</v>
      </c>
    </row>
    <row r="1167">
      <c r="A1167" s="105"/>
      <c r="B1167" s="107"/>
      <c r="C1167" s="227">
        <v>0.0</v>
      </c>
    </row>
    <row r="1168">
      <c r="A1168" s="105"/>
      <c r="B1168" s="107"/>
      <c r="C1168" s="227">
        <v>0.0</v>
      </c>
    </row>
    <row r="1169">
      <c r="A1169" s="105"/>
      <c r="B1169" s="107"/>
      <c r="C1169" s="227">
        <v>0.0</v>
      </c>
    </row>
    <row r="1170">
      <c r="A1170" s="105"/>
      <c r="B1170" s="107"/>
      <c r="C1170" s="227">
        <v>0.0</v>
      </c>
    </row>
    <row r="1171">
      <c r="A1171" s="105"/>
      <c r="B1171" s="107"/>
      <c r="C1171" s="227">
        <v>0.0</v>
      </c>
    </row>
    <row r="1172">
      <c r="A1172" s="105"/>
      <c r="B1172" s="107"/>
      <c r="C1172" s="227">
        <v>0.0</v>
      </c>
    </row>
    <row r="1173">
      <c r="A1173" s="105"/>
      <c r="B1173" s="107"/>
      <c r="C1173" s="227">
        <v>0.0</v>
      </c>
    </row>
    <row r="1174">
      <c r="A1174" s="105"/>
      <c r="B1174" s="107"/>
      <c r="C1174" s="227">
        <v>0.0</v>
      </c>
    </row>
    <row r="1175">
      <c r="A1175" s="105"/>
      <c r="B1175" s="107"/>
      <c r="C1175" s="227">
        <v>0.0</v>
      </c>
    </row>
    <row r="1176">
      <c r="A1176" s="105"/>
      <c r="B1176" s="107"/>
      <c r="C1176" s="227">
        <v>0.0</v>
      </c>
    </row>
    <row r="1177">
      <c r="A1177" s="105"/>
      <c r="B1177" s="107"/>
      <c r="C1177" s="227">
        <v>0.0</v>
      </c>
    </row>
    <row r="1178">
      <c r="A1178" s="105"/>
      <c r="B1178" s="107"/>
      <c r="C1178" s="227">
        <v>0.0</v>
      </c>
    </row>
    <row r="1179">
      <c r="A1179" s="105"/>
      <c r="B1179" s="107"/>
      <c r="C1179" s="227">
        <v>0.0</v>
      </c>
    </row>
    <row r="1180">
      <c r="A1180" s="105"/>
      <c r="B1180" s="107"/>
      <c r="C1180" s="227">
        <v>0.0</v>
      </c>
    </row>
    <row r="1181">
      <c r="A1181" s="105"/>
      <c r="B1181" s="107"/>
      <c r="C1181" s="227">
        <v>0.0</v>
      </c>
    </row>
    <row r="1182">
      <c r="A1182" s="105"/>
      <c r="B1182" s="107"/>
      <c r="C1182" s="227">
        <v>0.0</v>
      </c>
    </row>
    <row r="1183">
      <c r="A1183" s="105"/>
      <c r="B1183" s="107"/>
      <c r="C1183" s="227">
        <v>0.0</v>
      </c>
    </row>
    <row r="1184">
      <c r="A1184" s="105"/>
      <c r="B1184" s="107"/>
      <c r="C1184" s="227">
        <v>0.0</v>
      </c>
    </row>
    <row r="1185">
      <c r="A1185" s="105"/>
      <c r="B1185" s="107"/>
      <c r="C1185" s="227">
        <v>0.0</v>
      </c>
    </row>
    <row r="1186">
      <c r="A1186" s="105"/>
      <c r="B1186" s="107"/>
      <c r="C1186" s="227">
        <v>0.0</v>
      </c>
    </row>
    <row r="1187">
      <c r="A1187" s="105"/>
      <c r="B1187" s="107"/>
      <c r="C1187" s="227">
        <v>0.0</v>
      </c>
    </row>
    <row r="1188">
      <c r="A1188" s="105"/>
      <c r="B1188" s="107"/>
      <c r="C1188" s="227">
        <v>0.0</v>
      </c>
    </row>
    <row r="1189">
      <c r="A1189" s="105"/>
      <c r="B1189" s="107"/>
      <c r="C1189" s="227">
        <v>0.0</v>
      </c>
    </row>
    <row r="1190">
      <c r="A1190" s="105"/>
      <c r="B1190" s="107"/>
      <c r="C1190" s="227">
        <v>0.0</v>
      </c>
    </row>
    <row r="1191">
      <c r="A1191" s="105"/>
      <c r="B1191" s="107"/>
      <c r="C1191" s="227">
        <v>0.0</v>
      </c>
    </row>
    <row r="1192">
      <c r="A1192" s="105"/>
      <c r="B1192" s="107"/>
      <c r="C1192" s="227">
        <v>0.0</v>
      </c>
    </row>
    <row r="1193">
      <c r="A1193" s="105"/>
      <c r="B1193" s="107"/>
      <c r="C1193" s="227">
        <v>0.0</v>
      </c>
    </row>
    <row r="1194">
      <c r="A1194" s="105"/>
      <c r="B1194" s="107"/>
      <c r="C1194" s="227">
        <v>0.0</v>
      </c>
    </row>
    <row r="1195">
      <c r="A1195" s="105"/>
      <c r="B1195" s="107"/>
      <c r="C1195" s="227">
        <v>0.0</v>
      </c>
    </row>
    <row r="1196">
      <c r="A1196" s="105"/>
      <c r="B1196" s="107"/>
      <c r="C1196" s="227">
        <v>0.0</v>
      </c>
    </row>
    <row r="1197">
      <c r="A1197" s="105"/>
      <c r="B1197" s="107"/>
      <c r="C1197" s="227">
        <v>0.0</v>
      </c>
    </row>
    <row r="1198">
      <c r="A1198" s="105"/>
      <c r="B1198" s="107"/>
      <c r="C1198" s="227">
        <v>0.0</v>
      </c>
    </row>
    <row r="1199">
      <c r="A1199" s="105"/>
      <c r="B1199" s="107"/>
      <c r="C1199" s="227">
        <v>0.0</v>
      </c>
    </row>
    <row r="1200">
      <c r="A1200" s="105"/>
      <c r="B1200" s="107"/>
      <c r="C1200" s="227">
        <v>0.0</v>
      </c>
    </row>
    <row r="1201">
      <c r="A1201" s="105"/>
      <c r="B1201" s="107"/>
      <c r="C1201" s="227">
        <v>0.0</v>
      </c>
    </row>
    <row r="1202">
      <c r="A1202" s="105"/>
      <c r="B1202" s="107"/>
      <c r="C1202" s="227">
        <v>0.0</v>
      </c>
    </row>
    <row r="1203">
      <c r="A1203" s="105"/>
      <c r="B1203" s="107"/>
      <c r="C1203" s="227">
        <v>0.0</v>
      </c>
    </row>
    <row r="1204">
      <c r="A1204" s="105"/>
      <c r="B1204" s="107"/>
      <c r="C1204" s="227">
        <v>0.0</v>
      </c>
    </row>
    <row r="1205">
      <c r="A1205" s="105"/>
      <c r="B1205" s="107"/>
      <c r="C1205" s="227">
        <v>0.0</v>
      </c>
    </row>
    <row r="1206">
      <c r="A1206" s="105"/>
      <c r="B1206" s="107"/>
      <c r="C1206" s="227">
        <v>0.0</v>
      </c>
    </row>
    <row r="1207">
      <c r="A1207" s="105"/>
      <c r="B1207" s="107"/>
      <c r="C1207" s="227">
        <v>0.0</v>
      </c>
    </row>
    <row r="1208">
      <c r="A1208" s="105"/>
      <c r="B1208" s="107"/>
      <c r="C1208" s="227">
        <v>0.0</v>
      </c>
    </row>
    <row r="1209">
      <c r="A1209" s="105"/>
      <c r="B1209" s="107"/>
      <c r="C1209" s="227">
        <v>0.0</v>
      </c>
    </row>
    <row r="1210">
      <c r="A1210" s="105"/>
      <c r="B1210" s="107"/>
      <c r="C1210" s="227">
        <v>0.0</v>
      </c>
    </row>
    <row r="1211">
      <c r="A1211" s="105"/>
      <c r="B1211" s="107"/>
      <c r="C1211" s="227">
        <v>0.0</v>
      </c>
    </row>
    <row r="1212">
      <c r="A1212" s="105"/>
      <c r="B1212" s="107"/>
      <c r="C1212" s="227">
        <v>0.0</v>
      </c>
    </row>
    <row r="1213">
      <c r="A1213" s="105"/>
      <c r="B1213" s="107"/>
      <c r="C1213" s="227">
        <v>0.0</v>
      </c>
    </row>
    <row r="1214">
      <c r="A1214" s="105"/>
      <c r="B1214" s="107"/>
      <c r="C1214" s="227">
        <v>0.0</v>
      </c>
    </row>
    <row r="1215">
      <c r="A1215" s="105"/>
      <c r="B1215" s="107"/>
      <c r="C1215" s="227">
        <v>0.0</v>
      </c>
    </row>
    <row r="1216">
      <c r="A1216" s="105"/>
      <c r="B1216" s="107"/>
      <c r="C1216" s="227">
        <v>0.0</v>
      </c>
    </row>
    <row r="1217">
      <c r="A1217" s="105"/>
      <c r="B1217" s="107"/>
      <c r="C1217" s="227">
        <v>0.0</v>
      </c>
    </row>
    <row r="1218">
      <c r="A1218" s="105"/>
      <c r="B1218" s="107"/>
      <c r="C1218" s="227">
        <v>0.0</v>
      </c>
    </row>
    <row r="1219">
      <c r="A1219" s="105"/>
      <c r="B1219" s="107"/>
      <c r="C1219" s="227">
        <v>0.0</v>
      </c>
    </row>
    <row r="1220">
      <c r="A1220" s="105"/>
      <c r="B1220" s="107"/>
      <c r="C1220" s="227">
        <v>0.0</v>
      </c>
    </row>
    <row r="1221">
      <c r="A1221" s="105"/>
      <c r="B1221" s="107"/>
      <c r="C1221" s="227">
        <v>0.0</v>
      </c>
    </row>
    <row r="1222">
      <c r="A1222" s="105"/>
      <c r="B1222" s="107"/>
      <c r="C1222" s="227">
        <v>0.0</v>
      </c>
    </row>
    <row r="1223">
      <c r="A1223" s="105"/>
      <c r="B1223" s="107"/>
      <c r="C1223" s="227">
        <v>0.0</v>
      </c>
    </row>
    <row r="1224">
      <c r="A1224" s="105"/>
      <c r="B1224" s="107"/>
      <c r="C1224" s="227">
        <v>0.0</v>
      </c>
    </row>
    <row r="1225">
      <c r="A1225" s="105"/>
      <c r="B1225" s="107"/>
      <c r="C1225" s="227">
        <v>0.0</v>
      </c>
    </row>
    <row r="1226">
      <c r="A1226" s="105"/>
      <c r="B1226" s="107"/>
      <c r="C1226" s="227">
        <v>0.0</v>
      </c>
    </row>
    <row r="1227">
      <c r="A1227" s="105"/>
      <c r="B1227" s="107"/>
      <c r="C1227" s="227">
        <v>0.0</v>
      </c>
    </row>
    <row r="1228">
      <c r="A1228" s="105"/>
      <c r="B1228" s="107"/>
      <c r="C1228" s="227">
        <v>0.0</v>
      </c>
    </row>
    <row r="1229">
      <c r="A1229" s="105"/>
      <c r="B1229" s="107"/>
      <c r="C1229" s="227">
        <v>0.0</v>
      </c>
    </row>
    <row r="1230">
      <c r="A1230" s="105"/>
      <c r="B1230" s="107"/>
      <c r="C1230" s="227">
        <v>0.0</v>
      </c>
    </row>
    <row r="1231">
      <c r="A1231" s="105"/>
      <c r="B1231" s="107"/>
      <c r="C1231" s="227">
        <v>0.0</v>
      </c>
    </row>
    <row r="1232">
      <c r="A1232" s="105"/>
      <c r="B1232" s="107"/>
      <c r="C1232" s="227">
        <v>0.0</v>
      </c>
    </row>
    <row r="1233">
      <c r="A1233" s="105"/>
      <c r="B1233" s="107"/>
      <c r="C1233" s="227">
        <v>0.0</v>
      </c>
    </row>
    <row r="1234">
      <c r="A1234" s="105"/>
      <c r="B1234" s="107"/>
      <c r="C1234" s="227">
        <v>0.0</v>
      </c>
    </row>
    <row r="1235">
      <c r="A1235" s="105"/>
      <c r="B1235" s="107"/>
      <c r="C1235" s="227">
        <v>0.0</v>
      </c>
    </row>
    <row r="1236">
      <c r="A1236" s="105"/>
      <c r="B1236" s="107"/>
      <c r="C1236" s="227">
        <v>0.0</v>
      </c>
    </row>
    <row r="1237">
      <c r="A1237" s="105"/>
      <c r="B1237" s="107"/>
      <c r="C1237" s="227">
        <v>0.0</v>
      </c>
    </row>
    <row r="1238">
      <c r="A1238" s="105"/>
      <c r="B1238" s="107"/>
      <c r="C1238" s="227">
        <v>0.0</v>
      </c>
    </row>
    <row r="1239">
      <c r="A1239" s="105"/>
      <c r="B1239" s="107"/>
      <c r="C1239" s="227">
        <v>0.0</v>
      </c>
    </row>
    <row r="1240">
      <c r="A1240" s="105"/>
      <c r="B1240" s="107"/>
      <c r="C1240" s="227">
        <v>0.0</v>
      </c>
    </row>
    <row r="1241">
      <c r="A1241" s="105"/>
      <c r="B1241" s="107"/>
      <c r="C1241" s="227">
        <v>0.0</v>
      </c>
    </row>
    <row r="1242">
      <c r="A1242" s="105"/>
      <c r="B1242" s="107"/>
      <c r="C1242" s="227">
        <v>0.0</v>
      </c>
    </row>
    <row r="1243">
      <c r="A1243" s="105"/>
      <c r="B1243" s="107"/>
      <c r="C1243" s="227">
        <v>0.0</v>
      </c>
    </row>
    <row r="1244">
      <c r="A1244" s="105"/>
      <c r="B1244" s="107"/>
      <c r="C1244" s="227">
        <v>0.0</v>
      </c>
    </row>
    <row r="1245">
      <c r="A1245" s="105"/>
      <c r="B1245" s="107"/>
      <c r="C1245" s="227">
        <v>0.0</v>
      </c>
    </row>
    <row r="1246">
      <c r="A1246" s="105"/>
      <c r="B1246" s="107"/>
      <c r="C1246" s="227">
        <v>0.0</v>
      </c>
    </row>
    <row r="1247">
      <c r="A1247" s="105"/>
      <c r="B1247" s="107"/>
      <c r="C1247" s="227">
        <v>0.0</v>
      </c>
    </row>
    <row r="1248">
      <c r="A1248" s="105"/>
      <c r="B1248" s="107"/>
      <c r="C1248" s="227">
        <v>0.0</v>
      </c>
    </row>
    <row r="1249">
      <c r="A1249" s="105"/>
      <c r="B1249" s="107"/>
      <c r="C1249" s="227">
        <v>0.0</v>
      </c>
    </row>
    <row r="1250">
      <c r="A1250" s="105"/>
      <c r="B1250" s="107"/>
      <c r="C1250" s="227">
        <v>0.0</v>
      </c>
    </row>
    <row r="1251">
      <c r="A1251" s="105"/>
      <c r="B1251" s="107"/>
      <c r="C1251" s="227">
        <v>0.0</v>
      </c>
    </row>
    <row r="1252">
      <c r="A1252" s="105"/>
      <c r="B1252" s="107"/>
      <c r="C1252" s="227">
        <v>0.0</v>
      </c>
    </row>
    <row r="1253">
      <c r="A1253" s="105"/>
      <c r="B1253" s="107"/>
      <c r="C1253" s="227">
        <v>0.0</v>
      </c>
    </row>
    <row r="1254">
      <c r="A1254" s="105"/>
      <c r="B1254" s="107"/>
      <c r="C1254" s="227">
        <v>0.0</v>
      </c>
    </row>
    <row r="1255">
      <c r="A1255" s="105"/>
      <c r="B1255" s="107"/>
      <c r="C1255" s="227">
        <v>0.0</v>
      </c>
    </row>
    <row r="1256">
      <c r="A1256" s="105"/>
      <c r="B1256" s="107"/>
      <c r="C1256" s="227">
        <v>0.0</v>
      </c>
    </row>
    <row r="1257">
      <c r="A1257" s="105"/>
      <c r="B1257" s="107"/>
      <c r="C1257" s="227">
        <v>0.0</v>
      </c>
    </row>
    <row r="1258">
      <c r="A1258" s="105"/>
      <c r="B1258" s="107"/>
      <c r="C1258" s="227">
        <v>0.0</v>
      </c>
    </row>
    <row r="1259">
      <c r="A1259" s="105"/>
      <c r="B1259" s="107"/>
      <c r="C1259" s="227">
        <v>0.0</v>
      </c>
    </row>
    <row r="1260">
      <c r="A1260" s="105"/>
      <c r="B1260" s="107"/>
      <c r="C1260" s="227">
        <v>0.0</v>
      </c>
    </row>
    <row r="1261">
      <c r="A1261" s="105"/>
      <c r="B1261" s="107"/>
      <c r="C1261" s="227">
        <v>0.0</v>
      </c>
    </row>
    <row r="1262">
      <c r="A1262" s="105"/>
      <c r="B1262" s="107"/>
      <c r="C1262" s="227">
        <v>0.0</v>
      </c>
    </row>
    <row r="1263">
      <c r="A1263" s="105"/>
      <c r="B1263" s="107"/>
      <c r="C1263" s="227">
        <v>0.0</v>
      </c>
    </row>
    <row r="1264">
      <c r="A1264" s="105"/>
      <c r="B1264" s="107"/>
      <c r="C1264" s="227">
        <v>0.0</v>
      </c>
    </row>
    <row r="1265">
      <c r="A1265" s="105"/>
      <c r="B1265" s="107"/>
      <c r="C1265" s="227">
        <v>0.0</v>
      </c>
    </row>
    <row r="1266">
      <c r="A1266" s="105"/>
      <c r="B1266" s="107"/>
      <c r="C1266" s="227">
        <v>0.0</v>
      </c>
    </row>
    <row r="1267">
      <c r="A1267" s="105"/>
      <c r="B1267" s="107"/>
      <c r="C1267" s="227">
        <v>0.0</v>
      </c>
    </row>
    <row r="1268">
      <c r="A1268" s="105"/>
      <c r="B1268" s="107"/>
      <c r="C1268" s="227">
        <v>0.0</v>
      </c>
    </row>
    <row r="1269">
      <c r="A1269" s="105"/>
      <c r="B1269" s="107"/>
      <c r="C1269" s="227">
        <v>0.0</v>
      </c>
    </row>
    <row r="1270">
      <c r="A1270" s="105"/>
      <c r="B1270" s="107"/>
      <c r="C1270" s="227">
        <v>0.0</v>
      </c>
    </row>
    <row r="1271">
      <c r="A1271" s="105"/>
      <c r="B1271" s="107"/>
      <c r="C1271" s="227">
        <v>0.0</v>
      </c>
    </row>
    <row r="1272">
      <c r="A1272" s="105"/>
      <c r="B1272" s="107"/>
      <c r="C1272" s="227">
        <v>0.0</v>
      </c>
    </row>
    <row r="1273">
      <c r="A1273" s="105"/>
      <c r="B1273" s="107"/>
      <c r="C1273" s="227">
        <v>0.0</v>
      </c>
    </row>
    <row r="1274">
      <c r="A1274" s="105"/>
      <c r="B1274" s="107"/>
      <c r="C1274" s="227">
        <v>0.0</v>
      </c>
    </row>
    <row r="1275">
      <c r="A1275" s="105"/>
      <c r="B1275" s="107"/>
      <c r="C1275" s="227">
        <v>0.0</v>
      </c>
    </row>
    <row r="1276">
      <c r="A1276" s="105"/>
      <c r="B1276" s="107"/>
      <c r="C1276" s="227">
        <v>0.0</v>
      </c>
    </row>
    <row r="1277">
      <c r="A1277" s="105"/>
      <c r="B1277" s="107"/>
      <c r="C1277" s="227">
        <v>0.0</v>
      </c>
    </row>
    <row r="1278">
      <c r="A1278" s="105"/>
      <c r="B1278" s="107"/>
      <c r="C1278" s="227">
        <v>0.0</v>
      </c>
    </row>
    <row r="1279">
      <c r="A1279" s="105"/>
      <c r="B1279" s="107"/>
      <c r="C1279" s="227">
        <v>0.0</v>
      </c>
    </row>
    <row r="1280">
      <c r="A1280" s="105"/>
      <c r="B1280" s="107"/>
      <c r="C1280" s="227">
        <v>0.0</v>
      </c>
    </row>
    <row r="1281">
      <c r="A1281" s="105"/>
      <c r="B1281" s="107"/>
      <c r="C1281" s="227">
        <v>0.0</v>
      </c>
    </row>
    <row r="1282">
      <c r="A1282" s="105"/>
      <c r="B1282" s="107"/>
      <c r="C1282" s="227">
        <v>0.0</v>
      </c>
    </row>
    <row r="1283">
      <c r="A1283" s="105"/>
      <c r="B1283" s="107"/>
      <c r="C1283" s="227">
        <v>0.0</v>
      </c>
    </row>
    <row r="1284">
      <c r="A1284" s="105"/>
      <c r="B1284" s="107"/>
      <c r="C1284" s="227">
        <v>0.0</v>
      </c>
    </row>
    <row r="1285">
      <c r="A1285" s="105"/>
      <c r="B1285" s="107"/>
      <c r="C1285" s="227">
        <v>0.0</v>
      </c>
    </row>
    <row r="1286">
      <c r="A1286" s="105"/>
      <c r="B1286" s="107"/>
      <c r="C1286" s="227">
        <v>0.0</v>
      </c>
    </row>
    <row r="1287">
      <c r="A1287" s="105"/>
      <c r="B1287" s="107"/>
      <c r="C1287" s="227">
        <v>0.0</v>
      </c>
    </row>
    <row r="1288">
      <c r="A1288" s="105"/>
      <c r="B1288" s="107"/>
      <c r="C1288" s="227">
        <v>0.0</v>
      </c>
    </row>
    <row r="1289">
      <c r="A1289" s="105"/>
      <c r="B1289" s="107"/>
      <c r="C1289" s="227">
        <v>0.0</v>
      </c>
    </row>
    <row r="1290">
      <c r="A1290" s="105"/>
      <c r="B1290" s="107"/>
      <c r="C1290" s="227">
        <v>0.0</v>
      </c>
    </row>
    <row r="1291">
      <c r="A1291" s="105"/>
      <c r="B1291" s="107"/>
      <c r="C1291" s="227">
        <v>0.0</v>
      </c>
    </row>
    <row r="1292">
      <c r="A1292" s="105"/>
      <c r="B1292" s="107"/>
      <c r="C1292" s="227">
        <v>0.0</v>
      </c>
    </row>
    <row r="1293">
      <c r="A1293" s="105"/>
      <c r="B1293" s="107"/>
      <c r="C1293" s="227">
        <v>0.0</v>
      </c>
    </row>
    <row r="1294">
      <c r="A1294" s="105"/>
      <c r="B1294" s="107"/>
      <c r="C1294" s="227">
        <v>0.0</v>
      </c>
    </row>
    <row r="1295">
      <c r="A1295" s="105"/>
      <c r="B1295" s="107"/>
      <c r="C1295" s="227">
        <v>0.0</v>
      </c>
    </row>
    <row r="1296">
      <c r="A1296" s="105"/>
      <c r="B1296" s="107"/>
      <c r="C1296" s="227">
        <v>0.0</v>
      </c>
    </row>
    <row r="1297">
      <c r="A1297" s="105"/>
      <c r="B1297" s="107"/>
      <c r="C1297" s="227">
        <v>0.0</v>
      </c>
    </row>
    <row r="1298">
      <c r="A1298" s="105"/>
      <c r="B1298" s="107"/>
      <c r="C1298" s="227">
        <v>0.0</v>
      </c>
    </row>
    <row r="1299">
      <c r="A1299" s="105"/>
      <c r="B1299" s="107"/>
      <c r="C1299" s="227">
        <v>0.0</v>
      </c>
    </row>
    <row r="1300">
      <c r="A1300" s="105"/>
      <c r="B1300" s="107"/>
      <c r="C1300" s="227">
        <v>0.0</v>
      </c>
    </row>
    <row r="1301">
      <c r="A1301" s="105"/>
      <c r="B1301" s="107"/>
      <c r="C1301" s="227">
        <v>0.0</v>
      </c>
    </row>
    <row r="1302">
      <c r="A1302" s="105"/>
      <c r="B1302" s="107"/>
      <c r="C1302" s="227">
        <v>0.0</v>
      </c>
    </row>
    <row r="1303">
      <c r="A1303" s="105"/>
      <c r="B1303" s="107"/>
      <c r="C1303" s="227">
        <v>0.0</v>
      </c>
    </row>
    <row r="1304">
      <c r="A1304" s="105"/>
      <c r="B1304" s="107"/>
      <c r="C1304" s="227">
        <v>0.0</v>
      </c>
    </row>
    <row r="1305">
      <c r="A1305" s="105"/>
      <c r="B1305" s="107"/>
      <c r="C1305" s="227">
        <v>0.0</v>
      </c>
    </row>
    <row r="1306">
      <c r="A1306" s="105"/>
      <c r="B1306" s="107"/>
      <c r="C1306" s="227">
        <v>0.0</v>
      </c>
    </row>
    <row r="1307">
      <c r="A1307" s="105"/>
      <c r="B1307" s="107"/>
      <c r="C1307" s="227">
        <v>0.0</v>
      </c>
    </row>
    <row r="1308">
      <c r="A1308" s="105"/>
      <c r="B1308" s="107"/>
      <c r="C1308" s="227">
        <v>0.0</v>
      </c>
    </row>
    <row r="1309">
      <c r="A1309" s="105"/>
      <c r="B1309" s="107"/>
      <c r="C1309" s="227">
        <v>0.0</v>
      </c>
    </row>
    <row r="1310">
      <c r="A1310" s="105"/>
      <c r="B1310" s="107"/>
      <c r="C1310" s="227">
        <v>0.0</v>
      </c>
    </row>
    <row r="1311">
      <c r="A1311" s="105"/>
      <c r="B1311" s="107"/>
      <c r="C1311" s="227">
        <v>0.0</v>
      </c>
    </row>
    <row r="1312">
      <c r="A1312" s="105"/>
      <c r="B1312" s="107"/>
      <c r="C1312" s="227">
        <v>0.0</v>
      </c>
    </row>
    <row r="1313">
      <c r="A1313" s="105"/>
      <c r="B1313" s="107"/>
      <c r="C1313" s="227">
        <v>0.0</v>
      </c>
    </row>
    <row r="1314">
      <c r="A1314" s="105"/>
      <c r="B1314" s="107"/>
      <c r="C1314" s="227">
        <v>0.0</v>
      </c>
    </row>
    <row r="1315">
      <c r="A1315" s="105"/>
      <c r="B1315" s="107"/>
      <c r="C1315" s="227">
        <v>0.0</v>
      </c>
    </row>
    <row r="1316">
      <c r="A1316" s="105"/>
      <c r="B1316" s="107"/>
      <c r="C1316" s="227">
        <v>0.0</v>
      </c>
    </row>
    <row r="1317">
      <c r="A1317" s="105"/>
      <c r="B1317" s="107"/>
      <c r="C1317" s="227">
        <v>0.0</v>
      </c>
    </row>
    <row r="1318">
      <c r="A1318" s="105"/>
      <c r="B1318" s="107"/>
      <c r="C1318" s="227">
        <v>0.0</v>
      </c>
    </row>
    <row r="1319">
      <c r="A1319" s="105"/>
      <c r="B1319" s="107"/>
      <c r="C1319" s="227">
        <v>0.0</v>
      </c>
    </row>
    <row r="1320">
      <c r="A1320" s="105"/>
      <c r="B1320" s="107"/>
      <c r="C1320" s="227">
        <v>0.0</v>
      </c>
    </row>
    <row r="1321">
      <c r="A1321" s="105"/>
      <c r="B1321" s="107"/>
      <c r="C1321" s="227">
        <v>0.0</v>
      </c>
    </row>
    <row r="1322">
      <c r="A1322" s="105"/>
      <c r="B1322" s="107"/>
      <c r="C1322" s="227">
        <v>0.0</v>
      </c>
    </row>
    <row r="1323">
      <c r="A1323" s="105"/>
      <c r="B1323" s="107"/>
      <c r="C1323" s="227">
        <v>0.0</v>
      </c>
    </row>
    <row r="1324">
      <c r="A1324" s="105"/>
      <c r="B1324" s="107"/>
      <c r="C1324" s="227">
        <v>0.0</v>
      </c>
    </row>
    <row r="1325">
      <c r="A1325" s="105"/>
      <c r="B1325" s="107"/>
      <c r="C1325" s="227">
        <v>0.0</v>
      </c>
    </row>
    <row r="1326">
      <c r="A1326" s="105"/>
      <c r="B1326" s="107"/>
      <c r="C1326" s="227">
        <v>0.0</v>
      </c>
    </row>
    <row r="1327">
      <c r="A1327" s="105"/>
      <c r="B1327" s="107"/>
      <c r="C1327" s="227">
        <v>0.0</v>
      </c>
    </row>
    <row r="1328">
      <c r="A1328" s="105"/>
      <c r="B1328" s="107"/>
      <c r="C1328" s="227">
        <v>0.0</v>
      </c>
    </row>
    <row r="1329">
      <c r="A1329" s="105"/>
      <c r="B1329" s="107"/>
      <c r="C1329" s="227">
        <v>0.0</v>
      </c>
    </row>
    <row r="1330">
      <c r="A1330" s="105"/>
      <c r="B1330" s="107"/>
      <c r="C1330" s="227">
        <v>0.0</v>
      </c>
    </row>
    <row r="1331">
      <c r="A1331" s="105"/>
      <c r="B1331" s="107"/>
      <c r="C1331" s="227">
        <v>0.0</v>
      </c>
    </row>
    <row r="1332">
      <c r="A1332" s="105"/>
      <c r="B1332" s="107"/>
      <c r="C1332" s="227">
        <v>0.0</v>
      </c>
    </row>
    <row r="1333">
      <c r="A1333" s="105"/>
      <c r="B1333" s="107"/>
      <c r="C1333" s="227">
        <v>0.0</v>
      </c>
    </row>
    <row r="1334">
      <c r="A1334" s="105"/>
      <c r="B1334" s="107"/>
      <c r="C1334" s="227">
        <v>0.0</v>
      </c>
    </row>
    <row r="1335">
      <c r="A1335" s="105"/>
      <c r="B1335" s="107"/>
      <c r="C1335" s="227">
        <v>0.0</v>
      </c>
    </row>
    <row r="1336">
      <c r="A1336" s="105"/>
      <c r="B1336" s="107"/>
      <c r="C1336" s="227">
        <v>0.0</v>
      </c>
    </row>
    <row r="1337">
      <c r="A1337" s="105"/>
      <c r="B1337" s="107"/>
      <c r="C1337" s="227">
        <v>0.0</v>
      </c>
    </row>
    <row r="1338">
      <c r="A1338" s="105"/>
      <c r="B1338" s="107"/>
      <c r="C1338" s="227">
        <v>0.0</v>
      </c>
    </row>
    <row r="1339">
      <c r="A1339" s="105"/>
      <c r="B1339" s="107"/>
      <c r="C1339" s="227">
        <v>0.0</v>
      </c>
    </row>
    <row r="1340">
      <c r="A1340" s="105"/>
      <c r="B1340" s="107"/>
      <c r="C1340" s="227">
        <v>0.0</v>
      </c>
    </row>
    <row r="1341">
      <c r="A1341" s="105"/>
      <c r="B1341" s="107"/>
      <c r="C1341" s="227">
        <v>0.0</v>
      </c>
    </row>
    <row r="1342">
      <c r="A1342" s="105"/>
      <c r="B1342" s="107"/>
      <c r="C1342" s="227">
        <v>0.0</v>
      </c>
    </row>
    <row r="1343">
      <c r="A1343" s="105"/>
      <c r="B1343" s="107"/>
      <c r="C1343" s="227">
        <v>0.0</v>
      </c>
    </row>
    <row r="1344">
      <c r="A1344" s="105"/>
      <c r="B1344" s="107"/>
      <c r="C1344" s="227">
        <v>0.0</v>
      </c>
    </row>
    <row r="1345">
      <c r="A1345" s="105"/>
      <c r="B1345" s="107"/>
      <c r="C1345" s="227">
        <v>0.0</v>
      </c>
    </row>
    <row r="1346">
      <c r="A1346" s="105"/>
      <c r="B1346" s="107"/>
      <c r="C1346" s="227">
        <v>0.0</v>
      </c>
    </row>
    <row r="1347">
      <c r="A1347" s="105"/>
      <c r="B1347" s="107"/>
      <c r="C1347" s="227">
        <v>0.0</v>
      </c>
    </row>
    <row r="1348">
      <c r="A1348" s="105"/>
      <c r="B1348" s="107"/>
      <c r="C1348" s="227">
        <v>0.0</v>
      </c>
    </row>
    <row r="1349">
      <c r="A1349" s="105"/>
      <c r="B1349" s="107"/>
      <c r="C1349" s="227">
        <v>0.0</v>
      </c>
    </row>
    <row r="1350">
      <c r="A1350" s="105"/>
      <c r="B1350" s="107"/>
      <c r="C1350" s="227">
        <v>0.0</v>
      </c>
    </row>
    <row r="1351">
      <c r="A1351" s="105"/>
      <c r="B1351" s="107"/>
      <c r="C1351" s="227">
        <v>0.0</v>
      </c>
    </row>
    <row r="1352">
      <c r="A1352" s="105"/>
      <c r="B1352" s="107"/>
      <c r="C1352" s="227">
        <v>0.0</v>
      </c>
    </row>
    <row r="1353">
      <c r="A1353" s="105"/>
      <c r="B1353" s="107"/>
      <c r="C1353" s="227">
        <v>0.0</v>
      </c>
    </row>
    <row r="1354">
      <c r="A1354" s="105"/>
      <c r="B1354" s="107"/>
      <c r="C1354" s="227">
        <v>0.0</v>
      </c>
    </row>
    <row r="1355">
      <c r="A1355" s="105"/>
      <c r="B1355" s="107"/>
      <c r="C1355" s="227">
        <v>0.0</v>
      </c>
    </row>
    <row r="1356">
      <c r="A1356" s="105"/>
      <c r="B1356" s="107"/>
      <c r="C1356" s="227">
        <v>0.0</v>
      </c>
    </row>
    <row r="1357">
      <c r="A1357" s="105"/>
      <c r="B1357" s="107"/>
      <c r="C1357" s="227">
        <v>0.0</v>
      </c>
    </row>
    <row r="1358">
      <c r="A1358" s="105"/>
      <c r="B1358" s="107"/>
      <c r="C1358" s="227">
        <v>0.0</v>
      </c>
    </row>
    <row r="1359">
      <c r="A1359" s="105"/>
      <c r="B1359" s="107"/>
      <c r="C1359" s="227">
        <v>0.0</v>
      </c>
    </row>
    <row r="1360">
      <c r="A1360" s="105"/>
      <c r="B1360" s="107"/>
      <c r="C1360" s="227">
        <v>0.0</v>
      </c>
    </row>
    <row r="1361">
      <c r="A1361" s="105"/>
      <c r="B1361" s="107"/>
      <c r="C1361" s="227">
        <v>0.0</v>
      </c>
    </row>
    <row r="1362">
      <c r="A1362" s="105"/>
      <c r="B1362" s="107"/>
      <c r="C1362" s="227">
        <v>0.0</v>
      </c>
    </row>
    <row r="1363">
      <c r="A1363" s="105"/>
      <c r="B1363" s="107"/>
      <c r="C1363" s="227">
        <v>0.0</v>
      </c>
    </row>
    <row r="1364">
      <c r="A1364" s="105"/>
      <c r="B1364" s="107"/>
      <c r="C1364" s="227">
        <v>0.0</v>
      </c>
    </row>
    <row r="1365">
      <c r="A1365" s="105"/>
      <c r="B1365" s="107"/>
      <c r="C1365" s="227">
        <v>0.0</v>
      </c>
    </row>
    <row r="1366">
      <c r="A1366" s="105"/>
      <c r="B1366" s="107"/>
      <c r="C1366" s="227">
        <v>0.0</v>
      </c>
    </row>
    <row r="1367">
      <c r="A1367" s="105"/>
      <c r="B1367" s="107"/>
      <c r="C1367" s="227">
        <v>0.0</v>
      </c>
    </row>
    <row r="1368">
      <c r="A1368" s="105"/>
      <c r="B1368" s="107"/>
      <c r="C1368" s="227">
        <v>0.0</v>
      </c>
    </row>
    <row r="1369">
      <c r="A1369" s="105"/>
      <c r="B1369" s="107"/>
      <c r="C1369" s="227">
        <v>0.0</v>
      </c>
    </row>
    <row r="1370">
      <c r="A1370" s="105"/>
      <c r="B1370" s="107"/>
      <c r="C1370" s="227">
        <v>0.0</v>
      </c>
    </row>
    <row r="1371">
      <c r="A1371" s="105"/>
      <c r="B1371" s="107"/>
      <c r="C1371" s="227">
        <v>0.0</v>
      </c>
    </row>
    <row r="1372">
      <c r="A1372" s="105"/>
      <c r="B1372" s="107"/>
      <c r="C1372" s="227">
        <v>0.0</v>
      </c>
    </row>
    <row r="1373">
      <c r="A1373" s="105"/>
      <c r="B1373" s="107"/>
      <c r="C1373" s="227">
        <v>0.0</v>
      </c>
    </row>
    <row r="1374">
      <c r="A1374" s="105"/>
      <c r="B1374" s="107"/>
      <c r="C1374" s="227">
        <v>0.0</v>
      </c>
    </row>
    <row r="1375">
      <c r="A1375" s="105"/>
      <c r="B1375" s="107"/>
      <c r="C1375" s="227">
        <v>0.0</v>
      </c>
    </row>
    <row r="1376">
      <c r="A1376" s="105"/>
      <c r="B1376" s="107"/>
      <c r="C1376" s="227">
        <v>0.0</v>
      </c>
    </row>
    <row r="1377">
      <c r="A1377" s="105"/>
      <c r="B1377" s="107"/>
      <c r="C1377" s="227">
        <v>0.0</v>
      </c>
    </row>
    <row r="1378">
      <c r="A1378" s="105"/>
      <c r="B1378" s="107"/>
      <c r="C1378" s="227">
        <v>0.0</v>
      </c>
    </row>
    <row r="1379">
      <c r="A1379" s="105"/>
      <c r="B1379" s="107"/>
      <c r="C1379" s="227">
        <v>0.0</v>
      </c>
    </row>
    <row r="1380">
      <c r="A1380" s="105"/>
      <c r="B1380" s="107"/>
      <c r="C1380" s="227">
        <v>0.0</v>
      </c>
    </row>
    <row r="1381">
      <c r="A1381" s="105"/>
      <c r="B1381" s="107"/>
      <c r="C1381" s="227">
        <v>0.0</v>
      </c>
    </row>
    <row r="1382">
      <c r="A1382" s="105"/>
      <c r="B1382" s="107"/>
      <c r="C1382" s="227">
        <v>0.0</v>
      </c>
    </row>
    <row r="1383">
      <c r="A1383" s="105"/>
      <c r="B1383" s="107"/>
      <c r="C1383" s="227">
        <v>0.0</v>
      </c>
    </row>
    <row r="1384">
      <c r="A1384" s="105"/>
      <c r="B1384" s="107"/>
      <c r="C1384" s="227">
        <v>0.0</v>
      </c>
    </row>
    <row r="1385">
      <c r="A1385" s="105"/>
      <c r="B1385" s="107"/>
      <c r="C1385" s="227">
        <v>0.0</v>
      </c>
    </row>
    <row r="1386">
      <c r="A1386" s="105"/>
      <c r="B1386" s="107"/>
      <c r="C1386" s="227">
        <v>0.0</v>
      </c>
    </row>
    <row r="1387">
      <c r="A1387" s="105"/>
      <c r="B1387" s="107"/>
      <c r="C1387" s="227">
        <v>0.0</v>
      </c>
    </row>
    <row r="1388">
      <c r="A1388" s="105"/>
      <c r="B1388" s="107"/>
      <c r="C1388" s="227">
        <v>0.0</v>
      </c>
    </row>
    <row r="1389">
      <c r="A1389" s="105"/>
      <c r="B1389" s="107"/>
      <c r="C1389" s="227">
        <v>0.0</v>
      </c>
    </row>
    <row r="1390">
      <c r="A1390" s="105"/>
      <c r="B1390" s="107"/>
      <c r="C1390" s="227">
        <v>0.0</v>
      </c>
    </row>
    <row r="1391">
      <c r="A1391" s="105"/>
      <c r="B1391" s="107"/>
      <c r="C1391" s="227">
        <v>0.0</v>
      </c>
    </row>
    <row r="1392">
      <c r="A1392" s="105"/>
      <c r="B1392" s="107"/>
      <c r="C1392" s="227">
        <v>0.0</v>
      </c>
    </row>
    <row r="1393">
      <c r="A1393" s="105"/>
      <c r="B1393" s="107"/>
      <c r="C1393" s="227">
        <v>0.0</v>
      </c>
    </row>
    <row r="1394">
      <c r="A1394" s="105"/>
      <c r="B1394" s="107"/>
      <c r="C1394" s="227">
        <v>0.0</v>
      </c>
    </row>
    <row r="1395">
      <c r="A1395" s="105"/>
      <c r="B1395" s="107"/>
      <c r="C1395" s="227">
        <v>0.0</v>
      </c>
    </row>
    <row r="1396">
      <c r="A1396" s="105"/>
      <c r="B1396" s="107"/>
      <c r="C1396" s="227">
        <v>0.0</v>
      </c>
    </row>
    <row r="1397">
      <c r="A1397" s="105"/>
      <c r="B1397" s="107"/>
      <c r="C1397" s="227">
        <v>0.0</v>
      </c>
    </row>
    <row r="1398">
      <c r="A1398" s="105"/>
      <c r="B1398" s="107"/>
      <c r="C1398" s="227">
        <v>0.0</v>
      </c>
    </row>
    <row r="1399">
      <c r="A1399" s="105"/>
      <c r="B1399" s="107"/>
      <c r="C1399" s="227">
        <v>0.0</v>
      </c>
    </row>
    <row r="1400">
      <c r="A1400" s="105"/>
      <c r="B1400" s="107"/>
      <c r="C1400" s="227">
        <v>0.0</v>
      </c>
    </row>
    <row r="1401">
      <c r="A1401" s="105"/>
      <c r="B1401" s="107"/>
      <c r="C1401" s="227">
        <v>0.0</v>
      </c>
    </row>
    <row r="1402">
      <c r="A1402" s="105"/>
      <c r="B1402" s="107"/>
      <c r="C1402" s="227">
        <v>0.0</v>
      </c>
    </row>
    <row r="1403">
      <c r="A1403" s="105"/>
      <c r="B1403" s="107"/>
      <c r="C1403" s="227">
        <v>0.0</v>
      </c>
    </row>
    <row r="1404">
      <c r="A1404" s="105"/>
      <c r="B1404" s="107"/>
      <c r="C1404" s="227">
        <v>0.0</v>
      </c>
    </row>
    <row r="1405">
      <c r="A1405" s="105"/>
      <c r="B1405" s="107"/>
      <c r="C1405" s="227">
        <v>0.0</v>
      </c>
    </row>
    <row r="1406">
      <c r="A1406" s="105"/>
      <c r="B1406" s="107"/>
      <c r="C1406" s="227">
        <v>0.0</v>
      </c>
    </row>
    <row r="1407">
      <c r="A1407" s="105"/>
      <c r="B1407" s="107"/>
      <c r="C1407" s="227">
        <v>0.0</v>
      </c>
    </row>
    <row r="1408">
      <c r="A1408" s="105"/>
      <c r="B1408" s="107"/>
      <c r="C1408" s="227">
        <v>0.0</v>
      </c>
    </row>
    <row r="1409">
      <c r="A1409" s="105"/>
      <c r="B1409" s="107"/>
      <c r="C1409" s="227">
        <v>0.0</v>
      </c>
    </row>
    <row r="1410">
      <c r="A1410" s="105"/>
      <c r="B1410" s="107"/>
      <c r="C1410" s="227">
        <v>0.0</v>
      </c>
    </row>
    <row r="1411">
      <c r="A1411" s="105"/>
      <c r="B1411" s="107"/>
      <c r="C1411" s="227">
        <v>0.0</v>
      </c>
    </row>
    <row r="1412">
      <c r="A1412" s="105"/>
      <c r="B1412" s="107"/>
      <c r="C1412" s="227">
        <v>0.0</v>
      </c>
    </row>
    <row r="1413">
      <c r="A1413" s="105"/>
      <c r="B1413" s="107"/>
      <c r="C1413" s="227">
        <v>0.0</v>
      </c>
    </row>
    <row r="1414">
      <c r="A1414" s="105"/>
      <c r="B1414" s="107"/>
      <c r="C1414" s="227">
        <v>0.0</v>
      </c>
    </row>
    <row r="1415">
      <c r="A1415" s="105"/>
      <c r="B1415" s="107"/>
      <c r="C1415" s="227">
        <v>0.0</v>
      </c>
    </row>
    <row r="1416">
      <c r="A1416" s="105"/>
      <c r="B1416" s="107"/>
      <c r="C1416" s="227">
        <v>0.0</v>
      </c>
    </row>
    <row r="1417">
      <c r="A1417" s="105"/>
      <c r="B1417" s="107"/>
      <c r="C1417" s="227">
        <v>0.0</v>
      </c>
    </row>
    <row r="1418">
      <c r="A1418" s="105"/>
      <c r="B1418" s="107"/>
      <c r="C1418" s="227">
        <v>0.0</v>
      </c>
    </row>
    <row r="1419">
      <c r="A1419" s="105"/>
      <c r="B1419" s="107"/>
      <c r="C1419" s="227">
        <v>0.0</v>
      </c>
    </row>
    <row r="1420">
      <c r="A1420" s="105"/>
      <c r="B1420" s="107"/>
      <c r="C1420" s="227">
        <v>0.0</v>
      </c>
    </row>
    <row r="1421">
      <c r="A1421" s="105"/>
      <c r="B1421" s="107"/>
      <c r="C1421" s="227">
        <v>0.0</v>
      </c>
    </row>
    <row r="1422">
      <c r="A1422" s="105"/>
      <c r="B1422" s="107"/>
      <c r="C1422" s="227">
        <v>0.0</v>
      </c>
    </row>
    <row r="1423">
      <c r="A1423" s="105"/>
      <c r="B1423" s="107"/>
      <c r="C1423" s="227">
        <v>0.0</v>
      </c>
    </row>
    <row r="1424">
      <c r="A1424" s="105"/>
      <c r="B1424" s="107"/>
      <c r="C1424" s="227">
        <v>0.0</v>
      </c>
    </row>
    <row r="1425">
      <c r="A1425" s="105"/>
      <c r="B1425" s="107"/>
      <c r="C1425" s="227">
        <v>0.0</v>
      </c>
    </row>
    <row r="1426">
      <c r="A1426" s="105"/>
      <c r="B1426" s="107"/>
      <c r="C1426" s="227">
        <v>0.0</v>
      </c>
    </row>
    <row r="1427">
      <c r="A1427" s="105"/>
      <c r="B1427" s="107"/>
      <c r="C1427" s="227">
        <v>0.0</v>
      </c>
    </row>
    <row r="1428">
      <c r="A1428" s="105"/>
      <c r="B1428" s="107"/>
      <c r="C1428" s="227">
        <v>0.0</v>
      </c>
    </row>
    <row r="1429">
      <c r="A1429" s="105"/>
      <c r="B1429" s="107"/>
      <c r="C1429" s="227">
        <v>0.0</v>
      </c>
    </row>
    <row r="1430">
      <c r="A1430" s="105"/>
      <c r="B1430" s="107"/>
      <c r="C1430" s="227">
        <v>0.0</v>
      </c>
    </row>
    <row r="1431">
      <c r="A1431" s="105"/>
      <c r="B1431" s="107"/>
      <c r="C1431" s="227">
        <v>0.0</v>
      </c>
    </row>
    <row r="1432">
      <c r="A1432" s="105"/>
      <c r="B1432" s="107"/>
      <c r="C1432" s="227">
        <v>0.0</v>
      </c>
    </row>
    <row r="1433">
      <c r="A1433" s="105"/>
      <c r="B1433" s="107"/>
      <c r="C1433" s="227">
        <v>0.0</v>
      </c>
    </row>
    <row r="1434">
      <c r="A1434" s="105"/>
      <c r="B1434" s="107"/>
      <c r="C1434" s="227">
        <v>0.0</v>
      </c>
    </row>
    <row r="1435">
      <c r="A1435" s="105"/>
      <c r="B1435" s="107"/>
      <c r="C1435" s="227">
        <v>0.0</v>
      </c>
    </row>
    <row r="1436">
      <c r="A1436" s="105"/>
      <c r="B1436" s="107"/>
      <c r="C1436" s="227">
        <v>0.0</v>
      </c>
    </row>
    <row r="1437">
      <c r="A1437" s="105"/>
      <c r="B1437" s="107"/>
      <c r="C1437" s="227">
        <v>0.0</v>
      </c>
    </row>
    <row r="1438">
      <c r="A1438" s="105"/>
      <c r="B1438" s="107"/>
      <c r="C1438" s="227">
        <v>0.0</v>
      </c>
    </row>
    <row r="1439">
      <c r="A1439" s="105"/>
      <c r="B1439" s="107"/>
      <c r="C1439" s="227">
        <v>0.0</v>
      </c>
    </row>
    <row r="1440">
      <c r="A1440" s="105"/>
      <c r="B1440" s="107"/>
      <c r="C1440" s="227">
        <v>0.0</v>
      </c>
    </row>
    <row r="1441">
      <c r="A1441" s="105"/>
      <c r="B1441" s="107"/>
      <c r="C1441" s="227">
        <v>0.0</v>
      </c>
    </row>
    <row r="1442">
      <c r="A1442" s="105"/>
      <c r="B1442" s="107"/>
      <c r="C1442" s="227">
        <v>0.0</v>
      </c>
    </row>
    <row r="1443">
      <c r="A1443" s="105"/>
      <c r="B1443" s="107"/>
      <c r="C1443" s="227">
        <v>0.0</v>
      </c>
    </row>
    <row r="1444">
      <c r="A1444" s="105"/>
      <c r="B1444" s="107"/>
      <c r="C1444" s="227">
        <v>0.0</v>
      </c>
    </row>
    <row r="1445">
      <c r="A1445" s="105"/>
      <c r="B1445" s="107"/>
      <c r="C1445" s="227">
        <v>0.0</v>
      </c>
    </row>
    <row r="1446">
      <c r="A1446" s="105"/>
      <c r="B1446" s="107"/>
      <c r="C1446" s="227">
        <v>0.0</v>
      </c>
    </row>
    <row r="1447">
      <c r="A1447" s="105"/>
      <c r="B1447" s="107"/>
      <c r="C1447" s="227">
        <v>0.0</v>
      </c>
    </row>
    <row r="1448">
      <c r="A1448" s="105"/>
      <c r="B1448" s="107"/>
      <c r="C1448" s="227">
        <v>0.0</v>
      </c>
    </row>
    <row r="1449">
      <c r="A1449" s="105"/>
      <c r="B1449" s="107"/>
      <c r="C1449" s="227">
        <v>0.0</v>
      </c>
    </row>
    <row r="1450">
      <c r="A1450" s="105"/>
      <c r="B1450" s="107"/>
      <c r="C1450" s="227">
        <v>0.0</v>
      </c>
    </row>
    <row r="1451">
      <c r="A1451" s="105"/>
      <c r="B1451" s="107"/>
      <c r="C1451" s="227">
        <v>0.0</v>
      </c>
    </row>
    <row r="1452">
      <c r="A1452" s="105"/>
      <c r="B1452" s="107"/>
      <c r="C1452" s="227">
        <v>0.0</v>
      </c>
    </row>
    <row r="1453">
      <c r="A1453" s="105"/>
      <c r="B1453" s="107"/>
      <c r="C1453" s="227">
        <v>0.0</v>
      </c>
    </row>
    <row r="1454">
      <c r="A1454" s="105"/>
      <c r="B1454" s="107"/>
      <c r="C1454" s="227">
        <v>0.0</v>
      </c>
    </row>
    <row r="1455">
      <c r="A1455" s="105"/>
      <c r="B1455" s="107"/>
      <c r="C1455" s="227">
        <v>0.0</v>
      </c>
    </row>
    <row r="1456">
      <c r="A1456" s="105"/>
      <c r="B1456" s="107"/>
      <c r="C1456" s="227">
        <v>0.0</v>
      </c>
    </row>
    <row r="1457">
      <c r="A1457" s="105"/>
      <c r="B1457" s="107"/>
      <c r="C1457" s="227">
        <v>0.0</v>
      </c>
    </row>
    <row r="1458">
      <c r="A1458" s="105"/>
      <c r="B1458" s="107"/>
      <c r="C1458" s="227">
        <v>0.0</v>
      </c>
    </row>
    <row r="1459">
      <c r="A1459" s="105"/>
      <c r="B1459" s="107"/>
      <c r="C1459" s="227">
        <v>0.0</v>
      </c>
    </row>
    <row r="1460">
      <c r="A1460" s="105"/>
      <c r="B1460" s="107"/>
      <c r="C1460" s="227">
        <v>0.0</v>
      </c>
    </row>
    <row r="1461">
      <c r="A1461" s="105"/>
      <c r="B1461" s="107"/>
      <c r="C1461" s="227">
        <v>0.0</v>
      </c>
    </row>
    <row r="1462">
      <c r="A1462" s="105"/>
      <c r="B1462" s="107"/>
      <c r="C1462" s="227">
        <v>0.0</v>
      </c>
    </row>
    <row r="1463">
      <c r="A1463" s="105"/>
      <c r="B1463" s="107"/>
      <c r="C1463" s="227">
        <v>0.0</v>
      </c>
    </row>
    <row r="1464">
      <c r="A1464" s="105"/>
      <c r="B1464" s="107"/>
      <c r="C1464" s="227">
        <v>0.0</v>
      </c>
    </row>
    <row r="1465">
      <c r="A1465" s="105"/>
      <c r="B1465" s="107"/>
      <c r="C1465" s="227">
        <v>0.0</v>
      </c>
    </row>
    <row r="1466">
      <c r="A1466" s="105"/>
      <c r="B1466" s="107"/>
      <c r="C1466" s="227">
        <v>0.0</v>
      </c>
    </row>
    <row r="1467">
      <c r="A1467" s="105"/>
      <c r="B1467" s="107"/>
      <c r="C1467" s="227">
        <v>0.0</v>
      </c>
    </row>
    <row r="1468">
      <c r="A1468" s="105"/>
      <c r="B1468" s="107"/>
      <c r="C1468" s="227">
        <v>0.0</v>
      </c>
    </row>
    <row r="1469">
      <c r="A1469" s="105"/>
      <c r="B1469" s="107"/>
      <c r="C1469" s="227">
        <v>0.0</v>
      </c>
    </row>
    <row r="1470">
      <c r="A1470" s="105"/>
      <c r="B1470" s="107"/>
      <c r="C1470" s="227">
        <v>0.0</v>
      </c>
    </row>
    <row r="1471">
      <c r="A1471" s="105"/>
      <c r="B1471" s="107"/>
      <c r="C1471" s="227">
        <v>0.0</v>
      </c>
    </row>
    <row r="1472">
      <c r="A1472" s="105"/>
      <c r="B1472" s="107"/>
      <c r="C1472" s="227">
        <v>0.0</v>
      </c>
    </row>
    <row r="1473">
      <c r="A1473" s="105"/>
      <c r="B1473" s="107"/>
      <c r="C1473" s="227">
        <v>0.0</v>
      </c>
    </row>
    <row r="1474">
      <c r="A1474" s="105"/>
      <c r="B1474" s="107"/>
      <c r="C1474" s="227">
        <v>0.0</v>
      </c>
    </row>
    <row r="1475">
      <c r="A1475" s="105"/>
      <c r="B1475" s="107"/>
      <c r="C1475" s="227">
        <v>0.0</v>
      </c>
    </row>
    <row r="1476">
      <c r="A1476" s="105"/>
      <c r="B1476" s="107"/>
      <c r="C1476" s="227">
        <v>0.0</v>
      </c>
    </row>
    <row r="1477">
      <c r="A1477" s="105"/>
      <c r="B1477" s="107"/>
      <c r="C1477" s="227">
        <v>0.0</v>
      </c>
    </row>
    <row r="1478">
      <c r="A1478" s="105"/>
      <c r="B1478" s="107"/>
      <c r="C1478" s="227">
        <v>0.0</v>
      </c>
    </row>
    <row r="1479">
      <c r="A1479" s="105"/>
      <c r="B1479" s="107"/>
      <c r="C1479" s="227">
        <v>0.0</v>
      </c>
    </row>
    <row r="1480">
      <c r="A1480" s="105"/>
      <c r="B1480" s="107"/>
      <c r="C1480" s="227">
        <v>0.0</v>
      </c>
    </row>
    <row r="1481">
      <c r="A1481" s="105"/>
      <c r="B1481" s="107"/>
      <c r="C1481" s="227">
        <v>0.0</v>
      </c>
    </row>
    <row r="1482">
      <c r="A1482" s="105"/>
      <c r="B1482" s="107"/>
      <c r="C1482" s="227">
        <v>0.0</v>
      </c>
    </row>
    <row r="1483">
      <c r="A1483" s="105"/>
      <c r="B1483" s="107"/>
      <c r="C1483" s="227">
        <v>0.0</v>
      </c>
    </row>
    <row r="1484">
      <c r="A1484" s="105"/>
      <c r="B1484" s="107"/>
      <c r="C1484" s="227">
        <v>0.0</v>
      </c>
    </row>
    <row r="1485">
      <c r="A1485" s="105"/>
      <c r="B1485" s="107"/>
      <c r="C1485" s="227">
        <v>0.0</v>
      </c>
    </row>
    <row r="1486">
      <c r="A1486" s="105"/>
      <c r="B1486" s="107"/>
      <c r="C1486" s="227">
        <v>0.0</v>
      </c>
    </row>
    <row r="1487">
      <c r="A1487" s="105"/>
      <c r="B1487" s="107"/>
      <c r="C1487" s="227">
        <v>0.0</v>
      </c>
    </row>
    <row r="1488">
      <c r="A1488" s="105"/>
      <c r="B1488" s="107"/>
      <c r="C1488" s="227">
        <v>0.0</v>
      </c>
    </row>
    <row r="1489">
      <c r="A1489" s="105"/>
      <c r="B1489" s="107"/>
      <c r="C1489" s="227">
        <v>0.0</v>
      </c>
    </row>
    <row r="1490">
      <c r="A1490" s="105"/>
      <c r="B1490" s="107"/>
      <c r="C1490" s="227">
        <v>0.0</v>
      </c>
    </row>
    <row r="1491">
      <c r="A1491" s="105"/>
      <c r="B1491" s="107"/>
      <c r="C1491" s="227">
        <v>0.0</v>
      </c>
    </row>
    <row r="1492">
      <c r="A1492" s="105"/>
      <c r="B1492" s="107"/>
      <c r="C1492" s="227">
        <v>0.0</v>
      </c>
    </row>
    <row r="1493">
      <c r="A1493" s="105"/>
      <c r="B1493" s="107"/>
      <c r="C1493" s="227">
        <v>0.0</v>
      </c>
    </row>
    <row r="1494">
      <c r="A1494" s="105"/>
      <c r="B1494" s="107"/>
      <c r="C1494" s="227">
        <v>0.0</v>
      </c>
    </row>
    <row r="1495">
      <c r="A1495" s="105"/>
      <c r="B1495" s="107"/>
      <c r="C1495" s="227">
        <v>0.0</v>
      </c>
    </row>
    <row r="1496">
      <c r="A1496" s="105"/>
      <c r="B1496" s="107"/>
      <c r="C1496" s="227">
        <v>0.0</v>
      </c>
    </row>
    <row r="1497">
      <c r="A1497" s="105"/>
      <c r="B1497" s="107"/>
      <c r="C1497" s="227">
        <v>0.0</v>
      </c>
    </row>
    <row r="1498">
      <c r="A1498" s="105"/>
      <c r="B1498" s="107"/>
      <c r="C1498" s="227">
        <v>0.0</v>
      </c>
    </row>
    <row r="1499">
      <c r="A1499" s="105"/>
      <c r="B1499" s="107"/>
      <c r="C1499" s="227">
        <v>0.0</v>
      </c>
    </row>
    <row r="1500">
      <c r="A1500" s="105"/>
      <c r="B1500" s="107"/>
      <c r="C1500" s="227">
        <v>0.0</v>
      </c>
    </row>
    <row r="1501">
      <c r="A1501" s="105"/>
      <c r="B1501" s="107"/>
      <c r="C1501" s="227">
        <v>0.0</v>
      </c>
    </row>
    <row r="1502">
      <c r="A1502" s="105"/>
      <c r="B1502" s="107"/>
      <c r="C1502" s="227">
        <v>0.0</v>
      </c>
    </row>
    <row r="1503">
      <c r="A1503" s="105"/>
      <c r="B1503" s="107"/>
      <c r="C1503" s="227">
        <v>0.0</v>
      </c>
    </row>
    <row r="1504">
      <c r="A1504" s="105"/>
      <c r="B1504" s="107"/>
      <c r="C1504" s="227">
        <v>0.0</v>
      </c>
    </row>
    <row r="1505">
      <c r="A1505" s="105"/>
      <c r="B1505" s="107"/>
      <c r="C1505" s="227">
        <v>0.0</v>
      </c>
    </row>
    <row r="1506">
      <c r="A1506" s="105"/>
      <c r="B1506" s="107"/>
      <c r="C1506" s="227">
        <v>0.0</v>
      </c>
    </row>
    <row r="1507">
      <c r="A1507" s="105"/>
      <c r="B1507" s="107"/>
      <c r="C1507" s="227">
        <v>0.0</v>
      </c>
    </row>
    <row r="1508">
      <c r="A1508" s="105"/>
      <c r="B1508" s="107"/>
      <c r="C1508" s="227">
        <v>0.0</v>
      </c>
    </row>
    <row r="1509">
      <c r="A1509" s="105"/>
      <c r="B1509" s="107"/>
      <c r="C1509" s="227">
        <v>0.0</v>
      </c>
    </row>
    <row r="1510">
      <c r="A1510" s="105"/>
      <c r="B1510" s="107"/>
      <c r="C1510" s="227">
        <v>0.0</v>
      </c>
    </row>
    <row r="1511">
      <c r="A1511" s="105"/>
      <c r="B1511" s="107"/>
      <c r="C1511" s="227">
        <v>0.0</v>
      </c>
    </row>
    <row r="1512">
      <c r="A1512" s="105"/>
      <c r="B1512" s="107"/>
      <c r="C1512" s="227">
        <v>0.0</v>
      </c>
    </row>
    <row r="1513">
      <c r="A1513" s="105"/>
      <c r="B1513" s="107"/>
      <c r="C1513" s="227">
        <v>0.0</v>
      </c>
    </row>
    <row r="1514">
      <c r="A1514" s="105"/>
      <c r="B1514" s="107"/>
      <c r="C1514" s="227">
        <v>0.0</v>
      </c>
    </row>
    <row r="1515">
      <c r="A1515" s="105"/>
      <c r="B1515" s="107"/>
      <c r="C1515" s="227">
        <v>0.0</v>
      </c>
    </row>
    <row r="1516">
      <c r="A1516" s="105"/>
      <c r="B1516" s="107"/>
      <c r="C1516" s="227">
        <v>0.0</v>
      </c>
    </row>
    <row r="1517">
      <c r="A1517" s="105"/>
      <c r="B1517" s="107"/>
      <c r="C1517" s="227">
        <v>0.0</v>
      </c>
    </row>
    <row r="1518">
      <c r="A1518" s="105"/>
      <c r="B1518" s="107"/>
      <c r="C1518" s="227">
        <v>0.0</v>
      </c>
    </row>
    <row r="1519">
      <c r="A1519" s="105"/>
      <c r="B1519" s="107"/>
      <c r="C1519" s="227">
        <v>0.0</v>
      </c>
    </row>
    <row r="1520">
      <c r="A1520" s="105"/>
      <c r="B1520" s="107"/>
      <c r="C1520" s="227">
        <v>0.0</v>
      </c>
    </row>
    <row r="1521">
      <c r="A1521" s="105"/>
      <c r="B1521" s="107"/>
      <c r="C1521" s="227">
        <v>0.0</v>
      </c>
    </row>
    <row r="1522">
      <c r="A1522" s="105"/>
      <c r="B1522" s="107"/>
      <c r="C1522" s="227">
        <v>0.0</v>
      </c>
    </row>
    <row r="1523">
      <c r="A1523" s="105"/>
      <c r="B1523" s="107"/>
      <c r="C1523" s="227">
        <v>0.0</v>
      </c>
    </row>
    <row r="1524">
      <c r="A1524" s="105"/>
      <c r="B1524" s="107"/>
      <c r="C1524" s="227">
        <v>0.0</v>
      </c>
    </row>
    <row r="1525">
      <c r="A1525" s="105"/>
      <c r="B1525" s="107"/>
      <c r="C1525" s="227">
        <v>0.0</v>
      </c>
    </row>
    <row r="1526">
      <c r="A1526" s="105"/>
      <c r="B1526" s="107"/>
      <c r="C1526" s="227">
        <v>0.0</v>
      </c>
    </row>
    <row r="1527">
      <c r="A1527" s="105"/>
      <c r="B1527" s="107"/>
      <c r="C1527" s="227">
        <v>0.0</v>
      </c>
    </row>
    <row r="1528">
      <c r="A1528" s="105"/>
      <c r="B1528" s="107"/>
      <c r="C1528" s="227">
        <v>0.0</v>
      </c>
    </row>
    <row r="1529">
      <c r="A1529" s="105"/>
      <c r="B1529" s="107"/>
      <c r="C1529" s="227">
        <v>0.0</v>
      </c>
    </row>
    <row r="1530">
      <c r="A1530" s="105"/>
      <c r="B1530" s="107"/>
      <c r="C1530" s="227">
        <v>0.0</v>
      </c>
    </row>
    <row r="1531">
      <c r="A1531" s="105"/>
      <c r="B1531" s="107"/>
      <c r="C1531" s="227">
        <v>0.0</v>
      </c>
    </row>
    <row r="1532">
      <c r="A1532" s="105"/>
      <c r="B1532" s="107"/>
      <c r="C1532" s="227">
        <v>0.0</v>
      </c>
    </row>
    <row r="1533">
      <c r="A1533" s="105"/>
      <c r="B1533" s="107"/>
      <c r="C1533" s="227">
        <v>0.0</v>
      </c>
    </row>
    <row r="1534">
      <c r="A1534" s="105"/>
      <c r="B1534" s="107"/>
      <c r="C1534" s="227">
        <v>0.0</v>
      </c>
    </row>
    <row r="1535">
      <c r="A1535" s="105"/>
      <c r="B1535" s="107"/>
      <c r="C1535" s="227">
        <v>0.0</v>
      </c>
    </row>
    <row r="1536">
      <c r="A1536" s="105"/>
      <c r="B1536" s="107"/>
      <c r="C1536" s="227">
        <v>0.0</v>
      </c>
    </row>
    <row r="1537">
      <c r="A1537" s="105"/>
      <c r="B1537" s="107"/>
      <c r="C1537" s="227">
        <v>0.0</v>
      </c>
    </row>
    <row r="1538">
      <c r="A1538" s="105"/>
      <c r="B1538" s="107"/>
      <c r="C1538" s="227">
        <v>0.0</v>
      </c>
    </row>
    <row r="1539">
      <c r="A1539" s="105"/>
      <c r="B1539" s="107"/>
      <c r="C1539" s="227">
        <v>0.0</v>
      </c>
    </row>
    <row r="1540">
      <c r="A1540" s="105"/>
      <c r="B1540" s="107"/>
      <c r="C1540" s="227">
        <v>0.0</v>
      </c>
    </row>
    <row r="1541">
      <c r="A1541" s="105"/>
      <c r="B1541" s="107"/>
      <c r="C1541" s="227">
        <v>0.0</v>
      </c>
    </row>
    <row r="1542">
      <c r="A1542" s="105"/>
      <c r="B1542" s="107"/>
      <c r="C1542" s="227">
        <v>0.0</v>
      </c>
    </row>
    <row r="1543">
      <c r="A1543" s="105"/>
      <c r="B1543" s="107"/>
      <c r="C1543" s="227">
        <v>0.0</v>
      </c>
    </row>
    <row r="1544">
      <c r="A1544" s="105"/>
      <c r="B1544" s="107"/>
      <c r="C1544" s="227">
        <v>0.0</v>
      </c>
    </row>
    <row r="1545">
      <c r="A1545" s="105"/>
      <c r="B1545" s="107"/>
      <c r="C1545" s="227">
        <v>0.0</v>
      </c>
    </row>
    <row r="1546">
      <c r="A1546" s="105"/>
      <c r="B1546" s="107"/>
      <c r="C1546" s="227">
        <v>0.0</v>
      </c>
    </row>
    <row r="1547">
      <c r="A1547" s="105"/>
      <c r="B1547" s="107"/>
      <c r="C1547" s="227">
        <v>0.0</v>
      </c>
    </row>
    <row r="1548">
      <c r="A1548" s="105"/>
      <c r="B1548" s="107"/>
      <c r="C1548" s="227">
        <v>0.0</v>
      </c>
    </row>
    <row r="1549">
      <c r="A1549" s="105"/>
      <c r="B1549" s="107"/>
      <c r="C1549" s="227">
        <v>0.0</v>
      </c>
    </row>
    <row r="1550">
      <c r="A1550" s="105"/>
      <c r="B1550" s="107"/>
      <c r="C1550" s="227">
        <v>0.0</v>
      </c>
    </row>
    <row r="1551">
      <c r="A1551" s="105"/>
      <c r="B1551" s="107"/>
      <c r="C1551" s="227">
        <v>0.0</v>
      </c>
    </row>
    <row r="1552">
      <c r="A1552" s="105"/>
      <c r="B1552" s="107"/>
      <c r="C1552" s="227">
        <v>0.0</v>
      </c>
    </row>
    <row r="1553">
      <c r="A1553" s="105"/>
      <c r="B1553" s="107"/>
      <c r="C1553" s="227">
        <v>0.0</v>
      </c>
    </row>
    <row r="1554">
      <c r="A1554" s="105"/>
      <c r="B1554" s="107"/>
      <c r="C1554" s="227">
        <v>0.0</v>
      </c>
    </row>
    <row r="1555">
      <c r="A1555" s="105"/>
      <c r="B1555" s="107"/>
      <c r="C1555" s="227">
        <v>0.0</v>
      </c>
    </row>
    <row r="1556">
      <c r="A1556" s="105"/>
      <c r="B1556" s="107"/>
      <c r="C1556" s="227">
        <v>0.0</v>
      </c>
    </row>
    <row r="1557">
      <c r="A1557" s="105"/>
      <c r="B1557" s="107"/>
      <c r="C1557" s="227">
        <v>0.0</v>
      </c>
    </row>
    <row r="1558">
      <c r="A1558" s="105"/>
      <c r="B1558" s="107"/>
      <c r="C1558" s="227">
        <v>0.0</v>
      </c>
    </row>
    <row r="1559">
      <c r="A1559" s="105"/>
      <c r="B1559" s="107"/>
      <c r="C1559" s="227">
        <v>0.0</v>
      </c>
    </row>
    <row r="1560">
      <c r="A1560" s="105"/>
      <c r="B1560" s="107"/>
      <c r="C1560" s="227">
        <v>0.0</v>
      </c>
    </row>
    <row r="1561">
      <c r="A1561" s="105"/>
      <c r="B1561" s="107"/>
      <c r="C1561" s="227">
        <v>0.0</v>
      </c>
    </row>
    <row r="1562">
      <c r="A1562" s="105"/>
      <c r="B1562" s="107"/>
      <c r="C1562" s="227">
        <v>0.0</v>
      </c>
    </row>
    <row r="1563">
      <c r="A1563" s="105"/>
      <c r="B1563" s="107"/>
      <c r="C1563" s="227">
        <v>0.0</v>
      </c>
    </row>
    <row r="1564">
      <c r="A1564" s="105"/>
      <c r="B1564" s="107"/>
      <c r="C1564" s="227">
        <v>0.0</v>
      </c>
    </row>
    <row r="1565">
      <c r="A1565" s="105"/>
      <c r="B1565" s="107"/>
      <c r="C1565" s="227">
        <v>0.0</v>
      </c>
    </row>
    <row r="1566">
      <c r="A1566" s="105"/>
      <c r="B1566" s="107"/>
      <c r="C1566" s="227">
        <v>0.0</v>
      </c>
    </row>
    <row r="1567">
      <c r="A1567" s="105"/>
      <c r="B1567" s="107"/>
      <c r="C1567" s="227">
        <v>0.0</v>
      </c>
    </row>
    <row r="1568">
      <c r="A1568" s="105"/>
      <c r="B1568" s="107"/>
      <c r="C1568" s="227">
        <v>0.0</v>
      </c>
    </row>
    <row r="1569">
      <c r="A1569" s="105"/>
      <c r="B1569" s="107"/>
      <c r="C1569" s="227">
        <v>0.0</v>
      </c>
    </row>
    <row r="1570">
      <c r="A1570" s="105"/>
      <c r="B1570" s="107"/>
      <c r="C1570" s="227">
        <v>0.0</v>
      </c>
    </row>
    <row r="1571">
      <c r="A1571" s="105"/>
      <c r="B1571" s="107"/>
      <c r="C1571" s="227">
        <v>0.0</v>
      </c>
    </row>
    <row r="1572">
      <c r="A1572" s="105"/>
      <c r="B1572" s="107"/>
      <c r="C1572" s="227">
        <v>0.0</v>
      </c>
    </row>
    <row r="1573">
      <c r="A1573" s="105"/>
      <c r="B1573" s="107"/>
      <c r="C1573" s="227">
        <v>0.0</v>
      </c>
    </row>
    <row r="1574">
      <c r="A1574" s="105"/>
      <c r="B1574" s="107"/>
      <c r="C1574" s="227">
        <v>0.0</v>
      </c>
    </row>
    <row r="1575">
      <c r="A1575" s="105"/>
      <c r="B1575" s="107"/>
      <c r="C1575" s="227">
        <v>0.0</v>
      </c>
    </row>
    <row r="1576">
      <c r="A1576" s="105"/>
      <c r="B1576" s="107"/>
      <c r="C1576" s="227">
        <v>0.0</v>
      </c>
    </row>
    <row r="1577">
      <c r="A1577" s="105"/>
      <c r="B1577" s="107"/>
      <c r="C1577" s="227">
        <v>0.0</v>
      </c>
    </row>
    <row r="1578">
      <c r="A1578" s="105"/>
      <c r="B1578" s="107"/>
      <c r="C1578" s="227">
        <v>0.0</v>
      </c>
    </row>
    <row r="1579">
      <c r="A1579" s="105"/>
      <c r="B1579" s="107"/>
      <c r="C1579" s="227">
        <v>0.0</v>
      </c>
    </row>
    <row r="1580">
      <c r="A1580" s="105"/>
      <c r="B1580" s="107"/>
      <c r="C1580" s="227">
        <v>0.0</v>
      </c>
    </row>
    <row r="1581">
      <c r="A1581" s="105"/>
      <c r="B1581" s="107"/>
      <c r="C1581" s="227">
        <v>0.0</v>
      </c>
    </row>
    <row r="1582">
      <c r="A1582" s="105"/>
      <c r="B1582" s="107"/>
      <c r="C1582" s="227">
        <v>0.0</v>
      </c>
    </row>
    <row r="1583">
      <c r="A1583" s="105"/>
      <c r="B1583" s="107"/>
      <c r="C1583" s="227">
        <v>0.0</v>
      </c>
    </row>
    <row r="1584">
      <c r="A1584" s="105"/>
      <c r="B1584" s="107"/>
      <c r="C1584" s="227">
        <v>0.0</v>
      </c>
    </row>
    <row r="1585">
      <c r="A1585" s="105"/>
      <c r="B1585" s="107"/>
      <c r="C1585" s="227">
        <v>0.0</v>
      </c>
    </row>
    <row r="1586">
      <c r="A1586" s="105"/>
      <c r="B1586" s="107"/>
      <c r="C1586" s="227">
        <v>0.0</v>
      </c>
    </row>
    <row r="1587">
      <c r="A1587" s="105"/>
      <c r="B1587" s="107"/>
      <c r="C1587" s="227">
        <v>0.0</v>
      </c>
    </row>
    <row r="1588">
      <c r="A1588" s="105"/>
      <c r="B1588" s="107"/>
      <c r="C1588" s="227">
        <v>0.0</v>
      </c>
    </row>
    <row r="1589">
      <c r="A1589" s="105"/>
      <c r="B1589" s="107"/>
      <c r="C1589" s="227">
        <v>0.0</v>
      </c>
    </row>
    <row r="1590">
      <c r="A1590" s="105"/>
      <c r="B1590" s="107"/>
      <c r="C1590" s="227">
        <v>0.0</v>
      </c>
    </row>
    <row r="1591">
      <c r="A1591" s="105"/>
      <c r="B1591" s="107"/>
      <c r="C1591" s="227">
        <v>0.0</v>
      </c>
    </row>
    <row r="1592">
      <c r="A1592" s="105"/>
      <c r="B1592" s="107"/>
      <c r="C1592" s="227">
        <v>0.0</v>
      </c>
    </row>
    <row r="1593">
      <c r="A1593" s="105"/>
      <c r="B1593" s="107"/>
      <c r="C1593" s="227">
        <v>0.0</v>
      </c>
    </row>
    <row r="1594">
      <c r="A1594" s="105"/>
      <c r="B1594" s="107"/>
      <c r="C1594" s="227">
        <v>0.0</v>
      </c>
    </row>
    <row r="1595">
      <c r="A1595" s="105"/>
      <c r="B1595" s="107"/>
      <c r="C1595" s="227">
        <v>0.0</v>
      </c>
    </row>
    <row r="1596">
      <c r="A1596" s="105"/>
      <c r="B1596" s="107"/>
      <c r="C1596" s="227">
        <v>0.0</v>
      </c>
    </row>
    <row r="1597">
      <c r="A1597" s="105"/>
      <c r="B1597" s="107"/>
      <c r="C1597" s="227">
        <v>0.0</v>
      </c>
    </row>
    <row r="1598">
      <c r="A1598" s="105"/>
      <c r="B1598" s="107"/>
      <c r="C1598" s="227">
        <v>0.0</v>
      </c>
    </row>
    <row r="1599">
      <c r="A1599" s="105"/>
      <c r="B1599" s="107"/>
      <c r="C1599" s="227">
        <v>0.0</v>
      </c>
    </row>
    <row r="1600">
      <c r="A1600" s="105"/>
      <c r="B1600" s="107"/>
      <c r="C1600" s="227">
        <v>0.0</v>
      </c>
    </row>
    <row r="1601">
      <c r="A1601" s="105"/>
      <c r="B1601" s="107"/>
      <c r="C1601" s="227">
        <v>0.0</v>
      </c>
    </row>
    <row r="1602">
      <c r="A1602" s="105"/>
      <c r="B1602" s="107"/>
      <c r="C1602" s="227">
        <v>0.0</v>
      </c>
    </row>
    <row r="1603">
      <c r="A1603" s="105"/>
      <c r="B1603" s="107"/>
      <c r="C1603" s="227">
        <v>0.0</v>
      </c>
    </row>
    <row r="1604">
      <c r="A1604" s="105"/>
      <c r="B1604" s="107"/>
      <c r="C1604" s="227">
        <v>0.0</v>
      </c>
    </row>
    <row r="1605">
      <c r="A1605" s="105"/>
      <c r="B1605" s="107"/>
      <c r="C1605" s="227">
        <v>0.0</v>
      </c>
    </row>
    <row r="1606">
      <c r="A1606" s="105"/>
      <c r="B1606" s="107"/>
      <c r="C1606" s="227">
        <v>0.0</v>
      </c>
    </row>
    <row r="1607">
      <c r="A1607" s="105"/>
      <c r="B1607" s="107"/>
      <c r="C1607" s="227">
        <v>0.0</v>
      </c>
    </row>
    <row r="1608">
      <c r="A1608" s="105"/>
      <c r="B1608" s="107"/>
      <c r="C1608" s="227">
        <v>0.0</v>
      </c>
    </row>
    <row r="1609">
      <c r="A1609" s="105"/>
      <c r="B1609" s="107"/>
      <c r="C1609" s="227">
        <v>0.0</v>
      </c>
    </row>
    <row r="1610">
      <c r="A1610" s="105"/>
      <c r="B1610" s="107"/>
      <c r="C1610" s="227">
        <v>0.0</v>
      </c>
    </row>
    <row r="1611">
      <c r="A1611" s="105"/>
      <c r="B1611" s="107"/>
      <c r="C1611" s="227">
        <v>0.0</v>
      </c>
    </row>
    <row r="1612">
      <c r="A1612" s="105"/>
      <c r="B1612" s="107"/>
      <c r="C1612" s="227">
        <v>0.0</v>
      </c>
    </row>
    <row r="1613">
      <c r="A1613" s="105"/>
      <c r="B1613" s="107"/>
      <c r="C1613" s="227">
        <v>0.0</v>
      </c>
    </row>
    <row r="1614">
      <c r="A1614" s="105"/>
      <c r="B1614" s="107"/>
      <c r="C1614" s="227">
        <v>0.0</v>
      </c>
    </row>
    <row r="1615">
      <c r="A1615" s="105"/>
      <c r="B1615" s="107"/>
      <c r="C1615" s="227">
        <v>0.0</v>
      </c>
    </row>
    <row r="1616">
      <c r="A1616" s="105"/>
      <c r="B1616" s="107"/>
      <c r="C1616" s="227">
        <v>0.0</v>
      </c>
    </row>
    <row r="1617">
      <c r="A1617" s="105"/>
      <c r="B1617" s="107"/>
      <c r="C1617" s="227">
        <v>0.0</v>
      </c>
    </row>
    <row r="1618">
      <c r="A1618" s="105"/>
      <c r="B1618" s="107"/>
      <c r="C1618" s="227">
        <v>0.0</v>
      </c>
    </row>
    <row r="1619">
      <c r="A1619" s="105"/>
      <c r="B1619" s="107"/>
      <c r="C1619" s="227">
        <v>0.0</v>
      </c>
    </row>
    <row r="1620">
      <c r="A1620" s="105"/>
      <c r="B1620" s="107"/>
      <c r="C1620" s="227">
        <v>0.0</v>
      </c>
    </row>
    <row r="1621">
      <c r="A1621" s="105"/>
      <c r="B1621" s="107"/>
      <c r="C1621" s="227">
        <v>0.0</v>
      </c>
    </row>
    <row r="1622">
      <c r="A1622" s="105"/>
      <c r="B1622" s="107"/>
      <c r="C1622" s="227">
        <v>0.0</v>
      </c>
    </row>
    <row r="1623">
      <c r="A1623" s="105"/>
      <c r="B1623" s="107"/>
      <c r="C1623" s="227">
        <v>0.0</v>
      </c>
    </row>
    <row r="1624">
      <c r="A1624" s="105"/>
      <c r="B1624" s="107"/>
      <c r="C1624" s="227">
        <v>0.0</v>
      </c>
    </row>
    <row r="1625">
      <c r="A1625" s="105"/>
      <c r="B1625" s="107"/>
      <c r="C1625" s="227">
        <v>0.0</v>
      </c>
    </row>
    <row r="1626">
      <c r="A1626" s="105"/>
      <c r="B1626" s="107"/>
      <c r="C1626" s="227">
        <v>0.0</v>
      </c>
    </row>
    <row r="1627">
      <c r="A1627" s="105"/>
      <c r="B1627" s="107"/>
      <c r="C1627" s="227">
        <v>0.0</v>
      </c>
    </row>
    <row r="1628">
      <c r="A1628" s="105"/>
      <c r="B1628" s="107"/>
      <c r="C1628" s="227">
        <v>0.0</v>
      </c>
    </row>
    <row r="1629">
      <c r="A1629" s="105"/>
      <c r="B1629" s="107"/>
      <c r="C1629" s="227">
        <v>0.0</v>
      </c>
    </row>
    <row r="1630">
      <c r="A1630" s="105"/>
      <c r="B1630" s="107"/>
      <c r="C1630" s="227">
        <v>0.0</v>
      </c>
    </row>
    <row r="1631">
      <c r="A1631" s="105"/>
      <c r="B1631" s="107"/>
      <c r="C1631" s="227">
        <v>0.0</v>
      </c>
    </row>
    <row r="1632">
      <c r="A1632" s="105"/>
      <c r="B1632" s="107"/>
      <c r="C1632" s="227">
        <v>0.0</v>
      </c>
    </row>
    <row r="1633">
      <c r="A1633" s="105"/>
      <c r="B1633" s="107"/>
      <c r="C1633" s="227">
        <v>0.0</v>
      </c>
    </row>
    <row r="1634">
      <c r="A1634" s="105"/>
      <c r="B1634" s="107"/>
      <c r="C1634" s="227">
        <v>0.0</v>
      </c>
    </row>
    <row r="1635">
      <c r="A1635" s="105"/>
      <c r="B1635" s="107"/>
      <c r="C1635" s="227">
        <v>0.0</v>
      </c>
    </row>
    <row r="1636">
      <c r="A1636" s="105"/>
      <c r="B1636" s="107"/>
      <c r="C1636" s="227">
        <v>0.0</v>
      </c>
    </row>
    <row r="1637">
      <c r="A1637" s="105"/>
      <c r="B1637" s="107"/>
      <c r="C1637" s="227">
        <v>0.0</v>
      </c>
    </row>
    <row r="1638">
      <c r="A1638" s="105"/>
      <c r="B1638" s="107"/>
      <c r="C1638" s="227">
        <v>0.0</v>
      </c>
    </row>
    <row r="1639">
      <c r="A1639" s="105"/>
      <c r="B1639" s="107"/>
      <c r="C1639" s="227">
        <v>0.0</v>
      </c>
    </row>
    <row r="1640">
      <c r="A1640" s="105"/>
      <c r="B1640" s="107"/>
      <c r="C1640" s="227">
        <v>0.0</v>
      </c>
    </row>
    <row r="1641">
      <c r="A1641" s="105"/>
      <c r="B1641" s="107"/>
      <c r="C1641" s="227">
        <v>0.0</v>
      </c>
    </row>
    <row r="1642">
      <c r="A1642" s="105"/>
      <c r="B1642" s="107"/>
      <c r="C1642" s="227">
        <v>0.0</v>
      </c>
    </row>
    <row r="1643">
      <c r="A1643" s="105"/>
      <c r="B1643" s="107"/>
      <c r="C1643" s="227">
        <v>0.0</v>
      </c>
    </row>
    <row r="1644">
      <c r="A1644" s="105"/>
      <c r="B1644" s="107"/>
      <c r="C1644" s="227">
        <v>0.0</v>
      </c>
    </row>
    <row r="1645">
      <c r="A1645" s="105"/>
      <c r="B1645" s="107"/>
      <c r="C1645" s="227">
        <v>0.0</v>
      </c>
    </row>
    <row r="1646">
      <c r="A1646" s="105"/>
      <c r="B1646" s="107"/>
      <c r="C1646" s="227">
        <v>0.0</v>
      </c>
    </row>
    <row r="1647">
      <c r="A1647" s="105"/>
      <c r="B1647" s="107"/>
      <c r="C1647" s="227">
        <v>0.0</v>
      </c>
    </row>
    <row r="1648">
      <c r="A1648" s="105"/>
      <c r="B1648" s="107"/>
      <c r="C1648" s="227">
        <v>0.0</v>
      </c>
    </row>
    <row r="1649">
      <c r="A1649" s="105"/>
      <c r="B1649" s="107"/>
      <c r="C1649" s="227">
        <v>0.0</v>
      </c>
    </row>
    <row r="1650">
      <c r="A1650" s="105"/>
      <c r="B1650" s="107"/>
      <c r="C1650" s="227">
        <v>0.0</v>
      </c>
    </row>
    <row r="1651">
      <c r="A1651" s="105"/>
      <c r="B1651" s="107"/>
      <c r="C1651" s="227">
        <v>0.0</v>
      </c>
    </row>
    <row r="1652">
      <c r="A1652" s="105"/>
      <c r="B1652" s="107"/>
      <c r="C1652" s="227">
        <v>0.0</v>
      </c>
    </row>
    <row r="1653">
      <c r="A1653" s="105"/>
      <c r="B1653" s="107"/>
      <c r="C1653" s="227">
        <v>0.0</v>
      </c>
    </row>
    <row r="1654">
      <c r="A1654" s="105"/>
      <c r="B1654" s="107"/>
      <c r="C1654" s="227">
        <v>0.0</v>
      </c>
    </row>
    <row r="1655">
      <c r="A1655" s="105"/>
      <c r="B1655" s="107"/>
      <c r="C1655" s="227">
        <v>0.0</v>
      </c>
    </row>
    <row r="1656">
      <c r="A1656" s="105"/>
      <c r="B1656" s="107"/>
      <c r="C1656" s="227">
        <v>0.0</v>
      </c>
    </row>
    <row r="1657">
      <c r="A1657" s="105"/>
      <c r="B1657" s="107"/>
      <c r="C1657" s="227">
        <v>0.0</v>
      </c>
    </row>
    <row r="1658">
      <c r="A1658" s="105"/>
      <c r="B1658" s="107"/>
      <c r="C1658" s="227">
        <v>0.0</v>
      </c>
    </row>
    <row r="1659">
      <c r="A1659" s="105"/>
      <c r="B1659" s="107"/>
      <c r="C1659" s="227">
        <v>0.0</v>
      </c>
    </row>
    <row r="1660">
      <c r="A1660" s="105"/>
      <c r="B1660" s="107"/>
      <c r="C1660" s="227">
        <v>0.0</v>
      </c>
    </row>
    <row r="1661">
      <c r="A1661" s="105"/>
      <c r="B1661" s="107"/>
      <c r="C1661" s="227">
        <v>0.0</v>
      </c>
    </row>
    <row r="1662">
      <c r="A1662" s="105"/>
      <c r="B1662" s="107"/>
      <c r="C1662" s="227">
        <v>0.0</v>
      </c>
    </row>
    <row r="1663">
      <c r="A1663" s="105"/>
      <c r="B1663" s="107"/>
      <c r="C1663" s="227">
        <v>0.0</v>
      </c>
    </row>
    <row r="1664">
      <c r="A1664" s="105"/>
      <c r="B1664" s="107"/>
      <c r="C1664" s="227">
        <v>0.0</v>
      </c>
    </row>
    <row r="1665">
      <c r="A1665" s="105"/>
      <c r="B1665" s="107"/>
      <c r="C1665" s="227">
        <v>0.0</v>
      </c>
    </row>
    <row r="1666">
      <c r="A1666" s="105"/>
      <c r="B1666" s="107"/>
      <c r="C1666" s="227">
        <v>0.0</v>
      </c>
    </row>
    <row r="1667">
      <c r="A1667" s="105"/>
      <c r="B1667" s="107"/>
      <c r="C1667" s="227">
        <v>0.0</v>
      </c>
    </row>
    <row r="1668">
      <c r="A1668" s="105"/>
      <c r="B1668" s="107"/>
      <c r="C1668" s="227">
        <v>0.0</v>
      </c>
    </row>
    <row r="1669">
      <c r="A1669" s="105"/>
      <c r="B1669" s="107"/>
      <c r="C1669" s="227">
        <v>0.0</v>
      </c>
    </row>
    <row r="1670">
      <c r="A1670" s="105"/>
      <c r="B1670" s="107"/>
      <c r="C1670" s="227">
        <v>0.0</v>
      </c>
    </row>
    <row r="1671">
      <c r="A1671" s="105"/>
      <c r="B1671" s="107"/>
      <c r="C1671" s="227">
        <v>0.0</v>
      </c>
    </row>
    <row r="1672">
      <c r="A1672" s="105"/>
      <c r="B1672" s="107"/>
      <c r="C1672" s="227">
        <v>0.0</v>
      </c>
    </row>
    <row r="1673">
      <c r="A1673" s="105"/>
      <c r="B1673" s="107"/>
      <c r="C1673" s="227">
        <v>0.0</v>
      </c>
    </row>
    <row r="1674">
      <c r="A1674" s="105"/>
      <c r="B1674" s="107"/>
      <c r="C1674" s="227">
        <v>0.0</v>
      </c>
    </row>
    <row r="1675">
      <c r="A1675" s="105"/>
      <c r="B1675" s="107"/>
      <c r="C1675" s="227">
        <v>0.0</v>
      </c>
    </row>
    <row r="1676">
      <c r="A1676" s="105"/>
      <c r="B1676" s="107"/>
      <c r="C1676" s="227">
        <v>0.0</v>
      </c>
    </row>
    <row r="1677">
      <c r="A1677" s="105"/>
      <c r="B1677" s="107"/>
      <c r="C1677" s="227">
        <v>0.0</v>
      </c>
    </row>
    <row r="1678">
      <c r="A1678" s="105"/>
      <c r="B1678" s="107"/>
      <c r="C1678" s="227">
        <v>0.0</v>
      </c>
    </row>
    <row r="1679">
      <c r="A1679" s="105"/>
      <c r="B1679" s="107"/>
      <c r="C1679" s="227">
        <v>0.0</v>
      </c>
    </row>
    <row r="1680">
      <c r="A1680" s="105"/>
      <c r="B1680" s="107"/>
      <c r="C1680" s="227">
        <v>0.0</v>
      </c>
    </row>
    <row r="1681">
      <c r="A1681" s="105"/>
      <c r="B1681" s="107"/>
      <c r="C1681" s="227">
        <v>0.0</v>
      </c>
    </row>
    <row r="1682">
      <c r="A1682" s="105"/>
      <c r="B1682" s="107"/>
      <c r="C1682" s="227">
        <v>0.0</v>
      </c>
    </row>
    <row r="1683">
      <c r="A1683" s="105"/>
      <c r="B1683" s="107"/>
      <c r="C1683" s="227">
        <v>0.0</v>
      </c>
    </row>
    <row r="1684">
      <c r="A1684" s="105"/>
      <c r="B1684" s="107"/>
      <c r="C1684" s="227">
        <v>0.0</v>
      </c>
    </row>
    <row r="1685">
      <c r="A1685" s="105"/>
      <c r="B1685" s="107"/>
      <c r="C1685" s="227">
        <v>0.0</v>
      </c>
    </row>
    <row r="1686">
      <c r="A1686" s="105"/>
      <c r="B1686" s="107"/>
      <c r="C1686" s="227">
        <v>0.0</v>
      </c>
    </row>
    <row r="1687">
      <c r="A1687" s="105"/>
      <c r="B1687" s="107"/>
      <c r="C1687" s="227">
        <v>0.0</v>
      </c>
    </row>
    <row r="1688">
      <c r="A1688" s="105"/>
      <c r="B1688" s="107"/>
      <c r="C1688" s="227">
        <v>0.0</v>
      </c>
    </row>
    <row r="1689">
      <c r="A1689" s="105"/>
      <c r="B1689" s="107"/>
      <c r="C1689" s="227">
        <v>0.0</v>
      </c>
    </row>
    <row r="1690">
      <c r="A1690" s="105"/>
      <c r="B1690" s="107"/>
      <c r="C1690" s="227">
        <v>0.0</v>
      </c>
    </row>
    <row r="1691">
      <c r="A1691" s="105"/>
      <c r="B1691" s="107"/>
      <c r="C1691" s="227">
        <v>0.0</v>
      </c>
    </row>
    <row r="1692">
      <c r="A1692" s="105"/>
      <c r="B1692" s="107"/>
      <c r="C1692" s="227">
        <v>0.0</v>
      </c>
    </row>
    <row r="1693">
      <c r="A1693" s="105"/>
      <c r="B1693" s="107"/>
      <c r="C1693" s="227">
        <v>0.0</v>
      </c>
    </row>
    <row r="1694">
      <c r="A1694" s="105"/>
      <c r="B1694" s="107"/>
      <c r="C1694" s="227">
        <v>0.0</v>
      </c>
    </row>
    <row r="1695">
      <c r="A1695" s="105"/>
      <c r="B1695" s="107"/>
      <c r="C1695" s="227">
        <v>0.0</v>
      </c>
    </row>
    <row r="1696">
      <c r="A1696" s="105"/>
      <c r="B1696" s="107"/>
      <c r="C1696" s="227">
        <v>0.0</v>
      </c>
    </row>
    <row r="1697">
      <c r="A1697" s="105"/>
      <c r="B1697" s="107"/>
      <c r="C1697" s="227">
        <v>0.0</v>
      </c>
    </row>
    <row r="1698">
      <c r="A1698" s="105"/>
      <c r="B1698" s="107"/>
      <c r="C1698" s="227">
        <v>0.0</v>
      </c>
    </row>
    <row r="1699">
      <c r="A1699" s="105"/>
      <c r="B1699" s="107"/>
      <c r="C1699" s="227">
        <v>0.0</v>
      </c>
    </row>
    <row r="1700">
      <c r="A1700" s="105"/>
      <c r="B1700" s="107"/>
      <c r="C1700" s="227">
        <v>0.0</v>
      </c>
    </row>
    <row r="1701">
      <c r="A1701" s="105"/>
      <c r="B1701" s="107"/>
      <c r="C1701" s="227">
        <v>0.0</v>
      </c>
    </row>
    <row r="1702">
      <c r="A1702" s="105"/>
      <c r="B1702" s="107"/>
      <c r="C1702" s="227">
        <v>0.0</v>
      </c>
    </row>
    <row r="1703">
      <c r="A1703" s="105"/>
      <c r="B1703" s="107"/>
      <c r="C1703" s="227">
        <v>0.0</v>
      </c>
    </row>
    <row r="1704">
      <c r="A1704" s="105"/>
      <c r="B1704" s="107"/>
      <c r="C1704" s="227">
        <v>0.0</v>
      </c>
    </row>
    <row r="1705">
      <c r="A1705" s="105"/>
      <c r="B1705" s="107"/>
      <c r="C1705" s="227">
        <v>0.0</v>
      </c>
    </row>
    <row r="1706">
      <c r="A1706" s="105"/>
      <c r="B1706" s="107"/>
      <c r="C1706" s="227">
        <v>0.0</v>
      </c>
    </row>
    <row r="1707">
      <c r="A1707" s="105"/>
      <c r="B1707" s="107"/>
      <c r="C1707" s="227">
        <v>0.0</v>
      </c>
    </row>
    <row r="1708">
      <c r="A1708" s="105"/>
      <c r="B1708" s="107"/>
      <c r="C1708" s="227">
        <v>0.0</v>
      </c>
    </row>
    <row r="1709">
      <c r="A1709" s="105"/>
      <c r="B1709" s="107"/>
      <c r="C1709" s="227">
        <v>0.0</v>
      </c>
    </row>
    <row r="1710">
      <c r="A1710" s="105"/>
      <c r="B1710" s="107"/>
      <c r="C1710" s="227">
        <v>0.0</v>
      </c>
    </row>
    <row r="1711">
      <c r="A1711" s="105"/>
      <c r="B1711" s="107"/>
      <c r="C1711" s="227">
        <v>0.0</v>
      </c>
    </row>
    <row r="1712">
      <c r="A1712" s="105"/>
      <c r="B1712" s="107"/>
      <c r="C1712" s="227">
        <v>0.0</v>
      </c>
    </row>
    <row r="1713">
      <c r="A1713" s="105"/>
      <c r="B1713" s="107"/>
      <c r="C1713" s="227">
        <v>0.0</v>
      </c>
    </row>
    <row r="1714">
      <c r="A1714" s="105"/>
      <c r="B1714" s="107"/>
      <c r="C1714" s="227">
        <v>0.0</v>
      </c>
    </row>
    <row r="1715">
      <c r="A1715" s="105"/>
      <c r="B1715" s="107"/>
      <c r="C1715" s="227">
        <v>0.0</v>
      </c>
    </row>
    <row r="1716">
      <c r="A1716" s="105"/>
      <c r="B1716" s="107"/>
      <c r="C1716" s="227">
        <v>0.0</v>
      </c>
    </row>
    <row r="1717">
      <c r="A1717" s="105"/>
      <c r="B1717" s="107"/>
      <c r="C1717" s="227">
        <v>0.0</v>
      </c>
    </row>
    <row r="1718">
      <c r="A1718" s="105"/>
      <c r="B1718" s="107"/>
      <c r="C1718" s="227">
        <v>0.0</v>
      </c>
    </row>
    <row r="1719">
      <c r="A1719" s="105"/>
      <c r="B1719" s="107"/>
      <c r="C1719" s="227">
        <v>0.0</v>
      </c>
    </row>
    <row r="1720">
      <c r="A1720" s="105"/>
      <c r="B1720" s="107"/>
      <c r="C1720" s="227">
        <v>0.0</v>
      </c>
    </row>
    <row r="1721">
      <c r="A1721" s="105"/>
      <c r="B1721" s="107"/>
      <c r="C1721" s="227">
        <v>0.0</v>
      </c>
    </row>
    <row r="1722">
      <c r="A1722" s="105"/>
      <c r="B1722" s="107"/>
      <c r="C1722" s="227">
        <v>0.0</v>
      </c>
    </row>
    <row r="1723">
      <c r="A1723" s="105"/>
      <c r="B1723" s="107"/>
      <c r="C1723" s="227">
        <v>0.0</v>
      </c>
    </row>
    <row r="1724">
      <c r="A1724" s="105"/>
      <c r="B1724" s="107"/>
      <c r="C1724" s="227">
        <v>0.0</v>
      </c>
    </row>
    <row r="1725">
      <c r="A1725" s="105"/>
      <c r="B1725" s="107"/>
      <c r="C1725" s="227">
        <v>0.0</v>
      </c>
    </row>
    <row r="1726">
      <c r="A1726" s="105"/>
      <c r="B1726" s="107"/>
      <c r="C1726" s="227">
        <v>0.0</v>
      </c>
    </row>
    <row r="1727">
      <c r="A1727" s="105"/>
      <c r="B1727" s="107"/>
      <c r="C1727" s="227">
        <v>0.0</v>
      </c>
    </row>
    <row r="1728">
      <c r="A1728" s="105"/>
      <c r="B1728" s="107"/>
      <c r="C1728" s="227">
        <v>0.0</v>
      </c>
    </row>
    <row r="1729">
      <c r="A1729" s="105"/>
      <c r="B1729" s="107"/>
      <c r="C1729" s="227">
        <v>0.0</v>
      </c>
    </row>
    <row r="1730">
      <c r="A1730" s="105"/>
      <c r="B1730" s="107"/>
      <c r="C1730" s="227">
        <v>0.0</v>
      </c>
    </row>
    <row r="1731">
      <c r="A1731" s="105"/>
      <c r="B1731" s="107"/>
      <c r="C1731" s="227">
        <v>0.0</v>
      </c>
    </row>
    <row r="1732">
      <c r="A1732" s="105"/>
      <c r="B1732" s="107"/>
      <c r="C1732" s="227">
        <v>0.0</v>
      </c>
    </row>
    <row r="1733">
      <c r="A1733" s="105"/>
      <c r="B1733" s="107"/>
      <c r="C1733" s="227">
        <v>0.0</v>
      </c>
    </row>
    <row r="1734">
      <c r="A1734" s="105"/>
      <c r="B1734" s="107"/>
      <c r="C1734" s="227">
        <v>0.0</v>
      </c>
    </row>
    <row r="1735">
      <c r="A1735" s="105"/>
      <c r="B1735" s="107"/>
      <c r="C1735" s="227">
        <v>0.0</v>
      </c>
    </row>
    <row r="1736">
      <c r="A1736" s="105"/>
      <c r="B1736" s="107"/>
      <c r="C1736" s="227">
        <v>0.0</v>
      </c>
    </row>
    <row r="1737">
      <c r="A1737" s="105"/>
      <c r="B1737" s="107"/>
      <c r="C1737" s="227">
        <v>0.0</v>
      </c>
    </row>
    <row r="1738">
      <c r="A1738" s="105"/>
      <c r="B1738" s="107"/>
      <c r="C1738" s="227">
        <v>0.0</v>
      </c>
    </row>
    <row r="1739">
      <c r="A1739" s="105"/>
      <c r="B1739" s="107"/>
      <c r="C1739" s="227">
        <v>0.0</v>
      </c>
    </row>
    <row r="1740">
      <c r="A1740" s="105"/>
      <c r="B1740" s="107"/>
      <c r="C1740" s="227">
        <v>0.0</v>
      </c>
    </row>
    <row r="1741">
      <c r="A1741" s="105"/>
      <c r="B1741" s="107"/>
      <c r="C1741" s="227">
        <v>0.0</v>
      </c>
    </row>
    <row r="1742">
      <c r="A1742" s="105"/>
      <c r="B1742" s="107"/>
      <c r="C1742" s="227">
        <v>0.0</v>
      </c>
    </row>
    <row r="1743">
      <c r="A1743" s="105"/>
      <c r="B1743" s="107"/>
      <c r="C1743" s="227">
        <v>0.0</v>
      </c>
    </row>
    <row r="1744">
      <c r="A1744" s="105"/>
      <c r="B1744" s="107"/>
      <c r="C1744" s="227">
        <v>0.0</v>
      </c>
    </row>
    <row r="1745">
      <c r="A1745" s="105"/>
      <c r="B1745" s="107"/>
      <c r="C1745" s="227">
        <v>0.0</v>
      </c>
    </row>
    <row r="1746">
      <c r="A1746" s="105"/>
      <c r="B1746" s="107"/>
      <c r="C1746" s="227">
        <v>0.0</v>
      </c>
    </row>
    <row r="1747">
      <c r="A1747" s="105"/>
      <c r="B1747" s="107"/>
      <c r="C1747" s="227">
        <v>0.0</v>
      </c>
    </row>
    <row r="1748">
      <c r="A1748" s="105"/>
      <c r="B1748" s="107"/>
      <c r="C1748" s="227">
        <v>0.0</v>
      </c>
    </row>
    <row r="1749">
      <c r="A1749" s="105"/>
      <c r="B1749" s="107"/>
      <c r="C1749" s="227">
        <v>0.0</v>
      </c>
    </row>
    <row r="1750">
      <c r="A1750" s="105"/>
      <c r="B1750" s="107"/>
      <c r="C1750" s="227">
        <v>0.0</v>
      </c>
    </row>
    <row r="1751">
      <c r="A1751" s="105"/>
      <c r="B1751" s="107"/>
      <c r="C1751" s="227">
        <v>0.0</v>
      </c>
    </row>
    <row r="1752">
      <c r="A1752" s="105"/>
      <c r="B1752" s="107"/>
      <c r="C1752" s="227">
        <v>0.0</v>
      </c>
    </row>
    <row r="1753">
      <c r="A1753" s="105"/>
      <c r="B1753" s="107"/>
      <c r="C1753" s="227">
        <v>0.0</v>
      </c>
    </row>
    <row r="1754">
      <c r="A1754" s="105"/>
      <c r="B1754" s="107"/>
      <c r="C1754" s="227">
        <v>0.0</v>
      </c>
    </row>
    <row r="1755">
      <c r="A1755" s="105"/>
      <c r="B1755" s="107"/>
      <c r="C1755" s="227">
        <v>0.0</v>
      </c>
    </row>
    <row r="1756">
      <c r="A1756" s="105"/>
      <c r="B1756" s="107"/>
      <c r="C1756" s="227">
        <v>0.0</v>
      </c>
    </row>
    <row r="1757">
      <c r="A1757" s="105"/>
      <c r="B1757" s="107"/>
      <c r="C1757" s="227">
        <v>0.0</v>
      </c>
    </row>
    <row r="1758">
      <c r="A1758" s="105"/>
      <c r="B1758" s="107"/>
      <c r="C1758" s="227">
        <v>0.0</v>
      </c>
    </row>
    <row r="1759">
      <c r="A1759" s="105"/>
      <c r="B1759" s="107"/>
      <c r="C1759" s="227">
        <v>0.0</v>
      </c>
    </row>
    <row r="1760">
      <c r="A1760" s="105"/>
      <c r="B1760" s="107"/>
      <c r="C1760" s="227">
        <v>0.0</v>
      </c>
    </row>
    <row r="1761">
      <c r="A1761" s="105"/>
      <c r="B1761" s="107"/>
      <c r="C1761" s="227">
        <v>0.0</v>
      </c>
    </row>
    <row r="1762">
      <c r="A1762" s="105"/>
      <c r="B1762" s="107"/>
      <c r="C1762" s="227">
        <v>0.0</v>
      </c>
    </row>
    <row r="1763">
      <c r="A1763" s="105"/>
      <c r="B1763" s="107"/>
      <c r="C1763" s="227">
        <v>0.0</v>
      </c>
    </row>
    <row r="1764">
      <c r="A1764" s="105"/>
      <c r="B1764" s="107"/>
      <c r="C1764" s="227">
        <v>0.0</v>
      </c>
    </row>
    <row r="1765">
      <c r="A1765" s="105"/>
      <c r="B1765" s="107"/>
      <c r="C1765" s="227">
        <v>0.0</v>
      </c>
    </row>
    <row r="1766">
      <c r="A1766" s="105"/>
      <c r="B1766" s="107"/>
      <c r="C1766" s="227">
        <v>0.0</v>
      </c>
    </row>
    <row r="1767">
      <c r="A1767" s="105"/>
      <c r="B1767" s="107"/>
      <c r="C1767" s="227">
        <v>0.0</v>
      </c>
    </row>
    <row r="1768">
      <c r="A1768" s="105"/>
      <c r="B1768" s="107"/>
      <c r="C1768" s="227">
        <v>0.0</v>
      </c>
    </row>
    <row r="1769">
      <c r="A1769" s="105"/>
      <c r="B1769" s="107"/>
      <c r="C1769" s="227">
        <v>0.0</v>
      </c>
    </row>
    <row r="1770">
      <c r="A1770" s="105"/>
      <c r="B1770" s="107"/>
      <c r="C1770" s="227">
        <v>0.0</v>
      </c>
    </row>
    <row r="1771">
      <c r="A1771" s="105"/>
      <c r="B1771" s="107"/>
      <c r="C1771" s="227">
        <v>0.0</v>
      </c>
    </row>
    <row r="1772">
      <c r="A1772" s="105"/>
      <c r="B1772" s="107"/>
      <c r="C1772" s="227">
        <v>0.0</v>
      </c>
    </row>
    <row r="1773">
      <c r="A1773" s="105"/>
      <c r="B1773" s="107"/>
      <c r="C1773" s="227">
        <v>0.0</v>
      </c>
    </row>
    <row r="1774">
      <c r="A1774" s="105"/>
      <c r="B1774" s="107"/>
      <c r="C1774" s="227">
        <v>0.0</v>
      </c>
    </row>
    <row r="1775">
      <c r="A1775" s="105"/>
      <c r="B1775" s="107"/>
      <c r="C1775" s="227">
        <v>0.0</v>
      </c>
    </row>
    <row r="1776">
      <c r="A1776" s="105"/>
      <c r="B1776" s="107"/>
      <c r="C1776" s="227">
        <v>0.0</v>
      </c>
    </row>
    <row r="1777">
      <c r="A1777" s="105"/>
      <c r="B1777" s="107"/>
      <c r="C1777" s="227">
        <v>0.0</v>
      </c>
    </row>
    <row r="1778">
      <c r="A1778" s="105"/>
      <c r="B1778" s="107"/>
      <c r="C1778" s="227">
        <v>0.0</v>
      </c>
    </row>
    <row r="1779">
      <c r="A1779" s="105"/>
      <c r="B1779" s="107"/>
      <c r="C1779" s="227">
        <v>0.0</v>
      </c>
    </row>
    <row r="1780">
      <c r="A1780" s="105"/>
      <c r="B1780" s="107"/>
      <c r="C1780" s="227">
        <v>0.0</v>
      </c>
    </row>
    <row r="1781">
      <c r="A1781" s="105"/>
      <c r="B1781" s="107"/>
      <c r="C1781" s="227">
        <v>0.0</v>
      </c>
    </row>
    <row r="1782">
      <c r="A1782" s="105"/>
      <c r="B1782" s="107"/>
      <c r="C1782" s="227">
        <v>0.0</v>
      </c>
    </row>
    <row r="1783">
      <c r="A1783" s="105"/>
      <c r="B1783" s="107"/>
      <c r="C1783" s="227">
        <v>0.0</v>
      </c>
    </row>
    <row r="1784">
      <c r="A1784" s="105"/>
      <c r="B1784" s="107"/>
      <c r="C1784" s="227">
        <v>0.0</v>
      </c>
    </row>
    <row r="1785">
      <c r="A1785" s="105"/>
      <c r="B1785" s="107"/>
      <c r="C1785" s="227">
        <v>0.0</v>
      </c>
    </row>
    <row r="1786">
      <c r="A1786" s="105"/>
      <c r="B1786" s="107"/>
      <c r="C1786" s="227">
        <v>0.0</v>
      </c>
    </row>
    <row r="1787">
      <c r="A1787" s="105"/>
      <c r="B1787" s="107"/>
      <c r="C1787" s="227">
        <v>0.0</v>
      </c>
    </row>
    <row r="1788">
      <c r="A1788" s="105"/>
      <c r="B1788" s="107"/>
      <c r="C1788" s="227">
        <v>0.0</v>
      </c>
    </row>
    <row r="1789">
      <c r="A1789" s="105"/>
      <c r="B1789" s="107"/>
      <c r="C1789" s="227">
        <v>0.0</v>
      </c>
    </row>
    <row r="1790">
      <c r="A1790" s="105"/>
      <c r="B1790" s="107"/>
      <c r="C1790" s="227">
        <v>0.0</v>
      </c>
    </row>
    <row r="1791">
      <c r="A1791" s="105"/>
      <c r="B1791" s="107"/>
      <c r="C1791" s="227">
        <v>0.0</v>
      </c>
    </row>
    <row r="1792">
      <c r="A1792" s="105"/>
      <c r="B1792" s="107"/>
      <c r="C1792" s="227">
        <v>0.0</v>
      </c>
    </row>
    <row r="1793">
      <c r="A1793" s="105"/>
      <c r="B1793" s="107"/>
      <c r="C1793" s="227">
        <v>0.0</v>
      </c>
    </row>
    <row r="1794">
      <c r="A1794" s="105"/>
      <c r="B1794" s="107"/>
      <c r="C1794" s="227">
        <v>0.0</v>
      </c>
    </row>
    <row r="1795">
      <c r="A1795" s="105"/>
      <c r="B1795" s="107"/>
      <c r="C1795" s="227">
        <v>0.0</v>
      </c>
    </row>
    <row r="1796">
      <c r="A1796" s="105"/>
      <c r="B1796" s="107"/>
      <c r="C1796" s="227">
        <v>0.0</v>
      </c>
    </row>
    <row r="1797">
      <c r="A1797" s="105"/>
      <c r="B1797" s="107"/>
      <c r="C1797" s="227">
        <v>0.0</v>
      </c>
    </row>
    <row r="1798">
      <c r="A1798" s="105"/>
      <c r="B1798" s="107"/>
      <c r="C1798" s="227">
        <v>0.0</v>
      </c>
    </row>
    <row r="1799">
      <c r="A1799" s="105"/>
      <c r="B1799" s="107"/>
      <c r="C1799" s="227">
        <v>0.0</v>
      </c>
    </row>
    <row r="1800">
      <c r="A1800" s="105"/>
      <c r="B1800" s="107"/>
      <c r="C1800" s="227">
        <v>0.0</v>
      </c>
    </row>
    <row r="1801">
      <c r="A1801" s="105"/>
      <c r="B1801" s="107"/>
      <c r="C1801" s="227">
        <v>0.0</v>
      </c>
    </row>
    <row r="1802">
      <c r="A1802" s="105"/>
      <c r="B1802" s="107"/>
      <c r="C1802" s="227">
        <v>0.0</v>
      </c>
    </row>
    <row r="1803">
      <c r="A1803" s="105"/>
      <c r="B1803" s="107"/>
      <c r="C1803" s="227">
        <v>0.0</v>
      </c>
    </row>
    <row r="1804">
      <c r="A1804" s="105"/>
      <c r="B1804" s="107"/>
      <c r="C1804" s="227">
        <v>0.0</v>
      </c>
    </row>
    <row r="1805">
      <c r="A1805" s="105"/>
      <c r="B1805" s="107"/>
      <c r="C1805" s="227">
        <v>0.0</v>
      </c>
    </row>
    <row r="1806">
      <c r="A1806" s="105"/>
      <c r="B1806" s="107"/>
      <c r="C1806" s="227">
        <v>0.0</v>
      </c>
    </row>
    <row r="1807">
      <c r="A1807" s="105"/>
      <c r="B1807" s="107"/>
      <c r="C1807" s="227">
        <v>0.0</v>
      </c>
    </row>
    <row r="1808">
      <c r="A1808" s="105"/>
      <c r="B1808" s="107"/>
      <c r="C1808" s="227">
        <v>0.0</v>
      </c>
    </row>
    <row r="1809">
      <c r="A1809" s="105"/>
      <c r="B1809" s="107"/>
      <c r="C1809" s="227">
        <v>0.0</v>
      </c>
    </row>
    <row r="1810">
      <c r="A1810" s="105"/>
      <c r="B1810" s="107"/>
      <c r="C1810" s="227">
        <v>0.0</v>
      </c>
    </row>
    <row r="1811">
      <c r="A1811" s="105"/>
      <c r="B1811" s="107"/>
      <c r="C1811" s="227">
        <v>0.0</v>
      </c>
    </row>
    <row r="1812">
      <c r="A1812" s="105"/>
      <c r="B1812" s="107"/>
      <c r="C1812" s="227">
        <v>0.0</v>
      </c>
    </row>
    <row r="1813">
      <c r="A1813" s="105"/>
      <c r="B1813" s="107"/>
      <c r="C1813" s="227">
        <v>0.0</v>
      </c>
    </row>
    <row r="1814">
      <c r="A1814" s="105"/>
      <c r="B1814" s="107"/>
      <c r="C1814" s="227">
        <v>0.0</v>
      </c>
    </row>
    <row r="1815">
      <c r="A1815" s="105"/>
      <c r="B1815" s="107"/>
      <c r="C1815" s="227">
        <v>0.0</v>
      </c>
    </row>
    <row r="1816">
      <c r="A1816" s="105"/>
      <c r="B1816" s="107"/>
      <c r="C1816" s="227">
        <v>0.0</v>
      </c>
    </row>
    <row r="1817">
      <c r="A1817" s="105"/>
      <c r="B1817" s="107"/>
      <c r="C1817" s="227">
        <v>0.0</v>
      </c>
    </row>
    <row r="1818">
      <c r="A1818" s="105"/>
      <c r="B1818" s="107"/>
      <c r="C1818" s="227">
        <v>0.0</v>
      </c>
    </row>
    <row r="1819">
      <c r="A1819" s="105"/>
      <c r="B1819" s="107"/>
      <c r="C1819" s="227">
        <v>0.0</v>
      </c>
    </row>
    <row r="1820">
      <c r="A1820" s="105"/>
      <c r="B1820" s="107"/>
      <c r="C1820" s="227">
        <v>0.0</v>
      </c>
    </row>
    <row r="1821">
      <c r="A1821" s="105"/>
      <c r="B1821" s="107"/>
      <c r="C1821" s="227">
        <v>0.0</v>
      </c>
    </row>
    <row r="1822">
      <c r="A1822" s="105"/>
      <c r="B1822" s="107"/>
      <c r="C1822" s="227">
        <v>0.0</v>
      </c>
    </row>
    <row r="1823">
      <c r="A1823" s="105"/>
      <c r="B1823" s="107"/>
      <c r="C1823" s="227">
        <v>0.0</v>
      </c>
    </row>
    <row r="1824">
      <c r="A1824" s="105"/>
      <c r="B1824" s="107"/>
      <c r="C1824" s="227">
        <v>0.0</v>
      </c>
    </row>
    <row r="1825">
      <c r="A1825" s="105"/>
      <c r="B1825" s="107"/>
      <c r="C1825" s="227">
        <v>0.0</v>
      </c>
    </row>
    <row r="1826">
      <c r="A1826" s="105"/>
      <c r="B1826" s="107"/>
      <c r="C1826" s="227">
        <v>0.0</v>
      </c>
    </row>
    <row r="1827">
      <c r="A1827" s="105"/>
      <c r="B1827" s="107"/>
      <c r="C1827" s="227">
        <v>0.0</v>
      </c>
    </row>
    <row r="1828">
      <c r="A1828" s="105"/>
      <c r="B1828" s="107"/>
      <c r="C1828" s="227">
        <v>0.0</v>
      </c>
    </row>
    <row r="1829">
      <c r="A1829" s="105"/>
      <c r="B1829" s="107"/>
      <c r="C1829" s="227">
        <v>0.0</v>
      </c>
    </row>
    <row r="1830">
      <c r="A1830" s="105"/>
      <c r="B1830" s="107"/>
      <c r="C1830" s="227">
        <v>0.0</v>
      </c>
    </row>
    <row r="1831">
      <c r="A1831" s="105"/>
      <c r="B1831" s="107"/>
      <c r="C1831" s="227">
        <v>0.0</v>
      </c>
    </row>
    <row r="1832">
      <c r="A1832" s="105"/>
      <c r="B1832" s="107"/>
      <c r="C1832" s="227">
        <v>0.0</v>
      </c>
    </row>
    <row r="1833">
      <c r="A1833" s="105"/>
      <c r="B1833" s="107"/>
      <c r="C1833" s="227">
        <v>0.0</v>
      </c>
    </row>
    <row r="1834">
      <c r="A1834" s="105"/>
      <c r="B1834" s="107"/>
      <c r="C1834" s="227">
        <v>0.0</v>
      </c>
    </row>
    <row r="1835">
      <c r="A1835" s="105"/>
      <c r="B1835" s="107"/>
      <c r="C1835" s="227">
        <v>0.0</v>
      </c>
    </row>
    <row r="1836">
      <c r="A1836" s="105"/>
      <c r="B1836" s="107"/>
      <c r="C1836" s="227">
        <v>0.0</v>
      </c>
    </row>
    <row r="1837">
      <c r="A1837" s="105"/>
      <c r="B1837" s="107"/>
      <c r="C1837" s="227">
        <v>0.0</v>
      </c>
    </row>
    <row r="1838">
      <c r="A1838" s="105"/>
      <c r="B1838" s="107"/>
      <c r="C1838" s="227">
        <v>0.0</v>
      </c>
    </row>
    <row r="1839">
      <c r="A1839" s="105"/>
      <c r="B1839" s="107"/>
      <c r="C1839" s="227">
        <v>0.0</v>
      </c>
    </row>
    <row r="1840">
      <c r="A1840" s="105"/>
      <c r="B1840" s="107"/>
      <c r="C1840" s="227">
        <v>0.0</v>
      </c>
    </row>
    <row r="1841">
      <c r="A1841" s="105"/>
      <c r="B1841" s="107"/>
      <c r="C1841" s="227">
        <v>0.0</v>
      </c>
    </row>
    <row r="1842">
      <c r="A1842" s="105"/>
      <c r="B1842" s="107"/>
      <c r="C1842" s="227">
        <v>0.0</v>
      </c>
    </row>
    <row r="1843">
      <c r="A1843" s="105"/>
      <c r="B1843" s="107"/>
      <c r="C1843" s="227">
        <v>0.0</v>
      </c>
    </row>
    <row r="1844">
      <c r="A1844" s="105"/>
      <c r="B1844" s="107"/>
      <c r="C1844" s="227">
        <v>0.0</v>
      </c>
    </row>
    <row r="1845">
      <c r="A1845" s="105"/>
      <c r="B1845" s="107"/>
      <c r="C1845" s="227">
        <v>0.0</v>
      </c>
    </row>
    <row r="1846">
      <c r="A1846" s="105"/>
      <c r="B1846" s="107"/>
      <c r="C1846" s="227">
        <v>0.0</v>
      </c>
    </row>
    <row r="1847">
      <c r="A1847" s="105"/>
      <c r="B1847" s="107"/>
      <c r="C1847" s="227">
        <v>0.0</v>
      </c>
    </row>
    <row r="1848">
      <c r="A1848" s="105"/>
      <c r="B1848" s="107"/>
      <c r="C1848" s="227">
        <v>0.0</v>
      </c>
    </row>
    <row r="1849">
      <c r="A1849" s="105"/>
      <c r="B1849" s="107"/>
      <c r="C1849" s="227">
        <v>0.0</v>
      </c>
    </row>
    <row r="1850">
      <c r="A1850" s="105"/>
      <c r="B1850" s="107"/>
      <c r="C1850" s="227">
        <v>0.0</v>
      </c>
    </row>
    <row r="1851">
      <c r="A1851" s="105"/>
      <c r="B1851" s="107"/>
      <c r="C1851" s="227">
        <v>0.0</v>
      </c>
    </row>
    <row r="1852">
      <c r="A1852" s="105"/>
      <c r="B1852" s="107"/>
      <c r="C1852" s="227">
        <v>0.0</v>
      </c>
    </row>
    <row r="1853">
      <c r="A1853" s="105"/>
      <c r="B1853" s="107"/>
      <c r="C1853" s="227">
        <v>0.0</v>
      </c>
    </row>
    <row r="1854">
      <c r="A1854" s="105"/>
      <c r="B1854" s="107"/>
      <c r="C1854" s="227">
        <v>0.0</v>
      </c>
    </row>
    <row r="1855">
      <c r="A1855" s="105"/>
      <c r="B1855" s="107"/>
      <c r="C1855" s="227">
        <v>0.0</v>
      </c>
    </row>
    <row r="1856">
      <c r="A1856" s="105"/>
      <c r="B1856" s="107"/>
      <c r="C1856" s="227">
        <v>0.0</v>
      </c>
    </row>
    <row r="1857">
      <c r="A1857" s="105"/>
      <c r="B1857" s="107"/>
      <c r="C1857" s="227">
        <v>0.0</v>
      </c>
    </row>
    <row r="1858">
      <c r="A1858" s="105"/>
      <c r="B1858" s="107"/>
      <c r="C1858" s="227">
        <v>0.0</v>
      </c>
    </row>
    <row r="1859">
      <c r="A1859" s="105"/>
      <c r="B1859" s="107"/>
      <c r="C1859" s="227">
        <v>0.0</v>
      </c>
    </row>
    <row r="1860">
      <c r="A1860" s="105"/>
      <c r="B1860" s="107"/>
      <c r="C1860" s="227">
        <v>0.0</v>
      </c>
    </row>
    <row r="1861">
      <c r="A1861" s="105"/>
      <c r="B1861" s="107"/>
      <c r="C1861" s="227">
        <v>0.0</v>
      </c>
    </row>
    <row r="1862">
      <c r="A1862" s="105"/>
      <c r="B1862" s="107"/>
      <c r="C1862" s="227">
        <v>0.0</v>
      </c>
    </row>
    <row r="1863">
      <c r="A1863" s="105"/>
      <c r="B1863" s="107"/>
      <c r="C1863" s="227">
        <v>0.0</v>
      </c>
    </row>
    <row r="1864">
      <c r="A1864" s="105"/>
      <c r="B1864" s="107"/>
      <c r="C1864" s="227">
        <v>0.0</v>
      </c>
    </row>
    <row r="1865">
      <c r="A1865" s="105"/>
      <c r="B1865" s="107"/>
      <c r="C1865" s="227">
        <v>0.0</v>
      </c>
    </row>
    <row r="1866">
      <c r="A1866" s="105"/>
      <c r="B1866" s="107"/>
      <c r="C1866" s="227">
        <v>0.0</v>
      </c>
    </row>
    <row r="1867">
      <c r="A1867" s="105"/>
      <c r="B1867" s="107"/>
      <c r="C1867" s="227">
        <v>0.0</v>
      </c>
    </row>
    <row r="1868">
      <c r="A1868" s="105"/>
      <c r="B1868" s="107"/>
      <c r="C1868" s="227">
        <v>0.0</v>
      </c>
    </row>
    <row r="1869">
      <c r="A1869" s="105"/>
      <c r="B1869" s="107"/>
      <c r="C1869" s="227">
        <v>0.0</v>
      </c>
    </row>
    <row r="1870">
      <c r="A1870" s="105"/>
      <c r="B1870" s="107"/>
      <c r="C1870" s="227">
        <v>0.0</v>
      </c>
    </row>
    <row r="1871">
      <c r="A1871" s="105"/>
      <c r="B1871" s="107"/>
      <c r="C1871" s="227">
        <v>0.0</v>
      </c>
    </row>
    <row r="1872">
      <c r="A1872" s="105"/>
      <c r="B1872" s="107"/>
      <c r="C1872" s="227">
        <v>0.0</v>
      </c>
    </row>
    <row r="1873">
      <c r="A1873" s="105"/>
      <c r="B1873" s="107"/>
      <c r="C1873" s="227">
        <v>0.0</v>
      </c>
    </row>
    <row r="1874">
      <c r="A1874" s="105"/>
      <c r="B1874" s="107"/>
      <c r="C1874" s="227">
        <v>0.0</v>
      </c>
    </row>
    <row r="1875">
      <c r="A1875" s="105"/>
      <c r="B1875" s="107"/>
      <c r="C1875" s="227">
        <v>0.0</v>
      </c>
    </row>
    <row r="1876">
      <c r="A1876" s="105"/>
      <c r="B1876" s="107"/>
      <c r="C1876" s="227">
        <v>0.0</v>
      </c>
    </row>
    <row r="1877">
      <c r="A1877" s="105"/>
      <c r="B1877" s="107"/>
      <c r="C1877" s="227">
        <v>0.0</v>
      </c>
    </row>
    <row r="1878">
      <c r="A1878" s="105"/>
      <c r="B1878" s="107"/>
      <c r="C1878" s="227">
        <v>0.0</v>
      </c>
    </row>
    <row r="1879">
      <c r="A1879" s="105"/>
      <c r="B1879" s="107"/>
      <c r="C1879" s="227">
        <v>0.0</v>
      </c>
    </row>
    <row r="1880">
      <c r="A1880" s="105"/>
      <c r="B1880" s="107"/>
      <c r="C1880" s="227">
        <v>0.0</v>
      </c>
    </row>
    <row r="1881">
      <c r="A1881" s="105"/>
      <c r="B1881" s="107"/>
      <c r="C1881" s="227">
        <v>0.0</v>
      </c>
    </row>
    <row r="1882">
      <c r="A1882" s="105"/>
      <c r="B1882" s="107"/>
      <c r="C1882" s="227">
        <v>0.0</v>
      </c>
    </row>
    <row r="1883">
      <c r="A1883" s="105"/>
      <c r="B1883" s="107"/>
      <c r="C1883" s="227">
        <v>0.0</v>
      </c>
    </row>
    <row r="1884">
      <c r="A1884" s="105"/>
      <c r="B1884" s="107"/>
      <c r="C1884" s="227">
        <v>0.0</v>
      </c>
    </row>
    <row r="1885">
      <c r="A1885" s="105"/>
      <c r="B1885" s="107"/>
      <c r="C1885" s="227">
        <v>0.0</v>
      </c>
    </row>
    <row r="1886">
      <c r="A1886" s="105"/>
      <c r="B1886" s="107"/>
      <c r="C1886" s="227">
        <v>0.0</v>
      </c>
    </row>
    <row r="1887">
      <c r="A1887" s="105"/>
      <c r="B1887" s="107"/>
      <c r="C1887" s="227">
        <v>0.0</v>
      </c>
    </row>
    <row r="1888">
      <c r="A1888" s="105"/>
      <c r="B1888" s="107"/>
      <c r="C1888" s="227">
        <v>0.0</v>
      </c>
    </row>
    <row r="1889">
      <c r="A1889" s="105"/>
      <c r="B1889" s="107"/>
      <c r="C1889" s="227">
        <v>0.0</v>
      </c>
    </row>
    <row r="1890">
      <c r="A1890" s="105"/>
      <c r="B1890" s="107"/>
      <c r="C1890" s="227">
        <v>0.0</v>
      </c>
    </row>
    <row r="1891">
      <c r="A1891" s="105"/>
      <c r="B1891" s="107"/>
      <c r="C1891" s="227">
        <v>0.0</v>
      </c>
    </row>
    <row r="1892">
      <c r="A1892" s="105"/>
      <c r="B1892" s="107"/>
      <c r="C1892" s="227">
        <v>0.0</v>
      </c>
    </row>
    <row r="1893">
      <c r="A1893" s="105"/>
      <c r="B1893" s="107"/>
      <c r="C1893" s="227">
        <v>0.0</v>
      </c>
    </row>
    <row r="1894">
      <c r="A1894" s="105"/>
      <c r="B1894" s="107"/>
      <c r="C1894" s="227">
        <v>0.0</v>
      </c>
    </row>
    <row r="1895">
      <c r="A1895" s="105"/>
      <c r="B1895" s="107"/>
      <c r="C1895" s="227">
        <v>0.0</v>
      </c>
    </row>
    <row r="1896">
      <c r="A1896" s="105"/>
      <c r="B1896" s="107"/>
      <c r="C1896" s="227">
        <v>0.0</v>
      </c>
    </row>
    <row r="1897">
      <c r="A1897" s="105"/>
      <c r="B1897" s="107"/>
      <c r="C1897" s="227">
        <v>0.0</v>
      </c>
    </row>
    <row r="1898">
      <c r="A1898" s="105"/>
      <c r="B1898" s="107"/>
      <c r="C1898" s="227">
        <v>0.0</v>
      </c>
    </row>
    <row r="1899">
      <c r="A1899" s="105"/>
      <c r="B1899" s="107"/>
      <c r="C1899" s="227">
        <v>0.0</v>
      </c>
    </row>
    <row r="1900">
      <c r="A1900" s="105"/>
      <c r="B1900" s="107"/>
      <c r="C1900" s="227">
        <v>0.0</v>
      </c>
    </row>
    <row r="1901">
      <c r="A1901" s="105"/>
      <c r="B1901" s="107"/>
      <c r="C1901" s="227">
        <v>0.0</v>
      </c>
    </row>
    <row r="1902">
      <c r="A1902" s="105"/>
      <c r="B1902" s="107"/>
      <c r="C1902" s="227">
        <v>0.0</v>
      </c>
    </row>
    <row r="1903">
      <c r="A1903" s="105"/>
      <c r="B1903" s="107"/>
      <c r="C1903" s="227">
        <v>0.0</v>
      </c>
    </row>
    <row r="1904">
      <c r="A1904" s="105"/>
      <c r="B1904" s="107"/>
      <c r="C1904" s="227">
        <v>0.0</v>
      </c>
    </row>
    <row r="1905">
      <c r="A1905" s="105"/>
      <c r="B1905" s="107"/>
      <c r="C1905" s="227">
        <v>0.0</v>
      </c>
    </row>
    <row r="1906">
      <c r="A1906" s="105"/>
      <c r="B1906" s="107"/>
      <c r="C1906" s="227">
        <v>0.0</v>
      </c>
    </row>
    <row r="1907">
      <c r="A1907" s="105"/>
      <c r="B1907" s="107"/>
      <c r="C1907" s="227">
        <v>0.0</v>
      </c>
    </row>
    <row r="1908">
      <c r="A1908" s="105"/>
      <c r="B1908" s="107"/>
      <c r="C1908" s="227">
        <v>0.0</v>
      </c>
    </row>
    <row r="1909">
      <c r="A1909" s="105"/>
      <c r="B1909" s="107"/>
      <c r="C1909" s="227">
        <v>0.0</v>
      </c>
    </row>
    <row r="1910">
      <c r="A1910" s="105"/>
      <c r="B1910" s="107"/>
      <c r="C1910" s="227">
        <v>0.0</v>
      </c>
    </row>
    <row r="1911">
      <c r="A1911" s="105"/>
      <c r="B1911" s="107"/>
      <c r="C1911" s="227">
        <v>0.0</v>
      </c>
    </row>
    <row r="1912">
      <c r="A1912" s="105"/>
      <c r="B1912" s="107"/>
      <c r="C1912" s="227">
        <v>0.0</v>
      </c>
    </row>
    <row r="1913">
      <c r="A1913" s="105"/>
      <c r="B1913" s="107"/>
      <c r="C1913" s="227">
        <v>0.0</v>
      </c>
    </row>
    <row r="1914">
      <c r="A1914" s="105"/>
      <c r="B1914" s="107"/>
      <c r="C1914" s="227">
        <v>0.0</v>
      </c>
    </row>
    <row r="1915">
      <c r="A1915" s="105"/>
      <c r="B1915" s="107"/>
      <c r="C1915" s="227">
        <v>0.0</v>
      </c>
    </row>
    <row r="1916">
      <c r="A1916" s="105"/>
      <c r="B1916" s="107"/>
      <c r="C1916" s="227">
        <v>0.0</v>
      </c>
    </row>
    <row r="1917">
      <c r="A1917" s="105"/>
      <c r="B1917" s="107"/>
      <c r="C1917" s="227">
        <v>0.0</v>
      </c>
    </row>
    <row r="1918">
      <c r="A1918" s="105"/>
      <c r="B1918" s="107"/>
      <c r="C1918" s="227">
        <v>0.0</v>
      </c>
    </row>
    <row r="1919">
      <c r="A1919" s="105"/>
      <c r="B1919" s="107"/>
      <c r="C1919" s="227">
        <v>0.0</v>
      </c>
    </row>
    <row r="1920">
      <c r="A1920" s="105"/>
      <c r="B1920" s="107"/>
      <c r="C1920" s="227">
        <v>0.0</v>
      </c>
    </row>
    <row r="1921">
      <c r="A1921" s="105"/>
      <c r="B1921" s="107"/>
      <c r="C1921" s="227">
        <v>0.0</v>
      </c>
    </row>
    <row r="1922">
      <c r="A1922" s="105"/>
      <c r="B1922" s="107"/>
      <c r="C1922" s="227">
        <v>0.0</v>
      </c>
    </row>
    <row r="1923">
      <c r="A1923" s="105"/>
      <c r="B1923" s="107"/>
      <c r="C1923" s="227">
        <v>0.0</v>
      </c>
    </row>
    <row r="1924">
      <c r="A1924" s="105"/>
      <c r="B1924" s="107"/>
      <c r="C1924" s="227">
        <v>0.0</v>
      </c>
    </row>
    <row r="1925">
      <c r="A1925" s="105"/>
      <c r="B1925" s="107"/>
      <c r="C1925" s="227">
        <v>0.0</v>
      </c>
    </row>
    <row r="1926">
      <c r="A1926" s="105"/>
      <c r="B1926" s="107"/>
      <c r="C1926" s="227">
        <v>0.0</v>
      </c>
    </row>
    <row r="1927">
      <c r="A1927" s="105"/>
      <c r="B1927" s="107"/>
      <c r="C1927" s="227">
        <v>0.0</v>
      </c>
    </row>
    <row r="1928">
      <c r="A1928" s="105"/>
      <c r="B1928" s="107"/>
      <c r="C1928" s="227">
        <v>0.0</v>
      </c>
    </row>
    <row r="1929">
      <c r="A1929" s="105"/>
      <c r="B1929" s="107"/>
      <c r="C1929" s="227">
        <v>0.0</v>
      </c>
    </row>
    <row r="1930">
      <c r="A1930" s="105"/>
      <c r="B1930" s="107"/>
      <c r="C1930" s="227">
        <v>0.0</v>
      </c>
    </row>
    <row r="1931">
      <c r="A1931" s="105"/>
      <c r="B1931" s="107"/>
      <c r="C1931" s="227">
        <v>0.0</v>
      </c>
    </row>
    <row r="1932">
      <c r="A1932" s="105"/>
      <c r="B1932" s="107"/>
      <c r="C1932" s="227">
        <v>0.0</v>
      </c>
    </row>
    <row r="1933">
      <c r="A1933" s="105"/>
      <c r="B1933" s="107"/>
      <c r="C1933" s="227">
        <v>0.0</v>
      </c>
    </row>
    <row r="1934">
      <c r="A1934" s="105"/>
      <c r="B1934" s="107"/>
      <c r="C1934" s="227">
        <v>0.0</v>
      </c>
    </row>
    <row r="1935">
      <c r="A1935" s="105"/>
      <c r="B1935" s="107"/>
      <c r="C1935" s="227">
        <v>0.0</v>
      </c>
    </row>
    <row r="1936">
      <c r="A1936" s="105"/>
      <c r="B1936" s="107"/>
      <c r="C1936" s="227">
        <v>0.0</v>
      </c>
    </row>
    <row r="1937">
      <c r="A1937" s="105"/>
      <c r="B1937" s="107"/>
      <c r="C1937" s="227">
        <v>0.0</v>
      </c>
    </row>
    <row r="1938">
      <c r="A1938" s="105"/>
      <c r="B1938" s="107"/>
      <c r="C1938" s="227">
        <v>0.0</v>
      </c>
    </row>
    <row r="1939">
      <c r="A1939" s="105"/>
      <c r="B1939" s="107"/>
      <c r="C1939" s="227">
        <v>0.0</v>
      </c>
    </row>
    <row r="1940">
      <c r="A1940" s="105"/>
      <c r="B1940" s="107"/>
      <c r="C1940" s="227">
        <v>0.0</v>
      </c>
    </row>
    <row r="1941">
      <c r="A1941" s="105"/>
      <c r="B1941" s="107"/>
      <c r="C1941" s="227">
        <v>0.0</v>
      </c>
    </row>
    <row r="1942">
      <c r="A1942" s="105"/>
      <c r="B1942" s="107"/>
      <c r="C1942" s="227">
        <v>0.0</v>
      </c>
    </row>
    <row r="1943">
      <c r="A1943" s="105"/>
      <c r="B1943" s="107"/>
      <c r="C1943" s="227">
        <v>0.0</v>
      </c>
    </row>
    <row r="1944">
      <c r="A1944" s="105"/>
      <c r="B1944" s="107"/>
      <c r="C1944" s="227">
        <v>0.0</v>
      </c>
    </row>
    <row r="1945">
      <c r="A1945" s="105"/>
      <c r="B1945" s="107"/>
      <c r="C1945" s="227">
        <v>0.0</v>
      </c>
    </row>
    <row r="1946">
      <c r="A1946" s="105"/>
      <c r="B1946" s="107"/>
      <c r="C1946" s="227">
        <v>0.0</v>
      </c>
    </row>
    <row r="1947">
      <c r="A1947" s="105"/>
      <c r="B1947" s="107"/>
      <c r="C1947" s="227">
        <v>0.0</v>
      </c>
    </row>
    <row r="1948">
      <c r="A1948" s="105"/>
      <c r="B1948" s="107"/>
      <c r="C1948" s="227">
        <v>0.0</v>
      </c>
    </row>
    <row r="1949">
      <c r="A1949" s="105"/>
      <c r="B1949" s="107"/>
      <c r="C1949" s="227">
        <v>0.0</v>
      </c>
    </row>
    <row r="1950">
      <c r="A1950" s="105"/>
      <c r="B1950" s="107"/>
      <c r="C1950" s="227">
        <v>0.0</v>
      </c>
    </row>
    <row r="1951">
      <c r="A1951" s="105"/>
      <c r="B1951" s="107"/>
      <c r="C1951" s="227">
        <v>0.0</v>
      </c>
    </row>
    <row r="1952">
      <c r="A1952" s="105"/>
      <c r="B1952" s="107"/>
      <c r="C1952" s="227">
        <v>0.0</v>
      </c>
    </row>
    <row r="1953">
      <c r="A1953" s="105"/>
      <c r="B1953" s="107"/>
      <c r="C1953" s="227">
        <v>0.0</v>
      </c>
    </row>
    <row r="1954">
      <c r="A1954" s="105"/>
      <c r="B1954" s="107"/>
      <c r="C1954" s="227">
        <v>0.0</v>
      </c>
    </row>
    <row r="1955">
      <c r="A1955" s="105"/>
      <c r="B1955" s="107"/>
      <c r="C1955" s="227">
        <v>0.0</v>
      </c>
    </row>
    <row r="1956">
      <c r="A1956" s="105"/>
      <c r="B1956" s="107"/>
      <c r="C1956" s="227">
        <v>0.0</v>
      </c>
    </row>
    <row r="1957">
      <c r="A1957" s="105"/>
      <c r="B1957" s="107"/>
      <c r="C1957" s="227">
        <v>0.0</v>
      </c>
    </row>
    <row r="1958">
      <c r="A1958" s="105"/>
      <c r="B1958" s="107"/>
      <c r="C1958" s="227">
        <v>0.0</v>
      </c>
    </row>
    <row r="1959">
      <c r="A1959" s="105"/>
      <c r="B1959" s="107"/>
      <c r="C1959" s="227">
        <v>0.0</v>
      </c>
    </row>
    <row r="1960">
      <c r="A1960" s="105"/>
      <c r="B1960" s="107"/>
      <c r="C1960" s="227">
        <v>0.0</v>
      </c>
    </row>
    <row r="1961">
      <c r="A1961" s="105"/>
      <c r="B1961" s="107"/>
      <c r="C1961" s="227">
        <v>0.0</v>
      </c>
    </row>
    <row r="1962">
      <c r="A1962" s="105"/>
      <c r="B1962" s="107"/>
      <c r="C1962" s="227">
        <v>0.0</v>
      </c>
    </row>
    <row r="1963">
      <c r="A1963" s="105"/>
      <c r="B1963" s="107"/>
      <c r="C1963" s="227">
        <v>0.0</v>
      </c>
    </row>
    <row r="1964">
      <c r="A1964" s="105"/>
      <c r="B1964" s="107"/>
      <c r="C1964" s="227">
        <v>0.0</v>
      </c>
    </row>
    <row r="1965">
      <c r="A1965" s="105"/>
      <c r="B1965" s="107"/>
      <c r="C1965" s="227">
        <v>0.0</v>
      </c>
    </row>
    <row r="1966">
      <c r="A1966" s="105"/>
      <c r="B1966" s="107"/>
      <c r="C1966" s="227">
        <v>0.0</v>
      </c>
    </row>
    <row r="1967">
      <c r="A1967" s="105"/>
      <c r="B1967" s="107"/>
      <c r="C1967" s="227">
        <v>0.0</v>
      </c>
    </row>
    <row r="1968">
      <c r="A1968" s="105"/>
      <c r="B1968" s="107"/>
      <c r="C1968" s="227">
        <v>0.0</v>
      </c>
    </row>
    <row r="1969">
      <c r="A1969" s="105"/>
      <c r="B1969" s="107"/>
      <c r="C1969" s="227">
        <v>0.0</v>
      </c>
    </row>
    <row r="1970">
      <c r="A1970" s="105"/>
      <c r="B1970" s="107"/>
      <c r="C1970" s="227">
        <v>0.0</v>
      </c>
    </row>
    <row r="1971">
      <c r="A1971" s="105"/>
      <c r="B1971" s="107"/>
      <c r="C1971" s="227">
        <v>0.0</v>
      </c>
    </row>
    <row r="1972">
      <c r="A1972" s="105"/>
      <c r="B1972" s="107"/>
      <c r="C1972" s="227">
        <v>0.0</v>
      </c>
    </row>
    <row r="1973">
      <c r="A1973" s="105"/>
      <c r="B1973" s="107"/>
      <c r="C1973" s="227">
        <v>0.0</v>
      </c>
    </row>
    <row r="1974">
      <c r="A1974" s="105"/>
      <c r="B1974" s="107"/>
      <c r="C1974" s="227">
        <v>0.0</v>
      </c>
    </row>
    <row r="1975">
      <c r="A1975" s="105"/>
      <c r="B1975" s="107"/>
      <c r="C1975" s="227">
        <v>0.0</v>
      </c>
    </row>
    <row r="1976">
      <c r="A1976" s="105"/>
      <c r="B1976" s="107"/>
      <c r="C1976" s="227">
        <v>0.0</v>
      </c>
    </row>
    <row r="1977">
      <c r="A1977" s="105"/>
      <c r="B1977" s="107"/>
      <c r="C1977" s="227">
        <v>0.0</v>
      </c>
    </row>
    <row r="1978">
      <c r="A1978" s="105"/>
      <c r="B1978" s="107"/>
      <c r="C1978" s="227">
        <v>0.0</v>
      </c>
    </row>
    <row r="1979">
      <c r="A1979" s="105"/>
      <c r="B1979" s="107"/>
      <c r="C1979" s="227">
        <v>0.0</v>
      </c>
    </row>
    <row r="1980">
      <c r="A1980" s="105"/>
      <c r="B1980" s="107"/>
      <c r="C1980" s="227">
        <v>0.0</v>
      </c>
    </row>
    <row r="1981">
      <c r="A1981" s="105"/>
      <c r="B1981" s="107"/>
      <c r="C1981" s="227">
        <v>0.0</v>
      </c>
    </row>
    <row r="1982">
      <c r="A1982" s="105"/>
      <c r="B1982" s="107"/>
      <c r="C1982" s="227">
        <v>0.0</v>
      </c>
    </row>
    <row r="1983">
      <c r="A1983" s="105"/>
      <c r="B1983" s="107"/>
      <c r="C1983" s="227">
        <v>0.0</v>
      </c>
    </row>
    <row r="1984">
      <c r="A1984" s="105"/>
      <c r="B1984" s="107"/>
      <c r="C1984" s="227">
        <v>0.0</v>
      </c>
    </row>
    <row r="1985">
      <c r="A1985" s="105"/>
      <c r="B1985" s="107"/>
      <c r="C1985" s="227">
        <v>0.0</v>
      </c>
    </row>
    <row r="1986">
      <c r="A1986" s="105"/>
      <c r="B1986" s="107"/>
      <c r="C1986" s="227">
        <v>0.0</v>
      </c>
    </row>
    <row r="1987">
      <c r="A1987" s="105"/>
      <c r="B1987" s="107"/>
      <c r="C1987" s="227">
        <v>0.0</v>
      </c>
    </row>
    <row r="1988">
      <c r="A1988" s="105"/>
      <c r="B1988" s="107"/>
      <c r="C1988" s="227">
        <v>0.0</v>
      </c>
    </row>
    <row r="1989">
      <c r="A1989" s="105"/>
      <c r="B1989" s="107"/>
      <c r="C1989" s="227">
        <v>0.0</v>
      </c>
    </row>
    <row r="1990">
      <c r="A1990" s="105"/>
      <c r="B1990" s="107"/>
      <c r="C1990" s="227">
        <v>0.0</v>
      </c>
    </row>
    <row r="1991">
      <c r="A1991" s="105"/>
      <c r="B1991" s="107"/>
      <c r="C1991" s="227">
        <v>0.0</v>
      </c>
    </row>
    <row r="1992">
      <c r="A1992" s="105"/>
      <c r="B1992" s="107"/>
      <c r="C1992" s="227">
        <v>0.0</v>
      </c>
    </row>
    <row r="1993">
      <c r="A1993" s="105"/>
      <c r="B1993" s="107"/>
      <c r="C1993" s="227">
        <v>0.0</v>
      </c>
    </row>
    <row r="1994">
      <c r="A1994" s="105"/>
      <c r="B1994" s="107"/>
      <c r="C1994" s="227">
        <v>0.0</v>
      </c>
    </row>
    <row r="1995">
      <c r="A1995" s="105"/>
      <c r="B1995" s="107"/>
      <c r="C1995" s="227">
        <v>0.0</v>
      </c>
    </row>
    <row r="1996">
      <c r="A1996" s="105"/>
      <c r="B1996" s="107"/>
      <c r="C1996" s="227">
        <v>0.0</v>
      </c>
    </row>
    <row r="1997">
      <c r="A1997" s="105"/>
      <c r="B1997" s="107"/>
      <c r="C1997" s="227">
        <v>0.0</v>
      </c>
    </row>
    <row r="1998">
      <c r="A1998" s="105"/>
      <c r="B1998" s="107"/>
      <c r="C1998" s="227">
        <v>0.0</v>
      </c>
    </row>
    <row r="1999">
      <c r="A1999" s="105"/>
      <c r="B1999" s="107"/>
      <c r="C1999" s="227">
        <v>0.0</v>
      </c>
    </row>
    <row r="2000">
      <c r="A2000" s="105"/>
      <c r="B2000" s="107"/>
      <c r="C2000" s="227">
        <v>0.0</v>
      </c>
    </row>
    <row r="2001">
      <c r="A2001" s="105"/>
      <c r="B2001" s="107"/>
      <c r="C2001" s="227">
        <v>0.0</v>
      </c>
    </row>
    <row r="2002">
      <c r="A2002" s="105"/>
      <c r="B2002" s="107"/>
      <c r="C2002" s="227">
        <v>0.0</v>
      </c>
    </row>
    <row r="2003">
      <c r="A2003" s="105"/>
      <c r="B2003" s="107"/>
      <c r="C2003" s="227">
        <v>0.0</v>
      </c>
    </row>
    <row r="2004">
      <c r="A2004" s="105"/>
      <c r="B2004" s="107"/>
      <c r="C2004" s="227">
        <v>0.0</v>
      </c>
    </row>
    <row r="2005">
      <c r="A2005" s="105"/>
      <c r="B2005" s="107"/>
      <c r="C2005" s="227">
        <v>0.0</v>
      </c>
    </row>
    <row r="2006">
      <c r="A2006" s="105"/>
      <c r="B2006" s="107"/>
      <c r="C2006" s="227">
        <v>0.0</v>
      </c>
    </row>
    <row r="2007">
      <c r="A2007" s="105"/>
      <c r="B2007" s="107"/>
      <c r="C2007" s="227">
        <v>0.0</v>
      </c>
    </row>
    <row r="2008">
      <c r="A2008" s="105"/>
      <c r="B2008" s="107"/>
      <c r="C2008" s="227">
        <v>0.0</v>
      </c>
    </row>
    <row r="2009">
      <c r="A2009" s="105"/>
      <c r="B2009" s="107"/>
      <c r="C2009" s="227">
        <v>0.0</v>
      </c>
    </row>
    <row r="2010">
      <c r="A2010" s="105"/>
      <c r="B2010" s="107"/>
      <c r="C2010" s="227">
        <v>0.0</v>
      </c>
    </row>
    <row r="2011">
      <c r="A2011" s="105"/>
      <c r="B2011" s="107"/>
      <c r="C2011" s="227">
        <v>0.0</v>
      </c>
    </row>
    <row r="2012">
      <c r="A2012" s="105"/>
      <c r="B2012" s="107"/>
      <c r="C2012" s="227">
        <v>0.0</v>
      </c>
    </row>
    <row r="2013">
      <c r="A2013" s="105"/>
      <c r="B2013" s="107"/>
      <c r="C2013" s="227">
        <v>0.0</v>
      </c>
    </row>
    <row r="2014">
      <c r="A2014" s="105"/>
      <c r="B2014" s="107"/>
      <c r="C2014" s="227">
        <v>0.0</v>
      </c>
    </row>
    <row r="2015">
      <c r="A2015" s="105"/>
      <c r="B2015" s="107"/>
      <c r="C2015" s="227">
        <v>0.0</v>
      </c>
    </row>
    <row r="2016">
      <c r="A2016" s="105"/>
      <c r="B2016" s="107"/>
      <c r="C2016" s="227">
        <v>0.0</v>
      </c>
    </row>
    <row r="2017">
      <c r="A2017" s="105"/>
      <c r="B2017" s="107"/>
      <c r="C2017" s="227">
        <v>0.0</v>
      </c>
    </row>
    <row r="2018">
      <c r="A2018" s="105"/>
      <c r="B2018" s="107"/>
      <c r="C2018" s="227">
        <v>0.0</v>
      </c>
    </row>
    <row r="2019">
      <c r="A2019" s="105"/>
      <c r="B2019" s="107"/>
      <c r="C2019" s="227">
        <v>0.0</v>
      </c>
    </row>
    <row r="2020">
      <c r="A2020" s="105"/>
      <c r="B2020" s="107"/>
      <c r="C2020" s="227">
        <v>0.0</v>
      </c>
    </row>
    <row r="2021">
      <c r="A2021" s="105"/>
      <c r="B2021" s="107"/>
      <c r="C2021" s="227">
        <v>0.0</v>
      </c>
    </row>
    <row r="2022">
      <c r="A2022" s="105"/>
      <c r="B2022" s="107"/>
      <c r="C2022" s="227">
        <v>0.0</v>
      </c>
    </row>
    <row r="2023">
      <c r="A2023" s="105"/>
      <c r="B2023" s="107"/>
      <c r="C2023" s="227">
        <v>0.0</v>
      </c>
    </row>
    <row r="2024">
      <c r="A2024" s="105"/>
      <c r="B2024" s="107"/>
      <c r="C2024" s="227">
        <v>0.0</v>
      </c>
    </row>
    <row r="2025">
      <c r="A2025" s="105"/>
      <c r="B2025" s="107"/>
      <c r="C2025" s="227">
        <v>0.0</v>
      </c>
    </row>
    <row r="2026">
      <c r="A2026" s="105"/>
      <c r="B2026" s="107"/>
      <c r="C2026" s="227">
        <v>0.0</v>
      </c>
    </row>
    <row r="2027">
      <c r="A2027" s="105"/>
      <c r="B2027" s="107"/>
      <c r="C2027" s="227">
        <v>0.0</v>
      </c>
    </row>
    <row r="2028">
      <c r="A2028" s="105"/>
      <c r="B2028" s="107"/>
      <c r="C2028" s="227">
        <v>0.0</v>
      </c>
    </row>
    <row r="2029">
      <c r="A2029" s="105"/>
      <c r="B2029" s="107"/>
      <c r="C2029" s="227">
        <v>0.0</v>
      </c>
    </row>
    <row r="2030">
      <c r="A2030" s="105"/>
      <c r="B2030" s="107"/>
      <c r="C2030" s="227">
        <v>0.0</v>
      </c>
    </row>
    <row r="2031">
      <c r="A2031" s="105"/>
      <c r="B2031" s="107"/>
      <c r="C2031" s="227">
        <v>0.0</v>
      </c>
    </row>
    <row r="2032">
      <c r="A2032" s="105"/>
      <c r="B2032" s="107"/>
      <c r="C2032" s="227">
        <v>0.0</v>
      </c>
    </row>
    <row r="2033">
      <c r="A2033" s="105"/>
      <c r="B2033" s="107"/>
      <c r="C2033" s="227">
        <v>0.0</v>
      </c>
    </row>
    <row r="2034">
      <c r="A2034" s="105"/>
      <c r="B2034" s="107"/>
      <c r="C2034" s="227">
        <v>0.0</v>
      </c>
    </row>
    <row r="2035">
      <c r="A2035" s="105"/>
      <c r="B2035" s="107"/>
      <c r="C2035" s="227">
        <v>0.0</v>
      </c>
    </row>
    <row r="2036">
      <c r="A2036" s="105"/>
      <c r="B2036" s="107"/>
      <c r="C2036" s="227">
        <v>0.0</v>
      </c>
    </row>
    <row r="2037">
      <c r="A2037" s="105"/>
      <c r="B2037" s="107"/>
      <c r="C2037" s="227">
        <v>0.0</v>
      </c>
    </row>
    <row r="2038">
      <c r="A2038" s="105"/>
      <c r="B2038" s="107"/>
      <c r="C2038" s="227">
        <v>0.0</v>
      </c>
    </row>
    <row r="2039">
      <c r="A2039" s="105"/>
      <c r="B2039" s="107"/>
      <c r="C2039" s="227">
        <v>0.0</v>
      </c>
    </row>
    <row r="2040">
      <c r="A2040" s="105"/>
      <c r="B2040" s="107"/>
      <c r="C2040" s="227">
        <v>0.0</v>
      </c>
    </row>
    <row r="2041">
      <c r="A2041" s="105"/>
      <c r="B2041" s="107"/>
      <c r="C2041" s="227">
        <v>0.0</v>
      </c>
    </row>
    <row r="2042">
      <c r="A2042" s="105"/>
      <c r="B2042" s="107"/>
      <c r="C2042" s="227">
        <v>0.0</v>
      </c>
    </row>
    <row r="2043">
      <c r="A2043" s="105"/>
      <c r="B2043" s="107"/>
      <c r="C2043" s="227">
        <v>0.0</v>
      </c>
    </row>
    <row r="2044">
      <c r="A2044" s="105"/>
      <c r="B2044" s="107"/>
      <c r="C2044" s="227">
        <v>0.0</v>
      </c>
    </row>
    <row r="2045">
      <c r="A2045" s="105"/>
      <c r="B2045" s="107"/>
      <c r="C2045" s="227">
        <v>0.0</v>
      </c>
    </row>
    <row r="2046">
      <c r="A2046" s="105"/>
      <c r="B2046" s="107"/>
      <c r="C2046" s="227">
        <v>0.0</v>
      </c>
    </row>
    <row r="2047">
      <c r="A2047" s="105"/>
      <c r="B2047" s="107"/>
      <c r="C2047" s="227">
        <v>0.0</v>
      </c>
    </row>
    <row r="2048">
      <c r="A2048" s="105"/>
      <c r="B2048" s="107"/>
      <c r="C2048" s="227">
        <v>0.0</v>
      </c>
    </row>
    <row r="2049">
      <c r="A2049" s="105"/>
      <c r="B2049" s="107"/>
      <c r="C2049" s="227">
        <v>0.0</v>
      </c>
    </row>
    <row r="2050">
      <c r="A2050" s="105"/>
      <c r="B2050" s="107"/>
      <c r="C2050" s="227">
        <v>0.0</v>
      </c>
    </row>
    <row r="2051">
      <c r="A2051" s="105"/>
      <c r="B2051" s="107"/>
      <c r="C2051" s="227">
        <v>0.0</v>
      </c>
    </row>
    <row r="2052">
      <c r="A2052" s="105"/>
      <c r="B2052" s="107"/>
      <c r="C2052" s="227">
        <v>0.0</v>
      </c>
    </row>
    <row r="2053">
      <c r="A2053" s="105"/>
      <c r="B2053" s="107"/>
      <c r="C2053" s="227">
        <v>0.0</v>
      </c>
    </row>
    <row r="2054">
      <c r="A2054" s="105"/>
      <c r="B2054" s="107"/>
      <c r="C2054" s="227">
        <v>0.0</v>
      </c>
    </row>
    <row r="2055">
      <c r="A2055" s="105"/>
      <c r="B2055" s="107"/>
      <c r="C2055" s="227">
        <v>0.0</v>
      </c>
    </row>
    <row r="2056">
      <c r="A2056" s="105"/>
      <c r="B2056" s="107"/>
      <c r="C2056" s="227">
        <v>0.0</v>
      </c>
    </row>
    <row r="2057">
      <c r="A2057" s="105"/>
      <c r="B2057" s="107"/>
      <c r="C2057" s="227">
        <v>0.0</v>
      </c>
    </row>
    <row r="2058">
      <c r="A2058" s="105"/>
      <c r="B2058" s="107"/>
      <c r="C2058" s="227">
        <v>0.0</v>
      </c>
    </row>
    <row r="2059">
      <c r="A2059" s="105"/>
      <c r="B2059" s="107"/>
      <c r="C2059" s="227">
        <v>0.0</v>
      </c>
    </row>
    <row r="2060">
      <c r="A2060" s="105"/>
      <c r="B2060" s="107"/>
      <c r="C2060" s="227">
        <v>0.0</v>
      </c>
    </row>
    <row r="2061">
      <c r="A2061" s="105"/>
      <c r="B2061" s="107"/>
      <c r="C2061" s="227">
        <v>0.0</v>
      </c>
    </row>
    <row r="2062">
      <c r="A2062" s="105"/>
      <c r="B2062" s="107"/>
      <c r="C2062" s="227">
        <v>0.0</v>
      </c>
    </row>
    <row r="2063">
      <c r="A2063" s="105"/>
      <c r="B2063" s="107"/>
      <c r="C2063" s="227">
        <v>0.0</v>
      </c>
    </row>
    <row r="2064">
      <c r="A2064" s="105"/>
      <c r="B2064" s="107"/>
      <c r="C2064" s="227">
        <v>0.0</v>
      </c>
    </row>
    <row r="2065">
      <c r="A2065" s="105"/>
      <c r="B2065" s="107"/>
      <c r="C2065" s="227">
        <v>0.0</v>
      </c>
    </row>
    <row r="2066">
      <c r="A2066" s="105"/>
      <c r="B2066" s="107"/>
      <c r="C2066" s="227">
        <v>0.0</v>
      </c>
    </row>
    <row r="2067">
      <c r="A2067" s="105"/>
      <c r="B2067" s="107"/>
      <c r="C2067" s="227">
        <v>0.0</v>
      </c>
    </row>
    <row r="2068">
      <c r="A2068" s="105"/>
      <c r="B2068" s="107"/>
      <c r="C2068" s="227">
        <v>0.0</v>
      </c>
    </row>
    <row r="2069">
      <c r="A2069" s="105"/>
      <c r="B2069" s="107"/>
      <c r="C2069" s="227">
        <v>0.0</v>
      </c>
    </row>
    <row r="2070">
      <c r="A2070" s="105"/>
      <c r="B2070" s="107"/>
      <c r="C2070" s="227">
        <v>0.0</v>
      </c>
    </row>
    <row r="2071">
      <c r="A2071" s="105"/>
      <c r="B2071" s="107"/>
      <c r="C2071" s="227">
        <v>0.0</v>
      </c>
    </row>
    <row r="2072">
      <c r="A2072" s="105"/>
      <c r="B2072" s="107"/>
      <c r="C2072" s="227">
        <v>0.0</v>
      </c>
    </row>
    <row r="2073">
      <c r="A2073" s="105"/>
      <c r="B2073" s="107"/>
      <c r="C2073" s="227">
        <v>0.0</v>
      </c>
    </row>
    <row r="2074">
      <c r="A2074" s="105"/>
      <c r="B2074" s="107"/>
      <c r="C2074" s="227">
        <v>0.0</v>
      </c>
    </row>
    <row r="2075">
      <c r="A2075" s="105"/>
      <c r="B2075" s="107"/>
      <c r="C2075" s="227">
        <v>0.0</v>
      </c>
    </row>
    <row r="2076">
      <c r="A2076" s="105"/>
      <c r="B2076" s="107"/>
      <c r="C2076" s="227">
        <v>0.0</v>
      </c>
    </row>
    <row r="2077">
      <c r="A2077" s="105"/>
      <c r="B2077" s="107"/>
      <c r="C2077" s="227">
        <v>0.0</v>
      </c>
    </row>
    <row r="2078">
      <c r="A2078" s="105"/>
      <c r="B2078" s="107"/>
      <c r="C2078" s="227">
        <v>0.0</v>
      </c>
    </row>
    <row r="2079">
      <c r="A2079" s="105"/>
      <c r="B2079" s="107"/>
      <c r="C2079" s="227">
        <v>0.0</v>
      </c>
    </row>
    <row r="2080">
      <c r="A2080" s="105"/>
      <c r="B2080" s="107"/>
      <c r="C2080" s="227">
        <v>0.0</v>
      </c>
    </row>
    <row r="2081">
      <c r="A2081" s="105"/>
      <c r="B2081" s="107"/>
      <c r="C2081" s="227">
        <v>0.0</v>
      </c>
    </row>
    <row r="2082">
      <c r="A2082" s="105"/>
      <c r="B2082" s="107"/>
      <c r="C2082" s="227">
        <v>0.0</v>
      </c>
    </row>
    <row r="2083">
      <c r="A2083" s="105"/>
      <c r="B2083" s="107"/>
      <c r="C2083" s="227">
        <v>0.0</v>
      </c>
    </row>
    <row r="2084">
      <c r="A2084" s="105"/>
      <c r="B2084" s="107"/>
      <c r="C2084" s="227">
        <v>0.0</v>
      </c>
    </row>
    <row r="2085">
      <c r="A2085" s="105"/>
      <c r="B2085" s="107"/>
      <c r="C2085" s="227">
        <v>0.0</v>
      </c>
    </row>
    <row r="2086">
      <c r="A2086" s="105"/>
      <c r="B2086" s="107"/>
      <c r="C2086" s="227">
        <v>0.0</v>
      </c>
    </row>
    <row r="2087">
      <c r="A2087" s="105"/>
      <c r="B2087" s="107"/>
      <c r="C2087" s="227">
        <v>0.0</v>
      </c>
    </row>
    <row r="2088">
      <c r="A2088" s="105"/>
      <c r="B2088" s="107"/>
      <c r="C2088" s="227">
        <v>0.0</v>
      </c>
    </row>
    <row r="2089">
      <c r="A2089" s="105"/>
      <c r="B2089" s="107"/>
      <c r="C2089" s="227">
        <v>0.0</v>
      </c>
    </row>
    <row r="2090">
      <c r="A2090" s="105"/>
      <c r="B2090" s="107"/>
      <c r="C2090" s="227">
        <v>0.0</v>
      </c>
    </row>
    <row r="2091">
      <c r="A2091" s="105"/>
      <c r="B2091" s="107"/>
      <c r="C2091" s="227">
        <v>0.0</v>
      </c>
    </row>
    <row r="2092">
      <c r="A2092" s="105"/>
      <c r="B2092" s="107"/>
      <c r="C2092" s="227">
        <v>0.0</v>
      </c>
    </row>
    <row r="2093">
      <c r="A2093" s="105"/>
      <c r="B2093" s="107"/>
      <c r="C2093" s="227">
        <v>0.0</v>
      </c>
    </row>
    <row r="2094">
      <c r="A2094" s="105"/>
      <c r="B2094" s="107"/>
      <c r="C2094" s="227">
        <v>0.0</v>
      </c>
    </row>
    <row r="2095">
      <c r="A2095" s="105"/>
      <c r="B2095" s="107"/>
      <c r="C2095" s="227">
        <v>0.0</v>
      </c>
    </row>
    <row r="2096">
      <c r="A2096" s="105"/>
      <c r="B2096" s="107"/>
      <c r="C2096" s="227">
        <v>0.0</v>
      </c>
    </row>
    <row r="2097">
      <c r="A2097" s="105"/>
      <c r="B2097" s="107"/>
      <c r="C2097" s="227">
        <v>0.0</v>
      </c>
    </row>
    <row r="2098">
      <c r="A2098" s="105"/>
      <c r="B2098" s="107"/>
      <c r="C2098" s="227">
        <v>0.0</v>
      </c>
    </row>
    <row r="2099">
      <c r="A2099" s="105"/>
      <c r="B2099" s="107"/>
      <c r="C2099" s="227">
        <v>0.0</v>
      </c>
    </row>
    <row r="2100">
      <c r="A2100" s="105"/>
      <c r="B2100" s="107"/>
      <c r="C2100" s="227">
        <v>0.0</v>
      </c>
    </row>
    <row r="2101">
      <c r="A2101" s="105"/>
      <c r="B2101" s="107"/>
      <c r="C2101" s="227">
        <v>0.0</v>
      </c>
    </row>
    <row r="2102">
      <c r="A2102" s="105"/>
      <c r="B2102" s="107"/>
      <c r="C2102" s="227">
        <v>0.0</v>
      </c>
    </row>
    <row r="2103">
      <c r="A2103" s="105"/>
      <c r="B2103" s="107"/>
      <c r="C2103" s="227">
        <v>0.0</v>
      </c>
    </row>
    <row r="2104">
      <c r="A2104" s="105"/>
      <c r="B2104" s="107"/>
      <c r="C2104" s="227">
        <v>0.0</v>
      </c>
    </row>
    <row r="2105">
      <c r="A2105" s="105"/>
      <c r="B2105" s="107"/>
      <c r="C2105" s="227">
        <v>0.0</v>
      </c>
    </row>
    <row r="2106">
      <c r="A2106" s="105"/>
      <c r="B2106" s="107"/>
      <c r="C2106" s="227">
        <v>0.0</v>
      </c>
    </row>
    <row r="2107">
      <c r="A2107" s="105"/>
      <c r="B2107" s="107"/>
      <c r="C2107" s="227">
        <v>0.0</v>
      </c>
    </row>
    <row r="2108">
      <c r="A2108" s="105"/>
      <c r="B2108" s="107"/>
      <c r="C2108" s="227">
        <v>0.0</v>
      </c>
    </row>
    <row r="2109">
      <c r="A2109" s="105"/>
      <c r="B2109" s="107"/>
      <c r="C2109" s="227">
        <v>0.0</v>
      </c>
    </row>
    <row r="2110">
      <c r="A2110" s="105"/>
      <c r="B2110" s="107"/>
      <c r="C2110" s="227">
        <v>0.0</v>
      </c>
    </row>
    <row r="2111">
      <c r="A2111" s="105"/>
      <c r="B2111" s="107"/>
      <c r="C2111" s="227">
        <v>0.0</v>
      </c>
    </row>
    <row r="2112">
      <c r="A2112" s="105"/>
      <c r="B2112" s="107"/>
      <c r="C2112" s="227">
        <v>0.0</v>
      </c>
    </row>
    <row r="2113">
      <c r="A2113" s="105"/>
      <c r="B2113" s="107"/>
      <c r="C2113" s="227">
        <v>0.0</v>
      </c>
    </row>
    <row r="2114">
      <c r="A2114" s="105"/>
      <c r="B2114" s="107"/>
      <c r="C2114" s="227">
        <v>0.0</v>
      </c>
    </row>
    <row r="2115">
      <c r="A2115" s="105"/>
      <c r="B2115" s="107"/>
      <c r="C2115" s="227">
        <v>0.0</v>
      </c>
    </row>
    <row r="2116">
      <c r="A2116" s="105"/>
      <c r="B2116" s="107"/>
      <c r="C2116" s="227">
        <v>0.0</v>
      </c>
    </row>
    <row r="2117">
      <c r="A2117" s="105"/>
      <c r="B2117" s="107"/>
      <c r="C2117" s="227">
        <v>0.0</v>
      </c>
    </row>
    <row r="2118">
      <c r="A2118" s="105"/>
      <c r="B2118" s="107"/>
      <c r="C2118" s="227">
        <v>0.0</v>
      </c>
    </row>
    <row r="2119">
      <c r="A2119" s="105"/>
      <c r="B2119" s="107"/>
      <c r="C2119" s="227">
        <v>0.0</v>
      </c>
    </row>
    <row r="2120">
      <c r="A2120" s="105"/>
      <c r="B2120" s="107"/>
      <c r="C2120" s="227">
        <v>0.0</v>
      </c>
    </row>
    <row r="2121">
      <c r="A2121" s="105"/>
      <c r="B2121" s="107"/>
      <c r="C2121" s="227">
        <v>0.0</v>
      </c>
    </row>
    <row r="2122">
      <c r="A2122" s="105"/>
      <c r="B2122" s="107"/>
      <c r="C2122" s="227">
        <v>0.0</v>
      </c>
    </row>
    <row r="2123">
      <c r="A2123" s="105"/>
      <c r="B2123" s="107"/>
      <c r="C2123" s="227">
        <v>0.0</v>
      </c>
    </row>
    <row r="2124">
      <c r="A2124" s="105"/>
      <c r="B2124" s="107"/>
      <c r="C2124" s="227">
        <v>0.0</v>
      </c>
    </row>
    <row r="2125">
      <c r="A2125" s="105"/>
      <c r="B2125" s="107"/>
      <c r="C2125" s="227">
        <v>0.0</v>
      </c>
    </row>
    <row r="2126">
      <c r="A2126" s="105"/>
      <c r="B2126" s="107"/>
      <c r="C2126" s="227">
        <v>0.0</v>
      </c>
    </row>
    <row r="2127">
      <c r="A2127" s="105"/>
      <c r="B2127" s="107"/>
      <c r="C2127" s="227">
        <v>0.0</v>
      </c>
    </row>
    <row r="2128">
      <c r="A2128" s="105"/>
      <c r="B2128" s="107"/>
      <c r="C2128" s="227">
        <v>0.0</v>
      </c>
    </row>
    <row r="2129">
      <c r="A2129" s="105"/>
      <c r="B2129" s="107"/>
      <c r="C2129" s="227">
        <v>0.0</v>
      </c>
    </row>
    <row r="2130">
      <c r="A2130" s="105"/>
      <c r="B2130" s="107"/>
      <c r="C2130" s="227">
        <v>0.0</v>
      </c>
    </row>
    <row r="2131">
      <c r="A2131" s="105"/>
      <c r="B2131" s="107"/>
      <c r="C2131" s="227">
        <v>0.0</v>
      </c>
    </row>
    <row r="2132">
      <c r="A2132" s="105"/>
      <c r="B2132" s="107"/>
      <c r="C2132" s="227">
        <v>0.0</v>
      </c>
    </row>
    <row r="2133">
      <c r="A2133" s="105"/>
      <c r="B2133" s="107"/>
      <c r="C2133" s="227">
        <v>0.0</v>
      </c>
    </row>
    <row r="2134">
      <c r="A2134" s="105"/>
      <c r="B2134" s="107"/>
      <c r="C2134" s="227">
        <v>0.0</v>
      </c>
    </row>
    <row r="2135">
      <c r="A2135" s="105"/>
      <c r="B2135" s="107"/>
      <c r="C2135" s="227">
        <v>0.0</v>
      </c>
    </row>
    <row r="2136">
      <c r="A2136" s="105"/>
      <c r="B2136" s="107"/>
      <c r="C2136" s="227">
        <v>0.0</v>
      </c>
    </row>
    <row r="2137">
      <c r="A2137" s="105"/>
      <c r="B2137" s="107"/>
      <c r="C2137" s="227">
        <v>0.0</v>
      </c>
    </row>
    <row r="2138">
      <c r="A2138" s="105"/>
      <c r="B2138" s="107"/>
      <c r="C2138" s="227">
        <v>0.0</v>
      </c>
    </row>
    <row r="2139">
      <c r="A2139" s="105"/>
      <c r="B2139" s="107"/>
      <c r="C2139" s="227">
        <v>0.0</v>
      </c>
    </row>
    <row r="2140">
      <c r="A2140" s="105"/>
      <c r="B2140" s="107"/>
      <c r="C2140" s="227">
        <v>0.0</v>
      </c>
    </row>
    <row r="2141">
      <c r="A2141" s="105"/>
      <c r="B2141" s="107"/>
      <c r="C2141" s="227">
        <v>0.0</v>
      </c>
    </row>
    <row r="2142">
      <c r="A2142" s="105"/>
      <c r="B2142" s="107"/>
      <c r="C2142" s="227">
        <v>0.0</v>
      </c>
    </row>
    <row r="2143">
      <c r="A2143" s="105"/>
      <c r="B2143" s="107"/>
      <c r="C2143" s="227">
        <v>0.0</v>
      </c>
    </row>
    <row r="2144">
      <c r="A2144" s="105"/>
      <c r="B2144" s="107"/>
      <c r="C2144" s="227">
        <v>0.0</v>
      </c>
    </row>
    <row r="2145">
      <c r="A2145" s="105"/>
      <c r="B2145" s="107"/>
      <c r="C2145" s="227">
        <v>0.0</v>
      </c>
    </row>
    <row r="2146">
      <c r="A2146" s="105"/>
      <c r="B2146" s="107"/>
      <c r="C2146" s="227">
        <v>0.0</v>
      </c>
    </row>
    <row r="2147">
      <c r="A2147" s="105"/>
      <c r="B2147" s="107"/>
      <c r="C2147" s="227">
        <v>0.0</v>
      </c>
    </row>
    <row r="2148">
      <c r="A2148" s="105"/>
      <c r="B2148" s="107"/>
      <c r="C2148" s="227">
        <v>0.0</v>
      </c>
    </row>
    <row r="2149">
      <c r="A2149" s="105"/>
      <c r="B2149" s="107"/>
      <c r="C2149" s="227">
        <v>0.0</v>
      </c>
    </row>
    <row r="2150">
      <c r="A2150" s="105"/>
      <c r="B2150" s="107"/>
      <c r="C2150" s="227">
        <v>0.0</v>
      </c>
    </row>
    <row r="2151">
      <c r="A2151" s="105"/>
      <c r="B2151" s="107"/>
      <c r="C2151" s="227">
        <v>0.0</v>
      </c>
    </row>
    <row r="2152">
      <c r="A2152" s="105"/>
      <c r="B2152" s="107"/>
      <c r="C2152" s="227">
        <v>0.0</v>
      </c>
    </row>
    <row r="2153">
      <c r="A2153" s="105"/>
      <c r="B2153" s="107"/>
      <c r="C2153" s="227">
        <v>0.0</v>
      </c>
    </row>
    <row r="2154">
      <c r="A2154" s="105"/>
      <c r="B2154" s="107"/>
      <c r="C2154" s="227">
        <v>0.0</v>
      </c>
    </row>
    <row r="2155">
      <c r="A2155" s="105"/>
      <c r="B2155" s="107"/>
      <c r="C2155" s="227">
        <v>0.0</v>
      </c>
    </row>
    <row r="2156">
      <c r="A2156" s="105"/>
      <c r="B2156" s="107"/>
      <c r="C2156" s="227">
        <v>0.0</v>
      </c>
    </row>
    <row r="2157">
      <c r="A2157" s="105"/>
      <c r="B2157" s="107"/>
      <c r="C2157" s="227">
        <v>0.0</v>
      </c>
    </row>
    <row r="2158">
      <c r="A2158" s="105"/>
      <c r="B2158" s="107"/>
      <c r="C2158" s="227">
        <v>0.0</v>
      </c>
    </row>
    <row r="2159">
      <c r="A2159" s="105"/>
      <c r="B2159" s="107"/>
      <c r="C2159" s="227">
        <v>0.0</v>
      </c>
    </row>
    <row r="2160">
      <c r="A2160" s="105"/>
      <c r="B2160" s="107"/>
      <c r="C2160" s="227">
        <v>0.0</v>
      </c>
    </row>
    <row r="2161">
      <c r="A2161" s="105"/>
      <c r="B2161" s="107"/>
      <c r="C2161" s="227">
        <v>0.0</v>
      </c>
    </row>
    <row r="2162">
      <c r="A2162" s="105"/>
      <c r="B2162" s="107"/>
      <c r="C2162" s="227">
        <v>0.0</v>
      </c>
    </row>
    <row r="2163">
      <c r="A2163" s="105"/>
      <c r="B2163" s="107"/>
      <c r="C2163" s="227">
        <v>0.0</v>
      </c>
    </row>
    <row r="2164">
      <c r="A2164" s="105"/>
      <c r="B2164" s="107"/>
      <c r="C2164" s="227">
        <v>0.0</v>
      </c>
    </row>
    <row r="2165">
      <c r="A2165" s="105"/>
      <c r="B2165" s="107"/>
      <c r="C2165" s="227">
        <v>0.0</v>
      </c>
    </row>
    <row r="2166">
      <c r="A2166" s="105"/>
      <c r="B2166" s="107"/>
      <c r="C2166" s="227">
        <v>0.0</v>
      </c>
    </row>
    <row r="2167">
      <c r="A2167" s="105"/>
      <c r="B2167" s="107"/>
      <c r="C2167" s="227">
        <v>0.0</v>
      </c>
    </row>
    <row r="2168">
      <c r="A2168" s="105"/>
      <c r="B2168" s="107"/>
      <c r="C2168" s="227">
        <v>0.0</v>
      </c>
    </row>
    <row r="2169">
      <c r="A2169" s="105"/>
      <c r="B2169" s="107"/>
      <c r="C2169" s="227">
        <v>0.0</v>
      </c>
    </row>
    <row r="2170">
      <c r="A2170" s="105"/>
      <c r="B2170" s="107"/>
      <c r="C2170" s="227">
        <v>0.0</v>
      </c>
    </row>
    <row r="2171">
      <c r="A2171" s="105"/>
      <c r="B2171" s="107"/>
      <c r="C2171" s="227">
        <v>0.0</v>
      </c>
    </row>
    <row r="2172">
      <c r="A2172" s="105"/>
      <c r="B2172" s="107"/>
      <c r="C2172" s="227">
        <v>0.0</v>
      </c>
    </row>
    <row r="2173">
      <c r="A2173" s="105"/>
      <c r="B2173" s="107"/>
      <c r="C2173" s="227">
        <v>0.0</v>
      </c>
    </row>
    <row r="2174">
      <c r="A2174" s="105"/>
      <c r="B2174" s="107"/>
      <c r="C2174" s="227">
        <v>0.0</v>
      </c>
    </row>
    <row r="2175">
      <c r="A2175" s="105"/>
      <c r="B2175" s="107"/>
      <c r="C2175" s="227">
        <v>0.0</v>
      </c>
    </row>
    <row r="2176">
      <c r="A2176" s="105"/>
      <c r="B2176" s="107"/>
      <c r="C2176" s="227">
        <v>0.0</v>
      </c>
    </row>
    <row r="2177">
      <c r="A2177" s="105"/>
      <c r="B2177" s="107"/>
      <c r="C2177" s="227">
        <v>0.0</v>
      </c>
    </row>
    <row r="2178">
      <c r="A2178" s="105"/>
      <c r="B2178" s="107"/>
      <c r="C2178" s="227">
        <v>0.0</v>
      </c>
    </row>
    <row r="2179">
      <c r="A2179" s="105"/>
      <c r="B2179" s="107"/>
      <c r="C2179" s="227">
        <v>0.0</v>
      </c>
    </row>
    <row r="2180">
      <c r="A2180" s="105"/>
      <c r="B2180" s="107"/>
      <c r="C2180" s="227">
        <v>0.0</v>
      </c>
    </row>
    <row r="2181">
      <c r="A2181" s="105"/>
      <c r="B2181" s="107"/>
      <c r="C2181" s="227">
        <v>0.0</v>
      </c>
    </row>
    <row r="2182">
      <c r="A2182" s="105"/>
      <c r="B2182" s="107"/>
      <c r="C2182" s="227">
        <v>0.0</v>
      </c>
    </row>
    <row r="2183">
      <c r="A2183" s="105"/>
      <c r="B2183" s="107"/>
      <c r="C2183" s="227">
        <v>0.0</v>
      </c>
    </row>
    <row r="2184">
      <c r="A2184" s="105"/>
      <c r="B2184" s="107"/>
      <c r="C2184" s="227">
        <v>0.0</v>
      </c>
    </row>
    <row r="2185">
      <c r="A2185" s="105"/>
      <c r="B2185" s="107"/>
      <c r="C2185" s="227">
        <v>0.0</v>
      </c>
    </row>
    <row r="2186">
      <c r="A2186" s="105"/>
      <c r="B2186" s="107"/>
      <c r="C2186" s="227">
        <v>0.0</v>
      </c>
    </row>
    <row r="2187">
      <c r="A2187" s="105"/>
      <c r="B2187" s="107"/>
      <c r="C2187" s="227">
        <v>0.0</v>
      </c>
    </row>
    <row r="2188">
      <c r="A2188" s="105"/>
      <c r="B2188" s="107"/>
      <c r="C2188" s="227">
        <v>0.0</v>
      </c>
    </row>
  </sheetData>
  <autoFilter ref="$I$6:$K$417">
    <sortState ref="I6:K417">
      <sortCondition descending="1" ref="K6:K417"/>
    </sortState>
  </autoFilter>
  <mergeCells count="1">
    <mergeCell ref="I3:K3"/>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0.75"/>
  </cols>
  <sheetData>
    <row r="1">
      <c r="A1" s="232" t="s">
        <v>810</v>
      </c>
      <c r="B1" s="233"/>
      <c r="C1" s="233"/>
      <c r="D1" s="233"/>
      <c r="E1" s="233"/>
      <c r="F1" s="233"/>
      <c r="G1" s="233"/>
      <c r="H1" s="234"/>
      <c r="I1" s="234"/>
      <c r="J1" s="234"/>
      <c r="K1" s="234"/>
      <c r="L1" s="234"/>
      <c r="M1" s="233"/>
      <c r="N1" s="233"/>
      <c r="O1" s="233"/>
    </row>
    <row r="2">
      <c r="H2" s="235"/>
      <c r="I2" s="235"/>
      <c r="J2" s="235"/>
      <c r="K2" s="235"/>
      <c r="L2" s="235"/>
    </row>
    <row r="3">
      <c r="A3" s="236" t="s">
        <v>1</v>
      </c>
      <c r="B3" s="237" t="s">
        <v>811</v>
      </c>
      <c r="H3" s="235"/>
      <c r="I3" s="235"/>
      <c r="J3" s="235"/>
      <c r="K3" s="235"/>
      <c r="L3" s="235"/>
    </row>
    <row r="4">
      <c r="A4" s="238" t="s">
        <v>38</v>
      </c>
      <c r="B4" s="239">
        <v>817083.08</v>
      </c>
      <c r="C4" s="240"/>
      <c r="H4" s="235"/>
      <c r="I4" s="235"/>
      <c r="J4" s="235"/>
      <c r="K4" s="235"/>
      <c r="L4" s="235"/>
    </row>
    <row r="5">
      <c r="A5" s="238" t="s">
        <v>39</v>
      </c>
      <c r="B5" s="241" t="s">
        <v>63</v>
      </c>
      <c r="C5" s="240"/>
      <c r="H5" s="235"/>
      <c r="I5" s="235"/>
      <c r="J5" s="235"/>
      <c r="K5" s="235"/>
      <c r="L5" s="235"/>
    </row>
    <row r="6">
      <c r="A6" s="238" t="s">
        <v>40</v>
      </c>
      <c r="B6" s="241" t="s">
        <v>63</v>
      </c>
      <c r="C6" s="242"/>
      <c r="H6" s="235"/>
      <c r="I6" s="235"/>
      <c r="J6" s="235"/>
      <c r="K6" s="235"/>
      <c r="L6" s="235"/>
    </row>
    <row r="7">
      <c r="A7" s="243" t="s">
        <v>41</v>
      </c>
      <c r="B7" s="244" t="s">
        <v>63</v>
      </c>
      <c r="C7" s="242"/>
      <c r="H7" s="235"/>
      <c r="I7" s="235"/>
      <c r="J7" s="235"/>
      <c r="K7" s="235"/>
      <c r="L7" s="235"/>
    </row>
    <row r="8">
      <c r="A8" s="245" t="s">
        <v>42</v>
      </c>
      <c r="B8" s="246">
        <v>817083.08</v>
      </c>
      <c r="C8" s="240"/>
      <c r="H8" s="235"/>
      <c r="I8" s="235"/>
      <c r="J8" s="235"/>
      <c r="K8" s="235"/>
      <c r="L8" s="235"/>
    </row>
    <row r="9">
      <c r="A9" s="247" t="s">
        <v>43</v>
      </c>
      <c r="B9" s="248">
        <v>0.6</v>
      </c>
      <c r="C9" s="240"/>
      <c r="H9" s="235"/>
      <c r="I9" s="235"/>
      <c r="J9" s="235"/>
      <c r="K9" s="235"/>
      <c r="L9" s="235"/>
    </row>
    <row r="10">
      <c r="A10" s="238" t="s">
        <v>44</v>
      </c>
      <c r="B10" s="239">
        <v>490249.85</v>
      </c>
      <c r="C10" s="240"/>
      <c r="H10" s="235"/>
      <c r="I10" s="235"/>
      <c r="J10" s="235"/>
      <c r="K10" s="235"/>
      <c r="L10" s="235"/>
    </row>
    <row r="11">
      <c r="A11" s="249"/>
      <c r="B11" s="249"/>
      <c r="C11" s="240"/>
      <c r="H11" s="235"/>
      <c r="I11" s="235"/>
      <c r="J11" s="235"/>
      <c r="K11" s="235"/>
      <c r="L11" s="235"/>
    </row>
    <row r="12">
      <c r="A12" s="245" t="s">
        <v>45</v>
      </c>
      <c r="B12" s="246">
        <v>166684.95</v>
      </c>
      <c r="C12" s="240"/>
      <c r="H12" s="235"/>
      <c r="I12" s="235"/>
      <c r="J12" s="235"/>
      <c r="K12" s="235"/>
      <c r="L12" s="235"/>
    </row>
    <row r="13">
      <c r="A13" s="250" t="s">
        <v>812</v>
      </c>
      <c r="B13" s="251">
        <v>8334.25</v>
      </c>
      <c r="H13" s="235"/>
      <c r="I13" s="235"/>
      <c r="J13" s="235"/>
      <c r="K13" s="235"/>
      <c r="L13" s="235"/>
    </row>
    <row r="14">
      <c r="H14" s="235"/>
      <c r="I14" s="235"/>
      <c r="J14" s="235"/>
      <c r="K14" s="235"/>
      <c r="L14" s="235"/>
    </row>
    <row r="15">
      <c r="A15" s="232" t="s">
        <v>813</v>
      </c>
      <c r="B15" s="252"/>
      <c r="C15" s="252"/>
      <c r="D15" s="233"/>
      <c r="E15" s="233"/>
      <c r="F15" s="233"/>
      <c r="G15" s="233"/>
      <c r="H15" s="234"/>
      <c r="I15" s="234"/>
      <c r="J15" s="234"/>
      <c r="K15" s="234"/>
      <c r="L15" s="234"/>
      <c r="M15" s="233"/>
      <c r="N15" s="233"/>
      <c r="O15" s="233"/>
    </row>
    <row r="16">
      <c r="B16" s="253">
        <v>44197.0</v>
      </c>
      <c r="C16" s="253">
        <v>44440.0</v>
      </c>
      <c r="D16" s="254"/>
      <c r="H16" s="235"/>
      <c r="I16" s="235"/>
      <c r="J16" s="235"/>
      <c r="K16" s="235"/>
      <c r="L16" s="235"/>
    </row>
    <row r="17">
      <c r="A17" s="255"/>
      <c r="B17" s="256" t="s">
        <v>814</v>
      </c>
      <c r="C17" s="256" t="s">
        <v>815</v>
      </c>
      <c r="D17" s="257" t="s">
        <v>816</v>
      </c>
      <c r="H17" s="235"/>
      <c r="I17" s="235"/>
      <c r="J17" s="235"/>
      <c r="K17" s="235"/>
      <c r="L17" s="235"/>
    </row>
    <row r="18">
      <c r="A18" s="9" t="str">
        <f>A10</f>
        <v>Exclusão da Base de cálculo do IRPJ e CSLL</v>
      </c>
      <c r="B18" s="258">
        <v>490249.85</v>
      </c>
      <c r="C18" s="258">
        <f>RESUMO!B15</f>
        <v>85227.29709</v>
      </c>
      <c r="D18" s="259">
        <f>C18-B18</f>
        <v>-405022.5529</v>
      </c>
      <c r="H18" s="235"/>
      <c r="I18" s="235"/>
      <c r="J18" s="235"/>
      <c r="K18" s="235"/>
      <c r="L18" s="235"/>
    </row>
    <row r="19">
      <c r="D19" s="260"/>
      <c r="H19" s="235"/>
      <c r="I19" s="235"/>
      <c r="J19" s="235"/>
      <c r="K19" s="235"/>
      <c r="L19" s="235"/>
    </row>
    <row r="20">
      <c r="A20" s="261" t="str">
        <f t="shared" ref="A20:A21" si="1">A12</f>
        <v>Economia Estimada [34%]</v>
      </c>
      <c r="B20" s="262">
        <v>166684.95</v>
      </c>
      <c r="C20" s="263">
        <f>RESUMO!B17</f>
        <v>28977.28101</v>
      </c>
      <c r="D20" s="264">
        <f>C20-B20</f>
        <v>-137707.669</v>
      </c>
      <c r="H20" s="235"/>
      <c r="I20" s="235"/>
      <c r="J20" s="235"/>
      <c r="K20" s="235"/>
      <c r="L20" s="235"/>
    </row>
    <row r="21">
      <c r="A21" s="40" t="str">
        <f t="shared" si="1"/>
        <v>Comissão McBenner</v>
      </c>
      <c r="B21" s="41">
        <v>8334.25</v>
      </c>
      <c r="C21" s="41">
        <f>RESUMO!B18</f>
        <v>2897.728101</v>
      </c>
      <c r="D21" s="265">
        <f>D20*0.05</f>
        <v>-6885.38345</v>
      </c>
      <c r="H21" s="235"/>
      <c r="I21" s="235"/>
      <c r="J21" s="235"/>
      <c r="K21" s="235"/>
      <c r="L21" s="235"/>
    </row>
    <row r="22">
      <c r="D22" s="254"/>
      <c r="H22" s="235"/>
      <c r="I22" s="235"/>
      <c r="J22" s="235"/>
      <c r="K22" s="235"/>
      <c r="L22" s="235"/>
    </row>
    <row r="23">
      <c r="A23" s="232" t="s">
        <v>817</v>
      </c>
      <c r="B23" s="233"/>
      <c r="C23" s="233"/>
      <c r="D23" s="233"/>
      <c r="E23" s="233"/>
      <c r="F23" s="233"/>
      <c r="G23" s="233"/>
      <c r="H23" s="234"/>
      <c r="I23" s="234"/>
      <c r="J23" s="234"/>
      <c r="K23" s="234"/>
      <c r="L23" s="234"/>
      <c r="M23" s="233"/>
      <c r="N23" s="233"/>
      <c r="O23" s="233"/>
    </row>
    <row r="24">
      <c r="H24" s="235"/>
      <c r="I24" s="235"/>
      <c r="J24" s="235"/>
      <c r="K24" s="235"/>
      <c r="L24" s="235"/>
    </row>
    <row r="25">
      <c r="A25" s="21" t="s">
        <v>818</v>
      </c>
      <c r="B25" s="266" t="s">
        <v>819</v>
      </c>
      <c r="F25" s="267" t="s">
        <v>820</v>
      </c>
      <c r="J25" s="268" t="s">
        <v>821</v>
      </c>
    </row>
    <row r="26">
      <c r="A26" s="52"/>
      <c r="B26" s="269" t="s">
        <v>822</v>
      </c>
      <c r="C26" s="269" t="s">
        <v>823</v>
      </c>
      <c r="D26" s="269" t="s">
        <v>824</v>
      </c>
      <c r="E26" s="270" t="s">
        <v>825</v>
      </c>
      <c r="F26" s="271" t="s">
        <v>822</v>
      </c>
      <c r="G26" s="269" t="s">
        <v>823</v>
      </c>
      <c r="H26" s="269" t="s">
        <v>824</v>
      </c>
      <c r="I26" s="270" t="s">
        <v>825</v>
      </c>
      <c r="J26" s="272" t="s">
        <v>822</v>
      </c>
      <c r="K26" s="273" t="s">
        <v>823</v>
      </c>
      <c r="L26" s="273" t="s">
        <v>824</v>
      </c>
      <c r="M26" s="274" t="s">
        <v>825</v>
      </c>
    </row>
    <row r="27">
      <c r="A27" s="54" t="s">
        <v>62</v>
      </c>
      <c r="B27" s="275">
        <f>RESUMO!C33</f>
        <v>0</v>
      </c>
      <c r="C27" s="275">
        <f>RESUMO!D33</f>
        <v>0</v>
      </c>
      <c r="D27" s="275" t="str">
        <f>RESUMO!F33</f>
        <v>-</v>
      </c>
      <c r="E27" s="276" t="str">
        <f>RESUMO!G33</f>
        <v>-</v>
      </c>
      <c r="F27" s="277" t="str">
        <f>IFERROR(__xludf.DUMMYFUNCTION("importrange(""11ZRq5DODw6LjXxnvQ5qrelYeEQdBWgd9RGlY-7Z02EE"",""RESUMO!C33:D38"")"),"#REF!")</f>
        <v>#REF!</v>
      </c>
      <c r="G27" s="278"/>
      <c r="H27" s="279" t="str">
        <f>IFERROR(__xludf.DUMMYFUNCTION("importrange(""11ZRq5DODw6LjXxnvQ5qrelYeEQdBWgd9RGlY-7Z02EE"",""RESUMO!F33:G38"")"),"#REF!")</f>
        <v>#REF!</v>
      </c>
      <c r="I27" s="278"/>
      <c r="J27" s="280" t="str">
        <f t="shared" ref="J27:M27" si="2">F27-B27</f>
        <v>#REF!</v>
      </c>
      <c r="K27" s="281">
        <f t="shared" si="2"/>
        <v>0</v>
      </c>
      <c r="L27" s="282" t="str">
        <f t="shared" si="2"/>
        <v>#REF!</v>
      </c>
      <c r="M27" s="281" t="str">
        <f t="shared" si="2"/>
        <v>#VALUE!</v>
      </c>
    </row>
    <row r="28">
      <c r="A28" s="61" t="s">
        <v>64</v>
      </c>
      <c r="B28" s="275">
        <f>RESUMO!C34</f>
        <v>0</v>
      </c>
      <c r="C28" s="275">
        <f>RESUMO!D34</f>
        <v>0</v>
      </c>
      <c r="D28" s="275" t="str">
        <f>RESUMO!F34</f>
        <v>#N/A</v>
      </c>
      <c r="E28" s="276">
        <f>RESUMO!G34</f>
        <v>0</v>
      </c>
      <c r="F28" s="277"/>
      <c r="G28" s="278"/>
      <c r="H28" s="279"/>
      <c r="I28" s="278"/>
      <c r="J28" s="280">
        <f t="shared" ref="J28:M28" si="3">F28-B28</f>
        <v>0</v>
      </c>
      <c r="K28" s="281">
        <f t="shared" si="3"/>
        <v>0</v>
      </c>
      <c r="L28" s="282" t="str">
        <f t="shared" si="3"/>
        <v>#N/A</v>
      </c>
      <c r="M28" s="281">
        <f t="shared" si="3"/>
        <v>0</v>
      </c>
    </row>
    <row r="29">
      <c r="A29" s="54" t="s">
        <v>66</v>
      </c>
      <c r="B29" s="275">
        <f>RESUMO!C36</f>
        <v>9829.277184</v>
      </c>
      <c r="C29" s="275">
        <f>RESUMO!D36</f>
        <v>7.75</v>
      </c>
      <c r="D29" s="275" t="str">
        <f>RESUMO!F36</f>
        <v>-</v>
      </c>
      <c r="E29" s="276" t="str">
        <f>RESUMO!G36</f>
        <v>-</v>
      </c>
      <c r="F29" s="277"/>
      <c r="G29" s="278"/>
      <c r="H29" s="279"/>
      <c r="I29" s="278"/>
      <c r="J29" s="280">
        <f t="shared" ref="J29:M29" si="4">F29-B29</f>
        <v>-9829.277184</v>
      </c>
      <c r="K29" s="281">
        <f t="shared" si="4"/>
        <v>-7.75</v>
      </c>
      <c r="L29" s="282" t="str">
        <f t="shared" si="4"/>
        <v>#VALUE!</v>
      </c>
      <c r="M29" s="281" t="str">
        <f t="shared" si="4"/>
        <v>#VALUE!</v>
      </c>
    </row>
    <row r="30">
      <c r="A30" s="54" t="s">
        <v>826</v>
      </c>
      <c r="B30" s="275">
        <f>RESUMO!C37</f>
        <v>14192.51869</v>
      </c>
      <c r="C30" s="275">
        <f>RESUMO!D37</f>
        <v>9.208333333</v>
      </c>
      <c r="D30" s="275" t="str">
        <f>RESUMO!F37</f>
        <v>-</v>
      </c>
      <c r="E30" s="276" t="str">
        <f>RESUMO!G37</f>
        <v>-</v>
      </c>
      <c r="F30" s="277"/>
      <c r="G30" s="278"/>
      <c r="H30" s="279"/>
      <c r="I30" s="278"/>
      <c r="J30" s="280">
        <f t="shared" ref="J30:M30" si="5">F30-B30</f>
        <v>-14192.51869</v>
      </c>
      <c r="K30" s="281">
        <f t="shared" si="5"/>
        <v>-9.208333333</v>
      </c>
      <c r="L30" s="282" t="str">
        <f t="shared" si="5"/>
        <v>#VALUE!</v>
      </c>
      <c r="M30" s="281" t="str">
        <f t="shared" si="5"/>
        <v>#VALUE!</v>
      </c>
    </row>
    <row r="31">
      <c r="A31" s="21" t="s">
        <v>68</v>
      </c>
      <c r="B31" s="275">
        <f>RESUMO!C38</f>
        <v>20096.81376</v>
      </c>
      <c r="C31" s="275">
        <f>RESUMO!D38</f>
        <v>15.63541667</v>
      </c>
      <c r="D31" s="275" t="str">
        <f>RESUMO!F38</f>
        <v>-</v>
      </c>
      <c r="E31" s="276" t="str">
        <f>RESUMO!G38</f>
        <v>-</v>
      </c>
      <c r="F31" s="277"/>
      <c r="G31" s="278"/>
      <c r="H31" s="279"/>
      <c r="I31" s="278"/>
      <c r="J31" s="280">
        <f t="shared" ref="J31:M31" si="6">F31-B31</f>
        <v>-20096.81376</v>
      </c>
      <c r="K31" s="281">
        <f t="shared" si="6"/>
        <v>-15.63541667</v>
      </c>
      <c r="L31" s="282" t="str">
        <f t="shared" si="6"/>
        <v>#VALUE!</v>
      </c>
      <c r="M31" s="281" t="str">
        <f t="shared" si="6"/>
        <v>#VALUE!</v>
      </c>
    </row>
    <row r="32">
      <c r="A32" s="21" t="s">
        <v>69</v>
      </c>
      <c r="B32" s="275">
        <f>RESUMO!C39</f>
        <v>0</v>
      </c>
      <c r="C32" s="275">
        <f>RESUMO!D39</f>
        <v>0</v>
      </c>
      <c r="D32" s="275" t="str">
        <f>RESUMO!F39</f>
        <v>#N/A</v>
      </c>
      <c r="E32" s="276">
        <f>RESUMO!G39</f>
        <v>0</v>
      </c>
      <c r="F32" s="277"/>
      <c r="G32" s="278"/>
      <c r="H32" s="279"/>
      <c r="I32" s="278"/>
      <c r="J32" s="280">
        <f t="shared" ref="J32:M32" si="7">F32-B32</f>
        <v>0</v>
      </c>
      <c r="K32" s="281">
        <f t="shared" si="7"/>
        <v>0</v>
      </c>
      <c r="L32" s="282" t="str">
        <f t="shared" si="7"/>
        <v>#N/A</v>
      </c>
      <c r="M32" s="281">
        <f t="shared" si="7"/>
        <v>0</v>
      </c>
      <c r="N32" s="283" t="s">
        <v>827</v>
      </c>
    </row>
    <row r="33">
      <c r="A33" s="64"/>
      <c r="B33" s="284">
        <f t="shared" ref="B33:E33" si="8">sum(B27:B32)</f>
        <v>44118.60963</v>
      </c>
      <c r="C33" s="285">
        <f t="shared" si="8"/>
        <v>32.59375</v>
      </c>
      <c r="D33" s="286" t="str">
        <f t="shared" si="8"/>
        <v>#N/A</v>
      </c>
      <c r="E33" s="287">
        <f t="shared" si="8"/>
        <v>0</v>
      </c>
      <c r="F33" s="288" t="str">
        <f t="shared" ref="F33:M33" si="9">SUM(F27:F32)</f>
        <v>#REF!</v>
      </c>
      <c r="G33" s="289">
        <f t="shared" si="9"/>
        <v>0</v>
      </c>
      <c r="H33" s="290" t="str">
        <f t="shared" si="9"/>
        <v>#REF!</v>
      </c>
      <c r="I33" s="289">
        <f t="shared" si="9"/>
        <v>0</v>
      </c>
      <c r="J33" s="291" t="str">
        <f t="shared" si="9"/>
        <v>#REF!</v>
      </c>
      <c r="K33" s="292">
        <f t="shared" si="9"/>
        <v>-32.59375</v>
      </c>
      <c r="L33" s="291" t="str">
        <f t="shared" si="9"/>
        <v>#REF!</v>
      </c>
      <c r="M33" s="292" t="str">
        <f t="shared" si="9"/>
        <v>#VALUE!</v>
      </c>
      <c r="N33" s="293" t="str">
        <f>sum(J33:M33)</f>
        <v>#REF!</v>
      </c>
    </row>
    <row r="34">
      <c r="H34" s="235"/>
      <c r="I34" s="235"/>
      <c r="J34" s="235"/>
      <c r="K34" s="235"/>
      <c r="L34" s="235"/>
    </row>
    <row r="35">
      <c r="A35" s="21" t="s">
        <v>828</v>
      </c>
      <c r="C35" s="50" t="s">
        <v>819</v>
      </c>
      <c r="G35" s="294" t="s">
        <v>820</v>
      </c>
      <c r="K35" s="268" t="s">
        <v>821</v>
      </c>
    </row>
    <row r="36">
      <c r="A36" s="43" t="s">
        <v>6</v>
      </c>
      <c r="B36" s="43" t="s">
        <v>829</v>
      </c>
      <c r="C36" s="43" t="s">
        <v>71</v>
      </c>
      <c r="D36" s="43" t="s">
        <v>72</v>
      </c>
      <c r="E36" s="43" t="s">
        <v>73</v>
      </c>
      <c r="F36" s="43" t="s">
        <v>74</v>
      </c>
      <c r="G36" s="295" t="s">
        <v>71</v>
      </c>
      <c r="H36" s="53" t="s">
        <v>72</v>
      </c>
      <c r="I36" s="53" t="s">
        <v>73</v>
      </c>
      <c r="J36" s="53" t="s">
        <v>74</v>
      </c>
      <c r="K36" s="272" t="s">
        <v>71</v>
      </c>
      <c r="L36" s="273" t="s">
        <v>72</v>
      </c>
      <c r="M36" s="273" t="s">
        <v>73</v>
      </c>
      <c r="N36" s="273" t="s">
        <v>74</v>
      </c>
    </row>
    <row r="37">
      <c r="A37" s="21"/>
      <c r="B37" s="296"/>
      <c r="C37" s="258" t="str">
        <f>SUMIFS(Investimentos!$E:$E,Investimentos!$G:$G,"Material",Investimentos!$M:$M,RIGHT($B37,3),#REF!,TRUE)</f>
        <v>#VALUE!</v>
      </c>
      <c r="D37" s="258">
        <f>SUMIFS(Investimentos!$E:$E,Investimentos!$G:$G,"Serviço",Investimentos!$I:$I,$B37)</f>
        <v>0</v>
      </c>
      <c r="E37" s="258">
        <f>IFERROR(__xludf.DUMMYFUNCTION("IFERROR(SUM(FILTER(#REF!,LEFT(Trabalho!$A$2:$A75,10) = B37,MATCH(Trabalho!$B$2:$B75,FILTER(Pessoal1!$A$7:$A$31,Pessoal1!$V$7:$V$31 = ""Parcial""),0))),0)"),0.0)</f>
        <v>0</v>
      </c>
      <c r="F37" s="297">
        <v>0.0</v>
      </c>
      <c r="G37" s="298"/>
      <c r="H37" s="297">
        <v>0.0</v>
      </c>
      <c r="I37" s="297"/>
      <c r="J37" s="297"/>
      <c r="K37" s="299" t="str">
        <f t="shared" ref="K37:N37" si="10">G37-C37</f>
        <v>#VALUE!</v>
      </c>
      <c r="L37" s="300">
        <f t="shared" si="10"/>
        <v>0</v>
      </c>
      <c r="M37" s="300">
        <f t="shared" si="10"/>
        <v>0</v>
      </c>
      <c r="N37" s="300">
        <f t="shared" si="10"/>
        <v>0</v>
      </c>
    </row>
    <row r="38">
      <c r="A38" s="21"/>
      <c r="B38" s="296"/>
      <c r="C38" s="258" t="str">
        <f>SUMIFS(Investimentos!$E:$E,Investimentos!$G:$G,"Material",Investimentos!$M:$M,RIGHT($B38,3),#REF!,TRUE)</f>
        <v>#VALUE!</v>
      </c>
      <c r="D38" s="258">
        <f>SUMIFS(Investimentos!$E:$E,Investimentos!$G:$G,"Serviço",Investimentos!$I:$I,$B38)</f>
        <v>0</v>
      </c>
      <c r="E38" s="258">
        <f>IFERROR(__xludf.DUMMYFUNCTION("IFERROR(SUM(FILTER(#REF!,LEFT(Trabalho!$A$2:$A75,10) = B38,MATCH(Trabalho!$B$2:$B75,FILTER(Pessoal1!$A$7:$A$31,Pessoal1!$V$7:$V$31 = ""Parcial""),0))),0)"),0.0)</f>
        <v>0</v>
      </c>
      <c r="F38" s="297">
        <v>0.0</v>
      </c>
      <c r="G38" s="298"/>
      <c r="H38" s="297">
        <v>0.0</v>
      </c>
      <c r="I38" s="297"/>
      <c r="J38" s="297"/>
      <c r="K38" s="299" t="str">
        <f t="shared" ref="K38:N38" si="11">G38-C38</f>
        <v>#VALUE!</v>
      </c>
      <c r="L38" s="300">
        <f t="shared" si="11"/>
        <v>0</v>
      </c>
      <c r="M38" s="300">
        <f t="shared" si="11"/>
        <v>0</v>
      </c>
      <c r="N38" s="300">
        <f t="shared" si="11"/>
        <v>0</v>
      </c>
    </row>
    <row r="39">
      <c r="A39" s="21"/>
      <c r="B39" s="296"/>
      <c r="C39" s="258" t="str">
        <f>SUMIFS(Investimentos!$E:$E,Investimentos!$G:$G,"Material",Investimentos!$M:$M,RIGHT($B39,3),#REF!,TRUE)</f>
        <v>#VALUE!</v>
      </c>
      <c r="D39" s="258">
        <f>SUMIFS(Investimentos!$E:$E,Investimentos!$G:$G,"Serviço",Investimentos!$I:$I,$B39)</f>
        <v>0</v>
      </c>
      <c r="E39" s="258">
        <f>IFERROR(__xludf.DUMMYFUNCTION("IFERROR(SUM(FILTER(#REF!,LEFT(Trabalho!$A$2:$A75,10) = B39,MATCH(Trabalho!$B$2:$B75,FILTER(Pessoal1!$A$7:$A$31,Pessoal1!$V$7:$V$31 = ""Parcial""),0))),0)"),0.0)</f>
        <v>0</v>
      </c>
      <c r="F39" s="297">
        <v>0.0</v>
      </c>
      <c r="G39" s="298"/>
      <c r="H39" s="297">
        <v>0.0</v>
      </c>
      <c r="I39" s="297"/>
      <c r="J39" s="297"/>
      <c r="K39" s="299" t="str">
        <f t="shared" ref="K39:N39" si="12">G39-C39</f>
        <v>#VALUE!</v>
      </c>
      <c r="L39" s="300">
        <f t="shared" si="12"/>
        <v>0</v>
      </c>
      <c r="M39" s="300">
        <f t="shared" si="12"/>
        <v>0</v>
      </c>
      <c r="N39" s="300">
        <f t="shared" si="12"/>
        <v>0</v>
      </c>
    </row>
    <row r="40">
      <c r="A40" s="21"/>
      <c r="B40" s="296"/>
      <c r="C40" s="258" t="str">
        <f>SUMIFS(Investimentos!$E:$E,Investimentos!$G:$G,"Material",Investimentos!$M:$M,RIGHT($B40,3),#REF!,TRUE)</f>
        <v>#VALUE!</v>
      </c>
      <c r="D40" s="258">
        <f>SUMIFS(Investimentos!$E:$E,Investimentos!$G:$G,"Serviço",Investimentos!$I:$I,$B40)</f>
        <v>0</v>
      </c>
      <c r="E40" s="258">
        <f>IFERROR(__xludf.DUMMYFUNCTION("IFERROR(SUM(FILTER(#REF!,LEFT(Trabalho!$A$2:$A75,10) = B40,MATCH(Trabalho!$B$2:$B75,FILTER(Pessoal1!$A$7:$A$31,Pessoal1!$V$7:$V$31 = ""Parcial""),0))),0)"),0.0)</f>
        <v>0</v>
      </c>
      <c r="F40" s="297">
        <v>0.0</v>
      </c>
      <c r="G40" s="298"/>
      <c r="H40" s="297">
        <v>0.0</v>
      </c>
      <c r="I40" s="297"/>
      <c r="J40" s="297"/>
      <c r="K40" s="299"/>
      <c r="L40" s="300"/>
      <c r="M40" s="300"/>
      <c r="N40" s="300"/>
    </row>
    <row r="41">
      <c r="A41" s="21"/>
      <c r="B41" s="296"/>
      <c r="C41" s="258" t="str">
        <f>SUMIFS(Investimentos!$E:$E,Investimentos!$G:$G,"Material",Investimentos!$M:$M,RIGHT($B41,3),#REF!,TRUE)</f>
        <v>#VALUE!</v>
      </c>
      <c r="D41" s="258">
        <f>SUMIFS(Investimentos!$E:$E,Investimentos!$G:$G,"Serviço",Investimentos!$I:$I,$B41)</f>
        <v>0</v>
      </c>
      <c r="E41" s="258">
        <f>IFERROR(__xludf.DUMMYFUNCTION("IFERROR(SUM(FILTER(#REF!,LEFT(Trabalho!$A$2:$A75,10) = B41,MATCH(Trabalho!$B$2:$B75,FILTER(Pessoal1!$A$7:$A$31,Pessoal1!$V$7:$V$31 = ""Parcial""),0))),0)"),0.0)</f>
        <v>0</v>
      </c>
      <c r="F41" s="297">
        <v>0.0</v>
      </c>
      <c r="G41" s="298"/>
      <c r="H41" s="297">
        <v>0.0</v>
      </c>
      <c r="I41" s="297"/>
      <c r="J41" s="297"/>
      <c r="K41" s="299"/>
      <c r="L41" s="300"/>
      <c r="M41" s="300"/>
      <c r="N41" s="300"/>
    </row>
    <row r="42">
      <c r="A42" s="21"/>
      <c r="B42" s="296"/>
      <c r="C42" s="258" t="str">
        <f>SUMIFS(Investimentos!$E:$E,Investimentos!$G:$G,"Material",Investimentos!$M:$M,RIGHT($B42,3),#REF!,TRUE)</f>
        <v>#VALUE!</v>
      </c>
      <c r="D42" s="258">
        <f>SUMIFS(Investimentos!$E:$E,Investimentos!$G:$G,"Serviço",Investimentos!$I:$I,$B42)</f>
        <v>0</v>
      </c>
      <c r="E42" s="258">
        <f>IFERROR(__xludf.DUMMYFUNCTION("IFERROR(SUM(FILTER(#REF!,LEFT(Trabalho!$A$2:$A75,10) = B42,MATCH(Trabalho!$B$2:$B75,FILTER(Pessoal1!$A$7:$A$31,Pessoal1!$V$7:$V$31 = ""Parcial""),0))),0)"),0.0)</f>
        <v>0</v>
      </c>
      <c r="F42" s="297">
        <v>0.0</v>
      </c>
      <c r="G42" s="298"/>
      <c r="H42" s="297">
        <v>0.0</v>
      </c>
      <c r="I42" s="297"/>
      <c r="J42" s="297"/>
      <c r="K42" s="299" t="str">
        <f t="shared" ref="K42:N42" si="13">G42-C42</f>
        <v>#VALUE!</v>
      </c>
      <c r="L42" s="300">
        <f t="shared" si="13"/>
        <v>0</v>
      </c>
      <c r="M42" s="300">
        <f t="shared" si="13"/>
        <v>0</v>
      </c>
      <c r="N42" s="300">
        <f t="shared" si="13"/>
        <v>0</v>
      </c>
    </row>
    <row r="43">
      <c r="A43" s="21"/>
      <c r="B43" s="296"/>
      <c r="C43" s="258" t="str">
        <f>SUMIFS(Investimentos!$E:$E,Investimentos!$G:$G,"Material",Investimentos!$M:$M,RIGHT($B43,3),#REF!,TRUE)</f>
        <v>#VALUE!</v>
      </c>
      <c r="D43" s="258">
        <f>SUMIFS(Investimentos!$E:$E,Investimentos!$G:$G,"Serviço",Investimentos!$I:$I,$B43)</f>
        <v>0</v>
      </c>
      <c r="E43" s="258">
        <f>IFERROR(__xludf.DUMMYFUNCTION("IFERROR(SUM(FILTER(#REF!,LEFT(Trabalho!$A$2:$A75,10) = B43,MATCH(Trabalho!$B$2:$B75,FILTER(Pessoal1!$A$7:$A$31,Pessoal1!$V$7:$V$31 = ""Parcial""),0))),0)"),0.0)</f>
        <v>0</v>
      </c>
      <c r="F43" s="297">
        <v>0.0</v>
      </c>
      <c r="G43" s="298"/>
      <c r="H43" s="297">
        <v>0.0</v>
      </c>
      <c r="I43" s="297"/>
      <c r="J43" s="297"/>
      <c r="K43" s="299" t="str">
        <f t="shared" ref="K43:N43" si="14">G43-C43</f>
        <v>#VALUE!</v>
      </c>
      <c r="L43" s="300">
        <f t="shared" si="14"/>
        <v>0</v>
      </c>
      <c r="M43" s="300">
        <f t="shared" si="14"/>
        <v>0</v>
      </c>
      <c r="N43" s="300">
        <f t="shared" si="14"/>
        <v>0</v>
      </c>
    </row>
    <row r="44">
      <c r="A44" s="21"/>
      <c r="B44" s="296"/>
      <c r="C44" s="258" t="str">
        <f>SUMIFS(Investimentos!$E:$E,Investimentos!$G:$G,"Material",Investimentos!$M:$M,RIGHT($B44,3),#REF!,TRUE)</f>
        <v>#VALUE!</v>
      </c>
      <c r="D44" s="258">
        <f>SUMIFS(Investimentos!$E:$E,Investimentos!$G:$G,"Serviço",Investimentos!$I:$I,$B44)</f>
        <v>0</v>
      </c>
      <c r="E44" s="258">
        <f>IFERROR(__xludf.DUMMYFUNCTION("IFERROR(SUM(FILTER(#REF!,LEFT(Trabalho!$A$2:$A75,10) = B44,MATCH(Trabalho!$B$2:$B75,FILTER(Pessoal1!$A$7:$A$31,Pessoal1!$V$7:$V$31 = ""Parcial""),0))),0)"),0.0)</f>
        <v>0</v>
      </c>
      <c r="F44" s="297">
        <v>0.0</v>
      </c>
      <c r="G44" s="298"/>
      <c r="H44" s="297">
        <v>0.0</v>
      </c>
      <c r="I44" s="301"/>
      <c r="J44" s="301"/>
      <c r="K44" s="299" t="str">
        <f t="shared" ref="K44:N44" si="15">G44-C44</f>
        <v>#VALUE!</v>
      </c>
      <c r="L44" s="300">
        <f t="shared" si="15"/>
        <v>0</v>
      </c>
      <c r="M44" s="300">
        <f t="shared" si="15"/>
        <v>0</v>
      </c>
      <c r="N44" s="300">
        <f t="shared" si="15"/>
        <v>0</v>
      </c>
    </row>
    <row r="45">
      <c r="A45" s="21"/>
      <c r="B45" s="296"/>
      <c r="C45" s="258" t="str">
        <f>SUMIFS(Investimentos!$E:$E,Investimentos!$G:$G,"Material",Investimentos!$M:$M,RIGHT($B45,3),#REF!,TRUE)</f>
        <v>#VALUE!</v>
      </c>
      <c r="D45" s="258">
        <f>SUMIFS(Investimentos!$E:$E,Investimentos!$G:$G,"Serviço",Investimentos!$I:$I,$B45)</f>
        <v>0</v>
      </c>
      <c r="E45" s="258">
        <f>IFERROR(__xludf.DUMMYFUNCTION("IFERROR(SUM(FILTER(#REF!,LEFT(Trabalho!$A$2:$A75,10) = B45,MATCH(Trabalho!$B$2:$B75,FILTER(Pessoal1!$A$7:$A$31,Pessoal1!$V$7:$V$31 = ""Parcial""),0))),0)"),0.0)</f>
        <v>0</v>
      </c>
      <c r="F45" s="297">
        <v>0.0</v>
      </c>
      <c r="G45" s="298"/>
      <c r="H45" s="297">
        <v>0.0</v>
      </c>
      <c r="I45" s="301"/>
      <c r="J45" s="301"/>
      <c r="K45" s="299" t="str">
        <f t="shared" ref="K45:N45" si="16">G45-C45</f>
        <v>#VALUE!</v>
      </c>
      <c r="L45" s="300">
        <f t="shared" si="16"/>
        <v>0</v>
      </c>
      <c r="M45" s="300">
        <f t="shared" si="16"/>
        <v>0</v>
      </c>
      <c r="N45" s="300">
        <f t="shared" si="16"/>
        <v>0</v>
      </c>
    </row>
    <row r="46">
      <c r="A46" s="21"/>
      <c r="B46" s="296"/>
      <c r="C46" s="258" t="str">
        <f>SUMIFS(Investimentos!$E:$E,Investimentos!$G:$G,"Material",Investimentos!$M:$M,RIGHT($B46,3),#REF!,TRUE)</f>
        <v>#VALUE!</v>
      </c>
      <c r="D46" s="258">
        <f>SUMIFS(Investimentos!$E:$E,Investimentos!$G:$G,"Serviço",Investimentos!$I:$I,$B46)</f>
        <v>0</v>
      </c>
      <c r="E46" s="258">
        <f>IFERROR(__xludf.DUMMYFUNCTION("IFERROR(SUM(FILTER(#REF!,LEFT(Trabalho!$A$2:$A75,10) = B46,MATCH(Trabalho!$B$2:$B75,FILTER(Pessoal1!$A$7:$A$31,Pessoal1!$V$7:$V$31 = ""Parcial""),0))),0)"),0.0)</f>
        <v>0</v>
      </c>
      <c r="F46" s="297">
        <v>0.0</v>
      </c>
      <c r="G46" s="298"/>
      <c r="H46" s="297">
        <v>0.0</v>
      </c>
      <c r="I46" s="301"/>
      <c r="J46" s="301"/>
      <c r="K46" s="299" t="str">
        <f t="shared" ref="K46:N46" si="17">G46-C46</f>
        <v>#VALUE!</v>
      </c>
      <c r="L46" s="300">
        <f t="shared" si="17"/>
        <v>0</v>
      </c>
      <c r="M46" s="300">
        <f t="shared" si="17"/>
        <v>0</v>
      </c>
      <c r="N46" s="300">
        <f t="shared" si="17"/>
        <v>0</v>
      </c>
    </row>
    <row r="47">
      <c r="A47" s="21"/>
      <c r="B47" s="296"/>
      <c r="C47" s="258" t="str">
        <f>SUMIFS(Investimentos!$E:$E,Investimentos!$G:$G,"Material",Investimentos!$M:$M,RIGHT($B47,3),#REF!,TRUE)</f>
        <v>#VALUE!</v>
      </c>
      <c r="D47" s="258">
        <f>SUMIFS(Investimentos!$E:$E,Investimentos!$G:$G,"Serviço",Investimentos!$I:$I,$B47)</f>
        <v>0</v>
      </c>
      <c r="E47" s="258">
        <f>IFERROR(__xludf.DUMMYFUNCTION("IFERROR(SUM(FILTER(#REF!,LEFT(Trabalho!$A$2:$A75,10) = B47,MATCH(Trabalho!$B$2:$B75,FILTER(Pessoal1!$A$7:$A$31,Pessoal1!$V$7:$V$31 = ""Parcial""),0))),0)"),0.0)</f>
        <v>0</v>
      </c>
      <c r="F47" s="297">
        <v>0.0</v>
      </c>
      <c r="G47" s="298"/>
      <c r="H47" s="297">
        <v>0.0</v>
      </c>
      <c r="I47" s="301"/>
      <c r="J47" s="301"/>
      <c r="K47" s="299" t="str">
        <f t="shared" ref="K47:N47" si="18">G47-C47</f>
        <v>#VALUE!</v>
      </c>
      <c r="L47" s="300">
        <f t="shared" si="18"/>
        <v>0</v>
      </c>
      <c r="M47" s="300">
        <f t="shared" si="18"/>
        <v>0</v>
      </c>
      <c r="N47" s="300">
        <f t="shared" si="18"/>
        <v>0</v>
      </c>
    </row>
    <row r="48">
      <c r="A48" s="21"/>
      <c r="B48" s="296"/>
      <c r="C48" s="258" t="str">
        <f>SUMIFS(Investimentos!$E:$E,Investimentos!$G:$G,"Material",Investimentos!$M:$M,RIGHT($B48,3),#REF!,TRUE)</f>
        <v>#VALUE!</v>
      </c>
      <c r="D48" s="258">
        <f>SUMIFS(Investimentos!$E:$E,Investimentos!$G:$G,"Serviço",Investimentos!$I:$I,$B48)</f>
        <v>0</v>
      </c>
      <c r="E48" s="258">
        <f>IFERROR(__xludf.DUMMYFUNCTION("IFERROR(SUM(FILTER(#REF!,LEFT(Trabalho!$A$2:$A75,10) = B48,MATCH(Trabalho!$B$2:$B75,FILTER(Pessoal1!$A$7:$A$31,Pessoal1!$V$7:$V$31 = ""Parcial""),0))),0)"),0.0)</f>
        <v>0</v>
      </c>
      <c r="F48" s="297">
        <v>0.0</v>
      </c>
      <c r="G48" s="298"/>
      <c r="H48" s="297">
        <v>0.0</v>
      </c>
      <c r="I48" s="301"/>
      <c r="J48" s="301"/>
      <c r="K48" s="299" t="str">
        <f t="shared" ref="K48:N48" si="19">G48-C48</f>
        <v>#VALUE!</v>
      </c>
      <c r="L48" s="300">
        <f t="shared" si="19"/>
        <v>0</v>
      </c>
      <c r="M48" s="300">
        <f t="shared" si="19"/>
        <v>0</v>
      </c>
      <c r="N48" s="300">
        <f t="shared" si="19"/>
        <v>0</v>
      </c>
    </row>
    <row r="49">
      <c r="A49" s="21"/>
      <c r="B49" s="296"/>
      <c r="C49" s="258" t="str">
        <f>SUMIFS(Investimentos!$E:$E,Investimentos!$G:$G,"Material",Investimentos!$M:$M,RIGHT($B49,3),#REF!,TRUE)</f>
        <v>#VALUE!</v>
      </c>
      <c r="D49" s="258">
        <f>SUMIFS(Investimentos!$E:$E,Investimentos!$G:$G,"Serviço",Investimentos!$I:$I,$B49)</f>
        <v>0</v>
      </c>
      <c r="E49" s="258">
        <f>IFERROR(__xludf.DUMMYFUNCTION("IFERROR(SUM(FILTER(#REF!,LEFT(Trabalho!$A$2:$A75,10) = B49,MATCH(Trabalho!$B$2:$B75,FILTER(Pessoal1!$A$7:$A$31,Pessoal1!$V$7:$V$31 = ""Parcial""),0))),0)"),0.0)</f>
        <v>0</v>
      </c>
      <c r="F49" s="297">
        <v>0.0</v>
      </c>
      <c r="G49" s="298"/>
      <c r="H49" s="297">
        <v>0.0</v>
      </c>
      <c r="I49" s="301"/>
      <c r="J49" s="301"/>
      <c r="K49" s="299" t="str">
        <f t="shared" ref="K49:N49" si="20">G49-C49</f>
        <v>#VALUE!</v>
      </c>
      <c r="L49" s="300">
        <f t="shared" si="20"/>
        <v>0</v>
      </c>
      <c r="M49" s="300">
        <f t="shared" si="20"/>
        <v>0</v>
      </c>
      <c r="N49" s="300">
        <f t="shared" si="20"/>
        <v>0</v>
      </c>
    </row>
    <row r="50">
      <c r="A50" s="21"/>
      <c r="B50" s="296"/>
      <c r="C50" s="258" t="str">
        <f>SUMIFS(Investimentos!$E:$E,Investimentos!$G:$G,"Material",Investimentos!$M:$M,RIGHT($B50,3),#REF!,TRUE)</f>
        <v>#VALUE!</v>
      </c>
      <c r="D50" s="258">
        <f>SUMIFS(Investimentos!$E:$E,Investimentos!$G:$G,"Serviço",Investimentos!$I:$I,$B50)</f>
        <v>0</v>
      </c>
      <c r="E50" s="258">
        <f>IFERROR(__xludf.DUMMYFUNCTION("IFERROR(SUM(FILTER(#REF!,LEFT(Trabalho!$A$2:$A75,10) = B50,MATCH(Trabalho!$B$2:$B75,FILTER(Pessoal1!$A$7:$A$31,Pessoal1!$V$7:$V$31 = ""Parcial""),0))),0)"),0.0)</f>
        <v>0</v>
      </c>
      <c r="F50" s="297">
        <v>0.0</v>
      </c>
      <c r="G50" s="298"/>
      <c r="H50" s="297">
        <v>0.0</v>
      </c>
      <c r="I50" s="301"/>
      <c r="J50" s="301"/>
      <c r="K50" s="299" t="str">
        <f t="shared" ref="K50:N50" si="21">G50-C50</f>
        <v>#VALUE!</v>
      </c>
      <c r="L50" s="300">
        <f t="shared" si="21"/>
        <v>0</v>
      </c>
      <c r="M50" s="300">
        <f t="shared" si="21"/>
        <v>0</v>
      </c>
      <c r="N50" s="300">
        <f t="shared" si="21"/>
        <v>0</v>
      </c>
    </row>
    <row r="51">
      <c r="A51" s="21"/>
      <c r="B51" s="296"/>
      <c r="C51" s="258" t="str">
        <f>SUMIFS(Investimentos!$E:$E,Investimentos!$G:$G,"Material",Investimentos!$M:$M,RIGHT($B51,3),#REF!,TRUE)</f>
        <v>#VALUE!</v>
      </c>
      <c r="D51" s="258">
        <f>SUMIFS(Investimentos!$E:$E,Investimentos!$G:$G,"Serviço",Investimentos!$I:$I,$B51)</f>
        <v>0</v>
      </c>
      <c r="E51" s="258">
        <f>IFERROR(__xludf.DUMMYFUNCTION("IFERROR(SUM(FILTER(#REF!,LEFT(Trabalho!$A$2:$A75,10) = B51,MATCH(Trabalho!$B$2:$B75,FILTER(Pessoal1!$A$7:$A$31,Pessoal1!$V$7:$V$31 = ""Parcial""),0))),0)"),0.0)</f>
        <v>0</v>
      </c>
      <c r="F51" s="297">
        <v>0.0</v>
      </c>
      <c r="G51" s="298"/>
      <c r="H51" s="297">
        <v>0.0</v>
      </c>
      <c r="I51" s="301"/>
      <c r="J51" s="301"/>
      <c r="K51" s="299" t="str">
        <f t="shared" ref="K51:N51" si="22">G51-C51</f>
        <v>#VALUE!</v>
      </c>
      <c r="L51" s="300">
        <f t="shared" si="22"/>
        <v>0</v>
      </c>
      <c r="M51" s="300">
        <f t="shared" si="22"/>
        <v>0</v>
      </c>
      <c r="N51" s="300">
        <f t="shared" si="22"/>
        <v>0</v>
      </c>
    </row>
    <row r="52">
      <c r="A52" s="21"/>
      <c r="B52" s="296"/>
      <c r="C52" s="258" t="str">
        <f>SUMIFS(Investimentos!$E:$E,Investimentos!$G:$G,"Material",Investimentos!$M:$M,RIGHT($B52,3),#REF!,TRUE)</f>
        <v>#VALUE!</v>
      </c>
      <c r="D52" s="258">
        <f>SUMIFS(Investimentos!$E:$E,Investimentos!$G:$G,"Serviço",Investimentos!$I:$I,$B52)</f>
        <v>0</v>
      </c>
      <c r="E52" s="258">
        <f>IFERROR(__xludf.DUMMYFUNCTION("IFERROR(SUM(FILTER(#REF!,LEFT(Trabalho!$A$2:$A75,10) = B52,MATCH(Trabalho!$B$2:$B75,FILTER(Pessoal1!$A$7:$A$31,Pessoal1!$V$7:$V$31 = ""Parcial""),0))),0)"),0.0)</f>
        <v>0</v>
      </c>
      <c r="F52" s="297">
        <v>0.0</v>
      </c>
      <c r="G52" s="298"/>
      <c r="H52" s="297">
        <v>0.0</v>
      </c>
      <c r="I52" s="301"/>
      <c r="J52" s="301"/>
      <c r="K52" s="299" t="str">
        <f t="shared" ref="K52:N52" si="23">G52-C52</f>
        <v>#VALUE!</v>
      </c>
      <c r="L52" s="300">
        <f t="shared" si="23"/>
        <v>0</v>
      </c>
      <c r="M52" s="300">
        <f t="shared" si="23"/>
        <v>0</v>
      </c>
      <c r="N52" s="300">
        <f t="shared" si="23"/>
        <v>0</v>
      </c>
    </row>
    <row r="53">
      <c r="A53" s="21"/>
      <c r="B53" s="296"/>
      <c r="C53" s="258" t="str">
        <f>SUMIFS(Investimentos!$E:$E,Investimentos!$G:$G,"Material",Investimentos!$M:$M,RIGHT($B53,3),#REF!,TRUE)</f>
        <v>#VALUE!</v>
      </c>
      <c r="D53" s="258">
        <f>SUMIFS(Investimentos!$E:$E,Investimentos!$G:$G,"Serviço",Investimentos!$I:$I,$B53)</f>
        <v>0</v>
      </c>
      <c r="E53" s="258">
        <f>IFERROR(__xludf.DUMMYFUNCTION("IFERROR(SUM(FILTER(#REF!,LEFT(Trabalho!$A$2:$A75,10) = B53,MATCH(Trabalho!$B$2:$B75,FILTER(Pessoal1!$A$7:$A$31,Pessoal1!$V$7:$V$31 = ""Parcial""),0))),0)"),0.0)</f>
        <v>0</v>
      </c>
      <c r="F53" s="297">
        <v>0.0</v>
      </c>
      <c r="G53" s="298"/>
      <c r="H53" s="297">
        <v>0.0</v>
      </c>
      <c r="I53" s="301"/>
      <c r="J53" s="301"/>
      <c r="K53" s="299" t="str">
        <f t="shared" ref="K53:N53" si="24">G53-C53</f>
        <v>#VALUE!</v>
      </c>
      <c r="L53" s="300">
        <f t="shared" si="24"/>
        <v>0</v>
      </c>
      <c r="M53" s="300">
        <f t="shared" si="24"/>
        <v>0</v>
      </c>
      <c r="N53" s="300">
        <f t="shared" si="24"/>
        <v>0</v>
      </c>
    </row>
    <row r="54">
      <c r="A54" s="21"/>
      <c r="B54" s="296"/>
      <c r="C54" s="258" t="str">
        <f>SUMIFS(Investimentos!$E:$E,Investimentos!$G:$G,"Material",Investimentos!$M:$M,RIGHT($B54,3),#REF!,TRUE)</f>
        <v>#VALUE!</v>
      </c>
      <c r="D54" s="258">
        <f>SUMIFS(Investimentos!$E:$E,Investimentos!$G:$G,"Serviço",Investimentos!$I:$I,$B54)</f>
        <v>0</v>
      </c>
      <c r="E54" s="258">
        <f>IFERROR(__xludf.DUMMYFUNCTION("IFERROR(SUM(FILTER(#REF!,LEFT(Trabalho!$A$2:$A75,10) = B54,MATCH(Trabalho!$B$2:$B75,FILTER(Pessoal1!$A$7:$A$31,Pessoal1!$V$7:$V$31 = ""Parcial""),0))),0)"),0.0)</f>
        <v>0</v>
      </c>
      <c r="F54" s="297">
        <v>0.0</v>
      </c>
      <c r="G54" s="298"/>
      <c r="H54" s="297">
        <v>0.0</v>
      </c>
      <c r="I54" s="301"/>
      <c r="J54" s="301"/>
      <c r="K54" s="299" t="str">
        <f t="shared" ref="K54:N54" si="25">G54-C54</f>
        <v>#VALUE!</v>
      </c>
      <c r="L54" s="300">
        <f t="shared" si="25"/>
        <v>0</v>
      </c>
      <c r="M54" s="300">
        <f t="shared" si="25"/>
        <v>0</v>
      </c>
      <c r="N54" s="300">
        <f t="shared" si="25"/>
        <v>0</v>
      </c>
    </row>
    <row r="55">
      <c r="A55" s="21"/>
      <c r="B55" s="296"/>
      <c r="C55" s="258" t="str">
        <f>SUMIFS(Investimentos!$E:$E,Investimentos!$G:$G,"Material",Investimentos!$M:$M,RIGHT($B55,3),#REF!,TRUE)</f>
        <v>#VALUE!</v>
      </c>
      <c r="D55" s="258">
        <f>SUMIFS(Investimentos!$E:$E,Investimentos!$G:$G,"Serviço",Investimentos!$I:$I,$B55)</f>
        <v>0</v>
      </c>
      <c r="E55" s="258">
        <f>IFERROR(__xludf.DUMMYFUNCTION("IFERROR(SUM(FILTER(#REF!,LEFT(Trabalho!$A$2:$A75,10) = B55,MATCH(Trabalho!$B$2:$B75,FILTER(Pessoal1!$A$7:$A$31,Pessoal1!$V$7:$V$31 = ""Parcial""),0))),0)"),0.0)</f>
        <v>0</v>
      </c>
      <c r="F55" s="297">
        <v>0.0</v>
      </c>
      <c r="G55" s="298"/>
      <c r="H55" s="297">
        <v>0.0</v>
      </c>
      <c r="I55" s="301"/>
      <c r="J55" s="301"/>
      <c r="K55" s="299" t="str">
        <f t="shared" ref="K55:N55" si="26">G55-C55</f>
        <v>#VALUE!</v>
      </c>
      <c r="L55" s="300">
        <f t="shared" si="26"/>
        <v>0</v>
      </c>
      <c r="M55" s="300">
        <f t="shared" si="26"/>
        <v>0</v>
      </c>
      <c r="N55" s="300">
        <f t="shared" si="26"/>
        <v>0</v>
      </c>
    </row>
    <row r="56">
      <c r="A56" s="21"/>
      <c r="B56" s="296"/>
      <c r="C56" s="258" t="str">
        <f>SUMIFS(Investimentos!$E:$E,Investimentos!$G:$G,"Material",Investimentos!$M:$M,RIGHT($B56,3),#REF!,TRUE)</f>
        <v>#VALUE!</v>
      </c>
      <c r="D56" s="258">
        <f>SUMIFS(Investimentos!$E:$E,Investimentos!$G:$G,"Serviço",Investimentos!$I:$I,$B56)</f>
        <v>0</v>
      </c>
      <c r="E56" s="258">
        <f>IFERROR(__xludf.DUMMYFUNCTION("IFERROR(SUM(FILTER(#REF!,LEFT(Trabalho!$A$2:$A75,10) = B56,MATCH(Trabalho!$B$2:$B75,FILTER(Pessoal1!$A$7:$A$31,Pessoal1!$V$7:$V$31 = ""Parcial""),0))),0)"),0.0)</f>
        <v>0</v>
      </c>
      <c r="F56" s="297">
        <v>0.0</v>
      </c>
      <c r="G56" s="298"/>
      <c r="H56" s="297">
        <v>0.0</v>
      </c>
      <c r="I56" s="301"/>
      <c r="J56" s="301"/>
      <c r="K56" s="299" t="str">
        <f t="shared" ref="K56:N56" si="27">G56-C56</f>
        <v>#VALUE!</v>
      </c>
      <c r="L56" s="300">
        <f t="shared" si="27"/>
        <v>0</v>
      </c>
      <c r="M56" s="300">
        <f t="shared" si="27"/>
        <v>0</v>
      </c>
      <c r="N56" s="300">
        <f t="shared" si="27"/>
        <v>0</v>
      </c>
    </row>
    <row r="57">
      <c r="A57" s="21"/>
      <c r="B57" s="296"/>
      <c r="C57" s="258" t="str">
        <f>SUMIFS(Investimentos!$E:$E,Investimentos!$G:$G,"Material",Investimentos!$M:$M,RIGHT($B57,3),#REF!,TRUE)</f>
        <v>#VALUE!</v>
      </c>
      <c r="D57" s="258">
        <f>SUMIFS(Investimentos!$E:$E,Investimentos!$G:$G,"Serviço",Investimentos!$I:$I,$B57)</f>
        <v>0</v>
      </c>
      <c r="E57" s="258">
        <f>IFERROR(__xludf.DUMMYFUNCTION("IFERROR(SUM(FILTER(#REF!,LEFT(Trabalho!$A$2:$A75,10) = B57,MATCH(Trabalho!$B$2:$B75,FILTER(Pessoal1!$A$7:$A$31,Pessoal1!$V$7:$V$31 = ""Parcial""),0))),0)"),0.0)</f>
        <v>0</v>
      </c>
      <c r="F57" s="297">
        <v>0.0</v>
      </c>
      <c r="G57" s="298"/>
      <c r="H57" s="297">
        <v>0.0</v>
      </c>
      <c r="I57" s="301"/>
      <c r="J57" s="301"/>
      <c r="K57" s="299" t="str">
        <f t="shared" ref="K57:N57" si="28">G57-C57</f>
        <v>#VALUE!</v>
      </c>
      <c r="L57" s="300">
        <f t="shared" si="28"/>
        <v>0</v>
      </c>
      <c r="M57" s="300">
        <f t="shared" si="28"/>
        <v>0</v>
      </c>
      <c r="N57" s="300">
        <f t="shared" si="28"/>
        <v>0</v>
      </c>
    </row>
    <row r="58">
      <c r="A58" s="21"/>
      <c r="B58" s="296"/>
      <c r="C58" s="258" t="str">
        <f>SUMIFS(Investimentos!$E:$E,Investimentos!$G:$G,"Material",Investimentos!$M:$M,RIGHT($B58,3),#REF!,TRUE)</f>
        <v>#VALUE!</v>
      </c>
      <c r="D58" s="258">
        <f>SUMIFS(Investimentos!$E:$E,Investimentos!$G:$G,"Serviço",Investimentos!$I:$I,$B58)</f>
        <v>0</v>
      </c>
      <c r="E58" s="258">
        <f>IFERROR(__xludf.DUMMYFUNCTION("IFERROR(SUM(FILTER(#REF!,LEFT(Trabalho!$A$2:$A75,10) = B58,MATCH(Trabalho!$B$2:$B75,FILTER(Pessoal1!$A$7:$A$31,Pessoal1!$V$7:$V$31 = ""Parcial""),0))),0)"),0.0)</f>
        <v>0</v>
      </c>
      <c r="F58" s="297">
        <v>0.0</v>
      </c>
      <c r="G58" s="298"/>
      <c r="H58" s="297">
        <v>0.0</v>
      </c>
      <c r="I58" s="297"/>
      <c r="J58" s="297"/>
      <c r="K58" s="299"/>
      <c r="L58" s="300"/>
      <c r="M58" s="300"/>
      <c r="N58" s="300"/>
    </row>
    <row r="59">
      <c r="A59" s="21"/>
      <c r="B59" s="296"/>
      <c r="C59" s="258" t="str">
        <f>SUMIFS(Investimentos!$E:$E,Investimentos!$G:$G,"Material",Investimentos!$M:$M,RIGHT($B59,3),#REF!,TRUE)</f>
        <v>#VALUE!</v>
      </c>
      <c r="D59" s="258">
        <f>SUMIFS(Investimentos!$E:$E,Investimentos!$G:$G,"Serviço",Investimentos!$I:$I,$B59)</f>
        <v>0</v>
      </c>
      <c r="E59" s="258">
        <f>IFERROR(__xludf.DUMMYFUNCTION("IFERROR(SUM(FILTER(#REF!,LEFT(Trabalho!$A$2:$A75,10) = B59,MATCH(Trabalho!$B$2:$B75,FILTER(Pessoal1!$A$7:$A$31,Pessoal1!$V$7:$V$31 = ""Parcial""),0))),0)"),0.0)</f>
        <v>0</v>
      </c>
      <c r="F59" s="297">
        <v>0.0</v>
      </c>
      <c r="G59" s="298"/>
      <c r="H59" s="297">
        <v>0.0</v>
      </c>
      <c r="I59" s="301"/>
      <c r="J59" s="301"/>
      <c r="K59" s="299" t="str">
        <f t="shared" ref="K59:N59" si="29">G59-C59</f>
        <v>#VALUE!</v>
      </c>
      <c r="L59" s="300">
        <f t="shared" si="29"/>
        <v>0</v>
      </c>
      <c r="M59" s="300">
        <f t="shared" si="29"/>
        <v>0</v>
      </c>
      <c r="N59" s="300">
        <f t="shared" si="29"/>
        <v>0</v>
      </c>
    </row>
    <row r="60">
      <c r="A60" s="21"/>
      <c r="B60" s="296"/>
      <c r="C60" s="258" t="str">
        <f>SUMIFS(Investimentos!$E:$E,Investimentos!$G:$G,"Material",Investimentos!$M:$M,RIGHT($B60,3),#REF!,TRUE)</f>
        <v>#VALUE!</v>
      </c>
      <c r="D60" s="258">
        <f>SUMIFS(Investimentos!$E:$E,Investimentos!$G:$G,"Serviço",Investimentos!$I:$I,$B60)</f>
        <v>0</v>
      </c>
      <c r="E60" s="258">
        <f>IFERROR(__xludf.DUMMYFUNCTION("IFERROR(SUM(FILTER(#REF!,LEFT(Trabalho!$A$2:$A75,10) = B60,MATCH(Trabalho!$B$2:$B75,FILTER(Pessoal1!$A$7:$A$31,Pessoal1!$V$7:$V$31 = ""Parcial""),0))),0)"),0.0)</f>
        <v>0</v>
      </c>
      <c r="F60" s="297">
        <v>0.0</v>
      </c>
      <c r="G60" s="298"/>
      <c r="H60" s="297">
        <v>0.0</v>
      </c>
      <c r="I60" s="301"/>
      <c r="J60" s="301"/>
      <c r="K60" s="299" t="str">
        <f t="shared" ref="K60:N60" si="30">G60-C60</f>
        <v>#VALUE!</v>
      </c>
      <c r="L60" s="300">
        <f t="shared" si="30"/>
        <v>0</v>
      </c>
      <c r="M60" s="300">
        <f t="shared" si="30"/>
        <v>0</v>
      </c>
      <c r="N60" s="300">
        <f t="shared" si="30"/>
        <v>0</v>
      </c>
    </row>
    <row r="61">
      <c r="A61" s="21"/>
      <c r="B61" s="296"/>
      <c r="C61" s="258" t="str">
        <f>SUMIFS(Investimentos!$E:$E,Investimentos!$G:$G,"Material",Investimentos!$M:$M,RIGHT($B61,3),#REF!,TRUE)</f>
        <v>#VALUE!</v>
      </c>
      <c r="D61" s="258">
        <f>SUMIFS(Investimentos!$E:$E,Investimentos!$G:$G,"Serviço",Investimentos!$I:$I,$B61)</f>
        <v>0</v>
      </c>
      <c r="E61" s="258">
        <f>IFERROR(__xludf.DUMMYFUNCTION("IFERROR(SUM(FILTER(#REF!,LEFT(Trabalho!$A$2:$A75,10) = B61,MATCH(Trabalho!$B$2:$B75,FILTER(Pessoal1!$A$7:$A$31,Pessoal1!$V$7:$V$31 = ""Parcial""),0))),0)"),0.0)</f>
        <v>0</v>
      </c>
      <c r="F61" s="297">
        <v>0.0</v>
      </c>
      <c r="G61" s="298"/>
      <c r="H61" s="297">
        <v>0.0</v>
      </c>
      <c r="I61" s="301"/>
      <c r="J61" s="301"/>
      <c r="K61" s="299" t="str">
        <f t="shared" ref="K61:N61" si="31">G61-C61</f>
        <v>#VALUE!</v>
      </c>
      <c r="L61" s="300">
        <f t="shared" si="31"/>
        <v>0</v>
      </c>
      <c r="M61" s="300">
        <f t="shared" si="31"/>
        <v>0</v>
      </c>
      <c r="N61" s="300">
        <f t="shared" si="31"/>
        <v>0</v>
      </c>
    </row>
    <row r="62">
      <c r="A62" s="21"/>
      <c r="B62" s="296"/>
      <c r="C62" s="258" t="str">
        <f>SUMIFS(Investimentos!$E:$E,Investimentos!$G:$G,"Material",Investimentos!$M:$M,RIGHT($B62,3),#REF!,TRUE)</f>
        <v>#VALUE!</v>
      </c>
      <c r="D62" s="258">
        <f>SUMIFS(Investimentos!$E:$E,Investimentos!$G:$G,"Serviço",Investimentos!$I:$I,$B62)</f>
        <v>0</v>
      </c>
      <c r="E62" s="258">
        <f>IFERROR(__xludf.DUMMYFUNCTION("IFERROR(SUM(FILTER(#REF!,LEFT(Trabalho!$A$2:$A75,10) = B62,MATCH(Trabalho!$B$2:$B75,FILTER(Pessoal1!$A$7:$A$31,Pessoal1!$V$7:$V$31 = ""Parcial""),0))),0)"),0.0)</f>
        <v>0</v>
      </c>
      <c r="F62" s="297">
        <v>0.0</v>
      </c>
      <c r="G62" s="298"/>
      <c r="H62" s="297">
        <v>0.0</v>
      </c>
      <c r="I62" s="301"/>
      <c r="J62" s="301"/>
      <c r="K62" s="299" t="str">
        <f t="shared" ref="K62:N62" si="32">G62-C62</f>
        <v>#VALUE!</v>
      </c>
      <c r="L62" s="300">
        <f t="shared" si="32"/>
        <v>0</v>
      </c>
      <c r="M62" s="300">
        <f t="shared" si="32"/>
        <v>0</v>
      </c>
      <c r="N62" s="300">
        <f t="shared" si="32"/>
        <v>0</v>
      </c>
    </row>
    <row r="63">
      <c r="A63" s="21"/>
      <c r="B63" s="296"/>
      <c r="C63" s="258" t="str">
        <f>SUMIFS(Investimentos!$E:$E,Investimentos!$G:$G,"Material",Investimentos!$M:$M,RIGHT($B63,3),#REF!,TRUE)</f>
        <v>#VALUE!</v>
      </c>
      <c r="D63" s="258">
        <f>SUMIFS(Investimentos!$E:$E,Investimentos!$G:$G,"Serviço",Investimentos!$I:$I,$B63)</f>
        <v>0</v>
      </c>
      <c r="E63" s="258">
        <f>IFERROR(__xludf.DUMMYFUNCTION("IFERROR(SUM(FILTER(#REF!,LEFT(Trabalho!$A$2:$A75,10) = B63,MATCH(Trabalho!$B$2:$B75,FILTER(Pessoal1!$A$7:$A$31,Pessoal1!$V$7:$V$31 = ""Parcial""),0))),0)"),0.0)</f>
        <v>0</v>
      </c>
      <c r="F63" s="297">
        <v>0.0</v>
      </c>
      <c r="G63" s="298"/>
      <c r="H63" s="297">
        <v>0.0</v>
      </c>
      <c r="I63" s="301"/>
      <c r="J63" s="301"/>
      <c r="K63" s="299" t="str">
        <f t="shared" ref="K63:N63" si="33">G63-C63</f>
        <v>#VALUE!</v>
      </c>
      <c r="L63" s="300">
        <f t="shared" si="33"/>
        <v>0</v>
      </c>
      <c r="M63" s="300">
        <f t="shared" si="33"/>
        <v>0</v>
      </c>
      <c r="N63" s="300">
        <f t="shared" si="33"/>
        <v>0</v>
      </c>
    </row>
    <row r="64">
      <c r="A64" s="21"/>
      <c r="B64" s="296"/>
      <c r="C64" s="258" t="str">
        <f>SUMIFS(Investimentos!$E:$E,Investimentos!$G:$G,"Material",Investimentos!$M:$M,RIGHT($B64,3),#REF!,TRUE)</f>
        <v>#VALUE!</v>
      </c>
      <c r="D64" s="258">
        <f>SUMIFS(Investimentos!$E:$E,Investimentos!$G:$G,"Serviço",Investimentos!$I:$I,$B64)</f>
        <v>0</v>
      </c>
      <c r="E64" s="258">
        <f>IFERROR(__xludf.DUMMYFUNCTION("IFERROR(SUM(FILTER(#REF!,LEFT(Trabalho!$A$2:$A75,10) = B64,MATCH(Trabalho!$B$2:$B75,FILTER(Pessoal1!$A$7:$A$31,Pessoal1!$V$7:$V$31 = ""Parcial""),0))),0)"),0.0)</f>
        <v>0</v>
      </c>
      <c r="F64" s="297">
        <v>0.0</v>
      </c>
      <c r="G64" s="298"/>
      <c r="H64" s="297">
        <v>0.0</v>
      </c>
      <c r="I64" s="301"/>
      <c r="J64" s="301"/>
      <c r="K64" s="299" t="str">
        <f t="shared" ref="K64:N64" si="34">G64-C64</f>
        <v>#VALUE!</v>
      </c>
      <c r="L64" s="300">
        <f t="shared" si="34"/>
        <v>0</v>
      </c>
      <c r="M64" s="300">
        <f t="shared" si="34"/>
        <v>0</v>
      </c>
      <c r="N64" s="300">
        <f t="shared" si="34"/>
        <v>0</v>
      </c>
    </row>
    <row r="65">
      <c r="A65" s="21"/>
      <c r="B65" s="296"/>
      <c r="C65" s="258" t="str">
        <f>SUMIFS(Investimentos!$E:$E,Investimentos!$G:$G,"Material",Investimentos!$M:$M,RIGHT($B65,3),#REF!,TRUE)</f>
        <v>#VALUE!</v>
      </c>
      <c r="D65" s="258">
        <f>SUMIFS(Investimentos!$E:$E,Investimentos!$G:$G,"Serviço",Investimentos!$I:$I,$B65)</f>
        <v>0</v>
      </c>
      <c r="E65" s="258">
        <f>IFERROR(__xludf.DUMMYFUNCTION("IFERROR(SUM(FILTER(#REF!,LEFT(Trabalho!$A$2:$A75,10) = B65,MATCH(Trabalho!$B$2:$B75,FILTER(Pessoal1!$A$7:$A$31,Pessoal1!$V$7:$V$31 = ""Parcial""),0))),0)"),0.0)</f>
        <v>0</v>
      </c>
      <c r="F65" s="297">
        <v>0.0</v>
      </c>
      <c r="G65" s="298"/>
      <c r="H65" s="297">
        <v>0.0</v>
      </c>
      <c r="I65" s="301"/>
      <c r="J65" s="301"/>
      <c r="K65" s="299" t="str">
        <f t="shared" ref="K65:N65" si="35">G65-C65</f>
        <v>#VALUE!</v>
      </c>
      <c r="L65" s="300">
        <f t="shared" si="35"/>
        <v>0</v>
      </c>
      <c r="M65" s="300">
        <f t="shared" si="35"/>
        <v>0</v>
      </c>
      <c r="N65" s="300">
        <f t="shared" si="35"/>
        <v>0</v>
      </c>
    </row>
    <row r="66">
      <c r="A66" s="21"/>
      <c r="B66" s="296"/>
      <c r="C66" s="258" t="str">
        <f>SUMIFS(Investimentos!$E:$E,Investimentos!$G:$G,"Material",Investimentos!$M:$M,RIGHT($B66,3),#REF!,TRUE)</f>
        <v>#VALUE!</v>
      </c>
      <c r="D66" s="258">
        <f>SUMIFS(Investimentos!$E:$E,Investimentos!$G:$G,"Serviço",Investimentos!$I:$I,$B66)</f>
        <v>0</v>
      </c>
      <c r="E66" s="258">
        <f>IFERROR(__xludf.DUMMYFUNCTION("IFERROR(SUM(FILTER(#REF!,LEFT(Trabalho!$A$2:$A75,10) = B66,MATCH(Trabalho!$B$2:$B75,FILTER(Pessoal1!$A$7:$A$31,Pessoal1!$V$7:$V$31 = ""Parcial""),0))),0)"),0.0)</f>
        <v>0</v>
      </c>
      <c r="F66" s="297">
        <v>0.0</v>
      </c>
      <c r="G66" s="298"/>
      <c r="H66" s="297">
        <v>0.0</v>
      </c>
      <c r="I66" s="301"/>
      <c r="J66" s="301"/>
      <c r="K66" s="299" t="str">
        <f t="shared" ref="K66:N66" si="36">G66-C66</f>
        <v>#VALUE!</v>
      </c>
      <c r="L66" s="300">
        <f t="shared" si="36"/>
        <v>0</v>
      </c>
      <c r="M66" s="300">
        <f t="shared" si="36"/>
        <v>0</v>
      </c>
      <c r="N66" s="300">
        <f t="shared" si="36"/>
        <v>0</v>
      </c>
    </row>
    <row r="67">
      <c r="A67" s="21"/>
      <c r="B67" s="296"/>
      <c r="C67" s="258" t="str">
        <f>SUMIFS(Investimentos!$E:$E,Investimentos!$G:$G,"Material",Investimentos!$M:$M,RIGHT($B67,3),#REF!,TRUE)</f>
        <v>#VALUE!</v>
      </c>
      <c r="D67" s="258">
        <f>SUMIFS(Investimentos!$E:$E,Investimentos!$G:$G,"Serviço",Investimentos!$I:$I,$B67)</f>
        <v>0</v>
      </c>
      <c r="E67" s="258">
        <f>IFERROR(__xludf.DUMMYFUNCTION("IFERROR(SUM(FILTER(#REF!,LEFT(Trabalho!$A$2:$A75,10) = B67,MATCH(Trabalho!$B$2:$B75,FILTER(Pessoal1!$A$7:$A$31,Pessoal1!$V$7:$V$31 = ""Parcial""),0))),0)"),0.0)</f>
        <v>0</v>
      </c>
      <c r="F67" s="297">
        <v>0.0</v>
      </c>
      <c r="G67" s="298"/>
      <c r="H67" s="297">
        <v>0.0</v>
      </c>
      <c r="I67" s="301"/>
      <c r="J67" s="301"/>
      <c r="K67" s="299" t="str">
        <f t="shared" ref="K67:N67" si="37">G67-C67</f>
        <v>#VALUE!</v>
      </c>
      <c r="L67" s="300">
        <f t="shared" si="37"/>
        <v>0</v>
      </c>
      <c r="M67" s="300">
        <f t="shared" si="37"/>
        <v>0</v>
      </c>
      <c r="N67" s="300">
        <f t="shared" si="37"/>
        <v>0</v>
      </c>
    </row>
    <row r="68">
      <c r="A68" s="21"/>
      <c r="B68" s="296"/>
      <c r="C68" s="258" t="str">
        <f>SUMIFS(Investimentos!$E:$E,Investimentos!$G:$G,"Material",Investimentos!$M:$M,RIGHT($B68,3),#REF!,TRUE)</f>
        <v>#VALUE!</v>
      </c>
      <c r="D68" s="258">
        <f>SUMIFS(Investimentos!$E:$E,Investimentos!$G:$G,"Serviço",Investimentos!$I:$I,$B68)</f>
        <v>0</v>
      </c>
      <c r="E68" s="258">
        <f>IFERROR(__xludf.DUMMYFUNCTION("IFERROR(SUM(FILTER(#REF!,LEFT(Trabalho!$A$2:$A75,10) = B68,MATCH(Trabalho!$B$2:$B75,FILTER(Pessoal1!$A$7:$A$31,Pessoal1!$V$7:$V$31 = ""Parcial""),0))),0)"),0.0)</f>
        <v>0</v>
      </c>
      <c r="F68" s="297">
        <v>0.0</v>
      </c>
      <c r="G68" s="298"/>
      <c r="H68" s="297">
        <v>0.0</v>
      </c>
      <c r="I68" s="301"/>
      <c r="J68" s="301"/>
      <c r="K68" s="299" t="str">
        <f t="shared" ref="K68:N68" si="38">G68-C68</f>
        <v>#VALUE!</v>
      </c>
      <c r="L68" s="300">
        <f t="shared" si="38"/>
        <v>0</v>
      </c>
      <c r="M68" s="300">
        <f t="shared" si="38"/>
        <v>0</v>
      </c>
      <c r="N68" s="300">
        <f t="shared" si="38"/>
        <v>0</v>
      </c>
    </row>
    <row r="69">
      <c r="A69" s="21"/>
      <c r="B69" s="296"/>
      <c r="C69" s="258" t="str">
        <f>SUMIFS(Investimentos!$E:$E,Investimentos!$G:$G,"Material",Investimentos!$M:$M,RIGHT($B69,3),#REF!,TRUE)</f>
        <v>#VALUE!</v>
      </c>
      <c r="D69" s="258">
        <f>SUMIFS(Investimentos!$E:$E,Investimentos!$G:$G,"Serviço",Investimentos!$I:$I,$B69)</f>
        <v>0</v>
      </c>
      <c r="E69" s="258">
        <f>IFERROR(__xludf.DUMMYFUNCTION("IFERROR(SUM(FILTER(#REF!,LEFT(Trabalho!$A$2:$A75,10) = B69,MATCH(Trabalho!$B$2:$B75,FILTER(Pessoal1!$A$7:$A$31,Pessoal1!$V$7:$V$31 = ""Parcial""),0))),0)"),0.0)</f>
        <v>0</v>
      </c>
      <c r="F69" s="297">
        <v>0.0</v>
      </c>
      <c r="G69" s="298"/>
      <c r="H69" s="297">
        <v>0.0</v>
      </c>
      <c r="I69" s="301"/>
      <c r="J69" s="301"/>
      <c r="K69" s="299" t="str">
        <f t="shared" ref="K69:N69" si="39">G69-C69</f>
        <v>#VALUE!</v>
      </c>
      <c r="L69" s="300">
        <f t="shared" si="39"/>
        <v>0</v>
      </c>
      <c r="M69" s="300">
        <f t="shared" si="39"/>
        <v>0</v>
      </c>
      <c r="N69" s="300">
        <f t="shared" si="39"/>
        <v>0</v>
      </c>
    </row>
    <row r="70">
      <c r="A70" s="21"/>
      <c r="B70" s="296"/>
      <c r="C70" s="258" t="str">
        <f>SUMIFS(Investimentos!$E:$E,Investimentos!$G:$G,"Material",Investimentos!$M:$M,RIGHT($B70,3),#REF!,TRUE)</f>
        <v>#VALUE!</v>
      </c>
      <c r="D70" s="258">
        <f>SUMIFS(Investimentos!$E:$E,Investimentos!$G:$G,"Serviço",Investimentos!$I:$I,$B70)</f>
        <v>0</v>
      </c>
      <c r="E70" s="258">
        <f>IFERROR(__xludf.DUMMYFUNCTION("IFERROR(SUM(FILTER(#REF!,LEFT(Trabalho!$A$2:$A75,10) = B70,MATCH(Trabalho!$B$2:$B75,FILTER(Pessoal1!$A$7:$A$31,Pessoal1!$V$7:$V$31 = ""Parcial""),0))),0)"),0.0)</f>
        <v>0</v>
      </c>
      <c r="F70" s="297">
        <v>0.0</v>
      </c>
      <c r="G70" s="298"/>
      <c r="H70" s="297">
        <v>0.0</v>
      </c>
      <c r="I70" s="301"/>
      <c r="J70" s="301"/>
      <c r="K70" s="299" t="str">
        <f t="shared" ref="K70:N70" si="40">G70-C70</f>
        <v>#VALUE!</v>
      </c>
      <c r="L70" s="300">
        <f t="shared" si="40"/>
        <v>0</v>
      </c>
      <c r="M70" s="300">
        <f t="shared" si="40"/>
        <v>0</v>
      </c>
      <c r="N70" s="300">
        <f t="shared" si="40"/>
        <v>0</v>
      </c>
    </row>
    <row r="71">
      <c r="A71" s="21"/>
      <c r="B71" s="296"/>
      <c r="C71" s="258" t="str">
        <f>SUMIFS(Investimentos!$E:$E,Investimentos!$G:$G,"Material",Investimentos!$M:$M,RIGHT($B71,3),#REF!,TRUE)</f>
        <v>#VALUE!</v>
      </c>
      <c r="D71" s="258">
        <f>SUMIFS(Investimentos!$E:$E,Investimentos!$G:$G,"Serviço",Investimentos!$I:$I,$B71)</f>
        <v>0</v>
      </c>
      <c r="E71" s="258">
        <f>IFERROR(__xludf.DUMMYFUNCTION("IFERROR(SUM(FILTER(#REF!,LEFT(Trabalho!$A$2:$A75,10) = B71,MATCH(Trabalho!$B$2:$B75,FILTER(Pessoal1!$A$7:$A$31,Pessoal1!$V$7:$V$31 = ""Parcial""),0))),0)"),0.0)</f>
        <v>0</v>
      </c>
      <c r="F71" s="297">
        <v>0.0</v>
      </c>
      <c r="G71" s="298"/>
      <c r="H71" s="297">
        <v>0.0</v>
      </c>
      <c r="I71" s="301"/>
      <c r="J71" s="301"/>
      <c r="K71" s="299" t="str">
        <f t="shared" ref="K71:N71" si="41">G71-C71</f>
        <v>#VALUE!</v>
      </c>
      <c r="L71" s="300">
        <f t="shared" si="41"/>
        <v>0</v>
      </c>
      <c r="M71" s="300">
        <f t="shared" si="41"/>
        <v>0</v>
      </c>
      <c r="N71" s="300">
        <f t="shared" si="41"/>
        <v>0</v>
      </c>
      <c r="O71" s="283" t="s">
        <v>830</v>
      </c>
    </row>
    <row r="72">
      <c r="A72" s="64" t="s">
        <v>75</v>
      </c>
      <c r="B72" s="262"/>
      <c r="C72" s="262" t="str">
        <f>sum(C37:C71)</f>
        <v>#VALUE!</v>
      </c>
      <c r="D72" s="262">
        <v>0.0</v>
      </c>
      <c r="E72" s="262">
        <v>779766.4947191327</v>
      </c>
      <c r="F72" s="263">
        <v>0.0</v>
      </c>
      <c r="G72" s="302">
        <f t="shared" ref="G72:N72" si="42">sum(G37:G71)</f>
        <v>0</v>
      </c>
      <c r="H72" s="303">
        <f t="shared" si="42"/>
        <v>0</v>
      </c>
      <c r="I72" s="303">
        <f t="shared" si="42"/>
        <v>0</v>
      </c>
      <c r="J72" s="303">
        <f t="shared" si="42"/>
        <v>0</v>
      </c>
      <c r="K72" s="304" t="str">
        <f t="shared" si="42"/>
        <v>#VALUE!</v>
      </c>
      <c r="L72" s="305">
        <f t="shared" si="42"/>
        <v>0</v>
      </c>
      <c r="M72" s="305">
        <f t="shared" si="42"/>
        <v>0</v>
      </c>
      <c r="N72" s="306">
        <f t="shared" si="42"/>
        <v>0</v>
      </c>
      <c r="O72" s="293" t="str">
        <f>sum(K72:N72)</f>
        <v>#VALUE!</v>
      </c>
    </row>
    <row r="73">
      <c r="H73" s="235"/>
      <c r="I73" s="235"/>
      <c r="J73" s="235"/>
      <c r="K73" s="235"/>
      <c r="L73" s="235"/>
    </row>
    <row r="74">
      <c r="A74" s="307"/>
      <c r="B74" s="308"/>
      <c r="C74" s="309"/>
      <c r="D74" s="310"/>
      <c r="E74" s="310"/>
      <c r="F74" s="310"/>
      <c r="G74" s="311"/>
      <c r="H74" s="235"/>
      <c r="I74" s="235"/>
      <c r="J74" s="235"/>
      <c r="K74" s="235"/>
      <c r="L74" s="235"/>
    </row>
    <row r="75">
      <c r="H75" s="235"/>
      <c r="I75" s="235"/>
      <c r="J75" s="235"/>
      <c r="K75" s="235"/>
      <c r="L75" s="235"/>
    </row>
  </sheetData>
  <mergeCells count="6">
    <mergeCell ref="B25:E25"/>
    <mergeCell ref="F25:I25"/>
    <mergeCell ref="J25:M25"/>
    <mergeCell ref="C35:F35"/>
    <mergeCell ref="G35:J35"/>
    <mergeCell ref="K35:N35"/>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1.0" ySplit="5.0" topLeftCell="B6" activePane="bottomRight" state="frozen"/>
      <selection activeCell="B1" sqref="B1" pane="topRight"/>
      <selection activeCell="A6" sqref="A6" pane="bottomLeft"/>
      <selection activeCell="B6" sqref="B6" pane="bottomRight"/>
    </sheetView>
  </sheetViews>
  <sheetFormatPr customHeight="1" defaultColWidth="12.63" defaultRowHeight="15.75"/>
  <cols>
    <col customWidth="1" min="1" max="1" width="25.13"/>
    <col customWidth="1" min="2" max="2" width="13.25"/>
    <col customWidth="1" min="3" max="3" width="22.75"/>
    <col customWidth="1" min="4" max="6" width="62.63"/>
    <col customWidth="1" min="7" max="7" width="75.13"/>
    <col customWidth="1" hidden="1" min="8" max="8" width="10.5"/>
    <col customWidth="1" hidden="1" min="9" max="9" width="20.0"/>
    <col customWidth="1" hidden="1" min="10" max="10" width="12.63"/>
    <col customWidth="1" hidden="1" min="11" max="25" width="10.88"/>
  </cols>
  <sheetData>
    <row r="1" ht="11.25" customHeight="1">
      <c r="A1" s="312"/>
      <c r="B1" s="312"/>
      <c r="C1" s="312"/>
      <c r="D1" s="312"/>
      <c r="E1" s="312"/>
      <c r="F1" s="312"/>
      <c r="G1" s="312"/>
      <c r="H1" s="313"/>
      <c r="I1" s="313"/>
      <c r="J1" s="314"/>
      <c r="K1" s="312"/>
      <c r="L1" s="315"/>
      <c r="M1" s="315"/>
      <c r="N1" s="315"/>
      <c r="O1" s="315"/>
      <c r="P1" s="315"/>
      <c r="Q1" s="315"/>
      <c r="R1" s="315"/>
      <c r="S1" s="315"/>
      <c r="T1" s="315"/>
      <c r="U1" s="315"/>
      <c r="V1" s="315"/>
      <c r="W1" s="315"/>
      <c r="X1" s="315"/>
      <c r="Y1" s="315"/>
    </row>
    <row r="2">
      <c r="A2" s="4" t="s">
        <v>6</v>
      </c>
      <c r="B2" s="316"/>
      <c r="C2" s="317" t="s">
        <v>831</v>
      </c>
      <c r="D2" s="316"/>
      <c r="E2" s="316"/>
      <c r="F2" s="316"/>
      <c r="G2" s="316"/>
      <c r="H2" s="318"/>
      <c r="I2" s="318"/>
      <c r="J2" s="319"/>
      <c r="K2" s="316"/>
      <c r="L2" s="320"/>
      <c r="M2" s="320"/>
      <c r="N2" s="320"/>
      <c r="O2" s="320"/>
      <c r="P2" s="320"/>
      <c r="Q2" s="320"/>
      <c r="R2" s="320"/>
      <c r="S2" s="320"/>
      <c r="T2" s="320"/>
      <c r="U2" s="320"/>
      <c r="V2" s="320"/>
      <c r="W2" s="320"/>
      <c r="X2" s="320"/>
      <c r="Y2" s="320"/>
    </row>
    <row r="3">
      <c r="A3" s="321" t="str">
        <f>RESUMO!A3</f>
        <v>BENEFÍCIO FISCAL DE PD&amp;I 2025</v>
      </c>
      <c r="B3" s="316"/>
      <c r="C3" s="317" t="s">
        <v>832</v>
      </c>
      <c r="D3" s="316"/>
      <c r="E3" s="316"/>
      <c r="F3" s="316"/>
      <c r="G3" s="316"/>
      <c r="H3" s="318"/>
      <c r="I3" s="318"/>
      <c r="J3" s="319"/>
      <c r="K3" s="316"/>
      <c r="L3" s="320"/>
      <c r="M3" s="320"/>
      <c r="N3" s="320"/>
      <c r="O3" s="320"/>
      <c r="P3" s="320"/>
      <c r="Q3" s="320"/>
      <c r="R3" s="320"/>
      <c r="S3" s="320"/>
      <c r="T3" s="320"/>
      <c r="U3" s="320"/>
      <c r="V3" s="320"/>
      <c r="W3" s="320"/>
      <c r="X3" s="320"/>
      <c r="Y3" s="320"/>
    </row>
    <row r="4">
      <c r="A4" s="322"/>
      <c r="B4" s="316"/>
      <c r="C4" s="317" t="s">
        <v>833</v>
      </c>
      <c r="D4" s="316"/>
      <c r="E4" s="316"/>
      <c r="F4" s="316"/>
      <c r="G4" s="316"/>
      <c r="H4" s="318"/>
      <c r="I4" s="318"/>
      <c r="J4" s="319"/>
      <c r="K4" s="316"/>
      <c r="L4" s="320">
        <f t="shared" ref="L4:M4" si="1">SUM(L6:L38)</f>
        <v>0</v>
      </c>
      <c r="M4" s="320" t="str">
        <f t="shared" si="1"/>
        <v>#N/A</v>
      </c>
      <c r="N4" s="320"/>
      <c r="O4" s="320"/>
      <c r="P4" s="320"/>
      <c r="Q4" s="320"/>
      <c r="R4" s="320"/>
      <c r="S4" s="320"/>
      <c r="T4" s="320"/>
      <c r="U4" s="320"/>
      <c r="V4" s="320"/>
      <c r="W4" s="320"/>
      <c r="X4" s="320"/>
      <c r="Y4" s="320"/>
    </row>
    <row r="5">
      <c r="A5" s="78" t="s">
        <v>76</v>
      </c>
      <c r="B5" s="78" t="s">
        <v>834</v>
      </c>
      <c r="C5" s="78" t="s">
        <v>36</v>
      </c>
      <c r="D5" s="78" t="s">
        <v>835</v>
      </c>
      <c r="E5" s="78" t="s">
        <v>836</v>
      </c>
      <c r="F5" s="78" t="s">
        <v>837</v>
      </c>
      <c r="G5" s="78" t="s">
        <v>838</v>
      </c>
      <c r="H5" s="79" t="s">
        <v>80</v>
      </c>
      <c r="I5" s="80" t="s">
        <v>81</v>
      </c>
      <c r="J5" s="81" t="s">
        <v>82</v>
      </c>
      <c r="K5" s="78" t="s">
        <v>839</v>
      </c>
      <c r="L5" s="82" t="s">
        <v>840</v>
      </c>
      <c r="M5" s="82" t="s">
        <v>841</v>
      </c>
      <c r="N5" s="82"/>
      <c r="O5" s="82"/>
      <c r="P5" s="82"/>
      <c r="Q5" s="82"/>
      <c r="R5" s="82"/>
      <c r="S5" s="82"/>
      <c r="T5" s="82"/>
      <c r="U5" s="82"/>
      <c r="V5" s="82"/>
      <c r="W5" s="82"/>
      <c r="X5" s="82"/>
      <c r="Y5" s="82"/>
    </row>
    <row r="6">
      <c r="A6" s="323" t="s">
        <v>842</v>
      </c>
      <c r="B6" s="83" t="s">
        <v>843</v>
      </c>
      <c r="C6" s="83" t="s">
        <v>844</v>
      </c>
      <c r="D6" s="83" t="s">
        <v>845</v>
      </c>
      <c r="E6" s="83" t="s">
        <v>846</v>
      </c>
      <c r="F6" s="83" t="s">
        <v>847</v>
      </c>
      <c r="G6" s="83" t="s">
        <v>848</v>
      </c>
      <c r="H6" s="324">
        <v>42720.0</v>
      </c>
      <c r="I6" s="324">
        <v>44742.0</v>
      </c>
      <c r="J6" s="86" t="str">
        <f t="shared" ref="J6:J9" si="2">MID(A6,8,3)</f>
        <v>189</v>
      </c>
      <c r="K6" s="87" t="b">
        <v>1</v>
      </c>
      <c r="L6" s="88">
        <f>IF(K6=TRUE,SUMIF(Investimentos!M:M,J6,Investimentos!E:E),0)</f>
        <v>0</v>
      </c>
      <c r="M6" s="88" t="str">
        <f t="shared" ref="M6:M9" si="3">IF(K6=TRUE,SUMIF(#REF!,J6,#REF!),0)</f>
        <v>#N/A</v>
      </c>
      <c r="N6" s="88"/>
      <c r="O6" s="88"/>
      <c r="P6" s="88"/>
      <c r="Q6" s="88"/>
      <c r="R6" s="88"/>
      <c r="S6" s="88"/>
      <c r="T6" s="88"/>
      <c r="U6" s="88"/>
      <c r="V6" s="88"/>
      <c r="W6" s="88"/>
      <c r="X6" s="88"/>
      <c r="Y6" s="88"/>
    </row>
    <row r="7" hidden="1">
      <c r="A7" s="83" t="s">
        <v>849</v>
      </c>
      <c r="B7" s="83" t="s">
        <v>843</v>
      </c>
      <c r="C7" s="83" t="s">
        <v>844</v>
      </c>
      <c r="D7" s="83" t="s">
        <v>850</v>
      </c>
      <c r="E7" s="83" t="s">
        <v>851</v>
      </c>
      <c r="F7" s="83" t="s">
        <v>852</v>
      </c>
      <c r="G7" s="83" t="s">
        <v>853</v>
      </c>
      <c r="H7" s="324">
        <v>43090.0</v>
      </c>
      <c r="I7" s="324">
        <v>45290.0</v>
      </c>
      <c r="J7" s="86" t="str">
        <f t="shared" si="2"/>
        <v>193</v>
      </c>
      <c r="K7" s="87" t="b">
        <v>0</v>
      </c>
      <c r="L7" s="88">
        <f>IF(K7=TRUE,SUMIF(Investimentos!M:M,J7,Investimentos!E:E),0)</f>
        <v>0</v>
      </c>
      <c r="M7" s="88">
        <f t="shared" si="3"/>
        <v>0</v>
      </c>
      <c r="N7" s="88"/>
      <c r="O7" s="88"/>
      <c r="P7" s="88"/>
      <c r="Q7" s="88"/>
      <c r="R7" s="88"/>
      <c r="S7" s="88"/>
      <c r="T7" s="88"/>
      <c r="U7" s="88"/>
      <c r="V7" s="88"/>
      <c r="W7" s="88"/>
      <c r="X7" s="88"/>
      <c r="Y7" s="88"/>
    </row>
    <row r="8" hidden="1">
      <c r="A8" s="325" t="s">
        <v>854</v>
      </c>
      <c r="B8" s="325" t="s">
        <v>843</v>
      </c>
      <c r="C8" s="325" t="s">
        <v>844</v>
      </c>
      <c r="D8" s="325" t="s">
        <v>855</v>
      </c>
      <c r="E8" s="325" t="s">
        <v>856</v>
      </c>
      <c r="F8" s="325" t="s">
        <v>857</v>
      </c>
      <c r="G8" s="325" t="s">
        <v>858</v>
      </c>
      <c r="H8" s="326">
        <v>43553.0</v>
      </c>
      <c r="I8" s="326">
        <v>44742.0</v>
      </c>
      <c r="J8" s="327" t="str">
        <f t="shared" si="2"/>
        <v>201</v>
      </c>
      <c r="K8" s="328" t="b">
        <v>0</v>
      </c>
      <c r="L8" s="329">
        <f>IF(K8=TRUE,SUMIF(Investimentos!M:M,J8,Investimentos!E:E),0)</f>
        <v>0</v>
      </c>
      <c r="M8" s="329">
        <f t="shared" si="3"/>
        <v>0</v>
      </c>
      <c r="N8" s="329"/>
      <c r="O8" s="329"/>
      <c r="P8" s="329"/>
      <c r="Q8" s="329"/>
      <c r="R8" s="329"/>
      <c r="S8" s="329"/>
      <c r="T8" s="329"/>
      <c r="U8" s="329"/>
      <c r="V8" s="329"/>
      <c r="W8" s="329"/>
      <c r="X8" s="329"/>
      <c r="Y8" s="329"/>
    </row>
    <row r="9" hidden="1">
      <c r="A9" s="330" t="s">
        <v>859</v>
      </c>
      <c r="B9" s="325" t="s">
        <v>843</v>
      </c>
      <c r="C9" s="325" t="s">
        <v>844</v>
      </c>
      <c r="D9" s="325" t="s">
        <v>860</v>
      </c>
      <c r="E9" s="325" t="s">
        <v>861</v>
      </c>
      <c r="F9" s="325" t="s">
        <v>862</v>
      </c>
      <c r="G9" s="325" t="s">
        <v>863</v>
      </c>
      <c r="H9" s="326">
        <v>43553.0</v>
      </c>
      <c r="I9" s="326">
        <v>44742.0</v>
      </c>
      <c r="J9" s="327" t="str">
        <f t="shared" si="2"/>
        <v>202</v>
      </c>
      <c r="K9" s="328" t="b">
        <v>0</v>
      </c>
      <c r="L9" s="329">
        <f>IF(K9=TRUE,SUMIF(Investimentos!M:M,J9,Investimentos!E:E),0)</f>
        <v>0</v>
      </c>
      <c r="M9" s="329">
        <f t="shared" si="3"/>
        <v>0</v>
      </c>
      <c r="N9" s="329"/>
      <c r="O9" s="329"/>
      <c r="P9" s="329"/>
      <c r="Q9" s="329"/>
      <c r="R9" s="329"/>
      <c r="S9" s="329"/>
      <c r="T9" s="329"/>
      <c r="U9" s="329"/>
      <c r="V9" s="329"/>
      <c r="W9" s="329"/>
      <c r="X9" s="329"/>
      <c r="Y9" s="329"/>
    </row>
    <row r="10" ht="101.25" customHeight="1">
      <c r="A10" s="95">
        <v>189.0</v>
      </c>
      <c r="B10" s="83"/>
      <c r="C10" s="83"/>
      <c r="D10" s="83" t="s">
        <v>864</v>
      </c>
      <c r="E10" s="83" t="s">
        <v>865</v>
      </c>
      <c r="F10" s="83" t="s">
        <v>866</v>
      </c>
      <c r="G10" s="83" t="s">
        <v>867</v>
      </c>
      <c r="H10" s="324"/>
      <c r="I10" s="324"/>
      <c r="J10" s="86"/>
      <c r="K10" s="87" t="b">
        <v>0</v>
      </c>
      <c r="L10" s="88"/>
      <c r="M10" s="88"/>
      <c r="N10" s="88"/>
      <c r="O10" s="88"/>
      <c r="P10" s="88"/>
      <c r="Q10" s="88"/>
      <c r="R10" s="88"/>
      <c r="S10" s="88"/>
      <c r="T10" s="88"/>
      <c r="U10" s="88"/>
      <c r="V10" s="88"/>
      <c r="W10" s="88"/>
      <c r="X10" s="88"/>
      <c r="Y10" s="88"/>
    </row>
    <row r="11">
      <c r="A11" s="331" t="s">
        <v>868</v>
      </c>
      <c r="B11" s="83" t="s">
        <v>843</v>
      </c>
      <c r="C11" s="83" t="s">
        <v>869</v>
      </c>
      <c r="D11" s="83" t="s">
        <v>870</v>
      </c>
      <c r="E11" s="83" t="s">
        <v>871</v>
      </c>
      <c r="F11" s="83" t="s">
        <v>872</v>
      </c>
      <c r="G11" s="83" t="s">
        <v>873</v>
      </c>
      <c r="H11" s="324">
        <v>43831.0</v>
      </c>
      <c r="I11" s="324">
        <v>44926.0</v>
      </c>
      <c r="J11" s="86" t="str">
        <f>MID(A11,8,3)</f>
        <v>208</v>
      </c>
      <c r="K11" s="87" t="b">
        <v>1</v>
      </c>
      <c r="L11" s="88">
        <f>IF(K11=TRUE,SUMIF(Investimentos!M:M,J11,Investimentos!E:E),0)</f>
        <v>0</v>
      </c>
      <c r="M11" s="88" t="str">
        <f>IF(K11=TRUE,SUMIF(#REF!,J11,#REF!),0)</f>
        <v>#N/A</v>
      </c>
      <c r="N11" s="88"/>
      <c r="O11" s="88"/>
      <c r="P11" s="88"/>
      <c r="Q11" s="88"/>
      <c r="R11" s="88"/>
      <c r="S11" s="88"/>
      <c r="T11" s="88"/>
      <c r="U11" s="88"/>
      <c r="V11" s="88"/>
      <c r="W11" s="88"/>
      <c r="X11" s="88"/>
      <c r="Y11" s="88"/>
    </row>
    <row r="12" ht="114.0" customHeight="1">
      <c r="A12" s="95">
        <v>208.0</v>
      </c>
      <c r="B12" s="83"/>
      <c r="C12" s="83"/>
      <c r="D12" s="83" t="s">
        <v>874</v>
      </c>
      <c r="E12" s="83" t="s">
        <v>875</v>
      </c>
      <c r="F12" s="83" t="s">
        <v>876</v>
      </c>
      <c r="G12" s="83" t="s">
        <v>877</v>
      </c>
      <c r="H12" s="324"/>
      <c r="I12" s="324"/>
      <c r="J12" s="86"/>
      <c r="K12" s="87" t="b">
        <v>0</v>
      </c>
      <c r="L12" s="88"/>
      <c r="M12" s="88"/>
      <c r="N12" s="88"/>
      <c r="O12" s="88"/>
      <c r="P12" s="88"/>
      <c r="Q12" s="88"/>
      <c r="R12" s="88"/>
      <c r="S12" s="88"/>
      <c r="T12" s="88"/>
      <c r="U12" s="88"/>
      <c r="V12" s="88"/>
      <c r="W12" s="88"/>
      <c r="X12" s="88"/>
      <c r="Y12" s="88"/>
    </row>
    <row r="13">
      <c r="A13" s="323" t="s">
        <v>878</v>
      </c>
      <c r="B13" s="83" t="s">
        <v>843</v>
      </c>
      <c r="C13" s="83" t="s">
        <v>844</v>
      </c>
      <c r="D13" s="83" t="s">
        <v>879</v>
      </c>
      <c r="E13" s="83" t="s">
        <v>880</v>
      </c>
      <c r="F13" s="83" t="s">
        <v>881</v>
      </c>
      <c r="G13" s="83" t="s">
        <v>882</v>
      </c>
      <c r="H13" s="324">
        <v>44197.0</v>
      </c>
      <c r="I13" s="324">
        <v>44918.0</v>
      </c>
      <c r="J13" s="86" t="str">
        <f>MID(A13,8,3)</f>
        <v>209</v>
      </c>
      <c r="K13" s="87" t="b">
        <v>1</v>
      </c>
      <c r="L13" s="88">
        <f>IF(K13=TRUE,SUMIF(Investimentos!M:M,J13,Investimentos!E:E),0)</f>
        <v>0</v>
      </c>
      <c r="M13" s="88" t="str">
        <f>IF(K13=TRUE,SUMIF(#REF!,J13,#REF!),0)</f>
        <v>#N/A</v>
      </c>
      <c r="N13" s="88"/>
      <c r="O13" s="88"/>
      <c r="P13" s="88"/>
      <c r="Q13" s="88"/>
      <c r="R13" s="88"/>
      <c r="S13" s="88"/>
      <c r="T13" s="88"/>
      <c r="U13" s="88"/>
      <c r="V13" s="88"/>
      <c r="W13" s="88"/>
      <c r="X13" s="88"/>
      <c r="Y13" s="88"/>
    </row>
    <row r="14" ht="93.0" customHeight="1">
      <c r="A14" s="83">
        <v>209.0</v>
      </c>
      <c r="B14" s="83"/>
      <c r="C14" s="83"/>
      <c r="D14" s="83" t="s">
        <v>883</v>
      </c>
      <c r="E14" s="83" t="s">
        <v>884</v>
      </c>
      <c r="F14" s="83" t="s">
        <v>885</v>
      </c>
      <c r="G14" s="83" t="s">
        <v>886</v>
      </c>
      <c r="H14" s="324"/>
      <c r="I14" s="324"/>
      <c r="J14" s="86"/>
      <c r="K14" s="87" t="b">
        <v>0</v>
      </c>
      <c r="L14" s="88"/>
      <c r="M14" s="88"/>
      <c r="N14" s="88"/>
      <c r="O14" s="88"/>
      <c r="P14" s="88"/>
      <c r="Q14" s="88"/>
      <c r="R14" s="88"/>
      <c r="S14" s="88"/>
      <c r="T14" s="88"/>
      <c r="U14" s="88"/>
      <c r="V14" s="88"/>
      <c r="W14" s="88"/>
      <c r="X14" s="88"/>
      <c r="Y14" s="88"/>
    </row>
    <row r="15">
      <c r="A15" s="323" t="s">
        <v>887</v>
      </c>
      <c r="B15" s="83" t="s">
        <v>843</v>
      </c>
      <c r="C15" s="83" t="s">
        <v>869</v>
      </c>
      <c r="D15" s="83" t="s">
        <v>888</v>
      </c>
      <c r="E15" s="83" t="s">
        <v>889</v>
      </c>
      <c r="F15" s="83" t="s">
        <v>890</v>
      </c>
      <c r="G15" s="83" t="s">
        <v>891</v>
      </c>
      <c r="H15" s="324">
        <v>44197.0</v>
      </c>
      <c r="I15" s="324">
        <v>44926.0</v>
      </c>
      <c r="J15" s="86" t="str">
        <f>MID(A15,8,3)</f>
        <v>210</v>
      </c>
      <c r="K15" s="87" t="b">
        <v>1</v>
      </c>
      <c r="L15" s="88">
        <f>IF(K15=TRUE,SUMIF(Investimentos!M:M,J15,Investimentos!E:E),0)</f>
        <v>0</v>
      </c>
      <c r="M15" s="88" t="str">
        <f>IF(K15=TRUE,SUMIF(#REF!,J15,#REF!),0)</f>
        <v>#N/A</v>
      </c>
      <c r="N15" s="88"/>
      <c r="O15" s="88"/>
      <c r="P15" s="88"/>
      <c r="Q15" s="88"/>
      <c r="R15" s="88"/>
      <c r="S15" s="88"/>
      <c r="T15" s="88"/>
      <c r="U15" s="88"/>
      <c r="V15" s="88"/>
      <c r="W15" s="88"/>
      <c r="X15" s="88"/>
      <c r="Y15" s="88"/>
    </row>
    <row r="16">
      <c r="A16" s="83">
        <v>210.0</v>
      </c>
      <c r="B16" s="83"/>
      <c r="C16" s="83"/>
      <c r="D16" s="83" t="s">
        <v>892</v>
      </c>
      <c r="E16" s="83" t="s">
        <v>893</v>
      </c>
      <c r="F16" s="83" t="s">
        <v>894</v>
      </c>
      <c r="G16" s="83" t="s">
        <v>895</v>
      </c>
      <c r="H16" s="324"/>
      <c r="I16" s="324"/>
      <c r="J16" s="86"/>
      <c r="K16" s="87" t="b">
        <v>0</v>
      </c>
      <c r="L16" s="88"/>
      <c r="M16" s="88"/>
      <c r="N16" s="88"/>
      <c r="O16" s="88"/>
      <c r="P16" s="88"/>
      <c r="Q16" s="88"/>
      <c r="R16" s="88"/>
      <c r="S16" s="88"/>
      <c r="T16" s="88"/>
      <c r="U16" s="88"/>
      <c r="V16" s="88"/>
      <c r="W16" s="88"/>
      <c r="X16" s="88"/>
      <c r="Y16" s="88"/>
    </row>
    <row r="17">
      <c r="A17" s="323" t="s">
        <v>896</v>
      </c>
      <c r="B17" s="83" t="s">
        <v>843</v>
      </c>
      <c r="C17" s="83" t="s">
        <v>844</v>
      </c>
      <c r="D17" s="83" t="s">
        <v>897</v>
      </c>
      <c r="E17" s="83" t="s">
        <v>898</v>
      </c>
      <c r="F17" s="83" t="s">
        <v>899</v>
      </c>
      <c r="G17" s="83" t="s">
        <v>900</v>
      </c>
      <c r="H17" s="324">
        <v>43831.0</v>
      </c>
      <c r="I17" s="324">
        <v>45291.0</v>
      </c>
      <c r="J17" s="86" t="str">
        <f>MID(A17,8,3)</f>
        <v>211</v>
      </c>
      <c r="K17" s="87" t="b">
        <v>1</v>
      </c>
      <c r="L17" s="88">
        <f>IF(K17=TRUE,SUMIF(Investimentos!M:M,J17,Investimentos!E:E),0)</f>
        <v>0</v>
      </c>
      <c r="M17" s="88" t="str">
        <f>IF(K17=TRUE,SUMIF(#REF!,J17,#REF!),0)</f>
        <v>#N/A</v>
      </c>
      <c r="N17" s="88"/>
      <c r="O17" s="88"/>
      <c r="P17" s="88"/>
      <c r="Q17" s="88"/>
      <c r="R17" s="88"/>
      <c r="S17" s="88"/>
      <c r="T17" s="88"/>
      <c r="U17" s="88"/>
      <c r="V17" s="88"/>
      <c r="W17" s="88"/>
      <c r="X17" s="88"/>
      <c r="Y17" s="88"/>
    </row>
    <row r="18" ht="88.5" customHeight="1">
      <c r="A18" s="83">
        <v>211.0</v>
      </c>
      <c r="B18" s="83"/>
      <c r="C18" s="83"/>
      <c r="D18" s="83" t="s">
        <v>901</v>
      </c>
      <c r="E18" s="83" t="s">
        <v>902</v>
      </c>
      <c r="F18" s="83" t="s">
        <v>903</v>
      </c>
      <c r="G18" s="83" t="s">
        <v>904</v>
      </c>
      <c r="H18" s="324"/>
      <c r="I18" s="324"/>
      <c r="J18" s="86"/>
      <c r="K18" s="87" t="b">
        <v>0</v>
      </c>
      <c r="L18" s="88"/>
      <c r="M18" s="88"/>
      <c r="N18" s="88"/>
      <c r="O18" s="88"/>
      <c r="P18" s="88"/>
      <c r="Q18" s="88"/>
      <c r="R18" s="88"/>
      <c r="S18" s="88"/>
      <c r="T18" s="88"/>
      <c r="U18" s="88"/>
      <c r="V18" s="88"/>
      <c r="W18" s="88"/>
      <c r="X18" s="88"/>
      <c r="Y18" s="88"/>
    </row>
    <row r="19">
      <c r="A19" s="323" t="s">
        <v>905</v>
      </c>
      <c r="B19" s="83" t="s">
        <v>906</v>
      </c>
      <c r="C19" s="83" t="s">
        <v>844</v>
      </c>
      <c r="D19" s="83" t="s">
        <v>907</v>
      </c>
      <c r="E19" s="83" t="s">
        <v>908</v>
      </c>
      <c r="F19" s="332" t="s">
        <v>909</v>
      </c>
      <c r="G19" s="83" t="s">
        <v>910</v>
      </c>
      <c r="H19" s="324">
        <v>43831.0</v>
      </c>
      <c r="I19" s="324">
        <v>44742.0</v>
      </c>
      <c r="J19" s="86" t="str">
        <f t="shared" ref="J19:J21" si="4">MID(A19,8,3)</f>
        <v>212</v>
      </c>
      <c r="K19" s="87" t="b">
        <v>1</v>
      </c>
      <c r="L19" s="88">
        <f>IF(K19=TRUE,SUMIF(Investimentos!M:M,J19,Investimentos!E:E),0)</f>
        <v>0</v>
      </c>
      <c r="M19" s="88" t="str">
        <f t="shared" ref="M19:M21" si="5">IF(K19=TRUE,SUMIF(#REF!,J19,#REF!),0)</f>
        <v>#N/A</v>
      </c>
      <c r="N19" s="88"/>
      <c r="O19" s="88"/>
      <c r="P19" s="88"/>
      <c r="Q19" s="88"/>
      <c r="R19" s="88"/>
      <c r="S19" s="88"/>
      <c r="T19" s="88"/>
      <c r="U19" s="88"/>
      <c r="V19" s="88"/>
      <c r="W19" s="88"/>
      <c r="X19" s="88"/>
      <c r="Y19" s="88"/>
    </row>
    <row r="20" hidden="1">
      <c r="A20" s="83" t="s">
        <v>911</v>
      </c>
      <c r="B20" s="83" t="s">
        <v>912</v>
      </c>
      <c r="C20" s="83" t="s">
        <v>869</v>
      </c>
      <c r="D20" s="83" t="s">
        <v>913</v>
      </c>
      <c r="E20" s="83" t="s">
        <v>914</v>
      </c>
      <c r="F20" s="83" t="s">
        <v>915</v>
      </c>
      <c r="G20" s="83" t="s">
        <v>916</v>
      </c>
      <c r="H20" s="324">
        <v>43986.0</v>
      </c>
      <c r="I20" s="324">
        <v>44926.0</v>
      </c>
      <c r="J20" s="86" t="str">
        <f t="shared" si="4"/>
        <v>215</v>
      </c>
      <c r="K20" s="87" t="b">
        <v>0</v>
      </c>
      <c r="L20" s="88">
        <f>IF(K20=TRUE,SUMIF(Investimentos!M:M,J20,Investimentos!E:E),0)</f>
        <v>0</v>
      </c>
      <c r="M20" s="88">
        <f t="shared" si="5"/>
        <v>0</v>
      </c>
      <c r="N20" s="88"/>
      <c r="O20" s="88"/>
      <c r="P20" s="88"/>
      <c r="Q20" s="88"/>
      <c r="R20" s="88"/>
      <c r="S20" s="88"/>
      <c r="T20" s="88"/>
      <c r="U20" s="88"/>
      <c r="V20" s="88"/>
      <c r="W20" s="88"/>
      <c r="X20" s="88"/>
      <c r="Y20" s="88"/>
    </row>
    <row r="21">
      <c r="A21" s="333" t="s">
        <v>917</v>
      </c>
      <c r="B21" s="334" t="s">
        <v>843</v>
      </c>
      <c r="C21" s="334" t="s">
        <v>844</v>
      </c>
      <c r="D21" s="334" t="s">
        <v>918</v>
      </c>
      <c r="E21" s="334" t="s">
        <v>919</v>
      </c>
      <c r="F21" s="334" t="s">
        <v>920</v>
      </c>
      <c r="G21" s="334" t="s">
        <v>921</v>
      </c>
      <c r="H21" s="335">
        <v>44064.0</v>
      </c>
      <c r="I21" s="335">
        <v>44681.0</v>
      </c>
      <c r="J21" s="336" t="str">
        <f t="shared" si="4"/>
        <v>219</v>
      </c>
      <c r="K21" s="337" t="b">
        <v>1</v>
      </c>
      <c r="L21" s="338">
        <f>IF(K21=TRUE,SUMIF(Investimentos!M:M,J21,Investimentos!E:E),0)</f>
        <v>0</v>
      </c>
      <c r="M21" s="338" t="str">
        <f t="shared" si="5"/>
        <v>#N/A</v>
      </c>
      <c r="N21" s="338"/>
      <c r="O21" s="338"/>
      <c r="P21" s="338"/>
      <c r="Q21" s="338"/>
      <c r="R21" s="338"/>
      <c r="S21" s="338"/>
      <c r="T21" s="338"/>
      <c r="U21" s="338"/>
      <c r="V21" s="338"/>
      <c r="W21" s="338"/>
      <c r="X21" s="338"/>
      <c r="Y21" s="338"/>
    </row>
    <row r="22">
      <c r="A22" s="83">
        <v>219.0</v>
      </c>
      <c r="B22" s="83"/>
      <c r="C22" s="83"/>
      <c r="D22" s="83" t="s">
        <v>922</v>
      </c>
      <c r="E22" s="83" t="s">
        <v>923</v>
      </c>
      <c r="F22" s="83" t="s">
        <v>924</v>
      </c>
      <c r="G22" s="83" t="s">
        <v>925</v>
      </c>
      <c r="H22" s="324"/>
      <c r="I22" s="324"/>
      <c r="J22" s="86"/>
      <c r="K22" s="87" t="b">
        <v>0</v>
      </c>
      <c r="L22" s="88"/>
      <c r="M22" s="88"/>
      <c r="N22" s="88"/>
      <c r="O22" s="88"/>
      <c r="P22" s="88"/>
      <c r="Q22" s="88"/>
      <c r="R22" s="88"/>
      <c r="S22" s="88"/>
      <c r="T22" s="88"/>
      <c r="U22" s="88"/>
      <c r="V22" s="88"/>
      <c r="W22" s="88"/>
      <c r="X22" s="88"/>
      <c r="Y22" s="88"/>
    </row>
    <row r="23">
      <c r="A23" s="333" t="s">
        <v>926</v>
      </c>
      <c r="B23" s="334" t="s">
        <v>843</v>
      </c>
      <c r="C23" s="334" t="s">
        <v>869</v>
      </c>
      <c r="D23" s="334" t="s">
        <v>927</v>
      </c>
      <c r="E23" s="334" t="s">
        <v>928</v>
      </c>
      <c r="F23" s="334" t="s">
        <v>929</v>
      </c>
      <c r="G23" s="334" t="s">
        <v>930</v>
      </c>
      <c r="H23" s="335">
        <v>44287.0</v>
      </c>
      <c r="I23" s="339">
        <v>44926.0</v>
      </c>
      <c r="J23" s="336" t="str">
        <f>MID(A23,8,3)</f>
        <v>221</v>
      </c>
      <c r="K23" s="337" t="b">
        <v>1</v>
      </c>
      <c r="L23" s="338">
        <f>IF(K23=TRUE,SUMIF(Investimentos!M:M,J23,Investimentos!E:E),0)</f>
        <v>0</v>
      </c>
      <c r="M23" s="338" t="str">
        <f>IF(K23=TRUE,SUMIF(#REF!,J23,#REF!),0)</f>
        <v>#N/A</v>
      </c>
      <c r="N23" s="338"/>
      <c r="O23" s="338"/>
      <c r="P23" s="338"/>
      <c r="Q23" s="338"/>
      <c r="R23" s="338"/>
      <c r="S23" s="338"/>
      <c r="T23" s="338"/>
      <c r="U23" s="338"/>
      <c r="V23" s="338"/>
      <c r="W23" s="338"/>
      <c r="X23" s="338"/>
      <c r="Y23" s="338"/>
    </row>
    <row r="24" ht="84.75" customHeight="1">
      <c r="A24" s="83">
        <v>221.0</v>
      </c>
      <c r="B24" s="83"/>
      <c r="C24" s="83"/>
      <c r="D24" s="83" t="s">
        <v>931</v>
      </c>
      <c r="E24" s="83" t="s">
        <v>932</v>
      </c>
      <c r="F24" s="83" t="s">
        <v>933</v>
      </c>
      <c r="G24" s="83" t="s">
        <v>934</v>
      </c>
      <c r="H24" s="324"/>
      <c r="I24" s="340"/>
      <c r="J24" s="86"/>
      <c r="K24" s="87" t="b">
        <v>0</v>
      </c>
      <c r="L24" s="88"/>
      <c r="M24" s="88"/>
      <c r="N24" s="88"/>
      <c r="O24" s="88"/>
      <c r="P24" s="88"/>
      <c r="Q24" s="88"/>
      <c r="R24" s="88"/>
      <c r="S24" s="88"/>
      <c r="T24" s="88"/>
      <c r="U24" s="88"/>
      <c r="V24" s="88"/>
      <c r="W24" s="88"/>
      <c r="X24" s="88"/>
      <c r="Y24" s="88"/>
    </row>
    <row r="25">
      <c r="A25" s="323" t="s">
        <v>935</v>
      </c>
      <c r="B25" s="83" t="s">
        <v>906</v>
      </c>
      <c r="C25" s="83" t="s">
        <v>869</v>
      </c>
      <c r="D25" s="83" t="s">
        <v>936</v>
      </c>
      <c r="E25" s="83" t="s">
        <v>937</v>
      </c>
      <c r="F25" s="83" t="s">
        <v>938</v>
      </c>
      <c r="G25" s="83" t="s">
        <v>939</v>
      </c>
      <c r="H25" s="324">
        <v>44235.0</v>
      </c>
      <c r="I25" s="340">
        <v>45107.0</v>
      </c>
      <c r="J25" s="86" t="str">
        <f>MID(A25,8,3)</f>
        <v>222</v>
      </c>
      <c r="K25" s="87" t="b">
        <v>1</v>
      </c>
      <c r="L25" s="88">
        <f>IF(K25=TRUE,SUMIF(Investimentos!M:M,J25,Investimentos!E:E),0)</f>
        <v>0</v>
      </c>
      <c r="M25" s="88" t="str">
        <f>IF(K25=TRUE,SUMIF(#REF!,J25,#REF!),0)</f>
        <v>#N/A</v>
      </c>
      <c r="N25" s="88"/>
      <c r="O25" s="88"/>
      <c r="P25" s="88"/>
      <c r="Q25" s="88"/>
      <c r="R25" s="88"/>
      <c r="S25" s="88"/>
      <c r="T25" s="88"/>
      <c r="U25" s="88"/>
      <c r="V25" s="88"/>
      <c r="W25" s="88"/>
      <c r="X25" s="88"/>
      <c r="Y25" s="88"/>
    </row>
    <row r="26" ht="56.25" customHeight="1">
      <c r="A26" s="83">
        <v>222.0</v>
      </c>
      <c r="B26" s="83"/>
      <c r="C26" s="83"/>
      <c r="D26" s="83" t="s">
        <v>940</v>
      </c>
      <c r="E26" s="83" t="s">
        <v>941</v>
      </c>
      <c r="F26" s="83" t="s">
        <v>942</v>
      </c>
      <c r="G26" s="83" t="s">
        <v>943</v>
      </c>
      <c r="H26" s="324"/>
      <c r="I26" s="340"/>
      <c r="J26" s="86"/>
      <c r="K26" s="87" t="b">
        <v>0</v>
      </c>
      <c r="L26" s="88"/>
      <c r="M26" s="88"/>
      <c r="N26" s="88"/>
      <c r="O26" s="88"/>
      <c r="P26" s="88"/>
      <c r="Q26" s="88"/>
      <c r="R26" s="88"/>
      <c r="S26" s="88"/>
      <c r="T26" s="88"/>
      <c r="U26" s="88"/>
      <c r="V26" s="88"/>
      <c r="W26" s="88"/>
      <c r="X26" s="88"/>
      <c r="Y26" s="88"/>
    </row>
    <row r="27">
      <c r="A27" s="323" t="s">
        <v>944</v>
      </c>
      <c r="B27" s="83" t="s">
        <v>843</v>
      </c>
      <c r="C27" s="83" t="s">
        <v>844</v>
      </c>
      <c r="D27" s="83" t="s">
        <v>945</v>
      </c>
      <c r="E27" s="83" t="s">
        <v>946</v>
      </c>
      <c r="F27" s="83" t="s">
        <v>947</v>
      </c>
      <c r="G27" s="83" t="s">
        <v>948</v>
      </c>
      <c r="H27" s="324">
        <v>44263.0</v>
      </c>
      <c r="I27" s="340">
        <v>44926.0</v>
      </c>
      <c r="J27" s="86" t="str">
        <f>MID(A27,8,3)</f>
        <v>223</v>
      </c>
      <c r="K27" s="87" t="b">
        <v>1</v>
      </c>
      <c r="L27" s="88">
        <f>IF(K27=TRUE,SUMIF(Investimentos!M:M,J27,Investimentos!E:E),0)</f>
        <v>0</v>
      </c>
      <c r="M27" s="88" t="str">
        <f>IF(K27=TRUE,SUMIF(#REF!,J27,#REF!),0)</f>
        <v>#N/A</v>
      </c>
      <c r="N27" s="88"/>
      <c r="O27" s="88"/>
      <c r="P27" s="88"/>
      <c r="Q27" s="88"/>
      <c r="R27" s="88"/>
      <c r="S27" s="88"/>
      <c r="T27" s="88"/>
      <c r="U27" s="88"/>
      <c r="V27" s="88"/>
      <c r="W27" s="88"/>
      <c r="X27" s="88"/>
      <c r="Y27" s="88"/>
    </row>
    <row r="28" ht="36.75" customHeight="1">
      <c r="A28" s="83">
        <v>223.0</v>
      </c>
      <c r="B28" s="83"/>
      <c r="C28" s="83"/>
      <c r="D28" s="83" t="s">
        <v>949</v>
      </c>
      <c r="E28" s="83" t="s">
        <v>950</v>
      </c>
      <c r="F28" s="83" t="s">
        <v>951</v>
      </c>
      <c r="G28" s="83" t="s">
        <v>952</v>
      </c>
      <c r="H28" s="324"/>
      <c r="I28" s="340"/>
      <c r="J28" s="86"/>
      <c r="K28" s="87" t="b">
        <v>0</v>
      </c>
      <c r="L28" s="88"/>
      <c r="M28" s="88"/>
      <c r="N28" s="88"/>
      <c r="O28" s="88"/>
      <c r="P28" s="88"/>
      <c r="Q28" s="88"/>
      <c r="R28" s="88"/>
      <c r="S28" s="88"/>
      <c r="T28" s="88"/>
      <c r="U28" s="88"/>
      <c r="V28" s="88"/>
      <c r="W28" s="88"/>
      <c r="X28" s="88"/>
      <c r="Y28" s="88"/>
    </row>
    <row r="29">
      <c r="A29" s="323" t="s">
        <v>953</v>
      </c>
      <c r="B29" s="83" t="s">
        <v>843</v>
      </c>
      <c r="C29" s="83" t="s">
        <v>844</v>
      </c>
      <c r="D29" s="83" t="s">
        <v>954</v>
      </c>
      <c r="E29" s="83" t="s">
        <v>955</v>
      </c>
      <c r="F29" s="83" t="s">
        <v>956</v>
      </c>
      <c r="G29" s="83" t="s">
        <v>957</v>
      </c>
      <c r="H29" s="341">
        <v>44454.0</v>
      </c>
      <c r="I29" s="341">
        <v>45107.0</v>
      </c>
      <c r="J29" s="86" t="str">
        <f>MID(A29,8,3)</f>
        <v>226</v>
      </c>
      <c r="K29" s="87" t="b">
        <v>1</v>
      </c>
      <c r="L29" s="88">
        <f>IF(K29=TRUE,SUMIF(Investimentos!M:M,J29,Investimentos!E:E),0)</f>
        <v>0</v>
      </c>
      <c r="M29" s="88" t="str">
        <f>IF(K29=TRUE,SUMIF(#REF!,J29,#REF!),0)</f>
        <v>#N/A</v>
      </c>
      <c r="N29" s="88"/>
      <c r="O29" s="88"/>
      <c r="P29" s="88"/>
      <c r="Q29" s="88"/>
      <c r="R29" s="88"/>
      <c r="S29" s="88"/>
      <c r="T29" s="88"/>
      <c r="U29" s="88"/>
      <c r="V29" s="88"/>
      <c r="W29" s="88"/>
      <c r="X29" s="88"/>
      <c r="Y29" s="88"/>
    </row>
    <row r="30">
      <c r="A30" s="83">
        <v>226.0</v>
      </c>
      <c r="B30" s="83"/>
      <c r="C30" s="83"/>
      <c r="D30" s="83" t="s">
        <v>958</v>
      </c>
      <c r="E30" s="83" t="s">
        <v>959</v>
      </c>
      <c r="F30" s="83" t="s">
        <v>960</v>
      </c>
      <c r="G30" s="83" t="s">
        <v>961</v>
      </c>
      <c r="H30" s="341"/>
      <c r="I30" s="341"/>
      <c r="J30" s="86"/>
      <c r="K30" s="87" t="b">
        <v>0</v>
      </c>
      <c r="L30" s="88"/>
      <c r="M30" s="88"/>
      <c r="N30" s="88"/>
      <c r="O30" s="88"/>
      <c r="P30" s="88"/>
      <c r="Q30" s="88"/>
      <c r="R30" s="88"/>
      <c r="S30" s="88"/>
      <c r="T30" s="88"/>
      <c r="U30" s="88"/>
      <c r="V30" s="88"/>
      <c r="W30" s="88"/>
      <c r="X30" s="88"/>
      <c r="Y30" s="88"/>
    </row>
    <row r="31">
      <c r="A31" s="323" t="s">
        <v>962</v>
      </c>
      <c r="B31" s="83" t="s">
        <v>963</v>
      </c>
      <c r="C31" s="83" t="s">
        <v>964</v>
      </c>
      <c r="D31" s="83" t="s">
        <v>965</v>
      </c>
      <c r="E31" s="83" t="s">
        <v>966</v>
      </c>
      <c r="F31" s="83" t="s">
        <v>967</v>
      </c>
      <c r="G31" s="83" t="s">
        <v>968</v>
      </c>
      <c r="H31" s="341">
        <v>44620.0</v>
      </c>
      <c r="I31" s="341">
        <v>44926.0</v>
      </c>
      <c r="J31" s="86" t="str">
        <f>MID(A31,8,3)</f>
        <v>228</v>
      </c>
      <c r="K31" s="87" t="b">
        <v>1</v>
      </c>
      <c r="L31" s="88">
        <f>IF(K31=TRUE,SUMIF(Investimentos!M:M,J31,Investimentos!E:E),0)</f>
        <v>0</v>
      </c>
      <c r="M31" s="88" t="str">
        <f>IF(K31=TRUE,SUMIF(#REF!,J31,#REF!),0)</f>
        <v>#N/A</v>
      </c>
      <c r="N31" s="88"/>
      <c r="O31" s="88"/>
      <c r="P31" s="88"/>
      <c r="Q31" s="88"/>
      <c r="R31" s="88"/>
      <c r="S31" s="88"/>
      <c r="T31" s="88"/>
      <c r="U31" s="88"/>
      <c r="V31" s="88"/>
      <c r="W31" s="88"/>
      <c r="X31" s="88"/>
      <c r="Y31" s="88"/>
    </row>
    <row r="32" ht="44.25" customHeight="1">
      <c r="A32" s="83">
        <v>228.0</v>
      </c>
      <c r="B32" s="83"/>
      <c r="C32" s="83"/>
      <c r="D32" s="83" t="s">
        <v>969</v>
      </c>
      <c r="E32" s="83" t="s">
        <v>970</v>
      </c>
      <c r="F32" s="83" t="s">
        <v>971</v>
      </c>
      <c r="G32" s="83" t="s">
        <v>972</v>
      </c>
      <c r="H32" s="341"/>
      <c r="I32" s="341"/>
      <c r="J32" s="86"/>
      <c r="K32" s="87" t="b">
        <v>0</v>
      </c>
      <c r="L32" s="88"/>
      <c r="M32" s="88"/>
      <c r="N32" s="88"/>
      <c r="O32" s="88"/>
      <c r="P32" s="88"/>
      <c r="Q32" s="88"/>
      <c r="R32" s="88"/>
      <c r="S32" s="88"/>
      <c r="T32" s="88"/>
      <c r="U32" s="88"/>
      <c r="V32" s="88"/>
      <c r="W32" s="88"/>
      <c r="X32" s="88"/>
      <c r="Y32" s="88"/>
    </row>
    <row r="33" ht="101.25" hidden="1" customHeight="1">
      <c r="A33" s="323" t="s">
        <v>973</v>
      </c>
      <c r="B33" s="83" t="s">
        <v>974</v>
      </c>
      <c r="C33" s="83" t="s">
        <v>844</v>
      </c>
      <c r="D33" s="83" t="s">
        <v>975</v>
      </c>
      <c r="E33" s="83" t="s">
        <v>976</v>
      </c>
      <c r="F33" s="83" t="s">
        <v>977</v>
      </c>
      <c r="G33" s="83" t="s">
        <v>978</v>
      </c>
      <c r="H33" s="341">
        <v>44576.0</v>
      </c>
      <c r="I33" s="341">
        <v>44742.0</v>
      </c>
      <c r="J33" s="86" t="str">
        <f t="shared" ref="J33:J34" si="6">MID(A33,8,3)</f>
        <v>229</v>
      </c>
      <c r="K33" s="87" t="b">
        <v>0</v>
      </c>
      <c r="L33" s="88">
        <f>IF(K33=TRUE,SUMIF(Investimentos!M:M,J33,Investimentos!E:E),0)</f>
        <v>0</v>
      </c>
      <c r="M33" s="88">
        <f t="shared" ref="M33:M34" si="7">IF(K33=TRUE,SUMIF(#REF!,J33,#REF!),0)</f>
        <v>0</v>
      </c>
      <c r="N33" s="88"/>
      <c r="O33" s="88"/>
      <c r="P33" s="88"/>
      <c r="Q33" s="88"/>
      <c r="R33" s="88"/>
      <c r="S33" s="88"/>
      <c r="T33" s="88"/>
      <c r="U33" s="88"/>
      <c r="V33" s="88"/>
      <c r="W33" s="88"/>
      <c r="X33" s="88"/>
      <c r="Y33" s="88"/>
    </row>
    <row r="34">
      <c r="A34" s="83" t="s">
        <v>979</v>
      </c>
      <c r="B34" s="83" t="s">
        <v>974</v>
      </c>
      <c r="C34" s="83" t="s">
        <v>869</v>
      </c>
      <c r="D34" s="83" t="s">
        <v>980</v>
      </c>
      <c r="E34" s="83" t="s">
        <v>981</v>
      </c>
      <c r="F34" s="83" t="s">
        <v>982</v>
      </c>
      <c r="G34" s="83" t="s">
        <v>983</v>
      </c>
      <c r="H34" s="341">
        <v>44887.0</v>
      </c>
      <c r="I34" s="342"/>
      <c r="J34" s="86" t="str">
        <f t="shared" si="6"/>
        <v>233</v>
      </c>
      <c r="K34" s="343" t="b">
        <v>1</v>
      </c>
      <c r="L34" s="88">
        <f>IF(K34=TRUE,SUMIF(Investimentos!M:M,J34,Investimentos!E:E),0)</f>
        <v>0</v>
      </c>
      <c r="M34" s="88" t="str">
        <f t="shared" si="7"/>
        <v>#N/A</v>
      </c>
      <c r="N34" s="88"/>
      <c r="O34" s="88"/>
      <c r="P34" s="88"/>
      <c r="Q34" s="88"/>
      <c r="R34" s="88"/>
      <c r="S34" s="88"/>
      <c r="T34" s="88"/>
      <c r="U34" s="88"/>
      <c r="V34" s="88"/>
      <c r="W34" s="88"/>
      <c r="X34" s="88"/>
      <c r="Y34" s="88"/>
    </row>
    <row r="35">
      <c r="A35" s="83">
        <v>233.0</v>
      </c>
      <c r="B35" s="83"/>
      <c r="C35" s="83"/>
      <c r="D35" s="83" t="s">
        <v>984</v>
      </c>
      <c r="E35" s="83" t="s">
        <v>985</v>
      </c>
      <c r="F35" s="83" t="s">
        <v>986</v>
      </c>
      <c r="G35" s="83" t="s">
        <v>987</v>
      </c>
      <c r="H35" s="341"/>
      <c r="I35" s="342"/>
      <c r="J35" s="86"/>
      <c r="K35" s="343" t="b">
        <v>0</v>
      </c>
      <c r="L35" s="88"/>
      <c r="M35" s="88"/>
      <c r="N35" s="88"/>
      <c r="O35" s="88"/>
      <c r="P35" s="88"/>
      <c r="Q35" s="88"/>
      <c r="R35" s="88"/>
      <c r="S35" s="88"/>
      <c r="T35" s="88"/>
      <c r="U35" s="88"/>
      <c r="V35" s="88"/>
      <c r="W35" s="88"/>
      <c r="X35" s="88"/>
      <c r="Y35" s="88"/>
    </row>
    <row r="36" hidden="1">
      <c r="A36" s="334" t="s">
        <v>988</v>
      </c>
      <c r="B36" s="334" t="s">
        <v>974</v>
      </c>
      <c r="C36" s="334" t="s">
        <v>869</v>
      </c>
      <c r="D36" s="334" t="s">
        <v>989</v>
      </c>
      <c r="E36" s="334" t="s">
        <v>990</v>
      </c>
      <c r="F36" s="334" t="s">
        <v>991</v>
      </c>
      <c r="G36" s="334" t="s">
        <v>992</v>
      </c>
      <c r="H36" s="342">
        <v>44931.0</v>
      </c>
      <c r="I36" s="342"/>
      <c r="J36" s="336" t="str">
        <f t="shared" ref="J36:J37" si="8">MID(A36,8,3)</f>
        <v>234</v>
      </c>
      <c r="K36" s="337" t="b">
        <v>0</v>
      </c>
      <c r="L36" s="338">
        <f>IF(K36=TRUE,SUMIF(Investimentos!M:M,J36,Investimentos!E:E),0)</f>
        <v>0</v>
      </c>
      <c r="M36" s="338">
        <f t="shared" ref="M36:M37" si="9">IF(K36=TRUE,SUMIF(#REF!,J36,#REF!),0)</f>
        <v>0</v>
      </c>
      <c r="N36" s="338"/>
      <c r="O36" s="338"/>
      <c r="P36" s="338"/>
      <c r="Q36" s="338"/>
      <c r="R36" s="338"/>
      <c r="S36" s="338"/>
      <c r="T36" s="338"/>
      <c r="U36" s="338"/>
      <c r="V36" s="338"/>
      <c r="W36" s="338"/>
      <c r="X36" s="338"/>
      <c r="Y36" s="338"/>
    </row>
    <row r="37">
      <c r="A37" s="83" t="s">
        <v>993</v>
      </c>
      <c r="B37" s="83" t="s">
        <v>974</v>
      </c>
      <c r="C37" s="83" t="s">
        <v>844</v>
      </c>
      <c r="D37" s="83" t="s">
        <v>994</v>
      </c>
      <c r="E37" s="83" t="s">
        <v>995</v>
      </c>
      <c r="F37" s="83" t="s">
        <v>996</v>
      </c>
      <c r="G37" s="83" t="s">
        <v>997</v>
      </c>
      <c r="H37" s="341">
        <v>44931.0</v>
      </c>
      <c r="I37" s="342"/>
      <c r="J37" s="86" t="str">
        <f t="shared" si="8"/>
        <v>235</v>
      </c>
      <c r="K37" s="343" t="b">
        <v>1</v>
      </c>
      <c r="L37" s="88">
        <f>IF(K37=TRUE,SUMIF(Investimentos!M:M,J37,Investimentos!E:E),0)</f>
        <v>0</v>
      </c>
      <c r="M37" s="88" t="str">
        <f t="shared" si="9"/>
        <v>#N/A</v>
      </c>
      <c r="N37" s="88"/>
      <c r="O37" s="88"/>
      <c r="P37" s="88"/>
      <c r="Q37" s="88"/>
      <c r="R37" s="88"/>
      <c r="S37" s="88"/>
      <c r="T37" s="88"/>
      <c r="U37" s="88"/>
      <c r="V37" s="88"/>
      <c r="W37" s="88"/>
      <c r="X37" s="88"/>
      <c r="Y37" s="88"/>
    </row>
    <row r="38">
      <c r="A38" s="83">
        <v>235.0</v>
      </c>
      <c r="B38" s="83"/>
      <c r="C38" s="83"/>
      <c r="D38" s="83" t="s">
        <v>998</v>
      </c>
      <c r="E38" s="83" t="s">
        <v>999</v>
      </c>
      <c r="F38" s="83" t="s">
        <v>1000</v>
      </c>
      <c r="G38" s="83" t="s">
        <v>1001</v>
      </c>
      <c r="H38" s="341"/>
      <c r="I38" s="342"/>
      <c r="J38" s="86"/>
      <c r="K38" s="343" t="b">
        <v>0</v>
      </c>
      <c r="L38" s="88"/>
      <c r="M38" s="88"/>
      <c r="N38" s="88"/>
      <c r="O38" s="88"/>
      <c r="P38" s="88"/>
      <c r="Q38" s="88"/>
      <c r="R38" s="88"/>
      <c r="S38" s="88"/>
      <c r="T38" s="88"/>
      <c r="U38" s="88"/>
      <c r="V38" s="88"/>
      <c r="W38" s="88"/>
      <c r="X38" s="88"/>
      <c r="Y38" s="88"/>
    </row>
  </sheetData>
  <autoFilter ref="$A$5:$M$37">
    <filterColumn colId="10">
      <filters>
        <filter val="TRUE"/>
        <filter val="FALSE"/>
      </filters>
    </filterColumn>
  </autoFilter>
  <hyperlinks>
    <hyperlink r:id="rId2" ref="A6"/>
    <hyperlink r:id="rId3" ref="A9"/>
    <hyperlink r:id="rId4" ref="A11"/>
    <hyperlink r:id="rId5" ref="A13"/>
    <hyperlink r:id="rId6" ref="A15"/>
    <hyperlink r:id="rId7" ref="A17"/>
    <hyperlink r:id="rId8" ref="A19"/>
    <hyperlink r:id="rId9" ref="A21"/>
    <hyperlink r:id="rId10" ref="A23"/>
    <hyperlink r:id="rId11" ref="A25"/>
    <hyperlink r:id="rId12" ref="A27"/>
    <hyperlink r:id="rId13" ref="A29"/>
    <hyperlink r:id="rId14" ref="A31"/>
    <hyperlink r:id="rId15" ref="A33"/>
  </hyperlinks>
  <drawing r:id="rId16"/>
  <legacyDrawing r:id="rId17"/>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9.88"/>
  </cols>
  <sheetData>
    <row r="1">
      <c r="A1" s="344"/>
    </row>
    <row r="2">
      <c r="A2" s="345" t="s">
        <v>1002</v>
      </c>
    </row>
    <row r="3">
      <c r="A3" s="344"/>
    </row>
    <row r="4">
      <c r="A4" s="344"/>
    </row>
    <row r="5">
      <c r="A5" s="345" t="s">
        <v>1003</v>
      </c>
    </row>
    <row r="6">
      <c r="A6" s="345" t="s">
        <v>1004</v>
      </c>
    </row>
    <row r="7">
      <c r="A7" s="345" t="s">
        <v>1005</v>
      </c>
    </row>
    <row r="8">
      <c r="A8" s="345" t="s">
        <v>1006</v>
      </c>
    </row>
    <row r="9">
      <c r="A9" s="345" t="s">
        <v>1007</v>
      </c>
    </row>
    <row r="10">
      <c r="A10" s="345" t="s">
        <v>1008</v>
      </c>
    </row>
    <row r="11">
      <c r="A11" s="345" t="s">
        <v>1009</v>
      </c>
    </row>
    <row r="12">
      <c r="A12" s="345" t="s">
        <v>1010</v>
      </c>
    </row>
    <row r="13">
      <c r="A13" s="344"/>
    </row>
    <row r="14">
      <c r="A14" s="345" t="s">
        <v>1011</v>
      </c>
    </row>
    <row r="15">
      <c r="A15" s="344"/>
    </row>
    <row r="16">
      <c r="A16" s="344"/>
    </row>
    <row r="17">
      <c r="A17" s="344"/>
    </row>
    <row r="18">
      <c r="A18" s="344"/>
    </row>
    <row r="19">
      <c r="A19" s="344"/>
    </row>
    <row r="20">
      <c r="A20" s="344"/>
    </row>
    <row r="21">
      <c r="A21" s="344"/>
    </row>
    <row r="22">
      <c r="A22" s="344"/>
    </row>
    <row r="23">
      <c r="A23" s="344"/>
    </row>
    <row r="24">
      <c r="A24" s="344"/>
    </row>
    <row r="25">
      <c r="A25" s="344"/>
    </row>
    <row r="26">
      <c r="A26" s="344"/>
    </row>
    <row r="27">
      <c r="A27" s="344"/>
    </row>
    <row r="28">
      <c r="A28" s="344"/>
    </row>
    <row r="29">
      <c r="A29" s="344"/>
    </row>
    <row r="30">
      <c r="A30" s="344"/>
    </row>
    <row r="31">
      <c r="A31" s="344"/>
    </row>
    <row r="32">
      <c r="A32" s="344"/>
    </row>
    <row r="33">
      <c r="A33" s="344"/>
    </row>
    <row r="34">
      <c r="A34" s="344"/>
    </row>
    <row r="35">
      <c r="A35" s="344"/>
    </row>
    <row r="36">
      <c r="A36" s="344"/>
    </row>
    <row r="37">
      <c r="A37" s="344"/>
    </row>
    <row r="38">
      <c r="A38" s="344"/>
    </row>
    <row r="39">
      <c r="A39" s="344"/>
    </row>
    <row r="40">
      <c r="A40" s="344"/>
    </row>
    <row r="41">
      <c r="A41" s="344"/>
    </row>
    <row r="42">
      <c r="A42" s="344"/>
    </row>
    <row r="43">
      <c r="A43" s="344"/>
    </row>
    <row r="44">
      <c r="A44" s="344"/>
    </row>
    <row r="45">
      <c r="A45" s="344"/>
    </row>
    <row r="46">
      <c r="A46" s="344"/>
    </row>
    <row r="47">
      <c r="A47" s="344"/>
    </row>
    <row r="48">
      <c r="A48" s="344"/>
    </row>
    <row r="49">
      <c r="A49" s="344"/>
    </row>
    <row r="50">
      <c r="A50" s="344"/>
    </row>
    <row r="51">
      <c r="A51" s="344"/>
    </row>
    <row r="52">
      <c r="A52" s="344"/>
    </row>
    <row r="53">
      <c r="A53" s="344"/>
    </row>
    <row r="54">
      <c r="A54" s="344"/>
    </row>
    <row r="55">
      <c r="A55" s="344"/>
    </row>
    <row r="56">
      <c r="A56" s="344"/>
    </row>
    <row r="57">
      <c r="A57" s="344"/>
    </row>
    <row r="58">
      <c r="A58" s="344"/>
    </row>
    <row r="59">
      <c r="A59" s="344"/>
    </row>
    <row r="60">
      <c r="A60" s="344"/>
    </row>
    <row r="61">
      <c r="A61" s="344"/>
    </row>
    <row r="62">
      <c r="A62" s="344"/>
    </row>
    <row r="63">
      <c r="A63" s="344"/>
    </row>
    <row r="64">
      <c r="A64" s="344"/>
    </row>
    <row r="65">
      <c r="A65" s="344"/>
    </row>
    <row r="66">
      <c r="A66" s="344"/>
    </row>
    <row r="67">
      <c r="A67" s="344"/>
    </row>
    <row r="68">
      <c r="A68" s="344"/>
    </row>
    <row r="69">
      <c r="A69" s="344"/>
    </row>
    <row r="70">
      <c r="A70" s="344"/>
    </row>
    <row r="71">
      <c r="A71" s="344"/>
    </row>
    <row r="72">
      <c r="A72" s="344"/>
    </row>
    <row r="73">
      <c r="A73" s="344"/>
    </row>
    <row r="74">
      <c r="A74" s="344"/>
    </row>
    <row r="75">
      <c r="A75" s="344"/>
    </row>
    <row r="76">
      <c r="A76" s="344"/>
    </row>
    <row r="77">
      <c r="A77" s="344"/>
    </row>
    <row r="78">
      <c r="A78" s="344"/>
    </row>
    <row r="79">
      <c r="A79" s="344"/>
    </row>
    <row r="80">
      <c r="A80" s="344"/>
    </row>
    <row r="81">
      <c r="A81" s="344"/>
    </row>
    <row r="82">
      <c r="A82" s="344"/>
    </row>
    <row r="83">
      <c r="A83" s="344"/>
    </row>
    <row r="84">
      <c r="A84" s="344"/>
    </row>
    <row r="85">
      <c r="A85" s="344"/>
    </row>
    <row r="86">
      <c r="A86" s="344"/>
    </row>
    <row r="87">
      <c r="A87" s="344"/>
    </row>
    <row r="88">
      <c r="A88" s="344"/>
    </row>
    <row r="89">
      <c r="A89" s="344"/>
    </row>
    <row r="90">
      <c r="A90" s="344"/>
    </row>
    <row r="91">
      <c r="A91" s="344"/>
    </row>
    <row r="92">
      <c r="A92" s="344"/>
    </row>
    <row r="93">
      <c r="A93" s="344"/>
    </row>
    <row r="94">
      <c r="A94" s="344"/>
    </row>
    <row r="95">
      <c r="A95" s="344"/>
    </row>
    <row r="96">
      <c r="A96" s="344"/>
    </row>
    <row r="97">
      <c r="A97" s="344"/>
    </row>
    <row r="98">
      <c r="A98" s="344"/>
    </row>
    <row r="99">
      <c r="A99" s="344"/>
    </row>
    <row r="100">
      <c r="A100" s="344"/>
    </row>
    <row r="101">
      <c r="A101" s="344"/>
    </row>
    <row r="102">
      <c r="A102" s="344"/>
    </row>
    <row r="103">
      <c r="A103" s="344"/>
    </row>
    <row r="104">
      <c r="A104" s="344"/>
    </row>
    <row r="105">
      <c r="A105" s="344"/>
    </row>
    <row r="106">
      <c r="A106" s="344"/>
    </row>
    <row r="107">
      <c r="A107" s="344"/>
    </row>
    <row r="108">
      <c r="A108" s="344"/>
    </row>
    <row r="109">
      <c r="A109" s="344"/>
    </row>
    <row r="110">
      <c r="A110" s="344"/>
    </row>
    <row r="111">
      <c r="A111" s="344"/>
    </row>
    <row r="112">
      <c r="A112" s="344"/>
    </row>
    <row r="113">
      <c r="A113" s="344"/>
    </row>
    <row r="114">
      <c r="A114" s="344"/>
    </row>
    <row r="115">
      <c r="A115" s="344"/>
    </row>
    <row r="116">
      <c r="A116" s="344"/>
    </row>
    <row r="117">
      <c r="A117" s="344"/>
    </row>
    <row r="118">
      <c r="A118" s="344"/>
    </row>
    <row r="119">
      <c r="A119" s="344"/>
    </row>
    <row r="120">
      <c r="A120" s="344"/>
    </row>
    <row r="121">
      <c r="A121" s="344"/>
    </row>
    <row r="122">
      <c r="A122" s="344"/>
    </row>
    <row r="123">
      <c r="A123" s="344"/>
    </row>
    <row r="124">
      <c r="A124" s="344"/>
    </row>
    <row r="125">
      <c r="A125" s="344"/>
    </row>
    <row r="126">
      <c r="A126" s="344"/>
    </row>
    <row r="127">
      <c r="A127" s="344"/>
    </row>
    <row r="128">
      <c r="A128" s="344"/>
    </row>
    <row r="129">
      <c r="A129" s="344"/>
    </row>
    <row r="130">
      <c r="A130" s="344"/>
    </row>
    <row r="131">
      <c r="A131" s="344"/>
    </row>
    <row r="132">
      <c r="A132" s="344"/>
    </row>
    <row r="133">
      <c r="A133" s="344"/>
    </row>
    <row r="134">
      <c r="A134" s="344"/>
    </row>
    <row r="135">
      <c r="A135" s="344"/>
    </row>
    <row r="136">
      <c r="A136" s="344"/>
    </row>
    <row r="137">
      <c r="A137" s="344"/>
    </row>
    <row r="138">
      <c r="A138" s="344"/>
    </row>
    <row r="139">
      <c r="A139" s="344"/>
    </row>
    <row r="140">
      <c r="A140" s="344"/>
    </row>
    <row r="141">
      <c r="A141" s="344"/>
    </row>
    <row r="142">
      <c r="A142" s="344"/>
    </row>
    <row r="143">
      <c r="A143" s="344"/>
    </row>
    <row r="144">
      <c r="A144" s="344"/>
    </row>
    <row r="145">
      <c r="A145" s="344"/>
    </row>
    <row r="146">
      <c r="A146" s="344"/>
    </row>
    <row r="147">
      <c r="A147" s="344"/>
    </row>
    <row r="148">
      <c r="A148" s="344"/>
    </row>
    <row r="149">
      <c r="A149" s="344"/>
    </row>
    <row r="150">
      <c r="A150" s="344"/>
    </row>
    <row r="151">
      <c r="A151" s="344"/>
    </row>
    <row r="152">
      <c r="A152" s="344"/>
    </row>
    <row r="153">
      <c r="A153" s="344"/>
    </row>
    <row r="154">
      <c r="A154" s="344"/>
    </row>
    <row r="155">
      <c r="A155" s="344"/>
    </row>
    <row r="156">
      <c r="A156" s="344"/>
    </row>
    <row r="157">
      <c r="A157" s="344"/>
    </row>
    <row r="158">
      <c r="A158" s="344"/>
    </row>
    <row r="159">
      <c r="A159" s="344"/>
    </row>
    <row r="160">
      <c r="A160" s="344"/>
    </row>
    <row r="161">
      <c r="A161" s="344"/>
    </row>
    <row r="162">
      <c r="A162" s="344"/>
    </row>
    <row r="163">
      <c r="A163" s="344"/>
    </row>
    <row r="164">
      <c r="A164" s="344"/>
    </row>
    <row r="165">
      <c r="A165" s="344"/>
    </row>
    <row r="166">
      <c r="A166" s="344"/>
    </row>
    <row r="167">
      <c r="A167" s="344"/>
    </row>
    <row r="168">
      <c r="A168" s="344"/>
    </row>
    <row r="169">
      <c r="A169" s="344"/>
    </row>
    <row r="170">
      <c r="A170" s="344"/>
    </row>
    <row r="171">
      <c r="A171" s="344"/>
    </row>
    <row r="172">
      <c r="A172" s="344"/>
    </row>
    <row r="173">
      <c r="A173" s="344"/>
    </row>
    <row r="174">
      <c r="A174" s="344"/>
    </row>
    <row r="175">
      <c r="A175" s="344"/>
    </row>
    <row r="176">
      <c r="A176" s="344"/>
    </row>
    <row r="177">
      <c r="A177" s="344"/>
    </row>
    <row r="178">
      <c r="A178" s="344"/>
    </row>
    <row r="179">
      <c r="A179" s="344"/>
    </row>
    <row r="180">
      <c r="A180" s="344"/>
    </row>
    <row r="181">
      <c r="A181" s="344"/>
    </row>
    <row r="182">
      <c r="A182" s="344"/>
    </row>
    <row r="183">
      <c r="A183" s="344"/>
    </row>
    <row r="184">
      <c r="A184" s="344"/>
    </row>
    <row r="185">
      <c r="A185" s="344"/>
    </row>
    <row r="186">
      <c r="A186" s="344"/>
    </row>
    <row r="187">
      <c r="A187" s="344"/>
    </row>
    <row r="188">
      <c r="A188" s="344"/>
    </row>
    <row r="189">
      <c r="A189" s="344"/>
    </row>
    <row r="190">
      <c r="A190" s="344"/>
    </row>
    <row r="191">
      <c r="A191" s="344"/>
    </row>
    <row r="192">
      <c r="A192" s="344"/>
    </row>
    <row r="193">
      <c r="A193" s="344"/>
    </row>
    <row r="194">
      <c r="A194" s="344"/>
    </row>
    <row r="195">
      <c r="A195" s="344"/>
    </row>
    <row r="196">
      <c r="A196" s="344"/>
    </row>
    <row r="197">
      <c r="A197" s="344"/>
    </row>
    <row r="198">
      <c r="A198" s="344"/>
    </row>
    <row r="199">
      <c r="A199" s="344"/>
    </row>
    <row r="200">
      <c r="A200" s="344"/>
    </row>
    <row r="201">
      <c r="A201" s="344"/>
    </row>
    <row r="202">
      <c r="A202" s="344"/>
    </row>
    <row r="203">
      <c r="A203" s="344"/>
    </row>
    <row r="204">
      <c r="A204" s="344"/>
    </row>
    <row r="205">
      <c r="A205" s="344"/>
    </row>
    <row r="206">
      <c r="A206" s="344"/>
    </row>
    <row r="207">
      <c r="A207" s="344"/>
    </row>
    <row r="208">
      <c r="A208" s="344"/>
    </row>
    <row r="209">
      <c r="A209" s="344"/>
    </row>
    <row r="210">
      <c r="A210" s="344"/>
    </row>
    <row r="211">
      <c r="A211" s="344"/>
    </row>
    <row r="212">
      <c r="A212" s="344"/>
    </row>
    <row r="213">
      <c r="A213" s="344"/>
    </row>
    <row r="214">
      <c r="A214" s="344"/>
    </row>
    <row r="215">
      <c r="A215" s="344"/>
    </row>
    <row r="216">
      <c r="A216" s="344"/>
    </row>
    <row r="217">
      <c r="A217" s="344"/>
    </row>
    <row r="218">
      <c r="A218" s="344"/>
    </row>
    <row r="219">
      <c r="A219" s="344"/>
    </row>
    <row r="220">
      <c r="A220" s="344"/>
    </row>
    <row r="221">
      <c r="A221" s="344"/>
    </row>
    <row r="222">
      <c r="A222" s="344"/>
    </row>
    <row r="223">
      <c r="A223" s="344"/>
    </row>
    <row r="224">
      <c r="A224" s="344"/>
    </row>
    <row r="225">
      <c r="A225" s="344"/>
    </row>
    <row r="226">
      <c r="A226" s="344"/>
    </row>
    <row r="227">
      <c r="A227" s="344"/>
    </row>
    <row r="228">
      <c r="A228" s="344"/>
    </row>
    <row r="229">
      <c r="A229" s="344"/>
    </row>
    <row r="230">
      <c r="A230" s="344"/>
    </row>
    <row r="231">
      <c r="A231" s="344"/>
    </row>
    <row r="232">
      <c r="A232" s="344"/>
    </row>
    <row r="233">
      <c r="A233" s="344"/>
    </row>
    <row r="234">
      <c r="A234" s="344"/>
    </row>
    <row r="235">
      <c r="A235" s="344"/>
    </row>
    <row r="236">
      <c r="A236" s="344"/>
    </row>
    <row r="237">
      <c r="A237" s="344"/>
    </row>
    <row r="238">
      <c r="A238" s="344"/>
    </row>
    <row r="239">
      <c r="A239" s="344"/>
    </row>
    <row r="240">
      <c r="A240" s="344"/>
    </row>
    <row r="241">
      <c r="A241" s="344"/>
    </row>
    <row r="242">
      <c r="A242" s="344"/>
    </row>
    <row r="243">
      <c r="A243" s="344"/>
    </row>
    <row r="244">
      <c r="A244" s="344"/>
    </row>
    <row r="245">
      <c r="A245" s="344"/>
    </row>
    <row r="246">
      <c r="A246" s="344"/>
    </row>
    <row r="247">
      <c r="A247" s="344"/>
    </row>
    <row r="248">
      <c r="A248" s="344"/>
    </row>
    <row r="249">
      <c r="A249" s="344"/>
    </row>
    <row r="250">
      <c r="A250" s="344"/>
    </row>
    <row r="251">
      <c r="A251" s="344"/>
    </row>
    <row r="252">
      <c r="A252" s="344"/>
    </row>
    <row r="253">
      <c r="A253" s="344"/>
    </row>
    <row r="254">
      <c r="A254" s="344"/>
    </row>
    <row r="255">
      <c r="A255" s="344"/>
    </row>
    <row r="256">
      <c r="A256" s="344"/>
    </row>
    <row r="257">
      <c r="A257" s="344"/>
    </row>
    <row r="258">
      <c r="A258" s="344"/>
    </row>
    <row r="259">
      <c r="A259" s="344"/>
    </row>
    <row r="260">
      <c r="A260" s="344"/>
    </row>
    <row r="261">
      <c r="A261" s="344"/>
    </row>
    <row r="262">
      <c r="A262" s="344"/>
    </row>
    <row r="263">
      <c r="A263" s="344"/>
    </row>
    <row r="264">
      <c r="A264" s="344"/>
    </row>
    <row r="265">
      <c r="A265" s="344"/>
    </row>
    <row r="266">
      <c r="A266" s="344"/>
    </row>
    <row r="267">
      <c r="A267" s="344"/>
    </row>
    <row r="268">
      <c r="A268" s="344"/>
    </row>
    <row r="269">
      <c r="A269" s="344"/>
    </row>
    <row r="270">
      <c r="A270" s="344"/>
    </row>
    <row r="271">
      <c r="A271" s="344"/>
    </row>
    <row r="272">
      <c r="A272" s="344"/>
    </row>
    <row r="273">
      <c r="A273" s="344"/>
    </row>
    <row r="274">
      <c r="A274" s="344"/>
    </row>
    <row r="275">
      <c r="A275" s="344"/>
    </row>
    <row r="276">
      <c r="A276" s="344"/>
    </row>
    <row r="277">
      <c r="A277" s="344"/>
    </row>
    <row r="278">
      <c r="A278" s="344"/>
    </row>
    <row r="279">
      <c r="A279" s="344"/>
    </row>
    <row r="280">
      <c r="A280" s="344"/>
    </row>
    <row r="281">
      <c r="A281" s="344"/>
    </row>
    <row r="282">
      <c r="A282" s="344"/>
    </row>
    <row r="283">
      <c r="A283" s="344"/>
    </row>
    <row r="284">
      <c r="A284" s="344"/>
    </row>
    <row r="285">
      <c r="A285" s="344"/>
    </row>
    <row r="286">
      <c r="A286" s="344"/>
    </row>
    <row r="287">
      <c r="A287" s="344"/>
    </row>
    <row r="288">
      <c r="A288" s="344"/>
    </row>
    <row r="289">
      <c r="A289" s="344"/>
    </row>
    <row r="290">
      <c r="A290" s="344"/>
    </row>
    <row r="291">
      <c r="A291" s="344"/>
    </row>
    <row r="292">
      <c r="A292" s="344"/>
    </row>
    <row r="293">
      <c r="A293" s="344"/>
    </row>
    <row r="294">
      <c r="A294" s="344"/>
    </row>
    <row r="295">
      <c r="A295" s="344"/>
    </row>
    <row r="296">
      <c r="A296" s="344"/>
    </row>
    <row r="297">
      <c r="A297" s="344"/>
    </row>
    <row r="298">
      <c r="A298" s="344"/>
    </row>
    <row r="299">
      <c r="A299" s="344"/>
    </row>
    <row r="300">
      <c r="A300" s="344"/>
    </row>
    <row r="301">
      <c r="A301" s="344"/>
    </row>
    <row r="302">
      <c r="A302" s="344"/>
    </row>
    <row r="303">
      <c r="A303" s="344"/>
    </row>
    <row r="304">
      <c r="A304" s="344"/>
    </row>
    <row r="305">
      <c r="A305" s="344"/>
    </row>
    <row r="306">
      <c r="A306" s="344"/>
    </row>
    <row r="307">
      <c r="A307" s="344"/>
    </row>
    <row r="308">
      <c r="A308" s="344"/>
    </row>
    <row r="309">
      <c r="A309" s="344"/>
    </row>
    <row r="310">
      <c r="A310" s="344"/>
    </row>
    <row r="311">
      <c r="A311" s="344"/>
    </row>
    <row r="312">
      <c r="A312" s="344"/>
    </row>
    <row r="313">
      <c r="A313" s="344"/>
    </row>
    <row r="314">
      <c r="A314" s="344"/>
    </row>
    <row r="315">
      <c r="A315" s="344"/>
    </row>
    <row r="316">
      <c r="A316" s="344"/>
    </row>
    <row r="317">
      <c r="A317" s="344"/>
    </row>
    <row r="318">
      <c r="A318" s="344"/>
    </row>
    <row r="319">
      <c r="A319" s="344"/>
    </row>
    <row r="320">
      <c r="A320" s="344"/>
    </row>
    <row r="321">
      <c r="A321" s="344"/>
    </row>
    <row r="322">
      <c r="A322" s="344"/>
    </row>
    <row r="323">
      <c r="A323" s="344"/>
    </row>
    <row r="324">
      <c r="A324" s="344"/>
    </row>
    <row r="325">
      <c r="A325" s="344"/>
    </row>
    <row r="326">
      <c r="A326" s="344"/>
    </row>
    <row r="327">
      <c r="A327" s="344"/>
    </row>
    <row r="328">
      <c r="A328" s="344"/>
    </row>
    <row r="329">
      <c r="A329" s="344"/>
    </row>
    <row r="330">
      <c r="A330" s="344"/>
    </row>
    <row r="331">
      <c r="A331" s="344"/>
    </row>
    <row r="332">
      <c r="A332" s="344"/>
    </row>
    <row r="333">
      <c r="A333" s="344"/>
    </row>
    <row r="334">
      <c r="A334" s="344"/>
    </row>
    <row r="335">
      <c r="A335" s="344"/>
    </row>
    <row r="336">
      <c r="A336" s="344"/>
    </row>
    <row r="337">
      <c r="A337" s="344"/>
    </row>
    <row r="338">
      <c r="A338" s="344"/>
    </row>
    <row r="339">
      <c r="A339" s="344"/>
    </row>
    <row r="340">
      <c r="A340" s="344"/>
    </row>
    <row r="341">
      <c r="A341" s="344"/>
    </row>
    <row r="342">
      <c r="A342" s="344"/>
    </row>
    <row r="343">
      <c r="A343" s="344"/>
    </row>
    <row r="344">
      <c r="A344" s="344"/>
    </row>
    <row r="345">
      <c r="A345" s="344"/>
    </row>
    <row r="346">
      <c r="A346" s="344"/>
    </row>
    <row r="347">
      <c r="A347" s="344"/>
    </row>
    <row r="348">
      <c r="A348" s="344"/>
    </row>
    <row r="349">
      <c r="A349" s="344"/>
    </row>
    <row r="350">
      <c r="A350" s="344"/>
    </row>
    <row r="351">
      <c r="A351" s="344"/>
    </row>
    <row r="352">
      <c r="A352" s="344"/>
    </row>
    <row r="353">
      <c r="A353" s="344"/>
    </row>
    <row r="354">
      <c r="A354" s="344"/>
    </row>
    <row r="355">
      <c r="A355" s="344"/>
    </row>
    <row r="356">
      <c r="A356" s="344"/>
    </row>
    <row r="357">
      <c r="A357" s="344"/>
    </row>
    <row r="358">
      <c r="A358" s="344"/>
    </row>
    <row r="359">
      <c r="A359" s="344"/>
    </row>
    <row r="360">
      <c r="A360" s="344"/>
    </row>
    <row r="361">
      <c r="A361" s="344"/>
    </row>
    <row r="362">
      <c r="A362" s="344"/>
    </row>
    <row r="363">
      <c r="A363" s="344"/>
    </row>
    <row r="364">
      <c r="A364" s="344"/>
    </row>
    <row r="365">
      <c r="A365" s="344"/>
    </row>
    <row r="366">
      <c r="A366" s="344"/>
    </row>
    <row r="367">
      <c r="A367" s="344"/>
    </row>
    <row r="368">
      <c r="A368" s="344"/>
    </row>
    <row r="369">
      <c r="A369" s="344"/>
    </row>
    <row r="370">
      <c r="A370" s="344"/>
    </row>
    <row r="371">
      <c r="A371" s="344"/>
    </row>
    <row r="372">
      <c r="A372" s="344"/>
    </row>
    <row r="373">
      <c r="A373" s="344"/>
    </row>
    <row r="374">
      <c r="A374" s="344"/>
    </row>
    <row r="375">
      <c r="A375" s="344"/>
    </row>
    <row r="376">
      <c r="A376" s="344"/>
    </row>
    <row r="377">
      <c r="A377" s="344"/>
    </row>
    <row r="378">
      <c r="A378" s="344"/>
    </row>
    <row r="379">
      <c r="A379" s="344"/>
    </row>
    <row r="380">
      <c r="A380" s="344"/>
    </row>
    <row r="381">
      <c r="A381" s="344"/>
    </row>
    <row r="382">
      <c r="A382" s="344"/>
    </row>
    <row r="383">
      <c r="A383" s="344"/>
    </row>
    <row r="384">
      <c r="A384" s="344"/>
    </row>
    <row r="385">
      <c r="A385" s="344"/>
    </row>
    <row r="386">
      <c r="A386" s="344"/>
    </row>
    <row r="387">
      <c r="A387" s="344"/>
    </row>
    <row r="388">
      <c r="A388" s="344"/>
    </row>
    <row r="389">
      <c r="A389" s="344"/>
    </row>
    <row r="390">
      <c r="A390" s="344"/>
    </row>
    <row r="391">
      <c r="A391" s="344"/>
    </row>
    <row r="392">
      <c r="A392" s="344"/>
    </row>
    <row r="393">
      <c r="A393" s="344"/>
    </row>
    <row r="394">
      <c r="A394" s="344"/>
    </row>
    <row r="395">
      <c r="A395" s="344"/>
    </row>
    <row r="396">
      <c r="A396" s="344"/>
    </row>
    <row r="397">
      <c r="A397" s="344"/>
    </row>
    <row r="398">
      <c r="A398" s="344"/>
    </row>
    <row r="399">
      <c r="A399" s="344"/>
    </row>
    <row r="400">
      <c r="A400" s="344"/>
    </row>
    <row r="401">
      <c r="A401" s="344"/>
    </row>
    <row r="402">
      <c r="A402" s="344"/>
    </row>
    <row r="403">
      <c r="A403" s="344"/>
    </row>
    <row r="404">
      <c r="A404" s="344"/>
    </row>
    <row r="405">
      <c r="A405" s="344"/>
    </row>
    <row r="406">
      <c r="A406" s="344"/>
    </row>
    <row r="407">
      <c r="A407" s="344"/>
    </row>
    <row r="408">
      <c r="A408" s="344"/>
    </row>
    <row r="409">
      <c r="A409" s="344"/>
    </row>
    <row r="410">
      <c r="A410" s="344"/>
    </row>
    <row r="411">
      <c r="A411" s="344"/>
    </row>
    <row r="412">
      <c r="A412" s="344"/>
    </row>
    <row r="413">
      <c r="A413" s="344"/>
    </row>
    <row r="414">
      <c r="A414" s="344"/>
    </row>
    <row r="415">
      <c r="A415" s="344"/>
    </row>
    <row r="416">
      <c r="A416" s="344"/>
    </row>
    <row r="417">
      <c r="A417" s="344"/>
    </row>
    <row r="418">
      <c r="A418" s="344"/>
    </row>
    <row r="419">
      <c r="A419" s="344"/>
    </row>
    <row r="420">
      <c r="A420" s="344"/>
    </row>
    <row r="421">
      <c r="A421" s="344"/>
    </row>
    <row r="422">
      <c r="A422" s="344"/>
    </row>
    <row r="423">
      <c r="A423" s="344"/>
    </row>
    <row r="424">
      <c r="A424" s="344"/>
    </row>
    <row r="425">
      <c r="A425" s="344"/>
    </row>
    <row r="426">
      <c r="A426" s="344"/>
    </row>
    <row r="427">
      <c r="A427" s="344"/>
    </row>
    <row r="428">
      <c r="A428" s="344"/>
    </row>
    <row r="429">
      <c r="A429" s="344"/>
    </row>
    <row r="430">
      <c r="A430" s="344"/>
    </row>
    <row r="431">
      <c r="A431" s="344"/>
    </row>
    <row r="432">
      <c r="A432" s="344"/>
    </row>
    <row r="433">
      <c r="A433" s="344"/>
    </row>
    <row r="434">
      <c r="A434" s="344"/>
    </row>
    <row r="435">
      <c r="A435" s="344"/>
    </row>
    <row r="436">
      <c r="A436" s="344"/>
    </row>
    <row r="437">
      <c r="A437" s="344"/>
    </row>
    <row r="438">
      <c r="A438" s="344"/>
    </row>
    <row r="439">
      <c r="A439" s="344"/>
    </row>
    <row r="440">
      <c r="A440" s="344"/>
    </row>
    <row r="441">
      <c r="A441" s="344"/>
    </row>
    <row r="442">
      <c r="A442" s="344"/>
    </row>
    <row r="443">
      <c r="A443" s="344"/>
    </row>
    <row r="444">
      <c r="A444" s="344"/>
    </row>
    <row r="445">
      <c r="A445" s="344"/>
    </row>
    <row r="446">
      <c r="A446" s="344"/>
    </row>
    <row r="447">
      <c r="A447" s="344"/>
    </row>
    <row r="448">
      <c r="A448" s="344"/>
    </row>
    <row r="449">
      <c r="A449" s="344"/>
    </row>
    <row r="450">
      <c r="A450" s="344"/>
    </row>
    <row r="451">
      <c r="A451" s="344"/>
    </row>
    <row r="452">
      <c r="A452" s="344"/>
    </row>
    <row r="453">
      <c r="A453" s="344"/>
    </row>
    <row r="454">
      <c r="A454" s="344"/>
    </row>
    <row r="455">
      <c r="A455" s="344"/>
    </row>
    <row r="456">
      <c r="A456" s="344"/>
    </row>
    <row r="457">
      <c r="A457" s="344"/>
    </row>
    <row r="458">
      <c r="A458" s="344"/>
    </row>
    <row r="459">
      <c r="A459" s="344"/>
    </row>
    <row r="460">
      <c r="A460" s="344"/>
    </row>
    <row r="461">
      <c r="A461" s="344"/>
    </row>
    <row r="462">
      <c r="A462" s="344"/>
    </row>
    <row r="463">
      <c r="A463" s="344"/>
    </row>
    <row r="464">
      <c r="A464" s="344"/>
    </row>
    <row r="465">
      <c r="A465" s="344"/>
    </row>
    <row r="466">
      <c r="A466" s="344"/>
    </row>
    <row r="467">
      <c r="A467" s="344"/>
    </row>
    <row r="468">
      <c r="A468" s="344"/>
    </row>
    <row r="469">
      <c r="A469" s="344"/>
    </row>
    <row r="470">
      <c r="A470" s="344"/>
    </row>
    <row r="471">
      <c r="A471" s="344"/>
    </row>
    <row r="472">
      <c r="A472" s="344"/>
    </row>
    <row r="473">
      <c r="A473" s="344"/>
    </row>
    <row r="474">
      <c r="A474" s="344"/>
    </row>
    <row r="475">
      <c r="A475" s="344"/>
    </row>
    <row r="476">
      <c r="A476" s="344"/>
    </row>
    <row r="477">
      <c r="A477" s="344"/>
    </row>
    <row r="478">
      <c r="A478" s="344"/>
    </row>
    <row r="479">
      <c r="A479" s="344"/>
    </row>
    <row r="480">
      <c r="A480" s="344"/>
    </row>
    <row r="481">
      <c r="A481" s="344"/>
    </row>
    <row r="482">
      <c r="A482" s="344"/>
    </row>
    <row r="483">
      <c r="A483" s="344"/>
    </row>
    <row r="484">
      <c r="A484" s="344"/>
    </row>
    <row r="485">
      <c r="A485" s="344"/>
    </row>
    <row r="486">
      <c r="A486" s="344"/>
    </row>
    <row r="487">
      <c r="A487" s="344"/>
    </row>
    <row r="488">
      <c r="A488" s="344"/>
    </row>
    <row r="489">
      <c r="A489" s="344"/>
    </row>
    <row r="490">
      <c r="A490" s="344"/>
    </row>
    <row r="491">
      <c r="A491" s="344"/>
    </row>
    <row r="492">
      <c r="A492" s="344"/>
    </row>
    <row r="493">
      <c r="A493" s="344"/>
    </row>
    <row r="494">
      <c r="A494" s="344"/>
    </row>
    <row r="495">
      <c r="A495" s="344"/>
    </row>
    <row r="496">
      <c r="A496" s="344"/>
    </row>
    <row r="497">
      <c r="A497" s="344"/>
    </row>
    <row r="498">
      <c r="A498" s="344"/>
    </row>
    <row r="499">
      <c r="A499" s="344"/>
    </row>
    <row r="500">
      <c r="A500" s="344"/>
    </row>
    <row r="501">
      <c r="A501" s="344"/>
    </row>
    <row r="502">
      <c r="A502" s="344"/>
    </row>
    <row r="503">
      <c r="A503" s="344"/>
    </row>
    <row r="504">
      <c r="A504" s="344"/>
    </row>
    <row r="505">
      <c r="A505" s="344"/>
    </row>
    <row r="506">
      <c r="A506" s="344"/>
    </row>
    <row r="507">
      <c r="A507" s="344"/>
    </row>
    <row r="508">
      <c r="A508" s="344"/>
    </row>
    <row r="509">
      <c r="A509" s="344"/>
    </row>
    <row r="510">
      <c r="A510" s="344"/>
    </row>
    <row r="511">
      <c r="A511" s="344"/>
    </row>
    <row r="512">
      <c r="A512" s="344"/>
    </row>
    <row r="513">
      <c r="A513" s="344"/>
    </row>
    <row r="514">
      <c r="A514" s="344"/>
    </row>
    <row r="515">
      <c r="A515" s="344"/>
    </row>
    <row r="516">
      <c r="A516" s="344"/>
    </row>
    <row r="517">
      <c r="A517" s="344"/>
    </row>
    <row r="518">
      <c r="A518" s="344"/>
    </row>
    <row r="519">
      <c r="A519" s="344"/>
    </row>
    <row r="520">
      <c r="A520" s="344"/>
    </row>
    <row r="521">
      <c r="A521" s="344"/>
    </row>
    <row r="522">
      <c r="A522" s="344"/>
    </row>
    <row r="523">
      <c r="A523" s="344"/>
    </row>
    <row r="524">
      <c r="A524" s="344"/>
    </row>
    <row r="525">
      <c r="A525" s="344"/>
    </row>
    <row r="526">
      <c r="A526" s="344"/>
    </row>
    <row r="527">
      <c r="A527" s="344"/>
    </row>
    <row r="528">
      <c r="A528" s="344"/>
    </row>
    <row r="529">
      <c r="A529" s="344"/>
    </row>
    <row r="530">
      <c r="A530" s="344"/>
    </row>
    <row r="531">
      <c r="A531" s="344"/>
    </row>
    <row r="532">
      <c r="A532" s="344"/>
    </row>
    <row r="533">
      <c r="A533" s="344"/>
    </row>
    <row r="534">
      <c r="A534" s="344"/>
    </row>
    <row r="535">
      <c r="A535" s="344"/>
    </row>
    <row r="536">
      <c r="A536" s="344"/>
    </row>
    <row r="537">
      <c r="A537" s="344"/>
    </row>
    <row r="538">
      <c r="A538" s="344"/>
    </row>
    <row r="539">
      <c r="A539" s="344"/>
    </row>
    <row r="540">
      <c r="A540" s="344"/>
    </row>
    <row r="541">
      <c r="A541" s="344"/>
    </row>
    <row r="542">
      <c r="A542" s="344"/>
    </row>
    <row r="543">
      <c r="A543" s="344"/>
    </row>
    <row r="544">
      <c r="A544" s="344"/>
    </row>
    <row r="545">
      <c r="A545" s="344"/>
    </row>
    <row r="546">
      <c r="A546" s="344"/>
    </row>
    <row r="547">
      <c r="A547" s="344"/>
    </row>
    <row r="548">
      <c r="A548" s="344"/>
    </row>
    <row r="549">
      <c r="A549" s="344"/>
    </row>
    <row r="550">
      <c r="A550" s="344"/>
    </row>
    <row r="551">
      <c r="A551" s="344"/>
    </row>
    <row r="552">
      <c r="A552" s="344"/>
    </row>
    <row r="553">
      <c r="A553" s="344"/>
    </row>
    <row r="554">
      <c r="A554" s="344"/>
    </row>
    <row r="555">
      <c r="A555" s="344"/>
    </row>
    <row r="556">
      <c r="A556" s="344"/>
    </row>
    <row r="557">
      <c r="A557" s="344"/>
    </row>
    <row r="558">
      <c r="A558" s="344"/>
    </row>
    <row r="559">
      <c r="A559" s="344"/>
    </row>
    <row r="560">
      <c r="A560" s="344"/>
    </row>
    <row r="561">
      <c r="A561" s="344"/>
    </row>
    <row r="562">
      <c r="A562" s="344"/>
    </row>
    <row r="563">
      <c r="A563" s="344"/>
    </row>
    <row r="564">
      <c r="A564" s="344"/>
    </row>
    <row r="565">
      <c r="A565" s="344"/>
    </row>
    <row r="566">
      <c r="A566" s="344"/>
    </row>
    <row r="567">
      <c r="A567" s="344"/>
    </row>
    <row r="568">
      <c r="A568" s="344"/>
    </row>
    <row r="569">
      <c r="A569" s="344"/>
    </row>
    <row r="570">
      <c r="A570" s="344"/>
    </row>
    <row r="571">
      <c r="A571" s="344"/>
    </row>
    <row r="572">
      <c r="A572" s="344"/>
    </row>
    <row r="573">
      <c r="A573" s="344"/>
    </row>
    <row r="574">
      <c r="A574" s="344"/>
    </row>
    <row r="575">
      <c r="A575" s="344"/>
    </row>
    <row r="576">
      <c r="A576" s="344"/>
    </row>
    <row r="577">
      <c r="A577" s="344"/>
    </row>
    <row r="578">
      <c r="A578" s="344"/>
    </row>
    <row r="579">
      <c r="A579" s="344"/>
    </row>
    <row r="580">
      <c r="A580" s="344"/>
    </row>
    <row r="581">
      <c r="A581" s="344"/>
    </row>
    <row r="582">
      <c r="A582" s="344"/>
    </row>
    <row r="583">
      <c r="A583" s="344"/>
    </row>
    <row r="584">
      <c r="A584" s="344"/>
    </row>
    <row r="585">
      <c r="A585" s="344"/>
    </row>
    <row r="586">
      <c r="A586" s="344"/>
    </row>
    <row r="587">
      <c r="A587" s="344"/>
    </row>
    <row r="588">
      <c r="A588" s="344"/>
    </row>
    <row r="589">
      <c r="A589" s="344"/>
    </row>
    <row r="590">
      <c r="A590" s="344"/>
    </row>
    <row r="591">
      <c r="A591" s="344"/>
    </row>
    <row r="592">
      <c r="A592" s="344"/>
    </row>
    <row r="593">
      <c r="A593" s="344"/>
    </row>
    <row r="594">
      <c r="A594" s="344"/>
    </row>
    <row r="595">
      <c r="A595" s="344"/>
    </row>
    <row r="596">
      <c r="A596" s="344"/>
    </row>
    <row r="597">
      <c r="A597" s="344"/>
    </row>
    <row r="598">
      <c r="A598" s="344"/>
    </row>
    <row r="599">
      <c r="A599" s="344"/>
    </row>
    <row r="600">
      <c r="A600" s="344"/>
    </row>
    <row r="601">
      <c r="A601" s="344"/>
    </row>
    <row r="602">
      <c r="A602" s="344"/>
    </row>
    <row r="603">
      <c r="A603" s="344"/>
    </row>
    <row r="604">
      <c r="A604" s="344"/>
    </row>
    <row r="605">
      <c r="A605" s="344"/>
    </row>
    <row r="606">
      <c r="A606" s="344"/>
    </row>
    <row r="607">
      <c r="A607" s="344"/>
    </row>
    <row r="608">
      <c r="A608" s="344"/>
    </row>
    <row r="609">
      <c r="A609" s="344"/>
    </row>
    <row r="610">
      <c r="A610" s="344"/>
    </row>
    <row r="611">
      <c r="A611" s="344"/>
    </row>
    <row r="612">
      <c r="A612" s="344"/>
    </row>
    <row r="613">
      <c r="A613" s="344"/>
    </row>
    <row r="614">
      <c r="A614" s="344"/>
    </row>
    <row r="615">
      <c r="A615" s="344"/>
    </row>
    <row r="616">
      <c r="A616" s="344"/>
    </row>
    <row r="617">
      <c r="A617" s="344"/>
    </row>
    <row r="618">
      <c r="A618" s="344"/>
    </row>
    <row r="619">
      <c r="A619" s="344"/>
    </row>
    <row r="620">
      <c r="A620" s="344"/>
    </row>
    <row r="621">
      <c r="A621" s="344"/>
    </row>
    <row r="622">
      <c r="A622" s="344"/>
    </row>
    <row r="623">
      <c r="A623" s="344"/>
    </row>
    <row r="624">
      <c r="A624" s="344"/>
    </row>
    <row r="625">
      <c r="A625" s="344"/>
    </row>
    <row r="626">
      <c r="A626" s="344"/>
    </row>
    <row r="627">
      <c r="A627" s="344"/>
    </row>
    <row r="628">
      <c r="A628" s="344"/>
    </row>
    <row r="629">
      <c r="A629" s="344"/>
    </row>
    <row r="630">
      <c r="A630" s="344"/>
    </row>
    <row r="631">
      <c r="A631" s="344"/>
    </row>
    <row r="632">
      <c r="A632" s="344"/>
    </row>
    <row r="633">
      <c r="A633" s="344"/>
    </row>
    <row r="634">
      <c r="A634" s="344"/>
    </row>
    <row r="635">
      <c r="A635" s="344"/>
    </row>
    <row r="636">
      <c r="A636" s="344"/>
    </row>
    <row r="637">
      <c r="A637" s="344"/>
    </row>
    <row r="638">
      <c r="A638" s="344"/>
    </row>
    <row r="639">
      <c r="A639" s="344"/>
    </row>
    <row r="640">
      <c r="A640" s="344"/>
    </row>
    <row r="641">
      <c r="A641" s="344"/>
    </row>
    <row r="642">
      <c r="A642" s="344"/>
    </row>
    <row r="643">
      <c r="A643" s="344"/>
    </row>
    <row r="644">
      <c r="A644" s="344"/>
    </row>
    <row r="645">
      <c r="A645" s="344"/>
    </row>
    <row r="646">
      <c r="A646" s="344"/>
    </row>
    <row r="647">
      <c r="A647" s="344"/>
    </row>
    <row r="648">
      <c r="A648" s="344"/>
    </row>
    <row r="649">
      <c r="A649" s="344"/>
    </row>
    <row r="650">
      <c r="A650" s="344"/>
    </row>
    <row r="651">
      <c r="A651" s="344"/>
    </row>
    <row r="652">
      <c r="A652" s="344"/>
    </row>
    <row r="653">
      <c r="A653" s="344"/>
    </row>
    <row r="654">
      <c r="A654" s="344"/>
    </row>
    <row r="655">
      <c r="A655" s="344"/>
    </row>
    <row r="656">
      <c r="A656" s="344"/>
    </row>
    <row r="657">
      <c r="A657" s="344"/>
    </row>
    <row r="658">
      <c r="A658" s="344"/>
    </row>
    <row r="659">
      <c r="A659" s="344"/>
    </row>
    <row r="660">
      <c r="A660" s="344"/>
    </row>
    <row r="661">
      <c r="A661" s="344"/>
    </row>
    <row r="662">
      <c r="A662" s="344"/>
    </row>
    <row r="663">
      <c r="A663" s="344"/>
    </row>
    <row r="664">
      <c r="A664" s="344"/>
    </row>
    <row r="665">
      <c r="A665" s="344"/>
    </row>
    <row r="666">
      <c r="A666" s="344"/>
    </row>
    <row r="667">
      <c r="A667" s="344"/>
    </row>
    <row r="668">
      <c r="A668" s="344"/>
    </row>
    <row r="669">
      <c r="A669" s="344"/>
    </row>
    <row r="670">
      <c r="A670" s="344"/>
    </row>
    <row r="671">
      <c r="A671" s="344"/>
    </row>
    <row r="672">
      <c r="A672" s="344"/>
    </row>
    <row r="673">
      <c r="A673" s="344"/>
    </row>
    <row r="674">
      <c r="A674" s="344"/>
    </row>
    <row r="675">
      <c r="A675" s="344"/>
    </row>
    <row r="676">
      <c r="A676" s="344"/>
    </row>
    <row r="677">
      <c r="A677" s="344"/>
    </row>
    <row r="678">
      <c r="A678" s="344"/>
    </row>
    <row r="679">
      <c r="A679" s="344"/>
    </row>
    <row r="680">
      <c r="A680" s="344"/>
    </row>
    <row r="681">
      <c r="A681" s="344"/>
    </row>
    <row r="682">
      <c r="A682" s="344"/>
    </row>
    <row r="683">
      <c r="A683" s="344"/>
    </row>
    <row r="684">
      <c r="A684" s="344"/>
    </row>
    <row r="685">
      <c r="A685" s="344"/>
    </row>
    <row r="686">
      <c r="A686" s="344"/>
    </row>
    <row r="687">
      <c r="A687" s="344"/>
    </row>
    <row r="688">
      <c r="A688" s="344"/>
    </row>
    <row r="689">
      <c r="A689" s="344"/>
    </row>
    <row r="690">
      <c r="A690" s="344"/>
    </row>
    <row r="691">
      <c r="A691" s="344"/>
    </row>
    <row r="692">
      <c r="A692" s="344"/>
    </row>
    <row r="693">
      <c r="A693" s="344"/>
    </row>
    <row r="694">
      <c r="A694" s="344"/>
    </row>
    <row r="695">
      <c r="A695" s="344"/>
    </row>
    <row r="696">
      <c r="A696" s="344"/>
    </row>
    <row r="697">
      <c r="A697" s="344"/>
    </row>
    <row r="698">
      <c r="A698" s="344"/>
    </row>
    <row r="699">
      <c r="A699" s="344"/>
    </row>
    <row r="700">
      <c r="A700" s="344"/>
    </row>
    <row r="701">
      <c r="A701" s="344"/>
    </row>
    <row r="702">
      <c r="A702" s="344"/>
    </row>
    <row r="703">
      <c r="A703" s="344"/>
    </row>
    <row r="704">
      <c r="A704" s="344"/>
    </row>
    <row r="705">
      <c r="A705" s="344"/>
    </row>
    <row r="706">
      <c r="A706" s="344"/>
    </row>
    <row r="707">
      <c r="A707" s="344"/>
    </row>
    <row r="708">
      <c r="A708" s="344"/>
    </row>
    <row r="709">
      <c r="A709" s="344"/>
    </row>
    <row r="710">
      <c r="A710" s="344"/>
    </row>
    <row r="711">
      <c r="A711" s="344"/>
    </row>
    <row r="712">
      <c r="A712" s="344"/>
    </row>
    <row r="713">
      <c r="A713" s="344"/>
    </row>
    <row r="714">
      <c r="A714" s="344"/>
    </row>
    <row r="715">
      <c r="A715" s="344"/>
    </row>
    <row r="716">
      <c r="A716" s="344"/>
    </row>
    <row r="717">
      <c r="A717" s="344"/>
    </row>
    <row r="718">
      <c r="A718" s="344"/>
    </row>
    <row r="719">
      <c r="A719" s="344"/>
    </row>
    <row r="720">
      <c r="A720" s="344"/>
    </row>
    <row r="721">
      <c r="A721" s="344"/>
    </row>
    <row r="722">
      <c r="A722" s="344"/>
    </row>
    <row r="723">
      <c r="A723" s="344"/>
    </row>
    <row r="724">
      <c r="A724" s="344"/>
    </row>
    <row r="725">
      <c r="A725" s="344"/>
    </row>
    <row r="726">
      <c r="A726" s="344"/>
    </row>
    <row r="727">
      <c r="A727" s="344"/>
    </row>
    <row r="728">
      <c r="A728" s="344"/>
    </row>
    <row r="729">
      <c r="A729" s="344"/>
    </row>
    <row r="730">
      <c r="A730" s="344"/>
    </row>
    <row r="731">
      <c r="A731" s="344"/>
    </row>
    <row r="732">
      <c r="A732" s="344"/>
    </row>
    <row r="733">
      <c r="A733" s="344"/>
    </row>
    <row r="734">
      <c r="A734" s="344"/>
    </row>
    <row r="735">
      <c r="A735" s="344"/>
    </row>
    <row r="736">
      <c r="A736" s="344"/>
    </row>
    <row r="737">
      <c r="A737" s="344"/>
    </row>
    <row r="738">
      <c r="A738" s="344"/>
    </row>
    <row r="739">
      <c r="A739" s="344"/>
    </row>
    <row r="740">
      <c r="A740" s="344"/>
    </row>
    <row r="741">
      <c r="A741" s="344"/>
    </row>
    <row r="742">
      <c r="A742" s="344"/>
    </row>
    <row r="743">
      <c r="A743" s="344"/>
    </row>
    <row r="744">
      <c r="A744" s="344"/>
    </row>
    <row r="745">
      <c r="A745" s="344"/>
    </row>
    <row r="746">
      <c r="A746" s="344"/>
    </row>
    <row r="747">
      <c r="A747" s="344"/>
    </row>
    <row r="748">
      <c r="A748" s="344"/>
    </row>
    <row r="749">
      <c r="A749" s="344"/>
    </row>
    <row r="750">
      <c r="A750" s="344"/>
    </row>
    <row r="751">
      <c r="A751" s="344"/>
    </row>
    <row r="752">
      <c r="A752" s="344"/>
    </row>
    <row r="753">
      <c r="A753" s="344"/>
    </row>
    <row r="754">
      <c r="A754" s="344"/>
    </row>
    <row r="755">
      <c r="A755" s="344"/>
    </row>
    <row r="756">
      <c r="A756" s="344"/>
    </row>
    <row r="757">
      <c r="A757" s="344"/>
    </row>
    <row r="758">
      <c r="A758" s="344"/>
    </row>
    <row r="759">
      <c r="A759" s="344"/>
    </row>
    <row r="760">
      <c r="A760" s="344"/>
    </row>
    <row r="761">
      <c r="A761" s="344"/>
    </row>
    <row r="762">
      <c r="A762" s="344"/>
    </row>
    <row r="763">
      <c r="A763" s="344"/>
    </row>
    <row r="764">
      <c r="A764" s="344"/>
    </row>
    <row r="765">
      <c r="A765" s="344"/>
    </row>
    <row r="766">
      <c r="A766" s="344"/>
    </row>
    <row r="767">
      <c r="A767" s="344"/>
    </row>
    <row r="768">
      <c r="A768" s="344"/>
    </row>
    <row r="769">
      <c r="A769" s="344"/>
    </row>
    <row r="770">
      <c r="A770" s="344"/>
    </row>
    <row r="771">
      <c r="A771" s="344"/>
    </row>
    <row r="772">
      <c r="A772" s="344"/>
    </row>
    <row r="773">
      <c r="A773" s="344"/>
    </row>
    <row r="774">
      <c r="A774" s="344"/>
    </row>
    <row r="775">
      <c r="A775" s="344"/>
    </row>
    <row r="776">
      <c r="A776" s="344"/>
    </row>
    <row r="777">
      <c r="A777" s="344"/>
    </row>
    <row r="778">
      <c r="A778" s="344"/>
    </row>
    <row r="779">
      <c r="A779" s="344"/>
    </row>
    <row r="780">
      <c r="A780" s="344"/>
    </row>
    <row r="781">
      <c r="A781" s="344"/>
    </row>
    <row r="782">
      <c r="A782" s="344"/>
    </row>
    <row r="783">
      <c r="A783" s="344"/>
    </row>
    <row r="784">
      <c r="A784" s="344"/>
    </row>
    <row r="785">
      <c r="A785" s="344"/>
    </row>
    <row r="786">
      <c r="A786" s="344"/>
    </row>
    <row r="787">
      <c r="A787" s="344"/>
    </row>
    <row r="788">
      <c r="A788" s="344"/>
    </row>
    <row r="789">
      <c r="A789" s="344"/>
    </row>
    <row r="790">
      <c r="A790" s="344"/>
    </row>
    <row r="791">
      <c r="A791" s="344"/>
    </row>
    <row r="792">
      <c r="A792" s="344"/>
    </row>
    <row r="793">
      <c r="A793" s="344"/>
    </row>
    <row r="794">
      <c r="A794" s="344"/>
    </row>
    <row r="795">
      <c r="A795" s="344"/>
    </row>
    <row r="796">
      <c r="A796" s="344"/>
    </row>
    <row r="797">
      <c r="A797" s="344"/>
    </row>
    <row r="798">
      <c r="A798" s="344"/>
    </row>
    <row r="799">
      <c r="A799" s="344"/>
    </row>
    <row r="800">
      <c r="A800" s="344"/>
    </row>
    <row r="801">
      <c r="A801" s="344"/>
    </row>
    <row r="802">
      <c r="A802" s="344"/>
    </row>
    <row r="803">
      <c r="A803" s="344"/>
    </row>
    <row r="804">
      <c r="A804" s="344"/>
    </row>
    <row r="805">
      <c r="A805" s="344"/>
    </row>
    <row r="806">
      <c r="A806" s="344"/>
    </row>
    <row r="807">
      <c r="A807" s="344"/>
    </row>
    <row r="808">
      <c r="A808" s="344"/>
    </row>
    <row r="809">
      <c r="A809" s="344"/>
    </row>
    <row r="810">
      <c r="A810" s="344"/>
    </row>
    <row r="811">
      <c r="A811" s="344"/>
    </row>
    <row r="812">
      <c r="A812" s="344"/>
    </row>
    <row r="813">
      <c r="A813" s="344"/>
    </row>
    <row r="814">
      <c r="A814" s="344"/>
    </row>
    <row r="815">
      <c r="A815" s="344"/>
    </row>
    <row r="816">
      <c r="A816" s="344"/>
    </row>
    <row r="817">
      <c r="A817" s="344"/>
    </row>
    <row r="818">
      <c r="A818" s="344"/>
    </row>
    <row r="819">
      <c r="A819" s="344"/>
    </row>
    <row r="820">
      <c r="A820" s="344"/>
    </row>
    <row r="821">
      <c r="A821" s="344"/>
    </row>
    <row r="822">
      <c r="A822" s="344"/>
    </row>
    <row r="823">
      <c r="A823" s="344"/>
    </row>
    <row r="824">
      <c r="A824" s="344"/>
    </row>
    <row r="825">
      <c r="A825" s="344"/>
    </row>
    <row r="826">
      <c r="A826" s="344"/>
    </row>
    <row r="827">
      <c r="A827" s="344"/>
    </row>
    <row r="828">
      <c r="A828" s="344"/>
    </row>
    <row r="829">
      <c r="A829" s="344"/>
    </row>
    <row r="830">
      <c r="A830" s="344"/>
    </row>
    <row r="831">
      <c r="A831" s="344"/>
    </row>
    <row r="832">
      <c r="A832" s="344"/>
    </row>
    <row r="833">
      <c r="A833" s="344"/>
    </row>
    <row r="834">
      <c r="A834" s="344"/>
    </row>
    <row r="835">
      <c r="A835" s="344"/>
    </row>
    <row r="836">
      <c r="A836" s="344"/>
    </row>
    <row r="837">
      <c r="A837" s="344"/>
    </row>
    <row r="838">
      <c r="A838" s="344"/>
    </row>
    <row r="839">
      <c r="A839" s="344"/>
    </row>
    <row r="840">
      <c r="A840" s="344"/>
    </row>
    <row r="841">
      <c r="A841" s="344"/>
    </row>
    <row r="842">
      <c r="A842" s="344"/>
    </row>
    <row r="843">
      <c r="A843" s="344"/>
    </row>
    <row r="844">
      <c r="A844" s="344"/>
    </row>
    <row r="845">
      <c r="A845" s="344"/>
    </row>
    <row r="846">
      <c r="A846" s="344"/>
    </row>
    <row r="847">
      <c r="A847" s="344"/>
    </row>
    <row r="848">
      <c r="A848" s="344"/>
    </row>
    <row r="849">
      <c r="A849" s="344"/>
    </row>
    <row r="850">
      <c r="A850" s="344"/>
    </row>
    <row r="851">
      <c r="A851" s="344"/>
    </row>
    <row r="852">
      <c r="A852" s="344"/>
    </row>
    <row r="853">
      <c r="A853" s="344"/>
    </row>
    <row r="854">
      <c r="A854" s="344"/>
    </row>
    <row r="855">
      <c r="A855" s="344"/>
    </row>
    <row r="856">
      <c r="A856" s="344"/>
    </row>
    <row r="857">
      <c r="A857" s="344"/>
    </row>
    <row r="858">
      <c r="A858" s="344"/>
    </row>
    <row r="859">
      <c r="A859" s="344"/>
    </row>
    <row r="860">
      <c r="A860" s="344"/>
    </row>
    <row r="861">
      <c r="A861" s="344"/>
    </row>
    <row r="862">
      <c r="A862" s="344"/>
    </row>
    <row r="863">
      <c r="A863" s="344"/>
    </row>
    <row r="864">
      <c r="A864" s="344"/>
    </row>
    <row r="865">
      <c r="A865" s="344"/>
    </row>
    <row r="866">
      <c r="A866" s="344"/>
    </row>
    <row r="867">
      <c r="A867" s="344"/>
    </row>
    <row r="868">
      <c r="A868" s="344"/>
    </row>
    <row r="869">
      <c r="A869" s="344"/>
    </row>
    <row r="870">
      <c r="A870" s="344"/>
    </row>
    <row r="871">
      <c r="A871" s="344"/>
    </row>
    <row r="872">
      <c r="A872" s="344"/>
    </row>
    <row r="873">
      <c r="A873" s="344"/>
    </row>
    <row r="874">
      <c r="A874" s="344"/>
    </row>
    <row r="875">
      <c r="A875" s="344"/>
    </row>
    <row r="876">
      <c r="A876" s="344"/>
    </row>
    <row r="877">
      <c r="A877" s="344"/>
    </row>
    <row r="878">
      <c r="A878" s="344"/>
    </row>
    <row r="879">
      <c r="A879" s="344"/>
    </row>
    <row r="880">
      <c r="A880" s="344"/>
    </row>
    <row r="881">
      <c r="A881" s="344"/>
    </row>
    <row r="882">
      <c r="A882" s="344"/>
    </row>
    <row r="883">
      <c r="A883" s="344"/>
    </row>
    <row r="884">
      <c r="A884" s="344"/>
    </row>
    <row r="885">
      <c r="A885" s="344"/>
    </row>
    <row r="886">
      <c r="A886" s="344"/>
    </row>
    <row r="887">
      <c r="A887" s="344"/>
    </row>
    <row r="888">
      <c r="A888" s="344"/>
    </row>
    <row r="889">
      <c r="A889" s="344"/>
    </row>
    <row r="890">
      <c r="A890" s="344"/>
    </row>
    <row r="891">
      <c r="A891" s="344"/>
    </row>
    <row r="892">
      <c r="A892" s="344"/>
    </row>
    <row r="893">
      <c r="A893" s="344"/>
    </row>
    <row r="894">
      <c r="A894" s="344"/>
    </row>
    <row r="895">
      <c r="A895" s="344"/>
    </row>
    <row r="896">
      <c r="A896" s="344"/>
    </row>
    <row r="897">
      <c r="A897" s="344"/>
    </row>
    <row r="898">
      <c r="A898" s="344"/>
    </row>
    <row r="899">
      <c r="A899" s="344"/>
    </row>
    <row r="900">
      <c r="A900" s="344"/>
    </row>
    <row r="901">
      <c r="A901" s="344"/>
    </row>
    <row r="902">
      <c r="A902" s="344"/>
    </row>
    <row r="903">
      <c r="A903" s="344"/>
    </row>
    <row r="904">
      <c r="A904" s="344"/>
    </row>
    <row r="905">
      <c r="A905" s="344"/>
    </row>
    <row r="906">
      <c r="A906" s="344"/>
    </row>
    <row r="907">
      <c r="A907" s="344"/>
    </row>
    <row r="908">
      <c r="A908" s="344"/>
    </row>
    <row r="909">
      <c r="A909" s="344"/>
    </row>
    <row r="910">
      <c r="A910" s="344"/>
    </row>
    <row r="911">
      <c r="A911" s="344"/>
    </row>
    <row r="912">
      <c r="A912" s="344"/>
    </row>
    <row r="913">
      <c r="A913" s="344"/>
    </row>
    <row r="914">
      <c r="A914" s="344"/>
    </row>
    <row r="915">
      <c r="A915" s="344"/>
    </row>
    <row r="916">
      <c r="A916" s="344"/>
    </row>
    <row r="917">
      <c r="A917" s="344"/>
    </row>
    <row r="918">
      <c r="A918" s="344"/>
    </row>
    <row r="919">
      <c r="A919" s="344"/>
    </row>
    <row r="920">
      <c r="A920" s="344"/>
    </row>
    <row r="921">
      <c r="A921" s="344"/>
    </row>
    <row r="922">
      <c r="A922" s="344"/>
    </row>
    <row r="923">
      <c r="A923" s="344"/>
    </row>
    <row r="924">
      <c r="A924" s="344"/>
    </row>
    <row r="925">
      <c r="A925" s="344"/>
    </row>
    <row r="926">
      <c r="A926" s="344"/>
    </row>
    <row r="927">
      <c r="A927" s="344"/>
    </row>
    <row r="928">
      <c r="A928" s="344"/>
    </row>
    <row r="929">
      <c r="A929" s="344"/>
    </row>
    <row r="930">
      <c r="A930" s="344"/>
    </row>
    <row r="931">
      <c r="A931" s="344"/>
    </row>
    <row r="932">
      <c r="A932" s="344"/>
    </row>
    <row r="933">
      <c r="A933" s="344"/>
    </row>
    <row r="934">
      <c r="A934" s="344"/>
    </row>
    <row r="935">
      <c r="A935" s="344"/>
    </row>
    <row r="936">
      <c r="A936" s="344"/>
    </row>
    <row r="937">
      <c r="A937" s="344"/>
    </row>
    <row r="938">
      <c r="A938" s="344"/>
    </row>
    <row r="939">
      <c r="A939" s="344"/>
    </row>
    <row r="940">
      <c r="A940" s="344"/>
    </row>
    <row r="941">
      <c r="A941" s="344"/>
    </row>
    <row r="942">
      <c r="A942" s="344"/>
    </row>
    <row r="943">
      <c r="A943" s="344"/>
    </row>
    <row r="944">
      <c r="A944" s="344"/>
    </row>
    <row r="945">
      <c r="A945" s="344"/>
    </row>
    <row r="946">
      <c r="A946" s="344"/>
    </row>
    <row r="947">
      <c r="A947" s="344"/>
    </row>
    <row r="948">
      <c r="A948" s="344"/>
    </row>
    <row r="949">
      <c r="A949" s="344"/>
    </row>
    <row r="950">
      <c r="A950" s="344"/>
    </row>
    <row r="951">
      <c r="A951" s="344"/>
    </row>
    <row r="952">
      <c r="A952" s="344"/>
    </row>
    <row r="953">
      <c r="A953" s="344"/>
    </row>
    <row r="954">
      <c r="A954" s="344"/>
    </row>
    <row r="955">
      <c r="A955" s="344"/>
    </row>
    <row r="956">
      <c r="A956" s="344"/>
    </row>
    <row r="957">
      <c r="A957" s="344"/>
    </row>
    <row r="958">
      <c r="A958" s="344"/>
    </row>
    <row r="959">
      <c r="A959" s="344"/>
    </row>
    <row r="960">
      <c r="A960" s="344"/>
    </row>
    <row r="961">
      <c r="A961" s="344"/>
    </row>
    <row r="962">
      <c r="A962" s="344"/>
    </row>
    <row r="963">
      <c r="A963" s="344"/>
    </row>
    <row r="964">
      <c r="A964" s="344"/>
    </row>
    <row r="965">
      <c r="A965" s="344"/>
    </row>
    <row r="966">
      <c r="A966" s="344"/>
    </row>
    <row r="967">
      <c r="A967" s="344"/>
    </row>
    <row r="968">
      <c r="A968" s="344"/>
    </row>
    <row r="969">
      <c r="A969" s="344"/>
    </row>
    <row r="970">
      <c r="A970" s="344"/>
    </row>
    <row r="971">
      <c r="A971" s="344"/>
    </row>
    <row r="972">
      <c r="A972" s="344"/>
    </row>
    <row r="973">
      <c r="A973" s="344"/>
    </row>
    <row r="974">
      <c r="A974" s="344"/>
    </row>
    <row r="975">
      <c r="A975" s="344"/>
    </row>
    <row r="976">
      <c r="A976" s="344"/>
    </row>
    <row r="977">
      <c r="A977" s="344"/>
    </row>
    <row r="978">
      <c r="A978" s="344"/>
    </row>
    <row r="979">
      <c r="A979" s="344"/>
    </row>
    <row r="980">
      <c r="A980" s="344"/>
    </row>
    <row r="981">
      <c r="A981" s="344"/>
    </row>
    <row r="982">
      <c r="A982" s="344"/>
    </row>
    <row r="983">
      <c r="A983" s="344"/>
    </row>
    <row r="984">
      <c r="A984" s="344"/>
    </row>
    <row r="985">
      <c r="A985" s="344"/>
    </row>
    <row r="986">
      <c r="A986" s="344"/>
    </row>
    <row r="987">
      <c r="A987" s="344"/>
    </row>
    <row r="988">
      <c r="A988" s="344"/>
    </row>
    <row r="989">
      <c r="A989" s="344"/>
    </row>
    <row r="990">
      <c r="A990" s="344"/>
    </row>
    <row r="991">
      <c r="A991" s="344"/>
    </row>
    <row r="992">
      <c r="A992" s="344"/>
    </row>
    <row r="993">
      <c r="A993" s="344"/>
    </row>
    <row r="994">
      <c r="A994" s="344"/>
    </row>
    <row r="995">
      <c r="A995" s="344"/>
    </row>
    <row r="996">
      <c r="A996" s="344"/>
    </row>
    <row r="997">
      <c r="A997" s="344"/>
    </row>
    <row r="998">
      <c r="A998" s="344"/>
    </row>
    <row r="999">
      <c r="A999" s="344"/>
    </row>
    <row r="1000">
      <c r="A1000" s="344"/>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25"/>
    <col customWidth="1" min="4" max="4" width="37.63"/>
    <col customWidth="1" min="5" max="5" width="62.63"/>
  </cols>
  <sheetData>
    <row r="1">
      <c r="A1" s="1"/>
      <c r="B1" s="1"/>
      <c r="D1" s="344"/>
      <c r="E1" s="344"/>
      <c r="F1" s="87" t="b">
        <v>0</v>
      </c>
      <c r="G1" s="10"/>
      <c r="S1" s="105"/>
    </row>
    <row r="2">
      <c r="A2" s="1" t="s">
        <v>1012</v>
      </c>
      <c r="B2" s="1" t="b">
        <v>1</v>
      </c>
      <c r="D2" s="344" t="s">
        <v>1013</v>
      </c>
      <c r="E2" s="344" t="s">
        <v>1014</v>
      </c>
      <c r="F2" s="87" t="b">
        <v>1</v>
      </c>
      <c r="G2" s="10"/>
      <c r="H2" s="346" t="s">
        <v>1015</v>
      </c>
      <c r="S2" s="105"/>
    </row>
    <row r="3">
      <c r="A3" s="1" t="s">
        <v>1016</v>
      </c>
      <c r="B3" s="1" t="b">
        <v>1</v>
      </c>
      <c r="D3" s="344" t="s">
        <v>1013</v>
      </c>
      <c r="E3" s="344" t="s">
        <v>1017</v>
      </c>
      <c r="F3" s="87" t="b">
        <v>1</v>
      </c>
      <c r="G3" s="10"/>
      <c r="S3" s="105"/>
    </row>
    <row r="4">
      <c r="A4" s="1" t="s">
        <v>1018</v>
      </c>
      <c r="B4" s="1" t="b">
        <v>1</v>
      </c>
      <c r="D4" s="344" t="s">
        <v>1013</v>
      </c>
      <c r="E4" s="345" t="s">
        <v>1019</v>
      </c>
      <c r="F4" s="87" t="b">
        <v>1</v>
      </c>
      <c r="G4" s="87" t="s">
        <v>1020</v>
      </c>
      <c r="S4" s="105"/>
    </row>
    <row r="5">
      <c r="A5" s="1" t="s">
        <v>1021</v>
      </c>
      <c r="B5" s="1" t="b">
        <v>1</v>
      </c>
      <c r="D5" s="344" t="s">
        <v>1022</v>
      </c>
      <c r="E5" s="344" t="s">
        <v>1023</v>
      </c>
      <c r="F5" s="87" t="b">
        <v>1</v>
      </c>
      <c r="G5" s="10"/>
      <c r="S5" s="105"/>
    </row>
    <row r="6">
      <c r="A6" s="1" t="s">
        <v>1024</v>
      </c>
      <c r="B6" s="1" t="b">
        <v>1</v>
      </c>
      <c r="D6" s="344" t="s">
        <v>1022</v>
      </c>
      <c r="E6" s="344" t="s">
        <v>1025</v>
      </c>
      <c r="F6" s="87" t="b">
        <v>1</v>
      </c>
      <c r="G6" s="10"/>
      <c r="S6" s="105"/>
    </row>
    <row r="7">
      <c r="A7" s="1" t="s">
        <v>1026</v>
      </c>
      <c r="B7" s="1" t="b">
        <v>1</v>
      </c>
      <c r="D7" s="344" t="s">
        <v>1022</v>
      </c>
      <c r="E7" s="344" t="s">
        <v>1027</v>
      </c>
      <c r="F7" s="87" t="b">
        <v>1</v>
      </c>
      <c r="G7" s="10"/>
      <c r="S7" s="105"/>
    </row>
    <row r="8">
      <c r="A8" s="1" t="s">
        <v>1028</v>
      </c>
      <c r="B8" s="1" t="b">
        <v>1</v>
      </c>
      <c r="D8" s="344" t="s">
        <v>1022</v>
      </c>
      <c r="E8" s="344" t="s">
        <v>1029</v>
      </c>
      <c r="F8" s="87" t="b">
        <v>1</v>
      </c>
      <c r="G8" s="10"/>
      <c r="S8" s="105"/>
    </row>
    <row r="9">
      <c r="A9" s="1" t="s">
        <v>1030</v>
      </c>
      <c r="B9" s="1" t="b">
        <v>1</v>
      </c>
      <c r="D9" s="344" t="s">
        <v>1022</v>
      </c>
      <c r="E9" s="344" t="s">
        <v>1031</v>
      </c>
      <c r="F9" s="87" t="b">
        <v>1</v>
      </c>
      <c r="G9" s="10"/>
      <c r="S9" s="105"/>
    </row>
    <row r="10">
      <c r="A10" s="1" t="s">
        <v>1032</v>
      </c>
      <c r="B10" s="1" t="b">
        <v>1</v>
      </c>
      <c r="D10" s="344" t="s">
        <v>1022</v>
      </c>
      <c r="E10" s="344" t="s">
        <v>1033</v>
      </c>
      <c r="F10" s="87" t="b">
        <v>1</v>
      </c>
      <c r="G10" s="10"/>
      <c r="S10" s="105"/>
    </row>
    <row r="11">
      <c r="A11" s="1" t="s">
        <v>1034</v>
      </c>
      <c r="B11" s="1" t="b">
        <v>1</v>
      </c>
      <c r="D11" s="344" t="s">
        <v>1022</v>
      </c>
      <c r="E11" s="344" t="s">
        <v>1035</v>
      </c>
      <c r="F11" s="87" t="b">
        <v>1</v>
      </c>
      <c r="G11" s="10"/>
      <c r="S11" s="105"/>
    </row>
    <row r="12">
      <c r="A12" s="1" t="s">
        <v>1036</v>
      </c>
      <c r="B12" s="1" t="b">
        <v>1</v>
      </c>
      <c r="D12" s="344" t="s">
        <v>1022</v>
      </c>
      <c r="E12" s="344" t="s">
        <v>1037</v>
      </c>
      <c r="F12" s="87" t="b">
        <v>1</v>
      </c>
      <c r="G12" s="10"/>
      <c r="S12" s="105"/>
    </row>
    <row r="13">
      <c r="A13" s="1" t="s">
        <v>1038</v>
      </c>
      <c r="B13" s="1" t="b">
        <v>1</v>
      </c>
      <c r="D13" s="344" t="s">
        <v>1039</v>
      </c>
      <c r="E13" s="344" t="s">
        <v>1040</v>
      </c>
      <c r="F13" s="87" t="b">
        <v>1</v>
      </c>
      <c r="G13" s="87"/>
      <c r="S13" s="105"/>
    </row>
    <row r="14">
      <c r="A14" s="1" t="s">
        <v>1041</v>
      </c>
      <c r="B14" s="1" t="b">
        <v>1</v>
      </c>
      <c r="D14" s="344" t="s">
        <v>1039</v>
      </c>
      <c r="E14" s="344" t="s">
        <v>1042</v>
      </c>
      <c r="F14" s="87" t="b">
        <v>1</v>
      </c>
      <c r="G14" s="87"/>
      <c r="S14" s="105"/>
    </row>
    <row r="15">
      <c r="A15" s="1" t="s">
        <v>1043</v>
      </c>
      <c r="B15" s="1" t="b">
        <v>1</v>
      </c>
      <c r="D15" s="344" t="s">
        <v>1039</v>
      </c>
      <c r="E15" s="344" t="s">
        <v>1044</v>
      </c>
      <c r="F15" s="87" t="b">
        <v>1</v>
      </c>
      <c r="G15" s="10"/>
      <c r="S15" s="105"/>
    </row>
    <row r="16">
      <c r="A16" s="1" t="s">
        <v>1045</v>
      </c>
      <c r="B16" s="1" t="b">
        <v>1</v>
      </c>
      <c r="D16" s="344" t="s">
        <v>1039</v>
      </c>
      <c r="E16" s="344" t="s">
        <v>1046</v>
      </c>
      <c r="F16" s="87" t="b">
        <v>1</v>
      </c>
      <c r="G16" s="10"/>
      <c r="S16" s="105"/>
    </row>
    <row r="17">
      <c r="A17" s="1" t="s">
        <v>1047</v>
      </c>
      <c r="B17" s="1" t="b">
        <v>1</v>
      </c>
      <c r="D17" s="344" t="s">
        <v>1048</v>
      </c>
      <c r="E17" s="344" t="s">
        <v>1049</v>
      </c>
      <c r="F17" s="87" t="b">
        <v>1</v>
      </c>
      <c r="G17" s="87" t="s">
        <v>1020</v>
      </c>
      <c r="S17" s="105"/>
    </row>
    <row r="18">
      <c r="A18" s="1" t="s">
        <v>1050</v>
      </c>
      <c r="B18" s="1" t="b">
        <v>1</v>
      </c>
      <c r="D18" s="344" t="s">
        <v>1048</v>
      </c>
      <c r="E18" s="344" t="s">
        <v>1051</v>
      </c>
      <c r="F18" s="87" t="b">
        <v>1</v>
      </c>
      <c r="G18" s="87" t="s">
        <v>1020</v>
      </c>
      <c r="S18" s="105"/>
    </row>
    <row r="19">
      <c r="A19" s="1" t="s">
        <v>1052</v>
      </c>
      <c r="B19" s="1" t="b">
        <v>1</v>
      </c>
      <c r="D19" s="344" t="s">
        <v>1048</v>
      </c>
      <c r="E19" s="344" t="s">
        <v>1053</v>
      </c>
      <c r="F19" s="87" t="b">
        <v>1</v>
      </c>
      <c r="G19" s="87" t="s">
        <v>1020</v>
      </c>
      <c r="S19" s="105"/>
    </row>
    <row r="20">
      <c r="A20" s="1" t="s">
        <v>1054</v>
      </c>
      <c r="B20" s="1" t="b">
        <v>1</v>
      </c>
      <c r="D20" s="344" t="s">
        <v>1055</v>
      </c>
      <c r="E20" s="345" t="s">
        <v>1056</v>
      </c>
      <c r="F20" s="87" t="b">
        <v>1</v>
      </c>
      <c r="G20" s="87" t="s">
        <v>1020</v>
      </c>
      <c r="S20" s="105"/>
    </row>
    <row r="21">
      <c r="A21" s="1" t="s">
        <v>1057</v>
      </c>
      <c r="B21" s="1" t="b">
        <v>1</v>
      </c>
      <c r="D21" s="344" t="s">
        <v>1058</v>
      </c>
      <c r="E21" s="344" t="s">
        <v>1059</v>
      </c>
      <c r="F21" s="87" t="b">
        <v>1</v>
      </c>
      <c r="G21" s="87" t="s">
        <v>1020</v>
      </c>
      <c r="S21" s="105"/>
    </row>
    <row r="22">
      <c r="A22" s="1" t="s">
        <v>1060</v>
      </c>
      <c r="B22" s="1" t="b">
        <v>1</v>
      </c>
      <c r="D22" s="344" t="s">
        <v>1058</v>
      </c>
      <c r="E22" s="344" t="s">
        <v>1061</v>
      </c>
      <c r="F22" s="87" t="b">
        <v>1</v>
      </c>
      <c r="G22" s="87"/>
      <c r="S22" s="105"/>
    </row>
    <row r="23">
      <c r="A23" s="1" t="s">
        <v>1062</v>
      </c>
      <c r="B23" s="1" t="b">
        <v>0</v>
      </c>
      <c r="D23" s="344" t="s">
        <v>1058</v>
      </c>
      <c r="E23" s="344" t="s">
        <v>1063</v>
      </c>
      <c r="F23" s="87" t="b">
        <v>1</v>
      </c>
      <c r="G23" s="87" t="s">
        <v>1020</v>
      </c>
      <c r="S23" s="105"/>
    </row>
    <row r="24">
      <c r="A24" s="1" t="s">
        <v>1064</v>
      </c>
      <c r="B24" s="1" t="b">
        <v>0</v>
      </c>
      <c r="D24" s="344" t="s">
        <v>1058</v>
      </c>
      <c r="E24" s="344" t="s">
        <v>1065</v>
      </c>
      <c r="F24" s="87" t="b">
        <v>1</v>
      </c>
      <c r="G24" s="87" t="s">
        <v>1020</v>
      </c>
      <c r="S24" s="105"/>
    </row>
    <row r="25">
      <c r="A25" s="1" t="s">
        <v>1066</v>
      </c>
      <c r="B25" s="1" t="b">
        <v>0</v>
      </c>
      <c r="D25" s="344" t="s">
        <v>1058</v>
      </c>
      <c r="E25" s="344" t="s">
        <v>1067</v>
      </c>
      <c r="F25" s="87" t="b">
        <v>1</v>
      </c>
      <c r="G25" s="87" t="s">
        <v>1020</v>
      </c>
      <c r="S25" s="105"/>
    </row>
    <row r="26">
      <c r="A26" s="1" t="s">
        <v>1068</v>
      </c>
      <c r="B26" s="1" t="b">
        <v>0</v>
      </c>
      <c r="D26" s="344" t="s">
        <v>1058</v>
      </c>
      <c r="E26" s="344" t="s">
        <v>1069</v>
      </c>
      <c r="F26" s="87" t="b">
        <v>1</v>
      </c>
      <c r="G26" s="87" t="s">
        <v>1020</v>
      </c>
      <c r="S26" s="105"/>
    </row>
    <row r="27">
      <c r="A27" s="1" t="s">
        <v>1070</v>
      </c>
      <c r="B27" s="1" t="b">
        <v>1</v>
      </c>
      <c r="D27" s="344" t="s">
        <v>1071</v>
      </c>
      <c r="E27" s="344" t="s">
        <v>1072</v>
      </c>
      <c r="F27" s="10" t="b">
        <v>0</v>
      </c>
      <c r="G27" s="87" t="s">
        <v>1073</v>
      </c>
      <c r="S27" s="105"/>
    </row>
    <row r="28">
      <c r="A28" s="1" t="s">
        <v>1074</v>
      </c>
      <c r="B28" s="1" t="b">
        <v>1</v>
      </c>
      <c r="D28" s="344" t="s">
        <v>1071</v>
      </c>
      <c r="E28" s="344" t="s">
        <v>1075</v>
      </c>
      <c r="F28" s="10" t="b">
        <v>0</v>
      </c>
      <c r="G28" s="87" t="s">
        <v>1073</v>
      </c>
      <c r="S28" s="105"/>
    </row>
    <row r="29">
      <c r="A29" s="1" t="s">
        <v>1076</v>
      </c>
      <c r="B29" s="1" t="b">
        <v>1</v>
      </c>
      <c r="D29" s="344" t="s">
        <v>1071</v>
      </c>
      <c r="E29" s="344" t="s">
        <v>1077</v>
      </c>
      <c r="F29" s="10" t="b">
        <v>0</v>
      </c>
      <c r="G29" s="87" t="s">
        <v>1073</v>
      </c>
      <c r="S29" s="105"/>
    </row>
    <row r="30">
      <c r="A30" s="1" t="s">
        <v>1019</v>
      </c>
      <c r="B30" s="1" t="b">
        <v>1</v>
      </c>
      <c r="D30" s="344" t="s">
        <v>1071</v>
      </c>
      <c r="E30" s="344" t="s">
        <v>1078</v>
      </c>
      <c r="F30" s="10" t="b">
        <v>0</v>
      </c>
      <c r="G30" s="87" t="s">
        <v>1073</v>
      </c>
      <c r="S30" s="105"/>
    </row>
    <row r="31">
      <c r="A31" s="1" t="s">
        <v>1079</v>
      </c>
      <c r="B31" s="1" t="b">
        <v>1</v>
      </c>
      <c r="D31" s="344" t="s">
        <v>1071</v>
      </c>
      <c r="E31" s="344" t="s">
        <v>1080</v>
      </c>
      <c r="F31" s="10" t="b">
        <v>0</v>
      </c>
      <c r="G31" s="87" t="s">
        <v>1073</v>
      </c>
      <c r="S31" s="105"/>
    </row>
    <row r="32">
      <c r="A32" s="1" t="s">
        <v>1081</v>
      </c>
      <c r="B32" s="1" t="b">
        <v>1</v>
      </c>
      <c r="D32" s="344" t="s">
        <v>1071</v>
      </c>
      <c r="E32" s="344" t="s">
        <v>1082</v>
      </c>
      <c r="F32" s="10" t="b">
        <v>0</v>
      </c>
      <c r="G32" s="87" t="s">
        <v>1073</v>
      </c>
      <c r="S32" s="105"/>
    </row>
    <row r="33">
      <c r="A33" s="1" t="s">
        <v>1083</v>
      </c>
      <c r="B33" s="1" t="b">
        <v>1</v>
      </c>
      <c r="D33" s="344" t="s">
        <v>1071</v>
      </c>
      <c r="E33" s="344" t="s">
        <v>1084</v>
      </c>
      <c r="F33" s="10" t="b">
        <v>0</v>
      </c>
      <c r="G33" s="87" t="s">
        <v>1073</v>
      </c>
      <c r="S33" s="105"/>
    </row>
    <row r="34">
      <c r="A34" s="1" t="s">
        <v>1085</v>
      </c>
      <c r="B34" s="1" t="b">
        <v>0</v>
      </c>
      <c r="D34" s="344" t="s">
        <v>1071</v>
      </c>
      <c r="E34" s="344" t="s">
        <v>1086</v>
      </c>
      <c r="F34" s="10" t="b">
        <v>0</v>
      </c>
      <c r="G34" s="87" t="s">
        <v>1073</v>
      </c>
      <c r="S34" s="105"/>
    </row>
    <row r="35">
      <c r="A35" s="1" t="s">
        <v>1087</v>
      </c>
      <c r="B35" s="1" t="b">
        <v>1</v>
      </c>
      <c r="D35" s="344" t="s">
        <v>1071</v>
      </c>
      <c r="E35" s="344" t="s">
        <v>1088</v>
      </c>
      <c r="F35" s="10" t="b">
        <v>0</v>
      </c>
      <c r="G35" s="87" t="s">
        <v>1073</v>
      </c>
      <c r="S35" s="105"/>
    </row>
    <row r="36">
      <c r="A36" s="1" t="s">
        <v>1089</v>
      </c>
      <c r="B36" s="1" t="b">
        <v>1</v>
      </c>
      <c r="D36" s="344" t="s">
        <v>1071</v>
      </c>
      <c r="E36" s="344" t="s">
        <v>1090</v>
      </c>
      <c r="F36" s="10" t="b">
        <v>0</v>
      </c>
      <c r="G36" s="87" t="s">
        <v>1073</v>
      </c>
      <c r="S36" s="105"/>
    </row>
    <row r="37">
      <c r="A37" s="1" t="s">
        <v>1091</v>
      </c>
      <c r="B37" s="1" t="b">
        <v>1</v>
      </c>
      <c r="D37" s="344" t="s">
        <v>1071</v>
      </c>
      <c r="E37" s="344" t="s">
        <v>1092</v>
      </c>
      <c r="F37" s="10" t="b">
        <v>0</v>
      </c>
      <c r="G37" s="87" t="s">
        <v>1073</v>
      </c>
      <c r="S37" s="105"/>
    </row>
    <row r="38">
      <c r="A38" s="1" t="s">
        <v>1093</v>
      </c>
      <c r="B38" s="1" t="b">
        <v>1</v>
      </c>
      <c r="D38" s="344" t="s">
        <v>1071</v>
      </c>
      <c r="E38" s="344" t="s">
        <v>1094</v>
      </c>
      <c r="F38" s="10" t="b">
        <v>0</v>
      </c>
      <c r="G38" s="87" t="s">
        <v>1073</v>
      </c>
      <c r="S38" s="105"/>
    </row>
    <row r="39">
      <c r="A39" s="1" t="s">
        <v>1095</v>
      </c>
      <c r="B39" s="1" t="b">
        <v>1</v>
      </c>
      <c r="D39" s="344" t="s">
        <v>1096</v>
      </c>
      <c r="E39" s="344" t="s">
        <v>1097</v>
      </c>
      <c r="F39" s="87" t="b">
        <v>1</v>
      </c>
      <c r="G39" s="10"/>
      <c r="S39" s="105"/>
    </row>
    <row r="40">
      <c r="A40" s="1" t="s">
        <v>1098</v>
      </c>
      <c r="B40" s="1" t="b">
        <v>0</v>
      </c>
      <c r="D40" s="344" t="s">
        <v>1099</v>
      </c>
      <c r="E40" s="344" t="s">
        <v>1100</v>
      </c>
      <c r="F40" s="87" t="b">
        <v>1</v>
      </c>
      <c r="G40" s="87" t="s">
        <v>1020</v>
      </c>
      <c r="S40" s="105"/>
    </row>
    <row r="41">
      <c r="A41" s="1" t="s">
        <v>1101</v>
      </c>
      <c r="B41" s="1" t="b">
        <v>1</v>
      </c>
      <c r="D41" s="344" t="s">
        <v>1102</v>
      </c>
      <c r="E41" s="344" t="s">
        <v>1103</v>
      </c>
      <c r="F41" s="337" t="b">
        <v>1</v>
      </c>
      <c r="G41" s="337" t="s">
        <v>1020</v>
      </c>
      <c r="S41" s="105"/>
    </row>
    <row r="42">
      <c r="A42" s="1" t="s">
        <v>1104</v>
      </c>
      <c r="B42" s="1" t="b">
        <v>1</v>
      </c>
      <c r="D42" s="344" t="s">
        <v>1102</v>
      </c>
      <c r="E42" s="344" t="s">
        <v>1105</v>
      </c>
      <c r="F42" s="87" t="b">
        <v>1</v>
      </c>
      <c r="G42" s="10"/>
      <c r="S42" s="105"/>
    </row>
    <row r="43">
      <c r="A43" s="1" t="s">
        <v>1106</v>
      </c>
      <c r="B43" s="1" t="b">
        <v>0</v>
      </c>
      <c r="D43" s="344" t="s">
        <v>1102</v>
      </c>
      <c r="E43" s="344" t="s">
        <v>1107</v>
      </c>
      <c r="F43" s="87" t="b">
        <v>1</v>
      </c>
      <c r="G43" s="10"/>
      <c r="S43" s="105"/>
    </row>
    <row r="44">
      <c r="A44" s="1" t="s">
        <v>1108</v>
      </c>
      <c r="B44" s="1" t="b">
        <v>1</v>
      </c>
      <c r="D44" s="344" t="s">
        <v>1102</v>
      </c>
      <c r="E44" s="344" t="s">
        <v>1109</v>
      </c>
      <c r="F44" s="87" t="b">
        <v>1</v>
      </c>
      <c r="G44" s="10"/>
      <c r="S44" s="105"/>
    </row>
    <row r="45">
      <c r="A45" s="1" t="s">
        <v>1110</v>
      </c>
      <c r="B45" s="1" t="b">
        <v>1</v>
      </c>
      <c r="D45" s="344" t="s">
        <v>1102</v>
      </c>
      <c r="E45" s="344" t="s">
        <v>1111</v>
      </c>
      <c r="F45" s="87" t="b">
        <v>1</v>
      </c>
      <c r="G45" s="10"/>
      <c r="S45" s="105"/>
    </row>
    <row r="46">
      <c r="A46" s="1" t="s">
        <v>1112</v>
      </c>
      <c r="B46" s="1" t="b">
        <v>1</v>
      </c>
      <c r="D46" s="344" t="s">
        <v>1102</v>
      </c>
      <c r="E46" s="344" t="s">
        <v>1113</v>
      </c>
      <c r="F46" s="87" t="b">
        <v>1</v>
      </c>
      <c r="G46" s="10"/>
      <c r="S46" s="105"/>
    </row>
    <row r="47">
      <c r="A47" s="1" t="s">
        <v>1114</v>
      </c>
      <c r="B47" s="1" t="b">
        <v>1</v>
      </c>
      <c r="D47" s="344" t="s">
        <v>1102</v>
      </c>
      <c r="E47" s="344" t="s">
        <v>1115</v>
      </c>
      <c r="F47" s="87" t="b">
        <v>0</v>
      </c>
      <c r="G47" s="87" t="s">
        <v>1073</v>
      </c>
      <c r="S47" s="105"/>
    </row>
    <row r="48">
      <c r="A48" s="1" t="s">
        <v>1116</v>
      </c>
      <c r="B48" s="1" t="b">
        <v>0</v>
      </c>
      <c r="D48" s="344" t="s">
        <v>1102</v>
      </c>
      <c r="E48" s="344" t="s">
        <v>1117</v>
      </c>
      <c r="F48" s="87" t="b">
        <v>1</v>
      </c>
      <c r="G48" s="10"/>
      <c r="S48" s="105"/>
    </row>
    <row r="49">
      <c r="A49" s="1" t="s">
        <v>1118</v>
      </c>
      <c r="B49" s="1" t="b">
        <v>1</v>
      </c>
      <c r="D49" s="344" t="s">
        <v>1102</v>
      </c>
      <c r="E49" s="344" t="s">
        <v>1119</v>
      </c>
      <c r="F49" s="87" t="b">
        <v>1</v>
      </c>
      <c r="G49" s="87"/>
      <c r="S49" s="105"/>
    </row>
    <row r="50">
      <c r="A50" s="1" t="s">
        <v>1120</v>
      </c>
      <c r="B50" s="1" t="b">
        <v>1</v>
      </c>
      <c r="D50" s="344" t="s">
        <v>1121</v>
      </c>
      <c r="E50" s="344" t="s">
        <v>1122</v>
      </c>
      <c r="F50" s="87" t="b">
        <v>1</v>
      </c>
      <c r="G50" s="10"/>
      <c r="S50" s="105"/>
    </row>
    <row r="51">
      <c r="A51" s="1" t="s">
        <v>1123</v>
      </c>
      <c r="B51" s="1" t="b">
        <v>0</v>
      </c>
      <c r="D51" s="344" t="s">
        <v>1121</v>
      </c>
      <c r="E51" s="344" t="s">
        <v>1124</v>
      </c>
      <c r="F51" s="87" t="b">
        <v>1</v>
      </c>
      <c r="G51" s="10"/>
      <c r="S51" s="105"/>
    </row>
    <row r="52">
      <c r="A52" s="1" t="s">
        <v>1125</v>
      </c>
      <c r="B52" s="1" t="b">
        <v>1</v>
      </c>
      <c r="D52" s="344" t="s">
        <v>1126</v>
      </c>
      <c r="E52" s="344" t="s">
        <v>1127</v>
      </c>
      <c r="F52" s="87" t="b">
        <v>1</v>
      </c>
      <c r="G52" s="87" t="s">
        <v>1020</v>
      </c>
      <c r="S52" s="105"/>
    </row>
    <row r="53">
      <c r="A53" s="1" t="s">
        <v>1128</v>
      </c>
      <c r="B53" s="1" t="b">
        <v>1</v>
      </c>
      <c r="D53" s="344" t="s">
        <v>1126</v>
      </c>
      <c r="E53" s="344" t="s">
        <v>1129</v>
      </c>
      <c r="F53" s="87" t="b">
        <v>1</v>
      </c>
      <c r="G53" s="87" t="s">
        <v>1020</v>
      </c>
      <c r="S53" s="105"/>
    </row>
    <row r="54">
      <c r="A54" s="1" t="s">
        <v>1130</v>
      </c>
      <c r="B54" s="1" t="b">
        <v>1</v>
      </c>
      <c r="D54" s="344" t="s">
        <v>1126</v>
      </c>
      <c r="E54" s="344" t="s">
        <v>1131</v>
      </c>
      <c r="F54" s="87" t="b">
        <v>1</v>
      </c>
      <c r="G54" s="87"/>
      <c r="S54" s="105"/>
    </row>
    <row r="55">
      <c r="A55" s="1" t="s">
        <v>1132</v>
      </c>
      <c r="B55" s="1" t="b">
        <v>1</v>
      </c>
      <c r="D55" s="344" t="s">
        <v>1126</v>
      </c>
      <c r="E55" s="344" t="s">
        <v>1133</v>
      </c>
      <c r="F55" s="87" t="b">
        <v>1</v>
      </c>
      <c r="G55" s="87" t="s">
        <v>1020</v>
      </c>
      <c r="S55" s="105"/>
    </row>
    <row r="56">
      <c r="A56" s="1" t="s">
        <v>1134</v>
      </c>
      <c r="B56" s="1" t="b">
        <v>1</v>
      </c>
      <c r="D56" s="344" t="s">
        <v>1135</v>
      </c>
      <c r="E56" s="344" t="s">
        <v>1136</v>
      </c>
      <c r="F56" s="87" t="b">
        <v>1</v>
      </c>
      <c r="G56" s="10"/>
      <c r="S56" s="105"/>
    </row>
    <row r="57">
      <c r="A57" s="1" t="s">
        <v>1137</v>
      </c>
      <c r="B57" s="1" t="b">
        <v>0</v>
      </c>
      <c r="D57" s="344" t="s">
        <v>1135</v>
      </c>
      <c r="E57" s="344" t="s">
        <v>1138</v>
      </c>
      <c r="F57" s="87" t="b">
        <v>1</v>
      </c>
      <c r="G57" s="10"/>
      <c r="S57" s="105"/>
    </row>
    <row r="58">
      <c r="A58" s="1" t="s">
        <v>1139</v>
      </c>
      <c r="B58" s="1" t="b">
        <v>0</v>
      </c>
      <c r="D58" s="344" t="s">
        <v>1135</v>
      </c>
      <c r="E58" s="344" t="s">
        <v>1140</v>
      </c>
      <c r="F58" s="87" t="b">
        <v>1</v>
      </c>
      <c r="G58" s="10"/>
      <c r="S58" s="105"/>
    </row>
    <row r="59">
      <c r="A59" s="1" t="s">
        <v>1141</v>
      </c>
      <c r="B59" s="1" t="b">
        <v>0</v>
      </c>
      <c r="D59" s="344" t="s">
        <v>1135</v>
      </c>
      <c r="E59" s="344" t="s">
        <v>1142</v>
      </c>
      <c r="F59" s="87" t="b">
        <v>1</v>
      </c>
      <c r="G59" s="10"/>
      <c r="S59" s="105"/>
    </row>
    <row r="60">
      <c r="A60" s="1" t="s">
        <v>1143</v>
      </c>
      <c r="B60" s="1" t="b">
        <v>1</v>
      </c>
      <c r="D60" s="344" t="s">
        <v>1144</v>
      </c>
      <c r="E60" s="344" t="s">
        <v>1145</v>
      </c>
      <c r="F60" s="87" t="b">
        <v>1</v>
      </c>
      <c r="G60" s="10"/>
      <c r="S60" s="105"/>
    </row>
    <row r="61">
      <c r="A61" s="1" t="s">
        <v>1146</v>
      </c>
      <c r="B61" s="1" t="b">
        <v>0</v>
      </c>
      <c r="D61" s="344" t="s">
        <v>1144</v>
      </c>
      <c r="E61" s="344" t="s">
        <v>1147</v>
      </c>
      <c r="F61" s="87" t="b">
        <v>1</v>
      </c>
      <c r="G61" s="10"/>
      <c r="S61" s="105"/>
    </row>
    <row r="62">
      <c r="A62" s="1" t="s">
        <v>1148</v>
      </c>
      <c r="B62" s="1" t="b">
        <v>1</v>
      </c>
      <c r="D62" s="344" t="s">
        <v>1149</v>
      </c>
      <c r="E62" s="344" t="s">
        <v>1150</v>
      </c>
      <c r="F62" s="87" t="b">
        <v>1</v>
      </c>
      <c r="G62" s="87" t="s">
        <v>1020</v>
      </c>
      <c r="S62" s="105"/>
    </row>
    <row r="63">
      <c r="A63" s="1" t="s">
        <v>1151</v>
      </c>
      <c r="B63" s="1" t="b">
        <v>0</v>
      </c>
      <c r="D63" s="344" t="s">
        <v>1149</v>
      </c>
      <c r="E63" s="344" t="s">
        <v>1152</v>
      </c>
      <c r="F63" s="87" t="b">
        <v>1</v>
      </c>
      <c r="G63" s="10"/>
      <c r="S63" s="105"/>
    </row>
    <row r="64">
      <c r="A64" s="1" t="s">
        <v>1153</v>
      </c>
      <c r="B64" s="1" t="b">
        <v>0</v>
      </c>
      <c r="D64" s="344" t="s">
        <v>1149</v>
      </c>
      <c r="E64" s="344" t="s">
        <v>1154</v>
      </c>
      <c r="F64" s="87" t="b">
        <v>1</v>
      </c>
      <c r="G64" s="10"/>
      <c r="S64" s="105"/>
    </row>
    <row r="65">
      <c r="A65" s="1" t="s">
        <v>1155</v>
      </c>
      <c r="B65" s="1" t="b">
        <v>1</v>
      </c>
      <c r="D65" s="344" t="s">
        <v>1149</v>
      </c>
      <c r="E65" s="344" t="s">
        <v>1156</v>
      </c>
      <c r="F65" s="87" t="b">
        <v>1</v>
      </c>
      <c r="G65" s="10"/>
      <c r="S65" s="105"/>
    </row>
    <row r="66">
      <c r="A66" s="1" t="s">
        <v>1157</v>
      </c>
      <c r="B66" s="1" t="b">
        <v>0</v>
      </c>
      <c r="D66" s="344" t="s">
        <v>1149</v>
      </c>
      <c r="E66" s="344" t="s">
        <v>1158</v>
      </c>
      <c r="F66" s="87" t="b">
        <v>1</v>
      </c>
      <c r="G66" s="10"/>
      <c r="S66" s="105"/>
    </row>
    <row r="67">
      <c r="A67" s="1" t="s">
        <v>1159</v>
      </c>
      <c r="B67" s="1" t="b">
        <v>0</v>
      </c>
      <c r="D67" s="344" t="s">
        <v>1149</v>
      </c>
      <c r="E67" s="344" t="s">
        <v>1160</v>
      </c>
      <c r="F67" s="87" t="b">
        <v>1</v>
      </c>
      <c r="G67" s="10"/>
      <c r="S67" s="105"/>
    </row>
    <row r="68">
      <c r="A68" s="1" t="s">
        <v>1161</v>
      </c>
      <c r="B68" s="1" t="b">
        <v>1</v>
      </c>
      <c r="D68" s="344" t="s">
        <v>1149</v>
      </c>
      <c r="E68" s="344" t="s">
        <v>1162</v>
      </c>
      <c r="F68" s="87" t="b">
        <v>1</v>
      </c>
      <c r="G68" s="10"/>
      <c r="S68" s="105"/>
    </row>
    <row r="69">
      <c r="A69" s="1" t="s">
        <v>1163</v>
      </c>
      <c r="B69" s="1" t="b">
        <v>0</v>
      </c>
      <c r="D69" s="344" t="s">
        <v>1149</v>
      </c>
      <c r="E69" s="344" t="s">
        <v>1164</v>
      </c>
      <c r="F69" s="87" t="b">
        <v>1</v>
      </c>
      <c r="G69" s="10"/>
      <c r="S69" s="105"/>
    </row>
    <row r="70">
      <c r="A70" s="1" t="s">
        <v>1075</v>
      </c>
      <c r="B70" s="1" t="b">
        <v>0</v>
      </c>
      <c r="D70" s="344" t="s">
        <v>1149</v>
      </c>
      <c r="E70" s="344" t="s">
        <v>1165</v>
      </c>
      <c r="F70" s="87" t="b">
        <v>1</v>
      </c>
      <c r="G70" s="10"/>
      <c r="S70" s="105"/>
    </row>
    <row r="71">
      <c r="A71" s="1" t="s">
        <v>1166</v>
      </c>
      <c r="B71" s="1" t="b">
        <v>0</v>
      </c>
      <c r="D71" s="344" t="s">
        <v>1149</v>
      </c>
      <c r="E71" s="344" t="s">
        <v>1167</v>
      </c>
      <c r="F71" s="87" t="b">
        <v>1</v>
      </c>
      <c r="G71" s="10"/>
      <c r="S71" s="105"/>
    </row>
    <row r="72">
      <c r="A72" s="1" t="s">
        <v>1168</v>
      </c>
      <c r="B72" s="1" t="b">
        <v>0</v>
      </c>
      <c r="D72" s="344" t="s">
        <v>1149</v>
      </c>
      <c r="E72" s="344" t="s">
        <v>1169</v>
      </c>
      <c r="F72" s="87" t="b">
        <v>1</v>
      </c>
      <c r="G72" s="10"/>
      <c r="S72" s="105"/>
    </row>
    <row r="73">
      <c r="A73" s="1" t="s">
        <v>1170</v>
      </c>
      <c r="B73" s="1" t="b">
        <v>0</v>
      </c>
      <c r="D73" s="344" t="s">
        <v>1149</v>
      </c>
      <c r="E73" s="344" t="s">
        <v>1171</v>
      </c>
      <c r="F73" s="87" t="b">
        <v>1</v>
      </c>
      <c r="G73" s="10"/>
      <c r="S73" s="105"/>
    </row>
    <row r="74">
      <c r="A74" s="1" t="s">
        <v>1172</v>
      </c>
      <c r="B74" s="1" t="b">
        <v>0</v>
      </c>
      <c r="D74" s="344" t="s">
        <v>1149</v>
      </c>
      <c r="E74" s="344" t="s">
        <v>1173</v>
      </c>
      <c r="F74" s="87" t="b">
        <v>1</v>
      </c>
      <c r="G74" s="10"/>
      <c r="S74" s="105"/>
    </row>
    <row r="75">
      <c r="A75" s="1" t="s">
        <v>1174</v>
      </c>
      <c r="B75" s="1" t="b">
        <v>1</v>
      </c>
      <c r="D75" s="344" t="s">
        <v>1149</v>
      </c>
      <c r="E75" s="344" t="s">
        <v>1175</v>
      </c>
      <c r="F75" s="87" t="b">
        <v>0</v>
      </c>
      <c r="G75" s="87" t="s">
        <v>1073</v>
      </c>
      <c r="S75" s="105"/>
    </row>
    <row r="76">
      <c r="A76" s="1" t="s">
        <v>1176</v>
      </c>
      <c r="B76" s="1" t="b">
        <v>1</v>
      </c>
      <c r="D76" s="344" t="s">
        <v>1149</v>
      </c>
      <c r="E76" s="344" t="s">
        <v>1177</v>
      </c>
      <c r="F76" s="87" t="b">
        <v>1</v>
      </c>
      <c r="G76" s="10"/>
      <c r="S76" s="105"/>
    </row>
    <row r="77">
      <c r="A77" s="1" t="s">
        <v>1178</v>
      </c>
      <c r="B77" s="1" t="b">
        <v>1</v>
      </c>
      <c r="D77" s="344" t="s">
        <v>1149</v>
      </c>
      <c r="E77" s="344" t="s">
        <v>1179</v>
      </c>
      <c r="F77" s="87" t="b">
        <v>1</v>
      </c>
      <c r="G77" s="10"/>
      <c r="S77" s="105"/>
    </row>
    <row r="78">
      <c r="A78" s="1" t="s">
        <v>1180</v>
      </c>
      <c r="B78" s="1" t="b">
        <v>1</v>
      </c>
      <c r="D78" s="344" t="s">
        <v>1149</v>
      </c>
      <c r="E78" s="344" t="s">
        <v>1181</v>
      </c>
      <c r="F78" s="87" t="b">
        <v>1</v>
      </c>
      <c r="G78" s="10"/>
      <c r="S78" s="105"/>
    </row>
    <row r="79">
      <c r="A79" s="1" t="s">
        <v>1182</v>
      </c>
      <c r="B79" s="1" t="b">
        <v>1</v>
      </c>
      <c r="D79" s="344" t="s">
        <v>1149</v>
      </c>
      <c r="E79" s="344" t="s">
        <v>1183</v>
      </c>
      <c r="F79" s="337" t="b">
        <v>1</v>
      </c>
      <c r="G79" s="337"/>
      <c r="S79" s="105"/>
    </row>
    <row r="80">
      <c r="A80" s="1" t="s">
        <v>1184</v>
      </c>
      <c r="B80" s="1" t="b">
        <v>1</v>
      </c>
      <c r="D80" s="344" t="s">
        <v>1149</v>
      </c>
      <c r="E80" s="344" t="s">
        <v>1185</v>
      </c>
      <c r="F80" s="87" t="b">
        <v>1</v>
      </c>
      <c r="G80" s="10"/>
      <c r="S80" s="105"/>
    </row>
    <row r="81">
      <c r="A81" s="1" t="s">
        <v>1186</v>
      </c>
      <c r="B81" s="1" t="b">
        <v>1</v>
      </c>
      <c r="D81" s="344" t="s">
        <v>1149</v>
      </c>
      <c r="E81" s="344" t="s">
        <v>1187</v>
      </c>
      <c r="F81" s="87" t="b">
        <v>1</v>
      </c>
      <c r="G81" s="10"/>
      <c r="S81" s="105"/>
    </row>
    <row r="82">
      <c r="A82" s="1" t="s">
        <v>1188</v>
      </c>
      <c r="B82" s="1" t="b">
        <v>1</v>
      </c>
      <c r="D82" s="344" t="s">
        <v>1149</v>
      </c>
      <c r="E82" s="344" t="s">
        <v>1189</v>
      </c>
      <c r="F82" s="87" t="b">
        <v>1</v>
      </c>
      <c r="G82" s="10"/>
      <c r="S82" s="105"/>
    </row>
    <row r="83">
      <c r="A83" s="1" t="s">
        <v>1190</v>
      </c>
      <c r="B83" s="1" t="b">
        <v>1</v>
      </c>
      <c r="D83" s="344" t="s">
        <v>1149</v>
      </c>
      <c r="E83" s="344" t="s">
        <v>1191</v>
      </c>
      <c r="F83" s="87" t="b">
        <v>1</v>
      </c>
      <c r="G83" s="10"/>
      <c r="S83" s="105"/>
    </row>
    <row r="84">
      <c r="A84" s="1" t="s">
        <v>1192</v>
      </c>
      <c r="B84" s="1" t="b">
        <v>0</v>
      </c>
      <c r="D84" s="344" t="s">
        <v>1193</v>
      </c>
      <c r="E84" s="344" t="s">
        <v>1194</v>
      </c>
      <c r="F84" s="87" t="b">
        <v>1</v>
      </c>
      <c r="G84" s="10"/>
      <c r="S84" s="105"/>
    </row>
    <row r="85">
      <c r="A85" s="1" t="s">
        <v>1195</v>
      </c>
      <c r="B85" s="1" t="b">
        <v>1</v>
      </c>
      <c r="D85" s="344" t="s">
        <v>1193</v>
      </c>
      <c r="E85" s="344" t="s">
        <v>1196</v>
      </c>
      <c r="F85" s="87" t="b">
        <v>1</v>
      </c>
      <c r="G85" s="10"/>
      <c r="S85" s="105"/>
    </row>
    <row r="86">
      <c r="A86" s="1" t="s">
        <v>1197</v>
      </c>
      <c r="B86" s="1" t="b">
        <v>0</v>
      </c>
      <c r="D86" s="344" t="s">
        <v>1193</v>
      </c>
      <c r="E86" s="344" t="s">
        <v>1198</v>
      </c>
      <c r="F86" s="87" t="b">
        <v>1</v>
      </c>
      <c r="G86" s="10"/>
      <c r="S86" s="105"/>
    </row>
    <row r="87">
      <c r="A87" s="1" t="s">
        <v>1199</v>
      </c>
      <c r="B87" s="1" t="b">
        <v>0</v>
      </c>
      <c r="D87" s="344" t="s">
        <v>1193</v>
      </c>
      <c r="E87" s="344" t="s">
        <v>1200</v>
      </c>
      <c r="F87" s="87" t="b">
        <v>1</v>
      </c>
      <c r="G87" s="10"/>
      <c r="S87" s="105"/>
    </row>
    <row r="88">
      <c r="A88" s="1" t="s">
        <v>1201</v>
      </c>
      <c r="B88" s="1" t="b">
        <v>1</v>
      </c>
      <c r="D88" s="344" t="s">
        <v>1193</v>
      </c>
      <c r="E88" s="344" t="s">
        <v>1202</v>
      </c>
      <c r="F88" s="87" t="b">
        <v>1</v>
      </c>
      <c r="G88" s="10"/>
      <c r="S88" s="105"/>
    </row>
    <row r="89">
      <c r="A89" s="1" t="s">
        <v>1203</v>
      </c>
      <c r="B89" s="1" t="b">
        <v>0</v>
      </c>
      <c r="D89" s="344" t="s">
        <v>1193</v>
      </c>
      <c r="E89" s="344" t="s">
        <v>1204</v>
      </c>
      <c r="F89" s="87" t="b">
        <v>1</v>
      </c>
      <c r="G89" s="10"/>
      <c r="S89" s="105"/>
    </row>
    <row r="90">
      <c r="A90" s="1" t="s">
        <v>1205</v>
      </c>
      <c r="B90" s="1" t="b">
        <v>1</v>
      </c>
      <c r="D90" s="344" t="s">
        <v>1193</v>
      </c>
      <c r="E90" s="344" t="s">
        <v>1206</v>
      </c>
      <c r="F90" s="87" t="b">
        <v>1</v>
      </c>
      <c r="G90" s="10"/>
      <c r="S90" s="105"/>
    </row>
    <row r="91">
      <c r="A91" s="1" t="s">
        <v>1207</v>
      </c>
      <c r="B91" s="1" t="b">
        <v>1</v>
      </c>
      <c r="D91" s="344" t="s">
        <v>1193</v>
      </c>
      <c r="E91" s="344" t="s">
        <v>1208</v>
      </c>
      <c r="F91" s="87" t="b">
        <v>1</v>
      </c>
      <c r="G91" s="10"/>
      <c r="S91" s="105"/>
    </row>
    <row r="92">
      <c r="A92" s="1" t="s">
        <v>1209</v>
      </c>
      <c r="B92" s="1" t="b">
        <v>1</v>
      </c>
      <c r="D92" s="344" t="s">
        <v>1193</v>
      </c>
      <c r="E92" s="344" t="s">
        <v>1210</v>
      </c>
      <c r="F92" s="87" t="b">
        <v>1</v>
      </c>
      <c r="G92" s="10"/>
      <c r="S92" s="105"/>
    </row>
    <row r="93">
      <c r="A93" s="1" t="s">
        <v>1211</v>
      </c>
      <c r="B93" s="1" t="b">
        <v>1</v>
      </c>
      <c r="D93" s="344" t="s">
        <v>1193</v>
      </c>
      <c r="E93" s="344" t="s">
        <v>1212</v>
      </c>
      <c r="F93" s="87" t="b">
        <v>1</v>
      </c>
      <c r="G93" s="10"/>
      <c r="S93" s="105"/>
    </row>
    <row r="94">
      <c r="A94" s="1" t="s">
        <v>1213</v>
      </c>
      <c r="B94" s="1" t="b">
        <v>1</v>
      </c>
      <c r="D94" s="344" t="s">
        <v>1193</v>
      </c>
      <c r="E94" s="344" t="s">
        <v>1214</v>
      </c>
      <c r="F94" s="87" t="b">
        <v>1</v>
      </c>
      <c r="G94" s="10"/>
      <c r="S94" s="105"/>
    </row>
    <row r="95">
      <c r="A95" s="1" t="s">
        <v>1215</v>
      </c>
      <c r="B95" s="1" t="b">
        <v>1</v>
      </c>
      <c r="D95" s="344" t="s">
        <v>1193</v>
      </c>
      <c r="E95" s="344" t="s">
        <v>1216</v>
      </c>
      <c r="F95" s="87" t="b">
        <v>1</v>
      </c>
      <c r="G95" s="10"/>
      <c r="S95" s="105"/>
    </row>
    <row r="96">
      <c r="A96" s="1" t="s">
        <v>1217</v>
      </c>
      <c r="B96" s="1" t="b">
        <v>1</v>
      </c>
      <c r="D96" s="344" t="s">
        <v>1193</v>
      </c>
      <c r="E96" s="344" t="s">
        <v>1218</v>
      </c>
      <c r="F96" s="87" t="b">
        <v>1</v>
      </c>
      <c r="G96" s="10"/>
      <c r="S96" s="105"/>
    </row>
    <row r="97">
      <c r="A97" s="1" t="s">
        <v>1219</v>
      </c>
      <c r="B97" s="1" t="b">
        <v>1</v>
      </c>
      <c r="D97" s="344" t="s">
        <v>1193</v>
      </c>
      <c r="E97" s="344" t="s">
        <v>1220</v>
      </c>
      <c r="F97" s="87" t="b">
        <v>1</v>
      </c>
      <c r="G97" s="10"/>
      <c r="S97" s="105"/>
    </row>
    <row r="98">
      <c r="A98" s="1" t="s">
        <v>1221</v>
      </c>
      <c r="B98" s="1" t="b">
        <v>1</v>
      </c>
      <c r="D98" s="344" t="s">
        <v>1193</v>
      </c>
      <c r="E98" s="344" t="s">
        <v>1222</v>
      </c>
      <c r="F98" s="87" t="b">
        <v>1</v>
      </c>
      <c r="G98" s="10"/>
      <c r="S98" s="105"/>
    </row>
    <row r="99">
      <c r="A99" s="1" t="s">
        <v>1223</v>
      </c>
      <c r="B99" s="1" t="b">
        <v>1</v>
      </c>
      <c r="D99" s="344" t="s">
        <v>1193</v>
      </c>
      <c r="E99" s="344" t="s">
        <v>1224</v>
      </c>
      <c r="F99" s="87" t="b">
        <v>1</v>
      </c>
      <c r="G99" s="10"/>
      <c r="S99" s="105"/>
    </row>
    <row r="100">
      <c r="A100" s="1" t="s">
        <v>1225</v>
      </c>
      <c r="B100" s="1" t="b">
        <v>1</v>
      </c>
      <c r="D100" s="344" t="s">
        <v>1193</v>
      </c>
      <c r="E100" s="344" t="s">
        <v>1226</v>
      </c>
      <c r="F100" s="87" t="b">
        <v>1</v>
      </c>
      <c r="G100" s="10"/>
      <c r="S100" s="105"/>
    </row>
    <row r="101">
      <c r="A101" s="1" t="s">
        <v>1227</v>
      </c>
      <c r="B101" s="1" t="b">
        <v>1</v>
      </c>
      <c r="D101" s="344" t="s">
        <v>1228</v>
      </c>
      <c r="E101" s="344" t="s">
        <v>1229</v>
      </c>
      <c r="F101" s="87" t="b">
        <v>1</v>
      </c>
      <c r="G101" s="10"/>
      <c r="S101" s="105"/>
    </row>
    <row r="102">
      <c r="A102" s="1" t="s">
        <v>1230</v>
      </c>
      <c r="B102" s="1" t="b">
        <v>1</v>
      </c>
      <c r="D102" s="344" t="s">
        <v>1228</v>
      </c>
      <c r="E102" s="344" t="s">
        <v>1231</v>
      </c>
      <c r="F102" s="87" t="b">
        <v>1</v>
      </c>
      <c r="G102" s="10"/>
      <c r="S102" s="105"/>
    </row>
    <row r="103">
      <c r="A103" s="1" t="s">
        <v>1232</v>
      </c>
      <c r="B103" s="1" t="b">
        <v>1</v>
      </c>
      <c r="D103" s="344" t="s">
        <v>1228</v>
      </c>
      <c r="E103" s="344" t="s">
        <v>1233</v>
      </c>
      <c r="F103" s="87" t="b">
        <v>1</v>
      </c>
      <c r="G103" s="10"/>
      <c r="S103" s="105"/>
    </row>
    <row r="104">
      <c r="A104" s="1" t="s">
        <v>1234</v>
      </c>
      <c r="B104" s="1" t="b">
        <v>1</v>
      </c>
      <c r="D104" s="344" t="s">
        <v>1228</v>
      </c>
      <c r="E104" s="344" t="s">
        <v>1235</v>
      </c>
      <c r="F104" s="87" t="b">
        <v>1</v>
      </c>
      <c r="G104" s="10"/>
      <c r="S104" s="105"/>
    </row>
    <row r="105">
      <c r="A105" s="1" t="s">
        <v>1236</v>
      </c>
      <c r="B105" s="1" t="b">
        <v>1</v>
      </c>
      <c r="D105" s="344" t="s">
        <v>1228</v>
      </c>
      <c r="E105" s="344" t="s">
        <v>1237</v>
      </c>
      <c r="F105" s="87" t="b">
        <v>1</v>
      </c>
      <c r="G105" s="10"/>
      <c r="S105" s="105"/>
    </row>
    <row r="106">
      <c r="A106" s="1" t="s">
        <v>1238</v>
      </c>
      <c r="B106" s="1" t="b">
        <v>1</v>
      </c>
      <c r="D106" s="344" t="s">
        <v>1228</v>
      </c>
      <c r="E106" s="344" t="s">
        <v>1239</v>
      </c>
      <c r="F106" s="87" t="b">
        <v>1</v>
      </c>
      <c r="G106" s="10"/>
      <c r="S106" s="105"/>
    </row>
    <row r="107">
      <c r="A107" s="1" t="s">
        <v>1240</v>
      </c>
      <c r="B107" s="1" t="b">
        <v>1</v>
      </c>
      <c r="D107" s="344" t="s">
        <v>1228</v>
      </c>
      <c r="E107" s="344" t="s">
        <v>1241</v>
      </c>
      <c r="F107" s="87" t="b">
        <v>1</v>
      </c>
      <c r="G107" s="10"/>
      <c r="S107" s="105"/>
    </row>
    <row r="108">
      <c r="A108" s="1" t="s">
        <v>1242</v>
      </c>
      <c r="B108" s="1" t="b">
        <v>1</v>
      </c>
      <c r="D108" s="344" t="s">
        <v>1228</v>
      </c>
      <c r="E108" s="344" t="s">
        <v>1243</v>
      </c>
      <c r="F108" s="87" t="b">
        <v>1</v>
      </c>
      <c r="G108" s="10"/>
      <c r="S108" s="105"/>
    </row>
    <row r="109">
      <c r="A109" s="1" t="s">
        <v>1244</v>
      </c>
      <c r="B109" s="1" t="b">
        <v>1</v>
      </c>
      <c r="D109" s="344" t="s">
        <v>1228</v>
      </c>
      <c r="E109" s="344" t="s">
        <v>1245</v>
      </c>
      <c r="F109" s="87" t="b">
        <v>1</v>
      </c>
      <c r="G109" s="10"/>
      <c r="S109" s="105"/>
    </row>
    <row r="110">
      <c r="A110" s="1" t="s">
        <v>1246</v>
      </c>
      <c r="B110" s="1" t="b">
        <v>1</v>
      </c>
      <c r="D110" s="344" t="s">
        <v>1228</v>
      </c>
      <c r="E110" s="344" t="s">
        <v>1247</v>
      </c>
      <c r="F110" s="87" t="b">
        <v>1</v>
      </c>
      <c r="G110" s="10"/>
      <c r="S110" s="105"/>
    </row>
    <row r="111">
      <c r="A111" s="1" t="s">
        <v>1248</v>
      </c>
      <c r="B111" s="1" t="b">
        <v>1</v>
      </c>
      <c r="D111" s="344" t="s">
        <v>1228</v>
      </c>
      <c r="E111" s="344" t="s">
        <v>1249</v>
      </c>
      <c r="F111" s="87" t="b">
        <v>1</v>
      </c>
      <c r="G111" s="10"/>
      <c r="S111" s="105"/>
    </row>
    <row r="112">
      <c r="A112" s="1" t="s">
        <v>1250</v>
      </c>
      <c r="B112" s="1" t="b">
        <v>1</v>
      </c>
      <c r="D112" s="344" t="s">
        <v>1228</v>
      </c>
      <c r="E112" s="344" t="s">
        <v>1251</v>
      </c>
      <c r="F112" s="87" t="b">
        <v>1</v>
      </c>
      <c r="G112" s="10"/>
      <c r="S112" s="105"/>
    </row>
    <row r="113">
      <c r="A113" s="1" t="s">
        <v>1252</v>
      </c>
      <c r="B113" s="1" t="b">
        <v>1</v>
      </c>
      <c r="D113" s="344" t="s">
        <v>1228</v>
      </c>
      <c r="E113" s="344" t="s">
        <v>1253</v>
      </c>
      <c r="F113" s="87" t="b">
        <v>1</v>
      </c>
      <c r="G113" s="10"/>
      <c r="S113" s="105"/>
    </row>
    <row r="114">
      <c r="A114" s="1" t="s">
        <v>1254</v>
      </c>
      <c r="B114" s="1" t="b">
        <v>1</v>
      </c>
      <c r="D114" s="344" t="s">
        <v>1228</v>
      </c>
      <c r="E114" s="344" t="s">
        <v>1255</v>
      </c>
      <c r="F114" s="87" t="b">
        <v>1</v>
      </c>
      <c r="G114" s="10"/>
      <c r="S114" s="105"/>
    </row>
    <row r="115">
      <c r="A115" s="1" t="s">
        <v>1256</v>
      </c>
      <c r="B115" s="1" t="b">
        <v>1</v>
      </c>
      <c r="D115" s="344" t="s">
        <v>1228</v>
      </c>
      <c r="E115" s="344" t="s">
        <v>1257</v>
      </c>
      <c r="F115" s="87" t="b">
        <v>1</v>
      </c>
      <c r="G115" s="10"/>
      <c r="S115" s="105"/>
    </row>
    <row r="116">
      <c r="A116" s="1" t="s">
        <v>1258</v>
      </c>
      <c r="B116" s="1" t="b">
        <v>1</v>
      </c>
      <c r="D116" s="344" t="s">
        <v>1228</v>
      </c>
      <c r="E116" s="344" t="s">
        <v>1259</v>
      </c>
      <c r="F116" s="87" t="b">
        <v>1</v>
      </c>
      <c r="G116" s="10"/>
      <c r="S116" s="105"/>
    </row>
    <row r="117">
      <c r="A117" s="1" t="s">
        <v>1260</v>
      </c>
      <c r="B117" s="1" t="b">
        <v>1</v>
      </c>
      <c r="D117" s="344" t="s">
        <v>1228</v>
      </c>
      <c r="E117" s="344" t="s">
        <v>1261</v>
      </c>
      <c r="F117" s="87" t="b">
        <v>1</v>
      </c>
      <c r="G117" s="10"/>
      <c r="S117" s="105"/>
    </row>
    <row r="118">
      <c r="A118" s="1" t="s">
        <v>1262</v>
      </c>
      <c r="B118" s="1" t="b">
        <v>1</v>
      </c>
      <c r="D118" s="344" t="s">
        <v>1228</v>
      </c>
      <c r="E118" s="344" t="s">
        <v>1263</v>
      </c>
      <c r="F118" s="87" t="b">
        <v>1</v>
      </c>
      <c r="G118" s="10"/>
      <c r="S118" s="105"/>
    </row>
    <row r="119">
      <c r="A119" s="1" t="s">
        <v>1264</v>
      </c>
      <c r="B119" s="1" t="b">
        <v>1</v>
      </c>
      <c r="D119" s="344" t="s">
        <v>1228</v>
      </c>
      <c r="E119" s="344" t="s">
        <v>1265</v>
      </c>
      <c r="F119" s="87" t="b">
        <v>1</v>
      </c>
      <c r="G119" s="10"/>
      <c r="S119" s="105"/>
    </row>
    <row r="120">
      <c r="A120" s="1" t="s">
        <v>1266</v>
      </c>
      <c r="B120" s="1" t="b">
        <v>1</v>
      </c>
      <c r="D120" s="344" t="s">
        <v>1228</v>
      </c>
      <c r="E120" s="344" t="s">
        <v>1267</v>
      </c>
      <c r="F120" s="87" t="b">
        <v>1</v>
      </c>
      <c r="G120" s="10"/>
      <c r="S120" s="105"/>
    </row>
    <row r="121">
      <c r="A121" s="1" t="s">
        <v>1268</v>
      </c>
      <c r="B121" s="1" t="b">
        <v>1</v>
      </c>
      <c r="D121" s="344" t="s">
        <v>1228</v>
      </c>
      <c r="E121" s="344" t="s">
        <v>1269</v>
      </c>
      <c r="F121" s="87" t="b">
        <v>1</v>
      </c>
      <c r="G121" s="10"/>
      <c r="S121" s="105"/>
    </row>
    <row r="122">
      <c r="A122" s="1" t="s">
        <v>1270</v>
      </c>
      <c r="B122" s="1" t="b">
        <v>1</v>
      </c>
      <c r="D122" s="344" t="s">
        <v>1228</v>
      </c>
      <c r="E122" s="344" t="s">
        <v>1271</v>
      </c>
      <c r="F122" s="87" t="b">
        <v>1</v>
      </c>
      <c r="G122" s="87" t="s">
        <v>1020</v>
      </c>
      <c r="S122" s="105"/>
    </row>
    <row r="123">
      <c r="A123" s="1" t="s">
        <v>1272</v>
      </c>
      <c r="B123" s="1" t="b">
        <v>1</v>
      </c>
      <c r="D123" s="344" t="s">
        <v>1228</v>
      </c>
      <c r="E123" s="344" t="s">
        <v>1273</v>
      </c>
      <c r="F123" s="87" t="b">
        <v>1</v>
      </c>
      <c r="G123" s="10"/>
      <c r="S123" s="105"/>
    </row>
    <row r="124">
      <c r="A124" s="1" t="s">
        <v>1274</v>
      </c>
      <c r="B124" s="1" t="b">
        <v>1</v>
      </c>
      <c r="D124" s="344" t="s">
        <v>1228</v>
      </c>
      <c r="E124" s="344" t="s">
        <v>1275</v>
      </c>
      <c r="F124" s="87" t="b">
        <v>1</v>
      </c>
      <c r="G124" s="10"/>
      <c r="S124" s="105"/>
    </row>
    <row r="125">
      <c r="A125" s="1" t="s">
        <v>1276</v>
      </c>
      <c r="B125" s="1" t="b">
        <v>1</v>
      </c>
      <c r="D125" s="344" t="s">
        <v>1228</v>
      </c>
      <c r="E125" s="344" t="s">
        <v>1277</v>
      </c>
      <c r="F125" s="87" t="b">
        <v>1</v>
      </c>
      <c r="G125" s="10"/>
      <c r="S125" s="105"/>
    </row>
    <row r="126">
      <c r="A126" s="1" t="s">
        <v>1278</v>
      </c>
      <c r="B126" s="1" t="b">
        <v>1</v>
      </c>
      <c r="D126" s="344" t="s">
        <v>1228</v>
      </c>
      <c r="E126" s="344" t="s">
        <v>1279</v>
      </c>
      <c r="F126" s="87" t="b">
        <v>1</v>
      </c>
      <c r="G126" s="10"/>
      <c r="S126" s="105"/>
    </row>
    <row r="127">
      <c r="A127" s="1" t="s">
        <v>1280</v>
      </c>
      <c r="B127" s="1" t="b">
        <v>1</v>
      </c>
      <c r="D127" s="344" t="s">
        <v>1228</v>
      </c>
      <c r="E127" s="344" t="s">
        <v>1281</v>
      </c>
      <c r="F127" s="87" t="b">
        <v>1</v>
      </c>
      <c r="G127" s="10"/>
      <c r="S127" s="105"/>
    </row>
    <row r="128">
      <c r="A128" s="1" t="s">
        <v>1282</v>
      </c>
      <c r="B128" s="1" t="b">
        <v>1</v>
      </c>
      <c r="D128" s="344" t="s">
        <v>1228</v>
      </c>
      <c r="E128" s="344" t="s">
        <v>1283</v>
      </c>
      <c r="F128" s="87" t="b">
        <v>1</v>
      </c>
      <c r="G128" s="10"/>
      <c r="S128" s="105"/>
    </row>
    <row r="129">
      <c r="A129" s="1" t="s">
        <v>1284</v>
      </c>
      <c r="B129" s="1" t="b">
        <v>1</v>
      </c>
      <c r="D129" s="344" t="s">
        <v>1228</v>
      </c>
      <c r="E129" s="344" t="s">
        <v>1285</v>
      </c>
      <c r="F129" s="87" t="b">
        <v>1</v>
      </c>
      <c r="G129" s="10"/>
      <c r="S129" s="105"/>
    </row>
    <row r="130">
      <c r="A130" s="1" t="s">
        <v>1286</v>
      </c>
      <c r="B130" s="1" t="b">
        <v>1</v>
      </c>
      <c r="D130" s="344" t="s">
        <v>1228</v>
      </c>
      <c r="E130" s="344" t="s">
        <v>1287</v>
      </c>
      <c r="F130" s="87" t="b">
        <v>1</v>
      </c>
      <c r="G130" s="10"/>
      <c r="S130" s="105"/>
    </row>
    <row r="131">
      <c r="A131" s="1" t="s">
        <v>1288</v>
      </c>
      <c r="B131" s="1" t="b">
        <v>1</v>
      </c>
      <c r="D131" s="344" t="s">
        <v>1228</v>
      </c>
      <c r="E131" s="344" t="s">
        <v>1289</v>
      </c>
      <c r="F131" s="87" t="b">
        <v>1</v>
      </c>
      <c r="G131" s="10"/>
      <c r="S131" s="105"/>
    </row>
    <row r="132">
      <c r="A132" s="1" t="s">
        <v>1290</v>
      </c>
      <c r="B132" s="1" t="b">
        <v>1</v>
      </c>
      <c r="D132" s="344" t="s">
        <v>1228</v>
      </c>
      <c r="E132" s="344" t="s">
        <v>1291</v>
      </c>
      <c r="F132" s="87" t="b">
        <v>1</v>
      </c>
      <c r="G132" s="10"/>
      <c r="S132" s="105"/>
    </row>
    <row r="133">
      <c r="A133" s="1" t="s">
        <v>1292</v>
      </c>
      <c r="B133" s="1" t="b">
        <v>1</v>
      </c>
      <c r="D133" s="344" t="s">
        <v>1228</v>
      </c>
      <c r="E133" s="344" t="s">
        <v>1293</v>
      </c>
      <c r="F133" s="87" t="b">
        <v>1</v>
      </c>
      <c r="G133" s="10"/>
      <c r="S133" s="105"/>
    </row>
    <row r="134">
      <c r="A134" s="1" t="s">
        <v>1294</v>
      </c>
      <c r="B134" s="1" t="b">
        <v>0</v>
      </c>
      <c r="D134" s="344" t="s">
        <v>1228</v>
      </c>
      <c r="E134" s="344" t="s">
        <v>1295</v>
      </c>
      <c r="F134" s="87" t="b">
        <v>1</v>
      </c>
      <c r="G134" s="10"/>
      <c r="S134" s="105"/>
    </row>
    <row r="135">
      <c r="A135" s="1" t="s">
        <v>1296</v>
      </c>
      <c r="B135" s="1" t="b">
        <v>1</v>
      </c>
      <c r="D135" s="344" t="s">
        <v>1228</v>
      </c>
      <c r="E135" s="344" t="s">
        <v>1297</v>
      </c>
      <c r="F135" s="87" t="b">
        <v>1</v>
      </c>
      <c r="G135" s="10"/>
      <c r="S135" s="105"/>
    </row>
    <row r="136">
      <c r="A136" s="1" t="s">
        <v>1298</v>
      </c>
      <c r="B136" s="1" t="b">
        <v>1</v>
      </c>
      <c r="D136" s="344" t="s">
        <v>1228</v>
      </c>
      <c r="E136" s="344" t="s">
        <v>1299</v>
      </c>
      <c r="F136" s="87" t="b">
        <v>1</v>
      </c>
      <c r="G136" s="10"/>
      <c r="S136" s="105"/>
    </row>
    <row r="137">
      <c r="A137" s="1" t="s">
        <v>1300</v>
      </c>
      <c r="B137" s="1" t="b">
        <v>0</v>
      </c>
      <c r="D137" s="344" t="s">
        <v>1228</v>
      </c>
      <c r="E137" s="344" t="s">
        <v>1301</v>
      </c>
      <c r="F137" s="87" t="b">
        <v>1</v>
      </c>
      <c r="G137" s="10"/>
      <c r="S137" s="105"/>
    </row>
    <row r="138">
      <c r="A138" s="1" t="s">
        <v>1302</v>
      </c>
      <c r="B138" s="1" t="b">
        <v>0</v>
      </c>
      <c r="D138" s="344" t="s">
        <v>1228</v>
      </c>
      <c r="E138" s="344" t="s">
        <v>1303</v>
      </c>
      <c r="F138" s="87" t="b">
        <v>1</v>
      </c>
      <c r="G138" s="10"/>
      <c r="S138" s="105"/>
    </row>
    <row r="139">
      <c r="A139" s="1" t="s">
        <v>1304</v>
      </c>
      <c r="B139" s="1" t="b">
        <v>0</v>
      </c>
      <c r="D139" s="344" t="s">
        <v>1228</v>
      </c>
      <c r="E139" s="344" t="s">
        <v>1305</v>
      </c>
      <c r="F139" s="87" t="b">
        <v>1</v>
      </c>
      <c r="G139" s="10"/>
      <c r="S139" s="105"/>
    </row>
    <row r="140">
      <c r="A140" s="1" t="s">
        <v>1306</v>
      </c>
      <c r="B140" s="1" t="b">
        <v>0</v>
      </c>
      <c r="D140" s="344" t="s">
        <v>1228</v>
      </c>
      <c r="E140" s="344" t="s">
        <v>1307</v>
      </c>
      <c r="F140" s="87" t="b">
        <v>1</v>
      </c>
      <c r="G140" s="10"/>
      <c r="S140" s="105"/>
    </row>
    <row r="141">
      <c r="A141" s="1" t="s">
        <v>1308</v>
      </c>
      <c r="B141" s="1" t="b">
        <v>1</v>
      </c>
      <c r="D141" s="344" t="s">
        <v>1228</v>
      </c>
      <c r="E141" s="344" t="s">
        <v>1309</v>
      </c>
      <c r="F141" s="87" t="b">
        <v>1</v>
      </c>
      <c r="G141" s="10"/>
      <c r="S141" s="105"/>
    </row>
    <row r="142">
      <c r="A142" s="1" t="s">
        <v>1310</v>
      </c>
      <c r="B142" s="1" t="b">
        <v>1</v>
      </c>
      <c r="D142" s="344" t="s">
        <v>1228</v>
      </c>
      <c r="E142" s="344" t="s">
        <v>1311</v>
      </c>
      <c r="F142" s="87" t="b">
        <v>1</v>
      </c>
      <c r="G142" s="10"/>
      <c r="S142" s="105"/>
    </row>
    <row r="143">
      <c r="A143" s="1" t="s">
        <v>1312</v>
      </c>
      <c r="B143" s="1" t="b">
        <v>1</v>
      </c>
      <c r="D143" s="344" t="s">
        <v>1228</v>
      </c>
      <c r="E143" s="344" t="s">
        <v>1313</v>
      </c>
      <c r="F143" s="87" t="b">
        <v>1</v>
      </c>
      <c r="G143" s="10"/>
      <c r="S143" s="105"/>
    </row>
    <row r="144">
      <c r="A144" s="1" t="s">
        <v>1314</v>
      </c>
      <c r="B144" s="1" t="b">
        <v>1</v>
      </c>
      <c r="D144" s="344" t="s">
        <v>1228</v>
      </c>
      <c r="E144" s="344" t="s">
        <v>1315</v>
      </c>
      <c r="F144" s="87" t="b">
        <v>1</v>
      </c>
      <c r="G144" s="10"/>
      <c r="S144" s="105"/>
    </row>
    <row r="145">
      <c r="A145" s="1" t="s">
        <v>1316</v>
      </c>
      <c r="B145" s="1" t="b">
        <v>1</v>
      </c>
      <c r="D145" s="344" t="s">
        <v>1228</v>
      </c>
      <c r="E145" s="344" t="s">
        <v>1317</v>
      </c>
      <c r="F145" s="87" t="b">
        <v>1</v>
      </c>
      <c r="G145" s="10"/>
      <c r="S145" s="105"/>
    </row>
    <row r="146">
      <c r="A146" s="1" t="s">
        <v>1318</v>
      </c>
      <c r="B146" s="1" t="b">
        <v>1</v>
      </c>
      <c r="D146" s="344" t="s">
        <v>1228</v>
      </c>
      <c r="E146" s="344" t="s">
        <v>1319</v>
      </c>
      <c r="F146" s="87" t="b">
        <v>1</v>
      </c>
      <c r="G146" s="10"/>
      <c r="S146" s="105"/>
    </row>
    <row r="147">
      <c r="A147" s="1" t="s">
        <v>1320</v>
      </c>
      <c r="B147" s="1" t="b">
        <v>1</v>
      </c>
      <c r="D147" s="344" t="s">
        <v>1228</v>
      </c>
      <c r="E147" s="344" t="s">
        <v>1321</v>
      </c>
      <c r="F147" s="87" t="b">
        <v>1</v>
      </c>
      <c r="G147" s="10"/>
      <c r="S147" s="105"/>
    </row>
    <row r="148">
      <c r="A148" s="1" t="s">
        <v>1322</v>
      </c>
      <c r="B148" s="1" t="b">
        <v>1</v>
      </c>
      <c r="D148" s="344" t="s">
        <v>1228</v>
      </c>
      <c r="E148" s="344" t="s">
        <v>1323</v>
      </c>
      <c r="F148" s="87" t="b">
        <v>1</v>
      </c>
      <c r="G148" s="10"/>
      <c r="S148" s="105"/>
    </row>
    <row r="149">
      <c r="A149" s="1" t="s">
        <v>1324</v>
      </c>
      <c r="B149" s="1" t="b">
        <v>1</v>
      </c>
      <c r="D149" s="344" t="s">
        <v>1228</v>
      </c>
      <c r="E149" s="344" t="s">
        <v>1325</v>
      </c>
      <c r="F149" s="87" t="b">
        <v>1</v>
      </c>
      <c r="G149" s="10"/>
      <c r="S149" s="105"/>
    </row>
    <row r="150">
      <c r="A150" s="1" t="s">
        <v>1326</v>
      </c>
      <c r="B150" s="1" t="b">
        <v>1</v>
      </c>
      <c r="D150" s="344" t="s">
        <v>1228</v>
      </c>
      <c r="E150" s="344" t="s">
        <v>1327</v>
      </c>
      <c r="F150" s="87" t="b">
        <v>1</v>
      </c>
      <c r="G150" s="10"/>
      <c r="S150" s="105"/>
    </row>
    <row r="151">
      <c r="A151" s="1" t="s">
        <v>1328</v>
      </c>
      <c r="B151" s="1" t="b">
        <v>1</v>
      </c>
      <c r="D151" s="344" t="s">
        <v>1228</v>
      </c>
      <c r="E151" s="344" t="s">
        <v>1329</v>
      </c>
      <c r="F151" s="87" t="b">
        <v>1</v>
      </c>
      <c r="G151" s="10"/>
      <c r="S151" s="105"/>
    </row>
    <row r="152">
      <c r="A152" s="1" t="s">
        <v>1330</v>
      </c>
      <c r="B152" s="1" t="b">
        <v>1</v>
      </c>
      <c r="D152" s="344" t="s">
        <v>1228</v>
      </c>
      <c r="E152" s="344" t="s">
        <v>1331</v>
      </c>
      <c r="F152" s="87" t="b">
        <v>1</v>
      </c>
      <c r="G152" s="10"/>
      <c r="S152" s="105"/>
    </row>
    <row r="153">
      <c r="A153" s="1" t="s">
        <v>1332</v>
      </c>
      <c r="B153" s="1" t="b">
        <v>0</v>
      </c>
      <c r="D153" s="344" t="s">
        <v>1228</v>
      </c>
      <c r="E153" s="344" t="s">
        <v>1333</v>
      </c>
      <c r="F153" s="87" t="b">
        <v>1</v>
      </c>
      <c r="G153" s="10"/>
      <c r="S153" s="105"/>
    </row>
    <row r="154">
      <c r="A154" s="1" t="s">
        <v>1334</v>
      </c>
      <c r="B154" s="1" t="b">
        <v>0</v>
      </c>
      <c r="D154" s="344" t="s">
        <v>1228</v>
      </c>
      <c r="E154" s="344" t="s">
        <v>1335</v>
      </c>
      <c r="F154" s="87" t="b">
        <v>1</v>
      </c>
      <c r="G154" s="10"/>
      <c r="S154" s="105"/>
    </row>
    <row r="155">
      <c r="A155" s="1" t="s">
        <v>1336</v>
      </c>
      <c r="B155" s="1" t="b">
        <v>0</v>
      </c>
      <c r="D155" s="344" t="s">
        <v>1228</v>
      </c>
      <c r="E155" s="344" t="s">
        <v>1337</v>
      </c>
      <c r="F155" s="87" t="b">
        <v>1</v>
      </c>
      <c r="G155" s="10"/>
      <c r="S155" s="105"/>
    </row>
    <row r="156">
      <c r="A156" s="1" t="s">
        <v>1338</v>
      </c>
      <c r="B156" s="1" t="b">
        <v>1</v>
      </c>
      <c r="D156" s="344" t="s">
        <v>1228</v>
      </c>
      <c r="E156" s="344" t="s">
        <v>1339</v>
      </c>
      <c r="F156" s="87" t="b">
        <v>1</v>
      </c>
      <c r="G156" s="10"/>
      <c r="S156" s="105"/>
    </row>
    <row r="157">
      <c r="A157" s="1" t="s">
        <v>1340</v>
      </c>
      <c r="B157" s="1" t="b">
        <v>0</v>
      </c>
      <c r="D157" s="344" t="s">
        <v>1228</v>
      </c>
      <c r="E157" s="344" t="s">
        <v>1341</v>
      </c>
      <c r="F157" s="87" t="b">
        <v>1</v>
      </c>
      <c r="G157" s="10"/>
      <c r="S157" s="105"/>
    </row>
    <row r="158">
      <c r="A158" s="1" t="s">
        <v>1342</v>
      </c>
      <c r="B158" s="1" t="b">
        <v>1</v>
      </c>
      <c r="D158" s="344" t="s">
        <v>1228</v>
      </c>
      <c r="E158" s="344" t="s">
        <v>1343</v>
      </c>
      <c r="F158" s="87" t="b">
        <v>1</v>
      </c>
      <c r="G158" s="10"/>
      <c r="S158" s="105"/>
    </row>
    <row r="159">
      <c r="A159" s="1" t="s">
        <v>1344</v>
      </c>
      <c r="B159" s="1" t="b">
        <v>1</v>
      </c>
      <c r="D159" s="344" t="s">
        <v>1228</v>
      </c>
      <c r="E159" s="344" t="s">
        <v>1345</v>
      </c>
      <c r="F159" s="87" t="b">
        <v>1</v>
      </c>
      <c r="G159" s="10"/>
      <c r="S159" s="105"/>
    </row>
    <row r="160">
      <c r="A160" s="1" t="s">
        <v>1346</v>
      </c>
      <c r="B160" s="1" t="b">
        <v>1</v>
      </c>
      <c r="D160" s="344" t="s">
        <v>1228</v>
      </c>
      <c r="E160" s="344" t="s">
        <v>1347</v>
      </c>
      <c r="F160" s="87" t="b">
        <v>1</v>
      </c>
      <c r="G160" s="10"/>
      <c r="S160" s="105"/>
    </row>
    <row r="161">
      <c r="A161" s="1" t="s">
        <v>1348</v>
      </c>
      <c r="B161" s="1" t="b">
        <v>1</v>
      </c>
      <c r="D161" s="344" t="s">
        <v>1228</v>
      </c>
      <c r="E161" s="344" t="s">
        <v>1349</v>
      </c>
      <c r="F161" s="87" t="b">
        <v>1</v>
      </c>
      <c r="G161" s="10"/>
      <c r="S161" s="105"/>
    </row>
    <row r="162">
      <c r="A162" s="1" t="s">
        <v>1350</v>
      </c>
      <c r="B162" s="1" t="b">
        <v>1</v>
      </c>
      <c r="D162" s="344" t="s">
        <v>1228</v>
      </c>
      <c r="E162" s="344" t="s">
        <v>1351</v>
      </c>
      <c r="F162" s="87" t="b">
        <v>1</v>
      </c>
      <c r="G162" s="10"/>
      <c r="S162" s="105"/>
    </row>
    <row r="163">
      <c r="A163" s="1" t="s">
        <v>1352</v>
      </c>
      <c r="B163" s="1" t="b">
        <v>1</v>
      </c>
      <c r="D163" s="344" t="s">
        <v>1228</v>
      </c>
      <c r="E163" s="344" t="s">
        <v>1353</v>
      </c>
      <c r="F163" s="87" t="b">
        <v>1</v>
      </c>
      <c r="G163" s="10"/>
      <c r="S163" s="105"/>
    </row>
    <row r="164">
      <c r="A164" s="1" t="s">
        <v>1354</v>
      </c>
      <c r="B164" s="1" t="b">
        <v>1</v>
      </c>
      <c r="D164" s="344" t="s">
        <v>1228</v>
      </c>
      <c r="E164" s="344" t="s">
        <v>1355</v>
      </c>
      <c r="F164" s="87" t="b">
        <v>1</v>
      </c>
      <c r="G164" s="10"/>
      <c r="S164" s="105"/>
    </row>
    <row r="165">
      <c r="A165" s="1" t="s">
        <v>1356</v>
      </c>
      <c r="B165" s="1" t="b">
        <v>1</v>
      </c>
      <c r="D165" s="344" t="s">
        <v>1228</v>
      </c>
      <c r="E165" s="344" t="s">
        <v>1357</v>
      </c>
      <c r="F165" s="87" t="b">
        <v>1</v>
      </c>
      <c r="G165" s="10"/>
      <c r="S165" s="105"/>
    </row>
    <row r="166">
      <c r="A166" s="1" t="s">
        <v>1358</v>
      </c>
      <c r="B166" s="1" t="b">
        <v>1</v>
      </c>
      <c r="D166" s="344" t="s">
        <v>1228</v>
      </c>
      <c r="E166" s="344" t="s">
        <v>1359</v>
      </c>
      <c r="F166" s="87" t="b">
        <v>1</v>
      </c>
      <c r="G166" s="10"/>
      <c r="S166" s="105"/>
    </row>
    <row r="167">
      <c r="A167" s="1" t="s">
        <v>1360</v>
      </c>
      <c r="B167" s="1" t="b">
        <v>1</v>
      </c>
      <c r="D167" s="344" t="s">
        <v>1228</v>
      </c>
      <c r="E167" s="344" t="s">
        <v>1361</v>
      </c>
      <c r="F167" s="87" t="b">
        <v>1</v>
      </c>
      <c r="G167" s="10"/>
      <c r="S167" s="105"/>
    </row>
    <row r="168">
      <c r="A168" s="1" t="s">
        <v>1362</v>
      </c>
      <c r="B168" s="1" t="b">
        <v>1</v>
      </c>
      <c r="D168" s="344" t="s">
        <v>1228</v>
      </c>
      <c r="E168" s="344" t="s">
        <v>1363</v>
      </c>
      <c r="F168" s="87" t="b">
        <v>1</v>
      </c>
      <c r="G168" s="10"/>
      <c r="S168" s="105"/>
    </row>
    <row r="169">
      <c r="A169" s="1" t="s">
        <v>1364</v>
      </c>
      <c r="B169" s="1" t="b">
        <v>1</v>
      </c>
      <c r="D169" s="344" t="s">
        <v>1228</v>
      </c>
      <c r="E169" s="344" t="s">
        <v>1365</v>
      </c>
      <c r="F169" s="87" t="b">
        <v>1</v>
      </c>
      <c r="G169" s="10"/>
      <c r="S169" s="105"/>
    </row>
    <row r="170">
      <c r="A170" s="1" t="s">
        <v>1366</v>
      </c>
      <c r="B170" s="1" t="b">
        <v>1</v>
      </c>
      <c r="D170" s="344" t="s">
        <v>1228</v>
      </c>
      <c r="E170" s="344" t="s">
        <v>1367</v>
      </c>
      <c r="F170" s="87" t="b">
        <v>1</v>
      </c>
      <c r="G170" s="10"/>
      <c r="S170" s="105"/>
    </row>
    <row r="171">
      <c r="A171" s="1" t="s">
        <v>1368</v>
      </c>
      <c r="B171" s="1" t="b">
        <v>1</v>
      </c>
      <c r="D171" s="344" t="s">
        <v>1228</v>
      </c>
      <c r="E171" s="344" t="s">
        <v>1369</v>
      </c>
      <c r="F171" s="87" t="b">
        <v>1</v>
      </c>
      <c r="G171" s="10"/>
      <c r="S171" s="105"/>
    </row>
    <row r="172">
      <c r="A172" s="1" t="s">
        <v>1370</v>
      </c>
      <c r="B172" s="1" t="b">
        <v>1</v>
      </c>
      <c r="D172" s="344" t="s">
        <v>1228</v>
      </c>
      <c r="E172" s="344" t="s">
        <v>1371</v>
      </c>
      <c r="F172" s="87" t="b">
        <v>1</v>
      </c>
      <c r="G172" s="10"/>
      <c r="S172" s="105"/>
    </row>
    <row r="173">
      <c r="A173" s="1" t="s">
        <v>1372</v>
      </c>
      <c r="B173" s="1" t="b">
        <v>1</v>
      </c>
      <c r="D173" s="344" t="s">
        <v>1228</v>
      </c>
      <c r="E173" s="344" t="s">
        <v>1373</v>
      </c>
      <c r="F173" s="87" t="b">
        <v>1</v>
      </c>
      <c r="G173" s="10"/>
      <c r="S173" s="105"/>
    </row>
    <row r="174">
      <c r="A174" s="1" t="s">
        <v>1374</v>
      </c>
      <c r="B174" s="1" t="b">
        <v>1</v>
      </c>
      <c r="D174" s="344" t="s">
        <v>1228</v>
      </c>
      <c r="E174" s="344" t="s">
        <v>1375</v>
      </c>
      <c r="F174" s="87" t="b">
        <v>1</v>
      </c>
      <c r="G174" s="10"/>
      <c r="S174" s="105"/>
    </row>
    <row r="175">
      <c r="A175" s="1" t="s">
        <v>1376</v>
      </c>
      <c r="B175" s="1" t="b">
        <v>1</v>
      </c>
      <c r="D175" s="344" t="s">
        <v>1228</v>
      </c>
      <c r="E175" s="344" t="s">
        <v>1377</v>
      </c>
      <c r="F175" s="87" t="b">
        <v>1</v>
      </c>
      <c r="G175" s="10"/>
      <c r="S175" s="105"/>
    </row>
    <row r="176">
      <c r="A176" s="1" t="s">
        <v>1378</v>
      </c>
      <c r="B176" s="1" t="b">
        <v>1</v>
      </c>
      <c r="D176" s="344" t="s">
        <v>1228</v>
      </c>
      <c r="E176" s="344" t="s">
        <v>1379</v>
      </c>
      <c r="F176" s="87" t="b">
        <v>1</v>
      </c>
      <c r="G176" s="10"/>
      <c r="S176" s="105"/>
    </row>
    <row r="177">
      <c r="A177" s="1" t="s">
        <v>1380</v>
      </c>
      <c r="B177" s="1" t="b">
        <v>1</v>
      </c>
      <c r="D177" s="344" t="s">
        <v>1228</v>
      </c>
      <c r="E177" s="344" t="s">
        <v>1381</v>
      </c>
      <c r="F177" s="87" t="b">
        <v>1</v>
      </c>
      <c r="G177" s="10"/>
      <c r="S177" s="105"/>
    </row>
    <row r="178">
      <c r="A178" s="1" t="s">
        <v>1382</v>
      </c>
      <c r="B178" s="1" t="b">
        <v>1</v>
      </c>
      <c r="D178" s="344" t="s">
        <v>1228</v>
      </c>
      <c r="E178" s="344" t="s">
        <v>1383</v>
      </c>
      <c r="F178" s="87" t="b">
        <v>1</v>
      </c>
      <c r="G178" s="10"/>
      <c r="S178" s="105"/>
    </row>
    <row r="179">
      <c r="A179" s="1" t="s">
        <v>1384</v>
      </c>
      <c r="B179" s="1" t="b">
        <v>1</v>
      </c>
      <c r="D179" s="344" t="s">
        <v>1228</v>
      </c>
      <c r="E179" s="344" t="s">
        <v>1385</v>
      </c>
      <c r="F179" s="87" t="b">
        <v>1</v>
      </c>
      <c r="G179" s="10"/>
      <c r="S179" s="105"/>
    </row>
    <row r="180">
      <c r="A180" s="1" t="s">
        <v>1386</v>
      </c>
      <c r="B180" s="1" t="b">
        <v>1</v>
      </c>
      <c r="D180" s="344" t="s">
        <v>1228</v>
      </c>
      <c r="E180" s="344" t="s">
        <v>1387</v>
      </c>
      <c r="F180" s="87" t="b">
        <v>1</v>
      </c>
      <c r="G180" s="10"/>
      <c r="S180" s="105"/>
    </row>
    <row r="181">
      <c r="A181" s="1" t="s">
        <v>1388</v>
      </c>
      <c r="B181" s="1" t="b">
        <v>1</v>
      </c>
      <c r="D181" s="344" t="s">
        <v>1228</v>
      </c>
      <c r="E181" s="344" t="s">
        <v>1389</v>
      </c>
      <c r="F181" s="87" t="b">
        <v>1</v>
      </c>
      <c r="G181" s="10"/>
      <c r="S181" s="105"/>
    </row>
    <row r="182">
      <c r="A182" s="1" t="s">
        <v>1390</v>
      </c>
      <c r="B182" s="1" t="b">
        <v>1</v>
      </c>
      <c r="D182" s="344" t="s">
        <v>1228</v>
      </c>
      <c r="E182" s="344" t="s">
        <v>1391</v>
      </c>
      <c r="F182" s="87" t="b">
        <v>1</v>
      </c>
      <c r="G182" s="10"/>
      <c r="S182" s="105"/>
    </row>
    <row r="183">
      <c r="A183" s="1" t="s">
        <v>1392</v>
      </c>
      <c r="B183" s="1" t="b">
        <v>1</v>
      </c>
      <c r="D183" s="344" t="s">
        <v>1228</v>
      </c>
      <c r="E183" s="344" t="s">
        <v>1393</v>
      </c>
      <c r="F183" s="87" t="b">
        <v>1</v>
      </c>
      <c r="G183" s="10"/>
      <c r="S183" s="105"/>
    </row>
    <row r="184">
      <c r="A184" s="1" t="s">
        <v>1394</v>
      </c>
      <c r="B184" s="1" t="b">
        <v>1</v>
      </c>
      <c r="D184" s="344" t="s">
        <v>1228</v>
      </c>
      <c r="E184" s="344" t="s">
        <v>1395</v>
      </c>
      <c r="F184" s="87" t="b">
        <v>1</v>
      </c>
      <c r="G184" s="10"/>
      <c r="S184" s="105"/>
    </row>
    <row r="185">
      <c r="A185" s="1" t="s">
        <v>1396</v>
      </c>
      <c r="B185" s="1" t="b">
        <v>1</v>
      </c>
      <c r="D185" s="344" t="s">
        <v>1228</v>
      </c>
      <c r="E185" s="344" t="s">
        <v>1397</v>
      </c>
      <c r="F185" s="87" t="b">
        <v>1</v>
      </c>
      <c r="G185" s="10"/>
      <c r="S185" s="105"/>
    </row>
    <row r="186">
      <c r="A186" s="1" t="s">
        <v>1398</v>
      </c>
      <c r="B186" s="1" t="b">
        <v>1</v>
      </c>
      <c r="D186" s="344" t="s">
        <v>1228</v>
      </c>
      <c r="E186" s="344" t="s">
        <v>1399</v>
      </c>
      <c r="F186" s="87" t="b">
        <v>1</v>
      </c>
      <c r="G186" s="10"/>
      <c r="S186" s="105"/>
    </row>
    <row r="187">
      <c r="A187" s="1" t="s">
        <v>1400</v>
      </c>
      <c r="B187" s="1" t="b">
        <v>1</v>
      </c>
      <c r="D187" s="344" t="s">
        <v>1228</v>
      </c>
      <c r="E187" s="344" t="s">
        <v>1401</v>
      </c>
      <c r="F187" s="87" t="b">
        <v>1</v>
      </c>
      <c r="G187" s="10"/>
      <c r="S187" s="105"/>
    </row>
    <row r="188">
      <c r="A188" s="1" t="s">
        <v>1402</v>
      </c>
      <c r="B188" s="1" t="b">
        <v>1</v>
      </c>
      <c r="D188" s="344" t="s">
        <v>1228</v>
      </c>
      <c r="E188" s="344" t="s">
        <v>1403</v>
      </c>
      <c r="F188" s="87" t="b">
        <v>1</v>
      </c>
      <c r="G188" s="10"/>
      <c r="S188" s="105"/>
    </row>
    <row r="189">
      <c r="A189" s="1" t="s">
        <v>1404</v>
      </c>
      <c r="B189" s="1" t="b">
        <v>1</v>
      </c>
      <c r="D189" s="344" t="s">
        <v>1228</v>
      </c>
      <c r="E189" s="344" t="s">
        <v>1405</v>
      </c>
      <c r="F189" s="87" t="b">
        <v>1</v>
      </c>
      <c r="G189" s="10"/>
      <c r="S189" s="105"/>
    </row>
    <row r="190">
      <c r="A190" s="1" t="s">
        <v>1406</v>
      </c>
      <c r="B190" s="1" t="b">
        <v>1</v>
      </c>
      <c r="D190" s="344" t="s">
        <v>1228</v>
      </c>
      <c r="E190" s="344" t="s">
        <v>1407</v>
      </c>
      <c r="F190" s="87" t="b">
        <v>1</v>
      </c>
      <c r="G190" s="10"/>
      <c r="S190" s="105"/>
    </row>
    <row r="191">
      <c r="A191" s="1" t="s">
        <v>1408</v>
      </c>
      <c r="B191" s="1" t="b">
        <v>1</v>
      </c>
      <c r="D191" s="344" t="s">
        <v>1228</v>
      </c>
      <c r="E191" s="344" t="s">
        <v>1409</v>
      </c>
      <c r="F191" s="87" t="b">
        <v>1</v>
      </c>
      <c r="G191" s="10"/>
      <c r="S191" s="105"/>
    </row>
    <row r="192">
      <c r="A192" s="1" t="s">
        <v>1410</v>
      </c>
      <c r="B192" s="1" t="b">
        <v>1</v>
      </c>
      <c r="D192" s="344" t="s">
        <v>1228</v>
      </c>
      <c r="E192" s="344" t="s">
        <v>1411</v>
      </c>
      <c r="F192" s="87" t="b">
        <v>1</v>
      </c>
      <c r="G192" s="10"/>
      <c r="S192" s="105"/>
    </row>
    <row r="193">
      <c r="A193" s="1" t="s">
        <v>1412</v>
      </c>
      <c r="B193" s="1" t="b">
        <v>1</v>
      </c>
      <c r="D193" s="344" t="s">
        <v>1228</v>
      </c>
      <c r="E193" s="344" t="s">
        <v>1413</v>
      </c>
      <c r="F193" s="87" t="b">
        <v>1</v>
      </c>
      <c r="G193" s="10"/>
      <c r="S193" s="105"/>
    </row>
    <row r="194">
      <c r="A194" s="1" t="s">
        <v>1414</v>
      </c>
      <c r="B194" s="1" t="b">
        <v>1</v>
      </c>
      <c r="D194" s="344" t="s">
        <v>1228</v>
      </c>
      <c r="E194" s="344" t="s">
        <v>1415</v>
      </c>
      <c r="F194" s="87" t="b">
        <v>1</v>
      </c>
      <c r="G194" s="10"/>
      <c r="S194" s="105"/>
    </row>
    <row r="195">
      <c r="A195" s="1" t="s">
        <v>1416</v>
      </c>
      <c r="B195" s="1" t="b">
        <v>1</v>
      </c>
      <c r="D195" s="344" t="s">
        <v>1228</v>
      </c>
      <c r="E195" s="344" t="s">
        <v>1417</v>
      </c>
      <c r="F195" s="87" t="b">
        <v>1</v>
      </c>
      <c r="G195" s="10"/>
      <c r="S195" s="105"/>
    </row>
    <row r="196">
      <c r="A196" s="1" t="s">
        <v>1418</v>
      </c>
      <c r="B196" s="1" t="b">
        <v>1</v>
      </c>
      <c r="D196" s="344" t="s">
        <v>1228</v>
      </c>
      <c r="E196" s="344" t="s">
        <v>1419</v>
      </c>
      <c r="F196" s="87" t="b">
        <v>1</v>
      </c>
      <c r="G196" s="10"/>
      <c r="S196" s="105"/>
    </row>
    <row r="197">
      <c r="A197" s="1" t="s">
        <v>1420</v>
      </c>
      <c r="B197" s="1" t="b">
        <v>1</v>
      </c>
      <c r="D197" s="344" t="s">
        <v>1228</v>
      </c>
      <c r="E197" s="344" t="s">
        <v>1421</v>
      </c>
      <c r="F197" s="87" t="b">
        <v>1</v>
      </c>
      <c r="G197" s="10"/>
      <c r="S197" s="105"/>
    </row>
    <row r="198">
      <c r="A198" s="1" t="s">
        <v>1422</v>
      </c>
      <c r="B198" s="1" t="b">
        <v>1</v>
      </c>
      <c r="D198" s="344" t="s">
        <v>1228</v>
      </c>
      <c r="E198" s="344" t="s">
        <v>1423</v>
      </c>
      <c r="F198" s="87" t="b">
        <v>1</v>
      </c>
      <c r="G198" s="10"/>
      <c r="S198" s="105"/>
    </row>
    <row r="199">
      <c r="A199" s="1" t="s">
        <v>1424</v>
      </c>
      <c r="B199" s="1" t="b">
        <v>1</v>
      </c>
      <c r="D199" s="344" t="s">
        <v>1228</v>
      </c>
      <c r="E199" s="344" t="s">
        <v>1425</v>
      </c>
      <c r="F199" s="87" t="b">
        <v>1</v>
      </c>
      <c r="G199" s="10"/>
      <c r="S199" s="105"/>
    </row>
    <row r="200">
      <c r="A200" s="1" t="s">
        <v>1426</v>
      </c>
      <c r="B200" s="1" t="b">
        <v>1</v>
      </c>
      <c r="D200" s="344" t="s">
        <v>1228</v>
      </c>
      <c r="E200" s="344" t="s">
        <v>1427</v>
      </c>
      <c r="F200" s="87" t="b">
        <v>1</v>
      </c>
      <c r="G200" s="10"/>
      <c r="S200" s="105"/>
    </row>
    <row r="201">
      <c r="A201" s="1" t="s">
        <v>1428</v>
      </c>
      <c r="B201" s="1" t="b">
        <v>1</v>
      </c>
      <c r="D201" s="344" t="s">
        <v>1228</v>
      </c>
      <c r="E201" s="344" t="s">
        <v>1429</v>
      </c>
      <c r="F201" s="87" t="b">
        <v>1</v>
      </c>
      <c r="G201" s="10"/>
      <c r="S201" s="105"/>
    </row>
    <row r="202">
      <c r="A202" s="1" t="s">
        <v>1430</v>
      </c>
      <c r="B202" s="1" t="b">
        <v>1</v>
      </c>
      <c r="D202" s="344" t="s">
        <v>1228</v>
      </c>
      <c r="E202" s="344" t="s">
        <v>1431</v>
      </c>
      <c r="F202" s="87" t="b">
        <v>1</v>
      </c>
      <c r="G202" s="10"/>
      <c r="S202" s="105"/>
    </row>
    <row r="203">
      <c r="A203" s="1" t="s">
        <v>1432</v>
      </c>
      <c r="B203" s="1" t="b">
        <v>1</v>
      </c>
      <c r="D203" s="344" t="s">
        <v>1228</v>
      </c>
      <c r="E203" s="344" t="s">
        <v>1433</v>
      </c>
      <c r="F203" s="87" t="b">
        <v>1</v>
      </c>
      <c r="G203" s="10"/>
      <c r="S203" s="105"/>
    </row>
    <row r="204">
      <c r="A204" s="1" t="s">
        <v>1434</v>
      </c>
      <c r="B204" s="1" t="b">
        <v>1</v>
      </c>
      <c r="D204" s="344" t="s">
        <v>1228</v>
      </c>
      <c r="E204" s="344" t="s">
        <v>1435</v>
      </c>
      <c r="F204" s="87" t="b">
        <v>1</v>
      </c>
      <c r="G204" s="10"/>
      <c r="S204" s="105"/>
    </row>
    <row r="205">
      <c r="A205" s="1" t="s">
        <v>1436</v>
      </c>
      <c r="B205" s="1" t="b">
        <v>1</v>
      </c>
      <c r="D205" s="344" t="s">
        <v>1228</v>
      </c>
      <c r="E205" s="344" t="s">
        <v>1437</v>
      </c>
      <c r="F205" s="87" t="b">
        <v>1</v>
      </c>
      <c r="G205" s="10"/>
      <c r="S205" s="105"/>
    </row>
    <row r="206">
      <c r="A206" s="1" t="s">
        <v>1438</v>
      </c>
      <c r="B206" s="1" t="b">
        <v>1</v>
      </c>
      <c r="D206" s="344" t="s">
        <v>1228</v>
      </c>
      <c r="E206" s="344" t="s">
        <v>1439</v>
      </c>
      <c r="F206" s="87" t="b">
        <v>1</v>
      </c>
      <c r="G206" s="10"/>
      <c r="S206" s="105"/>
    </row>
    <row r="207">
      <c r="A207" s="1" t="s">
        <v>1440</v>
      </c>
      <c r="B207" s="1" t="b">
        <v>1</v>
      </c>
      <c r="D207" s="344" t="s">
        <v>1228</v>
      </c>
      <c r="E207" s="344" t="s">
        <v>1441</v>
      </c>
      <c r="F207" s="87" t="b">
        <v>1</v>
      </c>
      <c r="G207" s="10"/>
      <c r="S207" s="105"/>
    </row>
    <row r="208">
      <c r="A208" s="1" t="s">
        <v>1442</v>
      </c>
      <c r="B208" s="1" t="b">
        <v>1</v>
      </c>
      <c r="D208" s="344" t="s">
        <v>1228</v>
      </c>
      <c r="E208" s="344" t="s">
        <v>1443</v>
      </c>
      <c r="F208" s="87" t="b">
        <v>1</v>
      </c>
      <c r="G208" s="10"/>
      <c r="S208" s="105"/>
    </row>
    <row r="209">
      <c r="A209" s="1" t="s">
        <v>1444</v>
      </c>
      <c r="B209" s="1" t="b">
        <v>1</v>
      </c>
      <c r="D209" s="344" t="s">
        <v>1228</v>
      </c>
      <c r="E209" s="344" t="s">
        <v>1445</v>
      </c>
      <c r="F209" s="87" t="b">
        <v>1</v>
      </c>
      <c r="G209" s="10"/>
      <c r="S209" s="105"/>
    </row>
    <row r="210">
      <c r="A210" s="1" t="s">
        <v>1446</v>
      </c>
      <c r="B210" s="1" t="b">
        <v>1</v>
      </c>
      <c r="D210" s="344" t="s">
        <v>1228</v>
      </c>
      <c r="E210" s="344" t="s">
        <v>1447</v>
      </c>
      <c r="F210" s="87" t="b">
        <v>1</v>
      </c>
      <c r="G210" s="10"/>
      <c r="S210" s="105"/>
    </row>
    <row r="211">
      <c r="A211" s="1" t="s">
        <v>1448</v>
      </c>
      <c r="B211" s="1" t="b">
        <v>1</v>
      </c>
      <c r="D211" s="344" t="s">
        <v>1228</v>
      </c>
      <c r="E211" s="344" t="s">
        <v>1449</v>
      </c>
      <c r="F211" s="87" t="b">
        <v>1</v>
      </c>
      <c r="G211" s="10"/>
      <c r="S211" s="105"/>
    </row>
    <row r="212">
      <c r="A212" s="1" t="s">
        <v>1450</v>
      </c>
      <c r="B212" s="1" t="b">
        <v>1</v>
      </c>
      <c r="D212" s="344" t="s">
        <v>1228</v>
      </c>
      <c r="E212" s="344" t="s">
        <v>1451</v>
      </c>
      <c r="F212" s="87" t="b">
        <v>1</v>
      </c>
      <c r="G212" s="10"/>
      <c r="S212" s="105"/>
    </row>
    <row r="213">
      <c r="A213" s="1" t="s">
        <v>1452</v>
      </c>
      <c r="B213" s="1" t="b">
        <v>1</v>
      </c>
      <c r="D213" s="344" t="s">
        <v>1228</v>
      </c>
      <c r="E213" s="344" t="s">
        <v>1453</v>
      </c>
      <c r="F213" s="87" t="b">
        <v>1</v>
      </c>
      <c r="G213" s="10"/>
      <c r="S213" s="105"/>
    </row>
    <row r="214">
      <c r="A214" s="1" t="s">
        <v>1454</v>
      </c>
      <c r="B214" s="1" t="b">
        <v>1</v>
      </c>
      <c r="D214" s="344" t="s">
        <v>1228</v>
      </c>
      <c r="E214" s="344" t="s">
        <v>1455</v>
      </c>
      <c r="F214" s="87" t="b">
        <v>1</v>
      </c>
      <c r="G214" s="10"/>
      <c r="S214" s="105"/>
    </row>
    <row r="215">
      <c r="A215" s="1" t="s">
        <v>1456</v>
      </c>
      <c r="B215" s="1" t="b">
        <v>1</v>
      </c>
      <c r="D215" s="344" t="s">
        <v>1228</v>
      </c>
      <c r="E215" s="344" t="s">
        <v>1457</v>
      </c>
      <c r="F215" s="87" t="b">
        <v>1</v>
      </c>
      <c r="G215" s="10"/>
      <c r="S215" s="105"/>
    </row>
    <row r="216">
      <c r="A216" s="1" t="s">
        <v>1458</v>
      </c>
      <c r="B216" s="1" t="b">
        <v>1</v>
      </c>
      <c r="D216" s="344" t="s">
        <v>1228</v>
      </c>
      <c r="E216" s="344" t="s">
        <v>1459</v>
      </c>
      <c r="F216" s="87" t="b">
        <v>1</v>
      </c>
      <c r="G216" s="10"/>
      <c r="S216" s="105"/>
    </row>
    <row r="217">
      <c r="A217" s="1" t="s">
        <v>1460</v>
      </c>
      <c r="B217" s="1" t="b">
        <v>1</v>
      </c>
      <c r="D217" s="344" t="s">
        <v>1228</v>
      </c>
      <c r="E217" s="344" t="s">
        <v>1461</v>
      </c>
      <c r="F217" s="87" t="b">
        <v>1</v>
      </c>
      <c r="G217" s="10"/>
      <c r="S217" s="105"/>
    </row>
    <row r="218">
      <c r="A218" s="1" t="s">
        <v>1462</v>
      </c>
      <c r="B218" s="1" t="b">
        <v>1</v>
      </c>
      <c r="D218" s="344" t="s">
        <v>1228</v>
      </c>
      <c r="E218" s="344" t="s">
        <v>1463</v>
      </c>
      <c r="F218" s="87" t="b">
        <v>1</v>
      </c>
      <c r="G218" s="10"/>
      <c r="S218" s="105"/>
    </row>
    <row r="219">
      <c r="A219" s="1" t="s">
        <v>1464</v>
      </c>
      <c r="B219" s="1" t="b">
        <v>1</v>
      </c>
      <c r="D219" s="344" t="s">
        <v>1228</v>
      </c>
      <c r="E219" s="344" t="s">
        <v>1465</v>
      </c>
      <c r="F219" s="87" t="b">
        <v>1</v>
      </c>
      <c r="G219" s="10"/>
      <c r="S219" s="105"/>
    </row>
    <row r="220">
      <c r="A220" s="1" t="s">
        <v>1466</v>
      </c>
      <c r="B220" s="1" t="b">
        <v>1</v>
      </c>
      <c r="D220" s="344" t="s">
        <v>1228</v>
      </c>
      <c r="E220" s="344" t="s">
        <v>1467</v>
      </c>
      <c r="F220" s="87" t="b">
        <v>1</v>
      </c>
      <c r="G220" s="10"/>
      <c r="S220" s="105"/>
    </row>
    <row r="221">
      <c r="A221" s="1" t="s">
        <v>1468</v>
      </c>
      <c r="B221" s="1" t="b">
        <v>1</v>
      </c>
      <c r="D221" s="344" t="s">
        <v>1228</v>
      </c>
      <c r="E221" s="344" t="s">
        <v>1469</v>
      </c>
      <c r="F221" s="87" t="b">
        <v>1</v>
      </c>
      <c r="G221" s="10"/>
      <c r="S221" s="105"/>
    </row>
    <row r="222">
      <c r="A222" s="1" t="s">
        <v>1470</v>
      </c>
      <c r="B222" s="1" t="b">
        <v>1</v>
      </c>
      <c r="D222" s="344" t="s">
        <v>1228</v>
      </c>
      <c r="E222" s="344" t="s">
        <v>1471</v>
      </c>
      <c r="F222" s="87" t="b">
        <v>1</v>
      </c>
      <c r="G222" s="10"/>
      <c r="S222" s="105"/>
    </row>
    <row r="223">
      <c r="A223" s="1" t="s">
        <v>1472</v>
      </c>
      <c r="B223" s="1" t="b">
        <v>1</v>
      </c>
      <c r="D223" s="344" t="s">
        <v>1228</v>
      </c>
      <c r="E223" s="344" t="s">
        <v>1473</v>
      </c>
      <c r="F223" s="87" t="b">
        <v>1</v>
      </c>
      <c r="G223" s="10"/>
      <c r="S223" s="105"/>
    </row>
    <row r="224">
      <c r="A224" s="1" t="s">
        <v>1474</v>
      </c>
      <c r="B224" s="1" t="b">
        <v>1</v>
      </c>
      <c r="D224" s="344" t="s">
        <v>1228</v>
      </c>
      <c r="E224" s="344" t="s">
        <v>1475</v>
      </c>
      <c r="F224" s="87" t="b">
        <v>1</v>
      </c>
      <c r="G224" s="10"/>
      <c r="S224" s="105"/>
    </row>
    <row r="225">
      <c r="A225" s="1" t="s">
        <v>1476</v>
      </c>
      <c r="B225" s="1" t="b">
        <v>1</v>
      </c>
      <c r="D225" s="344" t="s">
        <v>1228</v>
      </c>
      <c r="E225" s="344" t="s">
        <v>1477</v>
      </c>
      <c r="F225" s="87" t="b">
        <v>1</v>
      </c>
      <c r="G225" s="10"/>
      <c r="S225" s="105"/>
    </row>
    <row r="226">
      <c r="A226" s="1" t="s">
        <v>1478</v>
      </c>
      <c r="B226" s="1" t="b">
        <v>1</v>
      </c>
      <c r="D226" s="344" t="s">
        <v>1228</v>
      </c>
      <c r="E226" s="344" t="s">
        <v>1479</v>
      </c>
      <c r="F226" s="87" t="b">
        <v>1</v>
      </c>
      <c r="G226" s="10"/>
      <c r="S226" s="105"/>
    </row>
    <row r="227">
      <c r="A227" s="1" t="s">
        <v>1480</v>
      </c>
      <c r="B227" s="1" t="b">
        <v>1</v>
      </c>
      <c r="D227" s="344" t="s">
        <v>1228</v>
      </c>
      <c r="E227" s="344" t="s">
        <v>1481</v>
      </c>
      <c r="F227" s="87" t="b">
        <v>1</v>
      </c>
      <c r="G227" s="10"/>
      <c r="S227" s="105"/>
    </row>
    <row r="228">
      <c r="A228" s="1" t="s">
        <v>1482</v>
      </c>
      <c r="B228" s="1" t="b">
        <v>1</v>
      </c>
      <c r="D228" s="344" t="s">
        <v>1228</v>
      </c>
      <c r="E228" s="344" t="s">
        <v>1483</v>
      </c>
      <c r="F228" s="87" t="b">
        <v>1</v>
      </c>
      <c r="G228" s="10"/>
      <c r="S228" s="105"/>
    </row>
    <row r="229">
      <c r="A229" s="1" t="s">
        <v>1484</v>
      </c>
      <c r="B229" s="1" t="b">
        <v>1</v>
      </c>
      <c r="D229" s="344" t="s">
        <v>1228</v>
      </c>
      <c r="E229" s="344" t="s">
        <v>1485</v>
      </c>
      <c r="F229" s="87" t="b">
        <v>1</v>
      </c>
      <c r="G229" s="10"/>
      <c r="S229" s="105"/>
    </row>
    <row r="230">
      <c r="A230" s="1" t="s">
        <v>1486</v>
      </c>
      <c r="B230" s="1" t="b">
        <v>1</v>
      </c>
      <c r="D230" s="344" t="s">
        <v>1228</v>
      </c>
      <c r="E230" s="344" t="s">
        <v>1487</v>
      </c>
      <c r="F230" s="87" t="b">
        <v>1</v>
      </c>
      <c r="G230" s="10"/>
      <c r="S230" s="105"/>
    </row>
    <row r="231">
      <c r="A231" s="1" t="s">
        <v>1488</v>
      </c>
      <c r="B231" s="1" t="b">
        <v>1</v>
      </c>
      <c r="D231" s="344" t="s">
        <v>1228</v>
      </c>
      <c r="E231" s="344" t="s">
        <v>1489</v>
      </c>
      <c r="F231" s="87" t="b">
        <v>1</v>
      </c>
      <c r="G231" s="10"/>
      <c r="S231" s="105"/>
    </row>
    <row r="232">
      <c r="A232" s="1" t="s">
        <v>1490</v>
      </c>
      <c r="B232" s="1" t="b">
        <v>1</v>
      </c>
      <c r="D232" s="344" t="s">
        <v>1228</v>
      </c>
      <c r="E232" s="344" t="s">
        <v>1491</v>
      </c>
      <c r="F232" s="87" t="b">
        <v>1</v>
      </c>
      <c r="G232" s="10"/>
      <c r="S232" s="105"/>
    </row>
    <row r="233">
      <c r="A233" s="1" t="s">
        <v>1492</v>
      </c>
      <c r="B233" s="1" t="b">
        <v>1</v>
      </c>
      <c r="D233" s="344" t="s">
        <v>1228</v>
      </c>
      <c r="E233" s="344" t="s">
        <v>1493</v>
      </c>
      <c r="F233" s="87" t="b">
        <v>1</v>
      </c>
      <c r="G233" s="10"/>
      <c r="S233" s="105"/>
    </row>
    <row r="234">
      <c r="A234" s="1" t="s">
        <v>1494</v>
      </c>
      <c r="B234" s="1" t="b">
        <v>1</v>
      </c>
      <c r="D234" s="344" t="s">
        <v>1228</v>
      </c>
      <c r="E234" s="344" t="s">
        <v>1495</v>
      </c>
      <c r="F234" s="87" t="b">
        <v>1</v>
      </c>
      <c r="G234" s="10"/>
      <c r="S234" s="105"/>
    </row>
    <row r="235">
      <c r="A235" s="1" t="s">
        <v>1496</v>
      </c>
      <c r="B235" s="1" t="b">
        <v>1</v>
      </c>
      <c r="D235" s="344" t="s">
        <v>1228</v>
      </c>
      <c r="E235" s="344" t="s">
        <v>1497</v>
      </c>
      <c r="F235" s="87" t="b">
        <v>1</v>
      </c>
      <c r="G235" s="10"/>
      <c r="S235" s="105"/>
    </row>
    <row r="236">
      <c r="A236" s="1" t="s">
        <v>1498</v>
      </c>
      <c r="B236" s="1" t="b">
        <v>1</v>
      </c>
      <c r="D236" s="344" t="s">
        <v>1228</v>
      </c>
      <c r="E236" s="344" t="s">
        <v>1499</v>
      </c>
      <c r="F236" s="87" t="b">
        <v>1</v>
      </c>
      <c r="G236" s="10"/>
      <c r="S236" s="105"/>
    </row>
    <row r="237">
      <c r="A237" s="1" t="s">
        <v>1500</v>
      </c>
      <c r="B237" s="1" t="b">
        <v>1</v>
      </c>
      <c r="D237" s="344" t="s">
        <v>1228</v>
      </c>
      <c r="E237" s="344" t="s">
        <v>1501</v>
      </c>
      <c r="F237" s="87" t="b">
        <v>1</v>
      </c>
      <c r="G237" s="10"/>
      <c r="S237" s="105"/>
    </row>
    <row r="238">
      <c r="A238" s="1" t="s">
        <v>1502</v>
      </c>
      <c r="B238" s="1" t="b">
        <v>1</v>
      </c>
      <c r="D238" s="344" t="s">
        <v>1228</v>
      </c>
      <c r="E238" s="344" t="s">
        <v>1503</v>
      </c>
      <c r="F238" s="87" t="b">
        <v>1</v>
      </c>
      <c r="G238" s="10"/>
      <c r="S238" s="105"/>
    </row>
    <row r="239">
      <c r="A239" s="1" t="s">
        <v>1504</v>
      </c>
      <c r="B239" s="1" t="b">
        <v>1</v>
      </c>
      <c r="D239" s="344" t="s">
        <v>1228</v>
      </c>
      <c r="E239" s="344" t="s">
        <v>1505</v>
      </c>
      <c r="F239" s="87" t="b">
        <v>1</v>
      </c>
      <c r="G239" s="87" t="s">
        <v>1020</v>
      </c>
      <c r="S239" s="105"/>
    </row>
    <row r="240">
      <c r="A240" s="1" t="s">
        <v>1506</v>
      </c>
      <c r="B240" s="1" t="b">
        <v>1</v>
      </c>
      <c r="D240" s="344" t="s">
        <v>1228</v>
      </c>
      <c r="E240" s="344" t="s">
        <v>1507</v>
      </c>
      <c r="F240" s="87" t="b">
        <v>1</v>
      </c>
      <c r="G240" s="87" t="s">
        <v>1020</v>
      </c>
      <c r="S240" s="105"/>
    </row>
    <row r="241">
      <c r="A241" s="1" t="s">
        <v>1508</v>
      </c>
      <c r="B241" s="1" t="b">
        <v>1</v>
      </c>
      <c r="D241" s="344" t="s">
        <v>1228</v>
      </c>
      <c r="E241" s="344" t="s">
        <v>1509</v>
      </c>
      <c r="F241" s="87" t="b">
        <v>1</v>
      </c>
      <c r="G241" s="87" t="s">
        <v>1020</v>
      </c>
      <c r="S241" s="105"/>
    </row>
    <row r="242">
      <c r="A242" s="1" t="s">
        <v>1510</v>
      </c>
      <c r="B242" s="1" t="b">
        <v>1</v>
      </c>
      <c r="D242" s="344" t="s">
        <v>1228</v>
      </c>
      <c r="E242" s="344" t="s">
        <v>1511</v>
      </c>
      <c r="F242" s="87" t="b">
        <v>1</v>
      </c>
      <c r="G242" s="87" t="s">
        <v>1020</v>
      </c>
      <c r="S242" s="105"/>
    </row>
    <row r="243">
      <c r="A243" s="1" t="s">
        <v>1512</v>
      </c>
      <c r="B243" s="1" t="b">
        <v>1</v>
      </c>
      <c r="D243" s="344" t="s">
        <v>1228</v>
      </c>
      <c r="E243" s="344" t="s">
        <v>1513</v>
      </c>
      <c r="F243" s="87" t="b">
        <v>1</v>
      </c>
      <c r="G243" s="87" t="s">
        <v>1020</v>
      </c>
      <c r="S243" s="105"/>
    </row>
    <row r="244">
      <c r="A244" s="1" t="s">
        <v>1514</v>
      </c>
      <c r="B244" s="1" t="b">
        <v>1</v>
      </c>
      <c r="D244" s="344" t="s">
        <v>1228</v>
      </c>
      <c r="E244" s="344" t="s">
        <v>1515</v>
      </c>
      <c r="F244" s="87" t="b">
        <v>1</v>
      </c>
      <c r="G244" s="87"/>
      <c r="S244" s="105"/>
    </row>
    <row r="245">
      <c r="A245" s="1" t="s">
        <v>1516</v>
      </c>
      <c r="B245" s="1" t="b">
        <v>1</v>
      </c>
      <c r="D245" s="344" t="s">
        <v>1228</v>
      </c>
      <c r="E245" s="344" t="s">
        <v>1517</v>
      </c>
      <c r="F245" s="87" t="b">
        <v>1</v>
      </c>
      <c r="G245" s="87"/>
      <c r="S245" s="105"/>
    </row>
    <row r="246">
      <c r="A246" s="1" t="s">
        <v>1518</v>
      </c>
      <c r="B246" s="1" t="b">
        <v>1</v>
      </c>
      <c r="D246" s="344" t="s">
        <v>1228</v>
      </c>
      <c r="E246" s="344" t="s">
        <v>1519</v>
      </c>
      <c r="F246" s="87" t="b">
        <v>1</v>
      </c>
      <c r="G246" s="10"/>
      <c r="S246" s="105"/>
    </row>
    <row r="247">
      <c r="A247" s="1" t="s">
        <v>1520</v>
      </c>
      <c r="B247" s="1" t="b">
        <v>1</v>
      </c>
      <c r="D247" s="344" t="s">
        <v>1228</v>
      </c>
      <c r="E247" s="344" t="s">
        <v>1521</v>
      </c>
      <c r="F247" s="87" t="b">
        <v>1</v>
      </c>
      <c r="G247" s="10"/>
      <c r="S247" s="105"/>
    </row>
    <row r="248">
      <c r="A248" s="1" t="s">
        <v>1522</v>
      </c>
      <c r="B248" s="1" t="b">
        <v>1</v>
      </c>
      <c r="D248" s="344" t="s">
        <v>1228</v>
      </c>
      <c r="E248" s="344" t="s">
        <v>1523</v>
      </c>
      <c r="F248" s="87" t="b">
        <v>1</v>
      </c>
      <c r="G248" s="10"/>
      <c r="S248" s="105"/>
    </row>
    <row r="249">
      <c r="A249" s="1" t="s">
        <v>1524</v>
      </c>
      <c r="B249" s="1" t="b">
        <v>1</v>
      </c>
      <c r="D249" s="344" t="s">
        <v>1228</v>
      </c>
      <c r="E249" s="344" t="s">
        <v>1525</v>
      </c>
      <c r="F249" s="87" t="b">
        <v>1</v>
      </c>
      <c r="G249" s="10"/>
      <c r="S249" s="105"/>
    </row>
    <row r="250">
      <c r="A250" s="1" t="s">
        <v>1526</v>
      </c>
      <c r="B250" s="1" t="b">
        <v>1</v>
      </c>
      <c r="D250" s="344" t="s">
        <v>1228</v>
      </c>
      <c r="E250" s="344" t="s">
        <v>1527</v>
      </c>
      <c r="F250" s="87" t="b">
        <v>1</v>
      </c>
      <c r="G250" s="10"/>
      <c r="S250" s="105"/>
    </row>
    <row r="251">
      <c r="A251" s="1" t="s">
        <v>1528</v>
      </c>
      <c r="B251" s="1" t="b">
        <v>1</v>
      </c>
      <c r="D251" s="344" t="s">
        <v>1228</v>
      </c>
      <c r="E251" s="344" t="s">
        <v>1529</v>
      </c>
      <c r="F251" s="87" t="b">
        <v>1</v>
      </c>
      <c r="G251" s="10"/>
      <c r="S251" s="105"/>
    </row>
    <row r="252">
      <c r="A252" s="1" t="s">
        <v>1530</v>
      </c>
      <c r="B252" s="1" t="b">
        <v>1</v>
      </c>
      <c r="D252" s="344" t="s">
        <v>1228</v>
      </c>
      <c r="E252" s="344" t="s">
        <v>1531</v>
      </c>
      <c r="F252" s="87" t="b">
        <v>1</v>
      </c>
      <c r="G252" s="10"/>
      <c r="S252" s="105"/>
    </row>
    <row r="253">
      <c r="A253" s="1" t="s">
        <v>1532</v>
      </c>
      <c r="B253" s="1" t="b">
        <v>1</v>
      </c>
      <c r="D253" s="344" t="s">
        <v>1228</v>
      </c>
      <c r="E253" s="344" t="s">
        <v>1533</v>
      </c>
      <c r="F253" s="87" t="b">
        <v>1</v>
      </c>
      <c r="G253" s="10"/>
      <c r="S253" s="105"/>
    </row>
    <row r="254">
      <c r="A254" s="1" t="s">
        <v>1534</v>
      </c>
      <c r="B254" s="1" t="b">
        <v>1</v>
      </c>
      <c r="D254" s="344" t="s">
        <v>1228</v>
      </c>
      <c r="E254" s="344" t="s">
        <v>1535</v>
      </c>
      <c r="F254" s="87" t="b">
        <v>1</v>
      </c>
      <c r="G254" s="10"/>
      <c r="S254" s="105"/>
    </row>
    <row r="255">
      <c r="A255" s="1" t="s">
        <v>1536</v>
      </c>
      <c r="B255" s="1" t="b">
        <v>1</v>
      </c>
      <c r="D255" s="344" t="s">
        <v>1228</v>
      </c>
      <c r="E255" s="344" t="s">
        <v>1537</v>
      </c>
      <c r="F255" s="87" t="b">
        <v>1</v>
      </c>
      <c r="G255" s="10"/>
      <c r="S255" s="105"/>
    </row>
    <row r="256">
      <c r="A256" s="1" t="s">
        <v>1538</v>
      </c>
      <c r="B256" s="1" t="b">
        <v>1</v>
      </c>
      <c r="D256" s="344" t="s">
        <v>1228</v>
      </c>
      <c r="E256" s="344" t="s">
        <v>1539</v>
      </c>
      <c r="F256" s="87" t="b">
        <v>1</v>
      </c>
      <c r="G256" s="10"/>
      <c r="S256" s="105"/>
    </row>
    <row r="257">
      <c r="A257" s="1" t="s">
        <v>1540</v>
      </c>
      <c r="B257" s="1" t="b">
        <v>1</v>
      </c>
      <c r="D257" s="344" t="s">
        <v>1228</v>
      </c>
      <c r="E257" s="344" t="s">
        <v>1541</v>
      </c>
      <c r="F257" s="87" t="b">
        <v>1</v>
      </c>
      <c r="G257" s="10"/>
      <c r="S257" s="105"/>
    </row>
    <row r="258">
      <c r="A258" s="1" t="s">
        <v>1542</v>
      </c>
      <c r="B258" s="1" t="b">
        <v>1</v>
      </c>
      <c r="D258" s="344" t="s">
        <v>1228</v>
      </c>
      <c r="E258" s="344" t="s">
        <v>1543</v>
      </c>
      <c r="F258" s="87" t="b">
        <v>1</v>
      </c>
      <c r="G258" s="10"/>
      <c r="S258" s="105"/>
    </row>
    <row r="259">
      <c r="A259" s="1" t="s">
        <v>1544</v>
      </c>
      <c r="B259" s="1" t="b">
        <v>1</v>
      </c>
      <c r="D259" s="344" t="s">
        <v>1228</v>
      </c>
      <c r="E259" s="344" t="s">
        <v>1545</v>
      </c>
      <c r="F259" s="87" t="b">
        <v>1</v>
      </c>
      <c r="G259" s="10"/>
      <c r="S259" s="105"/>
    </row>
    <row r="260">
      <c r="A260" s="1" t="s">
        <v>1546</v>
      </c>
      <c r="B260" s="1" t="b">
        <v>1</v>
      </c>
      <c r="D260" s="344" t="s">
        <v>1228</v>
      </c>
      <c r="E260" s="344" t="s">
        <v>1547</v>
      </c>
      <c r="F260" s="87" t="b">
        <v>1</v>
      </c>
      <c r="G260" s="10"/>
      <c r="S260" s="105"/>
    </row>
    <row r="261">
      <c r="A261" s="1" t="s">
        <v>1548</v>
      </c>
      <c r="B261" s="1" t="b">
        <v>1</v>
      </c>
      <c r="D261" s="344" t="s">
        <v>1228</v>
      </c>
      <c r="E261" s="344" t="s">
        <v>1549</v>
      </c>
      <c r="F261" s="87" t="b">
        <v>1</v>
      </c>
      <c r="G261" s="10"/>
      <c r="S261" s="105"/>
    </row>
    <row r="262">
      <c r="A262" s="1" t="s">
        <v>1550</v>
      </c>
      <c r="B262" s="1" t="b">
        <v>1</v>
      </c>
      <c r="D262" s="344" t="s">
        <v>1228</v>
      </c>
      <c r="E262" s="344" t="s">
        <v>1551</v>
      </c>
      <c r="F262" s="87" t="b">
        <v>1</v>
      </c>
      <c r="G262" s="10"/>
      <c r="S262" s="105"/>
    </row>
    <row r="263">
      <c r="A263" s="1" t="s">
        <v>1552</v>
      </c>
      <c r="B263" s="1" t="b">
        <v>1</v>
      </c>
      <c r="D263" s="344" t="s">
        <v>1228</v>
      </c>
      <c r="E263" s="344" t="s">
        <v>1553</v>
      </c>
      <c r="F263" s="87" t="b">
        <v>1</v>
      </c>
      <c r="G263" s="10"/>
      <c r="S263" s="105"/>
    </row>
    <row r="264">
      <c r="A264" s="1" t="s">
        <v>1554</v>
      </c>
      <c r="B264" s="1" t="b">
        <v>1</v>
      </c>
      <c r="D264" s="344" t="s">
        <v>1228</v>
      </c>
      <c r="E264" s="344" t="s">
        <v>1555</v>
      </c>
      <c r="F264" s="87" t="b">
        <v>1</v>
      </c>
      <c r="G264" s="10"/>
      <c r="S264" s="105"/>
    </row>
    <row r="265">
      <c r="A265" s="1" t="s">
        <v>1556</v>
      </c>
      <c r="B265" s="1" t="b">
        <v>1</v>
      </c>
      <c r="D265" s="344" t="s">
        <v>1228</v>
      </c>
      <c r="E265" s="344" t="s">
        <v>1557</v>
      </c>
      <c r="F265" s="87" t="b">
        <v>1</v>
      </c>
      <c r="G265" s="10"/>
      <c r="S265" s="105"/>
    </row>
    <row r="266">
      <c r="A266" s="1" t="s">
        <v>1558</v>
      </c>
      <c r="B266" s="1" t="b">
        <v>1</v>
      </c>
      <c r="D266" s="344" t="s">
        <v>1228</v>
      </c>
      <c r="E266" s="344" t="s">
        <v>1559</v>
      </c>
      <c r="F266" s="87" t="b">
        <v>1</v>
      </c>
      <c r="G266" s="10"/>
      <c r="S266" s="105"/>
    </row>
    <row r="267">
      <c r="A267" s="1" t="s">
        <v>1560</v>
      </c>
      <c r="B267" s="1" t="b">
        <v>1</v>
      </c>
      <c r="D267" s="344" t="s">
        <v>1228</v>
      </c>
      <c r="E267" s="344" t="s">
        <v>1561</v>
      </c>
      <c r="F267" s="87" t="b">
        <v>1</v>
      </c>
      <c r="G267" s="10"/>
      <c r="S267" s="105"/>
    </row>
    <row r="268">
      <c r="A268" s="1" t="s">
        <v>1562</v>
      </c>
      <c r="B268" s="1" t="b">
        <v>1</v>
      </c>
      <c r="D268" s="344" t="s">
        <v>1228</v>
      </c>
      <c r="E268" s="344" t="s">
        <v>1563</v>
      </c>
      <c r="F268" s="87" t="b">
        <v>1</v>
      </c>
      <c r="G268" s="10"/>
      <c r="S268" s="105"/>
    </row>
    <row r="269">
      <c r="A269" s="1" t="s">
        <v>1564</v>
      </c>
      <c r="B269" s="1" t="b">
        <v>1</v>
      </c>
      <c r="D269" s="344" t="s">
        <v>1228</v>
      </c>
      <c r="E269" s="344" t="s">
        <v>1565</v>
      </c>
      <c r="F269" s="87" t="b">
        <v>1</v>
      </c>
      <c r="G269" s="10"/>
      <c r="S269" s="105"/>
    </row>
    <row r="270">
      <c r="A270" s="1" t="s">
        <v>1566</v>
      </c>
      <c r="B270" s="1" t="b">
        <v>1</v>
      </c>
      <c r="D270" s="344" t="s">
        <v>1228</v>
      </c>
      <c r="E270" s="344" t="s">
        <v>1567</v>
      </c>
      <c r="F270" s="87" t="b">
        <v>1</v>
      </c>
      <c r="G270" s="10"/>
      <c r="S270" s="105"/>
    </row>
    <row r="271">
      <c r="A271" s="1" t="s">
        <v>1568</v>
      </c>
      <c r="B271" s="1" t="b">
        <v>1</v>
      </c>
      <c r="D271" s="344" t="s">
        <v>1228</v>
      </c>
      <c r="E271" s="344" t="s">
        <v>1569</v>
      </c>
      <c r="F271" s="87" t="b">
        <v>1</v>
      </c>
      <c r="G271" s="10"/>
      <c r="S271" s="105"/>
    </row>
    <row r="272">
      <c r="A272" s="1" t="s">
        <v>1570</v>
      </c>
      <c r="B272" s="1" t="b">
        <v>1</v>
      </c>
      <c r="D272" s="344" t="s">
        <v>1228</v>
      </c>
      <c r="E272" s="344" t="s">
        <v>1571</v>
      </c>
      <c r="F272" s="87" t="b">
        <v>1</v>
      </c>
      <c r="G272" s="10"/>
      <c r="S272" s="105"/>
    </row>
    <row r="273">
      <c r="A273" s="1" t="s">
        <v>1572</v>
      </c>
      <c r="B273" s="1" t="b">
        <v>1</v>
      </c>
      <c r="D273" s="344" t="s">
        <v>1228</v>
      </c>
      <c r="E273" s="344" t="s">
        <v>1573</v>
      </c>
      <c r="F273" s="87" t="b">
        <v>1</v>
      </c>
      <c r="G273" s="10"/>
      <c r="S273" s="105"/>
    </row>
    <row r="274">
      <c r="A274" s="1" t="s">
        <v>1574</v>
      </c>
      <c r="B274" s="1" t="b">
        <v>1</v>
      </c>
      <c r="D274" s="344" t="s">
        <v>1228</v>
      </c>
      <c r="E274" s="344" t="s">
        <v>1575</v>
      </c>
      <c r="F274" s="87" t="b">
        <v>1</v>
      </c>
      <c r="G274" s="10"/>
      <c r="S274" s="105"/>
    </row>
    <row r="275">
      <c r="A275" s="1" t="s">
        <v>1576</v>
      </c>
      <c r="B275" s="1" t="b">
        <v>1</v>
      </c>
      <c r="D275" s="344" t="s">
        <v>1228</v>
      </c>
      <c r="E275" s="344" t="s">
        <v>1577</v>
      </c>
      <c r="F275" s="87" t="b">
        <v>1</v>
      </c>
      <c r="G275" s="10"/>
      <c r="S275" s="105"/>
    </row>
    <row r="276">
      <c r="A276" s="1" t="s">
        <v>1578</v>
      </c>
      <c r="B276" s="1" t="b">
        <v>1</v>
      </c>
      <c r="D276" s="344" t="s">
        <v>1228</v>
      </c>
      <c r="E276" s="344" t="s">
        <v>1579</v>
      </c>
      <c r="F276" s="87" t="b">
        <v>1</v>
      </c>
      <c r="G276" s="10"/>
      <c r="S276" s="105"/>
    </row>
    <row r="277">
      <c r="A277" s="1" t="s">
        <v>1580</v>
      </c>
      <c r="B277" s="1" t="b">
        <v>1</v>
      </c>
      <c r="D277" s="344" t="s">
        <v>1228</v>
      </c>
      <c r="E277" s="344" t="s">
        <v>1581</v>
      </c>
      <c r="F277" s="87" t="b">
        <v>1</v>
      </c>
      <c r="G277" s="10"/>
      <c r="S277" s="105"/>
    </row>
    <row r="278">
      <c r="A278" s="1" t="s">
        <v>1582</v>
      </c>
      <c r="B278" s="1" t="b">
        <v>1</v>
      </c>
      <c r="D278" s="344" t="s">
        <v>1228</v>
      </c>
      <c r="E278" s="344" t="s">
        <v>1583</v>
      </c>
      <c r="F278" s="87" t="b">
        <v>1</v>
      </c>
      <c r="G278" s="10"/>
      <c r="S278" s="105"/>
    </row>
    <row r="279">
      <c r="A279" s="1" t="s">
        <v>1584</v>
      </c>
      <c r="B279" s="1" t="b">
        <v>1</v>
      </c>
      <c r="D279" s="344" t="s">
        <v>1228</v>
      </c>
      <c r="E279" s="344" t="s">
        <v>1585</v>
      </c>
      <c r="F279" s="87" t="b">
        <v>1</v>
      </c>
      <c r="G279" s="10"/>
      <c r="S279" s="105"/>
    </row>
    <row r="280">
      <c r="A280" s="1" t="s">
        <v>1586</v>
      </c>
      <c r="B280" s="1" t="b">
        <v>1</v>
      </c>
      <c r="D280" s="344" t="s">
        <v>1228</v>
      </c>
      <c r="E280" s="344" t="s">
        <v>1587</v>
      </c>
      <c r="F280" s="87" t="b">
        <v>1</v>
      </c>
      <c r="G280" s="10"/>
      <c r="S280" s="105"/>
    </row>
    <row r="281">
      <c r="A281" s="1" t="s">
        <v>1588</v>
      </c>
      <c r="B281" s="1" t="b">
        <v>1</v>
      </c>
      <c r="D281" s="344" t="s">
        <v>1228</v>
      </c>
      <c r="E281" s="344" t="s">
        <v>1589</v>
      </c>
      <c r="F281" s="87" t="b">
        <v>1</v>
      </c>
      <c r="G281" s="10"/>
      <c r="S281" s="105"/>
    </row>
    <row r="282">
      <c r="A282" s="1" t="s">
        <v>1590</v>
      </c>
      <c r="B282" s="1" t="b">
        <v>1</v>
      </c>
      <c r="D282" s="344" t="s">
        <v>1228</v>
      </c>
      <c r="E282" s="344" t="s">
        <v>1591</v>
      </c>
      <c r="F282" s="87" t="b">
        <v>1</v>
      </c>
      <c r="G282" s="10"/>
      <c r="S282" s="105"/>
    </row>
    <row r="283">
      <c r="A283" s="1" t="s">
        <v>1592</v>
      </c>
      <c r="B283" s="1" t="b">
        <v>1</v>
      </c>
      <c r="D283" s="344" t="s">
        <v>1228</v>
      </c>
      <c r="E283" s="344" t="s">
        <v>1593</v>
      </c>
      <c r="F283" s="87" t="b">
        <v>1</v>
      </c>
      <c r="G283" s="10"/>
      <c r="S283" s="105"/>
    </row>
    <row r="284">
      <c r="A284" s="1" t="s">
        <v>1594</v>
      </c>
      <c r="B284" s="1" t="b">
        <v>1</v>
      </c>
      <c r="D284" s="344" t="s">
        <v>1228</v>
      </c>
      <c r="E284" s="344" t="s">
        <v>1595</v>
      </c>
      <c r="F284" s="87" t="b">
        <v>1</v>
      </c>
      <c r="G284" s="10"/>
      <c r="S284" s="105"/>
    </row>
    <row r="285">
      <c r="A285" s="1" t="s">
        <v>1596</v>
      </c>
      <c r="B285" s="1" t="b">
        <v>1</v>
      </c>
      <c r="D285" s="344" t="s">
        <v>1228</v>
      </c>
      <c r="E285" s="344" t="s">
        <v>1597</v>
      </c>
      <c r="F285" s="87" t="b">
        <v>1</v>
      </c>
      <c r="G285" s="10"/>
      <c r="S285" s="105"/>
    </row>
    <row r="286">
      <c r="A286" s="1" t="s">
        <v>1598</v>
      </c>
      <c r="B286" s="1" t="b">
        <v>1</v>
      </c>
      <c r="D286" s="344" t="s">
        <v>1228</v>
      </c>
      <c r="E286" s="344" t="s">
        <v>1599</v>
      </c>
      <c r="F286" s="87" t="b">
        <v>1</v>
      </c>
      <c r="G286" s="10"/>
      <c r="S286" s="105"/>
    </row>
    <row r="287">
      <c r="A287" s="1" t="s">
        <v>1600</v>
      </c>
      <c r="B287" s="1" t="b">
        <v>1</v>
      </c>
      <c r="D287" s="344" t="s">
        <v>1228</v>
      </c>
      <c r="E287" s="344" t="s">
        <v>1601</v>
      </c>
      <c r="F287" s="87" t="b">
        <v>1</v>
      </c>
      <c r="G287" s="10"/>
      <c r="S287" s="105"/>
    </row>
    <row r="288">
      <c r="A288" s="1" t="s">
        <v>1602</v>
      </c>
      <c r="B288" s="1" t="b">
        <v>1</v>
      </c>
      <c r="D288" s="344" t="s">
        <v>1228</v>
      </c>
      <c r="E288" s="344" t="s">
        <v>1603</v>
      </c>
      <c r="F288" s="87" t="b">
        <v>1</v>
      </c>
      <c r="G288" s="10"/>
      <c r="S288" s="105"/>
    </row>
    <row r="289">
      <c r="A289" s="1" t="s">
        <v>1604</v>
      </c>
      <c r="B289" s="1" t="b">
        <v>1</v>
      </c>
      <c r="D289" s="344" t="s">
        <v>1228</v>
      </c>
      <c r="E289" s="344" t="s">
        <v>1605</v>
      </c>
      <c r="F289" s="87" t="b">
        <v>1</v>
      </c>
      <c r="G289" s="10"/>
      <c r="S289" s="105"/>
    </row>
    <row r="290">
      <c r="A290" s="1" t="s">
        <v>1606</v>
      </c>
      <c r="B290" s="1" t="b">
        <v>1</v>
      </c>
      <c r="D290" s="344" t="s">
        <v>1228</v>
      </c>
      <c r="E290" s="344" t="s">
        <v>1607</v>
      </c>
      <c r="F290" s="87" t="b">
        <v>1</v>
      </c>
      <c r="G290" s="10"/>
      <c r="S290" s="105"/>
    </row>
    <row r="291">
      <c r="A291" s="1" t="s">
        <v>1608</v>
      </c>
      <c r="B291" s="1" t="b">
        <v>1</v>
      </c>
      <c r="D291" s="344" t="s">
        <v>1228</v>
      </c>
      <c r="E291" s="344" t="s">
        <v>1609</v>
      </c>
      <c r="F291" s="87" t="b">
        <v>1</v>
      </c>
      <c r="G291" s="10"/>
      <c r="S291" s="105"/>
    </row>
    <row r="292">
      <c r="A292" s="1" t="s">
        <v>1610</v>
      </c>
      <c r="B292" s="1" t="b">
        <v>1</v>
      </c>
      <c r="D292" s="344" t="s">
        <v>1228</v>
      </c>
      <c r="E292" s="344" t="s">
        <v>1611</v>
      </c>
      <c r="F292" s="87" t="b">
        <v>1</v>
      </c>
      <c r="G292" s="10"/>
      <c r="S292" s="105"/>
    </row>
    <row r="293">
      <c r="A293" s="1" t="s">
        <v>1612</v>
      </c>
      <c r="B293" s="1" t="b">
        <v>1</v>
      </c>
      <c r="D293" s="344" t="s">
        <v>1228</v>
      </c>
      <c r="E293" s="344" t="s">
        <v>1613</v>
      </c>
      <c r="F293" s="87" t="b">
        <v>1</v>
      </c>
      <c r="G293" s="10"/>
      <c r="S293" s="105"/>
    </row>
    <row r="294">
      <c r="A294" s="1" t="s">
        <v>1614</v>
      </c>
      <c r="B294" s="1" t="b">
        <v>1</v>
      </c>
      <c r="D294" s="344" t="s">
        <v>1228</v>
      </c>
      <c r="E294" s="344" t="s">
        <v>1615</v>
      </c>
      <c r="F294" s="87" t="b">
        <v>1</v>
      </c>
      <c r="G294" s="10"/>
      <c r="S294" s="105"/>
    </row>
    <row r="295">
      <c r="A295" s="1" t="s">
        <v>1616</v>
      </c>
      <c r="B295" s="1" t="b">
        <v>1</v>
      </c>
      <c r="D295" s="344" t="s">
        <v>1228</v>
      </c>
      <c r="E295" s="344" t="s">
        <v>1617</v>
      </c>
      <c r="F295" s="87" t="b">
        <v>1</v>
      </c>
      <c r="G295" s="10"/>
      <c r="S295" s="105"/>
    </row>
    <row r="296">
      <c r="A296" s="1" t="s">
        <v>1618</v>
      </c>
      <c r="B296" s="1" t="b">
        <v>1</v>
      </c>
      <c r="D296" s="344" t="s">
        <v>1228</v>
      </c>
      <c r="E296" s="344" t="s">
        <v>1619</v>
      </c>
      <c r="F296" s="87" t="b">
        <v>1</v>
      </c>
      <c r="G296" s="10"/>
      <c r="S296" s="105"/>
    </row>
    <row r="297">
      <c r="A297" s="1" t="s">
        <v>1620</v>
      </c>
      <c r="B297" s="1" t="b">
        <v>1</v>
      </c>
      <c r="D297" s="344" t="s">
        <v>1228</v>
      </c>
      <c r="E297" s="344" t="s">
        <v>1621</v>
      </c>
      <c r="F297" s="87" t="b">
        <v>1</v>
      </c>
      <c r="G297" s="10"/>
      <c r="S297" s="105"/>
    </row>
    <row r="298">
      <c r="A298" s="1" t="s">
        <v>1622</v>
      </c>
      <c r="B298" s="1" t="b">
        <v>1</v>
      </c>
      <c r="D298" s="344" t="s">
        <v>1228</v>
      </c>
      <c r="E298" s="344" t="s">
        <v>1623</v>
      </c>
      <c r="F298" s="87" t="b">
        <v>1</v>
      </c>
      <c r="G298" s="10"/>
      <c r="S298" s="105"/>
    </row>
    <row r="299">
      <c r="A299" s="1" t="s">
        <v>1624</v>
      </c>
      <c r="B299" s="1" t="b">
        <v>1</v>
      </c>
      <c r="D299" s="344" t="s">
        <v>1228</v>
      </c>
      <c r="E299" s="344" t="s">
        <v>1625</v>
      </c>
      <c r="F299" s="87" t="b">
        <v>1</v>
      </c>
      <c r="G299" s="10"/>
      <c r="S299" s="105"/>
    </row>
    <row r="300">
      <c r="A300" s="1" t="s">
        <v>1626</v>
      </c>
      <c r="B300" s="1" t="b">
        <v>1</v>
      </c>
      <c r="D300" s="344" t="s">
        <v>1228</v>
      </c>
      <c r="E300" s="344" t="s">
        <v>1627</v>
      </c>
      <c r="F300" s="87" t="b">
        <v>1</v>
      </c>
      <c r="G300" s="10"/>
      <c r="S300" s="105"/>
    </row>
    <row r="301">
      <c r="A301" s="1" t="s">
        <v>1628</v>
      </c>
      <c r="B301" s="1" t="b">
        <v>1</v>
      </c>
      <c r="D301" s="344" t="s">
        <v>1228</v>
      </c>
      <c r="E301" s="344" t="s">
        <v>1629</v>
      </c>
      <c r="F301" s="87" t="b">
        <v>1</v>
      </c>
      <c r="G301" s="10"/>
      <c r="S301" s="105"/>
    </row>
    <row r="302">
      <c r="A302" s="1" t="s">
        <v>1630</v>
      </c>
      <c r="B302" s="1" t="b">
        <v>1</v>
      </c>
      <c r="D302" s="344" t="s">
        <v>1228</v>
      </c>
      <c r="E302" s="344" t="s">
        <v>1631</v>
      </c>
      <c r="F302" s="87" t="b">
        <v>1</v>
      </c>
      <c r="G302" s="10"/>
      <c r="S302" s="105"/>
    </row>
    <row r="303">
      <c r="A303" s="1" t="s">
        <v>1632</v>
      </c>
      <c r="B303" s="1" t="b">
        <v>1</v>
      </c>
      <c r="D303" s="344" t="s">
        <v>1228</v>
      </c>
      <c r="E303" s="344" t="s">
        <v>1633</v>
      </c>
      <c r="F303" s="87" t="b">
        <v>1</v>
      </c>
      <c r="G303" s="10"/>
      <c r="S303" s="105"/>
    </row>
    <row r="304">
      <c r="A304" s="1" t="s">
        <v>1634</v>
      </c>
      <c r="B304" s="1" t="b">
        <v>1</v>
      </c>
      <c r="D304" s="344" t="s">
        <v>1228</v>
      </c>
      <c r="E304" s="344" t="s">
        <v>1635</v>
      </c>
      <c r="F304" s="87" t="b">
        <v>1</v>
      </c>
      <c r="G304" s="10"/>
      <c r="S304" s="105"/>
    </row>
    <row r="305">
      <c r="A305" s="1" t="s">
        <v>1636</v>
      </c>
      <c r="B305" s="1" t="b">
        <v>1</v>
      </c>
      <c r="D305" s="344" t="s">
        <v>1228</v>
      </c>
      <c r="E305" s="344" t="s">
        <v>1637</v>
      </c>
      <c r="F305" s="87" t="b">
        <v>1</v>
      </c>
      <c r="G305" s="10"/>
      <c r="S305" s="105"/>
    </row>
    <row r="306">
      <c r="A306" s="1" t="s">
        <v>1638</v>
      </c>
      <c r="B306" s="1" t="b">
        <v>1</v>
      </c>
      <c r="D306" s="344" t="s">
        <v>1228</v>
      </c>
      <c r="E306" s="344" t="s">
        <v>1639</v>
      </c>
      <c r="F306" s="87" t="b">
        <v>1</v>
      </c>
      <c r="G306" s="10"/>
      <c r="S306" s="105"/>
    </row>
    <row r="307">
      <c r="A307" s="1" t="s">
        <v>1640</v>
      </c>
      <c r="B307" s="1" t="b">
        <v>1</v>
      </c>
      <c r="D307" s="344" t="s">
        <v>1641</v>
      </c>
      <c r="E307" s="344" t="s">
        <v>1642</v>
      </c>
      <c r="F307" s="87" t="b">
        <v>1</v>
      </c>
      <c r="G307" s="10"/>
      <c r="S307" s="105"/>
    </row>
    <row r="308">
      <c r="A308" s="1" t="s">
        <v>1643</v>
      </c>
      <c r="B308" s="1" t="b">
        <v>1</v>
      </c>
      <c r="D308" s="344" t="s">
        <v>1641</v>
      </c>
      <c r="E308" s="344" t="s">
        <v>1644</v>
      </c>
      <c r="F308" s="87" t="b">
        <v>1</v>
      </c>
      <c r="G308" s="10"/>
      <c r="S308" s="105"/>
    </row>
    <row r="309">
      <c r="A309" s="1" t="s">
        <v>1645</v>
      </c>
      <c r="B309" s="1" t="b">
        <v>1</v>
      </c>
      <c r="D309" s="344" t="s">
        <v>1641</v>
      </c>
      <c r="E309" s="344" t="s">
        <v>1646</v>
      </c>
      <c r="F309" s="87" t="b">
        <v>1</v>
      </c>
      <c r="G309" s="10"/>
      <c r="S309" s="105"/>
    </row>
    <row r="310">
      <c r="A310" s="1" t="s">
        <v>1647</v>
      </c>
      <c r="B310" s="1" t="b">
        <v>0</v>
      </c>
      <c r="D310" s="344" t="s">
        <v>1641</v>
      </c>
      <c r="E310" s="344" t="s">
        <v>1648</v>
      </c>
      <c r="F310" s="87" t="b">
        <v>1</v>
      </c>
      <c r="G310" s="10"/>
      <c r="S310" s="105"/>
    </row>
    <row r="311">
      <c r="A311" s="1" t="s">
        <v>1649</v>
      </c>
      <c r="B311" s="1" t="b">
        <v>1</v>
      </c>
      <c r="D311" s="344" t="s">
        <v>1641</v>
      </c>
      <c r="E311" s="344" t="s">
        <v>1650</v>
      </c>
      <c r="F311" s="87" t="b">
        <v>1</v>
      </c>
      <c r="G311" s="10"/>
      <c r="S311" s="105"/>
    </row>
    <row r="312">
      <c r="A312" s="1" t="s">
        <v>1651</v>
      </c>
      <c r="B312" s="1" t="b">
        <v>1</v>
      </c>
      <c r="D312" s="344" t="s">
        <v>1641</v>
      </c>
      <c r="E312" s="344" t="s">
        <v>1652</v>
      </c>
      <c r="F312" s="87" t="b">
        <v>1</v>
      </c>
      <c r="G312" s="10"/>
      <c r="S312" s="105"/>
    </row>
    <row r="313">
      <c r="A313" s="1" t="s">
        <v>1653</v>
      </c>
      <c r="B313" s="1" t="b">
        <v>1</v>
      </c>
      <c r="D313" s="344" t="s">
        <v>1641</v>
      </c>
      <c r="E313" s="344" t="s">
        <v>1654</v>
      </c>
      <c r="F313" s="87" t="b">
        <v>1</v>
      </c>
      <c r="G313" s="10"/>
      <c r="S313" s="105"/>
    </row>
    <row r="314">
      <c r="A314" s="1" t="s">
        <v>1655</v>
      </c>
      <c r="B314" s="1" t="b">
        <v>1</v>
      </c>
      <c r="D314" s="344" t="s">
        <v>1641</v>
      </c>
      <c r="E314" s="344" t="s">
        <v>1656</v>
      </c>
      <c r="F314" s="87" t="b">
        <v>1</v>
      </c>
      <c r="G314" s="10"/>
      <c r="S314" s="105"/>
    </row>
    <row r="315">
      <c r="A315" s="1" t="s">
        <v>1657</v>
      </c>
      <c r="B315" s="1" t="b">
        <v>1</v>
      </c>
      <c r="D315" s="344" t="s">
        <v>1641</v>
      </c>
      <c r="E315" s="344" t="s">
        <v>1658</v>
      </c>
      <c r="F315" s="87" t="b">
        <v>1</v>
      </c>
      <c r="G315" s="10"/>
      <c r="S315" s="105"/>
    </row>
    <row r="316">
      <c r="A316" s="1" t="s">
        <v>1659</v>
      </c>
      <c r="B316" s="1" t="b">
        <v>1</v>
      </c>
      <c r="D316" s="344" t="s">
        <v>1641</v>
      </c>
      <c r="E316" s="344" t="s">
        <v>1660</v>
      </c>
      <c r="F316" s="87" t="b">
        <v>1</v>
      </c>
      <c r="G316" s="10"/>
      <c r="S316" s="105"/>
    </row>
    <row r="317">
      <c r="A317" s="1" t="s">
        <v>1661</v>
      </c>
      <c r="B317" s="1" t="b">
        <v>1</v>
      </c>
      <c r="D317" s="344" t="s">
        <v>1641</v>
      </c>
      <c r="E317" s="344" t="s">
        <v>1662</v>
      </c>
      <c r="F317" s="87" t="b">
        <v>1</v>
      </c>
      <c r="G317" s="10"/>
      <c r="S317" s="105"/>
    </row>
    <row r="318">
      <c r="A318" s="1" t="s">
        <v>1663</v>
      </c>
      <c r="B318" s="1" t="b">
        <v>1</v>
      </c>
      <c r="D318" s="344" t="s">
        <v>1641</v>
      </c>
      <c r="E318" s="344" t="s">
        <v>1664</v>
      </c>
      <c r="F318" s="87" t="b">
        <v>1</v>
      </c>
      <c r="G318" s="10"/>
      <c r="S318" s="105"/>
    </row>
    <row r="319">
      <c r="A319" s="1" t="s">
        <v>1665</v>
      </c>
      <c r="B319" s="1" t="b">
        <v>1</v>
      </c>
      <c r="D319" s="344" t="s">
        <v>1641</v>
      </c>
      <c r="E319" s="344" t="s">
        <v>1666</v>
      </c>
      <c r="F319" s="87" t="b">
        <v>1</v>
      </c>
      <c r="G319" s="10"/>
      <c r="S319" s="105"/>
    </row>
    <row r="320">
      <c r="A320" s="1" t="s">
        <v>1667</v>
      </c>
      <c r="B320" s="1" t="b">
        <v>1</v>
      </c>
      <c r="D320" s="344" t="s">
        <v>1641</v>
      </c>
      <c r="E320" s="344" t="s">
        <v>1668</v>
      </c>
      <c r="F320" s="87" t="b">
        <v>1</v>
      </c>
      <c r="G320" s="10"/>
      <c r="S320" s="105"/>
    </row>
    <row r="321">
      <c r="A321" s="1" t="s">
        <v>1669</v>
      </c>
      <c r="B321" s="1" t="b">
        <v>1</v>
      </c>
      <c r="D321" s="344" t="s">
        <v>1641</v>
      </c>
      <c r="E321" s="344" t="s">
        <v>1670</v>
      </c>
      <c r="F321" s="87" t="b">
        <v>1</v>
      </c>
      <c r="G321" s="10"/>
      <c r="S321" s="105"/>
    </row>
    <row r="322">
      <c r="A322" s="1" t="s">
        <v>1671</v>
      </c>
      <c r="B322" s="1" t="b">
        <v>0</v>
      </c>
      <c r="D322" s="344" t="s">
        <v>1641</v>
      </c>
      <c r="E322" s="344" t="s">
        <v>1672</v>
      </c>
      <c r="F322" s="87" t="b">
        <v>1</v>
      </c>
      <c r="G322" s="10"/>
      <c r="S322" s="105"/>
    </row>
    <row r="323">
      <c r="A323" s="1" t="s">
        <v>1673</v>
      </c>
      <c r="B323" s="1" t="b">
        <v>1</v>
      </c>
      <c r="D323" s="344" t="s">
        <v>1641</v>
      </c>
      <c r="E323" s="344" t="s">
        <v>1674</v>
      </c>
      <c r="F323" s="87" t="b">
        <v>1</v>
      </c>
      <c r="G323" s="10"/>
      <c r="S323" s="105"/>
    </row>
    <row r="324">
      <c r="A324" s="1" t="s">
        <v>1675</v>
      </c>
      <c r="B324" s="1" t="b">
        <v>1</v>
      </c>
      <c r="D324" s="344" t="s">
        <v>1641</v>
      </c>
      <c r="E324" s="344" t="s">
        <v>1676</v>
      </c>
      <c r="F324" s="87" t="b">
        <v>1</v>
      </c>
      <c r="G324" s="10"/>
      <c r="S324" s="105"/>
    </row>
    <row r="325">
      <c r="A325" s="1" t="s">
        <v>1677</v>
      </c>
      <c r="B325" s="1" t="b">
        <v>1</v>
      </c>
      <c r="D325" s="344" t="s">
        <v>1641</v>
      </c>
      <c r="E325" s="344" t="s">
        <v>1678</v>
      </c>
      <c r="F325" s="87" t="b">
        <v>1</v>
      </c>
      <c r="G325" s="10"/>
      <c r="S325" s="105"/>
    </row>
    <row r="326">
      <c r="A326" s="1" t="s">
        <v>1679</v>
      </c>
      <c r="B326" s="1" t="b">
        <v>1</v>
      </c>
      <c r="D326" s="344" t="s">
        <v>1641</v>
      </c>
      <c r="E326" s="344" t="s">
        <v>1680</v>
      </c>
      <c r="F326" s="87" t="b">
        <v>1</v>
      </c>
      <c r="G326" s="10"/>
      <c r="S326" s="105"/>
    </row>
    <row r="327">
      <c r="A327" s="1" t="s">
        <v>1681</v>
      </c>
      <c r="B327" s="1" t="b">
        <v>1</v>
      </c>
      <c r="D327" s="344" t="s">
        <v>1641</v>
      </c>
      <c r="E327" s="344" t="s">
        <v>1682</v>
      </c>
      <c r="F327" s="87" t="b">
        <v>1</v>
      </c>
      <c r="G327" s="10"/>
      <c r="S327" s="105"/>
    </row>
    <row r="328">
      <c r="A328" s="1" t="s">
        <v>1683</v>
      </c>
      <c r="B328" s="1" t="b">
        <v>1</v>
      </c>
      <c r="D328" s="344" t="s">
        <v>1641</v>
      </c>
      <c r="E328" s="344" t="s">
        <v>1684</v>
      </c>
      <c r="F328" s="87" t="b">
        <v>1</v>
      </c>
      <c r="G328" s="10"/>
      <c r="S328" s="105"/>
    </row>
    <row r="329">
      <c r="A329" s="1" t="s">
        <v>1685</v>
      </c>
      <c r="B329" s="1" t="b">
        <v>1</v>
      </c>
      <c r="D329" s="344" t="s">
        <v>1641</v>
      </c>
      <c r="E329" s="344" t="s">
        <v>1686</v>
      </c>
      <c r="F329" s="87" t="b">
        <v>1</v>
      </c>
      <c r="G329" s="10"/>
      <c r="S329" s="105"/>
    </row>
    <row r="330">
      <c r="A330" s="1" t="s">
        <v>1687</v>
      </c>
      <c r="B330" s="1" t="b">
        <v>1</v>
      </c>
      <c r="D330" s="344" t="s">
        <v>1641</v>
      </c>
      <c r="E330" s="344" t="s">
        <v>1688</v>
      </c>
      <c r="F330" s="87" t="b">
        <v>1</v>
      </c>
      <c r="G330" s="10"/>
      <c r="S330" s="105"/>
    </row>
    <row r="331">
      <c r="A331" s="1" t="s">
        <v>1689</v>
      </c>
      <c r="B331" s="1" t="b">
        <v>1</v>
      </c>
      <c r="D331" s="344" t="s">
        <v>1641</v>
      </c>
      <c r="E331" s="344" t="s">
        <v>1690</v>
      </c>
      <c r="F331" s="87" t="b">
        <v>1</v>
      </c>
      <c r="G331" s="10"/>
      <c r="S331" s="105"/>
    </row>
    <row r="332">
      <c r="A332" s="1" t="s">
        <v>1691</v>
      </c>
      <c r="B332" s="1" t="b">
        <v>1</v>
      </c>
      <c r="D332" s="344" t="s">
        <v>1641</v>
      </c>
      <c r="E332" s="344" t="s">
        <v>1692</v>
      </c>
      <c r="F332" s="87" t="b">
        <v>1</v>
      </c>
      <c r="G332" s="10"/>
      <c r="S332" s="105"/>
    </row>
    <row r="333">
      <c r="A333" s="1" t="s">
        <v>1693</v>
      </c>
      <c r="B333" s="1" t="b">
        <v>1</v>
      </c>
      <c r="D333" s="344" t="s">
        <v>1641</v>
      </c>
      <c r="E333" s="344" t="s">
        <v>1694</v>
      </c>
      <c r="F333" s="87" t="b">
        <v>1</v>
      </c>
      <c r="G333" s="10"/>
      <c r="S333" s="105"/>
    </row>
    <row r="334">
      <c r="A334" s="1" t="s">
        <v>1695</v>
      </c>
      <c r="B334" s="1" t="b">
        <v>1</v>
      </c>
      <c r="D334" s="344" t="s">
        <v>1641</v>
      </c>
      <c r="E334" s="344" t="s">
        <v>1696</v>
      </c>
      <c r="F334" s="87" t="b">
        <v>1</v>
      </c>
      <c r="G334" s="10"/>
      <c r="S334" s="105"/>
    </row>
    <row r="335">
      <c r="A335" s="1" t="s">
        <v>1697</v>
      </c>
      <c r="B335" s="1" t="b">
        <v>1</v>
      </c>
      <c r="D335" s="344" t="s">
        <v>1641</v>
      </c>
      <c r="E335" s="344" t="s">
        <v>1698</v>
      </c>
      <c r="F335" s="87" t="b">
        <v>1</v>
      </c>
      <c r="G335" s="10"/>
      <c r="S335" s="105"/>
    </row>
    <row r="336">
      <c r="A336" s="1" t="s">
        <v>1699</v>
      </c>
      <c r="B336" s="1" t="b">
        <v>1</v>
      </c>
      <c r="D336" s="344" t="s">
        <v>1641</v>
      </c>
      <c r="E336" s="344" t="s">
        <v>1700</v>
      </c>
      <c r="F336" s="87" t="b">
        <v>1</v>
      </c>
      <c r="G336" s="10"/>
      <c r="S336" s="105"/>
    </row>
    <row r="337">
      <c r="A337" s="1" t="s">
        <v>1701</v>
      </c>
      <c r="B337" s="1" t="b">
        <v>1</v>
      </c>
      <c r="D337" s="344" t="s">
        <v>1641</v>
      </c>
      <c r="E337" s="344" t="s">
        <v>1702</v>
      </c>
      <c r="F337" s="87" t="b">
        <v>1</v>
      </c>
      <c r="G337" s="10"/>
      <c r="S337" s="105"/>
    </row>
    <row r="338">
      <c r="A338" s="1" t="s">
        <v>1703</v>
      </c>
      <c r="B338" s="1" t="b">
        <v>1</v>
      </c>
      <c r="D338" s="344" t="s">
        <v>1641</v>
      </c>
      <c r="E338" s="344" t="s">
        <v>1704</v>
      </c>
      <c r="F338" s="87" t="b">
        <v>1</v>
      </c>
      <c r="G338" s="10"/>
      <c r="S338" s="105"/>
    </row>
    <row r="339">
      <c r="A339" s="1" t="s">
        <v>1705</v>
      </c>
      <c r="B339" s="1" t="b">
        <v>1</v>
      </c>
      <c r="D339" s="344" t="s">
        <v>1641</v>
      </c>
      <c r="E339" s="344" t="s">
        <v>1706</v>
      </c>
      <c r="F339" s="87" t="b">
        <v>1</v>
      </c>
      <c r="G339" s="10"/>
      <c r="S339" s="105"/>
    </row>
    <row r="340">
      <c r="A340" s="1" t="s">
        <v>1707</v>
      </c>
      <c r="B340" s="1" t="b">
        <v>1</v>
      </c>
      <c r="D340" s="344" t="s">
        <v>1641</v>
      </c>
      <c r="E340" s="344" t="s">
        <v>1708</v>
      </c>
      <c r="F340" s="87" t="b">
        <v>1</v>
      </c>
      <c r="G340" s="10"/>
      <c r="S340" s="105"/>
    </row>
    <row r="341">
      <c r="A341" s="1" t="s">
        <v>1709</v>
      </c>
      <c r="B341" s="1" t="b">
        <v>1</v>
      </c>
      <c r="D341" s="344" t="s">
        <v>1641</v>
      </c>
      <c r="E341" s="344" t="s">
        <v>1710</v>
      </c>
      <c r="F341" s="87" t="b">
        <v>1</v>
      </c>
      <c r="G341" s="10"/>
      <c r="S341" s="105"/>
    </row>
    <row r="342">
      <c r="A342" s="1" t="s">
        <v>1711</v>
      </c>
      <c r="B342" s="1" t="b">
        <v>1</v>
      </c>
      <c r="D342" s="344" t="s">
        <v>1641</v>
      </c>
      <c r="E342" s="344" t="s">
        <v>1712</v>
      </c>
      <c r="F342" s="87" t="b">
        <v>1</v>
      </c>
      <c r="G342" s="10"/>
      <c r="S342" s="105"/>
    </row>
    <row r="343">
      <c r="A343" s="1" t="s">
        <v>1713</v>
      </c>
      <c r="B343" s="1" t="b">
        <v>1</v>
      </c>
      <c r="D343" s="344" t="s">
        <v>1641</v>
      </c>
      <c r="E343" s="344" t="s">
        <v>1714</v>
      </c>
      <c r="F343" s="87" t="b">
        <v>1</v>
      </c>
      <c r="G343" s="10"/>
      <c r="S343" s="105"/>
    </row>
    <row r="344">
      <c r="A344" s="1" t="s">
        <v>1715</v>
      </c>
      <c r="B344" s="1" t="b">
        <v>1</v>
      </c>
      <c r="D344" s="344" t="s">
        <v>1641</v>
      </c>
      <c r="E344" s="344" t="s">
        <v>1716</v>
      </c>
      <c r="F344" s="87" t="b">
        <v>1</v>
      </c>
      <c r="G344" s="10"/>
      <c r="S344" s="105"/>
    </row>
    <row r="345">
      <c r="A345" s="1" t="s">
        <v>1717</v>
      </c>
      <c r="B345" s="1" t="b">
        <v>1</v>
      </c>
      <c r="D345" s="344" t="s">
        <v>1641</v>
      </c>
      <c r="E345" s="344" t="s">
        <v>1718</v>
      </c>
      <c r="F345" s="87" t="b">
        <v>1</v>
      </c>
      <c r="G345" s="10"/>
      <c r="S345" s="105"/>
    </row>
    <row r="346">
      <c r="A346" s="1" t="s">
        <v>1719</v>
      </c>
      <c r="B346" s="1" t="b">
        <v>1</v>
      </c>
      <c r="D346" s="344" t="s">
        <v>1641</v>
      </c>
      <c r="E346" s="344" t="s">
        <v>1720</v>
      </c>
      <c r="F346" s="87" t="b">
        <v>1</v>
      </c>
      <c r="G346" s="10"/>
      <c r="S346" s="105"/>
    </row>
    <row r="347">
      <c r="A347" s="1" t="s">
        <v>1721</v>
      </c>
      <c r="B347" s="1" t="b">
        <v>1</v>
      </c>
      <c r="D347" s="344" t="s">
        <v>1641</v>
      </c>
      <c r="E347" s="344" t="s">
        <v>1722</v>
      </c>
      <c r="F347" s="87" t="b">
        <v>1</v>
      </c>
      <c r="G347" s="10"/>
      <c r="S347" s="105"/>
    </row>
    <row r="348">
      <c r="A348" s="1" t="s">
        <v>1723</v>
      </c>
      <c r="B348" s="1" t="b">
        <v>1</v>
      </c>
      <c r="D348" s="344" t="s">
        <v>1641</v>
      </c>
      <c r="E348" s="344" t="s">
        <v>1724</v>
      </c>
      <c r="F348" s="87" t="b">
        <v>1</v>
      </c>
      <c r="G348" s="10"/>
      <c r="S348" s="105"/>
    </row>
    <row r="349">
      <c r="A349" s="1" t="s">
        <v>1725</v>
      </c>
      <c r="B349" s="1" t="b">
        <v>1</v>
      </c>
      <c r="D349" s="344" t="s">
        <v>1641</v>
      </c>
      <c r="E349" s="344" t="s">
        <v>1726</v>
      </c>
      <c r="F349" s="87" t="b">
        <v>1</v>
      </c>
      <c r="G349" s="10"/>
      <c r="S349" s="105"/>
    </row>
    <row r="350">
      <c r="A350" s="1" t="s">
        <v>1727</v>
      </c>
      <c r="B350" s="1" t="b">
        <v>1</v>
      </c>
      <c r="D350" s="344" t="s">
        <v>1641</v>
      </c>
      <c r="E350" s="344" t="s">
        <v>1728</v>
      </c>
      <c r="F350" s="87" t="b">
        <v>1</v>
      </c>
      <c r="G350" s="10"/>
      <c r="S350" s="105"/>
    </row>
    <row r="351">
      <c r="A351" s="1" t="s">
        <v>1729</v>
      </c>
      <c r="B351" s="1" t="b">
        <v>1</v>
      </c>
      <c r="D351" s="344" t="s">
        <v>1641</v>
      </c>
      <c r="E351" s="344" t="s">
        <v>1730</v>
      </c>
      <c r="F351" s="87" t="b">
        <v>1</v>
      </c>
      <c r="G351" s="10"/>
      <c r="S351" s="105"/>
    </row>
    <row r="352">
      <c r="A352" s="1" t="s">
        <v>1731</v>
      </c>
      <c r="B352" s="1" t="b">
        <v>1</v>
      </c>
      <c r="D352" s="344" t="s">
        <v>1641</v>
      </c>
      <c r="E352" s="344" t="s">
        <v>1732</v>
      </c>
      <c r="F352" s="87" t="b">
        <v>1</v>
      </c>
      <c r="G352" s="10"/>
      <c r="S352" s="105"/>
    </row>
    <row r="353">
      <c r="A353" s="1" t="s">
        <v>1733</v>
      </c>
      <c r="B353" s="1" t="b">
        <v>1</v>
      </c>
      <c r="D353" s="344" t="s">
        <v>1641</v>
      </c>
      <c r="E353" s="344" t="s">
        <v>1734</v>
      </c>
      <c r="F353" s="87" t="b">
        <v>1</v>
      </c>
      <c r="G353" s="10"/>
      <c r="S353" s="105"/>
    </row>
    <row r="354">
      <c r="A354" s="1" t="s">
        <v>1735</v>
      </c>
      <c r="B354" s="1" t="b">
        <v>0</v>
      </c>
      <c r="D354" s="344" t="s">
        <v>1641</v>
      </c>
      <c r="E354" s="344" t="s">
        <v>1736</v>
      </c>
      <c r="F354" s="87" t="b">
        <v>1</v>
      </c>
      <c r="G354" s="10"/>
      <c r="S354" s="105"/>
    </row>
    <row r="355">
      <c r="A355" s="1" t="s">
        <v>1737</v>
      </c>
      <c r="B355" s="1" t="b">
        <v>1</v>
      </c>
      <c r="D355" s="344" t="s">
        <v>1641</v>
      </c>
      <c r="E355" s="344" t="s">
        <v>1738</v>
      </c>
      <c r="F355" s="87" t="b">
        <v>1</v>
      </c>
      <c r="G355" s="10"/>
      <c r="S355" s="105"/>
    </row>
    <row r="356">
      <c r="A356" s="1" t="s">
        <v>1739</v>
      </c>
      <c r="B356" s="1" t="b">
        <v>1</v>
      </c>
      <c r="D356" s="344" t="s">
        <v>1641</v>
      </c>
      <c r="E356" s="344" t="s">
        <v>1740</v>
      </c>
      <c r="F356" s="87" t="b">
        <v>1</v>
      </c>
      <c r="G356" s="10"/>
      <c r="S356" s="105"/>
    </row>
    <row r="357">
      <c r="A357" s="1" t="s">
        <v>1741</v>
      </c>
      <c r="B357" s="1" t="b">
        <v>0</v>
      </c>
      <c r="D357" s="344" t="s">
        <v>1641</v>
      </c>
      <c r="E357" s="344" t="s">
        <v>1742</v>
      </c>
      <c r="F357" s="87" t="b">
        <v>1</v>
      </c>
      <c r="G357" s="10"/>
      <c r="S357" s="105"/>
    </row>
    <row r="358">
      <c r="A358" s="1" t="s">
        <v>1743</v>
      </c>
      <c r="B358" s="1" t="b">
        <v>0</v>
      </c>
      <c r="D358" s="344" t="s">
        <v>1641</v>
      </c>
      <c r="E358" s="344" t="s">
        <v>1744</v>
      </c>
      <c r="F358" s="87" t="b">
        <v>1</v>
      </c>
      <c r="G358" s="10"/>
      <c r="S358" s="105"/>
    </row>
    <row r="359">
      <c r="A359" s="1" t="s">
        <v>1745</v>
      </c>
      <c r="B359" s="1" t="b">
        <v>0</v>
      </c>
      <c r="D359" s="344" t="s">
        <v>1641</v>
      </c>
      <c r="E359" s="344" t="s">
        <v>1746</v>
      </c>
      <c r="F359" s="87" t="b">
        <v>1</v>
      </c>
      <c r="G359" s="10"/>
      <c r="S359" s="105"/>
    </row>
    <row r="360">
      <c r="A360" s="1" t="s">
        <v>1747</v>
      </c>
      <c r="B360" s="1" t="b">
        <v>0</v>
      </c>
      <c r="D360" s="344" t="s">
        <v>1641</v>
      </c>
      <c r="E360" s="344" t="s">
        <v>1748</v>
      </c>
      <c r="F360" s="87" t="b">
        <v>1</v>
      </c>
      <c r="G360" s="10"/>
      <c r="S360" s="105"/>
    </row>
    <row r="361">
      <c r="A361" s="1" t="s">
        <v>1749</v>
      </c>
      <c r="B361" s="1" t="b">
        <v>1</v>
      </c>
      <c r="D361" s="344" t="s">
        <v>1641</v>
      </c>
      <c r="E361" s="344" t="s">
        <v>1750</v>
      </c>
      <c r="F361" s="87" t="b">
        <v>1</v>
      </c>
      <c r="G361" s="10"/>
      <c r="S361" s="105"/>
    </row>
    <row r="362">
      <c r="A362" s="1" t="s">
        <v>1751</v>
      </c>
      <c r="B362" s="1" t="b">
        <v>1</v>
      </c>
      <c r="D362" s="344" t="s">
        <v>1641</v>
      </c>
      <c r="E362" s="344" t="s">
        <v>1752</v>
      </c>
      <c r="F362" s="87" t="b">
        <v>1</v>
      </c>
      <c r="G362" s="10"/>
      <c r="S362" s="105"/>
    </row>
    <row r="363">
      <c r="A363" s="1" t="s">
        <v>1753</v>
      </c>
      <c r="B363" s="1" t="b">
        <v>1</v>
      </c>
      <c r="D363" s="344" t="s">
        <v>1641</v>
      </c>
      <c r="E363" s="344" t="s">
        <v>1754</v>
      </c>
      <c r="F363" s="87" t="b">
        <v>1</v>
      </c>
      <c r="G363" s="10"/>
      <c r="S363" s="105"/>
    </row>
    <row r="364">
      <c r="A364" s="1" t="s">
        <v>1755</v>
      </c>
      <c r="B364" s="1" t="b">
        <v>1</v>
      </c>
      <c r="D364" s="344" t="s">
        <v>1641</v>
      </c>
      <c r="E364" s="344" t="s">
        <v>1756</v>
      </c>
      <c r="F364" s="87" t="b">
        <v>1</v>
      </c>
      <c r="G364" s="10"/>
      <c r="S364" s="105"/>
    </row>
    <row r="365">
      <c r="A365" s="1" t="s">
        <v>1757</v>
      </c>
      <c r="B365" s="1" t="b">
        <v>1</v>
      </c>
      <c r="D365" s="344" t="s">
        <v>1641</v>
      </c>
      <c r="E365" s="344" t="s">
        <v>1758</v>
      </c>
      <c r="F365" s="87" t="b">
        <v>1</v>
      </c>
      <c r="G365" s="10"/>
      <c r="S365" s="105"/>
    </row>
    <row r="366">
      <c r="A366" s="1" t="s">
        <v>1759</v>
      </c>
      <c r="B366" s="1" t="b">
        <v>1</v>
      </c>
      <c r="D366" s="344" t="s">
        <v>1641</v>
      </c>
      <c r="E366" s="344" t="s">
        <v>1760</v>
      </c>
      <c r="F366" s="87" t="b">
        <v>1</v>
      </c>
      <c r="G366" s="10"/>
      <c r="S366" s="105"/>
    </row>
    <row r="367">
      <c r="A367" s="1" t="s">
        <v>1761</v>
      </c>
      <c r="B367" s="1" t="b">
        <v>1</v>
      </c>
      <c r="D367" s="344" t="s">
        <v>1762</v>
      </c>
      <c r="E367" s="344" t="s">
        <v>1763</v>
      </c>
      <c r="F367" s="87" t="b">
        <v>1</v>
      </c>
      <c r="G367" s="10"/>
      <c r="S367" s="105"/>
    </row>
    <row r="368">
      <c r="A368" s="1" t="s">
        <v>1764</v>
      </c>
      <c r="B368" s="1" t="b">
        <v>0</v>
      </c>
      <c r="D368" s="344" t="s">
        <v>1762</v>
      </c>
      <c r="E368" s="344" t="s">
        <v>1765</v>
      </c>
      <c r="F368" s="87" t="b">
        <v>1</v>
      </c>
      <c r="G368" s="87"/>
      <c r="S368" s="105"/>
    </row>
    <row r="369">
      <c r="A369" s="1" t="s">
        <v>1766</v>
      </c>
      <c r="B369" s="1" t="b">
        <v>0</v>
      </c>
      <c r="D369" s="344" t="s">
        <v>1762</v>
      </c>
      <c r="E369" s="344" t="s">
        <v>1767</v>
      </c>
      <c r="F369" s="10" t="b">
        <v>0</v>
      </c>
      <c r="G369" s="87" t="s">
        <v>1073</v>
      </c>
      <c r="S369" s="105"/>
    </row>
    <row r="370">
      <c r="A370" s="1" t="s">
        <v>1768</v>
      </c>
      <c r="B370" s="1" t="b">
        <v>0</v>
      </c>
      <c r="D370" s="344" t="s">
        <v>1762</v>
      </c>
      <c r="E370" s="344" t="s">
        <v>1769</v>
      </c>
      <c r="F370" s="87" t="b">
        <v>1</v>
      </c>
      <c r="G370" s="10"/>
      <c r="S370" s="105"/>
    </row>
    <row r="371">
      <c r="A371" s="1" t="s">
        <v>1770</v>
      </c>
      <c r="B371" s="1" t="b">
        <v>0</v>
      </c>
      <c r="D371" s="344" t="s">
        <v>1762</v>
      </c>
      <c r="E371" s="344" t="s">
        <v>1771</v>
      </c>
      <c r="F371" s="87" t="b">
        <v>1</v>
      </c>
      <c r="G371" s="10"/>
      <c r="S371" s="105"/>
    </row>
    <row r="372">
      <c r="A372" s="1" t="s">
        <v>1772</v>
      </c>
      <c r="B372" s="1" t="b">
        <v>0</v>
      </c>
      <c r="D372" s="344" t="s">
        <v>1762</v>
      </c>
      <c r="E372" s="344" t="s">
        <v>1773</v>
      </c>
      <c r="F372" s="337" t="b">
        <v>1</v>
      </c>
      <c r="G372" s="337" t="s">
        <v>1020</v>
      </c>
      <c r="S372" s="105"/>
    </row>
    <row r="373">
      <c r="A373" s="1" t="s">
        <v>1774</v>
      </c>
      <c r="B373" s="1" t="b">
        <v>1</v>
      </c>
      <c r="D373" s="344" t="s">
        <v>1762</v>
      </c>
      <c r="E373" s="344" t="s">
        <v>1775</v>
      </c>
      <c r="F373" s="87" t="b">
        <v>1</v>
      </c>
      <c r="G373" s="10"/>
      <c r="S373" s="105"/>
    </row>
    <row r="374">
      <c r="A374" s="1" t="s">
        <v>1776</v>
      </c>
      <c r="B374" s="1" t="b">
        <v>1</v>
      </c>
      <c r="D374" s="344" t="s">
        <v>1777</v>
      </c>
      <c r="E374" s="344" t="s">
        <v>1778</v>
      </c>
      <c r="F374" s="87" t="b">
        <v>1</v>
      </c>
      <c r="G374" s="10"/>
      <c r="S374" s="105"/>
    </row>
    <row r="375">
      <c r="A375" s="1" t="s">
        <v>1779</v>
      </c>
      <c r="B375" s="1" t="b">
        <v>1</v>
      </c>
      <c r="D375" s="344" t="s">
        <v>1780</v>
      </c>
      <c r="E375" s="344" t="s">
        <v>1781</v>
      </c>
      <c r="F375" s="87" t="b">
        <v>1</v>
      </c>
      <c r="G375" s="10"/>
      <c r="S375" s="105"/>
    </row>
    <row r="376">
      <c r="A376" s="1" t="s">
        <v>1782</v>
      </c>
      <c r="B376" s="1" t="b">
        <v>0</v>
      </c>
      <c r="D376" s="344" t="s">
        <v>1783</v>
      </c>
      <c r="E376" s="344" t="s">
        <v>1784</v>
      </c>
      <c r="F376" s="87" t="b">
        <v>1</v>
      </c>
      <c r="G376" s="10"/>
      <c r="S376" s="105"/>
    </row>
    <row r="377">
      <c r="A377" s="1" t="s">
        <v>1785</v>
      </c>
      <c r="B377" s="1" t="b">
        <v>1</v>
      </c>
      <c r="D377" s="344" t="s">
        <v>1783</v>
      </c>
      <c r="E377" s="344" t="s">
        <v>1786</v>
      </c>
      <c r="F377" s="87" t="b">
        <v>1</v>
      </c>
      <c r="G377" s="10"/>
      <c r="S377" s="105"/>
    </row>
    <row r="378">
      <c r="A378" s="1" t="s">
        <v>1787</v>
      </c>
      <c r="B378" s="1" t="b">
        <v>1</v>
      </c>
      <c r="D378" s="344" t="s">
        <v>1783</v>
      </c>
      <c r="E378" s="344" t="s">
        <v>1788</v>
      </c>
      <c r="F378" s="87" t="b">
        <v>1</v>
      </c>
      <c r="G378" s="10"/>
      <c r="S378" s="105"/>
    </row>
    <row r="379">
      <c r="A379" s="1" t="s">
        <v>1789</v>
      </c>
      <c r="B379" s="1" t="b">
        <v>1</v>
      </c>
      <c r="D379" s="344" t="s">
        <v>1783</v>
      </c>
      <c r="E379" s="344" t="s">
        <v>1790</v>
      </c>
      <c r="F379" s="87" t="b">
        <v>1</v>
      </c>
      <c r="G379" s="10"/>
      <c r="S379" s="105"/>
    </row>
    <row r="380">
      <c r="A380" s="1" t="s">
        <v>1791</v>
      </c>
      <c r="B380" s="1" t="b">
        <v>1</v>
      </c>
      <c r="D380" s="344" t="s">
        <v>1783</v>
      </c>
      <c r="E380" s="344" t="s">
        <v>1792</v>
      </c>
      <c r="F380" s="87" t="b">
        <v>1</v>
      </c>
      <c r="G380" s="10"/>
      <c r="S380" s="105"/>
    </row>
    <row r="381">
      <c r="A381" s="1" t="s">
        <v>1793</v>
      </c>
      <c r="B381" s="1" t="b">
        <v>1</v>
      </c>
      <c r="D381" s="344" t="s">
        <v>1783</v>
      </c>
      <c r="E381" s="344" t="s">
        <v>1794</v>
      </c>
      <c r="F381" s="87" t="b">
        <v>1</v>
      </c>
      <c r="G381" s="10"/>
      <c r="S381" s="105"/>
    </row>
    <row r="382">
      <c r="A382" s="1" t="s">
        <v>1795</v>
      </c>
      <c r="B382" s="1" t="b">
        <v>1</v>
      </c>
      <c r="D382" s="344" t="s">
        <v>1783</v>
      </c>
      <c r="E382" s="344" t="s">
        <v>1796</v>
      </c>
      <c r="F382" s="87" t="b">
        <v>1</v>
      </c>
      <c r="G382" s="10"/>
      <c r="S382" s="105"/>
    </row>
    <row r="383">
      <c r="A383" s="1" t="s">
        <v>1797</v>
      </c>
      <c r="B383" s="1" t="b">
        <v>0</v>
      </c>
      <c r="D383" s="344" t="s">
        <v>1783</v>
      </c>
      <c r="E383" s="344" t="s">
        <v>1798</v>
      </c>
      <c r="F383" s="87" t="b">
        <v>1</v>
      </c>
      <c r="G383" s="10"/>
      <c r="S383" s="105"/>
    </row>
    <row r="384">
      <c r="A384" s="1" t="s">
        <v>1471</v>
      </c>
      <c r="B384" s="1" t="b">
        <v>1</v>
      </c>
      <c r="D384" s="344" t="s">
        <v>1783</v>
      </c>
      <c r="E384" s="344" t="s">
        <v>1799</v>
      </c>
      <c r="F384" s="87" t="b">
        <v>1</v>
      </c>
      <c r="G384" s="10"/>
      <c r="S384" s="105"/>
    </row>
    <row r="385">
      <c r="A385" s="1" t="s">
        <v>1800</v>
      </c>
      <c r="B385" s="1" t="b">
        <v>1</v>
      </c>
      <c r="D385" s="344" t="s">
        <v>1783</v>
      </c>
      <c r="E385" s="344" t="s">
        <v>1801</v>
      </c>
      <c r="F385" s="87" t="b">
        <v>1</v>
      </c>
      <c r="G385" s="10"/>
      <c r="S385" s="105"/>
    </row>
    <row r="386">
      <c r="A386" s="1" t="s">
        <v>1802</v>
      </c>
      <c r="B386" s="1" t="b">
        <v>1</v>
      </c>
      <c r="D386" s="344" t="s">
        <v>1783</v>
      </c>
      <c r="E386" s="344" t="s">
        <v>1803</v>
      </c>
      <c r="F386" s="87" t="b">
        <v>1</v>
      </c>
      <c r="G386" s="10"/>
      <c r="S386" s="105"/>
    </row>
    <row r="387">
      <c r="A387" s="1" t="s">
        <v>1804</v>
      </c>
      <c r="B387" s="1" t="b">
        <v>1</v>
      </c>
      <c r="D387" s="344" t="s">
        <v>1783</v>
      </c>
      <c r="E387" s="344" t="s">
        <v>1805</v>
      </c>
      <c r="F387" s="87" t="b">
        <v>1</v>
      </c>
      <c r="G387" s="10"/>
      <c r="S387" s="105"/>
    </row>
    <row r="388">
      <c r="A388" s="1" t="s">
        <v>1202</v>
      </c>
      <c r="B388" s="1" t="b">
        <v>1</v>
      </c>
      <c r="D388" s="344" t="s">
        <v>1783</v>
      </c>
      <c r="E388" s="344" t="s">
        <v>1806</v>
      </c>
      <c r="F388" s="87" t="b">
        <v>1</v>
      </c>
      <c r="G388" s="10"/>
      <c r="S388" s="105"/>
    </row>
    <row r="389">
      <c r="A389" s="1" t="s">
        <v>1807</v>
      </c>
      <c r="B389" s="1" t="b">
        <v>1</v>
      </c>
      <c r="D389" s="344" t="s">
        <v>1783</v>
      </c>
      <c r="E389" s="344" t="s">
        <v>1808</v>
      </c>
      <c r="F389" s="87" t="b">
        <v>1</v>
      </c>
      <c r="G389" s="10"/>
      <c r="S389" s="105"/>
    </row>
    <row r="390">
      <c r="A390" s="1" t="s">
        <v>1809</v>
      </c>
      <c r="B390" s="1" t="b">
        <v>1</v>
      </c>
      <c r="D390" s="344" t="s">
        <v>1783</v>
      </c>
      <c r="E390" s="344" t="s">
        <v>1810</v>
      </c>
      <c r="F390" s="87" t="b">
        <v>1</v>
      </c>
      <c r="G390" s="10"/>
      <c r="S390" s="105"/>
    </row>
    <row r="391">
      <c r="A391" s="1" t="s">
        <v>1811</v>
      </c>
      <c r="B391" s="1" t="b">
        <v>1</v>
      </c>
      <c r="D391" s="344" t="s">
        <v>1812</v>
      </c>
      <c r="E391" s="344" t="s">
        <v>1813</v>
      </c>
      <c r="F391" s="87" t="b">
        <v>1</v>
      </c>
      <c r="G391" s="10"/>
      <c r="S391" s="105"/>
    </row>
    <row r="392">
      <c r="A392" s="1" t="s">
        <v>1814</v>
      </c>
      <c r="B392" s="1" t="b">
        <v>1</v>
      </c>
      <c r="D392" s="344" t="s">
        <v>1815</v>
      </c>
      <c r="E392" s="344" t="s">
        <v>1816</v>
      </c>
      <c r="F392" s="87" t="b">
        <v>1</v>
      </c>
      <c r="G392" s="10"/>
      <c r="S392" s="105"/>
    </row>
    <row r="393">
      <c r="A393" s="1" t="s">
        <v>1817</v>
      </c>
      <c r="B393" s="1" t="b">
        <v>1</v>
      </c>
      <c r="D393" s="344" t="s">
        <v>1818</v>
      </c>
      <c r="E393" s="344" t="s">
        <v>1819</v>
      </c>
      <c r="F393" s="87" t="b">
        <v>1</v>
      </c>
      <c r="G393" s="87" t="s">
        <v>1020</v>
      </c>
      <c r="S393" s="105"/>
    </row>
    <row r="394">
      <c r="A394" s="1" t="s">
        <v>1820</v>
      </c>
      <c r="B394" s="1" t="b">
        <v>1</v>
      </c>
      <c r="D394" s="344" t="s">
        <v>1818</v>
      </c>
      <c r="E394" s="344" t="s">
        <v>1821</v>
      </c>
      <c r="F394" s="87" t="b">
        <v>1</v>
      </c>
      <c r="G394" s="10"/>
      <c r="S394" s="105"/>
    </row>
    <row r="395">
      <c r="A395" s="1" t="s">
        <v>1822</v>
      </c>
      <c r="B395" s="1" t="b">
        <v>1</v>
      </c>
      <c r="D395" s="344" t="s">
        <v>1818</v>
      </c>
      <c r="E395" s="344" t="s">
        <v>1823</v>
      </c>
      <c r="F395" s="87" t="b">
        <v>1</v>
      </c>
      <c r="G395" s="10"/>
      <c r="S395" s="105"/>
    </row>
    <row r="396">
      <c r="A396" s="1" t="s">
        <v>1824</v>
      </c>
      <c r="B396" s="1" t="b">
        <v>0</v>
      </c>
      <c r="D396" s="344" t="s">
        <v>1818</v>
      </c>
      <c r="E396" s="344" t="s">
        <v>1825</v>
      </c>
      <c r="F396" s="87" t="b">
        <v>1</v>
      </c>
      <c r="G396" s="10"/>
      <c r="S396" s="105"/>
    </row>
    <row r="397">
      <c r="A397" s="1" t="s">
        <v>1826</v>
      </c>
      <c r="B397" s="1" t="b">
        <v>1</v>
      </c>
      <c r="D397" s="344" t="s">
        <v>1818</v>
      </c>
      <c r="E397" s="344" t="s">
        <v>1827</v>
      </c>
      <c r="F397" s="87" t="b">
        <v>1</v>
      </c>
      <c r="G397" s="10"/>
      <c r="S397" s="105"/>
    </row>
    <row r="398">
      <c r="A398" s="1" t="s">
        <v>1828</v>
      </c>
      <c r="B398" s="1" t="b">
        <v>1</v>
      </c>
      <c r="D398" s="344" t="s">
        <v>1829</v>
      </c>
      <c r="E398" s="344" t="s">
        <v>1830</v>
      </c>
      <c r="F398" s="87" t="b">
        <v>1</v>
      </c>
      <c r="G398" s="10"/>
      <c r="S398" s="105"/>
    </row>
    <row r="399">
      <c r="A399" s="1" t="s">
        <v>1831</v>
      </c>
      <c r="B399" s="1" t="b">
        <v>1</v>
      </c>
      <c r="D399" s="344" t="s">
        <v>1829</v>
      </c>
      <c r="E399" s="344" t="s">
        <v>1832</v>
      </c>
      <c r="F399" s="87" t="b">
        <v>1</v>
      </c>
      <c r="G399" s="87" t="s">
        <v>1020</v>
      </c>
      <c r="S399" s="105"/>
    </row>
    <row r="400">
      <c r="A400" s="1" t="s">
        <v>1833</v>
      </c>
      <c r="B400" s="1" t="b">
        <v>1</v>
      </c>
      <c r="D400" s="344" t="s">
        <v>1829</v>
      </c>
      <c r="E400" s="344" t="s">
        <v>1834</v>
      </c>
      <c r="F400" s="87" t="b">
        <v>1</v>
      </c>
      <c r="G400" s="87" t="s">
        <v>1020</v>
      </c>
      <c r="S400" s="105"/>
    </row>
    <row r="401">
      <c r="A401" s="1" t="s">
        <v>1835</v>
      </c>
      <c r="B401" s="1" t="b">
        <v>1</v>
      </c>
      <c r="D401" s="344" t="s">
        <v>1829</v>
      </c>
      <c r="E401" s="344" t="s">
        <v>1836</v>
      </c>
      <c r="F401" s="10" t="b">
        <v>0</v>
      </c>
      <c r="G401" s="87" t="s">
        <v>1073</v>
      </c>
      <c r="S401" s="105"/>
    </row>
    <row r="402">
      <c r="A402" s="1" t="s">
        <v>1837</v>
      </c>
      <c r="B402" s="1" t="b">
        <v>1</v>
      </c>
      <c r="D402" s="344" t="s">
        <v>1829</v>
      </c>
      <c r="E402" s="344" t="s">
        <v>1838</v>
      </c>
      <c r="F402" s="87" t="b">
        <v>1</v>
      </c>
      <c r="G402" s="10"/>
      <c r="S402" s="105"/>
    </row>
    <row r="403">
      <c r="A403" s="1" t="s">
        <v>1839</v>
      </c>
      <c r="B403" s="1" t="b">
        <v>1</v>
      </c>
      <c r="D403" s="344" t="s">
        <v>1829</v>
      </c>
      <c r="E403" s="344" t="s">
        <v>1840</v>
      </c>
      <c r="F403" s="87" t="b">
        <v>1</v>
      </c>
      <c r="G403" s="10"/>
      <c r="S403" s="105"/>
    </row>
    <row r="404">
      <c r="A404" s="1" t="s">
        <v>1841</v>
      </c>
      <c r="B404" s="1" t="b">
        <v>0</v>
      </c>
      <c r="D404" s="344" t="s">
        <v>1829</v>
      </c>
      <c r="E404" s="344" t="s">
        <v>1842</v>
      </c>
      <c r="F404" s="87" t="b">
        <v>1</v>
      </c>
      <c r="G404" s="10"/>
      <c r="S404" s="105"/>
    </row>
    <row r="405">
      <c r="A405" s="1" t="s">
        <v>1843</v>
      </c>
      <c r="B405" s="1" t="b">
        <v>0</v>
      </c>
      <c r="D405" s="344" t="s">
        <v>1829</v>
      </c>
      <c r="E405" s="344" t="s">
        <v>1844</v>
      </c>
      <c r="F405" s="87" t="b">
        <v>1</v>
      </c>
      <c r="G405" s="10"/>
      <c r="S405" s="105"/>
    </row>
    <row r="406">
      <c r="A406" s="1" t="s">
        <v>1845</v>
      </c>
      <c r="B406" s="1" t="b">
        <v>0</v>
      </c>
      <c r="D406" s="344" t="s">
        <v>1846</v>
      </c>
      <c r="E406" s="344" t="s">
        <v>1847</v>
      </c>
      <c r="F406" s="87" t="b">
        <v>1</v>
      </c>
      <c r="G406" s="87" t="s">
        <v>1020</v>
      </c>
      <c r="S406" s="105"/>
    </row>
    <row r="407">
      <c r="A407" s="1" t="s">
        <v>1848</v>
      </c>
      <c r="B407" s="1" t="b">
        <v>0</v>
      </c>
      <c r="D407" s="344" t="s">
        <v>1846</v>
      </c>
      <c r="E407" s="344" t="s">
        <v>1849</v>
      </c>
      <c r="F407" s="87" t="b">
        <v>1</v>
      </c>
      <c r="G407" s="10"/>
      <c r="S407" s="105"/>
    </row>
    <row r="408">
      <c r="A408" s="1" t="s">
        <v>1850</v>
      </c>
      <c r="B408" s="1" t="b">
        <v>0</v>
      </c>
      <c r="D408" s="344" t="s">
        <v>1846</v>
      </c>
      <c r="E408" s="344" t="s">
        <v>1851</v>
      </c>
      <c r="F408" s="87" t="b">
        <v>1</v>
      </c>
      <c r="G408" s="87"/>
      <c r="S408" s="105"/>
    </row>
    <row r="409">
      <c r="A409" s="1" t="s">
        <v>1852</v>
      </c>
      <c r="B409" s="1" t="b">
        <v>0</v>
      </c>
      <c r="D409" s="344" t="s">
        <v>1846</v>
      </c>
      <c r="E409" s="344" t="s">
        <v>1853</v>
      </c>
      <c r="F409" s="87" t="b">
        <v>1</v>
      </c>
      <c r="G409" s="10"/>
      <c r="S409" s="105"/>
    </row>
    <row r="410">
      <c r="A410" s="1" t="s">
        <v>1854</v>
      </c>
      <c r="B410" s="1" t="b">
        <v>0</v>
      </c>
      <c r="D410" s="344" t="s">
        <v>1846</v>
      </c>
      <c r="E410" s="344" t="s">
        <v>1855</v>
      </c>
      <c r="F410" s="87" t="b">
        <v>1</v>
      </c>
      <c r="G410" s="10"/>
      <c r="S410" s="105"/>
    </row>
    <row r="411">
      <c r="A411" s="1" t="s">
        <v>1856</v>
      </c>
      <c r="B411" s="1" t="b">
        <v>0</v>
      </c>
      <c r="D411" s="344" t="s">
        <v>1846</v>
      </c>
      <c r="E411" s="344" t="s">
        <v>1857</v>
      </c>
      <c r="F411" s="87" t="b">
        <v>1</v>
      </c>
      <c r="G411" s="10"/>
      <c r="S411" s="105"/>
    </row>
    <row r="412">
      <c r="A412" s="1" t="s">
        <v>1858</v>
      </c>
      <c r="B412" s="1" t="b">
        <v>0</v>
      </c>
      <c r="D412" s="344" t="s">
        <v>1846</v>
      </c>
      <c r="E412" s="344" t="s">
        <v>1859</v>
      </c>
      <c r="F412" s="87" t="b">
        <v>1</v>
      </c>
      <c r="G412" s="10"/>
      <c r="S412" s="105"/>
    </row>
    <row r="413">
      <c r="A413" s="1" t="s">
        <v>1860</v>
      </c>
      <c r="B413" s="1" t="b">
        <v>0</v>
      </c>
      <c r="D413" s="344" t="s">
        <v>1846</v>
      </c>
      <c r="E413" s="344" t="s">
        <v>1861</v>
      </c>
      <c r="F413" s="87" t="b">
        <v>1</v>
      </c>
      <c r="G413" s="10"/>
      <c r="S413" s="105"/>
    </row>
    <row r="414">
      <c r="A414" s="1" t="s">
        <v>1862</v>
      </c>
      <c r="B414" s="1" t="b">
        <v>1</v>
      </c>
      <c r="D414" s="344" t="s">
        <v>1863</v>
      </c>
      <c r="E414" s="344" t="s">
        <v>1864</v>
      </c>
      <c r="F414" s="87" t="b">
        <v>1</v>
      </c>
      <c r="G414" s="10"/>
      <c r="S414" s="105"/>
    </row>
    <row r="415">
      <c r="A415" s="1" t="s">
        <v>1865</v>
      </c>
      <c r="B415" s="1" t="b">
        <v>1</v>
      </c>
      <c r="D415" s="344" t="s">
        <v>1863</v>
      </c>
      <c r="E415" s="344" t="s">
        <v>1866</v>
      </c>
      <c r="F415" s="87" t="b">
        <v>1</v>
      </c>
      <c r="G415" s="10"/>
      <c r="S415" s="105"/>
    </row>
    <row r="416">
      <c r="A416" s="1" t="s">
        <v>1171</v>
      </c>
      <c r="B416" s="1" t="b">
        <v>1</v>
      </c>
      <c r="D416" s="344" t="s">
        <v>1863</v>
      </c>
      <c r="E416" s="344" t="s">
        <v>1867</v>
      </c>
      <c r="F416" s="10" t="b">
        <v>0</v>
      </c>
      <c r="G416" s="87" t="s">
        <v>1073</v>
      </c>
      <c r="S416" s="105"/>
    </row>
    <row r="417">
      <c r="A417" s="1" t="s">
        <v>1868</v>
      </c>
      <c r="B417" s="1" t="b">
        <v>1</v>
      </c>
      <c r="D417" s="344" t="s">
        <v>1863</v>
      </c>
      <c r="E417" s="344" t="s">
        <v>1869</v>
      </c>
      <c r="F417" s="87" t="b">
        <v>1</v>
      </c>
      <c r="G417" s="10"/>
      <c r="S417" s="105"/>
    </row>
    <row r="418">
      <c r="A418" s="1" t="s">
        <v>1870</v>
      </c>
      <c r="B418" s="1" t="b">
        <v>1</v>
      </c>
      <c r="D418" s="344" t="s">
        <v>1871</v>
      </c>
      <c r="E418" s="344" t="s">
        <v>1872</v>
      </c>
      <c r="F418" s="87" t="b">
        <v>1</v>
      </c>
      <c r="G418" s="10"/>
      <c r="S418" s="105"/>
    </row>
    <row r="419">
      <c r="A419" s="1" t="s">
        <v>1873</v>
      </c>
      <c r="B419" s="1" t="b">
        <v>1</v>
      </c>
      <c r="D419" s="344" t="s">
        <v>1871</v>
      </c>
      <c r="E419" s="344" t="s">
        <v>1874</v>
      </c>
      <c r="F419" s="87" t="b">
        <v>1</v>
      </c>
      <c r="G419" s="10"/>
      <c r="S419" s="105"/>
    </row>
    <row r="420">
      <c r="A420" s="1" t="s">
        <v>1875</v>
      </c>
      <c r="B420" s="1" t="b">
        <v>1</v>
      </c>
      <c r="D420" s="344" t="s">
        <v>1871</v>
      </c>
      <c r="E420" s="344" t="s">
        <v>1876</v>
      </c>
      <c r="F420" s="87" t="b">
        <v>1</v>
      </c>
      <c r="G420" s="10"/>
      <c r="S420" s="105"/>
    </row>
    <row r="421">
      <c r="A421" s="1" t="s">
        <v>1877</v>
      </c>
      <c r="B421" s="1" t="b">
        <v>1</v>
      </c>
      <c r="D421" s="344" t="s">
        <v>1878</v>
      </c>
      <c r="E421" s="344" t="s">
        <v>1879</v>
      </c>
      <c r="F421" s="87" t="b">
        <v>1</v>
      </c>
      <c r="G421" s="10"/>
      <c r="S421" s="105"/>
    </row>
    <row r="422">
      <c r="A422" s="1" t="s">
        <v>1730</v>
      </c>
      <c r="B422" s="1" t="b">
        <v>1</v>
      </c>
      <c r="D422" s="344" t="s">
        <v>1878</v>
      </c>
      <c r="E422" s="344" t="s">
        <v>1880</v>
      </c>
      <c r="F422" s="347" t="b">
        <v>0</v>
      </c>
      <c r="G422" s="87" t="s">
        <v>1073</v>
      </c>
      <c r="S422" s="105"/>
    </row>
    <row r="423">
      <c r="A423" s="1" t="s">
        <v>1881</v>
      </c>
      <c r="B423" s="1" t="b">
        <v>1</v>
      </c>
      <c r="D423" s="344" t="s">
        <v>1878</v>
      </c>
      <c r="E423" s="344" t="s">
        <v>1882</v>
      </c>
      <c r="F423" s="87" t="b">
        <v>1</v>
      </c>
      <c r="G423" s="10"/>
      <c r="S423" s="105"/>
    </row>
    <row r="424">
      <c r="A424" s="1" t="s">
        <v>1883</v>
      </c>
      <c r="B424" s="1" t="b">
        <v>1</v>
      </c>
      <c r="D424" s="344" t="s">
        <v>1878</v>
      </c>
      <c r="E424" s="344" t="s">
        <v>1884</v>
      </c>
      <c r="F424" s="87" t="b">
        <v>1</v>
      </c>
      <c r="G424" s="10"/>
      <c r="S424" s="105"/>
    </row>
    <row r="425">
      <c r="A425" s="1" t="s">
        <v>1885</v>
      </c>
      <c r="B425" s="1" t="b">
        <v>1</v>
      </c>
      <c r="D425" s="344" t="s">
        <v>1878</v>
      </c>
      <c r="E425" s="344" t="s">
        <v>1886</v>
      </c>
      <c r="F425" s="87" t="b">
        <v>1</v>
      </c>
      <c r="G425" s="10"/>
      <c r="S425" s="105"/>
    </row>
    <row r="426">
      <c r="A426" s="1" t="s">
        <v>1887</v>
      </c>
      <c r="B426" s="1" t="b">
        <v>1</v>
      </c>
      <c r="D426" s="344" t="s">
        <v>1878</v>
      </c>
      <c r="E426" s="344" t="s">
        <v>1888</v>
      </c>
      <c r="F426" s="87" t="b">
        <v>1</v>
      </c>
      <c r="G426" s="10"/>
      <c r="S426" s="105"/>
    </row>
    <row r="427">
      <c r="A427" s="1" t="s">
        <v>1889</v>
      </c>
      <c r="B427" s="1" t="b">
        <v>1</v>
      </c>
      <c r="D427" s="344" t="s">
        <v>1878</v>
      </c>
      <c r="E427" s="344" t="s">
        <v>1890</v>
      </c>
      <c r="F427" s="87" t="b">
        <v>1</v>
      </c>
      <c r="G427" s="10"/>
      <c r="S427" s="105"/>
    </row>
    <row r="428">
      <c r="A428" s="1" t="s">
        <v>1891</v>
      </c>
      <c r="B428" s="1" t="b">
        <v>1</v>
      </c>
      <c r="D428" s="344" t="s">
        <v>1878</v>
      </c>
      <c r="E428" s="344" t="s">
        <v>1892</v>
      </c>
      <c r="F428" s="87" t="b">
        <v>1</v>
      </c>
      <c r="G428" s="10"/>
      <c r="S428" s="105"/>
    </row>
    <row r="429">
      <c r="A429" s="1" t="s">
        <v>1893</v>
      </c>
      <c r="B429" s="1" t="b">
        <v>1</v>
      </c>
      <c r="D429" s="344" t="s">
        <v>1878</v>
      </c>
      <c r="E429" s="344" t="s">
        <v>1894</v>
      </c>
      <c r="F429" s="87" t="b">
        <v>1</v>
      </c>
      <c r="G429" s="10"/>
      <c r="S429" s="105"/>
    </row>
    <row r="430">
      <c r="A430" s="1" t="s">
        <v>1895</v>
      </c>
      <c r="B430" s="1" t="b">
        <v>1</v>
      </c>
      <c r="D430" s="344" t="s">
        <v>1878</v>
      </c>
      <c r="E430" s="344" t="s">
        <v>1896</v>
      </c>
      <c r="F430" s="87" t="b">
        <v>1</v>
      </c>
      <c r="G430" s="10"/>
      <c r="S430" s="105"/>
    </row>
    <row r="431">
      <c r="A431" s="1" t="s">
        <v>1897</v>
      </c>
      <c r="B431" s="1" t="b">
        <v>1</v>
      </c>
      <c r="D431" s="344" t="s">
        <v>1878</v>
      </c>
      <c r="E431" s="344" t="s">
        <v>1898</v>
      </c>
      <c r="F431" s="87" t="b">
        <v>1</v>
      </c>
      <c r="G431" s="10"/>
      <c r="S431" s="105"/>
    </row>
    <row r="432">
      <c r="A432" s="1" t="s">
        <v>1899</v>
      </c>
      <c r="B432" s="1" t="b">
        <v>1</v>
      </c>
      <c r="D432" s="344" t="s">
        <v>1878</v>
      </c>
      <c r="E432" s="344" t="s">
        <v>1900</v>
      </c>
      <c r="F432" s="87" t="b">
        <v>1</v>
      </c>
      <c r="G432" s="10"/>
      <c r="S432" s="105"/>
    </row>
    <row r="433">
      <c r="A433" s="1" t="s">
        <v>1901</v>
      </c>
      <c r="B433" s="1" t="b">
        <v>1</v>
      </c>
      <c r="D433" s="344" t="s">
        <v>1878</v>
      </c>
      <c r="E433" s="344" t="s">
        <v>1902</v>
      </c>
      <c r="F433" s="87" t="b">
        <v>1</v>
      </c>
      <c r="G433" s="10"/>
      <c r="S433" s="105"/>
    </row>
    <row r="434">
      <c r="A434" s="1" t="s">
        <v>1903</v>
      </c>
      <c r="B434" s="1" t="b">
        <v>1</v>
      </c>
      <c r="D434" s="344" t="s">
        <v>1878</v>
      </c>
      <c r="E434" s="344" t="s">
        <v>1904</v>
      </c>
      <c r="F434" s="87" t="b">
        <v>1</v>
      </c>
      <c r="G434" s="10"/>
      <c r="S434" s="105"/>
    </row>
    <row r="435">
      <c r="A435" s="1" t="s">
        <v>1905</v>
      </c>
      <c r="B435" s="1" t="b">
        <v>1</v>
      </c>
      <c r="D435" s="344" t="s">
        <v>1878</v>
      </c>
      <c r="E435" s="344" t="s">
        <v>1906</v>
      </c>
      <c r="F435" s="87" t="b">
        <v>1</v>
      </c>
      <c r="G435" s="10"/>
      <c r="S435" s="105"/>
    </row>
    <row r="436">
      <c r="A436" s="1" t="s">
        <v>1907</v>
      </c>
      <c r="B436" s="1" t="b">
        <v>1</v>
      </c>
      <c r="D436" s="344" t="s">
        <v>1878</v>
      </c>
      <c r="E436" s="344" t="s">
        <v>1908</v>
      </c>
      <c r="F436" s="87" t="b">
        <v>1</v>
      </c>
      <c r="G436" s="10"/>
      <c r="S436" s="105"/>
    </row>
    <row r="437">
      <c r="A437" s="1" t="s">
        <v>1909</v>
      </c>
      <c r="B437" s="1" t="b">
        <v>1</v>
      </c>
      <c r="D437" s="344" t="s">
        <v>1878</v>
      </c>
      <c r="E437" s="344" t="s">
        <v>1910</v>
      </c>
      <c r="F437" s="87" t="b">
        <v>1</v>
      </c>
      <c r="G437" s="10"/>
      <c r="S437" s="105"/>
    </row>
    <row r="438">
      <c r="A438" s="1" t="s">
        <v>1911</v>
      </c>
      <c r="B438" s="1" t="b">
        <v>1</v>
      </c>
      <c r="D438" s="344" t="s">
        <v>1878</v>
      </c>
      <c r="E438" s="344" t="s">
        <v>1912</v>
      </c>
      <c r="F438" s="87" t="b">
        <v>1</v>
      </c>
      <c r="G438" s="10"/>
      <c r="S438" s="105"/>
    </row>
    <row r="439">
      <c r="A439" s="1" t="s">
        <v>1913</v>
      </c>
      <c r="B439" s="1" t="b">
        <v>1</v>
      </c>
      <c r="D439" s="344" t="s">
        <v>1878</v>
      </c>
      <c r="E439" s="344" t="s">
        <v>1914</v>
      </c>
      <c r="F439" s="87" t="b">
        <v>1</v>
      </c>
      <c r="G439" s="10"/>
      <c r="S439" s="105"/>
    </row>
    <row r="440">
      <c r="A440" s="1" t="s">
        <v>1915</v>
      </c>
      <c r="B440" s="1" t="b">
        <v>1</v>
      </c>
      <c r="D440" s="344" t="s">
        <v>1878</v>
      </c>
      <c r="E440" s="344" t="s">
        <v>1916</v>
      </c>
      <c r="F440" s="87" t="b">
        <v>1</v>
      </c>
      <c r="G440" s="10"/>
      <c r="S440" s="105"/>
    </row>
    <row r="441">
      <c r="A441" s="1" t="s">
        <v>1917</v>
      </c>
      <c r="B441" s="1" t="b">
        <v>1</v>
      </c>
      <c r="D441" s="344" t="s">
        <v>1878</v>
      </c>
      <c r="E441" s="344" t="s">
        <v>1918</v>
      </c>
      <c r="F441" s="87" t="b">
        <v>1</v>
      </c>
      <c r="G441" s="10"/>
      <c r="S441" s="105"/>
    </row>
    <row r="442">
      <c r="A442" s="1" t="s">
        <v>1919</v>
      </c>
      <c r="B442" s="1" t="b">
        <v>1</v>
      </c>
      <c r="D442" s="344" t="s">
        <v>1920</v>
      </c>
      <c r="E442" s="344" t="s">
        <v>1921</v>
      </c>
      <c r="F442" s="87" t="b">
        <v>1</v>
      </c>
      <c r="G442" s="10"/>
      <c r="S442" s="105"/>
    </row>
    <row r="443">
      <c r="A443" s="1" t="s">
        <v>1922</v>
      </c>
      <c r="B443" s="1" t="b">
        <v>1</v>
      </c>
      <c r="D443" s="344" t="s">
        <v>1920</v>
      </c>
      <c r="E443" s="344" t="s">
        <v>1923</v>
      </c>
      <c r="F443" s="87" t="b">
        <v>1</v>
      </c>
      <c r="G443" s="87" t="s">
        <v>1020</v>
      </c>
      <c r="S443" s="105"/>
    </row>
    <row r="444">
      <c r="A444" s="1" t="s">
        <v>1924</v>
      </c>
      <c r="B444" s="1" t="b">
        <v>1</v>
      </c>
      <c r="D444" s="344" t="s">
        <v>1920</v>
      </c>
      <c r="E444" s="344" t="s">
        <v>1925</v>
      </c>
      <c r="F444" s="87" t="b">
        <v>1</v>
      </c>
      <c r="G444" s="87" t="s">
        <v>1020</v>
      </c>
      <c r="S444" s="105"/>
    </row>
    <row r="445">
      <c r="A445" s="1" t="s">
        <v>1926</v>
      </c>
      <c r="B445" s="1" t="b">
        <v>1</v>
      </c>
      <c r="D445" s="344" t="s">
        <v>1920</v>
      </c>
      <c r="E445" s="344" t="s">
        <v>1927</v>
      </c>
      <c r="F445" s="87" t="b">
        <v>1</v>
      </c>
      <c r="G445" s="10"/>
      <c r="S445" s="105"/>
    </row>
    <row r="446">
      <c r="A446" s="1" t="s">
        <v>1928</v>
      </c>
      <c r="B446" s="1" t="b">
        <v>1</v>
      </c>
      <c r="D446" s="344" t="s">
        <v>1920</v>
      </c>
      <c r="E446" s="344" t="s">
        <v>1929</v>
      </c>
      <c r="F446" s="87" t="b">
        <v>1</v>
      </c>
      <c r="G446" s="87" t="s">
        <v>1020</v>
      </c>
      <c r="S446" s="105"/>
    </row>
    <row r="447">
      <c r="A447" s="1" t="s">
        <v>1930</v>
      </c>
      <c r="B447" s="1" t="b">
        <v>1</v>
      </c>
      <c r="D447" s="344" t="s">
        <v>1920</v>
      </c>
      <c r="E447" s="344" t="s">
        <v>1931</v>
      </c>
      <c r="F447" s="87" t="b">
        <v>1</v>
      </c>
      <c r="G447" s="10"/>
      <c r="S447" s="105"/>
    </row>
    <row r="448">
      <c r="A448" s="1" t="s">
        <v>1932</v>
      </c>
      <c r="B448" s="1" t="b">
        <v>1</v>
      </c>
      <c r="D448" s="344" t="s">
        <v>1920</v>
      </c>
      <c r="E448" s="344" t="s">
        <v>1933</v>
      </c>
      <c r="F448" s="87" t="b">
        <v>1</v>
      </c>
      <c r="G448" s="10"/>
      <c r="S448" s="105"/>
    </row>
    <row r="449">
      <c r="A449" s="1" t="s">
        <v>1934</v>
      </c>
      <c r="B449" s="1" t="b">
        <v>0</v>
      </c>
      <c r="D449" s="344" t="s">
        <v>1920</v>
      </c>
      <c r="E449" s="344" t="s">
        <v>1935</v>
      </c>
      <c r="F449" s="87" t="b">
        <v>0</v>
      </c>
      <c r="G449" s="87" t="s">
        <v>1073</v>
      </c>
      <c r="S449" s="105"/>
    </row>
    <row r="450">
      <c r="A450" s="1" t="s">
        <v>1936</v>
      </c>
      <c r="B450" s="1" t="b">
        <v>1</v>
      </c>
      <c r="D450" s="344" t="s">
        <v>1920</v>
      </c>
      <c r="E450" s="344" t="s">
        <v>1937</v>
      </c>
      <c r="F450" s="10" t="b">
        <v>0</v>
      </c>
      <c r="G450" s="87" t="s">
        <v>1073</v>
      </c>
      <c r="S450" s="105"/>
    </row>
    <row r="451">
      <c r="A451" s="1" t="s">
        <v>1938</v>
      </c>
      <c r="B451" s="1" t="b">
        <v>1</v>
      </c>
      <c r="D451" s="344" t="s">
        <v>1920</v>
      </c>
      <c r="E451" s="344" t="s">
        <v>1939</v>
      </c>
      <c r="F451" s="87" t="b">
        <v>1</v>
      </c>
      <c r="G451" s="10"/>
      <c r="S451" s="105"/>
    </row>
    <row r="452">
      <c r="A452" s="1" t="s">
        <v>1940</v>
      </c>
      <c r="B452" s="1" t="b">
        <v>1</v>
      </c>
      <c r="D452" s="344" t="s">
        <v>1920</v>
      </c>
      <c r="E452" s="344" t="s">
        <v>1941</v>
      </c>
      <c r="F452" s="87" t="b">
        <v>1</v>
      </c>
      <c r="G452" s="10"/>
      <c r="S452" s="105"/>
    </row>
    <row r="453">
      <c r="A453" s="1" t="s">
        <v>1942</v>
      </c>
      <c r="B453" s="1" t="b">
        <v>1</v>
      </c>
      <c r="D453" s="344" t="s">
        <v>1920</v>
      </c>
      <c r="E453" s="344" t="s">
        <v>1943</v>
      </c>
      <c r="F453" s="87" t="b">
        <v>1</v>
      </c>
      <c r="G453" s="10"/>
      <c r="S453" s="105"/>
    </row>
    <row r="454">
      <c r="A454" s="1" t="s">
        <v>1944</v>
      </c>
      <c r="B454" s="1" t="b">
        <v>0</v>
      </c>
      <c r="D454" s="344" t="s">
        <v>1920</v>
      </c>
      <c r="E454" s="344" t="s">
        <v>1945</v>
      </c>
      <c r="F454" s="87" t="b">
        <v>1</v>
      </c>
      <c r="G454" s="10"/>
      <c r="S454" s="105"/>
    </row>
    <row r="455">
      <c r="A455" s="1" t="s">
        <v>1946</v>
      </c>
      <c r="B455" s="1" t="b">
        <v>1</v>
      </c>
      <c r="D455" s="344" t="s">
        <v>1920</v>
      </c>
      <c r="E455" s="344" t="s">
        <v>1947</v>
      </c>
      <c r="F455" s="87" t="b">
        <v>1</v>
      </c>
      <c r="G455" s="87" t="s">
        <v>1020</v>
      </c>
      <c r="S455" s="105"/>
    </row>
    <row r="456">
      <c r="A456" s="1" t="s">
        <v>1948</v>
      </c>
      <c r="B456" s="1" t="b">
        <v>1</v>
      </c>
      <c r="D456" s="344" t="s">
        <v>1920</v>
      </c>
      <c r="E456" s="344" t="s">
        <v>1949</v>
      </c>
      <c r="F456" s="87" t="b">
        <v>1</v>
      </c>
      <c r="G456" s="87" t="s">
        <v>1020</v>
      </c>
      <c r="S456" s="105"/>
    </row>
    <row r="457">
      <c r="A457" s="1" t="s">
        <v>1950</v>
      </c>
      <c r="B457" s="1" t="b">
        <v>1</v>
      </c>
      <c r="D457" s="344" t="s">
        <v>1920</v>
      </c>
      <c r="E457" s="344" t="s">
        <v>1951</v>
      </c>
      <c r="F457" s="87" t="b">
        <v>1</v>
      </c>
      <c r="G457" s="87" t="s">
        <v>1020</v>
      </c>
      <c r="S457" s="105"/>
    </row>
    <row r="458">
      <c r="A458" s="1" t="s">
        <v>1952</v>
      </c>
      <c r="B458" s="1" t="b">
        <v>1</v>
      </c>
      <c r="D458" s="344" t="s">
        <v>1920</v>
      </c>
      <c r="E458" s="344" t="s">
        <v>1953</v>
      </c>
      <c r="F458" s="87" t="b">
        <v>1</v>
      </c>
      <c r="G458" s="87" t="s">
        <v>1020</v>
      </c>
      <c r="S458" s="105"/>
    </row>
    <row r="459">
      <c r="A459" s="1" t="s">
        <v>1954</v>
      </c>
      <c r="B459" s="1" t="b">
        <v>1</v>
      </c>
      <c r="D459" s="344" t="s">
        <v>1920</v>
      </c>
      <c r="E459" s="344" t="s">
        <v>1955</v>
      </c>
      <c r="F459" s="87" t="b">
        <v>1</v>
      </c>
      <c r="G459" s="10"/>
      <c r="S459" s="105"/>
    </row>
    <row r="460">
      <c r="A460" s="1" t="s">
        <v>1956</v>
      </c>
      <c r="B460" s="1" t="b">
        <v>1</v>
      </c>
      <c r="D460" s="344" t="s">
        <v>1920</v>
      </c>
      <c r="E460" s="344" t="s">
        <v>1957</v>
      </c>
      <c r="F460" s="87" t="b">
        <v>1</v>
      </c>
      <c r="G460" s="10"/>
      <c r="S460" s="105"/>
    </row>
    <row r="461">
      <c r="A461" s="1" t="s">
        <v>1958</v>
      </c>
      <c r="B461" s="1" t="b">
        <v>0</v>
      </c>
      <c r="D461" s="344" t="s">
        <v>1920</v>
      </c>
      <c r="E461" s="344" t="s">
        <v>1959</v>
      </c>
      <c r="F461" s="87" t="b">
        <v>1</v>
      </c>
      <c r="G461" s="10"/>
      <c r="S461" s="105"/>
    </row>
    <row r="462">
      <c r="A462" s="1" t="s">
        <v>1960</v>
      </c>
      <c r="B462" s="1" t="b">
        <v>0</v>
      </c>
      <c r="D462" s="344" t="s">
        <v>1920</v>
      </c>
      <c r="E462" s="344" t="s">
        <v>1961</v>
      </c>
      <c r="F462" s="87" t="b">
        <v>1</v>
      </c>
      <c r="G462" s="10"/>
      <c r="S462" s="105"/>
    </row>
    <row r="463">
      <c r="A463" s="1" t="s">
        <v>1962</v>
      </c>
      <c r="B463" s="1" t="b">
        <v>0</v>
      </c>
      <c r="D463" s="344" t="s">
        <v>1920</v>
      </c>
      <c r="E463" s="344" t="s">
        <v>1963</v>
      </c>
      <c r="F463" s="87" t="b">
        <v>1</v>
      </c>
      <c r="G463" s="10"/>
      <c r="S463" s="105"/>
    </row>
    <row r="464">
      <c r="A464" s="1" t="s">
        <v>1964</v>
      </c>
      <c r="B464" s="1" t="b">
        <v>1</v>
      </c>
      <c r="D464" s="344" t="s">
        <v>1920</v>
      </c>
      <c r="E464" s="344" t="s">
        <v>1965</v>
      </c>
      <c r="F464" s="87" t="b">
        <v>1</v>
      </c>
      <c r="G464" s="10"/>
      <c r="S464" s="105"/>
    </row>
    <row r="465">
      <c r="A465" s="1" t="s">
        <v>1966</v>
      </c>
      <c r="B465" s="1" t="b">
        <v>1</v>
      </c>
      <c r="D465" s="344" t="s">
        <v>1920</v>
      </c>
      <c r="E465" s="344" t="s">
        <v>1967</v>
      </c>
      <c r="F465" s="87" t="b">
        <v>1</v>
      </c>
      <c r="G465" s="10"/>
      <c r="S465" s="105"/>
    </row>
    <row r="466">
      <c r="A466" s="1" t="s">
        <v>1968</v>
      </c>
      <c r="B466" s="1" t="b">
        <v>1</v>
      </c>
      <c r="D466" s="344" t="s">
        <v>1920</v>
      </c>
      <c r="E466" s="344" t="s">
        <v>1969</v>
      </c>
      <c r="F466" s="87" t="b">
        <v>1</v>
      </c>
      <c r="G466" s="10"/>
      <c r="S466" s="105"/>
    </row>
    <row r="467">
      <c r="A467" s="1" t="s">
        <v>1970</v>
      </c>
      <c r="B467" s="1" t="b">
        <v>1</v>
      </c>
      <c r="D467" s="344" t="s">
        <v>1920</v>
      </c>
      <c r="E467" s="344" t="s">
        <v>1971</v>
      </c>
      <c r="F467" s="87" t="b">
        <v>1</v>
      </c>
      <c r="G467" s="10"/>
      <c r="S467" s="105"/>
    </row>
    <row r="468">
      <c r="A468" s="1" t="s">
        <v>1972</v>
      </c>
      <c r="B468" s="1" t="b">
        <v>1</v>
      </c>
      <c r="D468" s="344" t="s">
        <v>1920</v>
      </c>
      <c r="E468" s="344" t="s">
        <v>1973</v>
      </c>
      <c r="F468" s="87" t="b">
        <v>1</v>
      </c>
      <c r="G468" s="10"/>
      <c r="S468" s="105"/>
    </row>
    <row r="469">
      <c r="A469" s="1" t="s">
        <v>1974</v>
      </c>
      <c r="B469" s="1" t="b">
        <v>1</v>
      </c>
      <c r="D469" s="344" t="s">
        <v>1920</v>
      </c>
      <c r="E469" s="344" t="s">
        <v>1975</v>
      </c>
      <c r="F469" s="87" t="b">
        <v>1</v>
      </c>
      <c r="G469" s="10"/>
      <c r="S469" s="105"/>
    </row>
    <row r="470">
      <c r="A470" s="1" t="s">
        <v>1976</v>
      </c>
      <c r="B470" s="1" t="b">
        <v>1</v>
      </c>
      <c r="D470" s="344" t="s">
        <v>1920</v>
      </c>
      <c r="E470" s="344" t="s">
        <v>1977</v>
      </c>
      <c r="F470" s="87" t="b">
        <v>1</v>
      </c>
      <c r="G470" s="10"/>
      <c r="S470" s="105"/>
    </row>
    <row r="471">
      <c r="A471" s="1" t="s">
        <v>1978</v>
      </c>
      <c r="B471" s="1" t="b">
        <v>1</v>
      </c>
      <c r="D471" s="344" t="s">
        <v>1920</v>
      </c>
      <c r="E471" s="344" t="s">
        <v>1979</v>
      </c>
      <c r="F471" s="87" t="b">
        <v>1</v>
      </c>
      <c r="G471" s="10"/>
      <c r="S471" s="105"/>
    </row>
    <row r="472">
      <c r="A472" s="1" t="s">
        <v>1980</v>
      </c>
      <c r="B472" s="1" t="b">
        <v>1</v>
      </c>
      <c r="D472" s="344" t="s">
        <v>1920</v>
      </c>
      <c r="E472" s="344" t="s">
        <v>1981</v>
      </c>
      <c r="F472" s="87" t="b">
        <v>1</v>
      </c>
      <c r="G472" s="10"/>
      <c r="S472" s="105"/>
    </row>
    <row r="473">
      <c r="A473" s="1" t="s">
        <v>1982</v>
      </c>
      <c r="B473" s="1" t="b">
        <v>1</v>
      </c>
      <c r="D473" s="344" t="s">
        <v>1920</v>
      </c>
      <c r="E473" s="344" t="s">
        <v>1983</v>
      </c>
      <c r="F473" s="87" t="b">
        <v>1</v>
      </c>
      <c r="G473" s="10"/>
      <c r="S473" s="105"/>
    </row>
    <row r="474">
      <c r="A474" s="1" t="s">
        <v>1984</v>
      </c>
      <c r="B474" s="1" t="b">
        <v>1</v>
      </c>
      <c r="D474" s="344" t="s">
        <v>1920</v>
      </c>
      <c r="E474" s="344" t="s">
        <v>1985</v>
      </c>
      <c r="F474" s="87" t="b">
        <v>1</v>
      </c>
      <c r="G474" s="10"/>
      <c r="S474" s="105"/>
    </row>
    <row r="475">
      <c r="A475" s="1" t="s">
        <v>1986</v>
      </c>
      <c r="B475" s="1" t="b">
        <v>1</v>
      </c>
      <c r="D475" s="344" t="s">
        <v>1920</v>
      </c>
      <c r="E475" s="344" t="s">
        <v>1987</v>
      </c>
      <c r="F475" s="87" t="b">
        <v>1</v>
      </c>
      <c r="G475" s="10"/>
      <c r="S475" s="105"/>
    </row>
    <row r="476">
      <c r="A476" s="1" t="s">
        <v>1988</v>
      </c>
      <c r="B476" s="1" t="b">
        <v>1</v>
      </c>
      <c r="D476" s="344" t="s">
        <v>1920</v>
      </c>
      <c r="E476" s="344" t="s">
        <v>1989</v>
      </c>
      <c r="F476" s="87" t="b">
        <v>1</v>
      </c>
      <c r="G476" s="10"/>
      <c r="S476" s="105"/>
    </row>
    <row r="477">
      <c r="A477" s="1" t="s">
        <v>1990</v>
      </c>
      <c r="B477" s="1" t="b">
        <v>1</v>
      </c>
      <c r="D477" s="344" t="s">
        <v>1920</v>
      </c>
      <c r="E477" s="344" t="s">
        <v>1991</v>
      </c>
      <c r="F477" s="87" t="b">
        <v>1</v>
      </c>
      <c r="G477" s="10"/>
      <c r="S477" s="105"/>
    </row>
    <row r="478">
      <c r="A478" s="1" t="s">
        <v>1992</v>
      </c>
      <c r="B478" s="1" t="b">
        <v>1</v>
      </c>
      <c r="D478" s="344" t="s">
        <v>1920</v>
      </c>
      <c r="E478" s="344" t="s">
        <v>1993</v>
      </c>
      <c r="F478" s="87" t="b">
        <v>1</v>
      </c>
      <c r="G478" s="10"/>
      <c r="S478" s="105"/>
    </row>
    <row r="479">
      <c r="A479" s="1" t="s">
        <v>1994</v>
      </c>
      <c r="B479" s="1" t="b">
        <v>1</v>
      </c>
      <c r="D479" s="344" t="s">
        <v>1920</v>
      </c>
      <c r="E479" s="344" t="s">
        <v>1995</v>
      </c>
      <c r="F479" s="87" t="b">
        <v>1</v>
      </c>
      <c r="G479" s="10"/>
      <c r="S479" s="105"/>
    </row>
    <row r="480">
      <c r="A480" s="1" t="s">
        <v>1996</v>
      </c>
      <c r="B480" s="1" t="b">
        <v>1</v>
      </c>
      <c r="D480" s="344" t="s">
        <v>1920</v>
      </c>
      <c r="E480" s="344" t="s">
        <v>1997</v>
      </c>
      <c r="F480" s="87" t="b">
        <v>1</v>
      </c>
      <c r="G480" s="10"/>
      <c r="S480" s="105"/>
    </row>
    <row r="481">
      <c r="A481" s="1" t="s">
        <v>1998</v>
      </c>
      <c r="B481" s="1" t="b">
        <v>0</v>
      </c>
      <c r="D481" s="344" t="s">
        <v>1920</v>
      </c>
      <c r="E481" s="344" t="s">
        <v>1999</v>
      </c>
      <c r="F481" s="10" t="b">
        <v>0</v>
      </c>
      <c r="G481" s="87" t="s">
        <v>1073</v>
      </c>
      <c r="S481" s="105"/>
    </row>
    <row r="482">
      <c r="A482" s="1" t="s">
        <v>2000</v>
      </c>
      <c r="B482" s="1" t="b">
        <v>1</v>
      </c>
      <c r="D482" s="344" t="s">
        <v>1920</v>
      </c>
      <c r="E482" s="344" t="s">
        <v>2001</v>
      </c>
      <c r="F482" s="10" t="b">
        <v>0</v>
      </c>
      <c r="G482" s="87" t="s">
        <v>1073</v>
      </c>
      <c r="S482" s="105"/>
    </row>
    <row r="483">
      <c r="A483" s="1" t="s">
        <v>2002</v>
      </c>
      <c r="B483" s="1" t="b">
        <v>1</v>
      </c>
      <c r="D483" s="344" t="s">
        <v>1920</v>
      </c>
      <c r="E483" s="344" t="s">
        <v>2003</v>
      </c>
      <c r="F483" s="87" t="b">
        <v>1</v>
      </c>
      <c r="G483" s="87" t="s">
        <v>1020</v>
      </c>
      <c r="S483" s="105"/>
    </row>
    <row r="484">
      <c r="A484" s="1" t="s">
        <v>2004</v>
      </c>
      <c r="B484" s="1" t="b">
        <v>1</v>
      </c>
      <c r="D484" s="344" t="s">
        <v>1920</v>
      </c>
      <c r="E484" s="344" t="s">
        <v>2005</v>
      </c>
      <c r="F484" s="87" t="b">
        <v>1</v>
      </c>
      <c r="G484" s="10"/>
      <c r="S484" s="105"/>
    </row>
    <row r="485">
      <c r="A485" s="1" t="s">
        <v>2006</v>
      </c>
      <c r="B485" s="1" t="b">
        <v>1</v>
      </c>
      <c r="D485" s="344" t="s">
        <v>1920</v>
      </c>
      <c r="E485" s="344" t="s">
        <v>2007</v>
      </c>
      <c r="F485" s="87" t="b">
        <v>1</v>
      </c>
      <c r="G485" s="10"/>
      <c r="S485" s="105"/>
    </row>
    <row r="486">
      <c r="A486" s="1" t="s">
        <v>2008</v>
      </c>
      <c r="B486" s="1" t="b">
        <v>0</v>
      </c>
      <c r="D486" s="344" t="s">
        <v>1920</v>
      </c>
      <c r="E486" s="344" t="s">
        <v>2009</v>
      </c>
      <c r="F486" s="87" t="b">
        <v>1</v>
      </c>
      <c r="G486" s="10"/>
      <c r="S486" s="105"/>
    </row>
    <row r="487">
      <c r="A487" s="1" t="s">
        <v>2010</v>
      </c>
      <c r="B487" s="1" t="b">
        <v>1</v>
      </c>
      <c r="D487" s="344" t="s">
        <v>1920</v>
      </c>
      <c r="E487" s="344" t="s">
        <v>2011</v>
      </c>
      <c r="F487" s="87" t="b">
        <v>1</v>
      </c>
      <c r="G487" s="10"/>
      <c r="S487" s="105"/>
    </row>
    <row r="488">
      <c r="A488" s="1" t="s">
        <v>2012</v>
      </c>
      <c r="B488" s="1" t="b">
        <v>1</v>
      </c>
      <c r="D488" s="344" t="s">
        <v>1920</v>
      </c>
      <c r="E488" s="344" t="s">
        <v>2013</v>
      </c>
      <c r="F488" s="87" t="b">
        <v>1</v>
      </c>
      <c r="G488" s="10"/>
      <c r="S488" s="105"/>
    </row>
    <row r="489">
      <c r="A489" s="1" t="s">
        <v>2014</v>
      </c>
      <c r="B489" s="1" t="b">
        <v>1</v>
      </c>
      <c r="D489" s="344" t="s">
        <v>1920</v>
      </c>
      <c r="E489" s="344" t="s">
        <v>2015</v>
      </c>
      <c r="F489" s="87" t="b">
        <v>1</v>
      </c>
      <c r="G489" s="10"/>
      <c r="S489" s="105"/>
    </row>
    <row r="490">
      <c r="A490" s="1" t="s">
        <v>2016</v>
      </c>
      <c r="B490" s="1" t="b">
        <v>1</v>
      </c>
      <c r="D490" s="344" t="s">
        <v>1920</v>
      </c>
      <c r="E490" s="344" t="s">
        <v>2017</v>
      </c>
      <c r="F490" s="87" t="b">
        <v>1</v>
      </c>
      <c r="G490" s="10"/>
      <c r="S490" s="105"/>
    </row>
    <row r="491">
      <c r="A491" s="1" t="s">
        <v>2018</v>
      </c>
      <c r="B491" s="1" t="b">
        <v>1</v>
      </c>
      <c r="D491" s="344" t="s">
        <v>1920</v>
      </c>
      <c r="E491" s="344" t="s">
        <v>2019</v>
      </c>
      <c r="F491" s="87" t="b">
        <v>1</v>
      </c>
      <c r="G491" s="10"/>
      <c r="S491" s="105"/>
    </row>
    <row r="492">
      <c r="A492" s="1" t="s">
        <v>2020</v>
      </c>
      <c r="B492" s="1" t="b">
        <v>1</v>
      </c>
      <c r="D492" s="344" t="s">
        <v>1920</v>
      </c>
      <c r="E492" s="344" t="s">
        <v>2021</v>
      </c>
      <c r="F492" s="87" t="b">
        <v>1</v>
      </c>
      <c r="G492" s="10"/>
      <c r="S492" s="105"/>
    </row>
    <row r="493">
      <c r="A493" s="1" t="s">
        <v>2022</v>
      </c>
      <c r="B493" s="1" t="b">
        <v>1</v>
      </c>
      <c r="D493" s="344" t="s">
        <v>1920</v>
      </c>
      <c r="E493" s="344" t="s">
        <v>2023</v>
      </c>
      <c r="F493" s="87" t="b">
        <v>1</v>
      </c>
      <c r="G493" s="10"/>
      <c r="S493" s="105"/>
    </row>
    <row r="494">
      <c r="A494" s="1" t="s">
        <v>2024</v>
      </c>
      <c r="B494" s="1" t="b">
        <v>1</v>
      </c>
      <c r="D494" s="344" t="s">
        <v>1920</v>
      </c>
      <c r="E494" s="344" t="s">
        <v>2025</v>
      </c>
      <c r="F494" s="87" t="b">
        <v>1</v>
      </c>
      <c r="G494" s="10"/>
      <c r="S494" s="105"/>
    </row>
    <row r="495">
      <c r="A495" s="1" t="s">
        <v>2026</v>
      </c>
      <c r="B495" s="1" t="b">
        <v>1</v>
      </c>
      <c r="D495" s="344" t="s">
        <v>1920</v>
      </c>
      <c r="E495" s="344" t="s">
        <v>2027</v>
      </c>
      <c r="F495" s="87" t="b">
        <v>1</v>
      </c>
      <c r="G495" s="10"/>
      <c r="S495" s="105"/>
    </row>
    <row r="496">
      <c r="A496" s="1" t="s">
        <v>2028</v>
      </c>
      <c r="B496" s="1" t="b">
        <v>1</v>
      </c>
      <c r="D496" s="344" t="s">
        <v>1920</v>
      </c>
      <c r="E496" s="344" t="s">
        <v>2029</v>
      </c>
      <c r="F496" s="87" t="b">
        <v>1</v>
      </c>
      <c r="G496" s="10"/>
      <c r="S496" s="105"/>
    </row>
    <row r="497">
      <c r="A497" s="1" t="s">
        <v>2030</v>
      </c>
      <c r="B497" s="1" t="b">
        <v>1</v>
      </c>
      <c r="D497" s="344" t="s">
        <v>1920</v>
      </c>
      <c r="E497" s="344" t="s">
        <v>2031</v>
      </c>
      <c r="F497" s="87" t="b">
        <v>1</v>
      </c>
      <c r="G497" s="10"/>
      <c r="S497" s="105"/>
    </row>
    <row r="498">
      <c r="A498" s="1" t="s">
        <v>2032</v>
      </c>
      <c r="B498" s="1" t="b">
        <v>0</v>
      </c>
      <c r="D498" s="344" t="s">
        <v>1920</v>
      </c>
      <c r="E498" s="344" t="s">
        <v>2033</v>
      </c>
      <c r="F498" s="87" t="b">
        <v>1</v>
      </c>
      <c r="G498" s="10"/>
      <c r="S498" s="105"/>
    </row>
    <row r="499">
      <c r="A499" s="1" t="s">
        <v>2034</v>
      </c>
      <c r="B499" s="1" t="b">
        <v>1</v>
      </c>
      <c r="D499" s="344" t="s">
        <v>1920</v>
      </c>
      <c r="E499" s="344" t="s">
        <v>2035</v>
      </c>
      <c r="F499" s="87" t="b">
        <v>1</v>
      </c>
      <c r="G499" s="10"/>
      <c r="S499" s="105"/>
    </row>
    <row r="500">
      <c r="A500" s="1" t="s">
        <v>2036</v>
      </c>
      <c r="B500" s="1" t="b">
        <v>1</v>
      </c>
      <c r="D500" s="344" t="s">
        <v>1920</v>
      </c>
      <c r="E500" s="344" t="s">
        <v>2037</v>
      </c>
      <c r="F500" s="87" t="b">
        <v>1</v>
      </c>
      <c r="G500" s="10"/>
      <c r="S500" s="105"/>
    </row>
    <row r="501">
      <c r="A501" s="1" t="s">
        <v>2038</v>
      </c>
      <c r="B501" s="1" t="b">
        <v>0</v>
      </c>
      <c r="D501" s="344" t="s">
        <v>1920</v>
      </c>
      <c r="E501" s="344" t="s">
        <v>2039</v>
      </c>
      <c r="F501" s="87" t="b">
        <v>1</v>
      </c>
      <c r="G501" s="10"/>
      <c r="S501" s="105"/>
    </row>
    <row r="502">
      <c r="A502" s="1" t="s">
        <v>2040</v>
      </c>
      <c r="B502" s="1" t="b">
        <v>0</v>
      </c>
      <c r="D502" s="344" t="s">
        <v>1920</v>
      </c>
      <c r="E502" s="344" t="s">
        <v>2041</v>
      </c>
      <c r="F502" s="87" t="b">
        <v>1</v>
      </c>
      <c r="G502" s="10"/>
      <c r="S502" s="105"/>
    </row>
    <row r="503">
      <c r="A503" s="1" t="s">
        <v>2042</v>
      </c>
      <c r="B503" s="1" t="b">
        <v>0</v>
      </c>
      <c r="D503" s="344" t="s">
        <v>1920</v>
      </c>
      <c r="E503" s="344" t="s">
        <v>2043</v>
      </c>
      <c r="F503" s="87" t="b">
        <v>1</v>
      </c>
      <c r="G503" s="10"/>
      <c r="S503" s="105"/>
    </row>
    <row r="504">
      <c r="A504" s="1" t="s">
        <v>2044</v>
      </c>
      <c r="B504" s="1" t="b">
        <v>0</v>
      </c>
      <c r="D504" s="344" t="s">
        <v>1920</v>
      </c>
      <c r="E504" s="344" t="s">
        <v>2045</v>
      </c>
      <c r="F504" s="87" t="b">
        <v>1</v>
      </c>
      <c r="G504" s="10"/>
      <c r="S504" s="105"/>
    </row>
    <row r="505">
      <c r="A505" s="1" t="s">
        <v>2046</v>
      </c>
      <c r="B505" s="1" t="b">
        <v>1</v>
      </c>
      <c r="D505" s="344" t="s">
        <v>1920</v>
      </c>
      <c r="E505" s="344" t="s">
        <v>2047</v>
      </c>
      <c r="F505" s="87" t="b">
        <v>1</v>
      </c>
      <c r="G505" s="10"/>
      <c r="S505" s="105"/>
    </row>
    <row r="506">
      <c r="A506" s="1" t="s">
        <v>2048</v>
      </c>
      <c r="B506" s="1" t="b">
        <v>1</v>
      </c>
      <c r="D506" s="344" t="s">
        <v>1920</v>
      </c>
      <c r="E506" s="344" t="s">
        <v>2049</v>
      </c>
      <c r="F506" s="87" t="b">
        <v>1</v>
      </c>
      <c r="G506" s="10"/>
      <c r="S506" s="105"/>
    </row>
    <row r="507">
      <c r="A507" s="1" t="s">
        <v>2050</v>
      </c>
      <c r="B507" s="1" t="b">
        <v>1</v>
      </c>
      <c r="D507" s="344" t="s">
        <v>1920</v>
      </c>
      <c r="E507" s="344" t="s">
        <v>2051</v>
      </c>
      <c r="F507" s="87" t="b">
        <v>1</v>
      </c>
      <c r="G507" s="10"/>
      <c r="S507" s="105"/>
    </row>
    <row r="508">
      <c r="A508" s="1" t="s">
        <v>2052</v>
      </c>
      <c r="B508" s="1" t="b">
        <v>1</v>
      </c>
      <c r="D508" s="344" t="s">
        <v>1920</v>
      </c>
      <c r="E508" s="344" t="s">
        <v>2053</v>
      </c>
      <c r="F508" s="87" t="b">
        <v>1</v>
      </c>
      <c r="G508" s="10"/>
      <c r="S508" s="105"/>
    </row>
    <row r="509">
      <c r="A509" s="1" t="s">
        <v>2054</v>
      </c>
      <c r="B509" s="1" t="b">
        <v>1</v>
      </c>
      <c r="D509" s="344" t="s">
        <v>1920</v>
      </c>
      <c r="E509" s="344" t="s">
        <v>2055</v>
      </c>
      <c r="F509" s="87" t="b">
        <v>1</v>
      </c>
      <c r="G509" s="10"/>
      <c r="S509" s="105"/>
    </row>
    <row r="510">
      <c r="A510" s="1" t="s">
        <v>2056</v>
      </c>
      <c r="B510" s="1" t="b">
        <v>1</v>
      </c>
      <c r="D510" s="344" t="s">
        <v>1920</v>
      </c>
      <c r="E510" s="344" t="s">
        <v>2057</v>
      </c>
      <c r="F510" s="87" t="b">
        <v>1</v>
      </c>
      <c r="G510" s="10"/>
      <c r="S510" s="105"/>
    </row>
    <row r="511">
      <c r="A511" s="1" t="s">
        <v>2058</v>
      </c>
      <c r="B511" s="1" t="b">
        <v>1</v>
      </c>
      <c r="D511" s="344" t="s">
        <v>1920</v>
      </c>
      <c r="E511" s="344" t="s">
        <v>2059</v>
      </c>
      <c r="F511" s="87" t="b">
        <v>1</v>
      </c>
      <c r="G511" s="10"/>
      <c r="S511" s="105"/>
    </row>
    <row r="512">
      <c r="A512" s="1" t="s">
        <v>2060</v>
      </c>
      <c r="B512" s="1" t="b">
        <v>1</v>
      </c>
      <c r="D512" s="344" t="s">
        <v>1920</v>
      </c>
      <c r="E512" s="344" t="s">
        <v>2061</v>
      </c>
      <c r="F512" s="87" t="b">
        <v>1</v>
      </c>
      <c r="G512" s="10"/>
      <c r="S512" s="105"/>
    </row>
    <row r="513">
      <c r="A513" s="1" t="s">
        <v>2062</v>
      </c>
      <c r="B513" s="1" t="b">
        <v>1</v>
      </c>
      <c r="D513" s="344" t="s">
        <v>1920</v>
      </c>
      <c r="E513" s="344" t="s">
        <v>2063</v>
      </c>
      <c r="F513" s="87" t="b">
        <v>1</v>
      </c>
      <c r="G513" s="10"/>
      <c r="S513" s="105"/>
    </row>
    <row r="514">
      <c r="A514" s="1" t="s">
        <v>2064</v>
      </c>
      <c r="B514" s="1" t="b">
        <v>1</v>
      </c>
      <c r="D514" s="344" t="s">
        <v>1920</v>
      </c>
      <c r="E514" s="344" t="s">
        <v>2065</v>
      </c>
      <c r="F514" s="87" t="b">
        <v>1</v>
      </c>
      <c r="G514" s="10"/>
      <c r="S514" s="105"/>
    </row>
    <row r="515">
      <c r="A515" s="1" t="s">
        <v>2066</v>
      </c>
      <c r="B515" s="1" t="b">
        <v>1</v>
      </c>
      <c r="D515" s="344" t="s">
        <v>1920</v>
      </c>
      <c r="E515" s="344" t="s">
        <v>2067</v>
      </c>
      <c r="F515" s="87" t="b">
        <v>1</v>
      </c>
      <c r="G515" s="10"/>
      <c r="S515" s="105"/>
    </row>
    <row r="516">
      <c r="A516" s="1" t="s">
        <v>2068</v>
      </c>
      <c r="B516" s="1" t="b">
        <v>1</v>
      </c>
      <c r="D516" s="344" t="s">
        <v>1920</v>
      </c>
      <c r="E516" s="344" t="s">
        <v>2069</v>
      </c>
      <c r="F516" s="87" t="b">
        <v>1</v>
      </c>
      <c r="G516" s="10"/>
      <c r="S516" s="105"/>
    </row>
    <row r="517">
      <c r="A517" s="1" t="s">
        <v>2070</v>
      </c>
      <c r="B517" s="1" t="b">
        <v>1</v>
      </c>
      <c r="D517" s="344" t="s">
        <v>1920</v>
      </c>
      <c r="E517" s="344" t="s">
        <v>2071</v>
      </c>
      <c r="F517" s="87" t="b">
        <v>1</v>
      </c>
      <c r="G517" s="10"/>
      <c r="S517" s="105"/>
    </row>
    <row r="518">
      <c r="A518" s="1" t="s">
        <v>2072</v>
      </c>
      <c r="B518" s="1" t="b">
        <v>1</v>
      </c>
      <c r="D518" s="344" t="s">
        <v>1920</v>
      </c>
      <c r="E518" s="344" t="s">
        <v>2073</v>
      </c>
      <c r="F518" s="87" t="b">
        <v>1</v>
      </c>
      <c r="G518" s="10"/>
      <c r="S518" s="105"/>
    </row>
    <row r="519">
      <c r="A519" s="1" t="s">
        <v>2074</v>
      </c>
      <c r="B519" s="1" t="b">
        <v>1</v>
      </c>
      <c r="D519" s="344" t="s">
        <v>1920</v>
      </c>
      <c r="E519" s="344" t="s">
        <v>2075</v>
      </c>
      <c r="F519" s="87" t="b">
        <v>1</v>
      </c>
      <c r="G519" s="10"/>
      <c r="S519" s="105"/>
    </row>
    <row r="520">
      <c r="A520" s="1" t="s">
        <v>2076</v>
      </c>
      <c r="B520" s="1" t="b">
        <v>1</v>
      </c>
      <c r="D520" s="344" t="s">
        <v>2077</v>
      </c>
      <c r="E520" s="344" t="s">
        <v>2078</v>
      </c>
      <c r="F520" s="87" t="b">
        <v>1</v>
      </c>
      <c r="G520" s="10"/>
      <c r="S520" s="105"/>
    </row>
    <row r="521">
      <c r="A521" s="1" t="s">
        <v>2079</v>
      </c>
      <c r="B521" s="1" t="b">
        <v>1</v>
      </c>
      <c r="D521" s="344" t="s">
        <v>2077</v>
      </c>
      <c r="E521" s="344" t="s">
        <v>2080</v>
      </c>
      <c r="F521" s="87" t="b">
        <v>1</v>
      </c>
      <c r="G521" s="10"/>
      <c r="S521" s="105"/>
    </row>
    <row r="522">
      <c r="A522" s="1" t="s">
        <v>2081</v>
      </c>
      <c r="B522" s="1" t="b">
        <v>1</v>
      </c>
      <c r="D522" s="344" t="s">
        <v>2077</v>
      </c>
      <c r="E522" s="344" t="s">
        <v>2082</v>
      </c>
      <c r="F522" s="87" t="b">
        <v>1</v>
      </c>
      <c r="G522" s="10"/>
      <c r="S522" s="105"/>
    </row>
    <row r="523">
      <c r="A523" s="1" t="s">
        <v>2083</v>
      </c>
      <c r="B523" s="1" t="b">
        <v>1</v>
      </c>
      <c r="D523" s="344" t="s">
        <v>2077</v>
      </c>
      <c r="E523" s="344" t="s">
        <v>2084</v>
      </c>
      <c r="F523" s="87" t="b">
        <v>1</v>
      </c>
      <c r="G523" s="10"/>
      <c r="S523" s="105"/>
    </row>
    <row r="524">
      <c r="A524" s="1" t="s">
        <v>2085</v>
      </c>
      <c r="B524" s="1" t="b">
        <v>1</v>
      </c>
      <c r="D524" s="344" t="s">
        <v>2077</v>
      </c>
      <c r="E524" s="344" t="s">
        <v>2086</v>
      </c>
      <c r="F524" s="87" t="b">
        <v>1</v>
      </c>
      <c r="G524" s="10"/>
      <c r="S524" s="105"/>
    </row>
    <row r="525">
      <c r="A525" s="1" t="s">
        <v>2087</v>
      </c>
      <c r="B525" s="1" t="b">
        <v>0</v>
      </c>
      <c r="D525" s="344" t="s">
        <v>2077</v>
      </c>
      <c r="E525" s="344" t="s">
        <v>2088</v>
      </c>
      <c r="F525" s="87" t="b">
        <v>1</v>
      </c>
      <c r="G525" s="10"/>
      <c r="S525" s="105"/>
    </row>
    <row r="526">
      <c r="A526" s="1" t="s">
        <v>2089</v>
      </c>
      <c r="B526" s="1" t="b">
        <v>1</v>
      </c>
      <c r="D526" s="344" t="s">
        <v>2077</v>
      </c>
      <c r="E526" s="344" t="s">
        <v>2090</v>
      </c>
      <c r="F526" s="87" t="b">
        <v>1</v>
      </c>
      <c r="G526" s="10"/>
      <c r="S526" s="105"/>
    </row>
    <row r="527">
      <c r="A527" s="1" t="s">
        <v>2091</v>
      </c>
      <c r="B527" s="1" t="b">
        <v>1</v>
      </c>
      <c r="D527" s="344" t="s">
        <v>1099</v>
      </c>
      <c r="E527" s="344" t="s">
        <v>1819</v>
      </c>
      <c r="F527" s="87" t="b">
        <v>1</v>
      </c>
      <c r="G527" s="87" t="s">
        <v>1020</v>
      </c>
      <c r="S527" s="105"/>
    </row>
    <row r="528">
      <c r="A528" s="1" t="s">
        <v>2092</v>
      </c>
      <c r="B528" s="1" t="b">
        <v>1</v>
      </c>
      <c r="D528" s="344" t="s">
        <v>1099</v>
      </c>
      <c r="E528" s="344" t="s">
        <v>1150</v>
      </c>
      <c r="F528" s="87" t="b">
        <v>1</v>
      </c>
      <c r="G528" s="87" t="s">
        <v>1020</v>
      </c>
      <c r="S528" s="105"/>
    </row>
    <row r="529">
      <c r="A529" s="1" t="s">
        <v>2093</v>
      </c>
      <c r="B529" s="1" t="b">
        <v>1</v>
      </c>
      <c r="D529" s="348" t="s">
        <v>1126</v>
      </c>
      <c r="E529" s="348" t="s">
        <v>1103</v>
      </c>
      <c r="F529" s="337" t="b">
        <v>1</v>
      </c>
      <c r="G529" s="337" t="s">
        <v>1020</v>
      </c>
      <c r="S529" s="105"/>
    </row>
    <row r="530">
      <c r="A530" s="1" t="s">
        <v>2094</v>
      </c>
      <c r="B530" s="1" t="b">
        <v>1</v>
      </c>
      <c r="D530" s="348" t="s">
        <v>1149</v>
      </c>
      <c r="E530" s="348" t="s">
        <v>1082</v>
      </c>
      <c r="F530" s="87" t="b">
        <v>1</v>
      </c>
      <c r="G530" s="10"/>
      <c r="S530" s="105"/>
    </row>
    <row r="531">
      <c r="A531" s="1" t="s">
        <v>2095</v>
      </c>
      <c r="B531" s="1" t="b">
        <v>1</v>
      </c>
      <c r="D531" s="348" t="s">
        <v>1228</v>
      </c>
      <c r="E531" s="348" t="s">
        <v>1819</v>
      </c>
      <c r="F531" s="87" t="b">
        <v>1</v>
      </c>
      <c r="G531" s="87" t="s">
        <v>1020</v>
      </c>
      <c r="S531" s="105"/>
    </row>
    <row r="532">
      <c r="A532" s="1" t="s">
        <v>2096</v>
      </c>
      <c r="B532" s="1" t="b">
        <v>1</v>
      </c>
      <c r="D532" s="348" t="s">
        <v>1228</v>
      </c>
      <c r="E532" s="348" t="s">
        <v>1708</v>
      </c>
      <c r="F532" s="87" t="b">
        <v>1</v>
      </c>
      <c r="G532" s="10"/>
      <c r="S532" s="105"/>
    </row>
    <row r="533">
      <c r="A533" s="1" t="s">
        <v>2097</v>
      </c>
      <c r="B533" s="1" t="b">
        <v>1</v>
      </c>
      <c r="D533" s="348" t="s">
        <v>1641</v>
      </c>
      <c r="E533" s="348" t="s">
        <v>1819</v>
      </c>
      <c r="F533" s="87" t="b">
        <v>1</v>
      </c>
      <c r="G533" s="87" t="s">
        <v>1020</v>
      </c>
      <c r="S533" s="105"/>
    </row>
    <row r="534">
      <c r="A534" s="1" t="s">
        <v>2098</v>
      </c>
      <c r="B534" s="1" t="b">
        <v>1</v>
      </c>
      <c r="D534" s="348" t="s">
        <v>1641</v>
      </c>
      <c r="E534" s="348" t="s">
        <v>1145</v>
      </c>
      <c r="F534" s="87" t="b">
        <v>1</v>
      </c>
      <c r="G534" s="10"/>
      <c r="S534" s="105"/>
    </row>
    <row r="535">
      <c r="A535" s="1" t="s">
        <v>2099</v>
      </c>
      <c r="B535" s="1" t="b">
        <v>1</v>
      </c>
      <c r="D535" s="348" t="s">
        <v>1812</v>
      </c>
      <c r="E535" s="348" t="s">
        <v>1100</v>
      </c>
      <c r="F535" s="87" t="b">
        <v>1</v>
      </c>
      <c r="G535" s="10"/>
      <c r="S535" s="105"/>
    </row>
    <row r="536">
      <c r="A536" s="1" t="s">
        <v>2100</v>
      </c>
      <c r="B536" s="1" t="b">
        <v>0</v>
      </c>
      <c r="D536" s="345"/>
      <c r="E536" s="345"/>
      <c r="F536" s="10" t="b">
        <v>0</v>
      </c>
      <c r="G536" s="10"/>
      <c r="S536" s="105"/>
    </row>
    <row r="537">
      <c r="A537" s="1" t="s">
        <v>2101</v>
      </c>
      <c r="B537" s="1" t="b">
        <v>0</v>
      </c>
      <c r="D537" s="345"/>
      <c r="E537" s="345"/>
      <c r="F537" s="10" t="b">
        <v>0</v>
      </c>
      <c r="G537" s="10"/>
      <c r="S537" s="105"/>
    </row>
    <row r="538">
      <c r="A538" s="1" t="s">
        <v>2102</v>
      </c>
      <c r="B538" s="1" t="b">
        <v>1</v>
      </c>
      <c r="D538" s="345"/>
      <c r="E538" s="345"/>
      <c r="F538" s="10" t="b">
        <v>0</v>
      </c>
      <c r="G538" s="10"/>
      <c r="S538" s="105"/>
    </row>
    <row r="539">
      <c r="A539" s="1" t="s">
        <v>2103</v>
      </c>
      <c r="B539" s="1" t="b">
        <v>1</v>
      </c>
      <c r="D539" s="345"/>
      <c r="E539" s="345"/>
      <c r="F539" s="10" t="b">
        <v>0</v>
      </c>
      <c r="G539" s="10"/>
      <c r="S539" s="105"/>
    </row>
    <row r="540">
      <c r="A540" s="1" t="s">
        <v>2104</v>
      </c>
      <c r="B540" s="1" t="b">
        <v>1</v>
      </c>
      <c r="D540" s="345"/>
      <c r="E540" s="345"/>
      <c r="F540" s="10" t="b">
        <v>0</v>
      </c>
      <c r="G540" s="10"/>
      <c r="S540" s="105"/>
    </row>
    <row r="541">
      <c r="A541" s="1" t="s">
        <v>2105</v>
      </c>
      <c r="B541" s="1" t="b">
        <v>1</v>
      </c>
      <c r="D541" s="345"/>
      <c r="E541" s="345"/>
      <c r="F541" s="10" t="b">
        <v>0</v>
      </c>
      <c r="G541" s="10"/>
      <c r="S541" s="105"/>
    </row>
    <row r="542">
      <c r="A542" s="1" t="s">
        <v>2106</v>
      </c>
      <c r="B542" s="1" t="b">
        <v>1</v>
      </c>
      <c r="D542" s="345"/>
      <c r="E542" s="345"/>
      <c r="F542" s="10" t="b">
        <v>0</v>
      </c>
      <c r="G542" s="10"/>
      <c r="S542" s="105"/>
    </row>
    <row r="543">
      <c r="A543" s="1" t="s">
        <v>2107</v>
      </c>
      <c r="B543" s="1" t="b">
        <v>1</v>
      </c>
      <c r="D543" s="345"/>
      <c r="E543" s="345"/>
      <c r="F543" s="10" t="b">
        <v>0</v>
      </c>
      <c r="G543" s="10"/>
      <c r="S543" s="105"/>
    </row>
    <row r="544">
      <c r="A544" s="1" t="s">
        <v>2108</v>
      </c>
      <c r="B544" s="1" t="b">
        <v>1</v>
      </c>
      <c r="D544" s="344"/>
      <c r="E544" s="344"/>
      <c r="F544" s="10" t="b">
        <v>0</v>
      </c>
      <c r="G544" s="10"/>
      <c r="S544" s="105"/>
    </row>
    <row r="545">
      <c r="A545" s="1" t="s">
        <v>2109</v>
      </c>
      <c r="B545" s="1" t="b">
        <v>1</v>
      </c>
      <c r="D545" s="344"/>
      <c r="E545" s="344"/>
      <c r="F545" s="10" t="b">
        <v>0</v>
      </c>
      <c r="G545" s="10"/>
      <c r="S545" s="105"/>
    </row>
    <row r="546">
      <c r="A546" s="1" t="s">
        <v>2110</v>
      </c>
      <c r="B546" s="1" t="b">
        <v>1</v>
      </c>
      <c r="D546" s="344"/>
      <c r="E546" s="344"/>
      <c r="F546" s="10" t="b">
        <v>0</v>
      </c>
      <c r="G546" s="10"/>
      <c r="S546" s="105"/>
    </row>
    <row r="547">
      <c r="A547" s="1" t="s">
        <v>2111</v>
      </c>
      <c r="B547" s="1" t="b">
        <v>1</v>
      </c>
      <c r="D547" s="344"/>
      <c r="E547" s="344"/>
      <c r="F547" s="10" t="b">
        <v>0</v>
      </c>
      <c r="G547" s="10"/>
      <c r="S547" s="105"/>
    </row>
    <row r="548">
      <c r="A548" s="1" t="s">
        <v>2112</v>
      </c>
      <c r="B548" s="1" t="b">
        <v>1</v>
      </c>
      <c r="D548" s="344"/>
      <c r="E548" s="344"/>
      <c r="F548" s="10" t="b">
        <v>0</v>
      </c>
      <c r="G548" s="10"/>
      <c r="S548" s="105"/>
    </row>
    <row r="549">
      <c r="A549" s="1" t="s">
        <v>2113</v>
      </c>
      <c r="B549" s="1" t="b">
        <v>1</v>
      </c>
      <c r="D549" s="344"/>
      <c r="E549" s="344"/>
      <c r="F549" s="10" t="b">
        <v>0</v>
      </c>
      <c r="G549" s="10"/>
      <c r="S549" s="105"/>
    </row>
    <row r="550">
      <c r="A550" s="1" t="s">
        <v>2114</v>
      </c>
      <c r="B550" s="1" t="b">
        <v>1</v>
      </c>
      <c r="D550" s="344"/>
      <c r="E550" s="344"/>
      <c r="F550" s="10" t="b">
        <v>0</v>
      </c>
      <c r="G550" s="10"/>
      <c r="S550" s="105"/>
    </row>
    <row r="551">
      <c r="A551" s="1" t="s">
        <v>2115</v>
      </c>
      <c r="B551" s="1" t="b">
        <v>0</v>
      </c>
      <c r="D551" s="344"/>
      <c r="E551" s="344"/>
      <c r="F551" s="10" t="b">
        <v>0</v>
      </c>
      <c r="G551" s="10"/>
      <c r="S551" s="105"/>
    </row>
    <row r="552">
      <c r="A552" s="1" t="s">
        <v>2116</v>
      </c>
      <c r="B552" s="1" t="b">
        <v>0</v>
      </c>
      <c r="D552" s="344"/>
      <c r="E552" s="344"/>
      <c r="F552" s="10" t="b">
        <v>0</v>
      </c>
      <c r="G552" s="10"/>
      <c r="S552" s="105"/>
    </row>
    <row r="553">
      <c r="A553" s="1" t="s">
        <v>2117</v>
      </c>
      <c r="B553" s="1" t="b">
        <v>0</v>
      </c>
      <c r="D553" s="344"/>
      <c r="E553" s="344"/>
      <c r="F553" s="10" t="b">
        <v>0</v>
      </c>
      <c r="G553" s="10"/>
      <c r="S553" s="105"/>
    </row>
    <row r="554">
      <c r="A554" s="1" t="s">
        <v>2118</v>
      </c>
      <c r="B554" s="1" t="b">
        <v>0</v>
      </c>
      <c r="D554" s="344"/>
      <c r="E554" s="344"/>
      <c r="F554" s="10" t="b">
        <v>0</v>
      </c>
      <c r="G554" s="10"/>
      <c r="S554" s="105"/>
    </row>
    <row r="555">
      <c r="A555" s="1" t="s">
        <v>2119</v>
      </c>
      <c r="B555" s="1" t="b">
        <v>0</v>
      </c>
      <c r="D555" s="344"/>
      <c r="E555" s="344"/>
      <c r="F555" s="10" t="b">
        <v>0</v>
      </c>
      <c r="G555" s="10"/>
      <c r="S555" s="105"/>
    </row>
    <row r="556">
      <c r="A556" s="1" t="s">
        <v>2120</v>
      </c>
      <c r="B556" s="1" t="b">
        <v>1</v>
      </c>
      <c r="D556" s="344"/>
      <c r="E556" s="344"/>
      <c r="F556" s="10" t="b">
        <v>0</v>
      </c>
      <c r="G556" s="10"/>
      <c r="S556" s="105"/>
    </row>
    <row r="557">
      <c r="A557" s="1" t="s">
        <v>2121</v>
      </c>
      <c r="B557" s="1" t="b">
        <v>0</v>
      </c>
      <c r="D557" s="344"/>
      <c r="E557" s="344"/>
      <c r="F557" s="10" t="b">
        <v>0</v>
      </c>
      <c r="G557" s="10"/>
      <c r="S557" s="105"/>
    </row>
    <row r="558">
      <c r="A558" s="1" t="s">
        <v>2122</v>
      </c>
      <c r="B558" s="1" t="b">
        <v>0</v>
      </c>
      <c r="D558" s="344"/>
      <c r="E558" s="344"/>
      <c r="F558" s="10" t="b">
        <v>0</v>
      </c>
      <c r="G558" s="10"/>
      <c r="S558" s="105"/>
    </row>
    <row r="559">
      <c r="A559" s="1" t="s">
        <v>2123</v>
      </c>
      <c r="B559" s="1" t="b">
        <v>1</v>
      </c>
      <c r="D559" s="344"/>
      <c r="E559" s="344"/>
      <c r="F559" s="10" t="b">
        <v>0</v>
      </c>
      <c r="G559" s="10"/>
      <c r="S559" s="105"/>
    </row>
    <row r="560">
      <c r="A560" s="1" t="s">
        <v>2124</v>
      </c>
      <c r="B560" s="1" t="b">
        <v>1</v>
      </c>
      <c r="D560" s="344"/>
      <c r="E560" s="344"/>
      <c r="F560" s="10" t="b">
        <v>0</v>
      </c>
      <c r="G560" s="10"/>
      <c r="S560" s="105"/>
    </row>
    <row r="561">
      <c r="A561" s="1" t="s">
        <v>2125</v>
      </c>
      <c r="B561" s="1" t="b">
        <v>1</v>
      </c>
      <c r="D561" s="344"/>
      <c r="E561" s="344"/>
      <c r="F561" s="10" t="b">
        <v>0</v>
      </c>
      <c r="G561" s="10"/>
      <c r="S561" s="105"/>
    </row>
    <row r="562">
      <c r="A562" s="1" t="s">
        <v>2126</v>
      </c>
      <c r="B562" s="1" t="b">
        <v>1</v>
      </c>
      <c r="D562" s="344"/>
      <c r="E562" s="344"/>
      <c r="F562" s="10" t="b">
        <v>0</v>
      </c>
      <c r="G562" s="10"/>
      <c r="S562" s="105"/>
    </row>
    <row r="563">
      <c r="A563" s="1" t="s">
        <v>2127</v>
      </c>
      <c r="B563" s="1" t="b">
        <v>1</v>
      </c>
      <c r="D563" s="344"/>
      <c r="E563" s="344"/>
      <c r="F563" s="10" t="b">
        <v>0</v>
      </c>
      <c r="G563" s="10"/>
      <c r="S563" s="105"/>
    </row>
    <row r="564">
      <c r="A564" s="1" t="s">
        <v>2128</v>
      </c>
      <c r="B564" s="1" t="b">
        <v>1</v>
      </c>
      <c r="D564" s="344"/>
      <c r="E564" s="344"/>
      <c r="F564" s="10" t="b">
        <v>0</v>
      </c>
      <c r="G564" s="10"/>
      <c r="S564" s="105"/>
    </row>
    <row r="565">
      <c r="A565" s="1" t="s">
        <v>2129</v>
      </c>
      <c r="B565" s="1" t="b">
        <v>1</v>
      </c>
      <c r="D565" s="344"/>
      <c r="E565" s="344"/>
      <c r="F565" s="10" t="b">
        <v>0</v>
      </c>
      <c r="G565" s="10"/>
      <c r="S565" s="105"/>
    </row>
    <row r="566">
      <c r="A566" s="1" t="s">
        <v>2130</v>
      </c>
      <c r="B566" s="1" t="b">
        <v>0</v>
      </c>
      <c r="D566" s="344"/>
      <c r="E566" s="344"/>
      <c r="F566" s="10" t="b">
        <v>0</v>
      </c>
      <c r="G566" s="10"/>
      <c r="S566" s="105"/>
    </row>
    <row r="567">
      <c r="A567" s="1" t="s">
        <v>2131</v>
      </c>
      <c r="B567" s="1" t="b">
        <v>1</v>
      </c>
      <c r="D567" s="344"/>
      <c r="E567" s="344"/>
      <c r="F567" s="10" t="b">
        <v>0</v>
      </c>
      <c r="G567" s="10"/>
      <c r="S567" s="105"/>
    </row>
    <row r="568">
      <c r="A568" s="1" t="s">
        <v>2132</v>
      </c>
      <c r="B568" s="1" t="b">
        <v>1</v>
      </c>
      <c r="D568" s="344"/>
      <c r="E568" s="344"/>
      <c r="F568" s="10" t="b">
        <v>0</v>
      </c>
      <c r="G568" s="10"/>
      <c r="S568" s="105"/>
    </row>
    <row r="569">
      <c r="A569" s="1" t="s">
        <v>2133</v>
      </c>
      <c r="B569" s="1" t="b">
        <v>1</v>
      </c>
      <c r="D569" s="344"/>
      <c r="E569" s="344"/>
      <c r="F569" s="10" t="b">
        <v>0</v>
      </c>
      <c r="G569" s="10"/>
      <c r="S569" s="105"/>
    </row>
    <row r="570">
      <c r="A570" s="1" t="s">
        <v>2134</v>
      </c>
      <c r="B570" s="1" t="b">
        <v>1</v>
      </c>
      <c r="D570" s="344"/>
      <c r="E570" s="344"/>
      <c r="F570" s="10" t="b">
        <v>0</v>
      </c>
      <c r="G570" s="10"/>
      <c r="S570" s="105"/>
    </row>
    <row r="571">
      <c r="A571" s="1" t="s">
        <v>2135</v>
      </c>
      <c r="B571" s="1" t="b">
        <v>1</v>
      </c>
      <c r="D571" s="344"/>
      <c r="E571" s="344"/>
      <c r="F571" s="10" t="b">
        <v>0</v>
      </c>
      <c r="G571" s="10"/>
      <c r="S571" s="105"/>
    </row>
    <row r="572">
      <c r="A572" s="1" t="s">
        <v>2136</v>
      </c>
      <c r="B572" s="1" t="b">
        <v>1</v>
      </c>
      <c r="D572" s="344"/>
      <c r="E572" s="344"/>
      <c r="F572" s="10" t="b">
        <v>0</v>
      </c>
      <c r="G572" s="10"/>
      <c r="S572" s="105"/>
    </row>
    <row r="573">
      <c r="A573" s="1" t="s">
        <v>2137</v>
      </c>
      <c r="B573" s="1" t="b">
        <v>1</v>
      </c>
      <c r="D573" s="344"/>
      <c r="E573" s="344"/>
      <c r="F573" s="10" t="b">
        <v>0</v>
      </c>
      <c r="G573" s="10"/>
      <c r="S573" s="105"/>
    </row>
    <row r="574">
      <c r="A574" s="1" t="s">
        <v>2138</v>
      </c>
      <c r="B574" s="1" t="b">
        <v>1</v>
      </c>
      <c r="D574" s="344"/>
      <c r="E574" s="344"/>
      <c r="F574" s="10" t="b">
        <v>0</v>
      </c>
      <c r="G574" s="10"/>
      <c r="S574" s="105"/>
    </row>
    <row r="575">
      <c r="A575" s="1" t="s">
        <v>2139</v>
      </c>
      <c r="B575" s="1" t="b">
        <v>1</v>
      </c>
      <c r="D575" s="344"/>
      <c r="E575" s="344"/>
      <c r="F575" s="10" t="b">
        <v>0</v>
      </c>
      <c r="G575" s="10"/>
      <c r="S575" s="105"/>
    </row>
    <row r="576">
      <c r="A576" s="1" t="s">
        <v>2140</v>
      </c>
      <c r="B576" s="1" t="b">
        <v>1</v>
      </c>
      <c r="D576" s="344"/>
      <c r="E576" s="344"/>
      <c r="F576" s="10" t="b">
        <v>0</v>
      </c>
      <c r="G576" s="10"/>
      <c r="S576" s="105"/>
    </row>
    <row r="577">
      <c r="A577" s="1" t="s">
        <v>2141</v>
      </c>
      <c r="B577" s="1" t="b">
        <v>1</v>
      </c>
      <c r="D577" s="344"/>
      <c r="E577" s="344"/>
      <c r="F577" s="10" t="b">
        <v>0</v>
      </c>
      <c r="G577" s="10"/>
      <c r="S577" s="105"/>
    </row>
    <row r="578">
      <c r="A578" s="1" t="s">
        <v>2142</v>
      </c>
      <c r="B578" s="1" t="b">
        <v>0</v>
      </c>
      <c r="D578" s="344"/>
      <c r="E578" s="344"/>
      <c r="F578" s="10" t="b">
        <v>0</v>
      </c>
      <c r="G578" s="10"/>
      <c r="S578" s="105"/>
    </row>
    <row r="579">
      <c r="A579" s="1" t="s">
        <v>2143</v>
      </c>
      <c r="B579" s="1" t="b">
        <v>1</v>
      </c>
      <c r="D579" s="344"/>
      <c r="E579" s="344"/>
      <c r="F579" s="10" t="b">
        <v>0</v>
      </c>
      <c r="G579" s="10"/>
      <c r="S579" s="105"/>
    </row>
    <row r="580">
      <c r="A580" s="1" t="s">
        <v>2144</v>
      </c>
      <c r="B580" s="1" t="b">
        <v>1</v>
      </c>
      <c r="D580" s="344"/>
      <c r="E580" s="344"/>
      <c r="F580" s="10" t="b">
        <v>0</v>
      </c>
      <c r="G580" s="10"/>
      <c r="S580" s="105"/>
    </row>
    <row r="581">
      <c r="A581" s="1" t="s">
        <v>2145</v>
      </c>
      <c r="B581" s="1" t="b">
        <v>1</v>
      </c>
      <c r="D581" s="344"/>
      <c r="E581" s="344"/>
      <c r="F581" s="10" t="b">
        <v>0</v>
      </c>
      <c r="G581" s="10"/>
      <c r="S581" s="105"/>
    </row>
    <row r="582">
      <c r="A582" s="1" t="s">
        <v>2146</v>
      </c>
      <c r="B582" s="1" t="b">
        <v>1</v>
      </c>
      <c r="D582" s="344"/>
      <c r="E582" s="344"/>
      <c r="F582" s="10" t="b">
        <v>0</v>
      </c>
      <c r="G582" s="10"/>
      <c r="S582" s="105"/>
    </row>
    <row r="583">
      <c r="A583" s="1" t="s">
        <v>2147</v>
      </c>
      <c r="B583" s="1" t="b">
        <v>1</v>
      </c>
      <c r="D583" s="344"/>
      <c r="E583" s="344"/>
      <c r="F583" s="10" t="b">
        <v>0</v>
      </c>
      <c r="G583" s="10"/>
      <c r="S583" s="105"/>
    </row>
    <row r="584">
      <c r="A584" s="1" t="s">
        <v>2148</v>
      </c>
      <c r="B584" s="1" t="b">
        <v>1</v>
      </c>
      <c r="D584" s="344"/>
      <c r="E584" s="344"/>
      <c r="F584" s="10" t="b">
        <v>0</v>
      </c>
      <c r="G584" s="10"/>
      <c r="S584" s="105"/>
    </row>
    <row r="585">
      <c r="A585" s="1" t="s">
        <v>2149</v>
      </c>
      <c r="B585" s="1" t="b">
        <v>1</v>
      </c>
      <c r="D585" s="344"/>
      <c r="E585" s="344"/>
      <c r="F585" s="10" t="b">
        <v>0</v>
      </c>
      <c r="G585" s="10"/>
      <c r="S585" s="105"/>
    </row>
    <row r="586">
      <c r="A586" s="1" t="s">
        <v>2150</v>
      </c>
      <c r="B586" s="1" t="b">
        <v>1</v>
      </c>
      <c r="D586" s="344"/>
      <c r="E586" s="344"/>
      <c r="F586" s="10" t="b">
        <v>0</v>
      </c>
      <c r="G586" s="10"/>
      <c r="S586" s="105"/>
    </row>
    <row r="587">
      <c r="A587" s="1" t="s">
        <v>2151</v>
      </c>
      <c r="B587" s="1" t="b">
        <v>1</v>
      </c>
      <c r="D587" s="344"/>
      <c r="E587" s="344"/>
      <c r="F587" s="10" t="b">
        <v>0</v>
      </c>
      <c r="G587" s="10"/>
      <c r="S587" s="105"/>
    </row>
    <row r="588">
      <c r="A588" s="1" t="s">
        <v>2152</v>
      </c>
      <c r="B588" s="1" t="b">
        <v>1</v>
      </c>
      <c r="D588" s="344"/>
      <c r="E588" s="344"/>
      <c r="F588" s="10" t="b">
        <v>0</v>
      </c>
      <c r="G588" s="10"/>
      <c r="S588" s="105"/>
    </row>
    <row r="589">
      <c r="A589" s="1" t="s">
        <v>2153</v>
      </c>
      <c r="B589" s="1" t="b">
        <v>1</v>
      </c>
      <c r="D589" s="344"/>
      <c r="E589" s="344"/>
      <c r="F589" s="10" t="b">
        <v>0</v>
      </c>
      <c r="G589" s="10"/>
      <c r="S589" s="105"/>
    </row>
    <row r="590">
      <c r="A590" s="1" t="s">
        <v>2154</v>
      </c>
      <c r="B590" s="1" t="b">
        <v>1</v>
      </c>
      <c r="D590" s="344"/>
      <c r="E590" s="344"/>
      <c r="F590" s="10" t="b">
        <v>0</v>
      </c>
      <c r="G590" s="10"/>
      <c r="S590" s="105"/>
    </row>
    <row r="591">
      <c r="A591" s="1" t="s">
        <v>2155</v>
      </c>
      <c r="B591" s="1" t="b">
        <v>1</v>
      </c>
      <c r="D591" s="344"/>
      <c r="E591" s="344"/>
      <c r="F591" s="10" t="b">
        <v>0</v>
      </c>
      <c r="G591" s="10"/>
      <c r="S591" s="105"/>
    </row>
    <row r="592">
      <c r="A592" s="1" t="s">
        <v>2156</v>
      </c>
      <c r="B592" s="1" t="b">
        <v>1</v>
      </c>
      <c r="D592" s="344"/>
      <c r="E592" s="344"/>
      <c r="F592" s="10" t="b">
        <v>0</v>
      </c>
      <c r="G592" s="10"/>
      <c r="S592" s="105"/>
    </row>
    <row r="593">
      <c r="A593" s="1" t="s">
        <v>2157</v>
      </c>
      <c r="B593" s="1" t="b">
        <v>1</v>
      </c>
      <c r="D593" s="344"/>
      <c r="E593" s="344"/>
      <c r="F593" s="10" t="b">
        <v>0</v>
      </c>
      <c r="G593" s="10"/>
      <c r="S593" s="105"/>
    </row>
    <row r="594">
      <c r="A594" s="1" t="s">
        <v>2158</v>
      </c>
      <c r="B594" s="1" t="b">
        <v>1</v>
      </c>
      <c r="D594" s="344"/>
      <c r="E594" s="344"/>
      <c r="F594" s="10" t="b">
        <v>0</v>
      </c>
      <c r="G594" s="10"/>
      <c r="S594" s="105"/>
    </row>
    <row r="595">
      <c r="A595" s="1" t="s">
        <v>2159</v>
      </c>
      <c r="B595" s="1" t="b">
        <v>1</v>
      </c>
      <c r="D595" s="344"/>
      <c r="E595" s="344"/>
      <c r="F595" s="10" t="b">
        <v>0</v>
      </c>
      <c r="G595" s="10"/>
      <c r="S595" s="105"/>
    </row>
    <row r="596">
      <c r="A596" s="1" t="s">
        <v>2160</v>
      </c>
      <c r="B596" s="1" t="b">
        <v>1</v>
      </c>
      <c r="D596" s="344"/>
      <c r="E596" s="344"/>
      <c r="F596" s="10" t="b">
        <v>0</v>
      </c>
      <c r="G596" s="10"/>
      <c r="S596" s="105"/>
    </row>
    <row r="597">
      <c r="A597" s="1" t="s">
        <v>2161</v>
      </c>
      <c r="B597" s="1" t="b">
        <v>1</v>
      </c>
      <c r="D597" s="344"/>
      <c r="E597" s="344"/>
      <c r="F597" s="10" t="b">
        <v>0</v>
      </c>
      <c r="G597" s="10"/>
      <c r="S597" s="105"/>
    </row>
    <row r="598">
      <c r="A598" s="1" t="s">
        <v>2162</v>
      </c>
      <c r="B598" s="1" t="b">
        <v>0</v>
      </c>
      <c r="D598" s="344"/>
      <c r="E598" s="344"/>
      <c r="F598" s="10" t="b">
        <v>0</v>
      </c>
      <c r="G598" s="10"/>
      <c r="S598" s="105"/>
    </row>
    <row r="599">
      <c r="A599" s="1" t="s">
        <v>2163</v>
      </c>
      <c r="B599" s="1" t="b">
        <v>1</v>
      </c>
      <c r="D599" s="344"/>
      <c r="E599" s="344"/>
      <c r="F599" s="10" t="b">
        <v>0</v>
      </c>
      <c r="G599" s="10"/>
      <c r="S599" s="105"/>
    </row>
    <row r="600">
      <c r="A600" s="1" t="s">
        <v>2164</v>
      </c>
      <c r="B600" s="1" t="b">
        <v>1</v>
      </c>
      <c r="D600" s="344"/>
      <c r="E600" s="344"/>
      <c r="F600" s="10" t="b">
        <v>0</v>
      </c>
      <c r="G600" s="10"/>
      <c r="S600" s="105"/>
    </row>
    <row r="601">
      <c r="A601" s="1" t="s">
        <v>2165</v>
      </c>
      <c r="B601" s="1" t="b">
        <v>1</v>
      </c>
      <c r="D601" s="344"/>
      <c r="E601" s="344"/>
      <c r="F601" s="10" t="b">
        <v>0</v>
      </c>
      <c r="G601" s="10"/>
      <c r="S601" s="105"/>
    </row>
    <row r="602">
      <c r="A602" s="1" t="s">
        <v>2166</v>
      </c>
      <c r="B602" s="1" t="b">
        <v>1</v>
      </c>
      <c r="D602" s="344"/>
      <c r="E602" s="344"/>
      <c r="F602" s="10" t="b">
        <v>0</v>
      </c>
      <c r="G602" s="10"/>
      <c r="S602" s="105"/>
    </row>
    <row r="603">
      <c r="A603" s="1" t="s">
        <v>2167</v>
      </c>
      <c r="B603" s="1" t="b">
        <v>1</v>
      </c>
      <c r="D603" s="344"/>
      <c r="E603" s="344"/>
      <c r="F603" s="10" t="b">
        <v>0</v>
      </c>
      <c r="G603" s="10"/>
      <c r="S603" s="105"/>
    </row>
    <row r="604">
      <c r="A604" s="1" t="s">
        <v>2168</v>
      </c>
      <c r="B604" s="1" t="b">
        <v>1</v>
      </c>
      <c r="D604" s="344"/>
      <c r="E604" s="344"/>
      <c r="F604" s="10" t="b">
        <v>0</v>
      </c>
      <c r="G604" s="10"/>
      <c r="S604" s="105"/>
    </row>
    <row r="605">
      <c r="A605" s="1" t="s">
        <v>2169</v>
      </c>
      <c r="B605" s="1" t="b">
        <v>1</v>
      </c>
      <c r="D605" s="344"/>
      <c r="E605" s="344"/>
      <c r="F605" s="10" t="b">
        <v>0</v>
      </c>
      <c r="G605" s="10"/>
      <c r="S605" s="105"/>
    </row>
    <row r="606">
      <c r="A606" s="1" t="s">
        <v>2170</v>
      </c>
      <c r="B606" s="1" t="b">
        <v>1</v>
      </c>
      <c r="D606" s="344"/>
      <c r="E606" s="344"/>
      <c r="F606" s="10" t="b">
        <v>0</v>
      </c>
      <c r="G606" s="10"/>
      <c r="S606" s="105"/>
    </row>
    <row r="607">
      <c r="A607" s="1" t="s">
        <v>2171</v>
      </c>
      <c r="B607" s="1" t="b">
        <v>1</v>
      </c>
      <c r="D607" s="344"/>
      <c r="E607" s="344"/>
      <c r="F607" s="10" t="b">
        <v>0</v>
      </c>
      <c r="G607" s="10"/>
      <c r="S607" s="105"/>
    </row>
    <row r="608">
      <c r="A608" s="1" t="s">
        <v>2172</v>
      </c>
      <c r="B608" s="1" t="b">
        <v>1</v>
      </c>
      <c r="D608" s="344"/>
      <c r="E608" s="344"/>
      <c r="F608" s="10" t="b">
        <v>0</v>
      </c>
      <c r="G608" s="10"/>
      <c r="S608" s="105"/>
    </row>
    <row r="609">
      <c r="A609" s="1" t="s">
        <v>2173</v>
      </c>
      <c r="B609" s="1" t="b">
        <v>1</v>
      </c>
      <c r="D609" s="344"/>
      <c r="E609" s="344"/>
      <c r="F609" s="10" t="b">
        <v>0</v>
      </c>
      <c r="G609" s="10"/>
      <c r="S609" s="105"/>
    </row>
    <row r="610">
      <c r="A610" s="1" t="s">
        <v>2174</v>
      </c>
      <c r="B610" s="1" t="b">
        <v>1</v>
      </c>
      <c r="D610" s="344"/>
      <c r="E610" s="344"/>
      <c r="F610" s="10" t="b">
        <v>0</v>
      </c>
      <c r="G610" s="10"/>
      <c r="S610" s="105"/>
    </row>
    <row r="611">
      <c r="A611" s="1" t="s">
        <v>2175</v>
      </c>
      <c r="B611" s="1" t="b">
        <v>1</v>
      </c>
      <c r="D611" s="344"/>
      <c r="E611" s="344"/>
      <c r="F611" s="10" t="b">
        <v>0</v>
      </c>
      <c r="G611" s="10"/>
      <c r="S611" s="105"/>
    </row>
    <row r="612">
      <c r="A612" s="1" t="s">
        <v>2176</v>
      </c>
      <c r="B612" s="1" t="b">
        <v>1</v>
      </c>
      <c r="D612" s="344"/>
      <c r="E612" s="344"/>
      <c r="F612" s="10" t="b">
        <v>0</v>
      </c>
      <c r="G612" s="10"/>
      <c r="S612" s="105"/>
    </row>
    <row r="613">
      <c r="A613" s="1" t="s">
        <v>2177</v>
      </c>
      <c r="B613" s="1" t="b">
        <v>1</v>
      </c>
      <c r="D613" s="344"/>
      <c r="E613" s="344"/>
      <c r="F613" s="10" t="b">
        <v>0</v>
      </c>
      <c r="G613" s="10"/>
      <c r="S613" s="105"/>
    </row>
    <row r="614">
      <c r="A614" s="1" t="s">
        <v>2178</v>
      </c>
      <c r="B614" s="1" t="b">
        <v>1</v>
      </c>
      <c r="D614" s="344"/>
      <c r="E614" s="344"/>
      <c r="F614" s="10" t="b">
        <v>0</v>
      </c>
      <c r="G614" s="10"/>
      <c r="S614" s="105"/>
    </row>
    <row r="615">
      <c r="A615" s="1" t="s">
        <v>2179</v>
      </c>
      <c r="B615" s="1" t="b">
        <v>1</v>
      </c>
      <c r="D615" s="344"/>
      <c r="E615" s="344"/>
      <c r="F615" s="10" t="b">
        <v>0</v>
      </c>
      <c r="G615" s="10"/>
      <c r="S615" s="105"/>
    </row>
    <row r="616">
      <c r="A616" s="1" t="s">
        <v>2180</v>
      </c>
      <c r="B616" s="1" t="b">
        <v>1</v>
      </c>
      <c r="D616" s="344"/>
      <c r="E616" s="344"/>
      <c r="F616" s="10" t="b">
        <v>0</v>
      </c>
      <c r="G616" s="10"/>
      <c r="S616" s="105"/>
    </row>
    <row r="617">
      <c r="A617" s="1" t="s">
        <v>2181</v>
      </c>
      <c r="B617" s="1" t="b">
        <v>1</v>
      </c>
      <c r="D617" s="344"/>
      <c r="E617" s="344"/>
      <c r="F617" s="10" t="b">
        <v>0</v>
      </c>
      <c r="G617" s="10"/>
      <c r="S617" s="105"/>
    </row>
    <row r="618">
      <c r="A618" s="1" t="s">
        <v>2182</v>
      </c>
      <c r="B618" s="1" t="b">
        <v>1</v>
      </c>
      <c r="D618" s="344"/>
      <c r="E618" s="344"/>
      <c r="F618" s="10" t="b">
        <v>0</v>
      </c>
      <c r="G618" s="10"/>
      <c r="S618" s="105"/>
    </row>
    <row r="619">
      <c r="A619" s="1" t="s">
        <v>2183</v>
      </c>
      <c r="B619" s="1" t="b">
        <v>1</v>
      </c>
      <c r="D619" s="344"/>
      <c r="E619" s="344"/>
      <c r="F619" s="10" t="b">
        <v>0</v>
      </c>
      <c r="G619" s="10"/>
      <c r="S619" s="105"/>
    </row>
    <row r="620">
      <c r="A620" s="1" t="s">
        <v>2184</v>
      </c>
      <c r="B620" s="1" t="b">
        <v>1</v>
      </c>
      <c r="D620" s="344"/>
      <c r="E620" s="344"/>
      <c r="F620" s="10" t="b">
        <v>0</v>
      </c>
      <c r="G620" s="10"/>
      <c r="S620" s="105"/>
    </row>
    <row r="621">
      <c r="A621" s="1" t="s">
        <v>2185</v>
      </c>
      <c r="B621" s="1" t="b">
        <v>1</v>
      </c>
      <c r="D621" s="344"/>
      <c r="E621" s="344"/>
      <c r="F621" s="10" t="b">
        <v>0</v>
      </c>
      <c r="G621" s="10"/>
      <c r="S621" s="105"/>
    </row>
    <row r="622">
      <c r="A622" s="1" t="s">
        <v>2186</v>
      </c>
      <c r="B622" s="1" t="b">
        <v>0</v>
      </c>
      <c r="D622" s="344"/>
      <c r="E622" s="344"/>
      <c r="F622" s="10" t="b">
        <v>0</v>
      </c>
      <c r="G622" s="10"/>
      <c r="S622" s="105"/>
    </row>
    <row r="623">
      <c r="A623" s="1" t="s">
        <v>2187</v>
      </c>
      <c r="B623" s="1" t="b">
        <v>0</v>
      </c>
      <c r="D623" s="344"/>
      <c r="E623" s="344"/>
      <c r="F623" s="10" t="b">
        <v>0</v>
      </c>
      <c r="G623" s="10"/>
      <c r="S623" s="105"/>
    </row>
    <row r="624">
      <c r="A624" s="1" t="s">
        <v>2188</v>
      </c>
      <c r="B624" s="1" t="b">
        <v>1</v>
      </c>
      <c r="D624" s="344"/>
      <c r="E624" s="344"/>
      <c r="F624" s="10" t="b">
        <v>0</v>
      </c>
      <c r="G624" s="10"/>
      <c r="S624" s="105"/>
    </row>
    <row r="625">
      <c r="A625" s="1" t="s">
        <v>2189</v>
      </c>
      <c r="B625" s="1" t="b">
        <v>1</v>
      </c>
      <c r="D625" s="344"/>
      <c r="E625" s="344"/>
      <c r="F625" s="10" t="b">
        <v>0</v>
      </c>
      <c r="G625" s="10"/>
      <c r="S625" s="105"/>
    </row>
    <row r="626">
      <c r="A626" s="1" t="s">
        <v>2190</v>
      </c>
      <c r="B626" s="1" t="b">
        <v>1</v>
      </c>
      <c r="D626" s="344"/>
      <c r="E626" s="344"/>
      <c r="F626" s="10" t="b">
        <v>0</v>
      </c>
      <c r="G626" s="10"/>
      <c r="S626" s="105"/>
    </row>
    <row r="627">
      <c r="A627" s="1" t="s">
        <v>2191</v>
      </c>
      <c r="B627" s="1" t="b">
        <v>1</v>
      </c>
      <c r="D627" s="344"/>
      <c r="E627" s="344"/>
      <c r="F627" s="10" t="b">
        <v>0</v>
      </c>
      <c r="G627" s="10"/>
      <c r="S627" s="105"/>
    </row>
    <row r="628">
      <c r="A628" s="1" t="s">
        <v>2192</v>
      </c>
      <c r="B628" s="1" t="b">
        <v>1</v>
      </c>
      <c r="D628" s="344"/>
      <c r="E628" s="344"/>
      <c r="F628" s="10" t="b">
        <v>0</v>
      </c>
      <c r="G628" s="10"/>
      <c r="S628" s="105"/>
    </row>
    <row r="629">
      <c r="A629" s="1" t="s">
        <v>2193</v>
      </c>
      <c r="B629" s="1" t="b">
        <v>1</v>
      </c>
      <c r="D629" s="344"/>
      <c r="E629" s="344"/>
      <c r="F629" s="10" t="b">
        <v>0</v>
      </c>
      <c r="G629" s="10"/>
      <c r="S629" s="105"/>
    </row>
    <row r="630">
      <c r="A630" s="1" t="s">
        <v>2194</v>
      </c>
      <c r="B630" s="1" t="b">
        <v>1</v>
      </c>
      <c r="D630" s="344"/>
      <c r="E630" s="344"/>
      <c r="F630" s="10" t="b">
        <v>0</v>
      </c>
      <c r="G630" s="10"/>
      <c r="S630" s="105"/>
    </row>
    <row r="631">
      <c r="A631" s="1" t="s">
        <v>2195</v>
      </c>
      <c r="B631" s="1" t="b">
        <v>1</v>
      </c>
      <c r="D631" s="344"/>
      <c r="E631" s="344"/>
      <c r="F631" s="10" t="b">
        <v>0</v>
      </c>
      <c r="G631" s="10"/>
      <c r="S631" s="105"/>
    </row>
    <row r="632">
      <c r="A632" s="1" t="s">
        <v>2196</v>
      </c>
      <c r="B632" s="1" t="b">
        <v>1</v>
      </c>
      <c r="D632" s="344"/>
      <c r="E632" s="344"/>
      <c r="F632" s="10" t="b">
        <v>0</v>
      </c>
      <c r="G632" s="10"/>
      <c r="S632" s="105"/>
    </row>
    <row r="633">
      <c r="A633" s="1" t="s">
        <v>2197</v>
      </c>
      <c r="B633" s="1" t="b">
        <v>0</v>
      </c>
      <c r="D633" s="344"/>
      <c r="E633" s="344"/>
      <c r="F633" s="10" t="b">
        <v>0</v>
      </c>
      <c r="G633" s="10"/>
      <c r="S633" s="105"/>
    </row>
    <row r="634">
      <c r="A634" s="1" t="s">
        <v>2198</v>
      </c>
      <c r="B634" s="1" t="b">
        <v>1</v>
      </c>
      <c r="D634" s="344"/>
      <c r="E634" s="344"/>
      <c r="F634" s="10" t="b">
        <v>0</v>
      </c>
      <c r="G634" s="10"/>
      <c r="S634" s="105"/>
    </row>
    <row r="635">
      <c r="A635" s="1" t="s">
        <v>2199</v>
      </c>
      <c r="B635" s="1" t="b">
        <v>1</v>
      </c>
      <c r="D635" s="344"/>
      <c r="E635" s="344"/>
      <c r="F635" s="10" t="b">
        <v>0</v>
      </c>
      <c r="G635" s="10"/>
      <c r="S635" s="105"/>
    </row>
    <row r="636">
      <c r="A636" s="1" t="s">
        <v>2200</v>
      </c>
      <c r="B636" s="1" t="b">
        <v>1</v>
      </c>
      <c r="D636" s="344"/>
      <c r="E636" s="344"/>
      <c r="F636" s="10" t="b">
        <v>0</v>
      </c>
      <c r="G636" s="10"/>
      <c r="S636" s="105"/>
    </row>
    <row r="637">
      <c r="A637" s="1" t="s">
        <v>2201</v>
      </c>
      <c r="B637" s="1" t="b">
        <v>1</v>
      </c>
      <c r="D637" s="344"/>
      <c r="E637" s="344"/>
      <c r="F637" s="10" t="b">
        <v>0</v>
      </c>
      <c r="G637" s="10"/>
      <c r="S637" s="105"/>
    </row>
    <row r="638">
      <c r="A638" s="1" t="s">
        <v>2202</v>
      </c>
      <c r="B638" s="1" t="b">
        <v>1</v>
      </c>
      <c r="D638" s="344"/>
      <c r="E638" s="344"/>
      <c r="F638" s="10" t="b">
        <v>0</v>
      </c>
      <c r="G638" s="10"/>
      <c r="S638" s="105"/>
    </row>
    <row r="639">
      <c r="A639" s="1" t="s">
        <v>2203</v>
      </c>
      <c r="B639" s="1" t="b">
        <v>1</v>
      </c>
      <c r="D639" s="344"/>
      <c r="E639" s="344"/>
      <c r="F639" s="10" t="b">
        <v>0</v>
      </c>
      <c r="G639" s="10"/>
      <c r="S639" s="105"/>
    </row>
    <row r="640">
      <c r="A640" s="1" t="s">
        <v>2204</v>
      </c>
      <c r="B640" s="1" t="b">
        <v>1</v>
      </c>
      <c r="D640" s="344"/>
      <c r="E640" s="344"/>
      <c r="F640" s="10" t="b">
        <v>0</v>
      </c>
      <c r="G640" s="10"/>
      <c r="S640" s="105"/>
    </row>
    <row r="641">
      <c r="A641" s="1" t="s">
        <v>2205</v>
      </c>
      <c r="B641" s="1" t="b">
        <v>1</v>
      </c>
      <c r="D641" s="344"/>
      <c r="E641" s="344"/>
      <c r="F641" s="10" t="b">
        <v>0</v>
      </c>
      <c r="G641" s="10"/>
      <c r="S641" s="105"/>
    </row>
    <row r="642">
      <c r="A642" s="1" t="s">
        <v>2206</v>
      </c>
      <c r="B642" s="1" t="b">
        <v>1</v>
      </c>
      <c r="D642" s="344"/>
      <c r="E642" s="344"/>
      <c r="F642" s="10" t="b">
        <v>0</v>
      </c>
      <c r="G642" s="10"/>
      <c r="S642" s="105"/>
    </row>
    <row r="643">
      <c r="A643" s="1" t="s">
        <v>2207</v>
      </c>
      <c r="B643" s="1" t="b">
        <v>1</v>
      </c>
      <c r="D643" s="344"/>
      <c r="E643" s="344"/>
      <c r="F643" s="10" t="b">
        <v>0</v>
      </c>
      <c r="G643" s="10"/>
      <c r="S643" s="105"/>
    </row>
    <row r="644">
      <c r="A644" s="1" t="s">
        <v>2208</v>
      </c>
      <c r="B644" s="1" t="b">
        <v>1</v>
      </c>
      <c r="D644" s="344"/>
      <c r="E644" s="344"/>
      <c r="F644" s="10" t="b">
        <v>0</v>
      </c>
      <c r="G644" s="10"/>
      <c r="S644" s="105"/>
    </row>
    <row r="645">
      <c r="A645" s="1" t="s">
        <v>2209</v>
      </c>
      <c r="B645" s="1" t="b">
        <v>1</v>
      </c>
      <c r="D645" s="344"/>
      <c r="E645" s="344"/>
      <c r="F645" s="10" t="b">
        <v>0</v>
      </c>
      <c r="G645" s="10"/>
      <c r="S645" s="105"/>
    </row>
    <row r="646">
      <c r="A646" s="1" t="s">
        <v>2210</v>
      </c>
      <c r="B646" s="1" t="b">
        <v>1</v>
      </c>
      <c r="D646" s="344"/>
      <c r="E646" s="344"/>
      <c r="F646" s="10" t="b">
        <v>0</v>
      </c>
      <c r="G646" s="10"/>
      <c r="S646" s="105"/>
    </row>
    <row r="647">
      <c r="A647" s="1" t="s">
        <v>2211</v>
      </c>
      <c r="B647" s="1" t="b">
        <v>1</v>
      </c>
      <c r="D647" s="344"/>
      <c r="E647" s="344"/>
      <c r="F647" s="10" t="b">
        <v>0</v>
      </c>
      <c r="G647" s="10"/>
      <c r="S647" s="105"/>
    </row>
    <row r="648">
      <c r="A648" s="1" t="s">
        <v>2212</v>
      </c>
      <c r="B648" s="1" t="b">
        <v>1</v>
      </c>
      <c r="D648" s="344"/>
      <c r="E648" s="344"/>
      <c r="F648" s="10" t="b">
        <v>0</v>
      </c>
      <c r="G648" s="10"/>
      <c r="S648" s="105"/>
    </row>
    <row r="649">
      <c r="A649" s="1" t="s">
        <v>2213</v>
      </c>
      <c r="B649" s="1" t="b">
        <v>1</v>
      </c>
      <c r="D649" s="344"/>
      <c r="E649" s="344"/>
      <c r="F649" s="10" t="b">
        <v>0</v>
      </c>
      <c r="G649" s="10"/>
      <c r="S649" s="105"/>
    </row>
    <row r="650">
      <c r="A650" s="1" t="s">
        <v>2214</v>
      </c>
      <c r="B650" s="1" t="b">
        <v>1</v>
      </c>
      <c r="D650" s="344"/>
      <c r="E650" s="344"/>
      <c r="F650" s="10" t="b">
        <v>0</v>
      </c>
      <c r="G650" s="10"/>
      <c r="S650" s="105"/>
    </row>
    <row r="651">
      <c r="A651" s="1" t="s">
        <v>2215</v>
      </c>
      <c r="B651" s="1" t="b">
        <v>1</v>
      </c>
      <c r="D651" s="344"/>
      <c r="E651" s="344"/>
      <c r="F651" s="10" t="b">
        <v>0</v>
      </c>
      <c r="G651" s="10"/>
      <c r="S651" s="105"/>
    </row>
    <row r="652">
      <c r="A652" s="1" t="s">
        <v>2216</v>
      </c>
      <c r="B652" s="1" t="b">
        <v>1</v>
      </c>
      <c r="D652" s="344"/>
      <c r="E652" s="344"/>
      <c r="F652" s="10" t="b">
        <v>0</v>
      </c>
      <c r="G652" s="10"/>
      <c r="S652" s="105"/>
    </row>
    <row r="653">
      <c r="A653" s="1" t="s">
        <v>2217</v>
      </c>
      <c r="B653" s="1" t="b">
        <v>1</v>
      </c>
      <c r="D653" s="344"/>
      <c r="E653" s="344"/>
      <c r="F653" s="10" t="b">
        <v>0</v>
      </c>
      <c r="G653" s="10"/>
      <c r="S653" s="105"/>
    </row>
    <row r="654">
      <c r="A654" s="1" t="s">
        <v>2218</v>
      </c>
      <c r="B654" s="1" t="b">
        <v>1</v>
      </c>
      <c r="D654" s="344"/>
      <c r="E654" s="344"/>
      <c r="F654" s="10" t="b">
        <v>0</v>
      </c>
      <c r="G654" s="10"/>
      <c r="S654" s="105"/>
    </row>
    <row r="655">
      <c r="A655" s="1" t="s">
        <v>2219</v>
      </c>
      <c r="B655" s="1" t="b">
        <v>1</v>
      </c>
      <c r="D655" s="344"/>
      <c r="E655" s="344"/>
      <c r="F655" s="10" t="b">
        <v>0</v>
      </c>
      <c r="G655" s="10"/>
      <c r="S655" s="105"/>
    </row>
    <row r="656">
      <c r="A656" s="1" t="s">
        <v>2220</v>
      </c>
      <c r="B656" s="1" t="b">
        <v>1</v>
      </c>
      <c r="D656" s="344"/>
      <c r="E656" s="344"/>
      <c r="F656" s="10" t="b">
        <v>0</v>
      </c>
      <c r="G656" s="10"/>
      <c r="S656" s="105"/>
    </row>
    <row r="657">
      <c r="A657" s="1" t="s">
        <v>2221</v>
      </c>
      <c r="B657" s="1" t="b">
        <v>1</v>
      </c>
      <c r="D657" s="344"/>
      <c r="E657" s="344"/>
      <c r="F657" s="10" t="b">
        <v>0</v>
      </c>
      <c r="G657" s="10"/>
      <c r="S657" s="105"/>
    </row>
    <row r="658">
      <c r="A658" s="1" t="s">
        <v>2222</v>
      </c>
      <c r="B658" s="1" t="b">
        <v>1</v>
      </c>
      <c r="D658" s="344"/>
      <c r="E658" s="344"/>
      <c r="F658" s="10" t="b">
        <v>0</v>
      </c>
      <c r="G658" s="10"/>
      <c r="S658" s="105"/>
    </row>
    <row r="659">
      <c r="A659" s="1" t="s">
        <v>2223</v>
      </c>
      <c r="B659" s="1" t="b">
        <v>1</v>
      </c>
      <c r="D659" s="344"/>
      <c r="E659" s="344"/>
      <c r="F659" s="10" t="b">
        <v>0</v>
      </c>
      <c r="G659" s="10"/>
      <c r="S659" s="105"/>
    </row>
    <row r="660">
      <c r="A660" s="1" t="s">
        <v>2224</v>
      </c>
      <c r="B660" s="1" t="b">
        <v>1</v>
      </c>
      <c r="D660" s="344"/>
      <c r="E660" s="344"/>
      <c r="F660" s="10" t="b">
        <v>0</v>
      </c>
      <c r="G660" s="10"/>
      <c r="S660" s="105"/>
    </row>
    <row r="661">
      <c r="A661" s="1" t="s">
        <v>2225</v>
      </c>
      <c r="B661" s="1" t="b">
        <v>1</v>
      </c>
      <c r="D661" s="344"/>
      <c r="E661" s="344"/>
      <c r="F661" s="10" t="b">
        <v>0</v>
      </c>
      <c r="G661" s="10"/>
      <c r="S661" s="105"/>
    </row>
    <row r="662">
      <c r="A662" s="1" t="s">
        <v>2226</v>
      </c>
      <c r="B662" s="1" t="b">
        <v>0</v>
      </c>
      <c r="D662" s="344"/>
      <c r="E662" s="344"/>
      <c r="F662" s="10" t="b">
        <v>0</v>
      </c>
      <c r="G662" s="10"/>
      <c r="S662" s="105"/>
    </row>
    <row r="663">
      <c r="A663" s="1" t="s">
        <v>2227</v>
      </c>
      <c r="B663" s="1" t="b">
        <v>0</v>
      </c>
      <c r="D663" s="344"/>
      <c r="E663" s="344"/>
      <c r="F663" s="10" t="b">
        <v>0</v>
      </c>
      <c r="G663" s="10"/>
      <c r="S663" s="105"/>
    </row>
    <row r="664">
      <c r="A664" s="1" t="s">
        <v>2228</v>
      </c>
      <c r="B664" s="1" t="b">
        <v>1</v>
      </c>
      <c r="D664" s="344"/>
      <c r="E664" s="344"/>
      <c r="F664" s="10" t="b">
        <v>0</v>
      </c>
      <c r="G664" s="10"/>
      <c r="S664" s="105"/>
    </row>
    <row r="665">
      <c r="A665" s="1" t="s">
        <v>2229</v>
      </c>
      <c r="B665" s="1" t="b">
        <v>1</v>
      </c>
      <c r="D665" s="344"/>
      <c r="E665" s="344"/>
      <c r="F665" s="10" t="b">
        <v>0</v>
      </c>
      <c r="G665" s="10"/>
      <c r="S665" s="105"/>
    </row>
    <row r="666">
      <c r="A666" s="1" t="s">
        <v>2230</v>
      </c>
      <c r="B666" s="1" t="b">
        <v>1</v>
      </c>
      <c r="D666" s="344"/>
      <c r="E666" s="344"/>
      <c r="F666" s="10" t="b">
        <v>0</v>
      </c>
      <c r="G666" s="10"/>
      <c r="S666" s="105"/>
    </row>
    <row r="667">
      <c r="A667" s="1" t="s">
        <v>2231</v>
      </c>
      <c r="B667" s="1" t="b">
        <v>0</v>
      </c>
      <c r="D667" s="344"/>
      <c r="E667" s="344"/>
      <c r="F667" s="10" t="b">
        <v>0</v>
      </c>
      <c r="G667" s="10"/>
      <c r="S667" s="105"/>
    </row>
    <row r="668">
      <c r="A668" s="1" t="s">
        <v>2232</v>
      </c>
      <c r="B668" s="1" t="b">
        <v>1</v>
      </c>
      <c r="D668" s="344"/>
      <c r="E668" s="344"/>
      <c r="F668" s="10" t="b">
        <v>0</v>
      </c>
      <c r="G668" s="10"/>
      <c r="S668" s="105"/>
    </row>
    <row r="669">
      <c r="A669" s="1" t="s">
        <v>2233</v>
      </c>
      <c r="B669" s="1" t="b">
        <v>1</v>
      </c>
      <c r="D669" s="344"/>
      <c r="E669" s="344"/>
      <c r="F669" s="10" t="b">
        <v>0</v>
      </c>
      <c r="G669" s="10"/>
      <c r="S669" s="105"/>
    </row>
    <row r="670">
      <c r="A670" s="1" t="s">
        <v>2234</v>
      </c>
      <c r="B670" s="1" t="b">
        <v>1</v>
      </c>
      <c r="D670" s="344"/>
      <c r="E670" s="344"/>
      <c r="F670" s="10" t="b">
        <v>0</v>
      </c>
      <c r="G670" s="10"/>
      <c r="S670" s="105"/>
    </row>
    <row r="671">
      <c r="A671" s="1" t="s">
        <v>2235</v>
      </c>
      <c r="B671" s="1" t="b">
        <v>1</v>
      </c>
      <c r="D671" s="344"/>
      <c r="E671" s="344"/>
      <c r="F671" s="10" t="b">
        <v>0</v>
      </c>
      <c r="G671" s="10"/>
      <c r="S671" s="105"/>
    </row>
    <row r="672">
      <c r="A672" s="1" t="s">
        <v>2236</v>
      </c>
      <c r="B672" s="1" t="b">
        <v>1</v>
      </c>
      <c r="D672" s="344"/>
      <c r="E672" s="344"/>
      <c r="F672" s="10" t="b">
        <v>0</v>
      </c>
      <c r="G672" s="10"/>
      <c r="S672" s="105"/>
    </row>
    <row r="673">
      <c r="A673" s="1" t="s">
        <v>2237</v>
      </c>
      <c r="B673" s="1" t="b">
        <v>1</v>
      </c>
      <c r="D673" s="344"/>
      <c r="E673" s="344"/>
      <c r="F673" s="10" t="b">
        <v>0</v>
      </c>
      <c r="G673" s="10"/>
      <c r="S673" s="105"/>
    </row>
    <row r="674">
      <c r="A674" s="1" t="s">
        <v>2238</v>
      </c>
      <c r="B674" s="1" t="b">
        <v>1</v>
      </c>
      <c r="D674" s="344"/>
      <c r="E674" s="344"/>
      <c r="F674" s="10" t="b">
        <v>0</v>
      </c>
      <c r="G674" s="10"/>
      <c r="S674" s="105"/>
    </row>
    <row r="675">
      <c r="A675" s="1" t="s">
        <v>2239</v>
      </c>
      <c r="B675" s="1" t="b">
        <v>1</v>
      </c>
      <c r="D675" s="344"/>
      <c r="E675" s="344"/>
      <c r="F675" s="10" t="b">
        <v>0</v>
      </c>
      <c r="G675" s="10"/>
      <c r="S675" s="105"/>
    </row>
    <row r="676">
      <c r="A676" s="1" t="s">
        <v>2240</v>
      </c>
      <c r="B676" s="1" t="b">
        <v>0</v>
      </c>
      <c r="D676" s="344"/>
      <c r="E676" s="344"/>
      <c r="F676" s="10" t="b">
        <v>0</v>
      </c>
      <c r="G676" s="10"/>
      <c r="S676" s="105"/>
    </row>
    <row r="677">
      <c r="A677" s="1" t="s">
        <v>2241</v>
      </c>
      <c r="B677" s="1" t="b">
        <v>1</v>
      </c>
      <c r="D677" s="344"/>
      <c r="E677" s="344"/>
      <c r="F677" s="10" t="b">
        <v>0</v>
      </c>
      <c r="G677" s="10"/>
      <c r="S677" s="105"/>
    </row>
    <row r="678">
      <c r="A678" s="1" t="s">
        <v>2242</v>
      </c>
      <c r="B678" s="1" t="b">
        <v>1</v>
      </c>
      <c r="D678" s="344"/>
      <c r="E678" s="344"/>
      <c r="F678" s="10" t="b">
        <v>0</v>
      </c>
      <c r="G678" s="10"/>
      <c r="S678" s="105"/>
    </row>
    <row r="679">
      <c r="A679" s="1" t="s">
        <v>2243</v>
      </c>
      <c r="B679" s="1" t="b">
        <v>1</v>
      </c>
      <c r="D679" s="344"/>
      <c r="E679" s="344"/>
      <c r="F679" s="10" t="b">
        <v>0</v>
      </c>
      <c r="G679" s="10"/>
      <c r="S679" s="105"/>
    </row>
    <row r="680">
      <c r="A680" s="1" t="s">
        <v>2244</v>
      </c>
      <c r="B680" s="1" t="b">
        <v>1</v>
      </c>
      <c r="D680" s="344"/>
      <c r="E680" s="344"/>
      <c r="F680" s="10" t="b">
        <v>0</v>
      </c>
      <c r="G680" s="10"/>
      <c r="S680" s="105"/>
    </row>
    <row r="681">
      <c r="A681" s="1" t="s">
        <v>2245</v>
      </c>
      <c r="B681" s="1" t="b">
        <v>1</v>
      </c>
      <c r="D681" s="344"/>
      <c r="E681" s="344"/>
      <c r="F681" s="10" t="b">
        <v>0</v>
      </c>
      <c r="G681" s="10"/>
      <c r="S681" s="105"/>
    </row>
    <row r="682">
      <c r="A682" s="1" t="s">
        <v>2246</v>
      </c>
      <c r="B682" s="1" t="b">
        <v>1</v>
      </c>
      <c r="D682" s="344"/>
      <c r="E682" s="344"/>
      <c r="F682" s="10" t="b">
        <v>0</v>
      </c>
      <c r="G682" s="10"/>
      <c r="S682" s="105"/>
    </row>
    <row r="683">
      <c r="A683" s="1" t="s">
        <v>2247</v>
      </c>
      <c r="B683" s="1" t="b">
        <v>1</v>
      </c>
      <c r="D683" s="344"/>
      <c r="E683" s="344"/>
      <c r="F683" s="10" t="b">
        <v>0</v>
      </c>
      <c r="G683" s="10"/>
      <c r="S683" s="105"/>
    </row>
    <row r="684">
      <c r="A684" s="1" t="s">
        <v>2248</v>
      </c>
      <c r="B684" s="1" t="b">
        <v>1</v>
      </c>
      <c r="D684" s="344"/>
      <c r="E684" s="344"/>
      <c r="F684" s="10" t="b">
        <v>0</v>
      </c>
      <c r="G684" s="10"/>
      <c r="S684" s="105"/>
    </row>
    <row r="685">
      <c r="A685" s="1" t="s">
        <v>2249</v>
      </c>
      <c r="B685" s="1" t="b">
        <v>0</v>
      </c>
      <c r="D685" s="344"/>
      <c r="E685" s="344"/>
      <c r="F685" s="10" t="b">
        <v>0</v>
      </c>
      <c r="G685" s="10"/>
      <c r="S685" s="105"/>
    </row>
    <row r="686">
      <c r="A686" s="1" t="s">
        <v>2250</v>
      </c>
      <c r="B686" s="1" t="b">
        <v>1</v>
      </c>
      <c r="D686" s="344"/>
      <c r="E686" s="344"/>
      <c r="F686" s="10" t="b">
        <v>0</v>
      </c>
      <c r="G686" s="10"/>
      <c r="S686" s="105"/>
    </row>
    <row r="687">
      <c r="A687" s="1" t="s">
        <v>2251</v>
      </c>
      <c r="B687" s="1" t="b">
        <v>1</v>
      </c>
      <c r="D687" s="344"/>
      <c r="E687" s="344"/>
      <c r="F687" s="10" t="b">
        <v>0</v>
      </c>
      <c r="G687" s="10"/>
      <c r="S687" s="105"/>
    </row>
    <row r="688">
      <c r="A688" s="1" t="s">
        <v>2252</v>
      </c>
      <c r="B688" s="1" t="b">
        <v>1</v>
      </c>
      <c r="D688" s="344"/>
      <c r="E688" s="344"/>
      <c r="F688" s="10" t="b">
        <v>0</v>
      </c>
      <c r="G688" s="10"/>
      <c r="S688" s="105"/>
    </row>
    <row r="689">
      <c r="A689" s="1" t="s">
        <v>2253</v>
      </c>
      <c r="B689" s="1" t="b">
        <v>1</v>
      </c>
      <c r="D689" s="344"/>
      <c r="E689" s="344"/>
      <c r="F689" s="10" t="b">
        <v>0</v>
      </c>
      <c r="G689" s="10"/>
      <c r="S689" s="105"/>
    </row>
    <row r="690">
      <c r="A690" s="1" t="s">
        <v>2254</v>
      </c>
      <c r="B690" s="1" t="b">
        <v>0</v>
      </c>
      <c r="D690" s="344"/>
      <c r="E690" s="344"/>
      <c r="F690" s="10" t="b">
        <v>0</v>
      </c>
      <c r="G690" s="10"/>
      <c r="S690" s="105"/>
    </row>
    <row r="691">
      <c r="A691" s="1" t="s">
        <v>2255</v>
      </c>
      <c r="B691" s="1" t="b">
        <v>1</v>
      </c>
      <c r="D691" s="344"/>
      <c r="E691" s="344"/>
      <c r="F691" s="10" t="b">
        <v>0</v>
      </c>
      <c r="G691" s="10"/>
      <c r="S691" s="105"/>
    </row>
    <row r="692">
      <c r="A692" s="1" t="s">
        <v>2256</v>
      </c>
      <c r="B692" s="1" t="b">
        <v>1</v>
      </c>
      <c r="D692" s="344"/>
      <c r="E692" s="344"/>
      <c r="F692" s="10" t="b">
        <v>0</v>
      </c>
      <c r="G692" s="10"/>
      <c r="S692" s="105"/>
    </row>
    <row r="693">
      <c r="A693" s="1" t="s">
        <v>2257</v>
      </c>
      <c r="B693" s="1" t="b">
        <v>1</v>
      </c>
      <c r="D693" s="344"/>
      <c r="E693" s="344"/>
      <c r="F693" s="10" t="b">
        <v>0</v>
      </c>
      <c r="G693" s="10"/>
      <c r="S693" s="105"/>
    </row>
    <row r="694">
      <c r="A694" s="1" t="s">
        <v>2258</v>
      </c>
      <c r="B694" s="1" t="b">
        <v>1</v>
      </c>
      <c r="D694" s="344"/>
      <c r="E694" s="344"/>
      <c r="F694" s="10" t="b">
        <v>0</v>
      </c>
      <c r="G694" s="10"/>
      <c r="S694" s="105"/>
    </row>
    <row r="695">
      <c r="A695" s="1" t="s">
        <v>1567</v>
      </c>
      <c r="B695" s="1" t="b">
        <v>1</v>
      </c>
      <c r="D695" s="344"/>
      <c r="E695" s="344"/>
      <c r="F695" s="10" t="b">
        <v>0</v>
      </c>
      <c r="G695" s="10"/>
      <c r="S695" s="105"/>
    </row>
    <row r="696">
      <c r="A696" s="1" t="s">
        <v>2259</v>
      </c>
      <c r="B696" s="1" t="b">
        <v>1</v>
      </c>
      <c r="D696" s="344"/>
      <c r="E696" s="344"/>
      <c r="F696" s="10" t="b">
        <v>0</v>
      </c>
      <c r="G696" s="10"/>
      <c r="S696" s="105"/>
    </row>
    <row r="697">
      <c r="A697" s="1" t="s">
        <v>2260</v>
      </c>
      <c r="B697" s="1" t="b">
        <v>1</v>
      </c>
      <c r="D697" s="344"/>
      <c r="E697" s="344"/>
      <c r="F697" s="10" t="b">
        <v>0</v>
      </c>
      <c r="G697" s="10"/>
      <c r="S697" s="105"/>
    </row>
    <row r="698">
      <c r="A698" s="1" t="s">
        <v>2261</v>
      </c>
      <c r="B698" s="1" t="b">
        <v>1</v>
      </c>
      <c r="D698" s="344"/>
      <c r="E698" s="344"/>
      <c r="F698" s="10" t="b">
        <v>0</v>
      </c>
      <c r="G698" s="10"/>
      <c r="S698" s="105"/>
    </row>
    <row r="699">
      <c r="A699" s="1" t="s">
        <v>2262</v>
      </c>
      <c r="B699" s="1" t="b">
        <v>1</v>
      </c>
      <c r="D699" s="344"/>
      <c r="E699" s="344"/>
      <c r="F699" s="10" t="b">
        <v>0</v>
      </c>
      <c r="G699" s="10"/>
      <c r="S699" s="105"/>
    </row>
    <row r="700">
      <c r="A700" s="1" t="s">
        <v>2263</v>
      </c>
      <c r="B700" s="1" t="b">
        <v>1</v>
      </c>
      <c r="D700" s="344"/>
      <c r="E700" s="344"/>
      <c r="F700" s="10" t="b">
        <v>0</v>
      </c>
      <c r="G700" s="10"/>
      <c r="S700" s="105"/>
    </row>
    <row r="701">
      <c r="A701" s="1" t="s">
        <v>2264</v>
      </c>
      <c r="B701" s="1" t="b">
        <v>1</v>
      </c>
      <c r="D701" s="344"/>
      <c r="E701" s="344"/>
      <c r="F701" s="10" t="b">
        <v>0</v>
      </c>
      <c r="G701" s="10"/>
      <c r="S701" s="105"/>
    </row>
    <row r="702">
      <c r="A702" s="1" t="s">
        <v>2265</v>
      </c>
      <c r="B702" s="1" t="b">
        <v>1</v>
      </c>
      <c r="D702" s="344"/>
      <c r="E702" s="344"/>
      <c r="F702" s="10" t="b">
        <v>0</v>
      </c>
      <c r="G702" s="10"/>
      <c r="S702" s="105"/>
    </row>
    <row r="703">
      <c r="A703" s="1" t="s">
        <v>2266</v>
      </c>
      <c r="B703" s="1" t="b">
        <v>1</v>
      </c>
      <c r="D703" s="344"/>
      <c r="E703" s="344"/>
      <c r="F703" s="10" t="b">
        <v>0</v>
      </c>
      <c r="G703" s="10"/>
      <c r="S703" s="105"/>
    </row>
    <row r="704">
      <c r="A704" s="1" t="s">
        <v>2267</v>
      </c>
      <c r="B704" s="1" t="b">
        <v>0</v>
      </c>
      <c r="D704" s="344"/>
      <c r="E704" s="344"/>
      <c r="F704" s="10" t="b">
        <v>0</v>
      </c>
      <c r="G704" s="10"/>
      <c r="S704" s="105"/>
    </row>
    <row r="705">
      <c r="A705" s="1" t="s">
        <v>2268</v>
      </c>
      <c r="B705" s="1" t="b">
        <v>1</v>
      </c>
      <c r="D705" s="344"/>
      <c r="E705" s="344"/>
      <c r="F705" s="10" t="b">
        <v>0</v>
      </c>
      <c r="G705" s="10"/>
      <c r="S705" s="105"/>
    </row>
    <row r="706">
      <c r="A706" s="1" t="s">
        <v>2269</v>
      </c>
      <c r="B706" s="1" t="b">
        <v>1</v>
      </c>
      <c r="D706" s="344"/>
      <c r="E706" s="344"/>
      <c r="F706" s="10" t="b">
        <v>0</v>
      </c>
      <c r="G706" s="10"/>
      <c r="S706" s="105"/>
    </row>
    <row r="707">
      <c r="A707" s="1" t="s">
        <v>2270</v>
      </c>
      <c r="B707" s="1" t="b">
        <v>1</v>
      </c>
      <c r="D707" s="344"/>
      <c r="E707" s="344"/>
      <c r="F707" s="10" t="b">
        <v>0</v>
      </c>
      <c r="G707" s="10"/>
      <c r="S707" s="105"/>
    </row>
    <row r="708">
      <c r="A708" s="1" t="s">
        <v>2271</v>
      </c>
      <c r="B708" s="1" t="b">
        <v>1</v>
      </c>
      <c r="D708" s="344"/>
      <c r="E708" s="344"/>
      <c r="F708" s="10" t="b">
        <v>0</v>
      </c>
      <c r="G708" s="10"/>
      <c r="S708" s="105"/>
    </row>
    <row r="709">
      <c r="A709" s="1" t="s">
        <v>2272</v>
      </c>
      <c r="B709" s="1" t="b">
        <v>1</v>
      </c>
      <c r="D709" s="344"/>
      <c r="E709" s="344"/>
      <c r="F709" s="10" t="b">
        <v>0</v>
      </c>
      <c r="G709" s="10"/>
      <c r="S709" s="105"/>
    </row>
    <row r="710">
      <c r="A710" s="1" t="s">
        <v>2273</v>
      </c>
      <c r="B710" s="1" t="b">
        <v>1</v>
      </c>
      <c r="D710" s="344"/>
      <c r="E710" s="344"/>
      <c r="F710" s="10" t="b">
        <v>0</v>
      </c>
      <c r="G710" s="10"/>
      <c r="S710" s="105"/>
    </row>
    <row r="711">
      <c r="A711" s="1" t="s">
        <v>2274</v>
      </c>
      <c r="B711" s="1" t="b">
        <v>1</v>
      </c>
      <c r="D711" s="344"/>
      <c r="E711" s="344"/>
      <c r="F711" s="10" t="b">
        <v>0</v>
      </c>
      <c r="G711" s="10"/>
      <c r="S711" s="105"/>
    </row>
    <row r="712">
      <c r="A712" s="1" t="s">
        <v>2275</v>
      </c>
      <c r="B712" s="1" t="b">
        <v>1</v>
      </c>
      <c r="D712" s="344"/>
      <c r="E712" s="344"/>
      <c r="F712" s="10" t="b">
        <v>0</v>
      </c>
      <c r="G712" s="10"/>
      <c r="S712" s="105"/>
    </row>
    <row r="713">
      <c r="A713" s="1" t="s">
        <v>2276</v>
      </c>
      <c r="B713" s="1" t="b">
        <v>1</v>
      </c>
      <c r="D713" s="344"/>
      <c r="E713" s="344"/>
      <c r="F713" s="10" t="b">
        <v>0</v>
      </c>
      <c r="G713" s="10"/>
      <c r="S713" s="105"/>
    </row>
    <row r="714">
      <c r="A714" s="1" t="s">
        <v>2277</v>
      </c>
      <c r="B714" s="1" t="b">
        <v>1</v>
      </c>
      <c r="D714" s="344"/>
      <c r="E714" s="344"/>
      <c r="F714" s="10" t="b">
        <v>0</v>
      </c>
      <c r="G714" s="10"/>
      <c r="S714" s="105"/>
    </row>
    <row r="715">
      <c r="A715" s="1" t="s">
        <v>2278</v>
      </c>
      <c r="B715" s="1" t="b">
        <v>1</v>
      </c>
      <c r="D715" s="344"/>
      <c r="E715" s="344"/>
      <c r="F715" s="10" t="b">
        <v>0</v>
      </c>
      <c r="G715" s="10"/>
      <c r="S715" s="105"/>
    </row>
    <row r="716">
      <c r="A716" s="1" t="s">
        <v>2279</v>
      </c>
      <c r="B716" s="1" t="b">
        <v>1</v>
      </c>
      <c r="D716" s="344"/>
      <c r="E716" s="344"/>
      <c r="F716" s="10" t="b">
        <v>0</v>
      </c>
      <c r="G716" s="10"/>
      <c r="S716" s="105"/>
    </row>
    <row r="717">
      <c r="A717" s="1" t="s">
        <v>2280</v>
      </c>
      <c r="B717" s="1" t="b">
        <v>1</v>
      </c>
      <c r="D717" s="344"/>
      <c r="E717" s="344"/>
      <c r="F717" s="10" t="b">
        <v>0</v>
      </c>
      <c r="G717" s="10"/>
      <c r="S717" s="105"/>
    </row>
    <row r="718">
      <c r="A718" s="1" t="s">
        <v>2281</v>
      </c>
      <c r="B718" s="1" t="b">
        <v>1</v>
      </c>
      <c r="D718" s="344"/>
      <c r="E718" s="344"/>
      <c r="F718" s="10" t="b">
        <v>0</v>
      </c>
      <c r="G718" s="10"/>
      <c r="S718" s="105"/>
    </row>
    <row r="719">
      <c r="A719" s="1" t="s">
        <v>2282</v>
      </c>
      <c r="B719" s="1" t="b">
        <v>1</v>
      </c>
      <c r="D719" s="344"/>
      <c r="E719" s="344"/>
      <c r="F719" s="10" t="b">
        <v>0</v>
      </c>
      <c r="G719" s="10"/>
      <c r="S719" s="105"/>
    </row>
    <row r="720">
      <c r="A720" s="1" t="s">
        <v>2283</v>
      </c>
      <c r="B720" s="1" t="b">
        <v>1</v>
      </c>
      <c r="D720" s="344"/>
      <c r="E720" s="344"/>
      <c r="F720" s="10" t="b">
        <v>0</v>
      </c>
      <c r="G720" s="10"/>
      <c r="S720" s="105"/>
    </row>
    <row r="721">
      <c r="A721" s="1" t="s">
        <v>2284</v>
      </c>
      <c r="B721" s="1" t="b">
        <v>1</v>
      </c>
      <c r="D721" s="344"/>
      <c r="E721" s="344"/>
      <c r="F721" s="10" t="b">
        <v>0</v>
      </c>
      <c r="G721" s="10"/>
      <c r="S721" s="105"/>
    </row>
    <row r="722">
      <c r="A722" s="1" t="s">
        <v>2285</v>
      </c>
      <c r="B722" s="1" t="b">
        <v>1</v>
      </c>
      <c r="D722" s="344"/>
      <c r="E722" s="344"/>
      <c r="F722" s="10" t="b">
        <v>0</v>
      </c>
      <c r="G722" s="10"/>
      <c r="S722" s="105"/>
    </row>
    <row r="723">
      <c r="A723" s="1" t="s">
        <v>2286</v>
      </c>
      <c r="B723" s="1" t="b">
        <v>1</v>
      </c>
      <c r="D723" s="344"/>
      <c r="E723" s="344"/>
      <c r="F723" s="10" t="b">
        <v>0</v>
      </c>
      <c r="G723" s="10"/>
      <c r="S723" s="105"/>
    </row>
    <row r="724">
      <c r="A724" s="1" t="s">
        <v>2287</v>
      </c>
      <c r="B724" s="1" t="b">
        <v>1</v>
      </c>
      <c r="D724" s="344"/>
      <c r="E724" s="344"/>
      <c r="F724" s="10" t="b">
        <v>0</v>
      </c>
      <c r="G724" s="10"/>
      <c r="S724" s="105"/>
    </row>
    <row r="725">
      <c r="A725" s="1" t="s">
        <v>2288</v>
      </c>
      <c r="B725" s="1" t="b">
        <v>1</v>
      </c>
      <c r="D725" s="344"/>
      <c r="E725" s="344"/>
      <c r="F725" s="10" t="b">
        <v>0</v>
      </c>
      <c r="G725" s="10"/>
      <c r="S725" s="105"/>
    </row>
    <row r="726">
      <c r="A726" s="1" t="s">
        <v>2289</v>
      </c>
      <c r="B726" s="1" t="b">
        <v>1</v>
      </c>
      <c r="D726" s="344"/>
      <c r="E726" s="344"/>
      <c r="F726" s="10" t="b">
        <v>0</v>
      </c>
      <c r="G726" s="10"/>
      <c r="S726" s="105"/>
    </row>
    <row r="727">
      <c r="A727" s="1" t="s">
        <v>2290</v>
      </c>
      <c r="B727" s="1" t="b">
        <v>1</v>
      </c>
      <c r="D727" s="344"/>
      <c r="E727" s="344"/>
      <c r="F727" s="10" t="b">
        <v>0</v>
      </c>
      <c r="G727" s="10"/>
      <c r="S727" s="105"/>
    </row>
    <row r="728">
      <c r="A728" s="1" t="s">
        <v>2291</v>
      </c>
      <c r="B728" s="1" t="b">
        <v>1</v>
      </c>
      <c r="D728" s="344"/>
      <c r="E728" s="344"/>
      <c r="F728" s="10" t="b">
        <v>0</v>
      </c>
      <c r="G728" s="10"/>
      <c r="S728" s="105"/>
    </row>
    <row r="729">
      <c r="A729" s="1" t="s">
        <v>2292</v>
      </c>
      <c r="B729" s="1" t="b">
        <v>1</v>
      </c>
      <c r="D729" s="344"/>
      <c r="E729" s="344"/>
      <c r="F729" s="10" t="b">
        <v>0</v>
      </c>
      <c r="G729" s="10"/>
      <c r="S729" s="105"/>
    </row>
    <row r="730">
      <c r="A730" s="1" t="s">
        <v>2293</v>
      </c>
      <c r="B730" s="1" t="b">
        <v>1</v>
      </c>
      <c r="D730" s="344"/>
      <c r="E730" s="344"/>
      <c r="F730" s="10" t="b">
        <v>0</v>
      </c>
      <c r="G730" s="10"/>
      <c r="S730" s="105"/>
    </row>
    <row r="731">
      <c r="A731" s="1" t="s">
        <v>2294</v>
      </c>
      <c r="B731" s="1" t="b">
        <v>1</v>
      </c>
      <c r="D731" s="344"/>
      <c r="E731" s="344"/>
      <c r="F731" s="10" t="b">
        <v>0</v>
      </c>
      <c r="G731" s="10"/>
      <c r="S731" s="105"/>
    </row>
    <row r="732">
      <c r="A732" s="1" t="s">
        <v>2295</v>
      </c>
      <c r="B732" s="1" t="b">
        <v>1</v>
      </c>
      <c r="D732" s="344"/>
      <c r="E732" s="344"/>
      <c r="F732" s="10" t="b">
        <v>0</v>
      </c>
      <c r="G732" s="10"/>
      <c r="S732" s="105"/>
    </row>
    <row r="733">
      <c r="A733" s="1" t="s">
        <v>2296</v>
      </c>
      <c r="B733" s="1" t="b">
        <v>1</v>
      </c>
      <c r="D733" s="344"/>
      <c r="E733" s="344"/>
      <c r="F733" s="10" t="b">
        <v>0</v>
      </c>
      <c r="G733" s="10"/>
      <c r="S733" s="105"/>
    </row>
    <row r="734">
      <c r="A734" s="1" t="s">
        <v>2297</v>
      </c>
      <c r="B734" s="1" t="b">
        <v>1</v>
      </c>
      <c r="D734" s="344"/>
      <c r="E734" s="344"/>
      <c r="F734" s="10" t="b">
        <v>0</v>
      </c>
      <c r="G734" s="10"/>
      <c r="S734" s="105"/>
    </row>
    <row r="735">
      <c r="A735" s="1" t="s">
        <v>2298</v>
      </c>
      <c r="B735" s="1" t="b">
        <v>1</v>
      </c>
      <c r="D735" s="344"/>
      <c r="E735" s="344"/>
      <c r="F735" s="10" t="b">
        <v>0</v>
      </c>
      <c r="G735" s="10"/>
      <c r="S735" s="105"/>
    </row>
    <row r="736">
      <c r="A736" s="1" t="s">
        <v>2299</v>
      </c>
      <c r="B736" s="1" t="b">
        <v>1</v>
      </c>
      <c r="D736" s="344"/>
      <c r="E736" s="344"/>
      <c r="F736" s="10" t="b">
        <v>0</v>
      </c>
      <c r="G736" s="10"/>
      <c r="S736" s="105"/>
    </row>
    <row r="737">
      <c r="A737" s="1" t="s">
        <v>2300</v>
      </c>
      <c r="B737" s="1" t="b">
        <v>1</v>
      </c>
      <c r="D737" s="344"/>
      <c r="E737" s="344"/>
      <c r="F737" s="10" t="b">
        <v>0</v>
      </c>
      <c r="G737" s="10"/>
      <c r="S737" s="105"/>
    </row>
    <row r="738">
      <c r="A738" s="1" t="s">
        <v>2301</v>
      </c>
      <c r="B738" s="1" t="b">
        <v>1</v>
      </c>
      <c r="D738" s="344"/>
      <c r="E738" s="344"/>
      <c r="F738" s="10" t="b">
        <v>0</v>
      </c>
      <c r="G738" s="10"/>
      <c r="S738" s="105"/>
    </row>
    <row r="739">
      <c r="A739" s="1" t="s">
        <v>2302</v>
      </c>
      <c r="B739" s="1" t="b">
        <v>1</v>
      </c>
      <c r="D739" s="344"/>
      <c r="E739" s="344"/>
      <c r="F739" s="10" t="b">
        <v>0</v>
      </c>
      <c r="G739" s="10"/>
      <c r="S739" s="105"/>
    </row>
    <row r="740">
      <c r="A740" s="1" t="s">
        <v>2303</v>
      </c>
      <c r="B740" s="1" t="b">
        <v>1</v>
      </c>
      <c r="D740" s="344"/>
      <c r="E740" s="344"/>
      <c r="F740" s="10" t="b">
        <v>0</v>
      </c>
      <c r="G740" s="10"/>
      <c r="S740" s="105"/>
    </row>
    <row r="741">
      <c r="A741" s="1" t="s">
        <v>2304</v>
      </c>
      <c r="B741" s="1" t="b">
        <v>1</v>
      </c>
      <c r="D741" s="344"/>
      <c r="E741" s="344"/>
      <c r="F741" s="10" t="b">
        <v>0</v>
      </c>
      <c r="G741" s="10"/>
      <c r="S741" s="105"/>
    </row>
    <row r="742">
      <c r="A742" s="1" t="s">
        <v>2305</v>
      </c>
      <c r="B742" s="1" t="b">
        <v>1</v>
      </c>
      <c r="D742" s="344"/>
      <c r="E742" s="344"/>
      <c r="F742" s="10" t="b">
        <v>0</v>
      </c>
      <c r="G742" s="10"/>
      <c r="S742" s="105"/>
    </row>
    <row r="743">
      <c r="A743" s="1" t="s">
        <v>2306</v>
      </c>
      <c r="B743" s="1" t="b">
        <v>1</v>
      </c>
      <c r="D743" s="344"/>
      <c r="E743" s="344"/>
      <c r="F743" s="10" t="b">
        <v>0</v>
      </c>
      <c r="G743" s="10"/>
      <c r="S743" s="105"/>
    </row>
    <row r="744">
      <c r="A744" s="1" t="s">
        <v>2307</v>
      </c>
      <c r="B744" s="1" t="b">
        <v>1</v>
      </c>
      <c r="D744" s="344"/>
      <c r="E744" s="344"/>
      <c r="F744" s="10" t="b">
        <v>0</v>
      </c>
      <c r="G744" s="10"/>
      <c r="S744" s="105"/>
    </row>
    <row r="745">
      <c r="A745" s="1" t="s">
        <v>2308</v>
      </c>
      <c r="B745" s="1" t="b">
        <v>1</v>
      </c>
      <c r="D745" s="344"/>
      <c r="E745" s="344"/>
      <c r="F745" s="10" t="b">
        <v>0</v>
      </c>
      <c r="G745" s="10"/>
      <c r="S745" s="105"/>
    </row>
    <row r="746">
      <c r="A746" s="1" t="s">
        <v>2309</v>
      </c>
      <c r="B746" s="1" t="b">
        <v>1</v>
      </c>
      <c r="D746" s="344"/>
      <c r="E746" s="344"/>
      <c r="F746" s="10" t="b">
        <v>0</v>
      </c>
      <c r="G746" s="10"/>
      <c r="S746" s="105"/>
    </row>
    <row r="747">
      <c r="A747" s="1" t="s">
        <v>2310</v>
      </c>
      <c r="B747" s="1" t="b">
        <v>1</v>
      </c>
      <c r="D747" s="344"/>
      <c r="E747" s="344"/>
      <c r="F747" s="10" t="b">
        <v>0</v>
      </c>
      <c r="G747" s="10"/>
      <c r="S747" s="105"/>
    </row>
    <row r="748">
      <c r="A748" s="1" t="s">
        <v>2311</v>
      </c>
      <c r="B748" s="1" t="b">
        <v>1</v>
      </c>
      <c r="D748" s="344"/>
      <c r="E748" s="344"/>
      <c r="F748" s="10" t="b">
        <v>0</v>
      </c>
      <c r="G748" s="10"/>
      <c r="S748" s="105"/>
    </row>
    <row r="749">
      <c r="A749" s="1" t="s">
        <v>2312</v>
      </c>
      <c r="B749" s="1" t="b">
        <v>1</v>
      </c>
      <c r="D749" s="344"/>
      <c r="E749" s="344"/>
      <c r="F749" s="10" t="b">
        <v>0</v>
      </c>
      <c r="G749" s="10"/>
      <c r="S749" s="105"/>
    </row>
    <row r="750">
      <c r="A750" s="1" t="s">
        <v>2313</v>
      </c>
      <c r="B750" s="1" t="b">
        <v>1</v>
      </c>
      <c r="D750" s="344"/>
      <c r="E750" s="344"/>
      <c r="F750" s="10" t="b">
        <v>0</v>
      </c>
      <c r="G750" s="10"/>
      <c r="S750" s="105"/>
    </row>
    <row r="751">
      <c r="A751" s="1" t="s">
        <v>2314</v>
      </c>
      <c r="B751" s="1" t="b">
        <v>1</v>
      </c>
      <c r="D751" s="344"/>
      <c r="E751" s="344"/>
      <c r="F751" s="10" t="b">
        <v>0</v>
      </c>
      <c r="G751" s="10"/>
      <c r="S751" s="105"/>
    </row>
    <row r="752">
      <c r="A752" s="1" t="s">
        <v>2315</v>
      </c>
      <c r="B752" s="1" t="b">
        <v>1</v>
      </c>
      <c r="D752" s="344"/>
      <c r="E752" s="344"/>
      <c r="F752" s="10" t="b">
        <v>0</v>
      </c>
      <c r="G752" s="10"/>
      <c r="S752" s="105"/>
    </row>
    <row r="753">
      <c r="A753" s="1" t="s">
        <v>2316</v>
      </c>
      <c r="B753" s="1" t="b">
        <v>1</v>
      </c>
      <c r="D753" s="344"/>
      <c r="E753" s="344"/>
      <c r="F753" s="10" t="b">
        <v>0</v>
      </c>
      <c r="G753" s="10"/>
      <c r="S753" s="105"/>
    </row>
    <row r="754">
      <c r="A754" s="1" t="s">
        <v>2317</v>
      </c>
      <c r="B754" s="1" t="b">
        <v>1</v>
      </c>
      <c r="D754" s="344"/>
      <c r="E754" s="344"/>
      <c r="F754" s="10" t="b">
        <v>0</v>
      </c>
      <c r="G754" s="10"/>
      <c r="S754" s="105"/>
    </row>
    <row r="755">
      <c r="A755" s="1" t="s">
        <v>2318</v>
      </c>
      <c r="B755" s="1" t="b">
        <v>1</v>
      </c>
      <c r="D755" s="344"/>
      <c r="E755" s="344"/>
      <c r="F755" s="10" t="b">
        <v>0</v>
      </c>
      <c r="G755" s="10"/>
      <c r="S755" s="105"/>
    </row>
    <row r="756">
      <c r="A756" s="1" t="s">
        <v>2319</v>
      </c>
      <c r="B756" s="1" t="b">
        <v>1</v>
      </c>
      <c r="D756" s="344"/>
      <c r="E756" s="344"/>
      <c r="F756" s="10" t="b">
        <v>0</v>
      </c>
      <c r="G756" s="10"/>
      <c r="S756" s="105"/>
    </row>
    <row r="757">
      <c r="A757" s="1" t="s">
        <v>2320</v>
      </c>
      <c r="B757" s="1" t="b">
        <v>1</v>
      </c>
      <c r="D757" s="344"/>
      <c r="E757" s="344"/>
      <c r="F757" s="10" t="b">
        <v>0</v>
      </c>
      <c r="G757" s="10"/>
      <c r="S757" s="105"/>
    </row>
    <row r="758">
      <c r="A758" s="1" t="s">
        <v>2321</v>
      </c>
      <c r="B758" s="1" t="b">
        <v>1</v>
      </c>
      <c r="D758" s="344"/>
      <c r="E758" s="344"/>
      <c r="F758" s="10" t="b">
        <v>0</v>
      </c>
      <c r="G758" s="10"/>
      <c r="S758" s="105"/>
    </row>
    <row r="759">
      <c r="A759" s="1" t="s">
        <v>2322</v>
      </c>
      <c r="B759" s="1" t="b">
        <v>1</v>
      </c>
      <c r="D759" s="344"/>
      <c r="E759" s="344"/>
      <c r="F759" s="10" t="b">
        <v>0</v>
      </c>
      <c r="G759" s="10"/>
      <c r="S759" s="105"/>
    </row>
    <row r="760">
      <c r="A760" s="1" t="s">
        <v>2323</v>
      </c>
      <c r="B760" s="1" t="b">
        <v>1</v>
      </c>
      <c r="D760" s="344"/>
      <c r="E760" s="344"/>
      <c r="F760" s="10" t="b">
        <v>0</v>
      </c>
      <c r="G760" s="10"/>
      <c r="S760" s="105"/>
    </row>
    <row r="761">
      <c r="A761" s="1" t="s">
        <v>2324</v>
      </c>
      <c r="B761" s="1" t="b">
        <v>1</v>
      </c>
      <c r="D761" s="344"/>
      <c r="E761" s="344"/>
      <c r="F761" s="10" t="b">
        <v>0</v>
      </c>
      <c r="G761" s="10"/>
      <c r="S761" s="105"/>
    </row>
    <row r="762">
      <c r="A762" s="1" t="s">
        <v>2325</v>
      </c>
      <c r="B762" s="1" t="b">
        <v>1</v>
      </c>
      <c r="D762" s="344"/>
      <c r="E762" s="344"/>
      <c r="F762" s="10" t="b">
        <v>0</v>
      </c>
      <c r="G762" s="10"/>
      <c r="S762" s="105"/>
    </row>
    <row r="763">
      <c r="A763" s="1" t="s">
        <v>2326</v>
      </c>
      <c r="B763" s="1" t="b">
        <v>1</v>
      </c>
      <c r="D763" s="344"/>
      <c r="E763" s="344"/>
      <c r="F763" s="10" t="b">
        <v>0</v>
      </c>
      <c r="G763" s="10"/>
      <c r="S763" s="105"/>
    </row>
    <row r="764">
      <c r="A764" s="1" t="s">
        <v>2327</v>
      </c>
      <c r="B764" s="1" t="b">
        <v>1</v>
      </c>
      <c r="D764" s="344"/>
      <c r="E764" s="344"/>
      <c r="F764" s="10" t="b">
        <v>0</v>
      </c>
      <c r="G764" s="10"/>
      <c r="S764" s="105"/>
    </row>
    <row r="765">
      <c r="A765" s="1" t="s">
        <v>2328</v>
      </c>
      <c r="B765" s="1" t="b">
        <v>1</v>
      </c>
      <c r="D765" s="344"/>
      <c r="E765" s="344"/>
      <c r="F765" s="10" t="b">
        <v>0</v>
      </c>
      <c r="G765" s="10"/>
      <c r="S765" s="105"/>
    </row>
    <row r="766">
      <c r="A766" s="1" t="s">
        <v>2329</v>
      </c>
      <c r="B766" s="1" t="b">
        <v>1</v>
      </c>
      <c r="D766" s="344"/>
      <c r="E766" s="344"/>
      <c r="F766" s="10" t="b">
        <v>0</v>
      </c>
      <c r="G766" s="10"/>
      <c r="S766" s="105"/>
    </row>
    <row r="767">
      <c r="A767" s="1" t="s">
        <v>2330</v>
      </c>
      <c r="B767" s="1" t="b">
        <v>1</v>
      </c>
      <c r="D767" s="344"/>
      <c r="E767" s="344"/>
      <c r="F767" s="10" t="b">
        <v>0</v>
      </c>
      <c r="G767" s="10"/>
      <c r="S767" s="105"/>
    </row>
    <row r="768">
      <c r="A768" s="1" t="s">
        <v>2331</v>
      </c>
      <c r="B768" s="1" t="b">
        <v>1</v>
      </c>
      <c r="D768" s="344"/>
      <c r="E768" s="344"/>
      <c r="F768" s="10" t="b">
        <v>0</v>
      </c>
      <c r="G768" s="10"/>
      <c r="S768" s="105"/>
    </row>
    <row r="769">
      <c r="A769" s="1" t="s">
        <v>2332</v>
      </c>
      <c r="B769" s="1" t="b">
        <v>1</v>
      </c>
      <c r="D769" s="344"/>
      <c r="E769" s="344"/>
      <c r="F769" s="10" t="b">
        <v>0</v>
      </c>
      <c r="G769" s="10"/>
      <c r="S769" s="105"/>
    </row>
    <row r="770">
      <c r="A770" s="1" t="s">
        <v>2333</v>
      </c>
      <c r="B770" s="1" t="b">
        <v>1</v>
      </c>
      <c r="D770" s="344"/>
      <c r="E770" s="344"/>
      <c r="F770" s="10" t="b">
        <v>0</v>
      </c>
      <c r="G770" s="10"/>
      <c r="S770" s="105"/>
    </row>
    <row r="771">
      <c r="A771" s="1" t="s">
        <v>2334</v>
      </c>
      <c r="B771" s="1" t="b">
        <v>1</v>
      </c>
      <c r="D771" s="344"/>
      <c r="E771" s="344"/>
      <c r="F771" s="10" t="b">
        <v>0</v>
      </c>
      <c r="G771" s="10"/>
      <c r="S771" s="105"/>
    </row>
    <row r="772">
      <c r="A772" s="1" t="s">
        <v>2335</v>
      </c>
      <c r="B772" s="1" t="b">
        <v>1</v>
      </c>
      <c r="D772" s="344"/>
      <c r="E772" s="344"/>
      <c r="F772" s="10" t="b">
        <v>0</v>
      </c>
      <c r="G772" s="10"/>
      <c r="S772" s="105"/>
    </row>
    <row r="773">
      <c r="A773" s="1" t="s">
        <v>2336</v>
      </c>
      <c r="B773" s="1" t="b">
        <v>1</v>
      </c>
      <c r="D773" s="344"/>
      <c r="E773" s="344"/>
      <c r="F773" s="10" t="b">
        <v>0</v>
      </c>
      <c r="G773" s="10"/>
      <c r="S773" s="105"/>
    </row>
    <row r="774">
      <c r="A774" s="1" t="s">
        <v>2337</v>
      </c>
      <c r="B774" s="1" t="b">
        <v>1</v>
      </c>
      <c r="D774" s="344"/>
      <c r="E774" s="344"/>
      <c r="F774" s="10" t="b">
        <v>0</v>
      </c>
      <c r="G774" s="10"/>
      <c r="S774" s="105"/>
    </row>
    <row r="775">
      <c r="A775" s="1" t="s">
        <v>2338</v>
      </c>
      <c r="B775" s="1" t="b">
        <v>1</v>
      </c>
      <c r="D775" s="344"/>
      <c r="E775" s="344"/>
      <c r="F775" s="10" t="b">
        <v>0</v>
      </c>
      <c r="G775" s="10"/>
      <c r="S775" s="105"/>
    </row>
    <row r="776">
      <c r="A776" s="1" t="s">
        <v>2339</v>
      </c>
      <c r="B776" s="1" t="b">
        <v>1</v>
      </c>
      <c r="D776" s="344"/>
      <c r="E776" s="344"/>
      <c r="F776" s="10" t="b">
        <v>0</v>
      </c>
      <c r="G776" s="10"/>
      <c r="S776" s="105"/>
    </row>
    <row r="777">
      <c r="A777" s="1" t="s">
        <v>2340</v>
      </c>
      <c r="B777" s="1" t="b">
        <v>1</v>
      </c>
      <c r="D777" s="344"/>
      <c r="E777" s="344"/>
      <c r="F777" s="10" t="b">
        <v>0</v>
      </c>
      <c r="G777" s="10"/>
      <c r="S777" s="105"/>
    </row>
    <row r="778">
      <c r="A778" s="1" t="s">
        <v>2341</v>
      </c>
      <c r="B778" s="1" t="b">
        <v>1</v>
      </c>
      <c r="D778" s="344"/>
      <c r="E778" s="344"/>
      <c r="F778" s="10" t="b">
        <v>0</v>
      </c>
      <c r="G778" s="10"/>
      <c r="S778" s="105"/>
    </row>
    <row r="779">
      <c r="A779" s="1" t="s">
        <v>2342</v>
      </c>
      <c r="B779" s="1" t="b">
        <v>1</v>
      </c>
      <c r="D779" s="344"/>
      <c r="E779" s="344"/>
      <c r="F779" s="10" t="b">
        <v>0</v>
      </c>
      <c r="G779" s="10"/>
      <c r="S779" s="105"/>
    </row>
    <row r="780">
      <c r="A780" s="1" t="s">
        <v>2343</v>
      </c>
      <c r="B780" s="1" t="b">
        <v>1</v>
      </c>
      <c r="D780" s="344"/>
      <c r="E780" s="344"/>
      <c r="F780" s="10" t="b">
        <v>0</v>
      </c>
      <c r="G780" s="10"/>
      <c r="S780" s="105"/>
    </row>
    <row r="781">
      <c r="A781" s="1" t="s">
        <v>2344</v>
      </c>
      <c r="B781" s="1" t="b">
        <v>1</v>
      </c>
      <c r="D781" s="344"/>
      <c r="E781" s="344"/>
      <c r="F781" s="10" t="b">
        <v>0</v>
      </c>
      <c r="G781" s="10"/>
      <c r="S781" s="105"/>
    </row>
    <row r="782">
      <c r="A782" s="1" t="s">
        <v>2345</v>
      </c>
      <c r="B782" s="1" t="b">
        <v>1</v>
      </c>
      <c r="D782" s="344"/>
      <c r="E782" s="344"/>
      <c r="F782" s="10" t="b">
        <v>0</v>
      </c>
      <c r="G782" s="10"/>
      <c r="S782" s="105"/>
    </row>
    <row r="783">
      <c r="A783" s="1" t="s">
        <v>2346</v>
      </c>
      <c r="B783" s="1" t="b">
        <v>1</v>
      </c>
      <c r="D783" s="344"/>
      <c r="E783" s="344"/>
      <c r="F783" s="10" t="b">
        <v>0</v>
      </c>
      <c r="G783" s="10"/>
      <c r="S783" s="105"/>
    </row>
    <row r="784">
      <c r="A784" s="1" t="s">
        <v>2347</v>
      </c>
      <c r="B784" s="1" t="b">
        <v>1</v>
      </c>
      <c r="D784" s="344"/>
      <c r="E784" s="344"/>
      <c r="F784" s="10" t="b">
        <v>0</v>
      </c>
      <c r="G784" s="10"/>
      <c r="S784" s="105"/>
    </row>
    <row r="785">
      <c r="A785" s="1" t="s">
        <v>2348</v>
      </c>
      <c r="B785" s="1" t="b">
        <v>1</v>
      </c>
      <c r="D785" s="344"/>
      <c r="E785" s="344"/>
      <c r="F785" s="10" t="b">
        <v>0</v>
      </c>
      <c r="G785" s="10"/>
      <c r="S785" s="105"/>
    </row>
    <row r="786">
      <c r="A786" s="1" t="s">
        <v>2349</v>
      </c>
      <c r="B786" s="1" t="b">
        <v>1</v>
      </c>
      <c r="D786" s="344"/>
      <c r="E786" s="344"/>
      <c r="F786" s="10" t="b">
        <v>0</v>
      </c>
      <c r="G786" s="10"/>
      <c r="S786" s="105"/>
    </row>
    <row r="787">
      <c r="A787" s="1" t="s">
        <v>2350</v>
      </c>
      <c r="B787" s="1" t="b">
        <v>1</v>
      </c>
      <c r="D787" s="344"/>
      <c r="E787" s="344"/>
      <c r="F787" s="10" t="b">
        <v>0</v>
      </c>
      <c r="G787" s="10"/>
      <c r="S787" s="105"/>
    </row>
    <row r="788">
      <c r="A788" s="1" t="s">
        <v>2351</v>
      </c>
      <c r="B788" s="1" t="b">
        <v>1</v>
      </c>
      <c r="D788" s="344"/>
      <c r="E788" s="344"/>
      <c r="F788" s="10" t="b">
        <v>0</v>
      </c>
      <c r="G788" s="10"/>
      <c r="S788" s="105"/>
    </row>
    <row r="789">
      <c r="A789" s="1" t="s">
        <v>2352</v>
      </c>
      <c r="B789" s="1" t="b">
        <v>1</v>
      </c>
      <c r="D789" s="344"/>
      <c r="E789" s="344"/>
      <c r="F789" s="10" t="b">
        <v>0</v>
      </c>
      <c r="G789" s="10"/>
      <c r="S789" s="105"/>
    </row>
    <row r="790">
      <c r="A790" s="1" t="s">
        <v>2353</v>
      </c>
      <c r="B790" s="1" t="b">
        <v>1</v>
      </c>
      <c r="D790" s="344"/>
      <c r="E790" s="344"/>
      <c r="F790" s="10" t="b">
        <v>0</v>
      </c>
      <c r="G790" s="10"/>
      <c r="S790" s="105"/>
    </row>
    <row r="791">
      <c r="A791" s="1" t="s">
        <v>2354</v>
      </c>
      <c r="B791" s="1" t="b">
        <v>1</v>
      </c>
      <c r="D791" s="344"/>
      <c r="E791" s="344"/>
      <c r="F791" s="10" t="b">
        <v>0</v>
      </c>
      <c r="G791" s="10"/>
      <c r="S791" s="105"/>
    </row>
    <row r="792">
      <c r="A792" s="1" t="s">
        <v>2355</v>
      </c>
      <c r="B792" s="1" t="b">
        <v>1</v>
      </c>
      <c r="D792" s="344"/>
      <c r="E792" s="344"/>
      <c r="F792" s="10" t="b">
        <v>0</v>
      </c>
      <c r="G792" s="10"/>
      <c r="S792" s="105"/>
    </row>
    <row r="793">
      <c r="A793" s="1" t="s">
        <v>2356</v>
      </c>
      <c r="B793" s="1" t="b">
        <v>1</v>
      </c>
      <c r="D793" s="344"/>
      <c r="E793" s="344"/>
      <c r="F793" s="10" t="b">
        <v>0</v>
      </c>
      <c r="G793" s="10"/>
      <c r="S793" s="105"/>
    </row>
    <row r="794">
      <c r="A794" s="1" t="s">
        <v>2357</v>
      </c>
      <c r="B794" s="1" t="b">
        <v>1</v>
      </c>
      <c r="D794" s="344"/>
      <c r="E794" s="344"/>
      <c r="F794" s="10" t="b">
        <v>0</v>
      </c>
      <c r="G794" s="10"/>
      <c r="S794" s="105"/>
    </row>
    <row r="795">
      <c r="A795" s="1" t="s">
        <v>2358</v>
      </c>
      <c r="B795" s="1" t="b">
        <v>1</v>
      </c>
      <c r="D795" s="344"/>
      <c r="E795" s="344"/>
      <c r="F795" s="10" t="b">
        <v>0</v>
      </c>
      <c r="G795" s="10"/>
      <c r="S795" s="105"/>
    </row>
    <row r="796">
      <c r="A796" s="1" t="s">
        <v>2359</v>
      </c>
      <c r="B796" s="1" t="b">
        <v>1</v>
      </c>
      <c r="D796" s="344"/>
      <c r="E796" s="344"/>
      <c r="F796" s="10" t="b">
        <v>0</v>
      </c>
      <c r="G796" s="10"/>
      <c r="S796" s="105"/>
    </row>
    <row r="797">
      <c r="A797" s="1" t="s">
        <v>2360</v>
      </c>
      <c r="B797" s="1" t="b">
        <v>1</v>
      </c>
      <c r="D797" s="344"/>
      <c r="E797" s="344"/>
      <c r="F797" s="10" t="b">
        <v>0</v>
      </c>
      <c r="G797" s="10"/>
      <c r="S797" s="105"/>
    </row>
    <row r="798">
      <c r="A798" s="1" t="s">
        <v>2361</v>
      </c>
      <c r="B798" s="1" t="b">
        <v>1</v>
      </c>
      <c r="D798" s="344"/>
      <c r="E798" s="344"/>
      <c r="F798" s="10" t="b">
        <v>0</v>
      </c>
      <c r="G798" s="10"/>
      <c r="S798" s="105"/>
    </row>
    <row r="799">
      <c r="A799" s="1" t="s">
        <v>2362</v>
      </c>
      <c r="B799" s="1" t="b">
        <v>1</v>
      </c>
      <c r="D799" s="344"/>
      <c r="E799" s="344"/>
      <c r="F799" s="10" t="b">
        <v>0</v>
      </c>
      <c r="G799" s="10"/>
      <c r="S799" s="105"/>
    </row>
    <row r="800">
      <c r="A800" s="1" t="s">
        <v>2363</v>
      </c>
      <c r="B800" s="1" t="b">
        <v>1</v>
      </c>
      <c r="D800" s="344"/>
      <c r="E800" s="344"/>
      <c r="F800" s="10" t="b">
        <v>0</v>
      </c>
      <c r="G800" s="10"/>
      <c r="S800" s="105"/>
    </row>
    <row r="801">
      <c r="A801" s="1" t="s">
        <v>2364</v>
      </c>
      <c r="B801" s="1" t="b">
        <v>1</v>
      </c>
      <c r="D801" s="344"/>
      <c r="E801" s="344"/>
      <c r="F801" s="10" t="b">
        <v>0</v>
      </c>
      <c r="G801" s="10"/>
      <c r="S801" s="105"/>
    </row>
    <row r="802">
      <c r="A802" s="1" t="s">
        <v>2365</v>
      </c>
      <c r="B802" s="1" t="b">
        <v>1</v>
      </c>
      <c r="D802" s="344"/>
      <c r="E802" s="344"/>
      <c r="F802" s="10" t="b">
        <v>0</v>
      </c>
      <c r="G802" s="10"/>
      <c r="S802" s="105"/>
    </row>
    <row r="803">
      <c r="A803" s="1" t="s">
        <v>2366</v>
      </c>
      <c r="B803" s="1" t="b">
        <v>1</v>
      </c>
      <c r="D803" s="344"/>
      <c r="E803" s="344"/>
      <c r="F803" s="10" t="b">
        <v>0</v>
      </c>
      <c r="G803" s="10"/>
      <c r="S803" s="105"/>
    </row>
    <row r="804">
      <c r="A804" s="1" t="s">
        <v>2367</v>
      </c>
      <c r="B804" s="1" t="b">
        <v>1</v>
      </c>
      <c r="D804" s="344"/>
      <c r="E804" s="344"/>
      <c r="F804" s="10" t="b">
        <v>0</v>
      </c>
      <c r="G804" s="10"/>
      <c r="S804" s="105"/>
    </row>
    <row r="805">
      <c r="A805" s="1" t="s">
        <v>2368</v>
      </c>
      <c r="B805" s="1" t="b">
        <v>1</v>
      </c>
      <c r="D805" s="344"/>
      <c r="E805" s="344"/>
      <c r="F805" s="10" t="b">
        <v>0</v>
      </c>
      <c r="G805" s="10"/>
      <c r="S805" s="105"/>
    </row>
    <row r="806">
      <c r="A806" s="1" t="s">
        <v>2369</v>
      </c>
      <c r="B806" s="1" t="b">
        <v>1</v>
      </c>
      <c r="D806" s="344"/>
      <c r="E806" s="344"/>
      <c r="F806" s="10" t="b">
        <v>0</v>
      </c>
      <c r="G806" s="10"/>
      <c r="S806" s="105"/>
    </row>
    <row r="807">
      <c r="A807" s="1" t="s">
        <v>2370</v>
      </c>
      <c r="B807" s="1" t="b">
        <v>1</v>
      </c>
      <c r="D807" s="344"/>
      <c r="E807" s="344"/>
      <c r="F807" s="10" t="b">
        <v>0</v>
      </c>
      <c r="G807" s="10"/>
      <c r="S807" s="105"/>
    </row>
    <row r="808">
      <c r="A808" s="1" t="s">
        <v>2371</v>
      </c>
      <c r="B808" s="1" t="b">
        <v>1</v>
      </c>
      <c r="D808" s="344"/>
      <c r="E808" s="344"/>
      <c r="F808" s="10" t="b">
        <v>0</v>
      </c>
      <c r="G808" s="10"/>
      <c r="S808" s="105"/>
    </row>
    <row r="809">
      <c r="A809" s="1" t="s">
        <v>2372</v>
      </c>
      <c r="B809" s="1" t="b">
        <v>1</v>
      </c>
      <c r="D809" s="344"/>
      <c r="E809" s="344"/>
      <c r="F809" s="10" t="b">
        <v>0</v>
      </c>
      <c r="G809" s="10"/>
      <c r="S809" s="105"/>
    </row>
    <row r="810">
      <c r="A810" s="1" t="s">
        <v>2373</v>
      </c>
      <c r="B810" s="1" t="b">
        <v>1</v>
      </c>
      <c r="D810" s="344"/>
      <c r="E810" s="344"/>
      <c r="F810" s="10" t="b">
        <v>0</v>
      </c>
      <c r="G810" s="10"/>
      <c r="S810" s="105"/>
    </row>
    <row r="811">
      <c r="A811" s="1" t="s">
        <v>2374</v>
      </c>
      <c r="B811" s="1" t="b">
        <v>1</v>
      </c>
      <c r="D811" s="344"/>
      <c r="E811" s="344"/>
      <c r="F811" s="10" t="b">
        <v>0</v>
      </c>
      <c r="G811" s="10"/>
      <c r="S811" s="105"/>
    </row>
    <row r="812">
      <c r="A812" s="1" t="s">
        <v>2375</v>
      </c>
      <c r="B812" s="1" t="b">
        <v>1</v>
      </c>
      <c r="D812" s="344"/>
      <c r="E812" s="344"/>
      <c r="F812" s="10" t="b">
        <v>0</v>
      </c>
      <c r="G812" s="10"/>
      <c r="S812" s="105"/>
    </row>
    <row r="813">
      <c r="A813" s="1" t="s">
        <v>2376</v>
      </c>
      <c r="B813" s="1" t="b">
        <v>1</v>
      </c>
      <c r="D813" s="344"/>
      <c r="E813" s="344"/>
      <c r="F813" s="10" t="b">
        <v>0</v>
      </c>
      <c r="G813" s="10"/>
      <c r="S813" s="105"/>
    </row>
    <row r="814">
      <c r="A814" s="1" t="s">
        <v>2377</v>
      </c>
      <c r="B814" s="1" t="b">
        <v>1</v>
      </c>
      <c r="D814" s="344"/>
      <c r="E814" s="344"/>
      <c r="F814" s="10" t="b">
        <v>0</v>
      </c>
      <c r="G814" s="10"/>
      <c r="S814" s="105"/>
    </row>
    <row r="815">
      <c r="A815" s="1" t="s">
        <v>2378</v>
      </c>
      <c r="B815" s="1" t="b">
        <v>1</v>
      </c>
      <c r="D815" s="344"/>
      <c r="E815" s="344"/>
      <c r="F815" s="10" t="b">
        <v>0</v>
      </c>
      <c r="G815" s="10"/>
      <c r="S815" s="105"/>
    </row>
    <row r="816">
      <c r="A816" s="1" t="s">
        <v>2379</v>
      </c>
      <c r="B816" s="1" t="b">
        <v>1</v>
      </c>
      <c r="D816" s="344"/>
      <c r="E816" s="344"/>
      <c r="F816" s="10" t="b">
        <v>0</v>
      </c>
      <c r="G816" s="10"/>
      <c r="S816" s="105"/>
    </row>
    <row r="817">
      <c r="A817" s="1" t="s">
        <v>2380</v>
      </c>
      <c r="B817" s="1" t="b">
        <v>1</v>
      </c>
      <c r="D817" s="344"/>
      <c r="E817" s="344"/>
      <c r="F817" s="10" t="b">
        <v>0</v>
      </c>
      <c r="G817" s="10"/>
      <c r="S817" s="105"/>
    </row>
    <row r="818">
      <c r="A818" s="1" t="s">
        <v>2381</v>
      </c>
      <c r="B818" s="1" t="b">
        <v>1</v>
      </c>
      <c r="D818" s="344"/>
      <c r="E818" s="344"/>
      <c r="F818" s="10" t="b">
        <v>0</v>
      </c>
      <c r="G818" s="10"/>
      <c r="S818" s="105"/>
    </row>
    <row r="819">
      <c r="A819" s="1" t="s">
        <v>2382</v>
      </c>
      <c r="B819" s="1" t="b">
        <v>1</v>
      </c>
      <c r="D819" s="344"/>
      <c r="E819" s="344"/>
      <c r="F819" s="10" t="b">
        <v>0</v>
      </c>
      <c r="G819" s="10"/>
      <c r="S819" s="105"/>
    </row>
    <row r="820">
      <c r="A820" s="1" t="s">
        <v>2383</v>
      </c>
      <c r="B820" s="1" t="b">
        <v>1</v>
      </c>
      <c r="D820" s="344"/>
      <c r="E820" s="344"/>
      <c r="F820" s="10" t="b">
        <v>0</v>
      </c>
      <c r="G820" s="10"/>
      <c r="S820" s="105"/>
    </row>
    <row r="821">
      <c r="A821" s="1" t="s">
        <v>2384</v>
      </c>
      <c r="B821" s="1" t="b">
        <v>1</v>
      </c>
      <c r="D821" s="344"/>
      <c r="E821" s="344"/>
      <c r="F821" s="10" t="b">
        <v>0</v>
      </c>
      <c r="G821" s="10"/>
      <c r="S821" s="105"/>
    </row>
    <row r="822">
      <c r="A822" s="1" t="s">
        <v>2385</v>
      </c>
      <c r="B822" s="1" t="b">
        <v>1</v>
      </c>
      <c r="D822" s="344"/>
      <c r="E822" s="344"/>
      <c r="F822" s="10" t="b">
        <v>0</v>
      </c>
      <c r="G822" s="10"/>
      <c r="S822" s="105"/>
    </row>
    <row r="823">
      <c r="A823" s="1" t="s">
        <v>2386</v>
      </c>
      <c r="B823" s="1" t="b">
        <v>0</v>
      </c>
      <c r="D823" s="344"/>
      <c r="E823" s="344"/>
      <c r="F823" s="10" t="b">
        <v>0</v>
      </c>
      <c r="G823" s="10"/>
      <c r="S823" s="105"/>
    </row>
    <row r="824">
      <c r="A824" s="1" t="s">
        <v>2387</v>
      </c>
      <c r="B824" s="1" t="b">
        <v>0</v>
      </c>
      <c r="D824" s="344"/>
      <c r="E824" s="344"/>
      <c r="F824" s="10" t="b">
        <v>0</v>
      </c>
      <c r="G824" s="10"/>
      <c r="S824" s="105"/>
    </row>
    <row r="825">
      <c r="A825" s="1" t="s">
        <v>2388</v>
      </c>
      <c r="B825" s="1" t="b">
        <v>0</v>
      </c>
      <c r="D825" s="344"/>
      <c r="E825" s="344"/>
      <c r="F825" s="10" t="b">
        <v>0</v>
      </c>
      <c r="G825" s="10"/>
      <c r="S825" s="105"/>
    </row>
    <row r="826">
      <c r="A826" s="1" t="s">
        <v>2389</v>
      </c>
      <c r="B826" s="1" t="b">
        <v>1</v>
      </c>
      <c r="D826" s="344"/>
      <c r="E826" s="344"/>
      <c r="F826" s="10" t="b">
        <v>0</v>
      </c>
      <c r="G826" s="10"/>
      <c r="S826" s="105"/>
    </row>
    <row r="827">
      <c r="A827" s="1" t="s">
        <v>2390</v>
      </c>
      <c r="B827" s="1" t="b">
        <v>1</v>
      </c>
      <c r="D827" s="344"/>
      <c r="E827" s="344"/>
      <c r="F827" s="10" t="b">
        <v>0</v>
      </c>
      <c r="G827" s="10"/>
      <c r="S827" s="105"/>
    </row>
    <row r="828">
      <c r="A828" s="1" t="s">
        <v>2391</v>
      </c>
      <c r="B828" s="1" t="b">
        <v>1</v>
      </c>
      <c r="D828" s="344"/>
      <c r="E828" s="344"/>
      <c r="F828" s="10" t="b">
        <v>0</v>
      </c>
      <c r="G828" s="10"/>
      <c r="S828" s="105"/>
    </row>
    <row r="829">
      <c r="A829" s="1" t="s">
        <v>2392</v>
      </c>
      <c r="B829" s="1" t="b">
        <v>1</v>
      </c>
      <c r="D829" s="344"/>
      <c r="E829" s="344"/>
      <c r="F829" s="10" t="b">
        <v>0</v>
      </c>
      <c r="G829" s="10"/>
      <c r="S829" s="105"/>
    </row>
    <row r="830">
      <c r="A830" s="1" t="s">
        <v>2393</v>
      </c>
      <c r="B830" s="1" t="b">
        <v>1</v>
      </c>
      <c r="D830" s="344"/>
      <c r="E830" s="344"/>
      <c r="F830" s="10" t="b">
        <v>0</v>
      </c>
      <c r="G830" s="10"/>
      <c r="S830" s="105"/>
    </row>
    <row r="831">
      <c r="A831" s="1" t="s">
        <v>2394</v>
      </c>
      <c r="B831" s="1" t="b">
        <v>0</v>
      </c>
      <c r="D831" s="344"/>
      <c r="E831" s="344"/>
      <c r="F831" s="10" t="b">
        <v>0</v>
      </c>
      <c r="G831" s="10"/>
      <c r="S831" s="105"/>
    </row>
    <row r="832">
      <c r="A832" s="1" t="s">
        <v>2395</v>
      </c>
      <c r="B832" s="1" t="b">
        <v>1</v>
      </c>
      <c r="D832" s="344"/>
      <c r="E832" s="344"/>
      <c r="F832" s="10" t="b">
        <v>0</v>
      </c>
      <c r="G832" s="10"/>
      <c r="S832" s="105"/>
    </row>
    <row r="833">
      <c r="A833" s="1" t="s">
        <v>2396</v>
      </c>
      <c r="B833" s="1" t="b">
        <v>1</v>
      </c>
      <c r="D833" s="344"/>
      <c r="E833" s="344"/>
      <c r="F833" s="10" t="b">
        <v>0</v>
      </c>
      <c r="G833" s="10"/>
      <c r="S833" s="105"/>
    </row>
    <row r="834">
      <c r="A834" s="1" t="s">
        <v>2397</v>
      </c>
      <c r="B834" s="1" t="b">
        <v>1</v>
      </c>
      <c r="D834" s="344"/>
      <c r="E834" s="344"/>
      <c r="F834" s="10" t="b">
        <v>0</v>
      </c>
      <c r="G834" s="10"/>
      <c r="S834" s="105"/>
    </row>
    <row r="835">
      <c r="A835" s="1" t="s">
        <v>2398</v>
      </c>
      <c r="B835" s="1" t="b">
        <v>0</v>
      </c>
      <c r="D835" s="344"/>
      <c r="E835" s="344"/>
      <c r="F835" s="10" t="b">
        <v>0</v>
      </c>
      <c r="G835" s="10"/>
      <c r="S835" s="105"/>
    </row>
    <row r="836">
      <c r="A836" s="1" t="s">
        <v>2399</v>
      </c>
      <c r="B836" s="1" t="b">
        <v>0</v>
      </c>
      <c r="D836" s="344"/>
      <c r="E836" s="344"/>
      <c r="F836" s="10" t="b">
        <v>0</v>
      </c>
      <c r="G836" s="10"/>
      <c r="S836" s="105"/>
    </row>
    <row r="837">
      <c r="A837" s="1" t="s">
        <v>2400</v>
      </c>
      <c r="B837" s="1" t="b">
        <v>0</v>
      </c>
      <c r="D837" s="344"/>
      <c r="E837" s="344"/>
      <c r="F837" s="10" t="b">
        <v>0</v>
      </c>
      <c r="G837" s="10"/>
      <c r="S837" s="105"/>
    </row>
    <row r="838">
      <c r="A838" s="1" t="s">
        <v>2401</v>
      </c>
      <c r="B838" s="1" t="b">
        <v>1</v>
      </c>
      <c r="D838" s="344"/>
      <c r="E838" s="344"/>
      <c r="F838" s="10" t="b">
        <v>0</v>
      </c>
      <c r="G838" s="10"/>
      <c r="S838" s="105"/>
    </row>
    <row r="839">
      <c r="A839" s="1" t="s">
        <v>2402</v>
      </c>
      <c r="B839" s="1" t="b">
        <v>1</v>
      </c>
      <c r="D839" s="344"/>
      <c r="E839" s="344"/>
      <c r="F839" s="10" t="b">
        <v>0</v>
      </c>
      <c r="G839" s="10"/>
      <c r="S839" s="105"/>
    </row>
    <row r="840">
      <c r="A840" s="1" t="s">
        <v>2403</v>
      </c>
      <c r="B840" s="1" t="b">
        <v>0</v>
      </c>
      <c r="D840" s="344"/>
      <c r="E840" s="344"/>
      <c r="F840" s="10" t="b">
        <v>0</v>
      </c>
      <c r="G840" s="10"/>
      <c r="S840" s="105"/>
    </row>
    <row r="841">
      <c r="A841" s="1" t="s">
        <v>2404</v>
      </c>
      <c r="B841" s="1" t="b">
        <v>0</v>
      </c>
      <c r="D841" s="344"/>
      <c r="E841" s="344"/>
      <c r="F841" s="10" t="b">
        <v>0</v>
      </c>
      <c r="G841" s="10"/>
      <c r="S841" s="105"/>
    </row>
    <row r="842">
      <c r="A842" s="1" t="s">
        <v>2405</v>
      </c>
      <c r="B842" s="1" t="b">
        <v>1</v>
      </c>
      <c r="D842" s="344"/>
      <c r="E842" s="344"/>
      <c r="F842" s="10" t="b">
        <v>0</v>
      </c>
      <c r="G842" s="10"/>
      <c r="S842" s="105"/>
    </row>
    <row r="843">
      <c r="A843" s="1" t="s">
        <v>2406</v>
      </c>
      <c r="B843" s="1" t="b">
        <v>0</v>
      </c>
      <c r="D843" s="344"/>
      <c r="E843" s="344"/>
      <c r="F843" s="10" t="b">
        <v>0</v>
      </c>
      <c r="G843" s="10"/>
      <c r="S843" s="105"/>
    </row>
    <row r="844">
      <c r="A844" s="1" t="s">
        <v>2407</v>
      </c>
      <c r="B844" s="1" t="b">
        <v>0</v>
      </c>
      <c r="D844" s="344"/>
      <c r="E844" s="344"/>
      <c r="F844" s="10" t="b">
        <v>0</v>
      </c>
      <c r="G844" s="10"/>
      <c r="S844" s="105"/>
    </row>
    <row r="845">
      <c r="A845" s="1" t="s">
        <v>2408</v>
      </c>
      <c r="B845" s="1" t="b">
        <v>1</v>
      </c>
      <c r="D845" s="344"/>
      <c r="E845" s="344"/>
      <c r="F845" s="10" t="b">
        <v>0</v>
      </c>
      <c r="G845" s="10"/>
      <c r="S845" s="105"/>
    </row>
    <row r="846">
      <c r="A846" s="1" t="s">
        <v>2409</v>
      </c>
      <c r="B846" s="1" t="b">
        <v>1</v>
      </c>
      <c r="D846" s="344"/>
      <c r="E846" s="344"/>
      <c r="F846" s="10" t="b">
        <v>0</v>
      </c>
      <c r="G846" s="10"/>
      <c r="S846" s="105"/>
    </row>
    <row r="847">
      <c r="A847" s="1" t="s">
        <v>2410</v>
      </c>
      <c r="B847" s="1" t="b">
        <v>1</v>
      </c>
      <c r="D847" s="344"/>
      <c r="E847" s="344"/>
      <c r="F847" s="10" t="b">
        <v>0</v>
      </c>
      <c r="G847" s="10"/>
      <c r="S847" s="105"/>
    </row>
    <row r="848">
      <c r="A848" s="1" t="s">
        <v>2411</v>
      </c>
      <c r="B848" s="1" t="b">
        <v>1</v>
      </c>
      <c r="D848" s="344"/>
      <c r="E848" s="344"/>
      <c r="F848" s="10" t="b">
        <v>0</v>
      </c>
      <c r="G848" s="10"/>
      <c r="S848" s="105"/>
    </row>
    <row r="849">
      <c r="A849" s="1" t="s">
        <v>2412</v>
      </c>
      <c r="B849" s="1" t="b">
        <v>1</v>
      </c>
      <c r="D849" s="344"/>
      <c r="E849" s="344"/>
      <c r="F849" s="10" t="b">
        <v>0</v>
      </c>
      <c r="G849" s="10"/>
      <c r="S849" s="105"/>
    </row>
    <row r="850">
      <c r="A850" s="1" t="s">
        <v>2413</v>
      </c>
      <c r="B850" s="1" t="b">
        <v>1</v>
      </c>
      <c r="D850" s="344"/>
      <c r="E850" s="344"/>
      <c r="F850" s="10" t="b">
        <v>0</v>
      </c>
      <c r="G850" s="10"/>
      <c r="S850" s="105"/>
    </row>
    <row r="851">
      <c r="A851" s="1" t="s">
        <v>2414</v>
      </c>
      <c r="B851" s="1" t="b">
        <v>1</v>
      </c>
      <c r="D851" s="344"/>
      <c r="E851" s="344"/>
      <c r="F851" s="10" t="b">
        <v>0</v>
      </c>
      <c r="G851" s="10"/>
      <c r="S851" s="105"/>
    </row>
    <row r="852">
      <c r="A852" s="1" t="s">
        <v>2415</v>
      </c>
      <c r="B852" s="1" t="b">
        <v>1</v>
      </c>
      <c r="D852" s="344"/>
      <c r="E852" s="344"/>
      <c r="F852" s="10" t="b">
        <v>0</v>
      </c>
      <c r="G852" s="10"/>
      <c r="S852" s="105"/>
    </row>
    <row r="853">
      <c r="A853" s="1" t="s">
        <v>2416</v>
      </c>
      <c r="B853" s="1" t="b">
        <v>1</v>
      </c>
      <c r="D853" s="344"/>
      <c r="E853" s="344"/>
      <c r="F853" s="10" t="b">
        <v>0</v>
      </c>
      <c r="G853" s="10"/>
      <c r="S853" s="105"/>
    </row>
    <row r="854">
      <c r="A854" s="1" t="s">
        <v>2417</v>
      </c>
      <c r="B854" s="1" t="b">
        <v>1</v>
      </c>
      <c r="D854" s="344"/>
      <c r="E854" s="344"/>
      <c r="F854" s="10" t="b">
        <v>0</v>
      </c>
      <c r="G854" s="10"/>
      <c r="S854" s="105"/>
    </row>
    <row r="855">
      <c r="A855" s="1" t="s">
        <v>2418</v>
      </c>
      <c r="B855" s="1" t="b">
        <v>1</v>
      </c>
      <c r="D855" s="344"/>
      <c r="E855" s="344"/>
      <c r="F855" s="10" t="b">
        <v>0</v>
      </c>
      <c r="G855" s="10"/>
      <c r="S855" s="105"/>
    </row>
    <row r="856">
      <c r="A856" s="1" t="s">
        <v>2419</v>
      </c>
      <c r="B856" s="1" t="b">
        <v>1</v>
      </c>
      <c r="D856" s="344"/>
      <c r="E856" s="344"/>
      <c r="F856" s="10" t="b">
        <v>0</v>
      </c>
      <c r="G856" s="10"/>
      <c r="S856" s="105"/>
    </row>
    <row r="857">
      <c r="A857" s="1" t="s">
        <v>2420</v>
      </c>
      <c r="B857" s="1" t="b">
        <v>1</v>
      </c>
      <c r="D857" s="344"/>
      <c r="E857" s="344"/>
      <c r="F857" s="10" t="b">
        <v>0</v>
      </c>
      <c r="G857" s="10"/>
      <c r="S857" s="105"/>
    </row>
    <row r="858">
      <c r="A858" s="1" t="s">
        <v>2421</v>
      </c>
      <c r="B858" s="1" t="b">
        <v>1</v>
      </c>
      <c r="D858" s="344"/>
      <c r="E858" s="344"/>
      <c r="F858" s="10" t="b">
        <v>0</v>
      </c>
      <c r="G858" s="10"/>
      <c r="S858" s="105"/>
    </row>
    <row r="859">
      <c r="A859" s="1" t="s">
        <v>2422</v>
      </c>
      <c r="B859" s="1" t="b">
        <v>1</v>
      </c>
      <c r="D859" s="344"/>
      <c r="E859" s="344"/>
      <c r="F859" s="10" t="b">
        <v>0</v>
      </c>
      <c r="G859" s="10"/>
      <c r="S859" s="105"/>
    </row>
    <row r="860">
      <c r="A860" s="1" t="s">
        <v>2423</v>
      </c>
      <c r="B860" s="1" t="b">
        <v>1</v>
      </c>
      <c r="D860" s="344"/>
      <c r="E860" s="344"/>
      <c r="F860" s="10" t="b">
        <v>0</v>
      </c>
      <c r="G860" s="10"/>
      <c r="S860" s="105"/>
    </row>
    <row r="861">
      <c r="A861" s="1" t="s">
        <v>2424</v>
      </c>
      <c r="B861" s="1" t="b">
        <v>1</v>
      </c>
      <c r="D861" s="344"/>
      <c r="E861" s="344"/>
      <c r="F861" s="10" t="b">
        <v>0</v>
      </c>
      <c r="G861" s="10"/>
      <c r="S861" s="105"/>
    </row>
    <row r="862">
      <c r="A862" s="1" t="s">
        <v>2425</v>
      </c>
      <c r="B862" s="1" t="b">
        <v>1</v>
      </c>
      <c r="D862" s="344"/>
      <c r="E862" s="344"/>
      <c r="F862" s="10" t="b">
        <v>0</v>
      </c>
      <c r="G862" s="10"/>
      <c r="S862" s="105"/>
    </row>
    <row r="863">
      <c r="A863" s="1" t="s">
        <v>2426</v>
      </c>
      <c r="B863" s="1" t="b">
        <v>1</v>
      </c>
      <c r="D863" s="344"/>
      <c r="E863" s="344"/>
      <c r="F863" s="10" t="b">
        <v>0</v>
      </c>
      <c r="G863" s="10"/>
      <c r="S863" s="105"/>
    </row>
    <row r="864">
      <c r="A864" s="1" t="s">
        <v>2427</v>
      </c>
      <c r="B864" s="1" t="b">
        <v>1</v>
      </c>
      <c r="D864" s="344"/>
      <c r="E864" s="344"/>
      <c r="F864" s="10" t="b">
        <v>0</v>
      </c>
      <c r="G864" s="10"/>
      <c r="S864" s="105"/>
    </row>
    <row r="865">
      <c r="A865" s="1" t="s">
        <v>2428</v>
      </c>
      <c r="B865" s="1" t="b">
        <v>1</v>
      </c>
      <c r="D865" s="344"/>
      <c r="E865" s="344"/>
      <c r="F865" s="10" t="b">
        <v>0</v>
      </c>
      <c r="G865" s="10"/>
      <c r="S865" s="105"/>
    </row>
    <row r="866">
      <c r="A866" s="1" t="s">
        <v>2025</v>
      </c>
      <c r="B866" s="1" t="b">
        <v>1</v>
      </c>
      <c r="D866" s="344"/>
      <c r="E866" s="344"/>
      <c r="F866" s="10" t="b">
        <v>0</v>
      </c>
      <c r="G866" s="10"/>
      <c r="S866" s="105"/>
    </row>
    <row r="867">
      <c r="A867" s="1" t="s">
        <v>2429</v>
      </c>
      <c r="B867" s="1" t="b">
        <v>1</v>
      </c>
      <c r="D867" s="344"/>
      <c r="E867" s="344"/>
      <c r="F867" s="10" t="b">
        <v>0</v>
      </c>
      <c r="G867" s="10"/>
      <c r="S867" s="105"/>
    </row>
    <row r="868">
      <c r="A868" s="1" t="s">
        <v>2430</v>
      </c>
      <c r="B868" s="1" t="b">
        <v>1</v>
      </c>
      <c r="D868" s="344"/>
      <c r="E868" s="344"/>
      <c r="F868" s="10" t="b">
        <v>0</v>
      </c>
      <c r="G868" s="10"/>
      <c r="S868" s="105"/>
    </row>
    <row r="869">
      <c r="A869" s="1" t="s">
        <v>2431</v>
      </c>
      <c r="B869" s="1" t="b">
        <v>1</v>
      </c>
      <c r="D869" s="344"/>
      <c r="E869" s="344"/>
      <c r="F869" s="10" t="b">
        <v>0</v>
      </c>
      <c r="G869" s="10"/>
      <c r="S869" s="105"/>
    </row>
    <row r="870">
      <c r="A870" s="1" t="s">
        <v>2432</v>
      </c>
      <c r="B870" s="1" t="b">
        <v>1</v>
      </c>
      <c r="D870" s="344"/>
      <c r="E870" s="344"/>
      <c r="F870" s="10" t="b">
        <v>0</v>
      </c>
      <c r="G870" s="10"/>
      <c r="S870" s="105"/>
    </row>
    <row r="871">
      <c r="A871" s="1" t="s">
        <v>2433</v>
      </c>
      <c r="B871" s="1" t="b">
        <v>1</v>
      </c>
      <c r="D871" s="344"/>
      <c r="E871" s="344"/>
      <c r="F871" s="10" t="b">
        <v>0</v>
      </c>
      <c r="G871" s="10"/>
      <c r="S871" s="105"/>
    </row>
    <row r="872">
      <c r="A872" s="1" t="s">
        <v>2434</v>
      </c>
      <c r="B872" s="1" t="b">
        <v>1</v>
      </c>
      <c r="D872" s="344"/>
      <c r="E872" s="344"/>
      <c r="F872" s="10" t="b">
        <v>0</v>
      </c>
      <c r="G872" s="10"/>
      <c r="S872" s="105"/>
    </row>
    <row r="873">
      <c r="A873" s="1" t="s">
        <v>2435</v>
      </c>
      <c r="B873" s="1" t="b">
        <v>1</v>
      </c>
      <c r="D873" s="344"/>
      <c r="E873" s="344"/>
      <c r="F873" s="10" t="b">
        <v>0</v>
      </c>
      <c r="G873" s="10"/>
      <c r="S873" s="105"/>
    </row>
    <row r="874">
      <c r="A874" s="1" t="s">
        <v>2436</v>
      </c>
      <c r="B874" s="1" t="b">
        <v>1</v>
      </c>
      <c r="D874" s="344"/>
      <c r="E874" s="344"/>
      <c r="F874" s="10" t="b">
        <v>0</v>
      </c>
      <c r="G874" s="10"/>
      <c r="S874" s="105"/>
    </row>
    <row r="875">
      <c r="A875" s="1" t="s">
        <v>2437</v>
      </c>
      <c r="B875" s="1" t="b">
        <v>1</v>
      </c>
      <c r="D875" s="344"/>
      <c r="E875" s="344"/>
      <c r="F875" s="10" t="b">
        <v>0</v>
      </c>
      <c r="G875" s="10"/>
      <c r="S875" s="105"/>
    </row>
    <row r="876">
      <c r="A876" s="1" t="s">
        <v>2438</v>
      </c>
      <c r="B876" s="1" t="b">
        <v>1</v>
      </c>
      <c r="D876" s="344"/>
      <c r="E876" s="344"/>
      <c r="F876" s="10" t="b">
        <v>0</v>
      </c>
      <c r="G876" s="10"/>
      <c r="S876" s="105"/>
    </row>
    <row r="877">
      <c r="A877" s="1" t="s">
        <v>2439</v>
      </c>
      <c r="B877" s="1" t="b">
        <v>1</v>
      </c>
      <c r="D877" s="344"/>
      <c r="E877" s="344"/>
      <c r="F877" s="10" t="b">
        <v>0</v>
      </c>
      <c r="G877" s="10"/>
      <c r="S877" s="105"/>
    </row>
    <row r="878">
      <c r="A878" s="1" t="s">
        <v>2440</v>
      </c>
      <c r="B878" s="1" t="b">
        <v>1</v>
      </c>
      <c r="D878" s="344"/>
      <c r="E878" s="344"/>
      <c r="F878" s="10" t="b">
        <v>0</v>
      </c>
      <c r="G878" s="10"/>
      <c r="S878" s="105"/>
    </row>
    <row r="879">
      <c r="A879" s="1" t="s">
        <v>2441</v>
      </c>
      <c r="B879" s="1" t="b">
        <v>1</v>
      </c>
      <c r="D879" s="344"/>
      <c r="E879" s="344"/>
      <c r="F879" s="10" t="b">
        <v>0</v>
      </c>
      <c r="G879" s="10"/>
      <c r="S879" s="105"/>
    </row>
    <row r="880">
      <c r="A880" s="1" t="s">
        <v>2442</v>
      </c>
      <c r="B880" s="1" t="b">
        <v>1</v>
      </c>
      <c r="D880" s="344"/>
      <c r="E880" s="344"/>
      <c r="F880" s="10" t="b">
        <v>0</v>
      </c>
      <c r="G880" s="10"/>
      <c r="S880" s="105"/>
    </row>
    <row r="881">
      <c r="A881" s="1" t="s">
        <v>2443</v>
      </c>
      <c r="B881" s="1" t="b">
        <v>0</v>
      </c>
      <c r="D881" s="344"/>
      <c r="E881" s="344"/>
      <c r="F881" s="10" t="b">
        <v>0</v>
      </c>
      <c r="G881" s="10"/>
      <c r="S881" s="105"/>
    </row>
    <row r="882">
      <c r="A882" s="1" t="s">
        <v>2444</v>
      </c>
      <c r="B882" s="1" t="b">
        <v>1</v>
      </c>
      <c r="D882" s="344"/>
      <c r="E882" s="344"/>
      <c r="F882" s="10" t="b">
        <v>0</v>
      </c>
      <c r="G882" s="10"/>
      <c r="S882" s="105"/>
    </row>
    <row r="883">
      <c r="A883" s="1" t="s">
        <v>2445</v>
      </c>
      <c r="B883" s="1" t="b">
        <v>0</v>
      </c>
      <c r="D883" s="344"/>
      <c r="E883" s="344"/>
      <c r="F883" s="10" t="b">
        <v>0</v>
      </c>
      <c r="G883" s="10"/>
      <c r="S883" s="105"/>
    </row>
    <row r="884">
      <c r="A884" s="1" t="s">
        <v>2446</v>
      </c>
      <c r="B884" s="1" t="b">
        <v>0</v>
      </c>
      <c r="D884" s="344"/>
      <c r="E884" s="344"/>
      <c r="F884" s="10" t="b">
        <v>0</v>
      </c>
      <c r="G884" s="10"/>
      <c r="S884" s="105"/>
    </row>
    <row r="885">
      <c r="A885" s="1" t="s">
        <v>2447</v>
      </c>
      <c r="B885" s="1" t="b">
        <v>1</v>
      </c>
      <c r="D885" s="344"/>
      <c r="E885" s="344"/>
      <c r="F885" s="10" t="b">
        <v>0</v>
      </c>
      <c r="G885" s="10"/>
      <c r="S885" s="105"/>
    </row>
    <row r="886">
      <c r="A886" s="1" t="s">
        <v>2448</v>
      </c>
      <c r="B886" s="1" t="b">
        <v>1</v>
      </c>
      <c r="D886" s="344"/>
      <c r="E886" s="344"/>
      <c r="F886" s="10" t="b">
        <v>0</v>
      </c>
      <c r="G886" s="10"/>
      <c r="S886" s="105"/>
    </row>
    <row r="887">
      <c r="A887" s="1" t="s">
        <v>2449</v>
      </c>
      <c r="B887" s="1" t="b">
        <v>1</v>
      </c>
      <c r="D887" s="344"/>
      <c r="E887" s="344"/>
      <c r="F887" s="10" t="b">
        <v>0</v>
      </c>
      <c r="G887" s="10"/>
      <c r="S887" s="105"/>
    </row>
    <row r="888">
      <c r="A888" s="1" t="s">
        <v>2450</v>
      </c>
      <c r="B888" s="1" t="b">
        <v>1</v>
      </c>
      <c r="D888" s="344"/>
      <c r="E888" s="344"/>
      <c r="F888" s="10" t="b">
        <v>0</v>
      </c>
      <c r="G888" s="10"/>
      <c r="S888" s="105"/>
    </row>
    <row r="889">
      <c r="A889" s="1" t="s">
        <v>2451</v>
      </c>
      <c r="B889" s="1" t="b">
        <v>1</v>
      </c>
      <c r="D889" s="344"/>
      <c r="E889" s="344"/>
      <c r="F889" s="10" t="b">
        <v>0</v>
      </c>
      <c r="G889" s="10"/>
      <c r="S889" s="105"/>
    </row>
    <row r="890">
      <c r="A890" s="1" t="s">
        <v>2452</v>
      </c>
      <c r="B890" s="1" t="b">
        <v>1</v>
      </c>
      <c r="D890" s="344"/>
      <c r="E890" s="344"/>
      <c r="F890" s="10" t="b">
        <v>0</v>
      </c>
      <c r="G890" s="10"/>
      <c r="S890" s="105"/>
    </row>
    <row r="891">
      <c r="A891" s="1" t="s">
        <v>2453</v>
      </c>
      <c r="B891" s="1" t="b">
        <v>1</v>
      </c>
      <c r="D891" s="344"/>
      <c r="E891" s="344"/>
      <c r="F891" s="10" t="b">
        <v>0</v>
      </c>
      <c r="G891" s="10"/>
      <c r="S891" s="105"/>
    </row>
    <row r="892">
      <c r="A892" s="1" t="s">
        <v>2454</v>
      </c>
      <c r="B892" s="1" t="b">
        <v>1</v>
      </c>
      <c r="D892" s="344"/>
      <c r="E892" s="344"/>
      <c r="F892" s="10" t="b">
        <v>0</v>
      </c>
      <c r="G892" s="10"/>
      <c r="S892" s="105"/>
    </row>
    <row r="893">
      <c r="A893" s="1" t="s">
        <v>2455</v>
      </c>
      <c r="B893" s="1" t="b">
        <v>1</v>
      </c>
      <c r="D893" s="344"/>
      <c r="E893" s="344"/>
      <c r="F893" s="10" t="b">
        <v>0</v>
      </c>
      <c r="G893" s="10"/>
      <c r="S893" s="105"/>
    </row>
    <row r="894">
      <c r="A894" s="1" t="s">
        <v>2456</v>
      </c>
      <c r="B894" s="1" t="b">
        <v>1</v>
      </c>
      <c r="D894" s="344"/>
      <c r="E894" s="344"/>
      <c r="F894" s="10" t="b">
        <v>0</v>
      </c>
      <c r="G894" s="10"/>
      <c r="S894" s="105"/>
    </row>
    <row r="895">
      <c r="A895" s="1" t="s">
        <v>2457</v>
      </c>
      <c r="B895" s="1" t="b">
        <v>1</v>
      </c>
      <c r="D895" s="344"/>
      <c r="E895" s="344"/>
      <c r="F895" s="10" t="b">
        <v>0</v>
      </c>
      <c r="G895" s="10"/>
      <c r="S895" s="105"/>
    </row>
    <row r="896">
      <c r="A896" s="1" t="s">
        <v>2458</v>
      </c>
      <c r="B896" s="1" t="b">
        <v>1</v>
      </c>
      <c r="D896" s="344"/>
      <c r="E896" s="344"/>
      <c r="F896" s="10" t="b">
        <v>0</v>
      </c>
      <c r="G896" s="10"/>
      <c r="S896" s="105"/>
    </row>
    <row r="897">
      <c r="A897" s="1" t="s">
        <v>2459</v>
      </c>
      <c r="B897" s="1" t="b">
        <v>0</v>
      </c>
      <c r="D897" s="344"/>
      <c r="E897" s="344"/>
      <c r="F897" s="10" t="b">
        <v>0</v>
      </c>
      <c r="G897" s="10"/>
      <c r="S897" s="105"/>
    </row>
    <row r="898">
      <c r="A898" s="1" t="s">
        <v>2460</v>
      </c>
      <c r="B898" s="1" t="b">
        <v>1</v>
      </c>
      <c r="D898" s="344"/>
      <c r="E898" s="344"/>
      <c r="F898" s="10" t="b">
        <v>0</v>
      </c>
      <c r="G898" s="10"/>
      <c r="S898" s="105"/>
    </row>
    <row r="899">
      <c r="A899" s="1" t="s">
        <v>2461</v>
      </c>
      <c r="B899" s="1" t="b">
        <v>1</v>
      </c>
      <c r="D899" s="344"/>
      <c r="E899" s="344"/>
      <c r="F899" s="10" t="b">
        <v>0</v>
      </c>
      <c r="G899" s="10"/>
      <c r="S899" s="105"/>
    </row>
    <row r="900">
      <c r="A900" s="1" t="s">
        <v>2462</v>
      </c>
      <c r="B900" s="1" t="b">
        <v>1</v>
      </c>
      <c r="D900" s="344"/>
      <c r="E900" s="344"/>
      <c r="F900" s="10" t="b">
        <v>0</v>
      </c>
      <c r="G900" s="10"/>
      <c r="S900" s="105"/>
    </row>
    <row r="901">
      <c r="A901" s="1" t="s">
        <v>2463</v>
      </c>
      <c r="B901" s="1" t="b">
        <v>1</v>
      </c>
      <c r="D901" s="344"/>
      <c r="E901" s="344"/>
      <c r="F901" s="10" t="b">
        <v>0</v>
      </c>
      <c r="G901" s="10"/>
      <c r="S901" s="105"/>
    </row>
    <row r="902">
      <c r="A902" s="1" t="s">
        <v>2464</v>
      </c>
      <c r="B902" s="1" t="b">
        <v>1</v>
      </c>
      <c r="D902" s="344"/>
      <c r="E902" s="344"/>
      <c r="F902" s="10" t="b">
        <v>0</v>
      </c>
      <c r="G902" s="10"/>
      <c r="S902" s="105"/>
    </row>
    <row r="903">
      <c r="A903" s="1" t="s">
        <v>2465</v>
      </c>
      <c r="B903" s="1" t="b">
        <v>1</v>
      </c>
      <c r="D903" s="344"/>
      <c r="E903" s="344"/>
      <c r="F903" s="10" t="b">
        <v>0</v>
      </c>
      <c r="G903" s="10"/>
      <c r="S903" s="105"/>
    </row>
    <row r="904">
      <c r="A904" s="1" t="s">
        <v>2466</v>
      </c>
      <c r="B904" s="1" t="b">
        <v>1</v>
      </c>
      <c r="D904" s="344"/>
      <c r="E904" s="344"/>
      <c r="F904" s="10" t="b">
        <v>0</v>
      </c>
      <c r="G904" s="10"/>
      <c r="S904" s="105"/>
    </row>
    <row r="905">
      <c r="A905" s="1" t="s">
        <v>2467</v>
      </c>
      <c r="B905" s="1" t="b">
        <v>1</v>
      </c>
      <c r="D905" s="344"/>
      <c r="E905" s="344"/>
      <c r="F905" s="10" t="b">
        <v>0</v>
      </c>
      <c r="G905" s="10"/>
      <c r="S905" s="105"/>
    </row>
    <row r="906">
      <c r="A906" s="1" t="s">
        <v>2468</v>
      </c>
      <c r="B906" s="1" t="b">
        <v>1</v>
      </c>
      <c r="D906" s="344"/>
      <c r="E906" s="344"/>
      <c r="F906" s="10" t="b">
        <v>0</v>
      </c>
      <c r="G906" s="10"/>
      <c r="S906" s="105"/>
    </row>
    <row r="907">
      <c r="A907" s="1" t="s">
        <v>2469</v>
      </c>
      <c r="B907" s="1" t="b">
        <v>1</v>
      </c>
      <c r="D907" s="344"/>
      <c r="E907" s="344"/>
      <c r="F907" s="10" t="b">
        <v>0</v>
      </c>
      <c r="G907" s="10"/>
      <c r="S907" s="105"/>
    </row>
    <row r="908">
      <c r="A908" s="1" t="s">
        <v>2470</v>
      </c>
      <c r="B908" s="1" t="b">
        <v>1</v>
      </c>
      <c r="D908" s="344"/>
      <c r="E908" s="344"/>
      <c r="F908" s="10" t="b">
        <v>0</v>
      </c>
      <c r="G908" s="10"/>
      <c r="S908" s="105"/>
    </row>
    <row r="909">
      <c r="A909" s="1" t="s">
        <v>2471</v>
      </c>
      <c r="B909" s="1" t="b">
        <v>1</v>
      </c>
      <c r="D909" s="344"/>
      <c r="E909" s="344"/>
      <c r="F909" s="10" t="b">
        <v>0</v>
      </c>
      <c r="G909" s="10"/>
      <c r="S909" s="105"/>
    </row>
    <row r="910">
      <c r="A910" s="1" t="s">
        <v>2472</v>
      </c>
      <c r="B910" s="1" t="b">
        <v>1</v>
      </c>
      <c r="D910" s="344"/>
      <c r="E910" s="344"/>
      <c r="F910" s="10" t="b">
        <v>0</v>
      </c>
      <c r="G910" s="10"/>
      <c r="S910" s="105"/>
    </row>
    <row r="911">
      <c r="A911" s="1" t="s">
        <v>2473</v>
      </c>
      <c r="B911" s="1" t="b">
        <v>1</v>
      </c>
      <c r="D911" s="344"/>
      <c r="E911" s="344"/>
      <c r="F911" s="10" t="b">
        <v>0</v>
      </c>
      <c r="G911" s="10"/>
      <c r="S911" s="105"/>
    </row>
    <row r="912">
      <c r="A912" s="1" t="s">
        <v>2474</v>
      </c>
      <c r="B912" s="1" t="b">
        <v>1</v>
      </c>
      <c r="D912" s="344"/>
      <c r="E912" s="344"/>
      <c r="F912" s="10" t="b">
        <v>0</v>
      </c>
      <c r="G912" s="10"/>
      <c r="S912" s="105"/>
    </row>
    <row r="913">
      <c r="A913" s="1" t="s">
        <v>2475</v>
      </c>
      <c r="B913" s="1" t="b">
        <v>1</v>
      </c>
      <c r="D913" s="344"/>
      <c r="E913" s="344"/>
      <c r="F913" s="10" t="b">
        <v>0</v>
      </c>
      <c r="G913" s="10"/>
      <c r="S913" s="105"/>
    </row>
    <row r="914">
      <c r="A914" s="1" t="s">
        <v>2476</v>
      </c>
      <c r="B914" s="1" t="b">
        <v>1</v>
      </c>
      <c r="D914" s="344"/>
      <c r="E914" s="344"/>
      <c r="F914" s="10" t="b">
        <v>0</v>
      </c>
      <c r="G914" s="10"/>
      <c r="S914" s="105"/>
    </row>
    <row r="915">
      <c r="A915" s="1" t="s">
        <v>2477</v>
      </c>
      <c r="B915" s="1" t="b">
        <v>1</v>
      </c>
      <c r="D915" s="344"/>
      <c r="E915" s="344"/>
      <c r="F915" s="10" t="b">
        <v>0</v>
      </c>
      <c r="G915" s="10"/>
      <c r="S915" s="105"/>
    </row>
    <row r="916">
      <c r="A916" s="1" t="s">
        <v>2478</v>
      </c>
      <c r="B916" s="1" t="b">
        <v>1</v>
      </c>
      <c r="D916" s="344"/>
      <c r="E916" s="344"/>
      <c r="F916" s="10" t="b">
        <v>0</v>
      </c>
      <c r="G916" s="10"/>
      <c r="S916" s="105"/>
    </row>
    <row r="917">
      <c r="A917" s="1" t="s">
        <v>2479</v>
      </c>
      <c r="B917" s="1" t="b">
        <v>1</v>
      </c>
      <c r="D917" s="344"/>
      <c r="E917" s="344"/>
      <c r="F917" s="10" t="b">
        <v>0</v>
      </c>
      <c r="G917" s="10"/>
      <c r="S917" s="105"/>
    </row>
    <row r="918">
      <c r="A918" s="1" t="s">
        <v>2480</v>
      </c>
      <c r="B918" s="1" t="b">
        <v>1</v>
      </c>
      <c r="D918" s="344"/>
      <c r="E918" s="344"/>
      <c r="F918" s="10" t="b">
        <v>0</v>
      </c>
      <c r="G918" s="10"/>
      <c r="S918" s="105"/>
    </row>
    <row r="919">
      <c r="A919" s="1" t="s">
        <v>2481</v>
      </c>
      <c r="B919" s="1" t="b">
        <v>1</v>
      </c>
      <c r="D919" s="344"/>
      <c r="E919" s="344"/>
      <c r="F919" s="10" t="b">
        <v>0</v>
      </c>
      <c r="G919" s="10"/>
      <c r="S919" s="105"/>
    </row>
    <row r="920">
      <c r="A920" s="1" t="s">
        <v>2482</v>
      </c>
      <c r="B920" s="1" t="b">
        <v>1</v>
      </c>
      <c r="D920" s="344"/>
      <c r="E920" s="344"/>
      <c r="F920" s="10" t="b">
        <v>0</v>
      </c>
      <c r="G920" s="10"/>
      <c r="S920" s="105"/>
    </row>
    <row r="921">
      <c r="A921" s="1" t="s">
        <v>2483</v>
      </c>
      <c r="B921" s="1" t="b">
        <v>0</v>
      </c>
      <c r="D921" s="344"/>
      <c r="E921" s="344"/>
      <c r="F921" s="10" t="b">
        <v>0</v>
      </c>
      <c r="G921" s="10"/>
      <c r="S921" s="105"/>
    </row>
    <row r="922">
      <c r="A922" s="1" t="s">
        <v>2484</v>
      </c>
      <c r="B922" s="1" t="b">
        <v>1</v>
      </c>
      <c r="D922" s="344"/>
      <c r="E922" s="344"/>
      <c r="F922" s="10" t="b">
        <v>0</v>
      </c>
      <c r="G922" s="10"/>
      <c r="S922" s="105"/>
    </row>
    <row r="923">
      <c r="A923" s="1" t="s">
        <v>2485</v>
      </c>
      <c r="B923" s="1" t="b">
        <v>1</v>
      </c>
      <c r="D923" s="344"/>
      <c r="E923" s="344"/>
      <c r="F923" s="10" t="b">
        <v>0</v>
      </c>
      <c r="G923" s="10"/>
      <c r="S923" s="105"/>
    </row>
    <row r="924">
      <c r="A924" s="1" t="s">
        <v>2486</v>
      </c>
      <c r="B924" s="1" t="b">
        <v>0</v>
      </c>
      <c r="D924" s="344"/>
      <c r="E924" s="344"/>
      <c r="F924" s="10" t="b">
        <v>0</v>
      </c>
      <c r="G924" s="10"/>
      <c r="S924" s="105"/>
    </row>
    <row r="925">
      <c r="A925" s="1" t="s">
        <v>2487</v>
      </c>
      <c r="B925" s="1" t="b">
        <v>0</v>
      </c>
      <c r="D925" s="344"/>
      <c r="E925" s="344"/>
      <c r="F925" s="10" t="b">
        <v>0</v>
      </c>
      <c r="G925" s="10"/>
      <c r="S925" s="105"/>
    </row>
    <row r="926">
      <c r="A926" s="1" t="s">
        <v>2488</v>
      </c>
      <c r="B926" s="1" t="b">
        <v>1</v>
      </c>
      <c r="D926" s="344"/>
      <c r="E926" s="344"/>
      <c r="F926" s="10" t="b">
        <v>0</v>
      </c>
      <c r="G926" s="10"/>
      <c r="S926" s="105"/>
    </row>
    <row r="927">
      <c r="A927" s="1" t="s">
        <v>2489</v>
      </c>
      <c r="B927" s="1" t="b">
        <v>0</v>
      </c>
      <c r="D927" s="344"/>
      <c r="E927" s="344"/>
      <c r="F927" s="10" t="b">
        <v>0</v>
      </c>
      <c r="G927" s="10"/>
      <c r="S927" s="105"/>
    </row>
    <row r="928">
      <c r="A928" s="1" t="s">
        <v>2490</v>
      </c>
      <c r="B928" s="1" t="b">
        <v>1</v>
      </c>
      <c r="D928" s="344"/>
      <c r="E928" s="344"/>
      <c r="F928" s="10" t="b">
        <v>0</v>
      </c>
      <c r="G928" s="10"/>
      <c r="S928" s="105"/>
    </row>
    <row r="929">
      <c r="A929" s="1" t="s">
        <v>2491</v>
      </c>
      <c r="B929" s="1" t="b">
        <v>1</v>
      </c>
      <c r="D929" s="344"/>
      <c r="E929" s="344"/>
      <c r="F929" s="10" t="b">
        <v>0</v>
      </c>
      <c r="G929" s="10"/>
      <c r="S929" s="105"/>
    </row>
    <row r="930">
      <c r="A930" s="1" t="s">
        <v>2492</v>
      </c>
      <c r="B930" s="1" t="b">
        <v>1</v>
      </c>
      <c r="D930" s="344"/>
      <c r="E930" s="344"/>
      <c r="F930" s="10" t="b">
        <v>0</v>
      </c>
      <c r="G930" s="10"/>
      <c r="S930" s="105"/>
    </row>
    <row r="931">
      <c r="A931" s="1" t="s">
        <v>2493</v>
      </c>
      <c r="B931" s="1" t="b">
        <v>1</v>
      </c>
      <c r="D931" s="344"/>
      <c r="E931" s="344"/>
      <c r="F931" s="10" t="b">
        <v>0</v>
      </c>
      <c r="G931" s="10"/>
      <c r="S931" s="105"/>
    </row>
    <row r="932">
      <c r="A932" s="1" t="s">
        <v>2494</v>
      </c>
      <c r="B932" s="1" t="b">
        <v>1</v>
      </c>
      <c r="D932" s="344"/>
      <c r="E932" s="344"/>
      <c r="F932" s="10" t="b">
        <v>0</v>
      </c>
      <c r="G932" s="10"/>
      <c r="S932" s="105"/>
    </row>
    <row r="933">
      <c r="A933" s="1" t="s">
        <v>2495</v>
      </c>
      <c r="B933" s="1" t="b">
        <v>1</v>
      </c>
      <c r="D933" s="344"/>
      <c r="E933" s="344"/>
      <c r="F933" s="10" t="b">
        <v>0</v>
      </c>
      <c r="G933" s="10"/>
      <c r="S933" s="105"/>
    </row>
    <row r="934">
      <c r="A934" s="1" t="s">
        <v>2496</v>
      </c>
      <c r="B934" s="1" t="b">
        <v>0</v>
      </c>
      <c r="D934" s="344"/>
      <c r="E934" s="344"/>
      <c r="F934" s="10" t="b">
        <v>0</v>
      </c>
      <c r="G934" s="10"/>
      <c r="S934" s="105"/>
    </row>
    <row r="935">
      <c r="A935" s="1" t="s">
        <v>2497</v>
      </c>
      <c r="B935" s="1" t="b">
        <v>0</v>
      </c>
      <c r="D935" s="344"/>
      <c r="E935" s="344"/>
      <c r="F935" s="10" t="b">
        <v>0</v>
      </c>
      <c r="G935" s="10"/>
      <c r="S935" s="105"/>
    </row>
    <row r="936">
      <c r="A936" s="1" t="s">
        <v>2498</v>
      </c>
      <c r="B936" s="1" t="b">
        <v>0</v>
      </c>
      <c r="D936" s="344"/>
      <c r="E936" s="344"/>
      <c r="F936" s="10" t="b">
        <v>0</v>
      </c>
      <c r="G936" s="10"/>
      <c r="S936" s="105"/>
    </row>
    <row r="937">
      <c r="A937" s="1" t="s">
        <v>2499</v>
      </c>
      <c r="B937" s="1" t="b">
        <v>1</v>
      </c>
      <c r="D937" s="344"/>
      <c r="E937" s="344"/>
      <c r="F937" s="10" t="b">
        <v>0</v>
      </c>
      <c r="G937" s="10"/>
      <c r="S937" s="105"/>
    </row>
    <row r="938">
      <c r="A938" s="1" t="s">
        <v>2500</v>
      </c>
      <c r="B938" s="1" t="b">
        <v>0</v>
      </c>
      <c r="D938" s="344"/>
      <c r="E938" s="344"/>
      <c r="F938" s="10" t="b">
        <v>0</v>
      </c>
      <c r="G938" s="10"/>
      <c r="S938" s="105"/>
    </row>
    <row r="939">
      <c r="A939" s="1" t="s">
        <v>2501</v>
      </c>
      <c r="B939" s="1" t="b">
        <v>0</v>
      </c>
      <c r="D939" s="344"/>
      <c r="E939" s="344"/>
      <c r="F939" s="10" t="b">
        <v>0</v>
      </c>
      <c r="G939" s="10"/>
      <c r="S939" s="105"/>
    </row>
    <row r="940">
      <c r="A940" s="1" t="s">
        <v>2502</v>
      </c>
      <c r="B940" s="1" t="b">
        <v>1</v>
      </c>
      <c r="D940" s="344"/>
      <c r="E940" s="344"/>
      <c r="F940" s="10" t="b">
        <v>0</v>
      </c>
      <c r="G940" s="10"/>
      <c r="S940" s="105"/>
    </row>
    <row r="941">
      <c r="A941" s="1" t="s">
        <v>2503</v>
      </c>
      <c r="B941" s="1" t="b">
        <v>1</v>
      </c>
      <c r="D941" s="344"/>
      <c r="E941" s="344"/>
      <c r="F941" s="10" t="b">
        <v>0</v>
      </c>
      <c r="G941" s="10"/>
      <c r="S941" s="105"/>
    </row>
    <row r="942">
      <c r="A942" s="1" t="s">
        <v>2504</v>
      </c>
      <c r="B942" s="1" t="b">
        <v>1</v>
      </c>
      <c r="D942" s="344"/>
      <c r="E942" s="344"/>
      <c r="F942" s="10" t="b">
        <v>0</v>
      </c>
      <c r="G942" s="10"/>
      <c r="S942" s="105"/>
    </row>
    <row r="943">
      <c r="D943" s="344"/>
      <c r="E943" s="344"/>
      <c r="F943" s="10" t="b">
        <v>0</v>
      </c>
      <c r="G943" s="10"/>
      <c r="S943" s="105"/>
    </row>
    <row r="944">
      <c r="D944" s="344"/>
      <c r="E944" s="344"/>
      <c r="F944" s="10" t="b">
        <v>0</v>
      </c>
      <c r="G944" s="10"/>
      <c r="S944" s="105"/>
    </row>
    <row r="945">
      <c r="D945" s="344"/>
      <c r="E945" s="344"/>
      <c r="F945" s="10" t="b">
        <v>0</v>
      </c>
      <c r="G945" s="10"/>
      <c r="S945" s="105"/>
    </row>
    <row r="946">
      <c r="D946" s="344"/>
      <c r="E946" s="344"/>
      <c r="F946" s="10" t="b">
        <v>0</v>
      </c>
      <c r="G946" s="10"/>
      <c r="S946" s="105"/>
    </row>
    <row r="947">
      <c r="D947" s="344"/>
      <c r="E947" s="344"/>
      <c r="F947" s="10" t="b">
        <v>0</v>
      </c>
      <c r="G947" s="10"/>
      <c r="S947" s="105"/>
    </row>
    <row r="948">
      <c r="D948" s="344"/>
      <c r="E948" s="344"/>
      <c r="F948" s="10" t="b">
        <v>0</v>
      </c>
      <c r="G948" s="10"/>
      <c r="S948" s="105"/>
    </row>
    <row r="949">
      <c r="D949" s="344"/>
      <c r="E949" s="344"/>
      <c r="F949" s="10" t="b">
        <v>0</v>
      </c>
      <c r="G949" s="10"/>
      <c r="S949" s="105"/>
    </row>
    <row r="950">
      <c r="D950" s="344"/>
      <c r="E950" s="344"/>
      <c r="F950" s="10" t="b">
        <v>0</v>
      </c>
      <c r="G950" s="10"/>
      <c r="S950" s="105"/>
    </row>
    <row r="951">
      <c r="D951" s="344"/>
      <c r="E951" s="344"/>
      <c r="F951" s="10" t="b">
        <v>0</v>
      </c>
      <c r="G951" s="10"/>
      <c r="S951" s="105"/>
    </row>
    <row r="952">
      <c r="D952" s="344"/>
      <c r="E952" s="344"/>
      <c r="F952" s="10" t="b">
        <v>0</v>
      </c>
      <c r="G952" s="10"/>
      <c r="S952" s="105"/>
    </row>
    <row r="953">
      <c r="D953" s="344"/>
      <c r="E953" s="344"/>
      <c r="F953" s="10" t="b">
        <v>0</v>
      </c>
      <c r="G953" s="10"/>
      <c r="S953" s="105"/>
    </row>
    <row r="954">
      <c r="D954" s="344"/>
      <c r="E954" s="344"/>
      <c r="F954" s="10" t="b">
        <v>0</v>
      </c>
      <c r="G954" s="10"/>
      <c r="S954" s="105"/>
    </row>
    <row r="955">
      <c r="D955" s="344"/>
      <c r="E955" s="344"/>
      <c r="F955" s="10" t="b">
        <v>0</v>
      </c>
      <c r="G955" s="10"/>
      <c r="S955" s="105"/>
    </row>
    <row r="956">
      <c r="D956" s="344"/>
      <c r="E956" s="344"/>
      <c r="F956" s="10" t="b">
        <v>0</v>
      </c>
      <c r="G956" s="10"/>
      <c r="S956" s="105"/>
    </row>
    <row r="957">
      <c r="D957" s="344"/>
      <c r="E957" s="344"/>
      <c r="F957" s="10" t="b">
        <v>0</v>
      </c>
      <c r="G957" s="10"/>
      <c r="S957" s="105"/>
    </row>
    <row r="958">
      <c r="D958" s="344"/>
      <c r="E958" s="344"/>
      <c r="F958" s="10" t="b">
        <v>0</v>
      </c>
      <c r="G958" s="10"/>
      <c r="S958" s="105"/>
    </row>
    <row r="959">
      <c r="D959" s="344"/>
      <c r="E959" s="344"/>
      <c r="F959" s="10" t="b">
        <v>0</v>
      </c>
      <c r="G959" s="10"/>
      <c r="S959" s="105"/>
    </row>
    <row r="960">
      <c r="D960" s="344"/>
      <c r="E960" s="344"/>
      <c r="F960" s="10" t="b">
        <v>0</v>
      </c>
      <c r="G960" s="10"/>
      <c r="S960" s="105"/>
    </row>
    <row r="961">
      <c r="D961" s="344"/>
      <c r="E961" s="344"/>
      <c r="F961" s="10" t="b">
        <v>0</v>
      </c>
      <c r="G961" s="10"/>
      <c r="S961" s="105"/>
    </row>
    <row r="962">
      <c r="D962" s="344"/>
      <c r="E962" s="344"/>
      <c r="F962" s="10" t="b">
        <v>0</v>
      </c>
      <c r="G962" s="10"/>
      <c r="S962" s="105"/>
    </row>
    <row r="963">
      <c r="D963" s="344"/>
      <c r="E963" s="344"/>
      <c r="F963" s="10" t="b">
        <v>0</v>
      </c>
      <c r="G963" s="10"/>
      <c r="S963" s="105"/>
    </row>
    <row r="964">
      <c r="D964" s="344"/>
      <c r="E964" s="344"/>
      <c r="F964" s="10" t="b">
        <v>0</v>
      </c>
      <c r="G964" s="10"/>
      <c r="S964" s="105"/>
    </row>
    <row r="965">
      <c r="D965" s="344"/>
      <c r="E965" s="344"/>
      <c r="F965" s="10" t="b">
        <v>0</v>
      </c>
      <c r="G965" s="10"/>
      <c r="S965" s="105"/>
    </row>
    <row r="966">
      <c r="D966" s="344"/>
      <c r="E966" s="344"/>
      <c r="F966" s="10" t="b">
        <v>0</v>
      </c>
      <c r="G966" s="10"/>
      <c r="S966" s="105"/>
    </row>
    <row r="967">
      <c r="D967" s="344"/>
      <c r="E967" s="344"/>
      <c r="F967" s="10" t="b">
        <v>0</v>
      </c>
      <c r="G967" s="10"/>
      <c r="S967" s="105"/>
    </row>
    <row r="968">
      <c r="D968" s="344"/>
      <c r="E968" s="344"/>
      <c r="F968" s="10" t="b">
        <v>0</v>
      </c>
      <c r="G968" s="10"/>
      <c r="S968" s="105"/>
    </row>
    <row r="969">
      <c r="D969" s="344"/>
      <c r="E969" s="344"/>
      <c r="F969" s="10" t="b">
        <v>0</v>
      </c>
      <c r="G969" s="10"/>
      <c r="S969" s="105"/>
    </row>
    <row r="970">
      <c r="D970" s="344"/>
      <c r="E970" s="344"/>
      <c r="F970" s="10" t="b">
        <v>0</v>
      </c>
      <c r="G970" s="10"/>
      <c r="S970" s="105"/>
    </row>
    <row r="971">
      <c r="D971" s="344"/>
      <c r="E971" s="344"/>
      <c r="F971" s="10" t="b">
        <v>0</v>
      </c>
      <c r="G971" s="10"/>
      <c r="S971" s="105"/>
    </row>
    <row r="972">
      <c r="D972" s="344"/>
      <c r="E972" s="344"/>
      <c r="F972" s="10" t="b">
        <v>0</v>
      </c>
      <c r="G972" s="10"/>
      <c r="S972" s="105"/>
    </row>
    <row r="973">
      <c r="D973" s="344"/>
      <c r="E973" s="344"/>
      <c r="F973" s="10" t="b">
        <v>0</v>
      </c>
      <c r="G973" s="10"/>
      <c r="S973" s="105"/>
    </row>
    <row r="974">
      <c r="D974" s="344"/>
      <c r="E974" s="344"/>
      <c r="F974" s="10" t="b">
        <v>0</v>
      </c>
      <c r="G974" s="10"/>
      <c r="S974" s="105"/>
    </row>
    <row r="975">
      <c r="D975" s="344"/>
      <c r="E975" s="344"/>
      <c r="F975" s="10" t="b">
        <v>0</v>
      </c>
      <c r="G975" s="10"/>
      <c r="S975" s="105"/>
    </row>
    <row r="976">
      <c r="D976" s="344"/>
      <c r="E976" s="344"/>
      <c r="F976" s="10" t="b">
        <v>0</v>
      </c>
      <c r="G976" s="10"/>
      <c r="S976" s="105"/>
    </row>
    <row r="977">
      <c r="D977" s="344"/>
      <c r="E977" s="344"/>
      <c r="F977" s="10" t="b">
        <v>0</v>
      </c>
      <c r="G977" s="10"/>
      <c r="S977" s="105"/>
    </row>
    <row r="978">
      <c r="D978" s="344"/>
      <c r="E978" s="344"/>
      <c r="F978" s="10" t="b">
        <v>0</v>
      </c>
      <c r="G978" s="10"/>
      <c r="S978" s="105"/>
    </row>
    <row r="979">
      <c r="D979" s="344"/>
      <c r="E979" s="344"/>
      <c r="F979" s="10" t="b">
        <v>0</v>
      </c>
      <c r="G979" s="10"/>
      <c r="S979" s="105"/>
    </row>
    <row r="980">
      <c r="D980" s="344"/>
      <c r="E980" s="344"/>
      <c r="F980" s="10" t="b">
        <v>0</v>
      </c>
      <c r="G980" s="10"/>
      <c r="S980" s="105"/>
    </row>
    <row r="981">
      <c r="D981" s="344"/>
      <c r="E981" s="344"/>
      <c r="F981" s="10" t="b">
        <v>0</v>
      </c>
      <c r="G981" s="10"/>
      <c r="S981" s="105"/>
    </row>
    <row r="982">
      <c r="D982" s="344"/>
      <c r="E982" s="344"/>
      <c r="F982" s="10" t="b">
        <v>0</v>
      </c>
      <c r="G982" s="10"/>
      <c r="S982" s="105"/>
    </row>
    <row r="983">
      <c r="D983" s="344"/>
      <c r="E983" s="344"/>
      <c r="F983" s="10" t="b">
        <v>0</v>
      </c>
      <c r="G983" s="10"/>
      <c r="S983" s="105"/>
    </row>
    <row r="984">
      <c r="D984" s="344"/>
      <c r="E984" s="344"/>
      <c r="F984" s="10" t="b">
        <v>0</v>
      </c>
      <c r="G984" s="10"/>
      <c r="S984" s="105"/>
    </row>
    <row r="985">
      <c r="D985" s="344"/>
      <c r="E985" s="344"/>
      <c r="F985" s="10" t="b">
        <v>0</v>
      </c>
      <c r="G985" s="10"/>
      <c r="S985" s="105"/>
    </row>
    <row r="986">
      <c r="D986" s="344"/>
      <c r="E986" s="344"/>
      <c r="F986" s="10" t="b">
        <v>0</v>
      </c>
      <c r="G986" s="10"/>
      <c r="S986" s="105"/>
    </row>
    <row r="987">
      <c r="D987" s="344"/>
      <c r="E987" s="344"/>
      <c r="F987" s="10" t="b">
        <v>0</v>
      </c>
      <c r="G987" s="10"/>
      <c r="S987" s="105"/>
    </row>
    <row r="988">
      <c r="D988" s="344"/>
      <c r="E988" s="344"/>
      <c r="F988" s="10" t="b">
        <v>0</v>
      </c>
      <c r="G988" s="10"/>
      <c r="S988" s="105"/>
    </row>
    <row r="989">
      <c r="D989" s="344"/>
      <c r="E989" s="344"/>
      <c r="F989" s="10" t="b">
        <v>0</v>
      </c>
      <c r="G989" s="10"/>
      <c r="S989" s="105"/>
    </row>
    <row r="990">
      <c r="D990" s="344"/>
      <c r="E990" s="344"/>
      <c r="F990" s="10" t="b">
        <v>0</v>
      </c>
      <c r="G990" s="10"/>
      <c r="S990" s="105"/>
    </row>
    <row r="991">
      <c r="D991" s="344"/>
      <c r="E991" s="344"/>
      <c r="F991" s="10" t="b">
        <v>0</v>
      </c>
      <c r="G991" s="10"/>
      <c r="S991" s="105"/>
    </row>
    <row r="992">
      <c r="D992" s="344"/>
      <c r="E992" s="344"/>
      <c r="F992" s="10" t="b">
        <v>0</v>
      </c>
      <c r="G992" s="10"/>
      <c r="S992" s="105"/>
    </row>
    <row r="993">
      <c r="D993" s="344"/>
      <c r="E993" s="344"/>
      <c r="F993" s="10" t="b">
        <v>0</v>
      </c>
      <c r="G993" s="10"/>
      <c r="S993" s="105"/>
    </row>
    <row r="994">
      <c r="D994" s="344"/>
      <c r="E994" s="344"/>
      <c r="F994" s="10" t="b">
        <v>0</v>
      </c>
      <c r="G994" s="10"/>
      <c r="S994" s="105"/>
    </row>
    <row r="995">
      <c r="D995" s="344"/>
      <c r="E995" s="344"/>
      <c r="F995" s="10" t="b">
        <v>0</v>
      </c>
      <c r="G995" s="10"/>
      <c r="S995" s="105"/>
    </row>
    <row r="996">
      <c r="D996" s="344"/>
      <c r="E996" s="344"/>
      <c r="F996" s="10" t="b">
        <v>0</v>
      </c>
      <c r="G996" s="10"/>
      <c r="S996" s="105"/>
    </row>
    <row r="997">
      <c r="D997" s="344"/>
      <c r="E997" s="344"/>
      <c r="F997" s="10" t="b">
        <v>0</v>
      </c>
      <c r="G997" s="10"/>
      <c r="S997" s="105"/>
    </row>
    <row r="998">
      <c r="D998" s="344"/>
      <c r="E998" s="344"/>
      <c r="F998" s="10" t="b">
        <v>0</v>
      </c>
      <c r="G998" s="10"/>
      <c r="S998" s="105"/>
    </row>
    <row r="999">
      <c r="D999" s="344"/>
      <c r="E999" s="344"/>
      <c r="F999" s="10" t="b">
        <v>0</v>
      </c>
      <c r="G999" s="10"/>
      <c r="S999" s="105"/>
    </row>
    <row r="1000">
      <c r="D1000" s="344"/>
      <c r="E1000" s="344"/>
      <c r="F1000" s="10" t="b">
        <v>0</v>
      </c>
      <c r="G1000" s="10"/>
      <c r="S1000" s="105"/>
    </row>
    <row r="1001">
      <c r="S1001" s="105"/>
    </row>
    <row r="1002">
      <c r="S1002" s="105"/>
    </row>
    <row r="1003">
      <c r="S1003" s="105"/>
    </row>
    <row r="1004">
      <c r="S1004" s="105"/>
    </row>
    <row r="1005">
      <c r="S1005" s="105"/>
    </row>
    <row r="1006">
      <c r="S1006" s="105"/>
    </row>
    <row r="1007">
      <c r="S1007" s="105"/>
    </row>
    <row r="1008">
      <c r="S1008" s="105"/>
    </row>
    <row r="1009">
      <c r="S1009" s="105"/>
    </row>
    <row r="1010">
      <c r="S1010" s="105"/>
    </row>
    <row r="1011">
      <c r="S1011" s="105"/>
    </row>
    <row r="1012">
      <c r="S1012" s="105"/>
    </row>
    <row r="1013">
      <c r="S1013" s="105"/>
    </row>
    <row r="1014">
      <c r="S1014" s="105"/>
    </row>
    <row r="1015">
      <c r="S1015" s="105"/>
    </row>
    <row r="1016">
      <c r="S1016" s="105"/>
    </row>
    <row r="1017">
      <c r="S1017" s="105"/>
    </row>
    <row r="1018">
      <c r="S1018" s="105"/>
    </row>
    <row r="1019">
      <c r="S1019" s="105"/>
    </row>
    <row r="1020">
      <c r="S1020" s="105"/>
    </row>
    <row r="1021">
      <c r="S1021" s="105"/>
    </row>
    <row r="1022">
      <c r="S1022" s="105"/>
    </row>
    <row r="1023">
      <c r="S1023" s="105"/>
    </row>
    <row r="1024">
      <c r="S1024" s="105"/>
    </row>
    <row r="1025">
      <c r="S1025" s="105"/>
    </row>
    <row r="1026">
      <c r="S1026" s="105"/>
    </row>
    <row r="1027">
      <c r="S1027" s="105"/>
    </row>
    <row r="1028">
      <c r="S1028" s="105"/>
    </row>
    <row r="1029">
      <c r="S1029" s="105"/>
    </row>
    <row r="1030">
      <c r="S1030" s="105"/>
    </row>
    <row r="1031">
      <c r="S1031" s="105"/>
    </row>
    <row r="1032">
      <c r="S1032" s="105"/>
    </row>
    <row r="1033">
      <c r="S1033" s="105"/>
    </row>
    <row r="1034">
      <c r="S1034" s="105"/>
    </row>
    <row r="1035">
      <c r="S1035" s="105"/>
    </row>
    <row r="1036">
      <c r="S1036" s="105"/>
    </row>
    <row r="1037">
      <c r="S1037" s="105"/>
    </row>
    <row r="1038">
      <c r="S1038" s="105"/>
    </row>
    <row r="1039">
      <c r="S1039" s="105"/>
    </row>
    <row r="1040">
      <c r="S1040" s="105"/>
    </row>
    <row r="1041">
      <c r="S1041" s="105"/>
    </row>
    <row r="1042">
      <c r="S1042" s="105"/>
    </row>
    <row r="1043">
      <c r="S1043" s="105"/>
    </row>
    <row r="1044">
      <c r="S1044" s="105"/>
    </row>
    <row r="1045">
      <c r="S1045" s="105"/>
    </row>
    <row r="1046">
      <c r="S1046" s="105"/>
    </row>
    <row r="1047">
      <c r="S1047" s="105"/>
    </row>
    <row r="1048">
      <c r="S1048" s="105"/>
    </row>
    <row r="1049">
      <c r="S1049" s="105"/>
    </row>
    <row r="1050">
      <c r="S1050" s="105"/>
    </row>
    <row r="1051">
      <c r="S1051" s="105"/>
    </row>
    <row r="1052">
      <c r="S1052" s="105"/>
    </row>
    <row r="1053">
      <c r="S1053" s="105"/>
    </row>
    <row r="1054">
      <c r="S1054" s="105"/>
    </row>
    <row r="1055">
      <c r="S1055" s="105"/>
    </row>
    <row r="1056">
      <c r="S1056" s="105"/>
    </row>
    <row r="1057">
      <c r="S1057" s="105"/>
    </row>
    <row r="1058">
      <c r="S1058" s="105"/>
    </row>
    <row r="1059">
      <c r="S1059" s="105"/>
    </row>
    <row r="1060">
      <c r="S1060" s="105"/>
    </row>
    <row r="1061">
      <c r="S1061" s="105"/>
    </row>
    <row r="1062">
      <c r="S1062" s="105"/>
    </row>
    <row r="1063">
      <c r="S1063" s="105"/>
    </row>
    <row r="1064">
      <c r="S1064" s="105"/>
    </row>
    <row r="1065">
      <c r="S1065" s="105"/>
    </row>
    <row r="1066">
      <c r="S1066" s="105"/>
    </row>
    <row r="1067">
      <c r="S1067" s="105"/>
    </row>
    <row r="1068">
      <c r="S1068" s="105"/>
    </row>
    <row r="1069">
      <c r="S1069" s="105"/>
    </row>
    <row r="1070">
      <c r="S1070" s="105"/>
    </row>
    <row r="1071">
      <c r="S1071" s="105"/>
    </row>
    <row r="1072">
      <c r="S1072" s="105"/>
    </row>
    <row r="1073">
      <c r="S1073" s="105"/>
    </row>
    <row r="1074">
      <c r="S1074" s="105"/>
    </row>
    <row r="1075">
      <c r="S1075" s="105"/>
    </row>
    <row r="1076">
      <c r="S1076" s="105"/>
    </row>
    <row r="1077">
      <c r="S1077" s="105"/>
    </row>
    <row r="1078">
      <c r="S1078" s="105"/>
    </row>
    <row r="1079">
      <c r="S1079" s="105"/>
    </row>
    <row r="1080">
      <c r="S1080" s="105"/>
    </row>
    <row r="1081">
      <c r="S1081" s="105"/>
    </row>
    <row r="1082">
      <c r="S1082" s="105"/>
    </row>
    <row r="1083">
      <c r="S1083" s="105"/>
    </row>
    <row r="1084">
      <c r="S1084" s="105"/>
    </row>
    <row r="1085">
      <c r="S1085" s="105"/>
    </row>
    <row r="1086">
      <c r="S1086" s="105"/>
    </row>
    <row r="1087">
      <c r="S1087" s="105"/>
    </row>
    <row r="1088">
      <c r="S1088" s="105"/>
    </row>
    <row r="1089">
      <c r="S1089" s="105"/>
    </row>
    <row r="1090">
      <c r="S1090" s="105"/>
    </row>
    <row r="1091">
      <c r="S1091" s="105"/>
    </row>
    <row r="1092">
      <c r="S1092" s="105"/>
    </row>
    <row r="1093">
      <c r="S1093" s="105"/>
    </row>
    <row r="1094">
      <c r="S1094" s="105"/>
    </row>
    <row r="1095">
      <c r="S1095" s="105"/>
    </row>
    <row r="1096">
      <c r="S1096" s="105"/>
    </row>
    <row r="1097">
      <c r="S1097" s="105"/>
    </row>
    <row r="1098">
      <c r="S1098" s="105"/>
    </row>
    <row r="1099">
      <c r="S1099" s="105"/>
    </row>
    <row r="1100">
      <c r="S1100" s="105"/>
    </row>
    <row r="1101">
      <c r="S1101" s="105"/>
    </row>
    <row r="1102">
      <c r="S1102" s="105"/>
    </row>
    <row r="1103">
      <c r="S1103" s="105"/>
    </row>
    <row r="1104">
      <c r="S1104" s="105"/>
    </row>
    <row r="1105">
      <c r="S1105" s="105"/>
    </row>
    <row r="1106">
      <c r="S1106" s="105"/>
    </row>
    <row r="1107">
      <c r="S1107" s="105"/>
    </row>
    <row r="1108">
      <c r="S1108" s="105"/>
    </row>
    <row r="1109">
      <c r="S1109" s="105"/>
    </row>
    <row r="1110">
      <c r="S1110" s="105"/>
    </row>
    <row r="1111">
      <c r="S1111" s="105"/>
    </row>
    <row r="1112">
      <c r="S1112" s="105"/>
    </row>
    <row r="1113">
      <c r="S1113" s="105"/>
    </row>
    <row r="1114">
      <c r="S1114" s="105"/>
    </row>
    <row r="1115">
      <c r="S1115" s="105"/>
    </row>
    <row r="1116">
      <c r="S1116" s="105"/>
    </row>
    <row r="1117">
      <c r="S1117" s="105"/>
    </row>
    <row r="1118">
      <c r="S1118" s="105"/>
    </row>
    <row r="1119">
      <c r="S1119" s="105"/>
    </row>
    <row r="1120">
      <c r="S1120" s="105"/>
    </row>
    <row r="1121">
      <c r="S1121" s="105"/>
    </row>
    <row r="1122">
      <c r="S1122" s="105"/>
    </row>
    <row r="1123">
      <c r="S1123" s="105"/>
    </row>
    <row r="1124">
      <c r="S1124" s="105"/>
    </row>
    <row r="1125">
      <c r="S1125" s="105"/>
    </row>
    <row r="1126">
      <c r="S1126" s="105"/>
    </row>
    <row r="1127">
      <c r="S1127" s="105"/>
    </row>
    <row r="1128">
      <c r="S1128" s="105"/>
    </row>
    <row r="1129">
      <c r="S1129" s="105"/>
    </row>
    <row r="1130">
      <c r="S1130" s="105"/>
    </row>
    <row r="1131">
      <c r="S1131" s="105"/>
    </row>
    <row r="1132">
      <c r="S1132" s="105"/>
    </row>
    <row r="1133">
      <c r="S1133" s="105"/>
    </row>
    <row r="1134">
      <c r="S1134" s="105"/>
    </row>
    <row r="1135">
      <c r="S1135" s="105"/>
    </row>
    <row r="1136">
      <c r="S1136" s="105"/>
    </row>
    <row r="1137">
      <c r="S1137" s="105"/>
    </row>
    <row r="1138">
      <c r="S1138" s="105"/>
    </row>
    <row r="1139">
      <c r="S1139" s="105"/>
    </row>
    <row r="1140">
      <c r="S1140" s="105"/>
    </row>
    <row r="1141">
      <c r="S1141" s="105"/>
    </row>
    <row r="1142">
      <c r="S1142" s="105"/>
    </row>
    <row r="1143">
      <c r="S1143" s="105"/>
    </row>
    <row r="1144">
      <c r="S1144" s="105"/>
    </row>
    <row r="1145">
      <c r="S1145" s="105"/>
    </row>
    <row r="1146">
      <c r="S1146" s="105"/>
    </row>
    <row r="1147">
      <c r="S1147" s="105"/>
    </row>
    <row r="1148">
      <c r="S1148" s="105"/>
    </row>
    <row r="1149">
      <c r="S1149" s="105"/>
    </row>
    <row r="1150">
      <c r="S1150" s="105"/>
    </row>
    <row r="1151">
      <c r="S1151" s="105"/>
    </row>
    <row r="1152">
      <c r="S1152" s="105"/>
    </row>
    <row r="1153">
      <c r="S1153" s="105"/>
    </row>
    <row r="1154">
      <c r="S1154" s="105"/>
    </row>
    <row r="1155">
      <c r="S1155" s="105"/>
    </row>
    <row r="1156">
      <c r="S1156" s="105"/>
    </row>
    <row r="1157">
      <c r="S1157" s="105"/>
    </row>
    <row r="1158">
      <c r="S1158" s="105"/>
    </row>
    <row r="1159">
      <c r="S1159" s="105"/>
    </row>
    <row r="1160">
      <c r="S1160" s="105"/>
    </row>
    <row r="1161">
      <c r="S1161" s="105"/>
    </row>
    <row r="1162">
      <c r="S1162" s="105"/>
    </row>
    <row r="1163">
      <c r="S1163" s="105"/>
    </row>
    <row r="1164">
      <c r="S1164" s="105"/>
    </row>
    <row r="1165">
      <c r="S1165" s="105"/>
    </row>
    <row r="1166">
      <c r="S1166" s="105"/>
    </row>
    <row r="1167">
      <c r="S1167" s="105"/>
    </row>
    <row r="1168">
      <c r="S1168" s="105"/>
    </row>
    <row r="1169">
      <c r="S1169" s="105"/>
    </row>
    <row r="1170">
      <c r="S1170" s="105"/>
    </row>
    <row r="1171">
      <c r="S1171" s="105"/>
    </row>
    <row r="1172">
      <c r="S1172" s="105"/>
    </row>
    <row r="1173">
      <c r="S1173" s="105"/>
    </row>
    <row r="1174">
      <c r="S1174" s="105"/>
    </row>
    <row r="1175">
      <c r="S1175" s="105"/>
    </row>
    <row r="1176">
      <c r="S1176" s="105"/>
    </row>
    <row r="1177">
      <c r="S1177" s="105"/>
    </row>
    <row r="1178">
      <c r="S1178" s="105"/>
    </row>
    <row r="1179">
      <c r="S1179" s="105"/>
    </row>
    <row r="1180">
      <c r="S1180" s="105"/>
    </row>
    <row r="1181">
      <c r="S1181" s="105"/>
    </row>
    <row r="1182">
      <c r="S1182" s="105"/>
    </row>
    <row r="1183">
      <c r="S1183" s="105"/>
    </row>
    <row r="1184">
      <c r="S1184" s="105"/>
    </row>
    <row r="1185">
      <c r="S1185" s="105"/>
    </row>
    <row r="1186">
      <c r="S1186" s="105"/>
    </row>
    <row r="1187">
      <c r="S1187" s="105"/>
    </row>
    <row r="1188">
      <c r="S1188" s="105"/>
    </row>
    <row r="1189">
      <c r="S1189" s="105"/>
    </row>
    <row r="1190">
      <c r="S1190" s="105"/>
    </row>
    <row r="1191">
      <c r="S1191" s="105"/>
    </row>
    <row r="1192">
      <c r="S1192" s="105"/>
    </row>
    <row r="1193">
      <c r="S1193" s="105"/>
    </row>
    <row r="1194">
      <c r="S1194" s="105"/>
    </row>
    <row r="1195">
      <c r="S1195" s="105"/>
    </row>
    <row r="1196">
      <c r="S1196" s="105"/>
    </row>
    <row r="1197">
      <c r="S1197" s="105"/>
    </row>
    <row r="1198">
      <c r="S1198" s="105"/>
    </row>
    <row r="1199">
      <c r="S1199" s="105"/>
    </row>
    <row r="1200">
      <c r="S1200" s="105"/>
    </row>
    <row r="1201">
      <c r="S1201" s="105"/>
    </row>
    <row r="1202">
      <c r="S1202" s="105"/>
    </row>
    <row r="1203">
      <c r="S1203" s="105"/>
    </row>
    <row r="1204">
      <c r="S1204" s="105"/>
    </row>
    <row r="1205">
      <c r="S1205" s="105"/>
    </row>
    <row r="1206">
      <c r="S1206" s="105"/>
    </row>
    <row r="1207">
      <c r="S1207" s="105"/>
    </row>
    <row r="1208">
      <c r="S1208" s="105"/>
    </row>
    <row r="1209">
      <c r="S1209" s="105"/>
    </row>
    <row r="1210">
      <c r="S1210" s="105"/>
    </row>
    <row r="1211">
      <c r="S1211" s="105"/>
    </row>
    <row r="1212">
      <c r="S1212" s="105"/>
    </row>
    <row r="1213">
      <c r="S1213" s="105"/>
    </row>
    <row r="1214">
      <c r="S1214" s="105"/>
    </row>
    <row r="1215">
      <c r="S1215" s="105"/>
    </row>
    <row r="1216">
      <c r="S1216" s="105"/>
    </row>
    <row r="1217">
      <c r="S1217" s="105"/>
    </row>
    <row r="1218">
      <c r="S1218" s="105"/>
    </row>
    <row r="1219">
      <c r="S1219" s="105"/>
    </row>
    <row r="1220">
      <c r="S1220" s="105"/>
    </row>
    <row r="1221">
      <c r="S1221" s="105"/>
    </row>
    <row r="1222">
      <c r="S1222" s="105"/>
    </row>
    <row r="1223">
      <c r="S1223" s="105"/>
    </row>
    <row r="1224">
      <c r="S1224" s="105"/>
    </row>
    <row r="1225">
      <c r="S1225" s="105"/>
    </row>
  </sheetData>
  <autoFilter ref="$D$1:$G$1001">
    <sortState ref="D1:G1001">
      <sortCondition ref="D1:D1001"/>
    </sortState>
  </autoFilter>
  <customSheetViews>
    <customSheetView guid="{DD18001A-5681-4CFB-A399-255188CC54E6}" filter="1" showAutoFilter="1">
      <autoFilter ref="$A$1:$B$401"/>
    </customSheetView>
  </customSheetView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2.63"/>
    <col customWidth="1" min="3" max="3" width="67.5"/>
    <col customWidth="1" min="7" max="7" width="25.63"/>
  </cols>
  <sheetData>
    <row r="1">
      <c r="D1" s="349"/>
      <c r="E1" s="235"/>
      <c r="J1" s="350"/>
      <c r="K1" s="350"/>
      <c r="L1" s="350" t="s">
        <v>2505</v>
      </c>
      <c r="M1" s="351"/>
    </row>
    <row r="2">
      <c r="A2" s="1" t="s">
        <v>2506</v>
      </c>
      <c r="B2" s="350" t="s">
        <v>2507</v>
      </c>
      <c r="C2" s="350" t="s">
        <v>2508</v>
      </c>
      <c r="D2" s="352" t="s">
        <v>2509</v>
      </c>
      <c r="E2" s="353" t="s">
        <v>2510</v>
      </c>
      <c r="F2" s="350" t="s">
        <v>2511</v>
      </c>
      <c r="G2" s="350" t="s">
        <v>2512</v>
      </c>
      <c r="H2" s="350" t="s">
        <v>2513</v>
      </c>
      <c r="J2" s="350"/>
      <c r="K2" s="350" t="s">
        <v>2508</v>
      </c>
      <c r="L2" s="350" t="s">
        <v>2514</v>
      </c>
      <c r="M2" s="350" t="s">
        <v>2515</v>
      </c>
    </row>
    <row r="3">
      <c r="A3" s="225" t="str">
        <f t="shared" ref="A3:A64" si="1">VLOOKUP(B3,Pessoal1!$A$7:$C$31,2,FALSE)</f>
        <v>#REF!</v>
      </c>
      <c r="B3" s="354" t="s">
        <v>2516</v>
      </c>
      <c r="C3" s="354" t="s">
        <v>2517</v>
      </c>
      <c r="D3" s="355">
        <f>IFERROR(__xludf.DUMMYFUNCTION("IFERROR(SUM(filter(Trabalho!H:H,Trabalho!$B:$B=$B3,Trabalho!$A:$A=$C3,Trabalho!$K:$K=TRUE)))*24"),0.0)</f>
        <v>0</v>
      </c>
      <c r="E3" s="356" t="str">
        <f>IFERROR(__xludf.DUMMYFUNCTION("IFERROR(SUM(filter(#REF!,Trabalho!$B:$B=$B3,Trabalho!$A:$A=$C3,Trabalho!$K:$K=TRUE)))"),"")</f>
        <v/>
      </c>
      <c r="F3" s="354" t="str">
        <f t="shared" ref="F3:F64" si="2">VLOOKUP(B3,Pessoal1!$A$7:$V$31,21,FALSE)</f>
        <v>#REF!</v>
      </c>
      <c r="G3" s="354" t="str">
        <f>vlookup(B3,Pessoal1!$A$7:$V$26,4,false)</f>
        <v>#REF!</v>
      </c>
      <c r="H3" s="354" t="str">
        <f t="shared" ref="H3:H64" si="3">VLOOKUP(B3,Pessoal1!$A$7:$V$31,5,FALSE)</f>
        <v>#REF!</v>
      </c>
      <c r="K3" s="225" t="s">
        <v>2517</v>
      </c>
    </row>
    <row r="4">
      <c r="A4" s="225" t="str">
        <f t="shared" si="1"/>
        <v>#REF!</v>
      </c>
      <c r="B4" s="354" t="s">
        <v>2518</v>
      </c>
      <c r="C4" s="354" t="s">
        <v>2517</v>
      </c>
      <c r="D4" s="355">
        <f>IFERROR(__xludf.DUMMYFUNCTION("IFERROR(SUM(filter(Trabalho!H:H,Trabalho!$B:$B=$B4,Trabalho!$A:$A=$C4,Trabalho!$K:$K=TRUE)))*24"),0.0)</f>
        <v>0</v>
      </c>
      <c r="E4" s="356" t="str">
        <f>IFERROR(__xludf.DUMMYFUNCTION("IFERROR(SUM(filter(#REF!,Trabalho!$B:$B=$B4,Trabalho!$A:$A=$C4,Trabalho!$K:$K=TRUE)))"),"")</f>
        <v/>
      </c>
      <c r="F4" s="354" t="str">
        <f t="shared" si="2"/>
        <v>#REF!</v>
      </c>
      <c r="G4" s="354" t="str">
        <f t="shared" ref="G4:G13" si="4">VLOOKUP(B4,Pessoal1!$A$7:$V$31,4,FALSE)</f>
        <v>#REF!</v>
      </c>
      <c r="H4" s="354" t="str">
        <f t="shared" si="3"/>
        <v>#REF!</v>
      </c>
      <c r="K4" s="225" t="s">
        <v>2519</v>
      </c>
    </row>
    <row r="5">
      <c r="A5" s="225" t="str">
        <f t="shared" si="1"/>
        <v>#REF!</v>
      </c>
      <c r="B5" s="354" t="s">
        <v>2520</v>
      </c>
      <c r="C5" s="354" t="s">
        <v>2517</v>
      </c>
      <c r="D5" s="355">
        <f>IFERROR(__xludf.DUMMYFUNCTION("IFERROR(SUM(filter(Trabalho!H:H,Trabalho!$B:$B=$B5,Trabalho!$A:$A=$C5,Trabalho!$K:$K=TRUE)))*24"),0.0)</f>
        <v>0</v>
      </c>
      <c r="E5" s="356" t="str">
        <f>IFERROR(__xludf.DUMMYFUNCTION("IFERROR(SUM(filter(#REF!,Trabalho!$B:$B=$B5,Trabalho!$A:$A=$C5,Trabalho!$K:$K=TRUE)))"),"")</f>
        <v/>
      </c>
      <c r="F5" s="354" t="str">
        <f t="shared" si="2"/>
        <v>#REF!</v>
      </c>
      <c r="G5" s="354" t="str">
        <f t="shared" si="4"/>
        <v>#REF!</v>
      </c>
      <c r="H5" s="354" t="str">
        <f t="shared" si="3"/>
        <v>#REF!</v>
      </c>
      <c r="K5" s="225" t="s">
        <v>2521</v>
      </c>
    </row>
    <row r="6">
      <c r="A6" s="225" t="str">
        <f t="shared" si="1"/>
        <v>#REF!</v>
      </c>
      <c r="B6" s="354" t="s">
        <v>809</v>
      </c>
      <c r="C6" s="354" t="s">
        <v>2517</v>
      </c>
      <c r="D6" s="355">
        <f>IFERROR(__xludf.DUMMYFUNCTION("IFERROR(SUM(filter(Trabalho!H:H,Trabalho!$B:$B=$B6,Trabalho!$A:$A=$C6,Trabalho!$K:$K=TRUE)))*24"),0.0)</f>
        <v>0</v>
      </c>
      <c r="E6" s="356" t="str">
        <f>IFERROR(__xludf.DUMMYFUNCTION("IFERROR(SUM(filter(#REF!,Trabalho!$B:$B=$B6,Trabalho!$A:$A=$C6,Trabalho!$K:$K=TRUE)))"),"")</f>
        <v/>
      </c>
      <c r="F6" s="354" t="str">
        <f t="shared" si="2"/>
        <v>#REF!</v>
      </c>
      <c r="G6" s="354" t="str">
        <f t="shared" si="4"/>
        <v>#REF!</v>
      </c>
      <c r="H6" s="354" t="str">
        <f t="shared" si="3"/>
        <v>#REF!</v>
      </c>
      <c r="K6" s="225" t="s">
        <v>2522</v>
      </c>
    </row>
    <row r="7">
      <c r="A7" s="225" t="str">
        <f t="shared" si="1"/>
        <v>#REF!</v>
      </c>
      <c r="B7" s="225" t="s">
        <v>2523</v>
      </c>
      <c r="C7" s="225" t="s">
        <v>2519</v>
      </c>
      <c r="D7" s="349">
        <f>IFERROR(__xludf.DUMMYFUNCTION("IFERROR(SUM(filter(Trabalho!H:H,Trabalho!$B:$B=$B7,Trabalho!$A:$A=$C7,Trabalho!$K:$K=TRUE)))*24"),0.0)</f>
        <v>0</v>
      </c>
      <c r="E7" s="357" t="str">
        <f>IFERROR(__xludf.DUMMYFUNCTION("IFERROR(SUM(filter(#REF!,Trabalho!$B:$B=$B7,Trabalho!$A:$A=$C7,Trabalho!$K:$K=TRUE)))"),"")</f>
        <v/>
      </c>
      <c r="F7" s="225" t="str">
        <f t="shared" si="2"/>
        <v>#REF!</v>
      </c>
      <c r="G7" s="225" t="str">
        <f t="shared" si="4"/>
        <v>#REF!</v>
      </c>
      <c r="H7" s="225" t="str">
        <f t="shared" si="3"/>
        <v>#REF!</v>
      </c>
      <c r="K7" s="225" t="s">
        <v>2524</v>
      </c>
    </row>
    <row r="8">
      <c r="A8" s="225" t="str">
        <f t="shared" si="1"/>
        <v>#REF!</v>
      </c>
      <c r="B8" s="358" t="s">
        <v>2525</v>
      </c>
      <c r="C8" s="358" t="s">
        <v>2521</v>
      </c>
      <c r="D8" s="359">
        <f>IFERROR(__xludf.DUMMYFUNCTION("IFERROR(SUM(filter(Trabalho!H:H,Trabalho!$B:$B=$B8,Trabalho!$A:$A=$C8,Trabalho!$K:$K=TRUE)))*24"),0.0)</f>
        <v>0</v>
      </c>
      <c r="E8" s="360" t="str">
        <f>IFERROR(__xludf.DUMMYFUNCTION("IFERROR(SUM(filter(#REF!,Trabalho!$B:$B=$B8,Trabalho!$A:$A=$C8,Trabalho!$K:$K=TRUE)))"),"")</f>
        <v/>
      </c>
      <c r="F8" s="358" t="str">
        <f t="shared" si="2"/>
        <v>#REF!</v>
      </c>
      <c r="G8" s="358" t="str">
        <f t="shared" si="4"/>
        <v>#REF!</v>
      </c>
      <c r="H8" s="358" t="str">
        <f t="shared" si="3"/>
        <v>#REF!</v>
      </c>
      <c r="K8" s="225" t="s">
        <v>2526</v>
      </c>
    </row>
    <row r="9">
      <c r="A9" s="225" t="str">
        <f t="shared" si="1"/>
        <v>#REF!</v>
      </c>
      <c r="B9" s="358" t="s">
        <v>2527</v>
      </c>
      <c r="C9" s="358" t="s">
        <v>2521</v>
      </c>
      <c r="D9" s="359">
        <f>IFERROR(__xludf.DUMMYFUNCTION("IFERROR(SUM(filter(Trabalho!H:H,Trabalho!$B:$B=$B9,Trabalho!$A:$A=$C9,Trabalho!$K:$K=TRUE)))*24"),0.0)</f>
        <v>0</v>
      </c>
      <c r="E9" s="360" t="str">
        <f>IFERROR(__xludf.DUMMYFUNCTION("IFERROR(SUM(filter(#REF!,Trabalho!$B:$B=$B9,Trabalho!$A:$A=$C9,Trabalho!$K:$K=TRUE)))"),"")</f>
        <v/>
      </c>
      <c r="F9" s="358" t="str">
        <f t="shared" si="2"/>
        <v>#REF!</v>
      </c>
      <c r="G9" s="358" t="str">
        <f t="shared" si="4"/>
        <v>#REF!</v>
      </c>
      <c r="H9" s="358" t="str">
        <f t="shared" si="3"/>
        <v>#REF!</v>
      </c>
      <c r="K9" s="225" t="s">
        <v>2528</v>
      </c>
    </row>
    <row r="10">
      <c r="A10" s="225" t="str">
        <f t="shared" si="1"/>
        <v>#REF!</v>
      </c>
      <c r="B10" s="358" t="s">
        <v>809</v>
      </c>
      <c r="C10" s="358" t="s">
        <v>2521</v>
      </c>
      <c r="D10" s="359">
        <f>IFERROR(__xludf.DUMMYFUNCTION("IFERROR(SUM(filter(Trabalho!H:H,Trabalho!$B:$B=$B10,Trabalho!$A:$A=$C10,Trabalho!$K:$K=TRUE)))*24"),0.0)</f>
        <v>0</v>
      </c>
      <c r="E10" s="360" t="str">
        <f>IFERROR(__xludf.DUMMYFUNCTION("IFERROR(SUM(filter(#REF!,Trabalho!$B:$B=$B10,Trabalho!$A:$A=$C10,Trabalho!$K:$K=TRUE)))"),"")</f>
        <v/>
      </c>
      <c r="F10" s="358" t="str">
        <f t="shared" si="2"/>
        <v>#REF!</v>
      </c>
      <c r="G10" s="358" t="str">
        <f t="shared" si="4"/>
        <v>#REF!</v>
      </c>
      <c r="H10" s="358" t="str">
        <f t="shared" si="3"/>
        <v>#REF!</v>
      </c>
      <c r="K10" s="225" t="s">
        <v>2529</v>
      </c>
    </row>
    <row r="11">
      <c r="A11" s="225" t="str">
        <f t="shared" si="1"/>
        <v>#REF!</v>
      </c>
      <c r="B11" s="358" t="s">
        <v>800</v>
      </c>
      <c r="C11" s="358" t="s">
        <v>2521</v>
      </c>
      <c r="D11" s="359">
        <f>IFERROR(__xludf.DUMMYFUNCTION("IFERROR(SUM(filter(Trabalho!H:H,Trabalho!$B:$B=$B11,Trabalho!$A:$A=$C11,Trabalho!$K:$K=TRUE)))*24"),0.0)</f>
        <v>0</v>
      </c>
      <c r="E11" s="360" t="str">
        <f>IFERROR(__xludf.DUMMYFUNCTION("IFERROR(SUM(filter(#REF!,Trabalho!$B:$B=$B11,Trabalho!$A:$A=$C11,Trabalho!$K:$K=TRUE)))"),"")</f>
        <v/>
      </c>
      <c r="F11" s="358" t="str">
        <f t="shared" si="2"/>
        <v>#REF!</v>
      </c>
      <c r="G11" s="358" t="str">
        <f t="shared" si="4"/>
        <v>#REF!</v>
      </c>
      <c r="H11" s="358" t="str">
        <f t="shared" si="3"/>
        <v>#REF!</v>
      </c>
      <c r="K11" s="225" t="s">
        <v>2530</v>
      </c>
    </row>
    <row r="12">
      <c r="A12" s="225" t="str">
        <f t="shared" si="1"/>
        <v>#REF!</v>
      </c>
      <c r="B12" s="225" t="s">
        <v>805</v>
      </c>
      <c r="C12" s="225" t="s">
        <v>2522</v>
      </c>
      <c r="D12" s="349">
        <f>IFERROR(__xludf.DUMMYFUNCTION("IFERROR(SUM(filter(Trabalho!H:H,Trabalho!$B:$B=$B12,Trabalho!$A:$A=$C12,Trabalho!$K:$K=TRUE)))*24"),0.0)</f>
        <v>0</v>
      </c>
      <c r="E12" s="357" t="str">
        <f>IFERROR(__xludf.DUMMYFUNCTION("IFERROR(SUM(filter(#REF!,Trabalho!$B:$B=$B12,Trabalho!$A:$A=$C12,Trabalho!$K:$K=TRUE)))"),"")</f>
        <v/>
      </c>
      <c r="F12" s="225" t="str">
        <f t="shared" si="2"/>
        <v>#REF!</v>
      </c>
      <c r="G12" s="225" t="str">
        <f t="shared" si="4"/>
        <v>#REF!</v>
      </c>
      <c r="H12" s="225" t="str">
        <f t="shared" si="3"/>
        <v>#REF!</v>
      </c>
      <c r="K12" s="225" t="s">
        <v>2531</v>
      </c>
    </row>
    <row r="13">
      <c r="A13" s="225" t="str">
        <f t="shared" si="1"/>
        <v>#REF!</v>
      </c>
      <c r="B13" s="225" t="s">
        <v>2532</v>
      </c>
      <c r="C13" s="225" t="s">
        <v>2522</v>
      </c>
      <c r="D13" s="349">
        <f>IFERROR(__xludf.DUMMYFUNCTION("IFERROR(SUM(filter(Trabalho!H:H,Trabalho!$B:$B=$B13,Trabalho!$A:$A=$C13,Trabalho!$K:$K=TRUE)))*24"),0.0)</f>
        <v>0</v>
      </c>
      <c r="E13" s="357" t="str">
        <f>IFERROR(__xludf.DUMMYFUNCTION("IFERROR(SUM(filter(#REF!,Trabalho!$B:$B=$B13,Trabalho!$A:$A=$C13,Trabalho!$K:$K=TRUE)))"),"")</f>
        <v/>
      </c>
      <c r="F13" s="225" t="str">
        <f t="shared" si="2"/>
        <v>#REF!</v>
      </c>
      <c r="G13" s="225" t="str">
        <f t="shared" si="4"/>
        <v>#REF!</v>
      </c>
      <c r="H13" s="225" t="str">
        <f t="shared" si="3"/>
        <v>#REF!</v>
      </c>
      <c r="K13" s="225" t="s">
        <v>2533</v>
      </c>
    </row>
    <row r="14">
      <c r="A14" s="225" t="str">
        <f t="shared" si="1"/>
        <v>#REF!</v>
      </c>
      <c r="B14" s="361" t="s">
        <v>2534</v>
      </c>
      <c r="C14" s="361" t="s">
        <v>2524</v>
      </c>
      <c r="D14" s="362">
        <f>IFERROR(__xludf.DUMMYFUNCTION("IFERROR(SUM(filter(Trabalho!H:H,Trabalho!$B:$B=$B14,Trabalho!$A:$A=$C14,Trabalho!$K:$K=TRUE)))*24"),0.0)</f>
        <v>0</v>
      </c>
      <c r="E14" s="363" t="str">
        <f>IFERROR(__xludf.DUMMYFUNCTION("sum(filter(#REF!,Trabalho!$B:$B=$B14,Trabalho!$A:$A=$C14,Trabalho!$K:$K=TRUE))"),"#REF!")</f>
        <v>#REF!</v>
      </c>
      <c r="F14" s="361" t="str">
        <f t="shared" si="2"/>
        <v>#REF!</v>
      </c>
      <c r="G14" s="361" t="str">
        <f t="shared" ref="G14:G17" si="5">vlookup(B14,Pessoal1!$A$7:$V$26,4,false)</f>
        <v>#REF!</v>
      </c>
      <c r="H14" s="361" t="str">
        <f t="shared" si="3"/>
        <v>#REF!</v>
      </c>
      <c r="K14" s="225" t="s">
        <v>2535</v>
      </c>
    </row>
    <row r="15">
      <c r="A15" s="225" t="str">
        <f t="shared" si="1"/>
        <v>#REF!</v>
      </c>
      <c r="B15" s="361" t="s">
        <v>2536</v>
      </c>
      <c r="C15" s="361" t="s">
        <v>2524</v>
      </c>
      <c r="D15" s="362">
        <f>IFERROR(__xludf.DUMMYFUNCTION("IFERROR(SUM(filter(Trabalho!H:H,Trabalho!$B:$B=$B15,Trabalho!$A:$A=$C15,Trabalho!$K:$K=TRUE)))*24"),0.0)</f>
        <v>0</v>
      </c>
      <c r="E15" s="363" t="str">
        <f>IFERROR(__xludf.DUMMYFUNCTION("IFERROR(SUM(filter(#REF!,Trabalho!$B:$B=$B15,Trabalho!$A:$A=$C15,Trabalho!$K:$K=TRUE)))"),"")</f>
        <v/>
      </c>
      <c r="F15" s="361" t="str">
        <f t="shared" si="2"/>
        <v>#REF!</v>
      </c>
      <c r="G15" s="361" t="str">
        <f t="shared" si="5"/>
        <v>#REF!</v>
      </c>
      <c r="H15" s="361" t="str">
        <f t="shared" si="3"/>
        <v>#REF!</v>
      </c>
      <c r="K15" s="225" t="s">
        <v>2537</v>
      </c>
    </row>
    <row r="16">
      <c r="A16" s="225" t="str">
        <f t="shared" si="1"/>
        <v>#REF!</v>
      </c>
      <c r="B16" s="361" t="s">
        <v>797</v>
      </c>
      <c r="C16" s="361" t="s">
        <v>2524</v>
      </c>
      <c r="D16" s="362">
        <f>IFERROR(__xludf.DUMMYFUNCTION("IFERROR(SUM(filter(Trabalho!H:H,Trabalho!$B:$B=$B16,Trabalho!$A:$A=$C16,Trabalho!$K:$K=TRUE)))*24"),0.0)</f>
        <v>0</v>
      </c>
      <c r="E16" s="363" t="str">
        <f>IFERROR(__xludf.DUMMYFUNCTION("IFERROR(SUM(filter(#REF!,Trabalho!$B:$B=$B16,Trabalho!$A:$A=$C16,Trabalho!$K:$K=TRUE)))"),"")</f>
        <v/>
      </c>
      <c r="F16" s="361" t="str">
        <f t="shared" si="2"/>
        <v>#REF!</v>
      </c>
      <c r="G16" s="361" t="str">
        <f t="shared" si="5"/>
        <v>#REF!</v>
      </c>
      <c r="H16" s="361" t="str">
        <f t="shared" si="3"/>
        <v>#REF!</v>
      </c>
      <c r="K16" s="225" t="s">
        <v>2538</v>
      </c>
    </row>
    <row r="17">
      <c r="A17" s="225" t="str">
        <f t="shared" si="1"/>
        <v>#REF!</v>
      </c>
      <c r="B17" s="361" t="s">
        <v>801</v>
      </c>
      <c r="C17" s="361" t="s">
        <v>2524</v>
      </c>
      <c r="D17" s="362">
        <f>IFERROR(__xludf.DUMMYFUNCTION("IFERROR(SUM(filter(Trabalho!H:H,Trabalho!$B:$B=$B17,Trabalho!$A:$A=$C17,Trabalho!$K:$K=TRUE)))*24"),0.0)</f>
        <v>0</v>
      </c>
      <c r="E17" s="363" t="str">
        <f>IFERROR(__xludf.DUMMYFUNCTION("IFERROR(SUM(filter(#REF!,Trabalho!$B:$B=$B17,Trabalho!$A:$A=$C17,Trabalho!$K:$K=TRUE)))"),"")</f>
        <v/>
      </c>
      <c r="F17" s="361" t="str">
        <f t="shared" si="2"/>
        <v>#REF!</v>
      </c>
      <c r="G17" s="361" t="str">
        <f t="shared" si="5"/>
        <v>#REF!</v>
      </c>
      <c r="H17" s="361" t="str">
        <f t="shared" si="3"/>
        <v>#REF!</v>
      </c>
      <c r="K17" s="225" t="s">
        <v>2539</v>
      </c>
    </row>
    <row r="18">
      <c r="A18" s="225" t="str">
        <f t="shared" si="1"/>
        <v>#REF!</v>
      </c>
      <c r="B18" s="361" t="s">
        <v>2525</v>
      </c>
      <c r="C18" s="361" t="s">
        <v>2524</v>
      </c>
      <c r="D18" s="362">
        <f>IFERROR(__xludf.DUMMYFUNCTION("IFERROR(SUM(filter(Trabalho!H:H,Trabalho!$B:$B=$B18,Trabalho!$A:$A=$C18,Trabalho!$K:$K=TRUE)))*24"),0.0)</f>
        <v>0</v>
      </c>
      <c r="E18" s="363" t="str">
        <f>IFERROR(__xludf.DUMMYFUNCTION("IFERROR(SUM(filter(#REF!,Trabalho!$B:$B=$B18,Trabalho!$A:$A=$C18,Trabalho!$K:$K=TRUE)))"),"")</f>
        <v/>
      </c>
      <c r="F18" s="361" t="str">
        <f t="shared" si="2"/>
        <v>#REF!</v>
      </c>
      <c r="G18" s="361" t="str">
        <f t="shared" ref="G18:G19" si="6">VLOOKUP(B18,Pessoal1!$A$7:$V$31,4,FALSE)</f>
        <v>#REF!</v>
      </c>
      <c r="H18" s="361" t="str">
        <f t="shared" si="3"/>
        <v>#REF!</v>
      </c>
      <c r="K18" s="225" t="s">
        <v>2540</v>
      </c>
    </row>
    <row r="19">
      <c r="A19" s="225" t="str">
        <f t="shared" si="1"/>
        <v>#REF!</v>
      </c>
      <c r="B19" s="361" t="s">
        <v>2518</v>
      </c>
      <c r="C19" s="361" t="s">
        <v>2524</v>
      </c>
      <c r="D19" s="362">
        <f>IFERROR(__xludf.DUMMYFUNCTION("IFERROR(SUM(filter(Trabalho!H:H,Trabalho!$B:$B=$B19,Trabalho!$A:$A=$C19,Trabalho!$K:$K=TRUE)))*24"),0.0)</f>
        <v>0</v>
      </c>
      <c r="E19" s="363" t="str">
        <f>IFERROR(__xludf.DUMMYFUNCTION("IFERROR(SUM(filter(#REF!,Trabalho!$B:$B=$B19,Trabalho!$A:$A=$C19,Trabalho!$K:$K=TRUE)))"),"")</f>
        <v/>
      </c>
      <c r="F19" s="361" t="str">
        <f t="shared" si="2"/>
        <v>#REF!</v>
      </c>
      <c r="G19" s="361" t="str">
        <f t="shared" si="6"/>
        <v>#REF!</v>
      </c>
      <c r="H19" s="361" t="str">
        <f t="shared" si="3"/>
        <v>#REF!</v>
      </c>
      <c r="K19" s="225" t="s">
        <v>2541</v>
      </c>
    </row>
    <row r="20">
      <c r="A20" s="225" t="str">
        <f t="shared" si="1"/>
        <v>#REF!</v>
      </c>
      <c r="B20" s="225" t="s">
        <v>797</v>
      </c>
      <c r="C20" s="225" t="s">
        <v>2526</v>
      </c>
      <c r="D20" s="349">
        <f>IFERROR(__xludf.DUMMYFUNCTION("IFERROR(SUM(filter(Trabalho!H:H,Trabalho!$B:$B=$B20,Trabalho!$A:$A=$C20,Trabalho!$K:$K=TRUE)))*24"),0.0)</f>
        <v>0</v>
      </c>
      <c r="E20" s="357" t="str">
        <f>IFERROR(__xludf.DUMMYFUNCTION("IFERROR(SUM(filter(#REF!,Trabalho!$B:$B=$B20,Trabalho!$A:$A=$C20,Trabalho!$K:$K=TRUE)))"),"")</f>
        <v/>
      </c>
      <c r="F20" s="225" t="str">
        <f t="shared" si="2"/>
        <v>#REF!</v>
      </c>
      <c r="G20" s="225" t="str">
        <f>vlookup(B20,Pessoal1!$A$7:$V$26,4,false)</f>
        <v>#REF!</v>
      </c>
      <c r="H20" s="225" t="str">
        <f t="shared" si="3"/>
        <v>#REF!</v>
      </c>
      <c r="K20" s="225" t="s">
        <v>2542</v>
      </c>
    </row>
    <row r="21">
      <c r="A21" s="225" t="str">
        <f t="shared" si="1"/>
        <v>#REF!</v>
      </c>
      <c r="B21" s="225" t="s">
        <v>2520</v>
      </c>
      <c r="C21" s="225" t="s">
        <v>2526</v>
      </c>
      <c r="D21" s="349">
        <f>IFERROR(__xludf.DUMMYFUNCTION("IFERROR(SUM(filter(Trabalho!H:H,Trabalho!$B:$B=$B21,Trabalho!$A:$A=$C21,Trabalho!$K:$K=TRUE)))*24"),0.0)</f>
        <v>0</v>
      </c>
      <c r="E21" s="357" t="str">
        <f>IFERROR(__xludf.DUMMYFUNCTION("IFERROR(SUM(filter(#REF!,Trabalho!$B:$B=$B21,Trabalho!$A:$A=$C21,Trabalho!$K:$K=TRUE)))"),"")</f>
        <v/>
      </c>
      <c r="F21" s="225" t="str">
        <f t="shared" si="2"/>
        <v>#REF!</v>
      </c>
      <c r="G21" s="225" t="str">
        <f t="shared" ref="G21:G22" si="7">VLOOKUP(B21,Pessoal1!$A$7:$V$31,4,FALSE)</f>
        <v>#REF!</v>
      </c>
      <c r="H21" s="225" t="str">
        <f t="shared" si="3"/>
        <v>#REF!</v>
      </c>
      <c r="K21" s="225" t="s">
        <v>2543</v>
      </c>
    </row>
    <row r="22">
      <c r="A22" s="225" t="str">
        <f t="shared" si="1"/>
        <v>#REF!</v>
      </c>
      <c r="B22" s="364" t="s">
        <v>2544</v>
      </c>
      <c r="C22" s="364" t="s">
        <v>2528</v>
      </c>
      <c r="D22" s="365">
        <f>IFERROR(__xludf.DUMMYFUNCTION("IFERROR(SUM(filter(Trabalho!H:H,Trabalho!$B:$B=$B22,Trabalho!$A:$A=$C22,Trabalho!$K:$K=TRUE)))*24"),0.0)</f>
        <v>0</v>
      </c>
      <c r="E22" s="366" t="str">
        <f>IFERROR(__xludf.DUMMYFUNCTION("sum(filter(#REF!,Trabalho!$B:$B=$B22,Trabalho!$A:$A=$C22,Trabalho!$K:$K=TRUE))"),"#REF!")</f>
        <v>#REF!</v>
      </c>
      <c r="F22" s="364" t="str">
        <f t="shared" si="2"/>
        <v>#REF!</v>
      </c>
      <c r="G22" s="364" t="str">
        <f t="shared" si="7"/>
        <v>#REF!</v>
      </c>
      <c r="H22" s="364" t="str">
        <f t="shared" si="3"/>
        <v>#REF!</v>
      </c>
      <c r="K22" s="225" t="s">
        <v>2545</v>
      </c>
    </row>
    <row r="23">
      <c r="A23" s="225" t="str">
        <f t="shared" si="1"/>
        <v>#REF!</v>
      </c>
      <c r="B23" s="364" t="s">
        <v>797</v>
      </c>
      <c r="C23" s="364" t="s">
        <v>2528</v>
      </c>
      <c r="D23" s="365">
        <f>IFERROR(__xludf.DUMMYFUNCTION("IFERROR(SUM(filter(Trabalho!H:H,Trabalho!$B:$B=$B23,Trabalho!$A:$A=$C23,Trabalho!$K:$K=TRUE)))*24"),0.0)</f>
        <v>0</v>
      </c>
      <c r="E23" s="366" t="str">
        <f>IFERROR(__xludf.DUMMYFUNCTION("IFERROR(SUM(filter(#REF!,Trabalho!$B:$B=$B23,Trabalho!$A:$A=$C23,Trabalho!$K:$K=TRUE)))"),"")</f>
        <v/>
      </c>
      <c r="F23" s="364" t="str">
        <f t="shared" si="2"/>
        <v>#REF!</v>
      </c>
      <c r="G23" s="364" t="str">
        <f t="shared" ref="G23:G25" si="8">vlookup(B23,Pessoal1!$A$7:$V$26,4,false)</f>
        <v>#REF!</v>
      </c>
      <c r="H23" s="364" t="str">
        <f t="shared" si="3"/>
        <v>#REF!</v>
      </c>
      <c r="K23" s="225" t="s">
        <v>2546</v>
      </c>
    </row>
    <row r="24">
      <c r="A24" s="225" t="str">
        <f t="shared" si="1"/>
        <v>#REF!</v>
      </c>
      <c r="B24" s="225" t="s">
        <v>797</v>
      </c>
      <c r="C24" s="225" t="s">
        <v>2529</v>
      </c>
      <c r="D24" s="349">
        <f>IFERROR(__xludf.DUMMYFUNCTION("IFERROR(SUM(filter(Trabalho!H:H,Trabalho!$B:$B=$B24,Trabalho!$A:$A=$C24,Trabalho!$K:$K=TRUE)))*24"),0.0)</f>
        <v>0</v>
      </c>
      <c r="E24" s="357" t="str">
        <f>IFERROR(__xludf.DUMMYFUNCTION("IFERROR(SUM(filter(#REF!,Trabalho!$B:$B=$B24,Trabalho!$A:$A=$C24,Trabalho!$K:$K=TRUE)))"),"")</f>
        <v/>
      </c>
      <c r="F24" s="225" t="str">
        <f t="shared" si="2"/>
        <v>#REF!</v>
      </c>
      <c r="G24" s="225" t="str">
        <f t="shared" si="8"/>
        <v>#REF!</v>
      </c>
      <c r="H24" s="225" t="str">
        <f t="shared" si="3"/>
        <v>#REF!</v>
      </c>
      <c r="K24" s="225" t="s">
        <v>2547</v>
      </c>
    </row>
    <row r="25">
      <c r="A25" s="225" t="str">
        <f t="shared" si="1"/>
        <v>#REF!</v>
      </c>
      <c r="B25" s="225" t="s">
        <v>799</v>
      </c>
      <c r="C25" s="225" t="s">
        <v>2529</v>
      </c>
      <c r="D25" s="349">
        <f>IFERROR(__xludf.DUMMYFUNCTION("IFERROR(SUM(filter(Trabalho!H:H,Trabalho!$B:$B=$B25,Trabalho!$A:$A=$C25,Trabalho!$K:$K=TRUE)))*24"),0.0)</f>
        <v>0</v>
      </c>
      <c r="E25" s="357" t="str">
        <f>IFERROR(__xludf.DUMMYFUNCTION("IFERROR(SUM(filter(#REF!,Trabalho!$B:$B=$B25,Trabalho!$A:$A=$C25,Trabalho!$K:$K=TRUE)))"),"")</f>
        <v/>
      </c>
      <c r="F25" s="225" t="str">
        <f t="shared" si="2"/>
        <v>#REF!</v>
      </c>
      <c r="G25" s="225" t="str">
        <f t="shared" si="8"/>
        <v>#REF!</v>
      </c>
      <c r="H25" s="225" t="str">
        <f t="shared" si="3"/>
        <v>#REF!</v>
      </c>
      <c r="K25" s="225" t="s">
        <v>2548</v>
      </c>
    </row>
    <row r="26">
      <c r="A26" s="225" t="str">
        <f t="shared" si="1"/>
        <v>#REF!</v>
      </c>
      <c r="B26" s="225" t="s">
        <v>2518</v>
      </c>
      <c r="C26" s="225" t="s">
        <v>2529</v>
      </c>
      <c r="D26" s="349">
        <f>IFERROR(__xludf.DUMMYFUNCTION("IFERROR(SUM(filter(Trabalho!H:H,Trabalho!$B:$B=$B26,Trabalho!$A:$A=$C26,Trabalho!$K:$K=TRUE)))*24"),0.0)</f>
        <v>0</v>
      </c>
      <c r="E26" s="357" t="str">
        <f>IFERROR(__xludf.DUMMYFUNCTION("IFERROR(SUM(filter(#REF!,Trabalho!$B:$B=$B26,Trabalho!$A:$A=$C26,Trabalho!$K:$K=TRUE)))"),"")</f>
        <v/>
      </c>
      <c r="F26" s="225" t="str">
        <f t="shared" si="2"/>
        <v>#REF!</v>
      </c>
      <c r="G26" s="225" t="str">
        <f t="shared" ref="G26:G31" si="9">VLOOKUP(B26,Pessoal1!$A$7:$V$31,4,FALSE)</f>
        <v>#REF!</v>
      </c>
      <c r="H26" s="225" t="str">
        <f t="shared" si="3"/>
        <v>#REF!</v>
      </c>
      <c r="K26" s="225" t="s">
        <v>2549</v>
      </c>
    </row>
    <row r="27">
      <c r="A27" s="225" t="str">
        <f t="shared" si="1"/>
        <v>#REF!</v>
      </c>
      <c r="B27" s="225" t="s">
        <v>2520</v>
      </c>
      <c r="C27" s="225" t="s">
        <v>2529</v>
      </c>
      <c r="D27" s="349">
        <f>IFERROR(__xludf.DUMMYFUNCTION("IFERROR(SUM(filter(Trabalho!H:H,Trabalho!$B:$B=$B27,Trabalho!$A:$A=$C27,Trabalho!$K:$K=TRUE)))*24"),0.0)</f>
        <v>0</v>
      </c>
      <c r="E27" s="357" t="str">
        <f>IFERROR(__xludf.DUMMYFUNCTION("IFERROR(SUM(filter(#REF!,Trabalho!$B:$B=$B27,Trabalho!$A:$A=$C27,Trabalho!$K:$K=TRUE)))"),"")</f>
        <v/>
      </c>
      <c r="F27" s="225" t="str">
        <f t="shared" si="2"/>
        <v>#REF!</v>
      </c>
      <c r="G27" s="225" t="str">
        <f t="shared" si="9"/>
        <v>#REF!</v>
      </c>
      <c r="H27" s="225" t="str">
        <f t="shared" si="3"/>
        <v>#REF!</v>
      </c>
      <c r="K27" s="225" t="s">
        <v>2550</v>
      </c>
    </row>
    <row r="28">
      <c r="A28" s="225" t="str">
        <f t="shared" si="1"/>
        <v>#REF!</v>
      </c>
      <c r="B28" s="225" t="s">
        <v>800</v>
      </c>
      <c r="C28" s="225" t="s">
        <v>2529</v>
      </c>
      <c r="D28" s="349">
        <f>IFERROR(__xludf.DUMMYFUNCTION("IFERROR(SUM(filter(Trabalho!H:H,Trabalho!$B:$B=$B28,Trabalho!$A:$A=$C28,Trabalho!$K:$K=TRUE)))*24"),0.0)</f>
        <v>0</v>
      </c>
      <c r="E28" s="357" t="str">
        <f>IFERROR(__xludf.DUMMYFUNCTION("IFERROR(SUM(filter(#REF!,Trabalho!$B:$B=$B28,Trabalho!$A:$A=$C28,Trabalho!$K:$K=TRUE)))"),"")</f>
        <v/>
      </c>
      <c r="F28" s="225" t="str">
        <f t="shared" si="2"/>
        <v>#REF!</v>
      </c>
      <c r="G28" s="225" t="str">
        <f t="shared" si="9"/>
        <v>#REF!</v>
      </c>
      <c r="H28" s="225" t="str">
        <f t="shared" si="3"/>
        <v>#REF!</v>
      </c>
    </row>
    <row r="29">
      <c r="A29" s="225" t="str">
        <f t="shared" si="1"/>
        <v>#REF!</v>
      </c>
      <c r="B29" s="367" t="s">
        <v>2518</v>
      </c>
      <c r="C29" s="367" t="s">
        <v>2530</v>
      </c>
      <c r="D29" s="368">
        <f>IFERROR(__xludf.DUMMYFUNCTION("IFERROR(SUM(filter(Trabalho!H:H,Trabalho!$B:$B=$B29,Trabalho!$A:$A=$C29,Trabalho!$K:$K=TRUE)))*24"),0.0)</f>
        <v>0</v>
      </c>
      <c r="E29" s="369" t="str">
        <f>IFERROR(__xludf.DUMMYFUNCTION("IFERROR(SUM(filter(#REF!,Trabalho!$B:$B=$B29,Trabalho!$A:$A=$C29,Trabalho!$K:$K=TRUE)))"),"")</f>
        <v/>
      </c>
      <c r="F29" s="367" t="str">
        <f t="shared" si="2"/>
        <v>#REF!</v>
      </c>
      <c r="G29" s="367" t="str">
        <f t="shared" si="9"/>
        <v>#REF!</v>
      </c>
      <c r="H29" s="367" t="str">
        <f t="shared" si="3"/>
        <v>#REF!</v>
      </c>
      <c r="J29" s="225">
        <f t="shared" ref="J29:J31" si="10">D29/2</f>
        <v>0</v>
      </c>
      <c r="K29" s="225">
        <f t="shared" ref="K29:K31" si="11">ROUND(E29/2,0)</f>
        <v>0</v>
      </c>
    </row>
    <row r="30">
      <c r="A30" s="225" t="str">
        <f t="shared" si="1"/>
        <v>#REF!</v>
      </c>
      <c r="B30" s="367" t="s">
        <v>2520</v>
      </c>
      <c r="C30" s="367" t="s">
        <v>2530</v>
      </c>
      <c r="D30" s="368">
        <f>IFERROR(__xludf.DUMMYFUNCTION("IFERROR(SUM(filter(Trabalho!H:H,Trabalho!$B:$B=$B30,Trabalho!$A:$A=$C30,Trabalho!$K:$K=TRUE)))*24"),0.0)</f>
        <v>0</v>
      </c>
      <c r="E30" s="369" t="str">
        <f>IFERROR(__xludf.DUMMYFUNCTION("IFERROR(SUM(filter(#REF!,Trabalho!$B:$B=$B30,Trabalho!$A:$A=$C30,Trabalho!$K:$K=TRUE)))"),"")</f>
        <v/>
      </c>
      <c r="F30" s="367" t="str">
        <f t="shared" si="2"/>
        <v>#REF!</v>
      </c>
      <c r="G30" s="367" t="str">
        <f t="shared" si="9"/>
        <v>#REF!</v>
      </c>
      <c r="H30" s="367" t="str">
        <f t="shared" si="3"/>
        <v>#REF!</v>
      </c>
      <c r="J30" s="225">
        <f t="shared" si="10"/>
        <v>0</v>
      </c>
      <c r="K30" s="225">
        <f t="shared" si="11"/>
        <v>0</v>
      </c>
    </row>
    <row r="31">
      <c r="A31" s="225" t="str">
        <f t="shared" si="1"/>
        <v>#REF!</v>
      </c>
      <c r="B31" s="367" t="s">
        <v>800</v>
      </c>
      <c r="C31" s="367" t="s">
        <v>2530</v>
      </c>
      <c r="D31" s="368">
        <f>IFERROR(__xludf.DUMMYFUNCTION("IFERROR(SUM(filter(Trabalho!H:H,Trabalho!$B:$B=$B31,Trabalho!$A:$A=$C31,Trabalho!$K:$K=TRUE)))*24"),0.0)</f>
        <v>0</v>
      </c>
      <c r="E31" s="369" t="str">
        <f>IFERROR(__xludf.DUMMYFUNCTION("IFERROR(SUM(filter(#REF!,Trabalho!$B:$B=$B31,Trabalho!$A:$A=$C31,Trabalho!$K:$K=TRUE)))"),"")</f>
        <v/>
      </c>
      <c r="F31" s="367" t="str">
        <f t="shared" si="2"/>
        <v>#REF!</v>
      </c>
      <c r="G31" s="367" t="str">
        <f t="shared" si="9"/>
        <v>#REF!</v>
      </c>
      <c r="H31" s="367" t="str">
        <f t="shared" si="3"/>
        <v>#REF!</v>
      </c>
      <c r="J31" s="225">
        <f t="shared" si="10"/>
        <v>0</v>
      </c>
      <c r="K31" s="225">
        <f t="shared" si="11"/>
        <v>0</v>
      </c>
    </row>
    <row r="32">
      <c r="A32" s="225" t="str">
        <f t="shared" si="1"/>
        <v>#REF!</v>
      </c>
      <c r="B32" s="225" t="s">
        <v>800</v>
      </c>
      <c r="C32" s="225" t="s">
        <v>2531</v>
      </c>
      <c r="D32" s="349">
        <f>IFERROR(__xludf.DUMMYFUNCTION("IFERROR(SUM(filter(Trabalho!H:H,Trabalho!$B:$B=$B32,Trabalho!$A:$A=$C32,Trabalho!$K:$K=TRUE)))*24"),0.0)</f>
        <v>0</v>
      </c>
      <c r="E32" s="357" t="str">
        <f>IFERROR(__xludf.DUMMYFUNCTION("IFERROR(SUM(filter(#REF!,Trabalho!$B:$B=$B32,Trabalho!$A:$A=$C32,Trabalho!$K:$K=TRUE)))"),"")</f>
        <v/>
      </c>
      <c r="F32" s="225" t="str">
        <f t="shared" si="2"/>
        <v>#REF!</v>
      </c>
      <c r="H32" s="225" t="str">
        <f t="shared" si="3"/>
        <v>#REF!</v>
      </c>
    </row>
    <row r="33">
      <c r="A33" s="225" t="str">
        <f t="shared" si="1"/>
        <v>#REF!</v>
      </c>
      <c r="B33" s="370" t="s">
        <v>796</v>
      </c>
      <c r="C33" s="370" t="s">
        <v>2533</v>
      </c>
      <c r="D33" s="371">
        <f>IFERROR(__xludf.DUMMYFUNCTION("IFERROR(SUM(filter(Trabalho!H:H,Trabalho!$B:$B=$B33,Trabalho!$A:$A=$C33,Trabalho!$K:$K=TRUE)))*24"),0.0)</f>
        <v>0</v>
      </c>
      <c r="E33" s="372" t="str">
        <f>IFERROR(__xludf.DUMMYFUNCTION("IFERROR(SUM(filter(#REF!,Trabalho!$B:$B=$B33,Trabalho!$A:$A=$C33,Trabalho!$K:$K=TRUE)))"),"")</f>
        <v/>
      </c>
      <c r="F33" s="370" t="str">
        <f t="shared" si="2"/>
        <v>#REF!</v>
      </c>
      <c r="G33" s="370" t="str">
        <f>vlookup(B33,Pessoal1!$A$7:$V$26,4,false)</f>
        <v>#REF!</v>
      </c>
      <c r="H33" s="370" t="str">
        <f t="shared" si="3"/>
        <v>#REF!</v>
      </c>
    </row>
    <row r="34">
      <c r="A34" s="225" t="str">
        <f t="shared" si="1"/>
        <v>#REF!</v>
      </c>
      <c r="B34" s="225" t="s">
        <v>805</v>
      </c>
      <c r="C34" s="225" t="s">
        <v>2535</v>
      </c>
      <c r="D34" s="349">
        <f>IFERROR(__xludf.DUMMYFUNCTION("IFERROR(SUM(filter(Trabalho!H:H,Trabalho!$B:$B=$B34,Trabalho!$A:$A=$C34,Trabalho!$K:$K=TRUE)))*24"),0.0)</f>
        <v>0</v>
      </c>
      <c r="E34" s="357" t="str">
        <f>IFERROR(__xludf.DUMMYFUNCTION("IFERROR(SUM(filter(#REF!,Trabalho!$B:$B=$B34,Trabalho!$A:$A=$C34,Trabalho!$K:$K=TRUE)))"),"")</f>
        <v/>
      </c>
      <c r="F34" s="225" t="str">
        <f t="shared" si="2"/>
        <v>#REF!</v>
      </c>
      <c r="G34" s="225" t="str">
        <f t="shared" ref="G34:G36" si="12">VLOOKUP(B34,Pessoal1!$A$7:$V$31,4,FALSE)</f>
        <v>#REF!</v>
      </c>
      <c r="H34" s="225" t="str">
        <f t="shared" si="3"/>
        <v>#REF!</v>
      </c>
    </row>
    <row r="35">
      <c r="A35" s="225" t="str">
        <f t="shared" si="1"/>
        <v>#REF!</v>
      </c>
      <c r="B35" s="225" t="s">
        <v>2532</v>
      </c>
      <c r="C35" s="225" t="s">
        <v>2535</v>
      </c>
      <c r="D35" s="349">
        <f>IFERROR(__xludf.DUMMYFUNCTION("IFERROR(SUM(filter(Trabalho!H:H,Trabalho!$B:$B=$B35,Trabalho!$A:$A=$C35,Trabalho!$K:$K=TRUE)))*24"),0.0)</f>
        <v>0</v>
      </c>
      <c r="E35" s="357" t="str">
        <f>IFERROR(__xludf.DUMMYFUNCTION("IFERROR(SUM(filter(#REF!,Trabalho!$B:$B=$B35,Trabalho!$A:$A=$C35,Trabalho!$K:$K=TRUE)))"),"")</f>
        <v/>
      </c>
      <c r="F35" s="225" t="str">
        <f t="shared" si="2"/>
        <v>#REF!</v>
      </c>
      <c r="G35" s="225" t="str">
        <f t="shared" si="12"/>
        <v>#REF!</v>
      </c>
      <c r="H35" s="225" t="str">
        <f t="shared" si="3"/>
        <v>#REF!</v>
      </c>
    </row>
    <row r="36">
      <c r="A36" s="225" t="str">
        <f t="shared" si="1"/>
        <v>#REF!</v>
      </c>
      <c r="B36" s="354" t="s">
        <v>809</v>
      </c>
      <c r="C36" s="354" t="s">
        <v>2537</v>
      </c>
      <c r="D36" s="355">
        <f>IFERROR(__xludf.DUMMYFUNCTION("IFERROR(SUM(filter(Trabalho!H:H,Trabalho!$B:$B=$B36,Trabalho!$A:$A=$C36,Trabalho!$K:$K=TRUE)))*24"),0.0)</f>
        <v>0</v>
      </c>
      <c r="E36" s="356" t="str">
        <f>IFERROR(__xludf.DUMMYFUNCTION("IFERROR(SUM(filter(#REF!,Trabalho!$B:$B=$B36,Trabalho!$A:$A=$C36,Trabalho!$K:$K=TRUE)))"),"")</f>
        <v/>
      </c>
      <c r="F36" s="354" t="str">
        <f t="shared" si="2"/>
        <v>#REF!</v>
      </c>
      <c r="G36" s="354" t="str">
        <f t="shared" si="12"/>
        <v>#REF!</v>
      </c>
      <c r="H36" s="354" t="str">
        <f t="shared" si="3"/>
        <v>#REF!</v>
      </c>
    </row>
    <row r="37">
      <c r="A37" s="225" t="str">
        <f t="shared" si="1"/>
        <v>#REF!</v>
      </c>
      <c r="B37" s="225" t="s">
        <v>796</v>
      </c>
      <c r="C37" s="225" t="s">
        <v>2538</v>
      </c>
      <c r="D37" s="349">
        <f>IFERROR(__xludf.DUMMYFUNCTION("IFERROR(SUM(filter(Trabalho!H:H,Trabalho!$B:$B=$B37,Trabalho!$A:$A=$C37,Trabalho!$K:$K=TRUE)))*24"),0.0)</f>
        <v>0</v>
      </c>
      <c r="E37" s="357" t="str">
        <f>IFERROR(__xludf.DUMMYFUNCTION("IFERROR(SUM(filter(#REF!,Trabalho!$B:$B=$B37,Trabalho!$A:$A=$C37,Trabalho!$K:$K=TRUE)))"),"")</f>
        <v/>
      </c>
      <c r="F37" s="225" t="str">
        <f t="shared" si="2"/>
        <v>#REF!</v>
      </c>
      <c r="G37" s="225" t="str">
        <f t="shared" ref="G37:G38" si="13">vlookup(B37,Pessoal1!$A$7:$V$26,4,false)</f>
        <v>#REF!</v>
      </c>
      <c r="H37" s="225" t="str">
        <f t="shared" si="3"/>
        <v>#REF!</v>
      </c>
    </row>
    <row r="38">
      <c r="A38" s="225" t="str">
        <f t="shared" si="1"/>
        <v>#REF!</v>
      </c>
      <c r="B38" s="358" t="s">
        <v>2534</v>
      </c>
      <c r="C38" s="358" t="s">
        <v>2539</v>
      </c>
      <c r="D38" s="359">
        <f>IFERROR(__xludf.DUMMYFUNCTION("IFERROR(SUM(filter(Trabalho!H:H,Trabalho!$B:$B=$B38,Trabalho!$A:$A=$C38,Trabalho!$K:$K=TRUE)))*24"),0.0)</f>
        <v>0</v>
      </c>
      <c r="E38" s="360" t="str">
        <f>IFERROR(__xludf.DUMMYFUNCTION("sum(filter(#REF!,Trabalho!$B:$B=$B38,Trabalho!$A:$A=$C38,Trabalho!$K:$K=TRUE))"),"#REF!")</f>
        <v>#REF!</v>
      </c>
      <c r="F38" s="358" t="str">
        <f t="shared" si="2"/>
        <v>#REF!</v>
      </c>
      <c r="G38" s="358" t="str">
        <f t="shared" si="13"/>
        <v>#REF!</v>
      </c>
      <c r="H38" s="358" t="str">
        <f t="shared" si="3"/>
        <v>#REF!</v>
      </c>
    </row>
    <row r="39">
      <c r="A39" s="225" t="str">
        <f t="shared" si="1"/>
        <v>#REF!</v>
      </c>
      <c r="B39" s="358" t="s">
        <v>2527</v>
      </c>
      <c r="C39" s="358" t="s">
        <v>2539</v>
      </c>
      <c r="D39" s="359">
        <f>IFERROR(__xludf.DUMMYFUNCTION("IFERROR(SUM(filter(Trabalho!H:H,Trabalho!$B:$B=$B39,Trabalho!$A:$A=$C39,Trabalho!$K:$K=TRUE)))*24"),0.0)</f>
        <v>0</v>
      </c>
      <c r="E39" s="360" t="str">
        <f>IFERROR(__xludf.DUMMYFUNCTION("IFERROR(SUM(filter(#REF!,Trabalho!$B:$B=$B39,Trabalho!$A:$A=$C39,Trabalho!$K:$K=TRUE)))"),"")</f>
        <v/>
      </c>
      <c r="F39" s="358" t="str">
        <f t="shared" si="2"/>
        <v>#REF!</v>
      </c>
      <c r="G39" s="358" t="str">
        <f t="shared" ref="G39:G42" si="14">VLOOKUP(B39,Pessoal1!$A$7:$V$31,4,FALSE)</f>
        <v>#REF!</v>
      </c>
      <c r="H39" s="358" t="str">
        <f t="shared" si="3"/>
        <v>#REF!</v>
      </c>
    </row>
    <row r="40">
      <c r="A40" s="225" t="str">
        <f t="shared" si="1"/>
        <v>#REF!</v>
      </c>
      <c r="B40" s="358" t="s">
        <v>2520</v>
      </c>
      <c r="C40" s="358" t="s">
        <v>2539</v>
      </c>
      <c r="D40" s="359">
        <f>IFERROR(__xludf.DUMMYFUNCTION("IFERROR(SUM(filter(Trabalho!H:H,Trabalho!$B:$B=$B40,Trabalho!$A:$A=$C40,Trabalho!$K:$K=TRUE)))*24"),0.0)</f>
        <v>0</v>
      </c>
      <c r="E40" s="360" t="str">
        <f>IFERROR(__xludf.DUMMYFUNCTION("IFERROR(SUM(filter(#REF!,Trabalho!$B:$B=$B40,Trabalho!$A:$A=$C40,Trabalho!$K:$K=TRUE)))"),"")</f>
        <v/>
      </c>
      <c r="F40" s="358" t="str">
        <f t="shared" si="2"/>
        <v>#REF!</v>
      </c>
      <c r="G40" s="358" t="str">
        <f t="shared" si="14"/>
        <v>#REF!</v>
      </c>
      <c r="H40" s="358" t="str">
        <f t="shared" si="3"/>
        <v>#REF!</v>
      </c>
    </row>
    <row r="41">
      <c r="A41" s="225" t="str">
        <f t="shared" si="1"/>
        <v>#REF!</v>
      </c>
      <c r="B41" s="358" t="s">
        <v>809</v>
      </c>
      <c r="C41" s="358" t="s">
        <v>2539</v>
      </c>
      <c r="D41" s="359">
        <f>IFERROR(__xludf.DUMMYFUNCTION("IFERROR(SUM(filter(Trabalho!H:H,Trabalho!$B:$B=$B41,Trabalho!$A:$A=$C41,Trabalho!$K:$K=TRUE)))*24"),0.0)</f>
        <v>0</v>
      </c>
      <c r="E41" s="360" t="str">
        <f>IFERROR(__xludf.DUMMYFUNCTION("IFERROR(SUM(filter(#REF!,Trabalho!$B:$B=$B41,Trabalho!$A:$A=$C41,Trabalho!$K:$K=TRUE)))"),"")</f>
        <v/>
      </c>
      <c r="F41" s="358" t="str">
        <f t="shared" si="2"/>
        <v>#REF!</v>
      </c>
      <c r="G41" s="358" t="str">
        <f t="shared" si="14"/>
        <v>#REF!</v>
      </c>
      <c r="H41" s="358" t="str">
        <f t="shared" si="3"/>
        <v>#REF!</v>
      </c>
    </row>
    <row r="42">
      <c r="A42" s="225" t="str">
        <f t="shared" si="1"/>
        <v>#REF!</v>
      </c>
      <c r="B42" s="358" t="s">
        <v>800</v>
      </c>
      <c r="C42" s="358" t="s">
        <v>2539</v>
      </c>
      <c r="D42" s="359">
        <f>IFERROR(__xludf.DUMMYFUNCTION("IFERROR(SUM(filter(Trabalho!H:H,Trabalho!$B:$B=$B42,Trabalho!$A:$A=$C42,Trabalho!$K:$K=TRUE)))*24"),0.0)</f>
        <v>0</v>
      </c>
      <c r="E42" s="360" t="str">
        <f>IFERROR(__xludf.DUMMYFUNCTION("IFERROR(SUM(filter(#REF!,Trabalho!$B:$B=$B42,Trabalho!$A:$A=$C42,Trabalho!$K:$K=TRUE)))"),"")</f>
        <v/>
      </c>
      <c r="F42" s="358" t="str">
        <f t="shared" si="2"/>
        <v>#REF!</v>
      </c>
      <c r="G42" s="358" t="str">
        <f t="shared" si="14"/>
        <v>#REF!</v>
      </c>
      <c r="H42" s="358" t="str">
        <f t="shared" si="3"/>
        <v>#REF!</v>
      </c>
    </row>
    <row r="43">
      <c r="A43" s="225" t="str">
        <f t="shared" si="1"/>
        <v>#REF!</v>
      </c>
      <c r="B43" s="225" t="s">
        <v>2551</v>
      </c>
      <c r="C43" s="225" t="s">
        <v>2540</v>
      </c>
      <c r="D43" s="349">
        <f>IFERROR(__xludf.DUMMYFUNCTION("IFERROR(SUM(filter(Trabalho!H:H,Trabalho!$B:$B=$B43,Trabalho!$A:$A=$C43,Trabalho!$K:$K=TRUE)))*24"),0.0)</f>
        <v>0</v>
      </c>
      <c r="E43" s="357" t="str">
        <f>IFERROR(__xludf.DUMMYFUNCTION("IFERROR(SUM(filter(#REF!,Trabalho!$B:$B=$B43,Trabalho!$A:$A=$C43,Trabalho!$K:$K=TRUE)))"),"")</f>
        <v/>
      </c>
      <c r="F43" s="225" t="str">
        <f t="shared" si="2"/>
        <v>#REF!</v>
      </c>
      <c r="G43" s="225" t="str">
        <f t="shared" ref="G43:G45" si="15">vlookup(B43,Pessoal1!$A$7:$V$26,4,false)</f>
        <v>#REF!</v>
      </c>
      <c r="H43" s="225" t="str">
        <f t="shared" si="3"/>
        <v>#REF!</v>
      </c>
    </row>
    <row r="44">
      <c r="A44" s="225" t="str">
        <f t="shared" si="1"/>
        <v>#REF!</v>
      </c>
      <c r="B44" s="225" t="s">
        <v>2552</v>
      </c>
      <c r="C44" s="225" t="s">
        <v>2540</v>
      </c>
      <c r="D44" s="349">
        <f>IFERROR(__xludf.DUMMYFUNCTION("IFERROR(SUM(filter(Trabalho!H:H,Trabalho!$B:$B=$B44,Trabalho!$A:$A=$C44,Trabalho!$K:$K=TRUE)))*24"),0.0)</f>
        <v>0</v>
      </c>
      <c r="E44" s="357" t="str">
        <f>IFERROR(__xludf.DUMMYFUNCTION("IFERROR(SUM(filter(#REF!,Trabalho!$B:$B=$B44,Trabalho!$A:$A=$C44,Trabalho!$K:$K=TRUE)))"),"")</f>
        <v/>
      </c>
      <c r="F44" s="225" t="str">
        <f t="shared" si="2"/>
        <v>#REF!</v>
      </c>
      <c r="G44" s="225" t="str">
        <f t="shared" si="15"/>
        <v>#REF!</v>
      </c>
      <c r="H44" s="225" t="str">
        <f t="shared" si="3"/>
        <v>#REF!</v>
      </c>
    </row>
    <row r="45">
      <c r="A45" s="225" t="str">
        <f t="shared" si="1"/>
        <v>#REF!</v>
      </c>
      <c r="B45" s="225" t="s">
        <v>796</v>
      </c>
      <c r="C45" s="225" t="s">
        <v>2540</v>
      </c>
      <c r="D45" s="349">
        <f>IFERROR(__xludf.DUMMYFUNCTION("IFERROR(SUM(filter(Trabalho!H:H,Trabalho!$B:$B=$B45,Trabalho!$A:$A=$C45,Trabalho!$K:$K=TRUE)))*24"),0.0)</f>
        <v>0</v>
      </c>
      <c r="E45" s="357" t="str">
        <f>IFERROR(__xludf.DUMMYFUNCTION("IFERROR(SUM(filter(#REF!,Trabalho!$B:$B=$B45,Trabalho!$A:$A=$C45,Trabalho!$K:$K=TRUE)))"),"")</f>
        <v/>
      </c>
      <c r="F45" s="225" t="str">
        <f t="shared" si="2"/>
        <v>#REF!</v>
      </c>
      <c r="G45" s="225" t="str">
        <f t="shared" si="15"/>
        <v>#REF!</v>
      </c>
      <c r="H45" s="225" t="str">
        <f t="shared" si="3"/>
        <v>#REF!</v>
      </c>
    </row>
    <row r="46">
      <c r="A46" s="225" t="str">
        <f t="shared" si="1"/>
        <v>#REF!</v>
      </c>
      <c r="B46" s="225" t="s">
        <v>2520</v>
      </c>
      <c r="C46" s="225" t="s">
        <v>2540</v>
      </c>
      <c r="D46" s="349">
        <f>IFERROR(__xludf.DUMMYFUNCTION("IFERROR(SUM(filter(Trabalho!H:H,Trabalho!$B:$B=$B46,Trabalho!$A:$A=$C46,Trabalho!$K:$K=TRUE)))*24"),0.0)</f>
        <v>0</v>
      </c>
      <c r="E46" s="357" t="str">
        <f>IFERROR(__xludf.DUMMYFUNCTION("IFERROR(SUM(filter(#REF!,Trabalho!$B:$B=$B46,Trabalho!$A:$A=$C46,Trabalho!$K:$K=TRUE)))"),"")</f>
        <v/>
      </c>
      <c r="F46" s="225" t="str">
        <f t="shared" si="2"/>
        <v>#REF!</v>
      </c>
      <c r="G46" s="225" t="str">
        <f t="shared" ref="G46:G47" si="16">VLOOKUP(B46,Pessoal1!$A$7:$V$31,4,FALSE)</f>
        <v>#REF!</v>
      </c>
      <c r="H46" s="225" t="str">
        <f t="shared" si="3"/>
        <v>#REF!</v>
      </c>
    </row>
    <row r="47">
      <c r="A47" s="225" t="str">
        <f t="shared" si="1"/>
        <v>#REF!</v>
      </c>
      <c r="B47" s="225" t="s">
        <v>800</v>
      </c>
      <c r="C47" s="225" t="s">
        <v>2540</v>
      </c>
      <c r="D47" s="349">
        <f>IFERROR(__xludf.DUMMYFUNCTION("IFERROR(SUM(filter(Trabalho!H:H,Trabalho!$B:$B=$B47,Trabalho!$A:$A=$C47,Trabalho!$K:$K=TRUE)))*24"),0.0)</f>
        <v>0</v>
      </c>
      <c r="E47" s="357" t="str">
        <f>IFERROR(__xludf.DUMMYFUNCTION("IFERROR(SUM(filter(#REF!,Trabalho!$B:$B=$B47,Trabalho!$A:$A=$C47,Trabalho!$K:$K=TRUE)))"),"")</f>
        <v/>
      </c>
      <c r="F47" s="225" t="str">
        <f t="shared" si="2"/>
        <v>#REF!</v>
      </c>
      <c r="G47" s="225" t="str">
        <f t="shared" si="16"/>
        <v>#REF!</v>
      </c>
      <c r="H47" s="225" t="str">
        <f t="shared" si="3"/>
        <v>#REF!</v>
      </c>
    </row>
    <row r="48">
      <c r="A48" s="225" t="str">
        <f t="shared" si="1"/>
        <v>#REF!</v>
      </c>
      <c r="B48" s="361" t="s">
        <v>802</v>
      </c>
      <c r="C48" s="361" t="s">
        <v>2541</v>
      </c>
      <c r="D48" s="362">
        <f>IFERROR(__xludf.DUMMYFUNCTION("IFERROR(SUM(filter(Trabalho!H:H,Trabalho!$B:$B=$B48,Trabalho!$A:$A=$C48,Trabalho!$K:$K=TRUE)))*24"),0.0)</f>
        <v>0</v>
      </c>
      <c r="E48" s="363" t="str">
        <f>IFERROR(__xludf.DUMMYFUNCTION("IFERROR(SUM(filter(#REF!,Trabalho!$B:$B=$B48,Trabalho!$A:$A=$C48,Trabalho!$K:$K=TRUE)))"),"")</f>
        <v/>
      </c>
      <c r="F48" s="361" t="str">
        <f t="shared" si="2"/>
        <v>#REF!</v>
      </c>
      <c r="G48" s="361" t="str">
        <f>vlookup(B48,Pessoal1!$A$7:$V$26,4,false)</f>
        <v>#REF!</v>
      </c>
      <c r="H48" s="361" t="str">
        <f t="shared" si="3"/>
        <v>#REF!</v>
      </c>
    </row>
    <row r="49">
      <c r="A49" s="225" t="str">
        <f t="shared" si="1"/>
        <v>#REF!</v>
      </c>
      <c r="B49" s="361" t="s">
        <v>805</v>
      </c>
      <c r="C49" s="361" t="s">
        <v>2541</v>
      </c>
      <c r="D49" s="362">
        <f>IFERROR(__xludf.DUMMYFUNCTION("IFERROR(SUM(filter(Trabalho!H:H,Trabalho!$B:$B=$B49,Trabalho!$A:$A=$C49,Trabalho!$K:$K=TRUE)))*24"),0.0)</f>
        <v>0</v>
      </c>
      <c r="E49" s="363" t="str">
        <f>IFERROR(__xludf.DUMMYFUNCTION("IFERROR(SUM(filter(#REF!,Trabalho!$B:$B=$B49,Trabalho!$A:$A=$C49,Trabalho!$K:$K=TRUE)))"),"")</f>
        <v/>
      </c>
      <c r="F49" s="361" t="str">
        <f t="shared" si="2"/>
        <v>#REF!</v>
      </c>
      <c r="G49" s="361" t="str">
        <f t="shared" ref="G49:G52" si="17">VLOOKUP(B49,Pessoal1!$A$7:$V$31,4,FALSE)</f>
        <v>#REF!</v>
      </c>
      <c r="H49" s="361" t="str">
        <f t="shared" si="3"/>
        <v>#REF!</v>
      </c>
    </row>
    <row r="50">
      <c r="A50" s="225" t="str">
        <f t="shared" si="1"/>
        <v>#REF!</v>
      </c>
      <c r="B50" s="361" t="s">
        <v>2532</v>
      </c>
      <c r="C50" s="361" t="s">
        <v>2541</v>
      </c>
      <c r="D50" s="362">
        <f>IFERROR(__xludf.DUMMYFUNCTION("IFERROR(SUM(filter(Trabalho!H:H,Trabalho!$B:$B=$B50,Trabalho!$A:$A=$C50,Trabalho!$K:$K=TRUE)))*24"),0.0)</f>
        <v>0</v>
      </c>
      <c r="E50" s="363" t="str">
        <f>IFERROR(__xludf.DUMMYFUNCTION("IFERROR(SUM(filter(#REF!,Trabalho!$B:$B=$B50,Trabalho!$A:$A=$C50,Trabalho!$K:$K=TRUE)))"),"")</f>
        <v/>
      </c>
      <c r="F50" s="361" t="str">
        <f t="shared" si="2"/>
        <v>#REF!</v>
      </c>
      <c r="G50" s="361" t="str">
        <f t="shared" si="17"/>
        <v>#REF!</v>
      </c>
      <c r="H50" s="361" t="str">
        <f t="shared" si="3"/>
        <v>#REF!</v>
      </c>
    </row>
    <row r="51">
      <c r="A51" s="225" t="str">
        <f t="shared" si="1"/>
        <v>#REF!</v>
      </c>
      <c r="B51" s="225" t="s">
        <v>2553</v>
      </c>
      <c r="C51" s="225" t="s">
        <v>2542</v>
      </c>
      <c r="D51" s="349">
        <f>IFERROR(__xludf.DUMMYFUNCTION("IFERROR(SUM(filter(Trabalho!H:H,Trabalho!$B:$B=$B51,Trabalho!$A:$A=$C51,Trabalho!$K:$K=TRUE)))*24"),0.0)</f>
        <v>0</v>
      </c>
      <c r="E51" s="357" t="str">
        <f>IFERROR(__xludf.DUMMYFUNCTION("IFERROR(SUM(filter(#REF!,Trabalho!$B:$B=$B51,Trabalho!$A:$A=$C51,Trabalho!$K:$K=TRUE)))"),"")</f>
        <v/>
      </c>
      <c r="F51" s="225" t="str">
        <f t="shared" si="2"/>
        <v>#REF!</v>
      </c>
      <c r="G51" s="225" t="str">
        <f t="shared" si="17"/>
        <v>#REF!</v>
      </c>
      <c r="H51" s="225" t="str">
        <f t="shared" si="3"/>
        <v>#REF!</v>
      </c>
    </row>
    <row r="52">
      <c r="A52" s="225" t="str">
        <f t="shared" si="1"/>
        <v>#REF!</v>
      </c>
      <c r="B52" s="364" t="s">
        <v>809</v>
      </c>
      <c r="C52" s="364" t="s">
        <v>2543</v>
      </c>
      <c r="D52" s="365">
        <f>IFERROR(__xludf.DUMMYFUNCTION("IFERROR(SUM(filter(Trabalho!H:H,Trabalho!$B:$B=$B52,Trabalho!$A:$A=$C52,Trabalho!$K:$K=TRUE)))*24"),0.0)</f>
        <v>0</v>
      </c>
      <c r="E52" s="366" t="str">
        <f>IFERROR(__xludf.DUMMYFUNCTION("IFERROR(SUM(filter(#REF!,Trabalho!$B:$B=$B52,Trabalho!$A:$A=$C52,Trabalho!$K:$K=TRUE)))"),"")</f>
        <v/>
      </c>
      <c r="F52" s="364" t="str">
        <f t="shared" si="2"/>
        <v>#REF!</v>
      </c>
      <c r="G52" s="364" t="str">
        <f t="shared" si="17"/>
        <v>#REF!</v>
      </c>
      <c r="H52" s="364" t="str">
        <f t="shared" si="3"/>
        <v>#REF!</v>
      </c>
    </row>
    <row r="53">
      <c r="A53" s="225" t="str">
        <f t="shared" si="1"/>
        <v>#REF!</v>
      </c>
      <c r="B53" s="225" t="s">
        <v>2554</v>
      </c>
      <c r="C53" s="225" t="s">
        <v>2545</v>
      </c>
      <c r="D53" s="349">
        <f>IFERROR(__xludf.DUMMYFUNCTION("IFERROR(SUM(filter(Trabalho!H:H,Trabalho!$B:$B=$B53,Trabalho!$A:$A=$C53,Trabalho!$K:$K=TRUE)))*24"),0.0)</f>
        <v>0</v>
      </c>
      <c r="E53" s="357" t="str">
        <f>IFERROR(__xludf.DUMMYFUNCTION("IFERROR(SUM(filter(#REF!,Trabalho!$B:$B=$B53,Trabalho!$A:$A=$C53,Trabalho!$K:$K=TRUE)))"),"")</f>
        <v/>
      </c>
      <c r="F53" s="225" t="str">
        <f t="shared" si="2"/>
        <v>#REF!</v>
      </c>
      <c r="G53" s="225" t="str">
        <f>vlookup(B53,Pessoal1!$A$7:$V$26,4,false)</f>
        <v>#REF!</v>
      </c>
      <c r="H53" s="225" t="str">
        <f t="shared" si="3"/>
        <v>#REF!</v>
      </c>
    </row>
    <row r="54">
      <c r="A54" s="225" t="str">
        <f t="shared" si="1"/>
        <v>#REF!</v>
      </c>
      <c r="B54" s="225" t="s">
        <v>2555</v>
      </c>
      <c r="C54" s="352" t="s">
        <v>2545</v>
      </c>
      <c r="D54" s="349">
        <f>IFERROR(__xludf.DUMMYFUNCTION("IFERROR(SUM(filter(Trabalho!H:H,Trabalho!$B:$B=$B54,Trabalho!$A:$A=$C54,Trabalho!$K:$K=TRUE)))*24"),0.0)</f>
        <v>0</v>
      </c>
      <c r="E54" s="357" t="str">
        <f>IFERROR(__xludf.DUMMYFUNCTION("IFERROR(SUM(filter(#REF!,Trabalho!$B:$B=$B54,Trabalho!$A:$A=$C54,Trabalho!$K:$K=TRUE)))"),"")</f>
        <v/>
      </c>
      <c r="F54" s="225" t="str">
        <f t="shared" si="2"/>
        <v>#REF!</v>
      </c>
      <c r="G54" s="225" t="str">
        <f>VLOOKUP(B54,Pessoal1!$A$7:$V$31,4,FALSE)</f>
        <v>#REF!</v>
      </c>
      <c r="H54" s="225" t="str">
        <f t="shared" si="3"/>
        <v>#REF!</v>
      </c>
    </row>
    <row r="55">
      <c r="A55" s="225" t="str">
        <f t="shared" si="1"/>
        <v>#REF!</v>
      </c>
      <c r="B55" s="367" t="s">
        <v>802</v>
      </c>
      <c r="C55" s="367" t="s">
        <v>2546</v>
      </c>
      <c r="D55" s="368">
        <f>IFERROR(__xludf.DUMMYFUNCTION("IFERROR(SUM(filter(Trabalho!H:H,Trabalho!$B:$B=$B55,Trabalho!$A:$A=$C55,Trabalho!$K:$K=TRUE)))*24"),0.0)</f>
        <v>0</v>
      </c>
      <c r="E55" s="369" t="str">
        <f>IFERROR(__xludf.DUMMYFUNCTION("IFERROR(SUM(filter(#REF!,Trabalho!$B:$B=$B55,Trabalho!$A:$A=$C55,Trabalho!$K:$K=TRUE)))"),"")</f>
        <v/>
      </c>
      <c r="F55" s="367" t="str">
        <f t="shared" si="2"/>
        <v>#REF!</v>
      </c>
      <c r="G55" s="367" t="str">
        <f>vlookup(B55,Pessoal1!$A$7:$V$26,4,false)</f>
        <v>#REF!</v>
      </c>
      <c r="H55" s="367" t="str">
        <f t="shared" si="3"/>
        <v>#REF!</v>
      </c>
    </row>
    <row r="56">
      <c r="A56" s="225" t="str">
        <f t="shared" si="1"/>
        <v>#REF!</v>
      </c>
      <c r="B56" s="367" t="s">
        <v>2532</v>
      </c>
      <c r="C56" s="367" t="s">
        <v>2546</v>
      </c>
      <c r="D56" s="368">
        <f>IFERROR(__xludf.DUMMYFUNCTION("IFERROR(SUM(filter(Trabalho!H:H,Trabalho!$B:$B=$B56,Trabalho!$A:$A=$C56,Trabalho!$K:$K=TRUE)))*24"),0.0)</f>
        <v>0</v>
      </c>
      <c r="E56" s="369" t="str">
        <f>IFERROR(__xludf.DUMMYFUNCTION("IFERROR(SUM(filter(#REF!,Trabalho!$B:$B=$B56,Trabalho!$A:$A=$C56,Trabalho!$K:$K=TRUE)))"),"")</f>
        <v/>
      </c>
      <c r="F56" s="367" t="str">
        <f t="shared" si="2"/>
        <v>#REF!</v>
      </c>
      <c r="G56" s="367" t="str">
        <f t="shared" ref="G56:G60" si="18">VLOOKUP(B56,Pessoal1!$A$7:$V$31,4,FALSE)</f>
        <v>#REF!</v>
      </c>
      <c r="H56" s="367" t="str">
        <f t="shared" si="3"/>
        <v>#REF!</v>
      </c>
    </row>
    <row r="57">
      <c r="A57" s="225" t="str">
        <f t="shared" si="1"/>
        <v>#REF!</v>
      </c>
      <c r="B57" s="367" t="s">
        <v>2556</v>
      </c>
      <c r="C57" s="367" t="s">
        <v>2546</v>
      </c>
      <c r="D57" s="368">
        <f>IFERROR(__xludf.DUMMYFUNCTION("IFERROR(SUM(filter(Trabalho!H:H,Trabalho!$B:$B=$B57,Trabalho!$A:$A=$C57,Trabalho!$K:$K=TRUE)))*24"),0.0)</f>
        <v>0</v>
      </c>
      <c r="E57" s="369" t="str">
        <f>IFERROR(__xludf.DUMMYFUNCTION("IFERROR(SUM(filter(#REF!,Trabalho!$B:$B=$B57,Trabalho!$A:$A=$C57,Trabalho!$K:$K=TRUE)))"),"")</f>
        <v/>
      </c>
      <c r="F57" s="367" t="str">
        <f t="shared" si="2"/>
        <v>#REF!</v>
      </c>
      <c r="G57" s="367" t="str">
        <f t="shared" si="18"/>
        <v>#REF!</v>
      </c>
      <c r="H57" s="367" t="str">
        <f t="shared" si="3"/>
        <v>#REF!</v>
      </c>
    </row>
    <row r="58">
      <c r="A58" s="225" t="str">
        <f t="shared" si="1"/>
        <v>#REF!</v>
      </c>
      <c r="B58" s="225" t="s">
        <v>2518</v>
      </c>
      <c r="C58" s="225" t="s">
        <v>2547</v>
      </c>
      <c r="D58" s="349">
        <f>IFERROR(__xludf.DUMMYFUNCTION("IFERROR(SUM(filter(Trabalho!H:H,Trabalho!$B:$B=$B58,Trabalho!$A:$A=$C58,Trabalho!$K:$K=TRUE)))*24"),0.0)</f>
        <v>0</v>
      </c>
      <c r="E58" s="357" t="str">
        <f>IFERROR(__xludf.DUMMYFUNCTION("IFERROR(SUM(filter(#REF!,Trabalho!$B:$B=$B58,Trabalho!$A:$A=$C58,Trabalho!$K:$K=TRUE)))"),"")</f>
        <v/>
      </c>
      <c r="F58" s="225" t="str">
        <f t="shared" si="2"/>
        <v>#REF!</v>
      </c>
      <c r="G58" s="225" t="str">
        <f t="shared" si="18"/>
        <v>#REF!</v>
      </c>
      <c r="H58" s="225" t="str">
        <f t="shared" si="3"/>
        <v>#REF!</v>
      </c>
    </row>
    <row r="59">
      <c r="A59" s="225" t="str">
        <f t="shared" si="1"/>
        <v>#REF!</v>
      </c>
      <c r="B59" s="354" t="s">
        <v>2520</v>
      </c>
      <c r="C59" s="354" t="s">
        <v>2548</v>
      </c>
      <c r="D59" s="355">
        <f>IFERROR(__xludf.DUMMYFUNCTION("IFERROR(SUM(filter(Trabalho!H:H,Trabalho!$B:$B=$B59,Trabalho!$A:$A=$C59,Trabalho!$K:$K=TRUE)))*24"),0.0)</f>
        <v>0</v>
      </c>
      <c r="E59" s="356" t="str">
        <f>IFERROR(__xludf.DUMMYFUNCTION("IFERROR(SUM(filter(#REF!,Trabalho!$B:$B=$B59,Trabalho!$A:$A=$C59,Trabalho!$K:$K=TRUE)))"),"")</f>
        <v/>
      </c>
      <c r="F59" s="354" t="str">
        <f t="shared" si="2"/>
        <v>#REF!</v>
      </c>
      <c r="G59" s="354" t="str">
        <f t="shared" si="18"/>
        <v>#REF!</v>
      </c>
      <c r="H59" s="354" t="str">
        <f t="shared" si="3"/>
        <v>#REF!</v>
      </c>
    </row>
    <row r="60">
      <c r="A60" s="225" t="str">
        <f t="shared" si="1"/>
        <v>#REF!</v>
      </c>
      <c r="B60" s="354" t="s">
        <v>800</v>
      </c>
      <c r="C60" s="354" t="s">
        <v>2548</v>
      </c>
      <c r="D60" s="355">
        <f>IFERROR(__xludf.DUMMYFUNCTION("IFERROR(SUM(filter(Trabalho!H:H,Trabalho!$B:$B=$B60,Trabalho!$A:$A=$C60,Trabalho!$K:$K=TRUE)))*24"),0.0)</f>
        <v>0</v>
      </c>
      <c r="E60" s="356" t="str">
        <f>IFERROR(__xludf.DUMMYFUNCTION("IFERROR(SUM(filter(#REF!,Trabalho!$B:$B=$B60,Trabalho!$A:$A=$C60,Trabalho!$K:$K=TRUE)))"),"")</f>
        <v/>
      </c>
      <c r="F60" s="354" t="str">
        <f t="shared" si="2"/>
        <v>#REF!</v>
      </c>
      <c r="G60" s="354" t="str">
        <f t="shared" si="18"/>
        <v>#REF!</v>
      </c>
      <c r="H60" s="354" t="str">
        <f t="shared" si="3"/>
        <v>#REF!</v>
      </c>
    </row>
    <row r="61">
      <c r="A61" s="225" t="str">
        <f t="shared" si="1"/>
        <v>#REF!</v>
      </c>
      <c r="B61" s="225" t="s">
        <v>802</v>
      </c>
      <c r="C61" s="225" t="s">
        <v>2549</v>
      </c>
      <c r="D61" s="349">
        <f>IFERROR(__xludf.DUMMYFUNCTION("IFERROR(SUM(filter(Trabalho!H:H,Trabalho!$B:$B=$B61,Trabalho!$A:$A=$C61,Trabalho!$K:$K=TRUE)))*24"),0.0)</f>
        <v>0</v>
      </c>
      <c r="E61" s="357" t="str">
        <f>IFERROR(__xludf.DUMMYFUNCTION("IFERROR(SUM(filter(#REF!,Trabalho!$B:$B=$B61,Trabalho!$A:$A=$C61,Trabalho!$K:$K=TRUE)))"),"")</f>
        <v/>
      </c>
      <c r="F61" s="225" t="str">
        <f t="shared" si="2"/>
        <v>#REF!</v>
      </c>
      <c r="G61" s="225" t="str">
        <f t="shared" ref="G61:G62" si="19">vlookup(B61,Pessoal1!$A$7:$V$26,4,false)</f>
        <v>#REF!</v>
      </c>
      <c r="H61" s="225" t="str">
        <f t="shared" si="3"/>
        <v>#REF!</v>
      </c>
    </row>
    <row r="62">
      <c r="A62" s="225" t="str">
        <f t="shared" si="1"/>
        <v>#REF!</v>
      </c>
      <c r="B62" s="225" t="s">
        <v>2536</v>
      </c>
      <c r="C62" s="225" t="s">
        <v>2549</v>
      </c>
      <c r="D62" s="349">
        <f>IFERROR(__xludf.DUMMYFUNCTION("IFERROR(SUM(filter(Trabalho!H:H,Trabalho!$B:$B=$B62,Trabalho!$A:$A=$C62,Trabalho!$K:$K=TRUE)))*24"),0.0)</f>
        <v>0</v>
      </c>
      <c r="E62" s="357" t="str">
        <f>IFERROR(__xludf.DUMMYFUNCTION("IFERROR(SUM(filter(#REF!,Trabalho!$B:$B=$B62,Trabalho!$A:$A=$C62,Trabalho!$K:$K=TRUE)))"),"")</f>
        <v/>
      </c>
      <c r="F62" s="225" t="str">
        <f t="shared" si="2"/>
        <v>#REF!</v>
      </c>
      <c r="G62" s="225" t="str">
        <f t="shared" si="19"/>
        <v>#REF!</v>
      </c>
      <c r="H62" s="225" t="str">
        <f t="shared" si="3"/>
        <v>#REF!</v>
      </c>
    </row>
    <row r="63">
      <c r="A63" s="225" t="str">
        <f t="shared" si="1"/>
        <v>#REF!</v>
      </c>
      <c r="B63" s="354" t="s">
        <v>805</v>
      </c>
      <c r="C63" s="354" t="s">
        <v>2550</v>
      </c>
      <c r="D63" s="355">
        <f>IFERROR(__xludf.DUMMYFUNCTION("IFERROR(SUM(filter(Trabalho!H:H,Trabalho!$B:$B=$B63,Trabalho!$A:$A=$C63,Trabalho!$K:$K=TRUE)))*24"),0.0)</f>
        <v>0</v>
      </c>
      <c r="E63" s="356" t="str">
        <f>IFERROR(__xludf.DUMMYFUNCTION("IFERROR(SUM(filter(#REF!,Trabalho!$B:$B=$B63,Trabalho!$A:$A=$C63,Trabalho!$K:$K=TRUE)))"),"")</f>
        <v/>
      </c>
      <c r="F63" s="354" t="str">
        <f t="shared" si="2"/>
        <v>#REF!</v>
      </c>
      <c r="G63" s="354" t="str">
        <f t="shared" ref="G63:G64" si="20">VLOOKUP(B63,Pessoal1!$A$7:$V$31,4,FALSE)</f>
        <v>#REF!</v>
      </c>
      <c r="H63" s="354" t="str">
        <f t="shared" si="3"/>
        <v>#REF!</v>
      </c>
    </row>
    <row r="64">
      <c r="A64" s="225" t="str">
        <f t="shared" si="1"/>
        <v>#REF!</v>
      </c>
      <c r="B64" s="354" t="s">
        <v>2532</v>
      </c>
      <c r="C64" s="354" t="s">
        <v>2550</v>
      </c>
      <c r="D64" s="355">
        <f>IFERROR(__xludf.DUMMYFUNCTION("IFERROR(SUM(filter(Trabalho!H:H,Trabalho!$B:$B=$B64,Trabalho!$A:$A=$C64,Trabalho!$K:$K=TRUE)))*24"),0.0)</f>
        <v>0</v>
      </c>
      <c r="E64" s="356" t="str">
        <f>IFERROR(__xludf.DUMMYFUNCTION("IFERROR(SUM(filter(#REF!,Trabalho!$B:$B=$B64,Trabalho!$A:$A=$C64,Trabalho!$K:$K=TRUE)))"),"")</f>
        <v/>
      </c>
      <c r="F64" s="354" t="str">
        <f t="shared" si="2"/>
        <v>#REF!</v>
      </c>
      <c r="G64" s="354" t="str">
        <f t="shared" si="20"/>
        <v>#REF!</v>
      </c>
      <c r="H64" s="354" t="str">
        <f t="shared" si="3"/>
        <v>#REF!</v>
      </c>
    </row>
    <row r="65">
      <c r="D65" s="349"/>
      <c r="E65" s="235"/>
    </row>
    <row r="66">
      <c r="B66" s="225" t="str">
        <f t="shared" ref="B66:C66" si="21">SORT(UNIQUE(B3:B64))</f>
        <v>Aluisio Loth</v>
      </c>
      <c r="C66" s="225" t="str">
        <f t="shared" si="21"/>
        <v>NRD0000189</v>
      </c>
      <c r="D66" s="349"/>
      <c r="E66" s="235"/>
    </row>
    <row r="67">
      <c r="B67" s="225" t="s">
        <v>2534</v>
      </c>
      <c r="C67" s="225" t="s">
        <v>2519</v>
      </c>
      <c r="D67" s="349"/>
      <c r="E67" s="235"/>
    </row>
    <row r="68">
      <c r="B68" s="225" t="s">
        <v>2554</v>
      </c>
      <c r="C68" s="225" t="s">
        <v>2521</v>
      </c>
      <c r="D68" s="349"/>
      <c r="E68" s="235"/>
    </row>
    <row r="69">
      <c r="B69" s="225" t="s">
        <v>802</v>
      </c>
      <c r="C69" s="225" t="s">
        <v>2522</v>
      </c>
      <c r="D69" s="349"/>
      <c r="E69" s="235"/>
    </row>
    <row r="70">
      <c r="B70" s="225" t="s">
        <v>2551</v>
      </c>
      <c r="C70" s="225" t="s">
        <v>2524</v>
      </c>
      <c r="D70" s="349"/>
      <c r="E70" s="235"/>
    </row>
    <row r="71">
      <c r="B71" s="225" t="s">
        <v>2536</v>
      </c>
      <c r="C71" s="225" t="s">
        <v>2526</v>
      </c>
      <c r="D71" s="349"/>
      <c r="E71" s="235"/>
    </row>
    <row r="72">
      <c r="B72" s="225" t="s">
        <v>2552</v>
      </c>
      <c r="C72" s="225" t="s">
        <v>2528</v>
      </c>
      <c r="D72" s="349"/>
      <c r="E72" s="235"/>
    </row>
    <row r="73">
      <c r="B73" s="225" t="s">
        <v>796</v>
      </c>
      <c r="C73" s="225" t="s">
        <v>2529</v>
      </c>
      <c r="D73" s="349"/>
      <c r="E73" s="235"/>
    </row>
    <row r="74">
      <c r="B74" s="225" t="s">
        <v>797</v>
      </c>
      <c r="C74" s="225" t="s">
        <v>2530</v>
      </c>
      <c r="D74" s="349"/>
      <c r="E74" s="235"/>
    </row>
    <row r="75">
      <c r="B75" s="225" t="s">
        <v>799</v>
      </c>
      <c r="C75" s="225" t="s">
        <v>2531</v>
      </c>
      <c r="D75" s="349"/>
      <c r="E75" s="235"/>
    </row>
    <row r="76">
      <c r="B76" s="225" t="s">
        <v>801</v>
      </c>
      <c r="C76" s="225" t="s">
        <v>2533</v>
      </c>
      <c r="D76" s="349"/>
      <c r="E76" s="235"/>
    </row>
    <row r="77">
      <c r="B77" s="225" t="s">
        <v>2516</v>
      </c>
      <c r="C77" s="225" t="s">
        <v>2535</v>
      </c>
      <c r="D77" s="349"/>
      <c r="E77" s="235"/>
    </row>
    <row r="78">
      <c r="B78" s="225" t="s">
        <v>2555</v>
      </c>
      <c r="C78" s="225" t="s">
        <v>2537</v>
      </c>
      <c r="D78" s="349"/>
      <c r="E78" s="235"/>
    </row>
    <row r="79">
      <c r="B79" s="225" t="s">
        <v>2525</v>
      </c>
      <c r="C79" s="225" t="s">
        <v>2538</v>
      </c>
      <c r="D79" s="349"/>
      <c r="E79" s="235"/>
    </row>
    <row r="80">
      <c r="B80" s="225" t="s">
        <v>2523</v>
      </c>
      <c r="C80" s="225" t="s">
        <v>2539</v>
      </c>
      <c r="D80" s="349"/>
      <c r="E80" s="235"/>
    </row>
    <row r="81">
      <c r="B81" s="225" t="s">
        <v>2518</v>
      </c>
      <c r="C81" s="225" t="s">
        <v>2540</v>
      </c>
      <c r="D81" s="349"/>
      <c r="E81" s="235"/>
    </row>
    <row r="82">
      <c r="B82" s="225" t="s">
        <v>2527</v>
      </c>
      <c r="C82" s="225" t="s">
        <v>2541</v>
      </c>
      <c r="D82" s="349"/>
      <c r="E82" s="235"/>
    </row>
    <row r="83">
      <c r="B83" s="225" t="s">
        <v>805</v>
      </c>
      <c r="C83" s="225" t="s">
        <v>2542</v>
      </c>
      <c r="D83" s="349"/>
      <c r="E83" s="235"/>
    </row>
    <row r="84">
      <c r="B84" s="225" t="s">
        <v>2553</v>
      </c>
      <c r="C84" s="225" t="s">
        <v>2543</v>
      </c>
      <c r="D84" s="349"/>
      <c r="E84" s="235"/>
    </row>
    <row r="85">
      <c r="B85" s="225" t="s">
        <v>2520</v>
      </c>
      <c r="C85" s="225" t="s">
        <v>2545</v>
      </c>
      <c r="D85" s="349"/>
      <c r="E85" s="235"/>
    </row>
    <row r="86">
      <c r="B86" s="225" t="s">
        <v>809</v>
      </c>
      <c r="C86" s="225" t="s">
        <v>2546</v>
      </c>
      <c r="D86" s="349"/>
      <c r="E86" s="235"/>
    </row>
    <row r="87">
      <c r="B87" s="225" t="s">
        <v>2532</v>
      </c>
      <c r="C87" s="225" t="s">
        <v>2547</v>
      </c>
      <c r="D87" s="349"/>
      <c r="E87" s="235"/>
    </row>
    <row r="88">
      <c r="B88" s="225" t="s">
        <v>800</v>
      </c>
      <c r="C88" s="225" t="s">
        <v>2548</v>
      </c>
      <c r="D88" s="349"/>
      <c r="E88" s="235"/>
    </row>
    <row r="89">
      <c r="B89" s="225" t="s">
        <v>2556</v>
      </c>
      <c r="C89" s="225" t="s">
        <v>2549</v>
      </c>
      <c r="D89" s="349"/>
      <c r="E89" s="235"/>
    </row>
    <row r="90">
      <c r="C90" s="225" t="s">
        <v>2550</v>
      </c>
      <c r="D90" s="349"/>
      <c r="E90" s="235"/>
    </row>
    <row r="91">
      <c r="D91" s="349"/>
      <c r="E91" s="235"/>
    </row>
    <row r="92">
      <c r="D92" s="349"/>
      <c r="E92" s="235"/>
    </row>
    <row r="93">
      <c r="D93" s="349"/>
      <c r="E93" s="235"/>
    </row>
    <row r="94">
      <c r="D94" s="349"/>
      <c r="E94" s="235"/>
    </row>
    <row r="95">
      <c r="D95" s="349"/>
      <c r="E95" s="235"/>
    </row>
    <row r="96">
      <c r="D96" s="349"/>
      <c r="E96" s="235"/>
    </row>
    <row r="97">
      <c r="D97" s="349"/>
      <c r="E97" s="235"/>
    </row>
    <row r="98">
      <c r="D98" s="349"/>
      <c r="E98" s="235"/>
    </row>
    <row r="99">
      <c r="D99" s="349"/>
      <c r="E99" s="235"/>
    </row>
    <row r="100">
      <c r="D100" s="349"/>
      <c r="E100" s="235"/>
    </row>
    <row r="101">
      <c r="D101" s="349"/>
      <c r="E101" s="235"/>
    </row>
    <row r="102">
      <c r="D102" s="349"/>
      <c r="E102" s="235"/>
    </row>
    <row r="103">
      <c r="D103" s="349"/>
      <c r="E103" s="235"/>
    </row>
    <row r="104">
      <c r="D104" s="349"/>
      <c r="E104" s="235"/>
    </row>
    <row r="105">
      <c r="D105" s="349"/>
      <c r="E105" s="235"/>
    </row>
    <row r="106">
      <c r="D106" s="349"/>
      <c r="E106" s="235"/>
    </row>
    <row r="107">
      <c r="D107" s="349"/>
      <c r="E107" s="235"/>
    </row>
    <row r="108">
      <c r="D108" s="349"/>
      <c r="E108" s="235"/>
    </row>
    <row r="109">
      <c r="D109" s="349"/>
      <c r="E109" s="235"/>
    </row>
    <row r="110">
      <c r="D110" s="349"/>
      <c r="E110" s="235"/>
    </row>
    <row r="111">
      <c r="D111" s="349"/>
      <c r="E111" s="235"/>
    </row>
    <row r="112">
      <c r="D112" s="349"/>
      <c r="E112" s="235"/>
    </row>
    <row r="113">
      <c r="D113" s="349"/>
      <c r="E113" s="235"/>
    </row>
    <row r="114">
      <c r="D114" s="349"/>
      <c r="E114" s="235"/>
    </row>
    <row r="115">
      <c r="D115" s="349"/>
      <c r="E115" s="235"/>
    </row>
    <row r="116">
      <c r="D116" s="349"/>
      <c r="E116" s="235"/>
    </row>
    <row r="117">
      <c r="D117" s="349"/>
      <c r="E117" s="235"/>
    </row>
    <row r="118">
      <c r="D118" s="349"/>
      <c r="E118" s="235"/>
    </row>
    <row r="119">
      <c r="D119" s="349"/>
      <c r="E119" s="235"/>
    </row>
    <row r="120">
      <c r="D120" s="349"/>
      <c r="E120" s="235"/>
    </row>
    <row r="121">
      <c r="D121" s="349"/>
      <c r="E121" s="235"/>
    </row>
    <row r="122">
      <c r="D122" s="349"/>
      <c r="E122" s="235"/>
    </row>
    <row r="123">
      <c r="D123" s="349"/>
      <c r="E123" s="235"/>
    </row>
    <row r="124">
      <c r="D124" s="349"/>
      <c r="E124" s="235"/>
    </row>
    <row r="125">
      <c r="D125" s="349"/>
      <c r="E125" s="235"/>
    </row>
    <row r="126">
      <c r="D126" s="349"/>
      <c r="E126" s="235"/>
    </row>
    <row r="127">
      <c r="D127" s="349"/>
      <c r="E127" s="235"/>
    </row>
    <row r="128">
      <c r="D128" s="349"/>
      <c r="E128" s="235"/>
    </row>
    <row r="129">
      <c r="D129" s="349"/>
      <c r="E129" s="235"/>
    </row>
    <row r="130">
      <c r="D130" s="349"/>
      <c r="E130" s="235"/>
    </row>
    <row r="131">
      <c r="D131" s="349"/>
      <c r="E131" s="235"/>
    </row>
    <row r="132">
      <c r="D132" s="349"/>
      <c r="E132" s="235"/>
    </row>
    <row r="133">
      <c r="D133" s="349"/>
      <c r="E133" s="235"/>
    </row>
    <row r="134">
      <c r="D134" s="349"/>
      <c r="E134" s="235"/>
    </row>
    <row r="135">
      <c r="D135" s="349"/>
      <c r="E135" s="235"/>
    </row>
    <row r="136">
      <c r="D136" s="349"/>
      <c r="E136" s="235"/>
    </row>
    <row r="137">
      <c r="D137" s="349"/>
      <c r="E137" s="235"/>
    </row>
    <row r="138">
      <c r="D138" s="349"/>
      <c r="E138" s="235"/>
    </row>
    <row r="139">
      <c r="D139" s="349"/>
      <c r="E139" s="235"/>
    </row>
    <row r="140">
      <c r="D140" s="349"/>
      <c r="E140" s="235"/>
    </row>
    <row r="141">
      <c r="D141" s="349"/>
      <c r="E141" s="235"/>
    </row>
    <row r="142">
      <c r="D142" s="349"/>
      <c r="E142" s="235"/>
    </row>
    <row r="143">
      <c r="D143" s="349"/>
      <c r="E143" s="235"/>
    </row>
    <row r="144">
      <c r="D144" s="349"/>
      <c r="E144" s="235"/>
    </row>
    <row r="145">
      <c r="D145" s="349"/>
      <c r="E145" s="235"/>
    </row>
    <row r="146">
      <c r="D146" s="349"/>
      <c r="E146" s="235"/>
    </row>
    <row r="147">
      <c r="D147" s="349"/>
      <c r="E147" s="235"/>
    </row>
    <row r="148">
      <c r="D148" s="349"/>
      <c r="E148" s="235"/>
    </row>
    <row r="149">
      <c r="D149" s="349"/>
      <c r="E149" s="235"/>
    </row>
    <row r="150">
      <c r="D150" s="349"/>
      <c r="E150" s="235"/>
    </row>
    <row r="151">
      <c r="D151" s="349"/>
      <c r="E151" s="235"/>
    </row>
    <row r="152">
      <c r="D152" s="349"/>
      <c r="E152" s="235"/>
    </row>
    <row r="153">
      <c r="D153" s="349"/>
      <c r="E153" s="235"/>
    </row>
    <row r="154">
      <c r="D154" s="349"/>
      <c r="E154" s="235"/>
    </row>
    <row r="155">
      <c r="D155" s="349"/>
      <c r="E155" s="235"/>
    </row>
    <row r="156">
      <c r="D156" s="349"/>
      <c r="E156" s="235"/>
    </row>
    <row r="157">
      <c r="D157" s="349"/>
      <c r="E157" s="235"/>
    </row>
    <row r="158">
      <c r="D158" s="349"/>
      <c r="E158" s="235"/>
    </row>
    <row r="159">
      <c r="D159" s="349"/>
      <c r="E159" s="235"/>
    </row>
    <row r="160">
      <c r="D160" s="349"/>
      <c r="E160" s="235"/>
    </row>
    <row r="161">
      <c r="D161" s="349"/>
      <c r="E161" s="235"/>
    </row>
    <row r="162">
      <c r="D162" s="349"/>
      <c r="E162" s="235"/>
    </row>
    <row r="163">
      <c r="D163" s="349"/>
      <c r="E163" s="235"/>
    </row>
    <row r="164">
      <c r="D164" s="349"/>
      <c r="E164" s="235"/>
    </row>
    <row r="165">
      <c r="D165" s="349"/>
      <c r="E165" s="235"/>
    </row>
    <row r="166">
      <c r="D166" s="349"/>
      <c r="E166" s="235"/>
    </row>
    <row r="167">
      <c r="D167" s="349"/>
      <c r="E167" s="235"/>
    </row>
    <row r="168">
      <c r="D168" s="349"/>
      <c r="E168" s="235"/>
    </row>
    <row r="169">
      <c r="D169" s="349"/>
      <c r="E169" s="235"/>
    </row>
    <row r="170">
      <c r="D170" s="349"/>
      <c r="E170" s="235"/>
    </row>
    <row r="171">
      <c r="D171" s="349"/>
      <c r="E171" s="235"/>
    </row>
    <row r="172">
      <c r="D172" s="349"/>
      <c r="E172" s="235"/>
    </row>
    <row r="173">
      <c r="D173" s="349"/>
      <c r="E173" s="235"/>
    </row>
    <row r="174">
      <c r="D174" s="349"/>
      <c r="E174" s="235"/>
    </row>
    <row r="175">
      <c r="D175" s="349"/>
      <c r="E175" s="235"/>
    </row>
    <row r="176">
      <c r="D176" s="349"/>
      <c r="E176" s="235"/>
    </row>
    <row r="177">
      <c r="D177" s="349"/>
      <c r="E177" s="235"/>
    </row>
    <row r="178">
      <c r="D178" s="349"/>
      <c r="E178" s="235"/>
    </row>
    <row r="179">
      <c r="D179" s="349"/>
      <c r="E179" s="235"/>
    </row>
    <row r="180">
      <c r="D180" s="349"/>
      <c r="E180" s="235"/>
    </row>
    <row r="181">
      <c r="D181" s="349"/>
      <c r="E181" s="235"/>
    </row>
    <row r="182">
      <c r="D182" s="349"/>
      <c r="E182" s="235"/>
    </row>
    <row r="183">
      <c r="D183" s="349"/>
      <c r="E183" s="235"/>
    </row>
    <row r="184">
      <c r="D184" s="349"/>
      <c r="E184" s="235"/>
    </row>
    <row r="185">
      <c r="D185" s="349"/>
      <c r="E185" s="235"/>
    </row>
    <row r="186">
      <c r="D186" s="349"/>
      <c r="E186" s="235"/>
    </row>
    <row r="187">
      <c r="D187" s="349"/>
      <c r="E187" s="235"/>
    </row>
    <row r="188">
      <c r="D188" s="349"/>
      <c r="E188" s="235"/>
    </row>
    <row r="189">
      <c r="D189" s="349"/>
      <c r="E189" s="235"/>
    </row>
    <row r="190">
      <c r="D190" s="349"/>
      <c r="E190" s="235"/>
    </row>
    <row r="191">
      <c r="D191" s="349"/>
      <c r="E191" s="235"/>
    </row>
    <row r="192">
      <c r="D192" s="349"/>
      <c r="E192" s="235"/>
    </row>
    <row r="193">
      <c r="D193" s="349"/>
      <c r="E193" s="235"/>
    </row>
    <row r="194">
      <c r="D194" s="349"/>
      <c r="E194" s="235"/>
    </row>
    <row r="195">
      <c r="D195" s="349"/>
      <c r="E195" s="235"/>
    </row>
    <row r="196">
      <c r="D196" s="349"/>
      <c r="E196" s="235"/>
    </row>
    <row r="197">
      <c r="D197" s="349"/>
      <c r="E197" s="235"/>
    </row>
    <row r="198">
      <c r="D198" s="349"/>
      <c r="E198" s="235"/>
    </row>
    <row r="199">
      <c r="D199" s="349"/>
      <c r="E199" s="235"/>
    </row>
    <row r="200">
      <c r="D200" s="349"/>
      <c r="E200" s="235"/>
    </row>
    <row r="201">
      <c r="D201" s="349"/>
      <c r="E201" s="235"/>
    </row>
    <row r="202">
      <c r="D202" s="349"/>
      <c r="E202" s="235"/>
    </row>
    <row r="203">
      <c r="D203" s="349"/>
      <c r="E203" s="235"/>
    </row>
    <row r="204">
      <c r="D204" s="349"/>
      <c r="E204" s="235"/>
    </row>
    <row r="205">
      <c r="D205" s="349"/>
      <c r="E205" s="235"/>
    </row>
    <row r="206">
      <c r="D206" s="349"/>
      <c r="E206" s="235"/>
    </row>
    <row r="207">
      <c r="D207" s="349"/>
      <c r="E207" s="235"/>
    </row>
    <row r="208">
      <c r="D208" s="349"/>
      <c r="E208" s="235"/>
    </row>
    <row r="209">
      <c r="D209" s="349"/>
      <c r="E209" s="235"/>
    </row>
    <row r="210">
      <c r="D210" s="349"/>
      <c r="E210" s="235"/>
    </row>
    <row r="211">
      <c r="D211" s="349"/>
      <c r="E211" s="235"/>
    </row>
    <row r="212">
      <c r="D212" s="349"/>
      <c r="E212" s="235"/>
    </row>
    <row r="213">
      <c r="D213" s="349"/>
      <c r="E213" s="235"/>
    </row>
    <row r="214">
      <c r="D214" s="349"/>
      <c r="E214" s="235"/>
    </row>
    <row r="215">
      <c r="D215" s="349"/>
      <c r="E215" s="235"/>
    </row>
    <row r="216">
      <c r="D216" s="349"/>
      <c r="E216" s="235"/>
    </row>
    <row r="217">
      <c r="D217" s="349"/>
      <c r="E217" s="235"/>
    </row>
    <row r="218">
      <c r="D218" s="349"/>
      <c r="E218" s="235"/>
    </row>
    <row r="219">
      <c r="D219" s="349"/>
      <c r="E219" s="235"/>
    </row>
    <row r="220">
      <c r="D220" s="349"/>
      <c r="E220" s="235"/>
    </row>
    <row r="221">
      <c r="D221" s="349"/>
      <c r="E221" s="235"/>
    </row>
    <row r="222">
      <c r="D222" s="349"/>
      <c r="E222" s="235"/>
    </row>
    <row r="223">
      <c r="D223" s="349"/>
      <c r="E223" s="235"/>
    </row>
    <row r="224">
      <c r="D224" s="349"/>
      <c r="E224" s="235"/>
    </row>
    <row r="225">
      <c r="D225" s="349"/>
      <c r="E225" s="235"/>
    </row>
    <row r="226">
      <c r="D226" s="349"/>
      <c r="E226" s="235"/>
    </row>
    <row r="227">
      <c r="D227" s="349"/>
      <c r="E227" s="235"/>
    </row>
    <row r="228">
      <c r="D228" s="349"/>
      <c r="E228" s="235"/>
    </row>
    <row r="229">
      <c r="D229" s="349"/>
      <c r="E229" s="235"/>
    </row>
    <row r="230">
      <c r="D230" s="349"/>
      <c r="E230" s="235"/>
    </row>
    <row r="231">
      <c r="D231" s="349"/>
      <c r="E231" s="235"/>
    </row>
    <row r="232">
      <c r="D232" s="349"/>
      <c r="E232" s="235"/>
    </row>
    <row r="233">
      <c r="D233" s="349"/>
      <c r="E233" s="235"/>
    </row>
    <row r="234">
      <c r="D234" s="349"/>
      <c r="E234" s="235"/>
    </row>
    <row r="235">
      <c r="D235" s="349"/>
      <c r="E235" s="235"/>
    </row>
    <row r="236">
      <c r="D236" s="349"/>
      <c r="E236" s="235"/>
    </row>
    <row r="237">
      <c r="D237" s="349"/>
      <c r="E237" s="235"/>
    </row>
    <row r="238">
      <c r="D238" s="349"/>
      <c r="E238" s="235"/>
    </row>
    <row r="239">
      <c r="D239" s="349"/>
      <c r="E239" s="235"/>
    </row>
    <row r="240">
      <c r="D240" s="349"/>
      <c r="E240" s="235"/>
    </row>
    <row r="241">
      <c r="D241" s="349"/>
      <c r="E241" s="235"/>
    </row>
    <row r="242">
      <c r="D242" s="349"/>
      <c r="E242" s="235"/>
    </row>
    <row r="243">
      <c r="D243" s="349"/>
      <c r="E243" s="235"/>
    </row>
    <row r="244">
      <c r="D244" s="349"/>
      <c r="E244" s="235"/>
    </row>
    <row r="245">
      <c r="D245" s="349"/>
      <c r="E245" s="235"/>
    </row>
    <row r="246">
      <c r="D246" s="349"/>
      <c r="E246" s="235"/>
    </row>
    <row r="247">
      <c r="D247" s="349"/>
      <c r="E247" s="235"/>
    </row>
    <row r="248">
      <c r="D248" s="349"/>
      <c r="E248" s="235"/>
    </row>
    <row r="249">
      <c r="D249" s="349"/>
      <c r="E249" s="235"/>
    </row>
    <row r="250">
      <c r="D250" s="349"/>
      <c r="E250" s="235"/>
    </row>
    <row r="251">
      <c r="D251" s="349"/>
      <c r="E251" s="235"/>
    </row>
    <row r="252">
      <c r="D252" s="349"/>
      <c r="E252" s="235"/>
    </row>
    <row r="253">
      <c r="D253" s="349"/>
      <c r="E253" s="235"/>
    </row>
    <row r="254">
      <c r="D254" s="349"/>
      <c r="E254" s="235"/>
    </row>
    <row r="255">
      <c r="D255" s="349"/>
      <c r="E255" s="235"/>
    </row>
    <row r="256">
      <c r="D256" s="349"/>
      <c r="E256" s="235"/>
    </row>
    <row r="257">
      <c r="D257" s="349"/>
      <c r="E257" s="235"/>
    </row>
    <row r="258">
      <c r="D258" s="349"/>
      <c r="E258" s="235"/>
    </row>
    <row r="259">
      <c r="D259" s="349"/>
      <c r="E259" s="235"/>
    </row>
    <row r="260">
      <c r="D260" s="349"/>
      <c r="E260" s="235"/>
    </row>
    <row r="261">
      <c r="D261" s="349"/>
      <c r="E261" s="235"/>
    </row>
    <row r="262">
      <c r="D262" s="349"/>
      <c r="E262" s="235"/>
    </row>
    <row r="263">
      <c r="D263" s="349"/>
      <c r="E263" s="235"/>
    </row>
    <row r="264">
      <c r="D264" s="349"/>
      <c r="E264" s="235"/>
    </row>
    <row r="265">
      <c r="D265" s="349"/>
      <c r="E265" s="235"/>
    </row>
    <row r="266">
      <c r="D266" s="349"/>
      <c r="E266" s="235"/>
    </row>
    <row r="267">
      <c r="D267" s="349"/>
      <c r="E267" s="235"/>
    </row>
    <row r="268">
      <c r="D268" s="349"/>
      <c r="E268" s="235"/>
    </row>
    <row r="269">
      <c r="D269" s="349"/>
      <c r="E269" s="235"/>
    </row>
    <row r="270">
      <c r="D270" s="349"/>
      <c r="E270" s="235"/>
    </row>
    <row r="271">
      <c r="D271" s="349"/>
      <c r="E271" s="235"/>
    </row>
    <row r="272">
      <c r="D272" s="349"/>
      <c r="E272" s="235"/>
    </row>
    <row r="273">
      <c r="D273" s="349"/>
      <c r="E273" s="235"/>
    </row>
    <row r="274">
      <c r="D274" s="349"/>
      <c r="E274" s="235"/>
    </row>
    <row r="275">
      <c r="D275" s="349"/>
      <c r="E275" s="235"/>
    </row>
    <row r="276">
      <c r="D276" s="349"/>
      <c r="E276" s="235"/>
    </row>
    <row r="277">
      <c r="D277" s="349"/>
      <c r="E277" s="235"/>
    </row>
    <row r="278">
      <c r="D278" s="349"/>
      <c r="E278" s="235"/>
    </row>
    <row r="279">
      <c r="D279" s="349"/>
      <c r="E279" s="235"/>
    </row>
    <row r="280">
      <c r="D280" s="349"/>
      <c r="E280" s="235"/>
    </row>
    <row r="281">
      <c r="D281" s="349"/>
      <c r="E281" s="235"/>
    </row>
    <row r="282">
      <c r="D282" s="349"/>
      <c r="E282" s="235"/>
    </row>
    <row r="283">
      <c r="D283" s="349"/>
      <c r="E283" s="235"/>
    </row>
    <row r="284">
      <c r="D284" s="349"/>
      <c r="E284" s="235"/>
    </row>
    <row r="285">
      <c r="D285" s="349"/>
      <c r="E285" s="235"/>
    </row>
    <row r="286">
      <c r="D286" s="349"/>
      <c r="E286" s="235"/>
    </row>
    <row r="287">
      <c r="D287" s="349"/>
      <c r="E287" s="235"/>
    </row>
    <row r="288">
      <c r="D288" s="349"/>
      <c r="E288" s="235"/>
    </row>
    <row r="289">
      <c r="D289" s="349"/>
      <c r="E289" s="235"/>
    </row>
    <row r="290">
      <c r="D290" s="349"/>
      <c r="E290" s="235"/>
    </row>
    <row r="291">
      <c r="D291" s="349"/>
      <c r="E291" s="235"/>
    </row>
    <row r="292">
      <c r="D292" s="349"/>
      <c r="E292" s="235"/>
    </row>
    <row r="293">
      <c r="D293" s="349"/>
      <c r="E293" s="235"/>
    </row>
    <row r="294">
      <c r="D294" s="349"/>
      <c r="E294" s="235"/>
    </row>
    <row r="295">
      <c r="D295" s="349"/>
      <c r="E295" s="235"/>
    </row>
    <row r="296">
      <c r="D296" s="349"/>
      <c r="E296" s="235"/>
    </row>
    <row r="297">
      <c r="D297" s="349"/>
      <c r="E297" s="235"/>
    </row>
    <row r="298">
      <c r="D298" s="349"/>
      <c r="E298" s="235"/>
    </row>
    <row r="299">
      <c r="D299" s="349"/>
      <c r="E299" s="235"/>
    </row>
    <row r="300">
      <c r="D300" s="349"/>
      <c r="E300" s="235"/>
    </row>
    <row r="301">
      <c r="D301" s="349"/>
      <c r="E301" s="235"/>
    </row>
    <row r="302">
      <c r="D302" s="349"/>
      <c r="E302" s="235"/>
    </row>
    <row r="303">
      <c r="D303" s="349"/>
      <c r="E303" s="235"/>
    </row>
    <row r="304">
      <c r="D304" s="349"/>
      <c r="E304" s="235"/>
    </row>
    <row r="305">
      <c r="D305" s="349"/>
      <c r="E305" s="235"/>
    </row>
    <row r="306">
      <c r="D306" s="349"/>
      <c r="E306" s="235"/>
    </row>
    <row r="307">
      <c r="D307" s="349"/>
      <c r="E307" s="235"/>
    </row>
    <row r="308">
      <c r="D308" s="349"/>
      <c r="E308" s="235"/>
    </row>
    <row r="309">
      <c r="D309" s="349"/>
      <c r="E309" s="235"/>
    </row>
    <row r="310">
      <c r="D310" s="349"/>
      <c r="E310" s="235"/>
    </row>
    <row r="311">
      <c r="D311" s="349"/>
      <c r="E311" s="235"/>
    </row>
    <row r="312">
      <c r="D312" s="349"/>
      <c r="E312" s="235"/>
    </row>
    <row r="313">
      <c r="D313" s="349"/>
      <c r="E313" s="235"/>
    </row>
    <row r="314">
      <c r="D314" s="349"/>
      <c r="E314" s="235"/>
    </row>
    <row r="315">
      <c r="D315" s="349"/>
      <c r="E315" s="235"/>
    </row>
    <row r="316">
      <c r="D316" s="349"/>
      <c r="E316" s="235"/>
    </row>
    <row r="317">
      <c r="D317" s="349"/>
      <c r="E317" s="235"/>
    </row>
    <row r="318">
      <c r="D318" s="349"/>
      <c r="E318" s="235"/>
    </row>
    <row r="319">
      <c r="D319" s="349"/>
      <c r="E319" s="235"/>
    </row>
    <row r="320">
      <c r="D320" s="349"/>
      <c r="E320" s="235"/>
    </row>
    <row r="321">
      <c r="D321" s="349"/>
      <c r="E321" s="235"/>
    </row>
    <row r="322">
      <c r="D322" s="349"/>
      <c r="E322" s="235"/>
    </row>
    <row r="323">
      <c r="D323" s="349"/>
      <c r="E323" s="235"/>
    </row>
    <row r="324">
      <c r="D324" s="349"/>
      <c r="E324" s="235"/>
    </row>
    <row r="325">
      <c r="D325" s="349"/>
      <c r="E325" s="235"/>
    </row>
    <row r="326">
      <c r="D326" s="349"/>
      <c r="E326" s="235"/>
    </row>
    <row r="327">
      <c r="D327" s="349"/>
      <c r="E327" s="235"/>
    </row>
    <row r="328">
      <c r="D328" s="349"/>
      <c r="E328" s="235"/>
    </row>
    <row r="329">
      <c r="D329" s="349"/>
      <c r="E329" s="235"/>
    </row>
    <row r="330">
      <c r="D330" s="349"/>
      <c r="E330" s="235"/>
    </row>
    <row r="331">
      <c r="D331" s="349"/>
      <c r="E331" s="235"/>
    </row>
    <row r="332">
      <c r="D332" s="349"/>
      <c r="E332" s="235"/>
    </row>
    <row r="333">
      <c r="D333" s="349"/>
      <c r="E333" s="235"/>
    </row>
    <row r="334">
      <c r="D334" s="349"/>
      <c r="E334" s="235"/>
    </row>
    <row r="335">
      <c r="D335" s="349"/>
      <c r="E335" s="235"/>
    </row>
    <row r="336">
      <c r="D336" s="349"/>
      <c r="E336" s="235"/>
    </row>
    <row r="337">
      <c r="D337" s="349"/>
      <c r="E337" s="235"/>
    </row>
    <row r="338">
      <c r="D338" s="349"/>
      <c r="E338" s="235"/>
    </row>
    <row r="339">
      <c r="D339" s="349"/>
      <c r="E339" s="235"/>
    </row>
    <row r="340">
      <c r="D340" s="349"/>
      <c r="E340" s="235"/>
    </row>
    <row r="341">
      <c r="D341" s="349"/>
      <c r="E341" s="235"/>
    </row>
    <row r="342">
      <c r="D342" s="349"/>
      <c r="E342" s="235"/>
    </row>
    <row r="343">
      <c r="D343" s="349"/>
      <c r="E343" s="235"/>
    </row>
    <row r="344">
      <c r="D344" s="349"/>
      <c r="E344" s="235"/>
    </row>
    <row r="345">
      <c r="D345" s="349"/>
      <c r="E345" s="235"/>
    </row>
    <row r="346">
      <c r="D346" s="349"/>
      <c r="E346" s="235"/>
    </row>
    <row r="347">
      <c r="D347" s="349"/>
      <c r="E347" s="235"/>
    </row>
    <row r="348">
      <c r="D348" s="349"/>
      <c r="E348" s="235"/>
    </row>
    <row r="349">
      <c r="D349" s="349"/>
      <c r="E349" s="235"/>
    </row>
    <row r="350">
      <c r="D350" s="349"/>
      <c r="E350" s="235"/>
    </row>
    <row r="351">
      <c r="D351" s="349"/>
      <c r="E351" s="235"/>
    </row>
    <row r="352">
      <c r="D352" s="349"/>
      <c r="E352" s="235"/>
    </row>
    <row r="353">
      <c r="D353" s="349"/>
      <c r="E353" s="235"/>
    </row>
    <row r="354">
      <c r="D354" s="349"/>
      <c r="E354" s="235"/>
    </row>
    <row r="355">
      <c r="D355" s="349"/>
      <c r="E355" s="235"/>
    </row>
    <row r="356">
      <c r="D356" s="349"/>
      <c r="E356" s="235"/>
    </row>
    <row r="357">
      <c r="D357" s="349"/>
      <c r="E357" s="235"/>
    </row>
    <row r="358">
      <c r="D358" s="349"/>
      <c r="E358" s="235"/>
    </row>
    <row r="359">
      <c r="D359" s="349"/>
      <c r="E359" s="235"/>
    </row>
    <row r="360">
      <c r="D360" s="349"/>
      <c r="E360" s="235"/>
    </row>
    <row r="361">
      <c r="D361" s="349"/>
      <c r="E361" s="235"/>
    </row>
    <row r="362">
      <c r="D362" s="349"/>
      <c r="E362" s="235"/>
    </row>
    <row r="363">
      <c r="D363" s="349"/>
      <c r="E363" s="235"/>
    </row>
    <row r="364">
      <c r="D364" s="349"/>
      <c r="E364" s="235"/>
    </row>
    <row r="365">
      <c r="D365" s="349"/>
      <c r="E365" s="235"/>
    </row>
    <row r="366">
      <c r="D366" s="349"/>
      <c r="E366" s="235"/>
    </row>
    <row r="367">
      <c r="D367" s="349"/>
      <c r="E367" s="235"/>
    </row>
    <row r="368">
      <c r="D368" s="349"/>
      <c r="E368" s="235"/>
    </row>
    <row r="369">
      <c r="D369" s="349"/>
      <c r="E369" s="235"/>
    </row>
    <row r="370">
      <c r="D370" s="349"/>
      <c r="E370" s="235"/>
    </row>
    <row r="371">
      <c r="D371" s="349"/>
      <c r="E371" s="235"/>
    </row>
    <row r="372">
      <c r="D372" s="349"/>
      <c r="E372" s="235"/>
    </row>
    <row r="373">
      <c r="D373" s="349"/>
      <c r="E373" s="235"/>
    </row>
    <row r="374">
      <c r="D374" s="349"/>
      <c r="E374" s="235"/>
    </row>
    <row r="375">
      <c r="D375" s="349"/>
      <c r="E375" s="235"/>
    </row>
    <row r="376">
      <c r="D376" s="349"/>
      <c r="E376" s="235"/>
    </row>
    <row r="377">
      <c r="D377" s="349"/>
      <c r="E377" s="235"/>
    </row>
    <row r="378">
      <c r="D378" s="349"/>
      <c r="E378" s="235"/>
    </row>
    <row r="379">
      <c r="D379" s="349"/>
      <c r="E379" s="235"/>
    </row>
    <row r="380">
      <c r="D380" s="349"/>
      <c r="E380" s="235"/>
    </row>
    <row r="381">
      <c r="D381" s="349"/>
      <c r="E381" s="235"/>
    </row>
    <row r="382">
      <c r="D382" s="349"/>
      <c r="E382" s="235"/>
    </row>
    <row r="383">
      <c r="D383" s="349"/>
      <c r="E383" s="235"/>
    </row>
    <row r="384">
      <c r="D384" s="349"/>
      <c r="E384" s="235"/>
    </row>
    <row r="385">
      <c r="D385" s="349"/>
      <c r="E385" s="235"/>
    </row>
    <row r="386">
      <c r="D386" s="349"/>
      <c r="E386" s="235"/>
    </row>
    <row r="387">
      <c r="D387" s="349"/>
      <c r="E387" s="235"/>
    </row>
    <row r="388">
      <c r="D388" s="349"/>
      <c r="E388" s="235"/>
    </row>
    <row r="389">
      <c r="D389" s="349"/>
      <c r="E389" s="235"/>
    </row>
    <row r="390">
      <c r="D390" s="349"/>
      <c r="E390" s="235"/>
    </row>
    <row r="391">
      <c r="D391" s="349"/>
      <c r="E391" s="235"/>
    </row>
    <row r="392">
      <c r="D392" s="349"/>
      <c r="E392" s="235"/>
    </row>
    <row r="393">
      <c r="D393" s="349"/>
      <c r="E393" s="235"/>
    </row>
    <row r="394">
      <c r="D394" s="349"/>
      <c r="E394" s="235"/>
    </row>
    <row r="395">
      <c r="D395" s="349"/>
      <c r="E395" s="235"/>
    </row>
    <row r="396">
      <c r="D396" s="349"/>
      <c r="E396" s="235"/>
    </row>
    <row r="397">
      <c r="D397" s="349"/>
      <c r="E397" s="235"/>
    </row>
    <row r="398">
      <c r="D398" s="349"/>
      <c r="E398" s="235"/>
    </row>
    <row r="399">
      <c r="D399" s="349"/>
      <c r="E399" s="235"/>
    </row>
    <row r="400">
      <c r="D400" s="349"/>
      <c r="E400" s="235"/>
    </row>
    <row r="401">
      <c r="D401" s="349"/>
      <c r="E401" s="235"/>
    </row>
    <row r="402">
      <c r="D402" s="349"/>
      <c r="E402" s="235"/>
    </row>
    <row r="403">
      <c r="D403" s="349"/>
      <c r="E403" s="235"/>
    </row>
    <row r="404">
      <c r="D404" s="349"/>
      <c r="E404" s="235"/>
    </row>
    <row r="405">
      <c r="D405" s="349"/>
      <c r="E405" s="235"/>
    </row>
    <row r="406">
      <c r="D406" s="349"/>
      <c r="E406" s="235"/>
    </row>
    <row r="407">
      <c r="D407" s="349"/>
      <c r="E407" s="235"/>
    </row>
    <row r="408">
      <c r="D408" s="349"/>
      <c r="E408" s="235"/>
    </row>
    <row r="409">
      <c r="D409" s="349"/>
      <c r="E409" s="235"/>
    </row>
    <row r="410">
      <c r="D410" s="349"/>
      <c r="E410" s="235"/>
    </row>
    <row r="411">
      <c r="D411" s="349"/>
      <c r="E411" s="235"/>
    </row>
    <row r="412">
      <c r="D412" s="349"/>
      <c r="E412" s="235"/>
    </row>
    <row r="413">
      <c r="D413" s="349"/>
      <c r="E413" s="235"/>
    </row>
    <row r="414">
      <c r="D414" s="349"/>
      <c r="E414" s="235"/>
    </row>
    <row r="415">
      <c r="D415" s="349"/>
      <c r="E415" s="235"/>
    </row>
    <row r="416">
      <c r="D416" s="349"/>
      <c r="E416" s="235"/>
    </row>
    <row r="417">
      <c r="D417" s="349"/>
      <c r="E417" s="235"/>
    </row>
    <row r="418">
      <c r="D418" s="349"/>
      <c r="E418" s="235"/>
    </row>
    <row r="419">
      <c r="D419" s="349"/>
      <c r="E419" s="235"/>
    </row>
    <row r="420">
      <c r="D420" s="349"/>
      <c r="E420" s="235"/>
    </row>
    <row r="421">
      <c r="D421" s="349"/>
      <c r="E421" s="235"/>
    </row>
    <row r="422">
      <c r="D422" s="349"/>
      <c r="E422" s="235"/>
    </row>
    <row r="423">
      <c r="D423" s="349"/>
      <c r="E423" s="235"/>
    </row>
    <row r="424">
      <c r="D424" s="349"/>
      <c r="E424" s="235"/>
    </row>
    <row r="425">
      <c r="D425" s="349"/>
      <c r="E425" s="235"/>
    </row>
    <row r="426">
      <c r="D426" s="349"/>
      <c r="E426" s="235"/>
    </row>
    <row r="427">
      <c r="D427" s="349"/>
      <c r="E427" s="235"/>
    </row>
    <row r="428">
      <c r="D428" s="349"/>
      <c r="E428" s="235"/>
    </row>
    <row r="429">
      <c r="D429" s="349"/>
      <c r="E429" s="235"/>
    </row>
    <row r="430">
      <c r="D430" s="349"/>
      <c r="E430" s="235"/>
    </row>
    <row r="431">
      <c r="D431" s="349"/>
      <c r="E431" s="235"/>
    </row>
    <row r="432">
      <c r="D432" s="349"/>
      <c r="E432" s="235"/>
    </row>
    <row r="433">
      <c r="D433" s="349"/>
      <c r="E433" s="235"/>
    </row>
    <row r="434">
      <c r="D434" s="349"/>
      <c r="E434" s="235"/>
    </row>
    <row r="435">
      <c r="D435" s="349"/>
      <c r="E435" s="235"/>
    </row>
    <row r="436">
      <c r="D436" s="349"/>
      <c r="E436" s="235"/>
    </row>
    <row r="437">
      <c r="D437" s="349"/>
      <c r="E437" s="235"/>
    </row>
    <row r="438">
      <c r="D438" s="349"/>
      <c r="E438" s="235"/>
    </row>
    <row r="439">
      <c r="D439" s="349"/>
      <c r="E439" s="235"/>
    </row>
    <row r="440">
      <c r="D440" s="349"/>
      <c r="E440" s="235"/>
    </row>
    <row r="441">
      <c r="D441" s="349"/>
      <c r="E441" s="235"/>
    </row>
    <row r="442">
      <c r="D442" s="349"/>
      <c r="E442" s="235"/>
    </row>
    <row r="443">
      <c r="D443" s="349"/>
      <c r="E443" s="235"/>
    </row>
    <row r="444">
      <c r="D444" s="349"/>
      <c r="E444" s="235"/>
    </row>
    <row r="445">
      <c r="D445" s="349"/>
      <c r="E445" s="235"/>
    </row>
    <row r="446">
      <c r="D446" s="349"/>
      <c r="E446" s="235"/>
    </row>
    <row r="447">
      <c r="D447" s="349"/>
      <c r="E447" s="235"/>
    </row>
    <row r="448">
      <c r="D448" s="349"/>
      <c r="E448" s="235"/>
    </row>
    <row r="449">
      <c r="D449" s="349"/>
      <c r="E449" s="235"/>
    </row>
    <row r="450">
      <c r="D450" s="349"/>
      <c r="E450" s="235"/>
    </row>
    <row r="451">
      <c r="D451" s="349"/>
      <c r="E451" s="235"/>
    </row>
    <row r="452">
      <c r="D452" s="349"/>
      <c r="E452" s="235"/>
    </row>
    <row r="453">
      <c r="D453" s="349"/>
      <c r="E453" s="235"/>
    </row>
    <row r="454">
      <c r="D454" s="349"/>
      <c r="E454" s="235"/>
    </row>
    <row r="455">
      <c r="D455" s="349"/>
      <c r="E455" s="235"/>
    </row>
    <row r="456">
      <c r="D456" s="349"/>
      <c r="E456" s="235"/>
    </row>
    <row r="457">
      <c r="D457" s="349"/>
      <c r="E457" s="235"/>
    </row>
    <row r="458">
      <c r="D458" s="349"/>
      <c r="E458" s="235"/>
    </row>
    <row r="459">
      <c r="D459" s="349"/>
      <c r="E459" s="235"/>
    </row>
    <row r="460">
      <c r="D460" s="349"/>
      <c r="E460" s="235"/>
    </row>
    <row r="461">
      <c r="D461" s="349"/>
      <c r="E461" s="235"/>
    </row>
    <row r="462">
      <c r="D462" s="349"/>
      <c r="E462" s="235"/>
    </row>
    <row r="463">
      <c r="D463" s="349"/>
      <c r="E463" s="235"/>
    </row>
    <row r="464">
      <c r="D464" s="349"/>
      <c r="E464" s="235"/>
    </row>
    <row r="465">
      <c r="D465" s="349"/>
      <c r="E465" s="235"/>
    </row>
    <row r="466">
      <c r="D466" s="349"/>
      <c r="E466" s="235"/>
    </row>
    <row r="467">
      <c r="D467" s="349"/>
      <c r="E467" s="235"/>
    </row>
    <row r="468">
      <c r="D468" s="349"/>
      <c r="E468" s="235"/>
    </row>
    <row r="469">
      <c r="D469" s="349"/>
      <c r="E469" s="235"/>
    </row>
    <row r="470">
      <c r="D470" s="349"/>
      <c r="E470" s="235"/>
    </row>
    <row r="471">
      <c r="D471" s="349"/>
      <c r="E471" s="235"/>
    </row>
    <row r="472">
      <c r="D472" s="349"/>
      <c r="E472" s="235"/>
    </row>
    <row r="473">
      <c r="D473" s="349"/>
      <c r="E473" s="235"/>
    </row>
    <row r="474">
      <c r="D474" s="349"/>
      <c r="E474" s="235"/>
    </row>
    <row r="475">
      <c r="D475" s="349"/>
      <c r="E475" s="235"/>
    </row>
    <row r="476">
      <c r="D476" s="349"/>
      <c r="E476" s="235"/>
    </row>
    <row r="477">
      <c r="D477" s="349"/>
      <c r="E477" s="235"/>
    </row>
    <row r="478">
      <c r="D478" s="349"/>
      <c r="E478" s="235"/>
    </row>
    <row r="479">
      <c r="D479" s="349"/>
      <c r="E479" s="235"/>
    </row>
    <row r="480">
      <c r="D480" s="349"/>
      <c r="E480" s="235"/>
    </row>
    <row r="481">
      <c r="D481" s="349"/>
      <c r="E481" s="235"/>
    </row>
    <row r="482">
      <c r="D482" s="349"/>
      <c r="E482" s="235"/>
    </row>
    <row r="483">
      <c r="D483" s="349"/>
      <c r="E483" s="235"/>
    </row>
    <row r="484">
      <c r="D484" s="349"/>
      <c r="E484" s="235"/>
    </row>
    <row r="485">
      <c r="D485" s="349"/>
      <c r="E485" s="235"/>
    </row>
    <row r="486">
      <c r="D486" s="349"/>
      <c r="E486" s="235"/>
    </row>
    <row r="487">
      <c r="D487" s="349"/>
      <c r="E487" s="235"/>
    </row>
    <row r="488">
      <c r="D488" s="349"/>
      <c r="E488" s="235"/>
    </row>
    <row r="489">
      <c r="D489" s="349"/>
      <c r="E489" s="235"/>
    </row>
    <row r="490">
      <c r="D490" s="349"/>
      <c r="E490" s="235"/>
    </row>
    <row r="491">
      <c r="D491" s="349"/>
      <c r="E491" s="235"/>
    </row>
    <row r="492">
      <c r="D492" s="349"/>
      <c r="E492" s="235"/>
    </row>
    <row r="493">
      <c r="D493" s="349"/>
      <c r="E493" s="235"/>
    </row>
    <row r="494">
      <c r="D494" s="349"/>
      <c r="E494" s="235"/>
    </row>
    <row r="495">
      <c r="D495" s="349"/>
      <c r="E495" s="235"/>
    </row>
    <row r="496">
      <c r="D496" s="349"/>
      <c r="E496" s="235"/>
    </row>
    <row r="497">
      <c r="D497" s="349"/>
      <c r="E497" s="235"/>
    </row>
    <row r="498">
      <c r="D498" s="349"/>
      <c r="E498" s="235"/>
    </row>
    <row r="499">
      <c r="D499" s="349"/>
      <c r="E499" s="235"/>
    </row>
    <row r="500">
      <c r="D500" s="349"/>
      <c r="E500" s="235"/>
    </row>
    <row r="501">
      <c r="D501" s="349"/>
      <c r="E501" s="235"/>
    </row>
    <row r="502">
      <c r="D502" s="349"/>
      <c r="E502" s="235"/>
    </row>
    <row r="503">
      <c r="D503" s="349"/>
      <c r="E503" s="235"/>
    </row>
    <row r="504">
      <c r="D504" s="349"/>
      <c r="E504" s="235"/>
    </row>
    <row r="505">
      <c r="D505" s="349"/>
      <c r="E505" s="235"/>
    </row>
    <row r="506">
      <c r="D506" s="349"/>
      <c r="E506" s="235"/>
    </row>
    <row r="507">
      <c r="D507" s="349"/>
      <c r="E507" s="235"/>
    </row>
    <row r="508">
      <c r="D508" s="349"/>
      <c r="E508" s="235"/>
    </row>
    <row r="509">
      <c r="D509" s="349"/>
      <c r="E509" s="235"/>
    </row>
    <row r="510">
      <c r="D510" s="349"/>
      <c r="E510" s="235"/>
    </row>
    <row r="511">
      <c r="D511" s="349"/>
      <c r="E511" s="235"/>
    </row>
    <row r="512">
      <c r="D512" s="349"/>
      <c r="E512" s="235"/>
    </row>
    <row r="513">
      <c r="D513" s="349"/>
      <c r="E513" s="235"/>
    </row>
    <row r="514">
      <c r="D514" s="349"/>
      <c r="E514" s="235"/>
    </row>
    <row r="515">
      <c r="D515" s="349"/>
      <c r="E515" s="235"/>
    </row>
    <row r="516">
      <c r="D516" s="349"/>
      <c r="E516" s="235"/>
    </row>
    <row r="517">
      <c r="D517" s="349"/>
      <c r="E517" s="235"/>
    </row>
    <row r="518">
      <c r="D518" s="349"/>
      <c r="E518" s="235"/>
    </row>
    <row r="519">
      <c r="D519" s="349"/>
      <c r="E519" s="235"/>
    </row>
    <row r="520">
      <c r="D520" s="349"/>
      <c r="E520" s="235"/>
    </row>
    <row r="521">
      <c r="D521" s="349"/>
      <c r="E521" s="235"/>
    </row>
    <row r="522">
      <c r="D522" s="349"/>
      <c r="E522" s="235"/>
    </row>
    <row r="523">
      <c r="D523" s="349"/>
      <c r="E523" s="235"/>
    </row>
    <row r="524">
      <c r="D524" s="349"/>
      <c r="E524" s="235"/>
    </row>
    <row r="525">
      <c r="D525" s="349"/>
      <c r="E525" s="235"/>
    </row>
    <row r="526">
      <c r="D526" s="349"/>
      <c r="E526" s="235"/>
    </row>
    <row r="527">
      <c r="D527" s="349"/>
      <c r="E527" s="235"/>
    </row>
    <row r="528">
      <c r="D528" s="349"/>
      <c r="E528" s="235"/>
    </row>
    <row r="529">
      <c r="D529" s="349"/>
      <c r="E529" s="235"/>
    </row>
    <row r="530">
      <c r="D530" s="349"/>
      <c r="E530" s="235"/>
    </row>
    <row r="531">
      <c r="D531" s="349"/>
      <c r="E531" s="235"/>
    </row>
    <row r="532">
      <c r="D532" s="349"/>
      <c r="E532" s="235"/>
    </row>
    <row r="533">
      <c r="D533" s="349"/>
      <c r="E533" s="235"/>
    </row>
    <row r="534">
      <c r="D534" s="349"/>
      <c r="E534" s="235"/>
    </row>
    <row r="535">
      <c r="D535" s="349"/>
      <c r="E535" s="235"/>
    </row>
    <row r="536">
      <c r="D536" s="349"/>
      <c r="E536" s="235"/>
    </row>
    <row r="537">
      <c r="D537" s="349"/>
      <c r="E537" s="235"/>
    </row>
    <row r="538">
      <c r="D538" s="349"/>
      <c r="E538" s="235"/>
    </row>
    <row r="539">
      <c r="D539" s="349"/>
      <c r="E539" s="235"/>
    </row>
    <row r="540">
      <c r="D540" s="349"/>
      <c r="E540" s="235"/>
    </row>
    <row r="541">
      <c r="D541" s="349"/>
      <c r="E541" s="235"/>
    </row>
    <row r="542">
      <c r="D542" s="349"/>
      <c r="E542" s="235"/>
    </row>
    <row r="543">
      <c r="D543" s="349"/>
      <c r="E543" s="235"/>
    </row>
    <row r="544">
      <c r="D544" s="349"/>
      <c r="E544" s="235"/>
    </row>
    <row r="545">
      <c r="D545" s="349"/>
      <c r="E545" s="235"/>
    </row>
    <row r="546">
      <c r="D546" s="349"/>
      <c r="E546" s="235"/>
    </row>
    <row r="547">
      <c r="D547" s="349"/>
      <c r="E547" s="235"/>
    </row>
    <row r="548">
      <c r="D548" s="349"/>
      <c r="E548" s="235"/>
    </row>
    <row r="549">
      <c r="D549" s="349"/>
      <c r="E549" s="235"/>
    </row>
    <row r="550">
      <c r="D550" s="349"/>
      <c r="E550" s="235"/>
    </row>
    <row r="551">
      <c r="D551" s="349"/>
      <c r="E551" s="235"/>
    </row>
    <row r="552">
      <c r="D552" s="349"/>
      <c r="E552" s="235"/>
    </row>
    <row r="553">
      <c r="D553" s="349"/>
      <c r="E553" s="235"/>
    </row>
    <row r="554">
      <c r="D554" s="349"/>
      <c r="E554" s="235"/>
    </row>
    <row r="555">
      <c r="D555" s="349"/>
      <c r="E555" s="235"/>
    </row>
    <row r="556">
      <c r="D556" s="349"/>
      <c r="E556" s="235"/>
    </row>
    <row r="557">
      <c r="D557" s="349"/>
      <c r="E557" s="235"/>
    </row>
    <row r="558">
      <c r="D558" s="349"/>
      <c r="E558" s="235"/>
    </row>
    <row r="559">
      <c r="D559" s="349"/>
      <c r="E559" s="235"/>
    </row>
    <row r="560">
      <c r="D560" s="349"/>
      <c r="E560" s="235"/>
    </row>
    <row r="561">
      <c r="D561" s="349"/>
      <c r="E561" s="235"/>
    </row>
    <row r="562">
      <c r="D562" s="349"/>
      <c r="E562" s="235"/>
    </row>
    <row r="563">
      <c r="D563" s="349"/>
      <c r="E563" s="235"/>
    </row>
    <row r="564">
      <c r="D564" s="349"/>
      <c r="E564" s="235"/>
    </row>
    <row r="565">
      <c r="D565" s="349"/>
      <c r="E565" s="235"/>
    </row>
    <row r="566">
      <c r="D566" s="349"/>
      <c r="E566" s="235"/>
    </row>
    <row r="567">
      <c r="D567" s="349"/>
      <c r="E567" s="235"/>
    </row>
    <row r="568">
      <c r="D568" s="349"/>
      <c r="E568" s="235"/>
    </row>
    <row r="569">
      <c r="D569" s="349"/>
      <c r="E569" s="235"/>
    </row>
    <row r="570">
      <c r="D570" s="349"/>
      <c r="E570" s="235"/>
    </row>
    <row r="571">
      <c r="D571" s="349"/>
      <c r="E571" s="235"/>
    </row>
    <row r="572">
      <c r="D572" s="349"/>
      <c r="E572" s="235"/>
    </row>
    <row r="573">
      <c r="D573" s="349"/>
      <c r="E573" s="235"/>
    </row>
    <row r="574">
      <c r="D574" s="349"/>
      <c r="E574" s="235"/>
    </row>
    <row r="575">
      <c r="D575" s="349"/>
      <c r="E575" s="235"/>
    </row>
    <row r="576">
      <c r="D576" s="349"/>
      <c r="E576" s="235"/>
    </row>
    <row r="577">
      <c r="D577" s="349"/>
      <c r="E577" s="235"/>
    </row>
    <row r="578">
      <c r="D578" s="349"/>
      <c r="E578" s="235"/>
    </row>
    <row r="579">
      <c r="D579" s="349"/>
      <c r="E579" s="235"/>
    </row>
    <row r="580">
      <c r="D580" s="349"/>
      <c r="E580" s="235"/>
    </row>
    <row r="581">
      <c r="D581" s="349"/>
      <c r="E581" s="235"/>
    </row>
    <row r="582">
      <c r="D582" s="349"/>
      <c r="E582" s="235"/>
    </row>
    <row r="583">
      <c r="D583" s="349"/>
      <c r="E583" s="235"/>
    </row>
    <row r="584">
      <c r="D584" s="349"/>
      <c r="E584" s="235"/>
    </row>
    <row r="585">
      <c r="D585" s="349"/>
      <c r="E585" s="235"/>
    </row>
    <row r="586">
      <c r="D586" s="349"/>
      <c r="E586" s="235"/>
    </row>
    <row r="587">
      <c r="D587" s="349"/>
      <c r="E587" s="235"/>
    </row>
    <row r="588">
      <c r="D588" s="349"/>
      <c r="E588" s="235"/>
    </row>
    <row r="589">
      <c r="D589" s="349"/>
      <c r="E589" s="235"/>
    </row>
    <row r="590">
      <c r="D590" s="349"/>
      <c r="E590" s="235"/>
    </row>
    <row r="591">
      <c r="D591" s="349"/>
      <c r="E591" s="235"/>
    </row>
    <row r="592">
      <c r="D592" s="349"/>
      <c r="E592" s="235"/>
    </row>
    <row r="593">
      <c r="D593" s="349"/>
      <c r="E593" s="235"/>
    </row>
    <row r="594">
      <c r="D594" s="349"/>
      <c r="E594" s="235"/>
    </row>
    <row r="595">
      <c r="D595" s="349"/>
      <c r="E595" s="235"/>
    </row>
    <row r="596">
      <c r="D596" s="349"/>
      <c r="E596" s="235"/>
    </row>
    <row r="597">
      <c r="D597" s="349"/>
      <c r="E597" s="235"/>
    </row>
    <row r="598">
      <c r="D598" s="349"/>
      <c r="E598" s="235"/>
    </row>
    <row r="599">
      <c r="D599" s="349"/>
      <c r="E599" s="235"/>
    </row>
    <row r="600">
      <c r="D600" s="349"/>
      <c r="E600" s="235"/>
    </row>
    <row r="601">
      <c r="D601" s="349"/>
      <c r="E601" s="235"/>
    </row>
    <row r="602">
      <c r="D602" s="349"/>
      <c r="E602" s="235"/>
    </row>
    <row r="603">
      <c r="D603" s="349"/>
      <c r="E603" s="235"/>
    </row>
    <row r="604">
      <c r="D604" s="349"/>
      <c r="E604" s="235"/>
    </row>
    <row r="605">
      <c r="D605" s="349"/>
      <c r="E605" s="235"/>
    </row>
    <row r="606">
      <c r="D606" s="349"/>
      <c r="E606" s="235"/>
    </row>
    <row r="607">
      <c r="D607" s="349"/>
      <c r="E607" s="235"/>
    </row>
    <row r="608">
      <c r="D608" s="349"/>
      <c r="E608" s="235"/>
    </row>
    <row r="609">
      <c r="D609" s="349"/>
      <c r="E609" s="235"/>
    </row>
    <row r="610">
      <c r="D610" s="349"/>
      <c r="E610" s="235"/>
    </row>
    <row r="611">
      <c r="D611" s="349"/>
      <c r="E611" s="235"/>
    </row>
    <row r="612">
      <c r="D612" s="349"/>
      <c r="E612" s="235"/>
    </row>
    <row r="613">
      <c r="D613" s="349"/>
      <c r="E613" s="235"/>
    </row>
    <row r="614">
      <c r="D614" s="349"/>
      <c r="E614" s="235"/>
    </row>
    <row r="615">
      <c r="D615" s="349"/>
      <c r="E615" s="235"/>
    </row>
    <row r="616">
      <c r="D616" s="349"/>
      <c r="E616" s="235"/>
    </row>
    <row r="617">
      <c r="D617" s="349"/>
      <c r="E617" s="235"/>
    </row>
    <row r="618">
      <c r="D618" s="349"/>
      <c r="E618" s="235"/>
    </row>
    <row r="619">
      <c r="D619" s="349"/>
      <c r="E619" s="235"/>
    </row>
    <row r="620">
      <c r="D620" s="349"/>
      <c r="E620" s="235"/>
    </row>
    <row r="621">
      <c r="D621" s="349"/>
      <c r="E621" s="235"/>
    </row>
    <row r="622">
      <c r="D622" s="349"/>
      <c r="E622" s="235"/>
    </row>
    <row r="623">
      <c r="D623" s="349"/>
      <c r="E623" s="235"/>
    </row>
    <row r="624">
      <c r="D624" s="349"/>
      <c r="E624" s="235"/>
    </row>
    <row r="625">
      <c r="D625" s="349"/>
      <c r="E625" s="235"/>
    </row>
    <row r="626">
      <c r="D626" s="349"/>
      <c r="E626" s="235"/>
    </row>
    <row r="627">
      <c r="D627" s="349"/>
      <c r="E627" s="235"/>
    </row>
    <row r="628">
      <c r="D628" s="349"/>
      <c r="E628" s="235"/>
    </row>
    <row r="629">
      <c r="D629" s="349"/>
      <c r="E629" s="235"/>
    </row>
    <row r="630">
      <c r="D630" s="349"/>
      <c r="E630" s="235"/>
    </row>
    <row r="631">
      <c r="D631" s="349"/>
      <c r="E631" s="235"/>
    </row>
    <row r="632">
      <c r="D632" s="349"/>
      <c r="E632" s="235"/>
    </row>
    <row r="633">
      <c r="D633" s="349"/>
      <c r="E633" s="235"/>
    </row>
    <row r="634">
      <c r="D634" s="349"/>
      <c r="E634" s="235"/>
    </row>
    <row r="635">
      <c r="D635" s="349"/>
      <c r="E635" s="235"/>
    </row>
    <row r="636">
      <c r="D636" s="349"/>
      <c r="E636" s="235"/>
    </row>
    <row r="637">
      <c r="D637" s="349"/>
      <c r="E637" s="235"/>
    </row>
    <row r="638">
      <c r="D638" s="349"/>
      <c r="E638" s="235"/>
    </row>
    <row r="639">
      <c r="D639" s="349"/>
      <c r="E639" s="235"/>
    </row>
    <row r="640">
      <c r="D640" s="349"/>
      <c r="E640" s="235"/>
    </row>
    <row r="641">
      <c r="D641" s="349"/>
      <c r="E641" s="235"/>
    </row>
    <row r="642">
      <c r="D642" s="349"/>
      <c r="E642" s="235"/>
    </row>
    <row r="643">
      <c r="D643" s="349"/>
      <c r="E643" s="235"/>
    </row>
    <row r="644">
      <c r="D644" s="349"/>
      <c r="E644" s="235"/>
    </row>
    <row r="645">
      <c r="D645" s="349"/>
      <c r="E645" s="235"/>
    </row>
    <row r="646">
      <c r="D646" s="349"/>
      <c r="E646" s="235"/>
    </row>
    <row r="647">
      <c r="D647" s="349"/>
      <c r="E647" s="235"/>
    </row>
    <row r="648">
      <c r="D648" s="349"/>
      <c r="E648" s="235"/>
    </row>
    <row r="649">
      <c r="D649" s="349"/>
      <c r="E649" s="235"/>
    </row>
    <row r="650">
      <c r="D650" s="349"/>
      <c r="E650" s="235"/>
    </row>
    <row r="651">
      <c r="D651" s="349"/>
      <c r="E651" s="235"/>
    </row>
    <row r="652">
      <c r="D652" s="349"/>
      <c r="E652" s="235"/>
    </row>
    <row r="653">
      <c r="D653" s="349"/>
      <c r="E653" s="235"/>
    </row>
    <row r="654">
      <c r="D654" s="349"/>
      <c r="E654" s="235"/>
    </row>
    <row r="655">
      <c r="D655" s="349"/>
      <c r="E655" s="235"/>
    </row>
    <row r="656">
      <c r="D656" s="349"/>
      <c r="E656" s="235"/>
    </row>
    <row r="657">
      <c r="D657" s="349"/>
      <c r="E657" s="235"/>
    </row>
    <row r="658">
      <c r="D658" s="349"/>
      <c r="E658" s="235"/>
    </row>
    <row r="659">
      <c r="D659" s="349"/>
      <c r="E659" s="235"/>
    </row>
    <row r="660">
      <c r="D660" s="349"/>
      <c r="E660" s="235"/>
    </row>
    <row r="661">
      <c r="D661" s="349"/>
      <c r="E661" s="235"/>
    </row>
    <row r="662">
      <c r="D662" s="349"/>
      <c r="E662" s="235"/>
    </row>
    <row r="663">
      <c r="D663" s="349"/>
      <c r="E663" s="235"/>
    </row>
    <row r="664">
      <c r="D664" s="349"/>
      <c r="E664" s="235"/>
    </row>
    <row r="665">
      <c r="D665" s="349"/>
      <c r="E665" s="235"/>
    </row>
    <row r="666">
      <c r="D666" s="349"/>
      <c r="E666" s="235"/>
    </row>
    <row r="667">
      <c r="D667" s="349"/>
      <c r="E667" s="235"/>
    </row>
    <row r="668">
      <c r="D668" s="349"/>
      <c r="E668" s="235"/>
    </row>
    <row r="669">
      <c r="D669" s="349"/>
      <c r="E669" s="235"/>
    </row>
    <row r="670">
      <c r="D670" s="349"/>
      <c r="E670" s="235"/>
    </row>
    <row r="671">
      <c r="D671" s="349"/>
      <c r="E671" s="235"/>
    </row>
    <row r="672">
      <c r="D672" s="349"/>
      <c r="E672" s="235"/>
    </row>
    <row r="673">
      <c r="D673" s="349"/>
      <c r="E673" s="235"/>
    </row>
    <row r="674">
      <c r="D674" s="349"/>
      <c r="E674" s="235"/>
    </row>
    <row r="675">
      <c r="D675" s="349"/>
      <c r="E675" s="235"/>
    </row>
    <row r="676">
      <c r="D676" s="349"/>
      <c r="E676" s="235"/>
    </row>
    <row r="677">
      <c r="D677" s="349"/>
      <c r="E677" s="235"/>
    </row>
    <row r="678">
      <c r="D678" s="349"/>
      <c r="E678" s="235"/>
    </row>
    <row r="679">
      <c r="D679" s="349"/>
      <c r="E679" s="235"/>
    </row>
    <row r="680">
      <c r="D680" s="349"/>
      <c r="E680" s="235"/>
    </row>
    <row r="681">
      <c r="D681" s="349"/>
      <c r="E681" s="235"/>
    </row>
    <row r="682">
      <c r="D682" s="349"/>
      <c r="E682" s="235"/>
    </row>
    <row r="683">
      <c r="D683" s="349"/>
      <c r="E683" s="235"/>
    </row>
    <row r="684">
      <c r="D684" s="349"/>
      <c r="E684" s="235"/>
    </row>
    <row r="685">
      <c r="D685" s="349"/>
      <c r="E685" s="235"/>
    </row>
    <row r="686">
      <c r="D686" s="349"/>
      <c r="E686" s="235"/>
    </row>
    <row r="687">
      <c r="D687" s="349"/>
      <c r="E687" s="235"/>
    </row>
    <row r="688">
      <c r="D688" s="349"/>
      <c r="E688" s="235"/>
    </row>
    <row r="689">
      <c r="D689" s="349"/>
      <c r="E689" s="235"/>
    </row>
    <row r="690">
      <c r="D690" s="349"/>
      <c r="E690" s="235"/>
    </row>
    <row r="691">
      <c r="D691" s="349"/>
      <c r="E691" s="235"/>
    </row>
    <row r="692">
      <c r="D692" s="349"/>
      <c r="E692" s="235"/>
    </row>
    <row r="693">
      <c r="D693" s="349"/>
      <c r="E693" s="235"/>
    </row>
    <row r="694">
      <c r="D694" s="349"/>
      <c r="E694" s="235"/>
    </row>
    <row r="695">
      <c r="D695" s="349"/>
      <c r="E695" s="235"/>
    </row>
    <row r="696">
      <c r="D696" s="349"/>
      <c r="E696" s="235"/>
    </row>
    <row r="697">
      <c r="D697" s="349"/>
      <c r="E697" s="235"/>
    </row>
    <row r="698">
      <c r="D698" s="349"/>
      <c r="E698" s="235"/>
    </row>
    <row r="699">
      <c r="D699" s="349"/>
      <c r="E699" s="235"/>
    </row>
    <row r="700">
      <c r="D700" s="349"/>
      <c r="E700" s="235"/>
    </row>
    <row r="701">
      <c r="D701" s="349"/>
      <c r="E701" s="235"/>
    </row>
    <row r="702">
      <c r="D702" s="349"/>
      <c r="E702" s="235"/>
    </row>
    <row r="703">
      <c r="D703" s="349"/>
      <c r="E703" s="235"/>
    </row>
    <row r="704">
      <c r="D704" s="349"/>
      <c r="E704" s="235"/>
    </row>
    <row r="705">
      <c r="D705" s="349"/>
      <c r="E705" s="235"/>
    </row>
    <row r="706">
      <c r="D706" s="349"/>
      <c r="E706" s="235"/>
    </row>
    <row r="707">
      <c r="D707" s="349"/>
      <c r="E707" s="235"/>
    </row>
    <row r="708">
      <c r="D708" s="349"/>
      <c r="E708" s="235"/>
    </row>
    <row r="709">
      <c r="D709" s="349"/>
      <c r="E709" s="235"/>
    </row>
    <row r="710">
      <c r="D710" s="349"/>
      <c r="E710" s="235"/>
    </row>
    <row r="711">
      <c r="D711" s="349"/>
      <c r="E711" s="235"/>
    </row>
    <row r="712">
      <c r="D712" s="349"/>
      <c r="E712" s="235"/>
    </row>
    <row r="713">
      <c r="D713" s="349"/>
      <c r="E713" s="235"/>
    </row>
    <row r="714">
      <c r="D714" s="349"/>
      <c r="E714" s="235"/>
    </row>
    <row r="715">
      <c r="D715" s="349"/>
      <c r="E715" s="235"/>
    </row>
    <row r="716">
      <c r="D716" s="349"/>
      <c r="E716" s="235"/>
    </row>
    <row r="717">
      <c r="D717" s="349"/>
      <c r="E717" s="235"/>
    </row>
    <row r="718">
      <c r="D718" s="349"/>
      <c r="E718" s="235"/>
    </row>
    <row r="719">
      <c r="D719" s="349"/>
      <c r="E719" s="235"/>
    </row>
    <row r="720">
      <c r="D720" s="349"/>
      <c r="E720" s="235"/>
    </row>
    <row r="721">
      <c r="D721" s="349"/>
      <c r="E721" s="235"/>
    </row>
    <row r="722">
      <c r="D722" s="349"/>
      <c r="E722" s="235"/>
    </row>
    <row r="723">
      <c r="D723" s="349"/>
      <c r="E723" s="235"/>
    </row>
    <row r="724">
      <c r="D724" s="349"/>
      <c r="E724" s="235"/>
    </row>
    <row r="725">
      <c r="D725" s="349"/>
      <c r="E725" s="235"/>
    </row>
    <row r="726">
      <c r="D726" s="349"/>
      <c r="E726" s="235"/>
    </row>
    <row r="727">
      <c r="D727" s="349"/>
      <c r="E727" s="235"/>
    </row>
    <row r="728">
      <c r="D728" s="349"/>
      <c r="E728" s="235"/>
    </row>
    <row r="729">
      <c r="D729" s="349"/>
      <c r="E729" s="235"/>
    </row>
    <row r="730">
      <c r="D730" s="349"/>
      <c r="E730" s="235"/>
    </row>
    <row r="731">
      <c r="D731" s="349"/>
      <c r="E731" s="235"/>
    </row>
    <row r="732">
      <c r="D732" s="349"/>
      <c r="E732" s="235"/>
    </row>
    <row r="733">
      <c r="D733" s="349"/>
      <c r="E733" s="235"/>
    </row>
    <row r="734">
      <c r="D734" s="349"/>
      <c r="E734" s="235"/>
    </row>
    <row r="735">
      <c r="D735" s="349"/>
      <c r="E735" s="235"/>
    </row>
    <row r="736">
      <c r="D736" s="349"/>
      <c r="E736" s="235"/>
    </row>
    <row r="737">
      <c r="D737" s="349"/>
      <c r="E737" s="235"/>
    </row>
    <row r="738">
      <c r="D738" s="349"/>
      <c r="E738" s="235"/>
    </row>
    <row r="739">
      <c r="D739" s="349"/>
      <c r="E739" s="235"/>
    </row>
    <row r="740">
      <c r="D740" s="349"/>
      <c r="E740" s="235"/>
    </row>
    <row r="741">
      <c r="D741" s="349"/>
      <c r="E741" s="235"/>
    </row>
    <row r="742">
      <c r="D742" s="349"/>
      <c r="E742" s="235"/>
    </row>
    <row r="743">
      <c r="D743" s="349"/>
      <c r="E743" s="235"/>
    </row>
    <row r="744">
      <c r="D744" s="349"/>
      <c r="E744" s="235"/>
    </row>
    <row r="745">
      <c r="D745" s="349"/>
      <c r="E745" s="235"/>
    </row>
    <row r="746">
      <c r="D746" s="349"/>
      <c r="E746" s="235"/>
    </row>
    <row r="747">
      <c r="D747" s="349"/>
      <c r="E747" s="235"/>
    </row>
    <row r="748">
      <c r="D748" s="349"/>
      <c r="E748" s="235"/>
    </row>
    <row r="749">
      <c r="D749" s="349"/>
      <c r="E749" s="235"/>
    </row>
    <row r="750">
      <c r="D750" s="349"/>
      <c r="E750" s="235"/>
    </row>
    <row r="751">
      <c r="D751" s="349"/>
      <c r="E751" s="235"/>
    </row>
    <row r="752">
      <c r="D752" s="349"/>
      <c r="E752" s="235"/>
    </row>
    <row r="753">
      <c r="D753" s="349"/>
      <c r="E753" s="235"/>
    </row>
    <row r="754">
      <c r="D754" s="349"/>
      <c r="E754" s="235"/>
    </row>
    <row r="755">
      <c r="D755" s="349"/>
      <c r="E755" s="235"/>
    </row>
    <row r="756">
      <c r="D756" s="349"/>
      <c r="E756" s="235"/>
    </row>
    <row r="757">
      <c r="D757" s="349"/>
      <c r="E757" s="235"/>
    </row>
    <row r="758">
      <c r="D758" s="349"/>
      <c r="E758" s="235"/>
    </row>
    <row r="759">
      <c r="D759" s="349"/>
      <c r="E759" s="235"/>
    </row>
    <row r="760">
      <c r="D760" s="349"/>
      <c r="E760" s="235"/>
    </row>
    <row r="761">
      <c r="D761" s="349"/>
      <c r="E761" s="235"/>
    </row>
    <row r="762">
      <c r="D762" s="349"/>
      <c r="E762" s="235"/>
    </row>
    <row r="763">
      <c r="D763" s="349"/>
      <c r="E763" s="235"/>
    </row>
    <row r="764">
      <c r="D764" s="349"/>
      <c r="E764" s="235"/>
    </row>
    <row r="765">
      <c r="D765" s="349"/>
      <c r="E765" s="235"/>
    </row>
    <row r="766">
      <c r="D766" s="349"/>
      <c r="E766" s="235"/>
    </row>
    <row r="767">
      <c r="D767" s="349"/>
      <c r="E767" s="235"/>
    </row>
    <row r="768">
      <c r="D768" s="349"/>
      <c r="E768" s="235"/>
    </row>
    <row r="769">
      <c r="D769" s="349"/>
      <c r="E769" s="235"/>
    </row>
    <row r="770">
      <c r="D770" s="349"/>
      <c r="E770" s="235"/>
    </row>
    <row r="771">
      <c r="D771" s="349"/>
      <c r="E771" s="235"/>
    </row>
    <row r="772">
      <c r="D772" s="349"/>
      <c r="E772" s="235"/>
    </row>
    <row r="773">
      <c r="D773" s="349"/>
      <c r="E773" s="235"/>
    </row>
    <row r="774">
      <c r="D774" s="349"/>
      <c r="E774" s="235"/>
    </row>
    <row r="775">
      <c r="D775" s="349"/>
      <c r="E775" s="235"/>
    </row>
    <row r="776">
      <c r="D776" s="349"/>
      <c r="E776" s="235"/>
    </row>
    <row r="777">
      <c r="D777" s="349"/>
      <c r="E777" s="235"/>
    </row>
    <row r="778">
      <c r="D778" s="349"/>
      <c r="E778" s="235"/>
    </row>
    <row r="779">
      <c r="D779" s="349"/>
      <c r="E779" s="235"/>
    </row>
    <row r="780">
      <c r="D780" s="349"/>
      <c r="E780" s="235"/>
    </row>
    <row r="781">
      <c r="D781" s="349"/>
      <c r="E781" s="235"/>
    </row>
    <row r="782">
      <c r="D782" s="349"/>
      <c r="E782" s="235"/>
    </row>
    <row r="783">
      <c r="D783" s="349"/>
      <c r="E783" s="235"/>
    </row>
    <row r="784">
      <c r="D784" s="349"/>
      <c r="E784" s="235"/>
    </row>
    <row r="785">
      <c r="D785" s="349"/>
      <c r="E785" s="235"/>
    </row>
    <row r="786">
      <c r="D786" s="349"/>
      <c r="E786" s="235"/>
    </row>
    <row r="787">
      <c r="D787" s="349"/>
      <c r="E787" s="235"/>
    </row>
    <row r="788">
      <c r="D788" s="349"/>
      <c r="E788" s="235"/>
    </row>
    <row r="789">
      <c r="D789" s="349"/>
      <c r="E789" s="235"/>
    </row>
    <row r="790">
      <c r="D790" s="349"/>
      <c r="E790" s="235"/>
    </row>
    <row r="791">
      <c r="D791" s="349"/>
      <c r="E791" s="235"/>
    </row>
    <row r="792">
      <c r="D792" s="349"/>
      <c r="E792" s="235"/>
    </row>
    <row r="793">
      <c r="D793" s="349"/>
      <c r="E793" s="235"/>
    </row>
    <row r="794">
      <c r="D794" s="349"/>
      <c r="E794" s="235"/>
    </row>
    <row r="795">
      <c r="D795" s="349"/>
      <c r="E795" s="235"/>
    </row>
    <row r="796">
      <c r="D796" s="349"/>
      <c r="E796" s="235"/>
    </row>
    <row r="797">
      <c r="D797" s="349"/>
      <c r="E797" s="235"/>
    </row>
    <row r="798">
      <c r="D798" s="349"/>
      <c r="E798" s="235"/>
    </row>
    <row r="799">
      <c r="D799" s="349"/>
      <c r="E799" s="235"/>
    </row>
    <row r="800">
      <c r="D800" s="349"/>
      <c r="E800" s="235"/>
    </row>
    <row r="801">
      <c r="D801" s="349"/>
      <c r="E801" s="235"/>
    </row>
    <row r="802">
      <c r="D802" s="349"/>
      <c r="E802" s="235"/>
    </row>
    <row r="803">
      <c r="D803" s="349"/>
      <c r="E803" s="235"/>
    </row>
    <row r="804">
      <c r="D804" s="349"/>
      <c r="E804" s="235"/>
    </row>
    <row r="805">
      <c r="D805" s="349"/>
      <c r="E805" s="235"/>
    </row>
    <row r="806">
      <c r="D806" s="349"/>
      <c r="E806" s="235"/>
    </row>
    <row r="807">
      <c r="D807" s="349"/>
      <c r="E807" s="235"/>
    </row>
    <row r="808">
      <c r="D808" s="349"/>
      <c r="E808" s="235"/>
    </row>
    <row r="809">
      <c r="D809" s="349"/>
      <c r="E809" s="235"/>
    </row>
    <row r="810">
      <c r="D810" s="349"/>
      <c r="E810" s="235"/>
    </row>
    <row r="811">
      <c r="D811" s="349"/>
      <c r="E811" s="235"/>
    </row>
    <row r="812">
      <c r="D812" s="349"/>
      <c r="E812" s="235"/>
    </row>
    <row r="813">
      <c r="D813" s="349"/>
      <c r="E813" s="235"/>
    </row>
    <row r="814">
      <c r="D814" s="349"/>
      <c r="E814" s="235"/>
    </row>
    <row r="815">
      <c r="D815" s="349"/>
      <c r="E815" s="235"/>
    </row>
    <row r="816">
      <c r="D816" s="349"/>
      <c r="E816" s="235"/>
    </row>
    <row r="817">
      <c r="D817" s="349"/>
      <c r="E817" s="235"/>
    </row>
    <row r="818">
      <c r="D818" s="349"/>
      <c r="E818" s="235"/>
    </row>
    <row r="819">
      <c r="D819" s="349"/>
      <c r="E819" s="235"/>
    </row>
    <row r="820">
      <c r="D820" s="349"/>
      <c r="E820" s="235"/>
    </row>
    <row r="821">
      <c r="D821" s="349"/>
      <c r="E821" s="235"/>
    </row>
    <row r="822">
      <c r="D822" s="349"/>
      <c r="E822" s="235"/>
    </row>
    <row r="823">
      <c r="D823" s="349"/>
      <c r="E823" s="235"/>
    </row>
    <row r="824">
      <c r="D824" s="349"/>
      <c r="E824" s="235"/>
    </row>
    <row r="825">
      <c r="D825" s="349"/>
      <c r="E825" s="235"/>
    </row>
    <row r="826">
      <c r="D826" s="349"/>
      <c r="E826" s="235"/>
    </row>
    <row r="827">
      <c r="D827" s="349"/>
      <c r="E827" s="235"/>
    </row>
    <row r="828">
      <c r="D828" s="349"/>
      <c r="E828" s="235"/>
    </row>
    <row r="829">
      <c r="D829" s="349"/>
      <c r="E829" s="235"/>
    </row>
    <row r="830">
      <c r="D830" s="349"/>
      <c r="E830" s="235"/>
    </row>
    <row r="831">
      <c r="D831" s="349"/>
      <c r="E831" s="235"/>
    </row>
    <row r="832">
      <c r="D832" s="349"/>
      <c r="E832" s="235"/>
    </row>
    <row r="833">
      <c r="D833" s="349"/>
      <c r="E833" s="235"/>
    </row>
    <row r="834">
      <c r="D834" s="349"/>
      <c r="E834" s="235"/>
    </row>
    <row r="835">
      <c r="D835" s="349"/>
      <c r="E835" s="235"/>
    </row>
    <row r="836">
      <c r="D836" s="349"/>
      <c r="E836" s="235"/>
    </row>
    <row r="837">
      <c r="D837" s="349"/>
      <c r="E837" s="235"/>
    </row>
    <row r="838">
      <c r="D838" s="349"/>
      <c r="E838" s="235"/>
    </row>
    <row r="839">
      <c r="D839" s="349"/>
      <c r="E839" s="235"/>
    </row>
    <row r="840">
      <c r="D840" s="349"/>
      <c r="E840" s="235"/>
    </row>
    <row r="841">
      <c r="D841" s="349"/>
      <c r="E841" s="235"/>
    </row>
    <row r="842">
      <c r="D842" s="349"/>
      <c r="E842" s="235"/>
    </row>
    <row r="843">
      <c r="D843" s="349"/>
      <c r="E843" s="235"/>
    </row>
    <row r="844">
      <c r="D844" s="349"/>
      <c r="E844" s="235"/>
    </row>
    <row r="845">
      <c r="D845" s="349"/>
      <c r="E845" s="235"/>
    </row>
    <row r="846">
      <c r="D846" s="349"/>
      <c r="E846" s="235"/>
    </row>
    <row r="847">
      <c r="D847" s="349"/>
      <c r="E847" s="235"/>
    </row>
    <row r="848">
      <c r="D848" s="349"/>
      <c r="E848" s="235"/>
    </row>
    <row r="849">
      <c r="D849" s="349"/>
      <c r="E849" s="235"/>
    </row>
    <row r="850">
      <c r="D850" s="349"/>
      <c r="E850" s="235"/>
    </row>
    <row r="851">
      <c r="D851" s="349"/>
      <c r="E851" s="235"/>
    </row>
    <row r="852">
      <c r="D852" s="349"/>
      <c r="E852" s="235"/>
    </row>
    <row r="853">
      <c r="D853" s="349"/>
      <c r="E853" s="235"/>
    </row>
    <row r="854">
      <c r="D854" s="349"/>
      <c r="E854" s="235"/>
    </row>
    <row r="855">
      <c r="D855" s="349"/>
      <c r="E855" s="235"/>
    </row>
    <row r="856">
      <c r="D856" s="349"/>
      <c r="E856" s="235"/>
    </row>
    <row r="857">
      <c r="D857" s="349"/>
      <c r="E857" s="235"/>
    </row>
    <row r="858">
      <c r="D858" s="349"/>
      <c r="E858" s="235"/>
    </row>
    <row r="859">
      <c r="D859" s="349"/>
      <c r="E859" s="235"/>
    </row>
    <row r="860">
      <c r="D860" s="349"/>
      <c r="E860" s="235"/>
    </row>
    <row r="861">
      <c r="D861" s="349"/>
      <c r="E861" s="235"/>
    </row>
    <row r="862">
      <c r="D862" s="349"/>
      <c r="E862" s="235"/>
    </row>
    <row r="863">
      <c r="D863" s="349"/>
      <c r="E863" s="235"/>
    </row>
    <row r="864">
      <c r="D864" s="349"/>
      <c r="E864" s="235"/>
    </row>
    <row r="865">
      <c r="D865" s="349"/>
      <c r="E865" s="235"/>
    </row>
    <row r="866">
      <c r="D866" s="349"/>
      <c r="E866" s="235"/>
    </row>
    <row r="867">
      <c r="D867" s="349"/>
      <c r="E867" s="235"/>
    </row>
    <row r="868">
      <c r="D868" s="349"/>
      <c r="E868" s="235"/>
    </row>
    <row r="869">
      <c r="D869" s="349"/>
      <c r="E869" s="235"/>
    </row>
    <row r="870">
      <c r="D870" s="349"/>
      <c r="E870" s="235"/>
    </row>
    <row r="871">
      <c r="D871" s="349"/>
      <c r="E871" s="235"/>
    </row>
    <row r="872">
      <c r="D872" s="349"/>
      <c r="E872" s="235"/>
    </row>
    <row r="873">
      <c r="D873" s="349"/>
      <c r="E873" s="235"/>
    </row>
    <row r="874">
      <c r="D874" s="349"/>
      <c r="E874" s="235"/>
    </row>
    <row r="875">
      <c r="D875" s="349"/>
      <c r="E875" s="235"/>
    </row>
    <row r="876">
      <c r="D876" s="349"/>
      <c r="E876" s="235"/>
    </row>
    <row r="877">
      <c r="D877" s="349"/>
      <c r="E877" s="235"/>
    </row>
    <row r="878">
      <c r="D878" s="349"/>
      <c r="E878" s="235"/>
    </row>
    <row r="879">
      <c r="D879" s="349"/>
      <c r="E879" s="235"/>
    </row>
    <row r="880">
      <c r="D880" s="349"/>
      <c r="E880" s="235"/>
    </row>
    <row r="881">
      <c r="D881" s="349"/>
      <c r="E881" s="235"/>
    </row>
    <row r="882">
      <c r="D882" s="349"/>
      <c r="E882" s="235"/>
    </row>
    <row r="883">
      <c r="D883" s="349"/>
      <c r="E883" s="235"/>
    </row>
    <row r="884">
      <c r="D884" s="349"/>
      <c r="E884" s="235"/>
    </row>
    <row r="885">
      <c r="D885" s="349"/>
      <c r="E885" s="235"/>
    </row>
    <row r="886">
      <c r="D886" s="349"/>
      <c r="E886" s="235"/>
    </row>
    <row r="887">
      <c r="D887" s="349"/>
      <c r="E887" s="235"/>
    </row>
    <row r="888">
      <c r="D888" s="349"/>
      <c r="E888" s="235"/>
    </row>
    <row r="889">
      <c r="D889" s="349"/>
      <c r="E889" s="235"/>
    </row>
    <row r="890">
      <c r="D890" s="349"/>
      <c r="E890" s="235"/>
    </row>
    <row r="891">
      <c r="D891" s="349"/>
      <c r="E891" s="235"/>
    </row>
    <row r="892">
      <c r="D892" s="349"/>
      <c r="E892" s="235"/>
    </row>
    <row r="893">
      <c r="D893" s="349"/>
      <c r="E893" s="235"/>
    </row>
    <row r="894">
      <c r="D894" s="349"/>
      <c r="E894" s="235"/>
    </row>
    <row r="895">
      <c r="D895" s="349"/>
      <c r="E895" s="235"/>
    </row>
    <row r="896">
      <c r="D896" s="349"/>
      <c r="E896" s="235"/>
    </row>
    <row r="897">
      <c r="D897" s="349"/>
      <c r="E897" s="235"/>
    </row>
    <row r="898">
      <c r="D898" s="349"/>
      <c r="E898" s="235"/>
    </row>
    <row r="899">
      <c r="D899" s="349"/>
      <c r="E899" s="235"/>
    </row>
    <row r="900">
      <c r="D900" s="349"/>
      <c r="E900" s="235"/>
    </row>
    <row r="901">
      <c r="D901" s="349"/>
      <c r="E901" s="235"/>
    </row>
    <row r="902">
      <c r="D902" s="349"/>
      <c r="E902" s="235"/>
    </row>
    <row r="903">
      <c r="D903" s="349"/>
      <c r="E903" s="235"/>
    </row>
    <row r="904">
      <c r="D904" s="349"/>
      <c r="E904" s="235"/>
    </row>
    <row r="905">
      <c r="D905" s="349"/>
      <c r="E905" s="235"/>
    </row>
    <row r="906">
      <c r="D906" s="349"/>
      <c r="E906" s="235"/>
    </row>
    <row r="907">
      <c r="D907" s="349"/>
      <c r="E907" s="235"/>
    </row>
    <row r="908">
      <c r="D908" s="349"/>
      <c r="E908" s="235"/>
    </row>
    <row r="909">
      <c r="D909" s="349"/>
      <c r="E909" s="235"/>
    </row>
    <row r="910">
      <c r="D910" s="349"/>
      <c r="E910" s="235"/>
    </row>
    <row r="911">
      <c r="D911" s="349"/>
      <c r="E911" s="235"/>
    </row>
    <row r="912">
      <c r="D912" s="349"/>
      <c r="E912" s="235"/>
    </row>
    <row r="913">
      <c r="D913" s="349"/>
      <c r="E913" s="235"/>
    </row>
    <row r="914">
      <c r="D914" s="349"/>
      <c r="E914" s="235"/>
    </row>
    <row r="915">
      <c r="D915" s="349"/>
      <c r="E915" s="235"/>
    </row>
    <row r="916">
      <c r="D916" s="349"/>
      <c r="E916" s="235"/>
    </row>
    <row r="917">
      <c r="D917" s="349"/>
      <c r="E917" s="235"/>
    </row>
    <row r="918">
      <c r="D918" s="349"/>
      <c r="E918" s="235"/>
    </row>
    <row r="919">
      <c r="D919" s="349"/>
      <c r="E919" s="235"/>
    </row>
    <row r="920">
      <c r="D920" s="349"/>
      <c r="E920" s="235"/>
    </row>
    <row r="921">
      <c r="D921" s="349"/>
      <c r="E921" s="235"/>
    </row>
    <row r="922">
      <c r="D922" s="349"/>
      <c r="E922" s="235"/>
    </row>
    <row r="923">
      <c r="D923" s="349"/>
      <c r="E923" s="235"/>
    </row>
    <row r="924">
      <c r="D924" s="349"/>
      <c r="E924" s="235"/>
    </row>
    <row r="925">
      <c r="D925" s="349"/>
      <c r="E925" s="235"/>
    </row>
    <row r="926">
      <c r="D926" s="349"/>
      <c r="E926" s="235"/>
    </row>
    <row r="927">
      <c r="D927" s="349"/>
      <c r="E927" s="235"/>
    </row>
    <row r="928">
      <c r="D928" s="349"/>
      <c r="E928" s="235"/>
    </row>
    <row r="929">
      <c r="D929" s="349"/>
      <c r="E929" s="235"/>
    </row>
    <row r="930">
      <c r="D930" s="349"/>
      <c r="E930" s="235"/>
    </row>
    <row r="931">
      <c r="D931" s="349"/>
      <c r="E931" s="235"/>
    </row>
    <row r="932">
      <c r="D932" s="349"/>
      <c r="E932" s="235"/>
    </row>
    <row r="933">
      <c r="D933" s="349"/>
      <c r="E933" s="235"/>
    </row>
    <row r="934">
      <c r="D934" s="349"/>
      <c r="E934" s="235"/>
    </row>
    <row r="935">
      <c r="D935" s="349"/>
      <c r="E935" s="235"/>
    </row>
    <row r="936">
      <c r="D936" s="349"/>
      <c r="E936" s="235"/>
    </row>
    <row r="937">
      <c r="D937" s="349"/>
      <c r="E937" s="235"/>
    </row>
    <row r="938">
      <c r="D938" s="349"/>
      <c r="E938" s="235"/>
    </row>
    <row r="939">
      <c r="D939" s="349"/>
      <c r="E939" s="235"/>
    </row>
    <row r="940">
      <c r="D940" s="349"/>
      <c r="E940" s="235"/>
    </row>
    <row r="941">
      <c r="D941" s="349"/>
      <c r="E941" s="235"/>
    </row>
    <row r="942">
      <c r="D942" s="349"/>
      <c r="E942" s="235"/>
    </row>
    <row r="943">
      <c r="D943" s="349"/>
      <c r="E943" s="235"/>
    </row>
    <row r="944">
      <c r="D944" s="349"/>
      <c r="E944" s="235"/>
    </row>
    <row r="945">
      <c r="D945" s="349"/>
      <c r="E945" s="235"/>
    </row>
    <row r="946">
      <c r="D946" s="349"/>
      <c r="E946" s="235"/>
    </row>
    <row r="947">
      <c r="D947" s="349"/>
      <c r="E947" s="235"/>
    </row>
    <row r="948">
      <c r="D948" s="349"/>
      <c r="E948" s="235"/>
    </row>
    <row r="949">
      <c r="D949" s="349"/>
      <c r="E949" s="235"/>
    </row>
    <row r="950">
      <c r="D950" s="349"/>
      <c r="E950" s="235"/>
    </row>
    <row r="951">
      <c r="D951" s="349"/>
      <c r="E951" s="235"/>
    </row>
    <row r="952">
      <c r="D952" s="349"/>
      <c r="E952" s="235"/>
    </row>
    <row r="953">
      <c r="D953" s="349"/>
      <c r="E953" s="235"/>
    </row>
    <row r="954">
      <c r="D954" s="349"/>
      <c r="E954" s="235"/>
    </row>
    <row r="955">
      <c r="D955" s="349"/>
      <c r="E955" s="235"/>
    </row>
    <row r="956">
      <c r="D956" s="349"/>
      <c r="E956" s="235"/>
    </row>
    <row r="957">
      <c r="D957" s="349"/>
      <c r="E957" s="235"/>
    </row>
    <row r="958">
      <c r="D958" s="349"/>
      <c r="E958" s="235"/>
    </row>
    <row r="959">
      <c r="D959" s="349"/>
      <c r="E959" s="235"/>
    </row>
    <row r="960">
      <c r="D960" s="349"/>
      <c r="E960" s="235"/>
    </row>
    <row r="961">
      <c r="D961" s="349"/>
      <c r="E961" s="235"/>
    </row>
    <row r="962">
      <c r="D962" s="349"/>
      <c r="E962" s="235"/>
    </row>
    <row r="963">
      <c r="D963" s="349"/>
      <c r="E963" s="235"/>
    </row>
    <row r="964">
      <c r="D964" s="349"/>
      <c r="E964" s="235"/>
    </row>
    <row r="965">
      <c r="D965" s="349"/>
      <c r="E965" s="235"/>
    </row>
    <row r="966">
      <c r="D966" s="349"/>
      <c r="E966" s="235"/>
    </row>
    <row r="967">
      <c r="D967" s="349"/>
      <c r="E967" s="235"/>
    </row>
    <row r="968">
      <c r="D968" s="349"/>
      <c r="E968" s="235"/>
    </row>
    <row r="969">
      <c r="D969" s="349"/>
      <c r="E969" s="235"/>
    </row>
    <row r="970">
      <c r="D970" s="349"/>
      <c r="E970" s="235"/>
    </row>
    <row r="971">
      <c r="D971" s="349"/>
      <c r="E971" s="235"/>
    </row>
    <row r="972">
      <c r="D972" s="349"/>
      <c r="E972" s="235"/>
    </row>
    <row r="973">
      <c r="D973" s="349"/>
      <c r="E973" s="235"/>
    </row>
    <row r="974">
      <c r="D974" s="349"/>
      <c r="E974" s="235"/>
    </row>
    <row r="975">
      <c r="D975" s="349"/>
      <c r="E975" s="235"/>
    </row>
    <row r="976">
      <c r="D976" s="349"/>
      <c r="E976" s="235"/>
    </row>
    <row r="977">
      <c r="D977" s="349"/>
      <c r="E977" s="235"/>
    </row>
    <row r="978">
      <c r="D978" s="349"/>
      <c r="E978" s="235"/>
    </row>
    <row r="979">
      <c r="D979" s="349"/>
      <c r="E979" s="235"/>
    </row>
    <row r="980">
      <c r="D980" s="349"/>
      <c r="E980" s="235"/>
    </row>
    <row r="981">
      <c r="D981" s="349"/>
      <c r="E981" s="235"/>
    </row>
    <row r="982">
      <c r="D982" s="349"/>
      <c r="E982" s="235"/>
    </row>
    <row r="983">
      <c r="D983" s="349"/>
      <c r="E983" s="235"/>
    </row>
    <row r="984">
      <c r="D984" s="349"/>
      <c r="E984" s="235"/>
    </row>
    <row r="985">
      <c r="D985" s="349"/>
      <c r="E985" s="235"/>
    </row>
    <row r="986">
      <c r="D986" s="349"/>
      <c r="E986" s="235"/>
    </row>
    <row r="987">
      <c r="D987" s="349"/>
      <c r="E987" s="235"/>
    </row>
    <row r="988">
      <c r="D988" s="349"/>
      <c r="E988" s="235"/>
    </row>
    <row r="989">
      <c r="D989" s="349"/>
      <c r="E989" s="235"/>
    </row>
    <row r="990">
      <c r="D990" s="349"/>
      <c r="E990" s="235"/>
    </row>
    <row r="991">
      <c r="D991" s="349"/>
      <c r="E991" s="235"/>
    </row>
    <row r="992">
      <c r="D992" s="349"/>
      <c r="E992" s="235"/>
    </row>
    <row r="993">
      <c r="D993" s="349"/>
      <c r="E993" s="235"/>
    </row>
    <row r="994">
      <c r="D994" s="349"/>
      <c r="E994" s="235"/>
    </row>
    <row r="995">
      <c r="D995" s="349"/>
      <c r="E995" s="235"/>
    </row>
    <row r="996">
      <c r="D996" s="349"/>
      <c r="E996" s="235"/>
    </row>
    <row r="997">
      <c r="D997" s="349"/>
      <c r="E997" s="235"/>
    </row>
    <row r="998">
      <c r="D998" s="349"/>
      <c r="E998" s="235"/>
    </row>
    <row r="999">
      <c r="D999" s="349"/>
      <c r="E999" s="235"/>
    </row>
    <row r="1000">
      <c r="D1000" s="349"/>
      <c r="E1000" s="235"/>
    </row>
    <row r="1001">
      <c r="D1001" s="349"/>
      <c r="E1001" s="235"/>
    </row>
    <row r="1002">
      <c r="D1002" s="349"/>
      <c r="E1002" s="235"/>
    </row>
    <row r="1003">
      <c r="D1003" s="349"/>
      <c r="E1003" s="235"/>
    </row>
    <row r="1004">
      <c r="D1004" s="349"/>
      <c r="E1004" s="235"/>
    </row>
    <row r="1005">
      <c r="D1005" s="349"/>
      <c r="E1005" s="235"/>
    </row>
    <row r="1006">
      <c r="D1006" s="349"/>
      <c r="E1006" s="235"/>
    </row>
    <row r="1007">
      <c r="D1007" s="349"/>
      <c r="E1007" s="235"/>
    </row>
    <row r="1008">
      <c r="D1008" s="349"/>
      <c r="E1008" s="235"/>
    </row>
    <row r="1009">
      <c r="D1009" s="349"/>
      <c r="E1009" s="235"/>
    </row>
    <row r="1010">
      <c r="D1010" s="349"/>
      <c r="E1010" s="235"/>
    </row>
    <row r="1011">
      <c r="D1011" s="349"/>
      <c r="E1011" s="235"/>
    </row>
    <row r="1012">
      <c r="D1012" s="349"/>
      <c r="E1012" s="235"/>
    </row>
    <row r="1013">
      <c r="D1013" s="349"/>
      <c r="E1013" s="235"/>
    </row>
    <row r="1014">
      <c r="D1014" s="349"/>
      <c r="E1014" s="235"/>
    </row>
    <row r="1015">
      <c r="D1015" s="349"/>
      <c r="E1015" s="235"/>
    </row>
    <row r="1016">
      <c r="D1016" s="349"/>
      <c r="E1016" s="235"/>
    </row>
    <row r="1017">
      <c r="D1017" s="349"/>
      <c r="E1017" s="235"/>
    </row>
    <row r="1018">
      <c r="D1018" s="349"/>
      <c r="E1018" s="235"/>
    </row>
    <row r="1019">
      <c r="D1019" s="349"/>
      <c r="E1019" s="235"/>
    </row>
    <row r="1020">
      <c r="D1020" s="349"/>
      <c r="E1020" s="235"/>
    </row>
    <row r="1021">
      <c r="D1021" s="349"/>
      <c r="E1021" s="235"/>
    </row>
    <row r="1022">
      <c r="D1022" s="349"/>
      <c r="E1022" s="235"/>
    </row>
    <row r="1023">
      <c r="D1023" s="349"/>
      <c r="E1023" s="235"/>
    </row>
    <row r="1024">
      <c r="D1024" s="349"/>
      <c r="E1024" s="235"/>
    </row>
    <row r="1025">
      <c r="D1025" s="349"/>
      <c r="E1025" s="235"/>
    </row>
    <row r="1026">
      <c r="D1026" s="349"/>
      <c r="E1026" s="235"/>
    </row>
    <row r="1027">
      <c r="D1027" s="349"/>
      <c r="E1027" s="235"/>
    </row>
    <row r="1028">
      <c r="D1028" s="349"/>
      <c r="E1028" s="235"/>
    </row>
    <row r="1029">
      <c r="D1029" s="349"/>
      <c r="E1029" s="235"/>
    </row>
    <row r="1030">
      <c r="D1030" s="349"/>
      <c r="E1030" s="235"/>
    </row>
    <row r="1031">
      <c r="D1031" s="349"/>
      <c r="E1031" s="235"/>
    </row>
    <row r="1032">
      <c r="D1032" s="349"/>
      <c r="E1032" s="235"/>
    </row>
    <row r="1033">
      <c r="D1033" s="349"/>
      <c r="E1033" s="235"/>
    </row>
    <row r="1034">
      <c r="D1034" s="349"/>
      <c r="E1034" s="235"/>
    </row>
    <row r="1035">
      <c r="D1035" s="349"/>
      <c r="E1035" s="235"/>
    </row>
    <row r="1036">
      <c r="D1036" s="349"/>
      <c r="E1036" s="235"/>
    </row>
    <row r="1037">
      <c r="D1037" s="349"/>
      <c r="E1037" s="235"/>
    </row>
    <row r="1038">
      <c r="D1038" s="349"/>
      <c r="E1038" s="235"/>
    </row>
    <row r="1039">
      <c r="D1039" s="349"/>
      <c r="E1039" s="235"/>
    </row>
    <row r="1040">
      <c r="D1040" s="349"/>
      <c r="E1040" s="235"/>
    </row>
    <row r="1041">
      <c r="D1041" s="349"/>
      <c r="E1041" s="235"/>
    </row>
    <row r="1042">
      <c r="D1042" s="349"/>
      <c r="E1042" s="235"/>
    </row>
    <row r="1043">
      <c r="D1043" s="349"/>
      <c r="E1043" s="235"/>
    </row>
    <row r="1044">
      <c r="D1044" s="349"/>
      <c r="E1044" s="235"/>
    </row>
    <row r="1045">
      <c r="D1045" s="349"/>
      <c r="E1045" s="235"/>
    </row>
    <row r="1046">
      <c r="D1046" s="349"/>
      <c r="E1046" s="235"/>
    </row>
    <row r="1047">
      <c r="D1047" s="349"/>
      <c r="E1047" s="235"/>
    </row>
    <row r="1048">
      <c r="D1048" s="349"/>
      <c r="E1048" s="235"/>
    </row>
    <row r="1049">
      <c r="D1049" s="349"/>
      <c r="E1049" s="235"/>
    </row>
    <row r="1050">
      <c r="D1050" s="349"/>
      <c r="E1050" s="235"/>
    </row>
    <row r="1051">
      <c r="D1051" s="349"/>
      <c r="E1051" s="235"/>
    </row>
    <row r="1052">
      <c r="D1052" s="349"/>
      <c r="E1052" s="235"/>
    </row>
    <row r="1053">
      <c r="D1053" s="349"/>
      <c r="E1053" s="235"/>
    </row>
    <row r="1054">
      <c r="D1054" s="349"/>
      <c r="E1054" s="235"/>
    </row>
    <row r="1055">
      <c r="D1055" s="349"/>
      <c r="E1055" s="235"/>
    </row>
    <row r="1056">
      <c r="D1056" s="349"/>
      <c r="E1056" s="235"/>
    </row>
    <row r="1057">
      <c r="D1057" s="349"/>
      <c r="E1057" s="235"/>
    </row>
    <row r="1058">
      <c r="D1058" s="349"/>
      <c r="E1058" s="235"/>
    </row>
    <row r="1059">
      <c r="D1059" s="349"/>
      <c r="E1059" s="235"/>
    </row>
    <row r="1060">
      <c r="D1060" s="349"/>
      <c r="E1060" s="235"/>
    </row>
    <row r="1061">
      <c r="D1061" s="349"/>
      <c r="E1061" s="235"/>
    </row>
    <row r="1062">
      <c r="D1062" s="349"/>
      <c r="E1062" s="235"/>
    </row>
    <row r="1063">
      <c r="D1063" s="349"/>
      <c r="E1063" s="235"/>
    </row>
    <row r="1064">
      <c r="D1064" s="349"/>
      <c r="E1064" s="235"/>
    </row>
    <row r="1065">
      <c r="D1065" s="349"/>
      <c r="E1065" s="235"/>
    </row>
    <row r="1066">
      <c r="D1066" s="349"/>
      <c r="E1066" s="235"/>
    </row>
    <row r="1067">
      <c r="D1067" s="349"/>
      <c r="E1067" s="235"/>
    </row>
    <row r="1068">
      <c r="D1068" s="349"/>
      <c r="E1068" s="235"/>
    </row>
    <row r="1069">
      <c r="D1069" s="349"/>
      <c r="E1069" s="235"/>
    </row>
    <row r="1070">
      <c r="D1070" s="349"/>
      <c r="E1070" s="235"/>
    </row>
    <row r="1071">
      <c r="D1071" s="349"/>
      <c r="E1071" s="235"/>
    </row>
    <row r="1072">
      <c r="D1072" s="349"/>
      <c r="E1072" s="235"/>
    </row>
    <row r="1073">
      <c r="D1073" s="349"/>
      <c r="E1073" s="235"/>
    </row>
    <row r="1074">
      <c r="D1074" s="349"/>
      <c r="E1074" s="235"/>
    </row>
    <row r="1075">
      <c r="D1075" s="349"/>
      <c r="E1075" s="235"/>
    </row>
    <row r="1076">
      <c r="D1076" s="349"/>
      <c r="E1076" s="235"/>
    </row>
    <row r="1077">
      <c r="D1077" s="349"/>
      <c r="E1077" s="235"/>
    </row>
    <row r="1078">
      <c r="D1078" s="349"/>
      <c r="E1078" s="235"/>
    </row>
    <row r="1079">
      <c r="D1079" s="349"/>
      <c r="E1079" s="235"/>
    </row>
    <row r="1080">
      <c r="D1080" s="349"/>
      <c r="E1080" s="235"/>
    </row>
    <row r="1081">
      <c r="D1081" s="349"/>
      <c r="E1081" s="235"/>
    </row>
    <row r="1082">
      <c r="D1082" s="349"/>
      <c r="E1082" s="235"/>
    </row>
    <row r="1083">
      <c r="D1083" s="349"/>
      <c r="E1083" s="235"/>
    </row>
    <row r="1084">
      <c r="D1084" s="349"/>
      <c r="E1084" s="235"/>
    </row>
    <row r="1085">
      <c r="D1085" s="349"/>
      <c r="E1085" s="235"/>
    </row>
    <row r="1086">
      <c r="D1086" s="349"/>
      <c r="E1086" s="235"/>
    </row>
    <row r="1087">
      <c r="D1087" s="349"/>
      <c r="E1087" s="235"/>
    </row>
    <row r="1088">
      <c r="D1088" s="349"/>
      <c r="E1088" s="235"/>
    </row>
    <row r="1089">
      <c r="D1089" s="349"/>
      <c r="E1089" s="235"/>
    </row>
    <row r="1090">
      <c r="D1090" s="349"/>
      <c r="E1090" s="235"/>
    </row>
    <row r="1091">
      <c r="D1091" s="349"/>
      <c r="E1091" s="235"/>
    </row>
    <row r="1092">
      <c r="D1092" s="349"/>
      <c r="E1092" s="235"/>
    </row>
    <row r="1093">
      <c r="D1093" s="349"/>
      <c r="E1093" s="235"/>
    </row>
    <row r="1094">
      <c r="D1094" s="349"/>
      <c r="E1094" s="235"/>
    </row>
    <row r="1095">
      <c r="D1095" s="349"/>
      <c r="E1095" s="235"/>
    </row>
    <row r="1096">
      <c r="D1096" s="349"/>
      <c r="E1096" s="235"/>
    </row>
    <row r="1097">
      <c r="D1097" s="349"/>
      <c r="E1097" s="235"/>
    </row>
    <row r="1098">
      <c r="D1098" s="349"/>
      <c r="E1098" s="235"/>
    </row>
    <row r="1099">
      <c r="D1099" s="349"/>
      <c r="E1099" s="235"/>
    </row>
    <row r="1100">
      <c r="D1100" s="349"/>
      <c r="E1100" s="235"/>
    </row>
    <row r="1101">
      <c r="D1101" s="349"/>
      <c r="E1101" s="235"/>
    </row>
    <row r="1102">
      <c r="D1102" s="349"/>
      <c r="E1102" s="235"/>
    </row>
    <row r="1103">
      <c r="D1103" s="349"/>
      <c r="E1103" s="235"/>
    </row>
    <row r="1104">
      <c r="D1104" s="349"/>
      <c r="E1104" s="235"/>
    </row>
    <row r="1105">
      <c r="D1105" s="349"/>
      <c r="E1105" s="235"/>
    </row>
    <row r="1106">
      <c r="D1106" s="349"/>
      <c r="E1106" s="235"/>
    </row>
    <row r="1107">
      <c r="D1107" s="349"/>
      <c r="E1107" s="235"/>
    </row>
    <row r="1108">
      <c r="D1108" s="349"/>
      <c r="E1108" s="235"/>
    </row>
    <row r="1109">
      <c r="D1109" s="349"/>
      <c r="E1109" s="235"/>
    </row>
    <row r="1110">
      <c r="D1110" s="349"/>
      <c r="E1110" s="235"/>
    </row>
    <row r="1111">
      <c r="D1111" s="349"/>
      <c r="E1111" s="235"/>
    </row>
    <row r="1112">
      <c r="D1112" s="349"/>
      <c r="E1112" s="235"/>
    </row>
    <row r="1113">
      <c r="D1113" s="349"/>
      <c r="E1113" s="235"/>
    </row>
    <row r="1114">
      <c r="D1114" s="349"/>
      <c r="E1114" s="235"/>
    </row>
    <row r="1115">
      <c r="D1115" s="349"/>
      <c r="E1115" s="235"/>
    </row>
    <row r="1116">
      <c r="D1116" s="349"/>
      <c r="E1116" s="235"/>
    </row>
    <row r="1117">
      <c r="D1117" s="349"/>
      <c r="E1117" s="235"/>
    </row>
    <row r="1118">
      <c r="D1118" s="349"/>
      <c r="E1118" s="235"/>
    </row>
    <row r="1119">
      <c r="D1119" s="349"/>
      <c r="E1119" s="235"/>
    </row>
    <row r="1120">
      <c r="D1120" s="349"/>
      <c r="E1120" s="235"/>
    </row>
    <row r="1121">
      <c r="D1121" s="349"/>
      <c r="E1121" s="235"/>
    </row>
    <row r="1122">
      <c r="D1122" s="349"/>
      <c r="E1122" s="235"/>
    </row>
    <row r="1123">
      <c r="D1123" s="349"/>
      <c r="E1123" s="235"/>
    </row>
    <row r="1124">
      <c r="D1124" s="349"/>
      <c r="E1124" s="235"/>
    </row>
    <row r="1125">
      <c r="D1125" s="349"/>
      <c r="E1125" s="235"/>
    </row>
    <row r="1126">
      <c r="D1126" s="349"/>
      <c r="E1126" s="235"/>
    </row>
    <row r="1127">
      <c r="D1127" s="349"/>
      <c r="E1127" s="235"/>
    </row>
    <row r="1128">
      <c r="D1128" s="349"/>
      <c r="E1128" s="235"/>
    </row>
    <row r="1129">
      <c r="D1129" s="349"/>
      <c r="E1129" s="235"/>
    </row>
    <row r="1130">
      <c r="D1130" s="349"/>
      <c r="E1130" s="235"/>
    </row>
    <row r="1131">
      <c r="D1131" s="349"/>
      <c r="E1131" s="235"/>
    </row>
    <row r="1132">
      <c r="D1132" s="349"/>
      <c r="E1132" s="235"/>
    </row>
    <row r="1133">
      <c r="D1133" s="349"/>
      <c r="E1133" s="235"/>
    </row>
    <row r="1134">
      <c r="D1134" s="349"/>
      <c r="E1134" s="235"/>
    </row>
    <row r="1135">
      <c r="D1135" s="349"/>
      <c r="E1135" s="235"/>
    </row>
    <row r="1136">
      <c r="D1136" s="349"/>
      <c r="E1136" s="235"/>
    </row>
    <row r="1137">
      <c r="D1137" s="349"/>
      <c r="E1137" s="235"/>
    </row>
    <row r="1138">
      <c r="D1138" s="349"/>
      <c r="E1138" s="235"/>
    </row>
    <row r="1139">
      <c r="D1139" s="349"/>
      <c r="E1139" s="235"/>
    </row>
    <row r="1140">
      <c r="D1140" s="349"/>
      <c r="E1140" s="235"/>
    </row>
    <row r="1141">
      <c r="D1141" s="349"/>
      <c r="E1141" s="235"/>
    </row>
    <row r="1142">
      <c r="D1142" s="349"/>
      <c r="E1142" s="235"/>
    </row>
    <row r="1143">
      <c r="D1143" s="349"/>
      <c r="E1143" s="235"/>
    </row>
    <row r="1144">
      <c r="D1144" s="349"/>
      <c r="E1144" s="235"/>
    </row>
    <row r="1145">
      <c r="D1145" s="349"/>
      <c r="E1145" s="235"/>
    </row>
    <row r="1146">
      <c r="D1146" s="349"/>
      <c r="E1146" s="235"/>
    </row>
    <row r="1147">
      <c r="D1147" s="349"/>
      <c r="E1147" s="235"/>
    </row>
    <row r="1148">
      <c r="D1148" s="349"/>
      <c r="E1148" s="235"/>
    </row>
    <row r="1149">
      <c r="D1149" s="349"/>
      <c r="E1149" s="235"/>
    </row>
    <row r="1150">
      <c r="D1150" s="349"/>
      <c r="E1150" s="235"/>
    </row>
    <row r="1151">
      <c r="D1151" s="349"/>
      <c r="E1151" s="235"/>
    </row>
    <row r="1152">
      <c r="D1152" s="349"/>
      <c r="E1152" s="235"/>
    </row>
    <row r="1153">
      <c r="D1153" s="349"/>
      <c r="E1153" s="235"/>
    </row>
    <row r="1154">
      <c r="D1154" s="349"/>
      <c r="E1154" s="235"/>
    </row>
    <row r="1155">
      <c r="D1155" s="349"/>
      <c r="E1155" s="235"/>
    </row>
    <row r="1156">
      <c r="D1156" s="349"/>
      <c r="E1156" s="235"/>
    </row>
    <row r="1157">
      <c r="D1157" s="349"/>
      <c r="E1157" s="235"/>
    </row>
    <row r="1158">
      <c r="D1158" s="349"/>
      <c r="E1158" s="235"/>
    </row>
    <row r="1159">
      <c r="D1159" s="349"/>
      <c r="E1159" s="235"/>
    </row>
    <row r="1160">
      <c r="D1160" s="349"/>
      <c r="E1160" s="235"/>
    </row>
    <row r="1161">
      <c r="D1161" s="349"/>
      <c r="E1161" s="235"/>
    </row>
    <row r="1162">
      <c r="D1162" s="349"/>
      <c r="E1162" s="235"/>
    </row>
    <row r="1163">
      <c r="D1163" s="349"/>
      <c r="E1163" s="235"/>
    </row>
    <row r="1164">
      <c r="D1164" s="349"/>
      <c r="E1164" s="235"/>
    </row>
    <row r="1165">
      <c r="D1165" s="349"/>
      <c r="E1165" s="235"/>
    </row>
    <row r="1166">
      <c r="D1166" s="349"/>
      <c r="E1166" s="235"/>
    </row>
    <row r="1167">
      <c r="D1167" s="349"/>
      <c r="E1167" s="235"/>
    </row>
    <row r="1168">
      <c r="D1168" s="349"/>
      <c r="E1168" s="235"/>
    </row>
    <row r="1169">
      <c r="D1169" s="349"/>
      <c r="E1169" s="235"/>
    </row>
    <row r="1170">
      <c r="D1170" s="349"/>
      <c r="E1170" s="235"/>
    </row>
    <row r="1171">
      <c r="D1171" s="349"/>
      <c r="E1171" s="235"/>
    </row>
    <row r="1172">
      <c r="D1172" s="349"/>
      <c r="E1172" s="235"/>
    </row>
    <row r="1173">
      <c r="D1173" s="349"/>
      <c r="E1173" s="235"/>
    </row>
    <row r="1174">
      <c r="D1174" s="349"/>
      <c r="E1174" s="235"/>
    </row>
    <row r="1175">
      <c r="D1175" s="349"/>
      <c r="E1175" s="235"/>
    </row>
    <row r="1176">
      <c r="D1176" s="349"/>
      <c r="E1176" s="235"/>
    </row>
    <row r="1177">
      <c r="D1177" s="349"/>
      <c r="E1177" s="235"/>
    </row>
    <row r="1178">
      <c r="D1178" s="349"/>
      <c r="E1178" s="235"/>
    </row>
    <row r="1179">
      <c r="D1179" s="349"/>
      <c r="E1179" s="235"/>
    </row>
    <row r="1180">
      <c r="D1180" s="349"/>
      <c r="E1180" s="235"/>
    </row>
    <row r="1181">
      <c r="D1181" s="349"/>
      <c r="E1181" s="235"/>
    </row>
    <row r="1182">
      <c r="D1182" s="349"/>
      <c r="E1182" s="235"/>
    </row>
    <row r="1183">
      <c r="D1183" s="349"/>
      <c r="E1183" s="235"/>
    </row>
    <row r="1184">
      <c r="D1184" s="349"/>
      <c r="E1184" s="235"/>
    </row>
    <row r="1185">
      <c r="D1185" s="349"/>
      <c r="E1185" s="235"/>
    </row>
    <row r="1186">
      <c r="D1186" s="349"/>
      <c r="E1186" s="235"/>
    </row>
    <row r="1187">
      <c r="D1187" s="349"/>
      <c r="E1187" s="235"/>
    </row>
    <row r="1188">
      <c r="D1188" s="349"/>
      <c r="E1188" s="235"/>
    </row>
    <row r="1189">
      <c r="D1189" s="349"/>
      <c r="E1189" s="235"/>
    </row>
    <row r="1190">
      <c r="D1190" s="349"/>
      <c r="E1190" s="235"/>
    </row>
    <row r="1191">
      <c r="D1191" s="349"/>
      <c r="E1191" s="235"/>
    </row>
    <row r="1192">
      <c r="D1192" s="349"/>
      <c r="E1192" s="235"/>
    </row>
    <row r="1193">
      <c r="D1193" s="349"/>
      <c r="E1193" s="235"/>
    </row>
    <row r="1194">
      <c r="D1194" s="349"/>
      <c r="E1194" s="235"/>
    </row>
    <row r="1195">
      <c r="D1195" s="349"/>
      <c r="E1195" s="235"/>
    </row>
    <row r="1196">
      <c r="D1196" s="349"/>
      <c r="E1196" s="235"/>
    </row>
    <row r="1197">
      <c r="D1197" s="349"/>
      <c r="E1197" s="235"/>
    </row>
    <row r="1198">
      <c r="D1198" s="349"/>
      <c r="E1198" s="235"/>
    </row>
    <row r="1199">
      <c r="D1199" s="349"/>
      <c r="E1199" s="235"/>
    </row>
    <row r="1200">
      <c r="D1200" s="349"/>
      <c r="E1200" s="235"/>
    </row>
    <row r="1201">
      <c r="D1201" s="349"/>
      <c r="E1201" s="235"/>
    </row>
    <row r="1202">
      <c r="D1202" s="349"/>
      <c r="E1202" s="235"/>
    </row>
    <row r="1203">
      <c r="D1203" s="349"/>
      <c r="E1203" s="235"/>
    </row>
    <row r="1204">
      <c r="D1204" s="349"/>
      <c r="E1204" s="235"/>
    </row>
    <row r="1205">
      <c r="D1205" s="349"/>
      <c r="E1205" s="235"/>
    </row>
    <row r="1206">
      <c r="D1206" s="349"/>
      <c r="E1206" s="235"/>
    </row>
    <row r="1207">
      <c r="D1207" s="349"/>
      <c r="E1207" s="235"/>
    </row>
    <row r="1208">
      <c r="D1208" s="349"/>
      <c r="E1208" s="235"/>
    </row>
    <row r="1209">
      <c r="D1209" s="349"/>
      <c r="E1209" s="235"/>
    </row>
    <row r="1210">
      <c r="D1210" s="349"/>
      <c r="E1210" s="235"/>
    </row>
    <row r="1211">
      <c r="D1211" s="349"/>
      <c r="E1211" s="235"/>
    </row>
    <row r="1212">
      <c r="D1212" s="349"/>
      <c r="E1212" s="235"/>
    </row>
    <row r="1213">
      <c r="D1213" s="349"/>
      <c r="E1213" s="235"/>
    </row>
    <row r="1214">
      <c r="D1214" s="349"/>
      <c r="E1214" s="235"/>
    </row>
    <row r="1215">
      <c r="D1215" s="349"/>
      <c r="E1215" s="235"/>
    </row>
    <row r="1216">
      <c r="D1216" s="349"/>
      <c r="E1216" s="235"/>
    </row>
    <row r="1217">
      <c r="D1217" s="349"/>
      <c r="E1217" s="235"/>
    </row>
    <row r="1218">
      <c r="D1218" s="349"/>
      <c r="E1218" s="235"/>
    </row>
    <row r="1219">
      <c r="D1219" s="349"/>
      <c r="E1219" s="235"/>
    </row>
    <row r="1220">
      <c r="D1220" s="349"/>
      <c r="E1220" s="235"/>
    </row>
    <row r="1221">
      <c r="D1221" s="349"/>
      <c r="E1221" s="235"/>
    </row>
    <row r="1222">
      <c r="D1222" s="349"/>
      <c r="E1222" s="235"/>
    </row>
    <row r="1223">
      <c r="D1223" s="349"/>
      <c r="E1223" s="235"/>
    </row>
    <row r="1224">
      <c r="D1224" s="349"/>
      <c r="E1224" s="235"/>
    </row>
    <row r="1225">
      <c r="D1225" s="349"/>
      <c r="E1225" s="235"/>
    </row>
    <row r="1226">
      <c r="D1226" s="349"/>
      <c r="E1226" s="235"/>
    </row>
    <row r="1227">
      <c r="D1227" s="349"/>
      <c r="E1227" s="235"/>
    </row>
    <row r="1228">
      <c r="D1228" s="349"/>
      <c r="E1228" s="235"/>
    </row>
    <row r="1229">
      <c r="D1229" s="349"/>
      <c r="E1229" s="235"/>
    </row>
    <row r="1230">
      <c r="D1230" s="349"/>
      <c r="E1230" s="235"/>
    </row>
    <row r="1231">
      <c r="D1231" s="349"/>
      <c r="E1231" s="235"/>
    </row>
    <row r="1232">
      <c r="D1232" s="349"/>
      <c r="E1232" s="235"/>
    </row>
    <row r="1233">
      <c r="D1233" s="349"/>
      <c r="E1233" s="235"/>
    </row>
    <row r="1234">
      <c r="D1234" s="349"/>
      <c r="E1234" s="235"/>
    </row>
    <row r="1235">
      <c r="D1235" s="349"/>
      <c r="E1235" s="235"/>
    </row>
    <row r="1236">
      <c r="D1236" s="349"/>
      <c r="E1236" s="235"/>
    </row>
    <row r="1237">
      <c r="D1237" s="349"/>
      <c r="E1237" s="235"/>
    </row>
    <row r="1238">
      <c r="D1238" s="349"/>
      <c r="E1238" s="235"/>
    </row>
    <row r="1239">
      <c r="D1239" s="349"/>
      <c r="E1239" s="235"/>
    </row>
    <row r="1240">
      <c r="D1240" s="349"/>
      <c r="E1240" s="235"/>
    </row>
    <row r="1241">
      <c r="D1241" s="349"/>
      <c r="E1241" s="235"/>
    </row>
    <row r="1242">
      <c r="D1242" s="349"/>
      <c r="E1242" s="235"/>
    </row>
    <row r="1243">
      <c r="D1243" s="349"/>
      <c r="E1243" s="235"/>
    </row>
    <row r="1244">
      <c r="D1244" s="349"/>
      <c r="E1244" s="235"/>
    </row>
    <row r="1245">
      <c r="D1245" s="349"/>
      <c r="E1245" s="235"/>
    </row>
    <row r="1246">
      <c r="D1246" s="349"/>
      <c r="E1246" s="235"/>
    </row>
    <row r="1247">
      <c r="D1247" s="349"/>
      <c r="E1247" s="235"/>
    </row>
    <row r="1248">
      <c r="D1248" s="349"/>
      <c r="E1248" s="235"/>
    </row>
    <row r="1249">
      <c r="D1249" s="349"/>
      <c r="E1249" s="235"/>
    </row>
    <row r="1250">
      <c r="D1250" s="349"/>
      <c r="E1250" s="235"/>
    </row>
    <row r="1251">
      <c r="D1251" s="349"/>
      <c r="E1251" s="235"/>
    </row>
    <row r="1252">
      <c r="D1252" s="349"/>
      <c r="E1252" s="235"/>
    </row>
    <row r="1253">
      <c r="D1253" s="349"/>
      <c r="E1253" s="235"/>
    </row>
    <row r="1254">
      <c r="D1254" s="349"/>
      <c r="E1254" s="235"/>
    </row>
    <row r="1255">
      <c r="D1255" s="349"/>
      <c r="E1255" s="235"/>
    </row>
    <row r="1256">
      <c r="D1256" s="349"/>
      <c r="E1256" s="235"/>
    </row>
    <row r="1257">
      <c r="D1257" s="349"/>
      <c r="E1257" s="235"/>
    </row>
    <row r="1258">
      <c r="D1258" s="349"/>
      <c r="E1258" s="235"/>
    </row>
    <row r="1259">
      <c r="D1259" s="349"/>
      <c r="E1259" s="235"/>
    </row>
    <row r="1260">
      <c r="D1260" s="349"/>
      <c r="E1260" s="235"/>
    </row>
    <row r="1261">
      <c r="D1261" s="349"/>
      <c r="E1261" s="235"/>
    </row>
    <row r="1262">
      <c r="D1262" s="349"/>
      <c r="E1262" s="235"/>
    </row>
    <row r="1263">
      <c r="D1263" s="349"/>
      <c r="E1263" s="235"/>
    </row>
    <row r="1264">
      <c r="D1264" s="349"/>
      <c r="E1264" s="235"/>
    </row>
    <row r="1265">
      <c r="D1265" s="349"/>
      <c r="E1265" s="235"/>
    </row>
    <row r="1266">
      <c r="D1266" s="349"/>
      <c r="E1266" s="235"/>
    </row>
    <row r="1267">
      <c r="D1267" s="349"/>
      <c r="E1267" s="235"/>
    </row>
    <row r="1268">
      <c r="D1268" s="349"/>
      <c r="E1268" s="235"/>
    </row>
    <row r="1269">
      <c r="D1269" s="349"/>
      <c r="E1269" s="235"/>
    </row>
    <row r="1270">
      <c r="D1270" s="349"/>
      <c r="E1270" s="235"/>
    </row>
    <row r="1271">
      <c r="D1271" s="349"/>
      <c r="E1271" s="235"/>
    </row>
    <row r="1272">
      <c r="D1272" s="349"/>
      <c r="E1272" s="235"/>
    </row>
    <row r="1273">
      <c r="D1273" s="349"/>
      <c r="E1273" s="235"/>
    </row>
    <row r="1274">
      <c r="D1274" s="349"/>
      <c r="E1274" s="235"/>
    </row>
    <row r="1275">
      <c r="D1275" s="349"/>
      <c r="E1275" s="235"/>
    </row>
    <row r="1276">
      <c r="D1276" s="349"/>
      <c r="E1276" s="235"/>
    </row>
    <row r="1277">
      <c r="D1277" s="349"/>
      <c r="E1277" s="235"/>
    </row>
    <row r="1278">
      <c r="D1278" s="349"/>
      <c r="E1278" s="235"/>
    </row>
    <row r="1279">
      <c r="D1279" s="349"/>
      <c r="E1279" s="235"/>
    </row>
    <row r="1280">
      <c r="D1280" s="349"/>
      <c r="E1280" s="235"/>
    </row>
    <row r="1281">
      <c r="D1281" s="349"/>
      <c r="E1281" s="235"/>
    </row>
    <row r="1282">
      <c r="D1282" s="349"/>
      <c r="E1282" s="235"/>
    </row>
    <row r="1283">
      <c r="D1283" s="349"/>
      <c r="E1283" s="235"/>
    </row>
    <row r="1284">
      <c r="D1284" s="349"/>
      <c r="E1284" s="235"/>
    </row>
    <row r="1285">
      <c r="D1285" s="349"/>
      <c r="E1285" s="235"/>
    </row>
    <row r="1286">
      <c r="D1286" s="349"/>
      <c r="E1286" s="235"/>
    </row>
    <row r="1287">
      <c r="D1287" s="349"/>
      <c r="E1287" s="235"/>
    </row>
    <row r="1288">
      <c r="D1288" s="349"/>
      <c r="E1288" s="235"/>
    </row>
    <row r="1289">
      <c r="D1289" s="349"/>
      <c r="E1289" s="235"/>
    </row>
    <row r="1290">
      <c r="D1290" s="349"/>
      <c r="E1290" s="235"/>
    </row>
    <row r="1291">
      <c r="D1291" s="349"/>
      <c r="E1291" s="235"/>
    </row>
    <row r="1292">
      <c r="D1292" s="349"/>
      <c r="E1292" s="235"/>
    </row>
    <row r="1293">
      <c r="D1293" s="349"/>
      <c r="E1293" s="235"/>
    </row>
    <row r="1294">
      <c r="D1294" s="349"/>
      <c r="E1294" s="235"/>
    </row>
    <row r="1295">
      <c r="D1295" s="349"/>
      <c r="E1295" s="235"/>
    </row>
    <row r="1296">
      <c r="D1296" s="349"/>
      <c r="E1296" s="235"/>
    </row>
    <row r="1297">
      <c r="D1297" s="349"/>
      <c r="E1297" s="235"/>
    </row>
    <row r="1298">
      <c r="D1298" s="349"/>
      <c r="E1298" s="235"/>
    </row>
    <row r="1299">
      <c r="D1299" s="349"/>
      <c r="E1299" s="235"/>
    </row>
    <row r="1300">
      <c r="D1300" s="349"/>
      <c r="E1300" s="235"/>
    </row>
    <row r="1301">
      <c r="D1301" s="349"/>
      <c r="E1301" s="235"/>
    </row>
    <row r="1302">
      <c r="D1302" s="349"/>
      <c r="E1302" s="235"/>
    </row>
    <row r="1303">
      <c r="D1303" s="349"/>
      <c r="E1303" s="235"/>
    </row>
    <row r="1304">
      <c r="D1304" s="349"/>
      <c r="E1304" s="235"/>
    </row>
    <row r="1305">
      <c r="D1305" s="349"/>
      <c r="E1305" s="235"/>
    </row>
    <row r="1306">
      <c r="D1306" s="349"/>
      <c r="E1306" s="235"/>
    </row>
    <row r="1307">
      <c r="D1307" s="349"/>
      <c r="E1307" s="235"/>
    </row>
    <row r="1308">
      <c r="D1308" s="349"/>
      <c r="E1308" s="235"/>
    </row>
    <row r="1309">
      <c r="D1309" s="349"/>
      <c r="E1309" s="235"/>
    </row>
    <row r="1310">
      <c r="D1310" s="349"/>
      <c r="E1310" s="235"/>
    </row>
    <row r="1311">
      <c r="D1311" s="349"/>
      <c r="E1311" s="235"/>
    </row>
    <row r="1312">
      <c r="D1312" s="349"/>
      <c r="E1312" s="235"/>
    </row>
    <row r="1313">
      <c r="D1313" s="349"/>
      <c r="E1313" s="235"/>
    </row>
    <row r="1314">
      <c r="D1314" s="349"/>
      <c r="E1314" s="235"/>
    </row>
    <row r="1315">
      <c r="D1315" s="349"/>
      <c r="E1315" s="235"/>
    </row>
    <row r="1316">
      <c r="D1316" s="349"/>
      <c r="E1316" s="235"/>
    </row>
    <row r="1317">
      <c r="D1317" s="349"/>
      <c r="E1317" s="235"/>
    </row>
    <row r="1318">
      <c r="D1318" s="349"/>
      <c r="E1318" s="235"/>
    </row>
    <row r="1319">
      <c r="D1319" s="349"/>
      <c r="E1319" s="235"/>
    </row>
    <row r="1320">
      <c r="D1320" s="349"/>
      <c r="E1320" s="235"/>
    </row>
    <row r="1321">
      <c r="D1321" s="349"/>
      <c r="E1321" s="235"/>
    </row>
    <row r="1322">
      <c r="D1322" s="349"/>
      <c r="E1322" s="235"/>
    </row>
    <row r="1323">
      <c r="D1323" s="349"/>
      <c r="E1323" s="235"/>
    </row>
    <row r="1324">
      <c r="D1324" s="349"/>
      <c r="E1324" s="235"/>
    </row>
    <row r="1325">
      <c r="D1325" s="349"/>
      <c r="E1325" s="235"/>
    </row>
    <row r="1326">
      <c r="D1326" s="349"/>
      <c r="E1326" s="235"/>
    </row>
    <row r="1327">
      <c r="D1327" s="349"/>
      <c r="E1327" s="235"/>
    </row>
    <row r="1328">
      <c r="D1328" s="349"/>
      <c r="E1328" s="235"/>
    </row>
    <row r="1329">
      <c r="D1329" s="349"/>
      <c r="E1329" s="235"/>
    </row>
    <row r="1330">
      <c r="D1330" s="349"/>
      <c r="E1330" s="235"/>
    </row>
    <row r="1331">
      <c r="D1331" s="349"/>
      <c r="E1331" s="235"/>
    </row>
    <row r="1332">
      <c r="D1332" s="349"/>
      <c r="E1332" s="235"/>
    </row>
    <row r="1333">
      <c r="D1333" s="349"/>
      <c r="E1333" s="235"/>
    </row>
    <row r="1334">
      <c r="D1334" s="349"/>
      <c r="E1334" s="235"/>
    </row>
    <row r="1335">
      <c r="D1335" s="349"/>
      <c r="E1335" s="235"/>
    </row>
    <row r="1336">
      <c r="D1336" s="349"/>
      <c r="E1336" s="235"/>
    </row>
    <row r="1337">
      <c r="D1337" s="349"/>
      <c r="E1337" s="235"/>
    </row>
    <row r="1338">
      <c r="D1338" s="349"/>
      <c r="E1338" s="235"/>
    </row>
    <row r="1339">
      <c r="D1339" s="349"/>
      <c r="E1339" s="235"/>
    </row>
    <row r="1340">
      <c r="D1340" s="349"/>
      <c r="E1340" s="235"/>
    </row>
    <row r="1341">
      <c r="D1341" s="349"/>
      <c r="E1341" s="235"/>
    </row>
    <row r="1342">
      <c r="D1342" s="349"/>
      <c r="E1342" s="235"/>
    </row>
    <row r="1343">
      <c r="D1343" s="349"/>
      <c r="E1343" s="235"/>
    </row>
    <row r="1344">
      <c r="D1344" s="349"/>
      <c r="E1344" s="235"/>
    </row>
    <row r="1345">
      <c r="D1345" s="349"/>
      <c r="E1345" s="235"/>
    </row>
    <row r="1346">
      <c r="D1346" s="349"/>
      <c r="E1346" s="235"/>
    </row>
    <row r="1347">
      <c r="D1347" s="349"/>
      <c r="E1347" s="235"/>
    </row>
    <row r="1348">
      <c r="D1348" s="349"/>
      <c r="E1348" s="235"/>
    </row>
    <row r="1349">
      <c r="D1349" s="349"/>
      <c r="E1349" s="235"/>
    </row>
    <row r="1350">
      <c r="D1350" s="349"/>
      <c r="E1350" s="235"/>
    </row>
    <row r="1351">
      <c r="D1351" s="349"/>
      <c r="E1351" s="235"/>
    </row>
    <row r="1352">
      <c r="D1352" s="349"/>
      <c r="E1352" s="235"/>
    </row>
    <row r="1353">
      <c r="D1353" s="349"/>
      <c r="E1353" s="235"/>
    </row>
    <row r="1354">
      <c r="D1354" s="349"/>
      <c r="E1354" s="235"/>
    </row>
    <row r="1355">
      <c r="D1355" s="349"/>
      <c r="E1355" s="235"/>
    </row>
    <row r="1356">
      <c r="D1356" s="349"/>
      <c r="E1356" s="235"/>
    </row>
    <row r="1357">
      <c r="D1357" s="349"/>
      <c r="E1357" s="235"/>
    </row>
    <row r="1358">
      <c r="D1358" s="349"/>
      <c r="E1358" s="235"/>
    </row>
    <row r="1359">
      <c r="D1359" s="349"/>
      <c r="E1359" s="235"/>
    </row>
    <row r="1360">
      <c r="D1360" s="349"/>
      <c r="E1360" s="235"/>
    </row>
    <row r="1361">
      <c r="D1361" s="349"/>
      <c r="E1361" s="235"/>
    </row>
    <row r="1362">
      <c r="D1362" s="349"/>
      <c r="E1362" s="235"/>
    </row>
    <row r="1363">
      <c r="D1363" s="349"/>
      <c r="E1363" s="235"/>
    </row>
    <row r="1364">
      <c r="D1364" s="349"/>
      <c r="E1364" s="235"/>
    </row>
    <row r="1365">
      <c r="D1365" s="349"/>
      <c r="E1365" s="235"/>
    </row>
    <row r="1366">
      <c r="D1366" s="349"/>
      <c r="E1366" s="235"/>
    </row>
    <row r="1367">
      <c r="D1367" s="349"/>
      <c r="E1367" s="235"/>
    </row>
    <row r="1368">
      <c r="D1368" s="349"/>
      <c r="E1368" s="235"/>
    </row>
    <row r="1369">
      <c r="D1369" s="349"/>
      <c r="E1369" s="235"/>
    </row>
    <row r="1370">
      <c r="D1370" s="349"/>
      <c r="E1370" s="235"/>
    </row>
    <row r="1371">
      <c r="D1371" s="349"/>
      <c r="E1371" s="235"/>
    </row>
    <row r="1372">
      <c r="D1372" s="349"/>
      <c r="E1372" s="235"/>
    </row>
    <row r="1373">
      <c r="D1373" s="349"/>
      <c r="E1373" s="235"/>
    </row>
    <row r="1374">
      <c r="D1374" s="349"/>
      <c r="E1374" s="235"/>
    </row>
    <row r="1375">
      <c r="D1375" s="349"/>
      <c r="E1375" s="235"/>
    </row>
    <row r="1376">
      <c r="D1376" s="349"/>
      <c r="E1376" s="235"/>
    </row>
    <row r="1377">
      <c r="D1377" s="349"/>
      <c r="E1377" s="235"/>
    </row>
    <row r="1378">
      <c r="D1378" s="349"/>
      <c r="E1378" s="235"/>
    </row>
    <row r="1379">
      <c r="D1379" s="349"/>
      <c r="E1379" s="235"/>
    </row>
    <row r="1380">
      <c r="D1380" s="349"/>
      <c r="E1380" s="235"/>
    </row>
    <row r="1381">
      <c r="D1381" s="349"/>
      <c r="E1381" s="235"/>
    </row>
    <row r="1382">
      <c r="D1382" s="349"/>
      <c r="E1382" s="235"/>
    </row>
    <row r="1383">
      <c r="D1383" s="349"/>
      <c r="E1383" s="235"/>
    </row>
    <row r="1384">
      <c r="D1384" s="349"/>
      <c r="E1384" s="235"/>
    </row>
    <row r="1385">
      <c r="D1385" s="349"/>
      <c r="E1385" s="235"/>
    </row>
    <row r="1386">
      <c r="D1386" s="349"/>
      <c r="E1386" s="235"/>
    </row>
    <row r="1387">
      <c r="D1387" s="349"/>
      <c r="E1387" s="235"/>
    </row>
    <row r="1388">
      <c r="D1388" s="349"/>
      <c r="E1388" s="235"/>
    </row>
    <row r="1389">
      <c r="D1389" s="349"/>
      <c r="E1389" s="235"/>
    </row>
    <row r="1390">
      <c r="D1390" s="349"/>
      <c r="E1390" s="235"/>
    </row>
    <row r="1391">
      <c r="D1391" s="349"/>
      <c r="E1391" s="235"/>
    </row>
    <row r="1392">
      <c r="D1392" s="349"/>
      <c r="E1392" s="235"/>
    </row>
    <row r="1393">
      <c r="D1393" s="349"/>
      <c r="E1393" s="235"/>
    </row>
    <row r="1394">
      <c r="D1394" s="349"/>
      <c r="E1394" s="235"/>
    </row>
    <row r="1395">
      <c r="D1395" s="349"/>
      <c r="E1395" s="235"/>
    </row>
    <row r="1396">
      <c r="D1396" s="349"/>
      <c r="E1396" s="235"/>
    </row>
    <row r="1397">
      <c r="D1397" s="349"/>
      <c r="E1397" s="235"/>
    </row>
    <row r="1398">
      <c r="D1398" s="349"/>
      <c r="E1398" s="235"/>
    </row>
    <row r="1399">
      <c r="D1399" s="349"/>
      <c r="E1399" s="235"/>
    </row>
    <row r="1400">
      <c r="D1400" s="349"/>
      <c r="E1400" s="235"/>
    </row>
    <row r="1401">
      <c r="D1401" s="349"/>
      <c r="E1401" s="235"/>
    </row>
    <row r="1402">
      <c r="D1402" s="349"/>
      <c r="E1402" s="235"/>
    </row>
    <row r="1403">
      <c r="D1403" s="349"/>
      <c r="E1403" s="235"/>
    </row>
    <row r="1404">
      <c r="D1404" s="349"/>
      <c r="E1404" s="235"/>
    </row>
    <row r="1405">
      <c r="D1405" s="349"/>
      <c r="E1405" s="235"/>
    </row>
    <row r="1406">
      <c r="D1406" s="349"/>
      <c r="E1406" s="235"/>
    </row>
    <row r="1407">
      <c r="D1407" s="349"/>
      <c r="E1407" s="235"/>
    </row>
    <row r="1408">
      <c r="D1408" s="349"/>
      <c r="E1408" s="235"/>
    </row>
    <row r="1409">
      <c r="D1409" s="349"/>
      <c r="E1409" s="235"/>
    </row>
    <row r="1410">
      <c r="D1410" s="349"/>
      <c r="E1410" s="235"/>
    </row>
    <row r="1411">
      <c r="D1411" s="349"/>
      <c r="E1411" s="235"/>
    </row>
    <row r="1412">
      <c r="D1412" s="349"/>
      <c r="E1412" s="235"/>
    </row>
    <row r="1413">
      <c r="D1413" s="349"/>
      <c r="E1413" s="235"/>
    </row>
    <row r="1414">
      <c r="D1414" s="349"/>
      <c r="E1414" s="235"/>
    </row>
    <row r="1415">
      <c r="D1415" s="349"/>
      <c r="E1415" s="235"/>
    </row>
    <row r="1416">
      <c r="D1416" s="349"/>
      <c r="E1416" s="235"/>
    </row>
    <row r="1417">
      <c r="D1417" s="349"/>
      <c r="E1417" s="235"/>
    </row>
    <row r="1418">
      <c r="D1418" s="349"/>
      <c r="E1418" s="235"/>
    </row>
    <row r="1419">
      <c r="D1419" s="349"/>
      <c r="E1419" s="235"/>
    </row>
    <row r="1420">
      <c r="D1420" s="349"/>
      <c r="E1420" s="235"/>
    </row>
    <row r="1421">
      <c r="D1421" s="349"/>
      <c r="E1421" s="235"/>
    </row>
    <row r="1422">
      <c r="D1422" s="349"/>
      <c r="E1422" s="235"/>
    </row>
    <row r="1423">
      <c r="D1423" s="349"/>
      <c r="E1423" s="235"/>
    </row>
    <row r="1424">
      <c r="D1424" s="349"/>
      <c r="E1424" s="235"/>
    </row>
    <row r="1425">
      <c r="D1425" s="349"/>
      <c r="E1425" s="235"/>
    </row>
    <row r="1426">
      <c r="D1426" s="349"/>
      <c r="E1426" s="235"/>
    </row>
    <row r="1427">
      <c r="D1427" s="349"/>
      <c r="E1427" s="235"/>
    </row>
    <row r="1428">
      <c r="D1428" s="349"/>
      <c r="E1428" s="235"/>
    </row>
    <row r="1429">
      <c r="D1429" s="349"/>
      <c r="E1429" s="235"/>
    </row>
    <row r="1430">
      <c r="D1430" s="349"/>
      <c r="E1430" s="235"/>
    </row>
    <row r="1431">
      <c r="D1431" s="349"/>
      <c r="E1431" s="235"/>
    </row>
    <row r="1432">
      <c r="D1432" s="349"/>
      <c r="E1432" s="235"/>
    </row>
    <row r="1433">
      <c r="D1433" s="349"/>
      <c r="E1433" s="235"/>
    </row>
    <row r="1434">
      <c r="D1434" s="349"/>
      <c r="E1434" s="235"/>
    </row>
    <row r="1435">
      <c r="D1435" s="349"/>
      <c r="E1435" s="235"/>
    </row>
    <row r="1436">
      <c r="D1436" s="349"/>
      <c r="E1436" s="235"/>
    </row>
    <row r="1437">
      <c r="D1437" s="349"/>
      <c r="E1437" s="235"/>
    </row>
    <row r="1438">
      <c r="D1438" s="349"/>
      <c r="E1438" s="235"/>
    </row>
    <row r="1439">
      <c r="D1439" s="349"/>
      <c r="E1439" s="235"/>
    </row>
    <row r="1440">
      <c r="D1440" s="349"/>
      <c r="E1440" s="235"/>
    </row>
    <row r="1441">
      <c r="D1441" s="349"/>
      <c r="E1441" s="235"/>
    </row>
    <row r="1442">
      <c r="D1442" s="349"/>
      <c r="E1442" s="235"/>
    </row>
    <row r="1443">
      <c r="D1443" s="349"/>
      <c r="E1443" s="235"/>
    </row>
    <row r="1444">
      <c r="D1444" s="349"/>
      <c r="E1444" s="235"/>
    </row>
    <row r="1445">
      <c r="D1445" s="349"/>
      <c r="E1445" s="235"/>
    </row>
    <row r="1446">
      <c r="D1446" s="349"/>
      <c r="E1446" s="235"/>
    </row>
    <row r="1447">
      <c r="D1447" s="349"/>
      <c r="E1447" s="235"/>
    </row>
    <row r="1448">
      <c r="D1448" s="349"/>
      <c r="E1448" s="235"/>
    </row>
    <row r="1449">
      <c r="D1449" s="349"/>
      <c r="E1449" s="235"/>
    </row>
    <row r="1450">
      <c r="D1450" s="349"/>
      <c r="E1450" s="235"/>
    </row>
    <row r="1451">
      <c r="D1451" s="349"/>
      <c r="E1451" s="235"/>
    </row>
    <row r="1452">
      <c r="D1452" s="349"/>
      <c r="E1452" s="235"/>
    </row>
    <row r="1453">
      <c r="D1453" s="349"/>
      <c r="E1453" s="235"/>
    </row>
    <row r="1454">
      <c r="D1454" s="349"/>
      <c r="E1454" s="235"/>
    </row>
    <row r="1455">
      <c r="D1455" s="349"/>
      <c r="E1455" s="235"/>
    </row>
    <row r="1456">
      <c r="D1456" s="349"/>
      <c r="E1456" s="235"/>
    </row>
    <row r="1457">
      <c r="D1457" s="349"/>
      <c r="E1457" s="235"/>
    </row>
    <row r="1458">
      <c r="D1458" s="349"/>
      <c r="E1458" s="235"/>
    </row>
    <row r="1459">
      <c r="D1459" s="349"/>
      <c r="E1459" s="235"/>
    </row>
    <row r="1460">
      <c r="D1460" s="349"/>
      <c r="E1460" s="235"/>
    </row>
    <row r="1461">
      <c r="D1461" s="349"/>
      <c r="E1461" s="235"/>
    </row>
    <row r="1462">
      <c r="D1462" s="349"/>
      <c r="E1462" s="235"/>
    </row>
    <row r="1463">
      <c r="D1463" s="349"/>
      <c r="E1463" s="235"/>
    </row>
    <row r="1464">
      <c r="D1464" s="349"/>
      <c r="E1464" s="235"/>
    </row>
    <row r="1465">
      <c r="D1465" s="349"/>
      <c r="E1465" s="235"/>
    </row>
    <row r="1466">
      <c r="D1466" s="349"/>
      <c r="E1466" s="235"/>
    </row>
    <row r="1467">
      <c r="D1467" s="349"/>
      <c r="E1467" s="235"/>
    </row>
    <row r="1468">
      <c r="D1468" s="349"/>
      <c r="E1468" s="235"/>
    </row>
    <row r="1469">
      <c r="D1469" s="349"/>
      <c r="E1469" s="235"/>
    </row>
    <row r="1470">
      <c r="D1470" s="349"/>
      <c r="E1470" s="235"/>
    </row>
    <row r="1471">
      <c r="D1471" s="349"/>
      <c r="E1471" s="235"/>
    </row>
    <row r="1472">
      <c r="D1472" s="349"/>
      <c r="E1472" s="235"/>
    </row>
    <row r="1473">
      <c r="D1473" s="349"/>
      <c r="E1473" s="235"/>
    </row>
    <row r="1474">
      <c r="D1474" s="349"/>
      <c r="E1474" s="235"/>
    </row>
    <row r="1475">
      <c r="D1475" s="349"/>
      <c r="E1475" s="235"/>
    </row>
    <row r="1476">
      <c r="D1476" s="349"/>
      <c r="E1476" s="235"/>
    </row>
    <row r="1477">
      <c r="D1477" s="349"/>
      <c r="E1477" s="235"/>
    </row>
    <row r="1478">
      <c r="D1478" s="349"/>
      <c r="E1478" s="235"/>
    </row>
    <row r="1479">
      <c r="D1479" s="349"/>
      <c r="E1479" s="235"/>
    </row>
    <row r="1480">
      <c r="D1480" s="349"/>
      <c r="E1480" s="235"/>
    </row>
    <row r="1481">
      <c r="D1481" s="349"/>
      <c r="E1481" s="235"/>
    </row>
    <row r="1482">
      <c r="D1482" s="349"/>
      <c r="E1482" s="235"/>
    </row>
    <row r="1483">
      <c r="D1483" s="349"/>
      <c r="E1483" s="235"/>
    </row>
    <row r="1484">
      <c r="D1484" s="349"/>
      <c r="E1484" s="235"/>
    </row>
    <row r="1485">
      <c r="D1485" s="349"/>
      <c r="E1485" s="235"/>
    </row>
    <row r="1486">
      <c r="D1486" s="349"/>
      <c r="E1486" s="235"/>
    </row>
    <row r="1487">
      <c r="D1487" s="349"/>
      <c r="E1487" s="235"/>
    </row>
    <row r="1488">
      <c r="D1488" s="349"/>
      <c r="E1488" s="235"/>
    </row>
    <row r="1489">
      <c r="D1489" s="349"/>
      <c r="E1489" s="235"/>
    </row>
    <row r="1490">
      <c r="D1490" s="349"/>
      <c r="E1490" s="235"/>
    </row>
    <row r="1491">
      <c r="D1491" s="349"/>
      <c r="E1491" s="235"/>
    </row>
    <row r="1492">
      <c r="D1492" s="349"/>
      <c r="E1492" s="235"/>
    </row>
    <row r="1493">
      <c r="D1493" s="349"/>
      <c r="E1493" s="235"/>
    </row>
    <row r="1494">
      <c r="D1494" s="349"/>
      <c r="E1494" s="235"/>
    </row>
    <row r="1495">
      <c r="D1495" s="349"/>
      <c r="E1495" s="235"/>
    </row>
    <row r="1496">
      <c r="D1496" s="349"/>
      <c r="E1496" s="235"/>
    </row>
    <row r="1497">
      <c r="D1497" s="349"/>
      <c r="E1497" s="235"/>
    </row>
    <row r="1498">
      <c r="D1498" s="349"/>
      <c r="E1498" s="235"/>
    </row>
    <row r="1499">
      <c r="D1499" s="349"/>
      <c r="E1499" s="235"/>
    </row>
    <row r="1500">
      <c r="D1500" s="349"/>
      <c r="E1500" s="235"/>
    </row>
    <row r="1501">
      <c r="D1501" s="349"/>
      <c r="E1501" s="235"/>
    </row>
    <row r="1502">
      <c r="D1502" s="349"/>
      <c r="E1502" s="235"/>
    </row>
    <row r="1503">
      <c r="D1503" s="349"/>
      <c r="E1503" s="235"/>
    </row>
    <row r="1504">
      <c r="D1504" s="349"/>
      <c r="E1504" s="235"/>
    </row>
    <row r="1505">
      <c r="D1505" s="349"/>
      <c r="E1505" s="235"/>
    </row>
    <row r="1506">
      <c r="D1506" s="349"/>
      <c r="E1506" s="235"/>
    </row>
    <row r="1507">
      <c r="D1507" s="349"/>
      <c r="E1507" s="235"/>
    </row>
    <row r="1508">
      <c r="D1508" s="349"/>
      <c r="E1508" s="235"/>
    </row>
    <row r="1509">
      <c r="D1509" s="349"/>
      <c r="E1509" s="235"/>
    </row>
    <row r="1510">
      <c r="D1510" s="349"/>
      <c r="E1510" s="235"/>
    </row>
    <row r="1511">
      <c r="D1511" s="349"/>
      <c r="E1511" s="235"/>
    </row>
    <row r="1512">
      <c r="D1512" s="349"/>
      <c r="E1512" s="235"/>
    </row>
    <row r="1513">
      <c r="D1513" s="349"/>
      <c r="E1513" s="235"/>
    </row>
    <row r="1514">
      <c r="D1514" s="349"/>
      <c r="E1514" s="235"/>
    </row>
    <row r="1515">
      <c r="D1515" s="349"/>
      <c r="E1515" s="235"/>
    </row>
    <row r="1516">
      <c r="D1516" s="349"/>
      <c r="E1516" s="235"/>
    </row>
    <row r="1517">
      <c r="D1517" s="349"/>
      <c r="E1517" s="235"/>
    </row>
    <row r="1518">
      <c r="D1518" s="349"/>
      <c r="E1518" s="235"/>
    </row>
    <row r="1519">
      <c r="D1519" s="349"/>
      <c r="E1519" s="235"/>
    </row>
    <row r="1520">
      <c r="D1520" s="349"/>
      <c r="E1520" s="235"/>
    </row>
    <row r="1521">
      <c r="D1521" s="349"/>
      <c r="E1521" s="235"/>
    </row>
    <row r="1522">
      <c r="D1522" s="349"/>
      <c r="E1522" s="235"/>
    </row>
    <row r="1523">
      <c r="D1523" s="349"/>
      <c r="E1523" s="235"/>
    </row>
    <row r="1524">
      <c r="D1524" s="349"/>
      <c r="E1524" s="235"/>
    </row>
    <row r="1525">
      <c r="D1525" s="349"/>
      <c r="E1525" s="235"/>
    </row>
    <row r="1526">
      <c r="D1526" s="349"/>
      <c r="E1526" s="235"/>
    </row>
    <row r="1527">
      <c r="D1527" s="349"/>
      <c r="E1527" s="235"/>
    </row>
    <row r="1528">
      <c r="D1528" s="349"/>
      <c r="E1528" s="235"/>
    </row>
    <row r="1529">
      <c r="D1529" s="349"/>
      <c r="E1529" s="235"/>
    </row>
    <row r="1530">
      <c r="D1530" s="349"/>
      <c r="E1530" s="235"/>
    </row>
    <row r="1531">
      <c r="D1531" s="349"/>
      <c r="E1531" s="235"/>
    </row>
    <row r="1532">
      <c r="D1532" s="349"/>
      <c r="E1532" s="235"/>
    </row>
    <row r="1533">
      <c r="D1533" s="349"/>
      <c r="E1533" s="235"/>
    </row>
    <row r="1534">
      <c r="D1534" s="349"/>
      <c r="E1534" s="235"/>
    </row>
    <row r="1535">
      <c r="D1535" s="349"/>
      <c r="E1535" s="235"/>
    </row>
    <row r="1536">
      <c r="D1536" s="349"/>
      <c r="E1536" s="235"/>
    </row>
    <row r="1537">
      <c r="D1537" s="349"/>
      <c r="E1537" s="235"/>
    </row>
    <row r="1538">
      <c r="D1538" s="349"/>
      <c r="E1538" s="235"/>
    </row>
    <row r="1539">
      <c r="D1539" s="349"/>
      <c r="E1539" s="235"/>
    </row>
    <row r="1540">
      <c r="D1540" s="349"/>
      <c r="E1540" s="235"/>
    </row>
    <row r="1541">
      <c r="D1541" s="349"/>
      <c r="E1541" s="235"/>
    </row>
    <row r="1542">
      <c r="D1542" s="349"/>
      <c r="E1542" s="235"/>
    </row>
    <row r="1543">
      <c r="D1543" s="349"/>
      <c r="E1543" s="235"/>
    </row>
    <row r="1544">
      <c r="D1544" s="349"/>
      <c r="E1544" s="235"/>
    </row>
    <row r="1545">
      <c r="D1545" s="349"/>
      <c r="E1545" s="235"/>
    </row>
    <row r="1546">
      <c r="D1546" s="349"/>
      <c r="E1546" s="235"/>
    </row>
    <row r="1547">
      <c r="D1547" s="349"/>
      <c r="E1547" s="235"/>
    </row>
    <row r="1548">
      <c r="D1548" s="349"/>
      <c r="E1548" s="235"/>
    </row>
    <row r="1549">
      <c r="D1549" s="349"/>
      <c r="E1549" s="235"/>
    </row>
    <row r="1550">
      <c r="D1550" s="349"/>
      <c r="E1550" s="235"/>
    </row>
    <row r="1551">
      <c r="D1551" s="349"/>
      <c r="E1551" s="235"/>
    </row>
    <row r="1552">
      <c r="D1552" s="349"/>
      <c r="E1552" s="235"/>
    </row>
    <row r="1553">
      <c r="D1553" s="349"/>
      <c r="E1553" s="235"/>
    </row>
    <row r="1554">
      <c r="D1554" s="349"/>
      <c r="E1554" s="235"/>
    </row>
    <row r="1555">
      <c r="D1555" s="349"/>
      <c r="E1555" s="235"/>
    </row>
    <row r="1556">
      <c r="D1556" s="349"/>
      <c r="E1556" s="235"/>
    </row>
    <row r="1557">
      <c r="D1557" s="349"/>
      <c r="E1557" s="235"/>
    </row>
    <row r="1558">
      <c r="D1558" s="349"/>
      <c r="E1558" s="235"/>
    </row>
    <row r="1559">
      <c r="D1559" s="349"/>
      <c r="E1559" s="235"/>
    </row>
    <row r="1560">
      <c r="D1560" s="349"/>
      <c r="E1560" s="235"/>
    </row>
    <row r="1561">
      <c r="D1561" s="349"/>
      <c r="E1561" s="235"/>
    </row>
    <row r="1562">
      <c r="D1562" s="349"/>
      <c r="E1562" s="235"/>
    </row>
    <row r="1563">
      <c r="D1563" s="349"/>
      <c r="E1563" s="235"/>
    </row>
    <row r="1564">
      <c r="D1564" s="349"/>
      <c r="E1564" s="235"/>
    </row>
    <row r="1565">
      <c r="D1565" s="349"/>
      <c r="E1565" s="235"/>
    </row>
    <row r="1566">
      <c r="D1566" s="349"/>
      <c r="E1566" s="235"/>
    </row>
    <row r="1567">
      <c r="D1567" s="349"/>
      <c r="E1567" s="235"/>
    </row>
    <row r="1568">
      <c r="D1568" s="349"/>
      <c r="E1568" s="235"/>
    </row>
    <row r="1569">
      <c r="D1569" s="349"/>
      <c r="E1569" s="235"/>
    </row>
    <row r="1570">
      <c r="D1570" s="349"/>
      <c r="E1570" s="235"/>
    </row>
    <row r="1571">
      <c r="D1571" s="349"/>
      <c r="E1571" s="235"/>
    </row>
    <row r="1572">
      <c r="D1572" s="349"/>
      <c r="E1572" s="235"/>
    </row>
    <row r="1573">
      <c r="D1573" s="349"/>
      <c r="E1573" s="235"/>
    </row>
    <row r="1574">
      <c r="D1574" s="349"/>
      <c r="E1574" s="235"/>
    </row>
    <row r="1575">
      <c r="D1575" s="349"/>
      <c r="E1575" s="235"/>
    </row>
    <row r="1576">
      <c r="D1576" s="349"/>
      <c r="E1576" s="235"/>
    </row>
    <row r="1577">
      <c r="D1577" s="349"/>
      <c r="E1577" s="235"/>
    </row>
    <row r="1578">
      <c r="D1578" s="349"/>
      <c r="E1578" s="235"/>
    </row>
    <row r="1579">
      <c r="D1579" s="349"/>
      <c r="E1579" s="235"/>
    </row>
    <row r="1580">
      <c r="D1580" s="349"/>
      <c r="E1580" s="235"/>
    </row>
  </sheetData>
  <autoFilter ref="$B$2:$H$64">
    <sortState ref="B2:H64">
      <sortCondition ref="C2:C64"/>
    </sortState>
  </autoFilter>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EAD3"/>
    <outlinePr summaryBelow="0" summaryRight="0"/>
  </sheetPr>
  <sheetViews>
    <sheetView showGridLines="0"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75"/>
  <cols>
    <col customWidth="1" min="1" max="1" width="5.0"/>
    <col customWidth="1" min="2" max="2" width="9.88"/>
    <col customWidth="1" min="3" max="3" width="18.0"/>
    <col customWidth="1" min="4" max="4" width="13.38"/>
    <col customWidth="1" min="5" max="5" width="15.63"/>
    <col customWidth="1" min="6" max="17" width="7.63"/>
    <col customWidth="1" min="18" max="18" width="8.25"/>
    <col customWidth="1" min="19" max="20" width="7.25"/>
  </cols>
  <sheetData>
    <row r="1">
      <c r="A1" s="373" t="s">
        <v>2557</v>
      </c>
      <c r="B1" s="374" t="s">
        <v>2506</v>
      </c>
      <c r="C1" s="374" t="s">
        <v>240</v>
      </c>
      <c r="D1" s="373" t="s">
        <v>617</v>
      </c>
      <c r="E1" s="374" t="s">
        <v>2558</v>
      </c>
      <c r="F1" s="375" t="s">
        <v>2559</v>
      </c>
      <c r="G1" s="375" t="s">
        <v>2560</v>
      </c>
      <c r="H1" s="375" t="s">
        <v>2561</v>
      </c>
      <c r="I1" s="375" t="s">
        <v>2562</v>
      </c>
      <c r="J1" s="375" t="s">
        <v>2563</v>
      </c>
      <c r="K1" s="375" t="s">
        <v>2564</v>
      </c>
      <c r="L1" s="375" t="s">
        <v>2565</v>
      </c>
      <c r="M1" s="375" t="s">
        <v>2566</v>
      </c>
      <c r="N1" s="375" t="s">
        <v>2567</v>
      </c>
      <c r="O1" s="375" t="s">
        <v>2568</v>
      </c>
      <c r="P1" s="375" t="s">
        <v>2569</v>
      </c>
      <c r="Q1" s="376" t="s">
        <v>2570</v>
      </c>
      <c r="R1" s="377" t="s">
        <v>2571</v>
      </c>
      <c r="S1" s="378" t="s">
        <v>2572</v>
      </c>
      <c r="T1" s="378" t="s">
        <v>250</v>
      </c>
    </row>
    <row r="2">
      <c r="A2" s="379" t="str">
        <f>IFERROR(__xludf.DUMMYFUNCTION("join(""_"",MID(B2,9,3),MID(C2,1,2))"),"899_An")</f>
        <v>899_An</v>
      </c>
      <c r="B2" s="379" t="s">
        <v>2573</v>
      </c>
      <c r="C2" s="380" t="s">
        <v>251</v>
      </c>
      <c r="D2" s="380" t="s">
        <v>68</v>
      </c>
      <c r="E2" s="380" t="s">
        <v>635</v>
      </c>
      <c r="F2" s="381">
        <v>5481.24</v>
      </c>
      <c r="G2" s="381">
        <v>5481.24</v>
      </c>
      <c r="H2" s="381">
        <v>5481.24</v>
      </c>
      <c r="I2" s="382">
        <v>5481.24</v>
      </c>
      <c r="J2" s="382">
        <v>5481.24</v>
      </c>
      <c r="K2" s="382">
        <v>5772.84</v>
      </c>
      <c r="L2" s="382">
        <v>5828.0</v>
      </c>
      <c r="M2" s="382">
        <v>7202.0</v>
      </c>
      <c r="N2" s="382">
        <v>7202.0</v>
      </c>
      <c r="O2" s="382">
        <v>7202.0</v>
      </c>
      <c r="P2" s="382">
        <v>7202.0</v>
      </c>
      <c r="Q2" s="382">
        <v>7202.0</v>
      </c>
      <c r="R2" s="383">
        <f>IFERROR(__xludf.DUMMYFUNCTION("IFERROR(SUM(FILTER(Trabalho!$H:$H,Trabalho!K:K = TRUE,Trabalho!J:J = TRUE,Trabalho!B:B = C2,Trabalho!G:G &lt; DATE(2026,1,1))),0)"),8.979166666666668)</f>
        <v>8.979166667</v>
      </c>
      <c r="S2" s="384">
        <f>R2/'Dias úteis e Feriados'!$J$2</f>
        <v>0.09874450147</v>
      </c>
      <c r="T2" s="385" t="str">
        <f t="shared" ref="T2:T23" si="1">IF(S2&lt;80%,"Parcial","Exclusivo")</f>
        <v>Parcial</v>
      </c>
    </row>
    <row r="3">
      <c r="A3" s="379" t="str">
        <f>IFERROR(__xludf.DUMMYFUNCTION("join(""_"",MID(B3,9,3),MID(C3,1,2))"),"519_An")</f>
        <v>519_An</v>
      </c>
      <c r="B3" s="379" t="s">
        <v>2574</v>
      </c>
      <c r="C3" s="379" t="s">
        <v>496</v>
      </c>
      <c r="D3" s="386" t="s">
        <v>66</v>
      </c>
      <c r="E3" s="380" t="s">
        <v>634</v>
      </c>
      <c r="F3" s="381"/>
      <c r="G3" s="381"/>
      <c r="H3" s="381"/>
      <c r="I3" s="382"/>
      <c r="J3" s="382"/>
      <c r="K3" s="382"/>
      <c r="L3" s="382">
        <v>6143.46</v>
      </c>
      <c r="M3" s="382">
        <v>7613.79</v>
      </c>
      <c r="N3" s="382"/>
      <c r="O3" s="382"/>
      <c r="P3" s="382"/>
      <c r="Q3" s="382"/>
      <c r="R3" s="383">
        <f>IFERROR(__xludf.DUMMYFUNCTION("IFERROR(SUM(FILTER(Trabalho!$H:$H,Trabalho!K:K = TRUE,Trabalho!J:J = TRUE,Trabalho!B:B = C3,Trabalho!G:G &lt; DATE(2026,1,1))),0)"),1.3749999999999998)</f>
        <v>1.375</v>
      </c>
      <c r="S3" s="384">
        <f>R3/'Dias úteis e Feriados'!$J$2</f>
        <v>0.01512096774</v>
      </c>
      <c r="T3" s="385" t="str">
        <f t="shared" si="1"/>
        <v>Parcial</v>
      </c>
    </row>
    <row r="4">
      <c r="A4" s="379" t="str">
        <f>IFERROR(__xludf.DUMMYFUNCTION("join(""_"",MID(B4,9,3),MID(C4,1,2))"),"289_Ca")</f>
        <v>289_Ca</v>
      </c>
      <c r="B4" s="379" t="s">
        <v>2575</v>
      </c>
      <c r="C4" s="379" t="s">
        <v>290</v>
      </c>
      <c r="D4" s="386" t="s">
        <v>66</v>
      </c>
      <c r="E4" s="380" t="s">
        <v>640</v>
      </c>
      <c r="F4" s="381">
        <v>6143.46</v>
      </c>
      <c r="G4" s="381">
        <v>6143.46</v>
      </c>
      <c r="H4" s="381">
        <v>6143.46</v>
      </c>
      <c r="I4" s="382">
        <v>6143.46</v>
      </c>
      <c r="J4" s="382">
        <v>6143.46</v>
      </c>
      <c r="K4" s="382">
        <v>6470.29</v>
      </c>
      <c r="L4" s="382">
        <v>6532.0</v>
      </c>
      <c r="M4" s="382">
        <v>6532.0</v>
      </c>
      <c r="N4" s="382">
        <v>6532.0</v>
      </c>
      <c r="O4" s="382">
        <v>6532.0</v>
      </c>
      <c r="P4" s="382">
        <v>6532.0</v>
      </c>
      <c r="Q4" s="382">
        <v>6532.0</v>
      </c>
      <c r="R4" s="383">
        <f>IFERROR(__xludf.DUMMYFUNCTION("IFERROR(SUM(FILTER(Trabalho!$H:$H,Trabalho!K:K = TRUE,Trabalho!J:J = TRUE,Trabalho!B:B = C4,Trabalho!G:G &lt; DATE(2026,1,1))),0)"),6.375)</f>
        <v>6.375</v>
      </c>
      <c r="S4" s="384">
        <f>R4/'Dias úteis e Feriados'!$J$2</f>
        <v>0.07010630499</v>
      </c>
      <c r="T4" s="385" t="str">
        <f t="shared" si="1"/>
        <v>Parcial</v>
      </c>
    </row>
    <row r="5">
      <c r="A5" s="379" t="str">
        <f>IFERROR(__xludf.DUMMYFUNCTION("join(""_"",MID(B5,9,3),MID(C5,1,2))"),"738_El")</f>
        <v>738_El</v>
      </c>
      <c r="B5" s="379" t="s">
        <v>2576</v>
      </c>
      <c r="C5" s="379" t="s">
        <v>406</v>
      </c>
      <c r="D5" s="380" t="s">
        <v>68</v>
      </c>
      <c r="E5" s="380" t="s">
        <v>636</v>
      </c>
      <c r="F5" s="381"/>
      <c r="G5" s="381"/>
      <c r="H5" s="381"/>
      <c r="I5" s="382"/>
      <c r="J5" s="382">
        <v>4972.0</v>
      </c>
      <c r="K5" s="382">
        <v>5236.51</v>
      </c>
      <c r="L5" s="382">
        <v>5286.0</v>
      </c>
      <c r="M5" s="382">
        <v>5286.0</v>
      </c>
      <c r="N5" s="382">
        <v>5286.0</v>
      </c>
      <c r="O5" s="382">
        <v>5286.0</v>
      </c>
      <c r="P5" s="382">
        <v>5286.0</v>
      </c>
      <c r="Q5" s="382">
        <v>5286.0</v>
      </c>
      <c r="R5" s="383">
        <f>IFERROR(__xludf.DUMMYFUNCTION("IFERROR(SUM(FILTER(Trabalho!$H:$H,Trabalho!K:K = TRUE,Trabalho!J:J = TRUE,Trabalho!B:B = C5,Trabalho!G:G &lt; DATE(2026,1,1))),0)"),6.458333333333335)</f>
        <v>6.458333333</v>
      </c>
      <c r="S5" s="384">
        <f>R5/'Dias úteis e Feriados'!$J$2</f>
        <v>0.07102272727</v>
      </c>
      <c r="T5" s="385" t="str">
        <f t="shared" si="1"/>
        <v>Parcial</v>
      </c>
    </row>
    <row r="6">
      <c r="A6" s="379" t="str">
        <f>IFERROR(__xludf.DUMMYFUNCTION("join(""_"",MID(B6,9,3),MID(C6,1,2))"),"838_Ga")</f>
        <v>838_Ga</v>
      </c>
      <c r="B6" s="379" t="s">
        <v>2577</v>
      </c>
      <c r="C6" s="379" t="s">
        <v>426</v>
      </c>
      <c r="D6" s="380" t="s">
        <v>638</v>
      </c>
      <c r="E6" s="380" t="s">
        <v>637</v>
      </c>
      <c r="F6" s="381">
        <v>7234.78</v>
      </c>
      <c r="G6" s="381">
        <v>7234.78</v>
      </c>
      <c r="H6" s="381">
        <v>7234.78</v>
      </c>
      <c r="I6" s="382">
        <v>7234.78</v>
      </c>
      <c r="J6" s="382">
        <v>7234.78</v>
      </c>
      <c r="K6" s="382">
        <v>7619.67</v>
      </c>
      <c r="L6" s="387">
        <v>7693.0</v>
      </c>
      <c r="M6" s="387">
        <v>7693.0</v>
      </c>
      <c r="N6" s="387">
        <v>7693.0</v>
      </c>
      <c r="O6" s="387">
        <v>7693.0</v>
      </c>
      <c r="P6" s="387">
        <v>7693.0</v>
      </c>
      <c r="Q6" s="382">
        <v>7693.0</v>
      </c>
      <c r="R6" s="383">
        <f>IFERROR(__xludf.DUMMYFUNCTION("IFERROR(SUM(FILTER(Trabalho!$H:$H,Trabalho!K:K = TRUE,Trabalho!J:J = TRUE,Trabalho!B:B = C6,Trabalho!G:G &lt; DATE(2026,1,1))),0)"),7.874999999999998)</f>
        <v>7.875</v>
      </c>
      <c r="S6" s="384">
        <f>R6/'Dias úteis e Feriados'!$J$2</f>
        <v>0.08660190616</v>
      </c>
      <c r="T6" s="385" t="str">
        <f t="shared" si="1"/>
        <v>Parcial</v>
      </c>
    </row>
    <row r="7">
      <c r="A7" s="379" t="str">
        <f>IFERROR(__xludf.DUMMYFUNCTION("join(""_"",MID(B7,9,3),MID(C7,1,2))"),"738_Ju")</f>
        <v>738_Ju</v>
      </c>
      <c r="B7" s="379" t="s">
        <v>2576</v>
      </c>
      <c r="C7" s="379" t="s">
        <v>314</v>
      </c>
      <c r="D7" s="380" t="s">
        <v>68</v>
      </c>
      <c r="E7" s="380" t="s">
        <v>636</v>
      </c>
      <c r="F7" s="381">
        <v>11786.75</v>
      </c>
      <c r="G7" s="381">
        <v>11786.75</v>
      </c>
      <c r="H7" s="381">
        <v>11786.75</v>
      </c>
      <c r="I7" s="382">
        <v>11786.75</v>
      </c>
      <c r="J7" s="382">
        <v>11786.75</v>
      </c>
      <c r="K7" s="382">
        <v>12413.81</v>
      </c>
      <c r="L7" s="388">
        <v>12532.0</v>
      </c>
      <c r="M7" s="388">
        <v>12532.0</v>
      </c>
      <c r="N7" s="388">
        <v>12532.0</v>
      </c>
      <c r="O7" s="388">
        <v>12532.0</v>
      </c>
      <c r="P7" s="388">
        <v>12532.0</v>
      </c>
      <c r="Q7" s="382">
        <v>12532.0</v>
      </c>
      <c r="R7" s="383">
        <f>IFERROR(__xludf.DUMMYFUNCTION("IFERROR(SUM(FILTER(Trabalho!$H:$H,Trabalho!K:K = TRUE,Trabalho!J:J = TRUE,Trabalho!B:B = C7,Trabalho!G:G &lt; DATE(2026,1,1))),0)"),0.19791666666666669)</f>
        <v>0.1979166667</v>
      </c>
      <c r="S7" s="384">
        <f>R7/'Dias úteis e Feriados'!$J$2</f>
        <v>0.002176502933</v>
      </c>
      <c r="T7" s="385" t="str">
        <f t="shared" si="1"/>
        <v>Parcial</v>
      </c>
    </row>
    <row r="8">
      <c r="A8" s="379" t="str">
        <f>IFERROR(__xludf.DUMMYFUNCTION("join(""_"",MID(B8,9,3),MID(C8,1,2))"),"920_Ra")</f>
        <v>920_Ra</v>
      </c>
      <c r="B8" s="379" t="s">
        <v>2578</v>
      </c>
      <c r="C8" s="379" t="s">
        <v>2579</v>
      </c>
      <c r="D8" s="386" t="s">
        <v>66</v>
      </c>
      <c r="E8" s="380" t="s">
        <v>640</v>
      </c>
      <c r="F8" s="381">
        <v>6143.46</v>
      </c>
      <c r="G8" s="381">
        <v>6143.46</v>
      </c>
      <c r="H8" s="381">
        <v>6143.46</v>
      </c>
      <c r="I8" s="382">
        <v>6143.46</v>
      </c>
      <c r="J8" s="382">
        <v>6143.46</v>
      </c>
      <c r="K8" s="382">
        <v>6470.29</v>
      </c>
      <c r="L8" s="382">
        <v>6532.0</v>
      </c>
      <c r="M8" s="382">
        <v>6532.0</v>
      </c>
      <c r="N8" s="382">
        <v>6532.0</v>
      </c>
      <c r="O8" s="382">
        <v>6532.0</v>
      </c>
      <c r="P8" s="382">
        <v>6532.0</v>
      </c>
      <c r="Q8" s="382">
        <v>6532.0</v>
      </c>
      <c r="R8" s="383">
        <f>IFERROR(__xludf.DUMMYFUNCTION("IFERROR(SUM(FILTER(Trabalho!$H:$H,Trabalho!K:K = TRUE,Trabalho!J:J = TRUE,Trabalho!B:B = C8,Trabalho!G:G &lt; DATE(2026,1,1))),0)"),0.0)</f>
        <v>0</v>
      </c>
      <c r="S8" s="384">
        <f>R8/'Dias úteis e Feriados'!$J$2</f>
        <v>0</v>
      </c>
      <c r="T8" s="385" t="str">
        <f t="shared" si="1"/>
        <v>Parcial</v>
      </c>
    </row>
    <row r="9">
      <c r="A9" s="379" t="str">
        <f>IFERROR(__xludf.DUMMYFUNCTION("join(""_"",MID(B9,9,3),MID(C9,1,2))"),"838_Ra")</f>
        <v>838_Ra</v>
      </c>
      <c r="B9" s="379" t="s">
        <v>2577</v>
      </c>
      <c r="C9" s="379" t="s">
        <v>319</v>
      </c>
      <c r="D9" s="380" t="s">
        <v>638</v>
      </c>
      <c r="E9" s="380" t="s">
        <v>639</v>
      </c>
      <c r="F9" s="381">
        <v>5481.24</v>
      </c>
      <c r="G9" s="381">
        <v>5481.24</v>
      </c>
      <c r="H9" s="381">
        <v>5481.24</v>
      </c>
      <c r="I9" s="382">
        <v>5481.24</v>
      </c>
      <c r="J9" s="382">
        <v>5481.24</v>
      </c>
      <c r="K9" s="382">
        <v>5772.84</v>
      </c>
      <c r="L9" s="382"/>
      <c r="M9" s="382"/>
      <c r="N9" s="382"/>
      <c r="O9" s="382" t="s">
        <v>63</v>
      </c>
      <c r="P9" s="382" t="s">
        <v>63</v>
      </c>
      <c r="Q9" s="382" t="s">
        <v>63</v>
      </c>
      <c r="R9" s="383">
        <f>IFERROR(__xludf.DUMMYFUNCTION("IFERROR(SUM(FILTER(Trabalho!$H:$H,Trabalho!K:K = TRUE,Trabalho!J:J = TRUE,Trabalho!B:B = C9,Trabalho!G:G &lt; DATE(2026,1,1))),0)"),1.3333333333333333)</f>
        <v>1.333333333</v>
      </c>
      <c r="S9" s="384">
        <f>R9/'Dias úteis e Feriados'!$J$2</f>
        <v>0.0146627566</v>
      </c>
      <c r="T9" s="385" t="str">
        <f t="shared" si="1"/>
        <v>Parcial</v>
      </c>
    </row>
    <row r="10">
      <c r="A10" s="379" t="str">
        <f>IFERROR(__xludf.DUMMYFUNCTION("join(""_"",MID(B10,9,3),MID(C10,1,2))"),"372_Ro")</f>
        <v>372_Ro</v>
      </c>
      <c r="B10" s="379" t="s">
        <v>2580</v>
      </c>
      <c r="C10" s="379" t="s">
        <v>546</v>
      </c>
      <c r="D10" s="380" t="s">
        <v>65</v>
      </c>
      <c r="E10" s="380" t="s">
        <v>641</v>
      </c>
      <c r="F10" s="381">
        <v>3511.64</v>
      </c>
      <c r="G10" s="381">
        <v>3511.64</v>
      </c>
      <c r="H10" s="381">
        <v>3511.64</v>
      </c>
      <c r="I10" s="382">
        <v>3511.64</v>
      </c>
      <c r="J10" s="382">
        <v>3511.64</v>
      </c>
      <c r="K10" s="382">
        <v>3698.46</v>
      </c>
      <c r="L10" s="382">
        <v>3734.0</v>
      </c>
      <c r="M10" s="382">
        <v>4391.0</v>
      </c>
      <c r="N10" s="382">
        <v>4391.0</v>
      </c>
      <c r="O10" s="382">
        <v>4391.0</v>
      </c>
      <c r="P10" s="382">
        <v>4391.0</v>
      </c>
      <c r="Q10" s="382">
        <v>4391.0</v>
      </c>
      <c r="R10" s="383">
        <f>IFERROR(__xludf.DUMMYFUNCTION("IFERROR(SUM(FILTER(Trabalho!$H:$H,Trabalho!K:K = TRUE,Trabalho!J:J = TRUE,Trabalho!B:B = C10,Trabalho!G:G &lt; DATE(2026,1,1))),0)"),0.4236111111111111)</f>
        <v>0.4236111111</v>
      </c>
      <c r="S10" s="384">
        <f>R10/'Dias úteis e Feriados'!$J$2</f>
        <v>0.004658479961</v>
      </c>
      <c r="T10" s="385" t="str">
        <f t="shared" si="1"/>
        <v>Parcial</v>
      </c>
    </row>
    <row r="11">
      <c r="A11" s="379"/>
      <c r="B11" s="379"/>
      <c r="C11" s="379"/>
      <c r="D11" s="380"/>
      <c r="E11" s="380"/>
      <c r="F11" s="381"/>
      <c r="G11" s="381"/>
      <c r="H11" s="381"/>
      <c r="I11" s="382"/>
      <c r="J11" s="382"/>
      <c r="K11" s="382"/>
      <c r="L11" s="382"/>
      <c r="M11" s="382"/>
      <c r="N11" s="382"/>
      <c r="O11" s="389"/>
      <c r="P11" s="389"/>
      <c r="Q11" s="382"/>
      <c r="R11" s="383">
        <f>IFERROR(__xludf.DUMMYFUNCTION("IFERROR(SUM(FILTER(Trabalho!$H:$H,Trabalho!K:K = TRUE,Trabalho!J:J = TRUE,Trabalho!B:B = C11,Trabalho!G:G &lt; DATE(2026,1,1))),0)/24"),0.0)</f>
        <v>0</v>
      </c>
      <c r="S11" s="384">
        <f>R11/'Dias úteis e Feriados'!$J$2</f>
        <v>0</v>
      </c>
      <c r="T11" s="385" t="str">
        <f t="shared" si="1"/>
        <v>Parcial</v>
      </c>
    </row>
    <row r="12">
      <c r="A12" s="379"/>
      <c r="B12" s="379"/>
      <c r="C12" s="379"/>
      <c r="D12" s="380"/>
      <c r="E12" s="380"/>
      <c r="F12" s="381"/>
      <c r="G12" s="381"/>
      <c r="H12" s="381"/>
      <c r="I12" s="382"/>
      <c r="J12" s="382"/>
      <c r="K12" s="382"/>
      <c r="L12" s="382"/>
      <c r="M12" s="382"/>
      <c r="N12" s="382"/>
      <c r="O12" s="389"/>
      <c r="P12" s="389"/>
      <c r="Q12" s="382"/>
      <c r="R12" s="383">
        <f>IFERROR(__xludf.DUMMYFUNCTION("IFERROR(SUM(FILTER(Trabalho!$H:$H,Trabalho!K:K = TRUE,Trabalho!J:J = TRUE,Trabalho!B:B = C12,Trabalho!G:G &lt; DATE(2026,1,1))),0)/24"),0.0)</f>
        <v>0</v>
      </c>
      <c r="S12" s="384">
        <f>R12/'Dias úteis e Feriados'!$J$2</f>
        <v>0</v>
      </c>
      <c r="T12" s="385" t="str">
        <f t="shared" si="1"/>
        <v>Parcial</v>
      </c>
    </row>
    <row r="13">
      <c r="A13" s="379"/>
      <c r="B13" s="379"/>
      <c r="C13" s="379"/>
      <c r="D13" s="380"/>
      <c r="E13" s="380"/>
      <c r="F13" s="381"/>
      <c r="G13" s="381"/>
      <c r="H13" s="381"/>
      <c r="I13" s="382"/>
      <c r="J13" s="382"/>
      <c r="K13" s="382"/>
      <c r="L13" s="382"/>
      <c r="M13" s="382"/>
      <c r="N13" s="382"/>
      <c r="O13" s="389"/>
      <c r="P13" s="389"/>
      <c r="Q13" s="382"/>
      <c r="R13" s="383">
        <f>IFERROR(__xludf.DUMMYFUNCTION("IFERROR(SUM(FILTER(Trabalho!$H:$H,Trabalho!K:K = TRUE,Trabalho!J:J = TRUE,Trabalho!B:B = C13,Trabalho!G:G &lt; DATE(2026,1,1))),0)/24"),0.0)</f>
        <v>0</v>
      </c>
      <c r="S13" s="384">
        <f>R13/'Dias úteis e Feriados'!$J$2</f>
        <v>0</v>
      </c>
      <c r="T13" s="385" t="str">
        <f t="shared" si="1"/>
        <v>Parcial</v>
      </c>
    </row>
    <row r="14">
      <c r="A14" s="379"/>
      <c r="B14" s="379"/>
      <c r="C14" s="379"/>
      <c r="D14" s="380"/>
      <c r="E14" s="380"/>
      <c r="F14" s="381"/>
      <c r="G14" s="381"/>
      <c r="H14" s="381"/>
      <c r="I14" s="382"/>
      <c r="J14" s="382"/>
      <c r="K14" s="382"/>
      <c r="L14" s="382"/>
      <c r="M14" s="382"/>
      <c r="N14" s="382"/>
      <c r="O14" s="389"/>
      <c r="P14" s="389"/>
      <c r="Q14" s="382"/>
      <c r="R14" s="383">
        <f>IFERROR(__xludf.DUMMYFUNCTION("IFERROR(SUM(FILTER(Trabalho!$H:$H,Trabalho!K:K = TRUE,Trabalho!J:J = TRUE,Trabalho!B:B = C14,Trabalho!G:G &lt; DATE(2026,1,1))),0)/24"),0.0)</f>
        <v>0</v>
      </c>
      <c r="S14" s="384">
        <f>R14/'Dias úteis e Feriados'!$J$2</f>
        <v>0</v>
      </c>
      <c r="T14" s="385" t="str">
        <f t="shared" si="1"/>
        <v>Parcial</v>
      </c>
    </row>
    <row r="15">
      <c r="A15" s="379"/>
      <c r="B15" s="379"/>
      <c r="C15" s="379"/>
      <c r="D15" s="380"/>
      <c r="E15" s="380"/>
      <c r="F15" s="381"/>
      <c r="G15" s="381"/>
      <c r="H15" s="381"/>
      <c r="I15" s="382"/>
      <c r="J15" s="382"/>
      <c r="K15" s="382"/>
      <c r="L15" s="382"/>
      <c r="M15" s="382"/>
      <c r="N15" s="382"/>
      <c r="O15" s="389"/>
      <c r="P15" s="389"/>
      <c r="Q15" s="382"/>
      <c r="R15" s="383">
        <f>IFERROR(__xludf.DUMMYFUNCTION("IFERROR(SUM(FILTER(Trabalho!$H:$H,Trabalho!K:K = TRUE,Trabalho!J:J = TRUE,Trabalho!B:B = C15,Trabalho!G:G &lt; DATE(2026,1,1))),0)/24"),0.0)</f>
        <v>0</v>
      </c>
      <c r="S15" s="384">
        <f>R15/'Dias úteis e Feriados'!$J$2</f>
        <v>0</v>
      </c>
      <c r="T15" s="385" t="str">
        <f t="shared" si="1"/>
        <v>Parcial</v>
      </c>
    </row>
    <row r="16">
      <c r="A16" s="379"/>
      <c r="B16" s="379"/>
      <c r="C16" s="379"/>
      <c r="D16" s="380"/>
      <c r="E16" s="380"/>
      <c r="F16" s="381"/>
      <c r="G16" s="382"/>
      <c r="H16" s="381"/>
      <c r="I16" s="382"/>
      <c r="J16" s="382"/>
      <c r="K16" s="382"/>
      <c r="L16" s="382"/>
      <c r="M16" s="382"/>
      <c r="N16" s="382"/>
      <c r="O16" s="389"/>
      <c r="P16" s="389"/>
      <c r="Q16" s="382"/>
      <c r="R16" s="383">
        <f>IFERROR(__xludf.DUMMYFUNCTION("IFERROR(SUM(FILTER(Trabalho!$H:$H,Trabalho!K:K = TRUE,Trabalho!J:J = TRUE,Trabalho!B:B = C16,Trabalho!G:G &lt; DATE(2026,1,1))),0)/24"),0.0)</f>
        <v>0</v>
      </c>
      <c r="S16" s="384">
        <f>R16/'Dias úteis e Feriados'!$J$2</f>
        <v>0</v>
      </c>
      <c r="T16" s="385" t="str">
        <f t="shared" si="1"/>
        <v>Parcial</v>
      </c>
    </row>
    <row r="17">
      <c r="A17" s="379"/>
      <c r="B17" s="379"/>
      <c r="C17" s="379"/>
      <c r="D17" s="380"/>
      <c r="E17" s="380"/>
      <c r="F17" s="382"/>
      <c r="G17" s="382"/>
      <c r="H17" s="382"/>
      <c r="I17" s="382"/>
      <c r="J17" s="382"/>
      <c r="K17" s="382"/>
      <c r="L17" s="382"/>
      <c r="M17" s="382"/>
      <c r="N17" s="382"/>
      <c r="O17" s="389"/>
      <c r="P17" s="389"/>
      <c r="Q17" s="382"/>
      <c r="R17" s="383">
        <f>IFERROR(__xludf.DUMMYFUNCTION("IFERROR(SUM(FILTER(Trabalho!$H:$H,Trabalho!K:K = TRUE,Trabalho!J:J = TRUE,Trabalho!B:B = C17,Trabalho!G:G &lt; DATE(2026,1,1))),0)/24"),0.0)</f>
        <v>0</v>
      </c>
      <c r="S17" s="384">
        <f>R17/'Dias úteis e Feriados'!$J$2</f>
        <v>0</v>
      </c>
      <c r="T17" s="385" t="str">
        <f t="shared" si="1"/>
        <v>Parcial</v>
      </c>
    </row>
    <row r="18">
      <c r="A18" s="380"/>
      <c r="B18" s="380"/>
      <c r="C18" s="380"/>
      <c r="D18" s="380"/>
      <c r="E18" s="380"/>
      <c r="F18" s="382"/>
      <c r="G18" s="382"/>
      <c r="H18" s="382"/>
      <c r="I18" s="382"/>
      <c r="J18" s="382"/>
      <c r="K18" s="382"/>
      <c r="L18" s="382"/>
      <c r="M18" s="382"/>
      <c r="N18" s="382"/>
      <c r="O18" s="389"/>
      <c r="P18" s="389"/>
      <c r="Q18" s="382"/>
      <c r="R18" s="383">
        <f>IFERROR(__xludf.DUMMYFUNCTION("IFERROR(SUM(FILTER(Trabalho!$H:$H,Trabalho!K:K = TRUE,Trabalho!J:J = TRUE,Trabalho!B:B = C18,Trabalho!G:G &lt; DATE(2026,1,1))),0)/24"),0.0)</f>
        <v>0</v>
      </c>
      <c r="S18" s="384">
        <f>R18/'Dias úteis e Feriados'!$J$2</f>
        <v>0</v>
      </c>
      <c r="T18" s="385" t="str">
        <f t="shared" si="1"/>
        <v>Parcial</v>
      </c>
    </row>
    <row r="19">
      <c r="A19" s="380"/>
      <c r="B19" s="380"/>
      <c r="C19" s="380"/>
      <c r="D19" s="380"/>
      <c r="E19" s="380"/>
      <c r="F19" s="382"/>
      <c r="G19" s="382"/>
      <c r="H19" s="382"/>
      <c r="I19" s="382"/>
      <c r="J19" s="382"/>
      <c r="K19" s="382"/>
      <c r="L19" s="382"/>
      <c r="M19" s="382"/>
      <c r="N19" s="382"/>
      <c r="O19" s="389"/>
      <c r="P19" s="389"/>
      <c r="Q19" s="382"/>
      <c r="R19" s="383">
        <f>IFERROR(__xludf.DUMMYFUNCTION("IFERROR(SUM(FILTER(Trabalho!$H:$H,Trabalho!K:K = TRUE,Trabalho!J:J = TRUE,Trabalho!B:B = C19,Trabalho!G:G &lt; DATE(2026,1,1))),0)/24"),0.0)</f>
        <v>0</v>
      </c>
      <c r="S19" s="384">
        <f>R19/'Dias úteis e Feriados'!$J$2</f>
        <v>0</v>
      </c>
      <c r="T19" s="385" t="str">
        <f t="shared" si="1"/>
        <v>Parcial</v>
      </c>
    </row>
    <row r="20">
      <c r="A20" s="380"/>
      <c r="B20" s="380"/>
      <c r="C20" s="380"/>
      <c r="D20" s="380"/>
      <c r="E20" s="380"/>
      <c r="F20" s="382"/>
      <c r="G20" s="382"/>
      <c r="H20" s="382"/>
      <c r="I20" s="382"/>
      <c r="J20" s="382"/>
      <c r="K20" s="382"/>
      <c r="L20" s="382"/>
      <c r="M20" s="382"/>
      <c r="N20" s="382"/>
      <c r="O20" s="389"/>
      <c r="P20" s="389"/>
      <c r="Q20" s="382"/>
      <c r="R20" s="383">
        <f>IFERROR(__xludf.DUMMYFUNCTION("IFERROR(SUM(FILTER(Trabalho!$H:$H,Trabalho!K:K = TRUE,Trabalho!J:J = TRUE,Trabalho!B:B = C20,Trabalho!G:G &lt; DATE(2026,1,1))),0)/24"),0.0)</f>
        <v>0</v>
      </c>
      <c r="S20" s="384">
        <f>R20/'Dias úteis e Feriados'!$J$2</f>
        <v>0</v>
      </c>
      <c r="T20" s="385" t="str">
        <f t="shared" si="1"/>
        <v>Parcial</v>
      </c>
    </row>
    <row r="21">
      <c r="A21" s="380"/>
      <c r="B21" s="380"/>
      <c r="C21" s="380"/>
      <c r="D21" s="380"/>
      <c r="E21" s="380"/>
      <c r="F21" s="382"/>
      <c r="G21" s="382"/>
      <c r="H21" s="382"/>
      <c r="I21" s="382"/>
      <c r="J21" s="382"/>
      <c r="K21" s="382"/>
      <c r="L21" s="382"/>
      <c r="M21" s="382"/>
      <c r="N21" s="382"/>
      <c r="O21" s="389"/>
      <c r="P21" s="389"/>
      <c r="Q21" s="382"/>
      <c r="R21" s="383">
        <f>IFERROR(__xludf.DUMMYFUNCTION("IFERROR(SUM(FILTER(Trabalho!$H:$H,Trabalho!K:K = TRUE,Trabalho!J:J = TRUE,Trabalho!B:B = C21,Trabalho!G:G &lt; DATE(2026,1,1))),0)/24"),0.0)</f>
        <v>0</v>
      </c>
      <c r="S21" s="384">
        <f>R21/'Dias úteis e Feriados'!$J$2</f>
        <v>0</v>
      </c>
      <c r="T21" s="385" t="str">
        <f t="shared" si="1"/>
        <v>Parcial</v>
      </c>
    </row>
    <row r="22">
      <c r="A22" s="380"/>
      <c r="B22" s="380"/>
      <c r="C22" s="380"/>
      <c r="D22" s="380"/>
      <c r="E22" s="380"/>
      <c r="F22" s="390"/>
      <c r="G22" s="382"/>
      <c r="H22" s="382"/>
      <c r="I22" s="382"/>
      <c r="J22" s="382"/>
      <c r="K22" s="382"/>
      <c r="L22" s="382"/>
      <c r="M22" s="382"/>
      <c r="N22" s="382"/>
      <c r="O22" s="389"/>
      <c r="P22" s="389"/>
      <c r="Q22" s="382"/>
      <c r="R22" s="383">
        <f>IFERROR(__xludf.DUMMYFUNCTION("IFERROR(SUM(FILTER(Trabalho!$H:$H,Trabalho!K:K = TRUE,Trabalho!J:J = TRUE,Trabalho!B:B = C22,Trabalho!G:G &lt; DATE(2026,1,1))),0)/24"),0.0)</f>
        <v>0</v>
      </c>
      <c r="S22" s="384">
        <f>R22/'Dias úteis e Feriados'!$J$2</f>
        <v>0</v>
      </c>
      <c r="T22" s="385" t="str">
        <f t="shared" si="1"/>
        <v>Parcial</v>
      </c>
    </row>
    <row r="23">
      <c r="A23" s="380"/>
      <c r="B23" s="380"/>
      <c r="C23" s="380"/>
      <c r="D23" s="380"/>
      <c r="E23" s="380"/>
      <c r="F23" s="382"/>
      <c r="G23" s="382"/>
      <c r="H23" s="382"/>
      <c r="I23" s="382"/>
      <c r="J23" s="382"/>
      <c r="K23" s="382"/>
      <c r="L23" s="382"/>
      <c r="M23" s="382"/>
      <c r="N23" s="382"/>
      <c r="O23" s="389"/>
      <c r="P23" s="389"/>
      <c r="Q23" s="382"/>
      <c r="R23" s="383">
        <f>IFERROR(__xludf.DUMMYFUNCTION("IFERROR(SUM(FILTER(Trabalho!$H:$H,Trabalho!K:K = TRUE,Trabalho!J:J = TRUE,Trabalho!B:B = C23,Trabalho!G:G &lt; DATE(2026,1,1))),0)/24"),0.0)</f>
        <v>0</v>
      </c>
      <c r="S23" s="384">
        <f>R23/'Dias úteis e Feriados'!$J$2</f>
        <v>0</v>
      </c>
      <c r="T23" s="385" t="str">
        <f t="shared" si="1"/>
        <v>Parcial</v>
      </c>
    </row>
  </sheetData>
  <drawing r:id="rId1"/>
  <tableParts count="1">
    <tablePart r:id="rId3"/>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2.0" topLeftCell="A3" activePane="bottomLeft" state="frozen"/>
      <selection activeCell="B4" sqref="B4" pane="bottomLeft"/>
    </sheetView>
  </sheetViews>
  <sheetFormatPr customHeight="1" defaultColWidth="12.63" defaultRowHeight="15.75"/>
  <cols>
    <col customWidth="1" min="1" max="1" width="21.13"/>
  </cols>
  <sheetData>
    <row r="1">
      <c r="A1" s="350" t="s">
        <v>42</v>
      </c>
      <c r="B1" s="391">
        <f t="shared" ref="B1:F1" si="1">sum(B3:B1000)</f>
        <v>6559.965146</v>
      </c>
      <c r="C1" s="391">
        <f t="shared" si="1"/>
        <v>9124.105509</v>
      </c>
      <c r="D1" s="391">
        <f t="shared" si="1"/>
        <v>10836.29783</v>
      </c>
      <c r="E1" s="391">
        <f t="shared" si="1"/>
        <v>18016.67714</v>
      </c>
      <c r="F1" s="391">
        <f t="shared" si="1"/>
        <v>44537.04562</v>
      </c>
    </row>
    <row r="2">
      <c r="A2" s="392"/>
      <c r="B2" s="393" t="s">
        <v>2581</v>
      </c>
      <c r="C2" s="393" t="s">
        <v>2582</v>
      </c>
      <c r="D2" s="393" t="s">
        <v>2583</v>
      </c>
      <c r="E2" s="393" t="s">
        <v>2584</v>
      </c>
      <c r="F2" s="393" t="s">
        <v>42</v>
      </c>
    </row>
    <row r="3">
      <c r="A3" s="394" t="str">
        <f t="array" ref="A3:A10">sort(unique(Pessoal!B2:B1000))</f>
        <v>Ana Claudia Zanini</v>
      </c>
      <c r="B3" s="395">
        <f>IFERROR(__xludf.DUMMYFUNCTION("iferror(sum(filter(Pessoal!$V:$V,Pessoal!$C:$C&gt;=1,Pessoal!$C:$C&lt;=3,Pessoal!$B:$B=$A3)),0)"),0.0)</f>
        <v>0</v>
      </c>
      <c r="C3" s="396">
        <f>IFERROR(__xludf.DUMMYFUNCTION("IFERROR(SUM(filter(Pessoal!$V:$V,Pessoal!$C:$C&gt;=4,Pessoal!$C:$C&lt;=6,Pessoal!$B:$B=$A3)),0)"),0.0)</f>
        <v>0</v>
      </c>
      <c r="D3" s="396">
        <f>IFERROR(__xludf.DUMMYFUNCTION("IFERROR(SUM(filter(Pessoal!$V:$V,Pessoal!$C:$C&gt;=7,Pessoal!$C:$C&lt;=9,Pessoal!$B:$B=$A3)),0)"),1198.4920944495186)</f>
        <v>1198.492094</v>
      </c>
      <c r="E3" s="396">
        <f>IFERROR(__xludf.DUMMYFUNCTION("IFERROR(SUM(filter(Pessoal!$V:$V,Pessoal!$C:$C&gt;=10,Pessoal!$C:$C&lt;=12,Pessoal!$B:$B=$A3)),0)"),0.0)</f>
        <v>0</v>
      </c>
      <c r="F3" s="397">
        <f t="shared" ref="F3:F9" si="2">sum(B3:E3)</f>
        <v>1198.492094</v>
      </c>
    </row>
    <row r="4">
      <c r="A4" s="394" t="s">
        <v>251</v>
      </c>
      <c r="B4" s="395">
        <f>IFERROR(__xludf.DUMMYFUNCTION("iferror(sum(filter(Pessoal!$V:$V,Pessoal!$C:$C&gt;=1,Pessoal!$C:$C&lt;=3,Pessoal!$B:$B=$A4)),0)"),1536.7274446684876)</f>
        <v>1536.727445</v>
      </c>
      <c r="C4" s="396">
        <f>IFERROR(__xludf.DUMMYFUNCTION("IFERROR(SUM(filter(Pessoal!$V:$V,Pessoal!$C:$C&gt;=4,Pessoal!$C:$C&lt;=6,Pessoal!$B:$B=$A4)),0)"),2392.339116886527)</f>
        <v>2392.339117</v>
      </c>
      <c r="D4" s="396">
        <f>IFERROR(__xludf.DUMMYFUNCTION("IFERROR(SUM(filter(Pessoal!$V:$V,Pessoal!$C:$C&gt;=7,Pessoal!$C:$C&lt;=9,Pessoal!$B:$B=$A4)),0)"),3787.7975033540583)</f>
        <v>3787.797503</v>
      </c>
      <c r="E4" s="396">
        <f>IFERROR(__xludf.DUMMYFUNCTION("IFERROR(SUM(filter(Pessoal!$V:$V,Pessoal!$C:$C&gt;=10,Pessoal!$C:$C&lt;=12,Pessoal!$B:$B=$A4)),0)"),4682.344662538171)</f>
        <v>4682.344663</v>
      </c>
      <c r="F4" s="397">
        <f t="shared" si="2"/>
        <v>12399.20873</v>
      </c>
    </row>
    <row r="5">
      <c r="A5" s="394" t="s">
        <v>290</v>
      </c>
      <c r="B5" s="395">
        <f>IFERROR(__xludf.DUMMYFUNCTION("iferror(sum(filter(Pessoal!$V:$V,Pessoal!$C:$C&gt;=1,Pessoal!$C:$C&lt;=3,Pessoal!$B:$B=$A5)),0)"),2804.9738780531716)</f>
        <v>2804.973878</v>
      </c>
      <c r="C5" s="396">
        <f>IFERROR(__xludf.DUMMYFUNCTION("IFERROR(SUM(filter(Pessoal!$V:$V,Pessoal!$C:$C&gt;=4,Pessoal!$C:$C&lt;=6,Pessoal!$B:$B=$A5)),0)"),1887.3145298961656)</f>
        <v>1887.31453</v>
      </c>
      <c r="D5" s="396">
        <f>IFERROR(__xludf.DUMMYFUNCTION("IFERROR(SUM(filter(Pessoal!$V:$V,Pessoal!$C:$C&gt;=7,Pessoal!$C:$C&lt;=9,Pessoal!$B:$B=$A5)),0)"),2043.3746697415622)</f>
        <v>2043.37467</v>
      </c>
      <c r="E5" s="396">
        <f>IFERROR(__xludf.DUMMYFUNCTION("IFERROR(SUM(filter(Pessoal!$V:$V,Pessoal!$C:$C&gt;=10,Pessoal!$C:$C&lt;=12,Pessoal!$B:$B=$A5)),0)"),1895.1220122471707)</f>
        <v>1895.122012</v>
      </c>
      <c r="F5" s="397">
        <f t="shared" si="2"/>
        <v>8630.78509</v>
      </c>
    </row>
    <row r="6">
      <c r="A6" s="394" t="s">
        <v>406</v>
      </c>
      <c r="B6" s="395">
        <f>IFERROR(__xludf.DUMMYFUNCTION("iferror(sum(filter(Pessoal!$V:$V,Pessoal!$C:$C&gt;=1,Pessoal!$C:$C&lt;=3,Pessoal!$B:$B=$A6)),0)"),0.0)</f>
        <v>0</v>
      </c>
      <c r="C6" s="396">
        <f>IFERROR(__xludf.DUMMYFUNCTION("IFERROR(SUM(filter(Pessoal!$V:$V,Pessoal!$C:$C&gt;=4,Pessoal!$C:$C&lt;=6,Pessoal!$B:$B=$A6)),0)"),697.2058347494522)</f>
        <v>697.2058347</v>
      </c>
      <c r="D6" s="396">
        <f>IFERROR(__xludf.DUMMYFUNCTION("IFERROR(SUM(filter(Pessoal!$V:$V,Pessoal!$C:$C&gt;=7,Pessoal!$C:$C&lt;=9,Pessoal!$B:$B=$A6)),0)"),3806.6335579539673)</f>
        <v>3806.633558</v>
      </c>
      <c r="E6" s="396">
        <f>IFERROR(__xludf.DUMMYFUNCTION("IFERROR(SUM(filter(Pessoal!$V:$V,Pessoal!$C:$C&gt;=10,Pessoal!$C:$C&lt;=12,Pessoal!$B:$B=$A6)),0)"),2646.619357763456)</f>
        <v>2646.619358</v>
      </c>
      <c r="F6" s="397">
        <f t="shared" si="2"/>
        <v>7150.45875</v>
      </c>
    </row>
    <row r="7">
      <c r="A7" s="394" t="s">
        <v>426</v>
      </c>
      <c r="B7" s="395">
        <f>IFERROR(__xludf.DUMMYFUNCTION("iferror(sum(filter(Pessoal!$V:$V,Pessoal!$C:$C&gt;=1,Pessoal!$C:$C&lt;=3,Pessoal!$B:$B=$A7)),0)"),0.0)</f>
        <v>0</v>
      </c>
      <c r="C7" s="396">
        <f>IFERROR(__xludf.DUMMYFUNCTION("IFERROR(SUM(filter(Pessoal!$V:$V,Pessoal!$C:$C&gt;=4,Pessoal!$C:$C&lt;=6,Pessoal!$B:$B=$A7)),0)"),4147.246027198248)</f>
        <v>4147.246027</v>
      </c>
      <c r="D7" s="396">
        <f>IFERROR(__xludf.DUMMYFUNCTION("IFERROR(SUM(filter(Pessoal!$V:$V,Pessoal!$C:$C&gt;=7,Pessoal!$C:$C&lt;=9,Pessoal!$B:$B=$A7)),0)"),0.0)</f>
        <v>0</v>
      </c>
      <c r="E7" s="396">
        <f>IFERROR(__xludf.DUMMYFUNCTION("IFERROR(SUM(filter(Pessoal!$V:$V,Pessoal!$C:$C&gt;=10,Pessoal!$C:$C&lt;=12,Pessoal!$B:$B=$A7)),0)"),8374.155116857337)</f>
        <v>8374.155117</v>
      </c>
      <c r="F7" s="397">
        <f t="shared" si="2"/>
        <v>12521.40114</v>
      </c>
    </row>
    <row r="8">
      <c r="A8" s="394" t="s">
        <v>314</v>
      </c>
      <c r="B8" s="395">
        <f>IFERROR(__xludf.DUMMYFUNCTION("iferror(sum(filter(Pessoal!$V:$V,Pessoal!$C:$C&gt;=1,Pessoal!$C:$C&lt;=3,Pessoal!$B:$B=$A8)),0)"),547.1462798893041)</f>
        <v>547.1462799</v>
      </c>
      <c r="C8" s="396">
        <f>IFERROR(__xludf.DUMMYFUNCTION("IFERROR(SUM(filter(Pessoal!$V:$V,Pessoal!$C:$C&gt;=4,Pessoal!$C:$C&lt;=6,Pessoal!$B:$B=$A8)),0)"),0.0)</f>
        <v>0</v>
      </c>
      <c r="D8" s="396">
        <f>IFERROR(__xludf.DUMMYFUNCTION("IFERROR(SUM(filter(Pessoal!$V:$V,Pessoal!$C:$C&gt;=7,Pessoal!$C:$C&lt;=9,Pessoal!$B:$B=$A8)),0)"),0.0)</f>
        <v>0</v>
      </c>
      <c r="E8" s="396">
        <f>IFERROR(__xludf.DUMMYFUNCTION("IFERROR(SUM(filter(Pessoal!$V:$V,Pessoal!$C:$C&gt;=10,Pessoal!$C:$C&lt;=12,Pessoal!$B:$B=$A8)),0)"),0.0)</f>
        <v>0</v>
      </c>
      <c r="F8" s="397">
        <f t="shared" si="2"/>
        <v>547.1462799</v>
      </c>
    </row>
    <row r="9">
      <c r="A9" s="398" t="s">
        <v>319</v>
      </c>
      <c r="B9" s="395">
        <f>IFERROR(__xludf.DUMMYFUNCTION("iferror(sum(filter(Pessoal!$V:$V,Pessoal!$C:$C&gt;=1,Pessoal!$C:$C&lt;=3,Pessoal!$B:$B=$A9)),0)"),1671.1175433682051)</f>
        <v>1671.117543</v>
      </c>
      <c r="C9" s="396">
        <f>IFERROR(__xludf.DUMMYFUNCTION("IFERROR(SUM(filter(Pessoal!$V:$V,Pessoal!$C:$C&gt;=4,Pessoal!$C:$C&lt;=6,Pessoal!$B:$B=$A9)),0)"),0.0)</f>
        <v>0</v>
      </c>
      <c r="D9" s="396">
        <f>IFERROR(__xludf.DUMMYFUNCTION("IFERROR(SUM(filter(Pessoal!$V:$V,Pessoal!$C:$C&gt;=7,Pessoal!$C:$C&lt;=9,Pessoal!$B:$B=$A9)),0)"),0.0)</f>
        <v>0</v>
      </c>
      <c r="E9" s="396">
        <f>IFERROR(__xludf.DUMMYFUNCTION("IFERROR(SUM(filter(Pessoal!$V:$V,Pessoal!$C:$C&gt;=10,Pessoal!$C:$C&lt;=12,Pessoal!$B:$B=$A9)),0)"),0.0)</f>
        <v>0</v>
      </c>
      <c r="F9" s="397">
        <f t="shared" si="2"/>
        <v>1671.117543</v>
      </c>
    </row>
    <row r="10">
      <c r="A10" s="398" t="s">
        <v>546</v>
      </c>
      <c r="B10" s="395">
        <f>IFERROR(__xludf.DUMMYFUNCTION("iferror(sum(filter(Pessoal!$V:$V,Pessoal!$C:$C&gt;=1,Pessoal!$C:$C&lt;=3,Pessoal!$B:$B=$A10)),0)"),0.0)</f>
        <v>0</v>
      </c>
      <c r="C10" s="396">
        <f>IFERROR(__xludf.DUMMYFUNCTION("IFERROR(SUM(filter(Pessoal!$V:$V,Pessoal!$C:$C&gt;=4,Pessoal!$C:$C&lt;=6,Pessoal!$B:$B=$A10)),0)"),0.0)</f>
        <v>0</v>
      </c>
      <c r="D10" s="396">
        <f>IFERROR(__xludf.DUMMYFUNCTION("IFERROR(SUM(filter(Pessoal!$V:$V,Pessoal!$C:$C&gt;=7,Pessoal!$C:$C&lt;=9,Pessoal!$B:$B=$A10)),0)"),0.0)</f>
        <v>0</v>
      </c>
      <c r="E10" s="396">
        <f>IFERROR(__xludf.DUMMYFUNCTION("IFERROR(SUM(filter(Pessoal!$V:$V,Pessoal!$C:$C&gt;=10,Pessoal!$C:$C&lt;=12,Pessoal!$B:$B=$A10)),0)"),418.435992827032)</f>
        <v>418.4359928</v>
      </c>
      <c r="F10" s="399">
        <f>SUM(B10:E10)</f>
        <v>418.4359928</v>
      </c>
    </row>
    <row r="11">
      <c r="B11" s="235"/>
      <c r="C11" s="235"/>
      <c r="D11" s="235"/>
      <c r="E11" s="235"/>
      <c r="F11" s="235"/>
    </row>
    <row r="12">
      <c r="B12" s="235"/>
      <c r="C12" s="235"/>
      <c r="D12" s="235"/>
      <c r="E12" s="235"/>
      <c r="F12" s="235"/>
    </row>
    <row r="13">
      <c r="B13" s="235"/>
      <c r="C13" s="235"/>
      <c r="D13" s="235"/>
      <c r="E13" s="235"/>
      <c r="F13" s="235"/>
    </row>
    <row r="14">
      <c r="B14" s="235"/>
      <c r="C14" s="235"/>
      <c r="D14" s="235"/>
      <c r="E14" s="235"/>
      <c r="F14" s="235"/>
    </row>
    <row r="15">
      <c r="B15" s="235"/>
      <c r="C15" s="235"/>
      <c r="D15" s="235"/>
      <c r="E15" s="235"/>
      <c r="F15" s="235"/>
    </row>
    <row r="16">
      <c r="B16" s="235"/>
      <c r="C16" s="235"/>
      <c r="D16" s="235"/>
      <c r="E16" s="235"/>
      <c r="F16" s="235"/>
    </row>
    <row r="17">
      <c r="B17" s="235"/>
      <c r="C17" s="235"/>
      <c r="D17" s="235"/>
      <c r="E17" s="235"/>
      <c r="F17" s="235"/>
    </row>
    <row r="18">
      <c r="B18" s="235"/>
      <c r="C18" s="235"/>
      <c r="D18" s="235"/>
      <c r="E18" s="235"/>
      <c r="F18" s="235"/>
    </row>
    <row r="19">
      <c r="B19" s="235"/>
      <c r="C19" s="235"/>
      <c r="D19" s="235"/>
      <c r="E19" s="235"/>
      <c r="F19" s="235"/>
    </row>
    <row r="20">
      <c r="B20" s="235"/>
      <c r="C20" s="235"/>
      <c r="D20" s="235"/>
      <c r="E20" s="235"/>
      <c r="F20" s="235"/>
    </row>
    <row r="21">
      <c r="B21" s="235"/>
      <c r="C21" s="235"/>
      <c r="D21" s="235"/>
      <c r="E21" s="235"/>
      <c r="F21" s="235"/>
    </row>
    <row r="22">
      <c r="B22" s="235"/>
      <c r="C22" s="235"/>
      <c r="D22" s="235"/>
      <c r="E22" s="235"/>
      <c r="F22" s="235"/>
    </row>
    <row r="23">
      <c r="B23" s="235"/>
      <c r="C23" s="235"/>
      <c r="D23" s="235"/>
      <c r="E23" s="235"/>
      <c r="F23" s="235"/>
    </row>
    <row r="24">
      <c r="B24" s="235"/>
      <c r="C24" s="235"/>
      <c r="D24" s="235"/>
      <c r="E24" s="235"/>
      <c r="F24" s="235"/>
    </row>
    <row r="25">
      <c r="B25" s="235"/>
      <c r="C25" s="235"/>
      <c r="D25" s="235"/>
      <c r="E25" s="235"/>
      <c r="F25" s="235"/>
    </row>
    <row r="26">
      <c r="B26" s="235"/>
      <c r="C26" s="235"/>
      <c r="D26" s="235"/>
      <c r="E26" s="235"/>
      <c r="F26" s="235"/>
    </row>
    <row r="27">
      <c r="B27" s="235"/>
      <c r="C27" s="235"/>
      <c r="D27" s="235"/>
      <c r="E27" s="235"/>
      <c r="F27" s="235"/>
    </row>
    <row r="28">
      <c r="B28" s="235"/>
      <c r="C28" s="235"/>
      <c r="D28" s="235"/>
      <c r="E28" s="235"/>
      <c r="F28" s="235"/>
    </row>
    <row r="29">
      <c r="B29" s="235"/>
      <c r="C29" s="235"/>
      <c r="D29" s="235"/>
      <c r="E29" s="235"/>
      <c r="F29" s="235"/>
    </row>
    <row r="30">
      <c r="B30" s="235"/>
      <c r="C30" s="235"/>
      <c r="D30" s="235"/>
      <c r="E30" s="235"/>
      <c r="F30" s="235"/>
    </row>
    <row r="31">
      <c r="B31" s="235"/>
      <c r="C31" s="235"/>
      <c r="D31" s="235"/>
      <c r="E31" s="235"/>
      <c r="F31" s="235"/>
    </row>
    <row r="32">
      <c r="B32" s="235"/>
      <c r="C32" s="235"/>
      <c r="D32" s="235"/>
      <c r="E32" s="235"/>
      <c r="F32" s="235"/>
    </row>
    <row r="33">
      <c r="B33" s="235"/>
      <c r="C33" s="235"/>
      <c r="D33" s="235"/>
      <c r="E33" s="235"/>
      <c r="F33" s="235"/>
    </row>
    <row r="34">
      <c r="B34" s="235"/>
      <c r="C34" s="235"/>
      <c r="D34" s="235"/>
      <c r="E34" s="235"/>
      <c r="F34" s="235"/>
    </row>
    <row r="35">
      <c r="B35" s="235"/>
      <c r="C35" s="235"/>
      <c r="D35" s="235"/>
      <c r="E35" s="235"/>
      <c r="F35" s="235"/>
    </row>
    <row r="36">
      <c r="B36" s="235"/>
      <c r="C36" s="235"/>
      <c r="D36" s="235"/>
      <c r="E36" s="235"/>
      <c r="F36" s="235"/>
    </row>
    <row r="37">
      <c r="B37" s="235"/>
      <c r="C37" s="235"/>
      <c r="D37" s="235"/>
      <c r="E37" s="235"/>
      <c r="F37" s="235"/>
    </row>
    <row r="38">
      <c r="B38" s="235"/>
      <c r="C38" s="235"/>
      <c r="D38" s="235"/>
      <c r="E38" s="235"/>
      <c r="F38" s="235"/>
    </row>
    <row r="39">
      <c r="B39" s="235"/>
      <c r="C39" s="235"/>
      <c r="D39" s="235"/>
      <c r="E39" s="235"/>
      <c r="F39" s="235"/>
    </row>
    <row r="40">
      <c r="B40" s="235"/>
      <c r="C40" s="235"/>
      <c r="D40" s="235"/>
      <c r="E40" s="235"/>
      <c r="F40" s="235"/>
    </row>
    <row r="41">
      <c r="B41" s="235"/>
      <c r="C41" s="235"/>
      <c r="D41" s="235"/>
      <c r="E41" s="235"/>
      <c r="F41" s="235"/>
    </row>
    <row r="42">
      <c r="B42" s="235"/>
      <c r="C42" s="235"/>
      <c r="D42" s="235"/>
      <c r="E42" s="235"/>
      <c r="F42" s="235"/>
    </row>
    <row r="43">
      <c r="B43" s="235"/>
      <c r="C43" s="235"/>
      <c r="D43" s="235"/>
      <c r="E43" s="235"/>
      <c r="F43" s="235"/>
    </row>
    <row r="44">
      <c r="B44" s="235"/>
      <c r="C44" s="235"/>
      <c r="D44" s="235"/>
      <c r="E44" s="235"/>
      <c r="F44" s="235"/>
    </row>
    <row r="45">
      <c r="B45" s="235"/>
      <c r="C45" s="235"/>
      <c r="D45" s="235"/>
      <c r="E45" s="235"/>
      <c r="F45" s="235"/>
    </row>
    <row r="46">
      <c r="B46" s="235"/>
      <c r="C46" s="235"/>
      <c r="D46" s="235"/>
      <c r="E46" s="235"/>
      <c r="F46" s="235"/>
    </row>
    <row r="47">
      <c r="B47" s="235"/>
      <c r="C47" s="235"/>
      <c r="D47" s="235"/>
      <c r="E47" s="235"/>
      <c r="F47" s="235"/>
    </row>
    <row r="48">
      <c r="B48" s="235"/>
      <c r="C48" s="235"/>
      <c r="D48" s="235"/>
      <c r="E48" s="235"/>
      <c r="F48" s="235"/>
    </row>
    <row r="49">
      <c r="B49" s="235"/>
      <c r="C49" s="235"/>
      <c r="D49" s="235"/>
      <c r="E49" s="235"/>
      <c r="F49" s="235"/>
    </row>
    <row r="50">
      <c r="B50" s="235"/>
      <c r="C50" s="235"/>
      <c r="D50" s="235"/>
      <c r="E50" s="235"/>
      <c r="F50" s="235"/>
    </row>
    <row r="51">
      <c r="B51" s="235"/>
      <c r="C51" s="235"/>
      <c r="D51" s="235"/>
      <c r="E51" s="235"/>
      <c r="F51" s="235"/>
    </row>
    <row r="52">
      <c r="B52" s="235"/>
      <c r="C52" s="235"/>
      <c r="D52" s="235"/>
      <c r="E52" s="235"/>
      <c r="F52" s="235"/>
    </row>
    <row r="53">
      <c r="B53" s="235"/>
      <c r="C53" s="235"/>
      <c r="D53" s="235"/>
      <c r="E53" s="235"/>
      <c r="F53" s="235"/>
    </row>
    <row r="54">
      <c r="B54" s="235"/>
      <c r="C54" s="235"/>
      <c r="D54" s="235"/>
      <c r="E54" s="235"/>
      <c r="F54" s="235"/>
    </row>
    <row r="55">
      <c r="B55" s="235"/>
      <c r="C55" s="235"/>
      <c r="D55" s="235"/>
      <c r="E55" s="235"/>
      <c r="F55" s="235"/>
    </row>
    <row r="56">
      <c r="B56" s="235"/>
      <c r="C56" s="235"/>
      <c r="D56" s="235"/>
      <c r="E56" s="235"/>
      <c r="F56" s="235"/>
    </row>
    <row r="57">
      <c r="B57" s="235"/>
      <c r="C57" s="235"/>
      <c r="D57" s="235"/>
      <c r="E57" s="235"/>
      <c r="F57" s="235"/>
    </row>
    <row r="58">
      <c r="B58" s="235"/>
      <c r="C58" s="235"/>
      <c r="D58" s="235"/>
      <c r="E58" s="235"/>
      <c r="F58" s="235"/>
    </row>
    <row r="59">
      <c r="B59" s="235"/>
      <c r="C59" s="235"/>
      <c r="D59" s="235"/>
      <c r="E59" s="235"/>
      <c r="F59" s="235"/>
    </row>
    <row r="60">
      <c r="B60" s="235"/>
      <c r="C60" s="235"/>
      <c r="D60" s="235"/>
      <c r="E60" s="235"/>
      <c r="F60" s="235"/>
    </row>
    <row r="61">
      <c r="B61" s="235"/>
      <c r="C61" s="235"/>
      <c r="D61" s="235"/>
      <c r="E61" s="235"/>
      <c r="F61" s="235"/>
    </row>
    <row r="62">
      <c r="B62" s="235"/>
      <c r="C62" s="235"/>
      <c r="D62" s="235"/>
      <c r="E62" s="235"/>
      <c r="F62" s="235"/>
    </row>
    <row r="63">
      <c r="B63" s="235"/>
      <c r="C63" s="235"/>
      <c r="D63" s="235"/>
      <c r="E63" s="235"/>
      <c r="F63" s="235"/>
    </row>
    <row r="64">
      <c r="B64" s="235"/>
      <c r="C64" s="235"/>
      <c r="D64" s="235"/>
      <c r="E64" s="235"/>
      <c r="F64" s="235"/>
    </row>
    <row r="65">
      <c r="B65" s="235"/>
      <c r="C65" s="235"/>
      <c r="D65" s="235"/>
      <c r="E65" s="235"/>
      <c r="F65" s="235"/>
    </row>
    <row r="66">
      <c r="B66" s="235"/>
      <c r="C66" s="235"/>
      <c r="D66" s="235"/>
      <c r="E66" s="235"/>
      <c r="F66" s="235"/>
    </row>
    <row r="67">
      <c r="B67" s="235"/>
      <c r="C67" s="235"/>
      <c r="D67" s="235"/>
      <c r="E67" s="235"/>
      <c r="F67" s="235"/>
    </row>
    <row r="68">
      <c r="B68" s="235"/>
      <c r="C68" s="235"/>
      <c r="D68" s="235"/>
      <c r="E68" s="235"/>
      <c r="F68" s="235"/>
    </row>
    <row r="69">
      <c r="B69" s="235"/>
      <c r="C69" s="235"/>
      <c r="D69" s="235"/>
      <c r="E69" s="235"/>
      <c r="F69" s="235"/>
    </row>
    <row r="70">
      <c r="B70" s="235"/>
      <c r="C70" s="235"/>
      <c r="D70" s="235"/>
      <c r="E70" s="235"/>
      <c r="F70" s="235"/>
    </row>
    <row r="71">
      <c r="B71" s="235"/>
      <c r="C71" s="235"/>
      <c r="D71" s="235"/>
      <c r="E71" s="235"/>
      <c r="F71" s="235"/>
    </row>
    <row r="72">
      <c r="B72" s="235"/>
      <c r="C72" s="235"/>
      <c r="D72" s="235"/>
      <c r="E72" s="235"/>
      <c r="F72" s="235"/>
    </row>
    <row r="73">
      <c r="B73" s="235"/>
      <c r="C73" s="235"/>
      <c r="D73" s="235"/>
      <c r="E73" s="235"/>
      <c r="F73" s="235"/>
    </row>
    <row r="74">
      <c r="B74" s="235"/>
      <c r="C74" s="235"/>
      <c r="D74" s="235"/>
      <c r="E74" s="235"/>
      <c r="F74" s="235"/>
    </row>
    <row r="75">
      <c r="B75" s="235"/>
      <c r="C75" s="235"/>
      <c r="D75" s="235"/>
      <c r="E75" s="235"/>
      <c r="F75" s="235"/>
    </row>
    <row r="76">
      <c r="B76" s="235"/>
      <c r="C76" s="235"/>
      <c r="D76" s="235"/>
      <c r="E76" s="235"/>
      <c r="F76" s="235"/>
    </row>
    <row r="77">
      <c r="B77" s="235"/>
      <c r="C77" s="235"/>
      <c r="D77" s="235"/>
      <c r="E77" s="235"/>
      <c r="F77" s="235"/>
    </row>
    <row r="78">
      <c r="B78" s="235"/>
      <c r="C78" s="235"/>
      <c r="D78" s="235"/>
      <c r="E78" s="235"/>
      <c r="F78" s="235"/>
    </row>
    <row r="79">
      <c r="B79" s="235"/>
      <c r="C79" s="235"/>
      <c r="D79" s="235"/>
      <c r="E79" s="235"/>
      <c r="F79" s="235"/>
    </row>
    <row r="80">
      <c r="B80" s="235"/>
      <c r="C80" s="235"/>
      <c r="D80" s="235"/>
      <c r="E80" s="235"/>
      <c r="F80" s="235"/>
    </row>
    <row r="81">
      <c r="B81" s="235"/>
      <c r="C81" s="235"/>
      <c r="D81" s="235"/>
      <c r="E81" s="235"/>
      <c r="F81" s="235"/>
    </row>
    <row r="82">
      <c r="B82" s="235"/>
      <c r="C82" s="235"/>
      <c r="D82" s="235"/>
      <c r="E82" s="235"/>
      <c r="F82" s="235"/>
    </row>
    <row r="83">
      <c r="B83" s="235"/>
      <c r="C83" s="235"/>
      <c r="D83" s="235"/>
      <c r="E83" s="235"/>
      <c r="F83" s="235"/>
    </row>
    <row r="84">
      <c r="B84" s="235"/>
      <c r="C84" s="235"/>
      <c r="D84" s="235"/>
      <c r="E84" s="235"/>
      <c r="F84" s="235"/>
    </row>
    <row r="85">
      <c r="B85" s="235"/>
      <c r="C85" s="235"/>
      <c r="D85" s="235"/>
      <c r="E85" s="235"/>
      <c r="F85" s="235"/>
    </row>
    <row r="86">
      <c r="B86" s="235"/>
      <c r="C86" s="235"/>
      <c r="D86" s="235"/>
      <c r="E86" s="235"/>
      <c r="F86" s="235"/>
    </row>
    <row r="87">
      <c r="B87" s="235"/>
      <c r="C87" s="235"/>
      <c r="D87" s="235"/>
      <c r="E87" s="235"/>
      <c r="F87" s="235"/>
    </row>
    <row r="88">
      <c r="B88" s="235"/>
      <c r="C88" s="235"/>
      <c r="D88" s="235"/>
      <c r="E88" s="235"/>
      <c r="F88" s="235"/>
    </row>
    <row r="89">
      <c r="B89" s="235"/>
      <c r="C89" s="235"/>
      <c r="D89" s="235"/>
      <c r="E89" s="235"/>
      <c r="F89" s="235"/>
    </row>
    <row r="90">
      <c r="B90" s="235"/>
      <c r="C90" s="235"/>
      <c r="D90" s="235"/>
      <c r="E90" s="235"/>
      <c r="F90" s="235"/>
    </row>
    <row r="91">
      <c r="B91" s="235"/>
      <c r="C91" s="235"/>
      <c r="D91" s="235"/>
      <c r="E91" s="235"/>
      <c r="F91" s="235"/>
    </row>
    <row r="92">
      <c r="B92" s="235"/>
      <c r="C92" s="235"/>
      <c r="D92" s="235"/>
      <c r="E92" s="235"/>
      <c r="F92" s="235"/>
    </row>
    <row r="93">
      <c r="B93" s="235"/>
      <c r="C93" s="235"/>
      <c r="D93" s="235"/>
      <c r="E93" s="235"/>
      <c r="F93" s="235"/>
    </row>
    <row r="94">
      <c r="B94" s="235"/>
      <c r="C94" s="235"/>
      <c r="D94" s="235"/>
      <c r="E94" s="235"/>
      <c r="F94" s="235"/>
    </row>
    <row r="95">
      <c r="B95" s="235"/>
      <c r="C95" s="235"/>
      <c r="D95" s="235"/>
      <c r="E95" s="235"/>
      <c r="F95" s="235"/>
    </row>
    <row r="96">
      <c r="B96" s="235"/>
      <c r="C96" s="235"/>
      <c r="D96" s="235"/>
      <c r="E96" s="235"/>
      <c r="F96" s="235"/>
    </row>
    <row r="97">
      <c r="B97" s="235"/>
      <c r="C97" s="235"/>
      <c r="D97" s="235"/>
      <c r="E97" s="235"/>
      <c r="F97" s="235"/>
    </row>
    <row r="98">
      <c r="B98" s="235"/>
      <c r="C98" s="235"/>
      <c r="D98" s="235"/>
      <c r="E98" s="235"/>
      <c r="F98" s="235"/>
    </row>
    <row r="99">
      <c r="B99" s="235"/>
      <c r="C99" s="235"/>
      <c r="D99" s="235"/>
      <c r="E99" s="235"/>
      <c r="F99" s="235"/>
    </row>
    <row r="100">
      <c r="B100" s="235"/>
      <c r="C100" s="235"/>
      <c r="D100" s="235"/>
      <c r="E100" s="235"/>
      <c r="F100" s="235"/>
    </row>
    <row r="101">
      <c r="B101" s="235"/>
      <c r="C101" s="235"/>
      <c r="D101" s="235"/>
      <c r="E101" s="235"/>
      <c r="F101" s="235"/>
    </row>
    <row r="102">
      <c r="B102" s="235"/>
      <c r="C102" s="235"/>
      <c r="D102" s="235"/>
      <c r="E102" s="235"/>
      <c r="F102" s="235"/>
    </row>
    <row r="103">
      <c r="B103" s="235"/>
      <c r="C103" s="235"/>
      <c r="D103" s="235"/>
      <c r="E103" s="235"/>
      <c r="F103" s="235"/>
    </row>
    <row r="104">
      <c r="B104" s="235"/>
      <c r="C104" s="235"/>
      <c r="D104" s="235"/>
      <c r="E104" s="235"/>
      <c r="F104" s="235"/>
    </row>
    <row r="105">
      <c r="B105" s="235"/>
      <c r="C105" s="235"/>
      <c r="D105" s="235"/>
      <c r="E105" s="235"/>
      <c r="F105" s="235"/>
    </row>
    <row r="106">
      <c r="B106" s="235"/>
      <c r="C106" s="235"/>
      <c r="D106" s="235"/>
      <c r="E106" s="235"/>
      <c r="F106" s="235"/>
    </row>
    <row r="107">
      <c r="B107" s="235"/>
      <c r="C107" s="235"/>
      <c r="D107" s="235"/>
      <c r="E107" s="235"/>
      <c r="F107" s="235"/>
    </row>
    <row r="108">
      <c r="B108" s="235"/>
      <c r="C108" s="235"/>
      <c r="D108" s="235"/>
      <c r="E108" s="235"/>
      <c r="F108" s="235"/>
    </row>
    <row r="109">
      <c r="B109" s="235"/>
      <c r="C109" s="235"/>
      <c r="D109" s="235"/>
      <c r="E109" s="235"/>
      <c r="F109" s="235"/>
    </row>
    <row r="110">
      <c r="B110" s="235"/>
      <c r="C110" s="235"/>
      <c r="D110" s="235"/>
      <c r="E110" s="235"/>
      <c r="F110" s="235"/>
    </row>
    <row r="111">
      <c r="B111" s="235"/>
      <c r="C111" s="235"/>
      <c r="D111" s="235"/>
      <c r="E111" s="235"/>
      <c r="F111" s="235"/>
    </row>
    <row r="112">
      <c r="B112" s="235"/>
      <c r="C112" s="235"/>
      <c r="D112" s="235"/>
      <c r="E112" s="235"/>
      <c r="F112" s="235"/>
    </row>
    <row r="113">
      <c r="B113" s="235"/>
      <c r="C113" s="235"/>
      <c r="D113" s="235"/>
      <c r="E113" s="235"/>
      <c r="F113" s="235"/>
    </row>
    <row r="114">
      <c r="B114" s="235"/>
      <c r="C114" s="235"/>
      <c r="D114" s="235"/>
      <c r="E114" s="235"/>
      <c r="F114" s="235"/>
    </row>
    <row r="115">
      <c r="B115" s="235"/>
      <c r="C115" s="235"/>
      <c r="D115" s="235"/>
      <c r="E115" s="235"/>
      <c r="F115" s="235"/>
    </row>
    <row r="116">
      <c r="B116" s="235"/>
      <c r="C116" s="235"/>
      <c r="D116" s="235"/>
      <c r="E116" s="235"/>
      <c r="F116" s="235"/>
    </row>
    <row r="117">
      <c r="B117" s="235"/>
      <c r="C117" s="235"/>
      <c r="D117" s="235"/>
      <c r="E117" s="235"/>
      <c r="F117" s="235"/>
    </row>
    <row r="118">
      <c r="B118" s="235"/>
      <c r="C118" s="235"/>
      <c r="D118" s="235"/>
      <c r="E118" s="235"/>
      <c r="F118" s="235"/>
    </row>
    <row r="119">
      <c r="B119" s="235"/>
      <c r="C119" s="235"/>
      <c r="D119" s="235"/>
      <c r="E119" s="235"/>
      <c r="F119" s="235"/>
    </row>
    <row r="120">
      <c r="B120" s="235"/>
      <c r="C120" s="235"/>
      <c r="D120" s="235"/>
      <c r="E120" s="235"/>
      <c r="F120" s="235"/>
    </row>
    <row r="121">
      <c r="B121" s="235"/>
      <c r="C121" s="235"/>
      <c r="D121" s="235"/>
      <c r="E121" s="235"/>
      <c r="F121" s="235"/>
    </row>
    <row r="122">
      <c r="B122" s="235"/>
      <c r="C122" s="235"/>
      <c r="D122" s="235"/>
      <c r="E122" s="235"/>
      <c r="F122" s="235"/>
    </row>
    <row r="123">
      <c r="B123" s="235"/>
      <c r="C123" s="235"/>
      <c r="D123" s="235"/>
      <c r="E123" s="235"/>
      <c r="F123" s="235"/>
    </row>
    <row r="124">
      <c r="B124" s="235"/>
      <c r="C124" s="235"/>
      <c r="D124" s="235"/>
      <c r="E124" s="235"/>
      <c r="F124" s="235"/>
    </row>
    <row r="125">
      <c r="B125" s="235"/>
      <c r="C125" s="235"/>
      <c r="D125" s="235"/>
      <c r="E125" s="235"/>
      <c r="F125" s="235"/>
    </row>
    <row r="126">
      <c r="B126" s="235"/>
      <c r="C126" s="235"/>
      <c r="D126" s="235"/>
      <c r="E126" s="235"/>
      <c r="F126" s="235"/>
    </row>
    <row r="127">
      <c r="B127" s="235"/>
      <c r="C127" s="235"/>
      <c r="D127" s="235"/>
      <c r="E127" s="235"/>
      <c r="F127" s="235"/>
    </row>
    <row r="128">
      <c r="B128" s="235"/>
      <c r="C128" s="235"/>
      <c r="D128" s="235"/>
      <c r="E128" s="235"/>
      <c r="F128" s="235"/>
    </row>
    <row r="129">
      <c r="B129" s="235"/>
      <c r="C129" s="235"/>
      <c r="D129" s="235"/>
      <c r="E129" s="235"/>
      <c r="F129" s="235"/>
    </row>
    <row r="130">
      <c r="B130" s="235"/>
      <c r="C130" s="235"/>
      <c r="D130" s="235"/>
      <c r="E130" s="235"/>
      <c r="F130" s="235"/>
    </row>
    <row r="131">
      <c r="B131" s="235"/>
      <c r="C131" s="235"/>
      <c r="D131" s="235"/>
      <c r="E131" s="235"/>
      <c r="F131" s="235"/>
    </row>
    <row r="132">
      <c r="B132" s="235"/>
      <c r="C132" s="235"/>
      <c r="D132" s="235"/>
      <c r="E132" s="235"/>
      <c r="F132" s="235"/>
    </row>
    <row r="133">
      <c r="B133" s="235"/>
      <c r="C133" s="235"/>
      <c r="D133" s="235"/>
      <c r="E133" s="235"/>
      <c r="F133" s="235"/>
    </row>
    <row r="134">
      <c r="B134" s="235"/>
      <c r="C134" s="235"/>
      <c r="D134" s="235"/>
      <c r="E134" s="235"/>
      <c r="F134" s="235"/>
    </row>
    <row r="135">
      <c r="B135" s="235"/>
      <c r="C135" s="235"/>
      <c r="D135" s="235"/>
      <c r="E135" s="235"/>
      <c r="F135" s="235"/>
    </row>
    <row r="136">
      <c r="B136" s="235"/>
      <c r="C136" s="235"/>
      <c r="D136" s="235"/>
      <c r="E136" s="235"/>
      <c r="F136" s="235"/>
    </row>
    <row r="137">
      <c r="B137" s="235"/>
      <c r="C137" s="235"/>
      <c r="D137" s="235"/>
      <c r="E137" s="235"/>
      <c r="F137" s="235"/>
    </row>
    <row r="138">
      <c r="B138" s="235"/>
      <c r="C138" s="235"/>
      <c r="D138" s="235"/>
      <c r="E138" s="235"/>
      <c r="F138" s="235"/>
    </row>
    <row r="139">
      <c r="B139" s="235"/>
      <c r="C139" s="235"/>
      <c r="D139" s="235"/>
      <c r="E139" s="235"/>
      <c r="F139" s="235"/>
    </row>
    <row r="140">
      <c r="B140" s="235"/>
      <c r="C140" s="235"/>
      <c r="D140" s="235"/>
      <c r="E140" s="235"/>
      <c r="F140" s="235"/>
    </row>
    <row r="141">
      <c r="B141" s="235"/>
      <c r="C141" s="235"/>
      <c r="D141" s="235"/>
      <c r="E141" s="235"/>
      <c r="F141" s="235"/>
    </row>
    <row r="142">
      <c r="B142" s="235"/>
      <c r="C142" s="235"/>
      <c r="D142" s="235"/>
      <c r="E142" s="235"/>
      <c r="F142" s="235"/>
    </row>
    <row r="143">
      <c r="B143" s="235"/>
      <c r="C143" s="235"/>
      <c r="D143" s="235"/>
      <c r="E143" s="235"/>
      <c r="F143" s="235"/>
    </row>
    <row r="144">
      <c r="B144" s="235"/>
      <c r="C144" s="235"/>
      <c r="D144" s="235"/>
      <c r="E144" s="235"/>
      <c r="F144" s="235"/>
    </row>
    <row r="145">
      <c r="B145" s="235"/>
      <c r="C145" s="235"/>
      <c r="D145" s="235"/>
      <c r="E145" s="235"/>
      <c r="F145" s="235"/>
    </row>
    <row r="146">
      <c r="B146" s="235"/>
      <c r="C146" s="235"/>
      <c r="D146" s="235"/>
      <c r="E146" s="235"/>
      <c r="F146" s="235"/>
    </row>
    <row r="147">
      <c r="B147" s="235"/>
      <c r="C147" s="235"/>
      <c r="D147" s="235"/>
      <c r="E147" s="235"/>
      <c r="F147" s="235"/>
    </row>
    <row r="148">
      <c r="B148" s="235"/>
      <c r="C148" s="235"/>
      <c r="D148" s="235"/>
      <c r="E148" s="235"/>
      <c r="F148" s="235"/>
    </row>
    <row r="149">
      <c r="B149" s="235"/>
      <c r="C149" s="235"/>
      <c r="D149" s="235"/>
      <c r="E149" s="235"/>
      <c r="F149" s="235"/>
    </row>
    <row r="150">
      <c r="B150" s="235"/>
      <c r="C150" s="235"/>
      <c r="D150" s="235"/>
      <c r="E150" s="235"/>
      <c r="F150" s="235"/>
    </row>
    <row r="151">
      <c r="B151" s="235"/>
      <c r="C151" s="235"/>
      <c r="D151" s="235"/>
      <c r="E151" s="235"/>
      <c r="F151" s="235"/>
    </row>
    <row r="152">
      <c r="B152" s="235"/>
      <c r="C152" s="235"/>
      <c r="D152" s="235"/>
      <c r="E152" s="235"/>
      <c r="F152" s="235"/>
    </row>
    <row r="153">
      <c r="B153" s="235"/>
      <c r="C153" s="235"/>
      <c r="D153" s="235"/>
      <c r="E153" s="235"/>
      <c r="F153" s="235"/>
    </row>
    <row r="154">
      <c r="B154" s="235"/>
      <c r="C154" s="235"/>
      <c r="D154" s="235"/>
      <c r="E154" s="235"/>
      <c r="F154" s="235"/>
    </row>
    <row r="155">
      <c r="B155" s="235"/>
      <c r="C155" s="235"/>
      <c r="D155" s="235"/>
      <c r="E155" s="235"/>
      <c r="F155" s="235"/>
    </row>
    <row r="156">
      <c r="B156" s="235"/>
      <c r="C156" s="235"/>
      <c r="D156" s="235"/>
      <c r="E156" s="235"/>
      <c r="F156" s="235"/>
    </row>
    <row r="157">
      <c r="B157" s="235"/>
      <c r="C157" s="235"/>
      <c r="D157" s="235"/>
      <c r="E157" s="235"/>
      <c r="F157" s="235"/>
    </row>
    <row r="158">
      <c r="B158" s="235"/>
      <c r="C158" s="235"/>
      <c r="D158" s="235"/>
      <c r="E158" s="235"/>
      <c r="F158" s="235"/>
    </row>
    <row r="159">
      <c r="B159" s="235"/>
      <c r="C159" s="235"/>
      <c r="D159" s="235"/>
      <c r="E159" s="235"/>
      <c r="F159" s="235"/>
    </row>
    <row r="160">
      <c r="B160" s="235"/>
      <c r="C160" s="235"/>
      <c r="D160" s="235"/>
      <c r="E160" s="235"/>
      <c r="F160" s="235"/>
    </row>
    <row r="161">
      <c r="B161" s="235"/>
      <c r="C161" s="235"/>
      <c r="D161" s="235"/>
      <c r="E161" s="235"/>
      <c r="F161" s="235"/>
    </row>
    <row r="162">
      <c r="B162" s="235"/>
      <c r="C162" s="235"/>
      <c r="D162" s="235"/>
      <c r="E162" s="235"/>
      <c r="F162" s="235"/>
    </row>
    <row r="163">
      <c r="B163" s="235"/>
      <c r="C163" s="235"/>
      <c r="D163" s="235"/>
      <c r="E163" s="235"/>
      <c r="F163" s="235"/>
    </row>
    <row r="164">
      <c r="B164" s="235"/>
      <c r="C164" s="235"/>
      <c r="D164" s="235"/>
      <c r="E164" s="235"/>
      <c r="F164" s="235"/>
    </row>
    <row r="165">
      <c r="B165" s="235"/>
      <c r="C165" s="235"/>
      <c r="D165" s="235"/>
      <c r="E165" s="235"/>
      <c r="F165" s="235"/>
    </row>
    <row r="166">
      <c r="B166" s="235"/>
      <c r="C166" s="235"/>
      <c r="D166" s="235"/>
      <c r="E166" s="235"/>
      <c r="F166" s="235"/>
    </row>
    <row r="167">
      <c r="B167" s="235"/>
      <c r="C167" s="235"/>
      <c r="D167" s="235"/>
      <c r="E167" s="235"/>
      <c r="F167" s="235"/>
    </row>
    <row r="168">
      <c r="B168" s="235"/>
      <c r="C168" s="235"/>
      <c r="D168" s="235"/>
      <c r="E168" s="235"/>
      <c r="F168" s="235"/>
    </row>
    <row r="169">
      <c r="B169" s="235"/>
      <c r="C169" s="235"/>
      <c r="D169" s="235"/>
      <c r="E169" s="235"/>
      <c r="F169" s="235"/>
    </row>
    <row r="170">
      <c r="B170" s="235"/>
      <c r="C170" s="235"/>
      <c r="D170" s="235"/>
      <c r="E170" s="235"/>
      <c r="F170" s="235"/>
    </row>
    <row r="171">
      <c r="B171" s="235"/>
      <c r="C171" s="235"/>
      <c r="D171" s="235"/>
      <c r="E171" s="235"/>
      <c r="F171" s="235"/>
    </row>
    <row r="172">
      <c r="B172" s="235"/>
      <c r="C172" s="235"/>
      <c r="D172" s="235"/>
      <c r="E172" s="235"/>
      <c r="F172" s="235"/>
    </row>
    <row r="173">
      <c r="B173" s="235"/>
      <c r="C173" s="235"/>
      <c r="D173" s="235"/>
      <c r="E173" s="235"/>
      <c r="F173" s="235"/>
    </row>
    <row r="174">
      <c r="B174" s="235"/>
      <c r="C174" s="235"/>
      <c r="D174" s="235"/>
      <c r="E174" s="235"/>
      <c r="F174" s="235"/>
    </row>
    <row r="175">
      <c r="B175" s="235"/>
      <c r="C175" s="235"/>
      <c r="D175" s="235"/>
      <c r="E175" s="235"/>
      <c r="F175" s="235"/>
    </row>
    <row r="176">
      <c r="B176" s="235"/>
      <c r="C176" s="235"/>
      <c r="D176" s="235"/>
      <c r="E176" s="235"/>
      <c r="F176" s="235"/>
    </row>
    <row r="177">
      <c r="B177" s="235"/>
      <c r="C177" s="235"/>
      <c r="D177" s="235"/>
      <c r="E177" s="235"/>
      <c r="F177" s="235"/>
    </row>
    <row r="178">
      <c r="B178" s="235"/>
      <c r="C178" s="235"/>
      <c r="D178" s="235"/>
      <c r="E178" s="235"/>
      <c r="F178" s="235"/>
    </row>
    <row r="179">
      <c r="B179" s="235"/>
      <c r="C179" s="235"/>
      <c r="D179" s="235"/>
      <c r="E179" s="235"/>
      <c r="F179" s="235"/>
    </row>
    <row r="180">
      <c r="B180" s="235"/>
      <c r="C180" s="235"/>
      <c r="D180" s="235"/>
      <c r="E180" s="235"/>
      <c r="F180" s="235"/>
    </row>
    <row r="181">
      <c r="B181" s="235"/>
      <c r="C181" s="235"/>
      <c r="D181" s="235"/>
      <c r="E181" s="235"/>
      <c r="F181" s="235"/>
    </row>
    <row r="182">
      <c r="B182" s="235"/>
      <c r="C182" s="235"/>
      <c r="D182" s="235"/>
      <c r="E182" s="235"/>
      <c r="F182" s="235"/>
    </row>
    <row r="183">
      <c r="B183" s="235"/>
      <c r="C183" s="235"/>
      <c r="D183" s="235"/>
      <c r="E183" s="235"/>
      <c r="F183" s="235"/>
    </row>
    <row r="184">
      <c r="B184" s="235"/>
      <c r="C184" s="235"/>
      <c r="D184" s="235"/>
      <c r="E184" s="235"/>
      <c r="F184" s="235"/>
    </row>
    <row r="185">
      <c r="B185" s="235"/>
      <c r="C185" s="235"/>
      <c r="D185" s="235"/>
      <c r="E185" s="235"/>
      <c r="F185" s="235"/>
    </row>
    <row r="186">
      <c r="B186" s="235"/>
      <c r="C186" s="235"/>
      <c r="D186" s="235"/>
      <c r="E186" s="235"/>
      <c r="F186" s="235"/>
    </row>
    <row r="187">
      <c r="B187" s="235"/>
      <c r="C187" s="235"/>
      <c r="D187" s="235"/>
      <c r="E187" s="235"/>
      <c r="F187" s="235"/>
    </row>
    <row r="188">
      <c r="B188" s="235"/>
      <c r="C188" s="235"/>
      <c r="D188" s="235"/>
      <c r="E188" s="235"/>
      <c r="F188" s="235"/>
    </row>
    <row r="189">
      <c r="B189" s="235"/>
      <c r="C189" s="235"/>
      <c r="D189" s="235"/>
      <c r="E189" s="235"/>
      <c r="F189" s="235"/>
    </row>
    <row r="190">
      <c r="B190" s="235"/>
      <c r="C190" s="235"/>
      <c r="D190" s="235"/>
      <c r="E190" s="235"/>
      <c r="F190" s="235"/>
    </row>
    <row r="191">
      <c r="B191" s="235"/>
      <c r="C191" s="235"/>
      <c r="D191" s="235"/>
      <c r="E191" s="235"/>
      <c r="F191" s="235"/>
    </row>
    <row r="192">
      <c r="B192" s="235"/>
      <c r="C192" s="235"/>
      <c r="D192" s="235"/>
      <c r="E192" s="235"/>
      <c r="F192" s="235"/>
    </row>
    <row r="193">
      <c r="B193" s="235"/>
      <c r="C193" s="235"/>
      <c r="D193" s="235"/>
      <c r="E193" s="235"/>
      <c r="F193" s="235"/>
    </row>
    <row r="194">
      <c r="B194" s="235"/>
      <c r="C194" s="235"/>
      <c r="D194" s="235"/>
      <c r="E194" s="235"/>
      <c r="F194" s="235"/>
    </row>
    <row r="195">
      <c r="B195" s="235"/>
      <c r="C195" s="235"/>
      <c r="D195" s="235"/>
      <c r="E195" s="235"/>
      <c r="F195" s="235"/>
    </row>
    <row r="196">
      <c r="B196" s="235"/>
      <c r="C196" s="235"/>
      <c r="D196" s="235"/>
      <c r="E196" s="235"/>
      <c r="F196" s="235"/>
    </row>
    <row r="197">
      <c r="B197" s="235"/>
      <c r="C197" s="235"/>
      <c r="D197" s="235"/>
      <c r="E197" s="235"/>
      <c r="F197" s="235"/>
    </row>
    <row r="198">
      <c r="B198" s="235"/>
      <c r="C198" s="235"/>
      <c r="D198" s="235"/>
      <c r="E198" s="235"/>
      <c r="F198" s="235"/>
    </row>
    <row r="199">
      <c r="B199" s="235"/>
      <c r="C199" s="235"/>
      <c r="D199" s="235"/>
      <c r="E199" s="235"/>
      <c r="F199" s="235"/>
    </row>
    <row r="200">
      <c r="B200" s="235"/>
      <c r="C200" s="235"/>
      <c r="D200" s="235"/>
      <c r="E200" s="235"/>
      <c r="F200" s="235"/>
    </row>
    <row r="201">
      <c r="B201" s="235"/>
      <c r="C201" s="235"/>
      <c r="D201" s="235"/>
      <c r="E201" s="235"/>
      <c r="F201" s="235"/>
    </row>
    <row r="202">
      <c r="B202" s="235"/>
      <c r="C202" s="235"/>
      <c r="D202" s="235"/>
      <c r="E202" s="235"/>
      <c r="F202" s="235"/>
    </row>
    <row r="203">
      <c r="B203" s="235"/>
      <c r="C203" s="235"/>
      <c r="D203" s="235"/>
      <c r="E203" s="235"/>
      <c r="F203" s="235"/>
    </row>
    <row r="204">
      <c r="B204" s="235"/>
      <c r="C204" s="235"/>
      <c r="D204" s="235"/>
      <c r="E204" s="235"/>
      <c r="F204" s="235"/>
    </row>
    <row r="205">
      <c r="B205" s="235"/>
      <c r="C205" s="235"/>
      <c r="D205" s="235"/>
      <c r="E205" s="235"/>
      <c r="F205" s="235"/>
    </row>
    <row r="206">
      <c r="B206" s="235"/>
      <c r="C206" s="235"/>
      <c r="D206" s="235"/>
      <c r="E206" s="235"/>
      <c r="F206" s="235"/>
    </row>
    <row r="207">
      <c r="B207" s="235"/>
      <c r="C207" s="235"/>
      <c r="D207" s="235"/>
      <c r="E207" s="235"/>
      <c r="F207" s="235"/>
    </row>
    <row r="208">
      <c r="B208" s="235"/>
      <c r="C208" s="235"/>
      <c r="D208" s="235"/>
      <c r="E208" s="235"/>
      <c r="F208" s="235"/>
    </row>
    <row r="209">
      <c r="B209" s="235"/>
      <c r="C209" s="235"/>
      <c r="D209" s="235"/>
      <c r="E209" s="235"/>
      <c r="F209" s="235"/>
    </row>
    <row r="210">
      <c r="B210" s="235"/>
      <c r="C210" s="235"/>
      <c r="D210" s="235"/>
      <c r="E210" s="235"/>
      <c r="F210" s="235"/>
    </row>
    <row r="211">
      <c r="B211" s="235"/>
      <c r="C211" s="235"/>
      <c r="D211" s="235"/>
      <c r="E211" s="235"/>
      <c r="F211" s="235"/>
    </row>
    <row r="212">
      <c r="B212" s="235"/>
      <c r="C212" s="235"/>
      <c r="D212" s="235"/>
      <c r="E212" s="235"/>
      <c r="F212" s="235"/>
    </row>
    <row r="213">
      <c r="B213" s="235"/>
      <c r="C213" s="235"/>
      <c r="D213" s="235"/>
      <c r="E213" s="235"/>
      <c r="F213" s="235"/>
    </row>
    <row r="214">
      <c r="B214" s="235"/>
      <c r="C214" s="235"/>
      <c r="D214" s="235"/>
      <c r="E214" s="235"/>
      <c r="F214" s="235"/>
    </row>
    <row r="215">
      <c r="B215" s="235"/>
      <c r="C215" s="235"/>
      <c r="D215" s="235"/>
      <c r="E215" s="235"/>
      <c r="F215" s="235"/>
    </row>
    <row r="216">
      <c r="B216" s="235"/>
      <c r="C216" s="235"/>
      <c r="D216" s="235"/>
      <c r="E216" s="235"/>
      <c r="F216" s="235"/>
    </row>
    <row r="217">
      <c r="B217" s="235"/>
      <c r="C217" s="235"/>
      <c r="D217" s="235"/>
      <c r="E217" s="235"/>
      <c r="F217" s="235"/>
    </row>
    <row r="218">
      <c r="B218" s="235"/>
      <c r="C218" s="235"/>
      <c r="D218" s="235"/>
      <c r="E218" s="235"/>
      <c r="F218" s="235"/>
    </row>
    <row r="219">
      <c r="B219" s="235"/>
      <c r="C219" s="235"/>
      <c r="D219" s="235"/>
      <c r="E219" s="235"/>
      <c r="F219" s="235"/>
    </row>
    <row r="220">
      <c r="B220" s="235"/>
      <c r="C220" s="235"/>
      <c r="D220" s="235"/>
      <c r="E220" s="235"/>
      <c r="F220" s="235"/>
    </row>
    <row r="221">
      <c r="B221" s="235"/>
      <c r="C221" s="235"/>
      <c r="D221" s="235"/>
      <c r="E221" s="235"/>
      <c r="F221" s="235"/>
    </row>
    <row r="222">
      <c r="B222" s="235"/>
      <c r="C222" s="235"/>
      <c r="D222" s="235"/>
      <c r="E222" s="235"/>
      <c r="F222" s="235"/>
    </row>
    <row r="223">
      <c r="B223" s="235"/>
      <c r="C223" s="235"/>
      <c r="D223" s="235"/>
      <c r="E223" s="235"/>
      <c r="F223" s="235"/>
    </row>
    <row r="224">
      <c r="B224" s="235"/>
      <c r="C224" s="235"/>
      <c r="D224" s="235"/>
      <c r="E224" s="235"/>
      <c r="F224" s="235"/>
    </row>
    <row r="225">
      <c r="B225" s="235"/>
      <c r="C225" s="235"/>
      <c r="D225" s="235"/>
      <c r="E225" s="235"/>
      <c r="F225" s="235"/>
    </row>
    <row r="226">
      <c r="B226" s="235"/>
      <c r="C226" s="235"/>
      <c r="D226" s="235"/>
      <c r="E226" s="235"/>
      <c r="F226" s="235"/>
    </row>
    <row r="227">
      <c r="B227" s="235"/>
      <c r="C227" s="235"/>
      <c r="D227" s="235"/>
      <c r="E227" s="235"/>
      <c r="F227" s="235"/>
    </row>
    <row r="228">
      <c r="B228" s="235"/>
      <c r="C228" s="235"/>
      <c r="D228" s="235"/>
      <c r="E228" s="235"/>
      <c r="F228" s="235"/>
    </row>
    <row r="229">
      <c r="B229" s="235"/>
      <c r="C229" s="235"/>
      <c r="D229" s="235"/>
      <c r="E229" s="235"/>
      <c r="F229" s="235"/>
    </row>
    <row r="230">
      <c r="B230" s="235"/>
      <c r="C230" s="235"/>
      <c r="D230" s="235"/>
      <c r="E230" s="235"/>
      <c r="F230" s="235"/>
    </row>
    <row r="231">
      <c r="B231" s="235"/>
      <c r="C231" s="235"/>
      <c r="D231" s="235"/>
      <c r="E231" s="235"/>
      <c r="F231" s="235"/>
    </row>
    <row r="232">
      <c r="B232" s="235"/>
      <c r="C232" s="235"/>
      <c r="D232" s="235"/>
      <c r="E232" s="235"/>
      <c r="F232" s="235"/>
    </row>
    <row r="233">
      <c r="B233" s="235"/>
      <c r="C233" s="235"/>
      <c r="D233" s="235"/>
      <c r="E233" s="235"/>
      <c r="F233" s="235"/>
    </row>
    <row r="234">
      <c r="B234" s="235"/>
      <c r="C234" s="235"/>
      <c r="D234" s="235"/>
      <c r="E234" s="235"/>
      <c r="F234" s="235"/>
    </row>
    <row r="235">
      <c r="B235" s="235"/>
      <c r="C235" s="235"/>
      <c r="D235" s="235"/>
      <c r="E235" s="235"/>
      <c r="F235" s="235"/>
    </row>
    <row r="236">
      <c r="B236" s="235"/>
      <c r="C236" s="235"/>
      <c r="D236" s="235"/>
      <c r="E236" s="235"/>
      <c r="F236" s="235"/>
    </row>
    <row r="237">
      <c r="B237" s="235"/>
      <c r="C237" s="235"/>
      <c r="D237" s="235"/>
      <c r="E237" s="235"/>
      <c r="F237" s="235"/>
    </row>
    <row r="238">
      <c r="B238" s="235"/>
      <c r="C238" s="235"/>
      <c r="D238" s="235"/>
      <c r="E238" s="235"/>
      <c r="F238" s="235"/>
    </row>
    <row r="239">
      <c r="B239" s="235"/>
      <c r="C239" s="235"/>
      <c r="D239" s="235"/>
      <c r="E239" s="235"/>
      <c r="F239" s="235"/>
    </row>
    <row r="240">
      <c r="B240" s="235"/>
      <c r="C240" s="235"/>
      <c r="D240" s="235"/>
      <c r="E240" s="235"/>
      <c r="F240" s="235"/>
    </row>
    <row r="241">
      <c r="B241" s="235"/>
      <c r="C241" s="235"/>
      <c r="D241" s="235"/>
      <c r="E241" s="235"/>
      <c r="F241" s="235"/>
    </row>
    <row r="242">
      <c r="B242" s="235"/>
      <c r="C242" s="235"/>
      <c r="D242" s="235"/>
      <c r="E242" s="235"/>
      <c r="F242" s="235"/>
    </row>
    <row r="243">
      <c r="B243" s="235"/>
      <c r="C243" s="235"/>
      <c r="D243" s="235"/>
      <c r="E243" s="235"/>
      <c r="F243" s="235"/>
    </row>
    <row r="244">
      <c r="B244" s="235"/>
      <c r="C244" s="235"/>
      <c r="D244" s="235"/>
      <c r="E244" s="235"/>
      <c r="F244" s="235"/>
    </row>
    <row r="245">
      <c r="B245" s="235"/>
      <c r="C245" s="235"/>
      <c r="D245" s="235"/>
      <c r="E245" s="235"/>
      <c r="F245" s="235"/>
    </row>
    <row r="246">
      <c r="B246" s="235"/>
      <c r="C246" s="235"/>
      <c r="D246" s="235"/>
      <c r="E246" s="235"/>
      <c r="F246" s="235"/>
    </row>
    <row r="247">
      <c r="B247" s="235"/>
      <c r="C247" s="235"/>
      <c r="D247" s="235"/>
      <c r="E247" s="235"/>
      <c r="F247" s="235"/>
    </row>
    <row r="248">
      <c r="B248" s="235"/>
      <c r="C248" s="235"/>
      <c r="D248" s="235"/>
      <c r="E248" s="235"/>
      <c r="F248" s="235"/>
    </row>
    <row r="249">
      <c r="B249" s="235"/>
      <c r="C249" s="235"/>
      <c r="D249" s="235"/>
      <c r="E249" s="235"/>
      <c r="F249" s="235"/>
    </row>
    <row r="250">
      <c r="B250" s="235"/>
      <c r="C250" s="235"/>
      <c r="D250" s="235"/>
      <c r="E250" s="235"/>
      <c r="F250" s="235"/>
    </row>
    <row r="251">
      <c r="B251" s="235"/>
      <c r="C251" s="235"/>
      <c r="D251" s="235"/>
      <c r="E251" s="235"/>
      <c r="F251" s="235"/>
    </row>
    <row r="252">
      <c r="B252" s="235"/>
      <c r="C252" s="235"/>
      <c r="D252" s="235"/>
      <c r="E252" s="235"/>
      <c r="F252" s="235"/>
    </row>
    <row r="253">
      <c r="B253" s="235"/>
      <c r="C253" s="235"/>
      <c r="D253" s="235"/>
      <c r="E253" s="235"/>
      <c r="F253" s="235"/>
    </row>
    <row r="254">
      <c r="B254" s="235"/>
      <c r="C254" s="235"/>
      <c r="D254" s="235"/>
      <c r="E254" s="235"/>
      <c r="F254" s="235"/>
    </row>
    <row r="255">
      <c r="B255" s="235"/>
      <c r="C255" s="235"/>
      <c r="D255" s="235"/>
      <c r="E255" s="235"/>
      <c r="F255" s="235"/>
    </row>
    <row r="256">
      <c r="B256" s="235"/>
      <c r="C256" s="235"/>
      <c r="D256" s="235"/>
      <c r="E256" s="235"/>
      <c r="F256" s="235"/>
    </row>
    <row r="257">
      <c r="B257" s="235"/>
      <c r="C257" s="235"/>
      <c r="D257" s="235"/>
      <c r="E257" s="235"/>
      <c r="F257" s="235"/>
    </row>
    <row r="258">
      <c r="B258" s="235"/>
      <c r="C258" s="235"/>
      <c r="D258" s="235"/>
      <c r="E258" s="235"/>
      <c r="F258" s="235"/>
    </row>
    <row r="259">
      <c r="B259" s="235"/>
      <c r="C259" s="235"/>
      <c r="D259" s="235"/>
      <c r="E259" s="235"/>
      <c r="F259" s="235"/>
    </row>
    <row r="260">
      <c r="B260" s="235"/>
      <c r="C260" s="235"/>
      <c r="D260" s="235"/>
      <c r="E260" s="235"/>
      <c r="F260" s="235"/>
    </row>
    <row r="261">
      <c r="B261" s="235"/>
      <c r="C261" s="235"/>
      <c r="D261" s="235"/>
      <c r="E261" s="235"/>
      <c r="F261" s="235"/>
    </row>
    <row r="262">
      <c r="B262" s="235"/>
      <c r="C262" s="235"/>
      <c r="D262" s="235"/>
      <c r="E262" s="235"/>
      <c r="F262" s="235"/>
    </row>
    <row r="263">
      <c r="B263" s="235"/>
      <c r="C263" s="235"/>
      <c r="D263" s="235"/>
      <c r="E263" s="235"/>
      <c r="F263" s="235"/>
    </row>
    <row r="264">
      <c r="B264" s="235"/>
      <c r="C264" s="235"/>
      <c r="D264" s="235"/>
      <c r="E264" s="235"/>
      <c r="F264" s="235"/>
    </row>
    <row r="265">
      <c r="B265" s="235"/>
      <c r="C265" s="235"/>
      <c r="D265" s="235"/>
      <c r="E265" s="235"/>
      <c r="F265" s="235"/>
    </row>
    <row r="266">
      <c r="B266" s="235"/>
      <c r="C266" s="235"/>
      <c r="D266" s="235"/>
      <c r="E266" s="235"/>
      <c r="F266" s="235"/>
    </row>
    <row r="267">
      <c r="B267" s="235"/>
      <c r="C267" s="235"/>
      <c r="D267" s="235"/>
      <c r="E267" s="235"/>
      <c r="F267" s="235"/>
    </row>
    <row r="268">
      <c r="B268" s="235"/>
      <c r="C268" s="235"/>
      <c r="D268" s="235"/>
      <c r="E268" s="235"/>
      <c r="F268" s="235"/>
    </row>
    <row r="269">
      <c r="B269" s="235"/>
      <c r="C269" s="235"/>
      <c r="D269" s="235"/>
      <c r="E269" s="235"/>
      <c r="F269" s="235"/>
    </row>
    <row r="270">
      <c r="B270" s="235"/>
      <c r="C270" s="235"/>
      <c r="D270" s="235"/>
      <c r="E270" s="235"/>
      <c r="F270" s="235"/>
    </row>
    <row r="271">
      <c r="B271" s="235"/>
      <c r="C271" s="235"/>
      <c r="D271" s="235"/>
      <c r="E271" s="235"/>
      <c r="F271" s="235"/>
    </row>
    <row r="272">
      <c r="B272" s="235"/>
      <c r="C272" s="235"/>
      <c r="D272" s="235"/>
      <c r="E272" s="235"/>
      <c r="F272" s="235"/>
    </row>
    <row r="273">
      <c r="B273" s="235"/>
      <c r="C273" s="235"/>
      <c r="D273" s="235"/>
      <c r="E273" s="235"/>
      <c r="F273" s="235"/>
    </row>
    <row r="274">
      <c r="B274" s="235"/>
      <c r="C274" s="235"/>
      <c r="D274" s="235"/>
      <c r="E274" s="235"/>
      <c r="F274" s="235"/>
    </row>
    <row r="275">
      <c r="B275" s="235"/>
      <c r="C275" s="235"/>
      <c r="D275" s="235"/>
      <c r="E275" s="235"/>
      <c r="F275" s="235"/>
    </row>
    <row r="276">
      <c r="B276" s="235"/>
      <c r="C276" s="235"/>
      <c r="D276" s="235"/>
      <c r="E276" s="235"/>
      <c r="F276" s="235"/>
    </row>
    <row r="277">
      <c r="B277" s="235"/>
      <c r="C277" s="235"/>
      <c r="D277" s="235"/>
      <c r="E277" s="235"/>
      <c r="F277" s="235"/>
    </row>
    <row r="278">
      <c r="B278" s="235"/>
      <c r="C278" s="235"/>
      <c r="D278" s="235"/>
      <c r="E278" s="235"/>
      <c r="F278" s="235"/>
    </row>
    <row r="279">
      <c r="B279" s="235"/>
      <c r="C279" s="235"/>
      <c r="D279" s="235"/>
      <c r="E279" s="235"/>
      <c r="F279" s="235"/>
    </row>
    <row r="280">
      <c r="B280" s="235"/>
      <c r="C280" s="235"/>
      <c r="D280" s="235"/>
      <c r="E280" s="235"/>
      <c r="F280" s="235"/>
    </row>
    <row r="281">
      <c r="B281" s="235"/>
      <c r="C281" s="235"/>
      <c r="D281" s="235"/>
      <c r="E281" s="235"/>
      <c r="F281" s="235"/>
    </row>
    <row r="282">
      <c r="B282" s="235"/>
      <c r="C282" s="235"/>
      <c r="D282" s="235"/>
      <c r="E282" s="235"/>
      <c r="F282" s="235"/>
    </row>
    <row r="283">
      <c r="B283" s="235"/>
      <c r="C283" s="235"/>
      <c r="D283" s="235"/>
      <c r="E283" s="235"/>
      <c r="F283" s="235"/>
    </row>
    <row r="284">
      <c r="B284" s="235"/>
      <c r="C284" s="235"/>
      <c r="D284" s="235"/>
      <c r="E284" s="235"/>
      <c r="F284" s="235"/>
    </row>
    <row r="285">
      <c r="B285" s="235"/>
      <c r="C285" s="235"/>
      <c r="D285" s="235"/>
      <c r="E285" s="235"/>
      <c r="F285" s="235"/>
    </row>
    <row r="286">
      <c r="B286" s="235"/>
      <c r="C286" s="235"/>
      <c r="D286" s="235"/>
      <c r="E286" s="235"/>
      <c r="F286" s="235"/>
    </row>
    <row r="287">
      <c r="B287" s="235"/>
      <c r="C287" s="235"/>
      <c r="D287" s="235"/>
      <c r="E287" s="235"/>
      <c r="F287" s="235"/>
    </row>
    <row r="288">
      <c r="B288" s="235"/>
      <c r="C288" s="235"/>
      <c r="D288" s="235"/>
      <c r="E288" s="235"/>
      <c r="F288" s="235"/>
    </row>
    <row r="289">
      <c r="B289" s="235"/>
      <c r="C289" s="235"/>
      <c r="D289" s="235"/>
      <c r="E289" s="235"/>
      <c r="F289" s="235"/>
    </row>
    <row r="290">
      <c r="B290" s="235"/>
      <c r="C290" s="235"/>
      <c r="D290" s="235"/>
      <c r="E290" s="235"/>
      <c r="F290" s="235"/>
    </row>
    <row r="291">
      <c r="B291" s="235"/>
      <c r="C291" s="235"/>
      <c r="D291" s="235"/>
      <c r="E291" s="235"/>
      <c r="F291" s="235"/>
    </row>
    <row r="292">
      <c r="B292" s="235"/>
      <c r="C292" s="235"/>
      <c r="D292" s="235"/>
      <c r="E292" s="235"/>
      <c r="F292" s="235"/>
    </row>
    <row r="293">
      <c r="B293" s="235"/>
      <c r="C293" s="235"/>
      <c r="D293" s="235"/>
      <c r="E293" s="235"/>
      <c r="F293" s="235"/>
    </row>
    <row r="294">
      <c r="B294" s="235"/>
      <c r="C294" s="235"/>
      <c r="D294" s="235"/>
      <c r="E294" s="235"/>
      <c r="F294" s="235"/>
    </row>
    <row r="295">
      <c r="B295" s="235"/>
      <c r="C295" s="235"/>
      <c r="D295" s="235"/>
      <c r="E295" s="235"/>
      <c r="F295" s="235"/>
    </row>
    <row r="296">
      <c r="B296" s="235"/>
      <c r="C296" s="235"/>
      <c r="D296" s="235"/>
      <c r="E296" s="235"/>
      <c r="F296" s="235"/>
    </row>
    <row r="297">
      <c r="B297" s="235"/>
      <c r="C297" s="235"/>
      <c r="D297" s="235"/>
      <c r="E297" s="235"/>
      <c r="F297" s="235"/>
    </row>
    <row r="298">
      <c r="B298" s="235"/>
      <c r="C298" s="235"/>
      <c r="D298" s="235"/>
      <c r="E298" s="235"/>
      <c r="F298" s="235"/>
    </row>
    <row r="299">
      <c r="B299" s="235"/>
      <c r="C299" s="235"/>
      <c r="D299" s="235"/>
      <c r="E299" s="235"/>
      <c r="F299" s="235"/>
    </row>
    <row r="300">
      <c r="B300" s="235"/>
      <c r="C300" s="235"/>
      <c r="D300" s="235"/>
      <c r="E300" s="235"/>
      <c r="F300" s="235"/>
    </row>
    <row r="301">
      <c r="B301" s="235"/>
      <c r="C301" s="235"/>
      <c r="D301" s="235"/>
      <c r="E301" s="235"/>
      <c r="F301" s="235"/>
    </row>
    <row r="302">
      <c r="B302" s="235"/>
      <c r="C302" s="235"/>
      <c r="D302" s="235"/>
      <c r="E302" s="235"/>
      <c r="F302" s="235"/>
    </row>
    <row r="303">
      <c r="B303" s="235"/>
      <c r="C303" s="235"/>
      <c r="D303" s="235"/>
      <c r="E303" s="235"/>
      <c r="F303" s="235"/>
    </row>
    <row r="304">
      <c r="B304" s="235"/>
      <c r="C304" s="235"/>
      <c r="D304" s="235"/>
      <c r="E304" s="235"/>
      <c r="F304" s="235"/>
    </row>
    <row r="305">
      <c r="B305" s="235"/>
      <c r="C305" s="235"/>
      <c r="D305" s="235"/>
      <c r="E305" s="235"/>
      <c r="F305" s="235"/>
    </row>
    <row r="306">
      <c r="B306" s="235"/>
      <c r="C306" s="235"/>
      <c r="D306" s="235"/>
      <c r="E306" s="235"/>
      <c r="F306" s="235"/>
    </row>
    <row r="307">
      <c r="B307" s="235"/>
      <c r="C307" s="235"/>
      <c r="D307" s="235"/>
      <c r="E307" s="235"/>
      <c r="F307" s="235"/>
    </row>
    <row r="308">
      <c r="B308" s="235"/>
      <c r="C308" s="235"/>
      <c r="D308" s="235"/>
      <c r="E308" s="235"/>
      <c r="F308" s="235"/>
    </row>
    <row r="309">
      <c r="B309" s="235"/>
      <c r="C309" s="235"/>
      <c r="D309" s="235"/>
      <c r="E309" s="235"/>
      <c r="F309" s="235"/>
    </row>
    <row r="310">
      <c r="B310" s="235"/>
      <c r="C310" s="235"/>
      <c r="D310" s="235"/>
      <c r="E310" s="235"/>
      <c r="F310" s="235"/>
    </row>
    <row r="311">
      <c r="B311" s="235"/>
      <c r="C311" s="235"/>
      <c r="D311" s="235"/>
      <c r="E311" s="235"/>
      <c r="F311" s="235"/>
    </row>
    <row r="312">
      <c r="B312" s="235"/>
      <c r="C312" s="235"/>
      <c r="D312" s="235"/>
      <c r="E312" s="235"/>
      <c r="F312" s="235"/>
    </row>
    <row r="313">
      <c r="B313" s="235"/>
      <c r="C313" s="235"/>
      <c r="D313" s="235"/>
      <c r="E313" s="235"/>
      <c r="F313" s="235"/>
    </row>
    <row r="314">
      <c r="B314" s="235"/>
      <c r="C314" s="235"/>
      <c r="D314" s="235"/>
      <c r="E314" s="235"/>
      <c r="F314" s="235"/>
    </row>
    <row r="315">
      <c r="B315" s="235"/>
      <c r="C315" s="235"/>
      <c r="D315" s="235"/>
      <c r="E315" s="235"/>
      <c r="F315" s="235"/>
    </row>
    <row r="316">
      <c r="B316" s="235"/>
      <c r="C316" s="235"/>
      <c r="D316" s="235"/>
      <c r="E316" s="235"/>
      <c r="F316" s="235"/>
    </row>
    <row r="317">
      <c r="B317" s="235"/>
      <c r="C317" s="235"/>
      <c r="D317" s="235"/>
      <c r="E317" s="235"/>
      <c r="F317" s="235"/>
    </row>
    <row r="318">
      <c r="B318" s="235"/>
      <c r="C318" s="235"/>
      <c r="D318" s="235"/>
      <c r="E318" s="235"/>
      <c r="F318" s="235"/>
    </row>
    <row r="319">
      <c r="B319" s="235"/>
      <c r="C319" s="235"/>
      <c r="D319" s="235"/>
      <c r="E319" s="235"/>
      <c r="F319" s="235"/>
    </row>
    <row r="320">
      <c r="B320" s="235"/>
      <c r="C320" s="235"/>
      <c r="D320" s="235"/>
      <c r="E320" s="235"/>
      <c r="F320" s="235"/>
    </row>
    <row r="321">
      <c r="B321" s="235"/>
      <c r="C321" s="235"/>
      <c r="D321" s="235"/>
      <c r="E321" s="235"/>
      <c r="F321" s="235"/>
    </row>
    <row r="322">
      <c r="B322" s="235"/>
      <c r="C322" s="235"/>
      <c r="D322" s="235"/>
      <c r="E322" s="235"/>
      <c r="F322" s="235"/>
    </row>
    <row r="323">
      <c r="B323" s="235"/>
      <c r="C323" s="235"/>
      <c r="D323" s="235"/>
      <c r="E323" s="235"/>
      <c r="F323" s="235"/>
    </row>
    <row r="324">
      <c r="B324" s="235"/>
      <c r="C324" s="235"/>
      <c r="D324" s="235"/>
      <c r="E324" s="235"/>
      <c r="F324" s="235"/>
    </row>
    <row r="325">
      <c r="B325" s="235"/>
      <c r="C325" s="235"/>
      <c r="D325" s="235"/>
      <c r="E325" s="235"/>
      <c r="F325" s="235"/>
    </row>
    <row r="326">
      <c r="B326" s="235"/>
      <c r="C326" s="235"/>
      <c r="D326" s="235"/>
      <c r="E326" s="235"/>
      <c r="F326" s="235"/>
    </row>
    <row r="327">
      <c r="B327" s="235"/>
      <c r="C327" s="235"/>
      <c r="D327" s="235"/>
      <c r="E327" s="235"/>
      <c r="F327" s="235"/>
    </row>
    <row r="328">
      <c r="B328" s="235"/>
      <c r="C328" s="235"/>
      <c r="D328" s="235"/>
      <c r="E328" s="235"/>
      <c r="F328" s="235"/>
    </row>
    <row r="329">
      <c r="B329" s="235"/>
      <c r="C329" s="235"/>
      <c r="D329" s="235"/>
      <c r="E329" s="235"/>
      <c r="F329" s="235"/>
    </row>
    <row r="330">
      <c r="B330" s="235"/>
      <c r="C330" s="235"/>
      <c r="D330" s="235"/>
      <c r="E330" s="235"/>
      <c r="F330" s="235"/>
    </row>
    <row r="331">
      <c r="B331" s="235"/>
      <c r="C331" s="235"/>
      <c r="D331" s="235"/>
      <c r="E331" s="235"/>
      <c r="F331" s="235"/>
    </row>
    <row r="332">
      <c r="B332" s="235"/>
      <c r="C332" s="235"/>
      <c r="D332" s="235"/>
      <c r="E332" s="235"/>
      <c r="F332" s="235"/>
    </row>
    <row r="333">
      <c r="B333" s="235"/>
      <c r="C333" s="235"/>
      <c r="D333" s="235"/>
      <c r="E333" s="235"/>
      <c r="F333" s="235"/>
    </row>
    <row r="334">
      <c r="B334" s="235"/>
      <c r="C334" s="235"/>
      <c r="D334" s="235"/>
      <c r="E334" s="235"/>
      <c r="F334" s="235"/>
    </row>
    <row r="335">
      <c r="B335" s="235"/>
      <c r="C335" s="235"/>
      <c r="D335" s="235"/>
      <c r="E335" s="235"/>
      <c r="F335" s="235"/>
    </row>
    <row r="336">
      <c r="B336" s="235"/>
      <c r="C336" s="235"/>
      <c r="D336" s="235"/>
      <c r="E336" s="235"/>
      <c r="F336" s="235"/>
    </row>
    <row r="337">
      <c r="B337" s="235"/>
      <c r="C337" s="235"/>
      <c r="D337" s="235"/>
      <c r="E337" s="235"/>
      <c r="F337" s="235"/>
    </row>
    <row r="338">
      <c r="B338" s="235"/>
      <c r="C338" s="235"/>
      <c r="D338" s="235"/>
      <c r="E338" s="235"/>
      <c r="F338" s="235"/>
    </row>
    <row r="339">
      <c r="B339" s="235"/>
      <c r="C339" s="235"/>
      <c r="D339" s="235"/>
      <c r="E339" s="235"/>
      <c r="F339" s="235"/>
    </row>
    <row r="340">
      <c r="B340" s="235"/>
      <c r="C340" s="235"/>
      <c r="D340" s="235"/>
      <c r="E340" s="235"/>
      <c r="F340" s="235"/>
    </row>
    <row r="341">
      <c r="B341" s="235"/>
      <c r="C341" s="235"/>
      <c r="D341" s="235"/>
      <c r="E341" s="235"/>
      <c r="F341" s="235"/>
    </row>
    <row r="342">
      <c r="B342" s="235"/>
      <c r="C342" s="235"/>
      <c r="D342" s="235"/>
      <c r="E342" s="235"/>
      <c r="F342" s="235"/>
    </row>
    <row r="343">
      <c r="B343" s="235"/>
      <c r="C343" s="235"/>
      <c r="D343" s="235"/>
      <c r="E343" s="235"/>
      <c r="F343" s="235"/>
    </row>
    <row r="344">
      <c r="B344" s="235"/>
      <c r="C344" s="235"/>
      <c r="D344" s="235"/>
      <c r="E344" s="235"/>
      <c r="F344" s="235"/>
    </row>
    <row r="345">
      <c r="B345" s="235"/>
      <c r="C345" s="235"/>
      <c r="D345" s="235"/>
      <c r="E345" s="235"/>
      <c r="F345" s="235"/>
    </row>
    <row r="346">
      <c r="B346" s="235"/>
      <c r="C346" s="235"/>
      <c r="D346" s="235"/>
      <c r="E346" s="235"/>
      <c r="F346" s="235"/>
    </row>
    <row r="347">
      <c r="B347" s="235"/>
      <c r="C347" s="235"/>
      <c r="D347" s="235"/>
      <c r="E347" s="235"/>
      <c r="F347" s="235"/>
    </row>
    <row r="348">
      <c r="B348" s="235"/>
      <c r="C348" s="235"/>
      <c r="D348" s="235"/>
      <c r="E348" s="235"/>
      <c r="F348" s="235"/>
    </row>
    <row r="349">
      <c r="B349" s="235"/>
      <c r="C349" s="235"/>
      <c r="D349" s="235"/>
      <c r="E349" s="235"/>
      <c r="F349" s="235"/>
    </row>
    <row r="350">
      <c r="B350" s="235"/>
      <c r="C350" s="235"/>
      <c r="D350" s="235"/>
      <c r="E350" s="235"/>
      <c r="F350" s="235"/>
    </row>
    <row r="351">
      <c r="B351" s="235"/>
      <c r="C351" s="235"/>
      <c r="D351" s="235"/>
      <c r="E351" s="235"/>
      <c r="F351" s="235"/>
    </row>
    <row r="352">
      <c r="B352" s="235"/>
      <c r="C352" s="235"/>
      <c r="D352" s="235"/>
      <c r="E352" s="235"/>
      <c r="F352" s="235"/>
    </row>
    <row r="353">
      <c r="B353" s="235"/>
      <c r="C353" s="235"/>
      <c r="D353" s="235"/>
      <c r="E353" s="235"/>
      <c r="F353" s="235"/>
    </row>
    <row r="354">
      <c r="B354" s="235"/>
      <c r="C354" s="235"/>
      <c r="D354" s="235"/>
      <c r="E354" s="235"/>
      <c r="F354" s="235"/>
    </row>
    <row r="355">
      <c r="B355" s="235"/>
      <c r="C355" s="235"/>
      <c r="D355" s="235"/>
      <c r="E355" s="235"/>
      <c r="F355" s="235"/>
    </row>
    <row r="356">
      <c r="B356" s="235"/>
      <c r="C356" s="235"/>
      <c r="D356" s="235"/>
      <c r="E356" s="235"/>
      <c r="F356" s="235"/>
    </row>
    <row r="357">
      <c r="B357" s="235"/>
      <c r="C357" s="235"/>
      <c r="D357" s="235"/>
      <c r="E357" s="235"/>
      <c r="F357" s="235"/>
    </row>
    <row r="358">
      <c r="B358" s="235"/>
      <c r="C358" s="235"/>
      <c r="D358" s="235"/>
      <c r="E358" s="235"/>
      <c r="F358" s="235"/>
    </row>
    <row r="359">
      <c r="B359" s="235"/>
      <c r="C359" s="235"/>
      <c r="D359" s="235"/>
      <c r="E359" s="235"/>
      <c r="F359" s="235"/>
    </row>
    <row r="360">
      <c r="B360" s="235"/>
      <c r="C360" s="235"/>
      <c r="D360" s="235"/>
      <c r="E360" s="235"/>
      <c r="F360" s="235"/>
    </row>
    <row r="361">
      <c r="B361" s="235"/>
      <c r="C361" s="235"/>
      <c r="D361" s="235"/>
      <c r="E361" s="235"/>
      <c r="F361" s="235"/>
    </row>
    <row r="362">
      <c r="B362" s="235"/>
      <c r="C362" s="235"/>
      <c r="D362" s="235"/>
      <c r="E362" s="235"/>
      <c r="F362" s="235"/>
    </row>
    <row r="363">
      <c r="B363" s="235"/>
      <c r="C363" s="235"/>
      <c r="D363" s="235"/>
      <c r="E363" s="235"/>
      <c r="F363" s="235"/>
    </row>
    <row r="364">
      <c r="B364" s="235"/>
      <c r="C364" s="235"/>
      <c r="D364" s="235"/>
      <c r="E364" s="235"/>
      <c r="F364" s="235"/>
    </row>
    <row r="365">
      <c r="B365" s="235"/>
      <c r="C365" s="235"/>
      <c r="D365" s="235"/>
      <c r="E365" s="235"/>
      <c r="F365" s="235"/>
    </row>
    <row r="366">
      <c r="B366" s="235"/>
      <c r="C366" s="235"/>
      <c r="D366" s="235"/>
      <c r="E366" s="235"/>
      <c r="F366" s="235"/>
    </row>
    <row r="367">
      <c r="B367" s="235"/>
      <c r="C367" s="235"/>
      <c r="D367" s="235"/>
      <c r="E367" s="235"/>
      <c r="F367" s="235"/>
    </row>
    <row r="368">
      <c r="B368" s="235"/>
      <c r="C368" s="235"/>
      <c r="D368" s="235"/>
      <c r="E368" s="235"/>
      <c r="F368" s="235"/>
    </row>
    <row r="369">
      <c r="B369" s="235"/>
      <c r="C369" s="235"/>
      <c r="D369" s="235"/>
      <c r="E369" s="235"/>
      <c r="F369" s="235"/>
    </row>
    <row r="370">
      <c r="B370" s="235"/>
      <c r="C370" s="235"/>
      <c r="D370" s="235"/>
      <c r="E370" s="235"/>
      <c r="F370" s="235"/>
    </row>
    <row r="371">
      <c r="B371" s="235"/>
      <c r="C371" s="235"/>
      <c r="D371" s="235"/>
      <c r="E371" s="235"/>
      <c r="F371" s="235"/>
    </row>
    <row r="372">
      <c r="B372" s="235"/>
      <c r="C372" s="235"/>
      <c r="D372" s="235"/>
      <c r="E372" s="235"/>
      <c r="F372" s="235"/>
    </row>
    <row r="373">
      <c r="B373" s="235"/>
      <c r="C373" s="235"/>
      <c r="D373" s="235"/>
      <c r="E373" s="235"/>
      <c r="F373" s="235"/>
    </row>
    <row r="374">
      <c r="B374" s="235"/>
      <c r="C374" s="235"/>
      <c r="D374" s="235"/>
      <c r="E374" s="235"/>
      <c r="F374" s="235"/>
    </row>
    <row r="375">
      <c r="B375" s="235"/>
      <c r="C375" s="235"/>
      <c r="D375" s="235"/>
      <c r="E375" s="235"/>
      <c r="F375" s="235"/>
    </row>
    <row r="376">
      <c r="B376" s="235"/>
      <c r="C376" s="235"/>
      <c r="D376" s="235"/>
      <c r="E376" s="235"/>
      <c r="F376" s="235"/>
    </row>
    <row r="377">
      <c r="B377" s="235"/>
      <c r="C377" s="235"/>
      <c r="D377" s="235"/>
      <c r="E377" s="235"/>
      <c r="F377" s="235"/>
    </row>
    <row r="378">
      <c r="B378" s="235"/>
      <c r="C378" s="235"/>
      <c r="D378" s="235"/>
      <c r="E378" s="235"/>
      <c r="F378" s="235"/>
    </row>
    <row r="379">
      <c r="B379" s="235"/>
      <c r="C379" s="235"/>
      <c r="D379" s="235"/>
      <c r="E379" s="235"/>
      <c r="F379" s="235"/>
    </row>
    <row r="380">
      <c r="B380" s="235"/>
      <c r="C380" s="235"/>
      <c r="D380" s="235"/>
      <c r="E380" s="235"/>
      <c r="F380" s="235"/>
    </row>
    <row r="381">
      <c r="B381" s="235"/>
      <c r="C381" s="235"/>
      <c r="D381" s="235"/>
      <c r="E381" s="235"/>
      <c r="F381" s="235"/>
    </row>
    <row r="382">
      <c r="B382" s="235"/>
      <c r="C382" s="235"/>
      <c r="D382" s="235"/>
      <c r="E382" s="235"/>
      <c r="F382" s="235"/>
    </row>
    <row r="383">
      <c r="B383" s="235"/>
      <c r="C383" s="235"/>
      <c r="D383" s="235"/>
      <c r="E383" s="235"/>
      <c r="F383" s="235"/>
    </row>
    <row r="384">
      <c r="B384" s="235"/>
      <c r="C384" s="235"/>
      <c r="D384" s="235"/>
      <c r="E384" s="235"/>
      <c r="F384" s="235"/>
    </row>
    <row r="385">
      <c r="B385" s="235"/>
      <c r="C385" s="235"/>
      <c r="D385" s="235"/>
      <c r="E385" s="235"/>
      <c r="F385" s="235"/>
    </row>
    <row r="386">
      <c r="B386" s="235"/>
      <c r="C386" s="235"/>
      <c r="D386" s="235"/>
      <c r="E386" s="235"/>
      <c r="F386" s="235"/>
    </row>
    <row r="387">
      <c r="B387" s="235"/>
      <c r="C387" s="235"/>
      <c r="D387" s="235"/>
      <c r="E387" s="235"/>
      <c r="F387" s="235"/>
    </row>
    <row r="388">
      <c r="B388" s="235"/>
      <c r="C388" s="235"/>
      <c r="D388" s="235"/>
      <c r="E388" s="235"/>
      <c r="F388" s="235"/>
    </row>
    <row r="389">
      <c r="B389" s="235"/>
      <c r="C389" s="235"/>
      <c r="D389" s="235"/>
      <c r="E389" s="235"/>
      <c r="F389" s="235"/>
    </row>
    <row r="390">
      <c r="B390" s="235"/>
      <c r="C390" s="235"/>
      <c r="D390" s="235"/>
      <c r="E390" s="235"/>
      <c r="F390" s="235"/>
    </row>
    <row r="391">
      <c r="B391" s="235"/>
      <c r="C391" s="235"/>
      <c r="D391" s="235"/>
      <c r="E391" s="235"/>
      <c r="F391" s="235"/>
    </row>
    <row r="392">
      <c r="B392" s="235"/>
      <c r="C392" s="235"/>
      <c r="D392" s="235"/>
      <c r="E392" s="235"/>
      <c r="F392" s="235"/>
    </row>
    <row r="393">
      <c r="B393" s="235"/>
      <c r="C393" s="235"/>
      <c r="D393" s="235"/>
      <c r="E393" s="235"/>
      <c r="F393" s="235"/>
    </row>
    <row r="394">
      <c r="B394" s="235"/>
      <c r="C394" s="235"/>
      <c r="D394" s="235"/>
      <c r="E394" s="235"/>
      <c r="F394" s="235"/>
    </row>
    <row r="395">
      <c r="B395" s="235"/>
      <c r="C395" s="235"/>
      <c r="D395" s="235"/>
      <c r="E395" s="235"/>
      <c r="F395" s="235"/>
    </row>
    <row r="396">
      <c r="B396" s="235"/>
      <c r="C396" s="235"/>
      <c r="D396" s="235"/>
      <c r="E396" s="235"/>
      <c r="F396" s="235"/>
    </row>
    <row r="397">
      <c r="B397" s="235"/>
      <c r="C397" s="235"/>
      <c r="D397" s="235"/>
      <c r="E397" s="235"/>
      <c r="F397" s="235"/>
    </row>
    <row r="398">
      <c r="B398" s="235"/>
      <c r="C398" s="235"/>
      <c r="D398" s="235"/>
      <c r="E398" s="235"/>
      <c r="F398" s="235"/>
    </row>
    <row r="399">
      <c r="B399" s="235"/>
      <c r="C399" s="235"/>
      <c r="D399" s="235"/>
      <c r="E399" s="235"/>
      <c r="F399" s="235"/>
    </row>
    <row r="400">
      <c r="B400" s="235"/>
      <c r="C400" s="235"/>
      <c r="D400" s="235"/>
      <c r="E400" s="235"/>
      <c r="F400" s="235"/>
    </row>
    <row r="401">
      <c r="B401" s="235"/>
      <c r="C401" s="235"/>
      <c r="D401" s="235"/>
      <c r="E401" s="235"/>
      <c r="F401" s="235"/>
    </row>
    <row r="402">
      <c r="B402" s="235"/>
      <c r="C402" s="235"/>
      <c r="D402" s="235"/>
      <c r="E402" s="235"/>
      <c r="F402" s="235"/>
    </row>
    <row r="403">
      <c r="B403" s="235"/>
      <c r="C403" s="235"/>
      <c r="D403" s="235"/>
      <c r="E403" s="235"/>
      <c r="F403" s="235"/>
    </row>
    <row r="404">
      <c r="B404" s="235"/>
      <c r="C404" s="235"/>
      <c r="D404" s="235"/>
      <c r="E404" s="235"/>
      <c r="F404" s="235"/>
    </row>
    <row r="405">
      <c r="B405" s="235"/>
      <c r="C405" s="235"/>
      <c r="D405" s="235"/>
      <c r="E405" s="235"/>
      <c r="F405" s="235"/>
    </row>
    <row r="406">
      <c r="B406" s="235"/>
      <c r="C406" s="235"/>
      <c r="D406" s="235"/>
      <c r="E406" s="235"/>
      <c r="F406" s="235"/>
    </row>
    <row r="407">
      <c r="B407" s="235"/>
      <c r="C407" s="235"/>
      <c r="D407" s="235"/>
      <c r="E407" s="235"/>
      <c r="F407" s="235"/>
    </row>
    <row r="408">
      <c r="B408" s="235"/>
      <c r="C408" s="235"/>
      <c r="D408" s="235"/>
      <c r="E408" s="235"/>
      <c r="F408" s="235"/>
    </row>
    <row r="409">
      <c r="B409" s="235"/>
      <c r="C409" s="235"/>
      <c r="D409" s="235"/>
      <c r="E409" s="235"/>
      <c r="F409" s="235"/>
    </row>
    <row r="410">
      <c r="B410" s="235"/>
      <c r="C410" s="235"/>
      <c r="D410" s="235"/>
      <c r="E410" s="235"/>
      <c r="F410" s="235"/>
    </row>
    <row r="411">
      <c r="B411" s="235"/>
      <c r="C411" s="235"/>
      <c r="D411" s="235"/>
      <c r="E411" s="235"/>
      <c r="F411" s="235"/>
    </row>
    <row r="412">
      <c r="B412" s="235"/>
      <c r="C412" s="235"/>
      <c r="D412" s="235"/>
      <c r="E412" s="235"/>
      <c r="F412" s="235"/>
    </row>
    <row r="413">
      <c r="B413" s="235"/>
      <c r="C413" s="235"/>
      <c r="D413" s="235"/>
      <c r="E413" s="235"/>
      <c r="F413" s="235"/>
    </row>
    <row r="414">
      <c r="B414" s="235"/>
      <c r="C414" s="235"/>
      <c r="D414" s="235"/>
      <c r="E414" s="235"/>
      <c r="F414" s="235"/>
    </row>
    <row r="415">
      <c r="B415" s="235"/>
      <c r="C415" s="235"/>
      <c r="D415" s="235"/>
      <c r="E415" s="235"/>
      <c r="F415" s="235"/>
    </row>
    <row r="416">
      <c r="B416" s="235"/>
      <c r="C416" s="235"/>
      <c r="D416" s="235"/>
      <c r="E416" s="235"/>
      <c r="F416" s="235"/>
    </row>
    <row r="417">
      <c r="B417" s="235"/>
      <c r="C417" s="235"/>
      <c r="D417" s="235"/>
      <c r="E417" s="235"/>
      <c r="F417" s="235"/>
    </row>
    <row r="418">
      <c r="B418" s="235"/>
      <c r="C418" s="235"/>
      <c r="D418" s="235"/>
      <c r="E418" s="235"/>
      <c r="F418" s="235"/>
    </row>
    <row r="419">
      <c r="B419" s="235"/>
      <c r="C419" s="235"/>
      <c r="D419" s="235"/>
      <c r="E419" s="235"/>
      <c r="F419" s="235"/>
    </row>
    <row r="420">
      <c r="B420" s="235"/>
      <c r="C420" s="235"/>
      <c r="D420" s="235"/>
      <c r="E420" s="235"/>
      <c r="F420" s="235"/>
    </row>
    <row r="421">
      <c r="B421" s="235"/>
      <c r="C421" s="235"/>
      <c r="D421" s="235"/>
      <c r="E421" s="235"/>
      <c r="F421" s="235"/>
    </row>
    <row r="422">
      <c r="B422" s="235"/>
      <c r="C422" s="235"/>
      <c r="D422" s="235"/>
      <c r="E422" s="235"/>
      <c r="F422" s="235"/>
    </row>
    <row r="423">
      <c r="B423" s="235"/>
      <c r="C423" s="235"/>
      <c r="D423" s="235"/>
      <c r="E423" s="235"/>
      <c r="F423" s="235"/>
    </row>
    <row r="424">
      <c r="B424" s="235"/>
      <c r="C424" s="235"/>
      <c r="D424" s="235"/>
      <c r="E424" s="235"/>
      <c r="F424" s="235"/>
    </row>
    <row r="425">
      <c r="B425" s="235"/>
      <c r="C425" s="235"/>
      <c r="D425" s="235"/>
      <c r="E425" s="235"/>
      <c r="F425" s="235"/>
    </row>
    <row r="426">
      <c r="B426" s="235"/>
      <c r="C426" s="235"/>
      <c r="D426" s="235"/>
      <c r="E426" s="235"/>
      <c r="F426" s="235"/>
    </row>
    <row r="427">
      <c r="B427" s="235"/>
      <c r="C427" s="235"/>
      <c r="D427" s="235"/>
      <c r="E427" s="235"/>
      <c r="F427" s="235"/>
    </row>
    <row r="428">
      <c r="B428" s="235"/>
      <c r="C428" s="235"/>
      <c r="D428" s="235"/>
      <c r="E428" s="235"/>
      <c r="F428" s="235"/>
    </row>
    <row r="429">
      <c r="B429" s="235"/>
      <c r="C429" s="235"/>
      <c r="D429" s="235"/>
      <c r="E429" s="235"/>
      <c r="F429" s="235"/>
    </row>
    <row r="430">
      <c r="B430" s="235"/>
      <c r="C430" s="235"/>
      <c r="D430" s="235"/>
      <c r="E430" s="235"/>
      <c r="F430" s="235"/>
    </row>
    <row r="431">
      <c r="B431" s="235"/>
      <c r="C431" s="235"/>
      <c r="D431" s="235"/>
      <c r="E431" s="235"/>
      <c r="F431" s="235"/>
    </row>
    <row r="432">
      <c r="B432" s="235"/>
      <c r="C432" s="235"/>
      <c r="D432" s="235"/>
      <c r="E432" s="235"/>
      <c r="F432" s="235"/>
    </row>
    <row r="433">
      <c r="B433" s="235"/>
      <c r="C433" s="235"/>
      <c r="D433" s="235"/>
      <c r="E433" s="235"/>
      <c r="F433" s="235"/>
    </row>
    <row r="434">
      <c r="B434" s="235"/>
      <c r="C434" s="235"/>
      <c r="D434" s="235"/>
      <c r="E434" s="235"/>
      <c r="F434" s="235"/>
    </row>
    <row r="435">
      <c r="B435" s="235"/>
      <c r="C435" s="235"/>
      <c r="D435" s="235"/>
      <c r="E435" s="235"/>
      <c r="F435" s="235"/>
    </row>
    <row r="436">
      <c r="B436" s="235"/>
      <c r="C436" s="235"/>
      <c r="D436" s="235"/>
      <c r="E436" s="235"/>
      <c r="F436" s="235"/>
    </row>
    <row r="437">
      <c r="B437" s="235"/>
      <c r="C437" s="235"/>
      <c r="D437" s="235"/>
      <c r="E437" s="235"/>
      <c r="F437" s="235"/>
    </row>
    <row r="438">
      <c r="B438" s="235"/>
      <c r="C438" s="235"/>
      <c r="D438" s="235"/>
      <c r="E438" s="235"/>
      <c r="F438" s="235"/>
    </row>
    <row r="439">
      <c r="B439" s="235"/>
      <c r="C439" s="235"/>
      <c r="D439" s="235"/>
      <c r="E439" s="235"/>
      <c r="F439" s="235"/>
    </row>
    <row r="440">
      <c r="B440" s="235"/>
      <c r="C440" s="235"/>
      <c r="D440" s="235"/>
      <c r="E440" s="235"/>
      <c r="F440" s="235"/>
    </row>
    <row r="441">
      <c r="B441" s="235"/>
      <c r="C441" s="235"/>
      <c r="D441" s="235"/>
      <c r="E441" s="235"/>
      <c r="F441" s="235"/>
    </row>
    <row r="442">
      <c r="B442" s="235"/>
      <c r="C442" s="235"/>
      <c r="D442" s="235"/>
      <c r="E442" s="235"/>
      <c r="F442" s="235"/>
    </row>
    <row r="443">
      <c r="B443" s="235"/>
      <c r="C443" s="235"/>
      <c r="D443" s="235"/>
      <c r="E443" s="235"/>
      <c r="F443" s="235"/>
    </row>
    <row r="444">
      <c r="B444" s="235"/>
      <c r="C444" s="235"/>
      <c r="D444" s="235"/>
      <c r="E444" s="235"/>
      <c r="F444" s="235"/>
    </row>
    <row r="445">
      <c r="B445" s="235"/>
      <c r="C445" s="235"/>
      <c r="D445" s="235"/>
      <c r="E445" s="235"/>
      <c r="F445" s="235"/>
    </row>
    <row r="446">
      <c r="B446" s="235"/>
      <c r="C446" s="235"/>
      <c r="D446" s="235"/>
      <c r="E446" s="235"/>
      <c r="F446" s="235"/>
    </row>
    <row r="447">
      <c r="B447" s="235"/>
      <c r="C447" s="235"/>
      <c r="D447" s="235"/>
      <c r="E447" s="235"/>
      <c r="F447" s="235"/>
    </row>
    <row r="448">
      <c r="B448" s="235"/>
      <c r="C448" s="235"/>
      <c r="D448" s="235"/>
      <c r="E448" s="235"/>
      <c r="F448" s="235"/>
    </row>
    <row r="449">
      <c r="B449" s="235"/>
      <c r="C449" s="235"/>
      <c r="D449" s="235"/>
      <c r="E449" s="235"/>
      <c r="F449" s="235"/>
    </row>
    <row r="450">
      <c r="B450" s="235"/>
      <c r="C450" s="235"/>
      <c r="D450" s="235"/>
      <c r="E450" s="235"/>
      <c r="F450" s="235"/>
    </row>
    <row r="451">
      <c r="B451" s="235"/>
      <c r="C451" s="235"/>
      <c r="D451" s="235"/>
      <c r="E451" s="235"/>
      <c r="F451" s="235"/>
    </row>
    <row r="452">
      <c r="B452" s="235"/>
      <c r="C452" s="235"/>
      <c r="D452" s="235"/>
      <c r="E452" s="235"/>
      <c r="F452" s="235"/>
    </row>
    <row r="453">
      <c r="B453" s="235"/>
      <c r="C453" s="235"/>
      <c r="D453" s="235"/>
      <c r="E453" s="235"/>
      <c r="F453" s="235"/>
    </row>
    <row r="454">
      <c r="B454" s="235"/>
      <c r="C454" s="235"/>
      <c r="D454" s="235"/>
      <c r="E454" s="235"/>
      <c r="F454" s="235"/>
    </row>
    <row r="455">
      <c r="B455" s="235"/>
      <c r="C455" s="235"/>
      <c r="D455" s="235"/>
      <c r="E455" s="235"/>
      <c r="F455" s="235"/>
    </row>
    <row r="456">
      <c r="B456" s="235"/>
      <c r="C456" s="235"/>
      <c r="D456" s="235"/>
      <c r="E456" s="235"/>
      <c r="F456" s="235"/>
    </row>
    <row r="457">
      <c r="B457" s="235"/>
      <c r="C457" s="235"/>
      <c r="D457" s="235"/>
      <c r="E457" s="235"/>
      <c r="F457" s="235"/>
    </row>
    <row r="458">
      <c r="B458" s="235"/>
      <c r="C458" s="235"/>
      <c r="D458" s="235"/>
      <c r="E458" s="235"/>
      <c r="F458" s="235"/>
    </row>
    <row r="459">
      <c r="B459" s="235"/>
      <c r="C459" s="235"/>
      <c r="D459" s="235"/>
      <c r="E459" s="235"/>
      <c r="F459" s="235"/>
    </row>
    <row r="460">
      <c r="B460" s="235"/>
      <c r="C460" s="235"/>
      <c r="D460" s="235"/>
      <c r="E460" s="235"/>
      <c r="F460" s="235"/>
    </row>
    <row r="461">
      <c r="B461" s="235"/>
      <c r="C461" s="235"/>
      <c r="D461" s="235"/>
      <c r="E461" s="235"/>
      <c r="F461" s="235"/>
    </row>
    <row r="462">
      <c r="B462" s="235"/>
      <c r="C462" s="235"/>
      <c r="D462" s="235"/>
      <c r="E462" s="235"/>
      <c r="F462" s="235"/>
    </row>
    <row r="463">
      <c r="B463" s="235"/>
      <c r="C463" s="235"/>
      <c r="D463" s="235"/>
      <c r="E463" s="235"/>
      <c r="F463" s="235"/>
    </row>
    <row r="464">
      <c r="B464" s="235"/>
      <c r="C464" s="235"/>
      <c r="D464" s="235"/>
      <c r="E464" s="235"/>
      <c r="F464" s="235"/>
    </row>
    <row r="465">
      <c r="B465" s="235"/>
      <c r="C465" s="235"/>
      <c r="D465" s="235"/>
      <c r="E465" s="235"/>
      <c r="F465" s="235"/>
    </row>
    <row r="466">
      <c r="B466" s="235"/>
      <c r="C466" s="235"/>
      <c r="D466" s="235"/>
      <c r="E466" s="235"/>
      <c r="F466" s="235"/>
    </row>
    <row r="467">
      <c r="B467" s="235"/>
      <c r="C467" s="235"/>
      <c r="D467" s="235"/>
      <c r="E467" s="235"/>
      <c r="F467" s="235"/>
    </row>
    <row r="468">
      <c r="B468" s="235"/>
      <c r="C468" s="235"/>
      <c r="D468" s="235"/>
      <c r="E468" s="235"/>
      <c r="F468" s="235"/>
    </row>
    <row r="469">
      <c r="B469" s="235"/>
      <c r="C469" s="235"/>
      <c r="D469" s="235"/>
      <c r="E469" s="235"/>
      <c r="F469" s="235"/>
    </row>
    <row r="470">
      <c r="B470" s="235"/>
      <c r="C470" s="235"/>
      <c r="D470" s="235"/>
      <c r="E470" s="235"/>
      <c r="F470" s="235"/>
    </row>
    <row r="471">
      <c r="B471" s="235"/>
      <c r="C471" s="235"/>
      <c r="D471" s="235"/>
      <c r="E471" s="235"/>
      <c r="F471" s="235"/>
    </row>
    <row r="472">
      <c r="B472" s="235"/>
      <c r="C472" s="235"/>
      <c r="D472" s="235"/>
      <c r="E472" s="235"/>
      <c r="F472" s="235"/>
    </row>
    <row r="473">
      <c r="B473" s="235"/>
      <c r="C473" s="235"/>
      <c r="D473" s="235"/>
      <c r="E473" s="235"/>
      <c r="F473" s="235"/>
    </row>
    <row r="474">
      <c r="B474" s="235"/>
      <c r="C474" s="235"/>
      <c r="D474" s="235"/>
      <c r="E474" s="235"/>
      <c r="F474" s="235"/>
    </row>
    <row r="475">
      <c r="B475" s="235"/>
      <c r="C475" s="235"/>
      <c r="D475" s="235"/>
      <c r="E475" s="235"/>
      <c r="F475" s="235"/>
    </row>
    <row r="476">
      <c r="B476" s="235"/>
      <c r="C476" s="235"/>
      <c r="D476" s="235"/>
      <c r="E476" s="235"/>
      <c r="F476" s="235"/>
    </row>
    <row r="477">
      <c r="B477" s="235"/>
      <c r="C477" s="235"/>
      <c r="D477" s="235"/>
      <c r="E477" s="235"/>
      <c r="F477" s="235"/>
    </row>
    <row r="478">
      <c r="B478" s="235"/>
      <c r="C478" s="235"/>
      <c r="D478" s="235"/>
      <c r="E478" s="235"/>
      <c r="F478" s="235"/>
    </row>
    <row r="479">
      <c r="B479" s="235"/>
      <c r="C479" s="235"/>
      <c r="D479" s="235"/>
      <c r="E479" s="235"/>
      <c r="F479" s="235"/>
    </row>
    <row r="480">
      <c r="B480" s="235"/>
      <c r="C480" s="235"/>
      <c r="D480" s="235"/>
      <c r="E480" s="235"/>
      <c r="F480" s="235"/>
    </row>
    <row r="481">
      <c r="B481" s="235"/>
      <c r="C481" s="235"/>
      <c r="D481" s="235"/>
      <c r="E481" s="235"/>
      <c r="F481" s="235"/>
    </row>
    <row r="482">
      <c r="B482" s="235"/>
      <c r="C482" s="235"/>
      <c r="D482" s="235"/>
      <c r="E482" s="235"/>
      <c r="F482" s="235"/>
    </row>
    <row r="483">
      <c r="B483" s="235"/>
      <c r="C483" s="235"/>
      <c r="D483" s="235"/>
      <c r="E483" s="235"/>
      <c r="F483" s="235"/>
    </row>
    <row r="484">
      <c r="B484" s="235"/>
      <c r="C484" s="235"/>
      <c r="D484" s="235"/>
      <c r="E484" s="235"/>
      <c r="F484" s="235"/>
    </row>
    <row r="485">
      <c r="B485" s="235"/>
      <c r="C485" s="235"/>
      <c r="D485" s="235"/>
      <c r="E485" s="235"/>
      <c r="F485" s="235"/>
    </row>
    <row r="486">
      <c r="B486" s="235"/>
      <c r="C486" s="235"/>
      <c r="D486" s="235"/>
      <c r="E486" s="235"/>
      <c r="F486" s="235"/>
    </row>
    <row r="487">
      <c r="B487" s="235"/>
      <c r="C487" s="235"/>
      <c r="D487" s="235"/>
      <c r="E487" s="235"/>
      <c r="F487" s="235"/>
    </row>
    <row r="488">
      <c r="B488" s="235"/>
      <c r="C488" s="235"/>
      <c r="D488" s="235"/>
      <c r="E488" s="235"/>
      <c r="F488" s="235"/>
    </row>
    <row r="489">
      <c r="B489" s="235"/>
      <c r="C489" s="235"/>
      <c r="D489" s="235"/>
      <c r="E489" s="235"/>
      <c r="F489" s="235"/>
    </row>
    <row r="490">
      <c r="B490" s="235"/>
      <c r="C490" s="235"/>
      <c r="D490" s="235"/>
      <c r="E490" s="235"/>
      <c r="F490" s="235"/>
    </row>
    <row r="491">
      <c r="B491" s="235"/>
      <c r="C491" s="235"/>
      <c r="D491" s="235"/>
      <c r="E491" s="235"/>
      <c r="F491" s="235"/>
    </row>
    <row r="492">
      <c r="B492" s="235"/>
      <c r="C492" s="235"/>
      <c r="D492" s="235"/>
      <c r="E492" s="235"/>
      <c r="F492" s="235"/>
    </row>
    <row r="493">
      <c r="B493" s="235"/>
      <c r="C493" s="235"/>
      <c r="D493" s="235"/>
      <c r="E493" s="235"/>
      <c r="F493" s="235"/>
    </row>
    <row r="494">
      <c r="B494" s="235"/>
      <c r="C494" s="235"/>
      <c r="D494" s="235"/>
      <c r="E494" s="235"/>
      <c r="F494" s="235"/>
    </row>
    <row r="495">
      <c r="B495" s="235"/>
      <c r="C495" s="235"/>
      <c r="D495" s="235"/>
      <c r="E495" s="235"/>
      <c r="F495" s="235"/>
    </row>
    <row r="496">
      <c r="B496" s="235"/>
      <c r="C496" s="235"/>
      <c r="D496" s="235"/>
      <c r="E496" s="235"/>
      <c r="F496" s="235"/>
    </row>
    <row r="497">
      <c r="B497" s="235"/>
      <c r="C497" s="235"/>
      <c r="D497" s="235"/>
      <c r="E497" s="235"/>
      <c r="F497" s="235"/>
    </row>
    <row r="498">
      <c r="B498" s="235"/>
      <c r="C498" s="235"/>
      <c r="D498" s="235"/>
      <c r="E498" s="235"/>
      <c r="F498" s="235"/>
    </row>
    <row r="499">
      <c r="B499" s="235"/>
      <c r="C499" s="235"/>
      <c r="D499" s="235"/>
      <c r="E499" s="235"/>
      <c r="F499" s="235"/>
    </row>
    <row r="500">
      <c r="B500" s="235"/>
      <c r="C500" s="235"/>
      <c r="D500" s="235"/>
      <c r="E500" s="235"/>
      <c r="F500" s="235"/>
    </row>
    <row r="501">
      <c r="B501" s="235"/>
      <c r="C501" s="235"/>
      <c r="D501" s="235"/>
      <c r="E501" s="235"/>
      <c r="F501" s="235"/>
    </row>
    <row r="502">
      <c r="B502" s="235"/>
      <c r="C502" s="235"/>
      <c r="D502" s="235"/>
      <c r="E502" s="235"/>
      <c r="F502" s="235"/>
    </row>
    <row r="503">
      <c r="B503" s="235"/>
      <c r="C503" s="235"/>
      <c r="D503" s="235"/>
      <c r="E503" s="235"/>
      <c r="F503" s="235"/>
    </row>
    <row r="504">
      <c r="B504" s="235"/>
      <c r="C504" s="235"/>
      <c r="D504" s="235"/>
      <c r="E504" s="235"/>
      <c r="F504" s="235"/>
    </row>
    <row r="505">
      <c r="B505" s="235"/>
      <c r="C505" s="235"/>
      <c r="D505" s="235"/>
      <c r="E505" s="235"/>
      <c r="F505" s="235"/>
    </row>
    <row r="506">
      <c r="B506" s="235"/>
      <c r="C506" s="235"/>
      <c r="D506" s="235"/>
      <c r="E506" s="235"/>
      <c r="F506" s="235"/>
    </row>
    <row r="507">
      <c r="B507" s="235"/>
      <c r="C507" s="235"/>
      <c r="D507" s="235"/>
      <c r="E507" s="235"/>
      <c r="F507" s="235"/>
    </row>
    <row r="508">
      <c r="B508" s="235"/>
      <c r="C508" s="235"/>
      <c r="D508" s="235"/>
      <c r="E508" s="235"/>
      <c r="F508" s="235"/>
    </row>
    <row r="509">
      <c r="B509" s="235"/>
      <c r="C509" s="235"/>
      <c r="D509" s="235"/>
      <c r="E509" s="235"/>
      <c r="F509" s="235"/>
    </row>
    <row r="510">
      <c r="B510" s="235"/>
      <c r="C510" s="235"/>
      <c r="D510" s="235"/>
      <c r="E510" s="235"/>
      <c r="F510" s="235"/>
    </row>
    <row r="511">
      <c r="B511" s="235"/>
      <c r="C511" s="235"/>
      <c r="D511" s="235"/>
      <c r="E511" s="235"/>
      <c r="F511" s="235"/>
    </row>
    <row r="512">
      <c r="B512" s="235"/>
      <c r="C512" s="235"/>
      <c r="D512" s="235"/>
      <c r="E512" s="235"/>
      <c r="F512" s="235"/>
    </row>
    <row r="513">
      <c r="B513" s="235"/>
      <c r="C513" s="235"/>
      <c r="D513" s="235"/>
      <c r="E513" s="235"/>
      <c r="F513" s="235"/>
    </row>
    <row r="514">
      <c r="B514" s="235"/>
      <c r="C514" s="235"/>
      <c r="D514" s="235"/>
      <c r="E514" s="235"/>
      <c r="F514" s="235"/>
    </row>
    <row r="515">
      <c r="B515" s="235"/>
      <c r="C515" s="235"/>
      <c r="D515" s="235"/>
      <c r="E515" s="235"/>
      <c r="F515" s="235"/>
    </row>
    <row r="516">
      <c r="B516" s="235"/>
      <c r="C516" s="235"/>
      <c r="D516" s="235"/>
      <c r="E516" s="235"/>
      <c r="F516" s="235"/>
    </row>
    <row r="517">
      <c r="B517" s="235"/>
      <c r="C517" s="235"/>
      <c r="D517" s="235"/>
      <c r="E517" s="235"/>
      <c r="F517" s="235"/>
    </row>
    <row r="518">
      <c r="B518" s="235"/>
      <c r="C518" s="235"/>
      <c r="D518" s="235"/>
      <c r="E518" s="235"/>
      <c r="F518" s="235"/>
    </row>
    <row r="519">
      <c r="B519" s="235"/>
      <c r="C519" s="235"/>
      <c r="D519" s="235"/>
      <c r="E519" s="235"/>
      <c r="F519" s="235"/>
    </row>
    <row r="520">
      <c r="B520" s="235"/>
      <c r="C520" s="235"/>
      <c r="D520" s="235"/>
      <c r="E520" s="235"/>
      <c r="F520" s="235"/>
    </row>
    <row r="521">
      <c r="B521" s="235"/>
      <c r="C521" s="235"/>
      <c r="D521" s="235"/>
      <c r="E521" s="235"/>
      <c r="F521" s="235"/>
    </row>
    <row r="522">
      <c r="B522" s="235"/>
      <c r="C522" s="235"/>
      <c r="D522" s="235"/>
      <c r="E522" s="235"/>
      <c r="F522" s="235"/>
    </row>
    <row r="523">
      <c r="B523" s="235"/>
      <c r="C523" s="235"/>
      <c r="D523" s="235"/>
      <c r="E523" s="235"/>
      <c r="F523" s="235"/>
    </row>
    <row r="524">
      <c r="B524" s="235"/>
      <c r="C524" s="235"/>
      <c r="D524" s="235"/>
      <c r="E524" s="235"/>
      <c r="F524" s="235"/>
    </row>
    <row r="525">
      <c r="B525" s="235"/>
      <c r="C525" s="235"/>
      <c r="D525" s="235"/>
      <c r="E525" s="235"/>
      <c r="F525" s="235"/>
    </row>
    <row r="526">
      <c r="B526" s="235"/>
      <c r="C526" s="235"/>
      <c r="D526" s="235"/>
      <c r="E526" s="235"/>
      <c r="F526" s="235"/>
    </row>
    <row r="527">
      <c r="B527" s="235"/>
      <c r="C527" s="235"/>
      <c r="D527" s="235"/>
      <c r="E527" s="235"/>
      <c r="F527" s="235"/>
    </row>
    <row r="528">
      <c r="B528" s="235"/>
      <c r="C528" s="235"/>
      <c r="D528" s="235"/>
      <c r="E528" s="235"/>
      <c r="F528" s="235"/>
    </row>
    <row r="529">
      <c r="B529" s="235"/>
      <c r="C529" s="235"/>
      <c r="D529" s="235"/>
      <c r="E529" s="235"/>
      <c r="F529" s="235"/>
    </row>
    <row r="530">
      <c r="B530" s="235"/>
      <c r="C530" s="235"/>
      <c r="D530" s="235"/>
      <c r="E530" s="235"/>
      <c r="F530" s="235"/>
    </row>
    <row r="531">
      <c r="B531" s="235"/>
      <c r="C531" s="235"/>
      <c r="D531" s="235"/>
      <c r="E531" s="235"/>
      <c r="F531" s="235"/>
    </row>
    <row r="532">
      <c r="B532" s="235"/>
      <c r="C532" s="235"/>
      <c r="D532" s="235"/>
      <c r="E532" s="235"/>
      <c r="F532" s="235"/>
    </row>
    <row r="533">
      <c r="B533" s="235"/>
      <c r="C533" s="235"/>
      <c r="D533" s="235"/>
      <c r="E533" s="235"/>
      <c r="F533" s="235"/>
    </row>
    <row r="534">
      <c r="B534" s="235"/>
      <c r="C534" s="235"/>
      <c r="D534" s="235"/>
      <c r="E534" s="235"/>
      <c r="F534" s="235"/>
    </row>
    <row r="535">
      <c r="B535" s="235"/>
      <c r="C535" s="235"/>
      <c r="D535" s="235"/>
      <c r="E535" s="235"/>
      <c r="F535" s="235"/>
    </row>
    <row r="536">
      <c r="B536" s="235"/>
      <c r="C536" s="235"/>
      <c r="D536" s="235"/>
      <c r="E536" s="235"/>
      <c r="F536" s="235"/>
    </row>
    <row r="537">
      <c r="B537" s="235"/>
      <c r="C537" s="235"/>
      <c r="D537" s="235"/>
      <c r="E537" s="235"/>
      <c r="F537" s="235"/>
    </row>
    <row r="538">
      <c r="B538" s="235"/>
      <c r="C538" s="235"/>
      <c r="D538" s="235"/>
      <c r="E538" s="235"/>
      <c r="F538" s="235"/>
    </row>
    <row r="539">
      <c r="B539" s="235"/>
      <c r="C539" s="235"/>
      <c r="D539" s="235"/>
      <c r="E539" s="235"/>
      <c r="F539" s="235"/>
    </row>
    <row r="540">
      <c r="B540" s="235"/>
      <c r="C540" s="235"/>
      <c r="D540" s="235"/>
      <c r="E540" s="235"/>
      <c r="F540" s="235"/>
    </row>
    <row r="541">
      <c r="B541" s="235"/>
      <c r="C541" s="235"/>
      <c r="D541" s="235"/>
      <c r="E541" s="235"/>
      <c r="F541" s="235"/>
    </row>
    <row r="542">
      <c r="B542" s="235"/>
      <c r="C542" s="235"/>
      <c r="D542" s="235"/>
      <c r="E542" s="235"/>
      <c r="F542" s="235"/>
    </row>
    <row r="543">
      <c r="B543" s="235"/>
      <c r="C543" s="235"/>
      <c r="D543" s="235"/>
      <c r="E543" s="235"/>
      <c r="F543" s="235"/>
    </row>
    <row r="544">
      <c r="B544" s="235"/>
      <c r="C544" s="235"/>
      <c r="D544" s="235"/>
      <c r="E544" s="235"/>
      <c r="F544" s="235"/>
    </row>
    <row r="545">
      <c r="B545" s="235"/>
      <c r="C545" s="235"/>
      <c r="D545" s="235"/>
      <c r="E545" s="235"/>
      <c r="F545" s="235"/>
    </row>
    <row r="546">
      <c r="B546" s="235"/>
      <c r="C546" s="235"/>
      <c r="D546" s="235"/>
      <c r="E546" s="235"/>
      <c r="F546" s="235"/>
    </row>
    <row r="547">
      <c r="B547" s="235"/>
      <c r="C547" s="235"/>
      <c r="D547" s="235"/>
      <c r="E547" s="235"/>
      <c r="F547" s="235"/>
    </row>
    <row r="548">
      <c r="B548" s="235"/>
      <c r="C548" s="235"/>
      <c r="D548" s="235"/>
      <c r="E548" s="235"/>
      <c r="F548" s="235"/>
    </row>
    <row r="549">
      <c r="B549" s="235"/>
      <c r="C549" s="235"/>
      <c r="D549" s="235"/>
      <c r="E549" s="235"/>
      <c r="F549" s="235"/>
    </row>
    <row r="550">
      <c r="B550" s="235"/>
      <c r="C550" s="235"/>
      <c r="D550" s="235"/>
      <c r="E550" s="235"/>
      <c r="F550" s="235"/>
    </row>
    <row r="551">
      <c r="B551" s="235"/>
      <c r="C551" s="235"/>
      <c r="D551" s="235"/>
      <c r="E551" s="235"/>
      <c r="F551" s="235"/>
    </row>
    <row r="552">
      <c r="B552" s="235"/>
      <c r="C552" s="235"/>
      <c r="D552" s="235"/>
      <c r="E552" s="235"/>
      <c r="F552" s="235"/>
    </row>
    <row r="553">
      <c r="B553" s="235"/>
      <c r="C553" s="235"/>
      <c r="D553" s="235"/>
      <c r="E553" s="235"/>
      <c r="F553" s="235"/>
    </row>
    <row r="554">
      <c r="B554" s="235"/>
      <c r="C554" s="235"/>
      <c r="D554" s="235"/>
      <c r="E554" s="235"/>
      <c r="F554" s="235"/>
    </row>
    <row r="555">
      <c r="B555" s="235"/>
      <c r="C555" s="235"/>
      <c r="D555" s="235"/>
      <c r="E555" s="235"/>
      <c r="F555" s="235"/>
    </row>
    <row r="556">
      <c r="B556" s="235"/>
      <c r="C556" s="235"/>
      <c r="D556" s="235"/>
      <c r="E556" s="235"/>
      <c r="F556" s="235"/>
    </row>
    <row r="557">
      <c r="B557" s="235"/>
      <c r="C557" s="235"/>
      <c r="D557" s="235"/>
      <c r="E557" s="235"/>
      <c r="F557" s="235"/>
    </row>
    <row r="558">
      <c r="B558" s="235"/>
      <c r="C558" s="235"/>
      <c r="D558" s="235"/>
      <c r="E558" s="235"/>
      <c r="F558" s="235"/>
    </row>
    <row r="559">
      <c r="B559" s="235"/>
      <c r="C559" s="235"/>
      <c r="D559" s="235"/>
      <c r="E559" s="235"/>
      <c r="F559" s="235"/>
    </row>
    <row r="560">
      <c r="B560" s="235"/>
      <c r="C560" s="235"/>
      <c r="D560" s="235"/>
      <c r="E560" s="235"/>
      <c r="F560" s="235"/>
    </row>
    <row r="561">
      <c r="B561" s="235"/>
      <c r="C561" s="235"/>
      <c r="D561" s="235"/>
      <c r="E561" s="235"/>
      <c r="F561" s="235"/>
    </row>
    <row r="562">
      <c r="B562" s="235"/>
      <c r="C562" s="235"/>
      <c r="D562" s="235"/>
      <c r="E562" s="235"/>
      <c r="F562" s="235"/>
    </row>
    <row r="563">
      <c r="B563" s="235"/>
      <c r="C563" s="235"/>
      <c r="D563" s="235"/>
      <c r="E563" s="235"/>
      <c r="F563" s="235"/>
    </row>
    <row r="564">
      <c r="B564" s="235"/>
      <c r="C564" s="235"/>
      <c r="D564" s="235"/>
      <c r="E564" s="235"/>
      <c r="F564" s="235"/>
    </row>
    <row r="565">
      <c r="B565" s="235"/>
      <c r="C565" s="235"/>
      <c r="D565" s="235"/>
      <c r="E565" s="235"/>
      <c r="F565" s="235"/>
    </row>
    <row r="566">
      <c r="B566" s="235"/>
      <c r="C566" s="235"/>
      <c r="D566" s="235"/>
      <c r="E566" s="235"/>
      <c r="F566" s="235"/>
    </row>
    <row r="567">
      <c r="B567" s="235"/>
      <c r="C567" s="235"/>
      <c r="D567" s="235"/>
      <c r="E567" s="235"/>
      <c r="F567" s="235"/>
    </row>
    <row r="568">
      <c r="B568" s="235"/>
      <c r="C568" s="235"/>
      <c r="D568" s="235"/>
      <c r="E568" s="235"/>
      <c r="F568" s="235"/>
    </row>
    <row r="569">
      <c r="B569" s="235"/>
      <c r="C569" s="235"/>
      <c r="D569" s="235"/>
      <c r="E569" s="235"/>
      <c r="F569" s="235"/>
    </row>
    <row r="570">
      <c r="B570" s="235"/>
      <c r="C570" s="235"/>
      <c r="D570" s="235"/>
      <c r="E570" s="235"/>
      <c r="F570" s="235"/>
    </row>
    <row r="571">
      <c r="B571" s="235"/>
      <c r="C571" s="235"/>
      <c r="D571" s="235"/>
      <c r="E571" s="235"/>
      <c r="F571" s="235"/>
    </row>
    <row r="572">
      <c r="B572" s="235"/>
      <c r="C572" s="235"/>
      <c r="D572" s="235"/>
      <c r="E572" s="235"/>
      <c r="F572" s="235"/>
    </row>
    <row r="573">
      <c r="B573" s="235"/>
      <c r="C573" s="235"/>
      <c r="D573" s="235"/>
      <c r="E573" s="235"/>
      <c r="F573" s="235"/>
    </row>
    <row r="574">
      <c r="B574" s="235"/>
      <c r="C574" s="235"/>
      <c r="D574" s="235"/>
      <c r="E574" s="235"/>
      <c r="F574" s="235"/>
    </row>
    <row r="575">
      <c r="B575" s="235"/>
      <c r="C575" s="235"/>
      <c r="D575" s="235"/>
      <c r="E575" s="235"/>
      <c r="F575" s="235"/>
    </row>
    <row r="576">
      <c r="B576" s="235"/>
      <c r="C576" s="235"/>
      <c r="D576" s="235"/>
      <c r="E576" s="235"/>
      <c r="F576" s="235"/>
    </row>
    <row r="577">
      <c r="B577" s="235"/>
      <c r="C577" s="235"/>
      <c r="D577" s="235"/>
      <c r="E577" s="235"/>
      <c r="F577" s="235"/>
    </row>
    <row r="578">
      <c r="B578" s="235"/>
      <c r="C578" s="235"/>
      <c r="D578" s="235"/>
      <c r="E578" s="235"/>
      <c r="F578" s="235"/>
    </row>
    <row r="579">
      <c r="B579" s="235"/>
      <c r="C579" s="235"/>
      <c r="D579" s="235"/>
      <c r="E579" s="235"/>
      <c r="F579" s="235"/>
    </row>
    <row r="580">
      <c r="B580" s="235"/>
      <c r="C580" s="235"/>
      <c r="D580" s="235"/>
      <c r="E580" s="235"/>
      <c r="F580" s="235"/>
    </row>
    <row r="581">
      <c r="B581" s="235"/>
      <c r="C581" s="235"/>
      <c r="D581" s="235"/>
      <c r="E581" s="235"/>
      <c r="F581" s="235"/>
    </row>
    <row r="582">
      <c r="B582" s="235"/>
      <c r="C582" s="235"/>
      <c r="D582" s="235"/>
      <c r="E582" s="235"/>
      <c r="F582" s="235"/>
    </row>
    <row r="583">
      <c r="B583" s="235"/>
      <c r="C583" s="235"/>
      <c r="D583" s="235"/>
      <c r="E583" s="235"/>
      <c r="F583" s="235"/>
    </row>
    <row r="584">
      <c r="B584" s="235"/>
      <c r="C584" s="235"/>
      <c r="D584" s="235"/>
      <c r="E584" s="235"/>
      <c r="F584" s="235"/>
    </row>
    <row r="585">
      <c r="B585" s="235"/>
      <c r="C585" s="235"/>
      <c r="D585" s="235"/>
      <c r="E585" s="235"/>
      <c r="F585" s="235"/>
    </row>
    <row r="586">
      <c r="B586" s="235"/>
      <c r="C586" s="235"/>
      <c r="D586" s="235"/>
      <c r="E586" s="235"/>
      <c r="F586" s="235"/>
    </row>
    <row r="587">
      <c r="B587" s="235"/>
      <c r="C587" s="235"/>
      <c r="D587" s="235"/>
      <c r="E587" s="235"/>
      <c r="F587" s="235"/>
    </row>
    <row r="588">
      <c r="B588" s="235"/>
      <c r="C588" s="235"/>
      <c r="D588" s="235"/>
      <c r="E588" s="235"/>
      <c r="F588" s="235"/>
    </row>
    <row r="589">
      <c r="B589" s="235"/>
      <c r="C589" s="235"/>
      <c r="D589" s="235"/>
      <c r="E589" s="235"/>
      <c r="F589" s="235"/>
    </row>
    <row r="590">
      <c r="B590" s="235"/>
      <c r="C590" s="235"/>
      <c r="D590" s="235"/>
      <c r="E590" s="235"/>
      <c r="F590" s="235"/>
    </row>
    <row r="591">
      <c r="B591" s="235"/>
      <c r="C591" s="235"/>
      <c r="D591" s="235"/>
      <c r="E591" s="235"/>
      <c r="F591" s="235"/>
    </row>
    <row r="592">
      <c r="B592" s="235"/>
      <c r="C592" s="235"/>
      <c r="D592" s="235"/>
      <c r="E592" s="235"/>
      <c r="F592" s="235"/>
    </row>
    <row r="593">
      <c r="B593" s="235"/>
      <c r="C593" s="235"/>
      <c r="D593" s="235"/>
      <c r="E593" s="235"/>
      <c r="F593" s="235"/>
    </row>
    <row r="594">
      <c r="B594" s="235"/>
      <c r="C594" s="235"/>
      <c r="D594" s="235"/>
      <c r="E594" s="235"/>
      <c r="F594" s="235"/>
    </row>
    <row r="595">
      <c r="B595" s="235"/>
      <c r="C595" s="235"/>
      <c r="D595" s="235"/>
      <c r="E595" s="235"/>
      <c r="F595" s="235"/>
    </row>
    <row r="596">
      <c r="B596" s="235"/>
      <c r="C596" s="235"/>
      <c r="D596" s="235"/>
      <c r="E596" s="235"/>
      <c r="F596" s="235"/>
    </row>
    <row r="597">
      <c r="B597" s="235"/>
      <c r="C597" s="235"/>
      <c r="D597" s="235"/>
      <c r="E597" s="235"/>
      <c r="F597" s="235"/>
    </row>
    <row r="598">
      <c r="B598" s="235"/>
      <c r="C598" s="235"/>
      <c r="D598" s="235"/>
      <c r="E598" s="235"/>
      <c r="F598" s="235"/>
    </row>
    <row r="599">
      <c r="B599" s="235"/>
      <c r="C599" s="235"/>
      <c r="D599" s="235"/>
      <c r="E599" s="235"/>
      <c r="F599" s="235"/>
    </row>
    <row r="600">
      <c r="B600" s="235"/>
      <c r="C600" s="235"/>
      <c r="D600" s="235"/>
      <c r="E600" s="235"/>
      <c r="F600" s="235"/>
    </row>
    <row r="601">
      <c r="B601" s="235"/>
      <c r="C601" s="235"/>
      <c r="D601" s="235"/>
      <c r="E601" s="235"/>
      <c r="F601" s="235"/>
    </row>
    <row r="602">
      <c r="B602" s="235"/>
      <c r="C602" s="235"/>
      <c r="D602" s="235"/>
      <c r="E602" s="235"/>
      <c r="F602" s="235"/>
    </row>
    <row r="603">
      <c r="B603" s="235"/>
      <c r="C603" s="235"/>
      <c r="D603" s="235"/>
      <c r="E603" s="235"/>
      <c r="F603" s="235"/>
    </row>
    <row r="604">
      <c r="B604" s="235"/>
      <c r="C604" s="235"/>
      <c r="D604" s="235"/>
      <c r="E604" s="235"/>
      <c r="F604" s="235"/>
    </row>
    <row r="605">
      <c r="B605" s="235"/>
      <c r="C605" s="235"/>
      <c r="D605" s="235"/>
      <c r="E605" s="235"/>
      <c r="F605" s="235"/>
    </row>
    <row r="606">
      <c r="B606" s="235"/>
      <c r="C606" s="235"/>
      <c r="D606" s="235"/>
      <c r="E606" s="235"/>
      <c r="F606" s="235"/>
    </row>
    <row r="607">
      <c r="B607" s="235"/>
      <c r="C607" s="235"/>
      <c r="D607" s="235"/>
      <c r="E607" s="235"/>
      <c r="F607" s="235"/>
    </row>
    <row r="608">
      <c r="B608" s="235"/>
      <c r="C608" s="235"/>
      <c r="D608" s="235"/>
      <c r="E608" s="235"/>
      <c r="F608" s="235"/>
    </row>
    <row r="609">
      <c r="B609" s="235"/>
      <c r="C609" s="235"/>
      <c r="D609" s="235"/>
      <c r="E609" s="235"/>
      <c r="F609" s="235"/>
    </row>
    <row r="610">
      <c r="B610" s="235"/>
      <c r="C610" s="235"/>
      <c r="D610" s="235"/>
      <c r="E610" s="235"/>
      <c r="F610" s="235"/>
    </row>
    <row r="611">
      <c r="B611" s="235"/>
      <c r="C611" s="235"/>
      <c r="D611" s="235"/>
      <c r="E611" s="235"/>
      <c r="F611" s="235"/>
    </row>
    <row r="612">
      <c r="B612" s="235"/>
      <c r="C612" s="235"/>
      <c r="D612" s="235"/>
      <c r="E612" s="235"/>
      <c r="F612" s="235"/>
    </row>
    <row r="613">
      <c r="B613" s="235"/>
      <c r="C613" s="235"/>
      <c r="D613" s="235"/>
      <c r="E613" s="235"/>
      <c r="F613" s="235"/>
    </row>
    <row r="614">
      <c r="B614" s="235"/>
      <c r="C614" s="235"/>
      <c r="D614" s="235"/>
      <c r="E614" s="235"/>
      <c r="F614" s="235"/>
    </row>
    <row r="615">
      <c r="B615" s="235"/>
      <c r="C615" s="235"/>
      <c r="D615" s="235"/>
      <c r="E615" s="235"/>
      <c r="F615" s="235"/>
    </row>
    <row r="616">
      <c r="B616" s="235"/>
      <c r="C616" s="235"/>
      <c r="D616" s="235"/>
      <c r="E616" s="235"/>
      <c r="F616" s="235"/>
    </row>
    <row r="617">
      <c r="B617" s="235"/>
      <c r="C617" s="235"/>
      <c r="D617" s="235"/>
      <c r="E617" s="235"/>
      <c r="F617" s="235"/>
    </row>
    <row r="618">
      <c r="B618" s="235"/>
      <c r="C618" s="235"/>
      <c r="D618" s="235"/>
      <c r="E618" s="235"/>
      <c r="F618" s="235"/>
    </row>
    <row r="619">
      <c r="B619" s="235"/>
      <c r="C619" s="235"/>
      <c r="D619" s="235"/>
      <c r="E619" s="235"/>
      <c r="F619" s="235"/>
    </row>
    <row r="620">
      <c r="B620" s="235"/>
      <c r="C620" s="235"/>
      <c r="D620" s="235"/>
      <c r="E620" s="235"/>
      <c r="F620" s="235"/>
    </row>
    <row r="621">
      <c r="B621" s="235"/>
      <c r="C621" s="235"/>
      <c r="D621" s="235"/>
      <c r="E621" s="235"/>
      <c r="F621" s="235"/>
    </row>
    <row r="622">
      <c r="B622" s="235"/>
      <c r="C622" s="235"/>
      <c r="D622" s="235"/>
      <c r="E622" s="235"/>
      <c r="F622" s="235"/>
    </row>
    <row r="623">
      <c r="B623" s="235"/>
      <c r="C623" s="235"/>
      <c r="D623" s="235"/>
      <c r="E623" s="235"/>
      <c r="F623" s="235"/>
    </row>
    <row r="624">
      <c r="B624" s="235"/>
      <c r="C624" s="235"/>
      <c r="D624" s="235"/>
      <c r="E624" s="235"/>
      <c r="F624" s="235"/>
    </row>
    <row r="625">
      <c r="B625" s="235"/>
      <c r="C625" s="235"/>
      <c r="D625" s="235"/>
      <c r="E625" s="235"/>
      <c r="F625" s="235"/>
    </row>
    <row r="626">
      <c r="B626" s="235"/>
      <c r="C626" s="235"/>
      <c r="D626" s="235"/>
      <c r="E626" s="235"/>
      <c r="F626" s="235"/>
    </row>
    <row r="627">
      <c r="B627" s="235"/>
      <c r="C627" s="235"/>
      <c r="D627" s="235"/>
      <c r="E627" s="235"/>
      <c r="F627" s="235"/>
    </row>
    <row r="628">
      <c r="B628" s="235"/>
      <c r="C628" s="235"/>
      <c r="D628" s="235"/>
      <c r="E628" s="235"/>
      <c r="F628" s="235"/>
    </row>
    <row r="629">
      <c r="B629" s="235"/>
      <c r="C629" s="235"/>
      <c r="D629" s="235"/>
      <c r="E629" s="235"/>
      <c r="F629" s="235"/>
    </row>
    <row r="630">
      <c r="B630" s="235"/>
      <c r="C630" s="235"/>
      <c r="D630" s="235"/>
      <c r="E630" s="235"/>
      <c r="F630" s="235"/>
    </row>
    <row r="631">
      <c r="B631" s="235"/>
      <c r="C631" s="235"/>
      <c r="D631" s="235"/>
      <c r="E631" s="235"/>
      <c r="F631" s="235"/>
    </row>
    <row r="632">
      <c r="B632" s="235"/>
      <c r="C632" s="235"/>
      <c r="D632" s="235"/>
      <c r="E632" s="235"/>
      <c r="F632" s="235"/>
    </row>
    <row r="633">
      <c r="B633" s="235"/>
      <c r="C633" s="235"/>
      <c r="D633" s="235"/>
      <c r="E633" s="235"/>
      <c r="F633" s="235"/>
    </row>
    <row r="634">
      <c r="B634" s="235"/>
      <c r="C634" s="235"/>
      <c r="D634" s="235"/>
      <c r="E634" s="235"/>
      <c r="F634" s="235"/>
    </row>
    <row r="635">
      <c r="B635" s="235"/>
      <c r="C635" s="235"/>
      <c r="D635" s="235"/>
      <c r="E635" s="235"/>
      <c r="F635" s="235"/>
    </row>
    <row r="636">
      <c r="B636" s="235"/>
      <c r="C636" s="235"/>
      <c r="D636" s="235"/>
      <c r="E636" s="235"/>
      <c r="F636" s="235"/>
    </row>
    <row r="637">
      <c r="B637" s="235"/>
      <c r="C637" s="235"/>
      <c r="D637" s="235"/>
      <c r="E637" s="235"/>
      <c r="F637" s="235"/>
    </row>
    <row r="638">
      <c r="B638" s="235"/>
      <c r="C638" s="235"/>
      <c r="D638" s="235"/>
      <c r="E638" s="235"/>
      <c r="F638" s="235"/>
    </row>
    <row r="639">
      <c r="B639" s="235"/>
      <c r="C639" s="235"/>
      <c r="D639" s="235"/>
      <c r="E639" s="235"/>
      <c r="F639" s="235"/>
    </row>
    <row r="640">
      <c r="B640" s="235"/>
      <c r="C640" s="235"/>
      <c r="D640" s="235"/>
      <c r="E640" s="235"/>
      <c r="F640" s="235"/>
    </row>
    <row r="641">
      <c r="B641" s="235"/>
      <c r="C641" s="235"/>
      <c r="D641" s="235"/>
      <c r="E641" s="235"/>
      <c r="F641" s="235"/>
    </row>
    <row r="642">
      <c r="B642" s="235"/>
      <c r="C642" s="235"/>
      <c r="D642" s="235"/>
      <c r="E642" s="235"/>
      <c r="F642" s="235"/>
    </row>
    <row r="643">
      <c r="B643" s="235"/>
      <c r="C643" s="235"/>
      <c r="D643" s="235"/>
      <c r="E643" s="235"/>
      <c r="F643" s="235"/>
    </row>
    <row r="644">
      <c r="B644" s="235"/>
      <c r="C644" s="235"/>
      <c r="D644" s="235"/>
      <c r="E644" s="235"/>
      <c r="F644" s="235"/>
    </row>
    <row r="645">
      <c r="B645" s="235"/>
      <c r="C645" s="235"/>
      <c r="D645" s="235"/>
      <c r="E645" s="235"/>
      <c r="F645" s="235"/>
    </row>
    <row r="646">
      <c r="B646" s="235"/>
      <c r="C646" s="235"/>
      <c r="D646" s="235"/>
      <c r="E646" s="235"/>
      <c r="F646" s="235"/>
    </row>
    <row r="647">
      <c r="B647" s="235"/>
      <c r="C647" s="235"/>
      <c r="D647" s="235"/>
      <c r="E647" s="235"/>
      <c r="F647" s="235"/>
    </row>
    <row r="648">
      <c r="B648" s="235"/>
      <c r="C648" s="235"/>
      <c r="D648" s="235"/>
      <c r="E648" s="235"/>
      <c r="F648" s="235"/>
    </row>
    <row r="649">
      <c r="B649" s="235"/>
      <c r="C649" s="235"/>
      <c r="D649" s="235"/>
      <c r="E649" s="235"/>
      <c r="F649" s="235"/>
    </row>
    <row r="650">
      <c r="B650" s="235"/>
      <c r="C650" s="235"/>
      <c r="D650" s="235"/>
      <c r="E650" s="235"/>
      <c r="F650" s="235"/>
    </row>
    <row r="651">
      <c r="B651" s="235"/>
      <c r="C651" s="235"/>
      <c r="D651" s="235"/>
      <c r="E651" s="235"/>
      <c r="F651" s="235"/>
    </row>
    <row r="652">
      <c r="B652" s="235"/>
      <c r="C652" s="235"/>
      <c r="D652" s="235"/>
      <c r="E652" s="235"/>
      <c r="F652" s="235"/>
    </row>
    <row r="653">
      <c r="B653" s="235"/>
      <c r="C653" s="235"/>
      <c r="D653" s="235"/>
      <c r="E653" s="235"/>
      <c r="F653" s="235"/>
    </row>
    <row r="654">
      <c r="B654" s="235"/>
      <c r="C654" s="235"/>
      <c r="D654" s="235"/>
      <c r="E654" s="235"/>
      <c r="F654" s="235"/>
    </row>
    <row r="655">
      <c r="B655" s="235"/>
      <c r="C655" s="235"/>
      <c r="D655" s="235"/>
      <c r="E655" s="235"/>
      <c r="F655" s="235"/>
    </row>
    <row r="656">
      <c r="B656" s="235"/>
      <c r="C656" s="235"/>
      <c r="D656" s="235"/>
      <c r="E656" s="235"/>
      <c r="F656" s="235"/>
    </row>
    <row r="657">
      <c r="B657" s="235"/>
      <c r="C657" s="235"/>
      <c r="D657" s="235"/>
      <c r="E657" s="235"/>
      <c r="F657" s="235"/>
    </row>
    <row r="658">
      <c r="B658" s="235"/>
      <c r="C658" s="235"/>
      <c r="D658" s="235"/>
      <c r="E658" s="235"/>
      <c r="F658" s="235"/>
    </row>
    <row r="659">
      <c r="B659" s="235"/>
      <c r="C659" s="235"/>
      <c r="D659" s="235"/>
      <c r="E659" s="235"/>
      <c r="F659" s="235"/>
    </row>
    <row r="660">
      <c r="B660" s="235"/>
      <c r="C660" s="235"/>
      <c r="D660" s="235"/>
      <c r="E660" s="235"/>
      <c r="F660" s="235"/>
    </row>
    <row r="661">
      <c r="B661" s="235"/>
      <c r="C661" s="235"/>
      <c r="D661" s="235"/>
      <c r="E661" s="235"/>
      <c r="F661" s="235"/>
    </row>
    <row r="662">
      <c r="B662" s="235"/>
      <c r="C662" s="235"/>
      <c r="D662" s="235"/>
      <c r="E662" s="235"/>
      <c r="F662" s="235"/>
    </row>
    <row r="663">
      <c r="B663" s="235"/>
      <c r="C663" s="235"/>
      <c r="D663" s="235"/>
      <c r="E663" s="235"/>
      <c r="F663" s="235"/>
    </row>
    <row r="664">
      <c r="B664" s="235"/>
      <c r="C664" s="235"/>
      <c r="D664" s="235"/>
      <c r="E664" s="235"/>
      <c r="F664" s="235"/>
    </row>
    <row r="665">
      <c r="B665" s="235"/>
      <c r="C665" s="235"/>
      <c r="D665" s="235"/>
      <c r="E665" s="235"/>
      <c r="F665" s="235"/>
    </row>
    <row r="666">
      <c r="B666" s="235"/>
      <c r="C666" s="235"/>
      <c r="D666" s="235"/>
      <c r="E666" s="235"/>
      <c r="F666" s="235"/>
    </row>
    <row r="667">
      <c r="B667" s="235"/>
      <c r="C667" s="235"/>
      <c r="D667" s="235"/>
      <c r="E667" s="235"/>
      <c r="F667" s="235"/>
    </row>
    <row r="668">
      <c r="B668" s="235"/>
      <c r="C668" s="235"/>
      <c r="D668" s="235"/>
      <c r="E668" s="235"/>
      <c r="F668" s="235"/>
    </row>
    <row r="669">
      <c r="B669" s="235"/>
      <c r="C669" s="235"/>
      <c r="D669" s="235"/>
      <c r="E669" s="235"/>
      <c r="F669" s="235"/>
    </row>
    <row r="670">
      <c r="B670" s="235"/>
      <c r="C670" s="235"/>
      <c r="D670" s="235"/>
      <c r="E670" s="235"/>
      <c r="F670" s="235"/>
    </row>
    <row r="671">
      <c r="B671" s="235"/>
      <c r="C671" s="235"/>
      <c r="D671" s="235"/>
      <c r="E671" s="235"/>
      <c r="F671" s="235"/>
    </row>
    <row r="672">
      <c r="B672" s="235"/>
      <c r="C672" s="235"/>
      <c r="D672" s="235"/>
      <c r="E672" s="235"/>
      <c r="F672" s="235"/>
    </row>
    <row r="673">
      <c r="B673" s="235"/>
      <c r="C673" s="235"/>
      <c r="D673" s="235"/>
      <c r="E673" s="235"/>
      <c r="F673" s="235"/>
    </row>
    <row r="674">
      <c r="B674" s="235"/>
      <c r="C674" s="235"/>
      <c r="D674" s="235"/>
      <c r="E674" s="235"/>
      <c r="F674" s="235"/>
    </row>
    <row r="675">
      <c r="B675" s="235"/>
      <c r="C675" s="235"/>
      <c r="D675" s="235"/>
      <c r="E675" s="235"/>
      <c r="F675" s="235"/>
    </row>
    <row r="676">
      <c r="B676" s="235"/>
      <c r="C676" s="235"/>
      <c r="D676" s="235"/>
      <c r="E676" s="235"/>
      <c r="F676" s="235"/>
    </row>
    <row r="677">
      <c r="B677" s="235"/>
      <c r="C677" s="235"/>
      <c r="D677" s="235"/>
      <c r="E677" s="235"/>
      <c r="F677" s="235"/>
    </row>
    <row r="678">
      <c r="B678" s="235"/>
      <c r="C678" s="235"/>
      <c r="D678" s="235"/>
      <c r="E678" s="235"/>
      <c r="F678" s="235"/>
    </row>
    <row r="679">
      <c r="B679" s="235"/>
      <c r="C679" s="235"/>
      <c r="D679" s="235"/>
      <c r="E679" s="235"/>
      <c r="F679" s="235"/>
    </row>
    <row r="680">
      <c r="B680" s="235"/>
      <c r="C680" s="235"/>
      <c r="D680" s="235"/>
      <c r="E680" s="235"/>
      <c r="F680" s="235"/>
    </row>
    <row r="681">
      <c r="B681" s="235"/>
      <c r="C681" s="235"/>
      <c r="D681" s="235"/>
      <c r="E681" s="235"/>
      <c r="F681" s="235"/>
    </row>
    <row r="682">
      <c r="B682" s="235"/>
      <c r="C682" s="235"/>
      <c r="D682" s="235"/>
      <c r="E682" s="235"/>
      <c r="F682" s="235"/>
    </row>
    <row r="683">
      <c r="B683" s="235"/>
      <c r="C683" s="235"/>
      <c r="D683" s="235"/>
      <c r="E683" s="235"/>
      <c r="F683" s="235"/>
    </row>
    <row r="684">
      <c r="B684" s="235"/>
      <c r="C684" s="235"/>
      <c r="D684" s="235"/>
      <c r="E684" s="235"/>
      <c r="F684" s="235"/>
    </row>
    <row r="685">
      <c r="B685" s="235"/>
      <c r="C685" s="235"/>
      <c r="D685" s="235"/>
      <c r="E685" s="235"/>
      <c r="F685" s="235"/>
    </row>
    <row r="686">
      <c r="B686" s="235"/>
      <c r="C686" s="235"/>
      <c r="D686" s="235"/>
      <c r="E686" s="235"/>
      <c r="F686" s="235"/>
    </row>
    <row r="687">
      <c r="B687" s="235"/>
      <c r="C687" s="235"/>
      <c r="D687" s="235"/>
      <c r="E687" s="235"/>
      <c r="F687" s="235"/>
    </row>
    <row r="688">
      <c r="B688" s="235"/>
      <c r="C688" s="235"/>
      <c r="D688" s="235"/>
      <c r="E688" s="235"/>
      <c r="F688" s="235"/>
    </row>
    <row r="689">
      <c r="B689" s="235"/>
      <c r="C689" s="235"/>
      <c r="D689" s="235"/>
      <c r="E689" s="235"/>
      <c r="F689" s="235"/>
    </row>
    <row r="690">
      <c r="B690" s="235"/>
      <c r="C690" s="235"/>
      <c r="D690" s="235"/>
      <c r="E690" s="235"/>
      <c r="F690" s="235"/>
    </row>
    <row r="691">
      <c r="B691" s="235"/>
      <c r="C691" s="235"/>
      <c r="D691" s="235"/>
      <c r="E691" s="235"/>
      <c r="F691" s="235"/>
    </row>
    <row r="692">
      <c r="B692" s="235"/>
      <c r="C692" s="235"/>
      <c r="D692" s="235"/>
      <c r="E692" s="235"/>
      <c r="F692" s="235"/>
    </row>
    <row r="693">
      <c r="B693" s="235"/>
      <c r="C693" s="235"/>
      <c r="D693" s="235"/>
      <c r="E693" s="235"/>
      <c r="F693" s="235"/>
    </row>
    <row r="694">
      <c r="B694" s="235"/>
      <c r="C694" s="235"/>
      <c r="D694" s="235"/>
      <c r="E694" s="235"/>
      <c r="F694" s="235"/>
    </row>
    <row r="695">
      <c r="B695" s="235"/>
      <c r="C695" s="235"/>
      <c r="D695" s="235"/>
      <c r="E695" s="235"/>
      <c r="F695" s="235"/>
    </row>
    <row r="696">
      <c r="B696" s="235"/>
      <c r="C696" s="235"/>
      <c r="D696" s="235"/>
      <c r="E696" s="235"/>
      <c r="F696" s="235"/>
    </row>
    <row r="697">
      <c r="B697" s="235"/>
      <c r="C697" s="235"/>
      <c r="D697" s="235"/>
      <c r="E697" s="235"/>
      <c r="F697" s="235"/>
    </row>
    <row r="698">
      <c r="B698" s="235"/>
      <c r="C698" s="235"/>
      <c r="D698" s="235"/>
      <c r="E698" s="235"/>
      <c r="F698" s="235"/>
    </row>
    <row r="699">
      <c r="B699" s="235"/>
      <c r="C699" s="235"/>
      <c r="D699" s="235"/>
      <c r="E699" s="235"/>
      <c r="F699" s="235"/>
    </row>
    <row r="700">
      <c r="B700" s="235"/>
      <c r="C700" s="235"/>
      <c r="D700" s="235"/>
      <c r="E700" s="235"/>
      <c r="F700" s="235"/>
    </row>
    <row r="701">
      <c r="B701" s="235"/>
      <c r="C701" s="235"/>
      <c r="D701" s="235"/>
      <c r="E701" s="235"/>
      <c r="F701" s="235"/>
    </row>
    <row r="702">
      <c r="B702" s="235"/>
      <c r="C702" s="235"/>
      <c r="D702" s="235"/>
      <c r="E702" s="235"/>
      <c r="F702" s="235"/>
    </row>
    <row r="703">
      <c r="B703" s="235"/>
      <c r="C703" s="235"/>
      <c r="D703" s="235"/>
      <c r="E703" s="235"/>
      <c r="F703" s="235"/>
    </row>
    <row r="704">
      <c r="B704" s="235"/>
      <c r="C704" s="235"/>
      <c r="D704" s="235"/>
      <c r="E704" s="235"/>
      <c r="F704" s="235"/>
    </row>
    <row r="705">
      <c r="B705" s="235"/>
      <c r="C705" s="235"/>
      <c r="D705" s="235"/>
      <c r="E705" s="235"/>
      <c r="F705" s="235"/>
    </row>
    <row r="706">
      <c r="B706" s="235"/>
      <c r="C706" s="235"/>
      <c r="D706" s="235"/>
      <c r="E706" s="235"/>
      <c r="F706" s="235"/>
    </row>
    <row r="707">
      <c r="B707" s="235"/>
      <c r="C707" s="235"/>
      <c r="D707" s="235"/>
      <c r="E707" s="235"/>
      <c r="F707" s="235"/>
    </row>
    <row r="708">
      <c r="B708" s="235"/>
      <c r="C708" s="235"/>
      <c r="D708" s="235"/>
      <c r="E708" s="235"/>
      <c r="F708" s="235"/>
    </row>
    <row r="709">
      <c r="B709" s="235"/>
      <c r="C709" s="235"/>
      <c r="D709" s="235"/>
      <c r="E709" s="235"/>
      <c r="F709" s="235"/>
    </row>
    <row r="710">
      <c r="B710" s="235"/>
      <c r="C710" s="235"/>
      <c r="D710" s="235"/>
      <c r="E710" s="235"/>
      <c r="F710" s="235"/>
    </row>
    <row r="711">
      <c r="B711" s="235"/>
      <c r="C711" s="235"/>
      <c r="D711" s="235"/>
      <c r="E711" s="235"/>
      <c r="F711" s="235"/>
    </row>
    <row r="712">
      <c r="B712" s="235"/>
      <c r="C712" s="235"/>
      <c r="D712" s="235"/>
      <c r="E712" s="235"/>
      <c r="F712" s="235"/>
    </row>
    <row r="713">
      <c r="B713" s="235"/>
      <c r="C713" s="235"/>
      <c r="D713" s="235"/>
      <c r="E713" s="235"/>
      <c r="F713" s="235"/>
    </row>
    <row r="714">
      <c r="B714" s="235"/>
      <c r="C714" s="235"/>
      <c r="D714" s="235"/>
      <c r="E714" s="235"/>
      <c r="F714" s="235"/>
    </row>
    <row r="715">
      <c r="B715" s="235"/>
      <c r="C715" s="235"/>
      <c r="D715" s="235"/>
      <c r="E715" s="235"/>
      <c r="F715" s="235"/>
    </row>
    <row r="716">
      <c r="B716" s="235"/>
      <c r="C716" s="235"/>
      <c r="D716" s="235"/>
      <c r="E716" s="235"/>
      <c r="F716" s="235"/>
    </row>
    <row r="717">
      <c r="B717" s="235"/>
      <c r="C717" s="235"/>
      <c r="D717" s="235"/>
      <c r="E717" s="235"/>
      <c r="F717" s="235"/>
    </row>
    <row r="718">
      <c r="B718" s="235"/>
      <c r="C718" s="235"/>
      <c r="D718" s="235"/>
      <c r="E718" s="235"/>
      <c r="F718" s="235"/>
    </row>
    <row r="719">
      <c r="B719" s="235"/>
      <c r="C719" s="235"/>
      <c r="D719" s="235"/>
      <c r="E719" s="235"/>
      <c r="F719" s="235"/>
    </row>
    <row r="720">
      <c r="B720" s="235"/>
      <c r="C720" s="235"/>
      <c r="D720" s="235"/>
      <c r="E720" s="235"/>
      <c r="F720" s="235"/>
    </row>
    <row r="721">
      <c r="B721" s="235"/>
      <c r="C721" s="235"/>
      <c r="D721" s="235"/>
      <c r="E721" s="235"/>
      <c r="F721" s="235"/>
    </row>
    <row r="722">
      <c r="B722" s="235"/>
      <c r="C722" s="235"/>
      <c r="D722" s="235"/>
      <c r="E722" s="235"/>
      <c r="F722" s="235"/>
    </row>
    <row r="723">
      <c r="B723" s="235"/>
      <c r="C723" s="235"/>
      <c r="D723" s="235"/>
      <c r="E723" s="235"/>
      <c r="F723" s="235"/>
    </row>
    <row r="724">
      <c r="B724" s="235"/>
      <c r="C724" s="235"/>
      <c r="D724" s="235"/>
      <c r="E724" s="235"/>
      <c r="F724" s="235"/>
    </row>
    <row r="725">
      <c r="B725" s="235"/>
      <c r="C725" s="235"/>
      <c r="D725" s="235"/>
      <c r="E725" s="235"/>
      <c r="F725" s="235"/>
    </row>
    <row r="726">
      <c r="B726" s="235"/>
      <c r="C726" s="235"/>
      <c r="D726" s="235"/>
      <c r="E726" s="235"/>
      <c r="F726" s="235"/>
    </row>
    <row r="727">
      <c r="B727" s="235"/>
      <c r="C727" s="235"/>
      <c r="D727" s="235"/>
      <c r="E727" s="235"/>
      <c r="F727" s="235"/>
    </row>
    <row r="728">
      <c r="B728" s="235"/>
      <c r="C728" s="235"/>
      <c r="D728" s="235"/>
      <c r="E728" s="235"/>
      <c r="F728" s="235"/>
    </row>
    <row r="729">
      <c r="B729" s="235"/>
      <c r="C729" s="235"/>
      <c r="D729" s="235"/>
      <c r="E729" s="235"/>
      <c r="F729" s="235"/>
    </row>
    <row r="730">
      <c r="B730" s="235"/>
      <c r="C730" s="235"/>
      <c r="D730" s="235"/>
      <c r="E730" s="235"/>
      <c r="F730" s="235"/>
    </row>
    <row r="731">
      <c r="B731" s="235"/>
      <c r="C731" s="235"/>
      <c r="D731" s="235"/>
      <c r="E731" s="235"/>
      <c r="F731" s="235"/>
    </row>
    <row r="732">
      <c r="B732" s="235"/>
      <c r="C732" s="235"/>
      <c r="D732" s="235"/>
      <c r="E732" s="235"/>
      <c r="F732" s="235"/>
    </row>
    <row r="733">
      <c r="B733" s="235"/>
      <c r="C733" s="235"/>
      <c r="D733" s="235"/>
      <c r="E733" s="235"/>
      <c r="F733" s="235"/>
    </row>
    <row r="734">
      <c r="B734" s="235"/>
      <c r="C734" s="235"/>
      <c r="D734" s="235"/>
      <c r="E734" s="235"/>
      <c r="F734" s="235"/>
    </row>
    <row r="735">
      <c r="B735" s="235"/>
      <c r="C735" s="235"/>
      <c r="D735" s="235"/>
      <c r="E735" s="235"/>
      <c r="F735" s="235"/>
    </row>
    <row r="736">
      <c r="B736" s="235"/>
      <c r="C736" s="235"/>
      <c r="D736" s="235"/>
      <c r="E736" s="235"/>
      <c r="F736" s="235"/>
    </row>
    <row r="737">
      <c r="B737" s="235"/>
      <c r="C737" s="235"/>
      <c r="D737" s="235"/>
      <c r="E737" s="235"/>
      <c r="F737" s="235"/>
    </row>
    <row r="738">
      <c r="B738" s="235"/>
      <c r="C738" s="235"/>
      <c r="D738" s="235"/>
      <c r="E738" s="235"/>
      <c r="F738" s="235"/>
    </row>
    <row r="739">
      <c r="B739" s="235"/>
      <c r="C739" s="235"/>
      <c r="D739" s="235"/>
      <c r="E739" s="235"/>
      <c r="F739" s="235"/>
    </row>
    <row r="740">
      <c r="B740" s="235"/>
      <c r="C740" s="235"/>
      <c r="D740" s="235"/>
      <c r="E740" s="235"/>
      <c r="F740" s="235"/>
    </row>
    <row r="741">
      <c r="B741" s="235"/>
      <c r="C741" s="235"/>
      <c r="D741" s="235"/>
      <c r="E741" s="235"/>
      <c r="F741" s="235"/>
    </row>
    <row r="742">
      <c r="B742" s="235"/>
      <c r="C742" s="235"/>
      <c r="D742" s="235"/>
      <c r="E742" s="235"/>
      <c r="F742" s="235"/>
    </row>
    <row r="743">
      <c r="B743" s="235"/>
      <c r="C743" s="235"/>
      <c r="D743" s="235"/>
      <c r="E743" s="235"/>
      <c r="F743" s="235"/>
    </row>
    <row r="744">
      <c r="B744" s="235"/>
      <c r="C744" s="235"/>
      <c r="D744" s="235"/>
      <c r="E744" s="235"/>
      <c r="F744" s="235"/>
    </row>
    <row r="745">
      <c r="B745" s="235"/>
      <c r="C745" s="235"/>
      <c r="D745" s="235"/>
      <c r="E745" s="235"/>
      <c r="F745" s="235"/>
    </row>
    <row r="746">
      <c r="B746" s="235"/>
      <c r="C746" s="235"/>
      <c r="D746" s="235"/>
      <c r="E746" s="235"/>
      <c r="F746" s="235"/>
    </row>
    <row r="747">
      <c r="B747" s="235"/>
      <c r="C747" s="235"/>
      <c r="D747" s="235"/>
      <c r="E747" s="235"/>
      <c r="F747" s="235"/>
    </row>
    <row r="748">
      <c r="B748" s="235"/>
      <c r="C748" s="235"/>
      <c r="D748" s="235"/>
      <c r="E748" s="235"/>
      <c r="F748" s="235"/>
    </row>
    <row r="749">
      <c r="B749" s="235"/>
      <c r="C749" s="235"/>
      <c r="D749" s="235"/>
      <c r="E749" s="235"/>
      <c r="F749" s="235"/>
    </row>
    <row r="750">
      <c r="B750" s="235"/>
      <c r="C750" s="235"/>
      <c r="D750" s="235"/>
      <c r="E750" s="235"/>
      <c r="F750" s="235"/>
    </row>
    <row r="751">
      <c r="B751" s="235"/>
      <c r="C751" s="235"/>
      <c r="D751" s="235"/>
      <c r="E751" s="235"/>
      <c r="F751" s="235"/>
    </row>
    <row r="752">
      <c r="B752" s="235"/>
      <c r="C752" s="235"/>
      <c r="D752" s="235"/>
      <c r="E752" s="235"/>
      <c r="F752" s="235"/>
    </row>
    <row r="753">
      <c r="B753" s="235"/>
      <c r="C753" s="235"/>
      <c r="D753" s="235"/>
      <c r="E753" s="235"/>
      <c r="F753" s="235"/>
    </row>
    <row r="754">
      <c r="B754" s="235"/>
      <c r="C754" s="235"/>
      <c r="D754" s="235"/>
      <c r="E754" s="235"/>
      <c r="F754" s="235"/>
    </row>
    <row r="755">
      <c r="B755" s="235"/>
      <c r="C755" s="235"/>
      <c r="D755" s="235"/>
      <c r="E755" s="235"/>
      <c r="F755" s="235"/>
    </row>
    <row r="756">
      <c r="B756" s="235"/>
      <c r="C756" s="235"/>
      <c r="D756" s="235"/>
      <c r="E756" s="235"/>
      <c r="F756" s="235"/>
    </row>
    <row r="757">
      <c r="B757" s="235"/>
      <c r="C757" s="235"/>
      <c r="D757" s="235"/>
      <c r="E757" s="235"/>
      <c r="F757" s="235"/>
    </row>
    <row r="758">
      <c r="B758" s="235"/>
      <c r="C758" s="235"/>
      <c r="D758" s="235"/>
      <c r="E758" s="235"/>
      <c r="F758" s="235"/>
    </row>
    <row r="759">
      <c r="B759" s="235"/>
      <c r="C759" s="235"/>
      <c r="D759" s="235"/>
      <c r="E759" s="235"/>
      <c r="F759" s="235"/>
    </row>
    <row r="760">
      <c r="B760" s="235"/>
      <c r="C760" s="235"/>
      <c r="D760" s="235"/>
      <c r="E760" s="235"/>
      <c r="F760" s="235"/>
    </row>
    <row r="761">
      <c r="B761" s="235"/>
      <c r="C761" s="235"/>
      <c r="D761" s="235"/>
      <c r="E761" s="235"/>
      <c r="F761" s="235"/>
    </row>
    <row r="762">
      <c r="B762" s="235"/>
      <c r="C762" s="235"/>
      <c r="D762" s="235"/>
      <c r="E762" s="235"/>
      <c r="F762" s="235"/>
    </row>
    <row r="763">
      <c r="B763" s="235"/>
      <c r="C763" s="235"/>
      <c r="D763" s="235"/>
      <c r="E763" s="235"/>
      <c r="F763" s="235"/>
    </row>
    <row r="764">
      <c r="B764" s="235"/>
      <c r="C764" s="235"/>
      <c r="D764" s="235"/>
      <c r="E764" s="235"/>
      <c r="F764" s="235"/>
    </row>
    <row r="765">
      <c r="B765" s="235"/>
      <c r="C765" s="235"/>
      <c r="D765" s="235"/>
      <c r="E765" s="235"/>
      <c r="F765" s="235"/>
    </row>
    <row r="766">
      <c r="B766" s="235"/>
      <c r="C766" s="235"/>
      <c r="D766" s="235"/>
      <c r="E766" s="235"/>
      <c r="F766" s="235"/>
    </row>
    <row r="767">
      <c r="B767" s="235"/>
      <c r="C767" s="235"/>
      <c r="D767" s="235"/>
      <c r="E767" s="235"/>
      <c r="F767" s="235"/>
    </row>
    <row r="768">
      <c r="B768" s="235"/>
      <c r="C768" s="235"/>
      <c r="D768" s="235"/>
      <c r="E768" s="235"/>
      <c r="F768" s="235"/>
    </row>
    <row r="769">
      <c r="B769" s="235"/>
      <c r="C769" s="235"/>
      <c r="D769" s="235"/>
      <c r="E769" s="235"/>
      <c r="F769" s="235"/>
    </row>
    <row r="770">
      <c r="B770" s="235"/>
      <c r="C770" s="235"/>
      <c r="D770" s="235"/>
      <c r="E770" s="235"/>
      <c r="F770" s="235"/>
    </row>
    <row r="771">
      <c r="B771" s="235"/>
      <c r="C771" s="235"/>
      <c r="D771" s="235"/>
      <c r="E771" s="235"/>
      <c r="F771" s="235"/>
    </row>
    <row r="772">
      <c r="B772" s="235"/>
      <c r="C772" s="235"/>
      <c r="D772" s="235"/>
      <c r="E772" s="235"/>
      <c r="F772" s="235"/>
    </row>
    <row r="773">
      <c r="B773" s="235"/>
      <c r="C773" s="235"/>
      <c r="D773" s="235"/>
      <c r="E773" s="235"/>
      <c r="F773" s="235"/>
    </row>
    <row r="774">
      <c r="B774" s="235"/>
      <c r="C774" s="235"/>
      <c r="D774" s="235"/>
      <c r="E774" s="235"/>
      <c r="F774" s="235"/>
    </row>
    <row r="775">
      <c r="B775" s="235"/>
      <c r="C775" s="235"/>
      <c r="D775" s="235"/>
      <c r="E775" s="235"/>
      <c r="F775" s="235"/>
    </row>
    <row r="776">
      <c r="B776" s="235"/>
      <c r="C776" s="235"/>
      <c r="D776" s="235"/>
      <c r="E776" s="235"/>
      <c r="F776" s="235"/>
    </row>
    <row r="777">
      <c r="B777" s="235"/>
      <c r="C777" s="235"/>
      <c r="D777" s="235"/>
      <c r="E777" s="235"/>
      <c r="F777" s="235"/>
    </row>
    <row r="778">
      <c r="B778" s="235"/>
      <c r="C778" s="235"/>
      <c r="D778" s="235"/>
      <c r="E778" s="235"/>
      <c r="F778" s="235"/>
    </row>
    <row r="779">
      <c r="B779" s="235"/>
      <c r="C779" s="235"/>
      <c r="D779" s="235"/>
      <c r="E779" s="235"/>
      <c r="F779" s="235"/>
    </row>
    <row r="780">
      <c r="B780" s="235"/>
      <c r="C780" s="235"/>
      <c r="D780" s="235"/>
      <c r="E780" s="235"/>
      <c r="F780" s="235"/>
    </row>
    <row r="781">
      <c r="B781" s="235"/>
      <c r="C781" s="235"/>
      <c r="D781" s="235"/>
      <c r="E781" s="235"/>
      <c r="F781" s="235"/>
    </row>
    <row r="782">
      <c r="B782" s="235"/>
      <c r="C782" s="235"/>
      <c r="D782" s="235"/>
      <c r="E782" s="235"/>
      <c r="F782" s="235"/>
    </row>
    <row r="783">
      <c r="B783" s="235"/>
      <c r="C783" s="235"/>
      <c r="D783" s="235"/>
      <c r="E783" s="235"/>
      <c r="F783" s="235"/>
    </row>
    <row r="784">
      <c r="B784" s="235"/>
      <c r="C784" s="235"/>
      <c r="D784" s="235"/>
      <c r="E784" s="235"/>
      <c r="F784" s="235"/>
    </row>
    <row r="785">
      <c r="B785" s="235"/>
      <c r="C785" s="235"/>
      <c r="D785" s="235"/>
      <c r="E785" s="235"/>
      <c r="F785" s="235"/>
    </row>
    <row r="786">
      <c r="B786" s="235"/>
      <c r="C786" s="235"/>
      <c r="D786" s="235"/>
      <c r="E786" s="235"/>
      <c r="F786" s="235"/>
    </row>
    <row r="787">
      <c r="B787" s="235"/>
      <c r="C787" s="235"/>
      <c r="D787" s="235"/>
      <c r="E787" s="235"/>
      <c r="F787" s="235"/>
    </row>
    <row r="788">
      <c r="B788" s="235"/>
      <c r="C788" s="235"/>
      <c r="D788" s="235"/>
      <c r="E788" s="235"/>
      <c r="F788" s="235"/>
    </row>
    <row r="789">
      <c r="B789" s="235"/>
      <c r="C789" s="235"/>
      <c r="D789" s="235"/>
      <c r="E789" s="235"/>
      <c r="F789" s="235"/>
    </row>
    <row r="790">
      <c r="B790" s="235"/>
      <c r="C790" s="235"/>
      <c r="D790" s="235"/>
      <c r="E790" s="235"/>
      <c r="F790" s="235"/>
    </row>
    <row r="791">
      <c r="B791" s="235"/>
      <c r="C791" s="235"/>
      <c r="D791" s="235"/>
      <c r="E791" s="235"/>
      <c r="F791" s="235"/>
    </row>
    <row r="792">
      <c r="B792" s="235"/>
      <c r="C792" s="235"/>
      <c r="D792" s="235"/>
      <c r="E792" s="235"/>
      <c r="F792" s="235"/>
    </row>
    <row r="793">
      <c r="B793" s="235"/>
      <c r="C793" s="235"/>
      <c r="D793" s="235"/>
      <c r="E793" s="235"/>
      <c r="F793" s="235"/>
    </row>
    <row r="794">
      <c r="B794" s="235"/>
      <c r="C794" s="235"/>
      <c r="D794" s="235"/>
      <c r="E794" s="235"/>
      <c r="F794" s="235"/>
    </row>
    <row r="795">
      <c r="B795" s="235"/>
      <c r="C795" s="235"/>
      <c r="D795" s="235"/>
      <c r="E795" s="235"/>
      <c r="F795" s="235"/>
    </row>
    <row r="796">
      <c r="B796" s="235"/>
      <c r="C796" s="235"/>
      <c r="D796" s="235"/>
      <c r="E796" s="235"/>
      <c r="F796" s="235"/>
    </row>
    <row r="797">
      <c r="B797" s="235"/>
      <c r="C797" s="235"/>
      <c r="D797" s="235"/>
      <c r="E797" s="235"/>
      <c r="F797" s="235"/>
    </row>
    <row r="798">
      <c r="B798" s="235"/>
      <c r="C798" s="235"/>
      <c r="D798" s="235"/>
      <c r="E798" s="235"/>
      <c r="F798" s="235"/>
    </row>
    <row r="799">
      <c r="B799" s="235"/>
      <c r="C799" s="235"/>
      <c r="D799" s="235"/>
      <c r="E799" s="235"/>
      <c r="F799" s="235"/>
    </row>
    <row r="800">
      <c r="B800" s="235"/>
      <c r="C800" s="235"/>
      <c r="D800" s="235"/>
      <c r="E800" s="235"/>
      <c r="F800" s="235"/>
    </row>
    <row r="801">
      <c r="B801" s="235"/>
      <c r="C801" s="235"/>
      <c r="D801" s="235"/>
      <c r="E801" s="235"/>
      <c r="F801" s="235"/>
    </row>
    <row r="802">
      <c r="B802" s="235"/>
      <c r="C802" s="235"/>
      <c r="D802" s="235"/>
      <c r="E802" s="235"/>
      <c r="F802" s="235"/>
    </row>
    <row r="803">
      <c r="B803" s="235"/>
      <c r="C803" s="235"/>
      <c r="D803" s="235"/>
      <c r="E803" s="235"/>
      <c r="F803" s="235"/>
    </row>
    <row r="804">
      <c r="B804" s="235"/>
      <c r="C804" s="235"/>
      <c r="D804" s="235"/>
      <c r="E804" s="235"/>
      <c r="F804" s="235"/>
    </row>
    <row r="805">
      <c r="B805" s="235"/>
      <c r="C805" s="235"/>
      <c r="D805" s="235"/>
      <c r="E805" s="235"/>
      <c r="F805" s="235"/>
    </row>
    <row r="806">
      <c r="B806" s="235"/>
      <c r="C806" s="235"/>
      <c r="D806" s="235"/>
      <c r="E806" s="235"/>
      <c r="F806" s="235"/>
    </row>
    <row r="807">
      <c r="B807" s="235"/>
      <c r="C807" s="235"/>
      <c r="D807" s="235"/>
      <c r="E807" s="235"/>
      <c r="F807" s="235"/>
    </row>
    <row r="808">
      <c r="B808" s="235"/>
      <c r="C808" s="235"/>
      <c r="D808" s="235"/>
      <c r="E808" s="235"/>
      <c r="F808" s="235"/>
    </row>
    <row r="809">
      <c r="B809" s="235"/>
      <c r="C809" s="235"/>
      <c r="D809" s="235"/>
      <c r="E809" s="235"/>
      <c r="F809" s="235"/>
    </row>
    <row r="810">
      <c r="B810" s="235"/>
      <c r="C810" s="235"/>
      <c r="D810" s="235"/>
      <c r="E810" s="235"/>
      <c r="F810" s="235"/>
    </row>
    <row r="811">
      <c r="B811" s="235"/>
      <c r="C811" s="235"/>
      <c r="D811" s="235"/>
      <c r="E811" s="235"/>
      <c r="F811" s="235"/>
    </row>
    <row r="812">
      <c r="B812" s="235"/>
      <c r="C812" s="235"/>
      <c r="D812" s="235"/>
      <c r="E812" s="235"/>
      <c r="F812" s="235"/>
    </row>
    <row r="813">
      <c r="B813" s="235"/>
      <c r="C813" s="235"/>
      <c r="D813" s="235"/>
      <c r="E813" s="235"/>
      <c r="F813" s="235"/>
    </row>
    <row r="814">
      <c r="B814" s="235"/>
      <c r="C814" s="235"/>
      <c r="D814" s="235"/>
      <c r="E814" s="235"/>
      <c r="F814" s="235"/>
    </row>
    <row r="815">
      <c r="B815" s="235"/>
      <c r="C815" s="235"/>
      <c r="D815" s="235"/>
      <c r="E815" s="235"/>
      <c r="F815" s="235"/>
    </row>
    <row r="816">
      <c r="B816" s="235"/>
      <c r="C816" s="235"/>
      <c r="D816" s="235"/>
      <c r="E816" s="235"/>
      <c r="F816" s="235"/>
    </row>
    <row r="817">
      <c r="B817" s="235"/>
      <c r="C817" s="235"/>
      <c r="D817" s="235"/>
      <c r="E817" s="235"/>
      <c r="F817" s="235"/>
    </row>
    <row r="818">
      <c r="B818" s="235"/>
      <c r="C818" s="235"/>
      <c r="D818" s="235"/>
      <c r="E818" s="235"/>
      <c r="F818" s="235"/>
    </row>
    <row r="819">
      <c r="B819" s="235"/>
      <c r="C819" s="235"/>
      <c r="D819" s="235"/>
      <c r="E819" s="235"/>
      <c r="F819" s="235"/>
    </row>
    <row r="820">
      <c r="B820" s="235"/>
      <c r="C820" s="235"/>
      <c r="D820" s="235"/>
      <c r="E820" s="235"/>
      <c r="F820" s="235"/>
    </row>
    <row r="821">
      <c r="B821" s="235"/>
      <c r="C821" s="235"/>
      <c r="D821" s="235"/>
      <c r="E821" s="235"/>
      <c r="F821" s="235"/>
    </row>
    <row r="822">
      <c r="B822" s="235"/>
      <c r="C822" s="235"/>
      <c r="D822" s="235"/>
      <c r="E822" s="235"/>
      <c r="F822" s="235"/>
    </row>
    <row r="823">
      <c r="B823" s="235"/>
      <c r="C823" s="235"/>
      <c r="D823" s="235"/>
      <c r="E823" s="235"/>
      <c r="F823" s="235"/>
    </row>
    <row r="824">
      <c r="B824" s="235"/>
      <c r="C824" s="235"/>
      <c r="D824" s="235"/>
      <c r="E824" s="235"/>
      <c r="F824" s="235"/>
    </row>
    <row r="825">
      <c r="B825" s="235"/>
      <c r="C825" s="235"/>
      <c r="D825" s="235"/>
      <c r="E825" s="235"/>
      <c r="F825" s="235"/>
    </row>
    <row r="826">
      <c r="B826" s="235"/>
      <c r="C826" s="235"/>
      <c r="D826" s="235"/>
      <c r="E826" s="235"/>
      <c r="F826" s="235"/>
    </row>
    <row r="827">
      <c r="B827" s="235"/>
      <c r="C827" s="235"/>
      <c r="D827" s="235"/>
      <c r="E827" s="235"/>
      <c r="F827" s="235"/>
    </row>
    <row r="828">
      <c r="B828" s="235"/>
      <c r="C828" s="235"/>
      <c r="D828" s="235"/>
      <c r="E828" s="235"/>
      <c r="F828" s="235"/>
    </row>
    <row r="829">
      <c r="B829" s="235"/>
      <c r="C829" s="235"/>
      <c r="D829" s="235"/>
      <c r="E829" s="235"/>
      <c r="F829" s="235"/>
    </row>
    <row r="830">
      <c r="B830" s="235"/>
      <c r="C830" s="235"/>
      <c r="D830" s="235"/>
      <c r="E830" s="235"/>
      <c r="F830" s="235"/>
    </row>
    <row r="831">
      <c r="B831" s="235"/>
      <c r="C831" s="235"/>
      <c r="D831" s="235"/>
      <c r="E831" s="235"/>
      <c r="F831" s="235"/>
    </row>
    <row r="832">
      <c r="B832" s="235"/>
      <c r="C832" s="235"/>
      <c r="D832" s="235"/>
      <c r="E832" s="235"/>
      <c r="F832" s="235"/>
    </row>
    <row r="833">
      <c r="B833" s="235"/>
      <c r="C833" s="235"/>
      <c r="D833" s="235"/>
      <c r="E833" s="235"/>
      <c r="F833" s="235"/>
    </row>
    <row r="834">
      <c r="B834" s="235"/>
      <c r="C834" s="235"/>
      <c r="D834" s="235"/>
      <c r="E834" s="235"/>
      <c r="F834" s="235"/>
    </row>
    <row r="835">
      <c r="B835" s="235"/>
      <c r="C835" s="235"/>
      <c r="D835" s="235"/>
      <c r="E835" s="235"/>
      <c r="F835" s="235"/>
    </row>
    <row r="836">
      <c r="B836" s="235"/>
      <c r="C836" s="235"/>
      <c r="D836" s="235"/>
      <c r="E836" s="235"/>
      <c r="F836" s="235"/>
    </row>
    <row r="837">
      <c r="B837" s="235"/>
      <c r="C837" s="235"/>
      <c r="D837" s="235"/>
      <c r="E837" s="235"/>
      <c r="F837" s="235"/>
    </row>
    <row r="838">
      <c r="B838" s="235"/>
      <c r="C838" s="235"/>
      <c r="D838" s="235"/>
      <c r="E838" s="235"/>
      <c r="F838" s="235"/>
    </row>
    <row r="839">
      <c r="B839" s="235"/>
      <c r="C839" s="235"/>
      <c r="D839" s="235"/>
      <c r="E839" s="235"/>
      <c r="F839" s="235"/>
    </row>
    <row r="840">
      <c r="B840" s="235"/>
      <c r="C840" s="235"/>
      <c r="D840" s="235"/>
      <c r="E840" s="235"/>
      <c r="F840" s="235"/>
    </row>
    <row r="841">
      <c r="B841" s="235"/>
      <c r="C841" s="235"/>
      <c r="D841" s="235"/>
      <c r="E841" s="235"/>
      <c r="F841" s="235"/>
    </row>
    <row r="842">
      <c r="B842" s="235"/>
      <c r="C842" s="235"/>
      <c r="D842" s="235"/>
      <c r="E842" s="235"/>
      <c r="F842" s="235"/>
    </row>
    <row r="843">
      <c r="B843" s="235"/>
      <c r="C843" s="235"/>
      <c r="D843" s="235"/>
      <c r="E843" s="235"/>
      <c r="F843" s="235"/>
    </row>
    <row r="844">
      <c r="B844" s="235"/>
      <c r="C844" s="235"/>
      <c r="D844" s="235"/>
      <c r="E844" s="235"/>
      <c r="F844" s="235"/>
    </row>
    <row r="845">
      <c r="B845" s="235"/>
      <c r="C845" s="235"/>
      <c r="D845" s="235"/>
      <c r="E845" s="235"/>
      <c r="F845" s="235"/>
    </row>
    <row r="846">
      <c r="B846" s="235"/>
      <c r="C846" s="235"/>
      <c r="D846" s="235"/>
      <c r="E846" s="235"/>
      <c r="F846" s="235"/>
    </row>
    <row r="847">
      <c r="B847" s="235"/>
      <c r="C847" s="235"/>
      <c r="D847" s="235"/>
      <c r="E847" s="235"/>
      <c r="F847" s="235"/>
    </row>
    <row r="848">
      <c r="B848" s="235"/>
      <c r="C848" s="235"/>
      <c r="D848" s="235"/>
      <c r="E848" s="235"/>
      <c r="F848" s="235"/>
    </row>
    <row r="849">
      <c r="B849" s="235"/>
      <c r="C849" s="235"/>
      <c r="D849" s="235"/>
      <c r="E849" s="235"/>
      <c r="F849" s="235"/>
    </row>
    <row r="850">
      <c r="B850" s="235"/>
      <c r="C850" s="235"/>
      <c r="D850" s="235"/>
      <c r="E850" s="235"/>
      <c r="F850" s="235"/>
    </row>
    <row r="851">
      <c r="B851" s="235"/>
      <c r="C851" s="235"/>
      <c r="D851" s="235"/>
      <c r="E851" s="235"/>
      <c r="F851" s="235"/>
    </row>
    <row r="852">
      <c r="B852" s="235"/>
      <c r="C852" s="235"/>
      <c r="D852" s="235"/>
      <c r="E852" s="235"/>
      <c r="F852" s="235"/>
    </row>
    <row r="853">
      <c r="B853" s="235"/>
      <c r="C853" s="235"/>
      <c r="D853" s="235"/>
      <c r="E853" s="235"/>
      <c r="F853" s="235"/>
    </row>
    <row r="854">
      <c r="B854" s="235"/>
      <c r="C854" s="235"/>
      <c r="D854" s="235"/>
      <c r="E854" s="235"/>
      <c r="F854" s="235"/>
    </row>
    <row r="855">
      <c r="B855" s="235"/>
      <c r="C855" s="235"/>
      <c r="D855" s="235"/>
      <c r="E855" s="235"/>
      <c r="F855" s="235"/>
    </row>
    <row r="856">
      <c r="B856" s="235"/>
      <c r="C856" s="235"/>
      <c r="D856" s="235"/>
      <c r="E856" s="235"/>
      <c r="F856" s="235"/>
    </row>
    <row r="857">
      <c r="B857" s="235"/>
      <c r="C857" s="235"/>
      <c r="D857" s="235"/>
      <c r="E857" s="235"/>
      <c r="F857" s="235"/>
    </row>
    <row r="858">
      <c r="B858" s="235"/>
      <c r="C858" s="235"/>
      <c r="D858" s="235"/>
      <c r="E858" s="235"/>
      <c r="F858" s="235"/>
    </row>
    <row r="859">
      <c r="B859" s="235"/>
      <c r="C859" s="235"/>
      <c r="D859" s="235"/>
      <c r="E859" s="235"/>
      <c r="F859" s="235"/>
    </row>
    <row r="860">
      <c r="B860" s="235"/>
      <c r="C860" s="235"/>
      <c r="D860" s="235"/>
      <c r="E860" s="235"/>
      <c r="F860" s="235"/>
    </row>
    <row r="861">
      <c r="B861" s="235"/>
      <c r="C861" s="235"/>
      <c r="D861" s="235"/>
      <c r="E861" s="235"/>
      <c r="F861" s="235"/>
    </row>
    <row r="862">
      <c r="B862" s="235"/>
      <c r="C862" s="235"/>
      <c r="D862" s="235"/>
      <c r="E862" s="235"/>
      <c r="F862" s="235"/>
    </row>
    <row r="863">
      <c r="B863" s="235"/>
      <c r="C863" s="235"/>
      <c r="D863" s="235"/>
      <c r="E863" s="235"/>
      <c r="F863" s="235"/>
    </row>
    <row r="864">
      <c r="B864" s="235"/>
      <c r="C864" s="235"/>
      <c r="D864" s="235"/>
      <c r="E864" s="235"/>
      <c r="F864" s="235"/>
    </row>
    <row r="865">
      <c r="B865" s="235"/>
      <c r="C865" s="235"/>
      <c r="D865" s="235"/>
      <c r="E865" s="235"/>
      <c r="F865" s="235"/>
    </row>
    <row r="866">
      <c r="B866" s="235"/>
      <c r="C866" s="235"/>
      <c r="D866" s="235"/>
      <c r="E866" s="235"/>
      <c r="F866" s="235"/>
    </row>
    <row r="867">
      <c r="B867" s="235"/>
      <c r="C867" s="235"/>
      <c r="D867" s="235"/>
      <c r="E867" s="235"/>
      <c r="F867" s="235"/>
    </row>
    <row r="868">
      <c r="B868" s="235"/>
      <c r="C868" s="235"/>
      <c r="D868" s="235"/>
      <c r="E868" s="235"/>
      <c r="F868" s="235"/>
    </row>
    <row r="869">
      <c r="B869" s="235"/>
      <c r="C869" s="235"/>
      <c r="D869" s="235"/>
      <c r="E869" s="235"/>
      <c r="F869" s="235"/>
    </row>
    <row r="870">
      <c r="B870" s="235"/>
      <c r="C870" s="235"/>
      <c r="D870" s="235"/>
      <c r="E870" s="235"/>
      <c r="F870" s="235"/>
    </row>
    <row r="871">
      <c r="B871" s="235"/>
      <c r="C871" s="235"/>
      <c r="D871" s="235"/>
      <c r="E871" s="235"/>
      <c r="F871" s="235"/>
    </row>
    <row r="872">
      <c r="B872" s="235"/>
      <c r="C872" s="235"/>
      <c r="D872" s="235"/>
      <c r="E872" s="235"/>
      <c r="F872" s="235"/>
    </row>
    <row r="873">
      <c r="B873" s="235"/>
      <c r="C873" s="235"/>
      <c r="D873" s="235"/>
      <c r="E873" s="235"/>
      <c r="F873" s="235"/>
    </row>
    <row r="874">
      <c r="B874" s="235"/>
      <c r="C874" s="235"/>
      <c r="D874" s="235"/>
      <c r="E874" s="235"/>
      <c r="F874" s="235"/>
    </row>
    <row r="875">
      <c r="B875" s="235"/>
      <c r="C875" s="235"/>
      <c r="D875" s="235"/>
      <c r="E875" s="235"/>
      <c r="F875" s="235"/>
    </row>
    <row r="876">
      <c r="B876" s="235"/>
      <c r="C876" s="235"/>
      <c r="D876" s="235"/>
      <c r="E876" s="235"/>
      <c r="F876" s="235"/>
    </row>
    <row r="877">
      <c r="B877" s="235"/>
      <c r="C877" s="235"/>
      <c r="D877" s="235"/>
      <c r="E877" s="235"/>
      <c r="F877" s="235"/>
    </row>
    <row r="878">
      <c r="B878" s="235"/>
      <c r="C878" s="235"/>
      <c r="D878" s="235"/>
      <c r="E878" s="235"/>
      <c r="F878" s="235"/>
    </row>
    <row r="879">
      <c r="B879" s="235"/>
      <c r="C879" s="235"/>
      <c r="D879" s="235"/>
      <c r="E879" s="235"/>
      <c r="F879" s="235"/>
    </row>
    <row r="880">
      <c r="B880" s="235"/>
      <c r="C880" s="235"/>
      <c r="D880" s="235"/>
      <c r="E880" s="235"/>
      <c r="F880" s="235"/>
    </row>
    <row r="881">
      <c r="B881" s="235"/>
      <c r="C881" s="235"/>
      <c r="D881" s="235"/>
      <c r="E881" s="235"/>
      <c r="F881" s="235"/>
    </row>
    <row r="882">
      <c r="B882" s="235"/>
      <c r="C882" s="235"/>
      <c r="D882" s="235"/>
      <c r="E882" s="235"/>
      <c r="F882" s="235"/>
    </row>
    <row r="883">
      <c r="B883" s="235"/>
      <c r="C883" s="235"/>
      <c r="D883" s="235"/>
      <c r="E883" s="235"/>
      <c r="F883" s="235"/>
    </row>
    <row r="884">
      <c r="B884" s="235"/>
      <c r="C884" s="235"/>
      <c r="D884" s="235"/>
      <c r="E884" s="235"/>
      <c r="F884" s="235"/>
    </row>
    <row r="885">
      <c r="B885" s="235"/>
      <c r="C885" s="235"/>
      <c r="D885" s="235"/>
      <c r="E885" s="235"/>
      <c r="F885" s="235"/>
    </row>
    <row r="886">
      <c r="B886" s="235"/>
      <c r="C886" s="235"/>
      <c r="D886" s="235"/>
      <c r="E886" s="235"/>
      <c r="F886" s="235"/>
    </row>
    <row r="887">
      <c r="B887" s="235"/>
      <c r="C887" s="235"/>
      <c r="D887" s="235"/>
      <c r="E887" s="235"/>
      <c r="F887" s="235"/>
    </row>
    <row r="888">
      <c r="B888" s="235"/>
      <c r="C888" s="235"/>
      <c r="D888" s="235"/>
      <c r="E888" s="235"/>
      <c r="F888" s="235"/>
    </row>
    <row r="889">
      <c r="B889" s="235"/>
      <c r="C889" s="235"/>
      <c r="D889" s="235"/>
      <c r="E889" s="235"/>
      <c r="F889" s="235"/>
    </row>
    <row r="890">
      <c r="B890" s="235"/>
      <c r="C890" s="235"/>
      <c r="D890" s="235"/>
      <c r="E890" s="235"/>
      <c r="F890" s="235"/>
    </row>
    <row r="891">
      <c r="B891" s="235"/>
      <c r="C891" s="235"/>
      <c r="D891" s="235"/>
      <c r="E891" s="235"/>
      <c r="F891" s="235"/>
    </row>
    <row r="892">
      <c r="B892" s="235"/>
      <c r="C892" s="235"/>
      <c r="D892" s="235"/>
      <c r="E892" s="235"/>
      <c r="F892" s="235"/>
    </row>
    <row r="893">
      <c r="B893" s="235"/>
      <c r="C893" s="235"/>
      <c r="D893" s="235"/>
      <c r="E893" s="235"/>
      <c r="F893" s="235"/>
    </row>
    <row r="894">
      <c r="B894" s="235"/>
      <c r="C894" s="235"/>
      <c r="D894" s="235"/>
      <c r="E894" s="235"/>
      <c r="F894" s="235"/>
    </row>
    <row r="895">
      <c r="B895" s="235"/>
      <c r="C895" s="235"/>
      <c r="D895" s="235"/>
      <c r="E895" s="235"/>
      <c r="F895" s="235"/>
    </row>
    <row r="896">
      <c r="B896" s="235"/>
      <c r="C896" s="235"/>
      <c r="D896" s="235"/>
      <c r="E896" s="235"/>
      <c r="F896" s="235"/>
    </row>
    <row r="897">
      <c r="B897" s="235"/>
      <c r="C897" s="235"/>
      <c r="D897" s="235"/>
      <c r="E897" s="235"/>
      <c r="F897" s="235"/>
    </row>
    <row r="898">
      <c r="B898" s="235"/>
      <c r="C898" s="235"/>
      <c r="D898" s="235"/>
      <c r="E898" s="235"/>
      <c r="F898" s="235"/>
    </row>
    <row r="899">
      <c r="B899" s="235"/>
      <c r="C899" s="235"/>
      <c r="D899" s="235"/>
      <c r="E899" s="235"/>
      <c r="F899" s="235"/>
    </row>
    <row r="900">
      <c r="B900" s="235"/>
      <c r="C900" s="235"/>
      <c r="D900" s="235"/>
      <c r="E900" s="235"/>
      <c r="F900" s="235"/>
    </row>
    <row r="901">
      <c r="B901" s="235"/>
      <c r="C901" s="235"/>
      <c r="D901" s="235"/>
      <c r="E901" s="235"/>
      <c r="F901" s="235"/>
    </row>
    <row r="902">
      <c r="B902" s="235"/>
      <c r="C902" s="235"/>
      <c r="D902" s="235"/>
      <c r="E902" s="235"/>
      <c r="F902" s="235"/>
    </row>
    <row r="903">
      <c r="B903" s="235"/>
      <c r="C903" s="235"/>
      <c r="D903" s="235"/>
      <c r="E903" s="235"/>
      <c r="F903" s="235"/>
    </row>
    <row r="904">
      <c r="B904" s="235"/>
      <c r="C904" s="235"/>
      <c r="D904" s="235"/>
      <c r="E904" s="235"/>
      <c r="F904" s="235"/>
    </row>
    <row r="905">
      <c r="B905" s="235"/>
      <c r="C905" s="235"/>
      <c r="D905" s="235"/>
      <c r="E905" s="235"/>
      <c r="F905" s="235"/>
    </row>
    <row r="906">
      <c r="B906" s="235"/>
      <c r="C906" s="235"/>
      <c r="D906" s="235"/>
      <c r="E906" s="235"/>
      <c r="F906" s="235"/>
    </row>
    <row r="907">
      <c r="B907" s="235"/>
      <c r="C907" s="235"/>
      <c r="D907" s="235"/>
      <c r="E907" s="235"/>
      <c r="F907" s="235"/>
    </row>
    <row r="908">
      <c r="B908" s="235"/>
      <c r="C908" s="235"/>
      <c r="D908" s="235"/>
      <c r="E908" s="235"/>
      <c r="F908" s="235"/>
    </row>
    <row r="909">
      <c r="B909" s="235"/>
      <c r="C909" s="235"/>
      <c r="D909" s="235"/>
      <c r="E909" s="235"/>
      <c r="F909" s="235"/>
    </row>
    <row r="910">
      <c r="B910" s="235"/>
      <c r="C910" s="235"/>
      <c r="D910" s="235"/>
      <c r="E910" s="235"/>
      <c r="F910" s="235"/>
    </row>
    <row r="911">
      <c r="B911" s="235"/>
      <c r="C911" s="235"/>
      <c r="D911" s="235"/>
      <c r="E911" s="235"/>
      <c r="F911" s="235"/>
    </row>
    <row r="912">
      <c r="B912" s="235"/>
      <c r="C912" s="235"/>
      <c r="D912" s="235"/>
      <c r="E912" s="235"/>
      <c r="F912" s="235"/>
    </row>
    <row r="913">
      <c r="B913" s="235"/>
      <c r="C913" s="235"/>
      <c r="D913" s="235"/>
      <c r="E913" s="235"/>
      <c r="F913" s="235"/>
    </row>
    <row r="914">
      <c r="B914" s="235"/>
      <c r="C914" s="235"/>
      <c r="D914" s="235"/>
      <c r="E914" s="235"/>
      <c r="F914" s="235"/>
    </row>
    <row r="915">
      <c r="B915" s="235"/>
      <c r="C915" s="235"/>
      <c r="D915" s="235"/>
      <c r="E915" s="235"/>
      <c r="F915" s="235"/>
    </row>
    <row r="916">
      <c r="B916" s="235"/>
      <c r="C916" s="235"/>
      <c r="D916" s="235"/>
      <c r="E916" s="235"/>
      <c r="F916" s="235"/>
    </row>
    <row r="917">
      <c r="B917" s="235"/>
      <c r="C917" s="235"/>
      <c r="D917" s="235"/>
      <c r="E917" s="235"/>
      <c r="F917" s="235"/>
    </row>
    <row r="918">
      <c r="B918" s="235"/>
      <c r="C918" s="235"/>
      <c r="D918" s="235"/>
      <c r="E918" s="235"/>
      <c r="F918" s="235"/>
    </row>
    <row r="919">
      <c r="B919" s="235"/>
      <c r="C919" s="235"/>
      <c r="D919" s="235"/>
      <c r="E919" s="235"/>
      <c r="F919" s="235"/>
    </row>
    <row r="920">
      <c r="B920" s="235"/>
      <c r="C920" s="235"/>
      <c r="D920" s="235"/>
      <c r="E920" s="235"/>
      <c r="F920" s="235"/>
    </row>
    <row r="921">
      <c r="B921" s="235"/>
      <c r="C921" s="235"/>
      <c r="D921" s="235"/>
      <c r="E921" s="235"/>
      <c r="F921" s="235"/>
    </row>
    <row r="922">
      <c r="B922" s="235"/>
      <c r="C922" s="235"/>
      <c r="D922" s="235"/>
      <c r="E922" s="235"/>
      <c r="F922" s="235"/>
    </row>
    <row r="923">
      <c r="B923" s="235"/>
      <c r="C923" s="235"/>
      <c r="D923" s="235"/>
      <c r="E923" s="235"/>
      <c r="F923" s="235"/>
    </row>
    <row r="924">
      <c r="B924" s="235"/>
      <c r="C924" s="235"/>
      <c r="D924" s="235"/>
      <c r="E924" s="235"/>
      <c r="F924" s="235"/>
    </row>
    <row r="925">
      <c r="B925" s="235"/>
      <c r="C925" s="235"/>
      <c r="D925" s="235"/>
      <c r="E925" s="235"/>
      <c r="F925" s="235"/>
    </row>
    <row r="926">
      <c r="B926" s="235"/>
      <c r="C926" s="235"/>
      <c r="D926" s="235"/>
      <c r="E926" s="235"/>
      <c r="F926" s="235"/>
    </row>
    <row r="927">
      <c r="B927" s="235"/>
      <c r="C927" s="235"/>
      <c r="D927" s="235"/>
      <c r="E927" s="235"/>
      <c r="F927" s="235"/>
    </row>
    <row r="928">
      <c r="B928" s="235"/>
      <c r="C928" s="235"/>
      <c r="D928" s="235"/>
      <c r="E928" s="235"/>
      <c r="F928" s="235"/>
    </row>
    <row r="929">
      <c r="B929" s="235"/>
      <c r="C929" s="235"/>
      <c r="D929" s="235"/>
      <c r="E929" s="235"/>
      <c r="F929" s="235"/>
    </row>
    <row r="930">
      <c r="B930" s="235"/>
      <c r="C930" s="235"/>
      <c r="D930" s="235"/>
      <c r="E930" s="235"/>
      <c r="F930" s="235"/>
    </row>
    <row r="931">
      <c r="B931" s="235"/>
      <c r="C931" s="235"/>
      <c r="D931" s="235"/>
      <c r="E931" s="235"/>
      <c r="F931" s="235"/>
    </row>
    <row r="932">
      <c r="B932" s="235"/>
      <c r="C932" s="235"/>
      <c r="D932" s="235"/>
      <c r="E932" s="235"/>
      <c r="F932" s="235"/>
    </row>
    <row r="933">
      <c r="B933" s="235"/>
      <c r="C933" s="235"/>
      <c r="D933" s="235"/>
      <c r="E933" s="235"/>
      <c r="F933" s="235"/>
    </row>
    <row r="934">
      <c r="B934" s="235"/>
      <c r="C934" s="235"/>
      <c r="D934" s="235"/>
      <c r="E934" s="235"/>
      <c r="F934" s="235"/>
    </row>
    <row r="935">
      <c r="B935" s="235"/>
      <c r="C935" s="235"/>
      <c r="D935" s="235"/>
      <c r="E935" s="235"/>
      <c r="F935" s="235"/>
    </row>
    <row r="936">
      <c r="B936" s="235"/>
      <c r="C936" s="235"/>
      <c r="D936" s="235"/>
      <c r="E936" s="235"/>
      <c r="F936" s="235"/>
    </row>
    <row r="937">
      <c r="B937" s="235"/>
      <c r="C937" s="235"/>
      <c r="D937" s="235"/>
      <c r="E937" s="235"/>
      <c r="F937" s="235"/>
    </row>
    <row r="938">
      <c r="B938" s="235"/>
      <c r="C938" s="235"/>
      <c r="D938" s="235"/>
      <c r="E938" s="235"/>
      <c r="F938" s="235"/>
    </row>
    <row r="939">
      <c r="B939" s="235"/>
      <c r="C939" s="235"/>
      <c r="D939" s="235"/>
      <c r="E939" s="235"/>
      <c r="F939" s="235"/>
    </row>
    <row r="940">
      <c r="B940" s="235"/>
      <c r="C940" s="235"/>
      <c r="D940" s="235"/>
      <c r="E940" s="235"/>
      <c r="F940" s="235"/>
    </row>
    <row r="941">
      <c r="B941" s="235"/>
      <c r="C941" s="235"/>
      <c r="D941" s="235"/>
      <c r="E941" s="235"/>
      <c r="F941" s="235"/>
    </row>
    <row r="942">
      <c r="B942" s="235"/>
      <c r="C942" s="235"/>
      <c r="D942" s="235"/>
      <c r="E942" s="235"/>
      <c r="F942" s="235"/>
    </row>
    <row r="943">
      <c r="B943" s="235"/>
      <c r="C943" s="235"/>
      <c r="D943" s="235"/>
      <c r="E943" s="235"/>
      <c r="F943" s="235"/>
    </row>
    <row r="944">
      <c r="B944" s="235"/>
      <c r="C944" s="235"/>
      <c r="D944" s="235"/>
      <c r="E944" s="235"/>
      <c r="F944" s="235"/>
    </row>
    <row r="945">
      <c r="B945" s="235"/>
      <c r="C945" s="235"/>
      <c r="D945" s="235"/>
      <c r="E945" s="235"/>
      <c r="F945" s="235"/>
    </row>
    <row r="946">
      <c r="B946" s="235"/>
      <c r="C946" s="235"/>
      <c r="D946" s="235"/>
      <c r="E946" s="235"/>
      <c r="F946" s="235"/>
    </row>
    <row r="947">
      <c r="B947" s="235"/>
      <c r="C947" s="235"/>
      <c r="D947" s="235"/>
      <c r="E947" s="235"/>
      <c r="F947" s="235"/>
    </row>
    <row r="948">
      <c r="B948" s="235"/>
      <c r="C948" s="235"/>
      <c r="D948" s="235"/>
      <c r="E948" s="235"/>
      <c r="F948" s="235"/>
    </row>
    <row r="949">
      <c r="B949" s="235"/>
      <c r="C949" s="235"/>
      <c r="D949" s="235"/>
      <c r="E949" s="235"/>
      <c r="F949" s="235"/>
    </row>
    <row r="950">
      <c r="B950" s="235"/>
      <c r="C950" s="235"/>
      <c r="D950" s="235"/>
      <c r="E950" s="235"/>
      <c r="F950" s="235"/>
    </row>
    <row r="951">
      <c r="B951" s="235"/>
      <c r="C951" s="235"/>
      <c r="D951" s="235"/>
      <c r="E951" s="235"/>
      <c r="F951" s="235"/>
    </row>
    <row r="952">
      <c r="B952" s="235"/>
      <c r="C952" s="235"/>
      <c r="D952" s="235"/>
      <c r="E952" s="235"/>
      <c r="F952" s="235"/>
    </row>
    <row r="953">
      <c r="B953" s="235"/>
      <c r="C953" s="235"/>
      <c r="D953" s="235"/>
      <c r="E953" s="235"/>
      <c r="F953" s="235"/>
    </row>
    <row r="954">
      <c r="B954" s="235"/>
      <c r="C954" s="235"/>
      <c r="D954" s="235"/>
      <c r="E954" s="235"/>
      <c r="F954" s="235"/>
    </row>
    <row r="955">
      <c r="B955" s="235"/>
      <c r="C955" s="235"/>
      <c r="D955" s="235"/>
      <c r="E955" s="235"/>
      <c r="F955" s="235"/>
    </row>
    <row r="956">
      <c r="B956" s="235"/>
      <c r="C956" s="235"/>
      <c r="D956" s="235"/>
      <c r="E956" s="235"/>
      <c r="F956" s="235"/>
    </row>
    <row r="957">
      <c r="B957" s="235"/>
      <c r="C957" s="235"/>
      <c r="D957" s="235"/>
      <c r="E957" s="235"/>
      <c r="F957" s="235"/>
    </row>
    <row r="958">
      <c r="B958" s="235"/>
      <c r="C958" s="235"/>
      <c r="D958" s="235"/>
      <c r="E958" s="235"/>
      <c r="F958" s="235"/>
    </row>
    <row r="959">
      <c r="B959" s="235"/>
      <c r="C959" s="235"/>
      <c r="D959" s="235"/>
      <c r="E959" s="235"/>
      <c r="F959" s="235"/>
    </row>
    <row r="960">
      <c r="B960" s="235"/>
      <c r="C960" s="235"/>
      <c r="D960" s="235"/>
      <c r="E960" s="235"/>
      <c r="F960" s="235"/>
    </row>
    <row r="961">
      <c r="B961" s="235"/>
      <c r="C961" s="235"/>
      <c r="D961" s="235"/>
      <c r="E961" s="235"/>
      <c r="F961" s="235"/>
    </row>
    <row r="962">
      <c r="B962" s="235"/>
      <c r="C962" s="235"/>
      <c r="D962" s="235"/>
      <c r="E962" s="235"/>
      <c r="F962" s="235"/>
    </row>
    <row r="963">
      <c r="B963" s="235"/>
      <c r="C963" s="235"/>
      <c r="D963" s="235"/>
      <c r="E963" s="235"/>
      <c r="F963" s="235"/>
    </row>
    <row r="964">
      <c r="B964" s="235"/>
      <c r="C964" s="235"/>
      <c r="D964" s="235"/>
      <c r="E964" s="235"/>
      <c r="F964" s="235"/>
    </row>
    <row r="965">
      <c r="B965" s="235"/>
      <c r="C965" s="235"/>
      <c r="D965" s="235"/>
      <c r="E965" s="235"/>
      <c r="F965" s="235"/>
    </row>
    <row r="966">
      <c r="B966" s="235"/>
      <c r="C966" s="235"/>
      <c r="D966" s="235"/>
      <c r="E966" s="235"/>
      <c r="F966" s="235"/>
    </row>
    <row r="967">
      <c r="B967" s="235"/>
      <c r="C967" s="235"/>
      <c r="D967" s="235"/>
      <c r="E967" s="235"/>
      <c r="F967" s="235"/>
    </row>
    <row r="968">
      <c r="B968" s="235"/>
      <c r="C968" s="235"/>
      <c r="D968" s="235"/>
      <c r="E968" s="235"/>
      <c r="F968" s="235"/>
    </row>
    <row r="969">
      <c r="B969" s="235"/>
      <c r="C969" s="235"/>
      <c r="D969" s="235"/>
      <c r="E969" s="235"/>
      <c r="F969" s="235"/>
    </row>
    <row r="970">
      <c r="B970" s="235"/>
      <c r="C970" s="235"/>
      <c r="D970" s="235"/>
      <c r="E970" s="235"/>
      <c r="F970" s="235"/>
    </row>
    <row r="971">
      <c r="B971" s="235"/>
      <c r="C971" s="235"/>
      <c r="D971" s="235"/>
      <c r="E971" s="235"/>
      <c r="F971" s="235"/>
    </row>
    <row r="972">
      <c r="B972" s="235"/>
      <c r="C972" s="235"/>
      <c r="D972" s="235"/>
      <c r="E972" s="235"/>
      <c r="F972" s="235"/>
    </row>
    <row r="973">
      <c r="B973" s="235"/>
      <c r="C973" s="235"/>
      <c r="D973" s="235"/>
      <c r="E973" s="235"/>
      <c r="F973" s="235"/>
    </row>
    <row r="974">
      <c r="B974" s="235"/>
      <c r="C974" s="235"/>
      <c r="D974" s="235"/>
      <c r="E974" s="235"/>
      <c r="F974" s="235"/>
    </row>
    <row r="975">
      <c r="B975" s="235"/>
      <c r="C975" s="235"/>
      <c r="D975" s="235"/>
      <c r="E975" s="235"/>
      <c r="F975" s="235"/>
    </row>
    <row r="976">
      <c r="B976" s="235"/>
      <c r="C976" s="235"/>
      <c r="D976" s="235"/>
      <c r="E976" s="235"/>
      <c r="F976" s="235"/>
    </row>
    <row r="977">
      <c r="B977" s="235"/>
      <c r="C977" s="235"/>
      <c r="D977" s="235"/>
      <c r="E977" s="235"/>
      <c r="F977" s="235"/>
    </row>
    <row r="978">
      <c r="B978" s="235"/>
      <c r="C978" s="235"/>
      <c r="D978" s="235"/>
      <c r="E978" s="235"/>
      <c r="F978" s="235"/>
    </row>
    <row r="979">
      <c r="B979" s="235"/>
      <c r="C979" s="235"/>
      <c r="D979" s="235"/>
      <c r="E979" s="235"/>
      <c r="F979" s="235"/>
    </row>
    <row r="980">
      <c r="B980" s="235"/>
      <c r="C980" s="235"/>
      <c r="D980" s="235"/>
      <c r="E980" s="235"/>
      <c r="F980" s="235"/>
    </row>
    <row r="981">
      <c r="B981" s="235"/>
      <c r="C981" s="235"/>
      <c r="D981" s="235"/>
      <c r="E981" s="235"/>
      <c r="F981" s="235"/>
    </row>
    <row r="982">
      <c r="B982" s="235"/>
      <c r="C982" s="235"/>
      <c r="D982" s="235"/>
      <c r="E982" s="235"/>
      <c r="F982" s="235"/>
    </row>
    <row r="983">
      <c r="B983" s="235"/>
      <c r="C983" s="235"/>
      <c r="D983" s="235"/>
      <c r="E983" s="235"/>
      <c r="F983" s="235"/>
    </row>
    <row r="984">
      <c r="B984" s="235"/>
      <c r="C984" s="235"/>
      <c r="D984" s="235"/>
      <c r="E984" s="235"/>
      <c r="F984" s="235"/>
    </row>
    <row r="985">
      <c r="B985" s="235"/>
      <c r="C985" s="235"/>
      <c r="D985" s="235"/>
      <c r="E985" s="235"/>
      <c r="F985" s="235"/>
    </row>
    <row r="986">
      <c r="B986" s="235"/>
      <c r="C986" s="235"/>
      <c r="D986" s="235"/>
      <c r="E986" s="235"/>
      <c r="F986" s="235"/>
    </row>
    <row r="987">
      <c r="B987" s="235"/>
      <c r="C987" s="235"/>
      <c r="D987" s="235"/>
      <c r="E987" s="235"/>
      <c r="F987" s="235"/>
    </row>
    <row r="988">
      <c r="B988" s="235"/>
      <c r="C988" s="235"/>
      <c r="D988" s="235"/>
      <c r="E988" s="235"/>
      <c r="F988" s="235"/>
    </row>
    <row r="989">
      <c r="B989" s="235"/>
      <c r="C989" s="235"/>
      <c r="D989" s="235"/>
      <c r="E989" s="235"/>
      <c r="F989" s="235"/>
    </row>
    <row r="990">
      <c r="B990" s="235"/>
      <c r="C990" s="235"/>
      <c r="D990" s="235"/>
      <c r="E990" s="235"/>
      <c r="F990" s="235"/>
    </row>
    <row r="991">
      <c r="B991" s="235"/>
      <c r="C991" s="235"/>
      <c r="D991" s="235"/>
      <c r="E991" s="235"/>
      <c r="F991" s="235"/>
    </row>
    <row r="992">
      <c r="B992" s="235"/>
      <c r="C992" s="235"/>
      <c r="D992" s="235"/>
      <c r="E992" s="235"/>
      <c r="F992" s="235"/>
    </row>
    <row r="993">
      <c r="B993" s="235"/>
      <c r="C993" s="235"/>
      <c r="D993" s="235"/>
      <c r="E993" s="235"/>
      <c r="F993" s="235"/>
    </row>
    <row r="994">
      <c r="B994" s="235"/>
      <c r="C994" s="235"/>
      <c r="D994" s="235"/>
      <c r="E994" s="235"/>
      <c r="F994" s="235"/>
    </row>
    <row r="995">
      <c r="B995" s="235"/>
      <c r="C995" s="235"/>
      <c r="D995" s="235"/>
      <c r="E995" s="235"/>
      <c r="F995" s="235"/>
    </row>
    <row r="996">
      <c r="B996" s="235"/>
      <c r="C996" s="235"/>
      <c r="D996" s="235"/>
      <c r="E996" s="235"/>
      <c r="F996" s="235"/>
    </row>
    <row r="997">
      <c r="B997" s="235"/>
      <c r="C997" s="235"/>
      <c r="D997" s="235"/>
      <c r="E997" s="235"/>
      <c r="F997" s="235"/>
    </row>
    <row r="998">
      <c r="B998" s="235"/>
      <c r="C998" s="235"/>
      <c r="D998" s="235"/>
      <c r="E998" s="235"/>
      <c r="F998" s="235"/>
    </row>
    <row r="999">
      <c r="B999" s="235"/>
      <c r="C999" s="235"/>
      <c r="D999" s="235"/>
      <c r="E999" s="235"/>
      <c r="F999" s="235"/>
    </row>
    <row r="1000">
      <c r="B1000" s="235"/>
      <c r="C1000" s="235"/>
      <c r="D1000" s="235"/>
      <c r="E1000" s="235"/>
      <c r="F1000" s="235"/>
    </row>
  </sheetData>
  <drawing r:id="rId1"/>
  <tableParts count="1">
    <tablePart r:id="rId3"/>
  </tableParts>
</worksheet>
</file>